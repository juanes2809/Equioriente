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SEPTIEMBRE 2026\"/>
    </mc:Choice>
  </mc:AlternateContent>
  <xr:revisionPtr revIDLastSave="0" documentId="13_ncr:1_{0765B59F-C480-4A62-9682-E2434C4B0B45}" xr6:coauthVersionLast="47" xr6:coauthVersionMax="47" xr10:uidLastSave="{00000000-0000-0000-0000-000000000000}"/>
  <bookViews>
    <workbookView xWindow="-120" yWindow="-120" windowWidth="20730" windowHeight="11040" firstSheet="30" activeTab="30" xr2:uid="{00000000-000D-0000-FFFF-FFFF00000000}"/>
  </bookViews>
  <sheets>
    <sheet name="PEDRO ROSAS" sheetId="1" r:id="rId1"/>
    <sheet name="ELKIN HERRERA" sheetId="26" r:id="rId2"/>
    <sheet name="OMAR PABON" sheetId="2" r:id="rId3"/>
    <sheet name="ANDREI CADENA" sheetId="24" r:id="rId4"/>
    <sheet name="tejido arquitectonico" sheetId="32" r:id="rId5"/>
    <sheet name="JOSE REDIN" sheetId="3" r:id="rId6"/>
    <sheet name="GIOVANNI SIERRA" sheetId="4" r:id="rId7"/>
    <sheet name="GUILLERMO HERRERA" sheetId="43" r:id="rId8"/>
    <sheet name="JOSE SILVA" sheetId="36" r:id="rId9"/>
    <sheet name="SOTERO TRIANA" sheetId="38" r:id="rId10"/>
    <sheet name="ORLANDO MALDONADOLILIANA " sheetId="39" r:id="rId11"/>
    <sheet name="CICOM INGENIEROS" sheetId="37" r:id="rId12"/>
    <sheet name="ELIAS ADARME" sheetId="25" r:id="rId13"/>
    <sheet name="INVERSIONES ULLOA" sheetId="40" r:id="rId14"/>
    <sheet name="JULIAN GARCIA" sheetId="34" r:id="rId15"/>
    <sheet name="MERCEDES VILLLAMIZAR" sheetId="35" r:id="rId16"/>
    <sheet name="EDINSON JAIMES" sheetId="5" r:id="rId17"/>
    <sheet name="GUSTAVO ADOLFO " sheetId="19" r:id="rId18"/>
    <sheet name="XIOMARA ARGUELLO" sheetId="27" r:id="rId19"/>
    <sheet name="LUDWIN ANGULO" sheetId="30" r:id="rId20"/>
    <sheet name="ALFONSO LOZANO" sheetId="45" r:id="rId21"/>
    <sheet name="MAURICIO CACERES" sheetId="28" r:id="rId22"/>
    <sheet name="DANILO CALDERON" sheetId="29" r:id="rId23"/>
    <sheet name="JUAN FELIPE BLANCO" sheetId="20" r:id="rId24"/>
    <sheet name="POLIMYS" sheetId="21" r:id="rId25"/>
    <sheet name="NELSON BERNAL" sheetId="33" r:id="rId26"/>
    <sheet name="FERRETERIA JOHANA VIDAL" sheetId="22" r:id="rId27"/>
    <sheet name="ANDREA PAOLA" sheetId="18" r:id="rId28"/>
    <sheet name="DIEGO GUTIERREZ" sheetId="14" r:id="rId29"/>
    <sheet name="CONSORCIO LA VICTORIA" sheetId="12" r:id="rId30"/>
    <sheet name="MAESTRO VIDAL" sheetId="23" r:id="rId31"/>
    <sheet name="GONZALO GUERRERO " sheetId="11" r:id="rId32"/>
    <sheet name="MIGUEL FLOREZ" sheetId="13" r:id="rId33"/>
    <sheet name="FREDDY LENGUA " sheetId="10" r:id="rId34"/>
    <sheet name="FREDY ESCALMILLA" sheetId="46" r:id="rId35"/>
    <sheet name="JORGE LUIS" sheetId="41" r:id="rId36"/>
    <sheet name="JOISE DAVIDCORREA" sheetId="47" r:id="rId37"/>
    <sheet name="SERGIO AGUILAR" sheetId="44" r:id="rId38"/>
    <sheet name="OSCAR OLARTE" sheetId="48" r:id="rId39"/>
    <sheet name="LA PLACA" sheetId="49" r:id="rId40"/>
    <sheet name="ALQUIOBRAS" sheetId="50" r:id="rId41"/>
    <sheet name="ELISEO PABON" sheetId="42" r:id="rId42"/>
    <sheet name="CLAUDIA GIL" sheetId="7" r:id="rId43"/>
    <sheet name="ANTONIO GUTIERREZ" sheetId="15" r:id="rId44"/>
    <sheet name="FREDY MEZA" sheetId="16" r:id="rId45"/>
    <sheet name="MAESTRO WILLIAM" sheetId="17" r:id="rId46"/>
  </sheets>
  <definedNames>
    <definedName name="_xlnm._FilterDatabase" localSheetId="29" hidden="1">'CONSORCIO LA VICTORIA'!$A$1:$A$29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3" l="1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19" i="23"/>
  <c r="H6" i="50" l="1"/>
  <c r="E6" i="49" l="1"/>
  <c r="E6" i="48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6" i="7"/>
  <c r="E8" i="47"/>
  <c r="E7" i="47"/>
  <c r="E6" i="47"/>
  <c r="E11" i="46" l="1"/>
  <c r="E10" i="46"/>
  <c r="E9" i="46"/>
  <c r="E8" i="46"/>
  <c r="E7" i="46"/>
  <c r="E6" i="46"/>
  <c r="G8" i="45"/>
  <c r="G6" i="45"/>
  <c r="E8" i="44" l="1"/>
  <c r="E7" i="44"/>
  <c r="E6" i="44"/>
  <c r="H7" i="43"/>
  <c r="H6" i="43"/>
  <c r="L38" i="24"/>
  <c r="L18" i="24"/>
  <c r="L7" i="24" l="1"/>
  <c r="L8" i="24"/>
  <c r="L9" i="24"/>
  <c r="L10" i="24"/>
  <c r="L11" i="24"/>
  <c r="L12" i="24"/>
  <c r="L13" i="24"/>
  <c r="L14" i="24"/>
  <c r="L15" i="24"/>
  <c r="L16" i="24"/>
  <c r="L17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9" i="24"/>
  <c r="L40" i="24"/>
  <c r="L41" i="24"/>
  <c r="L42" i="24"/>
  <c r="L43" i="24"/>
  <c r="L6" i="24"/>
  <c r="E8" i="42"/>
  <c r="E7" i="42"/>
  <c r="E6" i="42"/>
  <c r="E8" i="41"/>
  <c r="E7" i="41"/>
  <c r="E6" i="41"/>
  <c r="L31" i="28"/>
  <c r="L13" i="28"/>
  <c r="L12" i="28"/>
  <c r="L11" i="28"/>
  <c r="L10" i="28"/>
  <c r="L9" i="28"/>
  <c r="L23" i="28"/>
  <c r="L22" i="28"/>
  <c r="L21" i="28"/>
  <c r="L20" i="28"/>
  <c r="L19" i="28"/>
  <c r="L18" i="28"/>
  <c r="L17" i="28"/>
  <c r="L16" i="28"/>
  <c r="H6" i="36" l="1"/>
  <c r="H7" i="36"/>
  <c r="H8" i="36"/>
  <c r="H9" i="36"/>
  <c r="H10" i="36"/>
  <c r="H11" i="36"/>
  <c r="H12" i="36"/>
  <c r="H13" i="36"/>
  <c r="H14" i="36"/>
  <c r="H15" i="36"/>
  <c r="H7" i="35" l="1"/>
  <c r="H8" i="35"/>
  <c r="H9" i="35"/>
  <c r="H10" i="40"/>
  <c r="H8" i="40"/>
  <c r="H7" i="40"/>
  <c r="H6" i="40"/>
  <c r="G8" i="39" l="1"/>
  <c r="G9" i="39"/>
  <c r="G10" i="39"/>
  <c r="G12" i="39"/>
  <c r="G13" i="39"/>
  <c r="G11" i="39"/>
  <c r="G15" i="39" l="1"/>
  <c r="G7" i="39"/>
  <c r="G6" i="39"/>
  <c r="G9" i="38"/>
  <c r="G7" i="38"/>
  <c r="G6" i="38"/>
  <c r="F7" i="37"/>
  <c r="F8" i="37"/>
  <c r="F9" i="37"/>
  <c r="F10" i="37"/>
  <c r="B13" i="37"/>
  <c r="C13" i="37"/>
  <c r="F6" i="37"/>
  <c r="H17" i="36" l="1"/>
  <c r="H11" i="35" l="1"/>
  <c r="H6" i="35"/>
  <c r="N19" i="24"/>
  <c r="N20" i="24"/>
  <c r="N23" i="24"/>
  <c r="N27" i="24"/>
  <c r="N28" i="24"/>
  <c r="N29" i="24"/>
  <c r="N31" i="24"/>
  <c r="N32" i="24"/>
  <c r="N33" i="24"/>
  <c r="N35" i="24"/>
  <c r="N37" i="24"/>
  <c r="N39" i="24"/>
  <c r="N43" i="24"/>
  <c r="N18" i="24"/>
  <c r="N21" i="24"/>
  <c r="N22" i="24"/>
  <c r="N24" i="24"/>
  <c r="N25" i="24"/>
  <c r="N26" i="24"/>
  <c r="N30" i="24"/>
  <c r="N34" i="24"/>
  <c r="N36" i="24"/>
  <c r="N38" i="24"/>
  <c r="N40" i="24"/>
  <c r="N41" i="24"/>
  <c r="N42" i="24"/>
  <c r="N17" i="24"/>
  <c r="H9" i="34"/>
  <c r="H6" i="34"/>
  <c r="N45" i="24" l="1"/>
  <c r="G7" i="33" l="1"/>
  <c r="G8" i="33"/>
  <c r="G6" i="33"/>
  <c r="M7" i="12" l="1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G21" i="27" l="1"/>
  <c r="G20" i="27"/>
  <c r="G10" i="27"/>
  <c r="G11" i="27"/>
  <c r="G12" i="27"/>
  <c r="G13" i="27"/>
  <c r="G14" i="27"/>
  <c r="G15" i="27"/>
  <c r="G16" i="27"/>
  <c r="G17" i="27"/>
  <c r="G18" i="27"/>
  <c r="G19" i="27"/>
  <c r="G29" i="27"/>
  <c r="G17" i="32"/>
  <c r="G15" i="32"/>
  <c r="G14" i="32"/>
  <c r="G13" i="32"/>
  <c r="G12" i="32"/>
  <c r="G11" i="32"/>
  <c r="G10" i="32"/>
  <c r="G9" i="32"/>
  <c r="G8" i="32"/>
  <c r="G7" i="32"/>
  <c r="G6" i="32"/>
  <c r="L7" i="28"/>
  <c r="L8" i="28"/>
  <c r="L14" i="28"/>
  <c r="L15" i="28"/>
  <c r="L24" i="28"/>
  <c r="L25" i="28"/>
  <c r="L26" i="28"/>
  <c r="L27" i="28"/>
  <c r="L28" i="28"/>
  <c r="L29" i="28"/>
  <c r="G10" i="30" l="1"/>
  <c r="G8" i="30" l="1"/>
  <c r="G7" i="30"/>
  <c r="G6" i="30"/>
  <c r="G8" i="27"/>
  <c r="G9" i="27"/>
  <c r="K6" i="29" l="1"/>
  <c r="K7" i="29"/>
  <c r="K8" i="29"/>
  <c r="K9" i="29"/>
  <c r="K11" i="29"/>
  <c r="K16" i="29"/>
  <c r="K15" i="29"/>
  <c r="K14" i="29"/>
  <c r="K13" i="29"/>
  <c r="K12" i="29"/>
  <c r="K10" i="29"/>
  <c r="L6" i="28" l="1"/>
  <c r="G7" i="27" l="1"/>
  <c r="G6" i="27"/>
  <c r="H7" i="19" l="1"/>
  <c r="H8" i="19"/>
  <c r="H9" i="19"/>
  <c r="H10" i="19"/>
  <c r="H11" i="19"/>
  <c r="H12" i="19"/>
  <c r="H13" i="19"/>
  <c r="H14" i="19"/>
  <c r="H15" i="19"/>
  <c r="H6" i="19"/>
  <c r="J8" i="19" l="1"/>
  <c r="J9" i="19"/>
  <c r="J7" i="19"/>
  <c r="J10" i="19"/>
  <c r="J11" i="19"/>
  <c r="J12" i="19"/>
  <c r="J13" i="19"/>
  <c r="J14" i="19"/>
  <c r="J6" i="19"/>
  <c r="D8" i="26"/>
  <c r="D6" i="26"/>
  <c r="H6" i="25"/>
  <c r="H7" i="25"/>
  <c r="H8" i="25"/>
  <c r="H9" i="25"/>
  <c r="H10" i="25"/>
  <c r="H11" i="25"/>
  <c r="H13" i="25"/>
  <c r="K19" i="2"/>
  <c r="I7" i="2"/>
  <c r="I8" i="2"/>
  <c r="I9" i="2"/>
  <c r="I10" i="2"/>
  <c r="I11" i="2"/>
  <c r="I12" i="2"/>
  <c r="I13" i="2"/>
  <c r="I14" i="2"/>
  <c r="I15" i="2"/>
  <c r="I16" i="2"/>
  <c r="I17" i="2"/>
  <c r="I18" i="2"/>
  <c r="I6" i="2"/>
  <c r="J15" i="19" l="1"/>
  <c r="I20" i="2"/>
  <c r="I9" i="23" l="1"/>
  <c r="I8" i="23"/>
  <c r="I7" i="23"/>
  <c r="I6" i="23"/>
  <c r="C10" i="22" l="1"/>
  <c r="C9" i="22"/>
  <c r="C8" i="22"/>
  <c r="C7" i="22"/>
  <c r="C6" i="22"/>
  <c r="G6" i="21" l="1"/>
  <c r="D10" i="20"/>
  <c r="D8" i="20"/>
  <c r="D7" i="20"/>
  <c r="D6" i="20"/>
  <c r="H17" i="19"/>
  <c r="H16" i="19"/>
  <c r="I10" i="18" l="1"/>
  <c r="I8" i="18"/>
  <c r="I7" i="18"/>
  <c r="I6" i="18"/>
  <c r="H11" i="17"/>
  <c r="H10" i="17"/>
  <c r="H9" i="17"/>
  <c r="H8" i="17"/>
  <c r="H7" i="17"/>
  <c r="H6" i="17"/>
  <c r="F8" i="16" l="1"/>
  <c r="F6" i="16"/>
  <c r="H7" i="15"/>
  <c r="H6" i="15"/>
  <c r="M27" i="12" l="1"/>
  <c r="M6" i="12"/>
  <c r="I14" i="14" l="1"/>
  <c r="I12" i="14"/>
  <c r="I11" i="14"/>
  <c r="I10" i="14"/>
  <c r="I9" i="14"/>
  <c r="I8" i="14"/>
  <c r="I7" i="14"/>
  <c r="I6" i="14"/>
  <c r="K15" i="2"/>
  <c r="K16" i="2"/>
  <c r="K17" i="2"/>
  <c r="K18" i="2"/>
  <c r="E7" i="13"/>
  <c r="E6" i="13"/>
  <c r="E8" i="11" l="1"/>
  <c r="E7" i="11"/>
  <c r="E6" i="11"/>
  <c r="E8" i="10" l="1"/>
  <c r="E9" i="10"/>
  <c r="E7" i="10"/>
  <c r="E6" i="10"/>
  <c r="H9" i="5" l="1"/>
  <c r="H7" i="5"/>
  <c r="H6" i="5"/>
  <c r="H9" i="4"/>
  <c r="H7" i="4"/>
  <c r="H6" i="4"/>
  <c r="I18" i="3"/>
  <c r="I12" i="3"/>
  <c r="I13" i="3"/>
  <c r="I14" i="3"/>
  <c r="I15" i="3"/>
  <c r="I16" i="3"/>
  <c r="I17" i="3"/>
  <c r="I11" i="3" l="1"/>
  <c r="I10" i="3"/>
  <c r="I9" i="3"/>
  <c r="I8" i="3"/>
  <c r="I7" i="3"/>
  <c r="I6" i="3"/>
  <c r="K14" i="2"/>
  <c r="K13" i="2"/>
  <c r="I19" i="2"/>
  <c r="K12" i="2"/>
  <c r="K11" i="2"/>
  <c r="K10" i="2"/>
  <c r="K9" i="2"/>
  <c r="K8" i="2"/>
  <c r="K7" i="2"/>
  <c r="K6" i="2"/>
  <c r="D10" i="1" l="1"/>
  <c r="D8" i="1"/>
  <c r="D7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5" authorId="0" shapeId="0" xr:uid="{EA8CC13C-17A5-4933-A7AF-B9B037F2166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DESPACHO EL 31-08
</t>
        </r>
      </text>
    </comment>
    <comment ref="O12" authorId="0" shapeId="0" xr:uid="{4B625EFF-0506-403F-B0C4-F5B011868932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DE PLMY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23" authorId="0" shapeId="0" xr:uid="{2B756273-FE65-4040-A1DC-F24D72F62B96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7 DE 25*1,20 DE 50
</t>
        </r>
      </text>
    </comment>
    <comment ref="C31" authorId="0" shapeId="0" xr:uid="{3E603C11-F418-411C-87E5-B5BEDAE2550D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4 DE 30*ARMADAS
</t>
        </r>
      </text>
    </comment>
    <comment ref="G40" authorId="0" shapeId="0" xr:uid="{399531DD-ED07-4FAF-9CE2-3897575B834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4 DE 25*60 ARMADAS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12" authorId="0" shapeId="0" xr:uid="{63FDE81B-9CDA-4B6B-ABA0-AE0959D9446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5 ALQ
4 DE 25 
</t>
        </r>
      </text>
    </comment>
    <comment ref="C14" authorId="0" shapeId="0" xr:uid="{B7BF59E3-20DD-463B-8AAB-67887FE5A6B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11 DE POLIMYS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7" authorId="0" shapeId="0" xr:uid="{8EC20F1F-6BCD-484F-B3B1-EF32B18E086B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7 ARMDAS CON 25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10" authorId="0" shapeId="0" xr:uid="{3B535DCD-7F97-4230-8965-B6AD44C11C31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POLY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21" authorId="0" shapeId="0" xr:uid="{5C5DF9DF-C50C-432C-B8E5-ACCE2281EE41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YA CANCELO</t>
        </r>
      </text>
    </comment>
    <comment ref="C21" authorId="0" shapeId="0" xr:uid="{49D7CD34-3642-41D3-AF30-5F8C98AD5395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YA CANCELO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G14" authorId="0" shapeId="0" xr:uid="{1FF69D71-169B-4F6E-9B1A-142893C02B5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5 DE 25*1,20 ARMADAS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7" authorId="0" shapeId="0" xr:uid="{B880338B-4C18-44B7-B7CA-25BD18D6D4D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11CG
</t>
        </r>
      </text>
    </comment>
    <comment ref="D7" authorId="0" shapeId="0" xr:uid="{5ACAD552-4976-4857-AF6E-BBFE4903254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11 CG
</t>
        </r>
      </text>
    </comment>
    <comment ref="D10" authorId="0" shapeId="0" xr:uid="{00B0EA03-063F-415B-96D1-84E572DD6D36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CANCELO 2 CHAPETAS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B10" authorId="0" shapeId="0" xr:uid="{EAC0DAD0-726D-4C45-8938-615F39D16AF0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 DE LS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25" authorId="0" shapeId="0" xr:uid="{52EBEE27-96F8-4D0F-A5FA-3AEC91F17B49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DEVOLUCION DE TABLON 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40" authorId="0" shapeId="0" xr:uid="{F826773F-3813-423B-B744-43FB893E7DBE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5 DE </t>
        </r>
      </text>
    </comment>
    <comment ref="F40" authorId="0" shapeId="0" xr:uid="{C9E93787-6210-4CBC-8824-87262879A7F3}">
      <text>
        <r>
          <rPr>
            <b/>
            <sz val="9"/>
            <color indexed="81"/>
            <rFont val="Tahoma"/>
            <charset val="1"/>
          </rPr>
          <t>Jimmy Jaimes:</t>
        </r>
        <r>
          <rPr>
            <sz val="9"/>
            <color indexed="81"/>
            <rFont val="Tahoma"/>
            <charset val="1"/>
          </rPr>
          <t xml:space="preserve">
LS
</t>
        </r>
      </text>
    </comment>
    <comment ref="C42" authorId="0" shapeId="0" xr:uid="{88049F13-2565-4C21-BFF4-54DFC22803B8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1 LS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tc={F9D16886-DEA3-44CD-9195-585E47D0B937}</author>
  </authors>
  <commentList>
    <comment ref="B6" authorId="0" shapeId="0" xr:uid="{F9D16886-DEA3-44CD-9195-585E47D0B9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16 FORMALETAS 30 X 120</t>
      </text>
    </comment>
  </commentList>
</comments>
</file>

<file path=xl/sharedStrings.xml><?xml version="1.0" encoding="utf-8"?>
<sst xmlns="http://schemas.openxmlformats.org/spreadsheetml/2006/main" count="799" uniqueCount="358">
  <si>
    <t>PEDRO ROSAS</t>
  </si>
  <si>
    <t>CRA 28 #12A ESQUINA</t>
  </si>
  <si>
    <t>MATERIAL</t>
  </si>
  <si>
    <t xml:space="preserve">SALDO </t>
  </si>
  <si>
    <t xml:space="preserve">MARCOS DE ANDAMIOS 0,90*2 MTROS </t>
  </si>
  <si>
    <t>CRUCETAS DE 2,40</t>
  </si>
  <si>
    <t xml:space="preserve">TABLONES DE 3 MTROS </t>
  </si>
  <si>
    <t>HORA</t>
  </si>
  <si>
    <t>Transporte</t>
  </si>
  <si>
    <t>BUZ -384</t>
  </si>
  <si>
    <t>OMAR PABON</t>
  </si>
  <si>
    <t>CRA 9 OCCIDENTE # 29-58</t>
  </si>
  <si>
    <t>MARCOS DE ANDAMIOS  AMARILLOS</t>
  </si>
  <si>
    <t>CRUCETAS 2,40</t>
  </si>
  <si>
    <t>TABLONES 3 MTROS</t>
  </si>
  <si>
    <t>FORMALETA DE 35*1,20</t>
  </si>
  <si>
    <t>PARALES DE 3 MTROS</t>
  </si>
  <si>
    <t>CHAPETAS</t>
  </si>
  <si>
    <t>CAJAS METALICAS</t>
  </si>
  <si>
    <t>Hora</t>
  </si>
  <si>
    <t>TRANSPORTE</t>
  </si>
  <si>
    <t xml:space="preserve">CERCHAS DE 3 MTROS </t>
  </si>
  <si>
    <t>FORMALETA DE 60*1,20</t>
  </si>
  <si>
    <t xml:space="preserve">PUERTO RICO </t>
  </si>
  <si>
    <t xml:space="preserve">PARALES DE 3 MTROS </t>
  </si>
  <si>
    <t>BANDAS DE 50*1,40</t>
  </si>
  <si>
    <t>TABLEROS DE 70*1,40</t>
  </si>
  <si>
    <t>BANDAS DE 40*1,40</t>
  </si>
  <si>
    <t xml:space="preserve">CERCHAS DE 1 MTRO </t>
  </si>
  <si>
    <t>CANCELO 350,000</t>
  </si>
  <si>
    <t>SALDO</t>
  </si>
  <si>
    <t>MOVIMIENTO AGOSTO/SEPTIEMBRE 2026</t>
  </si>
  <si>
    <t>MOVIMIENTO: SEPTIEMBRE/2026</t>
  </si>
  <si>
    <t>FORMALETA DE 50*1,20</t>
  </si>
  <si>
    <t>FORMALETA DE 40*1,20</t>
  </si>
  <si>
    <t>FORMALETA DE 20*1,20</t>
  </si>
  <si>
    <t xml:space="preserve">CHAPETAS </t>
  </si>
  <si>
    <t>ANGULOS DE 1,20</t>
  </si>
  <si>
    <t>MOVIMIENTO SPTIEMBRE/ 2025</t>
  </si>
  <si>
    <t>***</t>
  </si>
  <si>
    <t>GIONANNY SIERRA</t>
  </si>
  <si>
    <t>CRA 13 #6-26  SAN RAFAEL</t>
  </si>
  <si>
    <t>MOVIMIENTO AGOSTO 18 AL 31</t>
  </si>
  <si>
    <t>C ERCHAS 2 MTS</t>
  </si>
  <si>
    <t>CERCHAS 3 MTS PLATINA</t>
  </si>
  <si>
    <t>XVW966</t>
  </si>
  <si>
    <t xml:space="preserve">EDINSON JAIMES </t>
  </si>
  <si>
    <t>CRA 15 #5-29 TEL: 3173724837</t>
  </si>
  <si>
    <t xml:space="preserve">ESCALERA AMARILLA 4 A 8 MTROS </t>
  </si>
  <si>
    <t>ABONO  300,000 EFECTIVO</t>
  </si>
  <si>
    <t>A PIE</t>
  </si>
  <si>
    <t xml:space="preserve">MAESTRO VIDAL </t>
  </si>
  <si>
    <t>MIRADORES DE LA UIS TEL: 3138758759</t>
  </si>
  <si>
    <t>CLAUDIA GIL</t>
  </si>
  <si>
    <t>CERCHAS DE 3 MTROS PLATINA</t>
  </si>
  <si>
    <t>CERCHAS DE 1,50</t>
  </si>
  <si>
    <t>PARALES DE 4 MTROS</t>
  </si>
  <si>
    <t xml:space="preserve">PARALES DE 6 MTROS </t>
  </si>
  <si>
    <t xml:space="preserve">TABLON CORTO </t>
  </si>
  <si>
    <t>ALINEADORES DE 6 MTROS</t>
  </si>
  <si>
    <t xml:space="preserve">PARALES DE 1 MTRO </t>
  </si>
  <si>
    <t>DUCTOLON</t>
  </si>
  <si>
    <t>CERCHAS DE 2,40</t>
  </si>
  <si>
    <t>FORMALETA  DE 50*1,20</t>
  </si>
  <si>
    <t>FORMALETA DE 15*1,20</t>
  </si>
  <si>
    <t>FORMAELTA DE 45*1,20</t>
  </si>
  <si>
    <t>QTV-371</t>
  </si>
  <si>
    <t>ANGULOS DE 60</t>
  </si>
  <si>
    <t>MARCOS DE ANDAMIOS 1,50</t>
  </si>
  <si>
    <t xml:space="preserve">RUEDAS DE ANDAMIOS </t>
  </si>
  <si>
    <t>ISMAEL</t>
  </si>
  <si>
    <t>PARALES DE 2 MTROS (1,20)</t>
  </si>
  <si>
    <t>**********************</t>
  </si>
  <si>
    <t xml:space="preserve">GONZALO GUERRERO </t>
  </si>
  <si>
    <t xml:space="preserve">CALLE 7 CRA 18 RAPI FRITOS </t>
  </si>
  <si>
    <t xml:space="preserve">MARCOS DE ANDAMIOS 1,50 AZULES </t>
  </si>
  <si>
    <t xml:space="preserve">CRUCETAS DE 2 MTROS </t>
  </si>
  <si>
    <t>PBG-226</t>
  </si>
  <si>
    <t xml:space="preserve">                        </t>
  </si>
  <si>
    <t>CTE 31-08</t>
  </si>
  <si>
    <t>TRANSFIRIO $500,000 nequi</t>
  </si>
  <si>
    <t>DAVID REDIN:</t>
  </si>
  <si>
    <t>31-09</t>
  </si>
  <si>
    <t>MIGUEL FLOREZ</t>
  </si>
  <si>
    <t>CRA 7 #44-44 ALFONSO LOPEZ</t>
  </si>
  <si>
    <t>372-NPC</t>
  </si>
  <si>
    <t>CERCHAS DE 3 MTROS  PLATINA</t>
  </si>
  <si>
    <t>FORMALETA DE 30*1,20</t>
  </si>
  <si>
    <t>FORMALETA DE 30*60</t>
  </si>
  <si>
    <t>CAJA METALICA</t>
  </si>
  <si>
    <t>FREDDY LENGUA TEL: 3133417533</t>
  </si>
  <si>
    <t>SAN ALONSO</t>
  </si>
  <si>
    <t>DIEGO GUTIERREZ</t>
  </si>
  <si>
    <t>FERRETERIA VENADO DE ORO</t>
  </si>
  <si>
    <t>TABLEROS DE MADERA DE 70*1,40</t>
  </si>
  <si>
    <t>CERCHAS DE 3 MTROS</t>
  </si>
  <si>
    <t>CERCHAS DE 1,50  MTROS</t>
  </si>
  <si>
    <t>CCL-358</t>
  </si>
  <si>
    <t>CBRO 4 08</t>
  </si>
  <si>
    <t>MOVIMIENTO:SEPTIEMBRE /2026</t>
  </si>
  <si>
    <t xml:space="preserve">AGOSTO </t>
  </si>
  <si>
    <t>CONSORCIO LA VICTORIA</t>
  </si>
  <si>
    <t>CRA 13 CON CALLE 69 VICTORIA</t>
  </si>
  <si>
    <t>ALINEADORES DE 3 MTROS</t>
  </si>
  <si>
    <t>FORAMLETA DE 50*1,20</t>
  </si>
  <si>
    <t>FORMALETA DE 30 1,20</t>
  </si>
  <si>
    <t>FORMALETA DE 25*1,20</t>
  </si>
  <si>
    <t>FORMALETA DE 10*1,20</t>
  </si>
  <si>
    <t>FORMALETA DE 45*1,20</t>
  </si>
  <si>
    <t xml:space="preserve">TENSORES </t>
  </si>
  <si>
    <t>RINCONERAS 10*10*1,20</t>
  </si>
  <si>
    <t>PARALES DE 1 MTRO</t>
  </si>
  <si>
    <t>PINES</t>
  </si>
  <si>
    <t xml:space="preserve">TABLONES DE MADERA 3 MTROS </t>
  </si>
  <si>
    <t>MOVIMIENTO:SEPTIEMBRE/ 2026</t>
  </si>
  <si>
    <t xml:space="preserve">material </t>
  </si>
  <si>
    <t>GIRARDOT</t>
  </si>
  <si>
    <t>CTE 2-09</t>
  </si>
  <si>
    <t>ANTONIO GUTIERREZ</t>
  </si>
  <si>
    <t>BERLIN</t>
  </si>
  <si>
    <t>ESK-323</t>
  </si>
  <si>
    <t>MOVIMIENTO: SEPTIEMBRE / 2026</t>
  </si>
  <si>
    <t>FREDDY MEZZA</t>
  </si>
  <si>
    <t>CRA 19 7-55</t>
  </si>
  <si>
    <t xml:space="preserve">TABLONES </t>
  </si>
  <si>
    <t>A  PIE</t>
  </si>
  <si>
    <t>MOVIMIENTO: JULIO/SEPTIEMBRE 2026</t>
  </si>
  <si>
    <t xml:space="preserve">PARALES DE 4 MTROS </t>
  </si>
  <si>
    <t>CERCHAS DE 2 MTRO</t>
  </si>
  <si>
    <t xml:space="preserve">TABLONES DE MADERA </t>
  </si>
  <si>
    <t>******</t>
  </si>
  <si>
    <t xml:space="preserve">ANDREA PAOLA </t>
  </si>
  <si>
    <t>CALLE 22#22-69</t>
  </si>
  <si>
    <t>MOVIMIENTO: AGOSTO /2026</t>
  </si>
  <si>
    <t>MARCOS DE ANDAMIOS 0,90*2 MTROS</t>
  </si>
  <si>
    <t xml:space="preserve">TABLONES CORTOS </t>
  </si>
  <si>
    <t>ABONO 200,000</t>
  </si>
  <si>
    <t>GUSTAVO ADOLFO RUBIO</t>
  </si>
  <si>
    <t>VILLA CARMELO TEL:3224706066</t>
  </si>
  <si>
    <t>MOVIMIENTO: AGOSTO/SEPTIEMBRE 2026</t>
  </si>
  <si>
    <t xml:space="preserve">JUAN FELIPE BLANCO </t>
  </si>
  <si>
    <t>CRA 19 #21-24</t>
  </si>
  <si>
    <t>MOVIMIENTO: 2026</t>
  </si>
  <si>
    <t>MARCOS DE ANDAMIOS DE 1,50  NARANJA</t>
  </si>
  <si>
    <t xml:space="preserve">CRUCETAS DE 2 ,40MTROS </t>
  </si>
  <si>
    <t>POLIMYS</t>
  </si>
  <si>
    <t>CRA 16 #16-46</t>
  </si>
  <si>
    <t xml:space="preserve">                                                         </t>
  </si>
  <si>
    <t>31-007</t>
  </si>
  <si>
    <t>MOVIMIENTO SEPTIEMBRE/ 2025</t>
  </si>
  <si>
    <t>MAESTRO WILLIAM: 3202235477</t>
  </si>
  <si>
    <t>HACIENDO PUERTYO RICO</t>
  </si>
  <si>
    <t>MOVIMIENTO: ASEPTIEMBRE /2026 COLUMNAS</t>
  </si>
  <si>
    <t xml:space="preserve">POLEAS COLGANTES </t>
  </si>
  <si>
    <t xml:space="preserve">ANGULOS DE 6 MTROS </t>
  </si>
  <si>
    <t>PASAMANOS DE 6 MTRS</t>
  </si>
  <si>
    <t>TTR-220</t>
  </si>
  <si>
    <t>MOVIMIENTO:JULIO/ SEPTIEMBRE2026</t>
  </si>
  <si>
    <t xml:space="preserve">FERRERERIA JOHANA </t>
  </si>
  <si>
    <t>CTZ</t>
  </si>
  <si>
    <t>BANDAS DE MADERA DE 40*1,40</t>
  </si>
  <si>
    <t>MOVIMIENTO AGOSTO/ 2025</t>
  </si>
  <si>
    <t>ALINEADOR DE 3,70</t>
  </si>
  <si>
    <t>ANGULOS 2,40</t>
  </si>
  <si>
    <t>ANDREI CADENA</t>
  </si>
  <si>
    <t>CRA 17A #60-17 RICAUTE</t>
  </si>
  <si>
    <t>MARCOS DE ANDAMIOS 1,50 AZULES</t>
  </si>
  <si>
    <t>TABLONES DE 3 MTRS</t>
  </si>
  <si>
    <t>TABREROS DE MADERA 70*1,40</t>
  </si>
  <si>
    <t>CERCHAS DE 2 MTROS</t>
  </si>
  <si>
    <t>BANDA DE MADERA DE 40*1,20</t>
  </si>
  <si>
    <t>BANDA DE MADERA DE 40*1,40</t>
  </si>
  <si>
    <t>BALDE</t>
  </si>
  <si>
    <t>hora</t>
  </si>
  <si>
    <t>MOVIMIENTO: SEPTIEMBRE /2026</t>
  </si>
  <si>
    <t>FORMALETA DE 55*1,20</t>
  </si>
  <si>
    <t>FORMALETA DE 5 *1,20</t>
  </si>
  <si>
    <t>ANGULO DE 60</t>
  </si>
  <si>
    <t>FORMALETA DE 60*60</t>
  </si>
  <si>
    <t>FORMALETA DE 20*60</t>
  </si>
  <si>
    <t>ELIAS ADARME</t>
  </si>
  <si>
    <t>EL PEDREGAL</t>
  </si>
  <si>
    <t>MOVIMIENTO: SEPTIEMBRE 2026</t>
  </si>
  <si>
    <t>A</t>
  </si>
  <si>
    <t>ELKIN HERRERA</t>
  </si>
  <si>
    <t>CRA 19 #5-50</t>
  </si>
  <si>
    <t xml:space="preserve">COMUNEROS </t>
  </si>
  <si>
    <t xml:space="preserve">ESCALERA MARILLA DE EXTENSION 4 A 8 MTROS </t>
  </si>
  <si>
    <t>CTE 5-09</t>
  </si>
  <si>
    <t>RINCONERAS PE MAYOR DE 35</t>
  </si>
  <si>
    <t>FORMALETA DE 40*60</t>
  </si>
  <si>
    <t>828-AH</t>
  </si>
  <si>
    <t>CORBATA PARA MURO DE 30</t>
  </si>
  <si>
    <t>HDM-837</t>
  </si>
  <si>
    <t>4.00</t>
  </si>
  <si>
    <t xml:space="preserve">XIOMARA ARGUELLO </t>
  </si>
  <si>
    <t>INDEPENDENCIA</t>
  </si>
  <si>
    <t xml:space="preserve">ALINEADORES DE 6 MTROS </t>
  </si>
  <si>
    <t xml:space="preserve">MAURICIO CACERES </t>
  </si>
  <si>
    <t>CALLE 7 #15B-34</t>
  </si>
  <si>
    <t>TABLEROS DE MADERA 70*1,40</t>
  </si>
  <si>
    <t>FORMALETA DE 50*60</t>
  </si>
  <si>
    <t xml:space="preserve">DANILO CALDERON </t>
  </si>
  <si>
    <t>FRESCA LECHE  TEL: 3011394507</t>
  </si>
  <si>
    <t xml:space="preserve">TENSORES  </t>
  </si>
  <si>
    <t xml:space="preserve">PARALES DE 2 MTROS </t>
  </si>
  <si>
    <t xml:space="preserve">PARAL DE 3 MTROS </t>
  </si>
  <si>
    <t>ALINEADORES DE 6 MTRO</t>
  </si>
  <si>
    <t>LJT-550</t>
  </si>
  <si>
    <t>MARCOS DE ANDAMIO 1,50</t>
  </si>
  <si>
    <t>LUDWIN ANGULO</t>
  </si>
  <si>
    <t>MOVIMIENTO:SEPTIEMBRE / 2025</t>
  </si>
  <si>
    <t>RINCONERAS DE 10*10*1,20</t>
  </si>
  <si>
    <t>ALINEADORES DE 2 MTROS</t>
  </si>
  <si>
    <t>ALINEADORES DE 1,50</t>
  </si>
  <si>
    <t>ALINEADORES DE 1 MTRO</t>
  </si>
  <si>
    <t xml:space="preserve"> </t>
  </si>
  <si>
    <t>TEJIDO ARQUITECTONICO S.A.S</t>
  </si>
  <si>
    <t>CRA 38 #41-108</t>
  </si>
  <si>
    <t>MOVIMIENTO: MAYO /2026</t>
  </si>
  <si>
    <t>MATERIAL EN OBRA</t>
  </si>
  <si>
    <t>MARCOS DE ANDAMIOS AZULES DE 1,50</t>
  </si>
  <si>
    <t>MARCOS DE ANDAMIOS AMARILLOS 1,50</t>
  </si>
  <si>
    <t xml:space="preserve">CRUCETAS DE 2,40 </t>
  </si>
  <si>
    <t xml:space="preserve">MARCOS DE ANDAMIOS NARANAJAS </t>
  </si>
  <si>
    <t>TABLONES DE 3 MTROS</t>
  </si>
  <si>
    <t>MARCOS DE ANDAMIOS (CG)</t>
  </si>
  <si>
    <t>CRUCETAS (CG)</t>
  </si>
  <si>
    <t xml:space="preserve">RUEDAS NIVELADORAS </t>
  </si>
  <si>
    <t>FORMALETA DE 35*80</t>
  </si>
  <si>
    <t>RINCONERA DE 10*10*1,20</t>
  </si>
  <si>
    <t>RINCONERA DE 10*10*60</t>
  </si>
  <si>
    <t>FORMALETA DE 25*60</t>
  </si>
  <si>
    <t>FORMALETA PQ DE 10*55</t>
  </si>
  <si>
    <t>FORMALETA DE  35-60</t>
  </si>
  <si>
    <t>BVC-829</t>
  </si>
  <si>
    <t>corte 23-08-2026</t>
  </si>
  <si>
    <t>CTE 8-09-2026</t>
  </si>
  <si>
    <t>FORMALETA DE 40*40</t>
  </si>
  <si>
    <t>PARALES DE 4 MTRO</t>
  </si>
  <si>
    <t>BALDE BLANCO</t>
  </si>
  <si>
    <t>NELSON BERNAL</t>
  </si>
  <si>
    <t>CALLE7 #18-39</t>
  </si>
  <si>
    <t xml:space="preserve">MATERIAL </t>
  </si>
  <si>
    <t>MARCOS DE ANDAMIOS 0,90</t>
  </si>
  <si>
    <t>CRUCETAS DE 2 MTROS</t>
  </si>
  <si>
    <t xml:space="preserve">                                                                                                               </t>
  </si>
  <si>
    <t>JULIAN GARCIA</t>
  </si>
  <si>
    <t>CRA 50 #71-51 TEL: 3214037674</t>
  </si>
  <si>
    <t>HUD-951</t>
  </si>
  <si>
    <t>A.M-</t>
  </si>
  <si>
    <t>MOVIMIENTO: SEPTIEMBRE/ 2026</t>
  </si>
  <si>
    <t>MERCEDES VILLAMIZAR</t>
  </si>
  <si>
    <t>119-AAZ</t>
  </si>
  <si>
    <t>JOSE SILVA</t>
  </si>
  <si>
    <t>VILLA CARMELO</t>
  </si>
  <si>
    <t>MOVIMIENTO:SEPTIEMBRE 2026</t>
  </si>
  <si>
    <t>CERCHAS DE 3MTROS</t>
  </si>
  <si>
    <t>CICOM INGENIERIA</t>
  </si>
  <si>
    <t>CRA 17 #5-35 COMUNEROS TEL: 3184228009</t>
  </si>
  <si>
    <t>MOVIMIENTO:AGOSTO 2026</t>
  </si>
  <si>
    <t>PARALES DE 4 MTRS</t>
  </si>
  <si>
    <t xml:space="preserve">BASE DE PARAL DE 3 MTROS </t>
  </si>
  <si>
    <t>31-009</t>
  </si>
  <si>
    <t xml:space="preserve">TRANSPORTE </t>
  </si>
  <si>
    <t>NAIN</t>
  </si>
  <si>
    <t>CANCELO$  90,000</t>
  </si>
  <si>
    <t>4;00</t>
  </si>
  <si>
    <t>SOTERO TRIANA</t>
  </si>
  <si>
    <t>CRA 29 #32-47 TEL: 3124425861</t>
  </si>
  <si>
    <t xml:space="preserve">ARNES DE SEGURIDAD </t>
  </si>
  <si>
    <t>SLINGAS</t>
  </si>
  <si>
    <t xml:space="preserve">ABONO $ 50,000 NEQUI </t>
  </si>
  <si>
    <t>VALOR DIA $4,000</t>
  </si>
  <si>
    <t>ORLANDO MALDONADO</t>
  </si>
  <si>
    <t>CONJUNTO RESIDENCIAL BUGANVILLA CAÑAVERAL TEL:3162943864</t>
  </si>
  <si>
    <t>ALINEADOR DE 4 MTROS</t>
  </si>
  <si>
    <t xml:space="preserve">PARALES DE 3 MRTROS </t>
  </si>
  <si>
    <t>LEO</t>
  </si>
  <si>
    <t xml:space="preserve">INVERSIONES ULLOA </t>
  </si>
  <si>
    <t>CRA 20 #5-45 COMUNEROS TEL: 3005601668</t>
  </si>
  <si>
    <t>MARCOS DA ANDAMIOS 1,50</t>
  </si>
  <si>
    <t>LHL-441</t>
  </si>
  <si>
    <t>CANCELO # 170,000 EFECTIVO</t>
  </si>
  <si>
    <t>CRA 20 # 6-36</t>
  </si>
  <si>
    <t>ESCALERA AMARILLA 4 A 8 MTROS</t>
  </si>
  <si>
    <t>CRUCEAS DE 2,40</t>
  </si>
  <si>
    <t xml:space="preserve">TABLON DE 3 MTROS </t>
  </si>
  <si>
    <t>FORMALETA DE 5*1,20</t>
  </si>
  <si>
    <t>FORMALETA DE 35*60</t>
  </si>
  <si>
    <t>CJA METALICA</t>
  </si>
  <si>
    <t xml:space="preserve">PARALES DE 2 MTROS ENANOS </t>
  </si>
  <si>
    <t>CTE-14-09</t>
  </si>
  <si>
    <t>JORGE LUIS</t>
  </si>
  <si>
    <t>CALLE 51 #16-130 SAN MIGUEL TEL:3025149040</t>
  </si>
  <si>
    <t xml:space="preserve">CRUCETAS DE 2,MTROS </t>
  </si>
  <si>
    <t>PAGA STANBY  $ 42,000</t>
  </si>
  <si>
    <t>DEPOSITO    $300,000</t>
  </si>
  <si>
    <t>ELISEO PABON</t>
  </si>
  <si>
    <t>CHARTA</t>
  </si>
  <si>
    <t xml:space="preserve">CORBATAS DE 30 MTROS </t>
  </si>
  <si>
    <t>GNW-482</t>
  </si>
  <si>
    <t xml:space="preserve">RUEDAS PARA ANDAMIOS </t>
  </si>
  <si>
    <t>****</t>
  </si>
  <si>
    <t>GUILLERMO HERRERA</t>
  </si>
  <si>
    <t>INDEPENDENCIA PARTE BAJA CALLE 3 #23C-25</t>
  </si>
  <si>
    <t>MOVIMIENTO : SEPTIEMBRE  2026</t>
  </si>
  <si>
    <t>C ERCHAS  3 MTS</t>
  </si>
  <si>
    <t>FDF-111</t>
  </si>
  <si>
    <t>J</t>
  </si>
  <si>
    <t>SERGIO HUMBERTO AGUILAR</t>
  </si>
  <si>
    <t>MARCOS DE ANDAMIOS 0,2*0,90</t>
  </si>
  <si>
    <t>CTE-15-09</t>
  </si>
  <si>
    <t>CRA 18#6-31 TEL.3182434022</t>
  </si>
  <si>
    <t>HARBEY/XIOMARA</t>
  </si>
  <si>
    <t>ESCALERA VERDE DE 2 MTROS TIJERA</t>
  </si>
  <si>
    <t>ALFONSO LOZANO</t>
  </si>
  <si>
    <t>CONDOMINIO CAJASAN TEL: 3013824261</t>
  </si>
  <si>
    <t>ABONO $300,000</t>
  </si>
  <si>
    <t>VIR -09E</t>
  </si>
  <si>
    <t>ICJ-857</t>
  </si>
  <si>
    <t>FREDDY ESCALMILLA</t>
  </si>
  <si>
    <t>COLORADOS  TEL: 3012054606</t>
  </si>
  <si>
    <t>PARALES  1,20</t>
  </si>
  <si>
    <t>ABONO</t>
  </si>
  <si>
    <t>FORMALETA 12*1,20</t>
  </si>
  <si>
    <t>RINCONERA DE 15*15*1,20</t>
  </si>
  <si>
    <t>ANGULOS DE 2,40</t>
  </si>
  <si>
    <t xml:space="preserve">ALINEADORES DE 3 MTROS </t>
  </si>
  <si>
    <t>CORBATA DE MURO e=15</t>
  </si>
  <si>
    <t>CORBATA DE MURO E=30</t>
  </si>
  <si>
    <t xml:space="preserve">CAJA METALICA </t>
  </si>
  <si>
    <t>ALINEADORES DE 2,5</t>
  </si>
  <si>
    <t xml:space="preserve">ALINEADORES DE 6 MTRS </t>
  </si>
  <si>
    <t>SSY-356</t>
  </si>
  <si>
    <t>*****</t>
  </si>
  <si>
    <t>FORMALETA DE 10*60</t>
  </si>
  <si>
    <t xml:space="preserve">CTZ </t>
  </si>
  <si>
    <t xml:space="preserve">ALINEADORES DE 2 MTROS </t>
  </si>
  <si>
    <t>10:AM</t>
  </si>
  <si>
    <t>|3:40</t>
  </si>
  <si>
    <t xml:space="preserve">CRUCETAS DE 2,40MTROS </t>
  </si>
  <si>
    <t>TABLONES DE CORTOS</t>
  </si>
  <si>
    <t>BUY 8-94</t>
  </si>
  <si>
    <t>ABONO $500,000 EFECTIVO</t>
  </si>
  <si>
    <t>CRA 14 #22-20 TEL: 3115908254</t>
  </si>
  <si>
    <t xml:space="preserve">                               </t>
  </si>
  <si>
    <t>JOSE DAVID CORREA</t>
  </si>
  <si>
    <t xml:space="preserve">ESCALERA DE ALUMNIO 4 A 8 MTROS AMARILLA </t>
  </si>
  <si>
    <t>OSCAR OLARTE</t>
  </si>
  <si>
    <t>CALLE 36 # 25-028 TEL:3222173521</t>
  </si>
  <si>
    <t xml:space="preserve">LA PLACA </t>
  </si>
  <si>
    <t>CRUCETAS DE 2,30</t>
  </si>
  <si>
    <t>ALQUIOBRAS-SANTANDER</t>
  </si>
  <si>
    <t>CALLE 14#19-37TEL:3164176674/3165134059</t>
  </si>
  <si>
    <t>MOVIMIENTO: SEPTIMBRE / 2026</t>
  </si>
  <si>
    <t xml:space="preserve">ANGULOS DE 60* </t>
  </si>
  <si>
    <t>HHA-77F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</si>
</sst>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h:mm:ss;@"/>
    <numFmt numFmtId="165" formatCode="_(&quot;$&quot;\ * #,##0_);_(&quot;$&quot;\ * \(#,##0\);_(&quot;$&quot;\ * &quot;-&quot;??_);_(@_)"/>
    <numFmt numFmtId="166" formatCode="_-&quot;$&quot;\ * #,##0_-;\-&quot;$&quot;\ * #,##0_-;_-&quot;$&quot;\ * &quot;-&quot;??_-;_-@_-"/>
    <numFmt numFmtId="167" formatCode="hh:mm:ss;@"/>
    <numFmt numFmtId="168" formatCode="[$-F400]h:mm:ss\ AM/PM"/>
    <numFmt numFmtId="169" formatCode="_(&quot;$&quot;\ * #,##0.000_);_(&quot;$&quot;\ * \(#,##0.000\);_(&quot;$&quot;\ * &quot;-&quot;??_);_(@_)"/>
    <numFmt numFmtId="170" formatCode="_-&quot;$&quot;\ * #,##0.000_-;\-&quot;$&quot;\ * #,##0.00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1">
    <xf numFmtId="0" fontId="0" fillId="0" borderId="0" xfId="0"/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16" fontId="2" fillId="3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1" fontId="2" fillId="0" borderId="6" xfId="0" applyNumberFormat="1" applyFont="1" applyBorder="1" applyAlignment="1">
      <alignment horizontal="center" vertical="center"/>
    </xf>
    <xf numFmtId="1" fontId="2" fillId="5" borderId="6" xfId="0" applyNumberFormat="1" applyFont="1" applyFill="1" applyBorder="1" applyAlignment="1">
      <alignment horizontal="center" vertical="center"/>
    </xf>
    <xf numFmtId="20" fontId="2" fillId="3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65" fontId="2" fillId="3" borderId="6" xfId="1" applyNumberFormat="1" applyFont="1" applyFill="1" applyBorder="1" applyAlignment="1">
      <alignment horizontal="right" vertical="center"/>
    </xf>
    <xf numFmtId="166" fontId="2" fillId="3" borderId="6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5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164" fontId="2" fillId="3" borderId="6" xfId="0" applyNumberFormat="1" applyFont="1" applyFill="1" applyBorder="1" applyAlignment="1">
      <alignment horizontal="center" vertical="center"/>
    </xf>
    <xf numFmtId="166" fontId="2" fillId="3" borderId="6" xfId="2" applyNumberFormat="1" applyFont="1" applyFill="1" applyBorder="1" applyAlignment="1">
      <alignment vertical="center"/>
    </xf>
    <xf numFmtId="166" fontId="2" fillId="3" borderId="6" xfId="2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20" fontId="2" fillId="5" borderId="6" xfId="0" applyNumberFormat="1" applyFont="1" applyFill="1" applyBorder="1" applyAlignment="1">
      <alignment horizontal="center" vertical="center"/>
    </xf>
    <xf numFmtId="166" fontId="2" fillId="5" borderId="6" xfId="2" applyNumberFormat="1" applyFont="1" applyFill="1" applyBorder="1" applyAlignment="1">
      <alignment vertical="center"/>
    </xf>
    <xf numFmtId="16" fontId="2" fillId="3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" fontId="2" fillId="5" borderId="6" xfId="0" applyNumberFormat="1" applyFont="1" applyFill="1" applyBorder="1" applyAlignment="1">
      <alignment horizontal="center" vertical="center"/>
    </xf>
    <xf numFmtId="16" fontId="2" fillId="3" borderId="7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1" fontId="2" fillId="5" borderId="13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167" fontId="2" fillId="3" borderId="7" xfId="0" applyNumberFormat="1" applyFont="1" applyFill="1" applyBorder="1" applyAlignment="1">
      <alignment horizontal="center" vertical="center"/>
    </xf>
    <xf numFmtId="1" fontId="2" fillId="3" borderId="13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/>
    </xf>
    <xf numFmtId="166" fontId="2" fillId="5" borderId="17" xfId="1" applyNumberFormat="1" applyFont="1" applyFill="1" applyBorder="1" applyAlignment="1">
      <alignment vertical="center"/>
    </xf>
    <xf numFmtId="166" fontId="2" fillId="3" borderId="17" xfId="1" applyNumberFormat="1" applyFont="1" applyFill="1" applyBorder="1" applyAlignment="1">
      <alignment vertical="center"/>
    </xf>
    <xf numFmtId="166" fontId="2" fillId="3" borderId="18" xfId="1" applyNumberFormat="1" applyFont="1" applyFill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6" fontId="2" fillId="0" borderId="17" xfId="1" applyNumberFormat="1" applyFont="1" applyFill="1" applyBorder="1" applyAlignment="1">
      <alignment vertical="center"/>
    </xf>
    <xf numFmtId="16" fontId="0" fillId="0" borderId="0" xfId="0" applyNumberFormat="1"/>
    <xf numFmtId="168" fontId="2" fillId="3" borderId="6" xfId="0" applyNumberFormat="1" applyFont="1" applyFill="1" applyBorder="1" applyAlignment="1">
      <alignment horizontal="center" vertical="center"/>
    </xf>
    <xf numFmtId="164" fontId="2" fillId="5" borderId="6" xfId="0" applyNumberFormat="1" applyFont="1" applyFill="1" applyBorder="1" applyAlignment="1">
      <alignment horizontal="center" vertical="center"/>
    </xf>
    <xf numFmtId="166" fontId="2" fillId="5" borderId="6" xfId="1" applyNumberFormat="1" applyFont="1" applyFill="1" applyBorder="1" applyAlignment="1">
      <alignment horizontal="right" vertical="center"/>
    </xf>
    <xf numFmtId="166" fontId="2" fillId="3" borderId="6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0" fillId="0" borderId="19" xfId="0" applyBorder="1"/>
    <xf numFmtId="0" fontId="2" fillId="3" borderId="20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0" fillId="7" borderId="0" xfId="0" applyFill="1"/>
    <xf numFmtId="166" fontId="2" fillId="3" borderId="9" xfId="1" applyNumberFormat="1" applyFont="1" applyFill="1" applyBorder="1" applyAlignment="1">
      <alignment vertical="center"/>
    </xf>
    <xf numFmtId="0" fontId="0" fillId="6" borderId="6" xfId="0" applyFill="1" applyBorder="1"/>
    <xf numFmtId="167" fontId="2" fillId="3" borderId="6" xfId="0" applyNumberFormat="1" applyFont="1" applyFill="1" applyBorder="1" applyAlignment="1">
      <alignment horizontal="center" vertical="center"/>
    </xf>
    <xf numFmtId="166" fontId="2" fillId="3" borderId="6" xfId="0" applyNumberFormat="1" applyFont="1" applyFill="1" applyBorder="1" applyAlignment="1">
      <alignment horizontal="center" vertical="center"/>
    </xf>
    <xf numFmtId="16" fontId="7" fillId="3" borderId="0" xfId="0" applyNumberFormat="1" applyFont="1" applyFill="1" applyAlignment="1">
      <alignment horizontal="center"/>
    </xf>
    <xf numFmtId="1" fontId="7" fillId="5" borderId="6" xfId="0" applyNumberFormat="1" applyFont="1" applyFill="1" applyBorder="1" applyAlignment="1">
      <alignment horizontal="center" vertical="center"/>
    </xf>
    <xf numFmtId="164" fontId="2" fillId="3" borderId="6" xfId="1" applyNumberFormat="1" applyFont="1" applyFill="1" applyBorder="1" applyAlignment="1">
      <alignment horizontal="center" vertical="center"/>
    </xf>
    <xf numFmtId="168" fontId="2" fillId="5" borderId="6" xfId="1" applyNumberFormat="1" applyFont="1" applyFill="1" applyBorder="1" applyAlignment="1">
      <alignment horizontal="center" vertical="center"/>
    </xf>
    <xf numFmtId="166" fontId="2" fillId="5" borderId="6" xfId="1" applyNumberFormat="1" applyFont="1" applyFill="1" applyBorder="1" applyAlignment="1">
      <alignment horizontal="center" vertical="center"/>
    </xf>
    <xf numFmtId="1" fontId="2" fillId="6" borderId="6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16" fontId="2" fillId="6" borderId="6" xfId="0" applyNumberFormat="1" applyFont="1" applyFill="1" applyBorder="1" applyAlignment="1">
      <alignment horizontal="center" vertical="center"/>
    </xf>
    <xf numFmtId="166" fontId="2" fillId="6" borderId="6" xfId="1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left" vertical="center"/>
    </xf>
    <xf numFmtId="0" fontId="2" fillId="0" borderId="15" xfId="0" applyFont="1" applyBorder="1"/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3" borderId="7" xfId="0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6" borderId="0" xfId="0" applyFill="1"/>
    <xf numFmtId="1" fontId="2" fillId="0" borderId="10" xfId="0" applyNumberFormat="1" applyFont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/>
    </xf>
    <xf numFmtId="168" fontId="2" fillId="3" borderId="6" xfId="1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 vertical="center"/>
    </xf>
    <xf numFmtId="16" fontId="2" fillId="3" borderId="6" xfId="0" applyNumberFormat="1" applyFont="1" applyFill="1" applyBorder="1" applyAlignment="1">
      <alignment horizontal="left" vertical="center"/>
    </xf>
    <xf numFmtId="16" fontId="2" fillId="9" borderId="6" xfId="0" applyNumberFormat="1" applyFont="1" applyFill="1" applyBorder="1" applyAlignment="1">
      <alignment horizontal="center" vertical="center"/>
    </xf>
    <xf numFmtId="1" fontId="2" fillId="9" borderId="6" xfId="0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0" fillId="0" borderId="0" xfId="0" applyFont="1"/>
    <xf numFmtId="0" fontId="7" fillId="0" borderId="6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16" fontId="2" fillId="11" borderId="13" xfId="0" applyNumberFormat="1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left" vertical="center"/>
    </xf>
    <xf numFmtId="1" fontId="2" fillId="0" borderId="7" xfId="0" applyNumberFormat="1" applyFont="1" applyBorder="1" applyAlignment="1">
      <alignment horizontal="center" vertical="center"/>
    </xf>
    <xf numFmtId="1" fontId="2" fillId="12" borderId="13" xfId="0" applyNumberFormat="1" applyFont="1" applyFill="1" applyBorder="1" applyAlignment="1">
      <alignment horizontal="center" vertical="center"/>
    </xf>
    <xf numFmtId="20" fontId="2" fillId="3" borderId="7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2" fillId="7" borderId="6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169" fontId="2" fillId="3" borderId="6" xfId="1" applyNumberFormat="1" applyFont="1" applyFill="1" applyBorder="1" applyAlignment="1">
      <alignment horizontal="right" vertical="center"/>
    </xf>
    <xf numFmtId="0" fontId="2" fillId="6" borderId="10" xfId="0" applyFont="1" applyFill="1" applyBorder="1" applyAlignment="1">
      <alignment horizontal="left" vertical="center"/>
    </xf>
    <xf numFmtId="166" fontId="2" fillId="5" borderId="10" xfId="1" applyNumberFormat="1" applyFont="1" applyFill="1" applyBorder="1" applyAlignment="1">
      <alignment horizontal="center" vertical="center"/>
    </xf>
    <xf numFmtId="0" fontId="2" fillId="0" borderId="8" xfId="0" applyFont="1" applyBorder="1"/>
    <xf numFmtId="170" fontId="2" fillId="3" borderId="6" xfId="1" applyNumberFormat="1" applyFont="1" applyFill="1" applyBorder="1" applyAlignment="1">
      <alignment horizontal="right" vertical="center"/>
    </xf>
    <xf numFmtId="0" fontId="6" fillId="0" borderId="8" xfId="0" applyFont="1" applyBorder="1"/>
    <xf numFmtId="0" fontId="2" fillId="13" borderId="6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3">
    <cellStyle name="Moneda" xfId="1" builtinId="4"/>
    <cellStyle name="Moneda 2" xfId="2" xr:uid="{CAFC4C9B-F6A7-48C3-9834-318673A48B6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my Jaimes" id="{307CBBE0-E8CF-42B6-8832-DFDD35B04F27}" userId="40a73f4e8d4104c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9-18T12:20:04.97" personId="{307CBBE0-E8CF-42B6-8832-DFDD35B04F27}" id="{F9D16886-DEA3-44CD-9195-585E47D0B937}">
    <text>16 FORMALETAS 30 X 120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A16" sqref="A16"/>
    </sheetView>
  </sheetViews>
  <sheetFormatPr baseColWidth="10" defaultColWidth="9.140625" defaultRowHeight="15" x14ac:dyDescent="0.25"/>
  <cols>
    <col min="1" max="1" width="41" customWidth="1"/>
    <col min="2" max="2" width="16.85546875" customWidth="1"/>
    <col min="3" max="3" width="16.140625" customWidth="1"/>
    <col min="4" max="4" width="18.5703125" customWidth="1"/>
  </cols>
  <sheetData>
    <row r="1" spans="1:4" ht="18.75" x14ac:dyDescent="0.3">
      <c r="A1" s="109" t="s">
        <v>0</v>
      </c>
      <c r="B1" s="110"/>
      <c r="C1" s="110"/>
      <c r="D1" s="110"/>
    </row>
    <row r="2" spans="1:4" ht="18.75" x14ac:dyDescent="0.3">
      <c r="A2" s="112" t="s">
        <v>1</v>
      </c>
      <c r="B2" s="113"/>
      <c r="C2" s="113"/>
      <c r="D2" s="113"/>
    </row>
    <row r="3" spans="1:4" ht="18.75" x14ac:dyDescent="0.3">
      <c r="A3" s="112" t="s">
        <v>32</v>
      </c>
      <c r="B3" s="113"/>
      <c r="C3" s="113"/>
      <c r="D3" s="113"/>
    </row>
    <row r="4" spans="1:4" x14ac:dyDescent="0.25">
      <c r="A4" s="1" t="s">
        <v>2</v>
      </c>
      <c r="B4" s="2">
        <v>13977</v>
      </c>
      <c r="C4" s="2"/>
      <c r="D4" s="2" t="s">
        <v>3</v>
      </c>
    </row>
    <row r="5" spans="1:4" x14ac:dyDescent="0.25">
      <c r="A5" s="3"/>
      <c r="B5" s="4">
        <v>46265</v>
      </c>
      <c r="C5" s="4"/>
      <c r="D5" s="4">
        <v>46265</v>
      </c>
    </row>
    <row r="6" spans="1:4" x14ac:dyDescent="0.25">
      <c r="A6" s="5" t="s">
        <v>4</v>
      </c>
      <c r="B6" s="6">
        <v>4</v>
      </c>
      <c r="C6" s="6"/>
      <c r="D6" s="7">
        <f>SUM(B6:C6)</f>
        <v>4</v>
      </c>
    </row>
    <row r="7" spans="1:4" x14ac:dyDescent="0.25">
      <c r="A7" s="5" t="s">
        <v>5</v>
      </c>
      <c r="B7" s="6">
        <v>4</v>
      </c>
      <c r="C7" s="6"/>
      <c r="D7" s="7">
        <f>SUM(B7:C7)</f>
        <v>4</v>
      </c>
    </row>
    <row r="8" spans="1:4" x14ac:dyDescent="0.25">
      <c r="A8" s="5" t="s">
        <v>6</v>
      </c>
      <c r="B8" s="6">
        <v>2</v>
      </c>
      <c r="C8" s="6"/>
      <c r="D8" s="7">
        <f>SUM(B8:C8)</f>
        <v>2</v>
      </c>
    </row>
    <row r="9" spans="1:4" x14ac:dyDescent="0.25">
      <c r="A9" s="3" t="s">
        <v>7</v>
      </c>
      <c r="B9" s="8">
        <v>0.40625</v>
      </c>
      <c r="C9" s="8"/>
      <c r="D9" s="9"/>
    </row>
    <row r="10" spans="1:4" x14ac:dyDescent="0.25">
      <c r="A10" s="3" t="s">
        <v>8</v>
      </c>
      <c r="B10" s="10" t="s">
        <v>9</v>
      </c>
      <c r="C10" s="10"/>
      <c r="D10" s="11">
        <f>SUM(B10:C10)</f>
        <v>0</v>
      </c>
    </row>
    <row r="11" spans="1:4" x14ac:dyDescent="0.25">
      <c r="A11" s="63" t="s">
        <v>136</v>
      </c>
    </row>
    <row r="16" spans="1:4" x14ac:dyDescent="0.25">
      <c r="A16" t="s">
        <v>309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9FCA-ED5E-425E-918F-47CE87B573FC}">
  <dimension ref="A1:D9"/>
  <sheetViews>
    <sheetView workbookViewId="0">
      <selection activeCell="B15" sqref="B15"/>
    </sheetView>
  </sheetViews>
  <sheetFormatPr baseColWidth="10" defaultRowHeight="15" x14ac:dyDescent="0.25"/>
  <cols>
    <col min="1" max="1" width="44.42578125" customWidth="1"/>
    <col min="4" max="4" width="23" customWidth="1"/>
  </cols>
  <sheetData>
    <row r="1" spans="1:4" ht="18.75" x14ac:dyDescent="0.3">
      <c r="A1" s="109" t="s">
        <v>184</v>
      </c>
      <c r="B1" s="110"/>
      <c r="C1" s="110"/>
      <c r="D1" s="110"/>
    </row>
    <row r="2" spans="1:4" ht="18.75" x14ac:dyDescent="0.3">
      <c r="A2" s="112" t="s">
        <v>185</v>
      </c>
      <c r="B2" s="113"/>
      <c r="C2" s="113"/>
      <c r="D2" s="113"/>
    </row>
    <row r="3" spans="1:4" ht="18.75" x14ac:dyDescent="0.3">
      <c r="A3" s="112" t="s">
        <v>186</v>
      </c>
      <c r="B3" s="113"/>
      <c r="C3" s="113"/>
      <c r="D3" s="113"/>
    </row>
    <row r="4" spans="1:4" x14ac:dyDescent="0.25">
      <c r="A4" s="1" t="s">
        <v>2</v>
      </c>
      <c r="B4" s="2">
        <v>13977</v>
      </c>
      <c r="C4" s="2">
        <v>13638</v>
      </c>
      <c r="D4" s="2" t="s">
        <v>3</v>
      </c>
    </row>
    <row r="5" spans="1:4" x14ac:dyDescent="0.25">
      <c r="A5" s="3"/>
      <c r="B5" s="4">
        <v>46272</v>
      </c>
      <c r="C5" s="4">
        <v>46279</v>
      </c>
      <c r="D5" s="4">
        <v>46295</v>
      </c>
    </row>
    <row r="6" spans="1:4" x14ac:dyDescent="0.25">
      <c r="A6" s="5" t="s">
        <v>187</v>
      </c>
      <c r="B6" s="6">
        <v>1</v>
      </c>
      <c r="C6" s="6">
        <v>-1</v>
      </c>
      <c r="D6" s="7">
        <f>SUM(B6:C6)</f>
        <v>0</v>
      </c>
    </row>
    <row r="7" spans="1:4" x14ac:dyDescent="0.25">
      <c r="A7" s="3" t="s">
        <v>7</v>
      </c>
      <c r="B7" s="8">
        <v>6.805555555555555E-2</v>
      </c>
      <c r="C7" s="8">
        <v>0.37291666666666667</v>
      </c>
      <c r="D7" s="9"/>
    </row>
    <row r="8" spans="1:4" x14ac:dyDescent="0.25">
      <c r="A8" s="3" t="s">
        <v>8</v>
      </c>
      <c r="B8" s="10" t="s">
        <v>50</v>
      </c>
      <c r="C8" s="10" t="s">
        <v>50</v>
      </c>
      <c r="D8" s="11">
        <f>SUM(B8:C8)</f>
        <v>0</v>
      </c>
    </row>
    <row r="9" spans="1:4" x14ac:dyDescent="0.25">
      <c r="A9" s="20" t="s">
        <v>266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5733-EB57-4A0F-B08D-FAD5A2C3E888}">
  <dimension ref="A1:S20"/>
  <sheetViews>
    <sheetView topLeftCell="A9" workbookViewId="0">
      <selection activeCell="C24" sqref="C24"/>
    </sheetView>
  </sheetViews>
  <sheetFormatPr baseColWidth="10" defaultRowHeight="15" x14ac:dyDescent="0.25"/>
  <cols>
    <col min="1" max="2" width="34.5703125" customWidth="1"/>
    <col min="5" max="5" width="12.85546875" bestFit="1" customWidth="1"/>
    <col min="6" max="6" width="16.140625" customWidth="1"/>
  </cols>
  <sheetData>
    <row r="1" spans="1:19" ht="18.75" x14ac:dyDescent="0.3">
      <c r="A1" s="115" t="s">
        <v>10</v>
      </c>
      <c r="B1" s="113"/>
      <c r="C1" s="113"/>
      <c r="D1" s="113"/>
      <c r="E1" s="113"/>
      <c r="F1" s="113"/>
      <c r="G1" s="113"/>
      <c r="H1" s="113"/>
      <c r="I1" s="116"/>
    </row>
    <row r="2" spans="1:19" ht="18.75" x14ac:dyDescent="0.3">
      <c r="A2" s="113" t="s">
        <v>11</v>
      </c>
      <c r="B2" s="113"/>
      <c r="C2" s="113"/>
      <c r="D2" s="113"/>
      <c r="E2" s="113"/>
      <c r="F2" s="113"/>
      <c r="G2" s="113"/>
      <c r="H2" s="113"/>
      <c r="I2" s="116"/>
      <c r="M2" s="115" t="s">
        <v>10</v>
      </c>
      <c r="N2" s="113"/>
      <c r="O2" s="113"/>
      <c r="P2" s="113"/>
      <c r="Q2" s="113"/>
      <c r="R2" s="113"/>
      <c r="S2" s="116"/>
    </row>
    <row r="3" spans="1:19" ht="18.75" x14ac:dyDescent="0.3">
      <c r="A3" s="115" t="s">
        <v>31</v>
      </c>
      <c r="B3" s="113"/>
      <c r="C3" s="113"/>
      <c r="D3" s="113"/>
      <c r="E3" s="113"/>
      <c r="F3" s="113"/>
      <c r="G3" s="113"/>
      <c r="H3" s="113"/>
      <c r="I3" s="116"/>
      <c r="M3" s="113" t="s">
        <v>11</v>
      </c>
      <c r="N3" s="113"/>
      <c r="O3" s="113"/>
      <c r="P3" s="113"/>
      <c r="Q3" s="113"/>
      <c r="R3" s="113"/>
      <c r="S3" s="116"/>
    </row>
    <row r="4" spans="1:19" ht="18.75" x14ac:dyDescent="0.3">
      <c r="A4" s="117" t="s">
        <v>2</v>
      </c>
      <c r="B4" s="12" t="s">
        <v>3</v>
      </c>
      <c r="C4" s="12">
        <v>13978</v>
      </c>
      <c r="D4" s="9">
        <v>13980</v>
      </c>
      <c r="E4" s="9">
        <v>13987</v>
      </c>
      <c r="F4" s="9">
        <v>13987</v>
      </c>
      <c r="G4" s="9">
        <v>13992</v>
      </c>
      <c r="H4" s="9"/>
      <c r="I4" s="12" t="s">
        <v>3</v>
      </c>
      <c r="M4" s="115" t="s">
        <v>161</v>
      </c>
      <c r="N4" s="113"/>
      <c r="O4" s="113"/>
      <c r="P4" s="113"/>
      <c r="Q4" s="113"/>
      <c r="R4" s="113"/>
      <c r="S4" s="116"/>
    </row>
    <row r="5" spans="1:19" x14ac:dyDescent="0.25">
      <c r="A5" s="118"/>
      <c r="B5" s="4">
        <v>46265</v>
      </c>
      <c r="C5" s="4">
        <v>46266</v>
      </c>
      <c r="D5" s="4">
        <v>46266</v>
      </c>
      <c r="E5" s="4">
        <v>46268</v>
      </c>
      <c r="F5" s="4">
        <v>46268</v>
      </c>
      <c r="G5" s="4">
        <v>46270</v>
      </c>
      <c r="H5" s="4"/>
      <c r="I5" s="4">
        <v>46295</v>
      </c>
      <c r="M5" s="119" t="s">
        <v>2</v>
      </c>
      <c r="N5" s="12">
        <v>13956</v>
      </c>
      <c r="O5" s="9">
        <v>13601</v>
      </c>
      <c r="P5" s="9"/>
      <c r="Q5" s="9"/>
      <c r="R5" s="9"/>
    </row>
    <row r="6" spans="1:19" x14ac:dyDescent="0.25">
      <c r="A6" s="70" t="s">
        <v>12</v>
      </c>
      <c r="B6" s="7">
        <v>4</v>
      </c>
      <c r="C6" s="14"/>
      <c r="D6" s="15"/>
      <c r="E6" s="15"/>
      <c r="F6" s="15"/>
      <c r="G6" s="15"/>
      <c r="H6" s="15"/>
      <c r="I6" s="7">
        <f>SUM(B6:G6)</f>
        <v>4</v>
      </c>
      <c r="J6">
        <v>19</v>
      </c>
      <c r="K6">
        <f>I6*J6</f>
        <v>76</v>
      </c>
      <c r="M6" s="120"/>
      <c r="N6" s="4">
        <v>46258</v>
      </c>
      <c r="O6" s="4">
        <v>46265</v>
      </c>
      <c r="P6" s="4"/>
      <c r="Q6" s="4"/>
      <c r="R6" s="4"/>
    </row>
    <row r="7" spans="1:19" x14ac:dyDescent="0.25">
      <c r="A7" s="70" t="s">
        <v>13</v>
      </c>
      <c r="B7" s="7">
        <v>4</v>
      </c>
      <c r="C7" s="14"/>
      <c r="D7" s="15"/>
      <c r="E7" s="15"/>
      <c r="F7" s="15"/>
      <c r="G7" s="15"/>
      <c r="H7" s="15"/>
      <c r="I7" s="7">
        <f t="shared" ref="I7:I18" si="0">SUM(B7:G7)</f>
        <v>4</v>
      </c>
      <c r="J7">
        <v>1</v>
      </c>
      <c r="K7">
        <f t="shared" ref="K7:K18" si="1">I7*J7</f>
        <v>4</v>
      </c>
      <c r="M7" s="13" t="s">
        <v>162</v>
      </c>
      <c r="N7" s="14">
        <v>1</v>
      </c>
      <c r="O7" s="15">
        <v>-1</v>
      </c>
      <c r="P7" s="15"/>
      <c r="Q7" s="15"/>
      <c r="R7" s="15"/>
    </row>
    <row r="8" spans="1:19" x14ac:dyDescent="0.25">
      <c r="A8" s="70" t="s">
        <v>14</v>
      </c>
      <c r="B8" s="7">
        <v>3</v>
      </c>
      <c r="C8" s="14"/>
      <c r="D8" s="15"/>
      <c r="E8" s="15"/>
      <c r="F8" s="15"/>
      <c r="G8" s="15"/>
      <c r="H8" s="15"/>
      <c r="I8" s="7">
        <f t="shared" si="0"/>
        <v>3</v>
      </c>
      <c r="J8">
        <v>19</v>
      </c>
      <c r="K8">
        <f t="shared" si="1"/>
        <v>57</v>
      </c>
      <c r="M8" s="13" t="s">
        <v>12</v>
      </c>
      <c r="N8" s="14">
        <v>4</v>
      </c>
      <c r="O8" s="15"/>
      <c r="P8" s="15"/>
      <c r="Q8" s="15"/>
      <c r="R8" s="15"/>
    </row>
    <row r="9" spans="1:19" x14ac:dyDescent="0.25">
      <c r="A9" s="70" t="s">
        <v>15</v>
      </c>
      <c r="B9" s="7">
        <v>16</v>
      </c>
      <c r="C9" s="14"/>
      <c r="D9" s="15"/>
      <c r="E9" s="15"/>
      <c r="F9" s="15">
        <v>-3</v>
      </c>
      <c r="G9" s="15"/>
      <c r="H9" s="15"/>
      <c r="I9" s="7">
        <f t="shared" si="0"/>
        <v>13</v>
      </c>
      <c r="J9">
        <v>15.5</v>
      </c>
      <c r="K9">
        <f t="shared" si="1"/>
        <v>201.5</v>
      </c>
      <c r="M9" s="13" t="s">
        <v>13</v>
      </c>
      <c r="N9" s="14">
        <v>4</v>
      </c>
      <c r="O9" s="15"/>
      <c r="P9" s="15"/>
      <c r="Q9" s="15"/>
      <c r="R9" s="15"/>
    </row>
    <row r="10" spans="1:19" x14ac:dyDescent="0.25">
      <c r="A10" s="70" t="s">
        <v>16</v>
      </c>
      <c r="B10" s="7">
        <v>12</v>
      </c>
      <c r="C10" s="14">
        <v>60</v>
      </c>
      <c r="D10" s="15">
        <v>38</v>
      </c>
      <c r="E10" s="15"/>
      <c r="F10" s="15"/>
      <c r="G10" s="15">
        <v>6</v>
      </c>
      <c r="H10" s="15"/>
      <c r="I10" s="7">
        <f t="shared" si="0"/>
        <v>116</v>
      </c>
      <c r="J10">
        <v>13.5</v>
      </c>
      <c r="K10">
        <f t="shared" si="1"/>
        <v>1566</v>
      </c>
      <c r="M10" s="13" t="s">
        <v>14</v>
      </c>
      <c r="N10" s="14">
        <v>3</v>
      </c>
      <c r="O10" s="15"/>
      <c r="P10" s="15"/>
      <c r="Q10" s="15"/>
      <c r="R10" s="15"/>
    </row>
    <row r="11" spans="1:19" x14ac:dyDescent="0.25">
      <c r="A11" s="70" t="s">
        <v>17</v>
      </c>
      <c r="B11" s="7">
        <v>400</v>
      </c>
      <c r="C11" s="14"/>
      <c r="D11" s="15"/>
      <c r="E11" s="15">
        <v>200</v>
      </c>
      <c r="F11" s="15"/>
      <c r="G11" s="15">
        <v>150</v>
      </c>
      <c r="H11" s="15"/>
      <c r="I11" s="7">
        <f t="shared" si="0"/>
        <v>750</v>
      </c>
      <c r="J11">
        <v>0.2</v>
      </c>
      <c r="K11">
        <f t="shared" si="1"/>
        <v>150</v>
      </c>
      <c r="M11" s="13" t="s">
        <v>15</v>
      </c>
      <c r="N11" s="14">
        <v>16</v>
      </c>
      <c r="O11" s="15"/>
      <c r="P11" s="15"/>
      <c r="Q11" s="15"/>
      <c r="R11" s="15"/>
    </row>
    <row r="12" spans="1:19" x14ac:dyDescent="0.25">
      <c r="A12" s="70" t="s">
        <v>18</v>
      </c>
      <c r="B12" s="7">
        <v>2</v>
      </c>
      <c r="C12" s="14"/>
      <c r="D12" s="15"/>
      <c r="E12" s="15">
        <v>1</v>
      </c>
      <c r="F12" s="15"/>
      <c r="G12" s="15"/>
      <c r="H12" s="15"/>
      <c r="I12" s="7">
        <f t="shared" si="0"/>
        <v>3</v>
      </c>
      <c r="J12">
        <v>1</v>
      </c>
      <c r="K12">
        <f t="shared" si="1"/>
        <v>3</v>
      </c>
      <c r="M12" s="13" t="s">
        <v>64</v>
      </c>
      <c r="N12" s="14">
        <v>16</v>
      </c>
      <c r="O12" s="15">
        <v>-16</v>
      </c>
      <c r="P12" s="15"/>
      <c r="Q12" s="15"/>
      <c r="R12" s="15"/>
    </row>
    <row r="13" spans="1:19" x14ac:dyDescent="0.25">
      <c r="A13" s="70" t="s">
        <v>21</v>
      </c>
      <c r="B13" s="72"/>
      <c r="C13" s="14">
        <v>40</v>
      </c>
      <c r="D13" s="15"/>
      <c r="E13" s="15"/>
      <c r="F13" s="15">
        <v>-5</v>
      </c>
      <c r="G13" s="15">
        <v>-1</v>
      </c>
      <c r="H13" s="15"/>
      <c r="I13" s="7">
        <f t="shared" si="0"/>
        <v>34</v>
      </c>
      <c r="J13">
        <v>29</v>
      </c>
      <c r="K13">
        <f t="shared" si="1"/>
        <v>986</v>
      </c>
      <c r="M13" s="13" t="s">
        <v>16</v>
      </c>
      <c r="N13" s="14">
        <v>12</v>
      </c>
      <c r="O13" s="15"/>
      <c r="P13" s="15"/>
      <c r="Q13" s="15"/>
      <c r="R13" s="15"/>
    </row>
    <row r="14" spans="1:19" x14ac:dyDescent="0.25">
      <c r="A14" s="70" t="s">
        <v>22</v>
      </c>
      <c r="B14" s="13"/>
      <c r="C14" s="14">
        <v>10</v>
      </c>
      <c r="D14" s="15">
        <v>60</v>
      </c>
      <c r="E14" s="15">
        <v>40</v>
      </c>
      <c r="F14" s="15"/>
      <c r="G14" s="15">
        <v>1</v>
      </c>
      <c r="H14" s="15"/>
      <c r="I14" s="7">
        <f t="shared" si="0"/>
        <v>111</v>
      </c>
      <c r="J14" s="69">
        <v>26</v>
      </c>
      <c r="K14">
        <f t="shared" si="1"/>
        <v>2886</v>
      </c>
      <c r="M14" s="13" t="s">
        <v>18</v>
      </c>
      <c r="N14" s="14">
        <v>2</v>
      </c>
      <c r="O14" s="15"/>
      <c r="P14" s="15"/>
      <c r="Q14" s="15"/>
      <c r="R14" s="15"/>
    </row>
    <row r="15" spans="1:19" x14ac:dyDescent="0.25">
      <c r="A15" s="70" t="s">
        <v>35</v>
      </c>
      <c r="B15" s="13"/>
      <c r="C15" s="14"/>
      <c r="D15" s="15"/>
      <c r="E15" s="15">
        <v>36</v>
      </c>
      <c r="F15" s="15"/>
      <c r="G15" s="15">
        <v>18</v>
      </c>
      <c r="H15" s="15"/>
      <c r="I15" s="7">
        <f t="shared" si="0"/>
        <v>54</v>
      </c>
      <c r="J15">
        <v>9.5</v>
      </c>
      <c r="K15">
        <f t="shared" si="1"/>
        <v>513</v>
      </c>
      <c r="M15" s="13" t="s">
        <v>163</v>
      </c>
      <c r="N15" s="14">
        <v>16</v>
      </c>
      <c r="O15" s="15">
        <v>-16</v>
      </c>
      <c r="P15" s="15"/>
      <c r="Q15" s="15"/>
      <c r="R15" s="15"/>
    </row>
    <row r="16" spans="1:19" x14ac:dyDescent="0.25">
      <c r="A16" s="70" t="s">
        <v>64</v>
      </c>
      <c r="B16" s="13"/>
      <c r="C16" s="14"/>
      <c r="D16" s="15"/>
      <c r="E16" s="15">
        <v>5</v>
      </c>
      <c r="F16" s="15"/>
      <c r="G16" s="15">
        <v>-3</v>
      </c>
      <c r="H16" s="15"/>
      <c r="I16" s="7">
        <f t="shared" si="0"/>
        <v>2</v>
      </c>
      <c r="J16">
        <v>7</v>
      </c>
      <c r="K16">
        <f t="shared" si="1"/>
        <v>14</v>
      </c>
      <c r="M16" s="16" t="s">
        <v>19</v>
      </c>
      <c r="N16" s="8">
        <v>0.35416666666666669</v>
      </c>
      <c r="O16" s="17">
        <v>0.46527777777777779</v>
      </c>
      <c r="P16" s="17"/>
      <c r="Q16" s="17"/>
      <c r="R16" s="17"/>
    </row>
    <row r="17" spans="1:18" x14ac:dyDescent="0.25">
      <c r="A17" s="70" t="s">
        <v>87</v>
      </c>
      <c r="B17" s="73"/>
      <c r="C17" s="14"/>
      <c r="D17" s="15"/>
      <c r="E17" s="15">
        <v>5</v>
      </c>
      <c r="F17" s="15"/>
      <c r="G17" s="15"/>
      <c r="H17" s="15"/>
      <c r="I17" s="7">
        <f t="shared" si="0"/>
        <v>5</v>
      </c>
      <c r="J17">
        <v>13.5</v>
      </c>
      <c r="K17">
        <f t="shared" si="1"/>
        <v>67.5</v>
      </c>
      <c r="M17" s="16" t="s">
        <v>20</v>
      </c>
      <c r="N17" s="18">
        <v>40000</v>
      </c>
      <c r="O17" s="18"/>
      <c r="P17" s="18"/>
      <c r="Q17" s="18"/>
      <c r="R17" s="18"/>
    </row>
    <row r="18" spans="1:18" x14ac:dyDescent="0.25">
      <c r="A18" s="70" t="s">
        <v>88</v>
      </c>
      <c r="B18" s="73"/>
      <c r="C18" s="14"/>
      <c r="D18" s="15"/>
      <c r="E18" s="15">
        <v>2</v>
      </c>
      <c r="F18" s="15"/>
      <c r="G18" s="15"/>
      <c r="H18" s="15"/>
      <c r="I18" s="7">
        <f t="shared" si="0"/>
        <v>2</v>
      </c>
      <c r="J18">
        <v>7</v>
      </c>
      <c r="K18">
        <f t="shared" si="1"/>
        <v>14</v>
      </c>
    </row>
    <row r="19" spans="1:18" x14ac:dyDescent="0.25">
      <c r="A19" s="71" t="s">
        <v>19</v>
      </c>
      <c r="B19" s="16"/>
      <c r="C19" s="8">
        <v>0.46527777777777779</v>
      </c>
      <c r="D19" s="17"/>
      <c r="E19" s="40">
        <v>0.33333333333333331</v>
      </c>
      <c r="F19" s="40">
        <v>0.33333333333333331</v>
      </c>
      <c r="G19" s="17">
        <v>0.35416666666666669</v>
      </c>
      <c r="H19" s="17"/>
      <c r="I19" s="9">
        <f>SUM(C19:G19)</f>
        <v>1.4861111111111112</v>
      </c>
      <c r="K19">
        <f>SUM(K6:K18)</f>
        <v>6538</v>
      </c>
    </row>
    <row r="20" spans="1:18" x14ac:dyDescent="0.25">
      <c r="A20" s="71" t="s">
        <v>20</v>
      </c>
      <c r="B20" s="16"/>
      <c r="C20" s="18">
        <v>90000</v>
      </c>
      <c r="D20" s="18">
        <v>90000</v>
      </c>
      <c r="E20" s="18">
        <v>70000</v>
      </c>
      <c r="F20" s="18"/>
      <c r="G20" s="18">
        <v>50000</v>
      </c>
      <c r="H20" s="18">
        <v>300000</v>
      </c>
      <c r="I20" s="19">
        <f>SUM(C20:H20)</f>
        <v>600000</v>
      </c>
    </row>
  </sheetData>
  <mergeCells count="8">
    <mergeCell ref="A1:I1"/>
    <mergeCell ref="A2:I2"/>
    <mergeCell ref="A3:I3"/>
    <mergeCell ref="A4:A5"/>
    <mergeCell ref="M2:S2"/>
    <mergeCell ref="M3:S3"/>
    <mergeCell ref="M4:S4"/>
    <mergeCell ref="M5:M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E76F-2C6E-4677-AC71-6BE2897F66E5}">
  <sheetPr>
    <pageSetUpPr fitToPage="1"/>
  </sheetPr>
  <dimension ref="A1:N45"/>
  <sheetViews>
    <sheetView topLeftCell="A24" workbookViewId="0">
      <selection activeCell="M11" sqref="M11"/>
    </sheetView>
  </sheetViews>
  <sheetFormatPr baseColWidth="10" defaultRowHeight="15" x14ac:dyDescent="0.25"/>
  <cols>
    <col min="1" max="1" width="41.5703125" customWidth="1"/>
  </cols>
  <sheetData>
    <row r="1" spans="1:12" ht="18.75" x14ac:dyDescent="0.3">
      <c r="A1" s="109" t="s">
        <v>164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/>
    </row>
    <row r="2" spans="1:12" ht="18.75" x14ac:dyDescent="0.3">
      <c r="A2" s="112" t="s">
        <v>165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4"/>
    </row>
    <row r="3" spans="1:12" ht="18.75" x14ac:dyDescent="0.3">
      <c r="A3" s="112" t="s">
        <v>174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</row>
    <row r="4" spans="1:12" x14ac:dyDescent="0.25">
      <c r="A4" s="1" t="s">
        <v>2</v>
      </c>
      <c r="B4" s="2" t="s">
        <v>3</v>
      </c>
      <c r="C4" s="2">
        <v>13993</v>
      </c>
      <c r="D4" s="2">
        <v>13996</v>
      </c>
      <c r="E4" s="2">
        <v>13998</v>
      </c>
      <c r="F4" s="2">
        <v>14002</v>
      </c>
      <c r="G4" s="2">
        <v>14006</v>
      </c>
      <c r="H4" s="2">
        <v>13635</v>
      </c>
      <c r="I4" s="2">
        <v>13641</v>
      </c>
      <c r="J4" s="2">
        <v>14012</v>
      </c>
      <c r="K4" s="2">
        <v>13647</v>
      </c>
      <c r="L4" s="2" t="s">
        <v>30</v>
      </c>
    </row>
    <row r="5" spans="1:12" x14ac:dyDescent="0.25">
      <c r="A5" s="3"/>
      <c r="B5" s="4">
        <v>46266</v>
      </c>
      <c r="C5" s="4">
        <v>46272</v>
      </c>
      <c r="D5" s="4">
        <v>46272</v>
      </c>
      <c r="E5" s="4">
        <v>46273</v>
      </c>
      <c r="F5" s="4">
        <v>46274</v>
      </c>
      <c r="G5" s="4">
        <v>46275</v>
      </c>
      <c r="H5" s="4">
        <v>46277</v>
      </c>
      <c r="I5" s="4">
        <v>46279</v>
      </c>
      <c r="J5" s="4">
        <v>46277</v>
      </c>
      <c r="K5" s="4">
        <v>46282</v>
      </c>
      <c r="L5" s="4">
        <v>46295</v>
      </c>
    </row>
    <row r="6" spans="1:12" x14ac:dyDescent="0.25">
      <c r="A6" s="85" t="s">
        <v>166</v>
      </c>
      <c r="B6" s="24">
        <v>12</v>
      </c>
      <c r="C6" s="6"/>
      <c r="D6" s="6"/>
      <c r="E6" s="6"/>
      <c r="F6" s="6"/>
      <c r="G6" s="6"/>
      <c r="H6" s="6"/>
      <c r="I6" s="6"/>
      <c r="J6" s="6"/>
      <c r="K6" s="6"/>
      <c r="L6" s="7">
        <f>SUM(B6:J6)</f>
        <v>12</v>
      </c>
    </row>
    <row r="7" spans="1:12" x14ac:dyDescent="0.25">
      <c r="A7" s="85" t="s">
        <v>5</v>
      </c>
      <c r="B7" s="24">
        <v>12</v>
      </c>
      <c r="C7" s="6"/>
      <c r="D7" s="6"/>
      <c r="E7" s="6"/>
      <c r="F7" s="6"/>
      <c r="G7" s="6"/>
      <c r="H7" s="6"/>
      <c r="I7" s="6"/>
      <c r="J7" s="6"/>
      <c r="K7" s="6"/>
      <c r="L7" s="7">
        <f t="shared" ref="L7:L43" si="0">SUM(B7:J7)</f>
        <v>12</v>
      </c>
    </row>
    <row r="8" spans="1:12" x14ac:dyDescent="0.25">
      <c r="A8" s="85" t="s">
        <v>167</v>
      </c>
      <c r="B8" s="24">
        <v>6</v>
      </c>
      <c r="C8" s="6"/>
      <c r="D8" s="6"/>
      <c r="E8" s="6"/>
      <c r="F8" s="6"/>
      <c r="G8" s="6"/>
      <c r="H8" s="6"/>
      <c r="I8" s="6"/>
      <c r="J8" s="6"/>
      <c r="K8" s="6"/>
      <c r="L8" s="7">
        <f t="shared" si="0"/>
        <v>6</v>
      </c>
    </row>
    <row r="9" spans="1:12" x14ac:dyDescent="0.25">
      <c r="A9" s="85" t="s">
        <v>56</v>
      </c>
      <c r="B9" s="24">
        <v>55</v>
      </c>
      <c r="C9" s="6"/>
      <c r="D9" s="6"/>
      <c r="E9" s="6"/>
      <c r="F9" s="6"/>
      <c r="G9" s="6"/>
      <c r="H9" s="6"/>
      <c r="I9" s="6"/>
      <c r="J9" s="6">
        <v>6</v>
      </c>
      <c r="K9" s="6"/>
      <c r="L9" s="7">
        <f t="shared" si="0"/>
        <v>61</v>
      </c>
    </row>
    <row r="10" spans="1:12" x14ac:dyDescent="0.25">
      <c r="A10" s="85" t="s">
        <v>168</v>
      </c>
      <c r="B10" s="24">
        <v>59</v>
      </c>
      <c r="C10" s="6"/>
      <c r="D10" s="6"/>
      <c r="E10" s="6"/>
      <c r="F10" s="6"/>
      <c r="G10" s="6"/>
      <c r="H10" s="6"/>
      <c r="I10" s="6"/>
      <c r="J10" s="6"/>
      <c r="K10" s="6"/>
      <c r="L10" s="7">
        <f t="shared" si="0"/>
        <v>59</v>
      </c>
    </row>
    <row r="11" spans="1:12" x14ac:dyDescent="0.25">
      <c r="A11" s="85" t="s">
        <v>95</v>
      </c>
      <c r="B11" s="24">
        <v>38</v>
      </c>
      <c r="C11" s="6"/>
      <c r="D11" s="6"/>
      <c r="E11" s="6"/>
      <c r="F11" s="6"/>
      <c r="G11" s="6"/>
      <c r="H11" s="6"/>
      <c r="I11" s="6"/>
      <c r="J11" s="6">
        <v>1</v>
      </c>
      <c r="K11" s="6"/>
      <c r="L11" s="7">
        <f t="shared" si="0"/>
        <v>39</v>
      </c>
    </row>
    <row r="12" spans="1:12" x14ac:dyDescent="0.25">
      <c r="A12" s="85" t="s">
        <v>55</v>
      </c>
      <c r="B12" s="24">
        <v>2</v>
      </c>
      <c r="C12" s="6"/>
      <c r="D12" s="6"/>
      <c r="E12" s="6"/>
      <c r="F12" s="6"/>
      <c r="G12" s="6"/>
      <c r="H12" s="6"/>
      <c r="I12" s="6"/>
      <c r="J12" s="6">
        <v>1</v>
      </c>
      <c r="K12" s="6"/>
      <c r="L12" s="7">
        <f t="shared" si="0"/>
        <v>3</v>
      </c>
    </row>
    <row r="13" spans="1:12" x14ac:dyDescent="0.25">
      <c r="A13" s="85" t="s">
        <v>169</v>
      </c>
      <c r="B13" s="24">
        <v>1</v>
      </c>
      <c r="C13" s="6"/>
      <c r="D13" s="6"/>
      <c r="E13" s="6"/>
      <c r="F13" s="6"/>
      <c r="G13" s="6"/>
      <c r="H13" s="6"/>
      <c r="I13" s="6"/>
      <c r="J13" s="6"/>
      <c r="K13" s="6"/>
      <c r="L13" s="7">
        <f t="shared" si="0"/>
        <v>1</v>
      </c>
    </row>
    <row r="14" spans="1:12" x14ac:dyDescent="0.25">
      <c r="A14" s="87" t="s">
        <v>170</v>
      </c>
      <c r="B14" s="24">
        <v>5</v>
      </c>
      <c r="C14" s="6"/>
      <c r="D14" s="6"/>
      <c r="E14" s="6"/>
      <c r="F14" s="6"/>
      <c r="G14" s="6"/>
      <c r="H14" s="6"/>
      <c r="I14" s="6"/>
      <c r="J14" s="6"/>
      <c r="K14" s="6"/>
      <c r="L14" s="7">
        <f t="shared" si="0"/>
        <v>5</v>
      </c>
    </row>
    <row r="15" spans="1:12" x14ac:dyDescent="0.25">
      <c r="A15" s="87" t="s">
        <v>171</v>
      </c>
      <c r="B15" s="24">
        <v>6</v>
      </c>
      <c r="C15" s="6"/>
      <c r="D15" s="6"/>
      <c r="E15" s="6"/>
      <c r="F15" s="6"/>
      <c r="G15" s="6"/>
      <c r="H15" s="6"/>
      <c r="I15" s="6"/>
      <c r="J15" s="6"/>
      <c r="K15" s="6"/>
      <c r="L15" s="7">
        <f t="shared" si="0"/>
        <v>6</v>
      </c>
    </row>
    <row r="16" spans="1:12" x14ac:dyDescent="0.25">
      <c r="A16" s="100" t="s">
        <v>302</v>
      </c>
      <c r="B16" s="24"/>
      <c r="C16" s="6"/>
      <c r="D16" s="6"/>
      <c r="E16" s="6"/>
      <c r="F16" s="6"/>
      <c r="G16" s="6"/>
      <c r="H16" s="6"/>
      <c r="I16" s="6"/>
      <c r="J16" s="6">
        <v>4</v>
      </c>
      <c r="K16" s="6"/>
      <c r="L16" s="7">
        <f t="shared" si="0"/>
        <v>4</v>
      </c>
    </row>
    <row r="17" spans="1:14" x14ac:dyDescent="0.25">
      <c r="A17" s="5" t="s">
        <v>34</v>
      </c>
      <c r="B17" s="24">
        <v>1</v>
      </c>
      <c r="C17" s="6">
        <v>20</v>
      </c>
      <c r="D17" s="6"/>
      <c r="E17" s="6">
        <v>12</v>
      </c>
      <c r="F17" s="6"/>
      <c r="G17" s="6"/>
      <c r="H17" s="6">
        <v>-28</v>
      </c>
      <c r="I17" s="6">
        <v>-5</v>
      </c>
      <c r="J17" s="6"/>
      <c r="K17" s="6"/>
      <c r="L17" s="7">
        <f t="shared" si="0"/>
        <v>0</v>
      </c>
      <c r="M17">
        <v>18.5</v>
      </c>
      <c r="N17">
        <f>L17*M17</f>
        <v>0</v>
      </c>
    </row>
    <row r="18" spans="1:14" x14ac:dyDescent="0.25">
      <c r="A18" s="5" t="s">
        <v>17</v>
      </c>
      <c r="B18" s="24">
        <v>1</v>
      </c>
      <c r="C18" s="6">
        <v>300</v>
      </c>
      <c r="D18" s="6">
        <v>300</v>
      </c>
      <c r="E18" s="6">
        <v>200</v>
      </c>
      <c r="F18" s="6"/>
      <c r="G18" s="6"/>
      <c r="H18" s="6">
        <v>-765</v>
      </c>
      <c r="I18" s="6"/>
      <c r="J18" s="6"/>
      <c r="K18" s="6">
        <v>-35</v>
      </c>
      <c r="L18" s="7">
        <f>SUM(B18:K18)</f>
        <v>1</v>
      </c>
      <c r="M18">
        <v>0.2</v>
      </c>
      <c r="N18">
        <f t="shared" ref="N18:N43" si="1">L18*M18</f>
        <v>0.2</v>
      </c>
    </row>
    <row r="19" spans="1:14" x14ac:dyDescent="0.25">
      <c r="A19" s="5" t="s">
        <v>172</v>
      </c>
      <c r="B19" s="24">
        <v>1</v>
      </c>
      <c r="C19" s="6"/>
      <c r="D19" s="6"/>
      <c r="E19" s="6"/>
      <c r="F19" s="6"/>
      <c r="G19" s="6"/>
      <c r="H19" s="6"/>
      <c r="I19" s="6"/>
      <c r="J19" s="6"/>
      <c r="K19" s="6"/>
      <c r="L19" s="7">
        <f t="shared" si="0"/>
        <v>1</v>
      </c>
      <c r="N19">
        <f t="shared" si="1"/>
        <v>0</v>
      </c>
    </row>
    <row r="20" spans="1:14" x14ac:dyDescent="0.25">
      <c r="A20" s="86" t="s">
        <v>230</v>
      </c>
      <c r="B20" s="24"/>
      <c r="C20" s="6"/>
      <c r="D20" s="6">
        <v>14</v>
      </c>
      <c r="E20" s="6"/>
      <c r="F20" s="6"/>
      <c r="G20" s="6"/>
      <c r="H20" s="6">
        <v>-14</v>
      </c>
      <c r="I20" s="6"/>
      <c r="J20" s="6"/>
      <c r="K20" s="6"/>
      <c r="L20" s="7">
        <f t="shared" si="0"/>
        <v>0</v>
      </c>
      <c r="M20">
        <v>9</v>
      </c>
      <c r="N20">
        <f t="shared" si="1"/>
        <v>0</v>
      </c>
    </row>
    <row r="21" spans="1:14" x14ac:dyDescent="0.25">
      <c r="A21" s="86" t="s">
        <v>231</v>
      </c>
      <c r="B21" s="24"/>
      <c r="C21" s="6"/>
      <c r="D21" s="6">
        <v>25</v>
      </c>
      <c r="E21" s="6"/>
      <c r="F21" s="6"/>
      <c r="G21" s="6"/>
      <c r="H21" s="6">
        <v>-25</v>
      </c>
      <c r="I21" s="6"/>
      <c r="J21" s="6"/>
      <c r="K21" s="6"/>
      <c r="L21" s="7">
        <f t="shared" si="0"/>
        <v>0</v>
      </c>
      <c r="M21">
        <v>5</v>
      </c>
      <c r="N21">
        <f t="shared" si="1"/>
        <v>0</v>
      </c>
    </row>
    <row r="22" spans="1:14" x14ac:dyDescent="0.25">
      <c r="A22" s="5" t="s">
        <v>175</v>
      </c>
      <c r="B22" s="24"/>
      <c r="C22" s="6">
        <v>4</v>
      </c>
      <c r="D22" s="6"/>
      <c r="E22" s="6"/>
      <c r="F22" s="6"/>
      <c r="G22" s="6"/>
      <c r="H22" s="6">
        <v>-4</v>
      </c>
      <c r="I22" s="6"/>
      <c r="J22" s="6"/>
      <c r="K22" s="6"/>
      <c r="L22" s="7">
        <f t="shared" si="0"/>
        <v>0</v>
      </c>
      <c r="M22">
        <v>23</v>
      </c>
      <c r="N22">
        <f t="shared" si="1"/>
        <v>0</v>
      </c>
    </row>
    <row r="23" spans="1:14" x14ac:dyDescent="0.25">
      <c r="A23" s="76" t="s">
        <v>33</v>
      </c>
      <c r="B23" s="24"/>
      <c r="C23" s="6">
        <v>13</v>
      </c>
      <c r="D23" s="6"/>
      <c r="E23" s="6"/>
      <c r="F23" s="6"/>
      <c r="G23" s="6"/>
      <c r="H23" s="6">
        <v>-13</v>
      </c>
      <c r="I23" s="6"/>
      <c r="J23" s="6"/>
      <c r="K23" s="6"/>
      <c r="L23" s="7">
        <f t="shared" si="0"/>
        <v>0</v>
      </c>
      <c r="M23">
        <v>21</v>
      </c>
      <c r="N23">
        <f t="shared" si="1"/>
        <v>0</v>
      </c>
    </row>
    <row r="24" spans="1:14" x14ac:dyDescent="0.25">
      <c r="A24" s="5" t="s">
        <v>108</v>
      </c>
      <c r="B24" s="24"/>
      <c r="C24" s="6">
        <v>1</v>
      </c>
      <c r="D24" s="6"/>
      <c r="E24" s="6"/>
      <c r="F24" s="6"/>
      <c r="G24" s="6"/>
      <c r="H24" s="6">
        <v>-1</v>
      </c>
      <c r="I24" s="6"/>
      <c r="J24" s="6"/>
      <c r="K24" s="6"/>
      <c r="L24" s="7">
        <f t="shared" si="0"/>
        <v>0</v>
      </c>
      <c r="M24">
        <v>20</v>
      </c>
      <c r="N24">
        <f t="shared" si="1"/>
        <v>0</v>
      </c>
    </row>
    <row r="25" spans="1:14" x14ac:dyDescent="0.25">
      <c r="A25" s="5" t="s">
        <v>15</v>
      </c>
      <c r="B25" s="24"/>
      <c r="C25" s="6">
        <v>11</v>
      </c>
      <c r="D25" s="6"/>
      <c r="E25" s="6"/>
      <c r="F25" s="6">
        <v>6</v>
      </c>
      <c r="G25" s="6"/>
      <c r="H25" s="6">
        <v>-13</v>
      </c>
      <c r="I25" s="6">
        <v>-4</v>
      </c>
      <c r="J25" s="6"/>
      <c r="K25" s="6"/>
      <c r="L25" s="7">
        <f t="shared" si="0"/>
        <v>0</v>
      </c>
      <c r="M25">
        <v>15.5</v>
      </c>
      <c r="N25">
        <f t="shared" si="1"/>
        <v>0</v>
      </c>
    </row>
    <row r="26" spans="1:14" x14ac:dyDescent="0.25">
      <c r="A26" s="5" t="s">
        <v>87</v>
      </c>
      <c r="B26" s="24"/>
      <c r="C26" s="6">
        <v>8</v>
      </c>
      <c r="D26" s="6"/>
      <c r="E26" s="6"/>
      <c r="F26" s="6"/>
      <c r="G26" s="6"/>
      <c r="H26" s="6">
        <v>-6</v>
      </c>
      <c r="I26" s="6">
        <v>-1</v>
      </c>
      <c r="J26" s="6"/>
      <c r="K26" s="6"/>
      <c r="L26" s="62">
        <f t="shared" si="0"/>
        <v>1</v>
      </c>
      <c r="M26">
        <v>13.5</v>
      </c>
      <c r="N26">
        <f t="shared" si="1"/>
        <v>13.5</v>
      </c>
    </row>
    <row r="27" spans="1:14" x14ac:dyDescent="0.25">
      <c r="A27" s="5" t="s">
        <v>106</v>
      </c>
      <c r="B27" s="24"/>
      <c r="C27" s="6">
        <v>23</v>
      </c>
      <c r="D27" s="6"/>
      <c r="E27" s="6"/>
      <c r="F27" s="6"/>
      <c r="G27" s="6"/>
      <c r="H27" s="6">
        <v>-15</v>
      </c>
      <c r="I27" s="6">
        <v>-8</v>
      </c>
      <c r="J27" s="6"/>
      <c r="K27" s="6"/>
      <c r="L27" s="7">
        <f t="shared" si="0"/>
        <v>0</v>
      </c>
      <c r="M27">
        <v>11</v>
      </c>
      <c r="N27">
        <f t="shared" si="1"/>
        <v>0</v>
      </c>
    </row>
    <row r="28" spans="1:14" x14ac:dyDescent="0.25">
      <c r="A28" s="5" t="s">
        <v>176</v>
      </c>
      <c r="B28" s="24"/>
      <c r="C28" s="6">
        <v>17</v>
      </c>
      <c r="D28" s="6"/>
      <c r="E28" s="6"/>
      <c r="F28" s="6"/>
      <c r="G28" s="6"/>
      <c r="H28" s="6">
        <v>-17</v>
      </c>
      <c r="I28" s="6"/>
      <c r="J28" s="6"/>
      <c r="K28" s="6"/>
      <c r="L28" s="7">
        <f t="shared" si="0"/>
        <v>0</v>
      </c>
      <c r="M28">
        <v>5</v>
      </c>
      <c r="N28">
        <f t="shared" si="1"/>
        <v>0</v>
      </c>
    </row>
    <row r="29" spans="1:14" x14ac:dyDescent="0.25">
      <c r="A29" s="5" t="s">
        <v>177</v>
      </c>
      <c r="B29" s="24"/>
      <c r="C29" s="6">
        <v>6</v>
      </c>
      <c r="D29" s="6"/>
      <c r="E29" s="6"/>
      <c r="F29" s="6"/>
      <c r="G29" s="6">
        <v>6</v>
      </c>
      <c r="H29" s="6">
        <v>-4</v>
      </c>
      <c r="I29" s="6">
        <v>-8</v>
      </c>
      <c r="J29" s="6"/>
      <c r="K29" s="6"/>
      <c r="L29" s="7">
        <f t="shared" si="0"/>
        <v>0</v>
      </c>
      <c r="M29">
        <v>1</v>
      </c>
      <c r="N29">
        <f t="shared" si="1"/>
        <v>0</v>
      </c>
    </row>
    <row r="30" spans="1:14" x14ac:dyDescent="0.25">
      <c r="A30" s="5" t="s">
        <v>89</v>
      </c>
      <c r="B30" s="24"/>
      <c r="C30" s="6">
        <v>1</v>
      </c>
      <c r="D30" s="6">
        <v>1</v>
      </c>
      <c r="E30" s="6"/>
      <c r="F30" s="6"/>
      <c r="G30" s="6"/>
      <c r="H30" s="6"/>
      <c r="I30" s="6">
        <v>-2</v>
      </c>
      <c r="J30" s="6"/>
      <c r="K30" s="6"/>
      <c r="L30" s="7">
        <f t="shared" si="0"/>
        <v>0</v>
      </c>
      <c r="M30">
        <v>1</v>
      </c>
      <c r="N30">
        <f t="shared" si="1"/>
        <v>0</v>
      </c>
    </row>
    <row r="31" spans="1:14" x14ac:dyDescent="0.25">
      <c r="A31" s="5" t="s">
        <v>178</v>
      </c>
      <c r="B31" s="24"/>
      <c r="C31" s="6">
        <v>6</v>
      </c>
      <c r="D31" s="6"/>
      <c r="E31" s="6"/>
      <c r="F31" s="6"/>
      <c r="G31" s="6"/>
      <c r="H31" s="6">
        <v>-6</v>
      </c>
      <c r="I31" s="6"/>
      <c r="J31" s="6"/>
      <c r="K31" s="6"/>
      <c r="L31" s="7">
        <f t="shared" si="0"/>
        <v>0</v>
      </c>
      <c r="M31">
        <v>14</v>
      </c>
      <c r="N31">
        <f t="shared" si="1"/>
        <v>0</v>
      </c>
    </row>
    <row r="32" spans="1:14" x14ac:dyDescent="0.25">
      <c r="A32" s="5" t="s">
        <v>88</v>
      </c>
      <c r="B32" s="24"/>
      <c r="C32" s="6">
        <v>4</v>
      </c>
      <c r="D32" s="6"/>
      <c r="E32" s="6">
        <v>2</v>
      </c>
      <c r="F32" s="6"/>
      <c r="G32" s="6"/>
      <c r="H32" s="6">
        <v>-5</v>
      </c>
      <c r="I32" s="6">
        <v>-1</v>
      </c>
      <c r="J32" s="6"/>
      <c r="K32" s="6"/>
      <c r="L32" s="7">
        <f t="shared" si="0"/>
        <v>0</v>
      </c>
      <c r="M32">
        <v>7</v>
      </c>
      <c r="N32">
        <f t="shared" si="1"/>
        <v>0</v>
      </c>
    </row>
    <row r="33" spans="1:14" x14ac:dyDescent="0.25">
      <c r="A33" s="5" t="s">
        <v>179</v>
      </c>
      <c r="B33" s="24"/>
      <c r="C33" s="6">
        <v>8</v>
      </c>
      <c r="D33" s="6"/>
      <c r="E33" s="6"/>
      <c r="F33" s="6"/>
      <c r="G33" s="6"/>
      <c r="H33" s="6">
        <v>-7</v>
      </c>
      <c r="I33" s="6">
        <v>-1</v>
      </c>
      <c r="J33" s="6"/>
      <c r="K33" s="6"/>
      <c r="L33" s="7">
        <f t="shared" si="0"/>
        <v>0</v>
      </c>
      <c r="M33">
        <v>5</v>
      </c>
      <c r="N33">
        <f t="shared" si="1"/>
        <v>0</v>
      </c>
    </row>
    <row r="34" spans="1:14" x14ac:dyDescent="0.25">
      <c r="A34" s="5" t="s">
        <v>64</v>
      </c>
      <c r="B34" s="24"/>
      <c r="C34" s="6"/>
      <c r="D34" s="6"/>
      <c r="E34" s="6">
        <v>5</v>
      </c>
      <c r="F34" s="6"/>
      <c r="G34" s="6">
        <v>2</v>
      </c>
      <c r="H34" s="6">
        <v>-5</v>
      </c>
      <c r="I34" s="6">
        <v>-2</v>
      </c>
      <c r="J34" s="6"/>
      <c r="K34" s="6"/>
      <c r="L34" s="7">
        <f t="shared" si="0"/>
        <v>0</v>
      </c>
      <c r="M34">
        <v>7</v>
      </c>
      <c r="N34">
        <f t="shared" si="1"/>
        <v>0</v>
      </c>
    </row>
    <row r="35" spans="1:14" x14ac:dyDescent="0.25">
      <c r="A35" s="5" t="s">
        <v>107</v>
      </c>
      <c r="B35" s="24"/>
      <c r="C35" s="6"/>
      <c r="D35" s="6"/>
      <c r="E35" s="6">
        <v>2</v>
      </c>
      <c r="F35" s="6">
        <v>18</v>
      </c>
      <c r="G35" s="6"/>
      <c r="H35" s="7">
        <v>-14</v>
      </c>
      <c r="I35" s="6">
        <v>-6</v>
      </c>
      <c r="J35" s="6"/>
      <c r="K35" s="6"/>
      <c r="L35" s="7">
        <f t="shared" si="0"/>
        <v>0</v>
      </c>
      <c r="M35">
        <v>6</v>
      </c>
      <c r="N35">
        <f t="shared" si="1"/>
        <v>0</v>
      </c>
    </row>
    <row r="36" spans="1:14" x14ac:dyDescent="0.25">
      <c r="A36" s="86" t="s">
        <v>189</v>
      </c>
      <c r="B36" s="24"/>
      <c r="C36" s="6"/>
      <c r="D36" s="6"/>
      <c r="E36" s="6">
        <v>10</v>
      </c>
      <c r="F36" s="6"/>
      <c r="G36" s="6"/>
      <c r="H36" s="6">
        <v>-3</v>
      </c>
      <c r="I36" s="6">
        <v>-7</v>
      </c>
      <c r="J36" s="6"/>
      <c r="K36" s="6"/>
      <c r="L36" s="7">
        <f t="shared" si="0"/>
        <v>0</v>
      </c>
      <c r="M36">
        <v>5</v>
      </c>
      <c r="N36">
        <f t="shared" si="1"/>
        <v>0</v>
      </c>
    </row>
    <row r="37" spans="1:14" x14ac:dyDescent="0.25">
      <c r="A37" s="5" t="s">
        <v>190</v>
      </c>
      <c r="B37" s="24"/>
      <c r="C37" s="6"/>
      <c r="D37" s="6"/>
      <c r="E37" s="6">
        <v>1</v>
      </c>
      <c r="F37" s="6"/>
      <c r="G37" s="6">
        <v>3</v>
      </c>
      <c r="H37" s="6">
        <v>-4</v>
      </c>
      <c r="I37" s="6"/>
      <c r="J37" s="6"/>
      <c r="K37" s="6"/>
      <c r="L37" s="7">
        <f t="shared" si="0"/>
        <v>0</v>
      </c>
      <c r="M37">
        <v>10</v>
      </c>
      <c r="N37">
        <f t="shared" si="1"/>
        <v>0</v>
      </c>
    </row>
    <row r="38" spans="1:14" x14ac:dyDescent="0.25">
      <c r="A38" s="5" t="s">
        <v>192</v>
      </c>
      <c r="B38" s="24"/>
      <c r="C38" s="6"/>
      <c r="D38" s="6"/>
      <c r="E38" s="6"/>
      <c r="F38" s="6">
        <v>15</v>
      </c>
      <c r="G38" s="6"/>
      <c r="H38" s="6"/>
      <c r="I38" s="6"/>
      <c r="J38" s="6"/>
      <c r="K38" s="6">
        <v>-15</v>
      </c>
      <c r="L38" s="62">
        <f>SUM(B38:K38)</f>
        <v>0</v>
      </c>
      <c r="N38">
        <f t="shared" si="1"/>
        <v>0</v>
      </c>
    </row>
    <row r="39" spans="1:14" x14ac:dyDescent="0.25">
      <c r="A39" s="5" t="s">
        <v>229</v>
      </c>
      <c r="B39" s="24"/>
      <c r="C39" s="6"/>
      <c r="D39" s="6"/>
      <c r="E39" s="6"/>
      <c r="F39" s="6"/>
      <c r="G39" s="6">
        <v>5</v>
      </c>
      <c r="H39" s="6">
        <v>-4</v>
      </c>
      <c r="I39" s="6">
        <v>-1</v>
      </c>
      <c r="J39" s="6"/>
      <c r="K39" s="6"/>
      <c r="L39" s="7">
        <f t="shared" si="0"/>
        <v>0</v>
      </c>
      <c r="M39">
        <v>11</v>
      </c>
      <c r="N39">
        <f t="shared" si="1"/>
        <v>0</v>
      </c>
    </row>
    <row r="40" spans="1:14" x14ac:dyDescent="0.25">
      <c r="A40" s="5" t="s">
        <v>201</v>
      </c>
      <c r="B40" s="24"/>
      <c r="C40" s="6"/>
      <c r="D40" s="6"/>
      <c r="E40" s="6"/>
      <c r="F40" s="6"/>
      <c r="G40" s="6">
        <v>2</v>
      </c>
      <c r="H40" s="6">
        <v>-2</v>
      </c>
      <c r="I40" s="6"/>
      <c r="J40" s="6"/>
      <c r="K40" s="6"/>
      <c r="L40" s="7">
        <f t="shared" si="0"/>
        <v>0</v>
      </c>
      <c r="M40">
        <v>11</v>
      </c>
      <c r="N40">
        <f t="shared" si="1"/>
        <v>0</v>
      </c>
    </row>
    <row r="41" spans="1:14" x14ac:dyDescent="0.25">
      <c r="A41" s="5" t="s">
        <v>232</v>
      </c>
      <c r="B41" s="24"/>
      <c r="C41" s="6"/>
      <c r="D41" s="6"/>
      <c r="E41" s="6"/>
      <c r="F41" s="6"/>
      <c r="G41" s="6">
        <v>1</v>
      </c>
      <c r="H41" s="6">
        <v>-1</v>
      </c>
      <c r="I41" s="6"/>
      <c r="J41" s="6"/>
      <c r="K41" s="6"/>
      <c r="L41" s="7">
        <f t="shared" si="0"/>
        <v>0</v>
      </c>
      <c r="M41">
        <v>6</v>
      </c>
      <c r="N41">
        <f t="shared" si="1"/>
        <v>0</v>
      </c>
    </row>
    <row r="42" spans="1:14" x14ac:dyDescent="0.25">
      <c r="A42" s="5" t="s">
        <v>233</v>
      </c>
      <c r="B42" s="24"/>
      <c r="C42" s="6"/>
      <c r="D42" s="6"/>
      <c r="E42" s="6"/>
      <c r="F42" s="6"/>
      <c r="G42" s="6">
        <v>6</v>
      </c>
      <c r="H42" s="6"/>
      <c r="I42" s="6">
        <v>-6</v>
      </c>
      <c r="J42" s="6"/>
      <c r="K42" s="6"/>
      <c r="L42" s="7">
        <f t="shared" si="0"/>
        <v>0</v>
      </c>
      <c r="M42">
        <v>5</v>
      </c>
      <c r="N42">
        <f t="shared" si="1"/>
        <v>0</v>
      </c>
    </row>
    <row r="43" spans="1:14" x14ac:dyDescent="0.25">
      <c r="A43" s="5" t="s">
        <v>234</v>
      </c>
      <c r="B43" s="24"/>
      <c r="C43" s="6"/>
      <c r="D43" s="6"/>
      <c r="E43" s="6"/>
      <c r="F43" s="6"/>
      <c r="G43" s="6">
        <v>2</v>
      </c>
      <c r="H43" s="6">
        <v>-2</v>
      </c>
      <c r="I43" s="6"/>
      <c r="J43" s="6"/>
      <c r="K43" s="6"/>
      <c r="L43" s="7">
        <f t="shared" si="0"/>
        <v>0</v>
      </c>
      <c r="M43">
        <v>0.3</v>
      </c>
      <c r="N43">
        <f t="shared" si="1"/>
        <v>0</v>
      </c>
    </row>
    <row r="44" spans="1:14" x14ac:dyDescent="0.25">
      <c r="A44" s="3" t="s">
        <v>173</v>
      </c>
      <c r="B44" s="41"/>
      <c r="C44" s="8">
        <v>0.33333333333333331</v>
      </c>
      <c r="D44" s="8">
        <v>4.1666666666666664E-2</v>
      </c>
      <c r="E44" s="8">
        <v>0.125</v>
      </c>
      <c r="F44" s="8">
        <v>0.36527777777777776</v>
      </c>
      <c r="G44" s="8">
        <v>0.3888888888888889</v>
      </c>
      <c r="H44" s="8">
        <v>0.41666666666666669</v>
      </c>
      <c r="I44" s="8" t="s">
        <v>267</v>
      </c>
      <c r="J44" s="8">
        <v>0.41666666666666669</v>
      </c>
      <c r="K44" s="8">
        <v>0.37152777777777779</v>
      </c>
      <c r="L44" s="9"/>
    </row>
    <row r="45" spans="1:14" x14ac:dyDescent="0.25">
      <c r="A45" s="3" t="s">
        <v>8</v>
      </c>
      <c r="B45" s="42"/>
      <c r="C45" s="10">
        <v>80000</v>
      </c>
      <c r="D45" s="10" t="s">
        <v>39</v>
      </c>
      <c r="E45" s="10" t="s">
        <v>191</v>
      </c>
      <c r="F45" s="10" t="s">
        <v>193</v>
      </c>
      <c r="G45" s="8" t="s">
        <v>235</v>
      </c>
      <c r="H45" s="10">
        <v>80000</v>
      </c>
      <c r="I45" s="10">
        <v>40000</v>
      </c>
      <c r="J45" s="10" t="s">
        <v>39</v>
      </c>
      <c r="K45" s="10" t="s">
        <v>303</v>
      </c>
      <c r="L45" s="11"/>
      <c r="N45">
        <f>SUM(N17:N44)</f>
        <v>13.7</v>
      </c>
    </row>
  </sheetData>
  <mergeCells count="3">
    <mergeCell ref="A1:L1"/>
    <mergeCell ref="A2:L2"/>
    <mergeCell ref="A3:L3"/>
  </mergeCells>
  <pageMargins left="0.7" right="0.7" top="0.75" bottom="0.75" header="0.3" footer="0.3"/>
  <pageSetup paperSize="9" scale="7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290E-9F6F-497B-83C5-98EEA326DA10}">
  <dimension ref="A1:G17"/>
  <sheetViews>
    <sheetView topLeftCell="A9" workbookViewId="0">
      <selection activeCell="G14" sqref="G14"/>
    </sheetView>
  </sheetViews>
  <sheetFormatPr baseColWidth="10" defaultRowHeight="15" x14ac:dyDescent="0.25"/>
  <cols>
    <col min="1" max="1" width="37.5703125" bestFit="1" customWidth="1"/>
    <col min="7" max="7" width="19.42578125" customWidth="1"/>
  </cols>
  <sheetData>
    <row r="1" spans="1:7" ht="18.75" x14ac:dyDescent="0.3">
      <c r="A1" s="109" t="s">
        <v>217</v>
      </c>
      <c r="B1" s="110"/>
      <c r="C1" s="110"/>
      <c r="D1" s="110"/>
      <c r="E1" s="110"/>
      <c r="F1" s="110"/>
      <c r="G1" s="111"/>
    </row>
    <row r="2" spans="1:7" ht="18.75" x14ac:dyDescent="0.3">
      <c r="A2" s="112" t="s">
        <v>218</v>
      </c>
      <c r="B2" s="113"/>
      <c r="C2" s="113"/>
      <c r="D2" s="113"/>
      <c r="E2" s="113"/>
      <c r="F2" s="113"/>
      <c r="G2" s="114"/>
    </row>
    <row r="3" spans="1:7" ht="18.75" x14ac:dyDescent="0.3">
      <c r="A3" s="112" t="s">
        <v>219</v>
      </c>
      <c r="B3" s="113"/>
      <c r="C3" s="113"/>
      <c r="D3" s="113"/>
      <c r="E3" s="113"/>
      <c r="F3" s="113"/>
      <c r="G3" s="113"/>
    </row>
    <row r="4" spans="1:7" x14ac:dyDescent="0.25">
      <c r="A4" s="1" t="s">
        <v>2</v>
      </c>
      <c r="B4" s="1" t="s">
        <v>30</v>
      </c>
      <c r="C4" s="2">
        <v>13399</v>
      </c>
      <c r="D4" s="2">
        <v>13420</v>
      </c>
      <c r="E4" s="2"/>
      <c r="F4" s="2"/>
      <c r="G4" s="79" t="s">
        <v>220</v>
      </c>
    </row>
    <row r="5" spans="1:7" x14ac:dyDescent="0.25">
      <c r="A5" s="3"/>
      <c r="B5" s="80">
        <v>46152</v>
      </c>
      <c r="C5" s="4">
        <v>46186</v>
      </c>
      <c r="D5" s="4">
        <v>46193</v>
      </c>
      <c r="E5" s="4"/>
      <c r="F5" s="4"/>
      <c r="G5" s="81">
        <v>46279</v>
      </c>
    </row>
    <row r="6" spans="1:7" x14ac:dyDescent="0.25">
      <c r="A6" s="5" t="s">
        <v>221</v>
      </c>
      <c r="B6" s="45">
        <v>6</v>
      </c>
      <c r="C6" s="24">
        <v>-6</v>
      </c>
      <c r="D6" s="6"/>
      <c r="E6" s="6"/>
      <c r="F6" s="6"/>
      <c r="G6" s="82">
        <f>SUM(B6:F6)</f>
        <v>0</v>
      </c>
    </row>
    <row r="7" spans="1:7" x14ac:dyDescent="0.25">
      <c r="A7" s="5" t="s">
        <v>5</v>
      </c>
      <c r="B7" s="45">
        <v>12</v>
      </c>
      <c r="C7" s="24">
        <v>-12</v>
      </c>
      <c r="D7" s="6"/>
      <c r="E7" s="6"/>
      <c r="F7" s="6"/>
      <c r="G7" s="82">
        <f t="shared" ref="G7:G15" si="0">SUM(B7:F7)</f>
        <v>0</v>
      </c>
    </row>
    <row r="8" spans="1:7" x14ac:dyDescent="0.25">
      <c r="A8" s="5" t="s">
        <v>222</v>
      </c>
      <c r="B8" s="45">
        <v>6</v>
      </c>
      <c r="C8" s="24">
        <v>-2</v>
      </c>
      <c r="D8" s="6">
        <v>-4</v>
      </c>
      <c r="E8" s="6"/>
      <c r="F8" s="6"/>
      <c r="G8" s="82">
        <f t="shared" si="0"/>
        <v>0</v>
      </c>
    </row>
    <row r="9" spans="1:7" x14ac:dyDescent="0.25">
      <c r="A9" s="5" t="s">
        <v>223</v>
      </c>
      <c r="B9" s="45">
        <v>6</v>
      </c>
      <c r="C9" s="24"/>
      <c r="D9" s="6">
        <v>-5</v>
      </c>
      <c r="E9" s="6"/>
      <c r="F9" s="6"/>
      <c r="G9" s="82">
        <f t="shared" si="0"/>
        <v>1</v>
      </c>
    </row>
    <row r="10" spans="1:7" x14ac:dyDescent="0.25">
      <c r="A10" s="5" t="s">
        <v>224</v>
      </c>
      <c r="B10" s="45">
        <v>4</v>
      </c>
      <c r="C10" s="24"/>
      <c r="D10" s="6">
        <v>-4</v>
      </c>
      <c r="E10" s="6"/>
      <c r="F10" s="6"/>
      <c r="G10" s="82">
        <f t="shared" si="0"/>
        <v>0</v>
      </c>
    </row>
    <row r="11" spans="1:7" x14ac:dyDescent="0.25">
      <c r="A11" s="5" t="s">
        <v>5</v>
      </c>
      <c r="B11" s="45">
        <v>4</v>
      </c>
      <c r="C11" s="24">
        <v>-4</v>
      </c>
      <c r="D11" s="6"/>
      <c r="E11" s="6"/>
      <c r="F11" s="6"/>
      <c r="G11" s="82">
        <f t="shared" si="0"/>
        <v>0</v>
      </c>
    </row>
    <row r="12" spans="1:7" x14ac:dyDescent="0.25">
      <c r="A12" s="5" t="s">
        <v>225</v>
      </c>
      <c r="B12" s="45">
        <v>16</v>
      </c>
      <c r="C12" s="24">
        <v>-8</v>
      </c>
      <c r="D12" s="6">
        <v>-6</v>
      </c>
      <c r="E12" s="6"/>
      <c r="F12" s="6"/>
      <c r="G12" s="82">
        <f t="shared" si="0"/>
        <v>2</v>
      </c>
    </row>
    <row r="13" spans="1:7" x14ac:dyDescent="0.25">
      <c r="A13" s="83" t="s">
        <v>226</v>
      </c>
      <c r="B13" s="84">
        <v>10</v>
      </c>
      <c r="C13" s="84">
        <v>-10</v>
      </c>
      <c r="D13" s="6"/>
      <c r="E13" s="6"/>
      <c r="F13" s="6"/>
      <c r="G13" s="82">
        <f t="shared" si="0"/>
        <v>0</v>
      </c>
    </row>
    <row r="14" spans="1:7" x14ac:dyDescent="0.25">
      <c r="A14" s="83" t="s">
        <v>227</v>
      </c>
      <c r="B14" s="84">
        <v>3</v>
      </c>
      <c r="C14" s="84">
        <v>-2</v>
      </c>
      <c r="D14" s="6"/>
      <c r="E14" s="6"/>
      <c r="F14" s="6"/>
      <c r="G14" s="82">
        <f t="shared" si="0"/>
        <v>1</v>
      </c>
    </row>
    <row r="15" spans="1:7" x14ac:dyDescent="0.25">
      <c r="A15" s="5" t="s">
        <v>228</v>
      </c>
      <c r="B15" s="45">
        <v>4</v>
      </c>
      <c r="C15" s="24">
        <v>-4</v>
      </c>
      <c r="D15" s="6"/>
      <c r="E15" s="6"/>
      <c r="F15" s="6"/>
      <c r="G15" s="82">
        <f t="shared" si="0"/>
        <v>0</v>
      </c>
    </row>
    <row r="16" spans="1:7" x14ac:dyDescent="0.25">
      <c r="A16" s="3" t="s">
        <v>7</v>
      </c>
      <c r="B16" s="3"/>
      <c r="C16" s="17">
        <v>0.375</v>
      </c>
      <c r="D16" s="8">
        <v>0.31944444444444442</v>
      </c>
      <c r="E16" s="8"/>
      <c r="F16" s="8"/>
      <c r="G16" s="9"/>
    </row>
    <row r="17" spans="1:7" x14ac:dyDescent="0.25">
      <c r="A17" s="3" t="s">
        <v>8</v>
      </c>
      <c r="B17" s="3"/>
      <c r="C17" s="10">
        <v>60000</v>
      </c>
      <c r="D17" s="10">
        <v>40000</v>
      </c>
      <c r="E17" s="10"/>
      <c r="F17" s="10"/>
      <c r="G17" s="11">
        <f>SUM(C17:D17)</f>
        <v>100000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3974-1B76-44FE-B8CD-7CC5795100C1}">
  <dimension ref="A1:I21"/>
  <sheetViews>
    <sheetView topLeftCell="A6" workbookViewId="0">
      <selection activeCell="D24" sqref="D24"/>
    </sheetView>
  </sheetViews>
  <sheetFormatPr baseColWidth="10" defaultRowHeight="15" x14ac:dyDescent="0.25"/>
  <cols>
    <col min="1" max="1" width="35.42578125" customWidth="1"/>
  </cols>
  <sheetData>
    <row r="1" spans="1:9" ht="18.75" x14ac:dyDescent="0.3">
      <c r="A1" s="115" t="s">
        <v>81</v>
      </c>
      <c r="B1" s="113"/>
      <c r="C1" s="113"/>
      <c r="D1" s="113"/>
      <c r="E1" s="113"/>
      <c r="F1" s="113"/>
      <c r="G1" s="113"/>
      <c r="H1" s="113"/>
      <c r="I1" s="116"/>
    </row>
    <row r="2" spans="1:9" ht="18.75" x14ac:dyDescent="0.3">
      <c r="A2" s="113" t="s">
        <v>23</v>
      </c>
      <c r="B2" s="113"/>
      <c r="C2" s="113"/>
      <c r="D2" s="113"/>
      <c r="E2" s="113"/>
      <c r="F2" s="113"/>
      <c r="G2" s="113"/>
      <c r="H2" s="113"/>
      <c r="I2" s="116"/>
    </row>
    <row r="3" spans="1:9" ht="18.75" x14ac:dyDescent="0.3">
      <c r="A3" s="115" t="s">
        <v>38</v>
      </c>
      <c r="B3" s="113"/>
      <c r="C3" s="113"/>
      <c r="D3" s="113"/>
      <c r="E3" s="113"/>
      <c r="F3" s="113"/>
      <c r="G3" s="113"/>
      <c r="H3" s="113"/>
      <c r="I3" s="116"/>
    </row>
    <row r="4" spans="1:9" x14ac:dyDescent="0.25">
      <c r="A4" s="119" t="s">
        <v>2</v>
      </c>
      <c r="B4" s="12" t="s">
        <v>30</v>
      </c>
      <c r="C4" s="9">
        <v>13976</v>
      </c>
      <c r="D4" s="9">
        <v>13979</v>
      </c>
      <c r="E4" s="9">
        <v>13622</v>
      </c>
      <c r="F4" s="9"/>
      <c r="G4" s="9"/>
      <c r="H4" s="9"/>
      <c r="I4" s="12" t="s">
        <v>3</v>
      </c>
    </row>
    <row r="5" spans="1:9" x14ac:dyDescent="0.25">
      <c r="A5" s="120"/>
      <c r="B5" s="4">
        <v>46265</v>
      </c>
      <c r="C5" s="4">
        <v>46265</v>
      </c>
      <c r="D5" s="4">
        <v>46265</v>
      </c>
      <c r="E5" s="4">
        <v>46269</v>
      </c>
      <c r="F5" s="4"/>
      <c r="G5" s="4"/>
      <c r="H5" s="4"/>
      <c r="I5" s="4">
        <v>46295</v>
      </c>
    </row>
    <row r="6" spans="1:9" x14ac:dyDescent="0.25">
      <c r="A6" s="13" t="s">
        <v>24</v>
      </c>
      <c r="B6" s="14">
        <v>100</v>
      </c>
      <c r="C6" s="15"/>
      <c r="D6" s="15"/>
      <c r="E6" s="15"/>
      <c r="F6" s="15"/>
      <c r="G6" s="15"/>
      <c r="H6" s="15"/>
      <c r="I6" s="7">
        <f t="shared" ref="I6:I11" si="0">SUM(B6:H6)</f>
        <v>100</v>
      </c>
    </row>
    <row r="7" spans="1:9" x14ac:dyDescent="0.25">
      <c r="A7" s="13" t="s">
        <v>21</v>
      </c>
      <c r="B7" s="14">
        <v>43</v>
      </c>
      <c r="C7" s="15"/>
      <c r="D7" s="15"/>
      <c r="E7" s="15"/>
      <c r="F7" s="15"/>
      <c r="G7" s="15"/>
      <c r="H7" s="15"/>
      <c r="I7" s="7">
        <f t="shared" si="0"/>
        <v>43</v>
      </c>
    </row>
    <row r="8" spans="1:9" x14ac:dyDescent="0.25">
      <c r="A8" s="13" t="s">
        <v>25</v>
      </c>
      <c r="B8" s="14">
        <v>10</v>
      </c>
      <c r="C8" s="15"/>
      <c r="D8" s="15"/>
      <c r="E8" s="15"/>
      <c r="F8" s="15"/>
      <c r="G8" s="15"/>
      <c r="H8" s="15"/>
      <c r="I8" s="7">
        <f t="shared" si="0"/>
        <v>10</v>
      </c>
    </row>
    <row r="9" spans="1:9" x14ac:dyDescent="0.25">
      <c r="A9" s="13" t="s">
        <v>26</v>
      </c>
      <c r="B9" s="14">
        <v>130</v>
      </c>
      <c r="C9" s="15"/>
      <c r="D9" s="15"/>
      <c r="E9" s="15"/>
      <c r="F9" s="15"/>
      <c r="G9" s="15"/>
      <c r="H9" s="15"/>
      <c r="I9" s="7">
        <f t="shared" si="0"/>
        <v>130</v>
      </c>
    </row>
    <row r="10" spans="1:9" x14ac:dyDescent="0.25">
      <c r="A10" s="13" t="s">
        <v>27</v>
      </c>
      <c r="B10" s="14">
        <v>4</v>
      </c>
      <c r="C10" s="15"/>
      <c r="D10" s="15"/>
      <c r="E10" s="15"/>
      <c r="F10" s="15"/>
      <c r="G10" s="15"/>
      <c r="H10" s="15"/>
      <c r="I10" s="7">
        <f t="shared" si="0"/>
        <v>4</v>
      </c>
    </row>
    <row r="11" spans="1:9" x14ac:dyDescent="0.25">
      <c r="A11" s="13" t="s">
        <v>28</v>
      </c>
      <c r="B11" s="14">
        <v>1</v>
      </c>
      <c r="C11" s="15"/>
      <c r="D11" s="15"/>
      <c r="E11" s="15"/>
      <c r="F11" s="15"/>
      <c r="G11" s="15"/>
      <c r="H11" s="15"/>
      <c r="I11" s="7">
        <f t="shared" si="0"/>
        <v>1</v>
      </c>
    </row>
    <row r="12" spans="1:9" x14ac:dyDescent="0.25">
      <c r="A12" s="13" t="s">
        <v>33</v>
      </c>
      <c r="B12" s="14"/>
      <c r="C12" s="15">
        <v>16</v>
      </c>
      <c r="D12" s="15"/>
      <c r="E12" s="15">
        <v>-16</v>
      </c>
      <c r="F12" s="15"/>
      <c r="G12" s="15"/>
      <c r="H12" s="15"/>
      <c r="I12" s="7">
        <f t="shared" ref="I12:I18" si="1">SUM(C12:H12)</f>
        <v>0</v>
      </c>
    </row>
    <row r="13" spans="1:9" x14ac:dyDescent="0.25">
      <c r="A13" s="13" t="s">
        <v>34</v>
      </c>
      <c r="B13" s="14"/>
      <c r="C13" s="15">
        <v>8</v>
      </c>
      <c r="D13" s="15"/>
      <c r="E13" s="15">
        <v>-8</v>
      </c>
      <c r="F13" s="15"/>
      <c r="G13" s="15"/>
      <c r="H13" s="15"/>
      <c r="I13" s="7">
        <f t="shared" si="1"/>
        <v>0</v>
      </c>
    </row>
    <row r="14" spans="1:9" x14ac:dyDescent="0.25">
      <c r="A14" s="13" t="s">
        <v>35</v>
      </c>
      <c r="B14" s="14"/>
      <c r="C14" s="15">
        <v>24</v>
      </c>
      <c r="D14" s="15"/>
      <c r="E14" s="15">
        <v>-24</v>
      </c>
      <c r="F14" s="15"/>
      <c r="G14" s="15"/>
      <c r="H14" s="15"/>
      <c r="I14" s="7">
        <f t="shared" si="1"/>
        <v>0</v>
      </c>
    </row>
    <row r="15" spans="1:9" x14ac:dyDescent="0.25">
      <c r="A15" s="13" t="s">
        <v>36</v>
      </c>
      <c r="B15" s="14"/>
      <c r="C15" s="15">
        <v>400</v>
      </c>
      <c r="D15" s="15">
        <v>50</v>
      </c>
      <c r="E15" s="15">
        <v>-447</v>
      </c>
      <c r="F15" s="15"/>
      <c r="G15" s="15"/>
      <c r="H15" s="15"/>
      <c r="I15" s="7">
        <f t="shared" si="1"/>
        <v>3</v>
      </c>
    </row>
    <row r="16" spans="1:9" x14ac:dyDescent="0.25">
      <c r="A16" s="13" t="s">
        <v>18</v>
      </c>
      <c r="B16" s="14"/>
      <c r="C16" s="15">
        <v>2</v>
      </c>
      <c r="D16" s="15"/>
      <c r="E16" s="15">
        <v>-2</v>
      </c>
      <c r="F16" s="15"/>
      <c r="G16" s="15"/>
      <c r="H16" s="15"/>
      <c r="I16" s="7">
        <f t="shared" si="1"/>
        <v>0</v>
      </c>
    </row>
    <row r="17" spans="1:9" x14ac:dyDescent="0.25">
      <c r="A17" s="13" t="s">
        <v>37</v>
      </c>
      <c r="B17" s="14"/>
      <c r="C17" s="15">
        <v>16</v>
      </c>
      <c r="D17" s="15"/>
      <c r="E17" s="15">
        <v>-16</v>
      </c>
      <c r="F17" s="15"/>
      <c r="G17" s="15"/>
      <c r="H17" s="15"/>
      <c r="I17" s="7">
        <f t="shared" si="1"/>
        <v>0</v>
      </c>
    </row>
    <row r="18" spans="1:9" x14ac:dyDescent="0.25">
      <c r="A18" s="13" t="s">
        <v>67</v>
      </c>
      <c r="B18" s="14"/>
      <c r="C18" s="15">
        <v>36</v>
      </c>
      <c r="D18" s="15"/>
      <c r="E18" s="15">
        <v>-36</v>
      </c>
      <c r="F18" s="15"/>
      <c r="G18" s="15"/>
      <c r="H18" s="15"/>
      <c r="I18" s="7">
        <f t="shared" si="1"/>
        <v>0</v>
      </c>
    </row>
    <row r="19" spans="1:9" x14ac:dyDescent="0.25">
      <c r="A19" s="16" t="s">
        <v>19</v>
      </c>
      <c r="B19" s="21"/>
      <c r="C19" s="17">
        <v>0.375</v>
      </c>
      <c r="D19" s="17">
        <v>0.51041666666666663</v>
      </c>
      <c r="E19" s="17">
        <v>0.4375</v>
      </c>
      <c r="F19" s="17"/>
      <c r="G19" s="17"/>
      <c r="H19" s="17"/>
      <c r="I19" s="9"/>
    </row>
    <row r="20" spans="1:9" x14ac:dyDescent="0.25">
      <c r="A20" s="16" t="s">
        <v>20</v>
      </c>
      <c r="B20" s="22"/>
      <c r="C20" s="18">
        <v>70000</v>
      </c>
      <c r="D20" s="18" t="s">
        <v>39</v>
      </c>
      <c r="E20" s="18"/>
      <c r="F20" s="18"/>
      <c r="G20" s="18"/>
      <c r="H20" s="18"/>
      <c r="I20" s="19"/>
    </row>
    <row r="21" spans="1:9" x14ac:dyDescent="0.25">
      <c r="A21" s="20" t="s">
        <v>29</v>
      </c>
    </row>
  </sheetData>
  <mergeCells count="4">
    <mergeCell ref="A1:I1"/>
    <mergeCell ref="A2:I2"/>
    <mergeCell ref="A3:I3"/>
    <mergeCell ref="A4:A5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E399-C8F7-4EF0-A47F-415611C7341D}">
  <dimension ref="A1:H9"/>
  <sheetViews>
    <sheetView workbookViewId="0">
      <selection sqref="A1:H9"/>
    </sheetView>
  </sheetViews>
  <sheetFormatPr baseColWidth="10" defaultRowHeight="15" x14ac:dyDescent="0.25"/>
  <cols>
    <col min="1" max="1" width="29" customWidth="1"/>
  </cols>
  <sheetData>
    <row r="1" spans="1:8" ht="18.75" x14ac:dyDescent="0.3">
      <c r="A1" s="109" t="s">
        <v>40</v>
      </c>
      <c r="B1" s="110"/>
      <c r="C1" s="110"/>
      <c r="D1" s="110"/>
      <c r="E1" s="110"/>
      <c r="F1" s="110"/>
      <c r="G1" s="110"/>
      <c r="H1" s="111"/>
    </row>
    <row r="2" spans="1:8" ht="18.75" x14ac:dyDescent="0.3">
      <c r="A2" s="112" t="s">
        <v>41</v>
      </c>
      <c r="B2" s="113"/>
      <c r="C2" s="113"/>
      <c r="D2" s="113"/>
      <c r="E2" s="113"/>
      <c r="F2" s="113"/>
      <c r="G2" s="113"/>
      <c r="H2" s="114"/>
    </row>
    <row r="3" spans="1:8" ht="18.75" x14ac:dyDescent="0.3">
      <c r="A3" s="112" t="s">
        <v>42</v>
      </c>
      <c r="B3" s="113"/>
      <c r="C3" s="113"/>
      <c r="D3" s="113"/>
      <c r="E3" s="113"/>
      <c r="F3" s="113"/>
      <c r="G3" s="113"/>
      <c r="H3" s="113"/>
    </row>
    <row r="4" spans="1:8" x14ac:dyDescent="0.25">
      <c r="A4" s="1" t="s">
        <v>2</v>
      </c>
      <c r="B4" s="2">
        <v>13939</v>
      </c>
      <c r="C4" s="2">
        <v>13636</v>
      </c>
      <c r="D4" s="2"/>
      <c r="E4" s="2"/>
      <c r="F4" s="2"/>
      <c r="G4" s="2"/>
      <c r="H4" s="2" t="s">
        <v>30</v>
      </c>
    </row>
    <row r="5" spans="1:8" x14ac:dyDescent="0.25">
      <c r="A5" s="3"/>
      <c r="B5" s="4">
        <v>46252</v>
      </c>
      <c r="C5" s="23">
        <v>46279</v>
      </c>
      <c r="D5" s="4"/>
      <c r="E5" s="4"/>
      <c r="F5" s="4"/>
      <c r="G5" s="4"/>
      <c r="H5" s="4">
        <v>46295</v>
      </c>
    </row>
    <row r="6" spans="1:8" x14ac:dyDescent="0.25">
      <c r="A6" s="5" t="s">
        <v>43</v>
      </c>
      <c r="B6" s="24">
        <v>18</v>
      </c>
      <c r="C6" s="6">
        <v>-16</v>
      </c>
      <c r="D6" s="6"/>
      <c r="E6" s="6"/>
      <c r="F6" s="6"/>
      <c r="G6" s="6"/>
      <c r="H6" s="99">
        <f>SUM(B6:F6)</f>
        <v>2</v>
      </c>
    </row>
    <row r="7" spans="1:8" x14ac:dyDescent="0.25">
      <c r="A7" s="5" t="s">
        <v>44</v>
      </c>
      <c r="B7" s="24">
        <v>8</v>
      </c>
      <c r="C7" s="6">
        <v>-8</v>
      </c>
      <c r="D7" s="6"/>
      <c r="E7" s="6"/>
      <c r="F7" s="6"/>
      <c r="G7" s="6"/>
      <c r="H7" s="7">
        <f>SUM(B7:F7)</f>
        <v>0</v>
      </c>
    </row>
    <row r="8" spans="1:8" x14ac:dyDescent="0.25">
      <c r="A8" s="3" t="s">
        <v>7</v>
      </c>
      <c r="B8" s="17">
        <v>0.36458333333333331</v>
      </c>
      <c r="C8" s="8">
        <v>0.34583333333333333</v>
      </c>
      <c r="D8" s="8"/>
      <c r="E8" s="8"/>
      <c r="F8" s="8"/>
      <c r="G8" s="8"/>
      <c r="H8" s="9"/>
    </row>
    <row r="9" spans="1:8" x14ac:dyDescent="0.25">
      <c r="A9" s="3" t="s">
        <v>8</v>
      </c>
      <c r="B9" s="10" t="s">
        <v>45</v>
      </c>
      <c r="C9" s="10" t="s">
        <v>45</v>
      </c>
      <c r="D9" s="10"/>
      <c r="E9" s="10"/>
      <c r="F9" s="10"/>
      <c r="G9" s="10"/>
      <c r="H9" s="11">
        <f>SUM(B9:E9)</f>
        <v>0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4557-7676-4995-867B-D683EEAED0F3}">
  <dimension ref="A1:H9"/>
  <sheetViews>
    <sheetView workbookViewId="0">
      <selection activeCell="J14" sqref="J14"/>
    </sheetView>
  </sheetViews>
  <sheetFormatPr baseColWidth="10" defaultRowHeight="15" x14ac:dyDescent="0.25"/>
  <cols>
    <col min="1" max="1" width="33.28515625" customWidth="1"/>
  </cols>
  <sheetData>
    <row r="1" spans="1:8" ht="18.75" x14ac:dyDescent="0.3">
      <c r="A1" s="109" t="s">
        <v>304</v>
      </c>
      <c r="B1" s="110"/>
      <c r="C1" s="110"/>
      <c r="D1" s="110"/>
      <c r="E1" s="110"/>
      <c r="F1" s="110"/>
      <c r="G1" s="110"/>
      <c r="H1" s="111"/>
    </row>
    <row r="2" spans="1:8" ht="18.75" x14ac:dyDescent="0.3">
      <c r="A2" s="112" t="s">
        <v>305</v>
      </c>
      <c r="B2" s="113"/>
      <c r="C2" s="113"/>
      <c r="D2" s="113"/>
      <c r="E2" s="113"/>
      <c r="F2" s="113"/>
      <c r="G2" s="113"/>
      <c r="H2" s="114"/>
    </row>
    <row r="3" spans="1:8" ht="18.75" x14ac:dyDescent="0.3">
      <c r="A3" s="112" t="s">
        <v>306</v>
      </c>
      <c r="B3" s="113"/>
      <c r="C3" s="113"/>
      <c r="D3" s="113"/>
      <c r="E3" s="113"/>
      <c r="F3" s="113"/>
      <c r="G3" s="113"/>
      <c r="H3" s="113"/>
    </row>
    <row r="4" spans="1:8" x14ac:dyDescent="0.25">
      <c r="A4" s="1" t="s">
        <v>2</v>
      </c>
      <c r="B4" s="2">
        <v>14033</v>
      </c>
      <c r="C4" s="2"/>
      <c r="D4" s="2"/>
      <c r="E4" s="2"/>
      <c r="F4" s="2"/>
      <c r="G4" s="2"/>
      <c r="H4" s="2" t="s">
        <v>30</v>
      </c>
    </row>
    <row r="5" spans="1:8" x14ac:dyDescent="0.25">
      <c r="A5" s="3"/>
      <c r="B5" s="4">
        <v>46282</v>
      </c>
      <c r="C5" s="23"/>
      <c r="D5" s="4"/>
      <c r="E5" s="4"/>
      <c r="F5" s="4"/>
      <c r="G5" s="4"/>
      <c r="H5" s="4">
        <v>46295</v>
      </c>
    </row>
    <row r="6" spans="1:8" x14ac:dyDescent="0.25">
      <c r="A6" s="5" t="s">
        <v>307</v>
      </c>
      <c r="B6" s="24">
        <v>4</v>
      </c>
      <c r="C6" s="6"/>
      <c r="D6" s="6"/>
      <c r="E6" s="6"/>
      <c r="F6" s="6"/>
      <c r="G6" s="6"/>
      <c r="H6" s="7">
        <f>SUM(B6:F6)</f>
        <v>4</v>
      </c>
    </row>
    <row r="7" spans="1:8" x14ac:dyDescent="0.25">
      <c r="A7" s="5" t="s">
        <v>24</v>
      </c>
      <c r="B7" s="24">
        <v>12</v>
      </c>
      <c r="C7" s="6"/>
      <c r="D7" s="6"/>
      <c r="E7" s="6"/>
      <c r="F7" s="6"/>
      <c r="G7" s="6"/>
      <c r="H7" s="7">
        <f>SUM(B7:F7)</f>
        <v>12</v>
      </c>
    </row>
    <row r="8" spans="1:8" x14ac:dyDescent="0.25">
      <c r="A8" s="3" t="s">
        <v>7</v>
      </c>
      <c r="B8" s="17">
        <v>0.38194444444444442</v>
      </c>
      <c r="C8" s="8"/>
      <c r="D8" s="8"/>
      <c r="E8" s="8"/>
      <c r="F8" s="8"/>
      <c r="G8" s="8"/>
      <c r="H8" s="9"/>
    </row>
    <row r="9" spans="1:8" x14ac:dyDescent="0.25">
      <c r="A9" s="3" t="s">
        <v>8</v>
      </c>
      <c r="B9" s="10" t="s">
        <v>308</v>
      </c>
      <c r="C9" s="10"/>
      <c r="D9" s="10"/>
      <c r="E9" s="10"/>
      <c r="F9" s="10"/>
      <c r="G9" s="10"/>
      <c r="H9" s="11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E750-FC30-4C1C-AC50-C20BCBF038EF}">
  <dimension ref="A1:H17"/>
  <sheetViews>
    <sheetView workbookViewId="0">
      <selection activeCell="K6" sqref="K6"/>
    </sheetView>
  </sheetViews>
  <sheetFormatPr baseColWidth="10" defaultRowHeight="15" x14ac:dyDescent="0.25"/>
  <cols>
    <col min="1" max="1" width="38.7109375" customWidth="1"/>
  </cols>
  <sheetData>
    <row r="1" spans="1:8" ht="18.75" x14ac:dyDescent="0.3">
      <c r="A1" s="109" t="s">
        <v>254</v>
      </c>
      <c r="B1" s="110"/>
      <c r="C1" s="110"/>
      <c r="D1" s="110"/>
      <c r="E1" s="110"/>
      <c r="F1" s="110"/>
      <c r="G1" s="110"/>
      <c r="H1" s="111"/>
    </row>
    <row r="2" spans="1:8" ht="18.75" x14ac:dyDescent="0.3">
      <c r="A2" s="112" t="s">
        <v>255</v>
      </c>
      <c r="B2" s="113"/>
      <c r="C2" s="113"/>
      <c r="D2" s="113"/>
      <c r="E2" s="113"/>
      <c r="F2" s="113"/>
      <c r="G2" s="113"/>
      <c r="H2" s="114"/>
    </row>
    <row r="3" spans="1:8" ht="18.75" x14ac:dyDescent="0.3">
      <c r="A3" s="112" t="s">
        <v>256</v>
      </c>
      <c r="B3" s="113"/>
      <c r="C3" s="113"/>
      <c r="D3" s="113"/>
      <c r="E3" s="113"/>
      <c r="F3" s="113"/>
      <c r="G3" s="113"/>
      <c r="H3" s="113"/>
    </row>
    <row r="4" spans="1:8" x14ac:dyDescent="0.25">
      <c r="A4" s="1" t="s">
        <v>2</v>
      </c>
      <c r="B4" s="2">
        <v>14016</v>
      </c>
      <c r="C4" s="2">
        <v>14017</v>
      </c>
      <c r="D4" s="2"/>
      <c r="E4" s="2"/>
      <c r="F4" s="2"/>
      <c r="G4" s="2"/>
      <c r="H4" s="2" t="s">
        <v>30</v>
      </c>
    </row>
    <row r="5" spans="1:8" x14ac:dyDescent="0.25">
      <c r="A5" s="3"/>
      <c r="B5" s="4">
        <v>46279</v>
      </c>
      <c r="C5" s="23">
        <v>46280</v>
      </c>
      <c r="D5" s="4"/>
      <c r="E5" s="4"/>
      <c r="F5" s="4"/>
      <c r="G5" s="4"/>
      <c r="H5" s="4">
        <v>46295</v>
      </c>
    </row>
    <row r="6" spans="1:8" x14ac:dyDescent="0.25">
      <c r="A6" s="5" t="s">
        <v>257</v>
      </c>
      <c r="B6" s="24">
        <v>26</v>
      </c>
      <c r="C6" s="6"/>
      <c r="D6" s="6"/>
      <c r="E6" s="6"/>
      <c r="F6" s="6"/>
      <c r="G6" s="6"/>
      <c r="H6" s="7">
        <f t="shared" ref="H6:H15" si="0">SUM(B6:G6)</f>
        <v>26</v>
      </c>
    </row>
    <row r="7" spans="1:8" x14ac:dyDescent="0.25">
      <c r="A7" s="5" t="s">
        <v>16</v>
      </c>
      <c r="B7" s="24">
        <v>80</v>
      </c>
      <c r="C7" s="6"/>
      <c r="D7" s="6"/>
      <c r="E7" s="6"/>
      <c r="F7" s="6"/>
      <c r="G7" s="6"/>
      <c r="H7" s="7">
        <f t="shared" si="0"/>
        <v>80</v>
      </c>
    </row>
    <row r="8" spans="1:8" x14ac:dyDescent="0.25">
      <c r="A8" s="5" t="s">
        <v>22</v>
      </c>
      <c r="B8" s="24">
        <v>10</v>
      </c>
      <c r="C8" s="6">
        <v>70</v>
      </c>
      <c r="D8" s="6"/>
      <c r="E8" s="6"/>
      <c r="F8" s="6"/>
      <c r="G8" s="6"/>
      <c r="H8" s="7">
        <f t="shared" si="0"/>
        <v>80</v>
      </c>
    </row>
    <row r="9" spans="1:8" x14ac:dyDescent="0.25">
      <c r="A9" s="5" t="s">
        <v>64</v>
      </c>
      <c r="B9" s="24">
        <v>5</v>
      </c>
      <c r="C9" s="6"/>
      <c r="D9" s="6"/>
      <c r="E9" s="6"/>
      <c r="F9" s="6"/>
      <c r="G9" s="6"/>
      <c r="H9" s="7">
        <f t="shared" si="0"/>
        <v>5</v>
      </c>
    </row>
    <row r="10" spans="1:8" x14ac:dyDescent="0.25">
      <c r="A10" s="5" t="s">
        <v>36</v>
      </c>
      <c r="B10" s="24">
        <v>300</v>
      </c>
      <c r="C10" s="6"/>
      <c r="D10" s="6"/>
      <c r="E10" s="6"/>
      <c r="F10" s="6"/>
      <c r="G10" s="6"/>
      <c r="H10" s="7">
        <f t="shared" si="0"/>
        <v>300</v>
      </c>
    </row>
    <row r="11" spans="1:8" x14ac:dyDescent="0.25">
      <c r="A11" s="5" t="s">
        <v>89</v>
      </c>
      <c r="B11" s="24">
        <v>1</v>
      </c>
      <c r="C11" s="6"/>
      <c r="D11" s="6"/>
      <c r="E11" s="6"/>
      <c r="F11" s="6"/>
      <c r="G11" s="6"/>
      <c r="H11" s="7">
        <f t="shared" si="0"/>
        <v>1</v>
      </c>
    </row>
    <row r="12" spans="1:8" x14ac:dyDescent="0.25">
      <c r="A12" s="5" t="s">
        <v>15</v>
      </c>
      <c r="B12" s="24"/>
      <c r="C12" s="6">
        <v>5</v>
      </c>
      <c r="D12" s="6"/>
      <c r="E12" s="6"/>
      <c r="F12" s="6"/>
      <c r="G12" s="6"/>
      <c r="H12" s="7">
        <f t="shared" si="0"/>
        <v>5</v>
      </c>
    </row>
    <row r="13" spans="1:8" x14ac:dyDescent="0.25">
      <c r="A13" s="5" t="s">
        <v>87</v>
      </c>
      <c r="B13" s="24"/>
      <c r="C13" s="6">
        <v>12</v>
      </c>
      <c r="D13" s="6"/>
      <c r="E13" s="6"/>
      <c r="F13" s="6"/>
      <c r="G13" s="6"/>
      <c r="H13" s="7">
        <f t="shared" si="0"/>
        <v>12</v>
      </c>
    </row>
    <row r="14" spans="1:8" x14ac:dyDescent="0.25">
      <c r="A14" s="5" t="s">
        <v>106</v>
      </c>
      <c r="B14" s="24"/>
      <c r="C14" s="6">
        <v>10</v>
      </c>
      <c r="D14" s="6"/>
      <c r="E14" s="6"/>
      <c r="F14" s="6"/>
      <c r="G14" s="6"/>
      <c r="H14" s="7">
        <f t="shared" si="0"/>
        <v>10</v>
      </c>
    </row>
    <row r="15" spans="1:8" x14ac:dyDescent="0.25">
      <c r="A15" s="5" t="s">
        <v>288</v>
      </c>
      <c r="B15" s="24"/>
      <c r="C15" s="6">
        <v>10</v>
      </c>
      <c r="D15" s="6"/>
      <c r="E15" s="6"/>
      <c r="F15" s="6"/>
      <c r="G15" s="6"/>
      <c r="H15" s="7">
        <f t="shared" si="0"/>
        <v>10</v>
      </c>
    </row>
    <row r="16" spans="1:8" x14ac:dyDescent="0.25">
      <c r="A16" s="3" t="s">
        <v>7</v>
      </c>
      <c r="B16" s="17">
        <v>6.25E-2</v>
      </c>
      <c r="C16" s="8">
        <v>0.375</v>
      </c>
      <c r="D16" s="8"/>
      <c r="E16" s="8"/>
      <c r="F16" s="8"/>
      <c r="G16" s="8"/>
      <c r="H16" s="9"/>
    </row>
    <row r="17" spans="1:8" x14ac:dyDescent="0.25">
      <c r="A17" s="3" t="s">
        <v>8</v>
      </c>
      <c r="B17" s="10" t="s">
        <v>159</v>
      </c>
      <c r="C17" s="10" t="s">
        <v>159</v>
      </c>
      <c r="D17" s="10"/>
      <c r="E17" s="10"/>
      <c r="F17" s="10"/>
      <c r="G17" s="10"/>
      <c r="H17" s="11">
        <f>SUM(B17:E17)</f>
        <v>0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B3DA-818F-4C39-9988-5C9A4C5766B9}">
  <dimension ref="A1:G11"/>
  <sheetViews>
    <sheetView workbookViewId="0">
      <selection sqref="A1:G9"/>
    </sheetView>
  </sheetViews>
  <sheetFormatPr baseColWidth="10" defaultRowHeight="15" x14ac:dyDescent="0.25"/>
  <cols>
    <col min="1" max="1" width="34.42578125" customWidth="1"/>
  </cols>
  <sheetData>
    <row r="1" spans="1:7" ht="18.75" x14ac:dyDescent="0.3">
      <c r="A1" s="109" t="s">
        <v>268</v>
      </c>
      <c r="B1" s="110"/>
      <c r="C1" s="110"/>
      <c r="D1" s="110"/>
      <c r="E1" s="110"/>
      <c r="F1" s="110"/>
      <c r="G1" s="111"/>
    </row>
    <row r="2" spans="1:7" ht="18.75" x14ac:dyDescent="0.3">
      <c r="A2" s="112" t="s">
        <v>269</v>
      </c>
      <c r="B2" s="113"/>
      <c r="C2" s="113"/>
      <c r="D2" s="113"/>
      <c r="E2" s="113"/>
      <c r="F2" s="113"/>
      <c r="G2" s="114"/>
    </row>
    <row r="3" spans="1:7" ht="18.75" x14ac:dyDescent="0.3">
      <c r="A3" s="112" t="s">
        <v>256</v>
      </c>
      <c r="B3" s="113"/>
      <c r="C3" s="113"/>
      <c r="D3" s="113"/>
      <c r="E3" s="113"/>
      <c r="F3" s="113"/>
      <c r="G3" s="113"/>
    </row>
    <row r="4" spans="1:7" x14ac:dyDescent="0.25">
      <c r="A4" s="1" t="s">
        <v>2</v>
      </c>
      <c r="B4" s="2">
        <v>14014</v>
      </c>
      <c r="C4" s="2"/>
      <c r="D4" s="2"/>
      <c r="E4" s="2"/>
      <c r="F4" s="2"/>
      <c r="G4" s="2" t="s">
        <v>30</v>
      </c>
    </row>
    <row r="5" spans="1:7" x14ac:dyDescent="0.25">
      <c r="A5" s="3"/>
      <c r="B5" s="4">
        <v>46279</v>
      </c>
      <c r="C5" s="23"/>
      <c r="D5" s="4"/>
      <c r="E5" s="4"/>
      <c r="F5" s="4"/>
      <c r="G5" s="4">
        <v>46295</v>
      </c>
    </row>
    <row r="6" spans="1:7" x14ac:dyDescent="0.25">
      <c r="A6" s="5" t="s">
        <v>270</v>
      </c>
      <c r="B6" s="24">
        <v>1</v>
      </c>
      <c r="C6" s="6"/>
      <c r="D6" s="6"/>
      <c r="E6" s="6"/>
      <c r="F6" s="6"/>
      <c r="G6" s="7">
        <f>SUM(B6:F6)</f>
        <v>1</v>
      </c>
    </row>
    <row r="7" spans="1:7" x14ac:dyDescent="0.25">
      <c r="A7" s="5" t="s">
        <v>271</v>
      </c>
      <c r="B7" s="24">
        <v>2</v>
      </c>
      <c r="C7" s="6"/>
      <c r="D7" s="6"/>
      <c r="E7" s="6"/>
      <c r="F7" s="6"/>
      <c r="G7" s="7">
        <f>SUM(B7:F7)</f>
        <v>2</v>
      </c>
    </row>
    <row r="8" spans="1:7" x14ac:dyDescent="0.25">
      <c r="A8" s="3" t="s">
        <v>7</v>
      </c>
      <c r="B8" s="17">
        <v>0.40833333333333333</v>
      </c>
      <c r="C8" s="8"/>
      <c r="D8" s="8"/>
      <c r="E8" s="8"/>
      <c r="F8" s="8"/>
      <c r="G8" s="9"/>
    </row>
    <row r="9" spans="1:7" x14ac:dyDescent="0.25">
      <c r="A9" s="3" t="s">
        <v>8</v>
      </c>
      <c r="B9" s="10" t="s">
        <v>50</v>
      </c>
      <c r="C9" s="10"/>
      <c r="D9" s="10"/>
      <c r="E9" s="10"/>
      <c r="F9" s="10"/>
      <c r="G9" s="11">
        <f>SUM(B9:E9)</f>
        <v>0</v>
      </c>
    </row>
    <row r="10" spans="1:7" x14ac:dyDescent="0.25">
      <c r="A10" s="63" t="s">
        <v>272</v>
      </c>
    </row>
    <row r="11" spans="1:7" x14ac:dyDescent="0.25">
      <c r="A11" s="63" t="s">
        <v>273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C9D1-5C92-44B1-B6A9-5D77E2A7ED91}">
  <dimension ref="A1:G15"/>
  <sheetViews>
    <sheetView workbookViewId="0">
      <selection activeCell="I15" sqref="I15"/>
    </sheetView>
  </sheetViews>
  <sheetFormatPr baseColWidth="10" defaultRowHeight="15" x14ac:dyDescent="0.25"/>
  <cols>
    <col min="1" max="1" width="38.85546875" customWidth="1"/>
  </cols>
  <sheetData>
    <row r="1" spans="1:7" ht="18.75" x14ac:dyDescent="0.3">
      <c r="A1" s="109" t="s">
        <v>274</v>
      </c>
      <c r="B1" s="110"/>
      <c r="C1" s="110"/>
      <c r="D1" s="110"/>
      <c r="E1" s="110"/>
      <c r="F1" s="110"/>
      <c r="G1" s="111"/>
    </row>
    <row r="2" spans="1:7" ht="18.75" x14ac:dyDescent="0.3">
      <c r="A2" s="112" t="s">
        <v>275</v>
      </c>
      <c r="B2" s="113"/>
      <c r="C2" s="113"/>
      <c r="D2" s="113"/>
      <c r="E2" s="113"/>
      <c r="F2" s="113"/>
      <c r="G2" s="114"/>
    </row>
    <row r="3" spans="1:7" ht="18.75" x14ac:dyDescent="0.3">
      <c r="A3" s="112" t="s">
        <v>256</v>
      </c>
      <c r="B3" s="113"/>
      <c r="C3" s="113"/>
      <c r="D3" s="113"/>
      <c r="E3" s="113"/>
      <c r="F3" s="113"/>
      <c r="G3" s="113"/>
    </row>
    <row r="4" spans="1:7" x14ac:dyDescent="0.25">
      <c r="A4" s="1" t="s">
        <v>2</v>
      </c>
      <c r="B4" s="2">
        <v>14019</v>
      </c>
      <c r="C4" s="2">
        <v>14022</v>
      </c>
      <c r="D4" s="2"/>
      <c r="E4" s="2"/>
      <c r="F4" s="2"/>
      <c r="G4" s="2" t="s">
        <v>30</v>
      </c>
    </row>
    <row r="5" spans="1:7" x14ac:dyDescent="0.25">
      <c r="A5" s="3"/>
      <c r="B5" s="4">
        <v>46280</v>
      </c>
      <c r="C5" s="23">
        <v>46280</v>
      </c>
      <c r="D5" s="4"/>
      <c r="E5" s="4"/>
      <c r="F5" s="4"/>
      <c r="G5" s="4">
        <v>46295</v>
      </c>
    </row>
    <row r="6" spans="1:7" x14ac:dyDescent="0.25">
      <c r="A6" s="5" t="s">
        <v>60</v>
      </c>
      <c r="B6" s="24">
        <v>10</v>
      </c>
      <c r="C6" s="6"/>
      <c r="D6" s="6"/>
      <c r="E6" s="6"/>
      <c r="F6" s="6"/>
      <c r="G6" s="7">
        <f t="shared" ref="G6:G13" si="0">SUM(B6:F6)</f>
        <v>10</v>
      </c>
    </row>
    <row r="7" spans="1:7" x14ac:dyDescent="0.25">
      <c r="A7" s="5" t="s">
        <v>33</v>
      </c>
      <c r="B7" s="24">
        <v>8</v>
      </c>
      <c r="C7" s="6"/>
      <c r="D7" s="6"/>
      <c r="E7" s="6"/>
      <c r="F7" s="6"/>
      <c r="G7" s="7">
        <f t="shared" si="0"/>
        <v>8</v>
      </c>
    </row>
    <row r="8" spans="1:7" x14ac:dyDescent="0.25">
      <c r="A8" s="5" t="s">
        <v>175</v>
      </c>
      <c r="B8" s="24">
        <v>10</v>
      </c>
      <c r="C8" s="6"/>
      <c r="D8" s="6"/>
      <c r="E8" s="6"/>
      <c r="F8" s="6"/>
      <c r="G8" s="7">
        <f t="shared" si="0"/>
        <v>10</v>
      </c>
    </row>
    <row r="9" spans="1:7" x14ac:dyDescent="0.25">
      <c r="A9" s="5" t="s">
        <v>22</v>
      </c>
      <c r="B9" s="24">
        <v>2</v>
      </c>
      <c r="C9" s="6"/>
      <c r="D9" s="6"/>
      <c r="E9" s="6"/>
      <c r="F9" s="6"/>
      <c r="G9" s="7">
        <f t="shared" si="0"/>
        <v>2</v>
      </c>
    </row>
    <row r="10" spans="1:7" x14ac:dyDescent="0.25">
      <c r="A10" s="5" t="s">
        <v>127</v>
      </c>
      <c r="B10" s="24">
        <v>12</v>
      </c>
      <c r="C10" s="6"/>
      <c r="D10" s="6"/>
      <c r="E10" s="6"/>
      <c r="F10" s="6"/>
      <c r="G10" s="7">
        <f t="shared" si="0"/>
        <v>12</v>
      </c>
    </row>
    <row r="11" spans="1:7" x14ac:dyDescent="0.25">
      <c r="A11" s="5" t="s">
        <v>277</v>
      </c>
      <c r="B11" s="24"/>
      <c r="C11" s="6">
        <v>28</v>
      </c>
      <c r="D11" s="6"/>
      <c r="E11" s="6"/>
      <c r="F11" s="6"/>
      <c r="G11" s="7">
        <f t="shared" si="0"/>
        <v>28</v>
      </c>
    </row>
    <row r="12" spans="1:7" x14ac:dyDescent="0.25">
      <c r="A12" s="5" t="s">
        <v>17</v>
      </c>
      <c r="B12" s="24">
        <v>100</v>
      </c>
      <c r="C12" s="6"/>
      <c r="D12" s="6"/>
      <c r="E12" s="6"/>
      <c r="F12" s="6"/>
      <c r="G12" s="7">
        <f t="shared" si="0"/>
        <v>100</v>
      </c>
    </row>
    <row r="13" spans="1:7" x14ac:dyDescent="0.25">
      <c r="A13" s="5" t="s">
        <v>276</v>
      </c>
      <c r="B13" s="24">
        <v>10</v>
      </c>
      <c r="C13" s="6"/>
      <c r="D13" s="6"/>
      <c r="E13" s="6"/>
      <c r="F13" s="6"/>
      <c r="G13" s="7">
        <f t="shared" si="0"/>
        <v>10</v>
      </c>
    </row>
    <row r="14" spans="1:7" x14ac:dyDescent="0.25">
      <c r="A14" s="3" t="s">
        <v>7</v>
      </c>
      <c r="B14" s="17">
        <v>0.4375</v>
      </c>
      <c r="C14" s="8">
        <v>6.25E-2</v>
      </c>
      <c r="D14" s="8"/>
      <c r="E14" s="8"/>
      <c r="F14" s="8"/>
      <c r="G14" s="9"/>
    </row>
    <row r="15" spans="1:7" x14ac:dyDescent="0.25">
      <c r="A15" s="3" t="s">
        <v>8</v>
      </c>
      <c r="B15" s="10">
        <v>80000</v>
      </c>
      <c r="C15" s="10" t="s">
        <v>278</v>
      </c>
      <c r="D15" s="10"/>
      <c r="E15" s="10"/>
      <c r="F15" s="10"/>
      <c r="G15" s="11">
        <f>SUM(B15:E15)</f>
        <v>80000</v>
      </c>
    </row>
  </sheetData>
  <mergeCells count="3">
    <mergeCell ref="A1:G1"/>
    <mergeCell ref="A2:G2"/>
    <mergeCell ref="A3:G3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CB31-FDEA-4F68-9C35-04A861ADE6CB}">
  <dimension ref="A1:F13"/>
  <sheetViews>
    <sheetView workbookViewId="0">
      <selection activeCell="H14" sqref="H14"/>
    </sheetView>
  </sheetViews>
  <sheetFormatPr baseColWidth="10" defaultRowHeight="15" x14ac:dyDescent="0.25"/>
  <cols>
    <col min="1" max="1" width="30.5703125" customWidth="1"/>
  </cols>
  <sheetData>
    <row r="1" spans="1:6" ht="18.75" x14ac:dyDescent="0.3">
      <c r="A1" s="109" t="s">
        <v>258</v>
      </c>
      <c r="B1" s="110"/>
      <c r="C1" s="110"/>
      <c r="D1" s="110"/>
      <c r="E1" s="110"/>
      <c r="F1" s="110"/>
    </row>
    <row r="2" spans="1:6" ht="18.75" x14ac:dyDescent="0.3">
      <c r="A2" s="112" t="s">
        <v>259</v>
      </c>
      <c r="B2" s="113"/>
      <c r="C2" s="113"/>
      <c r="D2" s="113"/>
      <c r="E2" s="113"/>
      <c r="F2" s="113"/>
    </row>
    <row r="3" spans="1:6" ht="18.75" x14ac:dyDescent="0.3">
      <c r="A3" s="112" t="s">
        <v>260</v>
      </c>
      <c r="B3" s="113"/>
      <c r="C3" s="113"/>
      <c r="D3" s="113"/>
      <c r="E3" s="113"/>
      <c r="F3" s="113"/>
    </row>
    <row r="4" spans="1:6" x14ac:dyDescent="0.25">
      <c r="A4" s="90" t="s">
        <v>2</v>
      </c>
      <c r="B4" s="2" t="s">
        <v>30</v>
      </c>
      <c r="C4" s="48">
        <v>13637</v>
      </c>
      <c r="D4" s="48"/>
      <c r="E4" s="48"/>
      <c r="F4" s="91" t="s">
        <v>30</v>
      </c>
    </row>
    <row r="5" spans="1:6" x14ac:dyDescent="0.25">
      <c r="A5" s="92"/>
      <c r="B5" s="4">
        <v>46265</v>
      </c>
      <c r="C5" s="26">
        <v>46275</v>
      </c>
      <c r="D5" s="26"/>
      <c r="E5" s="26"/>
      <c r="F5" s="93" t="s">
        <v>263</v>
      </c>
    </row>
    <row r="6" spans="1:6" x14ac:dyDescent="0.25">
      <c r="A6" s="94" t="s">
        <v>87</v>
      </c>
      <c r="B6" s="24">
        <v>1</v>
      </c>
      <c r="C6" s="95"/>
      <c r="D6" s="95"/>
      <c r="E6" s="95"/>
      <c r="F6" s="96">
        <f t="shared" ref="F6:F10" si="0">SUM(B6:E6)</f>
        <v>1</v>
      </c>
    </row>
    <row r="7" spans="1:6" x14ac:dyDescent="0.25">
      <c r="A7" s="94" t="s">
        <v>67</v>
      </c>
      <c r="B7" s="24">
        <v>1</v>
      </c>
      <c r="C7" s="95"/>
      <c r="D7" s="95"/>
      <c r="E7" s="95"/>
      <c r="F7" s="96">
        <f t="shared" si="0"/>
        <v>1</v>
      </c>
    </row>
    <row r="8" spans="1:6" x14ac:dyDescent="0.25">
      <c r="A8" s="94" t="s">
        <v>261</v>
      </c>
      <c r="B8" s="24">
        <v>2</v>
      </c>
      <c r="C8" s="95">
        <v>-1</v>
      </c>
      <c r="D8" s="95"/>
      <c r="E8" s="95"/>
      <c r="F8" s="96">
        <f t="shared" si="0"/>
        <v>1</v>
      </c>
    </row>
    <row r="9" spans="1:6" x14ac:dyDescent="0.25">
      <c r="A9" s="94" t="s">
        <v>262</v>
      </c>
      <c r="B9" s="24">
        <v>2</v>
      </c>
      <c r="C9" s="95">
        <v>-1</v>
      </c>
      <c r="D9" s="95"/>
      <c r="E9" s="95"/>
      <c r="F9" s="96">
        <f t="shared" si="0"/>
        <v>1</v>
      </c>
    </row>
    <row r="10" spans="1:6" x14ac:dyDescent="0.25">
      <c r="A10" s="94" t="s">
        <v>35</v>
      </c>
      <c r="B10" s="24">
        <v>1</v>
      </c>
      <c r="C10" s="95"/>
      <c r="D10" s="95"/>
      <c r="E10" s="95"/>
      <c r="F10" s="96">
        <f t="shared" si="0"/>
        <v>1</v>
      </c>
    </row>
    <row r="11" spans="1:6" x14ac:dyDescent="0.25">
      <c r="A11" s="92" t="s">
        <v>7</v>
      </c>
      <c r="B11" s="41"/>
      <c r="C11" s="97">
        <v>0.15625</v>
      </c>
      <c r="D11" s="97"/>
      <c r="E11" s="97"/>
      <c r="F11" s="32"/>
    </row>
    <row r="12" spans="1:6" x14ac:dyDescent="0.25">
      <c r="A12" s="92" t="s">
        <v>264</v>
      </c>
      <c r="B12" s="41"/>
      <c r="C12" s="97" t="s">
        <v>265</v>
      </c>
      <c r="D12" s="97"/>
      <c r="E12" s="97"/>
      <c r="F12" s="32"/>
    </row>
    <row r="13" spans="1:6" x14ac:dyDescent="0.25">
      <c r="B13">
        <f>SUM(B6:B10)</f>
        <v>7</v>
      </c>
      <c r="C13" s="98">
        <f>SUM(C6:C10)</f>
        <v>-2</v>
      </c>
      <c r="F13" s="98"/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3DFF-C862-48D8-9E8C-9DC3800F97C9}">
  <dimension ref="A1:M17"/>
  <sheetViews>
    <sheetView workbookViewId="0">
      <selection activeCell="A16" sqref="A16"/>
    </sheetView>
  </sheetViews>
  <sheetFormatPr baseColWidth="10" defaultRowHeight="15" x14ac:dyDescent="0.25"/>
  <cols>
    <col min="1" max="1" width="36.5703125" customWidth="1"/>
  </cols>
  <sheetData>
    <row r="1" spans="1:8" ht="18.75" x14ac:dyDescent="0.3">
      <c r="A1" s="109" t="s">
        <v>180</v>
      </c>
      <c r="B1" s="110"/>
      <c r="C1" s="110"/>
      <c r="D1" s="110"/>
      <c r="E1" s="110"/>
      <c r="F1" s="110"/>
      <c r="G1" s="110"/>
      <c r="H1" s="111"/>
    </row>
    <row r="2" spans="1:8" ht="18.75" x14ac:dyDescent="0.3">
      <c r="A2" s="112" t="s">
        <v>181</v>
      </c>
      <c r="B2" s="113"/>
      <c r="C2" s="113"/>
      <c r="D2" s="113"/>
      <c r="E2" s="113"/>
      <c r="F2" s="113"/>
      <c r="G2" s="113"/>
      <c r="H2" s="114"/>
    </row>
    <row r="3" spans="1:8" ht="18.75" x14ac:dyDescent="0.3">
      <c r="A3" s="112" t="s">
        <v>182</v>
      </c>
      <c r="B3" s="113"/>
      <c r="C3" s="113"/>
      <c r="D3" s="113"/>
      <c r="E3" s="113"/>
      <c r="F3" s="113"/>
      <c r="G3" s="113"/>
      <c r="H3" s="113"/>
    </row>
    <row r="4" spans="1:8" x14ac:dyDescent="0.25">
      <c r="A4" s="1" t="s">
        <v>2</v>
      </c>
      <c r="B4" s="2">
        <v>13994</v>
      </c>
      <c r="C4" s="2">
        <v>13632</v>
      </c>
      <c r="D4" s="2"/>
      <c r="E4" s="2"/>
      <c r="F4" s="2"/>
      <c r="G4" s="2"/>
      <c r="H4" s="2" t="s">
        <v>30</v>
      </c>
    </row>
    <row r="5" spans="1:8" x14ac:dyDescent="0.25">
      <c r="A5" s="3"/>
      <c r="B5" s="4">
        <v>46272</v>
      </c>
      <c r="C5" s="23">
        <v>46276</v>
      </c>
      <c r="D5" s="4"/>
      <c r="E5" s="4"/>
      <c r="F5" s="4"/>
      <c r="G5" s="4"/>
      <c r="H5" s="4">
        <v>46295</v>
      </c>
    </row>
    <row r="6" spans="1:8" x14ac:dyDescent="0.25">
      <c r="A6" s="5" t="s">
        <v>22</v>
      </c>
      <c r="B6" s="24">
        <v>14</v>
      </c>
      <c r="C6" s="6">
        <v>-14</v>
      </c>
      <c r="D6" s="6"/>
      <c r="E6" s="6"/>
      <c r="F6" s="6"/>
      <c r="G6" s="6"/>
      <c r="H6" s="7">
        <f t="shared" ref="H6:H11" si="0">SUM(B6:G6)</f>
        <v>0</v>
      </c>
    </row>
    <row r="7" spans="1:8" x14ac:dyDescent="0.25">
      <c r="A7" s="5" t="s">
        <v>35</v>
      </c>
      <c r="B7" s="24">
        <v>14</v>
      </c>
      <c r="C7" s="6">
        <v>-14</v>
      </c>
      <c r="D7" s="6"/>
      <c r="E7" s="6"/>
      <c r="F7" s="6"/>
      <c r="G7" s="6"/>
      <c r="H7" s="7">
        <f t="shared" si="0"/>
        <v>0</v>
      </c>
    </row>
    <row r="8" spans="1:8" x14ac:dyDescent="0.25">
      <c r="A8" s="5" t="s">
        <v>36</v>
      </c>
      <c r="B8" s="24">
        <v>200</v>
      </c>
      <c r="C8" s="6">
        <v>-200</v>
      </c>
      <c r="D8" s="6"/>
      <c r="E8" s="6"/>
      <c r="F8" s="6"/>
      <c r="G8" s="6"/>
      <c r="H8" s="7">
        <f t="shared" si="0"/>
        <v>0</v>
      </c>
    </row>
    <row r="9" spans="1:8" x14ac:dyDescent="0.25">
      <c r="A9" s="5" t="s">
        <v>89</v>
      </c>
      <c r="B9" s="24">
        <v>1</v>
      </c>
      <c r="C9" s="6">
        <v>-1</v>
      </c>
      <c r="D9" s="6"/>
      <c r="E9" s="6"/>
      <c r="F9" s="6"/>
      <c r="G9" s="6"/>
      <c r="H9" s="7">
        <f t="shared" si="0"/>
        <v>0</v>
      </c>
    </row>
    <row r="10" spans="1:8" x14ac:dyDescent="0.25">
      <c r="A10" s="5" t="s">
        <v>37</v>
      </c>
      <c r="B10" s="24">
        <v>12</v>
      </c>
      <c r="C10" s="6">
        <v>-12</v>
      </c>
      <c r="D10" s="6"/>
      <c r="E10" s="6"/>
      <c r="F10" s="6"/>
      <c r="G10" s="6"/>
      <c r="H10" s="7">
        <f t="shared" si="0"/>
        <v>0</v>
      </c>
    </row>
    <row r="11" spans="1:8" x14ac:dyDescent="0.25">
      <c r="A11" s="5" t="s">
        <v>67</v>
      </c>
      <c r="B11" s="24">
        <v>28</v>
      </c>
      <c r="C11" s="6">
        <v>-28</v>
      </c>
      <c r="D11" s="6"/>
      <c r="E11" s="6"/>
      <c r="F11" s="6"/>
      <c r="G11" s="6"/>
      <c r="H11" s="7">
        <f t="shared" si="0"/>
        <v>0</v>
      </c>
    </row>
    <row r="12" spans="1:8" x14ac:dyDescent="0.25">
      <c r="A12" s="3" t="s">
        <v>7</v>
      </c>
      <c r="B12" s="17">
        <v>0.4375</v>
      </c>
      <c r="C12" s="8">
        <v>8.3333333333333329E-2</v>
      </c>
      <c r="D12" s="8"/>
      <c r="E12" s="8"/>
      <c r="F12" s="8"/>
      <c r="G12" s="8"/>
      <c r="H12" s="9"/>
    </row>
    <row r="13" spans="1:8" x14ac:dyDescent="0.25">
      <c r="A13" s="3" t="s">
        <v>8</v>
      </c>
      <c r="B13" s="10">
        <v>75000</v>
      </c>
      <c r="C13" s="10">
        <v>75000</v>
      </c>
      <c r="D13" s="10"/>
      <c r="E13" s="10"/>
      <c r="F13" s="10"/>
      <c r="G13" s="10"/>
      <c r="H13" s="11">
        <f>SUM(B13:E13)</f>
        <v>150000</v>
      </c>
    </row>
    <row r="17" spans="13:13" x14ac:dyDescent="0.25">
      <c r="M17" t="s">
        <v>183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B6A2-B036-4310-97EF-82F23633BFE9}">
  <dimension ref="A1:H11"/>
  <sheetViews>
    <sheetView workbookViewId="0">
      <selection activeCell="C16" sqref="C16"/>
    </sheetView>
  </sheetViews>
  <sheetFormatPr baseColWidth="10" defaultRowHeight="15" x14ac:dyDescent="0.25"/>
  <cols>
    <col min="1" max="1" width="29.140625" customWidth="1"/>
  </cols>
  <sheetData>
    <row r="1" spans="1:8" ht="18.75" x14ac:dyDescent="0.3">
      <c r="A1" s="109" t="s">
        <v>279</v>
      </c>
      <c r="B1" s="110"/>
      <c r="C1" s="110"/>
      <c r="D1" s="110"/>
      <c r="E1" s="110"/>
      <c r="F1" s="110"/>
      <c r="G1" s="110"/>
      <c r="H1" s="111"/>
    </row>
    <row r="2" spans="1:8" ht="18.75" x14ac:dyDescent="0.3">
      <c r="A2" s="112" t="s">
        <v>280</v>
      </c>
      <c r="B2" s="113"/>
      <c r="C2" s="113"/>
      <c r="D2" s="113"/>
      <c r="E2" s="113"/>
      <c r="F2" s="113"/>
      <c r="G2" s="113"/>
      <c r="H2" s="114"/>
    </row>
    <row r="3" spans="1:8" ht="18.75" x14ac:dyDescent="0.3">
      <c r="A3" s="112" t="s">
        <v>182</v>
      </c>
      <c r="B3" s="113"/>
      <c r="C3" s="113"/>
      <c r="D3" s="113"/>
      <c r="E3" s="113"/>
      <c r="F3" s="113"/>
      <c r="G3" s="113"/>
      <c r="H3" s="113"/>
    </row>
    <row r="4" spans="1:8" x14ac:dyDescent="0.25">
      <c r="A4" s="1" t="s">
        <v>2</v>
      </c>
      <c r="B4" s="2">
        <v>13983</v>
      </c>
      <c r="C4" s="2">
        <v>13643</v>
      </c>
      <c r="D4" s="2"/>
      <c r="E4" s="2"/>
      <c r="F4" s="2"/>
      <c r="G4" s="2"/>
      <c r="H4" s="2" t="s">
        <v>30</v>
      </c>
    </row>
    <row r="5" spans="1:8" x14ac:dyDescent="0.25">
      <c r="A5" s="3"/>
      <c r="B5" s="4">
        <v>46266</v>
      </c>
      <c r="C5" s="23">
        <v>46280</v>
      </c>
      <c r="D5" s="4"/>
      <c r="E5" s="4"/>
      <c r="F5" s="4"/>
      <c r="G5" s="4"/>
      <c r="H5" s="4">
        <v>46295</v>
      </c>
    </row>
    <row r="6" spans="1:8" x14ac:dyDescent="0.25">
      <c r="A6" s="5" t="s">
        <v>281</v>
      </c>
      <c r="B6" s="24">
        <v>8</v>
      </c>
      <c r="C6" s="6">
        <v>-6</v>
      </c>
      <c r="D6" s="6"/>
      <c r="E6" s="6"/>
      <c r="F6" s="6"/>
      <c r="G6" s="6"/>
      <c r="H6" s="7">
        <f t="shared" ref="H6:H8" si="0">SUM(B6:G6)</f>
        <v>2</v>
      </c>
    </row>
    <row r="7" spans="1:8" x14ac:dyDescent="0.25">
      <c r="A7" s="5" t="s">
        <v>5</v>
      </c>
      <c r="B7" s="24">
        <v>8</v>
      </c>
      <c r="C7" s="6">
        <v>-6</v>
      </c>
      <c r="D7" s="6"/>
      <c r="E7" s="6"/>
      <c r="F7" s="6"/>
      <c r="G7" s="6"/>
      <c r="H7" s="7">
        <f t="shared" si="0"/>
        <v>2</v>
      </c>
    </row>
    <row r="8" spans="1:8" x14ac:dyDescent="0.25">
      <c r="A8" s="5" t="s">
        <v>6</v>
      </c>
      <c r="B8" s="24">
        <v>3</v>
      </c>
      <c r="C8" s="6">
        <v>-2</v>
      </c>
      <c r="D8" s="6"/>
      <c r="E8" s="6"/>
      <c r="F8" s="6"/>
      <c r="G8" s="6"/>
      <c r="H8" s="7">
        <f t="shared" si="0"/>
        <v>1</v>
      </c>
    </row>
    <row r="9" spans="1:8" x14ac:dyDescent="0.25">
      <c r="A9" s="3" t="s">
        <v>7</v>
      </c>
      <c r="B9" s="17">
        <v>0.11041666666666666</v>
      </c>
      <c r="C9" s="8">
        <v>0.48958333333333331</v>
      </c>
      <c r="D9" s="8"/>
      <c r="E9" s="8"/>
      <c r="F9" s="8"/>
      <c r="G9" s="8"/>
      <c r="H9" s="9"/>
    </row>
    <row r="10" spans="1:8" x14ac:dyDescent="0.25">
      <c r="A10" s="3" t="s">
        <v>8</v>
      </c>
      <c r="B10" s="10" t="s">
        <v>282</v>
      </c>
      <c r="C10" s="10" t="s">
        <v>282</v>
      </c>
      <c r="D10" s="10"/>
      <c r="E10" s="10"/>
      <c r="F10" s="10"/>
      <c r="G10" s="10"/>
      <c r="H10" s="11">
        <f>SUM(B10:E10)</f>
        <v>0</v>
      </c>
    </row>
    <row r="11" spans="1:8" x14ac:dyDescent="0.25">
      <c r="A11" s="63" t="s">
        <v>283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815D-1220-4F05-B8B8-CCA2ED9DA7C6}">
  <dimension ref="A1:H9"/>
  <sheetViews>
    <sheetView workbookViewId="0">
      <selection sqref="A1:H9"/>
    </sheetView>
  </sheetViews>
  <sheetFormatPr baseColWidth="10" defaultRowHeight="15" x14ac:dyDescent="0.25"/>
  <cols>
    <col min="1" max="1" width="27" customWidth="1"/>
  </cols>
  <sheetData>
    <row r="1" spans="1:8" ht="18.75" x14ac:dyDescent="0.3">
      <c r="A1" s="109" t="s">
        <v>247</v>
      </c>
      <c r="B1" s="110"/>
      <c r="C1" s="110"/>
      <c r="D1" s="110"/>
      <c r="E1" s="110"/>
      <c r="F1" s="110"/>
      <c r="G1" s="110"/>
      <c r="H1" s="111"/>
    </row>
    <row r="2" spans="1:8" ht="18.75" x14ac:dyDescent="0.3">
      <c r="A2" s="112" t="s">
        <v>248</v>
      </c>
      <c r="B2" s="113"/>
      <c r="C2" s="113"/>
      <c r="D2" s="113"/>
      <c r="E2" s="113"/>
      <c r="F2" s="113"/>
      <c r="G2" s="113"/>
      <c r="H2" s="114"/>
    </row>
    <row r="3" spans="1:8" ht="18.75" x14ac:dyDescent="0.3">
      <c r="A3" s="112" t="s">
        <v>182</v>
      </c>
      <c r="B3" s="113"/>
      <c r="C3" s="113"/>
      <c r="D3" s="113"/>
      <c r="E3" s="113"/>
      <c r="F3" s="113"/>
      <c r="G3" s="113"/>
      <c r="H3" s="113"/>
    </row>
    <row r="4" spans="1:8" x14ac:dyDescent="0.25">
      <c r="A4" s="1" t="s">
        <v>2</v>
      </c>
      <c r="B4" s="2">
        <v>14011</v>
      </c>
      <c r="C4" s="2"/>
      <c r="D4" s="2"/>
      <c r="E4" s="2"/>
      <c r="F4" s="2"/>
      <c r="G4" s="2"/>
      <c r="H4" s="2" t="s">
        <v>30</v>
      </c>
    </row>
    <row r="5" spans="1:8" x14ac:dyDescent="0.25">
      <c r="A5" s="3"/>
      <c r="B5" s="4">
        <v>46276</v>
      </c>
      <c r="C5" s="23"/>
      <c r="D5" s="4"/>
      <c r="E5" s="4"/>
      <c r="F5" s="4"/>
      <c r="G5" s="4"/>
      <c r="H5" s="4">
        <v>46295</v>
      </c>
    </row>
    <row r="6" spans="1:8" x14ac:dyDescent="0.25">
      <c r="A6" s="5" t="s">
        <v>127</v>
      </c>
      <c r="B6" s="24">
        <v>10</v>
      </c>
      <c r="C6" s="6"/>
      <c r="D6" s="6"/>
      <c r="E6" s="6"/>
      <c r="F6" s="6"/>
      <c r="G6" s="6"/>
      <c r="H6" s="7">
        <f t="shared" ref="H6" si="0">SUM(B6:G6)</f>
        <v>10</v>
      </c>
    </row>
    <row r="7" spans="1:8" x14ac:dyDescent="0.25">
      <c r="A7" s="5"/>
      <c r="B7" s="24"/>
      <c r="C7" s="6"/>
      <c r="D7" s="6"/>
      <c r="E7" s="6"/>
      <c r="F7" s="6"/>
      <c r="G7" s="6"/>
      <c r="H7" s="7"/>
    </row>
    <row r="8" spans="1:8" x14ac:dyDescent="0.25">
      <c r="A8" s="3" t="s">
        <v>7</v>
      </c>
      <c r="B8" s="17">
        <v>0.18958333333333333</v>
      </c>
      <c r="C8" s="8"/>
      <c r="D8" s="8"/>
      <c r="E8" s="8"/>
      <c r="F8" s="8"/>
      <c r="G8" s="8"/>
      <c r="H8" s="9"/>
    </row>
    <row r="9" spans="1:8" x14ac:dyDescent="0.25">
      <c r="A9" s="3" t="s">
        <v>8</v>
      </c>
      <c r="B9" s="10" t="s">
        <v>249</v>
      </c>
      <c r="C9" s="10"/>
      <c r="D9" s="10"/>
      <c r="E9" s="10"/>
      <c r="F9" s="10"/>
      <c r="G9" s="10"/>
      <c r="H9" s="11">
        <f>SUM(B9:E9)</f>
        <v>0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C233-51DA-4BFA-92FF-4E8BEF35A930}">
  <dimension ref="A1:H11"/>
  <sheetViews>
    <sheetView workbookViewId="0">
      <selection activeCell="J12" sqref="J12"/>
    </sheetView>
  </sheetViews>
  <sheetFormatPr baseColWidth="10" defaultRowHeight="15" x14ac:dyDescent="0.25"/>
  <cols>
    <col min="1" max="1" width="45.140625" customWidth="1"/>
  </cols>
  <sheetData>
    <row r="1" spans="1:8" ht="18.75" x14ac:dyDescent="0.3">
      <c r="A1" s="109" t="s">
        <v>252</v>
      </c>
      <c r="B1" s="110"/>
      <c r="C1" s="110"/>
      <c r="D1" s="110"/>
      <c r="E1" s="110"/>
      <c r="F1" s="110"/>
      <c r="G1" s="110"/>
      <c r="H1" s="111"/>
    </row>
    <row r="2" spans="1:8" ht="18.75" x14ac:dyDescent="0.3">
      <c r="A2" s="112" t="s">
        <v>284</v>
      </c>
      <c r="B2" s="113"/>
      <c r="C2" s="113"/>
      <c r="D2" s="113"/>
      <c r="E2" s="113"/>
      <c r="F2" s="113"/>
      <c r="G2" s="113"/>
      <c r="H2" s="114"/>
    </row>
    <row r="3" spans="1:8" ht="18.75" x14ac:dyDescent="0.3">
      <c r="A3" s="112" t="s">
        <v>182</v>
      </c>
      <c r="B3" s="113"/>
      <c r="C3" s="113"/>
      <c r="D3" s="113"/>
      <c r="E3" s="113"/>
      <c r="F3" s="113"/>
      <c r="G3" s="113"/>
      <c r="H3" s="113"/>
    </row>
    <row r="4" spans="1:8" x14ac:dyDescent="0.25">
      <c r="A4" s="1" t="s">
        <v>2</v>
      </c>
      <c r="B4" s="2">
        <v>14015</v>
      </c>
      <c r="C4" s="2">
        <v>14018</v>
      </c>
      <c r="D4" s="2"/>
      <c r="E4" s="2"/>
      <c r="F4" s="2"/>
      <c r="G4" s="2"/>
      <c r="H4" s="2" t="s">
        <v>30</v>
      </c>
    </row>
    <row r="5" spans="1:8" x14ac:dyDescent="0.25">
      <c r="A5" s="3"/>
      <c r="B5" s="4">
        <v>46279</v>
      </c>
      <c r="C5" s="23">
        <v>46280</v>
      </c>
      <c r="D5" s="4"/>
      <c r="E5" s="4"/>
      <c r="F5" s="4"/>
      <c r="G5" s="4"/>
      <c r="H5" s="4">
        <v>46295</v>
      </c>
    </row>
    <row r="6" spans="1:8" x14ac:dyDescent="0.25">
      <c r="A6" s="5" t="s">
        <v>285</v>
      </c>
      <c r="B6" s="107">
        <v>1</v>
      </c>
      <c r="C6" s="6"/>
      <c r="D6" s="6"/>
      <c r="E6" s="6"/>
      <c r="F6" s="6"/>
      <c r="G6" s="6"/>
      <c r="H6" s="7">
        <f t="shared" ref="H6" si="0">SUM(B6:G6)</f>
        <v>1</v>
      </c>
    </row>
    <row r="7" spans="1:8" x14ac:dyDescent="0.25">
      <c r="A7" s="5" t="s">
        <v>4</v>
      </c>
      <c r="B7" s="24"/>
      <c r="C7" s="6">
        <v>4</v>
      </c>
      <c r="D7" s="6"/>
      <c r="E7" s="6"/>
      <c r="F7" s="6"/>
      <c r="G7" s="6"/>
      <c r="H7" s="7">
        <f>SUM(B7:G7)</f>
        <v>4</v>
      </c>
    </row>
    <row r="8" spans="1:8" x14ac:dyDescent="0.25">
      <c r="A8" s="5" t="s">
        <v>286</v>
      </c>
      <c r="B8" s="24"/>
      <c r="C8" s="6">
        <v>4</v>
      </c>
      <c r="D8" s="6"/>
      <c r="E8" s="6"/>
      <c r="F8" s="6"/>
      <c r="G8" s="6"/>
      <c r="H8" s="7">
        <f>SUM(B8:G8)</f>
        <v>4</v>
      </c>
    </row>
    <row r="9" spans="1:8" x14ac:dyDescent="0.25">
      <c r="A9" s="5" t="s">
        <v>287</v>
      </c>
      <c r="B9" s="24"/>
      <c r="C9" s="6">
        <v>1</v>
      </c>
      <c r="D9" s="6"/>
      <c r="E9" s="6"/>
      <c r="F9" s="6"/>
      <c r="G9" s="6"/>
      <c r="H9" s="7">
        <f>SUM(B9:G9)</f>
        <v>1</v>
      </c>
    </row>
    <row r="10" spans="1:8" x14ac:dyDescent="0.25">
      <c r="A10" s="3" t="s">
        <v>7</v>
      </c>
      <c r="B10" s="17">
        <v>0.44097222222222221</v>
      </c>
      <c r="C10" s="8">
        <v>0.3888888888888889</v>
      </c>
      <c r="D10" s="8"/>
      <c r="E10" s="8"/>
      <c r="F10" s="8"/>
      <c r="G10" s="8"/>
      <c r="H10" s="9"/>
    </row>
    <row r="11" spans="1:8" x14ac:dyDescent="0.25">
      <c r="A11" s="3" t="s">
        <v>8</v>
      </c>
      <c r="B11" s="10" t="s">
        <v>50</v>
      </c>
      <c r="C11" s="10" t="s">
        <v>50</v>
      </c>
      <c r="D11" s="10"/>
      <c r="E11" s="10"/>
      <c r="F11" s="10"/>
      <c r="G11" s="10"/>
      <c r="H11" s="11">
        <f>SUM(B11:E11)</f>
        <v>0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18FA-EC71-4737-AEFD-8CF7A17E4479}">
  <dimension ref="A1:H10"/>
  <sheetViews>
    <sheetView workbookViewId="0">
      <selection activeCell="D13" sqref="D13"/>
    </sheetView>
  </sheetViews>
  <sheetFormatPr baseColWidth="10" defaultRowHeight="15" x14ac:dyDescent="0.25"/>
  <cols>
    <col min="1" max="1" width="41.7109375" customWidth="1"/>
  </cols>
  <sheetData>
    <row r="1" spans="1:8" ht="18.75" x14ac:dyDescent="0.3">
      <c r="A1" s="109" t="s">
        <v>46</v>
      </c>
      <c r="B1" s="110"/>
      <c r="C1" s="110"/>
      <c r="D1" s="110"/>
      <c r="E1" s="110"/>
      <c r="F1" s="110"/>
      <c r="G1" s="110"/>
      <c r="H1" s="111"/>
    </row>
    <row r="2" spans="1:8" ht="18.75" x14ac:dyDescent="0.3">
      <c r="A2" s="112" t="s">
        <v>47</v>
      </c>
      <c r="B2" s="113"/>
      <c r="C2" s="113"/>
      <c r="D2" s="113"/>
      <c r="E2" s="113"/>
      <c r="F2" s="113"/>
      <c r="G2" s="113"/>
      <c r="H2" s="114"/>
    </row>
    <row r="3" spans="1:8" ht="18.75" x14ac:dyDescent="0.3">
      <c r="A3" s="112" t="s">
        <v>42</v>
      </c>
      <c r="B3" s="113"/>
      <c r="C3" s="113"/>
      <c r="D3" s="113"/>
      <c r="E3" s="113"/>
      <c r="F3" s="113"/>
      <c r="G3" s="113"/>
      <c r="H3" s="113"/>
    </row>
    <row r="4" spans="1:8" x14ac:dyDescent="0.25">
      <c r="A4" s="1" t="s">
        <v>2</v>
      </c>
      <c r="B4" s="2">
        <v>13981</v>
      </c>
      <c r="C4" s="2">
        <v>13981</v>
      </c>
      <c r="D4" s="2"/>
      <c r="E4" s="2"/>
      <c r="F4" s="2"/>
      <c r="G4" s="2"/>
      <c r="H4" s="2" t="s">
        <v>30</v>
      </c>
    </row>
    <row r="5" spans="1:8" x14ac:dyDescent="0.25">
      <c r="A5" s="3"/>
      <c r="B5" s="4">
        <v>46266</v>
      </c>
      <c r="C5" s="23">
        <v>46267</v>
      </c>
      <c r="D5" s="4"/>
      <c r="E5" s="4"/>
      <c r="F5" s="4"/>
      <c r="G5" s="4"/>
      <c r="H5" s="4">
        <v>46295</v>
      </c>
    </row>
    <row r="6" spans="1:8" x14ac:dyDescent="0.25">
      <c r="A6" s="5" t="s">
        <v>48</v>
      </c>
      <c r="B6" s="24">
        <v>1</v>
      </c>
      <c r="C6" s="6">
        <v>-1</v>
      </c>
      <c r="D6" s="6"/>
      <c r="E6" s="6"/>
      <c r="F6" s="6"/>
      <c r="G6" s="6"/>
      <c r="H6" s="7">
        <f>SUM(B6:F6)</f>
        <v>0</v>
      </c>
    </row>
    <row r="7" spans="1:8" x14ac:dyDescent="0.25">
      <c r="A7" s="5"/>
      <c r="B7" s="24"/>
      <c r="C7" s="6"/>
      <c r="D7" s="6"/>
      <c r="E7" s="6"/>
      <c r="F7" s="6"/>
      <c r="G7" s="6"/>
      <c r="H7" s="7">
        <f>SUM(B7:F7)</f>
        <v>0</v>
      </c>
    </row>
    <row r="8" spans="1:8" x14ac:dyDescent="0.25">
      <c r="A8" s="3" t="s">
        <v>7</v>
      </c>
      <c r="B8" s="17">
        <v>0.40972222222222221</v>
      </c>
      <c r="C8" s="8">
        <v>7.0833333333333331E-2</v>
      </c>
      <c r="D8" s="8"/>
      <c r="E8" s="8"/>
      <c r="F8" s="8"/>
      <c r="G8" s="8"/>
      <c r="H8" s="9"/>
    </row>
    <row r="9" spans="1:8" x14ac:dyDescent="0.25">
      <c r="A9" s="3" t="s">
        <v>8</v>
      </c>
      <c r="B9" s="10" t="s">
        <v>50</v>
      </c>
      <c r="C9" s="10" t="s">
        <v>50</v>
      </c>
      <c r="D9" s="10"/>
      <c r="E9" s="10"/>
      <c r="F9" s="10"/>
      <c r="G9" s="10"/>
      <c r="H9" s="11">
        <f>SUM(B9:E9)</f>
        <v>0</v>
      </c>
    </row>
    <row r="10" spans="1:8" x14ac:dyDescent="0.25">
      <c r="A10" s="20" t="s">
        <v>49</v>
      </c>
      <c r="C10" t="s">
        <v>72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3B93E-E5F4-4980-A81A-2D214DDBBB5E}">
  <dimension ref="A1:K17"/>
  <sheetViews>
    <sheetView workbookViewId="0">
      <selection activeCell="J1" sqref="J1"/>
    </sheetView>
  </sheetViews>
  <sheetFormatPr baseColWidth="10" defaultRowHeight="15" x14ac:dyDescent="0.25"/>
  <cols>
    <col min="1" max="1" width="30.5703125" customWidth="1"/>
    <col min="2" max="2" width="17.5703125" customWidth="1"/>
    <col min="3" max="3" width="17.42578125" customWidth="1"/>
    <col min="4" max="7" width="17.85546875" customWidth="1"/>
    <col min="8" max="8" width="20.28515625" customWidth="1"/>
  </cols>
  <sheetData>
    <row r="1" spans="1:11" ht="18.75" x14ac:dyDescent="0.3">
      <c r="A1" s="109" t="s">
        <v>137</v>
      </c>
      <c r="B1" s="110"/>
      <c r="C1" s="110"/>
      <c r="D1" s="110"/>
      <c r="E1" s="110"/>
      <c r="F1" s="110"/>
      <c r="G1" s="110"/>
      <c r="H1" s="111"/>
    </row>
    <row r="2" spans="1:11" ht="18.75" x14ac:dyDescent="0.3">
      <c r="A2" s="112" t="s">
        <v>138</v>
      </c>
      <c r="B2" s="113"/>
      <c r="C2" s="113"/>
      <c r="D2" s="113"/>
      <c r="E2" s="113"/>
      <c r="F2" s="113"/>
      <c r="G2" s="113"/>
      <c r="H2" s="114"/>
    </row>
    <row r="3" spans="1:11" ht="18.75" x14ac:dyDescent="0.3">
      <c r="A3" s="112" t="s">
        <v>139</v>
      </c>
      <c r="B3" s="113"/>
      <c r="C3" s="113"/>
      <c r="D3" s="113"/>
      <c r="E3" s="113"/>
      <c r="F3" s="113"/>
      <c r="G3" s="113"/>
      <c r="H3" s="113"/>
    </row>
    <row r="4" spans="1:11" x14ac:dyDescent="0.25">
      <c r="A4" s="1" t="s">
        <v>2</v>
      </c>
      <c r="B4" s="2">
        <v>13959</v>
      </c>
      <c r="C4" s="2">
        <v>13960</v>
      </c>
      <c r="D4" s="2">
        <v>13964</v>
      </c>
      <c r="E4" s="2">
        <v>13626</v>
      </c>
      <c r="F4" s="2">
        <v>13627</v>
      </c>
      <c r="G4" s="2">
        <v>13628</v>
      </c>
      <c r="H4" s="47" t="s">
        <v>30</v>
      </c>
    </row>
    <row r="5" spans="1:11" x14ac:dyDescent="0.25">
      <c r="A5" s="3"/>
      <c r="B5" s="4">
        <v>46258</v>
      </c>
      <c r="C5" s="4">
        <v>46259</v>
      </c>
      <c r="D5" s="4">
        <v>46259</v>
      </c>
      <c r="E5" s="4">
        <v>46273</v>
      </c>
      <c r="F5" s="4">
        <v>46273</v>
      </c>
      <c r="G5" s="4">
        <v>46273</v>
      </c>
      <c r="H5" s="25">
        <v>46265</v>
      </c>
    </row>
    <row r="6" spans="1:11" x14ac:dyDescent="0.25">
      <c r="A6" s="5" t="s">
        <v>22</v>
      </c>
      <c r="B6" s="6">
        <v>2</v>
      </c>
      <c r="C6" s="24">
        <v>84</v>
      </c>
      <c r="D6" s="6">
        <v>9</v>
      </c>
      <c r="E6" s="6">
        <v>-67</v>
      </c>
      <c r="F6" s="6"/>
      <c r="G6" s="6">
        <v>-28</v>
      </c>
      <c r="H6" s="7">
        <f>SUM(B6:G6)</f>
        <v>0</v>
      </c>
      <c r="I6" s="75">
        <v>26</v>
      </c>
      <c r="J6">
        <f>H6*I6</f>
        <v>0</v>
      </c>
    </row>
    <row r="7" spans="1:11" x14ac:dyDescent="0.25">
      <c r="A7" s="5" t="s">
        <v>36</v>
      </c>
      <c r="B7" s="6"/>
      <c r="C7" s="24">
        <v>200</v>
      </c>
      <c r="D7" s="6">
        <v>300</v>
      </c>
      <c r="E7" s="6"/>
      <c r="F7" s="6">
        <v>-400</v>
      </c>
      <c r="G7" s="6">
        <v>-100</v>
      </c>
      <c r="H7" s="7">
        <f t="shared" ref="H7:H15" si="0">SUM(B7:G7)</f>
        <v>0</v>
      </c>
      <c r="I7">
        <v>0.2</v>
      </c>
      <c r="J7">
        <f t="shared" ref="J7:J14" si="1">H7*I7</f>
        <v>0</v>
      </c>
    </row>
    <row r="8" spans="1:11" x14ac:dyDescent="0.25">
      <c r="A8" s="5" t="s">
        <v>21</v>
      </c>
      <c r="B8" s="6">
        <v>26</v>
      </c>
      <c r="C8" s="24"/>
      <c r="D8" s="6"/>
      <c r="E8" s="6"/>
      <c r="F8" s="6">
        <v>-21</v>
      </c>
      <c r="G8" s="6">
        <v>-5</v>
      </c>
      <c r="H8" s="7">
        <f t="shared" si="0"/>
        <v>0</v>
      </c>
      <c r="J8">
        <f t="shared" si="1"/>
        <v>0</v>
      </c>
    </row>
    <row r="9" spans="1:11" x14ac:dyDescent="0.25">
      <c r="A9" s="5" t="s">
        <v>16</v>
      </c>
      <c r="B9" s="6">
        <v>90</v>
      </c>
      <c r="C9" s="24"/>
      <c r="D9" s="6"/>
      <c r="E9" s="6"/>
      <c r="F9" s="6">
        <v>-80</v>
      </c>
      <c r="G9" s="6">
        <v>-10</v>
      </c>
      <c r="H9" s="7">
        <f t="shared" si="0"/>
        <v>0</v>
      </c>
      <c r="I9">
        <v>13.5</v>
      </c>
      <c r="J9">
        <f t="shared" si="1"/>
        <v>0</v>
      </c>
    </row>
    <row r="10" spans="1:11" x14ac:dyDescent="0.25">
      <c r="A10" s="5" t="s">
        <v>64</v>
      </c>
      <c r="B10" s="6"/>
      <c r="C10" s="24"/>
      <c r="D10" s="6">
        <v>7</v>
      </c>
      <c r="E10" s="6">
        <v>-7</v>
      </c>
      <c r="F10" s="6"/>
      <c r="G10" s="6"/>
      <c r="H10" s="7">
        <f t="shared" si="0"/>
        <v>0</v>
      </c>
      <c r="J10">
        <f t="shared" si="1"/>
        <v>0</v>
      </c>
    </row>
    <row r="11" spans="1:11" x14ac:dyDescent="0.25">
      <c r="A11" s="5" t="s">
        <v>89</v>
      </c>
      <c r="B11" s="6"/>
      <c r="C11" s="24"/>
      <c r="D11" s="6">
        <v>1</v>
      </c>
      <c r="E11" s="6"/>
      <c r="F11" s="6">
        <v>-1</v>
      </c>
      <c r="G11" s="6"/>
      <c r="H11" s="7">
        <f t="shared" si="0"/>
        <v>0</v>
      </c>
      <c r="I11">
        <v>1</v>
      </c>
      <c r="J11">
        <f t="shared" si="1"/>
        <v>0</v>
      </c>
    </row>
    <row r="12" spans="1:11" x14ac:dyDescent="0.25">
      <c r="A12" s="5" t="s">
        <v>107</v>
      </c>
      <c r="B12" s="6"/>
      <c r="C12" s="24"/>
      <c r="D12" s="6">
        <v>13</v>
      </c>
      <c r="E12" s="6">
        <v>-13</v>
      </c>
      <c r="F12" s="6"/>
      <c r="G12" s="6"/>
      <c r="H12" s="7">
        <f t="shared" si="0"/>
        <v>0</v>
      </c>
      <c r="J12">
        <f t="shared" si="1"/>
        <v>0</v>
      </c>
      <c r="K12">
        <v>0</v>
      </c>
    </row>
    <row r="13" spans="1:11" x14ac:dyDescent="0.25">
      <c r="A13" s="5" t="s">
        <v>87</v>
      </c>
      <c r="B13" s="6"/>
      <c r="C13" s="24"/>
      <c r="D13" s="6">
        <v>15</v>
      </c>
      <c r="E13" s="6">
        <v>-7</v>
      </c>
      <c r="F13" s="6">
        <v>-6</v>
      </c>
      <c r="G13" s="6">
        <v>-2</v>
      </c>
      <c r="H13" s="7">
        <f t="shared" si="0"/>
        <v>0</v>
      </c>
      <c r="I13">
        <v>13.5</v>
      </c>
      <c r="J13">
        <f t="shared" si="1"/>
        <v>0</v>
      </c>
    </row>
    <row r="14" spans="1:11" x14ac:dyDescent="0.25">
      <c r="A14" s="5" t="s">
        <v>15</v>
      </c>
      <c r="B14" s="6"/>
      <c r="C14" s="24"/>
      <c r="D14" s="6">
        <v>6</v>
      </c>
      <c r="E14" s="6">
        <v>-1</v>
      </c>
      <c r="F14" s="6">
        <v>-5</v>
      </c>
      <c r="G14" s="6"/>
      <c r="H14" s="7">
        <f t="shared" si="0"/>
        <v>0</v>
      </c>
      <c r="I14">
        <v>15.5</v>
      </c>
      <c r="J14">
        <f t="shared" si="1"/>
        <v>0</v>
      </c>
    </row>
    <row r="15" spans="1:11" x14ac:dyDescent="0.25">
      <c r="A15" s="5" t="s">
        <v>33</v>
      </c>
      <c r="B15" s="6"/>
      <c r="C15" s="24"/>
      <c r="D15" s="6">
        <v>10</v>
      </c>
      <c r="E15" s="6">
        <v>-10</v>
      </c>
      <c r="F15" s="6"/>
      <c r="G15" s="6"/>
      <c r="H15" s="7">
        <f t="shared" si="0"/>
        <v>0</v>
      </c>
      <c r="J15">
        <f>SUM(J6:J14)</f>
        <v>0</v>
      </c>
    </row>
    <row r="16" spans="1:11" x14ac:dyDescent="0.25">
      <c r="A16" s="3" t="s">
        <v>7</v>
      </c>
      <c r="B16" s="8">
        <v>8.3333333333333329E-2</v>
      </c>
      <c r="C16" s="17">
        <v>0.1111111111111111</v>
      </c>
      <c r="D16" s="8">
        <v>0.4375</v>
      </c>
      <c r="E16" s="8">
        <v>0.4375</v>
      </c>
      <c r="F16" s="8">
        <v>0.10416666666666667</v>
      </c>
      <c r="G16" s="8" t="s">
        <v>194</v>
      </c>
      <c r="H16" s="9">
        <f>SUM(D16)</f>
        <v>0.4375</v>
      </c>
    </row>
    <row r="17" spans="1:8" x14ac:dyDescent="0.25">
      <c r="A17" s="3" t="s">
        <v>8</v>
      </c>
      <c r="B17" s="10">
        <v>100000</v>
      </c>
      <c r="C17" s="43">
        <v>100000</v>
      </c>
      <c r="D17" s="10">
        <v>75000</v>
      </c>
      <c r="E17" s="10">
        <v>100000</v>
      </c>
      <c r="F17" s="10">
        <v>100000</v>
      </c>
      <c r="G17" s="10">
        <v>70000</v>
      </c>
      <c r="H17" s="11">
        <f>SUM(B17:D17)</f>
        <v>275000</v>
      </c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C8FA-4BFE-44E2-AECF-19D5673325F7}">
  <dimension ref="A1:J31"/>
  <sheetViews>
    <sheetView topLeftCell="A15" workbookViewId="0">
      <selection activeCell="K25" sqref="K25"/>
    </sheetView>
  </sheetViews>
  <sheetFormatPr baseColWidth="10" defaultRowHeight="15" x14ac:dyDescent="0.25"/>
  <cols>
    <col min="1" max="1" width="27.85546875" customWidth="1"/>
    <col min="2" max="2" width="15.140625" customWidth="1"/>
  </cols>
  <sheetData>
    <row r="1" spans="1:10" ht="18.75" x14ac:dyDescent="0.3">
      <c r="A1" s="109" t="s">
        <v>195</v>
      </c>
      <c r="B1" s="110"/>
      <c r="C1" s="110"/>
      <c r="D1" s="110"/>
      <c r="E1" s="110"/>
      <c r="F1" s="110"/>
      <c r="G1" s="110"/>
    </row>
    <row r="2" spans="1:10" ht="18.75" x14ac:dyDescent="0.3">
      <c r="A2" s="112" t="s">
        <v>196</v>
      </c>
      <c r="B2" s="113"/>
      <c r="C2" s="113"/>
      <c r="D2" s="113"/>
      <c r="E2" s="113"/>
      <c r="F2" s="113"/>
      <c r="G2" s="113"/>
    </row>
    <row r="3" spans="1:10" ht="18.75" x14ac:dyDescent="0.3">
      <c r="A3" s="112" t="s">
        <v>32</v>
      </c>
      <c r="B3" s="113"/>
      <c r="C3" s="113"/>
      <c r="D3" s="113"/>
      <c r="E3" s="113"/>
      <c r="F3" s="113"/>
      <c r="G3" s="113"/>
    </row>
    <row r="4" spans="1:10" x14ac:dyDescent="0.25">
      <c r="A4" s="1" t="s">
        <v>2</v>
      </c>
      <c r="B4" s="2">
        <v>13949</v>
      </c>
      <c r="C4" s="2">
        <v>13629</v>
      </c>
      <c r="D4" s="2">
        <v>14000</v>
      </c>
      <c r="E4" s="2">
        <v>14009</v>
      </c>
      <c r="F4" s="2">
        <v>13644</v>
      </c>
      <c r="G4" s="2" t="s">
        <v>3</v>
      </c>
    </row>
    <row r="5" spans="1:10" x14ac:dyDescent="0.25">
      <c r="A5" s="3"/>
      <c r="B5" s="4">
        <v>46254</v>
      </c>
      <c r="C5" s="57">
        <v>46274</v>
      </c>
      <c r="D5" s="4">
        <v>46274</v>
      </c>
      <c r="E5" s="4">
        <v>46275</v>
      </c>
      <c r="F5" s="4">
        <v>46281</v>
      </c>
      <c r="G5" s="4">
        <v>46264</v>
      </c>
    </row>
    <row r="6" spans="1:10" x14ac:dyDescent="0.25">
      <c r="A6" s="5" t="s">
        <v>197</v>
      </c>
      <c r="B6" s="24">
        <v>6</v>
      </c>
      <c r="C6" s="6">
        <v>-6</v>
      </c>
      <c r="D6" s="6"/>
      <c r="E6" s="6"/>
      <c r="F6" s="6"/>
      <c r="G6" s="7">
        <f t="shared" ref="G6:G7" si="0">SUM(B6:F6)</f>
        <v>0</v>
      </c>
    </row>
    <row r="7" spans="1:10" x14ac:dyDescent="0.25">
      <c r="A7" s="5" t="s">
        <v>209</v>
      </c>
      <c r="B7" s="24"/>
      <c r="C7" s="6"/>
      <c r="D7" s="6">
        <v>6</v>
      </c>
      <c r="E7" s="6"/>
      <c r="F7" s="6"/>
      <c r="G7" s="7">
        <f t="shared" si="0"/>
        <v>6</v>
      </c>
    </row>
    <row r="8" spans="1:10" x14ac:dyDescent="0.25">
      <c r="A8" s="5" t="s">
        <v>13</v>
      </c>
      <c r="B8" s="24"/>
      <c r="C8" s="6"/>
      <c r="D8" s="6">
        <v>6</v>
      </c>
      <c r="E8" s="6"/>
      <c r="F8" s="6"/>
      <c r="G8" s="7">
        <f>SUM(B8:F8)</f>
        <v>6</v>
      </c>
    </row>
    <row r="9" spans="1:10" x14ac:dyDescent="0.25">
      <c r="A9" s="5" t="s">
        <v>6</v>
      </c>
      <c r="B9" s="24"/>
      <c r="C9" s="6"/>
      <c r="D9" s="6">
        <v>6</v>
      </c>
      <c r="E9" s="6"/>
      <c r="F9" s="6"/>
      <c r="G9" s="7">
        <f>SUM(B9:F9)</f>
        <v>6</v>
      </c>
    </row>
    <row r="10" spans="1:10" x14ac:dyDescent="0.25">
      <c r="A10" s="5" t="s">
        <v>34</v>
      </c>
      <c r="B10" s="24"/>
      <c r="C10" s="6"/>
      <c r="D10" s="6"/>
      <c r="E10" s="6">
        <v>12</v>
      </c>
      <c r="F10" s="6">
        <v>-12</v>
      </c>
      <c r="G10" s="7">
        <f t="shared" ref="G10:G21" si="1">SUM(E10:F10)</f>
        <v>0</v>
      </c>
    </row>
    <row r="11" spans="1:10" x14ac:dyDescent="0.25">
      <c r="A11" s="5" t="s">
        <v>106</v>
      </c>
      <c r="B11" s="24"/>
      <c r="C11" s="6"/>
      <c r="D11" s="6"/>
      <c r="E11" s="6">
        <v>12</v>
      </c>
      <c r="F11" s="6">
        <v>-12</v>
      </c>
      <c r="G11" s="7">
        <f t="shared" si="1"/>
        <v>0</v>
      </c>
      <c r="J11" s="88"/>
    </row>
    <row r="12" spans="1:10" x14ac:dyDescent="0.25">
      <c r="A12" s="5" t="s">
        <v>238</v>
      </c>
      <c r="B12" s="24"/>
      <c r="C12" s="6"/>
      <c r="D12" s="6"/>
      <c r="E12" s="6">
        <v>4</v>
      </c>
      <c r="F12" s="6">
        <v>-4</v>
      </c>
      <c r="G12" s="7">
        <f t="shared" si="1"/>
        <v>0</v>
      </c>
    </row>
    <row r="13" spans="1:10" x14ac:dyDescent="0.25">
      <c r="A13" s="5" t="s">
        <v>232</v>
      </c>
      <c r="B13" s="24"/>
      <c r="C13" s="6"/>
      <c r="D13" s="6"/>
      <c r="E13" s="6">
        <v>4</v>
      </c>
      <c r="F13" s="6">
        <v>-4</v>
      </c>
      <c r="G13" s="7">
        <f t="shared" si="1"/>
        <v>0</v>
      </c>
    </row>
    <row r="14" spans="1:10" x14ac:dyDescent="0.25">
      <c r="A14" s="5" t="s">
        <v>37</v>
      </c>
      <c r="B14" s="24"/>
      <c r="C14" s="6"/>
      <c r="D14" s="6"/>
      <c r="E14" s="6">
        <v>20</v>
      </c>
      <c r="F14" s="6">
        <v>-20</v>
      </c>
      <c r="G14" s="7">
        <f t="shared" si="1"/>
        <v>0</v>
      </c>
    </row>
    <row r="15" spans="1:10" x14ac:dyDescent="0.25">
      <c r="A15" s="5" t="s">
        <v>67</v>
      </c>
      <c r="B15" s="24"/>
      <c r="C15" s="6"/>
      <c r="D15" s="6"/>
      <c r="E15" s="6">
        <v>12</v>
      </c>
      <c r="F15" s="6">
        <v>-12</v>
      </c>
      <c r="G15" s="7">
        <f t="shared" si="1"/>
        <v>0</v>
      </c>
    </row>
    <row r="16" spans="1:10" x14ac:dyDescent="0.25">
      <c r="A16" s="5" t="s">
        <v>36</v>
      </c>
      <c r="B16" s="24"/>
      <c r="C16" s="6"/>
      <c r="D16" s="6"/>
      <c r="E16" s="6">
        <v>500</v>
      </c>
      <c r="F16" s="6">
        <v>-500</v>
      </c>
      <c r="G16" s="7">
        <f t="shared" si="1"/>
        <v>0</v>
      </c>
    </row>
    <row r="17" spans="1:7" x14ac:dyDescent="0.25">
      <c r="A17" s="5" t="s">
        <v>239</v>
      </c>
      <c r="B17" s="24"/>
      <c r="C17" s="6"/>
      <c r="D17" s="6"/>
      <c r="E17" s="6">
        <v>15</v>
      </c>
      <c r="F17" s="6">
        <v>-15</v>
      </c>
      <c r="G17" s="7">
        <f t="shared" si="1"/>
        <v>0</v>
      </c>
    </row>
    <row r="18" spans="1:7" x14ac:dyDescent="0.25">
      <c r="A18" s="5" t="s">
        <v>89</v>
      </c>
      <c r="B18" s="24"/>
      <c r="C18" s="6"/>
      <c r="D18" s="6"/>
      <c r="E18" s="6">
        <v>1</v>
      </c>
      <c r="F18" s="6">
        <v>-1</v>
      </c>
      <c r="G18" s="7">
        <f t="shared" si="1"/>
        <v>0</v>
      </c>
    </row>
    <row r="19" spans="1:7" x14ac:dyDescent="0.25">
      <c r="A19" s="5" t="s">
        <v>240</v>
      </c>
      <c r="B19" s="24"/>
      <c r="C19" s="6"/>
      <c r="D19" s="6"/>
      <c r="E19" s="6">
        <v>1</v>
      </c>
      <c r="F19" s="6"/>
      <c r="G19" s="7">
        <f t="shared" si="1"/>
        <v>1</v>
      </c>
    </row>
    <row r="20" spans="1:7" x14ac:dyDescent="0.25">
      <c r="A20" s="3" t="s">
        <v>7</v>
      </c>
      <c r="B20" s="77">
        <v>0.4375</v>
      </c>
      <c r="C20" s="59">
        <v>0.36805555555555558</v>
      </c>
      <c r="D20" s="8">
        <v>0.35416666666666669</v>
      </c>
      <c r="E20" s="8">
        <v>0.15277777777777779</v>
      </c>
      <c r="F20" s="8">
        <v>0.47916666666666669</v>
      </c>
      <c r="G20" s="9">
        <f t="shared" si="1"/>
        <v>0.63194444444444442</v>
      </c>
    </row>
    <row r="21" spans="1:7" x14ac:dyDescent="0.25">
      <c r="A21" s="3" t="s">
        <v>8</v>
      </c>
      <c r="B21" s="11">
        <v>30000</v>
      </c>
      <c r="C21" s="10">
        <v>30000</v>
      </c>
      <c r="D21" s="10">
        <v>30000</v>
      </c>
      <c r="E21" s="10">
        <v>50000</v>
      </c>
      <c r="F21" s="10">
        <v>50000</v>
      </c>
      <c r="G21" s="11">
        <f t="shared" si="1"/>
        <v>100000</v>
      </c>
    </row>
    <row r="24" spans="1:7" ht="18.75" x14ac:dyDescent="0.3">
      <c r="A24" s="115" t="s">
        <v>314</v>
      </c>
      <c r="B24" s="113"/>
      <c r="C24" s="113"/>
      <c r="D24" s="113"/>
      <c r="E24" s="113"/>
      <c r="F24" s="113"/>
      <c r="G24" s="116"/>
    </row>
    <row r="25" spans="1:7" ht="18.75" x14ac:dyDescent="0.3">
      <c r="A25" s="113" t="s">
        <v>196</v>
      </c>
      <c r="B25" s="113"/>
      <c r="C25" s="113"/>
      <c r="D25" s="113"/>
      <c r="E25" s="113"/>
      <c r="F25" s="113"/>
      <c r="G25" s="116"/>
    </row>
    <row r="26" spans="1:7" ht="18.75" x14ac:dyDescent="0.3">
      <c r="A26" s="115" t="s">
        <v>211</v>
      </c>
      <c r="B26" s="113"/>
      <c r="C26" s="113"/>
      <c r="D26" s="113"/>
      <c r="E26" s="113"/>
      <c r="F26" s="113"/>
      <c r="G26" s="116"/>
    </row>
    <row r="27" spans="1:7" x14ac:dyDescent="0.25">
      <c r="A27" s="119" t="s">
        <v>2</v>
      </c>
      <c r="B27" s="12">
        <v>14001</v>
      </c>
      <c r="C27" s="9">
        <v>13652</v>
      </c>
      <c r="D27" s="9"/>
      <c r="E27" s="9"/>
      <c r="F27" s="9"/>
      <c r="G27" s="12" t="s">
        <v>3</v>
      </c>
    </row>
    <row r="28" spans="1:7" x14ac:dyDescent="0.25">
      <c r="A28" s="120"/>
      <c r="B28" s="4">
        <v>46274</v>
      </c>
      <c r="C28" s="4">
        <v>46283</v>
      </c>
      <c r="D28" s="4"/>
      <c r="E28" s="4"/>
      <c r="F28" s="4"/>
      <c r="G28" s="4">
        <v>46295</v>
      </c>
    </row>
    <row r="29" spans="1:7" x14ac:dyDescent="0.25">
      <c r="A29" s="13" t="s">
        <v>197</v>
      </c>
      <c r="B29" s="14">
        <v>6</v>
      </c>
      <c r="C29" s="15">
        <v>-6</v>
      </c>
      <c r="D29" s="15"/>
      <c r="E29" s="15"/>
      <c r="F29" s="15"/>
      <c r="G29" s="7">
        <f>SUM( B29:F29)</f>
        <v>0</v>
      </c>
    </row>
    <row r="30" spans="1:7" x14ac:dyDescent="0.25">
      <c r="A30" s="16" t="s">
        <v>19</v>
      </c>
      <c r="B30" s="8">
        <v>0.34027777777777779</v>
      </c>
      <c r="C30" s="17">
        <v>0.3125</v>
      </c>
      <c r="D30" s="17"/>
      <c r="E30" s="17"/>
      <c r="F30" s="17"/>
      <c r="G30" s="9"/>
    </row>
    <row r="31" spans="1:7" x14ac:dyDescent="0.25">
      <c r="A31" s="16" t="s">
        <v>20</v>
      </c>
      <c r="B31" s="18" t="s">
        <v>39</v>
      </c>
      <c r="C31" s="18">
        <v>30000</v>
      </c>
      <c r="D31" s="18"/>
      <c r="E31" s="18"/>
      <c r="F31" s="18"/>
      <c r="G31" s="19"/>
    </row>
  </sheetData>
  <mergeCells count="7">
    <mergeCell ref="A26:G26"/>
    <mergeCell ref="A27:A28"/>
    <mergeCell ref="A1:G1"/>
    <mergeCell ref="A2:G2"/>
    <mergeCell ref="A3:G3"/>
    <mergeCell ref="A24:G24"/>
    <mergeCell ref="A25:G25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7C15-6B73-4BD1-B553-C9AF0F5613EE}">
  <dimension ref="A1:G10"/>
  <sheetViews>
    <sheetView workbookViewId="0">
      <selection sqref="A1:G10"/>
    </sheetView>
  </sheetViews>
  <sheetFormatPr baseColWidth="10" defaultRowHeight="15" x14ac:dyDescent="0.25"/>
  <cols>
    <col min="1" max="1" width="30.28515625" customWidth="1"/>
    <col min="2" max="2" width="16.140625" customWidth="1"/>
  </cols>
  <sheetData>
    <row r="1" spans="1:7" ht="18.75" x14ac:dyDescent="0.3">
      <c r="A1" s="109" t="s">
        <v>210</v>
      </c>
      <c r="B1" s="110"/>
      <c r="C1" s="110"/>
      <c r="D1" s="110"/>
      <c r="E1" s="110"/>
      <c r="F1" s="110"/>
      <c r="G1" s="110"/>
    </row>
    <row r="2" spans="1:7" ht="18.75" x14ac:dyDescent="0.3">
      <c r="A2" s="112" t="s">
        <v>196</v>
      </c>
      <c r="B2" s="113"/>
      <c r="C2" s="113"/>
      <c r="D2" s="113"/>
      <c r="E2" s="113"/>
      <c r="F2" s="113"/>
      <c r="G2" s="113"/>
    </row>
    <row r="3" spans="1:7" ht="18.75" x14ac:dyDescent="0.3">
      <c r="A3" s="112" t="s">
        <v>32</v>
      </c>
      <c r="B3" s="113"/>
      <c r="C3" s="113"/>
      <c r="D3" s="113"/>
      <c r="E3" s="113"/>
      <c r="F3" s="113"/>
      <c r="G3" s="113"/>
    </row>
    <row r="4" spans="1:7" x14ac:dyDescent="0.25">
      <c r="A4" s="1" t="s">
        <v>2</v>
      </c>
      <c r="B4" s="2">
        <v>13999</v>
      </c>
      <c r="C4" s="2">
        <v>13645</v>
      </c>
      <c r="D4" s="2"/>
      <c r="E4" s="2"/>
      <c r="F4" s="2"/>
      <c r="G4" s="2" t="s">
        <v>3</v>
      </c>
    </row>
    <row r="5" spans="1:7" x14ac:dyDescent="0.25">
      <c r="A5" s="3"/>
      <c r="B5" s="4">
        <v>46274</v>
      </c>
      <c r="C5" s="57">
        <v>46281</v>
      </c>
      <c r="D5" s="4"/>
      <c r="E5" s="4"/>
      <c r="F5" s="4"/>
      <c r="G5" s="4">
        <v>46295</v>
      </c>
    </row>
    <row r="6" spans="1:7" x14ac:dyDescent="0.25">
      <c r="A6" s="5" t="s">
        <v>209</v>
      </c>
      <c r="B6" s="24">
        <v>12</v>
      </c>
      <c r="C6" s="6">
        <v>-12</v>
      </c>
      <c r="D6" s="6"/>
      <c r="E6" s="6"/>
      <c r="F6" s="6"/>
      <c r="G6" s="7">
        <f>SUM(B6:F6)</f>
        <v>0</v>
      </c>
    </row>
    <row r="7" spans="1:7" x14ac:dyDescent="0.25">
      <c r="A7" s="5" t="s">
        <v>13</v>
      </c>
      <c r="B7" s="24">
        <v>12</v>
      </c>
      <c r="C7" s="6">
        <v>-12</v>
      </c>
      <c r="D7" s="6"/>
      <c r="E7" s="6"/>
      <c r="F7" s="6"/>
      <c r="G7" s="7">
        <f>SUM(B7:F7)</f>
        <v>0</v>
      </c>
    </row>
    <row r="8" spans="1:7" x14ac:dyDescent="0.25">
      <c r="A8" s="5" t="s">
        <v>6</v>
      </c>
      <c r="B8" s="24">
        <v>8</v>
      </c>
      <c r="C8" s="6">
        <v>-8</v>
      </c>
      <c r="D8" s="6"/>
      <c r="E8" s="6"/>
      <c r="F8" s="6"/>
      <c r="G8" s="7">
        <f>SUM(B8:F8)</f>
        <v>0</v>
      </c>
    </row>
    <row r="9" spans="1:7" x14ac:dyDescent="0.25">
      <c r="A9" s="3" t="s">
        <v>7</v>
      </c>
      <c r="B9" s="77">
        <v>0.35416666666666669</v>
      </c>
      <c r="C9" s="59">
        <v>0.47916666666666669</v>
      </c>
      <c r="D9" s="8"/>
      <c r="E9" s="8"/>
      <c r="F9" s="8"/>
      <c r="G9" s="9"/>
    </row>
    <row r="10" spans="1:7" x14ac:dyDescent="0.25">
      <c r="A10" s="3" t="s">
        <v>8</v>
      </c>
      <c r="B10" s="11">
        <v>35000</v>
      </c>
      <c r="C10" s="10">
        <v>35000</v>
      </c>
      <c r="D10" s="10"/>
      <c r="E10" s="10"/>
      <c r="F10" s="10"/>
      <c r="G10" s="11">
        <f>SUM(B10:F10)</f>
        <v>70000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6FBA-32A0-468C-ABE1-6BF0FF1D2B7A}">
  <dimension ref="A1:G9"/>
  <sheetViews>
    <sheetView topLeftCell="C1" workbookViewId="0">
      <selection activeCell="J12" sqref="J12"/>
    </sheetView>
  </sheetViews>
  <sheetFormatPr baseColWidth="10" defaultRowHeight="15" x14ac:dyDescent="0.25"/>
  <cols>
    <col min="1" max="1" width="42.7109375" customWidth="1"/>
    <col min="2" max="2" width="18.42578125" customWidth="1"/>
  </cols>
  <sheetData>
    <row r="1" spans="1:7" ht="18.75" x14ac:dyDescent="0.3">
      <c r="A1" s="109" t="s">
        <v>316</v>
      </c>
      <c r="B1" s="110"/>
      <c r="C1" s="110"/>
      <c r="D1" s="110"/>
      <c r="E1" s="110"/>
      <c r="F1" s="110"/>
      <c r="G1" s="110"/>
    </row>
    <row r="2" spans="1:7" ht="18.75" x14ac:dyDescent="0.3">
      <c r="A2" s="112" t="s">
        <v>317</v>
      </c>
      <c r="B2" s="113"/>
      <c r="C2" s="113"/>
      <c r="D2" s="113"/>
      <c r="E2" s="113"/>
      <c r="F2" s="113"/>
      <c r="G2" s="113"/>
    </row>
    <row r="3" spans="1:7" ht="18.75" x14ac:dyDescent="0.3">
      <c r="A3" s="112" t="s">
        <v>32</v>
      </c>
      <c r="B3" s="113"/>
      <c r="C3" s="113"/>
      <c r="D3" s="113"/>
      <c r="E3" s="113"/>
      <c r="F3" s="113"/>
      <c r="G3" s="113"/>
    </row>
    <row r="4" spans="1:7" x14ac:dyDescent="0.25">
      <c r="A4" s="1" t="s">
        <v>2</v>
      </c>
      <c r="B4" s="2">
        <v>14032</v>
      </c>
      <c r="C4" s="2"/>
      <c r="D4" s="2"/>
      <c r="E4" s="2"/>
      <c r="F4" s="2"/>
      <c r="G4" s="2" t="s">
        <v>3</v>
      </c>
    </row>
    <row r="5" spans="1:7" x14ac:dyDescent="0.25">
      <c r="A5" s="3"/>
      <c r="B5" s="4">
        <v>46282</v>
      </c>
      <c r="C5" s="57"/>
      <c r="D5" s="4"/>
      <c r="E5" s="4"/>
      <c r="F5" s="4"/>
      <c r="G5" s="4">
        <v>46295</v>
      </c>
    </row>
    <row r="6" spans="1:7" x14ac:dyDescent="0.25">
      <c r="A6" s="5" t="s">
        <v>315</v>
      </c>
      <c r="B6" s="24">
        <v>1</v>
      </c>
      <c r="C6" s="6"/>
      <c r="D6" s="6"/>
      <c r="E6" s="6"/>
      <c r="F6" s="6"/>
      <c r="G6" s="7">
        <f>SUM(B6:F6)</f>
        <v>1</v>
      </c>
    </row>
    <row r="7" spans="1:7" x14ac:dyDescent="0.25">
      <c r="A7" s="3" t="s">
        <v>7</v>
      </c>
      <c r="B7" s="77">
        <v>0.34375</v>
      </c>
      <c r="C7" s="59"/>
      <c r="D7" s="8"/>
      <c r="E7" s="8"/>
      <c r="F7" s="8"/>
      <c r="G7" s="9"/>
    </row>
    <row r="8" spans="1:7" x14ac:dyDescent="0.25">
      <c r="A8" s="3" t="s">
        <v>8</v>
      </c>
      <c r="B8" s="11" t="s">
        <v>319</v>
      </c>
      <c r="C8" s="10"/>
      <c r="D8" s="10"/>
      <c r="E8" s="10"/>
      <c r="F8" s="10"/>
      <c r="G8" s="11">
        <f>SUM(B8:F8)</f>
        <v>0</v>
      </c>
    </row>
    <row r="9" spans="1:7" x14ac:dyDescent="0.25">
      <c r="A9" s="102" t="s">
        <v>318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ACFFB-A696-4C0D-AED4-96FD6B534781}">
  <dimension ref="A1:L31"/>
  <sheetViews>
    <sheetView topLeftCell="A15" workbookViewId="0">
      <selection activeCell="I31" sqref="I31"/>
    </sheetView>
  </sheetViews>
  <sheetFormatPr baseColWidth="10" defaultRowHeight="15" x14ac:dyDescent="0.25"/>
  <cols>
    <col min="1" max="1" width="33.28515625" customWidth="1"/>
    <col min="3" max="4" width="12" bestFit="1" customWidth="1"/>
    <col min="7" max="9" width="12" bestFit="1" customWidth="1"/>
  </cols>
  <sheetData>
    <row r="1" spans="1:12" ht="18.75" x14ac:dyDescent="0.3">
      <c r="A1" s="115" t="s">
        <v>198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6"/>
    </row>
    <row r="2" spans="1:12" ht="18.75" x14ac:dyDescent="0.3">
      <c r="A2" s="115" t="s">
        <v>199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6"/>
    </row>
    <row r="3" spans="1:12" ht="18.75" x14ac:dyDescent="0.3">
      <c r="A3" s="115" t="s">
        <v>251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6"/>
    </row>
    <row r="4" spans="1:12" x14ac:dyDescent="0.25">
      <c r="A4" s="119" t="s">
        <v>2</v>
      </c>
      <c r="B4" s="12" t="s">
        <v>30</v>
      </c>
      <c r="C4" s="9">
        <v>14003</v>
      </c>
      <c r="D4" s="12">
        <v>14005</v>
      </c>
      <c r="E4" s="12">
        <v>13633</v>
      </c>
      <c r="F4" s="12">
        <v>13640</v>
      </c>
      <c r="G4" s="12">
        <v>14013</v>
      </c>
      <c r="H4" s="12">
        <v>14024</v>
      </c>
      <c r="I4" s="12">
        <v>14028</v>
      </c>
      <c r="J4" s="12"/>
      <c r="K4" s="12"/>
      <c r="L4" s="12" t="s">
        <v>3</v>
      </c>
    </row>
    <row r="5" spans="1:12" x14ac:dyDescent="0.25">
      <c r="A5" s="120"/>
      <c r="B5" s="4">
        <v>46267</v>
      </c>
      <c r="C5" s="4">
        <v>46274</v>
      </c>
      <c r="D5" s="4">
        <v>46274</v>
      </c>
      <c r="E5" s="4">
        <v>46279</v>
      </c>
      <c r="F5" s="4">
        <v>46279</v>
      </c>
      <c r="G5" s="4">
        <v>46279</v>
      </c>
      <c r="H5" s="4">
        <v>46280</v>
      </c>
      <c r="I5" s="4">
        <v>46281</v>
      </c>
      <c r="J5" s="4"/>
      <c r="K5" s="4"/>
      <c r="L5" s="4">
        <v>46264</v>
      </c>
    </row>
    <row r="6" spans="1:12" x14ac:dyDescent="0.25">
      <c r="A6" s="13" t="s">
        <v>200</v>
      </c>
      <c r="B6" s="78">
        <v>1</v>
      </c>
      <c r="C6" s="15"/>
      <c r="D6" s="15"/>
      <c r="E6" s="15"/>
      <c r="F6" s="15">
        <v>-1</v>
      </c>
      <c r="G6" s="15"/>
      <c r="H6" s="15"/>
      <c r="I6" s="15"/>
      <c r="J6" s="15"/>
      <c r="K6" s="15"/>
      <c r="L6" s="62">
        <f>SUM(B6:K6)</f>
        <v>0</v>
      </c>
    </row>
    <row r="7" spans="1:12" x14ac:dyDescent="0.25">
      <c r="A7" s="13" t="s">
        <v>57</v>
      </c>
      <c r="B7" s="78">
        <v>22</v>
      </c>
      <c r="C7" s="15"/>
      <c r="D7" s="15"/>
      <c r="E7" s="15"/>
      <c r="F7" s="15">
        <v>-10</v>
      </c>
      <c r="G7" s="15"/>
      <c r="H7" s="15"/>
      <c r="I7" s="15"/>
      <c r="J7" s="15"/>
      <c r="K7" s="15"/>
      <c r="L7" s="62">
        <f t="shared" ref="L7:L29" si="0">SUM(B7:K7)</f>
        <v>12</v>
      </c>
    </row>
    <row r="8" spans="1:12" x14ac:dyDescent="0.25">
      <c r="A8" s="13" t="s">
        <v>22</v>
      </c>
      <c r="B8" s="24"/>
      <c r="C8" s="44">
        <v>16</v>
      </c>
      <c r="D8" s="15">
        <v>2</v>
      </c>
      <c r="E8" s="15">
        <v>-18</v>
      </c>
      <c r="F8" s="15"/>
      <c r="G8" s="15"/>
      <c r="H8" s="15">
        <v>5</v>
      </c>
      <c r="I8" s="15"/>
      <c r="J8" s="15"/>
      <c r="K8" s="15"/>
      <c r="L8" s="7">
        <f t="shared" si="0"/>
        <v>5</v>
      </c>
    </row>
    <row r="9" spans="1:12" x14ac:dyDescent="0.25">
      <c r="A9" s="13" t="s">
        <v>64</v>
      </c>
      <c r="B9" s="24"/>
      <c r="C9" s="15"/>
      <c r="D9" s="15"/>
      <c r="E9" s="15"/>
      <c r="F9" s="15"/>
      <c r="G9" s="15"/>
      <c r="H9" s="15">
        <v>2</v>
      </c>
      <c r="I9" s="15"/>
      <c r="J9" s="15"/>
      <c r="K9" s="15"/>
      <c r="L9" s="7">
        <f t="shared" si="0"/>
        <v>2</v>
      </c>
    </row>
    <row r="10" spans="1:12" x14ac:dyDescent="0.25">
      <c r="A10" s="13" t="s">
        <v>35</v>
      </c>
      <c r="B10" s="24"/>
      <c r="C10" s="15"/>
      <c r="D10" s="15"/>
      <c r="E10" s="15"/>
      <c r="F10" s="15"/>
      <c r="G10" s="15"/>
      <c r="H10" s="15">
        <v>2</v>
      </c>
      <c r="I10" s="15"/>
      <c r="J10" s="15"/>
      <c r="K10" s="15"/>
      <c r="L10" s="7">
        <f>SUM(B10:K10)</f>
        <v>2</v>
      </c>
    </row>
    <row r="11" spans="1:12" x14ac:dyDescent="0.25">
      <c r="A11" s="13" t="s">
        <v>55</v>
      </c>
      <c r="B11" s="24"/>
      <c r="C11" s="15"/>
      <c r="D11" s="15"/>
      <c r="E11" s="15"/>
      <c r="F11" s="15"/>
      <c r="G11" s="15"/>
      <c r="H11" s="15">
        <v>3</v>
      </c>
      <c r="I11" s="15"/>
      <c r="J11" s="15"/>
      <c r="K11" s="15"/>
      <c r="L11" s="7">
        <f>SUM(B11:K11)</f>
        <v>3</v>
      </c>
    </row>
    <row r="12" spans="1:12" x14ac:dyDescent="0.25">
      <c r="A12" s="13" t="s">
        <v>111</v>
      </c>
      <c r="B12" s="24"/>
      <c r="C12" s="15"/>
      <c r="D12" s="15"/>
      <c r="E12" s="15"/>
      <c r="F12" s="15"/>
      <c r="G12" s="15"/>
      <c r="H12" s="15">
        <v>10</v>
      </c>
      <c r="I12" s="15"/>
      <c r="J12" s="15"/>
      <c r="K12" s="15"/>
      <c r="L12" s="7">
        <f>SUM(B12:K12)</f>
        <v>10</v>
      </c>
    </row>
    <row r="13" spans="1:12" x14ac:dyDescent="0.25">
      <c r="A13" s="13" t="s">
        <v>291</v>
      </c>
      <c r="B13" s="24"/>
      <c r="C13" s="15"/>
      <c r="D13" s="15"/>
      <c r="E13" s="15"/>
      <c r="F13" s="15"/>
      <c r="G13" s="15"/>
      <c r="H13" s="15"/>
      <c r="I13" s="15">
        <v>8</v>
      </c>
      <c r="J13" s="15"/>
      <c r="K13" s="15"/>
      <c r="L13" s="7">
        <f>SUM(B13:K13)</f>
        <v>8</v>
      </c>
    </row>
    <row r="14" spans="1:12" x14ac:dyDescent="0.25">
      <c r="A14" s="13" t="s">
        <v>33</v>
      </c>
      <c r="B14" s="14"/>
      <c r="C14" s="15">
        <v>8</v>
      </c>
      <c r="D14" s="15"/>
      <c r="E14" s="15">
        <v>-8</v>
      </c>
      <c r="F14" s="15"/>
      <c r="G14" s="15">
        <v>12</v>
      </c>
      <c r="H14" s="15"/>
      <c r="I14" s="15"/>
      <c r="J14" s="15"/>
      <c r="K14" s="15"/>
      <c r="L14" s="7">
        <f t="shared" si="0"/>
        <v>12</v>
      </c>
    </row>
    <row r="15" spans="1:12" x14ac:dyDescent="0.25">
      <c r="A15" s="13" t="s">
        <v>201</v>
      </c>
      <c r="B15" s="14"/>
      <c r="C15" s="15">
        <v>4</v>
      </c>
      <c r="D15" s="15"/>
      <c r="E15" s="15">
        <v>-4</v>
      </c>
      <c r="F15" s="15"/>
      <c r="G15" s="15">
        <v>3</v>
      </c>
      <c r="H15" s="15">
        <v>1</v>
      </c>
      <c r="I15" s="15"/>
      <c r="J15" s="15"/>
      <c r="K15" s="15"/>
      <c r="L15" s="7">
        <f t="shared" si="0"/>
        <v>4</v>
      </c>
    </row>
    <row r="16" spans="1:12" x14ac:dyDescent="0.25">
      <c r="A16" s="13" t="s">
        <v>87</v>
      </c>
      <c r="B16" s="14"/>
      <c r="C16" s="15"/>
      <c r="D16" s="15"/>
      <c r="E16" s="15"/>
      <c r="F16" s="15"/>
      <c r="G16" s="15">
        <v>12</v>
      </c>
      <c r="H16" s="15"/>
      <c r="I16" s="15"/>
      <c r="J16" s="15"/>
      <c r="K16" s="15"/>
      <c r="L16" s="7">
        <f t="shared" ref="L16:L22" si="1">SUM(B16:K16)</f>
        <v>12</v>
      </c>
    </row>
    <row r="17" spans="1:12" x14ac:dyDescent="0.25">
      <c r="A17" s="13" t="s">
        <v>289</v>
      </c>
      <c r="B17" s="14"/>
      <c r="C17" s="15"/>
      <c r="D17" s="15"/>
      <c r="E17" s="15"/>
      <c r="F17" s="15"/>
      <c r="G17" s="15">
        <v>5</v>
      </c>
      <c r="H17" s="15"/>
      <c r="I17" s="15"/>
      <c r="J17" s="15"/>
      <c r="K17" s="15"/>
      <c r="L17" s="7">
        <f t="shared" si="1"/>
        <v>5</v>
      </c>
    </row>
    <row r="18" spans="1:12" x14ac:dyDescent="0.25">
      <c r="A18" s="13" t="s">
        <v>88</v>
      </c>
      <c r="B18" s="14"/>
      <c r="C18" s="15"/>
      <c r="D18" s="15"/>
      <c r="E18" s="15"/>
      <c r="F18" s="15"/>
      <c r="G18" s="15">
        <v>6</v>
      </c>
      <c r="H18" s="15"/>
      <c r="I18" s="15"/>
      <c r="J18" s="15"/>
      <c r="K18" s="15"/>
      <c r="L18" s="7">
        <f t="shared" si="1"/>
        <v>6</v>
      </c>
    </row>
    <row r="19" spans="1:12" x14ac:dyDescent="0.25">
      <c r="A19" s="13" t="s">
        <v>37</v>
      </c>
      <c r="B19" s="14"/>
      <c r="C19" s="15"/>
      <c r="D19" s="15"/>
      <c r="E19" s="15"/>
      <c r="F19" s="15"/>
      <c r="G19" s="15">
        <v>24</v>
      </c>
      <c r="H19" s="15"/>
      <c r="I19" s="15"/>
      <c r="J19" s="15"/>
      <c r="K19" s="15"/>
      <c r="L19" s="7">
        <f t="shared" si="1"/>
        <v>24</v>
      </c>
    </row>
    <row r="20" spans="1:12" x14ac:dyDescent="0.25">
      <c r="A20" s="13" t="s">
        <v>67</v>
      </c>
      <c r="B20" s="14"/>
      <c r="C20" s="15"/>
      <c r="D20" s="15"/>
      <c r="E20" s="15"/>
      <c r="F20" s="15"/>
      <c r="G20" s="15">
        <v>14</v>
      </c>
      <c r="H20" s="15">
        <v>6</v>
      </c>
      <c r="I20" s="15"/>
      <c r="J20" s="15"/>
      <c r="K20" s="15"/>
      <c r="L20" s="7">
        <f t="shared" si="1"/>
        <v>20</v>
      </c>
    </row>
    <row r="21" spans="1:12" x14ac:dyDescent="0.25">
      <c r="A21" s="13" t="s">
        <v>36</v>
      </c>
      <c r="B21" s="14"/>
      <c r="C21" s="15"/>
      <c r="D21" s="15"/>
      <c r="E21" s="15"/>
      <c r="F21" s="15"/>
      <c r="G21" s="15">
        <v>400</v>
      </c>
      <c r="H21" s="15"/>
      <c r="I21" s="15">
        <v>50</v>
      </c>
      <c r="J21" s="15"/>
      <c r="K21" s="15"/>
      <c r="L21" s="7">
        <f t="shared" si="1"/>
        <v>450</v>
      </c>
    </row>
    <row r="22" spans="1:12" x14ac:dyDescent="0.25">
      <c r="A22" s="13" t="s">
        <v>290</v>
      </c>
      <c r="B22" s="14"/>
      <c r="C22" s="15"/>
      <c r="D22" s="15"/>
      <c r="E22" s="15"/>
      <c r="F22" s="15"/>
      <c r="G22" s="15">
        <v>1</v>
      </c>
      <c r="H22" s="15"/>
      <c r="I22" s="15"/>
      <c r="J22" s="15"/>
      <c r="K22" s="15"/>
      <c r="L22" s="7">
        <f t="shared" si="1"/>
        <v>1</v>
      </c>
    </row>
    <row r="23" spans="1:12" x14ac:dyDescent="0.25">
      <c r="A23" s="13" t="s">
        <v>127</v>
      </c>
      <c r="B23" s="14"/>
      <c r="C23" s="15"/>
      <c r="D23" s="15">
        <v>12</v>
      </c>
      <c r="E23" s="15">
        <v>-6</v>
      </c>
      <c r="F23" s="15"/>
      <c r="G23" s="15">
        <v>6</v>
      </c>
      <c r="H23" s="15"/>
      <c r="I23" s="15"/>
      <c r="J23" s="15"/>
      <c r="K23" s="15"/>
      <c r="L23" s="7">
        <f t="shared" ref="L23" si="2">SUM(B23:K23)</f>
        <v>12</v>
      </c>
    </row>
    <row r="24" spans="1:12" x14ac:dyDescent="0.25">
      <c r="A24" s="13" t="s">
        <v>212</v>
      </c>
      <c r="B24" s="14"/>
      <c r="C24" s="15">
        <v>8</v>
      </c>
      <c r="D24" s="15"/>
      <c r="E24" s="15">
        <v>-8</v>
      </c>
      <c r="F24" s="15"/>
      <c r="G24" s="15"/>
      <c r="H24" s="15"/>
      <c r="I24" s="15"/>
      <c r="J24" s="15"/>
      <c r="K24" s="15"/>
      <c r="L24" s="7">
        <f t="shared" si="0"/>
        <v>0</v>
      </c>
    </row>
    <row r="25" spans="1:12" x14ac:dyDescent="0.25">
      <c r="A25" s="13" t="s">
        <v>213</v>
      </c>
      <c r="B25" s="14"/>
      <c r="C25" s="15">
        <v>4</v>
      </c>
      <c r="D25" s="15"/>
      <c r="E25" s="15">
        <v>-4</v>
      </c>
      <c r="F25" s="15"/>
      <c r="G25" s="15"/>
      <c r="H25" s="15"/>
      <c r="I25" s="15"/>
      <c r="J25" s="15"/>
      <c r="K25" s="15"/>
      <c r="L25" s="7">
        <f t="shared" si="0"/>
        <v>0</v>
      </c>
    </row>
    <row r="26" spans="1:12" x14ac:dyDescent="0.25">
      <c r="A26" s="13" t="s">
        <v>214</v>
      </c>
      <c r="B26" s="14"/>
      <c r="C26" s="15">
        <v>2</v>
      </c>
      <c r="D26" s="15"/>
      <c r="E26" s="15">
        <v>-2</v>
      </c>
      <c r="F26" s="15"/>
      <c r="G26" s="15"/>
      <c r="H26" s="15"/>
      <c r="I26" s="15"/>
      <c r="J26" s="15"/>
      <c r="K26" s="15"/>
      <c r="L26" s="7">
        <f t="shared" si="0"/>
        <v>0</v>
      </c>
    </row>
    <row r="27" spans="1:12" x14ac:dyDescent="0.25">
      <c r="A27" s="13" t="s">
        <v>215</v>
      </c>
      <c r="B27" s="14"/>
      <c r="C27" s="15">
        <v>4</v>
      </c>
      <c r="D27" s="15"/>
      <c r="E27" s="15">
        <v>-4</v>
      </c>
      <c r="F27" s="15"/>
      <c r="G27" s="15"/>
      <c r="H27" s="15"/>
      <c r="I27" s="15"/>
      <c r="J27" s="15"/>
      <c r="K27" s="15"/>
      <c r="L27" s="7">
        <f t="shared" si="0"/>
        <v>0</v>
      </c>
    </row>
    <row r="28" spans="1:12" x14ac:dyDescent="0.25">
      <c r="A28" s="13" t="s">
        <v>109</v>
      </c>
      <c r="B28" s="14"/>
      <c r="C28" s="15">
        <v>20</v>
      </c>
      <c r="D28" s="15"/>
      <c r="E28" s="15">
        <v>-20</v>
      </c>
      <c r="F28" s="15"/>
      <c r="G28" s="15"/>
      <c r="H28" s="15"/>
      <c r="I28" s="15"/>
      <c r="J28" s="15"/>
      <c r="K28" s="15"/>
      <c r="L28" s="7">
        <f t="shared" si="0"/>
        <v>0</v>
      </c>
    </row>
    <row r="29" spans="1:12" x14ac:dyDescent="0.25">
      <c r="A29" s="13" t="s">
        <v>24</v>
      </c>
      <c r="B29" s="14"/>
      <c r="C29" s="15">
        <v>9</v>
      </c>
      <c r="D29" s="15"/>
      <c r="E29" s="15">
        <v>-9</v>
      </c>
      <c r="F29" s="15"/>
      <c r="G29" s="15"/>
      <c r="H29" s="15"/>
      <c r="I29" s="15"/>
      <c r="J29" s="15"/>
      <c r="K29" s="15"/>
      <c r="L29" s="7">
        <f t="shared" si="0"/>
        <v>0</v>
      </c>
    </row>
    <row r="30" spans="1:12" x14ac:dyDescent="0.25">
      <c r="A30" s="16" t="s">
        <v>7</v>
      </c>
      <c r="B30" s="8" t="s">
        <v>250</v>
      </c>
      <c r="C30" s="8">
        <v>0.4375</v>
      </c>
      <c r="D30" s="17">
        <v>0.125</v>
      </c>
      <c r="E30" s="55">
        <v>0.375</v>
      </c>
      <c r="F30" s="55">
        <v>0.12152777777777778</v>
      </c>
      <c r="G30" s="55">
        <v>0.35416666666666669</v>
      </c>
      <c r="H30" s="8">
        <v>0.18055555555555555</v>
      </c>
      <c r="I30" s="8">
        <v>0.33333333333333331</v>
      </c>
      <c r="J30" s="8"/>
      <c r="K30" s="8"/>
      <c r="L30" s="9"/>
    </row>
    <row r="31" spans="1:12" x14ac:dyDescent="0.25">
      <c r="A31" s="16" t="s">
        <v>20</v>
      </c>
      <c r="B31" s="46"/>
      <c r="C31" s="11">
        <v>50000</v>
      </c>
      <c r="D31" s="11">
        <v>25000</v>
      </c>
      <c r="E31" s="56">
        <v>25000</v>
      </c>
      <c r="F31" s="46">
        <v>15000</v>
      </c>
      <c r="G31" s="11">
        <v>25000</v>
      </c>
      <c r="H31" s="11">
        <v>15000</v>
      </c>
      <c r="I31" s="11">
        <v>10000</v>
      </c>
      <c r="J31" s="55"/>
      <c r="K31" s="55"/>
      <c r="L31" s="11">
        <f>SUM(B31:I31)</f>
        <v>165000</v>
      </c>
    </row>
  </sheetData>
  <mergeCells count="4">
    <mergeCell ref="A1:L1"/>
    <mergeCell ref="A2:L2"/>
    <mergeCell ref="A3:L3"/>
    <mergeCell ref="A4:A5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462C-EE32-4B5C-8FAF-D9CE20A3408E}">
  <dimension ref="A1:K18"/>
  <sheetViews>
    <sheetView workbookViewId="0">
      <selection activeCell="L8" sqref="L8"/>
    </sheetView>
  </sheetViews>
  <sheetFormatPr baseColWidth="10" defaultRowHeight="15" x14ac:dyDescent="0.25"/>
  <cols>
    <col min="1" max="1" width="30.7109375" customWidth="1"/>
  </cols>
  <sheetData>
    <row r="1" spans="1:11" ht="18.75" x14ac:dyDescent="0.3">
      <c r="A1" s="115" t="s">
        <v>202</v>
      </c>
      <c r="B1" s="113"/>
      <c r="C1" s="113"/>
      <c r="D1" s="113"/>
      <c r="E1" s="113"/>
      <c r="F1" s="113"/>
      <c r="G1" s="113"/>
      <c r="H1" s="113"/>
      <c r="I1" s="113"/>
      <c r="J1" s="113"/>
      <c r="K1" s="116"/>
    </row>
    <row r="2" spans="1:11" ht="18.75" x14ac:dyDescent="0.3">
      <c r="A2" s="115" t="s">
        <v>203</v>
      </c>
      <c r="B2" s="113"/>
      <c r="C2" s="113"/>
      <c r="D2" s="113"/>
      <c r="E2" s="113"/>
      <c r="F2" s="113"/>
      <c r="G2" s="113"/>
      <c r="H2" s="113"/>
      <c r="I2" s="113"/>
      <c r="J2" s="113"/>
      <c r="K2" s="116"/>
    </row>
    <row r="3" spans="1:11" ht="18.75" x14ac:dyDescent="0.3">
      <c r="A3" s="115" t="s">
        <v>121</v>
      </c>
      <c r="B3" s="113"/>
      <c r="C3" s="113"/>
      <c r="D3" s="113"/>
      <c r="E3" s="113"/>
      <c r="F3" s="113"/>
      <c r="G3" s="113"/>
      <c r="H3" s="113"/>
      <c r="I3" s="113"/>
      <c r="J3" s="113"/>
      <c r="K3" s="116"/>
    </row>
    <row r="4" spans="1:11" x14ac:dyDescent="0.25">
      <c r="A4" s="119" t="s">
        <v>2</v>
      </c>
      <c r="B4" s="12">
        <v>14004</v>
      </c>
      <c r="C4" s="9">
        <v>14007</v>
      </c>
      <c r="D4" s="12">
        <v>13646</v>
      </c>
      <c r="E4" s="12"/>
      <c r="F4" s="12"/>
      <c r="G4" s="12"/>
      <c r="H4" s="12"/>
      <c r="I4" s="12"/>
      <c r="J4" s="12"/>
      <c r="K4" s="12" t="s">
        <v>3</v>
      </c>
    </row>
    <row r="5" spans="1:11" x14ac:dyDescent="0.25">
      <c r="A5" s="120"/>
      <c r="B5" s="4">
        <v>46274</v>
      </c>
      <c r="C5" s="4">
        <v>46275</v>
      </c>
      <c r="D5" s="4">
        <v>46281</v>
      </c>
      <c r="E5" s="4"/>
      <c r="F5" s="4"/>
      <c r="G5" s="4"/>
      <c r="H5" s="4"/>
      <c r="I5" s="4"/>
      <c r="J5" s="4"/>
      <c r="K5" s="4">
        <v>46264</v>
      </c>
    </row>
    <row r="6" spans="1:11" x14ac:dyDescent="0.25">
      <c r="A6" s="13" t="s">
        <v>22</v>
      </c>
      <c r="B6" s="14">
        <v>20</v>
      </c>
      <c r="C6" s="15"/>
      <c r="D6" s="15">
        <v>-20</v>
      </c>
      <c r="E6" s="15"/>
      <c r="F6" s="15"/>
      <c r="G6" s="15"/>
      <c r="H6" s="15"/>
      <c r="I6" s="15"/>
      <c r="J6" s="15"/>
      <c r="K6" s="7">
        <f t="shared" ref="K6:K16" si="0">SUM(B6:J6)</f>
        <v>0</v>
      </c>
    </row>
    <row r="7" spans="1:11" x14ac:dyDescent="0.25">
      <c r="A7" s="13" t="s">
        <v>35</v>
      </c>
      <c r="B7" s="14">
        <v>16</v>
      </c>
      <c r="C7" s="15"/>
      <c r="D7" s="15">
        <v>-16</v>
      </c>
      <c r="E7" s="15"/>
      <c r="F7" s="15"/>
      <c r="G7" s="15"/>
      <c r="H7" s="15"/>
      <c r="I7" s="15"/>
      <c r="J7" s="15"/>
      <c r="K7" s="7">
        <f t="shared" si="0"/>
        <v>0</v>
      </c>
    </row>
    <row r="8" spans="1:11" x14ac:dyDescent="0.25">
      <c r="A8" s="13" t="s">
        <v>107</v>
      </c>
      <c r="B8" s="24">
        <v>4</v>
      </c>
      <c r="C8" s="44">
        <v>4</v>
      </c>
      <c r="D8" s="15">
        <v>-8</v>
      </c>
      <c r="E8" s="15"/>
      <c r="F8" s="15"/>
      <c r="G8" s="15"/>
      <c r="H8" s="15"/>
      <c r="I8" s="15"/>
      <c r="J8" s="15"/>
      <c r="K8" s="7">
        <f t="shared" si="0"/>
        <v>0</v>
      </c>
    </row>
    <row r="9" spans="1:11" x14ac:dyDescent="0.25">
      <c r="A9" s="13" t="s">
        <v>37</v>
      </c>
      <c r="B9" s="14">
        <v>4</v>
      </c>
      <c r="C9" s="15"/>
      <c r="D9" s="15">
        <v>-4</v>
      </c>
      <c r="E9" s="15"/>
      <c r="F9" s="15"/>
      <c r="G9" s="15"/>
      <c r="H9" s="15"/>
      <c r="I9" s="15"/>
      <c r="J9" s="15"/>
      <c r="K9" s="7">
        <f t="shared" si="0"/>
        <v>0</v>
      </c>
    </row>
    <row r="10" spans="1:11" x14ac:dyDescent="0.25">
      <c r="A10" s="13" t="s">
        <v>36</v>
      </c>
      <c r="B10" s="14">
        <v>320</v>
      </c>
      <c r="C10" s="15"/>
      <c r="D10" s="64">
        <v>320</v>
      </c>
      <c r="E10" s="15"/>
      <c r="F10" s="15"/>
      <c r="G10" s="15"/>
      <c r="H10" s="15"/>
      <c r="I10" s="15"/>
      <c r="J10" s="15"/>
      <c r="K10" s="7">
        <f t="shared" si="0"/>
        <v>640</v>
      </c>
    </row>
    <row r="11" spans="1:11" x14ac:dyDescent="0.25">
      <c r="A11" s="13" t="s">
        <v>89</v>
      </c>
      <c r="B11" s="14">
        <v>1</v>
      </c>
      <c r="C11" s="15"/>
      <c r="D11" s="15"/>
      <c r="E11" s="15"/>
      <c r="F11" s="15"/>
      <c r="G11" s="15"/>
      <c r="H11" s="15"/>
      <c r="I11" s="15"/>
      <c r="J11" s="15"/>
      <c r="K11" s="7">
        <f t="shared" si="0"/>
        <v>1</v>
      </c>
    </row>
    <row r="12" spans="1:11" x14ac:dyDescent="0.25">
      <c r="A12" s="13" t="s">
        <v>204</v>
      </c>
      <c r="B12" s="14">
        <v>50</v>
      </c>
      <c r="C12" s="15"/>
      <c r="D12" s="15">
        <v>-50</v>
      </c>
      <c r="E12" s="15"/>
      <c r="F12" s="15"/>
      <c r="G12" s="15"/>
      <c r="H12" s="15"/>
      <c r="I12" s="15"/>
      <c r="J12" s="15"/>
      <c r="K12" s="7">
        <f t="shared" si="0"/>
        <v>0</v>
      </c>
    </row>
    <row r="13" spans="1:11" x14ac:dyDescent="0.25">
      <c r="A13" s="13" t="s">
        <v>205</v>
      </c>
      <c r="B13" s="14">
        <v>5</v>
      </c>
      <c r="C13" s="15"/>
      <c r="D13" s="15">
        <v>-5</v>
      </c>
      <c r="E13" s="15"/>
      <c r="F13" s="15"/>
      <c r="G13" s="15"/>
      <c r="H13" s="15"/>
      <c r="I13" s="15"/>
      <c r="J13" s="15"/>
      <c r="K13" s="7">
        <f t="shared" si="0"/>
        <v>0</v>
      </c>
    </row>
    <row r="14" spans="1:11" x14ac:dyDescent="0.25">
      <c r="A14" s="13" t="s">
        <v>206</v>
      </c>
      <c r="B14" s="14">
        <v>15</v>
      </c>
      <c r="C14" s="15"/>
      <c r="D14" s="15">
        <v>-15</v>
      </c>
      <c r="E14" s="15"/>
      <c r="F14" s="15"/>
      <c r="G14" s="15"/>
      <c r="H14" s="15"/>
      <c r="I14" s="15"/>
      <c r="J14" s="15"/>
      <c r="K14" s="7">
        <f t="shared" si="0"/>
        <v>0</v>
      </c>
    </row>
    <row r="15" spans="1:11" x14ac:dyDescent="0.25">
      <c r="A15" s="13" t="s">
        <v>207</v>
      </c>
      <c r="B15" s="14">
        <v>8</v>
      </c>
      <c r="C15" s="15"/>
      <c r="D15" s="15">
        <v>-8</v>
      </c>
      <c r="E15" s="15"/>
      <c r="F15" s="15"/>
      <c r="G15" s="15"/>
      <c r="H15" s="15"/>
      <c r="I15" s="15"/>
      <c r="J15" s="15"/>
      <c r="K15" s="7">
        <f t="shared" si="0"/>
        <v>0</v>
      </c>
    </row>
    <row r="16" spans="1:11" x14ac:dyDescent="0.25">
      <c r="A16" s="13"/>
      <c r="B16" s="14"/>
      <c r="C16" s="15"/>
      <c r="D16" s="15"/>
      <c r="E16" s="15"/>
      <c r="F16" s="15"/>
      <c r="G16" s="15"/>
      <c r="H16" s="15"/>
      <c r="I16" s="15"/>
      <c r="J16" s="15"/>
      <c r="K16" s="7">
        <f t="shared" si="0"/>
        <v>0</v>
      </c>
    </row>
    <row r="17" spans="1:11" x14ac:dyDescent="0.25">
      <c r="A17" s="16" t="s">
        <v>7</v>
      </c>
      <c r="B17" s="8">
        <v>0.5</v>
      </c>
      <c r="C17" s="8">
        <v>0.41666666666666669</v>
      </c>
      <c r="D17" s="17">
        <v>0.15625</v>
      </c>
      <c r="E17" s="55"/>
      <c r="F17" s="55"/>
      <c r="G17" s="55"/>
      <c r="H17" s="8"/>
      <c r="I17" s="8"/>
      <c r="J17" s="8"/>
      <c r="K17" s="9"/>
    </row>
    <row r="18" spans="1:11" x14ac:dyDescent="0.25">
      <c r="A18" s="16" t="s">
        <v>20</v>
      </c>
      <c r="B18" s="46" t="s">
        <v>208</v>
      </c>
      <c r="C18" s="17" t="s">
        <v>208</v>
      </c>
      <c r="D18" s="17" t="s">
        <v>320</v>
      </c>
      <c r="E18" s="56"/>
      <c r="F18" s="46"/>
      <c r="G18" s="55"/>
      <c r="H18" s="55"/>
      <c r="I18" s="55"/>
      <c r="J18" s="55"/>
      <c r="K18" s="11"/>
    </row>
  </sheetData>
  <mergeCells count="4">
    <mergeCell ref="A1:K1"/>
    <mergeCell ref="A2:K2"/>
    <mergeCell ref="A3:K3"/>
    <mergeCell ref="A4:A5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B7D0-8EB0-4ED3-A22F-BB11F3E3F346}">
  <dimension ref="A1:D10"/>
  <sheetViews>
    <sheetView workbookViewId="0">
      <selection activeCell="F16" sqref="F16"/>
    </sheetView>
  </sheetViews>
  <sheetFormatPr baseColWidth="10" defaultRowHeight="15" x14ac:dyDescent="0.25"/>
  <cols>
    <col min="1" max="1" width="39" bestFit="1" customWidth="1"/>
    <col min="3" max="3" width="15.42578125" customWidth="1"/>
    <col min="4" max="4" width="16.5703125" customWidth="1"/>
  </cols>
  <sheetData>
    <row r="1" spans="1:4" ht="18.75" x14ac:dyDescent="0.3">
      <c r="A1" s="115" t="s">
        <v>140</v>
      </c>
      <c r="B1" s="113"/>
      <c r="C1" s="113"/>
      <c r="D1" s="116"/>
    </row>
    <row r="2" spans="1:4" ht="18.75" x14ac:dyDescent="0.3">
      <c r="A2" s="115" t="s">
        <v>141</v>
      </c>
      <c r="B2" s="113"/>
      <c r="C2" s="113"/>
      <c r="D2" s="116"/>
    </row>
    <row r="3" spans="1:4" ht="18.75" x14ac:dyDescent="0.3">
      <c r="A3" s="115" t="s">
        <v>142</v>
      </c>
      <c r="B3" s="113"/>
      <c r="C3" s="113"/>
      <c r="D3" s="116"/>
    </row>
    <row r="4" spans="1:4" x14ac:dyDescent="0.25">
      <c r="A4" s="119" t="s">
        <v>2</v>
      </c>
      <c r="B4" s="12" t="s">
        <v>30</v>
      </c>
      <c r="C4" s="12">
        <v>13541</v>
      </c>
      <c r="D4" s="64" t="s">
        <v>3</v>
      </c>
    </row>
    <row r="5" spans="1:4" x14ac:dyDescent="0.25">
      <c r="A5" s="120"/>
      <c r="B5" s="4">
        <v>46023</v>
      </c>
      <c r="C5" s="4">
        <v>46237</v>
      </c>
      <c r="D5" s="65">
        <v>46265</v>
      </c>
    </row>
    <row r="6" spans="1:4" x14ac:dyDescent="0.25">
      <c r="A6" s="13" t="s">
        <v>143</v>
      </c>
      <c r="B6" s="14">
        <v>7</v>
      </c>
      <c r="C6" s="14">
        <v>-4</v>
      </c>
      <c r="D6" s="62">
        <f>SUM(B6:C6)</f>
        <v>3</v>
      </c>
    </row>
    <row r="7" spans="1:4" x14ac:dyDescent="0.25">
      <c r="A7" s="13" t="s">
        <v>144</v>
      </c>
      <c r="B7" s="14">
        <v>5</v>
      </c>
      <c r="C7" s="14">
        <v>-3</v>
      </c>
      <c r="D7" s="62">
        <f>SUM(B7:C7)</f>
        <v>2</v>
      </c>
    </row>
    <row r="8" spans="1:4" x14ac:dyDescent="0.25">
      <c r="A8" s="13" t="s">
        <v>6</v>
      </c>
      <c r="B8" s="14">
        <v>2</v>
      </c>
      <c r="C8" s="14">
        <v>-2</v>
      </c>
      <c r="D8" s="62">
        <f>SUM(B8:C8)</f>
        <v>0</v>
      </c>
    </row>
    <row r="9" spans="1:4" x14ac:dyDescent="0.25">
      <c r="A9" s="16" t="s">
        <v>7</v>
      </c>
      <c r="B9" s="8" t="s">
        <v>30</v>
      </c>
      <c r="C9" s="8">
        <v>0.16666666666666666</v>
      </c>
      <c r="D9" s="62"/>
    </row>
    <row r="10" spans="1:4" x14ac:dyDescent="0.25">
      <c r="A10" s="16" t="s">
        <v>20</v>
      </c>
      <c r="B10" s="46"/>
      <c r="C10" s="46">
        <v>25000</v>
      </c>
      <c r="D10" s="66">
        <f>SUM(C10)</f>
        <v>25000</v>
      </c>
    </row>
  </sheetData>
  <mergeCells count="4">
    <mergeCell ref="A1:D1"/>
    <mergeCell ref="A2:D2"/>
    <mergeCell ref="A3:D3"/>
    <mergeCell ref="A4:A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BB93-4A2C-48AE-BFF6-1FB7A1A62F9C}">
  <dimension ref="A1:G8"/>
  <sheetViews>
    <sheetView workbookViewId="0">
      <selection sqref="A1:G9"/>
    </sheetView>
  </sheetViews>
  <sheetFormatPr baseColWidth="10" defaultRowHeight="15" x14ac:dyDescent="0.25"/>
  <cols>
    <col min="1" max="1" width="30.5703125" customWidth="1"/>
  </cols>
  <sheetData>
    <row r="1" spans="1:7" ht="18.75" x14ac:dyDescent="0.3">
      <c r="A1" s="115" t="s">
        <v>145</v>
      </c>
      <c r="B1" s="113"/>
      <c r="C1" s="113"/>
      <c r="D1" s="113"/>
      <c r="E1" s="113"/>
      <c r="F1" s="113"/>
      <c r="G1" s="116"/>
    </row>
    <row r="2" spans="1:7" ht="18.75" x14ac:dyDescent="0.3">
      <c r="A2" s="113" t="s">
        <v>146</v>
      </c>
      <c r="B2" s="113"/>
      <c r="C2" s="113"/>
      <c r="D2" s="113"/>
      <c r="E2" s="113"/>
      <c r="F2" s="113"/>
      <c r="G2" s="116"/>
    </row>
    <row r="3" spans="1:7" ht="18.75" x14ac:dyDescent="0.3">
      <c r="A3" s="115" t="s">
        <v>149</v>
      </c>
      <c r="B3" s="113"/>
      <c r="C3" s="113"/>
      <c r="D3" s="113"/>
      <c r="E3" s="113"/>
      <c r="F3" s="113"/>
      <c r="G3" s="116"/>
    </row>
    <row r="4" spans="1:7" x14ac:dyDescent="0.25">
      <c r="A4" s="119" t="s">
        <v>147</v>
      </c>
      <c r="B4" s="12" t="s">
        <v>30</v>
      </c>
      <c r="C4" s="9"/>
      <c r="D4" s="9"/>
      <c r="E4" s="9"/>
      <c r="F4" s="9"/>
      <c r="G4" s="12" t="s">
        <v>3</v>
      </c>
    </row>
    <row r="5" spans="1:7" x14ac:dyDescent="0.25">
      <c r="A5" s="120"/>
      <c r="B5" s="4" t="s">
        <v>148</v>
      </c>
      <c r="C5" s="4"/>
      <c r="D5" s="4"/>
      <c r="E5" s="4"/>
      <c r="F5" s="4"/>
      <c r="G5" s="4">
        <v>46295</v>
      </c>
    </row>
    <row r="6" spans="1:7" x14ac:dyDescent="0.25">
      <c r="A6" s="13" t="s">
        <v>67</v>
      </c>
      <c r="B6" s="14">
        <v>6</v>
      </c>
      <c r="C6" s="15"/>
      <c r="D6" s="15"/>
      <c r="E6" s="15"/>
      <c r="F6" s="15"/>
      <c r="G6" s="7">
        <f>SUM( B6:F6)</f>
        <v>6</v>
      </c>
    </row>
    <row r="7" spans="1:7" x14ac:dyDescent="0.25">
      <c r="A7" s="16" t="s">
        <v>19</v>
      </c>
      <c r="B7" s="21"/>
      <c r="C7" s="17"/>
      <c r="D7" s="17"/>
      <c r="E7" s="17"/>
      <c r="F7" s="17"/>
      <c r="G7" s="9"/>
    </row>
    <row r="8" spans="1:7" x14ac:dyDescent="0.25">
      <c r="A8" s="16" t="s">
        <v>20</v>
      </c>
      <c r="B8" s="22"/>
      <c r="C8" s="18"/>
      <c r="D8" s="18"/>
      <c r="E8" s="18"/>
      <c r="F8" s="18"/>
      <c r="G8" s="19"/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B21E-E744-4EEA-BC98-F1FB34E51025}">
  <dimension ref="A1:G11"/>
  <sheetViews>
    <sheetView workbookViewId="0">
      <selection sqref="A1:G1"/>
    </sheetView>
  </sheetViews>
  <sheetFormatPr baseColWidth="10" defaultRowHeight="15" x14ac:dyDescent="0.25"/>
  <cols>
    <col min="1" max="1" width="34" customWidth="1"/>
  </cols>
  <sheetData>
    <row r="1" spans="1:7" ht="18.75" x14ac:dyDescent="0.3">
      <c r="A1" s="115" t="s">
        <v>241</v>
      </c>
      <c r="B1" s="113"/>
      <c r="C1" s="113"/>
      <c r="D1" s="113"/>
      <c r="E1" s="113"/>
      <c r="F1" s="113"/>
      <c r="G1" s="116"/>
    </row>
    <row r="2" spans="1:7" ht="18.75" x14ac:dyDescent="0.3">
      <c r="A2" s="113" t="s">
        <v>242</v>
      </c>
      <c r="B2" s="113"/>
      <c r="C2" s="113"/>
      <c r="D2" s="113"/>
      <c r="E2" s="113"/>
      <c r="F2" s="113"/>
      <c r="G2" s="116"/>
    </row>
    <row r="3" spans="1:7" ht="18.75" x14ac:dyDescent="0.3">
      <c r="A3" s="115" t="s">
        <v>149</v>
      </c>
      <c r="B3" s="113"/>
      <c r="C3" s="113"/>
      <c r="D3" s="113"/>
      <c r="E3" s="113"/>
      <c r="F3" s="113"/>
      <c r="G3" s="116"/>
    </row>
    <row r="4" spans="1:7" x14ac:dyDescent="0.25">
      <c r="A4" s="119" t="s">
        <v>243</v>
      </c>
      <c r="B4" s="12">
        <v>14010</v>
      </c>
      <c r="C4" s="9"/>
      <c r="D4" s="9"/>
      <c r="E4" s="9"/>
      <c r="F4" s="9"/>
      <c r="G4" s="12" t="s">
        <v>3</v>
      </c>
    </row>
    <row r="5" spans="1:7" x14ac:dyDescent="0.25">
      <c r="A5" s="120"/>
      <c r="B5" s="4">
        <v>46276</v>
      </c>
      <c r="C5" s="4"/>
      <c r="D5" s="4"/>
      <c r="E5" s="4"/>
      <c r="F5" s="4"/>
      <c r="G5" s="4">
        <v>46295</v>
      </c>
    </row>
    <row r="6" spans="1:7" x14ac:dyDescent="0.25">
      <c r="A6" s="13" t="s">
        <v>244</v>
      </c>
      <c r="B6" s="14">
        <v>2</v>
      </c>
      <c r="C6" s="15"/>
      <c r="D6" s="15"/>
      <c r="E6" s="15"/>
      <c r="F6" s="15"/>
      <c r="G6" s="7">
        <f>SUM( B6:F6)</f>
        <v>2</v>
      </c>
    </row>
    <row r="7" spans="1:7" x14ac:dyDescent="0.25">
      <c r="A7" s="13" t="s">
        <v>245</v>
      </c>
      <c r="B7" s="14">
        <v>2</v>
      </c>
      <c r="C7" s="15"/>
      <c r="D7" s="15"/>
      <c r="E7" s="15"/>
      <c r="F7" s="15"/>
      <c r="G7" s="7">
        <f>SUM(B7:F7)</f>
        <v>2</v>
      </c>
    </row>
    <row r="8" spans="1:7" x14ac:dyDescent="0.25">
      <c r="A8" s="13" t="s">
        <v>6</v>
      </c>
      <c r="B8" s="14">
        <v>2</v>
      </c>
      <c r="C8" s="15"/>
      <c r="D8" s="15"/>
      <c r="E8" s="15"/>
      <c r="F8" s="15"/>
      <c r="G8" s="7">
        <f>SUM(B8:F8)</f>
        <v>2</v>
      </c>
    </row>
    <row r="9" spans="1:7" x14ac:dyDescent="0.25">
      <c r="A9" s="13"/>
      <c r="B9" s="14"/>
      <c r="C9" s="15"/>
      <c r="D9" s="15"/>
      <c r="E9" s="15"/>
      <c r="F9" s="15"/>
      <c r="G9" s="7"/>
    </row>
    <row r="10" spans="1:7" x14ac:dyDescent="0.25">
      <c r="A10" s="16" t="s">
        <v>19</v>
      </c>
      <c r="B10" s="8">
        <v>9.7222222222222224E-2</v>
      </c>
      <c r="C10" s="17"/>
      <c r="D10" s="17"/>
      <c r="E10" s="17"/>
      <c r="F10" s="17"/>
      <c r="G10" s="9"/>
    </row>
    <row r="11" spans="1:7" x14ac:dyDescent="0.25">
      <c r="A11" s="16" t="s">
        <v>20</v>
      </c>
      <c r="B11" s="18">
        <v>20000</v>
      </c>
      <c r="C11" s="18"/>
      <c r="D11" s="18"/>
      <c r="E11" s="18"/>
      <c r="F11" s="18"/>
      <c r="G11" s="19"/>
    </row>
  </sheetData>
  <mergeCells count="4">
    <mergeCell ref="A1:G1"/>
    <mergeCell ref="A2:G2"/>
    <mergeCell ref="A3:G3"/>
    <mergeCell ref="A4:A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64E8-77DD-4777-9762-CAF2515C104B}">
  <dimension ref="A1:C12"/>
  <sheetViews>
    <sheetView workbookViewId="0">
      <selection activeCell="F10" sqref="F10"/>
    </sheetView>
  </sheetViews>
  <sheetFormatPr baseColWidth="10" defaultRowHeight="15" x14ac:dyDescent="0.25"/>
  <cols>
    <col min="1" max="1" width="31" bestFit="1" customWidth="1"/>
    <col min="2" max="2" width="17.85546875" customWidth="1"/>
    <col min="3" max="3" width="30.140625" customWidth="1"/>
  </cols>
  <sheetData>
    <row r="1" spans="1:3" ht="18.75" x14ac:dyDescent="0.3">
      <c r="A1" s="109" t="s">
        <v>158</v>
      </c>
      <c r="B1" s="110"/>
      <c r="C1" s="111"/>
    </row>
    <row r="2" spans="1:3" ht="18.75" x14ac:dyDescent="0.3">
      <c r="A2" s="112" t="s">
        <v>52</v>
      </c>
      <c r="B2" s="113"/>
      <c r="C2" s="114"/>
    </row>
    <row r="3" spans="1:3" ht="18.75" x14ac:dyDescent="0.3">
      <c r="A3" s="112" t="s">
        <v>157</v>
      </c>
      <c r="B3" s="113"/>
      <c r="C3" s="113"/>
    </row>
    <row r="4" spans="1:3" x14ac:dyDescent="0.25">
      <c r="A4" s="1" t="s">
        <v>2</v>
      </c>
      <c r="B4" s="2">
        <v>13877</v>
      </c>
      <c r="C4" s="47" t="s">
        <v>30</v>
      </c>
    </row>
    <row r="5" spans="1:3" x14ac:dyDescent="0.25">
      <c r="A5" s="3"/>
      <c r="B5" s="4">
        <v>46227</v>
      </c>
      <c r="C5" s="25">
        <v>46295</v>
      </c>
    </row>
    <row r="6" spans="1:3" x14ac:dyDescent="0.25">
      <c r="A6" s="67" t="s">
        <v>153</v>
      </c>
      <c r="B6" s="6">
        <v>5</v>
      </c>
      <c r="C6" s="7">
        <f>SUM(B6)</f>
        <v>5</v>
      </c>
    </row>
    <row r="7" spans="1:3" x14ac:dyDescent="0.25">
      <c r="A7" s="67" t="s">
        <v>154</v>
      </c>
      <c r="B7" s="6">
        <v>8</v>
      </c>
      <c r="C7" s="7">
        <f>SUM(B7)</f>
        <v>8</v>
      </c>
    </row>
    <row r="8" spans="1:3" x14ac:dyDescent="0.25">
      <c r="A8" s="67" t="s">
        <v>21</v>
      </c>
      <c r="B8" s="6">
        <v>6</v>
      </c>
      <c r="C8" s="7">
        <f>SUM(B8)</f>
        <v>6</v>
      </c>
    </row>
    <row r="9" spans="1:3" x14ac:dyDescent="0.25">
      <c r="A9" s="67" t="s">
        <v>94</v>
      </c>
      <c r="B9" s="6">
        <v>30</v>
      </c>
      <c r="C9" s="7">
        <f>SUM(B9)</f>
        <v>30</v>
      </c>
    </row>
    <row r="10" spans="1:3" x14ac:dyDescent="0.25">
      <c r="A10" s="67" t="s">
        <v>155</v>
      </c>
      <c r="B10" s="6">
        <v>4</v>
      </c>
      <c r="C10" s="7">
        <f>SUM(B10)</f>
        <v>4</v>
      </c>
    </row>
    <row r="11" spans="1:3" x14ac:dyDescent="0.25">
      <c r="A11" s="3" t="s">
        <v>7</v>
      </c>
      <c r="B11" s="8">
        <v>0.15694444444444444</v>
      </c>
      <c r="C11" s="9"/>
    </row>
    <row r="12" spans="1:3" x14ac:dyDescent="0.25">
      <c r="A12" s="3" t="s">
        <v>8</v>
      </c>
      <c r="B12" s="10" t="s">
        <v>156</v>
      </c>
      <c r="C12" s="11"/>
    </row>
  </sheetData>
  <mergeCells count="3">
    <mergeCell ref="A1:C1"/>
    <mergeCell ref="A2:C2"/>
    <mergeCell ref="A3:C3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2508-D518-4B5C-98EC-DEE36CE9243D}">
  <dimension ref="A1:I10"/>
  <sheetViews>
    <sheetView workbookViewId="0">
      <selection activeCell="E13" sqref="E13"/>
    </sheetView>
  </sheetViews>
  <sheetFormatPr baseColWidth="10" defaultRowHeight="15" x14ac:dyDescent="0.25"/>
  <cols>
    <col min="1" max="1" width="44.42578125" customWidth="1"/>
  </cols>
  <sheetData>
    <row r="1" spans="1:9" ht="18.75" x14ac:dyDescent="0.3">
      <c r="A1" s="109" t="s">
        <v>131</v>
      </c>
      <c r="B1" s="110"/>
      <c r="C1" s="110"/>
      <c r="D1" s="110"/>
      <c r="E1" s="110"/>
      <c r="F1" s="110"/>
      <c r="G1" s="110"/>
      <c r="H1" s="110"/>
      <c r="I1" s="111"/>
    </row>
    <row r="2" spans="1:9" ht="18.75" x14ac:dyDescent="0.3">
      <c r="A2" s="112" t="s">
        <v>132</v>
      </c>
      <c r="B2" s="113"/>
      <c r="C2" s="113"/>
      <c r="D2" s="113"/>
      <c r="E2" s="113"/>
      <c r="F2" s="113"/>
      <c r="G2" s="113"/>
      <c r="H2" s="113"/>
      <c r="I2" s="114"/>
    </row>
    <row r="3" spans="1:9" ht="18.75" x14ac:dyDescent="0.3">
      <c r="A3" s="112" t="s">
        <v>133</v>
      </c>
      <c r="B3" s="113"/>
      <c r="C3" s="113"/>
      <c r="D3" s="113"/>
      <c r="E3" s="113"/>
      <c r="F3" s="113"/>
      <c r="G3" s="113"/>
      <c r="H3" s="113"/>
      <c r="I3" s="113"/>
    </row>
    <row r="4" spans="1:9" x14ac:dyDescent="0.25">
      <c r="A4" s="1" t="s">
        <v>2</v>
      </c>
      <c r="B4" s="2">
        <v>13817</v>
      </c>
      <c r="C4" s="2">
        <v>13495</v>
      </c>
      <c r="D4" s="2"/>
      <c r="E4" s="2"/>
      <c r="F4" s="2"/>
      <c r="G4" s="2"/>
      <c r="H4" s="2"/>
      <c r="I4" s="2" t="s">
        <v>30</v>
      </c>
    </row>
    <row r="5" spans="1:9" x14ac:dyDescent="0.25">
      <c r="A5" s="3"/>
      <c r="B5" s="4">
        <v>46207</v>
      </c>
      <c r="C5" s="23">
        <v>46218</v>
      </c>
      <c r="D5" s="4"/>
      <c r="E5" s="4"/>
      <c r="F5" s="4"/>
      <c r="G5" s="4"/>
      <c r="H5" s="4"/>
      <c r="I5" s="4">
        <v>46265</v>
      </c>
    </row>
    <row r="6" spans="1:9" x14ac:dyDescent="0.25">
      <c r="A6" s="5" t="s">
        <v>134</v>
      </c>
      <c r="B6" s="24">
        <v>4</v>
      </c>
      <c r="C6" s="6">
        <v>-4</v>
      </c>
      <c r="D6" s="6"/>
      <c r="E6" s="6"/>
      <c r="F6" s="6"/>
      <c r="G6" s="6"/>
      <c r="H6" s="6"/>
      <c r="I6" s="7">
        <f>SUM(B6:F6)</f>
        <v>0</v>
      </c>
    </row>
    <row r="7" spans="1:9" x14ac:dyDescent="0.25">
      <c r="A7" s="5" t="s">
        <v>5</v>
      </c>
      <c r="B7" s="24">
        <v>4</v>
      </c>
      <c r="C7" s="6">
        <v>-2</v>
      </c>
      <c r="D7" s="6"/>
      <c r="E7" s="6"/>
      <c r="F7" s="6"/>
      <c r="G7" s="6"/>
      <c r="H7" s="6"/>
      <c r="I7" s="62">
        <f>SUM(B7:F7)</f>
        <v>2</v>
      </c>
    </row>
    <row r="8" spans="1:9" x14ac:dyDescent="0.25">
      <c r="A8" s="5" t="s">
        <v>135</v>
      </c>
      <c r="B8" s="24">
        <v>2</v>
      </c>
      <c r="C8" s="6">
        <v>-2</v>
      </c>
      <c r="D8" s="6"/>
      <c r="E8" s="6"/>
      <c r="F8" s="6"/>
      <c r="G8" s="6"/>
      <c r="H8" s="6"/>
      <c r="I8" s="7">
        <f>SUM(B8:F8)</f>
        <v>0</v>
      </c>
    </row>
    <row r="9" spans="1:9" x14ac:dyDescent="0.25">
      <c r="A9" s="3" t="s">
        <v>7</v>
      </c>
      <c r="B9" s="17">
        <v>0.31944444444444442</v>
      </c>
      <c r="C9" s="8">
        <v>8.3333333333333329E-2</v>
      </c>
      <c r="D9" s="8"/>
      <c r="E9" s="8"/>
      <c r="F9" s="8"/>
      <c r="G9" s="8"/>
      <c r="H9" s="8"/>
      <c r="I9" s="9"/>
    </row>
    <row r="10" spans="1:9" x14ac:dyDescent="0.25">
      <c r="A10" s="3" t="s">
        <v>8</v>
      </c>
      <c r="B10" s="10">
        <v>20000</v>
      </c>
      <c r="C10" s="10">
        <v>20000</v>
      </c>
      <c r="D10" s="10"/>
      <c r="E10" s="10"/>
      <c r="F10" s="10"/>
      <c r="G10" s="10"/>
      <c r="H10" s="10"/>
      <c r="I10" s="11">
        <f>SUM(B10:E10)</f>
        <v>40000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230E-AEAC-42AF-BE24-D0E41D7B5C14}">
  <dimension ref="A1:I15"/>
  <sheetViews>
    <sheetView workbookViewId="0">
      <selection activeCell="C16" sqref="C16"/>
    </sheetView>
  </sheetViews>
  <sheetFormatPr baseColWidth="10" defaultRowHeight="15" x14ac:dyDescent="0.25"/>
  <cols>
    <col min="1" max="1" width="38.5703125" customWidth="1"/>
  </cols>
  <sheetData>
    <row r="1" spans="1:9" ht="18.75" x14ac:dyDescent="0.3">
      <c r="A1" s="109" t="s">
        <v>92</v>
      </c>
      <c r="B1" s="110"/>
      <c r="C1" s="110"/>
      <c r="D1" s="110"/>
      <c r="E1" s="110"/>
      <c r="F1" s="110"/>
      <c r="G1" s="110"/>
      <c r="H1" s="110"/>
      <c r="I1" s="111"/>
    </row>
    <row r="2" spans="1:9" ht="18.75" x14ac:dyDescent="0.3">
      <c r="A2" s="112" t="s">
        <v>93</v>
      </c>
      <c r="B2" s="113"/>
      <c r="C2" s="113"/>
      <c r="D2" s="113"/>
      <c r="E2" s="113"/>
      <c r="F2" s="113"/>
      <c r="G2" s="113"/>
      <c r="H2" s="113"/>
      <c r="I2" s="114"/>
    </row>
    <row r="3" spans="1:9" ht="18.75" x14ac:dyDescent="0.3">
      <c r="A3" s="112" t="s">
        <v>99</v>
      </c>
      <c r="B3" s="113"/>
      <c r="C3" s="113"/>
      <c r="D3" s="113"/>
      <c r="E3" s="113"/>
      <c r="F3" s="113"/>
      <c r="G3" s="113"/>
      <c r="H3" s="113"/>
      <c r="I3" s="113"/>
    </row>
    <row r="4" spans="1:9" x14ac:dyDescent="0.25">
      <c r="A4" s="1"/>
      <c r="B4" s="2" t="s">
        <v>30</v>
      </c>
      <c r="C4" s="2">
        <v>13625</v>
      </c>
      <c r="D4" s="2"/>
      <c r="E4" s="2"/>
      <c r="F4" s="2"/>
      <c r="G4" s="2"/>
      <c r="H4" s="2"/>
      <c r="I4" s="2" t="s">
        <v>30</v>
      </c>
    </row>
    <row r="5" spans="1:9" x14ac:dyDescent="0.25">
      <c r="A5" s="3"/>
      <c r="B5" s="4" t="s">
        <v>100</v>
      </c>
      <c r="C5" s="4">
        <v>46273</v>
      </c>
      <c r="D5" s="4"/>
      <c r="E5" s="4"/>
      <c r="F5" s="4"/>
      <c r="G5" s="4"/>
      <c r="H5" s="4"/>
      <c r="I5" s="4">
        <v>46295</v>
      </c>
    </row>
    <row r="6" spans="1:9" x14ac:dyDescent="0.25">
      <c r="A6" s="13" t="s">
        <v>94</v>
      </c>
      <c r="B6" s="24">
        <v>4</v>
      </c>
      <c r="C6" s="6"/>
      <c r="D6" s="6"/>
      <c r="E6" s="6"/>
      <c r="F6" s="6"/>
      <c r="G6" s="6"/>
      <c r="H6" s="6"/>
      <c r="I6" s="7">
        <f t="shared" ref="I6:I11" si="0">SUM(B6:H6)</f>
        <v>4</v>
      </c>
    </row>
    <row r="7" spans="1:9" x14ac:dyDescent="0.25">
      <c r="A7" s="13" t="s">
        <v>95</v>
      </c>
      <c r="B7" s="24">
        <v>4</v>
      </c>
      <c r="C7" s="6"/>
      <c r="D7" s="6"/>
      <c r="E7" s="6"/>
      <c r="F7" s="6"/>
      <c r="G7" s="6"/>
      <c r="H7" s="6"/>
      <c r="I7" s="7">
        <f t="shared" si="0"/>
        <v>4</v>
      </c>
    </row>
    <row r="8" spans="1:9" x14ac:dyDescent="0.25">
      <c r="A8" s="13" t="s">
        <v>96</v>
      </c>
      <c r="B8" s="24">
        <v>6</v>
      </c>
      <c r="C8" s="6"/>
      <c r="D8" s="6"/>
      <c r="E8" s="6"/>
      <c r="F8" s="6"/>
      <c r="G8" s="6"/>
      <c r="H8" s="6"/>
      <c r="I8" s="7">
        <f t="shared" si="0"/>
        <v>6</v>
      </c>
    </row>
    <row r="9" spans="1:9" x14ac:dyDescent="0.25">
      <c r="A9" s="13" t="s">
        <v>16</v>
      </c>
      <c r="B9" s="24">
        <v>4</v>
      </c>
      <c r="C9" s="6"/>
      <c r="D9" s="6"/>
      <c r="E9" s="6"/>
      <c r="F9" s="6"/>
      <c r="G9" s="6"/>
      <c r="H9" s="6"/>
      <c r="I9" s="7">
        <f t="shared" si="0"/>
        <v>4</v>
      </c>
    </row>
    <row r="10" spans="1:9" x14ac:dyDescent="0.25">
      <c r="A10" s="13" t="s">
        <v>56</v>
      </c>
      <c r="B10" s="24">
        <v>3</v>
      </c>
      <c r="C10" s="6"/>
      <c r="D10" s="6"/>
      <c r="E10" s="6"/>
      <c r="F10" s="6"/>
      <c r="G10" s="6"/>
      <c r="H10" s="6"/>
      <c r="I10" s="7">
        <f t="shared" si="0"/>
        <v>3</v>
      </c>
    </row>
    <row r="11" spans="1:9" x14ac:dyDescent="0.25">
      <c r="A11" s="13" t="s">
        <v>36</v>
      </c>
      <c r="B11" s="24">
        <v>80</v>
      </c>
      <c r="C11" s="6"/>
      <c r="D11" s="6"/>
      <c r="E11" s="6"/>
      <c r="F11" s="6"/>
      <c r="G11" s="6"/>
      <c r="H11" s="6"/>
      <c r="I11" s="7">
        <f t="shared" si="0"/>
        <v>80</v>
      </c>
    </row>
    <row r="12" spans="1:9" x14ac:dyDescent="0.25">
      <c r="A12" s="13" t="s">
        <v>69</v>
      </c>
      <c r="B12" s="24">
        <v>4</v>
      </c>
      <c r="C12" s="6">
        <v>-4</v>
      </c>
      <c r="D12" s="6"/>
      <c r="E12" s="6"/>
      <c r="F12" s="6"/>
      <c r="G12" s="6"/>
      <c r="H12" s="6"/>
      <c r="I12" s="7">
        <f>SUM(B12:H12)</f>
        <v>0</v>
      </c>
    </row>
    <row r="13" spans="1:9" x14ac:dyDescent="0.25">
      <c r="A13" s="3" t="s">
        <v>7</v>
      </c>
      <c r="B13" s="41"/>
      <c r="C13" s="8">
        <v>0.36458333333333331</v>
      </c>
      <c r="D13" s="8"/>
      <c r="E13" s="8"/>
      <c r="F13" s="8"/>
      <c r="G13" s="8"/>
      <c r="H13" s="8"/>
      <c r="I13" s="7"/>
    </row>
    <row r="14" spans="1:9" x14ac:dyDescent="0.25">
      <c r="A14" s="3" t="s">
        <v>8</v>
      </c>
      <c r="B14" s="42"/>
      <c r="C14" s="43" t="s">
        <v>97</v>
      </c>
      <c r="D14" s="43" t="s">
        <v>97</v>
      </c>
      <c r="E14" s="43" t="s">
        <v>97</v>
      </c>
      <c r="F14" s="43"/>
      <c r="G14" s="43"/>
      <c r="H14" s="43"/>
      <c r="I14" s="11">
        <f>SUM(B14:F14)</f>
        <v>0</v>
      </c>
    </row>
    <row r="15" spans="1:9" x14ac:dyDescent="0.25">
      <c r="D15" t="s">
        <v>98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0FF4D-6E39-46E3-976D-F84CE96826E4}">
  <dimension ref="A1:M27"/>
  <sheetViews>
    <sheetView topLeftCell="A6" workbookViewId="0">
      <selection activeCell="F26" sqref="F26"/>
    </sheetView>
  </sheetViews>
  <sheetFormatPr baseColWidth="10" defaultRowHeight="15" x14ac:dyDescent="0.25"/>
  <cols>
    <col min="1" max="1" width="31" customWidth="1"/>
    <col min="3" max="3" width="12.85546875" bestFit="1" customWidth="1"/>
  </cols>
  <sheetData>
    <row r="1" spans="1:13" ht="18.75" x14ac:dyDescent="0.3">
      <c r="A1" s="115" t="s">
        <v>101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6"/>
    </row>
    <row r="2" spans="1:13" ht="18.75" x14ac:dyDescent="0.3">
      <c r="A2" s="115" t="s">
        <v>102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6"/>
    </row>
    <row r="3" spans="1:13" ht="18.75" x14ac:dyDescent="0.3">
      <c r="A3" s="115" t="s">
        <v>114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6"/>
    </row>
    <row r="4" spans="1:13" x14ac:dyDescent="0.25">
      <c r="A4" s="119" t="s">
        <v>101</v>
      </c>
      <c r="B4" s="9" t="s">
        <v>30</v>
      </c>
      <c r="C4" s="9">
        <v>13631</v>
      </c>
      <c r="D4" s="9">
        <v>13649</v>
      </c>
      <c r="E4" s="9">
        <v>14039</v>
      </c>
      <c r="F4" s="9"/>
      <c r="G4" s="9"/>
      <c r="H4" s="9"/>
      <c r="I4" s="9"/>
      <c r="J4" s="9"/>
      <c r="K4" s="9"/>
      <c r="L4" s="9"/>
      <c r="M4" s="12" t="s">
        <v>30</v>
      </c>
    </row>
    <row r="5" spans="1:13" x14ac:dyDescent="0.25">
      <c r="A5" s="120"/>
      <c r="B5" s="4">
        <v>46265</v>
      </c>
      <c r="C5" s="4">
        <v>46276</v>
      </c>
      <c r="D5" s="4">
        <v>46282</v>
      </c>
      <c r="E5" s="4">
        <v>46284</v>
      </c>
      <c r="F5" s="4"/>
      <c r="G5" s="4"/>
      <c r="H5" s="4"/>
      <c r="I5" s="4"/>
      <c r="J5" s="4"/>
      <c r="K5" s="4"/>
      <c r="L5" s="4"/>
      <c r="M5" s="4">
        <v>46295</v>
      </c>
    </row>
    <row r="6" spans="1:13" x14ac:dyDescent="0.25">
      <c r="A6" s="13" t="s">
        <v>59</v>
      </c>
      <c r="B6" s="12">
        <v>11</v>
      </c>
      <c r="C6" s="44"/>
      <c r="D6" s="45"/>
      <c r="E6" s="15"/>
      <c r="F6" s="15"/>
      <c r="G6" s="15"/>
      <c r="H6" s="15"/>
      <c r="I6" s="15"/>
      <c r="J6" s="15"/>
      <c r="K6" s="15"/>
      <c r="L6" s="15"/>
      <c r="M6" s="7">
        <f t="shared" ref="M6:M25" si="0">SUM(B6:L6)</f>
        <v>11</v>
      </c>
    </row>
    <row r="7" spans="1:13" x14ac:dyDescent="0.25">
      <c r="A7" s="13" t="s">
        <v>22</v>
      </c>
      <c r="B7" s="12">
        <v>75</v>
      </c>
      <c r="C7" s="89">
        <v>-33</v>
      </c>
      <c r="D7" s="45"/>
      <c r="E7" s="15"/>
      <c r="F7" s="15"/>
      <c r="G7" s="15"/>
      <c r="H7" s="15"/>
      <c r="I7" s="15"/>
      <c r="J7" s="15"/>
      <c r="K7" s="15"/>
      <c r="L7" s="15"/>
      <c r="M7" s="7">
        <f t="shared" si="0"/>
        <v>42</v>
      </c>
    </row>
    <row r="8" spans="1:13" x14ac:dyDescent="0.25">
      <c r="A8" s="13" t="s">
        <v>103</v>
      </c>
      <c r="B8" s="12">
        <v>9</v>
      </c>
      <c r="C8" s="45">
        <v>-3</v>
      </c>
      <c r="D8" s="45"/>
      <c r="E8" s="15"/>
      <c r="F8" s="15"/>
      <c r="G8" s="15"/>
      <c r="H8" s="15"/>
      <c r="I8" s="15"/>
      <c r="J8" s="15"/>
      <c r="K8" s="15"/>
      <c r="L8" s="15"/>
      <c r="M8" s="7">
        <f t="shared" si="0"/>
        <v>6</v>
      </c>
    </row>
    <row r="9" spans="1:13" x14ac:dyDescent="0.25">
      <c r="A9" s="13" t="s">
        <v>104</v>
      </c>
      <c r="B9" s="12">
        <v>35</v>
      </c>
      <c r="C9" s="45">
        <v>-2</v>
      </c>
      <c r="D9" s="45"/>
      <c r="E9" s="15"/>
      <c r="F9" s="15"/>
      <c r="G9" s="15"/>
      <c r="H9" s="15"/>
      <c r="I9" s="15"/>
      <c r="J9" s="15"/>
      <c r="K9" s="15"/>
      <c r="L9" s="15"/>
      <c r="M9" s="7">
        <f t="shared" si="0"/>
        <v>33</v>
      </c>
    </row>
    <row r="10" spans="1:13" x14ac:dyDescent="0.25">
      <c r="A10" s="13" t="s">
        <v>35</v>
      </c>
      <c r="B10" s="12">
        <v>14</v>
      </c>
      <c r="C10" s="45">
        <v>-5</v>
      </c>
      <c r="D10" s="45"/>
      <c r="E10" s="15"/>
      <c r="F10" s="15"/>
      <c r="G10" s="15"/>
      <c r="H10" s="15"/>
      <c r="I10" s="15"/>
      <c r="J10" s="15"/>
      <c r="K10" s="15"/>
      <c r="L10" s="15"/>
      <c r="M10" s="7">
        <f t="shared" si="0"/>
        <v>9</v>
      </c>
    </row>
    <row r="11" spans="1:13" x14ac:dyDescent="0.25">
      <c r="A11" s="13" t="s">
        <v>105</v>
      </c>
      <c r="B11" s="12">
        <v>6</v>
      </c>
      <c r="C11" s="45"/>
      <c r="D11" s="45"/>
      <c r="E11" s="15"/>
      <c r="F11" s="15"/>
      <c r="G11" s="15"/>
      <c r="H11" s="15"/>
      <c r="I11" s="15"/>
      <c r="J11" s="15"/>
      <c r="K11" s="15"/>
      <c r="L11" s="15"/>
      <c r="M11" s="7">
        <f t="shared" si="0"/>
        <v>6</v>
      </c>
    </row>
    <row r="12" spans="1:13" x14ac:dyDescent="0.25">
      <c r="A12" s="13" t="s">
        <v>106</v>
      </c>
      <c r="B12" s="12">
        <v>2</v>
      </c>
      <c r="C12" s="45"/>
      <c r="D12" s="45"/>
      <c r="E12" s="15"/>
      <c r="F12" s="15"/>
      <c r="G12" s="15"/>
      <c r="H12" s="15"/>
      <c r="I12" s="15"/>
      <c r="J12" s="15"/>
      <c r="K12" s="15"/>
      <c r="L12" s="15"/>
      <c r="M12" s="7">
        <f t="shared" si="0"/>
        <v>2</v>
      </c>
    </row>
    <row r="13" spans="1:13" x14ac:dyDescent="0.25">
      <c r="A13" s="13" t="s">
        <v>107</v>
      </c>
      <c r="B13" s="12">
        <v>12</v>
      </c>
      <c r="C13" s="45">
        <v>-8</v>
      </c>
      <c r="D13" s="45"/>
      <c r="E13" s="15"/>
      <c r="F13" s="15"/>
      <c r="G13" s="15"/>
      <c r="H13" s="15"/>
      <c r="I13" s="15"/>
      <c r="J13" s="15"/>
      <c r="K13" s="15"/>
      <c r="L13" s="15"/>
      <c r="M13" s="7">
        <f t="shared" si="0"/>
        <v>4</v>
      </c>
    </row>
    <row r="14" spans="1:13" x14ac:dyDescent="0.25">
      <c r="A14" s="13" t="s">
        <v>108</v>
      </c>
      <c r="B14" s="12">
        <v>33</v>
      </c>
      <c r="C14" s="45"/>
      <c r="D14" s="45"/>
      <c r="E14" s="15"/>
      <c r="F14" s="15"/>
      <c r="G14" s="15"/>
      <c r="H14" s="15"/>
      <c r="I14" s="15"/>
      <c r="J14" s="15"/>
      <c r="K14" s="15"/>
      <c r="L14" s="15"/>
      <c r="M14" s="7">
        <f t="shared" si="0"/>
        <v>33</v>
      </c>
    </row>
    <row r="15" spans="1:13" x14ac:dyDescent="0.25">
      <c r="A15" s="13" t="s">
        <v>109</v>
      </c>
      <c r="B15" s="12">
        <v>170</v>
      </c>
      <c r="C15" s="45"/>
      <c r="D15" s="45"/>
      <c r="E15" s="15"/>
      <c r="F15" s="15"/>
      <c r="G15" s="15"/>
      <c r="H15" s="15"/>
      <c r="I15" s="15"/>
      <c r="J15" s="15"/>
      <c r="K15" s="15"/>
      <c r="L15" s="15"/>
      <c r="M15" s="7">
        <f t="shared" si="0"/>
        <v>170</v>
      </c>
    </row>
    <row r="16" spans="1:13" x14ac:dyDescent="0.25">
      <c r="A16" s="13" t="s">
        <v>17</v>
      </c>
      <c r="B16" s="12">
        <v>1500</v>
      </c>
      <c r="C16" s="45"/>
      <c r="D16" s="45"/>
      <c r="E16" s="15"/>
      <c r="F16" s="15"/>
      <c r="G16" s="15"/>
      <c r="H16" s="15"/>
      <c r="I16" s="15"/>
      <c r="J16" s="15"/>
      <c r="K16" s="15"/>
      <c r="L16" s="15"/>
      <c r="M16" s="7">
        <f t="shared" si="0"/>
        <v>1500</v>
      </c>
    </row>
    <row r="17" spans="1:13" x14ac:dyDescent="0.25">
      <c r="A17" s="13" t="s">
        <v>89</v>
      </c>
      <c r="B17" s="12">
        <v>5</v>
      </c>
      <c r="C17" s="45"/>
      <c r="D17" s="45"/>
      <c r="E17" s="15"/>
      <c r="F17" s="15"/>
      <c r="G17" s="15"/>
      <c r="H17" s="15"/>
      <c r="I17" s="15"/>
      <c r="J17" s="15"/>
      <c r="K17" s="15"/>
      <c r="L17" s="15"/>
      <c r="M17" s="7">
        <f t="shared" si="0"/>
        <v>5</v>
      </c>
    </row>
    <row r="18" spans="1:13" x14ac:dyDescent="0.25">
      <c r="A18" s="13" t="s">
        <v>110</v>
      </c>
      <c r="B18" s="12">
        <v>10</v>
      </c>
      <c r="C18" s="45">
        <v>-5</v>
      </c>
      <c r="D18" s="45"/>
      <c r="E18" s="15"/>
      <c r="F18" s="15"/>
      <c r="G18" s="15"/>
      <c r="H18" s="15"/>
      <c r="I18" s="15"/>
      <c r="J18" s="15"/>
      <c r="K18" s="15"/>
      <c r="L18" s="15"/>
      <c r="M18" s="7">
        <f t="shared" si="0"/>
        <v>5</v>
      </c>
    </row>
    <row r="19" spans="1:13" x14ac:dyDescent="0.25">
      <c r="A19" s="13" t="s">
        <v>37</v>
      </c>
      <c r="B19" s="12">
        <v>68</v>
      </c>
      <c r="C19" s="45">
        <v>-34</v>
      </c>
      <c r="D19" s="45"/>
      <c r="E19" s="15"/>
      <c r="F19" s="15"/>
      <c r="G19" s="15"/>
      <c r="H19" s="15"/>
      <c r="I19" s="15"/>
      <c r="J19" s="15"/>
      <c r="K19" s="15"/>
      <c r="L19" s="15"/>
      <c r="M19" s="7">
        <f t="shared" si="0"/>
        <v>34</v>
      </c>
    </row>
    <row r="20" spans="1:13" x14ac:dyDescent="0.25">
      <c r="A20" s="13" t="s">
        <v>56</v>
      </c>
      <c r="B20" s="12">
        <v>78</v>
      </c>
      <c r="C20" s="45">
        <v>-23</v>
      </c>
      <c r="D20" s="45"/>
      <c r="E20" s="15"/>
      <c r="F20" s="15"/>
      <c r="G20" s="15"/>
      <c r="H20" s="15"/>
      <c r="I20" s="15"/>
      <c r="J20" s="15"/>
      <c r="K20" s="15"/>
      <c r="L20" s="15"/>
      <c r="M20" s="7">
        <f t="shared" si="0"/>
        <v>55</v>
      </c>
    </row>
    <row r="21" spans="1:13" x14ac:dyDescent="0.25">
      <c r="A21" s="13" t="s">
        <v>111</v>
      </c>
      <c r="B21" s="12">
        <v>40</v>
      </c>
      <c r="C21" s="45"/>
      <c r="D21" s="45"/>
      <c r="E21" s="15"/>
      <c r="F21" s="15"/>
      <c r="G21" s="15"/>
      <c r="H21" s="15"/>
      <c r="I21" s="15"/>
      <c r="J21" s="15"/>
      <c r="K21" s="15"/>
      <c r="L21" s="15"/>
      <c r="M21" s="7">
        <f t="shared" si="0"/>
        <v>40</v>
      </c>
    </row>
    <row r="22" spans="1:13" x14ac:dyDescent="0.25">
      <c r="A22" s="13" t="s">
        <v>112</v>
      </c>
      <c r="B22" s="12">
        <v>700</v>
      </c>
      <c r="C22" s="45"/>
      <c r="D22" s="45"/>
      <c r="E22" s="15"/>
      <c r="F22" s="15"/>
      <c r="G22" s="15"/>
      <c r="H22" s="15"/>
      <c r="I22" s="15"/>
      <c r="J22" s="15"/>
      <c r="K22" s="15"/>
      <c r="L22" s="15"/>
      <c r="M22" s="7">
        <f t="shared" si="0"/>
        <v>700</v>
      </c>
    </row>
    <row r="23" spans="1:13" x14ac:dyDescent="0.25">
      <c r="A23" s="13" t="s">
        <v>13</v>
      </c>
      <c r="B23" s="12">
        <v>4</v>
      </c>
      <c r="C23" s="45"/>
      <c r="D23" s="45">
        <v>-4</v>
      </c>
      <c r="E23" s="15"/>
      <c r="F23" s="15"/>
      <c r="G23" s="15"/>
      <c r="H23" s="15"/>
      <c r="I23" s="15"/>
      <c r="J23" s="15"/>
      <c r="K23" s="15"/>
      <c r="L23" s="15"/>
      <c r="M23" s="7">
        <f t="shared" si="0"/>
        <v>0</v>
      </c>
    </row>
    <row r="24" spans="1:13" x14ac:dyDescent="0.25">
      <c r="A24" s="13" t="s">
        <v>67</v>
      </c>
      <c r="B24" s="12">
        <v>60</v>
      </c>
      <c r="C24" s="45">
        <v>-18</v>
      </c>
      <c r="D24" s="45"/>
      <c r="E24" s="15"/>
      <c r="F24" s="15"/>
      <c r="G24" s="15"/>
      <c r="H24" s="15"/>
      <c r="I24" s="15"/>
      <c r="J24" s="15"/>
      <c r="K24" s="15"/>
      <c r="L24" s="15"/>
      <c r="M24" s="7">
        <f t="shared" si="0"/>
        <v>42</v>
      </c>
    </row>
    <row r="25" spans="1:13" x14ac:dyDescent="0.25">
      <c r="A25" s="13" t="s">
        <v>113</v>
      </c>
      <c r="B25" s="12">
        <v>2</v>
      </c>
      <c r="C25" s="45">
        <v>-1</v>
      </c>
      <c r="D25" s="45">
        <v>-1</v>
      </c>
      <c r="E25" s="15">
        <v>1</v>
      </c>
      <c r="F25" s="15"/>
      <c r="G25" s="15"/>
      <c r="H25" s="15"/>
      <c r="I25" s="15"/>
      <c r="J25" s="15"/>
      <c r="K25" s="15"/>
      <c r="L25" s="15"/>
      <c r="M25" s="7">
        <f t="shared" si="0"/>
        <v>1</v>
      </c>
    </row>
    <row r="26" spans="1:13" x14ac:dyDescent="0.25">
      <c r="A26" s="16" t="s">
        <v>19</v>
      </c>
      <c r="B26" s="17"/>
      <c r="C26" s="40">
        <v>0.375</v>
      </c>
      <c r="D26" s="17">
        <v>0.125</v>
      </c>
      <c r="E26" s="17">
        <v>0.34722222222222221</v>
      </c>
      <c r="F26" s="17"/>
      <c r="G26" s="17"/>
      <c r="H26" s="17"/>
      <c r="I26" s="17"/>
      <c r="J26" s="17"/>
      <c r="K26" s="17"/>
      <c r="L26" s="17"/>
      <c r="M26" s="9"/>
    </row>
    <row r="27" spans="1:13" x14ac:dyDescent="0.25">
      <c r="A27" s="16" t="s">
        <v>20</v>
      </c>
      <c r="B27" s="46"/>
      <c r="C27" s="46" t="s">
        <v>130</v>
      </c>
      <c r="D27" s="46" t="s">
        <v>335</v>
      </c>
      <c r="E27" s="46" t="s">
        <v>303</v>
      </c>
      <c r="F27" s="46"/>
      <c r="G27" s="46"/>
      <c r="H27" s="46"/>
      <c r="I27" s="46"/>
      <c r="J27" s="46"/>
      <c r="K27" s="46"/>
      <c r="L27" s="46"/>
      <c r="M27" s="11">
        <f>SUM(C27:L27)</f>
        <v>0</v>
      </c>
    </row>
  </sheetData>
  <mergeCells count="4">
    <mergeCell ref="A1:M1"/>
    <mergeCell ref="A2:M2"/>
    <mergeCell ref="A3:M3"/>
    <mergeCell ref="A4:A5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2E76-96EC-4738-BD91-70C14D7CE42C}">
  <dimension ref="A1:I57"/>
  <sheetViews>
    <sheetView tabSelected="1" topLeftCell="A40" workbookViewId="0">
      <selection activeCell="L50" sqref="L50"/>
    </sheetView>
  </sheetViews>
  <sheetFormatPr baseColWidth="10" defaultRowHeight="15" x14ac:dyDescent="0.25"/>
  <cols>
    <col min="1" max="1" width="39.5703125" customWidth="1"/>
    <col min="2" max="2" width="12.42578125" customWidth="1"/>
    <col min="8" max="8" width="16.28515625" customWidth="1"/>
    <col min="9" max="9" width="16.5703125" customWidth="1"/>
  </cols>
  <sheetData>
    <row r="1" spans="1:9" ht="18.75" x14ac:dyDescent="0.3">
      <c r="A1" s="109" t="s">
        <v>51</v>
      </c>
      <c r="B1" s="110"/>
      <c r="C1" s="110"/>
      <c r="D1" s="110"/>
      <c r="E1" s="110"/>
      <c r="F1" s="110"/>
      <c r="G1" s="110"/>
      <c r="H1" s="110"/>
      <c r="I1" s="111"/>
    </row>
    <row r="2" spans="1:9" ht="18.75" x14ac:dyDescent="0.3">
      <c r="A2" s="112" t="s">
        <v>52</v>
      </c>
      <c r="B2" s="113"/>
      <c r="C2" s="113"/>
      <c r="D2" s="113"/>
      <c r="E2" s="113"/>
      <c r="F2" s="113"/>
      <c r="G2" s="113"/>
      <c r="H2" s="113"/>
      <c r="I2" s="114"/>
    </row>
    <row r="3" spans="1:9" ht="18.75" x14ac:dyDescent="0.3">
      <c r="A3" s="112" t="s">
        <v>32</v>
      </c>
      <c r="B3" s="113"/>
      <c r="C3" s="113"/>
      <c r="D3" s="113"/>
      <c r="E3" s="113"/>
      <c r="F3" s="113"/>
      <c r="G3" s="113"/>
      <c r="H3" s="113"/>
      <c r="I3" s="113"/>
    </row>
    <row r="4" spans="1:9" x14ac:dyDescent="0.25">
      <c r="A4" s="1" t="s">
        <v>2</v>
      </c>
      <c r="B4" s="2">
        <v>13989</v>
      </c>
      <c r="C4" s="2">
        <v>13990</v>
      </c>
      <c r="D4" s="2">
        <v>13648</v>
      </c>
      <c r="E4" s="2"/>
      <c r="F4" s="2"/>
      <c r="G4" s="2"/>
      <c r="H4" s="2"/>
      <c r="I4" s="2" t="s">
        <v>3</v>
      </c>
    </row>
    <row r="5" spans="1:9" x14ac:dyDescent="0.25">
      <c r="A5" s="3"/>
      <c r="B5" s="4">
        <v>46268</v>
      </c>
      <c r="C5" s="4">
        <v>46269</v>
      </c>
      <c r="D5" s="4">
        <v>46282</v>
      </c>
      <c r="E5" s="4"/>
      <c r="F5" s="4"/>
      <c r="G5" s="4"/>
      <c r="H5" s="4"/>
      <c r="I5" s="4">
        <v>46295</v>
      </c>
    </row>
    <row r="6" spans="1:9" x14ac:dyDescent="0.25">
      <c r="A6" s="68" t="s">
        <v>94</v>
      </c>
      <c r="B6" s="24">
        <v>12</v>
      </c>
      <c r="C6" s="24">
        <v>70</v>
      </c>
      <c r="D6" s="6">
        <v>-45</v>
      </c>
      <c r="E6" s="6"/>
      <c r="F6" s="6"/>
      <c r="G6" s="6"/>
      <c r="H6" s="6"/>
      <c r="I6" s="7">
        <f>SUM(B6:F6)</f>
        <v>37</v>
      </c>
    </row>
    <row r="7" spans="1:9" x14ac:dyDescent="0.25">
      <c r="A7" s="68" t="s">
        <v>160</v>
      </c>
      <c r="B7" s="24"/>
      <c r="C7" s="24">
        <v>10</v>
      </c>
      <c r="D7" s="6"/>
      <c r="E7" s="6"/>
      <c r="F7" s="6"/>
      <c r="G7" s="6"/>
      <c r="H7" s="6"/>
      <c r="I7" s="7">
        <f>SUM(B7:F7)</f>
        <v>10</v>
      </c>
    </row>
    <row r="8" spans="1:9" x14ac:dyDescent="0.25">
      <c r="A8" s="68" t="s">
        <v>21</v>
      </c>
      <c r="B8" s="24">
        <v>24</v>
      </c>
      <c r="C8" s="24"/>
      <c r="D8" s="6"/>
      <c r="E8" s="6"/>
      <c r="F8" s="6"/>
      <c r="G8" s="6"/>
      <c r="H8" s="6"/>
      <c r="I8" s="7">
        <f>SUM(B8:F8)</f>
        <v>24</v>
      </c>
    </row>
    <row r="9" spans="1:9" x14ac:dyDescent="0.25">
      <c r="A9" s="68" t="s">
        <v>24</v>
      </c>
      <c r="B9" s="24">
        <v>65</v>
      </c>
      <c r="C9" s="24"/>
      <c r="D9" s="6">
        <v>-65</v>
      </c>
      <c r="E9" s="6"/>
      <c r="F9" s="6"/>
      <c r="G9" s="6"/>
      <c r="H9" s="6"/>
      <c r="I9" s="7">
        <f>SUM(B9:F9)</f>
        <v>0</v>
      </c>
    </row>
    <row r="10" spans="1:9" x14ac:dyDescent="0.25">
      <c r="A10" s="3" t="s">
        <v>7</v>
      </c>
      <c r="B10" s="17">
        <v>0.4236111111111111</v>
      </c>
      <c r="C10" s="17">
        <v>0.4375</v>
      </c>
      <c r="D10" s="8">
        <v>0.41666666666666669</v>
      </c>
      <c r="E10" s="8"/>
      <c r="F10" s="8"/>
      <c r="G10" s="8"/>
      <c r="H10" s="8"/>
      <c r="I10" s="9"/>
    </row>
    <row r="11" spans="1:9" x14ac:dyDescent="0.25">
      <c r="A11" s="3" t="s">
        <v>8</v>
      </c>
      <c r="B11" s="43" t="s">
        <v>159</v>
      </c>
      <c r="C11" s="43" t="s">
        <v>159</v>
      </c>
      <c r="D11" s="10" t="s">
        <v>159</v>
      </c>
      <c r="E11" s="10"/>
      <c r="F11" s="10"/>
      <c r="G11" s="10"/>
      <c r="H11" s="10"/>
      <c r="I11" s="11"/>
    </row>
    <row r="13" spans="1:9" ht="15.75" thickBot="1" x14ac:dyDescent="0.3"/>
    <row r="14" spans="1:9" ht="18.75" x14ac:dyDescent="0.3">
      <c r="A14" s="109" t="s">
        <v>51</v>
      </c>
      <c r="B14" s="110"/>
      <c r="C14" s="110"/>
      <c r="D14" s="110"/>
      <c r="E14" s="110"/>
      <c r="F14" s="110"/>
      <c r="G14" s="110"/>
      <c r="H14" s="110"/>
      <c r="I14" s="111"/>
    </row>
    <row r="15" spans="1:9" ht="18.75" x14ac:dyDescent="0.3">
      <c r="A15" s="112" t="s">
        <v>52</v>
      </c>
      <c r="B15" s="113"/>
      <c r="C15" s="113"/>
      <c r="D15" s="113"/>
      <c r="E15" s="113"/>
      <c r="F15" s="113"/>
      <c r="G15" s="113"/>
      <c r="H15" s="113"/>
      <c r="I15" s="114"/>
    </row>
    <row r="16" spans="1:9" ht="18.75" x14ac:dyDescent="0.3">
      <c r="A16" s="112" t="s">
        <v>32</v>
      </c>
      <c r="B16" s="113"/>
      <c r="C16" s="113"/>
      <c r="D16" s="113"/>
      <c r="E16" s="113"/>
      <c r="F16" s="113"/>
      <c r="G16" s="113"/>
      <c r="H16" s="113"/>
      <c r="I16" s="113"/>
    </row>
    <row r="17" spans="1:9" x14ac:dyDescent="0.25">
      <c r="A17" s="1" t="s">
        <v>2</v>
      </c>
      <c r="B17" s="2">
        <v>14021</v>
      </c>
      <c r="C17" s="2">
        <v>14026</v>
      </c>
      <c r="D17" s="2">
        <v>14027</v>
      </c>
      <c r="E17" s="2">
        <v>14031</v>
      </c>
      <c r="F17" s="2">
        <v>14034</v>
      </c>
      <c r="G17" s="2">
        <v>14035</v>
      </c>
      <c r="H17" s="2">
        <v>13656</v>
      </c>
      <c r="I17" s="2" t="s">
        <v>3</v>
      </c>
    </row>
    <row r="18" spans="1:9" x14ac:dyDescent="0.25">
      <c r="A18" s="3"/>
      <c r="B18" s="4">
        <v>46280</v>
      </c>
      <c r="C18" s="4">
        <v>46281</v>
      </c>
      <c r="D18" s="4">
        <v>46281</v>
      </c>
      <c r="E18" s="4">
        <v>46283</v>
      </c>
      <c r="F18" s="4">
        <v>46282</v>
      </c>
      <c r="G18" s="4">
        <v>46282</v>
      </c>
      <c r="H18" s="4">
        <v>46284</v>
      </c>
      <c r="I18" s="4">
        <v>46295</v>
      </c>
    </row>
    <row r="19" spans="1:9" x14ac:dyDescent="0.25">
      <c r="A19" s="68" t="s">
        <v>36</v>
      </c>
      <c r="B19" s="24">
        <v>200</v>
      </c>
      <c r="C19" s="44">
        <v>400</v>
      </c>
      <c r="D19" s="6"/>
      <c r="E19" s="6">
        <v>400</v>
      </c>
      <c r="F19" s="6"/>
      <c r="G19" s="6">
        <v>400</v>
      </c>
      <c r="H19" s="6"/>
      <c r="I19" s="7">
        <f>SUM(B19:H19)</f>
        <v>1400</v>
      </c>
    </row>
    <row r="20" spans="1:9" x14ac:dyDescent="0.25">
      <c r="A20" s="68" t="s">
        <v>22</v>
      </c>
      <c r="B20" s="24">
        <v>68</v>
      </c>
      <c r="C20" s="15">
        <v>16</v>
      </c>
      <c r="D20" s="6"/>
      <c r="E20" s="6"/>
      <c r="F20" s="6">
        <v>33</v>
      </c>
      <c r="G20" s="6"/>
      <c r="H20" s="6"/>
      <c r="I20" s="7">
        <f t="shared" ref="I20:I55" si="0">SUM(B20:H20)</f>
        <v>117</v>
      </c>
    </row>
    <row r="21" spans="1:9" x14ac:dyDescent="0.25">
      <c r="A21" s="68" t="s">
        <v>178</v>
      </c>
      <c r="B21" s="24">
        <v>1</v>
      </c>
      <c r="C21" s="15"/>
      <c r="D21" s="6">
        <v>4</v>
      </c>
      <c r="E21" s="6">
        <v>1</v>
      </c>
      <c r="F21" s="6"/>
      <c r="G21" s="6"/>
      <c r="H21" s="6">
        <v>-1</v>
      </c>
      <c r="I21" s="7">
        <f t="shared" si="0"/>
        <v>5</v>
      </c>
    </row>
    <row r="22" spans="1:9" x14ac:dyDescent="0.25">
      <c r="A22" s="68" t="s">
        <v>325</v>
      </c>
      <c r="B22" s="24">
        <v>3</v>
      </c>
      <c r="C22" s="15"/>
      <c r="D22" s="6"/>
      <c r="E22" s="6">
        <v>1</v>
      </c>
      <c r="F22" s="6"/>
      <c r="G22" s="6"/>
      <c r="H22" s="6">
        <v>-1</v>
      </c>
      <c r="I22" s="7">
        <f t="shared" si="0"/>
        <v>3</v>
      </c>
    </row>
    <row r="23" spans="1:9" x14ac:dyDescent="0.25">
      <c r="A23" s="104" t="s">
        <v>34</v>
      </c>
      <c r="B23" s="24">
        <v>2</v>
      </c>
      <c r="C23" s="15">
        <v>4</v>
      </c>
      <c r="D23" s="6"/>
      <c r="E23" s="6">
        <v>6</v>
      </c>
      <c r="F23" s="6">
        <v>2</v>
      </c>
      <c r="G23" s="6"/>
      <c r="H23" s="6"/>
      <c r="I23" s="7">
        <f t="shared" si="0"/>
        <v>14</v>
      </c>
    </row>
    <row r="24" spans="1:9" x14ac:dyDescent="0.25">
      <c r="A24" s="104" t="s">
        <v>190</v>
      </c>
      <c r="B24" s="24">
        <v>1</v>
      </c>
      <c r="C24" s="15">
        <v>2</v>
      </c>
      <c r="D24" s="6"/>
      <c r="E24" s="6"/>
      <c r="F24" s="6">
        <v>1</v>
      </c>
      <c r="G24" s="6"/>
      <c r="H24" s="6"/>
      <c r="I24" s="7">
        <f t="shared" si="0"/>
        <v>4</v>
      </c>
    </row>
    <row r="25" spans="1:9" x14ac:dyDescent="0.25">
      <c r="A25" s="104" t="s">
        <v>15</v>
      </c>
      <c r="B25" s="24"/>
      <c r="C25" s="15">
        <v>2</v>
      </c>
      <c r="D25" s="6"/>
      <c r="E25" s="6"/>
      <c r="F25" s="6"/>
      <c r="G25" s="6"/>
      <c r="H25" s="6"/>
      <c r="I25" s="7">
        <f t="shared" si="0"/>
        <v>2</v>
      </c>
    </row>
    <row r="26" spans="1:9" x14ac:dyDescent="0.25">
      <c r="A26" s="104" t="s">
        <v>289</v>
      </c>
      <c r="B26" s="24"/>
      <c r="C26" s="15">
        <v>1</v>
      </c>
      <c r="D26" s="6"/>
      <c r="E26" s="6"/>
      <c r="F26" s="6"/>
      <c r="G26" s="6"/>
      <c r="H26" s="6"/>
      <c r="I26" s="7">
        <f t="shared" si="0"/>
        <v>1</v>
      </c>
    </row>
    <row r="27" spans="1:9" x14ac:dyDescent="0.25">
      <c r="A27" s="104" t="s">
        <v>87</v>
      </c>
      <c r="B27" s="24"/>
      <c r="C27" s="15">
        <v>2</v>
      </c>
      <c r="D27" s="6"/>
      <c r="E27" s="6"/>
      <c r="F27" s="6">
        <v>2</v>
      </c>
      <c r="G27" s="6"/>
      <c r="H27" s="6"/>
      <c r="I27" s="7">
        <f t="shared" si="0"/>
        <v>4</v>
      </c>
    </row>
    <row r="28" spans="1:9" x14ac:dyDescent="0.25">
      <c r="A28" s="104" t="s">
        <v>88</v>
      </c>
      <c r="B28" s="24"/>
      <c r="C28" s="15">
        <v>1</v>
      </c>
      <c r="D28" s="6"/>
      <c r="E28" s="6"/>
      <c r="F28" s="6">
        <v>1</v>
      </c>
      <c r="G28" s="6"/>
      <c r="H28" s="6"/>
      <c r="I28" s="7">
        <f t="shared" si="0"/>
        <v>2</v>
      </c>
    </row>
    <row r="29" spans="1:9" x14ac:dyDescent="0.25">
      <c r="A29" s="104" t="s">
        <v>35</v>
      </c>
      <c r="B29" s="24"/>
      <c r="C29" s="15">
        <v>2</v>
      </c>
      <c r="D29" s="6"/>
      <c r="E29" s="6"/>
      <c r="F29" s="6"/>
      <c r="G29" s="6"/>
      <c r="H29" s="6"/>
      <c r="I29" s="7">
        <f t="shared" si="0"/>
        <v>2</v>
      </c>
    </row>
    <row r="30" spans="1:9" x14ac:dyDescent="0.25">
      <c r="A30" s="104" t="s">
        <v>179</v>
      </c>
      <c r="B30" s="24"/>
      <c r="C30" s="15">
        <v>1</v>
      </c>
      <c r="D30" s="6"/>
      <c r="E30" s="6"/>
      <c r="F30" s="6"/>
      <c r="G30" s="6"/>
      <c r="H30" s="6"/>
      <c r="I30" s="7">
        <f t="shared" si="0"/>
        <v>1</v>
      </c>
    </row>
    <row r="31" spans="1:9" x14ac:dyDescent="0.25">
      <c r="A31" s="104" t="s">
        <v>107</v>
      </c>
      <c r="B31" s="24"/>
      <c r="C31" s="15">
        <v>6</v>
      </c>
      <c r="D31" s="6"/>
      <c r="E31" s="6"/>
      <c r="F31" s="6">
        <v>6</v>
      </c>
      <c r="G31" s="6"/>
      <c r="H31" s="6">
        <v>-2</v>
      </c>
      <c r="I31" s="7">
        <f t="shared" si="0"/>
        <v>10</v>
      </c>
    </row>
    <row r="32" spans="1:9" x14ac:dyDescent="0.25">
      <c r="A32" s="104" t="s">
        <v>336</v>
      </c>
      <c r="B32" s="24"/>
      <c r="C32" s="15"/>
      <c r="D32" s="6">
        <v>3</v>
      </c>
      <c r="E32" s="6"/>
      <c r="F32" s="6">
        <v>3</v>
      </c>
      <c r="G32" s="6"/>
      <c r="H32" s="6">
        <v>-4</v>
      </c>
      <c r="I32" s="7">
        <f t="shared" si="0"/>
        <v>2</v>
      </c>
    </row>
    <row r="33" spans="1:9" x14ac:dyDescent="0.25">
      <c r="A33" s="106" t="s">
        <v>326</v>
      </c>
      <c r="B33" s="24">
        <v>4</v>
      </c>
      <c r="C33" s="15"/>
      <c r="D33" s="6"/>
      <c r="E33" s="6">
        <v>1</v>
      </c>
      <c r="F33" s="6">
        <v>4</v>
      </c>
      <c r="G33" s="6"/>
      <c r="H33" s="6"/>
      <c r="I33" s="7">
        <f t="shared" si="0"/>
        <v>9</v>
      </c>
    </row>
    <row r="34" spans="1:9" x14ac:dyDescent="0.25">
      <c r="A34" s="104" t="s">
        <v>327</v>
      </c>
      <c r="B34" s="24">
        <v>2</v>
      </c>
      <c r="C34" s="15">
        <v>6</v>
      </c>
      <c r="D34" s="6"/>
      <c r="E34" s="6"/>
      <c r="F34" s="6"/>
      <c r="G34" s="6"/>
      <c r="H34" s="6"/>
      <c r="I34" s="7">
        <f t="shared" si="0"/>
        <v>8</v>
      </c>
    </row>
    <row r="35" spans="1:9" x14ac:dyDescent="0.25">
      <c r="A35" s="104" t="s">
        <v>67</v>
      </c>
      <c r="B35" s="24">
        <v>2</v>
      </c>
      <c r="C35" s="15">
        <v>6</v>
      </c>
      <c r="D35" s="6"/>
      <c r="E35" s="6">
        <v>3</v>
      </c>
      <c r="F35" s="6">
        <v>4</v>
      </c>
      <c r="G35" s="6"/>
      <c r="H35" s="6">
        <v>-1</v>
      </c>
      <c r="I35" s="7">
        <f t="shared" si="0"/>
        <v>14</v>
      </c>
    </row>
    <row r="36" spans="1:9" x14ac:dyDescent="0.25">
      <c r="A36" s="104" t="s">
        <v>37</v>
      </c>
      <c r="B36" s="24"/>
      <c r="C36" s="15"/>
      <c r="D36" s="6"/>
      <c r="E36" s="6"/>
      <c r="F36" s="6">
        <v>10</v>
      </c>
      <c r="G36" s="6">
        <v>2</v>
      </c>
      <c r="H36" s="6"/>
      <c r="I36" s="7">
        <f t="shared" si="0"/>
        <v>12</v>
      </c>
    </row>
    <row r="37" spans="1:9" x14ac:dyDescent="0.25">
      <c r="A37" s="106" t="s">
        <v>230</v>
      </c>
      <c r="B37" s="24">
        <v>2</v>
      </c>
      <c r="C37" s="15"/>
      <c r="D37" s="6">
        <v>12</v>
      </c>
      <c r="E37" s="6"/>
      <c r="F37" s="6">
        <v>2</v>
      </c>
      <c r="G37" s="6"/>
      <c r="H37" s="6">
        <v>-2</v>
      </c>
      <c r="I37" s="7">
        <f t="shared" si="0"/>
        <v>14</v>
      </c>
    </row>
    <row r="38" spans="1:9" x14ac:dyDescent="0.25">
      <c r="A38" s="106" t="s">
        <v>231</v>
      </c>
      <c r="B38" s="24">
        <v>1</v>
      </c>
      <c r="C38" s="15"/>
      <c r="D38" s="6">
        <v>6</v>
      </c>
      <c r="E38" s="6"/>
      <c r="F38" s="6">
        <v>1</v>
      </c>
      <c r="G38" s="6"/>
      <c r="H38" s="6">
        <v>-1</v>
      </c>
      <c r="I38" s="7">
        <f t="shared" si="0"/>
        <v>7</v>
      </c>
    </row>
    <row r="39" spans="1:9" x14ac:dyDescent="0.25">
      <c r="A39" s="104" t="s">
        <v>64</v>
      </c>
      <c r="B39" s="24">
        <v>6</v>
      </c>
      <c r="C39" s="15"/>
      <c r="D39" s="6">
        <v>6</v>
      </c>
      <c r="E39" s="6"/>
      <c r="F39" s="6">
        <v>6</v>
      </c>
      <c r="G39" s="6"/>
      <c r="H39" s="6">
        <v>-3</v>
      </c>
      <c r="I39" s="7">
        <f t="shared" si="0"/>
        <v>15</v>
      </c>
    </row>
    <row r="40" spans="1:9" x14ac:dyDescent="0.25">
      <c r="A40" s="104" t="s">
        <v>328</v>
      </c>
      <c r="B40" s="24">
        <v>6</v>
      </c>
      <c r="C40" s="15">
        <v>6</v>
      </c>
      <c r="D40" s="6"/>
      <c r="E40" s="6">
        <v>1</v>
      </c>
      <c r="F40" s="6">
        <v>3</v>
      </c>
      <c r="G40" s="6"/>
      <c r="H40" s="6"/>
      <c r="I40" s="7">
        <f t="shared" si="0"/>
        <v>16</v>
      </c>
    </row>
    <row r="41" spans="1:9" x14ac:dyDescent="0.25">
      <c r="A41" s="104" t="s">
        <v>332</v>
      </c>
      <c r="B41" s="24"/>
      <c r="C41" s="15">
        <v>3</v>
      </c>
      <c r="D41" s="6"/>
      <c r="E41" s="6">
        <v>1</v>
      </c>
      <c r="F41" s="6">
        <v>3</v>
      </c>
      <c r="G41" s="6"/>
      <c r="H41" s="6"/>
      <c r="I41" s="7">
        <f t="shared" si="0"/>
        <v>7</v>
      </c>
    </row>
    <row r="42" spans="1:9" x14ac:dyDescent="0.25">
      <c r="A42" s="104" t="s">
        <v>333</v>
      </c>
      <c r="B42" s="24"/>
      <c r="C42" s="15">
        <v>6</v>
      </c>
      <c r="D42" s="6"/>
      <c r="E42" s="6"/>
      <c r="F42" s="6"/>
      <c r="G42" s="6"/>
      <c r="H42" s="6"/>
      <c r="I42" s="7">
        <f t="shared" si="0"/>
        <v>6</v>
      </c>
    </row>
    <row r="43" spans="1:9" x14ac:dyDescent="0.25">
      <c r="A43" s="104" t="s">
        <v>338</v>
      </c>
      <c r="B43" s="24"/>
      <c r="C43" s="15"/>
      <c r="D43" s="6"/>
      <c r="E43" s="6">
        <v>5</v>
      </c>
      <c r="F43" s="6"/>
      <c r="G43" s="6"/>
      <c r="H43" s="6"/>
      <c r="I43" s="7">
        <f t="shared" si="0"/>
        <v>5</v>
      </c>
    </row>
    <row r="44" spans="1:9" x14ac:dyDescent="0.25">
      <c r="A44" s="104" t="s">
        <v>109</v>
      </c>
      <c r="B44" s="24">
        <v>24</v>
      </c>
      <c r="C44" s="15">
        <v>65</v>
      </c>
      <c r="D44" s="6"/>
      <c r="E44" s="6">
        <v>32</v>
      </c>
      <c r="F44" s="6">
        <v>22</v>
      </c>
      <c r="G44" s="6"/>
      <c r="H44" s="6"/>
      <c r="I44" s="7">
        <f t="shared" si="0"/>
        <v>143</v>
      </c>
    </row>
    <row r="45" spans="1:9" x14ac:dyDescent="0.25">
      <c r="A45" s="104" t="s">
        <v>288</v>
      </c>
      <c r="B45" s="24">
        <v>4</v>
      </c>
      <c r="C45" s="15"/>
      <c r="D45" s="6">
        <v>3</v>
      </c>
      <c r="E45" s="6">
        <v>13</v>
      </c>
      <c r="F45" s="6"/>
      <c r="G45" s="6"/>
      <c r="H45" s="6">
        <v>-2</v>
      </c>
      <c r="I45" s="7">
        <f t="shared" si="0"/>
        <v>18</v>
      </c>
    </row>
    <row r="46" spans="1:9" x14ac:dyDescent="0.25">
      <c r="A46" s="104" t="s">
        <v>329</v>
      </c>
      <c r="B46" s="24">
        <v>22</v>
      </c>
      <c r="C46" s="15"/>
      <c r="D46" s="6">
        <v>40</v>
      </c>
      <c r="E46" s="6"/>
      <c r="F46" s="6"/>
      <c r="G46" s="6">
        <v>80</v>
      </c>
      <c r="H46" s="6"/>
      <c r="I46" s="7">
        <f t="shared" si="0"/>
        <v>142</v>
      </c>
    </row>
    <row r="47" spans="1:9" x14ac:dyDescent="0.25">
      <c r="A47" s="104" t="s">
        <v>330</v>
      </c>
      <c r="B47" s="24">
        <v>4</v>
      </c>
      <c r="C47" s="15"/>
      <c r="D47" s="6"/>
      <c r="E47" s="6"/>
      <c r="F47" s="6"/>
      <c r="G47" s="6"/>
      <c r="H47" s="6"/>
      <c r="I47" s="7">
        <f t="shared" si="0"/>
        <v>4</v>
      </c>
    </row>
    <row r="48" spans="1:9" x14ac:dyDescent="0.25">
      <c r="A48" s="104" t="s">
        <v>112</v>
      </c>
      <c r="B48" s="24">
        <v>52</v>
      </c>
      <c r="C48" s="15"/>
      <c r="D48" s="6">
        <v>79</v>
      </c>
      <c r="E48" s="6"/>
      <c r="F48" s="6"/>
      <c r="G48" s="6">
        <v>160</v>
      </c>
      <c r="H48" s="6"/>
      <c r="I48" s="7">
        <f t="shared" si="0"/>
        <v>291</v>
      </c>
    </row>
    <row r="49" spans="1:9" x14ac:dyDescent="0.25">
      <c r="A49" s="104" t="s">
        <v>331</v>
      </c>
      <c r="B49" s="24">
        <v>1</v>
      </c>
      <c r="C49" s="15"/>
      <c r="D49" s="6">
        <v>2</v>
      </c>
      <c r="E49" s="6"/>
      <c r="F49" s="6"/>
      <c r="G49" s="6">
        <v>2</v>
      </c>
      <c r="H49" s="6"/>
      <c r="I49" s="7">
        <f t="shared" si="0"/>
        <v>5</v>
      </c>
    </row>
    <row r="50" spans="1:9" x14ac:dyDescent="0.25">
      <c r="A50" s="104" t="s">
        <v>106</v>
      </c>
      <c r="B50" s="24"/>
      <c r="C50" s="15"/>
      <c r="D50" s="6">
        <v>2</v>
      </c>
      <c r="E50" s="6"/>
      <c r="F50" s="6"/>
      <c r="G50" s="6"/>
      <c r="H50" s="6"/>
      <c r="I50" s="7">
        <f t="shared" si="0"/>
        <v>2</v>
      </c>
    </row>
    <row r="51" spans="1:9" x14ac:dyDescent="0.25">
      <c r="A51" s="104" t="s">
        <v>232</v>
      </c>
      <c r="B51" s="24"/>
      <c r="C51" s="15"/>
      <c r="D51" s="6">
        <v>1</v>
      </c>
      <c r="E51" s="6"/>
      <c r="F51" s="6"/>
      <c r="G51" s="6"/>
      <c r="H51" s="6">
        <v>-1</v>
      </c>
      <c r="I51" s="7">
        <f t="shared" si="0"/>
        <v>0</v>
      </c>
    </row>
    <row r="52" spans="1:9" x14ac:dyDescent="0.25">
      <c r="A52" s="104" t="s">
        <v>33</v>
      </c>
      <c r="B52" s="24"/>
      <c r="C52" s="15"/>
      <c r="D52" s="6">
        <v>4</v>
      </c>
      <c r="E52" s="6"/>
      <c r="F52" s="6"/>
      <c r="G52" s="6"/>
      <c r="H52" s="6"/>
      <c r="I52" s="7">
        <f t="shared" si="0"/>
        <v>4</v>
      </c>
    </row>
    <row r="53" spans="1:9" x14ac:dyDescent="0.25">
      <c r="A53" s="104" t="s">
        <v>201</v>
      </c>
      <c r="B53" s="24"/>
      <c r="C53" s="15"/>
      <c r="D53" s="6">
        <v>2</v>
      </c>
      <c r="E53" s="6"/>
      <c r="F53" s="6"/>
      <c r="G53" s="6"/>
      <c r="H53" s="6">
        <v>-1</v>
      </c>
      <c r="I53" s="7">
        <f t="shared" si="0"/>
        <v>1</v>
      </c>
    </row>
    <row r="54" spans="1:9" x14ac:dyDescent="0.25">
      <c r="A54" s="104" t="s">
        <v>239</v>
      </c>
      <c r="B54" s="24"/>
      <c r="C54" s="15"/>
      <c r="D54" s="6">
        <v>30</v>
      </c>
      <c r="E54" s="6"/>
      <c r="F54" s="6">
        <v>38</v>
      </c>
      <c r="G54" s="6"/>
      <c r="H54" s="6"/>
      <c r="I54" s="7">
        <f t="shared" si="0"/>
        <v>68</v>
      </c>
    </row>
    <row r="55" spans="1:9" x14ac:dyDescent="0.25">
      <c r="A55" s="104" t="s">
        <v>57</v>
      </c>
      <c r="B55" s="24"/>
      <c r="C55" s="15"/>
      <c r="D55" s="6"/>
      <c r="E55" s="6">
        <v>6</v>
      </c>
      <c r="F55" s="6"/>
      <c r="G55" s="6"/>
      <c r="H55" s="6"/>
      <c r="I55" s="7">
        <f t="shared" si="0"/>
        <v>6</v>
      </c>
    </row>
    <row r="56" spans="1:9" x14ac:dyDescent="0.25">
      <c r="A56" s="3" t="s">
        <v>7</v>
      </c>
      <c r="B56" s="17">
        <v>8.3333333333333329E-2</v>
      </c>
      <c r="C56" s="17">
        <v>0.35416666666666669</v>
      </c>
      <c r="D56" s="8">
        <v>0.35416666666666669</v>
      </c>
      <c r="E56" s="8">
        <v>0.4375</v>
      </c>
      <c r="F56" s="8" t="s">
        <v>339</v>
      </c>
      <c r="G56" s="8">
        <v>0.41666666666666669</v>
      </c>
      <c r="H56" s="8">
        <v>0.41666666666666669</v>
      </c>
      <c r="I56" s="9"/>
    </row>
    <row r="57" spans="1:9" x14ac:dyDescent="0.25">
      <c r="A57" s="3" t="s">
        <v>8</v>
      </c>
      <c r="B57" s="105">
        <v>120</v>
      </c>
      <c r="C57" s="43" t="s">
        <v>337</v>
      </c>
      <c r="D57" s="10" t="s">
        <v>159</v>
      </c>
      <c r="E57" s="10">
        <v>60000</v>
      </c>
      <c r="F57" s="10"/>
      <c r="G57" s="101">
        <v>100</v>
      </c>
      <c r="H57" s="10">
        <v>20000</v>
      </c>
      <c r="I57" s="11"/>
    </row>
  </sheetData>
  <mergeCells count="6">
    <mergeCell ref="A16:I16"/>
    <mergeCell ref="A1:I1"/>
    <mergeCell ref="A2:I2"/>
    <mergeCell ref="A3:I3"/>
    <mergeCell ref="A14:I14"/>
    <mergeCell ref="A15:I15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4B26-1AAB-4B1F-B8A6-53D889DC708B}">
  <dimension ref="A1:E14"/>
  <sheetViews>
    <sheetView workbookViewId="0">
      <selection activeCell="B12" sqref="B12"/>
    </sheetView>
  </sheetViews>
  <sheetFormatPr baseColWidth="10" defaultRowHeight="15" x14ac:dyDescent="0.25"/>
  <cols>
    <col min="1" max="1" width="47" customWidth="1"/>
    <col min="2" max="2" width="14.85546875" customWidth="1"/>
    <col min="5" max="5" width="17" customWidth="1"/>
  </cols>
  <sheetData>
    <row r="1" spans="1:5" ht="18.75" x14ac:dyDescent="0.3">
      <c r="A1" s="109" t="s">
        <v>73</v>
      </c>
      <c r="B1" s="110"/>
      <c r="C1" s="110"/>
      <c r="D1" s="110"/>
      <c r="E1" s="111"/>
    </row>
    <row r="2" spans="1:5" ht="18.75" x14ac:dyDescent="0.3">
      <c r="A2" s="112" t="s">
        <v>74</v>
      </c>
      <c r="B2" s="113"/>
      <c r="C2" s="113"/>
      <c r="D2" s="113"/>
      <c r="E2" s="114"/>
    </row>
    <row r="3" spans="1:5" ht="18.75" x14ac:dyDescent="0.3">
      <c r="A3" s="112" t="s">
        <v>32</v>
      </c>
      <c r="B3" s="113"/>
      <c r="C3" s="113"/>
      <c r="D3" s="113"/>
      <c r="E3" s="113"/>
    </row>
    <row r="4" spans="1:5" x14ac:dyDescent="0.25">
      <c r="A4" s="1" t="s">
        <v>2</v>
      </c>
      <c r="B4" s="2">
        <v>13986</v>
      </c>
      <c r="C4" s="2">
        <v>13986</v>
      </c>
      <c r="D4" s="2"/>
      <c r="E4" s="2" t="s">
        <v>3</v>
      </c>
    </row>
    <row r="5" spans="1:5" x14ac:dyDescent="0.25">
      <c r="A5" s="3"/>
      <c r="B5" s="4">
        <v>46267</v>
      </c>
      <c r="C5" s="4">
        <v>46268</v>
      </c>
      <c r="D5" s="4"/>
      <c r="E5" s="4">
        <v>46295</v>
      </c>
    </row>
    <row r="6" spans="1:5" x14ac:dyDescent="0.25">
      <c r="A6" s="13" t="s">
        <v>75</v>
      </c>
      <c r="B6" s="7">
        <v>4</v>
      </c>
      <c r="C6" s="6">
        <v>-4</v>
      </c>
      <c r="D6" s="6"/>
      <c r="E6" s="7">
        <f>SUM(B6:D6)</f>
        <v>0</v>
      </c>
    </row>
    <row r="7" spans="1:5" x14ac:dyDescent="0.25">
      <c r="A7" s="13" t="s">
        <v>76</v>
      </c>
      <c r="B7" s="7">
        <v>4</v>
      </c>
      <c r="C7" s="6">
        <v>-4</v>
      </c>
      <c r="D7" s="6"/>
      <c r="E7" s="7">
        <f>SUM(B7:D7)</f>
        <v>0</v>
      </c>
    </row>
    <row r="8" spans="1:5" x14ac:dyDescent="0.25">
      <c r="A8" s="13" t="s">
        <v>6</v>
      </c>
      <c r="B8" s="7">
        <v>1</v>
      </c>
      <c r="C8" s="6">
        <v>-1</v>
      </c>
      <c r="D8" s="6"/>
      <c r="E8" s="7">
        <f>SUM(B8:D8)</f>
        <v>0</v>
      </c>
    </row>
    <row r="9" spans="1:5" x14ac:dyDescent="0.25">
      <c r="A9" s="3" t="s">
        <v>7</v>
      </c>
      <c r="B9" s="8">
        <v>0.4826388888888889</v>
      </c>
      <c r="C9" s="8">
        <v>0.41666666666666669</v>
      </c>
      <c r="D9" s="8"/>
      <c r="E9" s="9"/>
    </row>
    <row r="10" spans="1:5" x14ac:dyDescent="0.25">
      <c r="A10" s="3" t="s">
        <v>8</v>
      </c>
      <c r="B10" s="10" t="s">
        <v>77</v>
      </c>
      <c r="C10" s="10" t="s">
        <v>77</v>
      </c>
      <c r="D10" s="10"/>
      <c r="E10" s="11"/>
    </row>
    <row r="14" spans="1:5" x14ac:dyDescent="0.25">
      <c r="A14" t="s">
        <v>78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A88E-9F25-4293-B97B-F39298EFD660}">
  <dimension ref="A1:E9"/>
  <sheetViews>
    <sheetView workbookViewId="0">
      <selection activeCell="G7" sqref="G7"/>
    </sheetView>
  </sheetViews>
  <sheetFormatPr baseColWidth="10" defaultRowHeight="15" x14ac:dyDescent="0.25"/>
  <cols>
    <col min="1" max="1" width="46.28515625" customWidth="1"/>
  </cols>
  <sheetData>
    <row r="1" spans="1:5" ht="18.75" x14ac:dyDescent="0.3">
      <c r="A1" s="109" t="s">
        <v>83</v>
      </c>
      <c r="B1" s="110"/>
      <c r="C1" s="110"/>
      <c r="D1" s="110"/>
      <c r="E1" s="111"/>
    </row>
    <row r="2" spans="1:5" ht="18.75" x14ac:dyDescent="0.3">
      <c r="A2" s="112" t="s">
        <v>84</v>
      </c>
      <c r="B2" s="113"/>
      <c r="C2" s="113"/>
      <c r="D2" s="113"/>
      <c r="E2" s="114"/>
    </row>
    <row r="3" spans="1:5" ht="18.75" x14ac:dyDescent="0.3">
      <c r="A3" s="112" t="s">
        <v>32</v>
      </c>
      <c r="B3" s="113"/>
      <c r="C3" s="113"/>
      <c r="D3" s="113"/>
      <c r="E3" s="113"/>
    </row>
    <row r="4" spans="1:5" x14ac:dyDescent="0.25">
      <c r="A4" s="1" t="s">
        <v>2</v>
      </c>
      <c r="B4" s="2">
        <v>13988</v>
      </c>
      <c r="C4" s="2">
        <v>13639</v>
      </c>
      <c r="D4" s="2"/>
      <c r="E4" s="2" t="s">
        <v>3</v>
      </c>
    </row>
    <row r="5" spans="1:5" x14ac:dyDescent="0.25">
      <c r="A5" s="3"/>
      <c r="B5" s="4">
        <v>46268</v>
      </c>
      <c r="C5" s="4">
        <v>46279</v>
      </c>
      <c r="D5" s="4"/>
      <c r="E5" s="4">
        <v>46295</v>
      </c>
    </row>
    <row r="6" spans="1:5" x14ac:dyDescent="0.25">
      <c r="A6" s="13" t="s">
        <v>24</v>
      </c>
      <c r="B6" s="7">
        <v>30</v>
      </c>
      <c r="C6" s="6">
        <v>-30</v>
      </c>
      <c r="D6" s="6"/>
      <c r="E6" s="7">
        <f>SUM(B6:D6)</f>
        <v>0</v>
      </c>
    </row>
    <row r="7" spans="1:5" x14ac:dyDescent="0.25">
      <c r="A7" s="13" t="s">
        <v>86</v>
      </c>
      <c r="B7" s="7">
        <v>15</v>
      </c>
      <c r="C7" s="6">
        <v>-15</v>
      </c>
      <c r="D7" s="6"/>
      <c r="E7" s="7">
        <f>SUM(B7:D7)</f>
        <v>0</v>
      </c>
    </row>
    <row r="8" spans="1:5" x14ac:dyDescent="0.25">
      <c r="A8" s="3" t="s">
        <v>7</v>
      </c>
      <c r="B8" s="8">
        <v>0.36458333333333331</v>
      </c>
      <c r="C8" s="8">
        <v>7.7777777777777779E-2</v>
      </c>
      <c r="D8" s="8"/>
      <c r="E8" s="9"/>
    </row>
    <row r="9" spans="1:5" x14ac:dyDescent="0.25">
      <c r="A9" s="3" t="s">
        <v>8</v>
      </c>
      <c r="B9" s="10" t="s">
        <v>85</v>
      </c>
      <c r="C9" s="10" t="s">
        <v>253</v>
      </c>
      <c r="D9" s="10"/>
      <c r="E9" s="11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834F-FA69-4B33-8A7B-DD89C622E1C7}">
  <dimension ref="A1:E12"/>
  <sheetViews>
    <sheetView workbookViewId="0">
      <selection sqref="A1:E11"/>
    </sheetView>
  </sheetViews>
  <sheetFormatPr baseColWidth="10" defaultRowHeight="15" x14ac:dyDescent="0.25"/>
  <cols>
    <col min="1" max="1" width="32.85546875" customWidth="1"/>
    <col min="2" max="2" width="16.140625" customWidth="1"/>
    <col min="5" max="5" width="17.28515625" customWidth="1"/>
  </cols>
  <sheetData>
    <row r="1" spans="1:5" ht="18.75" x14ac:dyDescent="0.3">
      <c r="A1" s="109" t="s">
        <v>90</v>
      </c>
      <c r="B1" s="110"/>
      <c r="C1" s="110"/>
      <c r="D1" s="110"/>
      <c r="E1" s="111"/>
    </row>
    <row r="2" spans="1:5" ht="18.75" x14ac:dyDescent="0.3">
      <c r="A2" s="112" t="s">
        <v>91</v>
      </c>
      <c r="B2" s="113"/>
      <c r="C2" s="113"/>
      <c r="D2" s="113"/>
      <c r="E2" s="114"/>
    </row>
    <row r="3" spans="1:5" ht="18.75" x14ac:dyDescent="0.3">
      <c r="A3" s="112" t="s">
        <v>32</v>
      </c>
      <c r="B3" s="113"/>
      <c r="C3" s="113"/>
      <c r="D3" s="113"/>
      <c r="E3" s="113"/>
    </row>
    <row r="4" spans="1:5" x14ac:dyDescent="0.25">
      <c r="A4" s="1" t="s">
        <v>2</v>
      </c>
      <c r="B4" s="2">
        <v>13984</v>
      </c>
      <c r="C4" s="2">
        <v>13619</v>
      </c>
      <c r="D4" s="2"/>
      <c r="E4" s="2" t="s">
        <v>3</v>
      </c>
    </row>
    <row r="5" spans="1:5" x14ac:dyDescent="0.25">
      <c r="A5" s="3"/>
      <c r="B5" s="4">
        <v>46266</v>
      </c>
      <c r="C5" s="4">
        <v>46268</v>
      </c>
      <c r="D5" s="4"/>
      <c r="E5" s="4">
        <v>46295</v>
      </c>
    </row>
    <row r="6" spans="1:5" x14ac:dyDescent="0.25">
      <c r="A6" s="13" t="s">
        <v>68</v>
      </c>
      <c r="B6" s="7">
        <v>10</v>
      </c>
      <c r="C6" s="6">
        <v>-10</v>
      </c>
      <c r="D6" s="6"/>
      <c r="E6" s="7">
        <f>SUM(B6:D6)</f>
        <v>0</v>
      </c>
    </row>
    <row r="7" spans="1:5" x14ac:dyDescent="0.25">
      <c r="A7" s="13" t="s">
        <v>5</v>
      </c>
      <c r="B7" s="7">
        <v>10</v>
      </c>
      <c r="C7" s="6">
        <v>-10</v>
      </c>
      <c r="D7" s="6"/>
      <c r="E7" s="7">
        <f>SUM(B7:D7)</f>
        <v>0</v>
      </c>
    </row>
    <row r="8" spans="1:5" x14ac:dyDescent="0.25">
      <c r="A8" s="13" t="s">
        <v>69</v>
      </c>
      <c r="B8" s="7">
        <v>4</v>
      </c>
      <c r="C8" s="6">
        <v>-4</v>
      </c>
      <c r="D8" s="6"/>
      <c r="E8" s="7">
        <f>SUM(B8:D8)</f>
        <v>0</v>
      </c>
    </row>
    <row r="9" spans="1:5" x14ac:dyDescent="0.25">
      <c r="A9" s="13" t="s">
        <v>6</v>
      </c>
      <c r="B9" s="7">
        <v>4</v>
      </c>
      <c r="C9" s="6">
        <v>-4</v>
      </c>
      <c r="D9" s="6"/>
      <c r="E9" s="7">
        <f>SUM(B9:D9)</f>
        <v>0</v>
      </c>
    </row>
    <row r="10" spans="1:5" x14ac:dyDescent="0.25">
      <c r="A10" s="3" t="s">
        <v>7</v>
      </c>
      <c r="B10" s="8">
        <v>0.13194444444444445</v>
      </c>
      <c r="C10" s="8">
        <v>6.25E-2</v>
      </c>
      <c r="D10" s="8"/>
      <c r="E10" s="9"/>
    </row>
    <row r="11" spans="1:5" x14ac:dyDescent="0.25">
      <c r="A11" s="3" t="s">
        <v>8</v>
      </c>
      <c r="B11" s="10" t="s">
        <v>70</v>
      </c>
      <c r="C11" s="10" t="s">
        <v>70</v>
      </c>
      <c r="D11" s="10"/>
      <c r="E11" s="11"/>
    </row>
    <row r="12" spans="1:5" x14ac:dyDescent="0.25">
      <c r="A12" s="20" t="s">
        <v>80</v>
      </c>
      <c r="B12" s="39">
        <v>46266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BFB3-E674-4961-91E0-B9E92CAFFC31}">
  <dimension ref="A1:E14"/>
  <sheetViews>
    <sheetView workbookViewId="0">
      <selection activeCell="G6" sqref="G6"/>
    </sheetView>
  </sheetViews>
  <sheetFormatPr baseColWidth="10" defaultRowHeight="15" x14ac:dyDescent="0.25"/>
  <cols>
    <col min="1" max="1" width="35.42578125" customWidth="1"/>
    <col min="2" max="2" width="13" bestFit="1" customWidth="1"/>
  </cols>
  <sheetData>
    <row r="1" spans="1:5" ht="18.75" x14ac:dyDescent="0.3">
      <c r="A1" s="109" t="s">
        <v>321</v>
      </c>
      <c r="B1" s="110"/>
      <c r="C1" s="110"/>
      <c r="D1" s="110"/>
      <c r="E1" s="111"/>
    </row>
    <row r="2" spans="1:5" ht="18.75" x14ac:dyDescent="0.3">
      <c r="A2" s="112" t="s">
        <v>322</v>
      </c>
      <c r="B2" s="113"/>
      <c r="C2" s="113"/>
      <c r="D2" s="113"/>
      <c r="E2" s="114"/>
    </row>
    <row r="3" spans="1:5" ht="18.75" x14ac:dyDescent="0.3">
      <c r="A3" s="112" t="s">
        <v>32</v>
      </c>
      <c r="B3" s="113"/>
      <c r="C3" s="113"/>
      <c r="D3" s="113"/>
      <c r="E3" s="113"/>
    </row>
    <row r="4" spans="1:5" x14ac:dyDescent="0.25">
      <c r="A4" s="1" t="s">
        <v>2</v>
      </c>
      <c r="B4" s="2">
        <v>14029</v>
      </c>
      <c r="C4" s="2"/>
      <c r="D4" s="2"/>
      <c r="E4" s="2" t="s">
        <v>3</v>
      </c>
    </row>
    <row r="5" spans="1:5" x14ac:dyDescent="0.25">
      <c r="A5" s="3"/>
      <c r="B5" s="4">
        <v>46281</v>
      </c>
      <c r="C5" s="4"/>
      <c r="D5" s="4"/>
      <c r="E5" s="4">
        <v>46295</v>
      </c>
    </row>
    <row r="6" spans="1:5" x14ac:dyDescent="0.25">
      <c r="A6" s="13" t="s">
        <v>22</v>
      </c>
      <c r="B6" s="7">
        <v>8</v>
      </c>
      <c r="C6" s="6"/>
      <c r="D6" s="6"/>
      <c r="E6" s="7">
        <f t="shared" ref="E6:E11" si="0">SUM(B6:D6)</f>
        <v>8</v>
      </c>
    </row>
    <row r="7" spans="1:5" x14ac:dyDescent="0.25">
      <c r="A7" s="13" t="s">
        <v>34</v>
      </c>
      <c r="B7" s="7">
        <v>8</v>
      </c>
      <c r="C7" s="6"/>
      <c r="D7" s="6"/>
      <c r="E7" s="7">
        <f t="shared" si="0"/>
        <v>8</v>
      </c>
    </row>
    <row r="8" spans="1:5" x14ac:dyDescent="0.25">
      <c r="A8" s="13" t="s">
        <v>212</v>
      </c>
      <c r="B8" s="7">
        <v>4</v>
      </c>
      <c r="C8" s="6"/>
      <c r="D8" s="6"/>
      <c r="E8" s="7">
        <f t="shared" si="0"/>
        <v>4</v>
      </c>
    </row>
    <row r="9" spans="1:5" x14ac:dyDescent="0.25">
      <c r="A9" s="13" t="s">
        <v>36</v>
      </c>
      <c r="B9" s="7">
        <v>70</v>
      </c>
      <c r="C9" s="6"/>
      <c r="D9" s="6"/>
      <c r="E9" s="7">
        <f t="shared" si="0"/>
        <v>70</v>
      </c>
    </row>
    <row r="10" spans="1:5" x14ac:dyDescent="0.25">
      <c r="A10" s="13" t="s">
        <v>323</v>
      </c>
      <c r="B10" s="7">
        <v>4</v>
      </c>
      <c r="C10" s="6"/>
      <c r="D10" s="6"/>
      <c r="E10" s="7">
        <f t="shared" si="0"/>
        <v>4</v>
      </c>
    </row>
    <row r="11" spans="1:5" x14ac:dyDescent="0.25">
      <c r="A11" s="13" t="s">
        <v>24</v>
      </c>
      <c r="B11" s="7">
        <v>4</v>
      </c>
      <c r="C11" s="6"/>
      <c r="D11" s="6"/>
      <c r="E11" s="7">
        <f t="shared" si="0"/>
        <v>4</v>
      </c>
    </row>
    <row r="12" spans="1:5" x14ac:dyDescent="0.25">
      <c r="A12" s="3" t="s">
        <v>7</v>
      </c>
      <c r="B12" s="8"/>
      <c r="C12" s="8"/>
      <c r="D12" s="8"/>
      <c r="E12" s="9"/>
    </row>
    <row r="13" spans="1:5" x14ac:dyDescent="0.25">
      <c r="A13" s="3" t="s">
        <v>8</v>
      </c>
      <c r="B13" s="101">
        <v>60</v>
      </c>
      <c r="C13" s="10"/>
      <c r="D13" s="10"/>
      <c r="E13" s="11"/>
    </row>
    <row r="14" spans="1:5" x14ac:dyDescent="0.25">
      <c r="A14" s="20" t="s">
        <v>324</v>
      </c>
      <c r="B14" s="103">
        <v>250000</v>
      </c>
    </row>
  </sheetData>
  <mergeCells count="3">
    <mergeCell ref="A1:E1"/>
    <mergeCell ref="A2:E2"/>
    <mergeCell ref="A3:E3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42A4-0DE7-4DCF-9777-D980FA54417F}">
  <dimension ref="A1:E12"/>
  <sheetViews>
    <sheetView workbookViewId="0">
      <selection sqref="A1:E10"/>
    </sheetView>
  </sheetViews>
  <sheetFormatPr baseColWidth="10" defaultRowHeight="15" x14ac:dyDescent="0.25"/>
  <cols>
    <col min="1" max="1" width="34.140625" customWidth="1"/>
    <col min="2" max="2" width="17.5703125" customWidth="1"/>
    <col min="3" max="3" width="18" customWidth="1"/>
    <col min="4" max="4" width="15.42578125" customWidth="1"/>
    <col min="5" max="5" width="18.7109375" customWidth="1"/>
  </cols>
  <sheetData>
    <row r="1" spans="1:5" ht="18.75" x14ac:dyDescent="0.3">
      <c r="A1" s="109" t="s">
        <v>293</v>
      </c>
      <c r="B1" s="110"/>
      <c r="C1" s="110"/>
      <c r="D1" s="110"/>
      <c r="E1" s="111"/>
    </row>
    <row r="2" spans="1:5" ht="18.75" x14ac:dyDescent="0.3">
      <c r="A2" s="112" t="s">
        <v>294</v>
      </c>
      <c r="B2" s="113"/>
      <c r="C2" s="113"/>
      <c r="D2" s="113"/>
      <c r="E2" s="114"/>
    </row>
    <row r="3" spans="1:5" ht="18.75" x14ac:dyDescent="0.3">
      <c r="A3" s="112" t="s">
        <v>32</v>
      </c>
      <c r="B3" s="113"/>
      <c r="C3" s="113"/>
      <c r="D3" s="113"/>
      <c r="E3" s="113"/>
    </row>
    <row r="4" spans="1:5" x14ac:dyDescent="0.25">
      <c r="A4" s="1" t="s">
        <v>2</v>
      </c>
      <c r="B4" s="2">
        <v>14020</v>
      </c>
      <c r="C4" s="2">
        <v>13650</v>
      </c>
      <c r="D4" s="2"/>
      <c r="E4" s="2" t="s">
        <v>3</v>
      </c>
    </row>
    <row r="5" spans="1:5" x14ac:dyDescent="0.25">
      <c r="A5" s="3"/>
      <c r="B5" s="4">
        <v>46280</v>
      </c>
      <c r="C5" s="4">
        <v>46282</v>
      </c>
      <c r="D5" s="4"/>
      <c r="E5" s="4">
        <v>46295</v>
      </c>
    </row>
    <row r="6" spans="1:5" x14ac:dyDescent="0.25">
      <c r="A6" s="13" t="s">
        <v>68</v>
      </c>
      <c r="B6" s="7">
        <v>6</v>
      </c>
      <c r="C6" s="6">
        <v>-6</v>
      </c>
      <c r="D6" s="6"/>
      <c r="E6" s="7">
        <f>SUM(B6:D6)</f>
        <v>0</v>
      </c>
    </row>
    <row r="7" spans="1:5" x14ac:dyDescent="0.25">
      <c r="A7" s="13" t="s">
        <v>295</v>
      </c>
      <c r="B7" s="7">
        <v>6</v>
      </c>
      <c r="C7" s="6">
        <v>-6</v>
      </c>
      <c r="D7" s="6"/>
      <c r="E7" s="7">
        <f>SUM(B7:D7)</f>
        <v>0</v>
      </c>
    </row>
    <row r="8" spans="1:5" x14ac:dyDescent="0.25">
      <c r="A8" s="13" t="s">
        <v>6</v>
      </c>
      <c r="B8" s="7">
        <v>4</v>
      </c>
      <c r="C8" s="6">
        <v>-4</v>
      </c>
      <c r="D8" s="6"/>
      <c r="E8" s="7">
        <f>SUM(B8:D8)</f>
        <v>0</v>
      </c>
    </row>
    <row r="9" spans="1:5" x14ac:dyDescent="0.25">
      <c r="A9" s="3" t="s">
        <v>7</v>
      </c>
      <c r="B9" s="8">
        <v>6.25E-2</v>
      </c>
      <c r="C9" s="8">
        <v>0.125</v>
      </c>
      <c r="D9" s="8"/>
      <c r="E9" s="9"/>
    </row>
    <row r="10" spans="1:5" x14ac:dyDescent="0.25">
      <c r="A10" s="3" t="s">
        <v>8</v>
      </c>
      <c r="B10" s="10" t="s">
        <v>70</v>
      </c>
      <c r="C10" s="101">
        <v>40</v>
      </c>
      <c r="D10" s="10"/>
      <c r="E10" s="11"/>
    </row>
    <row r="11" spans="1:5" x14ac:dyDescent="0.25">
      <c r="A11" s="20" t="s">
        <v>296</v>
      </c>
    </row>
    <row r="12" spans="1:5" x14ac:dyDescent="0.25">
      <c r="A12" s="20" t="s">
        <v>297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CA73-BB7F-4B94-B073-7CC8A41A5EE2}">
  <dimension ref="A1:E15"/>
  <sheetViews>
    <sheetView workbookViewId="0">
      <selection activeCell="G4" sqref="G4"/>
    </sheetView>
  </sheetViews>
  <sheetFormatPr baseColWidth="10" defaultRowHeight="15" x14ac:dyDescent="0.25"/>
  <cols>
    <col min="1" max="1" width="45.42578125" customWidth="1"/>
    <col min="4" max="4" width="11.7109375" customWidth="1"/>
    <col min="5" max="5" width="19.140625" customWidth="1"/>
  </cols>
  <sheetData>
    <row r="1" spans="1:5" ht="18.75" x14ac:dyDescent="0.3">
      <c r="A1" s="109" t="s">
        <v>347</v>
      </c>
      <c r="B1" s="110"/>
      <c r="C1" s="110"/>
      <c r="D1" s="110"/>
      <c r="E1" s="111"/>
    </row>
    <row r="2" spans="1:5" ht="18.75" x14ac:dyDescent="0.3">
      <c r="A2" s="112" t="s">
        <v>345</v>
      </c>
      <c r="B2" s="113"/>
      <c r="C2" s="113"/>
      <c r="D2" s="113"/>
      <c r="E2" s="114"/>
    </row>
    <row r="3" spans="1:5" ht="18.75" x14ac:dyDescent="0.3">
      <c r="A3" s="112" t="s">
        <v>32</v>
      </c>
      <c r="B3" s="113"/>
      <c r="C3" s="113"/>
      <c r="D3" s="113"/>
      <c r="E3" s="113"/>
    </row>
    <row r="4" spans="1:5" x14ac:dyDescent="0.25">
      <c r="A4" s="1" t="s">
        <v>2</v>
      </c>
      <c r="B4" s="2">
        <v>14037</v>
      </c>
      <c r="C4" s="2"/>
      <c r="D4" s="2"/>
      <c r="E4" s="2" t="s">
        <v>3</v>
      </c>
    </row>
    <row r="5" spans="1:5" x14ac:dyDescent="0.25">
      <c r="A5" s="3"/>
      <c r="B5" s="4">
        <v>46283</v>
      </c>
      <c r="C5" s="4"/>
      <c r="D5" s="4"/>
      <c r="E5" s="4">
        <v>46295</v>
      </c>
    </row>
    <row r="6" spans="1:5" x14ac:dyDescent="0.25">
      <c r="A6" s="13" t="s">
        <v>134</v>
      </c>
      <c r="B6" s="7">
        <v>8</v>
      </c>
      <c r="C6" s="6"/>
      <c r="D6" s="6"/>
      <c r="E6" s="7">
        <f>SUM(B6:D6)</f>
        <v>8</v>
      </c>
    </row>
    <row r="7" spans="1:5" x14ac:dyDescent="0.25">
      <c r="A7" s="13" t="s">
        <v>341</v>
      </c>
      <c r="B7" s="7">
        <v>4</v>
      </c>
      <c r="C7" s="6"/>
      <c r="D7" s="6"/>
      <c r="E7" s="7">
        <f>SUM(B7:D7)</f>
        <v>4</v>
      </c>
    </row>
    <row r="8" spans="1:5" x14ac:dyDescent="0.25">
      <c r="A8" s="13" t="s">
        <v>342</v>
      </c>
      <c r="B8" s="7">
        <v>4</v>
      </c>
      <c r="C8" s="6"/>
      <c r="D8" s="6"/>
      <c r="E8" s="7">
        <f>SUM(B8:D8)</f>
        <v>4</v>
      </c>
    </row>
    <row r="9" spans="1:5" x14ac:dyDescent="0.25">
      <c r="A9" s="3" t="s">
        <v>7</v>
      </c>
      <c r="B9" s="8">
        <v>0.16666666666666666</v>
      </c>
      <c r="C9" s="8"/>
      <c r="D9" s="8"/>
      <c r="E9" s="9"/>
    </row>
    <row r="10" spans="1:5" x14ac:dyDescent="0.25">
      <c r="A10" s="3" t="s">
        <v>8</v>
      </c>
      <c r="B10" s="10" t="s">
        <v>343</v>
      </c>
      <c r="C10" s="101"/>
      <c r="D10" s="10"/>
      <c r="E10" s="11"/>
    </row>
    <row r="11" spans="1:5" x14ac:dyDescent="0.25">
      <c r="A11" s="108" t="s">
        <v>344</v>
      </c>
    </row>
    <row r="15" spans="1:5" x14ac:dyDescent="0.25">
      <c r="C15" t="s">
        <v>346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1326-66AC-4406-BA8E-083D4653CFA9}">
  <dimension ref="A1:E10"/>
  <sheetViews>
    <sheetView workbookViewId="0">
      <selection sqref="A1:E10"/>
    </sheetView>
  </sheetViews>
  <sheetFormatPr baseColWidth="10" defaultRowHeight="15" x14ac:dyDescent="0.25"/>
  <cols>
    <col min="1" max="1" width="49.28515625" customWidth="1"/>
  </cols>
  <sheetData>
    <row r="1" spans="1:5" ht="18.75" x14ac:dyDescent="0.3">
      <c r="A1" s="109" t="s">
        <v>310</v>
      </c>
      <c r="B1" s="110"/>
      <c r="C1" s="110"/>
      <c r="D1" s="110"/>
      <c r="E1" s="111"/>
    </row>
    <row r="2" spans="1:5" ht="18.75" x14ac:dyDescent="0.3">
      <c r="A2" s="112" t="s">
        <v>313</v>
      </c>
      <c r="B2" s="113"/>
      <c r="C2" s="113"/>
      <c r="D2" s="113"/>
      <c r="E2" s="114"/>
    </row>
    <row r="3" spans="1:5" ht="18.75" x14ac:dyDescent="0.3">
      <c r="A3" s="112" t="s">
        <v>32</v>
      </c>
      <c r="B3" s="113"/>
      <c r="C3" s="113"/>
      <c r="D3" s="113"/>
      <c r="E3" s="113"/>
    </row>
    <row r="4" spans="1:5" x14ac:dyDescent="0.25">
      <c r="A4" s="1" t="s">
        <v>2</v>
      </c>
      <c r="B4" s="2">
        <v>14036</v>
      </c>
      <c r="C4" s="2"/>
      <c r="D4" s="2"/>
      <c r="E4" s="2" t="s">
        <v>3</v>
      </c>
    </row>
    <row r="5" spans="1:5" x14ac:dyDescent="0.25">
      <c r="A5" s="3"/>
      <c r="B5" s="4">
        <v>46282</v>
      </c>
      <c r="C5" s="4"/>
      <c r="D5" s="4"/>
      <c r="E5" s="4">
        <v>46295</v>
      </c>
    </row>
    <row r="6" spans="1:5" x14ac:dyDescent="0.25">
      <c r="A6" s="13" t="s">
        <v>311</v>
      </c>
      <c r="B6" s="7">
        <v>2</v>
      </c>
      <c r="C6" s="6"/>
      <c r="D6" s="6"/>
      <c r="E6" s="7">
        <f>SUM(B6:D6)</f>
        <v>2</v>
      </c>
    </row>
    <row r="7" spans="1:5" x14ac:dyDescent="0.25">
      <c r="A7" s="13" t="s">
        <v>295</v>
      </c>
      <c r="B7" s="7">
        <v>2</v>
      </c>
      <c r="C7" s="6"/>
      <c r="D7" s="6"/>
      <c r="E7" s="7">
        <f>SUM(B7:D7)</f>
        <v>2</v>
      </c>
    </row>
    <row r="8" spans="1:5" x14ac:dyDescent="0.25">
      <c r="A8" s="13" t="s">
        <v>6</v>
      </c>
      <c r="B8" s="7">
        <v>1</v>
      </c>
      <c r="C8" s="6"/>
      <c r="D8" s="6"/>
      <c r="E8" s="7">
        <f>SUM(B8:D8)</f>
        <v>1</v>
      </c>
    </row>
    <row r="9" spans="1:5" x14ac:dyDescent="0.25">
      <c r="A9" s="3" t="s">
        <v>7</v>
      </c>
      <c r="B9" s="8">
        <v>0.44305555555555554</v>
      </c>
      <c r="C9" s="8"/>
      <c r="D9" s="8"/>
      <c r="E9" s="9"/>
    </row>
    <row r="10" spans="1:5" x14ac:dyDescent="0.25">
      <c r="A10" s="3" t="s">
        <v>8</v>
      </c>
      <c r="B10" s="10" t="s">
        <v>70</v>
      </c>
      <c r="C10" s="10"/>
      <c r="D10" s="10"/>
      <c r="E10" s="11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DA89-6F1E-46D8-B6A3-066F8B180939}">
  <dimension ref="A1:E8"/>
  <sheetViews>
    <sheetView workbookViewId="0">
      <selection sqref="A1:E8"/>
    </sheetView>
  </sheetViews>
  <sheetFormatPr baseColWidth="10" defaultRowHeight="15" x14ac:dyDescent="0.25"/>
  <cols>
    <col min="1" max="1" width="45.42578125" customWidth="1"/>
    <col min="2" max="2" width="13.85546875" customWidth="1"/>
    <col min="5" max="5" width="16.140625" customWidth="1"/>
  </cols>
  <sheetData>
    <row r="1" spans="1:5" ht="18.75" x14ac:dyDescent="0.3">
      <c r="A1" s="109" t="s">
        <v>349</v>
      </c>
      <c r="B1" s="110"/>
      <c r="C1" s="110"/>
      <c r="D1" s="110"/>
      <c r="E1" s="111"/>
    </row>
    <row r="2" spans="1:5" ht="18.75" x14ac:dyDescent="0.3">
      <c r="A2" s="112" t="s">
        <v>350</v>
      </c>
      <c r="B2" s="113"/>
      <c r="C2" s="113"/>
      <c r="D2" s="113"/>
      <c r="E2" s="114"/>
    </row>
    <row r="3" spans="1:5" ht="18.75" x14ac:dyDescent="0.3">
      <c r="A3" s="112" t="s">
        <v>32</v>
      </c>
      <c r="B3" s="113"/>
      <c r="C3" s="113"/>
      <c r="D3" s="113"/>
      <c r="E3" s="113"/>
    </row>
    <row r="4" spans="1:5" x14ac:dyDescent="0.25">
      <c r="A4" s="1" t="s">
        <v>2</v>
      </c>
      <c r="B4" s="2">
        <v>14038</v>
      </c>
      <c r="C4" s="2"/>
      <c r="D4" s="2"/>
      <c r="E4" s="2" t="s">
        <v>3</v>
      </c>
    </row>
    <row r="5" spans="1:5" x14ac:dyDescent="0.25">
      <c r="A5" s="3"/>
      <c r="B5" s="4">
        <v>46284</v>
      </c>
      <c r="C5" s="4"/>
      <c r="D5" s="4"/>
      <c r="E5" s="4">
        <v>46295</v>
      </c>
    </row>
    <row r="6" spans="1:5" x14ac:dyDescent="0.25">
      <c r="A6" s="13" t="s">
        <v>348</v>
      </c>
      <c r="B6" s="7">
        <v>1</v>
      </c>
      <c r="C6" s="6"/>
      <c r="D6" s="6"/>
      <c r="E6" s="7">
        <f>SUM(B6:D6)</f>
        <v>1</v>
      </c>
    </row>
    <row r="7" spans="1:5" x14ac:dyDescent="0.25">
      <c r="A7" s="3" t="s">
        <v>7</v>
      </c>
      <c r="B7" s="8">
        <v>0.31944444444444442</v>
      </c>
      <c r="C7" s="8"/>
      <c r="D7" s="8"/>
      <c r="E7" s="9"/>
    </row>
    <row r="8" spans="1:5" x14ac:dyDescent="0.25">
      <c r="A8" s="3" t="s">
        <v>8</v>
      </c>
      <c r="B8" s="10">
        <v>20000</v>
      </c>
      <c r="C8" s="10"/>
      <c r="D8" s="10"/>
      <c r="E8" s="11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E8A7-D5EE-4908-AF4E-BC3D94D9789A}">
  <dimension ref="A1:E8"/>
  <sheetViews>
    <sheetView workbookViewId="0">
      <selection activeCell="G11" sqref="G11"/>
    </sheetView>
  </sheetViews>
  <sheetFormatPr baseColWidth="10" defaultRowHeight="15" x14ac:dyDescent="0.25"/>
  <cols>
    <col min="1" max="1" width="45.5703125" customWidth="1"/>
  </cols>
  <sheetData>
    <row r="1" spans="1:5" ht="18.75" x14ac:dyDescent="0.3">
      <c r="A1" s="109" t="s">
        <v>351</v>
      </c>
      <c r="B1" s="110"/>
      <c r="C1" s="110"/>
      <c r="D1" s="110"/>
      <c r="E1" s="111"/>
    </row>
    <row r="2" spans="1:5" ht="18.75" x14ac:dyDescent="0.3">
      <c r="A2" s="112"/>
      <c r="B2" s="113"/>
      <c r="C2" s="113"/>
      <c r="D2" s="113"/>
      <c r="E2" s="114"/>
    </row>
    <row r="3" spans="1:5" ht="18.75" x14ac:dyDescent="0.3">
      <c r="A3" s="112" t="s">
        <v>32</v>
      </c>
      <c r="B3" s="113"/>
      <c r="C3" s="113"/>
      <c r="D3" s="113"/>
      <c r="E3" s="113"/>
    </row>
    <row r="4" spans="1:5" x14ac:dyDescent="0.25">
      <c r="A4" s="1" t="s">
        <v>2</v>
      </c>
      <c r="B4" s="2">
        <v>13654</v>
      </c>
      <c r="C4" s="2"/>
      <c r="D4" s="2"/>
      <c r="E4" s="2" t="s">
        <v>3</v>
      </c>
    </row>
    <row r="5" spans="1:5" x14ac:dyDescent="0.25">
      <c r="A5" s="3"/>
      <c r="B5" s="4">
        <v>46284</v>
      </c>
      <c r="C5" s="4"/>
      <c r="D5" s="4"/>
      <c r="E5" s="4">
        <v>46295</v>
      </c>
    </row>
    <row r="6" spans="1:5" x14ac:dyDescent="0.25">
      <c r="A6" s="13" t="s">
        <v>352</v>
      </c>
      <c r="B6" s="7">
        <v>2</v>
      </c>
      <c r="C6" s="6"/>
      <c r="D6" s="6"/>
      <c r="E6" s="7">
        <f>SUM(B6:D6)</f>
        <v>2</v>
      </c>
    </row>
    <row r="7" spans="1:5" x14ac:dyDescent="0.25">
      <c r="A7" s="3" t="s">
        <v>7</v>
      </c>
      <c r="B7" s="8">
        <v>0.375</v>
      </c>
      <c r="C7" s="8"/>
      <c r="D7" s="8"/>
      <c r="E7" s="9"/>
    </row>
    <row r="8" spans="1:5" x14ac:dyDescent="0.25">
      <c r="A8" s="3" t="s">
        <v>8</v>
      </c>
      <c r="B8" s="10">
        <v>20000</v>
      </c>
      <c r="C8" s="10"/>
      <c r="D8" s="10"/>
      <c r="E8" s="11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863F-58F4-4139-855B-FF6F54C89582}">
  <dimension ref="A1:H8"/>
  <sheetViews>
    <sheetView workbookViewId="0">
      <selection activeCell="K11" sqref="K11"/>
    </sheetView>
  </sheetViews>
  <sheetFormatPr baseColWidth="10" defaultRowHeight="15" x14ac:dyDescent="0.25"/>
  <cols>
    <col min="1" max="1" width="40.28515625" customWidth="1"/>
  </cols>
  <sheetData>
    <row r="1" spans="1:8" ht="18.75" x14ac:dyDescent="0.3">
      <c r="A1" s="115" t="s">
        <v>353</v>
      </c>
      <c r="B1" s="113"/>
      <c r="C1" s="113"/>
      <c r="D1" s="113"/>
      <c r="E1" s="113"/>
      <c r="F1" s="113"/>
      <c r="G1" s="113"/>
      <c r="H1" s="116"/>
    </row>
    <row r="2" spans="1:8" ht="18.75" x14ac:dyDescent="0.3">
      <c r="A2" s="115" t="s">
        <v>354</v>
      </c>
      <c r="B2" s="113"/>
      <c r="C2" s="113"/>
      <c r="D2" s="113"/>
      <c r="E2" s="113"/>
      <c r="F2" s="113"/>
      <c r="G2" s="113"/>
      <c r="H2" s="116"/>
    </row>
    <row r="3" spans="1:8" ht="18.75" x14ac:dyDescent="0.3">
      <c r="A3" s="115" t="s">
        <v>355</v>
      </c>
      <c r="B3" s="113"/>
      <c r="C3" s="113"/>
      <c r="D3" s="113"/>
      <c r="E3" s="113"/>
      <c r="F3" s="113"/>
      <c r="G3" s="113"/>
      <c r="H3" s="116"/>
    </row>
    <row r="4" spans="1:8" x14ac:dyDescent="0.25">
      <c r="A4" s="119" t="s">
        <v>2</v>
      </c>
      <c r="B4" s="12">
        <v>14040</v>
      </c>
      <c r="C4" s="9"/>
      <c r="D4" s="12"/>
      <c r="E4" s="12"/>
      <c r="F4" s="12"/>
      <c r="G4" s="12"/>
      <c r="H4" s="12" t="s">
        <v>3</v>
      </c>
    </row>
    <row r="5" spans="1:8" x14ac:dyDescent="0.25">
      <c r="A5" s="120"/>
      <c r="B5" s="4">
        <v>46284</v>
      </c>
      <c r="C5" s="4"/>
      <c r="D5" s="4"/>
      <c r="E5" s="4"/>
      <c r="F5" s="4"/>
      <c r="G5" s="4"/>
      <c r="H5" s="4">
        <v>46295</v>
      </c>
    </row>
    <row r="6" spans="1:8" x14ac:dyDescent="0.25">
      <c r="A6" s="13" t="s">
        <v>356</v>
      </c>
      <c r="B6" s="14">
        <v>16</v>
      </c>
      <c r="C6" s="15"/>
      <c r="D6" s="15"/>
      <c r="E6" s="15"/>
      <c r="F6" s="15"/>
      <c r="G6" s="15"/>
      <c r="H6" s="7">
        <f>SUM(B6:G6)</f>
        <v>16</v>
      </c>
    </row>
    <row r="7" spans="1:8" x14ac:dyDescent="0.25">
      <c r="A7" s="16" t="s">
        <v>7</v>
      </c>
      <c r="B7" s="8">
        <v>0.3659722222222222</v>
      </c>
      <c r="C7" s="17"/>
      <c r="D7" s="17"/>
      <c r="E7" s="55"/>
      <c r="F7" s="55"/>
      <c r="G7" s="55"/>
      <c r="H7" s="9"/>
    </row>
    <row r="8" spans="1:8" x14ac:dyDescent="0.25">
      <c r="A8" s="16" t="s">
        <v>20</v>
      </c>
      <c r="B8" s="46" t="s">
        <v>357</v>
      </c>
      <c r="C8" s="17"/>
      <c r="D8" s="17"/>
      <c r="E8" s="17"/>
      <c r="F8" s="46"/>
      <c r="G8" s="55"/>
      <c r="H8" s="11"/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76EE-E9E2-493E-992D-41B28EC2F92B}">
  <dimension ref="A1:E13"/>
  <sheetViews>
    <sheetView workbookViewId="0">
      <selection activeCell="J9" sqref="J9"/>
    </sheetView>
  </sheetViews>
  <sheetFormatPr baseColWidth="10" defaultRowHeight="15" x14ac:dyDescent="0.25"/>
  <cols>
    <col min="1" max="1" width="44.140625" customWidth="1"/>
  </cols>
  <sheetData>
    <row r="1" spans="1:5" ht="18.75" x14ac:dyDescent="0.3">
      <c r="A1" s="109" t="s">
        <v>298</v>
      </c>
      <c r="B1" s="110"/>
      <c r="C1" s="110"/>
      <c r="D1" s="110"/>
      <c r="E1" s="111"/>
    </row>
    <row r="2" spans="1:5" ht="18.75" x14ac:dyDescent="0.3">
      <c r="A2" s="112" t="s">
        <v>299</v>
      </c>
      <c r="B2" s="113"/>
      <c r="C2" s="113"/>
      <c r="D2" s="113"/>
      <c r="E2" s="114"/>
    </row>
    <row r="3" spans="1:5" ht="18.75" x14ac:dyDescent="0.3">
      <c r="A3" s="112" t="s">
        <v>32</v>
      </c>
      <c r="B3" s="113"/>
      <c r="C3" s="113"/>
      <c r="D3" s="113"/>
      <c r="E3" s="113"/>
    </row>
    <row r="4" spans="1:5" x14ac:dyDescent="0.25">
      <c r="A4" s="1" t="s">
        <v>2</v>
      </c>
      <c r="B4" s="2">
        <v>14023</v>
      </c>
      <c r="C4" s="2"/>
      <c r="D4" s="2"/>
      <c r="E4" s="2" t="s">
        <v>3</v>
      </c>
    </row>
    <row r="5" spans="1:5" x14ac:dyDescent="0.25">
      <c r="A5" s="3"/>
      <c r="B5" s="4">
        <v>46280</v>
      </c>
      <c r="C5" s="4"/>
      <c r="D5" s="4"/>
      <c r="E5" s="4">
        <v>46295</v>
      </c>
    </row>
    <row r="6" spans="1:5" x14ac:dyDescent="0.25">
      <c r="A6" s="13" t="s">
        <v>67</v>
      </c>
      <c r="B6" s="7">
        <v>12</v>
      </c>
      <c r="C6" s="6"/>
      <c r="D6" s="6"/>
      <c r="E6" s="7">
        <f>SUM(B6:D6)</f>
        <v>12</v>
      </c>
    </row>
    <row r="7" spans="1:5" x14ac:dyDescent="0.25">
      <c r="A7" s="13" t="s">
        <v>37</v>
      </c>
      <c r="B7" s="7">
        <v>6</v>
      </c>
      <c r="C7" s="6"/>
      <c r="D7" s="6"/>
      <c r="E7" s="7">
        <f>SUM(B7:D7)</f>
        <v>6</v>
      </c>
    </row>
    <row r="8" spans="1:5" x14ac:dyDescent="0.25">
      <c r="A8" s="13" t="s">
        <v>87</v>
      </c>
      <c r="B8" s="7">
        <v>10</v>
      </c>
      <c r="C8" s="6"/>
      <c r="D8" s="6"/>
      <c r="E8" s="7">
        <f>SUM(B8:D8)</f>
        <v>10</v>
      </c>
    </row>
    <row r="9" spans="1:5" x14ac:dyDescent="0.25">
      <c r="A9" s="13" t="s">
        <v>36</v>
      </c>
      <c r="B9" s="7">
        <v>50</v>
      </c>
      <c r="C9" s="6"/>
      <c r="D9" s="6"/>
      <c r="E9" s="7"/>
    </row>
    <row r="10" spans="1:5" x14ac:dyDescent="0.25">
      <c r="A10" s="13" t="s">
        <v>300</v>
      </c>
      <c r="B10" s="7">
        <v>3</v>
      </c>
      <c r="C10" s="6"/>
      <c r="D10" s="6"/>
      <c r="E10" s="7"/>
    </row>
    <row r="11" spans="1:5" x14ac:dyDescent="0.25">
      <c r="A11" s="13" t="s">
        <v>112</v>
      </c>
      <c r="B11" s="7">
        <v>6</v>
      </c>
      <c r="C11" s="6"/>
      <c r="D11" s="6"/>
      <c r="E11" s="7"/>
    </row>
    <row r="12" spans="1:5" x14ac:dyDescent="0.25">
      <c r="A12" s="3" t="s">
        <v>7</v>
      </c>
      <c r="B12" s="8">
        <v>0.1736111111111111</v>
      </c>
      <c r="C12" s="8"/>
      <c r="D12" s="8"/>
      <c r="E12" s="9"/>
    </row>
    <row r="13" spans="1:5" x14ac:dyDescent="0.25">
      <c r="A13" s="3" t="s">
        <v>8</v>
      </c>
      <c r="B13" s="10" t="s">
        <v>301</v>
      </c>
      <c r="C13" s="10"/>
      <c r="D13" s="10"/>
      <c r="E13" s="11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64C0-AC94-4AA9-A782-595DD7B20DF4}">
  <dimension ref="A1:U27"/>
  <sheetViews>
    <sheetView topLeftCell="J12" zoomScaleNormal="100" workbookViewId="0">
      <selection activeCell="U29" sqref="U29"/>
    </sheetView>
  </sheetViews>
  <sheetFormatPr baseColWidth="10" defaultRowHeight="15" x14ac:dyDescent="0.25"/>
  <cols>
    <col min="1" max="1" width="36.42578125" customWidth="1"/>
  </cols>
  <sheetData>
    <row r="1" spans="1:21" s="49" customFormat="1" ht="15" customHeight="1" x14ac:dyDescent="0.3">
      <c r="A1" s="109" t="s">
        <v>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</row>
    <row r="2" spans="1:21" ht="15" customHeight="1" x14ac:dyDescent="0.3">
      <c r="A2" s="112" t="s">
        <v>116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</row>
    <row r="3" spans="1:21" ht="15.75" customHeight="1" x14ac:dyDescent="0.3">
      <c r="A3" s="112" t="s">
        <v>174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</row>
    <row r="4" spans="1:21" x14ac:dyDescent="0.25">
      <c r="A4" s="50" t="s">
        <v>115</v>
      </c>
      <c r="B4" s="47" t="s">
        <v>30</v>
      </c>
      <c r="C4" s="48">
        <v>13982</v>
      </c>
      <c r="D4" s="48">
        <v>13985</v>
      </c>
      <c r="E4" s="48">
        <v>13612</v>
      </c>
      <c r="F4" s="48">
        <v>13617</v>
      </c>
      <c r="G4" s="48">
        <v>13620</v>
      </c>
      <c r="H4" s="48">
        <v>13991</v>
      </c>
      <c r="I4" s="48">
        <v>13623</v>
      </c>
      <c r="J4" s="48">
        <v>13624</v>
      </c>
      <c r="K4" s="48">
        <v>14008</v>
      </c>
      <c r="L4" s="48">
        <v>13630</v>
      </c>
      <c r="M4" s="48">
        <v>13634</v>
      </c>
      <c r="N4" s="48">
        <v>13642</v>
      </c>
      <c r="O4" s="48">
        <v>14030</v>
      </c>
      <c r="P4" s="48">
        <v>13651</v>
      </c>
      <c r="Q4" s="48">
        <v>13653</v>
      </c>
      <c r="R4" s="48">
        <v>13655</v>
      </c>
      <c r="S4" s="48">
        <v>13562</v>
      </c>
    </row>
    <row r="5" spans="1:21" x14ac:dyDescent="0.25">
      <c r="A5" s="51"/>
      <c r="B5" s="25">
        <v>46265</v>
      </c>
      <c r="C5" s="26">
        <v>46266</v>
      </c>
      <c r="D5" s="26">
        <v>46267</v>
      </c>
      <c r="E5" s="26">
        <v>46267</v>
      </c>
      <c r="F5" s="26" t="s">
        <v>82</v>
      </c>
      <c r="G5" s="26">
        <v>46268</v>
      </c>
      <c r="H5" s="26">
        <v>46269</v>
      </c>
      <c r="I5" s="26">
        <v>46269</v>
      </c>
      <c r="J5" s="26">
        <v>46272</v>
      </c>
      <c r="K5" s="26">
        <v>46275</v>
      </c>
      <c r="L5" s="26">
        <v>46275</v>
      </c>
      <c r="M5" s="26">
        <v>46276</v>
      </c>
      <c r="N5" s="26">
        <v>46280</v>
      </c>
      <c r="O5" s="26">
        <v>46281</v>
      </c>
      <c r="P5" s="26">
        <v>46282</v>
      </c>
      <c r="Q5" s="26">
        <v>46283</v>
      </c>
      <c r="R5" s="26">
        <v>46284</v>
      </c>
      <c r="S5" s="26">
        <v>46247</v>
      </c>
    </row>
    <row r="6" spans="1:21" x14ac:dyDescent="0.25">
      <c r="A6" s="27" t="s">
        <v>54</v>
      </c>
      <c r="B6" s="14">
        <v>2</v>
      </c>
      <c r="C6" s="28"/>
      <c r="D6" s="28"/>
      <c r="E6" s="28"/>
      <c r="F6" s="28"/>
      <c r="G6" s="28">
        <v>-2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9">
        <f>SUM(A6:R6)</f>
        <v>0</v>
      </c>
    </row>
    <row r="7" spans="1:21" x14ac:dyDescent="0.25">
      <c r="A7" s="27" t="s">
        <v>55</v>
      </c>
      <c r="B7" s="14">
        <v>3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>
        <f t="shared" ref="S7:S24" si="0">SUM(A7:R7)</f>
        <v>3</v>
      </c>
    </row>
    <row r="8" spans="1:21" x14ac:dyDescent="0.25">
      <c r="A8" s="27" t="s">
        <v>56</v>
      </c>
      <c r="B8" s="14">
        <v>39</v>
      </c>
      <c r="C8" s="28"/>
      <c r="D8" s="28"/>
      <c r="E8" s="28"/>
      <c r="F8" s="28"/>
      <c r="G8" s="28"/>
      <c r="H8" s="28"/>
      <c r="I8" s="28"/>
      <c r="J8" s="28"/>
      <c r="K8" s="28"/>
      <c r="L8" s="28">
        <v>-3</v>
      </c>
      <c r="M8" s="28"/>
      <c r="N8" s="28"/>
      <c r="O8" s="28"/>
      <c r="P8" s="28"/>
      <c r="Q8" s="28"/>
      <c r="R8" s="28"/>
      <c r="S8" s="29">
        <f t="shared" si="0"/>
        <v>36</v>
      </c>
      <c r="T8" s="74" t="s">
        <v>236</v>
      </c>
      <c r="U8" s="74"/>
    </row>
    <row r="9" spans="1:21" x14ac:dyDescent="0.25">
      <c r="A9" s="27" t="s">
        <v>24</v>
      </c>
      <c r="B9" s="14">
        <v>1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9">
        <f t="shared" si="0"/>
        <v>1</v>
      </c>
    </row>
    <row r="10" spans="1:21" x14ac:dyDescent="0.25">
      <c r="A10" s="27" t="s">
        <v>57</v>
      </c>
      <c r="B10" s="14">
        <v>0</v>
      </c>
      <c r="C10" s="28"/>
      <c r="D10" s="28">
        <v>4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9">
        <f t="shared" si="0"/>
        <v>4</v>
      </c>
    </row>
    <row r="11" spans="1:21" x14ac:dyDescent="0.25">
      <c r="A11" s="27" t="s">
        <v>71</v>
      </c>
      <c r="B11" s="14">
        <v>4</v>
      </c>
      <c r="C11" s="28"/>
      <c r="D11" s="28"/>
      <c r="E11" s="28">
        <v>-4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9">
        <f t="shared" si="0"/>
        <v>0</v>
      </c>
    </row>
    <row r="12" spans="1:21" x14ac:dyDescent="0.25">
      <c r="A12" s="27" t="s">
        <v>22</v>
      </c>
      <c r="B12" s="24">
        <v>26</v>
      </c>
      <c r="C12" s="28"/>
      <c r="D12" s="28"/>
      <c r="E12" s="28"/>
      <c r="F12" s="28"/>
      <c r="G12" s="28">
        <v>-5</v>
      </c>
      <c r="H12" s="28"/>
      <c r="I12" s="28"/>
      <c r="J12" s="28"/>
      <c r="K12" s="28"/>
      <c r="L12" s="28">
        <v>-2</v>
      </c>
      <c r="M12" s="28"/>
      <c r="N12" s="28"/>
      <c r="O12" s="28"/>
      <c r="P12" s="28"/>
      <c r="Q12" s="28">
        <v>-3</v>
      </c>
      <c r="R12" s="28"/>
      <c r="S12" s="29">
        <f t="shared" si="0"/>
        <v>16</v>
      </c>
      <c r="T12" s="74" t="s">
        <v>237</v>
      </c>
    </row>
    <row r="13" spans="1:21" x14ac:dyDescent="0.25">
      <c r="A13" s="27" t="s">
        <v>58</v>
      </c>
      <c r="B13" s="24">
        <v>1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9">
        <f t="shared" si="0"/>
        <v>1</v>
      </c>
    </row>
    <row r="14" spans="1:21" x14ac:dyDescent="0.25">
      <c r="A14" s="27" t="s">
        <v>59</v>
      </c>
      <c r="B14" s="24">
        <v>1</v>
      </c>
      <c r="C14" s="28">
        <v>1</v>
      </c>
      <c r="D14" s="28"/>
      <c r="E14" s="28"/>
      <c r="F14" s="28"/>
      <c r="G14" s="28"/>
      <c r="H14" s="28"/>
      <c r="I14" s="28"/>
      <c r="J14" s="28"/>
      <c r="K14" s="28">
        <v>1</v>
      </c>
      <c r="L14" s="28"/>
      <c r="M14" s="28"/>
      <c r="N14" s="28">
        <v>-1</v>
      </c>
      <c r="O14" s="28"/>
      <c r="P14" s="28">
        <v>-1</v>
      </c>
      <c r="Q14" s="28"/>
      <c r="R14" s="28">
        <v>-1</v>
      </c>
      <c r="S14" s="29">
        <f t="shared" si="0"/>
        <v>0</v>
      </c>
    </row>
    <row r="15" spans="1:21" x14ac:dyDescent="0.25">
      <c r="A15" s="27" t="s">
        <v>60</v>
      </c>
      <c r="B15" s="24">
        <v>2</v>
      </c>
      <c r="C15" s="28"/>
      <c r="D15" s="28"/>
      <c r="E15" s="28">
        <v>-2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9">
        <f t="shared" si="0"/>
        <v>0</v>
      </c>
    </row>
    <row r="16" spans="1:21" x14ac:dyDescent="0.25">
      <c r="A16" s="27" t="s">
        <v>61</v>
      </c>
      <c r="B16" s="24">
        <v>23</v>
      </c>
      <c r="C16" s="28">
        <v>12</v>
      </c>
      <c r="D16" s="28"/>
      <c r="E16" s="28"/>
      <c r="F16" s="28"/>
      <c r="G16" s="28"/>
      <c r="H16" s="28">
        <v>3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9">
        <f t="shared" si="0"/>
        <v>38</v>
      </c>
      <c r="U16" t="s">
        <v>216</v>
      </c>
    </row>
    <row r="17" spans="1:20" x14ac:dyDescent="0.25">
      <c r="A17" s="27" t="s">
        <v>62</v>
      </c>
      <c r="B17" s="24">
        <v>2</v>
      </c>
      <c r="C17" s="28"/>
      <c r="D17" s="28"/>
      <c r="E17" s="28"/>
      <c r="F17" s="28"/>
      <c r="G17" s="28"/>
      <c r="H17" s="28"/>
      <c r="I17" s="28">
        <v>-2</v>
      </c>
      <c r="J17" s="28"/>
      <c r="K17" s="28"/>
      <c r="L17" s="28"/>
      <c r="M17" s="28" t="s">
        <v>246</v>
      </c>
      <c r="N17" s="28"/>
      <c r="O17" s="28"/>
      <c r="P17" s="28"/>
      <c r="Q17" s="28"/>
      <c r="R17" s="28"/>
      <c r="S17" s="29">
        <f t="shared" si="0"/>
        <v>0</v>
      </c>
    </row>
    <row r="18" spans="1:20" x14ac:dyDescent="0.25">
      <c r="A18" s="27" t="s">
        <v>63</v>
      </c>
      <c r="B18" s="24">
        <v>1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9">
        <f t="shared" si="0"/>
        <v>1</v>
      </c>
    </row>
    <row r="19" spans="1:20" x14ac:dyDescent="0.25">
      <c r="A19" s="27" t="s">
        <v>64</v>
      </c>
      <c r="B19" s="24">
        <v>5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9">
        <f t="shared" si="0"/>
        <v>5</v>
      </c>
    </row>
    <row r="20" spans="1:20" x14ac:dyDescent="0.25">
      <c r="A20" s="27" t="s">
        <v>65</v>
      </c>
      <c r="B20" s="24">
        <v>12</v>
      </c>
      <c r="C20" s="28"/>
      <c r="D20" s="28"/>
      <c r="E20" s="28"/>
      <c r="F20" s="28"/>
      <c r="G20" s="28"/>
      <c r="H20" s="28"/>
      <c r="I20" s="28"/>
      <c r="J20" s="28">
        <v>-3</v>
      </c>
      <c r="K20" s="28"/>
      <c r="L20" s="28"/>
      <c r="M20" s="28">
        <v>-9</v>
      </c>
      <c r="N20" s="28"/>
      <c r="O20" s="28"/>
      <c r="P20" s="28"/>
      <c r="Q20" s="28"/>
      <c r="R20" s="28"/>
      <c r="S20" s="29">
        <f t="shared" si="0"/>
        <v>0</v>
      </c>
      <c r="T20" t="s">
        <v>216</v>
      </c>
    </row>
    <row r="21" spans="1:20" x14ac:dyDescent="0.25">
      <c r="A21" s="27" t="s">
        <v>37</v>
      </c>
      <c r="B21" s="24">
        <v>16</v>
      </c>
      <c r="C21" s="37"/>
      <c r="D21" s="37"/>
      <c r="E21" s="3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9">
        <f t="shared" si="0"/>
        <v>16</v>
      </c>
    </row>
    <row r="22" spans="1:20" ht="15.75" thickBot="1" x14ac:dyDescent="0.3">
      <c r="A22" s="27" t="s">
        <v>17</v>
      </c>
      <c r="B22" s="24">
        <v>114</v>
      </c>
      <c r="C22" s="38"/>
      <c r="D22" s="38"/>
      <c r="E22" s="38"/>
      <c r="F22" s="28">
        <v>-114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9">
        <f t="shared" si="0"/>
        <v>0</v>
      </c>
    </row>
    <row r="23" spans="1:20" x14ac:dyDescent="0.25">
      <c r="A23" s="27" t="s">
        <v>67</v>
      </c>
      <c r="B23" s="24">
        <v>5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9">
        <f t="shared" si="0"/>
        <v>5</v>
      </c>
    </row>
    <row r="24" spans="1:20" x14ac:dyDescent="0.25">
      <c r="A24" s="27" t="s">
        <v>106</v>
      </c>
      <c r="B24" s="24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>
        <v>8</v>
      </c>
      <c r="P24" s="28"/>
      <c r="Q24" s="28"/>
      <c r="R24" s="28"/>
      <c r="S24" s="29">
        <f t="shared" si="0"/>
        <v>8</v>
      </c>
    </row>
    <row r="25" spans="1:20" x14ac:dyDescent="0.25">
      <c r="A25" s="30" t="s">
        <v>19</v>
      </c>
      <c r="B25" s="24"/>
      <c r="C25" s="31">
        <v>0.44791666666666669</v>
      </c>
      <c r="D25" s="31">
        <v>0.37152777777777779</v>
      </c>
      <c r="E25" s="31">
        <v>0.375</v>
      </c>
      <c r="F25" s="31">
        <v>0.44097222222222221</v>
      </c>
      <c r="G25" s="31">
        <v>0.18402777777777779</v>
      </c>
      <c r="H25" s="31">
        <v>0.46111111111111114</v>
      </c>
      <c r="I25" s="31">
        <v>0.45694444444444443</v>
      </c>
      <c r="J25" s="31">
        <v>7.4999999999999997E-2</v>
      </c>
      <c r="K25" s="31">
        <v>9.0277777777777776E-2</v>
      </c>
      <c r="L25" s="31">
        <v>9.0277777777777776E-2</v>
      </c>
      <c r="M25" s="31">
        <v>0.12708333333333333</v>
      </c>
      <c r="N25" s="31">
        <v>0.32500000000000001</v>
      </c>
      <c r="O25" s="31">
        <v>0.10416666666666667</v>
      </c>
      <c r="P25" s="31">
        <v>0.14583333333333334</v>
      </c>
      <c r="Q25" s="31" t="s">
        <v>340</v>
      </c>
      <c r="R25" s="31">
        <v>0.35347222222222224</v>
      </c>
      <c r="S25" s="32"/>
    </row>
    <row r="26" spans="1:20" ht="15.75" thickBot="1" x14ac:dyDescent="0.3">
      <c r="A26" s="33" t="s">
        <v>20</v>
      </c>
      <c r="B26" s="34"/>
      <c r="C26" s="35" t="s">
        <v>66</v>
      </c>
      <c r="D26" s="35" t="s">
        <v>66</v>
      </c>
      <c r="E26" s="53" t="s">
        <v>66</v>
      </c>
      <c r="F26" s="53" t="s">
        <v>66</v>
      </c>
      <c r="G26" s="35" t="s">
        <v>66</v>
      </c>
      <c r="H26" s="35" t="s">
        <v>66</v>
      </c>
      <c r="I26" s="35" t="s">
        <v>66</v>
      </c>
      <c r="J26" s="35" t="s">
        <v>66</v>
      </c>
      <c r="K26" s="35" t="s">
        <v>66</v>
      </c>
      <c r="L26" s="35" t="s">
        <v>66</v>
      </c>
      <c r="M26" s="35" t="s">
        <v>66</v>
      </c>
      <c r="N26" s="35" t="s">
        <v>66</v>
      </c>
      <c r="O26" s="35" t="s">
        <v>334</v>
      </c>
      <c r="P26" s="35" t="s">
        <v>66</v>
      </c>
      <c r="Q26" s="35" t="s">
        <v>66</v>
      </c>
      <c r="R26" s="35" t="s">
        <v>66</v>
      </c>
      <c r="S26" s="36"/>
    </row>
    <row r="27" spans="1:20" x14ac:dyDescent="0.25">
      <c r="E27" s="54" t="s">
        <v>79</v>
      </c>
      <c r="F27" s="54" t="s">
        <v>79</v>
      </c>
      <c r="G27" s="52" t="s">
        <v>117</v>
      </c>
      <c r="J27" s="74" t="s">
        <v>188</v>
      </c>
      <c r="N27" s="74" t="s">
        <v>292</v>
      </c>
      <c r="O27" s="74"/>
      <c r="P27" s="74" t="s">
        <v>312</v>
      </c>
      <c r="Q27" s="74"/>
      <c r="R27" s="74"/>
    </row>
  </sheetData>
  <mergeCells count="3">
    <mergeCell ref="A3:S3"/>
    <mergeCell ref="A1:S1"/>
    <mergeCell ref="A2:S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E5C90-14CE-4CB8-97C7-BCF9FB5C3629}">
  <dimension ref="A1:H9"/>
  <sheetViews>
    <sheetView workbookViewId="0">
      <selection activeCell="N7" sqref="N7"/>
    </sheetView>
  </sheetViews>
  <sheetFormatPr baseColWidth="10" defaultRowHeight="15" x14ac:dyDescent="0.25"/>
  <cols>
    <col min="1" max="1" width="28.140625" customWidth="1"/>
  </cols>
  <sheetData>
    <row r="1" spans="1:8" ht="18.75" x14ac:dyDescent="0.3">
      <c r="A1" s="115" t="s">
        <v>118</v>
      </c>
      <c r="B1" s="113"/>
      <c r="C1" s="113"/>
      <c r="D1" s="113"/>
      <c r="E1" s="113"/>
      <c r="F1" s="113"/>
      <c r="G1" s="113"/>
      <c r="H1" s="116"/>
    </row>
    <row r="2" spans="1:8" ht="18.75" x14ac:dyDescent="0.3">
      <c r="A2" s="115" t="s">
        <v>119</v>
      </c>
      <c r="B2" s="113"/>
      <c r="C2" s="113"/>
      <c r="D2" s="113"/>
      <c r="E2" s="113"/>
      <c r="F2" s="113"/>
      <c r="G2" s="113"/>
      <c r="H2" s="116"/>
    </row>
    <row r="3" spans="1:8" ht="18.75" x14ac:dyDescent="0.3">
      <c r="A3" s="115" t="s">
        <v>121</v>
      </c>
      <c r="B3" s="113"/>
      <c r="C3" s="113"/>
      <c r="D3" s="113"/>
      <c r="E3" s="113"/>
      <c r="F3" s="113"/>
      <c r="G3" s="113"/>
      <c r="H3" s="116"/>
    </row>
    <row r="4" spans="1:8" x14ac:dyDescent="0.25">
      <c r="A4" s="119" t="s">
        <v>2</v>
      </c>
      <c r="B4" s="12">
        <v>13965</v>
      </c>
      <c r="C4" s="9"/>
      <c r="D4" s="12"/>
      <c r="E4" s="12"/>
      <c r="F4" s="12"/>
      <c r="G4" s="12"/>
      <c r="H4" s="12" t="s">
        <v>3</v>
      </c>
    </row>
    <row r="5" spans="1:8" x14ac:dyDescent="0.25">
      <c r="A5" s="120"/>
      <c r="B5" s="4">
        <v>46260</v>
      </c>
      <c r="C5" s="4"/>
      <c r="D5" s="4"/>
      <c r="E5" s="4"/>
      <c r="F5" s="4"/>
      <c r="G5" s="4"/>
      <c r="H5" s="4">
        <v>46264</v>
      </c>
    </row>
    <row r="6" spans="1:8" x14ac:dyDescent="0.25">
      <c r="A6" s="13" t="s">
        <v>24</v>
      </c>
      <c r="B6" s="14">
        <v>50</v>
      </c>
      <c r="C6" s="15"/>
      <c r="D6" s="15"/>
      <c r="E6" s="15"/>
      <c r="F6" s="15"/>
      <c r="G6" s="15"/>
      <c r="H6" s="7">
        <f>SUM(B6:G6)</f>
        <v>50</v>
      </c>
    </row>
    <row r="7" spans="1:8" x14ac:dyDescent="0.25">
      <c r="A7" s="13"/>
      <c r="B7" s="14"/>
      <c r="C7" s="15"/>
      <c r="D7" s="15"/>
      <c r="E7" s="15"/>
      <c r="F7" s="15"/>
      <c r="G7" s="15"/>
      <c r="H7" s="7">
        <f>SUM(B7:G7)</f>
        <v>0</v>
      </c>
    </row>
    <row r="8" spans="1:8" x14ac:dyDescent="0.25">
      <c r="A8" s="16" t="s">
        <v>7</v>
      </c>
      <c r="B8" s="8">
        <v>0.3125</v>
      </c>
      <c r="C8" s="8"/>
      <c r="D8" s="17"/>
      <c r="E8" s="55"/>
      <c r="F8" s="55"/>
      <c r="G8" s="55"/>
      <c r="H8" s="9"/>
    </row>
    <row r="9" spans="1:8" x14ac:dyDescent="0.25">
      <c r="A9" s="16" t="s">
        <v>20</v>
      </c>
      <c r="B9" s="46" t="s">
        <v>120</v>
      </c>
      <c r="C9" s="17"/>
      <c r="D9" s="17"/>
      <c r="E9" s="56"/>
      <c r="F9" s="46"/>
      <c r="G9" s="55"/>
      <c r="H9" s="11"/>
    </row>
  </sheetData>
  <mergeCells count="4">
    <mergeCell ref="A1:H1"/>
    <mergeCell ref="A2:H2"/>
    <mergeCell ref="A3:H3"/>
    <mergeCell ref="A4:A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D608-5A49-4293-A954-534AADC7A0A9}">
  <dimension ref="A1:F8"/>
  <sheetViews>
    <sheetView workbookViewId="0">
      <selection activeCell="A7" sqref="A7:XFD7"/>
    </sheetView>
  </sheetViews>
  <sheetFormatPr baseColWidth="10" defaultRowHeight="15" x14ac:dyDescent="0.25"/>
  <cols>
    <col min="1" max="1" width="20.42578125" customWidth="1"/>
  </cols>
  <sheetData>
    <row r="1" spans="1:6" ht="18.75" x14ac:dyDescent="0.3">
      <c r="A1" s="109" t="s">
        <v>122</v>
      </c>
      <c r="B1" s="110"/>
      <c r="C1" s="110"/>
      <c r="D1" s="110"/>
      <c r="E1" s="110"/>
      <c r="F1" s="111"/>
    </row>
    <row r="2" spans="1:6" ht="18.75" x14ac:dyDescent="0.3">
      <c r="A2" s="112" t="s">
        <v>123</v>
      </c>
      <c r="B2" s="113"/>
      <c r="C2" s="113"/>
      <c r="D2" s="113"/>
      <c r="E2" s="113"/>
      <c r="F2" s="114"/>
    </row>
    <row r="3" spans="1:6" ht="18.75" x14ac:dyDescent="0.3">
      <c r="A3" s="112" t="s">
        <v>126</v>
      </c>
      <c r="B3" s="113"/>
      <c r="C3" s="113"/>
      <c r="D3" s="113"/>
      <c r="E3" s="113"/>
      <c r="F3" s="113"/>
    </row>
    <row r="4" spans="1:6" x14ac:dyDescent="0.25">
      <c r="A4" s="1" t="s">
        <v>2</v>
      </c>
      <c r="B4" s="2">
        <v>13863</v>
      </c>
      <c r="C4" s="2"/>
      <c r="D4" s="2"/>
      <c r="E4" s="2"/>
      <c r="F4" s="2" t="s">
        <v>30</v>
      </c>
    </row>
    <row r="5" spans="1:6" x14ac:dyDescent="0.25">
      <c r="A5" s="3"/>
      <c r="B5" s="4">
        <v>46220</v>
      </c>
      <c r="C5" s="4"/>
      <c r="D5" s="4"/>
      <c r="E5" s="4"/>
      <c r="F5" s="4">
        <v>46234</v>
      </c>
    </row>
    <row r="6" spans="1:6" x14ac:dyDescent="0.25">
      <c r="A6" s="13" t="s">
        <v>124</v>
      </c>
      <c r="B6" s="24">
        <v>2</v>
      </c>
      <c r="C6" s="6"/>
      <c r="D6" s="6"/>
      <c r="E6" s="6"/>
      <c r="F6" s="7">
        <f>SUM(B6:E6)</f>
        <v>2</v>
      </c>
    </row>
    <row r="7" spans="1:6" x14ac:dyDescent="0.25">
      <c r="A7" s="3" t="s">
        <v>7</v>
      </c>
      <c r="B7" s="17">
        <v>0.19791666666666666</v>
      </c>
      <c r="C7" s="8"/>
      <c r="D7" s="8"/>
      <c r="E7" s="8"/>
      <c r="F7" s="9"/>
    </row>
    <row r="8" spans="1:6" x14ac:dyDescent="0.25">
      <c r="A8" s="3" t="s">
        <v>8</v>
      </c>
      <c r="B8" s="17" t="s">
        <v>125</v>
      </c>
      <c r="C8" s="17"/>
      <c r="D8" s="11"/>
      <c r="E8" s="10"/>
      <c r="F8" s="11">
        <f>SUM(C8:E8)</f>
        <v>0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401D-4CD0-49A2-A630-A7937DAF5932}">
  <dimension ref="A1:H13"/>
  <sheetViews>
    <sheetView workbookViewId="0">
      <selection activeCell="A4" sqref="A4"/>
    </sheetView>
  </sheetViews>
  <sheetFormatPr baseColWidth="10" defaultRowHeight="15" x14ac:dyDescent="0.25"/>
  <cols>
    <col min="1" max="1" width="30.7109375" customWidth="1"/>
    <col min="2" max="2" width="16.85546875" customWidth="1"/>
  </cols>
  <sheetData>
    <row r="1" spans="1:8" ht="18.75" x14ac:dyDescent="0.3">
      <c r="A1" s="109" t="s">
        <v>150</v>
      </c>
      <c r="B1" s="110"/>
      <c r="C1" s="110"/>
      <c r="D1" s="110"/>
      <c r="E1" s="110"/>
      <c r="F1" s="110"/>
      <c r="G1" s="110"/>
      <c r="H1" s="110"/>
    </row>
    <row r="2" spans="1:8" ht="18.75" x14ac:dyDescent="0.3">
      <c r="A2" s="112" t="s">
        <v>151</v>
      </c>
      <c r="B2" s="113"/>
      <c r="C2" s="113"/>
      <c r="D2" s="113"/>
      <c r="E2" s="113"/>
      <c r="F2" s="113"/>
      <c r="G2" s="113"/>
      <c r="H2" s="113"/>
    </row>
    <row r="3" spans="1:8" ht="18.75" x14ac:dyDescent="0.3">
      <c r="A3" s="112" t="s">
        <v>152</v>
      </c>
      <c r="B3" s="113"/>
      <c r="C3" s="113"/>
      <c r="D3" s="113"/>
      <c r="E3" s="113"/>
      <c r="F3" s="113"/>
      <c r="G3" s="113"/>
      <c r="H3" s="113"/>
    </row>
    <row r="4" spans="1:8" x14ac:dyDescent="0.25">
      <c r="A4" s="1" t="s">
        <v>2</v>
      </c>
      <c r="B4" s="2">
        <v>13973</v>
      </c>
      <c r="C4" s="12"/>
      <c r="D4" s="2"/>
      <c r="E4" s="2"/>
      <c r="F4" s="2"/>
      <c r="G4" s="2"/>
      <c r="H4" s="2" t="s">
        <v>3</v>
      </c>
    </row>
    <row r="5" spans="1:8" x14ac:dyDescent="0.25">
      <c r="A5" s="3"/>
      <c r="B5" s="4">
        <v>46263</v>
      </c>
      <c r="C5" s="57"/>
      <c r="D5" s="4"/>
      <c r="E5" s="4"/>
      <c r="F5" s="4"/>
      <c r="G5" s="4"/>
      <c r="H5" s="4">
        <v>46295</v>
      </c>
    </row>
    <row r="6" spans="1:8" x14ac:dyDescent="0.25">
      <c r="A6" s="5" t="s">
        <v>68</v>
      </c>
      <c r="B6" s="24">
        <v>4</v>
      </c>
      <c r="C6" s="6"/>
      <c r="D6" s="6"/>
      <c r="E6" s="6"/>
      <c r="F6" s="6"/>
      <c r="G6" s="6"/>
      <c r="H6" s="58">
        <f t="shared" ref="H6:H11" si="0">SUM(B6:F6)</f>
        <v>4</v>
      </c>
    </row>
    <row r="7" spans="1:8" x14ac:dyDescent="0.25">
      <c r="A7" s="5" t="s">
        <v>5</v>
      </c>
      <c r="B7" s="24">
        <v>4</v>
      </c>
      <c r="C7" s="6"/>
      <c r="D7" s="6"/>
      <c r="E7" s="6"/>
      <c r="F7" s="6"/>
      <c r="G7" s="6"/>
      <c r="H7" s="58">
        <f t="shared" si="0"/>
        <v>4</v>
      </c>
    </row>
    <row r="8" spans="1:8" x14ac:dyDescent="0.25">
      <c r="A8" s="5" t="s">
        <v>127</v>
      </c>
      <c r="B8" s="24">
        <v>6</v>
      </c>
      <c r="C8" s="6"/>
      <c r="D8" s="6"/>
      <c r="E8" s="6"/>
      <c r="F8" s="6"/>
      <c r="G8" s="6"/>
      <c r="H8" s="7">
        <f t="shared" si="0"/>
        <v>6</v>
      </c>
    </row>
    <row r="9" spans="1:8" x14ac:dyDescent="0.25">
      <c r="A9" s="5" t="s">
        <v>60</v>
      </c>
      <c r="B9" s="24">
        <v>4</v>
      </c>
      <c r="C9" s="6"/>
      <c r="D9" s="6"/>
      <c r="E9" s="6"/>
      <c r="F9" s="6"/>
      <c r="G9" s="6"/>
      <c r="H9" s="7">
        <f t="shared" si="0"/>
        <v>4</v>
      </c>
    </row>
    <row r="10" spans="1:8" x14ac:dyDescent="0.25">
      <c r="A10" s="5" t="s">
        <v>128</v>
      </c>
      <c r="B10" s="24">
        <v>2</v>
      </c>
      <c r="C10" s="6"/>
      <c r="D10" s="6"/>
      <c r="E10" s="6"/>
      <c r="F10" s="6"/>
      <c r="G10" s="6"/>
      <c r="H10" s="7">
        <f t="shared" si="0"/>
        <v>2</v>
      </c>
    </row>
    <row r="11" spans="1:8" x14ac:dyDescent="0.25">
      <c r="A11" s="5" t="s">
        <v>129</v>
      </c>
      <c r="B11" s="24">
        <v>4</v>
      </c>
      <c r="C11" s="6"/>
      <c r="D11" s="6"/>
      <c r="E11" s="6"/>
      <c r="F11" s="6"/>
      <c r="G11" s="6"/>
      <c r="H11" s="7">
        <f t="shared" si="0"/>
        <v>4</v>
      </c>
    </row>
    <row r="12" spans="1:8" x14ac:dyDescent="0.25">
      <c r="A12" s="3" t="s">
        <v>7</v>
      </c>
      <c r="B12" s="60">
        <v>0.40972222222222221</v>
      </c>
      <c r="C12" s="59"/>
      <c r="D12" s="8"/>
      <c r="E12" s="8"/>
      <c r="F12" s="8"/>
      <c r="G12" s="8"/>
      <c r="H12" s="9"/>
    </row>
    <row r="13" spans="1:8" x14ac:dyDescent="0.25">
      <c r="A13" s="3" t="s">
        <v>8</v>
      </c>
      <c r="B13" s="61" t="s">
        <v>130</v>
      </c>
      <c r="C13" s="10"/>
      <c r="D13" s="10"/>
      <c r="E13" s="10"/>
      <c r="F13" s="10"/>
      <c r="G13" s="10"/>
      <c r="H13" s="11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46</vt:i4>
      </vt:variant>
    </vt:vector>
  </HeadingPairs>
  <TitlesOfParts>
    <vt:vector size="46" baseType="lpstr">
      <vt:lpstr>PEDRO ROSAS</vt:lpstr>
      <vt:lpstr>ELKIN HERRERA</vt:lpstr>
      <vt:lpstr>OMAR PABON</vt:lpstr>
      <vt:lpstr>ANDREI CADENA</vt:lpstr>
      <vt:lpstr>tejido arquitectonico</vt:lpstr>
      <vt:lpstr>JOSE REDIN</vt:lpstr>
      <vt:lpstr>GIOVANNI SIERRA</vt:lpstr>
      <vt:lpstr>GUILLERMO HERRERA</vt:lpstr>
      <vt:lpstr>JOSE SILVA</vt:lpstr>
      <vt:lpstr>SOTERO TRIANA</vt:lpstr>
      <vt:lpstr>ORLANDO MALDONADOLILIANA </vt:lpstr>
      <vt:lpstr>CICOM INGENIEROS</vt:lpstr>
      <vt:lpstr>ELIAS ADARME</vt:lpstr>
      <vt:lpstr>INVERSIONES ULLOA</vt:lpstr>
      <vt:lpstr>JULIAN GARCIA</vt:lpstr>
      <vt:lpstr>MERCEDES VILLLAMIZAR</vt:lpstr>
      <vt:lpstr>EDINSON JAIMES</vt:lpstr>
      <vt:lpstr>GUSTAVO ADOLFO </vt:lpstr>
      <vt:lpstr>XIOMARA ARGUELLO</vt:lpstr>
      <vt:lpstr>LUDWIN ANGULO</vt:lpstr>
      <vt:lpstr>ALFONSO LOZANO</vt:lpstr>
      <vt:lpstr>MAURICIO CACERES</vt:lpstr>
      <vt:lpstr>DANILO CALDERON</vt:lpstr>
      <vt:lpstr>JUAN FELIPE BLANCO</vt:lpstr>
      <vt:lpstr>POLIMYS</vt:lpstr>
      <vt:lpstr>NELSON BERNAL</vt:lpstr>
      <vt:lpstr>FERRETERIA JOHANA VIDAL</vt:lpstr>
      <vt:lpstr>ANDREA PAOLA</vt:lpstr>
      <vt:lpstr>DIEGO GUTIERREZ</vt:lpstr>
      <vt:lpstr>CONSORCIO LA VICTORIA</vt:lpstr>
      <vt:lpstr>MAESTRO VIDAL</vt:lpstr>
      <vt:lpstr>GONZALO GUERRERO </vt:lpstr>
      <vt:lpstr>MIGUEL FLOREZ</vt:lpstr>
      <vt:lpstr>FREDDY LENGUA </vt:lpstr>
      <vt:lpstr>FREDY ESCALMILLA</vt:lpstr>
      <vt:lpstr>JORGE LUIS</vt:lpstr>
      <vt:lpstr>JOISE DAVIDCORREA</vt:lpstr>
      <vt:lpstr>SERGIO AGUILAR</vt:lpstr>
      <vt:lpstr>OSCAR OLARTE</vt:lpstr>
      <vt:lpstr>LA PLACA</vt:lpstr>
      <vt:lpstr>ALQUIOBRAS</vt:lpstr>
      <vt:lpstr>ELISEO PABON</vt:lpstr>
      <vt:lpstr>CLAUDIA GIL</vt:lpstr>
      <vt:lpstr>ANTONIO GUTIERREZ</vt:lpstr>
      <vt:lpstr>FREDY MEZA</vt:lpstr>
      <vt:lpstr>MAESTRO WILLIAM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2026-09-14T20:15:54Z</cp:lastPrinted>
  <dcterms:created xsi:type="dcterms:W3CDTF">2015-06-05T18:19:34Z</dcterms:created>
  <dcterms:modified xsi:type="dcterms:W3CDTF">2026-09-19T15:39:51Z</dcterms:modified>
</cp:coreProperties>
</file>
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SEPTIEMBRE 2026\"/>
    </mc:Choice>
  </mc:AlternateContent>
  <xr:revisionPtr revIDLastSave="0" documentId="13_ncr:1_{89C208DE-3965-4A82-A913-CD4622F3DC40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OMAR PABON" sheetId="3" r:id="rId1"/>
    <sheet name="GUSTAVO ADOLFO RUBIO" sheetId="4" r:id="rId2"/>
    <sheet name="MAURICIO CACERES" sheetId="5" r:id="rId3"/>
    <sheet name="ANDREI CADENA" sheetId="6" r:id="rId4"/>
    <sheet name="XIOMARA ARGUELLO" sheetId="8" r:id="rId5"/>
    <sheet name="LUWING ANGULO" sheetId="9" r:id="rId6"/>
    <sheet name="GIOVANNI SIERR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" i="6" l="1"/>
  <c r="F95" i="6" s="1"/>
  <c r="E94" i="6"/>
  <c r="F94" i="6" s="1"/>
  <c r="E93" i="6"/>
  <c r="F93" i="6" s="1"/>
  <c r="E92" i="6"/>
  <c r="F92" i="6" s="1"/>
  <c r="E82" i="6"/>
  <c r="E81" i="6"/>
  <c r="E80" i="6"/>
  <c r="E79" i="6"/>
  <c r="E96" i="6" l="1"/>
  <c r="E98" i="6" s="1"/>
  <c r="F18" i="9" l="1"/>
  <c r="E18" i="9"/>
  <c r="E17" i="9"/>
  <c r="F17" i="9" s="1"/>
  <c r="G10" i="9"/>
  <c r="G8" i="9"/>
  <c r="G7" i="9"/>
  <c r="G6" i="9"/>
  <c r="I47" i="8"/>
  <c r="F38" i="8"/>
  <c r="E38" i="8"/>
  <c r="E37" i="8"/>
  <c r="F37" i="8" s="1"/>
  <c r="E40" i="8" s="1"/>
  <c r="E42" i="8" s="1"/>
  <c r="E25" i="8"/>
  <c r="E26" i="8" s="1"/>
  <c r="E13" i="8"/>
  <c r="F13" i="8" s="1"/>
  <c r="F12" i="8"/>
  <c r="E12" i="8"/>
  <c r="E11" i="8"/>
  <c r="F11" i="8" s="1"/>
  <c r="E10" i="8"/>
  <c r="F10" i="8" s="1"/>
  <c r="E9" i="8"/>
  <c r="F9" i="8" s="1"/>
  <c r="F8" i="8"/>
  <c r="E8" i="8"/>
  <c r="E7" i="8"/>
  <c r="F7" i="8" s="1"/>
  <c r="E6" i="8"/>
  <c r="E14" i="8" s="1"/>
  <c r="E68" i="6"/>
  <c r="F68" i="6" s="1"/>
  <c r="E67" i="6"/>
  <c r="F67" i="6" s="1"/>
  <c r="E66" i="6"/>
  <c r="F66" i="6" s="1"/>
  <c r="E65" i="6"/>
  <c r="F65" i="6" s="1"/>
  <c r="E64" i="6"/>
  <c r="F64" i="6" s="1"/>
  <c r="E63" i="6"/>
  <c r="F63" i="6" s="1"/>
  <c r="E62" i="6"/>
  <c r="F62" i="6" s="1"/>
  <c r="E61" i="6"/>
  <c r="F61" i="6" s="1"/>
  <c r="E60" i="6"/>
  <c r="F60" i="6" s="1"/>
  <c r="G50" i="6"/>
  <c r="G49" i="6"/>
  <c r="G48" i="6"/>
  <c r="G47" i="6"/>
  <c r="G46" i="6"/>
  <c r="G45" i="6"/>
  <c r="G44" i="6"/>
  <c r="G43" i="6"/>
  <c r="G42" i="6"/>
  <c r="G41" i="6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28" i="7"/>
  <c r="F28" i="7" s="1"/>
  <c r="E30" i="7" s="1"/>
  <c r="E32" i="7" s="1"/>
  <c r="E18" i="7"/>
  <c r="F17" i="7"/>
  <c r="E17" i="7"/>
  <c r="E16" i="7"/>
  <c r="G9" i="7"/>
  <c r="G7" i="7"/>
  <c r="G6" i="7"/>
  <c r="E32" i="6" l="1"/>
  <c r="E34" i="6" s="1"/>
  <c r="E20" i="9"/>
  <c r="E22" i="9" s="1"/>
  <c r="E19" i="9"/>
  <c r="F6" i="8"/>
  <c r="F25" i="8"/>
  <c r="E27" i="8" s="1"/>
  <c r="E29" i="8" s="1"/>
  <c r="E39" i="8"/>
  <c r="E15" i="8"/>
  <c r="E17" i="8" s="1"/>
  <c r="E45" i="8" s="1"/>
  <c r="E46" i="8" s="1"/>
  <c r="E69" i="6"/>
  <c r="E71" i="6" s="1"/>
  <c r="E31" i="6"/>
  <c r="E29" i="7"/>
  <c r="F16" i="7"/>
  <c r="E21" i="7" l="1"/>
  <c r="E19" i="7"/>
  <c r="E42" i="5"/>
  <c r="E44" i="5" s="1"/>
  <c r="L20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F7" i="4"/>
  <c r="H7" i="4" s="1"/>
  <c r="F8" i="4"/>
  <c r="F9" i="4"/>
  <c r="F10" i="4"/>
  <c r="F11" i="4"/>
  <c r="H11" i="4" s="1"/>
  <c r="F12" i="4"/>
  <c r="H12" i="4" s="1"/>
  <c r="F13" i="4"/>
  <c r="F14" i="4"/>
  <c r="F15" i="4"/>
  <c r="E38" i="4"/>
  <c r="F26" i="4"/>
  <c r="F27" i="4"/>
  <c r="F28" i="4"/>
  <c r="F29" i="4"/>
  <c r="F30" i="4"/>
  <c r="F31" i="4"/>
  <c r="F32" i="4"/>
  <c r="E26" i="4"/>
  <c r="E27" i="4"/>
  <c r="E28" i="4"/>
  <c r="E29" i="4"/>
  <c r="E30" i="4"/>
  <c r="E31" i="4"/>
  <c r="E32" i="4"/>
  <c r="H10" i="4"/>
  <c r="H14" i="4"/>
  <c r="F17" i="4"/>
  <c r="F16" i="4"/>
  <c r="H15" i="4"/>
  <c r="H13" i="4"/>
  <c r="H9" i="4"/>
  <c r="H8" i="4"/>
  <c r="F6" i="4"/>
  <c r="H6" i="4" s="1"/>
  <c r="H17" i="4" l="1"/>
  <c r="E25" i="4" l="1"/>
  <c r="F25" i="4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E34" i="4" l="1"/>
  <c r="E36" i="4" s="1"/>
  <c r="E33" i="4"/>
  <c r="E28" i="3"/>
  <c r="F28" i="3" s="1"/>
  <c r="F47" i="3" l="1"/>
  <c r="F4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6" authorId="0" shapeId="0" xr:uid="{E8F798EC-E65A-4453-822E-B39BFCBEC87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DESPACHO EL 31-08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10" authorId="0" shapeId="0" xr:uid="{12CB585C-738A-4FC5-B8D6-24B17E74A81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POLY
</t>
        </r>
      </text>
    </comment>
  </commentList>
</comments>
</file>

<file path=xl/sharedStrings.xml><?xml version="1.0" encoding="utf-8"?>
<sst xmlns="http://schemas.openxmlformats.org/spreadsheetml/2006/main" count="434" uniqueCount="195">
  <si>
    <t>CRA 9 OCCIDENTE # 29-58</t>
  </si>
  <si>
    <t>MATERIAL</t>
  </si>
  <si>
    <t xml:space="preserve">SALDO </t>
  </si>
  <si>
    <t>MARCOS DE ANDAMIOS  AMARILLOS</t>
  </si>
  <si>
    <t>CRUCETAS 2,40</t>
  </si>
  <si>
    <t>TABLONES 3 MTROS</t>
  </si>
  <si>
    <t>FORMALETA DE 35*1,20</t>
  </si>
  <si>
    <t>PARALES DE 3 MTROS</t>
  </si>
  <si>
    <t>CHAPETAS</t>
  </si>
  <si>
    <t>CAJAS METALICAS</t>
  </si>
  <si>
    <t xml:space="preserve">CERCHAS DE 3 MTROS </t>
  </si>
  <si>
    <t>FORMALETA DE 60*1,20</t>
  </si>
  <si>
    <t>FORMALETA DE 20*1,20</t>
  </si>
  <si>
    <t>FORMALETA DE 15*1,20</t>
  </si>
  <si>
    <t>FORMALETA DE 30*1,20</t>
  </si>
  <si>
    <t>FORMALETA DE 30*60</t>
  </si>
  <si>
    <t>Hora</t>
  </si>
  <si>
    <t>TRANSPORTE</t>
  </si>
  <si>
    <t>OMAR PABON: 3204187219</t>
  </si>
  <si>
    <t xml:space="preserve">PLACA </t>
  </si>
  <si>
    <t>BARRIO SANTANDER</t>
  </si>
  <si>
    <t>DETALLES</t>
  </si>
  <si>
    <t>COSTOS</t>
  </si>
  <si>
    <t>DIAS</t>
  </si>
  <si>
    <t>CANTIDAD</t>
  </si>
  <si>
    <t>VALOR</t>
  </si>
  <si>
    <t>COSTO DIARIO</t>
  </si>
  <si>
    <t>PRECIO DIARIO</t>
  </si>
  <si>
    <t>PARALES DE 3 MTOS</t>
  </si>
  <si>
    <t>SECCIONES DE ANDAMIO</t>
  </si>
  <si>
    <t>TABLONES</t>
  </si>
  <si>
    <t xml:space="preserve">TOTAL DIAS </t>
  </si>
  <si>
    <t>SEPTIEMBRE 1 AL 20</t>
  </si>
  <si>
    <t>SEPTIEMBRE 3 AL 20</t>
  </si>
  <si>
    <t>SEPTIEMBRE 15 AL 20</t>
  </si>
  <si>
    <t>SEPTIEMBRE5 AL 20</t>
  </si>
  <si>
    <t>CERCHAS DE 3 MTS</t>
  </si>
  <si>
    <t>SEPTIEMBRE3 AL 4</t>
  </si>
  <si>
    <t>SEPTIEMBRE 5 AL 30</t>
  </si>
  <si>
    <t>FORMALETA 60 X 120</t>
  </si>
  <si>
    <t>SEPTIEMBRE 3  AL 20</t>
  </si>
  <si>
    <t>SEPTIEMBRE5  AL 20</t>
  </si>
  <si>
    <t>FORMALETA 20 X 120</t>
  </si>
  <si>
    <t>SEPTIEMBRE 3AL 20</t>
  </si>
  <si>
    <t>SEPTIEMBRE  5AL 20</t>
  </si>
  <si>
    <t>FORMALETA 30 X 120</t>
  </si>
  <si>
    <t>FORMALETA 30 X 60</t>
  </si>
  <si>
    <t>PERIODO</t>
  </si>
  <si>
    <t>LLEVADA Y RECOGIDA</t>
  </si>
  <si>
    <t>MOVIMIENTO SEPTIEMBRE 1 AL 20/2026</t>
  </si>
  <si>
    <t>JIMMY JAIMES :72,185,935</t>
  </si>
  <si>
    <t>PLACA METALICA</t>
  </si>
  <si>
    <t>PESO MATERIAL</t>
  </si>
  <si>
    <t>7 TONELADAS</t>
  </si>
  <si>
    <t>RECOGIDA</t>
  </si>
  <si>
    <t>JIMMY JAIMES</t>
  </si>
  <si>
    <t>GUSTAVO ADOLFO RUBIO: 3123693827</t>
  </si>
  <si>
    <t>VILLA CARMELO MAESTRO JOSE SILVA:3224706066</t>
  </si>
  <si>
    <t>FORMALETA DE 50*1,20</t>
  </si>
  <si>
    <t>FORMALETA DE 10*120</t>
  </si>
  <si>
    <t>PARALES DE 3MTROS</t>
  </si>
  <si>
    <t xml:space="preserve">CHAPETAS </t>
  </si>
  <si>
    <t>TOTAL DIARIO</t>
  </si>
  <si>
    <t>GUSTAVO ADOLFO RUBIO</t>
  </si>
  <si>
    <t>VILLA CARMELO TEL:3224706066</t>
  </si>
  <si>
    <t>SALDO</t>
  </si>
  <si>
    <t>CAJA METALICA</t>
  </si>
  <si>
    <t>FORMALETA DE 10*1,20</t>
  </si>
  <si>
    <t>HORA</t>
  </si>
  <si>
    <t>Transporte</t>
  </si>
  <si>
    <t>MOVIMIENTO: AGOSTO 25 A SEPTIEMBRE 8/2026</t>
  </si>
  <si>
    <t>P.M</t>
  </si>
  <si>
    <t>AGOSTO 25 A SEPTIEMBRE 8</t>
  </si>
  <si>
    <t>ABONADO POR BANCOLOMBIA</t>
  </si>
  <si>
    <t>ADEUDADO A SEPTIEMBRE 8</t>
  </si>
  <si>
    <t xml:space="preserve">MAURICIO CACERES </t>
  </si>
  <si>
    <t>CALLE 7 #15B-34</t>
  </si>
  <si>
    <t>MOVIMIENTO: AGOSTO / 2026</t>
  </si>
  <si>
    <t>FORMALETA DE 50*60</t>
  </si>
  <si>
    <t>RINCONERAS DE 10*10*1,20</t>
  </si>
  <si>
    <t>ALINEADORES DE 2 MTROS</t>
  </si>
  <si>
    <t>ALINEADORES DE 1,50</t>
  </si>
  <si>
    <t>ALINEADORES DE 1 MTRO</t>
  </si>
  <si>
    <t xml:space="preserve">TENSORES </t>
  </si>
  <si>
    <t xml:space="preserve">PARALES DE 3 MTROS </t>
  </si>
  <si>
    <t>ANGULOS DE 60</t>
  </si>
  <si>
    <t xml:space="preserve">PARALES DE 4 MTROS </t>
  </si>
  <si>
    <t>MAURICIO CACERES  TEL: 3174610079</t>
  </si>
  <si>
    <t>CALLE7 #15B -34 COMUNEROS</t>
  </si>
  <si>
    <t xml:space="preserve">DEPOSITO </t>
  </si>
  <si>
    <t>TABLEROS METALICOS DE 60 X 120</t>
  </si>
  <si>
    <t>TABLEROS METALICOS DE 50 X60</t>
  </si>
  <si>
    <t>TABLEROS METALICOS DE 50 X 1,20</t>
  </si>
  <si>
    <t>RINCONERA DE 10*10*1,20</t>
  </si>
  <si>
    <t xml:space="preserve"> ALINEADORES DE 2 MTROS</t>
  </si>
  <si>
    <t>ALINEADORE DE 1 MTRO</t>
  </si>
  <si>
    <t>TENSORES</t>
  </si>
  <si>
    <t xml:space="preserve">PARALES DE 2 MTROS </t>
  </si>
  <si>
    <t>SEPTIEMBRE 9 AL 13</t>
  </si>
  <si>
    <t xml:space="preserve">TOTAL DIARIO </t>
  </si>
  <si>
    <t>CANCELO</t>
  </si>
  <si>
    <t>ADEUDADO A SEPTIEMBRE 13 2026</t>
  </si>
  <si>
    <t>ANDREI CADENA</t>
  </si>
  <si>
    <t>CRA 17A #60-17 RICAUTE</t>
  </si>
  <si>
    <t>MARCOS DE ANDAMIOS 1,50 AZULES</t>
  </si>
  <si>
    <t>CRUCETAS DE 2,40</t>
  </si>
  <si>
    <t>TABLONES DE 3 MTRS</t>
  </si>
  <si>
    <t>PARALES DE 4 MTROS</t>
  </si>
  <si>
    <t>TABREROS DE MADERA 70*1,40</t>
  </si>
  <si>
    <t>CERCHAS DE 3 MTROS</t>
  </si>
  <si>
    <t>CERCHAS DE 1,50</t>
  </si>
  <si>
    <t>CERCHAS DE 2 MTROS</t>
  </si>
  <si>
    <t>BANDA DE MADERA DE 40*1,20</t>
  </si>
  <si>
    <t>BANDA DE MADERA DE 40*1,40</t>
  </si>
  <si>
    <t>FORMALETA DE 40*1,20</t>
  </si>
  <si>
    <t>FORMALETA DE 55*1,20</t>
  </si>
  <si>
    <t>FORMALETA DE 45*1,20</t>
  </si>
  <si>
    <t>FORMALETA DE 25*1,20</t>
  </si>
  <si>
    <t>FORMALETA DE 60*60</t>
  </si>
  <si>
    <t>FORMALETA DE 40*60</t>
  </si>
  <si>
    <t>CORBATA PARA MURO DE 30</t>
  </si>
  <si>
    <t>FORMALETA DE 35*80</t>
  </si>
  <si>
    <t>FORMALETA DE 25*60</t>
  </si>
  <si>
    <t>hora</t>
  </si>
  <si>
    <t>JIMMMYJAIMES</t>
  </si>
  <si>
    <t>ANDREI CADENA: 3167941308</t>
  </si>
  <si>
    <t>CARRERA 17A # 60-17. RICAURTE</t>
  </si>
  <si>
    <t>|</t>
  </si>
  <si>
    <t>RINCONERAS 10*10*60</t>
  </si>
  <si>
    <t>RINCONERA DE 10,10*1,20</t>
  </si>
  <si>
    <t>FORMALETA DE 5*1,20</t>
  </si>
  <si>
    <t>FORMALETA DE  20*60</t>
  </si>
  <si>
    <t>RINCONERAS &gt; 35 PQ</t>
  </si>
  <si>
    <t>FORMALETA DE 10*55 PQ</t>
  </si>
  <si>
    <t>FORMALETA DE 35*60</t>
  </si>
  <si>
    <t xml:space="preserve">LLEVADA Y RECOGIDA </t>
  </si>
  <si>
    <t>GIONANNY SIERRA</t>
  </si>
  <si>
    <t>CRA 13 #6-26  SAN RAFAEL</t>
  </si>
  <si>
    <t>C ERCHAS 2 MTS</t>
  </si>
  <si>
    <t>CERCHAS 3 MTS PLATINA</t>
  </si>
  <si>
    <t>XVW966</t>
  </si>
  <si>
    <t xml:space="preserve">GIOVANNY SIERRA </t>
  </si>
  <si>
    <t>CRA 13 # 6-26 SAN RAFAEL</t>
  </si>
  <si>
    <t xml:space="preserve">CERCHAS DE 2 MTROS </t>
  </si>
  <si>
    <t>MOVIMIENTO; AGOSTO 2026</t>
  </si>
  <si>
    <t>AGOSTO 18 A SEP 13</t>
  </si>
  <si>
    <t>SEPTIEMBRE 14-2026</t>
  </si>
  <si>
    <t>SEP 7 AL 11</t>
  </si>
  <si>
    <t xml:space="preserve">SECCION DE ANDAMIOS </t>
  </si>
  <si>
    <t>SEPTIEMBRE 7 AL 30</t>
  </si>
  <si>
    <t xml:space="preserve">TABLONES DE MADERA </t>
  </si>
  <si>
    <t>PARALES DE 4MTROS</t>
  </si>
  <si>
    <t>TABLEROS DE MADERA  70*1,40</t>
  </si>
  <si>
    <t xml:space="preserve">CERCHAS DE 1,5 MTROS </t>
  </si>
  <si>
    <t>CERCHAS DE 2 MTRO</t>
  </si>
  <si>
    <t>BANDAS DE 40*1,20</t>
  </si>
  <si>
    <t>BANDAS DE 40*1,40</t>
  </si>
  <si>
    <t>PLACA DE MADERA</t>
  </si>
  <si>
    <t>EQUIORIENTE SAS</t>
  </si>
  <si>
    <t xml:space="preserve">XIOMARA ARGUELLO </t>
  </si>
  <si>
    <t>TRANSICION 2</t>
  </si>
  <si>
    <t>FORMALETA DE 40*40</t>
  </si>
  <si>
    <t>ANGULOS DE 1,20</t>
  </si>
  <si>
    <t xml:space="preserve">PARALES DE 4 MROS </t>
  </si>
  <si>
    <t>DIARIO</t>
  </si>
  <si>
    <t xml:space="preserve">ALINEADORES DE 6 </t>
  </si>
  <si>
    <t>RECOGIDA  TRAIDA</t>
  </si>
  <si>
    <t>SEPTIEMBRE 9 2026</t>
  </si>
  <si>
    <t>MARCOS DE ANDAMIOS 1,50</t>
  </si>
  <si>
    <t xml:space="preserve">6 TABLONES DE 3 MTRO </t>
  </si>
  <si>
    <t>SEP 9 A SEP 17</t>
  </si>
  <si>
    <t>SEPTIEMBRE 9 A 17</t>
  </si>
  <si>
    <t xml:space="preserve">SALDO A FAVOR     </t>
  </si>
  <si>
    <t xml:space="preserve">ADEUDADO </t>
  </si>
  <si>
    <t>TOTAL A PAGAR</t>
  </si>
  <si>
    <t>LUDWIN ANGULO</t>
  </si>
  <si>
    <t>INDEPENDENCIA</t>
  </si>
  <si>
    <t>MOVIMIENTO: SEPTIEMBRE/2026</t>
  </si>
  <si>
    <t>MARCOS DE ANDAMIO 1,50</t>
  </si>
  <si>
    <t xml:space="preserve">TABLONES DE 3 MTROS </t>
  </si>
  <si>
    <t>EDUARDLUWDIN ANGULO DIAZO TOLOZA</t>
  </si>
  <si>
    <t>VALOR DIARIO</t>
  </si>
  <si>
    <t xml:space="preserve">DIAS </t>
  </si>
  <si>
    <t>LLAVADA Y RECOGIDA</t>
  </si>
  <si>
    <t>TOTAL DIAS</t>
  </si>
  <si>
    <t>SEP 9 A SEP 15</t>
  </si>
  <si>
    <t>SEPTIEMBRE 7 A OCTUBRE 6</t>
  </si>
  <si>
    <t xml:space="preserve">RUEDAS PARA ANDAMIOS </t>
  </si>
  <si>
    <t>10.00</t>
  </si>
  <si>
    <t>P.M.</t>
  </si>
  <si>
    <t>MOVIMIENTO: SEPTIEMBRE 12 AL 21/2026</t>
  </si>
  <si>
    <t>SEPTIEMBRE 12 AL 21</t>
  </si>
  <si>
    <t>RUEDAS DE ANDAMIO</t>
  </si>
  <si>
    <t>PLACA DE MADERA ADICIONAL</t>
  </si>
  <si>
    <t>MOVIMIENTO: SEPTIEMBRE 7 A OCTUBRE 6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</si>
</sst>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h:mm:ss;@"/>
    <numFmt numFmtId="165" formatCode="[$-F400]h:mm:ss\ AM/PM"/>
    <numFmt numFmtId="166" formatCode="_-&quot;$&quot;\ * #,##0_-;\-&quot;$&quot;\ * #,##0_-;_-&quot;$&quot;\ * &quot;-&quot;??_-;_-@_-"/>
    <numFmt numFmtId="167" formatCode="_(&quot;$&quot;\ * #,##0_);_(&quot;$&quot;\ * \(#,##0\);_(&quot;$&quot;\ * &quot;-&quot;??_);_(@_)"/>
    <numFmt numFmtId="168" formatCode="hh:mm:ss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6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20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6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7" fontId="0" fillId="7" borderId="2" xfId="1" applyNumberFormat="1" applyFont="1" applyFill="1" applyBorder="1"/>
    <xf numFmtId="167" fontId="0" fillId="0" borderId="2" xfId="1" applyNumberFormat="1" applyFont="1" applyBorder="1"/>
    <xf numFmtId="167" fontId="8" fillId="8" borderId="2" xfId="1" applyNumberFormat="1" applyFont="1" applyFill="1" applyBorder="1"/>
    <xf numFmtId="167" fontId="8" fillId="9" borderId="2" xfId="1" applyNumberFormat="1" applyFont="1" applyFill="1" applyBorder="1"/>
    <xf numFmtId="1" fontId="2" fillId="7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6" fontId="2" fillId="3" borderId="9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" fontId="2" fillId="4" borderId="9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1" fontId="2" fillId="3" borderId="9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166" fontId="2" fillId="3" borderId="12" xfId="2" applyNumberFormat="1" applyFont="1" applyFill="1" applyBorder="1" applyAlignment="1">
      <alignment vertical="center"/>
    </xf>
    <xf numFmtId="166" fontId="2" fillId="3" borderId="13" xfId="2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7" fontId="8" fillId="10" borderId="12" xfId="1" applyNumberFormat="1" applyFont="1" applyFill="1" applyBorder="1"/>
    <xf numFmtId="0" fontId="0" fillId="0" borderId="1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167" fontId="0" fillId="7" borderId="21" xfId="1" applyNumberFormat="1" applyFont="1" applyFill="1" applyBorder="1"/>
    <xf numFmtId="167" fontId="0" fillId="0" borderId="9" xfId="1" applyNumberFormat="1" applyFont="1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0" fillId="7" borderId="24" xfId="0" applyFill="1" applyBorder="1" applyAlignment="1">
      <alignment horizontal="center"/>
    </xf>
    <xf numFmtId="167" fontId="0" fillId="7" borderId="25" xfId="1" applyNumberFormat="1" applyFont="1" applyFill="1" applyBorder="1"/>
    <xf numFmtId="167" fontId="8" fillId="3" borderId="2" xfId="1" applyNumberFormat="1" applyFont="1" applyFill="1" applyBorder="1"/>
    <xf numFmtId="167" fontId="8" fillId="6" borderId="12" xfId="1" applyNumberFormat="1" applyFont="1" applyFill="1" applyBorder="1"/>
    <xf numFmtId="167" fontId="8" fillId="4" borderId="23" xfId="1" applyNumberFormat="1" applyFont="1" applyFill="1" applyBorder="1"/>
    <xf numFmtId="166" fontId="0" fillId="0" borderId="16" xfId="1" applyNumberFormat="1" applyFont="1" applyBorder="1" applyAlignment="1">
      <alignment horizontal="center"/>
    </xf>
    <xf numFmtId="0" fontId="2" fillId="3" borderId="24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" fontId="2" fillId="4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right" vertical="center"/>
    </xf>
    <xf numFmtId="166" fontId="2" fillId="3" borderId="2" xfId="1" applyNumberFormat="1" applyFont="1" applyFill="1" applyBorder="1" applyAlignment="1">
      <alignment horizontal="right" vertical="center"/>
    </xf>
    <xf numFmtId="166" fontId="2" fillId="3" borderId="2" xfId="1" applyNumberFormat="1" applyFont="1" applyFill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66" fontId="0" fillId="0" borderId="0" xfId="1" applyNumberFormat="1" applyFont="1"/>
    <xf numFmtId="16" fontId="0" fillId="0" borderId="0" xfId="0" applyNumberFormat="1"/>
    <xf numFmtId="0" fontId="8" fillId="0" borderId="0" xfId="0" applyFont="1"/>
    <xf numFmtId="167" fontId="8" fillId="0" borderId="0" xfId="0" applyNumberFormat="1" applyFont="1"/>
    <xf numFmtId="0" fontId="2" fillId="0" borderId="0" xfId="0" applyFont="1" applyAlignment="1">
      <alignment horizontal="center"/>
    </xf>
    <xf numFmtId="168" fontId="2" fillId="3" borderId="2" xfId="0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29" xfId="0" applyBorder="1" applyAlignment="1">
      <alignment horizontal="center"/>
    </xf>
    <xf numFmtId="167" fontId="0" fillId="7" borderId="36" xfId="1" applyNumberFormat="1" applyFont="1" applyFill="1" applyBorder="1"/>
    <xf numFmtId="167" fontId="0" fillId="0" borderId="0" xfId="1" applyNumberFormat="1" applyFont="1" applyBorder="1"/>
    <xf numFmtId="167" fontId="0" fillId="0" borderId="37" xfId="1" applyNumberFormat="1" applyFont="1" applyBorder="1"/>
    <xf numFmtId="167" fontId="0" fillId="7" borderId="38" xfId="1" applyNumberFormat="1" applyFont="1" applyFill="1" applyBorder="1"/>
    <xf numFmtId="167" fontId="0" fillId="0" borderId="39" xfId="1" applyNumberFormat="1" applyFont="1" applyBorder="1"/>
    <xf numFmtId="167" fontId="0" fillId="0" borderId="40" xfId="1" applyNumberFormat="1" applyFont="1" applyBorder="1"/>
    <xf numFmtId="167" fontId="8" fillId="6" borderId="24" xfId="1" applyNumberFormat="1" applyFont="1" applyFill="1" applyBorder="1"/>
    <xf numFmtId="167" fontId="8" fillId="8" borderId="12" xfId="1" applyNumberFormat="1" applyFont="1" applyFill="1" applyBorder="1"/>
    <xf numFmtId="167" fontId="8" fillId="9" borderId="23" xfId="1" applyNumberFormat="1" applyFont="1" applyFill="1" applyBorder="1"/>
    <xf numFmtId="167" fontId="0" fillId="0" borderId="0" xfId="0" applyNumberFormat="1"/>
    <xf numFmtId="0" fontId="2" fillId="6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center" vertical="center"/>
    </xf>
    <xf numFmtId="166" fontId="2" fillId="4" borderId="2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0" fillId="11" borderId="14" xfId="0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/>
    </xf>
    <xf numFmtId="166" fontId="1" fillId="12" borderId="2" xfId="1" applyNumberFormat="1" applyFont="1" applyFill="1" applyBorder="1" applyAlignment="1">
      <alignment horizontal="center"/>
    </xf>
    <xf numFmtId="0" fontId="0" fillId="12" borderId="14" xfId="0" applyFill="1" applyBorder="1" applyAlignment="1">
      <alignment horizontal="left" vertical="center"/>
    </xf>
    <xf numFmtId="0" fontId="0" fillId="8" borderId="14" xfId="0" applyFill="1" applyBorder="1"/>
    <xf numFmtId="167" fontId="0" fillId="12" borderId="2" xfId="1" applyNumberFormat="1" applyFont="1" applyFill="1" applyBorder="1"/>
    <xf numFmtId="167" fontId="8" fillId="6" borderId="29" xfId="1" applyNumberFormat="1" applyFont="1" applyFill="1" applyBorder="1"/>
    <xf numFmtId="167" fontId="0" fillId="0" borderId="30" xfId="1" applyNumberFormat="1" applyFont="1" applyBorder="1"/>
    <xf numFmtId="167" fontId="8" fillId="8" borderId="41" xfId="1" applyNumberFormat="1" applyFont="1" applyFill="1" applyBorder="1"/>
    <xf numFmtId="167" fontId="0" fillId="0" borderId="43" xfId="1" applyNumberFormat="1" applyFont="1" applyBorder="1"/>
    <xf numFmtId="167" fontId="8" fillId="9" borderId="31" xfId="1" applyNumberFormat="1" applyFont="1" applyFill="1" applyBorder="1"/>
    <xf numFmtId="167" fontId="8" fillId="10" borderId="41" xfId="1" applyNumberFormat="1" applyFont="1" applyFill="1" applyBorder="1"/>
    <xf numFmtId="167" fontId="0" fillId="0" borderId="44" xfId="1" applyNumberFormat="1" applyFont="1" applyBorder="1"/>
    <xf numFmtId="16" fontId="2" fillId="3" borderId="24" xfId="0" applyNumberFormat="1" applyFont="1" applyFill="1" applyBorder="1" applyAlignment="1">
      <alignment horizontal="center" vertical="center"/>
    </xf>
    <xf numFmtId="1" fontId="2" fillId="13" borderId="2" xfId="0" applyNumberFormat="1" applyFont="1" applyFill="1" applyBorder="1" applyAlignment="1">
      <alignment horizontal="center" vertical="center"/>
    </xf>
    <xf numFmtId="16" fontId="0" fillId="3" borderId="0" xfId="0" applyNumberFormat="1" applyFill="1"/>
    <xf numFmtId="0" fontId="0" fillId="3" borderId="0" xfId="0" applyFill="1"/>
    <xf numFmtId="0" fontId="2" fillId="6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2" fillId="11" borderId="2" xfId="0" applyFont="1" applyFill="1" applyBorder="1" applyAlignment="1">
      <alignment horizontal="center"/>
    </xf>
    <xf numFmtId="166" fontId="1" fillId="0" borderId="2" xfId="1" applyNumberFormat="1" applyFont="1" applyBorder="1" applyAlignment="1">
      <alignment horizontal="center"/>
    </xf>
    <xf numFmtId="167" fontId="8" fillId="10" borderId="2" xfId="1" applyNumberFormat="1" applyFont="1" applyFill="1" applyBorder="1"/>
    <xf numFmtId="0" fontId="2" fillId="0" borderId="21" xfId="0" applyFont="1" applyBorder="1" applyAlignment="1">
      <alignment horizontal="center"/>
    </xf>
    <xf numFmtId="167" fontId="0" fillId="0" borderId="21" xfId="3" applyNumberFormat="1" applyFont="1" applyFill="1" applyBorder="1"/>
    <xf numFmtId="167" fontId="0" fillId="0" borderId="2" xfId="3" applyNumberFormat="1" applyFont="1" applyFill="1" applyBorder="1"/>
    <xf numFmtId="167" fontId="0" fillId="0" borderId="9" xfId="3" applyNumberFormat="1" applyFont="1" applyFill="1" applyBorder="1"/>
    <xf numFmtId="167" fontId="8" fillId="6" borderId="2" xfId="3" applyNumberFormat="1" applyFont="1" applyFill="1" applyBorder="1"/>
    <xf numFmtId="167" fontId="8" fillId="8" borderId="12" xfId="3" applyNumberFormat="1" applyFont="1" applyFill="1" applyBorder="1"/>
    <xf numFmtId="167" fontId="8" fillId="14" borderId="23" xfId="3" applyNumberFormat="1" applyFont="1" applyFill="1" applyBorder="1"/>
    <xf numFmtId="167" fontId="8" fillId="15" borderId="12" xfId="3" applyNumberFormat="1" applyFont="1" applyFill="1" applyBorder="1"/>
    <xf numFmtId="0" fontId="3" fillId="3" borderId="0" xfId="0" applyFont="1" applyFill="1"/>
    <xf numFmtId="167" fontId="3" fillId="3" borderId="0" xfId="0" applyNumberFormat="1" applyFont="1" applyFill="1"/>
    <xf numFmtId="0" fontId="2" fillId="0" borderId="0" xfId="0" applyFont="1"/>
    <xf numFmtId="166" fontId="11" fillId="0" borderId="0" xfId="1" applyNumberFormat="1" applyFont="1"/>
    <xf numFmtId="167" fontId="11" fillId="0" borderId="0" xfId="0" applyNumberFormat="1" applyFont="1"/>
    <xf numFmtId="16" fontId="12" fillId="3" borderId="0" xfId="0" applyNumberFormat="1" applyFont="1" applyFill="1" applyAlignment="1">
      <alignment horizontal="center"/>
    </xf>
    <xf numFmtId="165" fontId="2" fillId="3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7" fontId="0" fillId="0" borderId="28" xfId="0" applyNumberFormat="1" applyBorder="1" applyAlignment="1">
      <alignment horizontal="center"/>
    </xf>
    <xf numFmtId="167" fontId="3" fillId="9" borderId="2" xfId="0" applyNumberFormat="1" applyFont="1" applyFill="1" applyBorder="1"/>
    <xf numFmtId="167" fontId="3" fillId="4" borderId="12" xfId="0" applyNumberFormat="1" applyFont="1" applyFill="1" applyBorder="1"/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7" fillId="6" borderId="22" xfId="0" applyNumberFormat="1" applyFont="1" applyFill="1" applyBorder="1" applyAlignment="1">
      <alignment horizontal="center" vertical="center" wrapText="1"/>
    </xf>
    <xf numFmtId="14" fontId="7" fillId="6" borderId="23" xfId="0" applyNumberFormat="1" applyFont="1" applyFill="1" applyBorder="1" applyAlignment="1">
      <alignment horizontal="center" vertical="center" wrapText="1"/>
    </xf>
    <xf numFmtId="14" fontId="7" fillId="6" borderId="17" xfId="0" applyNumberFormat="1" applyFont="1" applyFill="1" applyBorder="1" applyAlignment="1">
      <alignment horizontal="center" vertical="center" wrapText="1"/>
    </xf>
    <xf numFmtId="14" fontId="7" fillId="6" borderId="12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14" fontId="7" fillId="6" borderId="14" xfId="0" applyNumberFormat="1" applyFont="1" applyFill="1" applyBorder="1" applyAlignment="1">
      <alignment horizontal="center" vertical="center" wrapText="1"/>
    </xf>
    <xf numFmtId="14" fontId="7" fillId="6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14" borderId="31" xfId="0" applyFont="1" applyFill="1" applyBorder="1" applyAlignment="1">
      <alignment horizontal="center" vertical="center"/>
    </xf>
    <xf numFmtId="0" fontId="8" fillId="14" borderId="30" xfId="0" applyFont="1" applyFill="1" applyBorder="1" applyAlignment="1">
      <alignment horizontal="center" vertical="center"/>
    </xf>
    <xf numFmtId="0" fontId="8" fillId="14" borderId="45" xfId="0" applyFont="1" applyFill="1" applyBorder="1" applyAlignment="1">
      <alignment horizontal="center" vertical="center"/>
    </xf>
    <xf numFmtId="0" fontId="8" fillId="14" borderId="43" xfId="0" applyFont="1" applyFill="1" applyBorder="1" applyAlignment="1">
      <alignment horizontal="center" vertical="center"/>
    </xf>
    <xf numFmtId="0" fontId="8" fillId="14" borderId="46" xfId="0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12" fillId="0" borderId="2" xfId="0" applyFont="1" applyBorder="1" applyAlignment="1">
      <alignment horizontal="left" vertical="center"/>
    </xf>
  </cellXfs>
  <cellStyles count="4">
    <cellStyle name="Moneda" xfId="1" builtinId="4"/>
    <cellStyle name="Moneda 2" xfId="2" xr:uid="{785C0213-B718-4B5D-B1E0-63E7A616EF73}"/>
    <cellStyle name="Moneda 3" xfId="3" xr:uid="{3269C0A6-AB81-41FB-AD9A-81E36417F1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8B23-C2E0-4625-A7F3-DD9016F12F4F}">
  <sheetPr>
    <pageSetUpPr fitToPage="1"/>
  </sheetPr>
  <dimension ref="A1:H50"/>
  <sheetViews>
    <sheetView topLeftCell="A33" workbookViewId="0">
      <selection sqref="A1:H50"/>
    </sheetView>
  </sheetViews>
  <sheetFormatPr baseColWidth="10" defaultRowHeight="15" x14ac:dyDescent="0.25"/>
  <cols>
    <col min="1" max="1" width="33.85546875" bestFit="1" customWidth="1"/>
    <col min="2" max="2" width="33.85546875" customWidth="1"/>
    <col min="5" max="5" width="11.85546875" bestFit="1" customWidth="1"/>
    <col min="6" max="6" width="19.28515625" customWidth="1"/>
    <col min="7" max="7" width="18.42578125" customWidth="1"/>
    <col min="8" max="8" width="19.28515625" bestFit="1" customWidth="1"/>
  </cols>
  <sheetData>
    <row r="1" spans="1:8" ht="18.75" x14ac:dyDescent="0.3">
      <c r="A1" s="147" t="s">
        <v>50</v>
      </c>
      <c r="B1" s="148"/>
      <c r="C1" s="148"/>
      <c r="D1" s="148"/>
      <c r="E1" s="148"/>
      <c r="F1" s="148"/>
      <c r="G1" s="148"/>
      <c r="H1" s="163"/>
    </row>
    <row r="2" spans="1:8" ht="18.75" x14ac:dyDescent="0.3">
      <c r="A2" s="149" t="s">
        <v>0</v>
      </c>
      <c r="B2" s="150"/>
      <c r="C2" s="150"/>
      <c r="D2" s="150"/>
      <c r="E2" s="150"/>
      <c r="F2" s="150"/>
      <c r="G2" s="150"/>
      <c r="H2" s="164"/>
    </row>
    <row r="3" spans="1:8" ht="18.75" x14ac:dyDescent="0.3">
      <c r="A3" s="149" t="s">
        <v>51</v>
      </c>
      <c r="B3" s="150"/>
      <c r="C3" s="150"/>
      <c r="D3" s="150"/>
      <c r="E3" s="150"/>
      <c r="F3" s="150"/>
      <c r="G3" s="150"/>
      <c r="H3" s="164"/>
    </row>
    <row r="4" spans="1:8" ht="18.75" x14ac:dyDescent="0.3">
      <c r="A4" s="149" t="s">
        <v>49</v>
      </c>
      <c r="B4" s="150"/>
      <c r="C4" s="150"/>
      <c r="D4" s="150"/>
      <c r="E4" s="150"/>
      <c r="F4" s="150"/>
      <c r="G4" s="150"/>
      <c r="H4" s="164"/>
    </row>
    <row r="5" spans="1:8" x14ac:dyDescent="0.25">
      <c r="A5" s="171" t="s">
        <v>1</v>
      </c>
      <c r="B5" s="1" t="s">
        <v>2</v>
      </c>
      <c r="C5" s="1">
        <v>13978</v>
      </c>
      <c r="D5" s="2">
        <v>13980</v>
      </c>
      <c r="E5" s="2">
        <v>13987</v>
      </c>
      <c r="F5" s="2">
        <v>13992</v>
      </c>
      <c r="G5" s="2" t="s">
        <v>54</v>
      </c>
      <c r="H5" s="22" t="s">
        <v>2</v>
      </c>
    </row>
    <row r="6" spans="1:8" x14ac:dyDescent="0.25">
      <c r="A6" s="172"/>
      <c r="B6" s="3">
        <v>46265</v>
      </c>
      <c r="C6" s="3">
        <v>46266</v>
      </c>
      <c r="D6" s="3">
        <v>46266</v>
      </c>
      <c r="E6" s="3">
        <v>46268</v>
      </c>
      <c r="F6" s="3">
        <v>46270</v>
      </c>
      <c r="G6" s="3"/>
      <c r="H6" s="23">
        <v>46295</v>
      </c>
    </row>
    <row r="7" spans="1:8" x14ac:dyDescent="0.25">
      <c r="A7" s="24" t="s">
        <v>3</v>
      </c>
      <c r="B7" s="7">
        <v>4</v>
      </c>
      <c r="C7" s="5"/>
      <c r="D7" s="6"/>
      <c r="E7" s="6"/>
      <c r="F7" s="6"/>
      <c r="G7" s="6"/>
      <c r="H7" s="25">
        <f t="shared" ref="H7:H19" si="0">SUM(B7:F7)</f>
        <v>4</v>
      </c>
    </row>
    <row r="8" spans="1:8" x14ac:dyDescent="0.25">
      <c r="A8" s="24" t="s">
        <v>4</v>
      </c>
      <c r="B8" s="7">
        <v>4</v>
      </c>
      <c r="C8" s="5"/>
      <c r="D8" s="6"/>
      <c r="E8" s="6"/>
      <c r="F8" s="6"/>
      <c r="G8" s="6"/>
      <c r="H8" s="25">
        <f t="shared" si="0"/>
        <v>4</v>
      </c>
    </row>
    <row r="9" spans="1:8" x14ac:dyDescent="0.25">
      <c r="A9" s="24" t="s">
        <v>5</v>
      </c>
      <c r="B9" s="7">
        <v>3</v>
      </c>
      <c r="C9" s="5"/>
      <c r="D9" s="6"/>
      <c r="E9" s="6"/>
      <c r="F9" s="6"/>
      <c r="G9" s="6"/>
      <c r="H9" s="25">
        <f t="shared" si="0"/>
        <v>3</v>
      </c>
    </row>
    <row r="10" spans="1:8" x14ac:dyDescent="0.25">
      <c r="A10" s="24" t="s">
        <v>6</v>
      </c>
      <c r="B10" s="7">
        <v>16</v>
      </c>
      <c r="C10" s="5"/>
      <c r="D10" s="6"/>
      <c r="E10" s="6">
        <v>-3</v>
      </c>
      <c r="F10" s="6"/>
      <c r="G10" s="6"/>
      <c r="H10" s="25">
        <f t="shared" si="0"/>
        <v>13</v>
      </c>
    </row>
    <row r="11" spans="1:8" x14ac:dyDescent="0.25">
      <c r="A11" s="24" t="s">
        <v>7</v>
      </c>
      <c r="B11" s="7">
        <v>12</v>
      </c>
      <c r="C11" s="5">
        <v>60</v>
      </c>
      <c r="D11" s="6">
        <v>38</v>
      </c>
      <c r="E11" s="6"/>
      <c r="F11" s="21">
        <v>6</v>
      </c>
      <c r="G11" s="6"/>
      <c r="H11" s="25">
        <f t="shared" si="0"/>
        <v>116</v>
      </c>
    </row>
    <row r="12" spans="1:8" x14ac:dyDescent="0.25">
      <c r="A12" s="24" t="s">
        <v>8</v>
      </c>
      <c r="B12" s="7">
        <v>400</v>
      </c>
      <c r="C12" s="5"/>
      <c r="D12" s="6"/>
      <c r="E12" s="6">
        <v>200</v>
      </c>
      <c r="F12" s="21">
        <v>150</v>
      </c>
      <c r="G12" s="6"/>
      <c r="H12" s="25">
        <f t="shared" si="0"/>
        <v>750</v>
      </c>
    </row>
    <row r="13" spans="1:8" x14ac:dyDescent="0.25">
      <c r="A13" s="24" t="s">
        <v>9</v>
      </c>
      <c r="B13" s="7">
        <v>2</v>
      </c>
      <c r="C13" s="5"/>
      <c r="D13" s="6"/>
      <c r="E13" s="6">
        <v>1</v>
      </c>
      <c r="F13" s="6"/>
      <c r="G13" s="6"/>
      <c r="H13" s="25">
        <f t="shared" si="0"/>
        <v>3</v>
      </c>
    </row>
    <row r="14" spans="1:8" x14ac:dyDescent="0.25">
      <c r="A14" s="24" t="s">
        <v>10</v>
      </c>
      <c r="B14" s="20"/>
      <c r="C14" s="5">
        <v>40</v>
      </c>
      <c r="D14" s="6"/>
      <c r="E14" s="6">
        <v>-5</v>
      </c>
      <c r="F14" s="21">
        <v>-1</v>
      </c>
      <c r="G14" s="6"/>
      <c r="H14" s="25">
        <f t="shared" si="0"/>
        <v>34</v>
      </c>
    </row>
    <row r="15" spans="1:8" x14ac:dyDescent="0.25">
      <c r="A15" s="24" t="s">
        <v>11</v>
      </c>
      <c r="B15" s="4"/>
      <c r="C15" s="5">
        <v>10</v>
      </c>
      <c r="D15" s="6">
        <v>60</v>
      </c>
      <c r="E15" s="21">
        <v>40</v>
      </c>
      <c r="F15" s="21">
        <v>1</v>
      </c>
      <c r="G15" s="6"/>
      <c r="H15" s="25">
        <f t="shared" si="0"/>
        <v>111</v>
      </c>
    </row>
    <row r="16" spans="1:8" x14ac:dyDescent="0.25">
      <c r="A16" s="24" t="s">
        <v>12</v>
      </c>
      <c r="B16" s="4"/>
      <c r="C16" s="5"/>
      <c r="D16" s="6"/>
      <c r="E16" s="21">
        <v>36</v>
      </c>
      <c r="F16" s="21">
        <v>18</v>
      </c>
      <c r="G16" s="6"/>
      <c r="H16" s="25">
        <f t="shared" si="0"/>
        <v>54</v>
      </c>
    </row>
    <row r="17" spans="1:8" x14ac:dyDescent="0.25">
      <c r="A17" s="24" t="s">
        <v>13</v>
      </c>
      <c r="B17" s="4"/>
      <c r="C17" s="5"/>
      <c r="D17" s="6"/>
      <c r="E17" s="21">
        <v>5</v>
      </c>
      <c r="F17" s="21">
        <v>-3</v>
      </c>
      <c r="G17" s="6"/>
      <c r="H17" s="25">
        <f t="shared" si="0"/>
        <v>2</v>
      </c>
    </row>
    <row r="18" spans="1:8" x14ac:dyDescent="0.25">
      <c r="A18" s="24" t="s">
        <v>14</v>
      </c>
      <c r="B18" s="13"/>
      <c r="C18" s="5"/>
      <c r="D18" s="6"/>
      <c r="E18" s="21">
        <v>5</v>
      </c>
      <c r="F18" s="6"/>
      <c r="G18" s="6"/>
      <c r="H18" s="25">
        <f t="shared" si="0"/>
        <v>5</v>
      </c>
    </row>
    <row r="19" spans="1:8" x14ac:dyDescent="0.25">
      <c r="A19" s="24" t="s">
        <v>15</v>
      </c>
      <c r="B19" s="13"/>
      <c r="C19" s="5"/>
      <c r="D19" s="6"/>
      <c r="E19" s="6">
        <v>2</v>
      </c>
      <c r="F19" s="6"/>
      <c r="G19" s="6"/>
      <c r="H19" s="25">
        <f t="shared" si="0"/>
        <v>2</v>
      </c>
    </row>
    <row r="20" spans="1:8" x14ac:dyDescent="0.25">
      <c r="A20" s="26" t="s">
        <v>16</v>
      </c>
      <c r="B20" s="8"/>
      <c r="C20" s="9">
        <v>0.46527777777777779</v>
      </c>
      <c r="D20" s="10"/>
      <c r="E20" s="11">
        <v>0.33333333333333331</v>
      </c>
      <c r="F20" s="10">
        <v>0.35416666666666669</v>
      </c>
      <c r="G20" s="10"/>
      <c r="H20" s="27">
        <f>SUM(C20:F20)</f>
        <v>1.1527777777777779</v>
      </c>
    </row>
    <row r="21" spans="1:8" ht="15.75" thickBot="1" x14ac:dyDescent="0.3">
      <c r="A21" s="28" t="s">
        <v>17</v>
      </c>
      <c r="B21" s="29"/>
      <c r="C21" s="30">
        <v>90000</v>
      </c>
      <c r="D21" s="30">
        <v>90000</v>
      </c>
      <c r="E21" s="30">
        <v>70000</v>
      </c>
      <c r="F21" s="30">
        <v>50000</v>
      </c>
      <c r="G21" s="30">
        <v>300000</v>
      </c>
      <c r="H21" s="31">
        <f>SUM(C21:G21)</f>
        <v>600000</v>
      </c>
    </row>
    <row r="22" spans="1:8" ht="15.75" thickBot="1" x14ac:dyDescent="0.3"/>
    <row r="23" spans="1:8" ht="18" customHeight="1" x14ac:dyDescent="0.25">
      <c r="A23" s="168" t="s">
        <v>18</v>
      </c>
      <c r="B23" s="169"/>
      <c r="C23" s="169"/>
      <c r="D23" s="169"/>
      <c r="E23" s="169"/>
      <c r="F23" s="169"/>
      <c r="G23" s="170"/>
    </row>
    <row r="24" spans="1:8" ht="18" x14ac:dyDescent="0.25">
      <c r="A24" s="157" t="s">
        <v>19</v>
      </c>
      <c r="B24" s="158"/>
      <c r="C24" s="158"/>
      <c r="D24" s="158"/>
      <c r="E24" s="158"/>
      <c r="F24" s="158"/>
      <c r="G24" s="159"/>
    </row>
    <row r="25" spans="1:8" ht="18" x14ac:dyDescent="0.25">
      <c r="A25" s="157" t="s">
        <v>20</v>
      </c>
      <c r="B25" s="158"/>
      <c r="C25" s="158"/>
      <c r="D25" s="158"/>
      <c r="E25" s="158"/>
      <c r="F25" s="158"/>
      <c r="G25" s="159"/>
    </row>
    <row r="26" spans="1:8" x14ac:dyDescent="0.25">
      <c r="A26" s="134" t="s">
        <v>1</v>
      </c>
      <c r="B26" s="135" t="s">
        <v>21</v>
      </c>
      <c r="C26" s="135"/>
      <c r="D26" s="135"/>
      <c r="E26" s="135" t="s">
        <v>22</v>
      </c>
      <c r="F26" s="135"/>
      <c r="G26" s="173" t="s">
        <v>47</v>
      </c>
    </row>
    <row r="27" spans="1:8" x14ac:dyDescent="0.25">
      <c r="A27" s="134"/>
      <c r="B27" s="12" t="s">
        <v>23</v>
      </c>
      <c r="C27" s="12" t="s">
        <v>24</v>
      </c>
      <c r="D27" s="12" t="s">
        <v>25</v>
      </c>
      <c r="E27" s="12" t="s">
        <v>26</v>
      </c>
      <c r="F27" s="12" t="s">
        <v>27</v>
      </c>
      <c r="G27" s="173"/>
    </row>
    <row r="28" spans="1:8" x14ac:dyDescent="0.25">
      <c r="A28" s="32" t="s">
        <v>29</v>
      </c>
      <c r="B28" s="14">
        <v>20</v>
      </c>
      <c r="C28" s="15">
        <v>2</v>
      </c>
      <c r="D28" s="16">
        <v>1500</v>
      </c>
      <c r="E28" s="17">
        <f>C28*D28</f>
        <v>3000</v>
      </c>
      <c r="F28" s="17">
        <f>B28*E28</f>
        <v>60000</v>
      </c>
      <c r="G28" s="33" t="s">
        <v>32</v>
      </c>
    </row>
    <row r="29" spans="1:8" x14ac:dyDescent="0.25">
      <c r="A29" s="32" t="s">
        <v>30</v>
      </c>
      <c r="B29" s="14">
        <v>20</v>
      </c>
      <c r="C29" s="15">
        <v>3</v>
      </c>
      <c r="D29" s="16">
        <v>1000</v>
      </c>
      <c r="E29" s="17">
        <f t="shared" ref="E29:E46" si="1">C29*D29</f>
        <v>3000</v>
      </c>
      <c r="F29" s="17">
        <f t="shared" ref="F29:F46" si="2">B29*E29</f>
        <v>60000</v>
      </c>
      <c r="G29" s="33" t="s">
        <v>32</v>
      </c>
    </row>
    <row r="30" spans="1:8" x14ac:dyDescent="0.25">
      <c r="A30" s="32" t="s">
        <v>6</v>
      </c>
      <c r="B30" s="14">
        <v>20</v>
      </c>
      <c r="C30" s="15">
        <v>13</v>
      </c>
      <c r="D30" s="16">
        <v>380</v>
      </c>
      <c r="E30" s="17">
        <f t="shared" si="1"/>
        <v>4940</v>
      </c>
      <c r="F30" s="17">
        <f t="shared" si="2"/>
        <v>98800</v>
      </c>
      <c r="G30" s="33" t="s">
        <v>32</v>
      </c>
    </row>
    <row r="31" spans="1:8" x14ac:dyDescent="0.25">
      <c r="A31" s="32" t="s">
        <v>13</v>
      </c>
      <c r="B31" s="14">
        <v>18</v>
      </c>
      <c r="C31" s="15">
        <v>2</v>
      </c>
      <c r="D31" s="16">
        <v>290</v>
      </c>
      <c r="E31" s="17">
        <f t="shared" si="1"/>
        <v>580</v>
      </c>
      <c r="F31" s="17">
        <f t="shared" si="2"/>
        <v>10440</v>
      </c>
      <c r="G31" s="33" t="s">
        <v>33</v>
      </c>
    </row>
    <row r="32" spans="1:8" x14ac:dyDescent="0.25">
      <c r="A32" s="32" t="s">
        <v>28</v>
      </c>
      <c r="B32" s="14">
        <v>20</v>
      </c>
      <c r="C32" s="15">
        <v>110</v>
      </c>
      <c r="D32" s="16">
        <v>200</v>
      </c>
      <c r="E32" s="17">
        <f t="shared" si="1"/>
        <v>22000</v>
      </c>
      <c r="F32" s="17">
        <f t="shared" si="2"/>
        <v>440000</v>
      </c>
      <c r="G32" s="33" t="s">
        <v>32</v>
      </c>
    </row>
    <row r="33" spans="1:7" x14ac:dyDescent="0.25">
      <c r="A33" s="32" t="s">
        <v>28</v>
      </c>
      <c r="B33" s="14">
        <v>16</v>
      </c>
      <c r="C33" s="15">
        <v>6</v>
      </c>
      <c r="D33" s="16">
        <v>200</v>
      </c>
      <c r="E33" s="17">
        <f t="shared" si="1"/>
        <v>1200</v>
      </c>
      <c r="F33" s="17">
        <f t="shared" si="2"/>
        <v>19200</v>
      </c>
      <c r="G33" s="33" t="s">
        <v>34</v>
      </c>
    </row>
    <row r="34" spans="1:7" x14ac:dyDescent="0.25">
      <c r="A34" s="32" t="s">
        <v>8</v>
      </c>
      <c r="B34" s="14">
        <v>20</v>
      </c>
      <c r="C34" s="15">
        <v>400</v>
      </c>
      <c r="D34" s="16">
        <v>28</v>
      </c>
      <c r="E34" s="17">
        <f t="shared" si="1"/>
        <v>11200</v>
      </c>
      <c r="F34" s="17">
        <f t="shared" si="2"/>
        <v>224000</v>
      </c>
      <c r="G34" s="33" t="s">
        <v>32</v>
      </c>
    </row>
    <row r="35" spans="1:7" x14ac:dyDescent="0.25">
      <c r="A35" s="32" t="s">
        <v>8</v>
      </c>
      <c r="B35" s="14">
        <v>18</v>
      </c>
      <c r="C35" s="15">
        <v>200</v>
      </c>
      <c r="D35" s="16">
        <v>28</v>
      </c>
      <c r="E35" s="17">
        <f t="shared" si="1"/>
        <v>5600</v>
      </c>
      <c r="F35" s="17">
        <f t="shared" si="2"/>
        <v>100800</v>
      </c>
      <c r="G35" s="33" t="s">
        <v>33</v>
      </c>
    </row>
    <row r="36" spans="1:7" x14ac:dyDescent="0.25">
      <c r="A36" s="32" t="s">
        <v>8</v>
      </c>
      <c r="B36" s="14">
        <v>16</v>
      </c>
      <c r="C36" s="15">
        <v>150</v>
      </c>
      <c r="D36" s="16">
        <v>28</v>
      </c>
      <c r="E36" s="17">
        <f t="shared" si="1"/>
        <v>4200</v>
      </c>
      <c r="F36" s="17">
        <f t="shared" si="2"/>
        <v>67200</v>
      </c>
      <c r="G36" s="33" t="s">
        <v>35</v>
      </c>
    </row>
    <row r="37" spans="1:7" x14ac:dyDescent="0.25">
      <c r="A37" s="32" t="s">
        <v>36</v>
      </c>
      <c r="B37" s="14">
        <v>2</v>
      </c>
      <c r="C37" s="15">
        <v>40</v>
      </c>
      <c r="D37" s="16">
        <v>200</v>
      </c>
      <c r="E37" s="17">
        <f t="shared" si="1"/>
        <v>8000</v>
      </c>
      <c r="F37" s="17">
        <f t="shared" si="2"/>
        <v>16000</v>
      </c>
      <c r="G37" s="33" t="s">
        <v>32</v>
      </c>
    </row>
    <row r="38" spans="1:7" x14ac:dyDescent="0.25">
      <c r="A38" s="32" t="s">
        <v>36</v>
      </c>
      <c r="B38" s="14">
        <v>2</v>
      </c>
      <c r="C38" s="15">
        <v>35</v>
      </c>
      <c r="D38" s="16">
        <v>200</v>
      </c>
      <c r="E38" s="17">
        <f t="shared" si="1"/>
        <v>7000</v>
      </c>
      <c r="F38" s="17">
        <f t="shared" si="2"/>
        <v>14000</v>
      </c>
      <c r="G38" s="33" t="s">
        <v>37</v>
      </c>
    </row>
    <row r="39" spans="1:7" x14ac:dyDescent="0.25">
      <c r="A39" s="32" t="s">
        <v>36</v>
      </c>
      <c r="B39" s="14">
        <v>26</v>
      </c>
      <c r="C39" s="15">
        <v>34</v>
      </c>
      <c r="D39" s="16">
        <v>200</v>
      </c>
      <c r="E39" s="17">
        <f t="shared" si="1"/>
        <v>6800</v>
      </c>
      <c r="F39" s="17">
        <f t="shared" si="2"/>
        <v>176800</v>
      </c>
      <c r="G39" s="33" t="s">
        <v>38</v>
      </c>
    </row>
    <row r="40" spans="1:7" x14ac:dyDescent="0.25">
      <c r="A40" s="32" t="s">
        <v>39</v>
      </c>
      <c r="B40" s="14">
        <v>20</v>
      </c>
      <c r="C40" s="15">
        <v>70</v>
      </c>
      <c r="D40" s="16">
        <v>450</v>
      </c>
      <c r="E40" s="17">
        <f t="shared" si="1"/>
        <v>31500</v>
      </c>
      <c r="F40" s="17">
        <f t="shared" si="2"/>
        <v>630000</v>
      </c>
      <c r="G40" s="33" t="s">
        <v>32</v>
      </c>
    </row>
    <row r="41" spans="1:7" x14ac:dyDescent="0.25">
      <c r="A41" s="32" t="s">
        <v>39</v>
      </c>
      <c r="B41" s="14">
        <v>18</v>
      </c>
      <c r="C41" s="15">
        <v>40</v>
      </c>
      <c r="D41" s="16">
        <v>450</v>
      </c>
      <c r="E41" s="17">
        <f t="shared" si="1"/>
        <v>18000</v>
      </c>
      <c r="F41" s="17">
        <f t="shared" si="2"/>
        <v>324000</v>
      </c>
      <c r="G41" s="33" t="s">
        <v>40</v>
      </c>
    </row>
    <row r="42" spans="1:7" x14ac:dyDescent="0.25">
      <c r="A42" s="32" t="s">
        <v>39</v>
      </c>
      <c r="B42" s="14">
        <v>16</v>
      </c>
      <c r="C42" s="15">
        <v>1</v>
      </c>
      <c r="D42" s="16">
        <v>450</v>
      </c>
      <c r="E42" s="17">
        <f t="shared" si="1"/>
        <v>450</v>
      </c>
      <c r="F42" s="17">
        <f t="shared" si="2"/>
        <v>7200</v>
      </c>
      <c r="G42" s="33" t="s">
        <v>41</v>
      </c>
    </row>
    <row r="43" spans="1:7" x14ac:dyDescent="0.25">
      <c r="A43" s="32" t="s">
        <v>42</v>
      </c>
      <c r="B43" s="14">
        <v>18</v>
      </c>
      <c r="C43" s="15">
        <v>36</v>
      </c>
      <c r="D43" s="16">
        <v>320</v>
      </c>
      <c r="E43" s="17">
        <f t="shared" si="1"/>
        <v>11520</v>
      </c>
      <c r="F43" s="17">
        <f t="shared" si="2"/>
        <v>207360</v>
      </c>
      <c r="G43" s="33" t="s">
        <v>43</v>
      </c>
    </row>
    <row r="44" spans="1:7" x14ac:dyDescent="0.25">
      <c r="A44" s="32" t="s">
        <v>42</v>
      </c>
      <c r="B44" s="14">
        <v>16</v>
      </c>
      <c r="C44" s="15">
        <v>18</v>
      </c>
      <c r="D44" s="16">
        <v>320</v>
      </c>
      <c r="E44" s="17">
        <f t="shared" si="1"/>
        <v>5760</v>
      </c>
      <c r="F44" s="17">
        <f t="shared" si="2"/>
        <v>92160</v>
      </c>
      <c r="G44" s="33" t="s">
        <v>44</v>
      </c>
    </row>
    <row r="45" spans="1:7" x14ac:dyDescent="0.25">
      <c r="A45" s="32" t="s">
        <v>45</v>
      </c>
      <c r="B45" s="14">
        <v>18</v>
      </c>
      <c r="C45" s="15">
        <v>5</v>
      </c>
      <c r="D45" s="16">
        <v>360</v>
      </c>
      <c r="E45" s="17">
        <f t="shared" si="1"/>
        <v>1800</v>
      </c>
      <c r="F45" s="17">
        <f t="shared" si="2"/>
        <v>32400</v>
      </c>
      <c r="G45" s="33" t="s">
        <v>43</v>
      </c>
    </row>
    <row r="46" spans="1:7" x14ac:dyDescent="0.25">
      <c r="A46" s="32" t="s">
        <v>46</v>
      </c>
      <c r="B46" s="14">
        <v>18</v>
      </c>
      <c r="C46" s="15">
        <v>2</v>
      </c>
      <c r="D46" s="16">
        <v>320</v>
      </c>
      <c r="E46" s="17">
        <f t="shared" si="1"/>
        <v>640</v>
      </c>
      <c r="F46" s="17">
        <f t="shared" si="2"/>
        <v>11520</v>
      </c>
      <c r="G46" s="33" t="s">
        <v>43</v>
      </c>
    </row>
    <row r="47" spans="1:7" ht="18.75" x14ac:dyDescent="0.4">
      <c r="A47" s="160" t="s">
        <v>32</v>
      </c>
      <c r="B47" s="161"/>
      <c r="C47" s="161"/>
      <c r="D47" s="162" t="s">
        <v>31</v>
      </c>
      <c r="E47" s="162"/>
      <c r="F47" s="18">
        <f>SUM(F28:F46)</f>
        <v>2591880</v>
      </c>
      <c r="G47" s="165"/>
    </row>
    <row r="48" spans="1:7" ht="18.75" x14ac:dyDescent="0.4">
      <c r="A48" s="160"/>
      <c r="B48" s="161"/>
      <c r="C48" s="161"/>
      <c r="D48" s="162" t="s">
        <v>48</v>
      </c>
      <c r="E48" s="162"/>
      <c r="F48" s="19">
        <v>600000</v>
      </c>
      <c r="G48" s="166"/>
    </row>
    <row r="49" spans="1:7" ht="19.5" thickBot="1" x14ac:dyDescent="0.45">
      <c r="A49" s="139"/>
      <c r="B49" s="140"/>
      <c r="C49" s="140"/>
      <c r="D49" s="141" t="s">
        <v>31</v>
      </c>
      <c r="E49" s="141"/>
      <c r="F49" s="36">
        <f>F47+F48</f>
        <v>3191880</v>
      </c>
      <c r="G49" s="167"/>
    </row>
    <row r="50" spans="1:7" x14ac:dyDescent="0.25">
      <c r="A50" t="s">
        <v>52</v>
      </c>
      <c r="C50" t="s">
        <v>53</v>
      </c>
    </row>
  </sheetData>
  <mergeCells count="17">
    <mergeCell ref="G26:G27"/>
    <mergeCell ref="A47:C49"/>
    <mergeCell ref="D47:E47"/>
    <mergeCell ref="D48:E48"/>
    <mergeCell ref="D49:E49"/>
    <mergeCell ref="A1:H1"/>
    <mergeCell ref="A2:H2"/>
    <mergeCell ref="A3:H3"/>
    <mergeCell ref="A4:H4"/>
    <mergeCell ref="G47:G49"/>
    <mergeCell ref="A23:G23"/>
    <mergeCell ref="A24:G24"/>
    <mergeCell ref="A25:G25"/>
    <mergeCell ref="A5:A6"/>
    <mergeCell ref="A26:A27"/>
    <mergeCell ref="B26:D26"/>
    <mergeCell ref="E26:F26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9C0D-3DB4-49AC-9558-958C49159E20}">
  <sheetPr>
    <pageSetUpPr fitToPage="1"/>
  </sheetPr>
  <dimension ref="A1:H38"/>
  <sheetViews>
    <sheetView topLeftCell="A14" workbookViewId="0">
      <selection sqref="A1:F38"/>
    </sheetView>
  </sheetViews>
  <sheetFormatPr baseColWidth="10" defaultRowHeight="15" x14ac:dyDescent="0.25"/>
  <cols>
    <col min="1" max="1" width="21.7109375" bestFit="1" customWidth="1"/>
    <col min="5" max="5" width="16.7109375" bestFit="1" customWidth="1"/>
  </cols>
  <sheetData>
    <row r="1" spans="1:8" ht="18.75" x14ac:dyDescent="0.3">
      <c r="A1" s="174" t="s">
        <v>63</v>
      </c>
      <c r="B1" s="174"/>
      <c r="C1" s="174"/>
      <c r="D1" s="174"/>
      <c r="E1" s="174"/>
      <c r="F1" s="174"/>
    </row>
    <row r="2" spans="1:8" ht="18.75" x14ac:dyDescent="0.3">
      <c r="A2" s="174" t="s">
        <v>64</v>
      </c>
      <c r="B2" s="174"/>
      <c r="C2" s="174"/>
      <c r="D2" s="174"/>
      <c r="E2" s="174"/>
      <c r="F2" s="174"/>
    </row>
    <row r="3" spans="1:8" ht="18.75" x14ac:dyDescent="0.3">
      <c r="A3" s="174" t="s">
        <v>70</v>
      </c>
      <c r="B3" s="174"/>
      <c r="C3" s="174"/>
      <c r="D3" s="174"/>
      <c r="E3" s="174"/>
      <c r="F3" s="174"/>
    </row>
    <row r="4" spans="1:8" x14ac:dyDescent="0.25">
      <c r="A4" s="51" t="s">
        <v>1</v>
      </c>
      <c r="B4" s="52">
        <v>13959</v>
      </c>
      <c r="C4" s="52">
        <v>13960</v>
      </c>
      <c r="D4" s="52">
        <v>13964</v>
      </c>
      <c r="E4" s="52"/>
      <c r="F4" s="53" t="s">
        <v>65</v>
      </c>
    </row>
    <row r="5" spans="1:8" x14ac:dyDescent="0.25">
      <c r="A5" s="54"/>
      <c r="B5" s="3">
        <v>46258</v>
      </c>
      <c r="C5" s="3">
        <v>46259</v>
      </c>
      <c r="D5" s="3">
        <v>46259</v>
      </c>
      <c r="E5" s="3">
        <v>46273</v>
      </c>
      <c r="F5" s="55">
        <v>46265</v>
      </c>
    </row>
    <row r="6" spans="1:8" x14ac:dyDescent="0.25">
      <c r="A6" s="56" t="s">
        <v>11</v>
      </c>
      <c r="B6" s="57">
        <v>2</v>
      </c>
      <c r="C6" s="58">
        <v>84</v>
      </c>
      <c r="D6" s="57">
        <v>9</v>
      </c>
      <c r="E6" s="57"/>
      <c r="F6" s="7">
        <f>SUM(B6:D6)</f>
        <v>95</v>
      </c>
      <c r="G6" s="62">
        <v>26</v>
      </c>
      <c r="H6">
        <f>F6*G6</f>
        <v>2470</v>
      </c>
    </row>
    <row r="7" spans="1:8" x14ac:dyDescent="0.25">
      <c r="A7" s="56" t="s">
        <v>61</v>
      </c>
      <c r="B7" s="57"/>
      <c r="C7" s="58">
        <v>200</v>
      </c>
      <c r="D7" s="57">
        <v>300</v>
      </c>
      <c r="E7" s="57"/>
      <c r="F7" s="7">
        <f t="shared" ref="F7:F15" si="0">SUM(B7:D7)</f>
        <v>500</v>
      </c>
      <c r="G7">
        <v>0.2</v>
      </c>
      <c r="H7">
        <f t="shared" ref="H7:H15" si="1">F7*G7</f>
        <v>100</v>
      </c>
    </row>
    <row r="8" spans="1:8" x14ac:dyDescent="0.25">
      <c r="A8" s="56" t="s">
        <v>10</v>
      </c>
      <c r="B8" s="57">
        <v>26</v>
      </c>
      <c r="C8" s="58"/>
      <c r="D8" s="57"/>
      <c r="E8" s="57"/>
      <c r="F8" s="7">
        <f t="shared" si="0"/>
        <v>26</v>
      </c>
      <c r="G8">
        <v>29</v>
      </c>
      <c r="H8">
        <f t="shared" si="1"/>
        <v>754</v>
      </c>
    </row>
    <row r="9" spans="1:8" x14ac:dyDescent="0.25">
      <c r="A9" s="56" t="s">
        <v>7</v>
      </c>
      <c r="B9" s="57">
        <v>90</v>
      </c>
      <c r="C9" s="58"/>
      <c r="D9" s="57"/>
      <c r="E9" s="57"/>
      <c r="F9" s="7">
        <f t="shared" si="0"/>
        <v>90</v>
      </c>
      <c r="G9">
        <v>13.5</v>
      </c>
      <c r="H9">
        <f t="shared" si="1"/>
        <v>1215</v>
      </c>
    </row>
    <row r="10" spans="1:8" x14ac:dyDescent="0.25">
      <c r="A10" s="56" t="s">
        <v>13</v>
      </c>
      <c r="B10" s="57"/>
      <c r="C10" s="58"/>
      <c r="D10" s="57">
        <v>7</v>
      </c>
      <c r="E10" s="57"/>
      <c r="F10" s="7">
        <f t="shared" si="0"/>
        <v>7</v>
      </c>
      <c r="G10">
        <v>7</v>
      </c>
      <c r="H10">
        <f t="shared" si="1"/>
        <v>49</v>
      </c>
    </row>
    <row r="11" spans="1:8" x14ac:dyDescent="0.25">
      <c r="A11" s="56" t="s">
        <v>66</v>
      </c>
      <c r="B11" s="57"/>
      <c r="C11" s="58"/>
      <c r="D11" s="57">
        <v>1</v>
      </c>
      <c r="E11" s="57"/>
      <c r="F11" s="7">
        <f t="shared" si="0"/>
        <v>1</v>
      </c>
      <c r="G11">
        <v>1</v>
      </c>
      <c r="H11">
        <f t="shared" si="1"/>
        <v>1</v>
      </c>
    </row>
    <row r="12" spans="1:8" x14ac:dyDescent="0.25">
      <c r="A12" s="56" t="s">
        <v>67</v>
      </c>
      <c r="B12" s="57"/>
      <c r="C12" s="58"/>
      <c r="D12" s="57">
        <v>13</v>
      </c>
      <c r="E12" s="57"/>
      <c r="F12" s="7">
        <f t="shared" si="0"/>
        <v>13</v>
      </c>
      <c r="G12">
        <v>6</v>
      </c>
      <c r="H12">
        <f t="shared" si="1"/>
        <v>78</v>
      </c>
    </row>
    <row r="13" spans="1:8" x14ac:dyDescent="0.25">
      <c r="A13" s="56" t="s">
        <v>14</v>
      </c>
      <c r="B13" s="57"/>
      <c r="C13" s="58"/>
      <c r="D13" s="57">
        <v>15</v>
      </c>
      <c r="E13" s="57"/>
      <c r="F13" s="7">
        <f t="shared" si="0"/>
        <v>15</v>
      </c>
      <c r="G13">
        <v>13.5</v>
      </c>
      <c r="H13">
        <f t="shared" si="1"/>
        <v>202.5</v>
      </c>
    </row>
    <row r="14" spans="1:8" x14ac:dyDescent="0.25">
      <c r="A14" s="56" t="s">
        <v>6</v>
      </c>
      <c r="B14" s="57"/>
      <c r="C14" s="58"/>
      <c r="D14" s="57">
        <v>6</v>
      </c>
      <c r="E14" s="57"/>
      <c r="F14" s="7">
        <f t="shared" si="0"/>
        <v>6</v>
      </c>
      <c r="G14">
        <v>15.5</v>
      </c>
      <c r="H14">
        <f t="shared" si="1"/>
        <v>93</v>
      </c>
    </row>
    <row r="15" spans="1:8" x14ac:dyDescent="0.25">
      <c r="A15" s="56" t="s">
        <v>58</v>
      </c>
      <c r="B15" s="57"/>
      <c r="C15" s="58"/>
      <c r="D15" s="57">
        <v>10</v>
      </c>
      <c r="E15" s="57"/>
      <c r="F15" s="7">
        <f t="shared" si="0"/>
        <v>10</v>
      </c>
      <c r="G15">
        <v>21</v>
      </c>
      <c r="H15">
        <f t="shared" si="1"/>
        <v>210</v>
      </c>
    </row>
    <row r="16" spans="1:8" x14ac:dyDescent="0.25">
      <c r="A16" s="54" t="s">
        <v>68</v>
      </c>
      <c r="B16" s="9">
        <v>8.3333333333333329E-2</v>
      </c>
      <c r="C16" s="10">
        <v>0.1111111111111111</v>
      </c>
      <c r="D16" s="9">
        <v>0.4375</v>
      </c>
      <c r="E16" s="9" t="s">
        <v>71</v>
      </c>
      <c r="F16" s="2">
        <f t="shared" ref="F16" si="2">SUM(D16)</f>
        <v>0.4375</v>
      </c>
    </row>
    <row r="17" spans="1:8" x14ac:dyDescent="0.25">
      <c r="A17" s="54" t="s">
        <v>69</v>
      </c>
      <c r="B17" s="59">
        <v>100000</v>
      </c>
      <c r="C17" s="60">
        <v>100000</v>
      </c>
      <c r="D17" s="59">
        <v>75000</v>
      </c>
      <c r="E17" s="59">
        <v>275000</v>
      </c>
      <c r="F17" s="61">
        <f>SUM(B17:E17)</f>
        <v>550000</v>
      </c>
      <c r="H17">
        <f>SUM(H6:H16)</f>
        <v>5172.5</v>
      </c>
    </row>
    <row r="19" spans="1:8" ht="15.75" thickBot="1" x14ac:dyDescent="0.3"/>
    <row r="20" spans="1:8" ht="15.75" thickBot="1" x14ac:dyDescent="0.3">
      <c r="A20" s="175" t="s">
        <v>55</v>
      </c>
      <c r="B20" s="176"/>
      <c r="C20" s="176"/>
      <c r="D20" s="176"/>
      <c r="E20" s="176"/>
      <c r="F20" s="176"/>
    </row>
    <row r="21" spans="1:8" x14ac:dyDescent="0.25">
      <c r="A21" s="175" t="s">
        <v>56</v>
      </c>
      <c r="B21" s="176"/>
      <c r="C21" s="176"/>
      <c r="D21" s="176"/>
      <c r="E21" s="176"/>
      <c r="F21" s="176"/>
    </row>
    <row r="22" spans="1:8" ht="18" x14ac:dyDescent="0.25">
      <c r="A22" s="157" t="s">
        <v>57</v>
      </c>
      <c r="B22" s="158"/>
      <c r="C22" s="158"/>
      <c r="D22" s="158"/>
      <c r="E22" s="158"/>
      <c r="F22" s="177"/>
    </row>
    <row r="23" spans="1:8" x14ac:dyDescent="0.25">
      <c r="A23" s="134" t="s">
        <v>1</v>
      </c>
      <c r="B23" s="135" t="s">
        <v>21</v>
      </c>
      <c r="C23" s="135"/>
      <c r="D23" s="135"/>
      <c r="E23" s="135" t="s">
        <v>22</v>
      </c>
      <c r="F23" s="136"/>
    </row>
    <row r="24" spans="1:8" x14ac:dyDescent="0.25">
      <c r="A24" s="134"/>
      <c r="B24" s="12" t="s">
        <v>23</v>
      </c>
      <c r="C24" s="12" t="s">
        <v>24</v>
      </c>
      <c r="D24" s="12" t="s">
        <v>25</v>
      </c>
      <c r="E24" s="12" t="s">
        <v>26</v>
      </c>
      <c r="F24" s="38" t="s">
        <v>27</v>
      </c>
    </row>
    <row r="25" spans="1:8" x14ac:dyDescent="0.25">
      <c r="A25" s="32" t="s">
        <v>11</v>
      </c>
      <c r="B25" s="39">
        <v>15</v>
      </c>
      <c r="C25" s="40">
        <v>95</v>
      </c>
      <c r="D25" s="41">
        <v>450</v>
      </c>
      <c r="E25" s="17">
        <f t="shared" ref="E25:E32" si="3">C25*D25</f>
        <v>42750</v>
      </c>
      <c r="F25" s="42">
        <f t="shared" ref="F25:F32" si="4">B25*E25</f>
        <v>641250</v>
      </c>
    </row>
    <row r="26" spans="1:8" x14ac:dyDescent="0.25">
      <c r="A26" s="32" t="s">
        <v>58</v>
      </c>
      <c r="B26" s="39">
        <v>15</v>
      </c>
      <c r="C26" s="40">
        <v>10</v>
      </c>
      <c r="D26" s="41">
        <v>400</v>
      </c>
      <c r="E26" s="17">
        <f t="shared" si="3"/>
        <v>4000</v>
      </c>
      <c r="F26" s="42">
        <f t="shared" si="4"/>
        <v>60000</v>
      </c>
    </row>
    <row r="27" spans="1:8" x14ac:dyDescent="0.25">
      <c r="A27" s="43" t="s">
        <v>6</v>
      </c>
      <c r="B27" s="44">
        <v>15</v>
      </c>
      <c r="C27" s="45">
        <v>6</v>
      </c>
      <c r="D27" s="46">
        <v>350</v>
      </c>
      <c r="E27" s="17">
        <f t="shared" si="3"/>
        <v>2100</v>
      </c>
      <c r="F27" s="42">
        <f t="shared" si="4"/>
        <v>31500</v>
      </c>
    </row>
    <row r="28" spans="1:8" x14ac:dyDescent="0.25">
      <c r="A28" s="43" t="s">
        <v>14</v>
      </c>
      <c r="B28" s="44">
        <v>15</v>
      </c>
      <c r="C28" s="45">
        <v>15</v>
      </c>
      <c r="D28" s="46">
        <v>320</v>
      </c>
      <c r="E28" s="17">
        <f t="shared" si="3"/>
        <v>4800</v>
      </c>
      <c r="F28" s="42">
        <f t="shared" si="4"/>
        <v>72000</v>
      </c>
    </row>
    <row r="29" spans="1:8" x14ac:dyDescent="0.25">
      <c r="A29" s="43" t="s">
        <v>59</v>
      </c>
      <c r="B29" s="44">
        <v>15</v>
      </c>
      <c r="C29" s="45">
        <v>20</v>
      </c>
      <c r="D29" s="46">
        <v>250</v>
      </c>
      <c r="E29" s="17">
        <f t="shared" si="3"/>
        <v>5000</v>
      </c>
      <c r="F29" s="42">
        <f t="shared" si="4"/>
        <v>75000</v>
      </c>
    </row>
    <row r="30" spans="1:8" x14ac:dyDescent="0.25">
      <c r="A30" s="43" t="s">
        <v>36</v>
      </c>
      <c r="B30" s="44">
        <v>15</v>
      </c>
      <c r="C30" s="45">
        <v>26</v>
      </c>
      <c r="D30" s="46">
        <v>200</v>
      </c>
      <c r="E30" s="17">
        <f t="shared" si="3"/>
        <v>5200</v>
      </c>
      <c r="F30" s="42">
        <f t="shared" si="4"/>
        <v>78000</v>
      </c>
    </row>
    <row r="31" spans="1:8" x14ac:dyDescent="0.25">
      <c r="A31" s="43" t="s">
        <v>60</v>
      </c>
      <c r="B31" s="44">
        <v>15</v>
      </c>
      <c r="C31" s="45">
        <v>90</v>
      </c>
      <c r="D31" s="46">
        <v>200</v>
      </c>
      <c r="E31" s="17">
        <f t="shared" si="3"/>
        <v>18000</v>
      </c>
      <c r="F31" s="42">
        <f t="shared" si="4"/>
        <v>270000</v>
      </c>
    </row>
    <row r="32" spans="1:8" x14ac:dyDescent="0.25">
      <c r="A32" s="43" t="s">
        <v>61</v>
      </c>
      <c r="B32" s="44">
        <v>15</v>
      </c>
      <c r="C32" s="45">
        <v>500</v>
      </c>
      <c r="D32" s="46">
        <v>28</v>
      </c>
      <c r="E32" s="17">
        <f t="shared" si="3"/>
        <v>14000</v>
      </c>
      <c r="F32" s="42">
        <f t="shared" si="4"/>
        <v>210000</v>
      </c>
    </row>
    <row r="33" spans="1:6" ht="18.75" x14ac:dyDescent="0.4">
      <c r="A33" s="160" t="s">
        <v>72</v>
      </c>
      <c r="B33" s="161"/>
      <c r="C33" s="162" t="s">
        <v>62</v>
      </c>
      <c r="D33" s="162"/>
      <c r="E33" s="47">
        <f>SUM(E25:E32)</f>
        <v>95850</v>
      </c>
      <c r="F33" s="34"/>
    </row>
    <row r="34" spans="1:6" ht="19.5" thickBot="1" x14ac:dyDescent="0.45">
      <c r="A34" s="137"/>
      <c r="B34" s="138"/>
      <c r="C34" s="141" t="s">
        <v>31</v>
      </c>
      <c r="D34" s="141"/>
      <c r="E34" s="48">
        <f>SUM(F25:F32)</f>
        <v>1437750</v>
      </c>
      <c r="F34" s="35"/>
    </row>
    <row r="35" spans="1:6" ht="18.75" x14ac:dyDescent="0.4">
      <c r="A35" s="137"/>
      <c r="B35" s="138"/>
      <c r="C35" s="178" t="s">
        <v>48</v>
      </c>
      <c r="D35" s="179"/>
      <c r="E35" s="49">
        <v>550000</v>
      </c>
      <c r="F35" s="50"/>
    </row>
    <row r="36" spans="1:6" ht="19.5" thickBot="1" x14ac:dyDescent="0.45">
      <c r="A36" s="139"/>
      <c r="B36" s="140"/>
      <c r="C36" s="141" t="s">
        <v>31</v>
      </c>
      <c r="D36" s="141"/>
      <c r="E36" s="36">
        <f>E34+E35</f>
        <v>1987750</v>
      </c>
      <c r="F36" s="37"/>
    </row>
    <row r="37" spans="1:6" x14ac:dyDescent="0.25">
      <c r="A37" t="s">
        <v>73</v>
      </c>
      <c r="C37" s="64">
        <v>46256</v>
      </c>
      <c r="E37" s="63">
        <v>1200000</v>
      </c>
    </row>
    <row r="38" spans="1:6" ht="18.75" x14ac:dyDescent="0.4">
      <c r="A38" s="65" t="s">
        <v>74</v>
      </c>
      <c r="B38" s="65"/>
      <c r="C38" s="65"/>
      <c r="D38" s="65"/>
      <c r="E38" s="66">
        <f>E36-E37</f>
        <v>787750</v>
      </c>
    </row>
  </sheetData>
  <mergeCells count="14">
    <mergeCell ref="A23:A24"/>
    <mergeCell ref="B23:D23"/>
    <mergeCell ref="E23:F23"/>
    <mergeCell ref="A33:B36"/>
    <mergeCell ref="C33:D33"/>
    <mergeCell ref="C34:D34"/>
    <mergeCell ref="C35:D35"/>
    <mergeCell ref="C36:D36"/>
    <mergeCell ref="A1:F1"/>
    <mergeCell ref="A2:F2"/>
    <mergeCell ref="A20:F20"/>
    <mergeCell ref="A21:F21"/>
    <mergeCell ref="A22:F22"/>
    <mergeCell ref="A3:F3"/>
  </mergeCells>
  <pageMargins left="0.7" right="0.7" top="0.75" bottom="0.75" header="0.3" footer="0.3"/>
  <pageSetup paperSize="9" scale="8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876B-2718-4961-8196-3CDEE9B95D7C}">
  <dimension ref="A1:L44"/>
  <sheetViews>
    <sheetView topLeftCell="A26" workbookViewId="0">
      <selection activeCell="H42" sqref="H42"/>
    </sheetView>
  </sheetViews>
  <sheetFormatPr baseColWidth="10" defaultRowHeight="15" x14ac:dyDescent="0.25"/>
  <cols>
    <col min="1" max="1" width="31.5703125" bestFit="1" customWidth="1"/>
    <col min="5" max="5" width="24.7109375" customWidth="1"/>
    <col min="6" max="6" width="15.85546875" customWidth="1"/>
  </cols>
  <sheetData>
    <row r="1" spans="1:12" ht="18.75" x14ac:dyDescent="0.3">
      <c r="A1" s="182" t="s">
        <v>75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83"/>
    </row>
    <row r="2" spans="1:12" ht="18.75" x14ac:dyDescent="0.3">
      <c r="A2" s="182" t="s">
        <v>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83"/>
    </row>
    <row r="3" spans="1:12" ht="18.75" x14ac:dyDescent="0.3">
      <c r="A3" s="182" t="s">
        <v>77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83"/>
    </row>
    <row r="4" spans="1:12" x14ac:dyDescent="0.25">
      <c r="A4" s="184" t="s">
        <v>1</v>
      </c>
      <c r="B4" s="1" t="s">
        <v>65</v>
      </c>
      <c r="C4" s="2">
        <v>14003</v>
      </c>
      <c r="D4" s="1">
        <v>14005</v>
      </c>
      <c r="E4" s="1">
        <v>13633</v>
      </c>
      <c r="F4" s="1"/>
      <c r="G4" s="1"/>
      <c r="H4" s="1"/>
      <c r="I4" s="1"/>
      <c r="J4" s="1"/>
      <c r="K4" s="1"/>
      <c r="L4" s="1" t="s">
        <v>2</v>
      </c>
    </row>
    <row r="5" spans="1:12" x14ac:dyDescent="0.25">
      <c r="A5" s="185"/>
      <c r="B5" s="3">
        <v>46237</v>
      </c>
      <c r="C5" s="3">
        <v>46274</v>
      </c>
      <c r="D5" s="3">
        <v>46274</v>
      </c>
      <c r="E5" s="3">
        <v>46279</v>
      </c>
      <c r="F5" s="3"/>
      <c r="G5" s="3"/>
      <c r="H5" s="3"/>
      <c r="I5" s="3"/>
      <c r="J5" s="3"/>
      <c r="K5" s="3"/>
      <c r="L5" s="3">
        <v>46264</v>
      </c>
    </row>
    <row r="6" spans="1:12" x14ac:dyDescent="0.25">
      <c r="A6" s="4" t="s">
        <v>11</v>
      </c>
      <c r="B6" s="58"/>
      <c r="C6" s="67">
        <v>16</v>
      </c>
      <c r="D6" s="6">
        <v>2</v>
      </c>
      <c r="E6" s="6">
        <v>-18</v>
      </c>
      <c r="F6" s="6"/>
      <c r="G6" s="6"/>
      <c r="H6" s="6"/>
      <c r="I6" s="6"/>
      <c r="J6" s="6"/>
      <c r="K6" s="6"/>
      <c r="L6" s="7">
        <f t="shared" ref="L6:L18" si="0">SUM(B6:K6)</f>
        <v>0</v>
      </c>
    </row>
    <row r="7" spans="1:12" x14ac:dyDescent="0.25">
      <c r="A7" s="4" t="s">
        <v>58</v>
      </c>
      <c r="B7" s="5"/>
      <c r="C7" s="6">
        <v>8</v>
      </c>
      <c r="D7" s="6"/>
      <c r="E7" s="6">
        <v>-8</v>
      </c>
      <c r="F7" s="6"/>
      <c r="G7" s="6"/>
      <c r="H7" s="6"/>
      <c r="I7" s="6"/>
      <c r="J7" s="6"/>
      <c r="K7" s="6"/>
      <c r="L7" s="7">
        <f t="shared" si="0"/>
        <v>0</v>
      </c>
    </row>
    <row r="8" spans="1:12" x14ac:dyDescent="0.25">
      <c r="A8" s="4" t="s">
        <v>78</v>
      </c>
      <c r="B8" s="5"/>
      <c r="C8" s="6">
        <v>4</v>
      </c>
      <c r="D8" s="6"/>
      <c r="E8" s="6">
        <v>-4</v>
      </c>
      <c r="F8" s="6"/>
      <c r="G8" s="6"/>
      <c r="H8" s="6"/>
      <c r="I8" s="6"/>
      <c r="J8" s="6"/>
      <c r="K8" s="6"/>
      <c r="L8" s="7">
        <f t="shared" si="0"/>
        <v>0</v>
      </c>
    </row>
    <row r="9" spans="1:12" x14ac:dyDescent="0.25">
      <c r="A9" s="4" t="s">
        <v>79</v>
      </c>
      <c r="B9" s="5"/>
      <c r="C9" s="6">
        <v>8</v>
      </c>
      <c r="D9" s="6"/>
      <c r="E9" s="6">
        <v>-8</v>
      </c>
      <c r="F9" s="6"/>
      <c r="G9" s="6"/>
      <c r="H9" s="6"/>
      <c r="I9" s="6"/>
      <c r="J9" s="6"/>
      <c r="K9" s="6"/>
      <c r="L9" s="7">
        <f t="shared" si="0"/>
        <v>0</v>
      </c>
    </row>
    <row r="10" spans="1:12" x14ac:dyDescent="0.25">
      <c r="A10" s="4" t="s">
        <v>80</v>
      </c>
      <c r="B10" s="5"/>
      <c r="C10" s="6">
        <v>4</v>
      </c>
      <c r="D10" s="6"/>
      <c r="E10" s="6">
        <v>-4</v>
      </c>
      <c r="F10" s="6"/>
      <c r="G10" s="6"/>
      <c r="H10" s="6"/>
      <c r="I10" s="6"/>
      <c r="J10" s="6"/>
      <c r="K10" s="6"/>
      <c r="L10" s="7">
        <f t="shared" si="0"/>
        <v>0</v>
      </c>
    </row>
    <row r="11" spans="1:12" x14ac:dyDescent="0.25">
      <c r="A11" s="4" t="s">
        <v>81</v>
      </c>
      <c r="B11" s="5"/>
      <c r="C11" s="6">
        <v>2</v>
      </c>
      <c r="D11" s="6"/>
      <c r="E11" s="6">
        <v>-2</v>
      </c>
      <c r="F11" s="6"/>
      <c r="G11" s="6"/>
      <c r="H11" s="6"/>
      <c r="I11" s="6"/>
      <c r="J11" s="6"/>
      <c r="K11" s="6"/>
      <c r="L11" s="7">
        <f t="shared" si="0"/>
        <v>0</v>
      </c>
    </row>
    <row r="12" spans="1:12" x14ac:dyDescent="0.25">
      <c r="A12" s="4" t="s">
        <v>82</v>
      </c>
      <c r="B12" s="5"/>
      <c r="C12" s="6">
        <v>4</v>
      </c>
      <c r="D12" s="6"/>
      <c r="E12" s="6">
        <v>-4</v>
      </c>
      <c r="F12" s="6"/>
      <c r="G12" s="6"/>
      <c r="H12" s="6"/>
      <c r="I12" s="6"/>
      <c r="J12" s="6"/>
      <c r="K12" s="6"/>
      <c r="L12" s="7">
        <f t="shared" si="0"/>
        <v>0</v>
      </c>
    </row>
    <row r="13" spans="1:12" x14ac:dyDescent="0.25">
      <c r="A13" s="4" t="s">
        <v>83</v>
      </c>
      <c r="B13" s="5"/>
      <c r="C13" s="6">
        <v>20</v>
      </c>
      <c r="D13" s="6"/>
      <c r="E13" s="6">
        <v>-20</v>
      </c>
      <c r="F13" s="6"/>
      <c r="G13" s="6"/>
      <c r="H13" s="6"/>
      <c r="I13" s="6"/>
      <c r="J13" s="6"/>
      <c r="K13" s="6"/>
      <c r="L13" s="7">
        <f t="shared" si="0"/>
        <v>0</v>
      </c>
    </row>
    <row r="14" spans="1:12" x14ac:dyDescent="0.25">
      <c r="A14" s="4" t="s">
        <v>61</v>
      </c>
      <c r="B14" s="5"/>
      <c r="C14" s="6">
        <v>300</v>
      </c>
      <c r="D14" s="6"/>
      <c r="E14" s="6">
        <v>-300</v>
      </c>
      <c r="F14" s="6"/>
      <c r="G14" s="6"/>
      <c r="H14" s="6"/>
      <c r="I14" s="6"/>
      <c r="J14" s="6"/>
      <c r="K14" s="6"/>
      <c r="L14" s="7">
        <f t="shared" si="0"/>
        <v>0</v>
      </c>
    </row>
    <row r="15" spans="1:12" x14ac:dyDescent="0.25">
      <c r="A15" s="4" t="s">
        <v>84</v>
      </c>
      <c r="B15" s="5"/>
      <c r="C15" s="6">
        <v>9</v>
      </c>
      <c r="D15" s="6"/>
      <c r="E15" s="6">
        <v>-9</v>
      </c>
      <c r="F15" s="6"/>
      <c r="G15" s="6"/>
      <c r="H15" s="6"/>
      <c r="I15" s="6"/>
      <c r="J15" s="6"/>
      <c r="K15" s="6"/>
      <c r="L15" s="7">
        <f t="shared" si="0"/>
        <v>0</v>
      </c>
    </row>
    <row r="16" spans="1:12" x14ac:dyDescent="0.25">
      <c r="A16" s="4" t="s">
        <v>85</v>
      </c>
      <c r="B16" s="5"/>
      <c r="C16" s="6">
        <v>4</v>
      </c>
      <c r="D16" s="6"/>
      <c r="E16" s="6">
        <v>-4</v>
      </c>
      <c r="F16" s="6"/>
      <c r="G16" s="6"/>
      <c r="H16" s="6"/>
      <c r="I16" s="6"/>
      <c r="J16" s="6"/>
      <c r="K16" s="6"/>
      <c r="L16" s="7">
        <f t="shared" si="0"/>
        <v>0</v>
      </c>
    </row>
    <row r="17" spans="1:12" x14ac:dyDescent="0.25">
      <c r="A17" s="4" t="s">
        <v>66</v>
      </c>
      <c r="B17" s="5"/>
      <c r="C17" s="6">
        <v>1</v>
      </c>
      <c r="D17" s="6"/>
      <c r="E17" s="6">
        <v>-1</v>
      </c>
      <c r="F17" s="6"/>
      <c r="G17" s="6"/>
      <c r="H17" s="6"/>
      <c r="I17" s="6"/>
      <c r="J17" s="6"/>
      <c r="K17" s="6"/>
      <c r="L17" s="7">
        <f t="shared" si="0"/>
        <v>0</v>
      </c>
    </row>
    <row r="18" spans="1:12" x14ac:dyDescent="0.25">
      <c r="A18" s="4" t="s">
        <v>86</v>
      </c>
      <c r="B18" s="5"/>
      <c r="C18" s="6"/>
      <c r="D18" s="6">
        <v>12</v>
      </c>
      <c r="E18" s="6">
        <v>-6</v>
      </c>
      <c r="F18" s="6"/>
      <c r="G18" s="6"/>
      <c r="H18" s="6"/>
      <c r="I18" s="6"/>
      <c r="J18" s="6"/>
      <c r="K18" s="6"/>
      <c r="L18" s="7">
        <f t="shared" si="0"/>
        <v>6</v>
      </c>
    </row>
    <row r="19" spans="1:12" x14ac:dyDescent="0.25">
      <c r="A19" s="8" t="s">
        <v>68</v>
      </c>
      <c r="B19" s="9"/>
      <c r="C19" s="9">
        <v>0.4375</v>
      </c>
      <c r="D19" s="10">
        <v>0.125</v>
      </c>
      <c r="E19" s="68">
        <v>0.375</v>
      </c>
      <c r="F19" s="68"/>
      <c r="G19" s="68"/>
      <c r="H19" s="9"/>
      <c r="I19" s="9"/>
      <c r="J19" s="9"/>
      <c r="K19" s="9"/>
      <c r="L19" s="2"/>
    </row>
    <row r="20" spans="1:12" x14ac:dyDescent="0.25">
      <c r="A20" s="8" t="s">
        <v>17</v>
      </c>
      <c r="B20" s="69"/>
      <c r="C20" s="61">
        <v>31250</v>
      </c>
      <c r="D20" s="61"/>
      <c r="E20" s="70">
        <v>31250</v>
      </c>
      <c r="F20" s="69"/>
      <c r="G20" s="68"/>
      <c r="H20" s="68"/>
      <c r="I20" s="68"/>
      <c r="J20" s="68"/>
      <c r="K20" s="68"/>
      <c r="L20" s="61">
        <f>SUM(B20:H20)</f>
        <v>62500</v>
      </c>
    </row>
    <row r="22" spans="1:12" ht="15.75" thickBot="1" x14ac:dyDescent="0.3"/>
    <row r="23" spans="1:12" x14ac:dyDescent="0.25">
      <c r="A23" s="151" t="s">
        <v>55</v>
      </c>
      <c r="B23" s="152"/>
      <c r="C23" s="152"/>
      <c r="D23" s="152"/>
      <c r="E23" s="152"/>
      <c r="F23" s="153"/>
    </row>
    <row r="24" spans="1:12" x14ac:dyDescent="0.25">
      <c r="A24" s="154" t="s">
        <v>87</v>
      </c>
      <c r="B24" s="155"/>
      <c r="C24" s="155"/>
      <c r="D24" s="155"/>
      <c r="E24" s="155"/>
      <c r="F24" s="156"/>
    </row>
    <row r="25" spans="1:12" ht="18" x14ac:dyDescent="0.25">
      <c r="A25" s="157" t="s">
        <v>88</v>
      </c>
      <c r="B25" s="158"/>
      <c r="C25" s="158"/>
      <c r="D25" s="158"/>
      <c r="E25" s="158"/>
      <c r="F25" s="159"/>
    </row>
    <row r="26" spans="1:12" ht="15.75" thickBot="1" x14ac:dyDescent="0.3">
      <c r="A26" s="134" t="s">
        <v>1</v>
      </c>
      <c r="B26" s="143" t="s">
        <v>21</v>
      </c>
      <c r="C26" s="135"/>
      <c r="D26" s="188"/>
      <c r="E26" s="189" t="s">
        <v>89</v>
      </c>
      <c r="F26" s="190"/>
    </row>
    <row r="27" spans="1:12" x14ac:dyDescent="0.25">
      <c r="A27" s="134"/>
      <c r="B27" s="12" t="s">
        <v>23</v>
      </c>
      <c r="C27" s="71" t="s">
        <v>24</v>
      </c>
      <c r="D27" s="72"/>
      <c r="E27" s="73"/>
      <c r="F27" s="74"/>
    </row>
    <row r="28" spans="1:12" x14ac:dyDescent="0.25">
      <c r="A28" s="32" t="s">
        <v>90</v>
      </c>
      <c r="B28" s="14">
        <v>5</v>
      </c>
      <c r="C28" s="75">
        <v>14</v>
      </c>
      <c r="D28" s="76"/>
      <c r="E28" s="77"/>
      <c r="F28" s="78"/>
    </row>
    <row r="29" spans="1:12" x14ac:dyDescent="0.25">
      <c r="A29" s="32" t="s">
        <v>91</v>
      </c>
      <c r="B29" s="14">
        <v>5</v>
      </c>
      <c r="C29" s="75">
        <v>4</v>
      </c>
      <c r="D29" s="76"/>
      <c r="E29" s="77"/>
      <c r="F29" s="78"/>
    </row>
    <row r="30" spans="1:12" x14ac:dyDescent="0.25">
      <c r="A30" s="32" t="s">
        <v>92</v>
      </c>
      <c r="B30" s="14">
        <v>5</v>
      </c>
      <c r="C30" s="75">
        <v>8</v>
      </c>
      <c r="D30" s="76"/>
      <c r="E30" s="77"/>
      <c r="F30" s="78"/>
    </row>
    <row r="31" spans="1:12" x14ac:dyDescent="0.25">
      <c r="A31" s="32" t="s">
        <v>93</v>
      </c>
      <c r="B31" s="14">
        <v>5</v>
      </c>
      <c r="C31" s="75">
        <v>8</v>
      </c>
      <c r="D31" s="76"/>
      <c r="E31" s="77"/>
      <c r="F31" s="78"/>
    </row>
    <row r="32" spans="1:12" x14ac:dyDescent="0.25">
      <c r="A32" s="32" t="s">
        <v>94</v>
      </c>
      <c r="B32" s="14">
        <v>5</v>
      </c>
      <c r="C32" s="75">
        <v>4</v>
      </c>
      <c r="D32" s="76"/>
      <c r="E32" s="77"/>
      <c r="F32" s="78"/>
    </row>
    <row r="33" spans="1:6" x14ac:dyDescent="0.25">
      <c r="A33" s="32" t="s">
        <v>81</v>
      </c>
      <c r="B33" s="14">
        <v>5</v>
      </c>
      <c r="C33" s="75">
        <v>2</v>
      </c>
      <c r="D33" s="76"/>
      <c r="E33" s="77"/>
      <c r="F33" s="78"/>
    </row>
    <row r="34" spans="1:6" x14ac:dyDescent="0.25">
      <c r="A34" s="32" t="s">
        <v>95</v>
      </c>
      <c r="B34" s="14">
        <v>5</v>
      </c>
      <c r="C34" s="75">
        <v>4</v>
      </c>
      <c r="D34" s="76"/>
      <c r="E34" s="77"/>
      <c r="F34" s="78"/>
    </row>
    <row r="35" spans="1:6" x14ac:dyDescent="0.25">
      <c r="A35" s="32" t="s">
        <v>96</v>
      </c>
      <c r="B35" s="14">
        <v>5</v>
      </c>
      <c r="C35" s="75">
        <v>20</v>
      </c>
      <c r="D35" s="76"/>
      <c r="E35" s="77"/>
      <c r="F35" s="78"/>
    </row>
    <row r="36" spans="1:6" x14ac:dyDescent="0.25">
      <c r="A36" s="32" t="s">
        <v>61</v>
      </c>
      <c r="B36" s="14">
        <v>5</v>
      </c>
      <c r="C36" s="75">
        <v>300</v>
      </c>
      <c r="D36" s="76"/>
      <c r="E36" s="77"/>
      <c r="F36" s="78"/>
    </row>
    <row r="37" spans="1:6" x14ac:dyDescent="0.25">
      <c r="A37" s="32" t="s">
        <v>84</v>
      </c>
      <c r="B37" s="14">
        <v>5</v>
      </c>
      <c r="C37" s="75">
        <v>9</v>
      </c>
      <c r="D37" s="76"/>
      <c r="E37" s="77"/>
      <c r="F37" s="78"/>
    </row>
    <row r="38" spans="1:6" ht="15.75" thickBot="1" x14ac:dyDescent="0.3">
      <c r="A38" s="32" t="s">
        <v>97</v>
      </c>
      <c r="B38" s="14">
        <v>5</v>
      </c>
      <c r="C38" s="75">
        <v>12</v>
      </c>
      <c r="D38" s="79"/>
      <c r="E38" s="80"/>
      <c r="F38" s="81"/>
    </row>
    <row r="39" spans="1:6" ht="18.75" x14ac:dyDescent="0.4">
      <c r="A39" s="160" t="s">
        <v>98</v>
      </c>
      <c r="B39" s="161"/>
      <c r="C39" s="180" t="s">
        <v>99</v>
      </c>
      <c r="D39" s="181"/>
      <c r="E39" s="82">
        <v>33960</v>
      </c>
      <c r="F39" s="35"/>
    </row>
    <row r="40" spans="1:6" ht="19.5" thickBot="1" x14ac:dyDescent="0.45">
      <c r="A40" s="137"/>
      <c r="B40" s="138"/>
      <c r="C40" s="186" t="s">
        <v>31</v>
      </c>
      <c r="D40" s="187"/>
      <c r="E40" s="83">
        <v>169800</v>
      </c>
      <c r="F40" s="35"/>
    </row>
    <row r="41" spans="1:6" ht="18.75" x14ac:dyDescent="0.4">
      <c r="A41" s="137"/>
      <c r="B41" s="138"/>
      <c r="C41" s="178" t="s">
        <v>48</v>
      </c>
      <c r="D41" s="179"/>
      <c r="E41" s="84">
        <v>62500</v>
      </c>
      <c r="F41" s="35"/>
    </row>
    <row r="42" spans="1:6" ht="19.5" thickBot="1" x14ac:dyDescent="0.45">
      <c r="A42" s="139"/>
      <c r="B42" s="140"/>
      <c r="C42" s="186" t="s">
        <v>31</v>
      </c>
      <c r="D42" s="187"/>
      <c r="E42" s="36">
        <f>E40+E41</f>
        <v>232300</v>
      </c>
      <c r="F42" s="37"/>
    </row>
    <row r="43" spans="1:6" x14ac:dyDescent="0.25">
      <c r="A43" t="s">
        <v>100</v>
      </c>
      <c r="E43" s="63">
        <v>205000</v>
      </c>
    </row>
    <row r="44" spans="1:6" x14ac:dyDescent="0.25">
      <c r="A44" t="s">
        <v>101</v>
      </c>
      <c r="E44" s="85">
        <f>E42-E43</f>
        <v>27300</v>
      </c>
    </row>
  </sheetData>
  <mergeCells count="15">
    <mergeCell ref="A39:B42"/>
    <mergeCell ref="C39:D39"/>
    <mergeCell ref="A1:L1"/>
    <mergeCell ref="A2:L2"/>
    <mergeCell ref="A3:L3"/>
    <mergeCell ref="A4:A5"/>
    <mergeCell ref="C40:D40"/>
    <mergeCell ref="C41:D41"/>
    <mergeCell ref="C42:D42"/>
    <mergeCell ref="A23:F23"/>
    <mergeCell ref="A24:F24"/>
    <mergeCell ref="A25:F25"/>
    <mergeCell ref="A26:A27"/>
    <mergeCell ref="B26:D26"/>
    <mergeCell ref="E26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108E-217F-42FC-9A72-535308F62433}">
  <sheetPr>
    <pageSetUpPr fitToPage="1"/>
  </sheetPr>
  <dimension ref="A1:H98"/>
  <sheetViews>
    <sheetView tabSelected="1" topLeftCell="A84" workbookViewId="0">
      <selection activeCell="A87" sqref="A87:G98"/>
    </sheetView>
  </sheetViews>
  <sheetFormatPr baseColWidth="10" defaultRowHeight="15" x14ac:dyDescent="0.25"/>
  <cols>
    <col min="1" max="1" width="37.85546875" customWidth="1"/>
    <col min="5" max="5" width="19.42578125" customWidth="1"/>
    <col min="6" max="6" width="16.5703125" customWidth="1"/>
    <col min="7" max="7" width="26.5703125" customWidth="1"/>
  </cols>
  <sheetData>
    <row r="1" spans="1:8" ht="15.75" thickBot="1" x14ac:dyDescent="0.3">
      <c r="A1" s="151" t="s">
        <v>124</v>
      </c>
      <c r="B1" s="152"/>
      <c r="C1" s="152"/>
      <c r="D1" s="152"/>
      <c r="E1" s="152"/>
      <c r="F1" s="153"/>
    </row>
    <row r="2" spans="1:8" x14ac:dyDescent="0.25">
      <c r="A2" s="151" t="s">
        <v>125</v>
      </c>
      <c r="B2" s="152"/>
      <c r="C2" s="152"/>
      <c r="D2" s="152"/>
      <c r="E2" s="152"/>
      <c r="F2" s="153"/>
    </row>
    <row r="3" spans="1:8" ht="18" x14ac:dyDescent="0.25">
      <c r="A3" s="157" t="s">
        <v>126</v>
      </c>
      <c r="B3" s="158"/>
      <c r="C3" s="158"/>
      <c r="D3" s="158"/>
      <c r="E3" s="158"/>
      <c r="F3" s="159"/>
    </row>
    <row r="4" spans="1:8" x14ac:dyDescent="0.25">
      <c r="A4" s="134" t="s">
        <v>1</v>
      </c>
      <c r="B4" s="135" t="s">
        <v>21</v>
      </c>
      <c r="C4" s="135"/>
      <c r="D4" s="135"/>
      <c r="E4" s="135" t="s">
        <v>22</v>
      </c>
      <c r="F4" s="136"/>
    </row>
    <row r="5" spans="1:8" x14ac:dyDescent="0.25">
      <c r="A5" s="134"/>
      <c r="B5" s="12" t="s">
        <v>23</v>
      </c>
      <c r="C5" s="90" t="s">
        <v>24</v>
      </c>
      <c r="D5" s="12" t="s">
        <v>25</v>
      </c>
      <c r="E5" s="12" t="s">
        <v>26</v>
      </c>
      <c r="F5" s="38" t="s">
        <v>27</v>
      </c>
      <c r="H5" s="67" t="s">
        <v>127</v>
      </c>
    </row>
    <row r="6" spans="1:8" x14ac:dyDescent="0.25">
      <c r="A6" s="91" t="s">
        <v>114</v>
      </c>
      <c r="B6" s="12">
        <v>5</v>
      </c>
      <c r="C6" s="92">
        <v>32</v>
      </c>
      <c r="D6" s="93">
        <v>350</v>
      </c>
      <c r="E6" s="17">
        <f t="shared" ref="E6:E30" si="0">C6*D6</f>
        <v>11200</v>
      </c>
      <c r="F6" s="42">
        <f t="shared" ref="F6:F30" si="1">B6*E6</f>
        <v>56000</v>
      </c>
    </row>
    <row r="7" spans="1:8" x14ac:dyDescent="0.25">
      <c r="A7" s="91" t="s">
        <v>61</v>
      </c>
      <c r="B7" s="12">
        <v>5</v>
      </c>
      <c r="C7" s="92">
        <v>800</v>
      </c>
      <c r="D7" s="93">
        <v>30</v>
      </c>
      <c r="E7" s="17">
        <f t="shared" si="0"/>
        <v>24000</v>
      </c>
      <c r="F7" s="42">
        <f t="shared" si="1"/>
        <v>120000</v>
      </c>
    </row>
    <row r="8" spans="1:8" x14ac:dyDescent="0.25">
      <c r="A8" s="94" t="s">
        <v>128</v>
      </c>
      <c r="B8" s="12">
        <v>5</v>
      </c>
      <c r="C8" s="92">
        <v>14</v>
      </c>
      <c r="D8" s="93">
        <v>300</v>
      </c>
      <c r="E8" s="17">
        <f t="shared" si="0"/>
        <v>4200</v>
      </c>
      <c r="F8" s="42">
        <f t="shared" si="1"/>
        <v>21000</v>
      </c>
    </row>
    <row r="9" spans="1:8" x14ac:dyDescent="0.25">
      <c r="A9" s="94" t="s">
        <v>129</v>
      </c>
      <c r="B9" s="12">
        <v>5</v>
      </c>
      <c r="C9" s="92">
        <v>25</v>
      </c>
      <c r="D9" s="93">
        <v>300</v>
      </c>
      <c r="E9" s="17">
        <f t="shared" si="0"/>
        <v>7500</v>
      </c>
      <c r="F9" s="42">
        <f t="shared" si="1"/>
        <v>37500</v>
      </c>
    </row>
    <row r="10" spans="1:8" x14ac:dyDescent="0.25">
      <c r="A10" s="91" t="s">
        <v>115</v>
      </c>
      <c r="B10" s="12">
        <v>5</v>
      </c>
      <c r="C10" s="92">
        <v>4</v>
      </c>
      <c r="D10" s="93">
        <v>410</v>
      </c>
      <c r="E10" s="17">
        <f t="shared" si="0"/>
        <v>1640</v>
      </c>
      <c r="F10" s="42">
        <f t="shared" si="1"/>
        <v>8200</v>
      </c>
    </row>
    <row r="11" spans="1:8" x14ac:dyDescent="0.25">
      <c r="A11" s="91" t="s">
        <v>58</v>
      </c>
      <c r="B11" s="12">
        <v>5</v>
      </c>
      <c r="C11" s="92">
        <v>13</v>
      </c>
      <c r="D11" s="93">
        <v>400</v>
      </c>
      <c r="E11" s="17">
        <f t="shared" si="0"/>
        <v>5200</v>
      </c>
      <c r="F11" s="42">
        <f t="shared" si="1"/>
        <v>26000</v>
      </c>
    </row>
    <row r="12" spans="1:8" x14ac:dyDescent="0.25">
      <c r="A12" s="91" t="s">
        <v>116</v>
      </c>
      <c r="B12" s="12">
        <v>5</v>
      </c>
      <c r="C12" s="92">
        <v>1</v>
      </c>
      <c r="D12" s="93">
        <v>360</v>
      </c>
      <c r="E12" s="17">
        <f t="shared" si="0"/>
        <v>360</v>
      </c>
      <c r="F12" s="42">
        <f t="shared" si="1"/>
        <v>1800</v>
      </c>
    </row>
    <row r="13" spans="1:8" x14ac:dyDescent="0.25">
      <c r="A13" s="91" t="s">
        <v>6</v>
      </c>
      <c r="B13" s="12">
        <v>5</v>
      </c>
      <c r="C13" s="92">
        <v>17</v>
      </c>
      <c r="D13" s="93">
        <v>330</v>
      </c>
      <c r="E13" s="17">
        <f t="shared" si="0"/>
        <v>5610</v>
      </c>
      <c r="F13" s="42">
        <f t="shared" si="1"/>
        <v>28050</v>
      </c>
    </row>
    <row r="14" spans="1:8" x14ac:dyDescent="0.25">
      <c r="A14" s="95" t="s">
        <v>14</v>
      </c>
      <c r="B14" s="12">
        <v>5</v>
      </c>
      <c r="C14" s="92">
        <v>8</v>
      </c>
      <c r="D14" s="96">
        <v>300</v>
      </c>
      <c r="E14" s="17">
        <f t="shared" si="0"/>
        <v>2400</v>
      </c>
      <c r="F14" s="42">
        <f t="shared" si="1"/>
        <v>12000</v>
      </c>
    </row>
    <row r="15" spans="1:8" x14ac:dyDescent="0.25">
      <c r="A15" s="95" t="s">
        <v>117</v>
      </c>
      <c r="B15" s="12">
        <v>5</v>
      </c>
      <c r="C15" s="92">
        <v>23</v>
      </c>
      <c r="D15" s="96">
        <v>320</v>
      </c>
      <c r="E15" s="17">
        <f t="shared" si="0"/>
        <v>7360</v>
      </c>
      <c r="F15" s="42">
        <f t="shared" si="1"/>
        <v>36800</v>
      </c>
    </row>
    <row r="16" spans="1:8" x14ac:dyDescent="0.25">
      <c r="A16" s="95" t="s">
        <v>130</v>
      </c>
      <c r="B16" s="12">
        <v>5</v>
      </c>
      <c r="C16" s="92">
        <v>17</v>
      </c>
      <c r="D16" s="96">
        <v>230</v>
      </c>
      <c r="E16" s="17">
        <f t="shared" si="0"/>
        <v>3910</v>
      </c>
      <c r="F16" s="42">
        <f t="shared" si="1"/>
        <v>19550</v>
      </c>
    </row>
    <row r="17" spans="1:6" x14ac:dyDescent="0.25">
      <c r="A17" s="95" t="s">
        <v>118</v>
      </c>
      <c r="B17" s="12">
        <v>5</v>
      </c>
      <c r="C17" s="92">
        <v>6</v>
      </c>
      <c r="D17" s="96">
        <v>330</v>
      </c>
      <c r="E17" s="17">
        <f t="shared" si="0"/>
        <v>1980</v>
      </c>
      <c r="F17" s="42">
        <f t="shared" si="1"/>
        <v>9900</v>
      </c>
    </row>
    <row r="18" spans="1:6" x14ac:dyDescent="0.25">
      <c r="A18" s="95" t="s">
        <v>131</v>
      </c>
      <c r="B18" s="12">
        <v>5</v>
      </c>
      <c r="C18" s="92">
        <v>8</v>
      </c>
      <c r="D18" s="96">
        <v>330</v>
      </c>
      <c r="E18" s="17">
        <f t="shared" si="0"/>
        <v>2640</v>
      </c>
      <c r="F18" s="42">
        <f t="shared" si="1"/>
        <v>13200</v>
      </c>
    </row>
    <row r="19" spans="1:6" x14ac:dyDescent="0.25">
      <c r="A19" s="95" t="s">
        <v>13</v>
      </c>
      <c r="B19" s="12">
        <v>5</v>
      </c>
      <c r="C19" s="92">
        <v>7</v>
      </c>
      <c r="D19" s="96">
        <v>280</v>
      </c>
      <c r="E19" s="17">
        <f t="shared" si="0"/>
        <v>1960</v>
      </c>
      <c r="F19" s="42">
        <f t="shared" si="1"/>
        <v>9800</v>
      </c>
    </row>
    <row r="20" spans="1:6" x14ac:dyDescent="0.25">
      <c r="A20" s="95" t="s">
        <v>67</v>
      </c>
      <c r="B20" s="12">
        <v>5</v>
      </c>
      <c r="C20" s="92">
        <v>20</v>
      </c>
      <c r="D20" s="96">
        <v>250</v>
      </c>
      <c r="E20" s="17">
        <f t="shared" si="0"/>
        <v>5000</v>
      </c>
      <c r="F20" s="42">
        <f t="shared" si="1"/>
        <v>25000</v>
      </c>
    </row>
    <row r="21" spans="1:6" x14ac:dyDescent="0.25">
      <c r="A21" s="95" t="s">
        <v>132</v>
      </c>
      <c r="B21" s="12">
        <v>5</v>
      </c>
      <c r="C21" s="92">
        <v>10</v>
      </c>
      <c r="D21" s="96">
        <v>300</v>
      </c>
      <c r="E21" s="17">
        <f t="shared" si="0"/>
        <v>3000</v>
      </c>
      <c r="F21" s="42">
        <f t="shared" si="1"/>
        <v>15000</v>
      </c>
    </row>
    <row r="22" spans="1:6" x14ac:dyDescent="0.25">
      <c r="A22" s="95" t="s">
        <v>119</v>
      </c>
      <c r="B22" s="12">
        <v>5</v>
      </c>
      <c r="C22" s="92">
        <v>4</v>
      </c>
      <c r="D22" s="96">
        <v>330</v>
      </c>
      <c r="E22" s="17">
        <f t="shared" si="0"/>
        <v>1320</v>
      </c>
      <c r="F22" s="42">
        <f t="shared" si="1"/>
        <v>6600</v>
      </c>
    </row>
    <row r="23" spans="1:6" x14ac:dyDescent="0.25">
      <c r="A23" s="95" t="s">
        <v>120</v>
      </c>
      <c r="B23" s="12">
        <v>5</v>
      </c>
      <c r="C23" s="92">
        <v>15</v>
      </c>
      <c r="D23" s="96">
        <v>120</v>
      </c>
      <c r="E23" s="17">
        <f t="shared" si="0"/>
        <v>1800</v>
      </c>
      <c r="F23" s="42">
        <f t="shared" si="1"/>
        <v>9000</v>
      </c>
    </row>
    <row r="24" spans="1:6" x14ac:dyDescent="0.25">
      <c r="A24" s="95" t="s">
        <v>121</v>
      </c>
      <c r="B24" s="12">
        <v>5</v>
      </c>
      <c r="C24" s="92">
        <v>5</v>
      </c>
      <c r="D24" s="96">
        <v>330</v>
      </c>
      <c r="E24" s="17">
        <f t="shared" si="0"/>
        <v>1650</v>
      </c>
      <c r="F24" s="42">
        <f t="shared" si="1"/>
        <v>8250</v>
      </c>
    </row>
    <row r="25" spans="1:6" x14ac:dyDescent="0.25">
      <c r="A25" s="95" t="s">
        <v>78</v>
      </c>
      <c r="B25" s="12">
        <v>5</v>
      </c>
      <c r="C25" s="92">
        <v>2</v>
      </c>
      <c r="D25" s="96">
        <v>330</v>
      </c>
      <c r="E25" s="17">
        <f t="shared" si="0"/>
        <v>660</v>
      </c>
      <c r="F25" s="42">
        <f t="shared" si="1"/>
        <v>3300</v>
      </c>
    </row>
    <row r="26" spans="1:6" x14ac:dyDescent="0.25">
      <c r="A26" s="95" t="s">
        <v>15</v>
      </c>
      <c r="B26" s="12">
        <v>5</v>
      </c>
      <c r="C26" s="92">
        <v>6</v>
      </c>
      <c r="D26" s="96">
        <v>330</v>
      </c>
      <c r="E26" s="17">
        <f t="shared" si="0"/>
        <v>1980</v>
      </c>
      <c r="F26" s="42">
        <f t="shared" si="1"/>
        <v>9900</v>
      </c>
    </row>
    <row r="27" spans="1:6" x14ac:dyDescent="0.25">
      <c r="A27" s="95" t="s">
        <v>85</v>
      </c>
      <c r="B27" s="12">
        <v>5</v>
      </c>
      <c r="C27" s="92">
        <v>12</v>
      </c>
      <c r="D27" s="96">
        <v>90</v>
      </c>
      <c r="E27" s="17">
        <f t="shared" si="0"/>
        <v>1080</v>
      </c>
      <c r="F27" s="42">
        <f t="shared" si="1"/>
        <v>5400</v>
      </c>
    </row>
    <row r="28" spans="1:6" x14ac:dyDescent="0.25">
      <c r="A28" s="95" t="s">
        <v>122</v>
      </c>
      <c r="B28" s="12">
        <v>5</v>
      </c>
      <c r="C28" s="92">
        <v>1</v>
      </c>
      <c r="D28" s="96">
        <v>330</v>
      </c>
      <c r="E28" s="17">
        <f t="shared" si="0"/>
        <v>330</v>
      </c>
      <c r="F28" s="42">
        <f t="shared" si="1"/>
        <v>1650</v>
      </c>
    </row>
    <row r="29" spans="1:6" x14ac:dyDescent="0.25">
      <c r="A29" s="95" t="s">
        <v>133</v>
      </c>
      <c r="B29" s="12">
        <v>5</v>
      </c>
      <c r="C29" s="92">
        <v>6</v>
      </c>
      <c r="D29" s="96">
        <v>280</v>
      </c>
      <c r="E29" s="17">
        <f t="shared" si="0"/>
        <v>1680</v>
      </c>
      <c r="F29" s="42">
        <f t="shared" si="1"/>
        <v>8400</v>
      </c>
    </row>
    <row r="30" spans="1:6" x14ac:dyDescent="0.25">
      <c r="A30" s="95" t="s">
        <v>134</v>
      </c>
      <c r="B30" s="12">
        <v>5</v>
      </c>
      <c r="C30" s="92">
        <v>2</v>
      </c>
      <c r="D30" s="96">
        <v>330</v>
      </c>
      <c r="E30" s="17">
        <f t="shared" si="0"/>
        <v>660</v>
      </c>
      <c r="F30" s="42">
        <f t="shared" si="1"/>
        <v>3300</v>
      </c>
    </row>
    <row r="31" spans="1:6" ht="18.75" x14ac:dyDescent="0.4">
      <c r="A31" s="160" t="s">
        <v>147</v>
      </c>
      <c r="B31" s="161"/>
      <c r="C31" s="162" t="s">
        <v>99</v>
      </c>
      <c r="D31" s="162"/>
      <c r="E31" s="97">
        <f>SUM(E6:E30)</f>
        <v>99120</v>
      </c>
      <c r="F31" s="98"/>
    </row>
    <row r="32" spans="1:6" ht="19.5" thickBot="1" x14ac:dyDescent="0.45">
      <c r="A32" s="137"/>
      <c r="B32" s="138"/>
      <c r="C32" s="141" t="s">
        <v>31</v>
      </c>
      <c r="D32" s="141"/>
      <c r="E32" s="99">
        <f>SUM(F6:F30)</f>
        <v>495600</v>
      </c>
      <c r="F32" s="100"/>
    </row>
    <row r="33" spans="1:7" ht="18.75" x14ac:dyDescent="0.4">
      <c r="A33" s="137"/>
      <c r="B33" s="138"/>
      <c r="C33" s="178" t="s">
        <v>135</v>
      </c>
      <c r="D33" s="179"/>
      <c r="E33" s="101">
        <v>200000</v>
      </c>
      <c r="F33" s="100"/>
    </row>
    <row r="34" spans="1:7" ht="19.5" thickBot="1" x14ac:dyDescent="0.45">
      <c r="A34" s="139"/>
      <c r="B34" s="140"/>
      <c r="C34" s="141" t="s">
        <v>31</v>
      </c>
      <c r="D34" s="141"/>
      <c r="E34" s="102">
        <f>SUM(E32:E33)</f>
        <v>695600</v>
      </c>
      <c r="F34" s="103"/>
    </row>
    <row r="35" spans="1:7" ht="15.75" thickBot="1" x14ac:dyDescent="0.3"/>
    <row r="36" spans="1:7" ht="18.75" x14ac:dyDescent="0.3">
      <c r="A36" s="147" t="s">
        <v>102</v>
      </c>
      <c r="B36" s="148"/>
      <c r="C36" s="148"/>
      <c r="D36" s="148"/>
      <c r="E36" s="148"/>
      <c r="F36" s="148"/>
      <c r="G36" s="148"/>
    </row>
    <row r="37" spans="1:7" ht="18.75" x14ac:dyDescent="0.3">
      <c r="A37" s="149" t="s">
        <v>103</v>
      </c>
      <c r="B37" s="150"/>
      <c r="C37" s="150"/>
      <c r="D37" s="150"/>
      <c r="E37" s="150"/>
      <c r="F37" s="150"/>
      <c r="G37" s="150"/>
    </row>
    <row r="38" spans="1:7" ht="18.75" x14ac:dyDescent="0.3">
      <c r="A38" s="149" t="s">
        <v>194</v>
      </c>
      <c r="B38" s="150"/>
      <c r="C38" s="150"/>
      <c r="D38" s="150"/>
      <c r="E38" s="150"/>
      <c r="F38" s="150"/>
      <c r="G38" s="150"/>
    </row>
    <row r="39" spans="1:7" x14ac:dyDescent="0.25">
      <c r="A39" s="51" t="s">
        <v>1</v>
      </c>
      <c r="B39" s="52" t="s">
        <v>2</v>
      </c>
      <c r="C39" s="52"/>
      <c r="D39" s="52"/>
      <c r="E39" s="52"/>
      <c r="F39" s="52"/>
      <c r="G39" s="52" t="s">
        <v>65</v>
      </c>
    </row>
    <row r="40" spans="1:7" x14ac:dyDescent="0.25">
      <c r="A40" s="54"/>
      <c r="B40" s="3">
        <v>46266</v>
      </c>
      <c r="C40" s="3"/>
      <c r="D40" s="3"/>
      <c r="E40" s="3"/>
      <c r="F40" s="3"/>
      <c r="G40" s="3">
        <v>46295</v>
      </c>
    </row>
    <row r="41" spans="1:7" x14ac:dyDescent="0.25">
      <c r="A41" s="86" t="s">
        <v>104</v>
      </c>
      <c r="B41" s="58">
        <v>12</v>
      </c>
      <c r="C41" s="57"/>
      <c r="D41" s="57"/>
      <c r="E41" s="57"/>
      <c r="F41" s="57"/>
      <c r="G41" s="7">
        <f>SUM(B41:F41)</f>
        <v>12</v>
      </c>
    </row>
    <row r="42" spans="1:7" x14ac:dyDescent="0.25">
      <c r="A42" s="86" t="s">
        <v>105</v>
      </c>
      <c r="B42" s="58">
        <v>12</v>
      </c>
      <c r="C42" s="57"/>
      <c r="D42" s="57"/>
      <c r="E42" s="57"/>
      <c r="F42" s="57"/>
      <c r="G42" s="7">
        <f>SUM(B42:F42)</f>
        <v>12</v>
      </c>
    </row>
    <row r="43" spans="1:7" x14ac:dyDescent="0.25">
      <c r="A43" s="86" t="s">
        <v>106</v>
      </c>
      <c r="B43" s="58">
        <v>6</v>
      </c>
      <c r="C43" s="57"/>
      <c r="D43" s="57"/>
      <c r="E43" s="57"/>
      <c r="F43" s="57"/>
      <c r="G43" s="7">
        <f>SUM(B43:F43)</f>
        <v>6</v>
      </c>
    </row>
    <row r="44" spans="1:7" x14ac:dyDescent="0.25">
      <c r="A44" s="86" t="s">
        <v>107</v>
      </c>
      <c r="B44" s="58">
        <v>55</v>
      </c>
      <c r="C44" s="57"/>
      <c r="D44" s="57"/>
      <c r="E44" s="57"/>
      <c r="F44" s="57"/>
      <c r="G44" s="7">
        <f>SUM(B44:F44)</f>
        <v>55</v>
      </c>
    </row>
    <row r="45" spans="1:7" x14ac:dyDescent="0.25">
      <c r="A45" s="86" t="s">
        <v>108</v>
      </c>
      <c r="B45" s="58">
        <v>59</v>
      </c>
      <c r="C45" s="57"/>
      <c r="D45" s="57"/>
      <c r="E45" s="57"/>
      <c r="F45" s="57"/>
      <c r="G45" s="7">
        <f>SUM(B45:F45)</f>
        <v>59</v>
      </c>
    </row>
    <row r="46" spans="1:7" x14ac:dyDescent="0.25">
      <c r="A46" s="86" t="s">
        <v>109</v>
      </c>
      <c r="B46" s="58">
        <v>38</v>
      </c>
      <c r="C46" s="57"/>
      <c r="D46" s="57"/>
      <c r="E46" s="57"/>
      <c r="F46" s="57"/>
      <c r="G46" s="7">
        <f>SUM(B46:F46)</f>
        <v>38</v>
      </c>
    </row>
    <row r="47" spans="1:7" x14ac:dyDescent="0.25">
      <c r="A47" s="86" t="s">
        <v>110</v>
      </c>
      <c r="B47" s="58">
        <v>2</v>
      </c>
      <c r="C47" s="57"/>
      <c r="D47" s="57"/>
      <c r="E47" s="57"/>
      <c r="F47" s="57"/>
      <c r="G47" s="7">
        <f>SUM(B47:F47)</f>
        <v>2</v>
      </c>
    </row>
    <row r="48" spans="1:7" x14ac:dyDescent="0.25">
      <c r="A48" s="86" t="s">
        <v>111</v>
      </c>
      <c r="B48" s="58">
        <v>1</v>
      </c>
      <c r="C48" s="57"/>
      <c r="D48" s="57"/>
      <c r="E48" s="57"/>
      <c r="F48" s="57"/>
      <c r="G48" s="7">
        <f>SUM(B48:F48)</f>
        <v>1</v>
      </c>
    </row>
    <row r="49" spans="1:7" x14ac:dyDescent="0.25">
      <c r="A49" s="87" t="s">
        <v>112</v>
      </c>
      <c r="B49" s="58">
        <v>5</v>
      </c>
      <c r="C49" s="57"/>
      <c r="D49" s="57"/>
      <c r="E49" s="57"/>
      <c r="F49" s="57"/>
      <c r="G49" s="7">
        <f>SUM(B49:F49)</f>
        <v>5</v>
      </c>
    </row>
    <row r="50" spans="1:7" x14ac:dyDescent="0.25">
      <c r="A50" s="87" t="s">
        <v>113</v>
      </c>
      <c r="B50" s="58">
        <v>6</v>
      </c>
      <c r="C50" s="57"/>
      <c r="D50" s="57"/>
      <c r="E50" s="57"/>
      <c r="F50" s="57"/>
      <c r="G50" s="7">
        <f>SUM(B50:F50)</f>
        <v>6</v>
      </c>
    </row>
    <row r="51" spans="1:7" x14ac:dyDescent="0.25">
      <c r="A51" s="54" t="s">
        <v>123</v>
      </c>
      <c r="B51" s="88"/>
      <c r="C51" s="9"/>
      <c r="D51" s="9"/>
      <c r="E51" s="9"/>
      <c r="F51" s="9"/>
      <c r="G51" s="2"/>
    </row>
    <row r="52" spans="1:7" x14ac:dyDescent="0.25">
      <c r="A52" s="54" t="s">
        <v>69</v>
      </c>
      <c r="B52" s="89"/>
      <c r="C52" s="59"/>
      <c r="D52" s="9"/>
      <c r="E52" s="59"/>
      <c r="F52" s="59"/>
      <c r="G52" s="61"/>
    </row>
    <row r="55" spans="1:7" x14ac:dyDescent="0.25">
      <c r="A55" s="191" t="s">
        <v>124</v>
      </c>
      <c r="B55" s="191"/>
      <c r="C55" s="191"/>
      <c r="D55" s="191"/>
      <c r="E55" s="191"/>
      <c r="F55" s="191"/>
      <c r="G55" s="191"/>
    </row>
    <row r="56" spans="1:7" x14ac:dyDescent="0.25">
      <c r="A56" s="191" t="s">
        <v>125</v>
      </c>
      <c r="B56" s="191"/>
      <c r="C56" s="191"/>
      <c r="D56" s="191"/>
      <c r="E56" s="191"/>
      <c r="F56" s="191"/>
      <c r="G56" s="191"/>
    </row>
    <row r="57" spans="1:7" ht="18" x14ac:dyDescent="0.25">
      <c r="A57" s="192" t="s">
        <v>126</v>
      </c>
      <c r="B57" s="192"/>
      <c r="C57" s="192"/>
      <c r="D57" s="192"/>
      <c r="E57" s="192"/>
      <c r="F57" s="192"/>
      <c r="G57" s="192"/>
    </row>
    <row r="58" spans="1:7" x14ac:dyDescent="0.25">
      <c r="A58" s="162" t="s">
        <v>1</v>
      </c>
      <c r="B58" s="135" t="s">
        <v>21</v>
      </c>
      <c r="C58" s="135"/>
      <c r="D58" s="135"/>
      <c r="E58" s="135" t="s">
        <v>22</v>
      </c>
      <c r="F58" s="135"/>
      <c r="G58" s="193" t="s">
        <v>47</v>
      </c>
    </row>
    <row r="59" spans="1:7" x14ac:dyDescent="0.25">
      <c r="A59" s="162"/>
      <c r="B59" s="12" t="s">
        <v>23</v>
      </c>
      <c r="C59" s="108" t="s">
        <v>24</v>
      </c>
      <c r="D59" s="12" t="s">
        <v>25</v>
      </c>
      <c r="E59" s="12" t="s">
        <v>26</v>
      </c>
      <c r="F59" s="12" t="s">
        <v>27</v>
      </c>
      <c r="G59" s="193"/>
    </row>
    <row r="60" spans="1:7" x14ac:dyDescent="0.25">
      <c r="A60" s="13" t="s">
        <v>148</v>
      </c>
      <c r="B60" s="109">
        <v>30</v>
      </c>
      <c r="C60" s="14">
        <v>6</v>
      </c>
      <c r="D60" s="16">
        <v>1500</v>
      </c>
      <c r="E60" s="17">
        <f t="shared" ref="E60:E68" si="2">C60*D60</f>
        <v>9000</v>
      </c>
      <c r="F60" s="17">
        <f t="shared" ref="F60:F68" si="3">B60*E60</f>
        <v>270000</v>
      </c>
      <c r="G60" s="13" t="s">
        <v>149</v>
      </c>
    </row>
    <row r="61" spans="1:7" x14ac:dyDescent="0.25">
      <c r="A61" s="13" t="s">
        <v>150</v>
      </c>
      <c r="B61" s="109">
        <v>30</v>
      </c>
      <c r="C61" s="14">
        <v>6</v>
      </c>
      <c r="D61" s="16">
        <v>1000</v>
      </c>
      <c r="E61" s="17">
        <f t="shared" si="2"/>
        <v>6000</v>
      </c>
      <c r="F61" s="17">
        <f t="shared" si="3"/>
        <v>180000</v>
      </c>
      <c r="G61" s="13" t="s">
        <v>149</v>
      </c>
    </row>
    <row r="62" spans="1:7" x14ac:dyDescent="0.25">
      <c r="A62" s="13" t="s">
        <v>151</v>
      </c>
      <c r="B62" s="109">
        <v>30</v>
      </c>
      <c r="C62" s="14">
        <v>55</v>
      </c>
      <c r="D62" s="16">
        <v>200</v>
      </c>
      <c r="E62" s="17">
        <f t="shared" si="2"/>
        <v>11000</v>
      </c>
      <c r="F62" s="17">
        <f t="shared" si="3"/>
        <v>330000</v>
      </c>
      <c r="G62" s="13" t="s">
        <v>149</v>
      </c>
    </row>
    <row r="63" spans="1:7" x14ac:dyDescent="0.25">
      <c r="A63" s="110" t="s">
        <v>152</v>
      </c>
      <c r="B63" s="111">
        <v>30</v>
      </c>
      <c r="C63" s="108">
        <v>59</v>
      </c>
      <c r="D63" s="112">
        <v>380</v>
      </c>
      <c r="E63" s="17">
        <f t="shared" si="2"/>
        <v>22420</v>
      </c>
      <c r="F63" s="17">
        <f t="shared" si="3"/>
        <v>672600</v>
      </c>
      <c r="G63" s="13" t="s">
        <v>149</v>
      </c>
    </row>
    <row r="64" spans="1:7" x14ac:dyDescent="0.25">
      <c r="A64" s="13" t="s">
        <v>109</v>
      </c>
      <c r="B64" s="109">
        <v>30</v>
      </c>
      <c r="C64" s="14">
        <v>38</v>
      </c>
      <c r="D64" s="16">
        <v>180</v>
      </c>
      <c r="E64" s="17">
        <f t="shared" si="2"/>
        <v>6840</v>
      </c>
      <c r="F64" s="17">
        <f t="shared" si="3"/>
        <v>205200</v>
      </c>
      <c r="G64" s="13" t="s">
        <v>149</v>
      </c>
    </row>
    <row r="65" spans="1:7" x14ac:dyDescent="0.25">
      <c r="A65" s="13" t="s">
        <v>153</v>
      </c>
      <c r="B65" s="109">
        <v>30</v>
      </c>
      <c r="C65" s="14">
        <v>2</v>
      </c>
      <c r="D65" s="16">
        <v>175</v>
      </c>
      <c r="E65" s="17">
        <f t="shared" si="2"/>
        <v>350</v>
      </c>
      <c r="F65" s="17">
        <f t="shared" si="3"/>
        <v>10500</v>
      </c>
      <c r="G65" s="13" t="s">
        <v>149</v>
      </c>
    </row>
    <row r="66" spans="1:7" x14ac:dyDescent="0.25">
      <c r="A66" s="13" t="s">
        <v>154</v>
      </c>
      <c r="B66" s="109">
        <v>30</v>
      </c>
      <c r="C66" s="14">
        <v>1</v>
      </c>
      <c r="D66" s="16">
        <v>180</v>
      </c>
      <c r="E66" s="17">
        <f t="shared" si="2"/>
        <v>180</v>
      </c>
      <c r="F66" s="17">
        <f t="shared" si="3"/>
        <v>5400</v>
      </c>
      <c r="G66" s="13" t="s">
        <v>149</v>
      </c>
    </row>
    <row r="67" spans="1:7" x14ac:dyDescent="0.25">
      <c r="A67" s="13" t="s">
        <v>155</v>
      </c>
      <c r="B67" s="109">
        <v>30</v>
      </c>
      <c r="C67" s="108">
        <v>5</v>
      </c>
      <c r="D67" s="16">
        <v>220</v>
      </c>
      <c r="E67" s="17">
        <f t="shared" si="2"/>
        <v>1100</v>
      </c>
      <c r="F67" s="17">
        <f t="shared" si="3"/>
        <v>33000</v>
      </c>
      <c r="G67" s="13" t="s">
        <v>149</v>
      </c>
    </row>
    <row r="68" spans="1:7" x14ac:dyDescent="0.25">
      <c r="A68" s="13" t="s">
        <v>156</v>
      </c>
      <c r="B68" s="109">
        <v>30</v>
      </c>
      <c r="C68" s="108">
        <v>6</v>
      </c>
      <c r="D68" s="16">
        <v>300</v>
      </c>
      <c r="E68" s="17">
        <f t="shared" si="2"/>
        <v>1800</v>
      </c>
      <c r="F68" s="17">
        <f t="shared" si="3"/>
        <v>54000</v>
      </c>
      <c r="G68" s="13" t="s">
        <v>149</v>
      </c>
    </row>
    <row r="69" spans="1:7" ht="18.75" x14ac:dyDescent="0.4">
      <c r="A69" s="161" t="s">
        <v>186</v>
      </c>
      <c r="B69" s="161"/>
      <c r="C69" s="162" t="s">
        <v>31</v>
      </c>
      <c r="D69" s="162"/>
      <c r="E69" s="18">
        <f>SUM(F60:F68)</f>
        <v>1760700</v>
      </c>
      <c r="F69" s="194" t="s">
        <v>157</v>
      </c>
      <c r="G69" s="195"/>
    </row>
    <row r="70" spans="1:7" ht="18.75" x14ac:dyDescent="0.4">
      <c r="A70" s="161"/>
      <c r="B70" s="161"/>
      <c r="C70" s="162"/>
      <c r="D70" s="162"/>
      <c r="E70" s="19"/>
      <c r="F70" s="196"/>
      <c r="G70" s="197"/>
    </row>
    <row r="71" spans="1:7" ht="18.75" x14ac:dyDescent="0.4">
      <c r="A71" s="161"/>
      <c r="B71" s="161"/>
      <c r="C71" s="162" t="s">
        <v>31</v>
      </c>
      <c r="D71" s="162"/>
      <c r="E71" s="113">
        <f>SUM(E69:E70)</f>
        <v>1760700</v>
      </c>
      <c r="F71" s="198"/>
      <c r="G71" s="199"/>
    </row>
    <row r="73" spans="1:7" ht="15.75" thickBot="1" x14ac:dyDescent="0.3"/>
    <row r="74" spans="1:7" ht="18.75" x14ac:dyDescent="0.3">
      <c r="A74" s="147" t="s">
        <v>102</v>
      </c>
      <c r="B74" s="148"/>
      <c r="C74" s="148"/>
      <c r="D74" s="148"/>
      <c r="E74" s="148"/>
    </row>
    <row r="75" spans="1:7" ht="18.75" x14ac:dyDescent="0.3">
      <c r="A75" s="149" t="s">
        <v>103</v>
      </c>
      <c r="B75" s="150"/>
      <c r="C75" s="150"/>
      <c r="D75" s="150"/>
      <c r="E75" s="150"/>
    </row>
    <row r="76" spans="1:7" ht="18.75" x14ac:dyDescent="0.3">
      <c r="A76" s="149" t="s">
        <v>190</v>
      </c>
      <c r="B76" s="150"/>
      <c r="C76" s="150"/>
      <c r="D76" s="150"/>
      <c r="E76" s="150"/>
    </row>
    <row r="77" spans="1:7" x14ac:dyDescent="0.25">
      <c r="A77" s="51" t="s">
        <v>1</v>
      </c>
      <c r="B77" s="52" t="s">
        <v>2</v>
      </c>
      <c r="C77" s="52">
        <v>14012</v>
      </c>
      <c r="D77" s="52"/>
      <c r="E77" s="52" t="s">
        <v>65</v>
      </c>
    </row>
    <row r="78" spans="1:7" x14ac:dyDescent="0.25">
      <c r="A78" s="54"/>
      <c r="B78" s="3"/>
      <c r="C78" s="3">
        <v>46277</v>
      </c>
      <c r="D78" s="3">
        <v>46286</v>
      </c>
      <c r="E78" s="3">
        <v>46295</v>
      </c>
    </row>
    <row r="79" spans="1:7" x14ac:dyDescent="0.25">
      <c r="A79" s="86" t="s">
        <v>107</v>
      </c>
      <c r="B79" s="58"/>
      <c r="C79" s="57">
        <v>6</v>
      </c>
      <c r="D79" s="57"/>
      <c r="E79" s="7">
        <f>SUM(B79:C79)</f>
        <v>6</v>
      </c>
    </row>
    <row r="80" spans="1:7" x14ac:dyDescent="0.25">
      <c r="A80" s="86" t="s">
        <v>109</v>
      </c>
      <c r="B80" s="58"/>
      <c r="C80" s="57">
        <v>1</v>
      </c>
      <c r="D80" s="57"/>
      <c r="E80" s="7">
        <f>SUM(B80:C80)</f>
        <v>1</v>
      </c>
    </row>
    <row r="81" spans="1:7" x14ac:dyDescent="0.25">
      <c r="A81" s="86" t="s">
        <v>110</v>
      </c>
      <c r="B81" s="58"/>
      <c r="C81" s="57">
        <v>1</v>
      </c>
      <c r="D81" s="57"/>
      <c r="E81" s="7">
        <f>SUM(B81:C81)</f>
        <v>1</v>
      </c>
    </row>
    <row r="82" spans="1:7" x14ac:dyDescent="0.25">
      <c r="A82" s="203" t="s">
        <v>187</v>
      </c>
      <c r="B82" s="58"/>
      <c r="C82" s="57">
        <v>4</v>
      </c>
      <c r="D82" s="57"/>
      <c r="E82" s="7">
        <f>SUM(B82:C82)</f>
        <v>4</v>
      </c>
    </row>
    <row r="83" spans="1:7" x14ac:dyDescent="0.25">
      <c r="A83" s="54" t="s">
        <v>123</v>
      </c>
      <c r="B83" s="88"/>
      <c r="C83" s="9" t="s">
        <v>188</v>
      </c>
      <c r="D83" s="9" t="s">
        <v>189</v>
      </c>
      <c r="E83" s="9"/>
    </row>
    <row r="84" spans="1:7" x14ac:dyDescent="0.25">
      <c r="A84" s="54" t="s">
        <v>69</v>
      </c>
      <c r="B84" s="89"/>
      <c r="C84" s="59"/>
      <c r="D84" s="59"/>
      <c r="E84" s="59"/>
    </row>
    <row r="87" spans="1:7" x14ac:dyDescent="0.25">
      <c r="A87" s="191" t="s">
        <v>124</v>
      </c>
      <c r="B87" s="191"/>
      <c r="C87" s="191"/>
      <c r="D87" s="191"/>
      <c r="E87" s="191"/>
      <c r="F87" s="191"/>
      <c r="G87" s="191"/>
    </row>
    <row r="88" spans="1:7" x14ac:dyDescent="0.25">
      <c r="A88" s="191" t="s">
        <v>125</v>
      </c>
      <c r="B88" s="191"/>
      <c r="C88" s="191"/>
      <c r="D88" s="191"/>
      <c r="E88" s="191"/>
      <c r="F88" s="191"/>
      <c r="G88" s="191"/>
    </row>
    <row r="89" spans="1:7" ht="18" x14ac:dyDescent="0.25">
      <c r="A89" s="192" t="s">
        <v>126</v>
      </c>
      <c r="B89" s="192"/>
      <c r="C89" s="192"/>
      <c r="D89" s="192"/>
      <c r="E89" s="192"/>
      <c r="F89" s="192"/>
      <c r="G89" s="192"/>
    </row>
    <row r="90" spans="1:7" x14ac:dyDescent="0.25">
      <c r="A90" s="162" t="s">
        <v>1</v>
      </c>
      <c r="B90" s="135" t="s">
        <v>21</v>
      </c>
      <c r="C90" s="135"/>
      <c r="D90" s="135"/>
      <c r="E90" s="135" t="s">
        <v>22</v>
      </c>
      <c r="F90" s="135"/>
      <c r="G90" s="193" t="s">
        <v>47</v>
      </c>
    </row>
    <row r="91" spans="1:7" x14ac:dyDescent="0.25">
      <c r="A91" s="162"/>
      <c r="B91" s="12" t="s">
        <v>23</v>
      </c>
      <c r="C91" s="108" t="s">
        <v>24</v>
      </c>
      <c r="D91" s="12" t="s">
        <v>25</v>
      </c>
      <c r="E91" s="12" t="s">
        <v>26</v>
      </c>
      <c r="F91" s="12" t="s">
        <v>27</v>
      </c>
      <c r="G91" s="193"/>
    </row>
    <row r="92" spans="1:7" x14ac:dyDescent="0.25">
      <c r="A92" s="13" t="s">
        <v>151</v>
      </c>
      <c r="B92" s="109">
        <v>10</v>
      </c>
      <c r="C92" s="14">
        <v>6</v>
      </c>
      <c r="D92" s="16">
        <v>200</v>
      </c>
      <c r="E92" s="17">
        <f t="shared" ref="E92:E95" si="4">C92*D92</f>
        <v>1200</v>
      </c>
      <c r="F92" s="17">
        <f t="shared" ref="F92:F95" si="5">B92*E92</f>
        <v>12000</v>
      </c>
      <c r="G92" s="13" t="s">
        <v>191</v>
      </c>
    </row>
    <row r="93" spans="1:7" x14ac:dyDescent="0.25">
      <c r="A93" s="13" t="s">
        <v>109</v>
      </c>
      <c r="B93" s="109">
        <v>10</v>
      </c>
      <c r="C93" s="14">
        <v>1</v>
      </c>
      <c r="D93" s="16">
        <v>180</v>
      </c>
      <c r="E93" s="17">
        <f t="shared" si="4"/>
        <v>180</v>
      </c>
      <c r="F93" s="17">
        <f t="shared" si="5"/>
        <v>1800</v>
      </c>
      <c r="G93" s="13" t="s">
        <v>191</v>
      </c>
    </row>
    <row r="94" spans="1:7" x14ac:dyDescent="0.25">
      <c r="A94" s="13" t="s">
        <v>153</v>
      </c>
      <c r="B94" s="109">
        <v>10</v>
      </c>
      <c r="C94" s="14">
        <v>1</v>
      </c>
      <c r="D94" s="16">
        <v>175</v>
      </c>
      <c r="E94" s="17">
        <f t="shared" si="4"/>
        <v>175</v>
      </c>
      <c r="F94" s="17">
        <f t="shared" si="5"/>
        <v>1750</v>
      </c>
      <c r="G94" s="13" t="s">
        <v>191</v>
      </c>
    </row>
    <row r="95" spans="1:7" x14ac:dyDescent="0.25">
      <c r="A95" s="13" t="s">
        <v>192</v>
      </c>
      <c r="B95" s="109">
        <v>10</v>
      </c>
      <c r="C95" s="108">
        <v>4</v>
      </c>
      <c r="D95" s="16">
        <v>750</v>
      </c>
      <c r="E95" s="17">
        <f t="shared" si="4"/>
        <v>3000</v>
      </c>
      <c r="F95" s="17">
        <f t="shared" si="5"/>
        <v>30000</v>
      </c>
      <c r="G95" s="13" t="s">
        <v>191</v>
      </c>
    </row>
    <row r="96" spans="1:7" ht="18.75" x14ac:dyDescent="0.4">
      <c r="A96" s="161" t="s">
        <v>191</v>
      </c>
      <c r="B96" s="161"/>
      <c r="C96" s="162" t="s">
        <v>31</v>
      </c>
      <c r="D96" s="162"/>
      <c r="E96" s="18">
        <f>SUM(F92:F95)</f>
        <v>45550</v>
      </c>
      <c r="F96" s="194" t="s">
        <v>193</v>
      </c>
      <c r="G96" s="195"/>
    </row>
    <row r="97" spans="1:7" ht="18.75" x14ac:dyDescent="0.4">
      <c r="A97" s="161"/>
      <c r="B97" s="161"/>
      <c r="C97" s="162"/>
      <c r="D97" s="162"/>
      <c r="E97" s="19"/>
      <c r="F97" s="196"/>
      <c r="G97" s="197"/>
    </row>
    <row r="98" spans="1:7" ht="18.75" x14ac:dyDescent="0.4">
      <c r="A98" s="161"/>
      <c r="B98" s="161"/>
      <c r="C98" s="162" t="s">
        <v>31</v>
      </c>
      <c r="D98" s="162"/>
      <c r="E98" s="113">
        <f>SUM(E96:E97)</f>
        <v>45550</v>
      </c>
      <c r="F98" s="198"/>
      <c r="G98" s="199"/>
    </row>
  </sheetData>
  <mergeCells count="41">
    <mergeCell ref="A96:B98"/>
    <mergeCell ref="C96:D96"/>
    <mergeCell ref="F96:G98"/>
    <mergeCell ref="C97:D97"/>
    <mergeCell ref="C98:D98"/>
    <mergeCell ref="A87:G87"/>
    <mergeCell ref="A88:G88"/>
    <mergeCell ref="A89:G89"/>
    <mergeCell ref="A90:A91"/>
    <mergeCell ref="B90:D90"/>
    <mergeCell ref="E90:F90"/>
    <mergeCell ref="G90:G91"/>
    <mergeCell ref="A74:E74"/>
    <mergeCell ref="A75:E75"/>
    <mergeCell ref="A76:E76"/>
    <mergeCell ref="A69:B71"/>
    <mergeCell ref="C69:D69"/>
    <mergeCell ref="F69:G71"/>
    <mergeCell ref="C70:D70"/>
    <mergeCell ref="C71:D71"/>
    <mergeCell ref="A57:G57"/>
    <mergeCell ref="A58:A59"/>
    <mergeCell ref="B58:D58"/>
    <mergeCell ref="E58:F58"/>
    <mergeCell ref="G58:G59"/>
    <mergeCell ref="A55:G55"/>
    <mergeCell ref="A56:G56"/>
    <mergeCell ref="A36:G36"/>
    <mergeCell ref="A37:G37"/>
    <mergeCell ref="A38:G38"/>
    <mergeCell ref="A31:B34"/>
    <mergeCell ref="C31:D31"/>
    <mergeCell ref="C32:D32"/>
    <mergeCell ref="C33:D33"/>
    <mergeCell ref="C34:D34"/>
    <mergeCell ref="A1:F1"/>
    <mergeCell ref="A2:F2"/>
    <mergeCell ref="A3:F3"/>
    <mergeCell ref="A4:A5"/>
    <mergeCell ref="B4:D4"/>
    <mergeCell ref="E4:F4"/>
  </mergeCells>
  <pageMargins left="0.7" right="0.7" top="0.75" bottom="0.75" header="0.3" footer="0.3"/>
  <pageSetup paperSize="9" scale="3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39A5-3858-4F77-8B1A-27DBEE4B3C72}">
  <sheetPr>
    <pageSetUpPr fitToPage="1"/>
  </sheetPr>
  <dimension ref="A1:L47"/>
  <sheetViews>
    <sheetView topLeftCell="A31" workbookViewId="0">
      <selection activeCell="G40" sqref="G40"/>
    </sheetView>
  </sheetViews>
  <sheetFormatPr baseColWidth="10" defaultRowHeight="15" x14ac:dyDescent="0.25"/>
  <cols>
    <col min="1" max="1" width="32.7109375" customWidth="1"/>
    <col min="2" max="2" width="14.85546875" customWidth="1"/>
    <col min="5" max="5" width="14.42578125" bestFit="1" customWidth="1"/>
    <col min="6" max="6" width="18.85546875" customWidth="1"/>
    <col min="9" max="11" width="0" hidden="1" customWidth="1"/>
  </cols>
  <sheetData>
    <row r="1" spans="1:6" x14ac:dyDescent="0.25">
      <c r="A1" s="201" t="s">
        <v>158</v>
      </c>
      <c r="B1" s="202"/>
      <c r="C1" s="202"/>
      <c r="D1" s="202"/>
      <c r="E1" s="202"/>
      <c r="F1" s="202"/>
    </row>
    <row r="2" spans="1:6" ht="18" x14ac:dyDescent="0.25">
      <c r="A2" s="157" t="s">
        <v>159</v>
      </c>
      <c r="B2" s="158"/>
      <c r="C2" s="158"/>
      <c r="D2" s="158"/>
      <c r="E2" s="158"/>
      <c r="F2" s="158"/>
    </row>
    <row r="3" spans="1:6" ht="18" x14ac:dyDescent="0.25">
      <c r="A3" s="157" t="s">
        <v>160</v>
      </c>
      <c r="B3" s="158"/>
      <c r="C3" s="158"/>
      <c r="D3" s="158"/>
      <c r="E3" s="158"/>
      <c r="F3" s="158"/>
    </row>
    <row r="4" spans="1:6" x14ac:dyDescent="0.25">
      <c r="A4" s="134" t="s">
        <v>1</v>
      </c>
      <c r="B4" s="135" t="s">
        <v>21</v>
      </c>
      <c r="C4" s="135"/>
      <c r="D4" s="135"/>
      <c r="E4" s="135" t="s">
        <v>22</v>
      </c>
      <c r="F4" s="136"/>
    </row>
    <row r="5" spans="1:6" x14ac:dyDescent="0.25">
      <c r="A5" s="134"/>
      <c r="B5" s="12" t="s">
        <v>23</v>
      </c>
      <c r="C5" s="12" t="s">
        <v>24</v>
      </c>
      <c r="D5" s="114" t="s">
        <v>25</v>
      </c>
      <c r="E5" s="12" t="s">
        <v>26</v>
      </c>
      <c r="F5" s="38" t="s">
        <v>27</v>
      </c>
    </row>
    <row r="6" spans="1:6" x14ac:dyDescent="0.25">
      <c r="A6" s="32" t="s">
        <v>114</v>
      </c>
      <c r="B6" s="39">
        <v>5</v>
      </c>
      <c r="C6" s="14">
        <v>12</v>
      </c>
      <c r="D6" s="115">
        <v>350</v>
      </c>
      <c r="E6" s="116">
        <f>C6*D6</f>
        <v>4200</v>
      </c>
      <c r="F6" s="117">
        <f>B6*E6</f>
        <v>21000</v>
      </c>
    </row>
    <row r="7" spans="1:6" x14ac:dyDescent="0.25">
      <c r="A7" s="32" t="s">
        <v>117</v>
      </c>
      <c r="B7" s="39">
        <v>5</v>
      </c>
      <c r="C7" s="14">
        <v>12</v>
      </c>
      <c r="D7" s="115">
        <v>300</v>
      </c>
      <c r="E7" s="116">
        <f t="shared" ref="E7:E13" si="0">C7*D7</f>
        <v>3600</v>
      </c>
      <c r="F7" s="117">
        <f t="shared" ref="F7:F13" si="1">B7*E7</f>
        <v>18000</v>
      </c>
    </row>
    <row r="8" spans="1:6" x14ac:dyDescent="0.25">
      <c r="A8" s="32" t="s">
        <v>161</v>
      </c>
      <c r="B8" s="39">
        <v>5</v>
      </c>
      <c r="C8" s="14">
        <v>4</v>
      </c>
      <c r="D8" s="115">
        <v>320</v>
      </c>
      <c r="E8" s="116">
        <f t="shared" si="0"/>
        <v>1280</v>
      </c>
      <c r="F8" s="117">
        <f t="shared" si="1"/>
        <v>6400</v>
      </c>
    </row>
    <row r="9" spans="1:6" x14ac:dyDescent="0.25">
      <c r="A9" s="32" t="s">
        <v>122</v>
      </c>
      <c r="B9" s="39">
        <v>5</v>
      </c>
      <c r="C9" s="14">
        <v>4</v>
      </c>
      <c r="D9" s="115">
        <v>320</v>
      </c>
      <c r="E9" s="116">
        <f t="shared" si="0"/>
        <v>1280</v>
      </c>
      <c r="F9" s="117">
        <f t="shared" si="1"/>
        <v>6400</v>
      </c>
    </row>
    <row r="10" spans="1:6" x14ac:dyDescent="0.25">
      <c r="A10" s="32" t="s">
        <v>162</v>
      </c>
      <c r="B10" s="39">
        <v>5</v>
      </c>
      <c r="C10" s="14">
        <v>20</v>
      </c>
      <c r="D10" s="115">
        <v>120</v>
      </c>
      <c r="E10" s="116">
        <f t="shared" si="0"/>
        <v>2400</v>
      </c>
      <c r="F10" s="117">
        <f t="shared" si="1"/>
        <v>12000</v>
      </c>
    </row>
    <row r="11" spans="1:6" x14ac:dyDescent="0.25">
      <c r="A11" s="32" t="s">
        <v>85</v>
      </c>
      <c r="B11" s="39">
        <v>5</v>
      </c>
      <c r="C11" s="14">
        <v>12</v>
      </c>
      <c r="D11" s="115">
        <v>100</v>
      </c>
      <c r="E11" s="116">
        <f t="shared" si="0"/>
        <v>1200</v>
      </c>
      <c r="F11" s="117">
        <f t="shared" si="1"/>
        <v>6000</v>
      </c>
    </row>
    <row r="12" spans="1:6" x14ac:dyDescent="0.25">
      <c r="A12" s="32" t="s">
        <v>61</v>
      </c>
      <c r="B12" s="39">
        <v>5</v>
      </c>
      <c r="C12" s="14">
        <v>500</v>
      </c>
      <c r="D12" s="115">
        <v>30</v>
      </c>
      <c r="E12" s="116">
        <f t="shared" si="0"/>
        <v>15000</v>
      </c>
      <c r="F12" s="117">
        <f t="shared" si="1"/>
        <v>75000</v>
      </c>
    </row>
    <row r="13" spans="1:6" x14ac:dyDescent="0.25">
      <c r="A13" s="32" t="s">
        <v>163</v>
      </c>
      <c r="B13" s="39">
        <v>5</v>
      </c>
      <c r="C13" s="14">
        <v>15</v>
      </c>
      <c r="D13" s="115">
        <v>250</v>
      </c>
      <c r="E13" s="116">
        <f t="shared" si="0"/>
        <v>3750</v>
      </c>
      <c r="F13" s="117">
        <f t="shared" si="1"/>
        <v>18750</v>
      </c>
    </row>
    <row r="14" spans="1:6" ht="18.75" x14ac:dyDescent="0.4">
      <c r="A14" s="160"/>
      <c r="B14" s="161"/>
      <c r="C14" s="180" t="s">
        <v>164</v>
      </c>
      <c r="D14" s="200"/>
      <c r="E14" s="118">
        <f>SUM(E6:E13)</f>
        <v>32710</v>
      </c>
      <c r="F14" s="34"/>
    </row>
    <row r="15" spans="1:6" ht="19.5" thickBot="1" x14ac:dyDescent="0.45">
      <c r="A15" s="137"/>
      <c r="B15" s="138"/>
      <c r="C15" s="141" t="s">
        <v>31</v>
      </c>
      <c r="D15" s="141"/>
      <c r="E15" s="119">
        <f>SUM(F6:F13)</f>
        <v>163550</v>
      </c>
      <c r="F15" s="35"/>
    </row>
    <row r="16" spans="1:6" ht="18.75" x14ac:dyDescent="0.4">
      <c r="A16" s="137"/>
      <c r="B16" s="138"/>
      <c r="C16" s="178" t="s">
        <v>135</v>
      </c>
      <c r="D16" s="179"/>
      <c r="E16" s="120">
        <v>100000</v>
      </c>
      <c r="F16" s="35"/>
    </row>
    <row r="17" spans="1:6" ht="19.5" thickBot="1" x14ac:dyDescent="0.45">
      <c r="A17" s="139"/>
      <c r="B17" s="140"/>
      <c r="C17" s="141"/>
      <c r="D17" s="141"/>
      <c r="E17" s="121">
        <f>SUM(E15:E16)</f>
        <v>263550</v>
      </c>
      <c r="F17" s="37"/>
    </row>
    <row r="20" spans="1:6" x14ac:dyDescent="0.25">
      <c r="A20" s="201" t="s">
        <v>158</v>
      </c>
      <c r="B20" s="202"/>
      <c r="C20" s="202"/>
      <c r="D20" s="202"/>
      <c r="E20" s="202"/>
      <c r="F20" s="202"/>
    </row>
    <row r="21" spans="1:6" ht="18" x14ac:dyDescent="0.25">
      <c r="A21" s="157" t="s">
        <v>159</v>
      </c>
      <c r="B21" s="158"/>
      <c r="C21" s="158"/>
      <c r="D21" s="158"/>
      <c r="E21" s="158"/>
      <c r="F21" s="158"/>
    </row>
    <row r="22" spans="1:6" ht="18" x14ac:dyDescent="0.25">
      <c r="A22" s="157" t="s">
        <v>160</v>
      </c>
      <c r="B22" s="158"/>
      <c r="C22" s="158"/>
      <c r="D22" s="158"/>
      <c r="E22" s="158"/>
      <c r="F22" s="158"/>
    </row>
    <row r="23" spans="1:6" x14ac:dyDescent="0.25">
      <c r="A23" s="134" t="s">
        <v>1</v>
      </c>
      <c r="B23" s="135" t="s">
        <v>21</v>
      </c>
      <c r="C23" s="135"/>
      <c r="D23" s="135"/>
      <c r="E23" s="135" t="s">
        <v>22</v>
      </c>
      <c r="F23" s="136"/>
    </row>
    <row r="24" spans="1:6" x14ac:dyDescent="0.25">
      <c r="A24" s="134"/>
      <c r="B24" s="12" t="s">
        <v>23</v>
      </c>
      <c r="C24" s="12" t="s">
        <v>24</v>
      </c>
      <c r="D24" s="114" t="s">
        <v>25</v>
      </c>
      <c r="E24" s="12" t="s">
        <v>26</v>
      </c>
      <c r="F24" s="38" t="s">
        <v>27</v>
      </c>
    </row>
    <row r="25" spans="1:6" x14ac:dyDescent="0.25">
      <c r="A25" s="32" t="s">
        <v>165</v>
      </c>
      <c r="B25" s="39">
        <v>9</v>
      </c>
      <c r="C25" s="14">
        <v>6</v>
      </c>
      <c r="D25" s="115">
        <v>600</v>
      </c>
      <c r="E25" s="116">
        <f>C25*D25</f>
        <v>3600</v>
      </c>
      <c r="F25" s="117">
        <f>B25*E25</f>
        <v>32400</v>
      </c>
    </row>
    <row r="26" spans="1:6" ht="18.75" x14ac:dyDescent="0.4">
      <c r="A26" s="160" t="s">
        <v>171</v>
      </c>
      <c r="B26" s="161"/>
      <c r="C26" s="180" t="s">
        <v>164</v>
      </c>
      <c r="D26" s="200"/>
      <c r="E26" s="118">
        <f>SUM(E25:E25)</f>
        <v>3600</v>
      </c>
      <c r="F26" s="34"/>
    </row>
    <row r="27" spans="1:6" ht="19.5" thickBot="1" x14ac:dyDescent="0.45">
      <c r="A27" s="137"/>
      <c r="B27" s="138"/>
      <c r="C27" s="141" t="s">
        <v>31</v>
      </c>
      <c r="D27" s="141"/>
      <c r="E27" s="119">
        <f>SUM(F25:F25)</f>
        <v>32400</v>
      </c>
      <c r="F27" s="35"/>
    </row>
    <row r="28" spans="1:6" ht="18.75" x14ac:dyDescent="0.4">
      <c r="A28" s="137"/>
      <c r="B28" s="138"/>
      <c r="C28" s="178" t="s">
        <v>166</v>
      </c>
      <c r="D28" s="179"/>
      <c r="E28" s="120">
        <v>60000</v>
      </c>
      <c r="F28" s="35"/>
    </row>
    <row r="29" spans="1:6" ht="19.5" thickBot="1" x14ac:dyDescent="0.45">
      <c r="A29" s="139"/>
      <c r="B29" s="140"/>
      <c r="C29" s="141"/>
      <c r="D29" s="141"/>
      <c r="E29" s="121">
        <f>SUM(E27:E28)</f>
        <v>92400</v>
      </c>
      <c r="F29" s="37"/>
    </row>
    <row r="32" spans="1:6" x14ac:dyDescent="0.25">
      <c r="A32" s="201" t="s">
        <v>158</v>
      </c>
      <c r="B32" s="202"/>
      <c r="C32" s="202"/>
      <c r="D32" s="202"/>
      <c r="E32" s="202"/>
      <c r="F32" s="202"/>
    </row>
    <row r="33" spans="1:12" ht="18" x14ac:dyDescent="0.25">
      <c r="A33" s="157" t="s">
        <v>159</v>
      </c>
      <c r="B33" s="158"/>
      <c r="C33" s="158"/>
      <c r="D33" s="158"/>
      <c r="E33" s="158"/>
      <c r="F33" s="158"/>
    </row>
    <row r="34" spans="1:12" ht="18" x14ac:dyDescent="0.25">
      <c r="A34" s="157" t="s">
        <v>160</v>
      </c>
      <c r="B34" s="158"/>
      <c r="C34" s="158"/>
      <c r="D34" s="158"/>
      <c r="E34" s="158"/>
      <c r="F34" s="158"/>
      <c r="G34" s="107" t="s">
        <v>167</v>
      </c>
      <c r="H34" s="107"/>
    </row>
    <row r="35" spans="1:12" x14ac:dyDescent="0.25">
      <c r="A35" s="134" t="s">
        <v>1</v>
      </c>
      <c r="B35" s="135" t="s">
        <v>21</v>
      </c>
      <c r="C35" s="135"/>
      <c r="D35" s="135"/>
      <c r="E35" s="135" t="s">
        <v>22</v>
      </c>
      <c r="F35" s="136"/>
    </row>
    <row r="36" spans="1:12" x14ac:dyDescent="0.25">
      <c r="A36" s="134"/>
      <c r="B36" s="12" t="s">
        <v>23</v>
      </c>
      <c r="C36" s="12" t="s">
        <v>24</v>
      </c>
      <c r="D36" s="114" t="s">
        <v>25</v>
      </c>
      <c r="E36" s="12" t="s">
        <v>26</v>
      </c>
      <c r="F36" s="38" t="s">
        <v>27</v>
      </c>
    </row>
    <row r="37" spans="1:12" x14ac:dyDescent="0.25">
      <c r="A37" s="32" t="s">
        <v>168</v>
      </c>
      <c r="B37" s="39">
        <v>9</v>
      </c>
      <c r="C37" s="14">
        <v>3</v>
      </c>
      <c r="D37" s="115">
        <v>1500</v>
      </c>
      <c r="E37" s="116">
        <f>C37*D37</f>
        <v>4500</v>
      </c>
      <c r="F37" s="117">
        <f>B37*E37</f>
        <v>40500</v>
      </c>
    </row>
    <row r="38" spans="1:12" x14ac:dyDescent="0.25">
      <c r="A38" s="32" t="s">
        <v>169</v>
      </c>
      <c r="B38" s="39">
        <v>9</v>
      </c>
      <c r="C38" s="14">
        <v>6</v>
      </c>
      <c r="D38" s="115">
        <v>1000</v>
      </c>
      <c r="E38" s="116">
        <f>C38*D38</f>
        <v>6000</v>
      </c>
      <c r="F38" s="117">
        <f>B38*E38</f>
        <v>54000</v>
      </c>
    </row>
    <row r="39" spans="1:12" ht="18.75" x14ac:dyDescent="0.4">
      <c r="A39" s="160" t="s">
        <v>170</v>
      </c>
      <c r="B39" s="161"/>
      <c r="C39" s="180" t="s">
        <v>164</v>
      </c>
      <c r="D39" s="200"/>
      <c r="E39" s="118">
        <f>SUM(E37:E38)</f>
        <v>10500</v>
      </c>
      <c r="F39" s="34"/>
    </row>
    <row r="40" spans="1:12" ht="19.5" thickBot="1" x14ac:dyDescent="0.45">
      <c r="A40" s="137"/>
      <c r="B40" s="138"/>
      <c r="C40" s="141" t="s">
        <v>31</v>
      </c>
      <c r="D40" s="141"/>
      <c r="E40" s="119">
        <f>SUM(F37:F38)</f>
        <v>94500</v>
      </c>
      <c r="F40" s="35"/>
    </row>
    <row r="41" spans="1:12" ht="18.75" x14ac:dyDescent="0.4">
      <c r="A41" s="137"/>
      <c r="B41" s="138"/>
      <c r="C41" s="178" t="s">
        <v>135</v>
      </c>
      <c r="D41" s="179"/>
      <c r="E41" s="120">
        <v>60000</v>
      </c>
      <c r="F41" s="35"/>
    </row>
    <row r="42" spans="1:12" ht="19.5" thickBot="1" x14ac:dyDescent="0.45">
      <c r="A42" s="139"/>
      <c r="B42" s="140"/>
      <c r="C42" s="141"/>
      <c r="D42" s="141"/>
      <c r="E42" s="121">
        <f>SUM(E40:E41)</f>
        <v>154500</v>
      </c>
      <c r="F42" s="37"/>
    </row>
    <row r="44" spans="1:12" ht="15.75" x14ac:dyDescent="0.25">
      <c r="A44" s="124" t="s">
        <v>172</v>
      </c>
      <c r="E44" s="125">
        <v>78800</v>
      </c>
    </row>
    <row r="45" spans="1:12" ht="15.75" x14ac:dyDescent="0.25">
      <c r="A45" s="124" t="s">
        <v>173</v>
      </c>
      <c r="E45" s="126">
        <f>E17+E29+E42</f>
        <v>510450</v>
      </c>
    </row>
    <row r="46" spans="1:12" ht="18.75" x14ac:dyDescent="0.3">
      <c r="A46" s="122" t="s">
        <v>174</v>
      </c>
      <c r="B46" s="122"/>
      <c r="C46" s="122"/>
      <c r="D46" s="122"/>
      <c r="E46" s="123">
        <f>E45-E44</f>
        <v>431650</v>
      </c>
    </row>
    <row r="47" spans="1:12" x14ac:dyDescent="0.25">
      <c r="I47">
        <f>H4</f>
        <v>0</v>
      </c>
      <c r="L47" s="85"/>
    </row>
  </sheetData>
  <mergeCells count="33">
    <mergeCell ref="A20:F20"/>
    <mergeCell ref="A1:F1"/>
    <mergeCell ref="A2:F2"/>
    <mergeCell ref="A3:F3"/>
    <mergeCell ref="A4:A5"/>
    <mergeCell ref="B4:D4"/>
    <mergeCell ref="E4:F4"/>
    <mergeCell ref="A14:B17"/>
    <mergeCell ref="C14:D14"/>
    <mergeCell ref="C15:D15"/>
    <mergeCell ref="C16:D16"/>
    <mergeCell ref="C17:D17"/>
    <mergeCell ref="A26:B29"/>
    <mergeCell ref="C26:D26"/>
    <mergeCell ref="C27:D27"/>
    <mergeCell ref="C28:D28"/>
    <mergeCell ref="C29:D29"/>
    <mergeCell ref="A21:F21"/>
    <mergeCell ref="A22:F22"/>
    <mergeCell ref="A23:A24"/>
    <mergeCell ref="B23:D23"/>
    <mergeCell ref="E23:F23"/>
    <mergeCell ref="A32:F32"/>
    <mergeCell ref="A33:F33"/>
    <mergeCell ref="A34:F34"/>
    <mergeCell ref="A35:A36"/>
    <mergeCell ref="B35:D35"/>
    <mergeCell ref="E35:F35"/>
    <mergeCell ref="A39:B42"/>
    <mergeCell ref="C39:D39"/>
    <mergeCell ref="C40:D40"/>
    <mergeCell ref="C41:D41"/>
    <mergeCell ref="C42:D42"/>
  </mergeCells>
  <pageMargins left="0.7" right="0.7" top="0.75" bottom="0.75" header="0.3" footer="0.3"/>
  <pageSetup paperSize="9" scale="6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41B1-322C-4CF6-A3B2-8305751E96F4}">
  <dimension ref="A1:G22"/>
  <sheetViews>
    <sheetView topLeftCell="A3" workbookViewId="0">
      <selection activeCell="K14" sqref="K14"/>
    </sheetView>
  </sheetViews>
  <sheetFormatPr baseColWidth="10" defaultRowHeight="15" x14ac:dyDescent="0.25"/>
  <cols>
    <col min="1" max="1" width="28.5703125" customWidth="1"/>
    <col min="2" max="2" width="11.85546875" bestFit="1" customWidth="1"/>
    <col min="5" max="5" width="16.7109375" customWidth="1"/>
    <col min="6" max="6" width="15.42578125" customWidth="1"/>
  </cols>
  <sheetData>
    <row r="1" spans="1:7" ht="18.75" x14ac:dyDescent="0.3">
      <c r="A1" s="147" t="s">
        <v>175</v>
      </c>
      <c r="B1" s="148"/>
      <c r="C1" s="148"/>
      <c r="D1" s="148"/>
      <c r="E1" s="148"/>
      <c r="F1" s="148"/>
      <c r="G1" s="148"/>
    </row>
    <row r="2" spans="1:7" ht="18.75" x14ac:dyDescent="0.3">
      <c r="A2" s="149" t="s">
        <v>176</v>
      </c>
      <c r="B2" s="150"/>
      <c r="C2" s="150"/>
      <c r="D2" s="150"/>
      <c r="E2" s="150"/>
      <c r="F2" s="150"/>
      <c r="G2" s="150"/>
    </row>
    <row r="3" spans="1:7" ht="18.75" x14ac:dyDescent="0.3">
      <c r="A3" s="149" t="s">
        <v>177</v>
      </c>
      <c r="B3" s="150"/>
      <c r="C3" s="150"/>
      <c r="D3" s="150"/>
      <c r="E3" s="150"/>
      <c r="F3" s="150"/>
      <c r="G3" s="150"/>
    </row>
    <row r="4" spans="1:7" x14ac:dyDescent="0.25">
      <c r="A4" s="51" t="s">
        <v>1</v>
      </c>
      <c r="B4" s="52">
        <v>13999</v>
      </c>
      <c r="C4" s="52">
        <v>13645</v>
      </c>
      <c r="D4" s="52"/>
      <c r="E4" s="52"/>
      <c r="F4" s="52"/>
      <c r="G4" s="52" t="s">
        <v>2</v>
      </c>
    </row>
    <row r="5" spans="1:7" x14ac:dyDescent="0.25">
      <c r="A5" s="54"/>
      <c r="B5" s="3">
        <v>46274</v>
      </c>
      <c r="C5" s="127">
        <v>46281</v>
      </c>
      <c r="D5" s="3"/>
      <c r="E5" s="3"/>
      <c r="F5" s="3"/>
      <c r="G5" s="3">
        <v>46295</v>
      </c>
    </row>
    <row r="6" spans="1:7" x14ac:dyDescent="0.25">
      <c r="A6" s="56" t="s">
        <v>178</v>
      </c>
      <c r="B6" s="58">
        <v>12</v>
      </c>
      <c r="C6" s="57">
        <v>-12</v>
      </c>
      <c r="D6" s="57"/>
      <c r="E6" s="57"/>
      <c r="F6" s="57"/>
      <c r="G6" s="7">
        <f>SUM(B6:F6)</f>
        <v>0</v>
      </c>
    </row>
    <row r="7" spans="1:7" x14ac:dyDescent="0.25">
      <c r="A7" s="56" t="s">
        <v>4</v>
      </c>
      <c r="B7" s="58">
        <v>12</v>
      </c>
      <c r="C7" s="57">
        <v>-12</v>
      </c>
      <c r="D7" s="57"/>
      <c r="E7" s="57"/>
      <c r="F7" s="57"/>
      <c r="G7" s="7">
        <f>SUM(B7:F7)</f>
        <v>0</v>
      </c>
    </row>
    <row r="8" spans="1:7" x14ac:dyDescent="0.25">
      <c r="A8" s="56" t="s">
        <v>179</v>
      </c>
      <c r="B8" s="58">
        <v>8</v>
      </c>
      <c r="C8" s="57">
        <v>-8</v>
      </c>
      <c r="D8" s="57"/>
      <c r="E8" s="57"/>
      <c r="F8" s="57"/>
      <c r="G8" s="7">
        <f>SUM(B8:F8)</f>
        <v>0</v>
      </c>
    </row>
    <row r="9" spans="1:7" x14ac:dyDescent="0.25">
      <c r="A9" s="54" t="s">
        <v>68</v>
      </c>
      <c r="B9" s="128">
        <v>0.35416666666666669</v>
      </c>
      <c r="C9" s="129">
        <v>0.47916666666666669</v>
      </c>
      <c r="D9" s="9"/>
      <c r="E9" s="9"/>
      <c r="F9" s="9"/>
      <c r="G9" s="2"/>
    </row>
    <row r="10" spans="1:7" x14ac:dyDescent="0.25">
      <c r="A10" s="54" t="s">
        <v>69</v>
      </c>
      <c r="B10" s="61">
        <v>35000</v>
      </c>
      <c r="C10" s="59">
        <v>35000</v>
      </c>
      <c r="D10" s="59"/>
      <c r="E10" s="59"/>
      <c r="F10" s="59"/>
      <c r="G10" s="61">
        <f>SUM(B10:F10)</f>
        <v>70000</v>
      </c>
    </row>
    <row r="11" spans="1:7" ht="15.75" thickBot="1" x14ac:dyDescent="0.3"/>
    <row r="12" spans="1:7" x14ac:dyDescent="0.25">
      <c r="A12" s="151" t="s">
        <v>55</v>
      </c>
      <c r="B12" s="152"/>
      <c r="C12" s="152"/>
      <c r="D12" s="152"/>
      <c r="E12" s="152"/>
      <c r="F12" s="153"/>
    </row>
    <row r="13" spans="1:7" x14ac:dyDescent="0.25">
      <c r="A13" s="154" t="s">
        <v>180</v>
      </c>
      <c r="B13" s="155"/>
      <c r="C13" s="155"/>
      <c r="D13" s="155"/>
      <c r="E13" s="155"/>
      <c r="F13" s="156"/>
    </row>
    <row r="14" spans="1:7" ht="18" x14ac:dyDescent="0.25">
      <c r="A14" s="157" t="s">
        <v>176</v>
      </c>
      <c r="B14" s="158"/>
      <c r="C14" s="158"/>
      <c r="D14" s="158"/>
      <c r="E14" s="158"/>
      <c r="F14" s="159"/>
    </row>
    <row r="15" spans="1:7" x14ac:dyDescent="0.25">
      <c r="A15" s="134" t="s">
        <v>1</v>
      </c>
      <c r="B15" s="135"/>
      <c r="C15" s="135"/>
      <c r="D15" s="135"/>
      <c r="E15" s="135" t="s">
        <v>22</v>
      </c>
      <c r="F15" s="136"/>
    </row>
    <row r="16" spans="1:7" x14ac:dyDescent="0.25">
      <c r="A16" s="134"/>
      <c r="B16" s="12" t="s">
        <v>23</v>
      </c>
      <c r="C16" s="12" t="s">
        <v>24</v>
      </c>
      <c r="D16" s="12" t="s">
        <v>25</v>
      </c>
      <c r="E16" s="12" t="s">
        <v>26</v>
      </c>
      <c r="F16" s="38" t="s">
        <v>27</v>
      </c>
    </row>
    <row r="17" spans="1:6" x14ac:dyDescent="0.25">
      <c r="A17" s="32" t="s">
        <v>168</v>
      </c>
      <c r="B17" s="130">
        <v>7</v>
      </c>
      <c r="C17" s="130">
        <v>6</v>
      </c>
      <c r="D17" s="16">
        <v>1500</v>
      </c>
      <c r="E17" s="17">
        <f t="shared" ref="E17" si="0">C17*D17</f>
        <v>9000</v>
      </c>
      <c r="F17" s="17">
        <f t="shared" ref="F17" si="1">B17*E17</f>
        <v>63000</v>
      </c>
    </row>
    <row r="18" spans="1:6" x14ac:dyDescent="0.25">
      <c r="A18" s="32" t="s">
        <v>179</v>
      </c>
      <c r="B18" s="130">
        <v>7</v>
      </c>
      <c r="C18" s="130">
        <v>8</v>
      </c>
      <c r="D18" s="16">
        <v>1000</v>
      </c>
      <c r="E18" s="17">
        <f>C18*D18</f>
        <v>8000</v>
      </c>
      <c r="F18" s="17">
        <f>B18*E18</f>
        <v>56000</v>
      </c>
    </row>
    <row r="19" spans="1:6" ht="19.5" thickBot="1" x14ac:dyDescent="0.45">
      <c r="A19" s="137" t="s">
        <v>185</v>
      </c>
      <c r="B19" s="138"/>
      <c r="C19" s="141" t="s">
        <v>181</v>
      </c>
      <c r="D19" s="141"/>
      <c r="E19" s="83">
        <f>SUM(E17:E18)</f>
        <v>17000</v>
      </c>
      <c r="F19" s="131"/>
    </row>
    <row r="20" spans="1:6" ht="18.75" x14ac:dyDescent="0.4">
      <c r="A20" s="137"/>
      <c r="B20" s="138"/>
      <c r="C20" s="142" t="s">
        <v>182</v>
      </c>
      <c r="D20" s="142"/>
      <c r="E20" s="49">
        <f>SUM(F17:F18)</f>
        <v>119000</v>
      </c>
      <c r="F20" s="35"/>
    </row>
    <row r="21" spans="1:6" ht="18.75" x14ac:dyDescent="0.3">
      <c r="A21" s="137"/>
      <c r="B21" s="138"/>
      <c r="C21" s="143" t="s">
        <v>183</v>
      </c>
      <c r="D21" s="144"/>
      <c r="E21" s="132">
        <v>70000</v>
      </c>
      <c r="F21" s="35"/>
    </row>
    <row r="22" spans="1:6" ht="19.5" thickBot="1" x14ac:dyDescent="0.35">
      <c r="A22" s="139"/>
      <c r="B22" s="140"/>
      <c r="C22" s="145" t="s">
        <v>184</v>
      </c>
      <c r="D22" s="146"/>
      <c r="E22" s="133">
        <f>SUM(E20:E21)</f>
        <v>189000</v>
      </c>
      <c r="F22" s="37"/>
    </row>
  </sheetData>
  <mergeCells count="14">
    <mergeCell ref="A14:F14"/>
    <mergeCell ref="A1:G1"/>
    <mergeCell ref="A2:G2"/>
    <mergeCell ref="A3:G3"/>
    <mergeCell ref="A12:F12"/>
    <mergeCell ref="A13:F13"/>
    <mergeCell ref="A15:A16"/>
    <mergeCell ref="B15:D15"/>
    <mergeCell ref="E15:F15"/>
    <mergeCell ref="A19:B22"/>
    <mergeCell ref="C19:D19"/>
    <mergeCell ref="C20:D20"/>
    <mergeCell ref="C21:D21"/>
    <mergeCell ref="C22:D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6BFE-B516-4BE7-B61C-4B6FCB26611C}">
  <dimension ref="A1:H32"/>
  <sheetViews>
    <sheetView topLeftCell="A17" workbookViewId="0">
      <selection activeCell="J29" sqref="J29"/>
    </sheetView>
  </sheetViews>
  <sheetFormatPr baseColWidth="10" defaultRowHeight="15" x14ac:dyDescent="0.25"/>
  <cols>
    <col min="1" max="1" width="33.5703125" customWidth="1"/>
    <col min="2" max="2" width="15.7109375" customWidth="1"/>
    <col min="3" max="3" width="13.7109375" customWidth="1"/>
    <col min="5" max="5" width="16.5703125" customWidth="1"/>
    <col min="6" max="6" width="18.28515625" customWidth="1"/>
  </cols>
  <sheetData>
    <row r="1" spans="1:7" ht="18.75" x14ac:dyDescent="0.3">
      <c r="A1" s="147" t="s">
        <v>136</v>
      </c>
      <c r="B1" s="148"/>
      <c r="C1" s="148"/>
      <c r="D1" s="148"/>
      <c r="E1" s="148"/>
      <c r="F1" s="148"/>
      <c r="G1" s="163"/>
    </row>
    <row r="2" spans="1:7" ht="18.75" x14ac:dyDescent="0.3">
      <c r="A2" s="149" t="s">
        <v>137</v>
      </c>
      <c r="B2" s="150"/>
      <c r="C2" s="150"/>
      <c r="D2" s="150"/>
      <c r="E2" s="150"/>
      <c r="F2" s="150"/>
      <c r="G2" s="164"/>
    </row>
    <row r="3" spans="1:7" ht="18.75" x14ac:dyDescent="0.3">
      <c r="A3" s="149" t="s">
        <v>144</v>
      </c>
      <c r="B3" s="150"/>
      <c r="C3" s="150"/>
      <c r="D3" s="150"/>
      <c r="E3" s="150"/>
      <c r="F3" s="150"/>
      <c r="G3" s="150"/>
    </row>
    <row r="4" spans="1:7" x14ac:dyDescent="0.25">
      <c r="A4" s="51" t="s">
        <v>1</v>
      </c>
      <c r="B4" s="52">
        <v>13939</v>
      </c>
      <c r="C4" s="52">
        <v>13636</v>
      </c>
      <c r="D4" s="52"/>
      <c r="E4" s="52"/>
      <c r="F4" s="52"/>
      <c r="G4" s="52" t="s">
        <v>65</v>
      </c>
    </row>
    <row r="5" spans="1:7" x14ac:dyDescent="0.25">
      <c r="A5" s="54"/>
      <c r="B5" s="3">
        <v>46252</v>
      </c>
      <c r="C5" s="104">
        <v>46279</v>
      </c>
      <c r="D5" s="3"/>
      <c r="E5" s="3"/>
      <c r="F5" s="3"/>
      <c r="G5" s="3">
        <v>46295</v>
      </c>
    </row>
    <row r="6" spans="1:7" x14ac:dyDescent="0.25">
      <c r="A6" s="56" t="s">
        <v>138</v>
      </c>
      <c r="B6" s="58">
        <v>18</v>
      </c>
      <c r="C6" s="57">
        <v>-16</v>
      </c>
      <c r="D6" s="57"/>
      <c r="E6" s="57"/>
      <c r="F6" s="57"/>
      <c r="G6" s="105">
        <f>SUM(B6:F6)</f>
        <v>2</v>
      </c>
    </row>
    <row r="7" spans="1:7" x14ac:dyDescent="0.25">
      <c r="A7" s="56" t="s">
        <v>139</v>
      </c>
      <c r="B7" s="58">
        <v>8</v>
      </c>
      <c r="C7" s="57">
        <v>-8</v>
      </c>
      <c r="D7" s="57"/>
      <c r="E7" s="57"/>
      <c r="F7" s="57"/>
      <c r="G7" s="7">
        <f>SUM(B7:F7)</f>
        <v>0</v>
      </c>
    </row>
    <row r="8" spans="1:7" x14ac:dyDescent="0.25">
      <c r="A8" s="54" t="s">
        <v>68</v>
      </c>
      <c r="B8" s="10">
        <v>0.36458333333333331</v>
      </c>
      <c r="C8" s="9">
        <v>0.34583333333333333</v>
      </c>
      <c r="D8" s="9"/>
      <c r="E8" s="9"/>
      <c r="F8" s="9"/>
      <c r="G8" s="2"/>
    </row>
    <row r="9" spans="1:7" x14ac:dyDescent="0.25">
      <c r="A9" s="54" t="s">
        <v>69</v>
      </c>
      <c r="B9" s="59" t="s">
        <v>140</v>
      </c>
      <c r="C9" s="59" t="s">
        <v>140</v>
      </c>
      <c r="D9" s="59"/>
      <c r="E9" s="59"/>
      <c r="F9" s="59"/>
      <c r="G9" s="61">
        <f>SUM(B9:E9)</f>
        <v>0</v>
      </c>
    </row>
    <row r="10" spans="1:7" ht="15.75" thickBot="1" x14ac:dyDescent="0.3"/>
    <row r="11" spans="1:7" x14ac:dyDescent="0.25">
      <c r="A11" s="151" t="s">
        <v>55</v>
      </c>
      <c r="B11" s="152"/>
      <c r="C11" s="152"/>
      <c r="D11" s="152"/>
      <c r="E11" s="152"/>
      <c r="F11" s="153"/>
    </row>
    <row r="12" spans="1:7" x14ac:dyDescent="0.25">
      <c r="A12" s="154" t="s">
        <v>141</v>
      </c>
      <c r="B12" s="155"/>
      <c r="C12" s="155"/>
      <c r="D12" s="155"/>
      <c r="E12" s="155"/>
      <c r="F12" s="156"/>
    </row>
    <row r="13" spans="1:7" ht="18" x14ac:dyDescent="0.25">
      <c r="A13" s="157" t="s">
        <v>142</v>
      </c>
      <c r="B13" s="158"/>
      <c r="C13" s="158"/>
      <c r="D13" s="158"/>
      <c r="E13" s="158"/>
      <c r="F13" s="159"/>
      <c r="G13" s="106">
        <v>46252</v>
      </c>
    </row>
    <row r="14" spans="1:7" x14ac:dyDescent="0.25">
      <c r="A14" s="134" t="s">
        <v>1</v>
      </c>
      <c r="B14" s="135" t="s">
        <v>21</v>
      </c>
      <c r="C14" s="135"/>
      <c r="D14" s="135"/>
      <c r="E14" s="135" t="s">
        <v>22</v>
      </c>
      <c r="F14" s="136"/>
    </row>
    <row r="15" spans="1:7" x14ac:dyDescent="0.25">
      <c r="A15" s="134"/>
      <c r="B15" s="12" t="s">
        <v>23</v>
      </c>
      <c r="C15" s="12" t="s">
        <v>24</v>
      </c>
      <c r="D15" s="12" t="s">
        <v>25</v>
      </c>
      <c r="E15" s="12" t="s">
        <v>26</v>
      </c>
      <c r="F15" s="38" t="s">
        <v>27</v>
      </c>
    </row>
    <row r="16" spans="1:7" x14ac:dyDescent="0.25">
      <c r="A16" s="32" t="s">
        <v>143</v>
      </c>
      <c r="B16" s="39">
        <v>27</v>
      </c>
      <c r="C16" s="14">
        <v>18</v>
      </c>
      <c r="D16" s="41">
        <v>200</v>
      </c>
      <c r="E16" s="17">
        <f>C16*D16</f>
        <v>3600</v>
      </c>
      <c r="F16" s="42">
        <f>B16*E16</f>
        <v>97200</v>
      </c>
    </row>
    <row r="17" spans="1:8" x14ac:dyDescent="0.25">
      <c r="A17" s="32" t="s">
        <v>10</v>
      </c>
      <c r="B17" s="39">
        <v>27</v>
      </c>
      <c r="C17" s="14">
        <v>8</v>
      </c>
      <c r="D17" s="41">
        <v>200</v>
      </c>
      <c r="E17" s="17">
        <f>C17*D17</f>
        <v>1600</v>
      </c>
      <c r="F17" s="42">
        <f>B17*E17</f>
        <v>43200</v>
      </c>
    </row>
    <row r="18" spans="1:8" ht="18.75" x14ac:dyDescent="0.4">
      <c r="A18" s="160" t="s">
        <v>145</v>
      </c>
      <c r="B18" s="161"/>
      <c r="C18" s="162" t="s">
        <v>62</v>
      </c>
      <c r="D18" s="162"/>
      <c r="E18" s="47">
        <f>SUM(E16:E17)</f>
        <v>5200</v>
      </c>
      <c r="F18" s="34"/>
    </row>
    <row r="19" spans="1:8" ht="19.5" thickBot="1" x14ac:dyDescent="0.45">
      <c r="A19" s="137"/>
      <c r="B19" s="138"/>
      <c r="C19" s="141" t="s">
        <v>31</v>
      </c>
      <c r="D19" s="141"/>
      <c r="E19" s="48">
        <f>SUM(F16:F17)</f>
        <v>140400</v>
      </c>
      <c r="F19" s="35"/>
    </row>
    <row r="20" spans="1:8" ht="18.75" x14ac:dyDescent="0.4">
      <c r="A20" s="137"/>
      <c r="B20" s="138"/>
      <c r="C20" s="178" t="s">
        <v>48</v>
      </c>
      <c r="D20" s="179"/>
      <c r="E20" s="49"/>
      <c r="F20" s="50"/>
    </row>
    <row r="21" spans="1:8" ht="19.5" thickBot="1" x14ac:dyDescent="0.45">
      <c r="A21" s="139"/>
      <c r="B21" s="140"/>
      <c r="C21" s="141" t="s">
        <v>31</v>
      </c>
      <c r="D21" s="141"/>
      <c r="E21" s="36">
        <f>E19+E20</f>
        <v>140400</v>
      </c>
      <c r="F21" s="37"/>
    </row>
    <row r="22" spans="1:8" ht="15.75" thickBot="1" x14ac:dyDescent="0.3"/>
    <row r="23" spans="1:8" x14ac:dyDescent="0.25">
      <c r="A23" s="151" t="s">
        <v>55</v>
      </c>
      <c r="B23" s="152"/>
      <c r="C23" s="152"/>
      <c r="D23" s="152"/>
      <c r="E23" s="152"/>
      <c r="F23" s="153"/>
    </row>
    <row r="24" spans="1:8" x14ac:dyDescent="0.25">
      <c r="A24" s="154" t="s">
        <v>141</v>
      </c>
      <c r="B24" s="155"/>
      <c r="C24" s="155"/>
      <c r="D24" s="155"/>
      <c r="E24" s="155"/>
      <c r="F24" s="156"/>
    </row>
    <row r="25" spans="1:8" ht="18" x14ac:dyDescent="0.25">
      <c r="A25" s="157" t="s">
        <v>142</v>
      </c>
      <c r="B25" s="158"/>
      <c r="C25" s="158"/>
      <c r="D25" s="158"/>
      <c r="E25" s="158"/>
      <c r="F25" s="159"/>
      <c r="G25" s="107" t="s">
        <v>146</v>
      </c>
      <c r="H25" s="107"/>
    </row>
    <row r="26" spans="1:8" x14ac:dyDescent="0.25">
      <c r="A26" s="134" t="s">
        <v>1</v>
      </c>
      <c r="B26" s="135" t="s">
        <v>21</v>
      </c>
      <c r="C26" s="135"/>
      <c r="D26" s="135"/>
      <c r="E26" s="135" t="s">
        <v>22</v>
      </c>
      <c r="F26" s="136"/>
    </row>
    <row r="27" spans="1:8" x14ac:dyDescent="0.25">
      <c r="A27" s="134"/>
      <c r="B27" s="12" t="s">
        <v>23</v>
      </c>
      <c r="C27" s="12" t="s">
        <v>24</v>
      </c>
      <c r="D27" s="12" t="s">
        <v>25</v>
      </c>
      <c r="E27" s="12" t="s">
        <v>26</v>
      </c>
      <c r="F27" s="38" t="s">
        <v>27</v>
      </c>
    </row>
    <row r="28" spans="1:8" x14ac:dyDescent="0.25">
      <c r="A28" s="32" t="s">
        <v>143</v>
      </c>
      <c r="B28" s="39">
        <v>5</v>
      </c>
      <c r="C28" s="14">
        <v>2</v>
      </c>
      <c r="D28" s="41">
        <v>200</v>
      </c>
      <c r="E28" s="17">
        <f>C28*D28</f>
        <v>400</v>
      </c>
      <c r="F28" s="42">
        <f>B28*E28</f>
        <v>2000</v>
      </c>
    </row>
    <row r="29" spans="1:8" ht="18.75" x14ac:dyDescent="0.4">
      <c r="A29" s="160">
        <v>41883</v>
      </c>
      <c r="B29" s="161"/>
      <c r="C29" s="162" t="s">
        <v>62</v>
      </c>
      <c r="D29" s="162"/>
      <c r="E29" s="47">
        <f>SUM(E28:E28)</f>
        <v>400</v>
      </c>
      <c r="F29" s="34"/>
    </row>
    <row r="30" spans="1:8" ht="19.5" thickBot="1" x14ac:dyDescent="0.45">
      <c r="A30" s="137"/>
      <c r="B30" s="138"/>
      <c r="C30" s="141" t="s">
        <v>31</v>
      </c>
      <c r="D30" s="141"/>
      <c r="E30" s="48">
        <f>SUM(F28:F28)</f>
        <v>2000</v>
      </c>
      <c r="F30" s="35"/>
    </row>
    <row r="31" spans="1:8" ht="18.75" x14ac:dyDescent="0.4">
      <c r="A31" s="137"/>
      <c r="B31" s="138"/>
      <c r="C31" s="178" t="s">
        <v>48</v>
      </c>
      <c r="D31" s="179"/>
      <c r="E31" s="49"/>
      <c r="F31" s="50"/>
    </row>
    <row r="32" spans="1:8" ht="19.5" thickBot="1" x14ac:dyDescent="0.45">
      <c r="A32" s="139"/>
      <c r="B32" s="140"/>
      <c r="C32" s="141" t="s">
        <v>31</v>
      </c>
      <c r="D32" s="141"/>
      <c r="E32" s="36">
        <f>E30+E31</f>
        <v>2000</v>
      </c>
      <c r="F32" s="37"/>
    </row>
  </sheetData>
  <mergeCells count="25">
    <mergeCell ref="A13:F13"/>
    <mergeCell ref="A1:G1"/>
    <mergeCell ref="A2:G2"/>
    <mergeCell ref="A3:G3"/>
    <mergeCell ref="A11:F11"/>
    <mergeCell ref="A12:F12"/>
    <mergeCell ref="A14:A15"/>
    <mergeCell ref="B14:D14"/>
    <mergeCell ref="E14:F14"/>
    <mergeCell ref="A18:B21"/>
    <mergeCell ref="C18:D18"/>
    <mergeCell ref="C19:D19"/>
    <mergeCell ref="C20:D20"/>
    <mergeCell ref="C21:D21"/>
    <mergeCell ref="A23:F23"/>
    <mergeCell ref="A24:F24"/>
    <mergeCell ref="A25:F25"/>
    <mergeCell ref="A26:A27"/>
    <mergeCell ref="B26:D26"/>
    <mergeCell ref="E26:F26"/>
    <mergeCell ref="A29:B32"/>
    <mergeCell ref="C29:D29"/>
    <mergeCell ref="C30:D30"/>
    <mergeCell ref="C31:D31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OMAR PABON</vt:lpstr>
      <vt:lpstr>GUSTAVO ADOLFO RUBIO</vt:lpstr>
      <vt:lpstr>MAURICIO CACERES</vt:lpstr>
      <vt:lpstr>ANDREI CADENA</vt:lpstr>
      <vt:lpstr>XIOMARA ARGUELLO</vt:lpstr>
      <vt:lpstr>LUWING ANGULO</vt:lpstr>
      <vt:lpstr>GIOVANNI SIERRA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2026-09-18T12:30:27Z</cp:lastPrinted>
  <dcterms:created xsi:type="dcterms:W3CDTF">2015-06-05T18:19:34Z</dcterms:created>
  <dcterms:modified xsi:type="dcterms:W3CDTF">2026-09-18T12:30:31Z</dcterms:modified>
</cp:coreProperties>
</file>
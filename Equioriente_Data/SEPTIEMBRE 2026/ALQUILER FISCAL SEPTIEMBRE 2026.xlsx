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anus.EQUIORIENTE\Desktop\EQUIORIENTE\FACTURACION\2026\SEPTIEMBRE 2026\"/>
    </mc:Choice>
  </mc:AlternateContent>
  <xr:revisionPtr revIDLastSave="0" documentId="13_ncr:1_{8B1B7FE2-8946-4852-A482-E9C0CF19A4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JIDO ARQUITECTONI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1" l="1"/>
  <c r="F47" i="1" s="1"/>
  <c r="E49" i="1" s="1"/>
  <c r="E36" i="1"/>
  <c r="F36" i="1" s="1"/>
  <c r="E35" i="1"/>
  <c r="G15" i="1"/>
  <c r="E24" i="1"/>
  <c r="F24" i="1" s="1"/>
  <c r="E23" i="1"/>
  <c r="F23" i="1" s="1"/>
  <c r="E22" i="1"/>
  <c r="F22" i="1" s="1"/>
  <c r="E50" i="1" l="1"/>
  <c r="E52" i="1" s="1"/>
  <c r="E48" i="1"/>
  <c r="E37" i="1"/>
  <c r="F35" i="1"/>
  <c r="E38" i="1" s="1"/>
  <c r="E26" i="1"/>
  <c r="E25" i="1"/>
  <c r="E39" i="1" l="1"/>
  <c r="E41" i="1" s="1"/>
  <c r="E27" i="1"/>
  <c r="E29" i="1" s="1"/>
  <c r="E53" i="1" s="1"/>
  <c r="G17" i="1" l="1"/>
  <c r="G14" i="1"/>
  <c r="G13" i="1"/>
  <c r="G12" i="1"/>
  <c r="G11" i="1"/>
  <c r="G10" i="1"/>
  <c r="G9" i="1"/>
  <c r="G8" i="1"/>
  <c r="G7" i="1"/>
  <c r="G6" i="1"/>
</calcChain>
</file>

<file path=xl/sharedStrings.xml><?xml version="1.0" encoding="utf-8"?>
<sst xmlns="http://schemas.openxmlformats.org/spreadsheetml/2006/main" count="58" uniqueCount="32">
  <si>
    <t>TEJIDO ARQUITECTONICO S.A.S</t>
  </si>
  <si>
    <t>CRA 38 #41-108</t>
  </si>
  <si>
    <t>MATERIAL</t>
  </si>
  <si>
    <t>SALDO</t>
  </si>
  <si>
    <t>MATERIAL EN OBRA</t>
  </si>
  <si>
    <t>MARCOS DE ANDAMIOS AZULES DE 1,50</t>
  </si>
  <si>
    <t>CRUCETAS DE 2,40</t>
  </si>
  <si>
    <t>MARCOS DE ANDAMIOS AMARILLOS 1,50</t>
  </si>
  <si>
    <t xml:space="preserve">CRUCETAS DE 2,40 </t>
  </si>
  <si>
    <t xml:space="preserve">MARCOS DE ANDAMIOS NARANAJAS </t>
  </si>
  <si>
    <t>TABLONES DE 3 MTROS</t>
  </si>
  <si>
    <t>MARCOS DE ANDAMIOS (CG)</t>
  </si>
  <si>
    <t>CRUCETAS (CG)</t>
  </si>
  <si>
    <t xml:space="preserve">RUEDAS NIVELADORAS </t>
  </si>
  <si>
    <t>HORA</t>
  </si>
  <si>
    <t>Transporte</t>
  </si>
  <si>
    <t>ANDRES MONTASGUFF: 3163225348</t>
  </si>
  <si>
    <t>TEJIDO URBANO</t>
  </si>
  <si>
    <t xml:space="preserve">WILSON MORENO: 3007009408CRA 38#41-108 </t>
  </si>
  <si>
    <t xml:space="preserve">SECCIONES DE ANDAMIOS </t>
  </si>
  <si>
    <t>TABLONES DE 3 METROS</t>
  </si>
  <si>
    <t>RUEDAS NIVELADORAS</t>
  </si>
  <si>
    <t>TOTAL DIARIO</t>
  </si>
  <si>
    <t>DIAS</t>
  </si>
  <si>
    <t>IVA 19 %</t>
  </si>
  <si>
    <t xml:space="preserve"> GRANTOTAL</t>
  </si>
  <si>
    <t>MAYO 11 A JUNIO 12</t>
  </si>
  <si>
    <t>TRANSPORTE</t>
  </si>
  <si>
    <t>JUNIO 13 AL 19</t>
  </si>
  <si>
    <t>JUNIO 20 A SEPTIEMBRE 11</t>
  </si>
  <si>
    <t>TOTAL ADEUDADO</t>
  </si>
  <si>
    <t>MOVIMIENTO: MAYO 11 A SEPTIEMBRE 11/2026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</si>
</sst>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h:mm:ss;@"/>
    <numFmt numFmtId="165" formatCode="_(&quot;$&quot;\ * #,##0_);_(&quot;$&quot;\ * \(#,##0\);_(&quot;$&quot;\ * &quot;-&quot;??_);_(@_)"/>
    <numFmt numFmtId="166" formatCode="_-&quot;$&quot;\ * #,##0_-;\-&quot;$&quot;\ * #,##0_-;_-&quot;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Arial"/>
      <family val="2"/>
    </font>
    <font>
      <sz val="14"/>
      <color theme="1"/>
      <name val="Arial Black"/>
      <family val="2"/>
    </font>
    <font>
      <b/>
      <sz val="10"/>
      <color theme="1"/>
      <name val="Calibri"/>
      <family val="2"/>
      <scheme val="minor"/>
    </font>
    <font>
      <sz val="11"/>
      <color theme="1"/>
      <name val="Arial Black"/>
      <family val="2"/>
    </font>
    <font>
      <b/>
      <sz val="14"/>
      <color theme="1"/>
      <name val="Arial Black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3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left" vertical="center"/>
    </xf>
    <xf numFmtId="16" fontId="2" fillId="3" borderId="8" xfId="0" applyNumberFormat="1" applyFont="1" applyFill="1" applyBorder="1" applyAlignment="1">
      <alignment horizontal="left" vertical="center"/>
    </xf>
    <xf numFmtId="16" fontId="2" fillId="3" borderId="8" xfId="0" applyNumberFormat="1" applyFont="1" applyFill="1" applyBorder="1" applyAlignment="1">
      <alignment horizontal="center" vertical="center"/>
    </xf>
    <xf numFmtId="16" fontId="2" fillId="4" borderId="8" xfId="0" applyNumberFormat="1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left" vertical="center"/>
    </xf>
    <xf numFmtId="0" fontId="2" fillId="5" borderId="8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" fontId="2" fillId="4" borderId="8" xfId="0" applyNumberFormat="1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left" vertical="center"/>
    </xf>
    <xf numFmtId="0" fontId="2" fillId="7" borderId="8" xfId="0" applyFont="1" applyFill="1" applyBorder="1" applyAlignment="1">
      <alignment horizontal="center" vertical="center"/>
    </xf>
    <xf numFmtId="164" fontId="2" fillId="3" borderId="8" xfId="0" applyNumberFormat="1" applyFont="1" applyFill="1" applyBorder="1" applyAlignment="1">
      <alignment horizontal="center" vertical="center"/>
    </xf>
    <xf numFmtId="20" fontId="2" fillId="3" borderId="8" xfId="0" applyNumberFormat="1" applyFont="1" applyFill="1" applyBorder="1" applyAlignment="1">
      <alignment horizontal="center" vertical="center"/>
    </xf>
    <xf numFmtId="1" fontId="2" fillId="3" borderId="8" xfId="0" applyNumberFormat="1" applyFont="1" applyFill="1" applyBorder="1" applyAlignment="1">
      <alignment horizontal="center" vertical="center"/>
    </xf>
    <xf numFmtId="165" fontId="2" fillId="3" borderId="8" xfId="1" applyNumberFormat="1" applyFont="1" applyFill="1" applyBorder="1" applyAlignment="1">
      <alignment horizontal="right" vertical="center"/>
    </xf>
    <xf numFmtId="166" fontId="2" fillId="3" borderId="8" xfId="1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2" fillId="10" borderId="9" xfId="0" applyFont="1" applyFill="1" applyBorder="1" applyAlignment="1">
      <alignment vertical="center"/>
    </xf>
    <xf numFmtId="0" fontId="0" fillId="10" borderId="8" xfId="0" applyFill="1" applyBorder="1" applyAlignment="1">
      <alignment horizontal="center"/>
    </xf>
    <xf numFmtId="165" fontId="0" fillId="10" borderId="8" xfId="1" applyNumberFormat="1" applyFont="1" applyFill="1" applyBorder="1"/>
    <xf numFmtId="165" fontId="0" fillId="0" borderId="10" xfId="1" applyNumberFormat="1" applyFont="1" applyBorder="1"/>
    <xf numFmtId="14" fontId="5" fillId="11" borderId="11" xfId="0" applyNumberFormat="1" applyFont="1" applyFill="1" applyBorder="1" applyAlignment="1">
      <alignment horizontal="center" vertical="center" wrapText="1"/>
    </xf>
    <xf numFmtId="14" fontId="5" fillId="11" borderId="12" xfId="0" applyNumberFormat="1" applyFont="1" applyFill="1" applyBorder="1" applyAlignment="1">
      <alignment horizontal="center" vertical="center" wrapText="1"/>
    </xf>
    <xf numFmtId="0" fontId="6" fillId="12" borderId="13" xfId="0" applyFont="1" applyFill="1" applyBorder="1" applyAlignment="1">
      <alignment horizontal="center" vertical="center"/>
    </xf>
    <xf numFmtId="0" fontId="6" fillId="12" borderId="14" xfId="0" applyFont="1" applyFill="1" applyBorder="1" applyAlignment="1">
      <alignment horizontal="center" vertical="center"/>
    </xf>
    <xf numFmtId="165" fontId="7" fillId="12" borderId="8" xfId="1" applyNumberFormat="1" applyFont="1" applyFill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14" fontId="5" fillId="11" borderId="17" xfId="0" applyNumberFormat="1" applyFont="1" applyFill="1" applyBorder="1" applyAlignment="1">
      <alignment horizontal="center" vertical="center" wrapText="1"/>
    </xf>
    <xf numFmtId="14" fontId="5" fillId="11" borderId="18" xfId="0" applyNumberFormat="1" applyFont="1" applyFill="1" applyBorder="1" applyAlignment="1">
      <alignment horizontal="center" vertical="center" wrapText="1"/>
    </xf>
    <xf numFmtId="0" fontId="2" fillId="13" borderId="13" xfId="0" applyFont="1" applyFill="1" applyBorder="1" applyAlignment="1">
      <alignment horizontal="center" vertical="center"/>
    </xf>
    <xf numFmtId="0" fontId="2" fillId="13" borderId="14" xfId="0" applyFont="1" applyFill="1" applyBorder="1" applyAlignment="1">
      <alignment horizontal="center" vertical="center"/>
    </xf>
    <xf numFmtId="165" fontId="7" fillId="13" borderId="8" xfId="1" applyNumberFormat="1" applyFont="1" applyFill="1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2" fillId="14" borderId="13" xfId="0" applyFont="1" applyFill="1" applyBorder="1" applyAlignment="1">
      <alignment horizontal="center" vertical="center"/>
    </xf>
    <xf numFmtId="0" fontId="2" fillId="14" borderId="14" xfId="0" applyFont="1" applyFill="1" applyBorder="1" applyAlignment="1">
      <alignment horizontal="center" vertical="center"/>
    </xf>
    <xf numFmtId="165" fontId="7" fillId="14" borderId="8" xfId="1" applyNumberFormat="1" applyFont="1" applyFill="1" applyBorder="1"/>
    <xf numFmtId="165" fontId="7" fillId="14" borderId="21" xfId="1" applyNumberFormat="1" applyFont="1" applyFill="1" applyBorder="1"/>
    <xf numFmtId="14" fontId="5" fillId="11" borderId="22" xfId="0" applyNumberFormat="1" applyFont="1" applyFill="1" applyBorder="1" applyAlignment="1">
      <alignment horizontal="center" vertical="center" wrapText="1"/>
    </xf>
    <xf numFmtId="14" fontId="5" fillId="11" borderId="23" xfId="0" applyNumberFormat="1" applyFont="1" applyFill="1" applyBorder="1" applyAlignment="1">
      <alignment horizontal="center" vertical="center" wrapText="1"/>
    </xf>
    <xf numFmtId="0" fontId="2" fillId="15" borderId="24" xfId="0" applyFont="1" applyFill="1" applyBorder="1" applyAlignment="1">
      <alignment horizontal="center" vertical="center"/>
    </xf>
    <xf numFmtId="0" fontId="2" fillId="15" borderId="25" xfId="0" applyFont="1" applyFill="1" applyBorder="1" applyAlignment="1">
      <alignment horizontal="center" vertical="center"/>
    </xf>
    <xf numFmtId="165" fontId="8" fillId="15" borderId="26" xfId="1" applyNumberFormat="1" applyFont="1" applyFill="1" applyBorder="1"/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7" fillId="0" borderId="0" xfId="0" applyFont="1"/>
    <xf numFmtId="165" fontId="7" fillId="0" borderId="0" xfId="0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18</xdr:row>
      <xdr:rowOff>209550</xdr:rowOff>
    </xdr:from>
    <xdr:to>
      <xdr:col>0</xdr:col>
      <xdr:colOff>2095500</xdr:colOff>
      <xdr:row>18</xdr:row>
      <xdr:rowOff>1019175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A0B6622-6D14-44F8-90B4-4D058A1E3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3781425"/>
          <a:ext cx="17907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304800</xdr:colOff>
      <xdr:row>31</xdr:row>
      <xdr:rowOff>209550</xdr:rowOff>
    </xdr:from>
    <xdr:to>
      <xdr:col>0</xdr:col>
      <xdr:colOff>2095500</xdr:colOff>
      <xdr:row>31</xdr:row>
      <xdr:rowOff>1019175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912F2F-0C95-4A5B-BAEA-F9193BFBB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3771900"/>
          <a:ext cx="17907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304800</xdr:colOff>
      <xdr:row>43</xdr:row>
      <xdr:rowOff>209550</xdr:rowOff>
    </xdr:from>
    <xdr:to>
      <xdr:col>0</xdr:col>
      <xdr:colOff>2095500</xdr:colOff>
      <xdr:row>43</xdr:row>
      <xdr:rowOff>1019175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6BB6975-A215-4369-9595-87E793EB3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6648450"/>
          <a:ext cx="17907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304800</xdr:colOff>
      <xdr:row>43</xdr:row>
      <xdr:rowOff>209550</xdr:rowOff>
    </xdr:from>
    <xdr:to>
      <xdr:col>0</xdr:col>
      <xdr:colOff>2095500</xdr:colOff>
      <xdr:row>43</xdr:row>
      <xdr:rowOff>1019175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AB7B1A3-6C4E-4A5C-B8DC-C0D425630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6648450"/>
          <a:ext cx="17907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3"/>
  <sheetViews>
    <sheetView tabSelected="1" topLeftCell="A41" workbookViewId="0">
      <selection sqref="A1:G53"/>
    </sheetView>
  </sheetViews>
  <sheetFormatPr baseColWidth="10" defaultColWidth="9.140625" defaultRowHeight="15" x14ac:dyDescent="0.25"/>
  <cols>
    <col min="1" max="1" width="37.5703125" bestFit="1" customWidth="1"/>
    <col min="5" max="5" width="21.140625" bestFit="1" customWidth="1"/>
    <col min="6" max="6" width="10.42578125" bestFit="1" customWidth="1"/>
    <col min="7" max="7" width="25.7109375" customWidth="1"/>
  </cols>
  <sheetData>
    <row r="1" spans="1:7" ht="18.75" x14ac:dyDescent="0.3">
      <c r="A1" s="1" t="s">
        <v>0</v>
      </c>
      <c r="B1" s="2"/>
      <c r="C1" s="2"/>
      <c r="D1" s="2"/>
      <c r="E1" s="2"/>
      <c r="F1" s="2"/>
      <c r="G1" s="3"/>
    </row>
    <row r="2" spans="1:7" ht="18.75" x14ac:dyDescent="0.3">
      <c r="A2" s="4" t="s">
        <v>1</v>
      </c>
      <c r="B2" s="5"/>
      <c r="C2" s="5"/>
      <c r="D2" s="5"/>
      <c r="E2" s="5"/>
      <c r="F2" s="5"/>
      <c r="G2" s="6"/>
    </row>
    <row r="3" spans="1:7" ht="18.75" x14ac:dyDescent="0.3">
      <c r="A3" s="4" t="s">
        <v>31</v>
      </c>
      <c r="B3" s="5"/>
      <c r="C3" s="5"/>
      <c r="D3" s="5"/>
      <c r="E3" s="5"/>
      <c r="F3" s="5"/>
      <c r="G3" s="5"/>
    </row>
    <row r="4" spans="1:7" x14ac:dyDescent="0.25">
      <c r="A4" s="7" t="s">
        <v>2</v>
      </c>
      <c r="B4" s="7" t="s">
        <v>3</v>
      </c>
      <c r="C4" s="8">
        <v>13399</v>
      </c>
      <c r="D4" s="8">
        <v>13420</v>
      </c>
      <c r="E4" s="8"/>
      <c r="F4" s="8"/>
      <c r="G4" s="9" t="s">
        <v>4</v>
      </c>
    </row>
    <row r="5" spans="1:7" x14ac:dyDescent="0.25">
      <c r="A5" s="10"/>
      <c r="B5" s="11">
        <v>46152</v>
      </c>
      <c r="C5" s="12">
        <v>46186</v>
      </c>
      <c r="D5" s="12">
        <v>46193</v>
      </c>
      <c r="E5" s="12"/>
      <c r="F5" s="12"/>
      <c r="G5" s="13">
        <v>46276</v>
      </c>
    </row>
    <row r="6" spans="1:7" x14ac:dyDescent="0.25">
      <c r="A6" s="14" t="s">
        <v>5</v>
      </c>
      <c r="B6" s="15">
        <v>6</v>
      </c>
      <c r="C6" s="16">
        <v>-6</v>
      </c>
      <c r="D6" s="17"/>
      <c r="E6" s="17"/>
      <c r="F6" s="17"/>
      <c r="G6" s="18">
        <f>SUM(B6:F6)</f>
        <v>0</v>
      </c>
    </row>
    <row r="7" spans="1:7" x14ac:dyDescent="0.25">
      <c r="A7" s="14" t="s">
        <v>6</v>
      </c>
      <c r="B7" s="15">
        <v>12</v>
      </c>
      <c r="C7" s="16">
        <v>-12</v>
      </c>
      <c r="D7" s="17"/>
      <c r="E7" s="17"/>
      <c r="F7" s="17"/>
      <c r="G7" s="18">
        <f t="shared" ref="G7:G15" si="0">SUM(B7:F7)</f>
        <v>0</v>
      </c>
    </row>
    <row r="8" spans="1:7" x14ac:dyDescent="0.25">
      <c r="A8" s="14" t="s">
        <v>7</v>
      </c>
      <c r="B8" s="15">
        <v>6</v>
      </c>
      <c r="C8" s="16">
        <v>-2</v>
      </c>
      <c r="D8" s="17">
        <v>-4</v>
      </c>
      <c r="E8" s="17"/>
      <c r="F8" s="17"/>
      <c r="G8" s="18">
        <f t="shared" si="0"/>
        <v>0</v>
      </c>
    </row>
    <row r="9" spans="1:7" x14ac:dyDescent="0.25">
      <c r="A9" s="14" t="s">
        <v>8</v>
      </c>
      <c r="B9" s="15">
        <v>6</v>
      </c>
      <c r="C9" s="16"/>
      <c r="D9" s="17">
        <v>-5</v>
      </c>
      <c r="E9" s="17"/>
      <c r="F9" s="17"/>
      <c r="G9" s="18">
        <f t="shared" si="0"/>
        <v>1</v>
      </c>
    </row>
    <row r="10" spans="1:7" x14ac:dyDescent="0.25">
      <c r="A10" s="14" t="s">
        <v>9</v>
      </c>
      <c r="B10" s="15">
        <v>4</v>
      </c>
      <c r="C10" s="16"/>
      <c r="D10" s="17">
        <v>-4</v>
      </c>
      <c r="E10" s="17"/>
      <c r="F10" s="17"/>
      <c r="G10" s="18">
        <f t="shared" si="0"/>
        <v>0</v>
      </c>
    </row>
    <row r="11" spans="1:7" x14ac:dyDescent="0.25">
      <c r="A11" s="14" t="s">
        <v>6</v>
      </c>
      <c r="B11" s="15">
        <v>4</v>
      </c>
      <c r="C11" s="16">
        <v>-4</v>
      </c>
      <c r="D11" s="17"/>
      <c r="E11" s="17"/>
      <c r="F11" s="17"/>
      <c r="G11" s="18">
        <f t="shared" si="0"/>
        <v>0</v>
      </c>
    </row>
    <row r="12" spans="1:7" x14ac:dyDescent="0.25">
      <c r="A12" s="14" t="s">
        <v>10</v>
      </c>
      <c r="B12" s="15">
        <v>16</v>
      </c>
      <c r="C12" s="16">
        <v>-8</v>
      </c>
      <c r="D12" s="17">
        <v>-6</v>
      </c>
      <c r="E12" s="17"/>
      <c r="F12" s="17"/>
      <c r="G12" s="18">
        <f t="shared" si="0"/>
        <v>2</v>
      </c>
    </row>
    <row r="13" spans="1:7" x14ac:dyDescent="0.25">
      <c r="A13" s="19" t="s">
        <v>11</v>
      </c>
      <c r="B13" s="20">
        <v>10</v>
      </c>
      <c r="C13" s="20">
        <v>-10</v>
      </c>
      <c r="D13" s="17"/>
      <c r="E13" s="17"/>
      <c r="F13" s="17"/>
      <c r="G13" s="18">
        <f t="shared" si="0"/>
        <v>0</v>
      </c>
    </row>
    <row r="14" spans="1:7" x14ac:dyDescent="0.25">
      <c r="A14" s="19" t="s">
        <v>12</v>
      </c>
      <c r="B14" s="20">
        <v>3</v>
      </c>
      <c r="C14" s="20">
        <v>-2</v>
      </c>
      <c r="D14" s="17"/>
      <c r="E14" s="17"/>
      <c r="F14" s="17"/>
      <c r="G14" s="18">
        <f t="shared" si="0"/>
        <v>1</v>
      </c>
    </row>
    <row r="15" spans="1:7" x14ac:dyDescent="0.25">
      <c r="A15" s="14" t="s">
        <v>13</v>
      </c>
      <c r="B15" s="15">
        <v>4</v>
      </c>
      <c r="C15" s="16">
        <v>-4</v>
      </c>
      <c r="D15" s="17"/>
      <c r="E15" s="17"/>
      <c r="F15" s="17"/>
      <c r="G15" s="18">
        <f t="shared" si="0"/>
        <v>0</v>
      </c>
    </row>
    <row r="16" spans="1:7" x14ac:dyDescent="0.25">
      <c r="A16" s="10" t="s">
        <v>14</v>
      </c>
      <c r="B16" s="10"/>
      <c r="C16" s="21">
        <v>0.375</v>
      </c>
      <c r="D16" s="22">
        <v>0.31944444444444442</v>
      </c>
      <c r="E16" s="22"/>
      <c r="F16" s="22"/>
      <c r="G16" s="23"/>
    </row>
    <row r="17" spans="1:7" x14ac:dyDescent="0.25">
      <c r="A17" s="10" t="s">
        <v>15</v>
      </c>
      <c r="B17" s="10"/>
      <c r="C17" s="24">
        <v>60000</v>
      </c>
      <c r="D17" s="24">
        <v>40000</v>
      </c>
      <c r="E17" s="24">
        <v>40000</v>
      </c>
      <c r="F17" s="24"/>
      <c r="G17" s="25">
        <f>SUM(C17:D17)</f>
        <v>100000</v>
      </c>
    </row>
    <row r="18" spans="1:7" ht="15.75" thickBot="1" x14ac:dyDescent="0.3"/>
    <row r="19" spans="1:7" x14ac:dyDescent="0.25">
      <c r="A19" s="26" t="s">
        <v>16</v>
      </c>
      <c r="B19" s="27"/>
      <c r="C19" s="27"/>
      <c r="D19" s="27"/>
      <c r="E19" s="27"/>
      <c r="F19" s="27"/>
      <c r="G19" s="28"/>
    </row>
    <row r="20" spans="1:7" ht="18.75" x14ac:dyDescent="0.3">
      <c r="A20" s="29" t="s">
        <v>17</v>
      </c>
      <c r="B20" s="30"/>
      <c r="C20" s="30"/>
      <c r="D20" s="30"/>
      <c r="E20" s="30"/>
      <c r="F20" s="30"/>
      <c r="G20" s="31"/>
    </row>
    <row r="21" spans="1:7" ht="18.75" x14ac:dyDescent="0.3">
      <c r="A21" s="29" t="s">
        <v>18</v>
      </c>
      <c r="B21" s="30"/>
      <c r="C21" s="30"/>
      <c r="D21" s="30"/>
      <c r="E21" s="30"/>
      <c r="F21" s="30"/>
      <c r="G21" s="31"/>
    </row>
    <row r="22" spans="1:7" x14ac:dyDescent="0.25">
      <c r="A22" s="32" t="s">
        <v>19</v>
      </c>
      <c r="B22" s="33">
        <v>33</v>
      </c>
      <c r="C22" s="33">
        <v>13</v>
      </c>
      <c r="D22" s="34">
        <v>1400</v>
      </c>
      <c r="E22" s="34">
        <f>C22*D22</f>
        <v>18200</v>
      </c>
      <c r="F22" s="34">
        <f>B22*E22</f>
        <v>600600</v>
      </c>
      <c r="G22" s="35" t="s">
        <v>26</v>
      </c>
    </row>
    <row r="23" spans="1:7" x14ac:dyDescent="0.25">
      <c r="A23" s="32" t="s">
        <v>20</v>
      </c>
      <c r="B23" s="33">
        <v>33</v>
      </c>
      <c r="C23" s="33">
        <v>16</v>
      </c>
      <c r="D23" s="34">
        <v>1400</v>
      </c>
      <c r="E23" s="34">
        <f>C23*D23</f>
        <v>22400</v>
      </c>
      <c r="F23" s="34">
        <f>B23*E23</f>
        <v>739200</v>
      </c>
      <c r="G23" s="35" t="s">
        <v>26</v>
      </c>
    </row>
    <row r="24" spans="1:7" x14ac:dyDescent="0.25">
      <c r="A24" s="32" t="s">
        <v>21</v>
      </c>
      <c r="B24" s="33">
        <v>33</v>
      </c>
      <c r="C24" s="33">
        <v>4</v>
      </c>
      <c r="D24" s="34">
        <v>800</v>
      </c>
      <c r="E24" s="34">
        <f>C24*D24</f>
        <v>3200</v>
      </c>
      <c r="F24" s="34">
        <f>B24*E24</f>
        <v>105600</v>
      </c>
      <c r="G24" s="35" t="s">
        <v>26</v>
      </c>
    </row>
    <row r="25" spans="1:7" ht="18.75" x14ac:dyDescent="0.4">
      <c r="A25" s="36" t="s">
        <v>26</v>
      </c>
      <c r="B25" s="37"/>
      <c r="C25" s="38" t="s">
        <v>22</v>
      </c>
      <c r="D25" s="39"/>
      <c r="E25" s="40">
        <f>SUM(E22:E24)*1.19</f>
        <v>52122</v>
      </c>
      <c r="F25" s="41"/>
      <c r="G25" s="42"/>
    </row>
    <row r="26" spans="1:7" ht="18.75" x14ac:dyDescent="0.4">
      <c r="A26" s="43"/>
      <c r="B26" s="44"/>
      <c r="C26" s="45" t="s">
        <v>23</v>
      </c>
      <c r="D26" s="46"/>
      <c r="E26" s="47">
        <f>SUM(F22:F24)</f>
        <v>1445400</v>
      </c>
      <c r="F26" s="48"/>
      <c r="G26" s="49"/>
    </row>
    <row r="27" spans="1:7" ht="18.75" x14ac:dyDescent="0.4">
      <c r="A27" s="43"/>
      <c r="B27" s="44"/>
      <c r="C27" s="50" t="s">
        <v>24</v>
      </c>
      <c r="D27" s="51"/>
      <c r="E27" s="52">
        <f>E26*19%</f>
        <v>274626</v>
      </c>
      <c r="F27" s="48"/>
      <c r="G27" s="49"/>
    </row>
    <row r="28" spans="1:7" ht="18.75" x14ac:dyDescent="0.4">
      <c r="A28" s="43"/>
      <c r="B28" s="44"/>
      <c r="C28" s="50" t="s">
        <v>27</v>
      </c>
      <c r="D28" s="51"/>
      <c r="E28" s="53">
        <v>60000</v>
      </c>
      <c r="F28" s="48"/>
      <c r="G28" s="49"/>
    </row>
    <row r="29" spans="1:7" ht="23.25" thickBot="1" x14ac:dyDescent="0.5">
      <c r="A29" s="54"/>
      <c r="B29" s="55"/>
      <c r="C29" s="56" t="s">
        <v>25</v>
      </c>
      <c r="D29" s="57"/>
      <c r="E29" s="58">
        <f>SUM(E26:E28)</f>
        <v>1780026</v>
      </c>
      <c r="F29" s="59"/>
      <c r="G29" s="60"/>
    </row>
    <row r="31" spans="1:7" ht="15.75" thickBot="1" x14ac:dyDescent="0.3"/>
    <row r="32" spans="1:7" x14ac:dyDescent="0.25">
      <c r="A32" s="26" t="s">
        <v>16</v>
      </c>
      <c r="B32" s="27"/>
      <c r="C32" s="27"/>
      <c r="D32" s="27"/>
      <c r="E32" s="27"/>
      <c r="F32" s="27"/>
      <c r="G32" s="28"/>
    </row>
    <row r="33" spans="1:7" ht="18.75" x14ac:dyDescent="0.3">
      <c r="A33" s="29" t="s">
        <v>17</v>
      </c>
      <c r="B33" s="30"/>
      <c r="C33" s="30"/>
      <c r="D33" s="30"/>
      <c r="E33" s="30"/>
      <c r="F33" s="30"/>
      <c r="G33" s="31"/>
    </row>
    <row r="34" spans="1:7" ht="18.75" x14ac:dyDescent="0.3">
      <c r="A34" s="29" t="s">
        <v>18</v>
      </c>
      <c r="B34" s="30"/>
      <c r="C34" s="30"/>
      <c r="D34" s="30"/>
      <c r="E34" s="30"/>
      <c r="F34" s="30"/>
      <c r="G34" s="31"/>
    </row>
    <row r="35" spans="1:7" x14ac:dyDescent="0.25">
      <c r="A35" s="32" t="s">
        <v>19</v>
      </c>
      <c r="B35" s="33">
        <v>7</v>
      </c>
      <c r="C35" s="33">
        <v>4</v>
      </c>
      <c r="D35" s="34">
        <v>1400</v>
      </c>
      <c r="E35" s="34">
        <f>C35*D35</f>
        <v>5600</v>
      </c>
      <c r="F35" s="34">
        <f>B35*E35</f>
        <v>39200</v>
      </c>
      <c r="G35" s="35" t="s">
        <v>28</v>
      </c>
    </row>
    <row r="36" spans="1:7" x14ac:dyDescent="0.25">
      <c r="A36" s="32" t="s">
        <v>20</v>
      </c>
      <c r="B36" s="33">
        <v>7</v>
      </c>
      <c r="C36" s="33">
        <v>8</v>
      </c>
      <c r="D36" s="34">
        <v>1400</v>
      </c>
      <c r="E36" s="34">
        <f>C36*D36</f>
        <v>11200</v>
      </c>
      <c r="F36" s="34">
        <f>B36*E36</f>
        <v>78400</v>
      </c>
      <c r="G36" s="35" t="s">
        <v>28</v>
      </c>
    </row>
    <row r="37" spans="1:7" ht="18.75" x14ac:dyDescent="0.4">
      <c r="A37" s="36" t="s">
        <v>28</v>
      </c>
      <c r="B37" s="37"/>
      <c r="C37" s="38" t="s">
        <v>22</v>
      </c>
      <c r="D37" s="39"/>
      <c r="E37" s="40">
        <f>SUM(E35:E36)*1.19</f>
        <v>19992</v>
      </c>
      <c r="F37" s="41"/>
      <c r="G37" s="42"/>
    </row>
    <row r="38" spans="1:7" ht="18.75" x14ac:dyDescent="0.4">
      <c r="A38" s="43"/>
      <c r="B38" s="44"/>
      <c r="C38" s="45" t="s">
        <v>23</v>
      </c>
      <c r="D38" s="46"/>
      <c r="E38" s="47">
        <f>SUM(F35:F36)</f>
        <v>117600</v>
      </c>
      <c r="F38" s="48"/>
      <c r="G38" s="49"/>
    </row>
    <row r="39" spans="1:7" ht="18.75" x14ac:dyDescent="0.4">
      <c r="A39" s="43"/>
      <c r="B39" s="44"/>
      <c r="C39" s="50" t="s">
        <v>24</v>
      </c>
      <c r="D39" s="51"/>
      <c r="E39" s="52">
        <f>E38*19%</f>
        <v>22344</v>
      </c>
      <c r="F39" s="48"/>
      <c r="G39" s="49"/>
    </row>
    <row r="40" spans="1:7" ht="18.75" x14ac:dyDescent="0.4">
      <c r="A40" s="43"/>
      <c r="B40" s="44"/>
      <c r="C40" s="50" t="s">
        <v>27</v>
      </c>
      <c r="D40" s="51"/>
      <c r="E40" s="53">
        <v>40000</v>
      </c>
      <c r="F40" s="48"/>
      <c r="G40" s="49"/>
    </row>
    <row r="41" spans="1:7" ht="23.25" thickBot="1" x14ac:dyDescent="0.5">
      <c r="A41" s="54"/>
      <c r="B41" s="55"/>
      <c r="C41" s="56" t="s">
        <v>25</v>
      </c>
      <c r="D41" s="57"/>
      <c r="E41" s="58">
        <f>SUM(E38:E40)</f>
        <v>179944</v>
      </c>
      <c r="F41" s="59"/>
      <c r="G41" s="60"/>
    </row>
    <row r="43" spans="1:7" ht="15.75" thickBot="1" x14ac:dyDescent="0.3"/>
    <row r="44" spans="1:7" x14ac:dyDescent="0.25">
      <c r="A44" s="26" t="s">
        <v>16</v>
      </c>
      <c r="B44" s="27"/>
      <c r="C44" s="27"/>
      <c r="D44" s="27"/>
      <c r="E44" s="27"/>
      <c r="F44" s="27"/>
      <c r="G44" s="28"/>
    </row>
    <row r="45" spans="1:7" ht="18.75" x14ac:dyDescent="0.3">
      <c r="A45" s="29" t="s">
        <v>17</v>
      </c>
      <c r="B45" s="30"/>
      <c r="C45" s="30"/>
      <c r="D45" s="30"/>
      <c r="E45" s="30"/>
      <c r="F45" s="30"/>
      <c r="G45" s="31"/>
    </row>
    <row r="46" spans="1:7" ht="18.75" x14ac:dyDescent="0.3">
      <c r="A46" s="29" t="s">
        <v>18</v>
      </c>
      <c r="B46" s="30"/>
      <c r="C46" s="30"/>
      <c r="D46" s="30"/>
      <c r="E46" s="30"/>
      <c r="F46" s="30"/>
      <c r="G46" s="31"/>
    </row>
    <row r="47" spans="1:7" x14ac:dyDescent="0.25">
      <c r="A47" s="32" t="s">
        <v>19</v>
      </c>
      <c r="B47" s="33">
        <v>84</v>
      </c>
      <c r="C47" s="33">
        <v>2</v>
      </c>
      <c r="D47" s="34">
        <v>1400</v>
      </c>
      <c r="E47" s="34">
        <f>C47*D47</f>
        <v>2800</v>
      </c>
      <c r="F47" s="34">
        <f>B47*E47</f>
        <v>235200</v>
      </c>
      <c r="G47" s="35" t="s">
        <v>29</v>
      </c>
    </row>
    <row r="48" spans="1:7" ht="18.75" customHeight="1" x14ac:dyDescent="0.4">
      <c r="A48" s="36" t="s">
        <v>29</v>
      </c>
      <c r="B48" s="37"/>
      <c r="C48" s="38" t="s">
        <v>22</v>
      </c>
      <c r="D48" s="39"/>
      <c r="E48" s="40">
        <f>SUM(E47:E47)*1.19</f>
        <v>3332</v>
      </c>
      <c r="F48" s="41"/>
      <c r="G48" s="42"/>
    </row>
    <row r="49" spans="1:7" ht="18.75" customHeight="1" x14ac:dyDescent="0.4">
      <c r="A49" s="43"/>
      <c r="B49" s="44"/>
      <c r="C49" s="45" t="s">
        <v>23</v>
      </c>
      <c r="D49" s="46"/>
      <c r="E49" s="47">
        <f>SUM(F47:F47)</f>
        <v>235200</v>
      </c>
      <c r="F49" s="48"/>
      <c r="G49" s="49"/>
    </row>
    <row r="50" spans="1:7" ht="18.75" customHeight="1" x14ac:dyDescent="0.4">
      <c r="A50" s="43"/>
      <c r="B50" s="44"/>
      <c r="C50" s="50" t="s">
        <v>24</v>
      </c>
      <c r="D50" s="51"/>
      <c r="E50" s="52">
        <f>E49*19%</f>
        <v>44688</v>
      </c>
      <c r="F50" s="48"/>
      <c r="G50" s="49"/>
    </row>
    <row r="51" spans="1:7" ht="18.75" customHeight="1" x14ac:dyDescent="0.4">
      <c r="A51" s="43"/>
      <c r="B51" s="44"/>
      <c r="C51" s="50" t="s">
        <v>27</v>
      </c>
      <c r="D51" s="51"/>
      <c r="E51" s="53">
        <v>40000</v>
      </c>
      <c r="F51" s="48"/>
      <c r="G51" s="49"/>
    </row>
    <row r="52" spans="1:7" ht="23.25" thickBot="1" x14ac:dyDescent="0.5">
      <c r="A52" s="54"/>
      <c r="B52" s="55"/>
      <c r="C52" s="56" t="s">
        <v>25</v>
      </c>
      <c r="D52" s="57"/>
      <c r="E52" s="58">
        <f>SUM(E49:E51)</f>
        <v>319888</v>
      </c>
      <c r="F52" s="59"/>
      <c r="G52" s="60"/>
    </row>
    <row r="53" spans="1:7" ht="18.75" x14ac:dyDescent="0.4">
      <c r="A53" s="61" t="s">
        <v>30</v>
      </c>
      <c r="B53" s="61"/>
      <c r="C53" s="61"/>
      <c r="D53" s="61"/>
      <c r="E53" s="62">
        <f>E29+E41+E52</f>
        <v>2279858</v>
      </c>
    </row>
  </sheetData>
  <mergeCells count="33">
    <mergeCell ref="A44:G44"/>
    <mergeCell ref="A45:G45"/>
    <mergeCell ref="A46:G46"/>
    <mergeCell ref="A48:B52"/>
    <mergeCell ref="C48:D48"/>
    <mergeCell ref="F48:G52"/>
    <mergeCell ref="C49:D49"/>
    <mergeCell ref="C50:D50"/>
    <mergeCell ref="C51:D51"/>
    <mergeCell ref="C52:D52"/>
    <mergeCell ref="A32:G32"/>
    <mergeCell ref="A33:G33"/>
    <mergeCell ref="A34:G34"/>
    <mergeCell ref="A37:B41"/>
    <mergeCell ref="C37:D37"/>
    <mergeCell ref="F37:G41"/>
    <mergeCell ref="C38:D38"/>
    <mergeCell ref="C39:D39"/>
    <mergeCell ref="C40:D40"/>
    <mergeCell ref="C41:D41"/>
    <mergeCell ref="A25:B29"/>
    <mergeCell ref="C25:D25"/>
    <mergeCell ref="F25:G29"/>
    <mergeCell ref="C26:D26"/>
    <mergeCell ref="C27:D27"/>
    <mergeCell ref="C28:D28"/>
    <mergeCell ref="C29:D29"/>
    <mergeCell ref="A1:G1"/>
    <mergeCell ref="A2:G2"/>
    <mergeCell ref="A3:G3"/>
    <mergeCell ref="A19:G19"/>
    <mergeCell ref="A20:G20"/>
    <mergeCell ref="A21:G21"/>
  </mergeCells>
  <pageMargins left="0.7" right="0.7" top="0.75" bottom="0.75" header="0.3" footer="0.3"/>
  <pageSetup paperSize="5" scale="7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TEJIDO ARQUITECTONICO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Jaimes</dc:creator>
  <cp:lastModifiedBy>Jimmy Jaimes</cp:lastModifiedBy>
  <cp:lastPrinted>2026-09-10T19:36:50Z</cp:lastPrinted>
  <dcterms:created xsi:type="dcterms:W3CDTF">2015-06-05T18:19:34Z</dcterms:created>
  <dcterms:modified xsi:type="dcterms:W3CDTF">2026-09-10T19:36:55Z</dcterms:modified>
</cp:coreProperties>
</file>
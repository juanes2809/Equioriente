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Janus.EQUIORIENTE\Desktop\2026\"/>
    </mc:Choice>
  </mc:AlternateContent>
  <xr:revisionPtr revIDLastSave="0" documentId="13_ncr:1_{B8F9114F-EAA6-477A-A414-FABFF5C11049}" xr6:coauthVersionLast="47" xr6:coauthVersionMax="47" xr10:uidLastSave="{00000000-0000-0000-0000-000000000000}"/>
  <bookViews>
    <workbookView xWindow="-120" yWindow="-120" windowWidth="20730" windowHeight="11040" firstSheet="1" activeTab="6" xr2:uid="{00000000-000D-0000-FFFF-FFFF00000000}"/>
  </bookViews>
  <sheets>
    <sheet name="ALQUIOBRAS" sheetId="1" r:id="rId1"/>
    <sheet name="LUNA SANCHEZ" sheetId="4" r:id="rId2"/>
    <sheet name="Hoja1" sheetId="8" r:id="rId3"/>
    <sheet name="JEREZ" sheetId="2" r:id="rId4"/>
    <sheet name="EDWIN BARBOSA" sheetId="7" r:id="rId5"/>
    <sheet name="EL OPERADOR" sheetId="6" r:id="rId6"/>
    <sheet name="POLIMY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3" i="4" l="1"/>
  <c r="F158" i="1"/>
  <c r="D98" i="3"/>
  <c r="E123" i="4"/>
  <c r="D123" i="4"/>
  <c r="E108" i="4"/>
  <c r="D108" i="4"/>
  <c r="F108" i="4" s="1"/>
  <c r="F286" i="2"/>
  <c r="E126" i="2"/>
  <c r="F226" i="2"/>
  <c r="F53" i="2"/>
  <c r="D30" i="3"/>
  <c r="E194" i="2"/>
  <c r="D194" i="2"/>
  <c r="F181" i="2"/>
  <c r="F182" i="2" s="1"/>
  <c r="F183" i="2" s="1"/>
  <c r="F184" i="2" s="1"/>
  <c r="F185" i="2" s="1"/>
  <c r="F186" i="2" s="1"/>
  <c r="F187" i="2" s="1"/>
  <c r="F188" i="2" s="1"/>
  <c r="F189" i="2" s="1"/>
  <c r="F190" i="2" s="1"/>
  <c r="F191" i="2" s="1"/>
  <c r="F192" i="2" s="1"/>
  <c r="E259" i="2"/>
  <c r="D34" i="4"/>
  <c r="E34" i="4"/>
  <c r="E53" i="2"/>
  <c r="E106" i="2"/>
  <c r="F249" i="2"/>
  <c r="F148" i="1"/>
  <c r="D106" i="2"/>
  <c r="D61" i="3"/>
  <c r="E61" i="3"/>
  <c r="E98" i="3"/>
  <c r="D83" i="4"/>
  <c r="E10" i="6"/>
  <c r="D53" i="2"/>
  <c r="E30" i="3"/>
  <c r="E123" i="1"/>
  <c r="E41" i="3"/>
  <c r="F123" i="4"/>
  <c r="E150" i="4"/>
  <c r="D41" i="3"/>
  <c r="F34" i="4" l="1"/>
  <c r="F106" i="2"/>
  <c r="D123" i="1"/>
  <c r="E10" i="1" l="1"/>
  <c r="D10" i="1"/>
  <c r="D126" i="2"/>
  <c r="F83" i="4" l="1"/>
  <c r="F126" i="2"/>
  <c r="F10" i="1"/>
  <c r="D150" i="4" l="1"/>
  <c r="F150" i="4" s="1"/>
  <c r="E73" i="2"/>
  <c r="D73" i="2"/>
  <c r="D10" i="6"/>
  <c r="F10" i="6" s="1"/>
  <c r="E28" i="6"/>
  <c r="D28" i="6"/>
  <c r="F23" i="6"/>
  <c r="F24" i="6" s="1"/>
  <c r="E132" i="1"/>
  <c r="D132" i="1"/>
  <c r="F132" i="1" s="1"/>
  <c r="F28" i="6" l="1"/>
  <c r="F73" i="2"/>
  <c r="E77" i="3"/>
  <c r="D77" i="3"/>
  <c r="E9" i="3"/>
  <c r="D9" i="3"/>
  <c r="F123" i="1"/>
  <c r="G41" i="3"/>
  <c r="G9" i="3" l="1"/>
  <c r="G98" i="3"/>
  <c r="G77" i="3"/>
  <c r="G30" i="3"/>
  <c r="F276" i="2"/>
  <c r="D259" i="2" l="1"/>
  <c r="F259" i="2" s="1"/>
  <c r="A259" i="2"/>
  <c r="F106" i="3"/>
  <c r="F102" i="3"/>
  <c r="G61" i="3" l="1"/>
  <c r="F140" i="1"/>
  <c r="D176" i="2"/>
  <c r="E176" i="2"/>
  <c r="F167" i="2"/>
  <c r="F168" i="2" s="1"/>
  <c r="F169" i="2" s="1"/>
  <c r="F170" i="2" s="1"/>
  <c r="F171" i="2" s="1"/>
  <c r="F172" i="2" s="1"/>
  <c r="F173" i="2" s="1"/>
  <c r="F174" i="2" s="1"/>
  <c r="F175" i="2" s="1"/>
  <c r="F61" i="3" l="1"/>
  <c r="F176" i="2"/>
  <c r="E207" i="2"/>
  <c r="F30" i="3"/>
  <c r="F9" i="2"/>
  <c r="F98" i="3"/>
  <c r="F207" i="2" l="1"/>
  <c r="F26" i="4" l="1"/>
  <c r="F27" i="4" s="1"/>
  <c r="F28" i="4" s="1"/>
  <c r="E37" i="2" l="1"/>
  <c r="D37" i="2"/>
  <c r="D207" i="2"/>
  <c r="F141" i="4"/>
  <c r="F162" i="2"/>
  <c r="F267" i="2"/>
  <c r="F194" i="2" l="1"/>
  <c r="F111" i="1"/>
  <c r="F133" i="4" l="1"/>
  <c r="F37" i="2"/>
  <c r="F116" i="1"/>
  <c r="F117" i="1" s="1"/>
  <c r="F41" i="3"/>
  <c r="F236" i="2" l="1"/>
  <c r="F47" i="4"/>
  <c r="F215" i="2"/>
  <c r="F97" i="4"/>
  <c r="F9" i="7" l="1"/>
  <c r="F18" i="6" l="1"/>
  <c r="K13" i="6"/>
  <c r="K12" i="6"/>
  <c r="F140" i="2" l="1" a="1"/>
  <c r="F59" i="4"/>
  <c r="F22" i="4"/>
  <c r="F14" i="4"/>
  <c r="F15" i="4" s="1"/>
  <c r="F16" i="4" s="1"/>
  <c r="F17" i="4" s="1"/>
  <c r="F18" i="4" s="1"/>
  <c r="F9" i="4"/>
  <c r="F82" i="3" l="1"/>
  <c r="F77" i="3"/>
  <c r="F73" i="3"/>
  <c r="F74" i="3" s="1"/>
  <c r="F75" i="3" s="1"/>
  <c r="F69" i="3"/>
  <c r="F65" i="3"/>
  <c r="F66" i="3" s="1"/>
  <c r="F67" i="3" s="1"/>
  <c r="F35" i="3"/>
  <c r="F36" i="3" s="1"/>
  <c r="F37" i="3" s="1"/>
  <c r="F14" i="3"/>
  <c r="F15" i="3" s="1"/>
  <c r="F16" i="3" s="1"/>
  <c r="F17" i="3" s="1"/>
  <c r="F18" i="3" s="1"/>
  <c r="F19" i="3" s="1"/>
  <c r="F20" i="3" s="1"/>
  <c r="F21" i="3" s="1"/>
  <c r="F22" i="3" s="1"/>
  <c r="F23" i="3" s="1"/>
  <c r="F9" i="3"/>
  <c r="F152" i="2" l="1"/>
  <c r="F84" i="2"/>
  <c r="F95" i="1" l="1"/>
  <c r="F96" i="1" s="1"/>
  <c r="F97" i="1" s="1"/>
  <c r="F98" i="1" s="1"/>
  <c r="F99" i="1" s="1"/>
  <c r="F100" i="1" s="1"/>
  <c r="F101" i="1" s="1"/>
  <c r="F102" i="1" s="1"/>
  <c r="F103" i="1" s="1"/>
  <c r="F91" i="1"/>
  <c r="F83" i="1"/>
  <c r="F79" i="1"/>
  <c r="F80" i="1" s="1"/>
  <c r="F81" i="1" s="1"/>
  <c r="F65" i="1"/>
  <c r="F61" i="1"/>
  <c r="F62" i="1" s="1"/>
  <c r="F63" i="1" s="1"/>
  <c r="F56" i="1"/>
  <c r="F47" i="1"/>
  <c r="F43" i="1"/>
  <c r="F44" i="1" s="1"/>
  <c r="F45" i="1" s="1"/>
  <c r="F35" i="1"/>
  <c r="F31" i="1"/>
  <c r="F27" i="1"/>
  <c r="F23" i="1"/>
  <c r="F24" i="1" s="1"/>
  <c r="F25" i="1" s="1"/>
  <c r="F18" i="1"/>
  <c r="F15" i="1"/>
  <c r="F1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E90" authorId="0" shapeId="0" xr:uid="{470EFB2B-B96B-4936-B219-900A9219CAD2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NO SE USARON
</t>
        </r>
      </text>
    </comment>
    <comment ref="E92" authorId="0" shapeId="0" xr:uid="{FB90A448-1221-456F-B6F7-CD966D007948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2 DE NESTOR DANILO
3 HERNAN TORRADO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E167" authorId="0" shapeId="0" xr:uid="{05FA6FBA-3585-4753-80D7-6568B1F25106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CRUCETAS
</t>
        </r>
      </text>
    </comment>
    <comment ref="G182" authorId="0" shapeId="0" xr:uid="{7A480C86-AB75-436D-AEA4-DFDCBEF3A4EF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LAS CRUCETAS SON PLATEADAS
</t>
        </r>
      </text>
    </comment>
    <comment ref="D184" authorId="0" shapeId="0" xr:uid="{A4A376EF-F4C9-4AC0-80DD-2D87122635A6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CRUCETAS ROJAS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<sst xmlns="http://schemas.openxmlformats.org/spreadsheetml/2006/main" count="1090" uniqueCount="331">
  <si>
    <t>FORMALETA 35 X 1,20</t>
  </si>
  <si>
    <t xml:space="preserve">FECHA </t>
  </si>
  <si>
    <t>HORA</t>
  </si>
  <si>
    <t xml:space="preserve">RELACION </t>
  </si>
  <si>
    <t>Préstamo o Salida</t>
  </si>
  <si>
    <t>Devolución ó Entrada</t>
  </si>
  <si>
    <t xml:space="preserve">TOTAL </t>
  </si>
  <si>
    <t>REFERENCIA</t>
  </si>
  <si>
    <t>Saldo</t>
  </si>
  <si>
    <t>CERCHA 1,5 MTS</t>
  </si>
  <si>
    <t>FORMALETA 50 X 1,20</t>
  </si>
  <si>
    <t>EDUSYSTEMAS</t>
  </si>
  <si>
    <t>ALINEADORES 3,70 MTS</t>
  </si>
  <si>
    <t>JOSE REDIN</t>
  </si>
  <si>
    <t>FORMALETA 30 X 1,20</t>
  </si>
  <si>
    <t>MAESTRO LORENZO</t>
  </si>
  <si>
    <t>HERNAN TOR4RADO</t>
  </si>
  <si>
    <t>HERNAN TORRADO</t>
  </si>
  <si>
    <t>FORMALETA DE 40*1.20</t>
  </si>
  <si>
    <t>08-:35</t>
  </si>
  <si>
    <t>MARLON ROJAS</t>
  </si>
  <si>
    <t>CAMILO PUERTO</t>
  </si>
  <si>
    <t>2;28</t>
  </si>
  <si>
    <t>LUIS AREVALO</t>
  </si>
  <si>
    <t>ANTONIO GUTIERREZ</t>
  </si>
  <si>
    <t>ANTONIO GUTIERREZ Y EFRAIN</t>
  </si>
  <si>
    <t>HERNAN /NESTOR DANILO</t>
  </si>
  <si>
    <t>NESTOR DANILO</t>
  </si>
  <si>
    <t>SALDO</t>
  </si>
  <si>
    <t>CERCHA DE 2,50MTRO</t>
  </si>
  <si>
    <t>FORMALETA DE 60*1.20</t>
  </si>
  <si>
    <t>FORMALETA DE 10*1.20</t>
  </si>
  <si>
    <t>FORMALETA DE 15*1.20</t>
  </si>
  <si>
    <t>FORMALETA DE 30*1.20</t>
  </si>
  <si>
    <t>FORMALETA DE 20*1.20</t>
  </si>
  <si>
    <t>TABLERO DE MADERA 70*1,40</t>
  </si>
  <si>
    <t>PARALES DE 3 MTROS</t>
  </si>
  <si>
    <t>BANDA DE MADERA DE 40*1,40</t>
  </si>
  <si>
    <t>FORMALETA DE 25*1.20</t>
  </si>
  <si>
    <t>DISQUINAL</t>
  </si>
  <si>
    <t>NO</t>
  </si>
  <si>
    <t>YURANIS</t>
  </si>
  <si>
    <t>4.12</t>
  </si>
  <si>
    <t>YURANI</t>
  </si>
  <si>
    <t>FORMALETA 60*1,20</t>
  </si>
  <si>
    <t>MARCOS DE ANDAMIO  1.50*1.50</t>
  </si>
  <si>
    <t>CRUCETAS</t>
  </si>
  <si>
    <t>ALINEADOR DE 4 MTROS</t>
  </si>
  <si>
    <t>PM</t>
  </si>
  <si>
    <t xml:space="preserve">TABLONES </t>
  </si>
  <si>
    <t>JUAN PABLO  CAÑIZALES</t>
  </si>
  <si>
    <t>JPONATHAN PORTILLA MIGUEL</t>
  </si>
  <si>
    <t>STARICARE</t>
  </si>
  <si>
    <t>NELSON HERNANDEZ</t>
  </si>
  <si>
    <t>ALINEADORES 3 MTS</t>
  </si>
  <si>
    <t>BANDA DE MADERA DE 40*1.40</t>
  </si>
  <si>
    <t>PASAMANOS DE 6 MTROS</t>
  </si>
  <si>
    <t>CERCHA DE 2 MTRO</t>
  </si>
  <si>
    <t>P.M.</t>
  </si>
  <si>
    <t>PEDRO ROSAS</t>
  </si>
  <si>
    <t>DEVOLUCION</t>
  </si>
  <si>
    <t>ANDREA PAOLA</t>
  </si>
  <si>
    <t>3.21</t>
  </si>
  <si>
    <t>ANULADA</t>
  </si>
  <si>
    <t xml:space="preserve">HACER STANBY DE SECCIONES DE ANDAMIOS=2.  1 DIA 3 FEBRERO </t>
  </si>
  <si>
    <t>Y EMPEZAR A PARTIR DEL 4 FEBRERO CON REMI 901</t>
  </si>
  <si>
    <t>008:01</t>
  </si>
  <si>
    <t>CESAR CACERES</t>
  </si>
  <si>
    <t>TEJIDO ARQUITECTONICO</t>
  </si>
  <si>
    <t xml:space="preserve">TABLONES DE MADERA 3 MTROS </t>
  </si>
  <si>
    <t>ALINEADORES DE 6 MTROS</t>
  </si>
  <si>
    <t>CONSORCIO LA VICTORIA</t>
  </si>
  <si>
    <t>CONSORCIO LA VISTORIA</t>
  </si>
  <si>
    <t>2.58</t>
  </si>
  <si>
    <t>FORMALETA 20X 1,20</t>
  </si>
  <si>
    <t>COBRO A PARTIR DEL 7 FEBRERO</t>
  </si>
  <si>
    <t>DIEGO GUTIERREZ</t>
  </si>
  <si>
    <t>PARALES DE 7 MTROS</t>
  </si>
  <si>
    <t>JAVIER FFRANCISCO</t>
  </si>
  <si>
    <t>AM</t>
  </si>
  <si>
    <t>CORTE AL 25-02-2026</t>
  </si>
  <si>
    <t>4.57</t>
  </si>
  <si>
    <t>corter al 22-02</t>
  </si>
  <si>
    <t>FORMALETA 45 X 1,20</t>
  </si>
  <si>
    <t>3PM</t>
  </si>
  <si>
    <t>ALBA GARCIA</t>
  </si>
  <si>
    <t>CORBATAS MURO 40 CMS</t>
  </si>
  <si>
    <t>4PM</t>
  </si>
  <si>
    <t>LUDWIN</t>
  </si>
  <si>
    <t>PINES</t>
  </si>
  <si>
    <t>CHAPETAS</t>
  </si>
  <si>
    <t>YORGUIN JAIMES</t>
  </si>
  <si>
    <t>FORMALETA DE 40*40</t>
  </si>
  <si>
    <t>COBRAR A PARTIR DEL 6-03</t>
  </si>
  <si>
    <t>LUWIN</t>
  </si>
  <si>
    <t>FORMALETA 40 X 1,20</t>
  </si>
  <si>
    <t>DUVAN</t>
  </si>
  <si>
    <t xml:space="preserve">CHAPETAS </t>
  </si>
  <si>
    <t>DUVAN-YORGUIN ALBA</t>
  </si>
  <si>
    <t>8.33</t>
  </si>
  <si>
    <t>LUIS FERNANDO</t>
  </si>
  <si>
    <t>LUD WIN</t>
  </si>
  <si>
    <t>CORTE EL 8 MARZO</t>
  </si>
  <si>
    <t xml:space="preserve">REPOSICION 2 </t>
  </si>
  <si>
    <t>2PM</t>
  </si>
  <si>
    <t xml:space="preserve"> </t>
  </si>
  <si>
    <t>ALBA -YORGUI</t>
  </si>
  <si>
    <t>DIVAL</t>
  </si>
  <si>
    <t>CORTE AL 8-03</t>
  </si>
  <si>
    <t>CORTE -08-03-2026</t>
  </si>
  <si>
    <t>CORTE AL 6-03-2026</t>
  </si>
  <si>
    <t>CORTE AL 8-03-2026</t>
  </si>
  <si>
    <t>VIDAL</t>
  </si>
  <si>
    <t>CORTE AL 13-02</t>
  </si>
  <si>
    <t>9;58</t>
  </si>
  <si>
    <t>CORTE AL 6-03</t>
  </si>
  <si>
    <t>HERNA TORADO</t>
  </si>
  <si>
    <t>TILCIA</t>
  </si>
  <si>
    <t>TILCIA URIBE</t>
  </si>
  <si>
    <t>LUIS PALOMINO</t>
  </si>
  <si>
    <t xml:space="preserve">2.PM </t>
  </si>
  <si>
    <t>PALOMINO</t>
  </si>
  <si>
    <t xml:space="preserve">JAVIERGELVIN </t>
  </si>
  <si>
    <t>ANDREI</t>
  </si>
  <si>
    <t>FORMALETA DE 20*60</t>
  </si>
  <si>
    <t>DUVAN ORTEGA</t>
  </si>
  <si>
    <t>FORMALETA DE  20*40</t>
  </si>
  <si>
    <t>CORTE AL 5 DE ABRIL</t>
  </si>
  <si>
    <t>COBRAR APARTIR DEL9-ABRIL-2026</t>
  </si>
  <si>
    <t>JAVIER GELVIN</t>
  </si>
  <si>
    <t>CORTE AL 6/04-2026</t>
  </si>
  <si>
    <t>CORTE AL 3 DE ABRIL</t>
  </si>
  <si>
    <t>CORTEAL20-03</t>
  </si>
  <si>
    <t>CORTE AL 28 -01</t>
  </si>
  <si>
    <t>FORMALETA DE 30*60</t>
  </si>
  <si>
    <t>ANTONIOGUTIERREZ</t>
  </si>
  <si>
    <t>COBRAR A PARTIR DEL 11-04-2026</t>
  </si>
  <si>
    <t>CORTE AL  12-04-2026</t>
  </si>
  <si>
    <t>BERNABE SUAREZ</t>
  </si>
  <si>
    <t xml:space="preserve">ALINEADORES DE 1 MTRO </t>
  </si>
  <si>
    <t>KARIME</t>
  </si>
  <si>
    <t>TENSORES</t>
  </si>
  <si>
    <t>COBRAR A PARTIR DEL 20-04</t>
  </si>
  <si>
    <t xml:space="preserve">KARIME ELIAS </t>
  </si>
  <si>
    <t>HOGUIER</t>
  </si>
  <si>
    <t>HOLGUER</t>
  </si>
  <si>
    <t>FORMALETA DE 15*1,20</t>
  </si>
  <si>
    <t xml:space="preserve">         </t>
  </si>
  <si>
    <t>TARDE</t>
  </si>
  <si>
    <t xml:space="preserve">KARIME  </t>
  </si>
  <si>
    <t>10am</t>
  </si>
  <si>
    <t>COBRAR A PARTIR DEL 3-05</t>
  </si>
  <si>
    <t>CORTE AL 7 MAYO</t>
  </si>
  <si>
    <t>RIGO</t>
  </si>
  <si>
    <t>EDUARDO TOLOZA</t>
  </si>
  <si>
    <t>FORMALETA DE 50*1,20</t>
  </si>
  <si>
    <t>ANDREI CADENA</t>
  </si>
  <si>
    <t>ROSA</t>
  </si>
  <si>
    <t>4.30</t>
  </si>
  <si>
    <t>TOLOZA/ROSA</t>
  </si>
  <si>
    <t>HA CER CORTE EL 15-05-2026</t>
  </si>
  <si>
    <t>CORTE AL 15 -05 -2026</t>
  </si>
  <si>
    <t>CORTE AL 15-05-2026</t>
  </si>
  <si>
    <t>TABLERO DE MADERA DE 70*1,40</t>
  </si>
  <si>
    <t>MAESTRO VIDAL</t>
  </si>
  <si>
    <t>POLEAS COLGANTES</t>
  </si>
  <si>
    <t>corte al 15-05-2026</t>
  </si>
  <si>
    <t>CORTE AL 15 DE 05-2026</t>
  </si>
  <si>
    <t>8am</t>
  </si>
  <si>
    <t>LUDWIN-ANDREA</t>
  </si>
  <si>
    <t>CORTE AL 20-2026</t>
  </si>
  <si>
    <t>JHON JIMENEZ</t>
  </si>
  <si>
    <t>JEISON  BARBA</t>
  </si>
  <si>
    <t>FORMALETA DE 25*60</t>
  </si>
  <si>
    <t>FORMALETA DE 10*1,20</t>
  </si>
  <si>
    <t>11:AM</t>
  </si>
  <si>
    <t>28-05-206</t>
  </si>
  <si>
    <t xml:space="preserve">                                                                                                                                                      </t>
  </si>
  <si>
    <t xml:space="preserve">KARIME </t>
  </si>
  <si>
    <t>CORTE AL 27 -05</t>
  </si>
  <si>
    <t>MIGUEL PINILLA</t>
  </si>
  <si>
    <t>CORTE AL 1 JUNIO-2026</t>
  </si>
  <si>
    <t>01-06-206</t>
  </si>
  <si>
    <t>HERNAN TORRRADO</t>
  </si>
  <si>
    <t>03--06-2026</t>
  </si>
  <si>
    <t xml:space="preserve">DANIELA </t>
  </si>
  <si>
    <t>CICOM INGENIEROS</t>
  </si>
  <si>
    <t xml:space="preserve">HERNAN TORRADO </t>
  </si>
  <si>
    <t>CORTE AL 8-06-2026</t>
  </si>
  <si>
    <t>HERNA TORRADO</t>
  </si>
  <si>
    <t>LUWING</t>
  </si>
  <si>
    <t>09-06-206</t>
  </si>
  <si>
    <t>TEJIDO ARUQITECTONICO</t>
  </si>
  <si>
    <t>CORTE AL 3-05-2026</t>
  </si>
  <si>
    <t>COBRAR A PARTIR DEL 13-06</t>
  </si>
  <si>
    <t>JHON JMENEZ</t>
  </si>
  <si>
    <t>OKEY</t>
  </si>
  <si>
    <t>OK</t>
  </si>
  <si>
    <t>BUSCAR 2 Y DEVOLVER</t>
  </si>
  <si>
    <t>JEISON BARBA</t>
  </si>
  <si>
    <t>2.52</t>
  </si>
  <si>
    <t>DEBO 1</t>
  </si>
  <si>
    <t xml:space="preserve">CORTE AL 1 </t>
  </si>
  <si>
    <t>CORTE AL8 MAYO</t>
  </si>
  <si>
    <t>CORTEAL25-02</t>
  </si>
  <si>
    <t>HOLGER</t>
  </si>
  <si>
    <t>DOUGLAS LEAL</t>
  </si>
  <si>
    <t>CORTE  30-04-2026</t>
  </si>
  <si>
    <t xml:space="preserve">NELSON PADILLA </t>
  </si>
  <si>
    <t>DESCONTAR 1 DIA A LUNA SANCHEZ EN EL MOMENTO DE ENTREGARLO</t>
  </si>
  <si>
    <t>DESCONTAR A LUNA SANCHEZ DOS DIAS CUANDO SE ENTREGUE</t>
  </si>
  <si>
    <t>ROSA INDEPENDENCIA</t>
  </si>
  <si>
    <t>17-062026</t>
  </si>
  <si>
    <t>CESAR PUERTO</t>
  </si>
  <si>
    <t>CORTE AL 15 DE JUNIO</t>
  </si>
  <si>
    <t xml:space="preserve">ALINEADORES  3 MTROS </t>
  </si>
  <si>
    <t>ROSA/LUDWIN</t>
  </si>
  <si>
    <t>ROSA/LUDWING</t>
  </si>
  <si>
    <t>ROSA LUDWIN</t>
  </si>
  <si>
    <t>17-06-226</t>
  </si>
  <si>
    <t>ROSA LUWING</t>
  </si>
  <si>
    <t>COBRAR A PARTIR DEL 19-06</t>
  </si>
  <si>
    <t>LUDWIN MAESTRO ROSA</t>
  </si>
  <si>
    <t>COBRAR A PARTIR DEL 19-06-2026</t>
  </si>
  <si>
    <t>13301 DE EQUIORIENTE</t>
  </si>
  <si>
    <t>29-04-206</t>
  </si>
  <si>
    <t>COBRAR APARTIR  DEL 29-04-2026</t>
  </si>
  <si>
    <t>REEMPLAZA</t>
  </si>
  <si>
    <t>REEMPLAZA DOCUMENTO</t>
  </si>
  <si>
    <t>10;27</t>
  </si>
  <si>
    <t>19-04-226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</si>
  <si>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</si>
  <si>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2;00</t>
  </si>
  <si>
    <t>ALFONSO</t>
  </si>
  <si>
    <t>LUDWIND ROSA</t>
  </si>
  <si>
    <t>LUDWIN HARBEY</t>
  </si>
  <si>
    <t>23-06-206</t>
  </si>
  <si>
    <t>corte al 22-06-2026</t>
  </si>
  <si>
    <t>corte al 22 -06 -2026</t>
  </si>
  <si>
    <t xml:space="preserve">ROSA </t>
  </si>
  <si>
    <t>CORTE AL 22-06-2026</t>
  </si>
  <si>
    <t>JOSE DAVID</t>
  </si>
  <si>
    <t>26-062026</t>
  </si>
  <si>
    <t>NELSON PADILLA</t>
  </si>
  <si>
    <t>CESAR PUERTO RICO</t>
  </si>
  <si>
    <t>7;53</t>
  </si>
  <si>
    <t>CESAR PUERTO RICO 17 ; 1 EXTRAVIADA</t>
  </si>
  <si>
    <t>CIONSORCIO 29; 4 ROSA LUDWING</t>
  </si>
  <si>
    <t>VIENENDEL 2025</t>
  </si>
  <si>
    <t>DOISQUINAL</t>
  </si>
  <si>
    <t>PENDIENTE</t>
  </si>
  <si>
    <t>LUWIN JOSE</t>
  </si>
  <si>
    <t>LUZBIN PABON</t>
  </si>
  <si>
    <t>8;00</t>
  </si>
  <si>
    <t>CESAR AUGUSTO</t>
  </si>
  <si>
    <t>CORTE AL 6</t>
  </si>
  <si>
    <t>CORTE AL 22</t>
  </si>
  <si>
    <t>TEJIDO ARQUIECTONICO</t>
  </si>
  <si>
    <t>CORTE AL 29 DE JUNIO</t>
  </si>
  <si>
    <t>RECLAMAR 2 LATAS DE 40 X 120</t>
  </si>
  <si>
    <t>ENTRAGAR 19 A LUNA SANCHEZ DE ANTONIO GUTIERREZ</t>
  </si>
  <si>
    <t>WILSON PAEZ</t>
  </si>
  <si>
    <t>FORMALETA 35X 1,20</t>
  </si>
  <si>
    <t xml:space="preserve">  </t>
  </si>
  <si>
    <t xml:space="preserve">    </t>
  </si>
  <si>
    <t>VIDAL/WILMER</t>
  </si>
  <si>
    <t xml:space="preserve">ANGULOS DE 6 MTROS </t>
  </si>
  <si>
    <t xml:space="preserve">VIDAL  </t>
  </si>
  <si>
    <t>P.M</t>
  </si>
  <si>
    <t xml:space="preserve">PARALES DE 6 MTROS </t>
  </si>
  <si>
    <t>MAURICIO CACERES</t>
  </si>
  <si>
    <t>NO SE USO</t>
  </si>
  <si>
    <t>ALIRIO SUAREZ</t>
  </si>
  <si>
    <t>PEDRO JUAN</t>
  </si>
  <si>
    <t>BANDA DE 50*1,40</t>
  </si>
  <si>
    <t>WILMER RONDON</t>
  </si>
  <si>
    <t xml:space="preserve">WILMER </t>
  </si>
  <si>
    <t>CORTE AL 13-08</t>
  </si>
  <si>
    <t>PAGADOS REPOSICION</t>
  </si>
  <si>
    <t>PARAL DE  6 MTROS</t>
  </si>
  <si>
    <t>CRISTIAN RUGELES</t>
  </si>
  <si>
    <t>14.10</t>
  </si>
  <si>
    <t>p.m.</t>
  </si>
  <si>
    <t>PARALES DE 5 MTROS</t>
  </si>
  <si>
    <t>LUDWING ANGULO</t>
  </si>
  <si>
    <t>JOHANA PEDREGAL</t>
  </si>
  <si>
    <t>MAESTRO VIDAL-FERRETERIA</t>
  </si>
  <si>
    <t>***</t>
  </si>
  <si>
    <t>FRANCY LILIANA CABALLERO</t>
  </si>
  <si>
    <t>FRANCY LILIANA  CABALLERO</t>
  </si>
  <si>
    <t>OMAR PABON</t>
  </si>
  <si>
    <t>GUSTAVO ADOLFO</t>
  </si>
  <si>
    <t>HOLGUER CONTRERAS</t>
  </si>
  <si>
    <t>DAVID REDIN</t>
  </si>
  <si>
    <t>COBRAR HASTA EL 28-08-2026</t>
  </si>
  <si>
    <t>COBRAR HASTA EL 31-08-2026</t>
  </si>
  <si>
    <t xml:space="preserve">MAURICIO CACERES </t>
  </si>
  <si>
    <t>CORTE AL 31-08</t>
  </si>
  <si>
    <t>CORTE AL 31-08-2026</t>
  </si>
  <si>
    <t>LUDWIN NGULO</t>
  </si>
  <si>
    <t xml:space="preserve">DAVID REDIN </t>
  </si>
  <si>
    <t>CORTE AL 3-9-2026</t>
  </si>
  <si>
    <t>1:525181</t>
  </si>
  <si>
    <t>DANLILO FRESCA LECHE</t>
  </si>
  <si>
    <t>HARVEY</t>
  </si>
  <si>
    <t>HARVEY XIOMARA</t>
  </si>
  <si>
    <t>ALINEADOR DE 5 MTROS</t>
  </si>
  <si>
    <t>CONSORCIO VICTORIA</t>
  </si>
  <si>
    <t>am</t>
  </si>
  <si>
    <t xml:space="preserve">ORLANDO MALDONADO/LILIANA </t>
  </si>
  <si>
    <t xml:space="preserve">MAESTRO VIDAL/MURO </t>
  </si>
  <si>
    <t>MAESTRO VIDAL/MURO</t>
  </si>
  <si>
    <t>DIEGO ROJAS</t>
  </si>
  <si>
    <t xml:space="preserve">          </t>
  </si>
  <si>
    <t>VIENE DEL AÑO ANTERIOR</t>
  </si>
  <si>
    <t>7.57</t>
  </si>
  <si>
    <t xml:space="preserve">EQUIORIENTE </t>
  </si>
  <si>
    <t>NO COBRAR EL MES DE SEPTIEMBRE</t>
  </si>
  <si>
    <t>NO COBRAR SEPTIEMBRE</t>
  </si>
  <si>
    <t>CTE AL 29 -09-2026</t>
  </si>
  <si>
    <t>3.34</t>
  </si>
  <si>
    <t>CTE AL 29-09 -2026</t>
  </si>
  <si>
    <t>FORMALETA  DE 25*1,20</t>
  </si>
  <si>
    <t>BERNABE</t>
  </si>
  <si>
    <t>REDIN</t>
  </si>
  <si>
    <t>2 TABLAS</t>
  </si>
  <si>
    <t>CERCO PARTIDO CTE AL 30-09-2026</t>
  </si>
  <si>
    <t>CTE 30-09-2026 12 TABLAS</t>
  </si>
  <si>
    <t>7.43</t>
  </si>
  <si>
    <t>FREDY ESCALMILLA</t>
  </si>
  <si>
    <t>CORTE AL 2-10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</si>
</sst>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540A]dd\-mmm\-yy;@"/>
  </numFmts>
  <fonts count="11" x14ac:knownFonts="1">
    <font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theme="1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u/>
      <sz val="11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4">
    <xf numFmtId="0" fontId="0" fillId="0" borderId="0" xfId="0"/>
    <xf numFmtId="164" fontId="2" fillId="3" borderId="4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center" wrapText="1"/>
    </xf>
    <xf numFmtId="20" fontId="3" fillId="0" borderId="4" xfId="0" applyNumberFormat="1" applyFont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5" borderId="4" xfId="0" applyFont="1" applyFill="1" applyBorder="1" applyAlignment="1">
      <alignment horizontal="center" wrapText="1"/>
    </xf>
    <xf numFmtId="0" fontId="2" fillId="5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wrapText="1"/>
    </xf>
    <xf numFmtId="164" fontId="2" fillId="4" borderId="1" xfId="0" applyNumberFormat="1" applyFont="1" applyFill="1" applyBorder="1" applyAlignment="1">
      <alignment horizontal="center" wrapText="1"/>
    </xf>
    <xf numFmtId="164" fontId="2" fillId="4" borderId="2" xfId="0" applyNumberFormat="1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3" fillId="4" borderId="3" xfId="0" applyFont="1" applyFill="1" applyBorder="1" applyAlignment="1">
      <alignment wrapText="1"/>
    </xf>
    <xf numFmtId="0" fontId="3" fillId="6" borderId="4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3" fillId="7" borderId="4" xfId="0" applyFont="1" applyFill="1" applyBorder="1" applyAlignment="1">
      <alignment horizontal="center" wrapText="1"/>
    </xf>
    <xf numFmtId="164" fontId="3" fillId="0" borderId="1" xfId="0" applyNumberFormat="1" applyFont="1" applyBorder="1" applyAlignment="1">
      <alignment horizontal="center" wrapText="1"/>
    </xf>
    <xf numFmtId="20" fontId="3" fillId="0" borderId="2" xfId="0" applyNumberFormat="1" applyFont="1" applyBorder="1" applyAlignment="1">
      <alignment horizontal="center" wrapText="1"/>
    </xf>
    <xf numFmtId="0" fontId="3" fillId="5" borderId="4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3" fillId="0" borderId="3" xfId="0" applyFont="1" applyBorder="1" applyAlignment="1">
      <alignment horizontal="center" wrapText="1"/>
    </xf>
    <xf numFmtId="164" fontId="2" fillId="0" borderId="4" xfId="0" applyNumberFormat="1" applyFont="1" applyBorder="1" applyAlignment="1">
      <alignment horizontal="center" wrapText="1"/>
    </xf>
    <xf numFmtId="16" fontId="3" fillId="0" borderId="4" xfId="0" applyNumberFormat="1" applyFont="1" applyBorder="1" applyAlignment="1">
      <alignment horizontal="center" wrapText="1"/>
    </xf>
    <xf numFmtId="164" fontId="4" fillId="0" borderId="4" xfId="0" applyNumberFormat="1" applyFont="1" applyBorder="1" applyAlignment="1">
      <alignment horizontal="center" wrapText="1"/>
    </xf>
    <xf numFmtId="20" fontId="4" fillId="0" borderId="4" xfId="0" applyNumberFormat="1" applyFont="1" applyBorder="1" applyAlignment="1">
      <alignment horizontal="center" wrapText="1"/>
    </xf>
    <xf numFmtId="0" fontId="4" fillId="4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3" fillId="8" borderId="4" xfId="0" applyFont="1" applyFill="1" applyBorder="1" applyAlignment="1">
      <alignment horizontal="center" wrapText="1"/>
    </xf>
    <xf numFmtId="0" fontId="2" fillId="8" borderId="4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5" borderId="3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9" borderId="4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wrapText="1"/>
    </xf>
    <xf numFmtId="20" fontId="3" fillId="0" borderId="3" xfId="0" applyNumberFormat="1" applyFont="1" applyBorder="1" applyAlignment="1">
      <alignment horizontal="center" wrapText="1"/>
    </xf>
    <xf numFmtId="20" fontId="2" fillId="3" borderId="4" xfId="0" applyNumberFormat="1" applyFont="1" applyFill="1" applyBorder="1" applyAlignment="1">
      <alignment horizontal="center" vertical="center" wrapText="1"/>
    </xf>
    <xf numFmtId="0" fontId="0" fillId="5" borderId="0" xfId="0" applyFill="1"/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5" xfId="0" applyBorder="1"/>
    <xf numFmtId="0" fontId="3" fillId="6" borderId="2" xfId="0" applyFont="1" applyFill="1" applyBorder="1" applyAlignment="1">
      <alignment horizontal="center" wrapText="1"/>
    </xf>
    <xf numFmtId="0" fontId="3" fillId="10" borderId="4" xfId="0" applyFont="1" applyFill="1" applyBorder="1" applyAlignment="1">
      <alignment horizontal="center" wrapText="1"/>
    </xf>
    <xf numFmtId="0" fontId="2" fillId="10" borderId="4" xfId="0" applyFont="1" applyFill="1" applyBorder="1" applyAlignment="1">
      <alignment horizontal="center" wrapText="1"/>
    </xf>
    <xf numFmtId="0" fontId="3" fillId="11" borderId="4" xfId="0" applyFont="1" applyFill="1" applyBorder="1" applyAlignment="1">
      <alignment horizontal="center" wrapText="1"/>
    </xf>
    <xf numFmtId="0" fontId="3" fillId="11" borderId="3" xfId="0" applyFont="1" applyFill="1" applyBorder="1" applyAlignment="1">
      <alignment horizontal="center" wrapText="1"/>
    </xf>
    <xf numFmtId="0" fontId="2" fillId="10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wrapText="1"/>
    </xf>
    <xf numFmtId="0" fontId="3" fillId="12" borderId="4" xfId="0" applyFont="1" applyFill="1" applyBorder="1" applyAlignment="1">
      <alignment horizontal="center" wrapText="1"/>
    </xf>
    <xf numFmtId="0" fontId="3" fillId="12" borderId="2" xfId="0" applyFont="1" applyFill="1" applyBorder="1" applyAlignment="1">
      <alignment horizontal="center" wrapText="1"/>
    </xf>
    <xf numFmtId="0" fontId="2" fillId="12" borderId="4" xfId="0" applyFont="1" applyFill="1" applyBorder="1" applyAlignment="1">
      <alignment horizontal="center" wrapText="1"/>
    </xf>
    <xf numFmtId="0" fontId="2" fillId="12" borderId="2" xfId="0" applyFont="1" applyFill="1" applyBorder="1" applyAlignment="1">
      <alignment horizontal="center" wrapText="1"/>
    </xf>
    <xf numFmtId="164" fontId="2" fillId="5" borderId="1" xfId="0" applyNumberFormat="1" applyFont="1" applyFill="1" applyBorder="1" applyAlignment="1">
      <alignment horizontal="center" wrapText="1"/>
    </xf>
    <xf numFmtId="164" fontId="2" fillId="5" borderId="2" xfId="0" applyNumberFormat="1" applyFont="1" applyFill="1" applyBorder="1" applyAlignment="1">
      <alignment horizontal="center" wrapText="1"/>
    </xf>
    <xf numFmtId="164" fontId="2" fillId="5" borderId="3" xfId="0" applyNumberFormat="1" applyFont="1" applyFill="1" applyBorder="1" applyAlignment="1">
      <alignment horizontal="center" wrapText="1"/>
    </xf>
    <xf numFmtId="20" fontId="3" fillId="4" borderId="4" xfId="0" applyNumberFormat="1" applyFont="1" applyFill="1" applyBorder="1" applyAlignment="1">
      <alignment horizontal="center" wrapText="1"/>
    </xf>
    <xf numFmtId="0" fontId="3" fillId="13" borderId="4" xfId="0" applyFont="1" applyFill="1" applyBorder="1" applyAlignment="1">
      <alignment horizontal="center" wrapText="1"/>
    </xf>
    <xf numFmtId="0" fontId="3" fillId="13" borderId="2" xfId="0" applyFont="1" applyFill="1" applyBorder="1" applyAlignment="1">
      <alignment horizontal="center" wrapText="1"/>
    </xf>
    <xf numFmtId="0" fontId="3" fillId="13" borderId="3" xfId="0" applyFont="1" applyFill="1" applyBorder="1" applyAlignment="1">
      <alignment horizontal="center" wrapText="1"/>
    </xf>
    <xf numFmtId="0" fontId="3" fillId="10" borderId="4" xfId="0" applyFont="1" applyFill="1" applyBorder="1" applyAlignment="1">
      <alignment wrapText="1"/>
    </xf>
    <xf numFmtId="0" fontId="0" fillId="14" borderId="0" xfId="0" applyFill="1"/>
    <xf numFmtId="0" fontId="2" fillId="5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wrapText="1"/>
    </xf>
    <xf numFmtId="2" fontId="2" fillId="5" borderId="1" xfId="0" applyNumberFormat="1" applyFont="1" applyFill="1" applyBorder="1" applyAlignment="1">
      <alignment horizontal="center" wrapText="1"/>
    </xf>
    <xf numFmtId="2" fontId="2" fillId="5" borderId="2" xfId="0" applyNumberFormat="1" applyFont="1" applyFill="1" applyBorder="1" applyAlignment="1">
      <alignment horizontal="center" wrapText="1"/>
    </xf>
    <xf numFmtId="1" fontId="2" fillId="5" borderId="2" xfId="0" applyNumberFormat="1" applyFont="1" applyFill="1" applyBorder="1" applyAlignment="1">
      <alignment horizontal="center" wrapText="1"/>
    </xf>
    <xf numFmtId="1" fontId="2" fillId="5" borderId="3" xfId="0" applyNumberFormat="1" applyFont="1" applyFill="1" applyBorder="1" applyAlignment="1">
      <alignment horizontal="center" wrapText="1"/>
    </xf>
    <xf numFmtId="1" fontId="2" fillId="5" borderId="4" xfId="0" applyNumberFormat="1" applyFont="1" applyFill="1" applyBorder="1" applyAlignment="1">
      <alignment horizontal="center" wrapText="1"/>
    </xf>
    <xf numFmtId="0" fontId="3" fillId="5" borderId="2" xfId="0" applyFont="1" applyFill="1" applyBorder="1" applyAlignment="1">
      <alignment horizontal="center" wrapText="1"/>
    </xf>
    <xf numFmtId="0" fontId="0" fillId="8" borderId="0" xfId="0" applyFill="1"/>
    <xf numFmtId="0" fontId="3" fillId="15" borderId="4" xfId="0" applyFont="1" applyFill="1" applyBorder="1" applyAlignment="1">
      <alignment horizontal="center" wrapText="1"/>
    </xf>
    <xf numFmtId="0" fontId="0" fillId="16" borderId="0" xfId="0" applyFill="1"/>
    <xf numFmtId="16" fontId="0" fillId="0" borderId="4" xfId="0" applyNumberFormat="1" applyBorder="1" applyAlignment="1">
      <alignment horizontal="center"/>
    </xf>
    <xf numFmtId="0" fontId="8" fillId="13" borderId="3" xfId="0" applyFont="1" applyFill="1" applyBorder="1" applyAlignment="1">
      <alignment horizontal="center" wrapText="1"/>
    </xf>
    <xf numFmtId="0" fontId="3" fillId="17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center" wrapText="1"/>
    </xf>
    <xf numFmtId="0" fontId="3" fillId="18" borderId="4" xfId="0" applyFont="1" applyFill="1" applyBorder="1" applyAlignment="1">
      <alignment horizontal="center" wrapText="1"/>
    </xf>
    <xf numFmtId="0" fontId="0" fillId="4" borderId="0" xfId="0" applyFill="1"/>
    <xf numFmtId="20" fontId="3" fillId="16" borderId="4" xfId="0" applyNumberFormat="1" applyFont="1" applyFill="1" applyBorder="1" applyAlignment="1">
      <alignment horizontal="center" wrapText="1"/>
    </xf>
    <xf numFmtId="0" fontId="3" fillId="16" borderId="4" xfId="0" applyFont="1" applyFill="1" applyBorder="1" applyAlignment="1">
      <alignment horizontal="center" wrapText="1"/>
    </xf>
    <xf numFmtId="0" fontId="3" fillId="16" borderId="3" xfId="0" applyFont="1" applyFill="1" applyBorder="1" applyAlignment="1">
      <alignment horizontal="center" wrapText="1"/>
    </xf>
    <xf numFmtId="164" fontId="3" fillId="16" borderId="4" xfId="0" applyNumberFormat="1" applyFont="1" applyFill="1" applyBorder="1" applyAlignment="1">
      <alignment horizontal="center" wrapText="1"/>
    </xf>
    <xf numFmtId="164" fontId="2" fillId="16" borderId="4" xfId="0" applyNumberFormat="1" applyFont="1" applyFill="1" applyBorder="1" applyAlignment="1">
      <alignment horizontal="center" vertical="center" wrapText="1"/>
    </xf>
    <xf numFmtId="20" fontId="2" fillId="16" borderId="4" xfId="0" applyNumberFormat="1" applyFont="1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 wrapText="1"/>
    </xf>
    <xf numFmtId="164" fontId="2" fillId="16" borderId="4" xfId="0" applyNumberFormat="1" applyFont="1" applyFill="1" applyBorder="1" applyAlignment="1">
      <alignment horizontal="center" wrapText="1"/>
    </xf>
    <xf numFmtId="0" fontId="2" fillId="16" borderId="4" xfId="0" applyFont="1" applyFill="1" applyBorder="1" applyAlignment="1">
      <alignment horizontal="center" wrapText="1"/>
    </xf>
    <xf numFmtId="20" fontId="3" fillId="16" borderId="3" xfId="0" applyNumberFormat="1" applyFont="1" applyFill="1" applyBorder="1" applyAlignment="1">
      <alignment horizontal="center" wrapText="1"/>
    </xf>
    <xf numFmtId="0" fontId="4" fillId="16" borderId="4" xfId="0" applyFont="1" applyFill="1" applyBorder="1" applyAlignment="1">
      <alignment horizontal="center" wrapText="1"/>
    </xf>
    <xf numFmtId="20" fontId="3" fillId="16" borderId="2" xfId="0" applyNumberFormat="1" applyFont="1" applyFill="1" applyBorder="1" applyAlignment="1">
      <alignment horizontal="center" wrapText="1"/>
    </xf>
    <xf numFmtId="0" fontId="3" fillId="16" borderId="2" xfId="0" applyFont="1" applyFill="1" applyBorder="1" applyAlignment="1">
      <alignment horizontal="center" wrapText="1"/>
    </xf>
    <xf numFmtId="0" fontId="4" fillId="16" borderId="2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horizontal="center" vertical="center" wrapText="1"/>
    </xf>
    <xf numFmtId="0" fontId="0" fillId="19" borderId="0" xfId="0" applyFill="1"/>
    <xf numFmtId="0" fontId="3" fillId="20" borderId="4" xfId="0" applyFont="1" applyFill="1" applyBorder="1" applyAlignment="1">
      <alignment horizontal="center" wrapText="1"/>
    </xf>
    <xf numFmtId="0" fontId="0" fillId="11" borderId="3" xfId="0" applyFill="1" applyBorder="1" applyAlignment="1">
      <alignment horizontal="center"/>
    </xf>
    <xf numFmtId="0" fontId="2" fillId="5" borderId="2" xfId="0" applyFont="1" applyFill="1" applyBorder="1" applyAlignment="1">
      <alignment horizontal="center" wrapText="1"/>
    </xf>
    <xf numFmtId="2" fontId="0" fillId="0" borderId="0" xfId="0" applyNumberFormat="1"/>
    <xf numFmtId="14" fontId="3" fillId="0" borderId="4" xfId="0" applyNumberFormat="1" applyFont="1" applyBorder="1" applyAlignment="1">
      <alignment horizontal="center" wrapText="1"/>
    </xf>
    <xf numFmtId="0" fontId="0" fillId="5" borderId="1" xfId="0" applyFill="1" applyBorder="1"/>
    <xf numFmtId="0" fontId="0" fillId="5" borderId="2" xfId="0" applyFill="1" applyBorder="1"/>
    <xf numFmtId="0" fontId="3" fillId="17" borderId="3" xfId="0" applyFont="1" applyFill="1" applyBorder="1" applyAlignment="1">
      <alignment horizontal="center" wrapText="1"/>
    </xf>
    <xf numFmtId="0" fontId="9" fillId="21" borderId="4" xfId="0" applyFont="1" applyFill="1" applyBorder="1" applyAlignment="1">
      <alignment horizontal="center" wrapText="1"/>
    </xf>
    <xf numFmtId="0" fontId="3" fillId="21" borderId="4" xfId="0" applyFont="1" applyFill="1" applyBorder="1" applyAlignment="1">
      <alignment horizontal="center" wrapText="1"/>
    </xf>
    <xf numFmtId="0" fontId="9" fillId="17" borderId="4" xfId="0" applyFont="1" applyFill="1" applyBorder="1" applyAlignment="1">
      <alignment horizontal="center" wrapText="1"/>
    </xf>
    <xf numFmtId="0" fontId="3" fillId="22" borderId="4" xfId="0" applyFont="1" applyFill="1" applyBorder="1" applyAlignment="1">
      <alignment horizontal="center" wrapText="1"/>
    </xf>
    <xf numFmtId="14" fontId="3" fillId="0" borderId="2" xfId="0" applyNumberFormat="1" applyFont="1" applyBorder="1" applyAlignment="1">
      <alignment horizontal="center" wrapText="1"/>
    </xf>
    <xf numFmtId="0" fontId="4" fillId="10" borderId="3" xfId="0" applyFont="1" applyFill="1" applyBorder="1" applyAlignment="1">
      <alignment horizontal="center" wrapText="1"/>
    </xf>
    <xf numFmtId="20" fontId="9" fillId="0" borderId="4" xfId="0" applyNumberFormat="1" applyFont="1" applyBorder="1" applyAlignment="1">
      <alignment horizontal="center" wrapText="1"/>
    </xf>
    <xf numFmtId="0" fontId="0" fillId="5" borderId="0" xfId="0" applyFill="1" applyAlignment="1">
      <alignment horizontal="center"/>
    </xf>
    <xf numFmtId="1" fontId="0" fillId="0" borderId="0" xfId="0" applyNumberFormat="1"/>
    <xf numFmtId="0" fontId="3" fillId="9" borderId="3" xfId="0" applyFont="1" applyFill="1" applyBorder="1" applyAlignment="1">
      <alignment horizontal="center" wrapText="1"/>
    </xf>
    <xf numFmtId="1" fontId="2" fillId="9" borderId="3" xfId="0" applyNumberFormat="1" applyFont="1" applyFill="1" applyBorder="1" applyAlignment="1">
      <alignment horizontal="center" wrapText="1"/>
    </xf>
    <xf numFmtId="1" fontId="2" fillId="9" borderId="2" xfId="0" applyNumberFormat="1" applyFont="1" applyFill="1" applyBorder="1" applyAlignment="1">
      <alignment horizontal="center" wrapText="1"/>
    </xf>
    <xf numFmtId="1" fontId="3" fillId="9" borderId="4" xfId="0" applyNumberFormat="1" applyFont="1" applyFill="1" applyBorder="1" applyAlignment="1">
      <alignment wrapText="1"/>
    </xf>
    <xf numFmtId="0" fontId="3" fillId="9" borderId="4" xfId="0" applyFont="1" applyFill="1" applyBorder="1" applyAlignment="1">
      <alignment wrapText="1"/>
    </xf>
    <xf numFmtId="0" fontId="0" fillId="6" borderId="0" xfId="0" applyFill="1"/>
    <xf numFmtId="20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164" fontId="3" fillId="9" borderId="4" xfId="0" applyNumberFormat="1" applyFont="1" applyFill="1" applyBorder="1" applyAlignment="1">
      <alignment horizontal="center" wrapText="1"/>
    </xf>
    <xf numFmtId="20" fontId="3" fillId="9" borderId="4" xfId="0" applyNumberFormat="1" applyFont="1" applyFill="1" applyBorder="1" applyAlignment="1">
      <alignment horizontal="center" wrapText="1"/>
    </xf>
    <xf numFmtId="0" fontId="2" fillId="5" borderId="3" xfId="0" applyFont="1" applyFill="1" applyBorder="1" applyAlignment="1">
      <alignment horizontal="center" wrapText="1"/>
    </xf>
    <xf numFmtId="0" fontId="9" fillId="0" borderId="2" xfId="0" applyFont="1" applyBorder="1" applyAlignment="1">
      <alignment horizontal="center" wrapText="1"/>
    </xf>
    <xf numFmtId="0" fontId="8" fillId="0" borderId="2" xfId="0" applyFont="1" applyBorder="1" applyAlignment="1">
      <alignment horizontal="center" wrapText="1"/>
    </xf>
    <xf numFmtId="0" fontId="9" fillId="21" borderId="3" xfId="0" applyFont="1" applyFill="1" applyBorder="1" applyAlignment="1">
      <alignment horizontal="center" wrapText="1"/>
    </xf>
    <xf numFmtId="0" fontId="9" fillId="0" borderId="3" xfId="0" applyFont="1" applyBorder="1" applyAlignment="1">
      <alignment horizontal="center" wrapText="1"/>
    </xf>
    <xf numFmtId="1" fontId="2" fillId="11" borderId="4" xfId="0" applyNumberFormat="1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164" fontId="3" fillId="16" borderId="1" xfId="0" applyNumberFormat="1" applyFont="1" applyFill="1" applyBorder="1" applyAlignment="1">
      <alignment horizontal="center" wrapText="1"/>
    </xf>
    <xf numFmtId="0" fontId="2" fillId="16" borderId="3" xfId="0" applyFont="1" applyFill="1" applyBorder="1" applyAlignment="1">
      <alignment horizontal="center" vertical="center" wrapText="1"/>
    </xf>
    <xf numFmtId="0" fontId="4" fillId="16" borderId="3" xfId="0" applyFont="1" applyFill="1" applyBorder="1" applyAlignment="1">
      <alignment horizontal="center" wrapText="1"/>
    </xf>
    <xf numFmtId="0" fontId="0" fillId="7" borderId="0" xfId="0" applyFill="1"/>
    <xf numFmtId="0" fontId="8" fillId="0" borderId="3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64" fontId="2" fillId="5" borderId="1" xfId="0" applyNumberFormat="1" applyFont="1" applyFill="1" applyBorder="1" applyAlignment="1">
      <alignment horizontal="center" wrapText="1"/>
    </xf>
    <xf numFmtId="164" fontId="2" fillId="5" borderId="2" xfId="0" applyNumberFormat="1" applyFont="1" applyFill="1" applyBorder="1" applyAlignment="1">
      <alignment horizontal="center" wrapText="1"/>
    </xf>
    <xf numFmtId="164" fontId="2" fillId="5" borderId="3" xfId="0" applyNumberFormat="1" applyFont="1" applyFill="1" applyBorder="1" applyAlignment="1">
      <alignment horizontal="center" wrapText="1"/>
    </xf>
    <xf numFmtId="164" fontId="2" fillId="5" borderId="4" xfId="0" applyNumberFormat="1" applyFont="1" applyFill="1" applyBorder="1" applyAlignment="1">
      <alignment horizontal="center" wrapText="1"/>
    </xf>
    <xf numFmtId="0" fontId="0" fillId="14" borderId="0" xfId="0" applyFill="1"/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 wrapText="1"/>
    </xf>
    <xf numFmtId="164" fontId="2" fillId="3" borderId="3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 wrapText="1"/>
    </xf>
    <xf numFmtId="0" fontId="0" fillId="18" borderId="0" xfId="0" applyFill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8"/>
  <sheetViews>
    <sheetView topLeftCell="A140" workbookViewId="0">
      <selection activeCell="D145" sqref="D145"/>
    </sheetView>
  </sheetViews>
  <sheetFormatPr baseColWidth="10" defaultColWidth="9.140625" defaultRowHeight="15" x14ac:dyDescent="0.25"/>
  <cols>
    <col min="1" max="1" width="16.42578125" customWidth="1"/>
    <col min="2" max="2" width="13.5703125" customWidth="1"/>
    <col min="3" max="3" width="14.42578125" customWidth="1"/>
    <col min="4" max="4" width="13.7109375" customWidth="1"/>
    <col min="5" max="5" width="14.5703125" customWidth="1"/>
    <col min="6" max="6" width="13.140625" customWidth="1"/>
    <col min="7" max="7" width="22.140625" customWidth="1"/>
    <col min="8" max="8" width="14" customWidth="1"/>
  </cols>
  <sheetData>
    <row r="1" spans="1:8" ht="15.75" x14ac:dyDescent="0.25">
      <c r="A1" s="137" t="s">
        <v>0</v>
      </c>
      <c r="B1" s="138"/>
      <c r="C1" s="138"/>
      <c r="D1" s="138"/>
      <c r="E1" s="138"/>
      <c r="F1" s="138"/>
      <c r="G1" s="139"/>
    </row>
    <row r="2" spans="1:8" ht="25.5" x14ac:dyDescent="0.2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8" x14ac:dyDescent="0.25">
      <c r="A3" s="3">
        <v>46190</v>
      </c>
      <c r="B3" s="4">
        <v>7.2916666666666671E-2</v>
      </c>
      <c r="C3" s="6">
        <v>14770</v>
      </c>
      <c r="D3" s="6">
        <v>2</v>
      </c>
      <c r="E3" s="6"/>
      <c r="F3" s="6"/>
      <c r="G3" s="6" t="s">
        <v>217</v>
      </c>
    </row>
    <row r="4" spans="1:8" x14ac:dyDescent="0.25">
      <c r="A4" s="3">
        <v>46197</v>
      </c>
      <c r="B4" s="4">
        <v>0.33333333333333331</v>
      </c>
      <c r="C4" s="6">
        <v>11098</v>
      </c>
      <c r="D4" s="6"/>
      <c r="E4" s="6">
        <v>2</v>
      </c>
      <c r="F4" s="6"/>
      <c r="G4" s="6" t="s">
        <v>217</v>
      </c>
      <c r="H4" t="s">
        <v>256</v>
      </c>
    </row>
    <row r="5" spans="1:8" x14ac:dyDescent="0.25">
      <c r="A5" s="3">
        <v>46226</v>
      </c>
      <c r="B5" s="4">
        <v>0.47222222222222221</v>
      </c>
      <c r="C5" s="6">
        <v>14990</v>
      </c>
      <c r="D5" s="6">
        <v>6</v>
      </c>
      <c r="E5" s="6"/>
      <c r="F5" s="6"/>
      <c r="G5" s="6" t="s">
        <v>217</v>
      </c>
    </row>
    <row r="6" spans="1:8" x14ac:dyDescent="0.25">
      <c r="A6" s="3">
        <v>46232</v>
      </c>
      <c r="B6" s="4">
        <v>0.125</v>
      </c>
      <c r="C6" s="6">
        <v>15031</v>
      </c>
      <c r="D6" s="6">
        <v>18</v>
      </c>
      <c r="E6" s="6"/>
      <c r="F6" s="6"/>
      <c r="G6" s="6" t="s">
        <v>241</v>
      </c>
    </row>
    <row r="7" spans="1:8" ht="26.25" x14ac:dyDescent="0.25">
      <c r="A7" s="3">
        <v>46261</v>
      </c>
      <c r="B7" s="4">
        <v>8.3333333333333329E-2</v>
      </c>
      <c r="C7" s="6">
        <v>15225</v>
      </c>
      <c r="D7" s="6">
        <v>15</v>
      </c>
      <c r="E7" s="6"/>
      <c r="F7" s="6"/>
      <c r="G7" s="6" t="s">
        <v>292</v>
      </c>
    </row>
    <row r="8" spans="1:8" x14ac:dyDescent="0.25">
      <c r="A8" s="3">
        <v>46263</v>
      </c>
      <c r="B8" s="4">
        <v>0.375</v>
      </c>
      <c r="C8" s="6">
        <v>11389</v>
      </c>
      <c r="D8" s="6"/>
      <c r="E8" s="6">
        <v>24</v>
      </c>
      <c r="F8" s="6"/>
      <c r="G8" s="6" t="s">
        <v>241</v>
      </c>
    </row>
    <row r="9" spans="1:8" ht="26.25" x14ac:dyDescent="0.25">
      <c r="A9" s="17">
        <v>46263</v>
      </c>
      <c r="B9" s="18">
        <v>0.43055555555555558</v>
      </c>
      <c r="C9" s="21">
        <v>11391</v>
      </c>
      <c r="D9" s="6"/>
      <c r="E9" s="6">
        <v>15</v>
      </c>
      <c r="F9" s="6"/>
      <c r="G9" s="6" t="s">
        <v>292</v>
      </c>
    </row>
    <row r="10" spans="1:8" x14ac:dyDescent="0.25">
      <c r="A10" s="140" t="s">
        <v>28</v>
      </c>
      <c r="B10" s="141"/>
      <c r="C10" s="142"/>
      <c r="D10" s="70">
        <f>SUM(D3:D8)</f>
        <v>41</v>
      </c>
      <c r="E10" s="70">
        <f>SUM(E4:E9)</f>
        <v>41</v>
      </c>
      <c r="F10" s="8">
        <f>D10-E10</f>
        <v>0</v>
      </c>
      <c r="G10" s="9"/>
    </row>
    <row r="13" spans="1:8" ht="15.75" x14ac:dyDescent="0.25">
      <c r="A13" s="137" t="s">
        <v>9</v>
      </c>
      <c r="B13" s="138"/>
      <c r="C13" s="138"/>
      <c r="D13" s="138"/>
      <c r="E13" s="138"/>
      <c r="F13" s="138"/>
      <c r="G13" s="139"/>
    </row>
    <row r="14" spans="1:8" ht="25.5" x14ac:dyDescent="0.25">
      <c r="A14" s="1" t="s">
        <v>1</v>
      </c>
      <c r="B14" s="2" t="s">
        <v>2</v>
      </c>
      <c r="C14" s="2" t="s">
        <v>3</v>
      </c>
      <c r="D14" s="2" t="s">
        <v>4</v>
      </c>
      <c r="E14" s="2" t="s">
        <v>5</v>
      </c>
      <c r="F14" s="2" t="s">
        <v>6</v>
      </c>
      <c r="G14" s="2" t="s">
        <v>7</v>
      </c>
    </row>
    <row r="15" spans="1:8" x14ac:dyDescent="0.25">
      <c r="A15" s="3"/>
      <c r="B15" s="4"/>
      <c r="C15" s="5"/>
      <c r="D15" s="6"/>
      <c r="E15" s="6"/>
      <c r="F15" s="6">
        <f>D15</f>
        <v>0</v>
      </c>
      <c r="G15" s="6"/>
    </row>
    <row r="16" spans="1:8" x14ac:dyDescent="0.25">
      <c r="A16" s="3"/>
      <c r="B16" s="4"/>
      <c r="C16" s="5"/>
      <c r="D16" s="6"/>
      <c r="E16" s="6"/>
      <c r="F16" s="6">
        <f>F15+D16-E16</f>
        <v>0</v>
      </c>
      <c r="G16" s="6"/>
    </row>
    <row r="17" spans="1:8" x14ac:dyDescent="0.25">
      <c r="A17" s="3"/>
      <c r="B17" s="4"/>
      <c r="C17" s="5"/>
      <c r="D17" s="6"/>
      <c r="E17" s="6"/>
      <c r="F17" s="6"/>
      <c r="G17" s="6"/>
    </row>
    <row r="18" spans="1:8" x14ac:dyDescent="0.25">
      <c r="A18" s="140" t="s">
        <v>8</v>
      </c>
      <c r="B18" s="141"/>
      <c r="C18" s="141"/>
      <c r="D18" s="141"/>
      <c r="E18" s="142"/>
      <c r="F18" s="8">
        <f>SUM(D15:D17) - SUM(E15:E17)</f>
        <v>0</v>
      </c>
      <c r="G18" s="9"/>
    </row>
    <row r="21" spans="1:8" ht="15.75" x14ac:dyDescent="0.25">
      <c r="A21" s="137" t="s">
        <v>139</v>
      </c>
      <c r="B21" s="138"/>
      <c r="C21" s="138"/>
      <c r="D21" s="138"/>
      <c r="E21" s="138"/>
      <c r="F21" s="138"/>
      <c r="G21" s="139"/>
    </row>
    <row r="22" spans="1:8" ht="25.5" x14ac:dyDescent="0.25">
      <c r="A22" s="1" t="s">
        <v>1</v>
      </c>
      <c r="B22" s="2" t="s">
        <v>2</v>
      </c>
      <c r="C22" s="2" t="s">
        <v>3</v>
      </c>
      <c r="D22" s="2" t="s">
        <v>4</v>
      </c>
      <c r="E22" s="2" t="s">
        <v>5</v>
      </c>
      <c r="F22" s="2" t="s">
        <v>6</v>
      </c>
      <c r="G22" s="2" t="s">
        <v>7</v>
      </c>
    </row>
    <row r="23" spans="1:8" x14ac:dyDescent="0.25">
      <c r="A23" s="3">
        <v>46130</v>
      </c>
      <c r="B23" s="4">
        <v>0.43055555555555558</v>
      </c>
      <c r="C23" s="5">
        <v>14344</v>
      </c>
      <c r="D23" s="6">
        <v>20</v>
      </c>
      <c r="E23" s="6"/>
      <c r="F23" s="6">
        <f>D23</f>
        <v>20</v>
      </c>
      <c r="G23" s="6" t="s">
        <v>140</v>
      </c>
      <c r="H23" t="s">
        <v>142</v>
      </c>
    </row>
    <row r="24" spans="1:8" x14ac:dyDescent="0.25">
      <c r="A24" s="3"/>
      <c r="B24" s="4"/>
      <c r="C24" s="5"/>
      <c r="D24" s="6"/>
      <c r="E24" s="6"/>
      <c r="F24" s="6">
        <f>F23+D24-E24</f>
        <v>20</v>
      </c>
      <c r="G24" s="6" t="s">
        <v>140</v>
      </c>
    </row>
    <row r="25" spans="1:8" x14ac:dyDescent="0.25">
      <c r="A25" s="3">
        <v>46170</v>
      </c>
      <c r="B25" s="4">
        <v>0.10416666666666667</v>
      </c>
      <c r="C25" s="5">
        <v>10975</v>
      </c>
      <c r="D25" s="6"/>
      <c r="E25" s="6">
        <v>20</v>
      </c>
      <c r="F25" s="6">
        <f>F24+D25-E25</f>
        <v>0</v>
      </c>
      <c r="G25" s="6" t="s">
        <v>140</v>
      </c>
    </row>
    <row r="26" spans="1:8" x14ac:dyDescent="0.25">
      <c r="A26" s="3"/>
      <c r="B26" s="4"/>
      <c r="C26" s="5"/>
      <c r="D26" s="6"/>
      <c r="E26" s="6"/>
      <c r="F26" s="6"/>
      <c r="G26" s="6"/>
    </row>
    <row r="27" spans="1:8" x14ac:dyDescent="0.25">
      <c r="A27" s="140" t="s">
        <v>8</v>
      </c>
      <c r="B27" s="141"/>
      <c r="C27" s="141"/>
      <c r="D27" s="141"/>
      <c r="E27" s="142"/>
      <c r="F27" s="8">
        <f>SUM(D23:D26) - SUM(E23:E26)</f>
        <v>0</v>
      </c>
      <c r="G27" s="9"/>
    </row>
    <row r="29" spans="1:8" ht="15.75" x14ac:dyDescent="0.25">
      <c r="A29" s="137" t="s">
        <v>83</v>
      </c>
      <c r="B29" s="138"/>
      <c r="C29" s="138"/>
      <c r="D29" s="138"/>
      <c r="E29" s="138"/>
      <c r="F29" s="138"/>
      <c r="G29" s="139"/>
    </row>
    <row r="30" spans="1:8" ht="25.5" x14ac:dyDescent="0.25">
      <c r="A30" s="1" t="s">
        <v>1</v>
      </c>
      <c r="B30" s="2" t="s">
        <v>2</v>
      </c>
      <c r="C30" s="2" t="s">
        <v>3</v>
      </c>
      <c r="D30" s="2" t="s">
        <v>4</v>
      </c>
      <c r="E30" s="2" t="s">
        <v>5</v>
      </c>
      <c r="F30" s="2" t="s">
        <v>6</v>
      </c>
      <c r="G30" s="2" t="s">
        <v>7</v>
      </c>
    </row>
    <row r="31" spans="1:8" x14ac:dyDescent="0.25">
      <c r="A31" s="3">
        <v>46080</v>
      </c>
      <c r="B31" s="4" t="s">
        <v>84</v>
      </c>
      <c r="C31" s="5">
        <v>13970</v>
      </c>
      <c r="D31" s="6">
        <v>3</v>
      </c>
      <c r="E31" s="6"/>
      <c r="F31" s="6">
        <f>D31</f>
        <v>3</v>
      </c>
      <c r="G31" s="6" t="s">
        <v>85</v>
      </c>
    </row>
    <row r="32" spans="1:8" x14ac:dyDescent="0.25">
      <c r="A32" s="3">
        <v>46090</v>
      </c>
      <c r="B32" s="4">
        <v>8.3333333333333329E-2</v>
      </c>
      <c r="C32" s="5">
        <v>10575</v>
      </c>
      <c r="D32" s="6"/>
      <c r="E32" s="6">
        <v>2</v>
      </c>
      <c r="F32" s="6"/>
      <c r="G32" s="6" t="s">
        <v>85</v>
      </c>
      <c r="H32" t="s">
        <v>115</v>
      </c>
    </row>
    <row r="33" spans="1:7" x14ac:dyDescent="0.25">
      <c r="A33" s="3">
        <v>46098</v>
      </c>
      <c r="B33" s="4">
        <v>0.43055555555555558</v>
      </c>
      <c r="C33" s="5">
        <v>10622</v>
      </c>
      <c r="D33" s="6"/>
      <c r="E33" s="6">
        <v>1</v>
      </c>
      <c r="F33" s="6"/>
      <c r="G33" s="6" t="s">
        <v>85</v>
      </c>
    </row>
    <row r="34" spans="1:7" x14ac:dyDescent="0.25">
      <c r="A34" s="3">
        <v>46301</v>
      </c>
      <c r="B34" s="4">
        <v>0.4375</v>
      </c>
      <c r="C34" s="5">
        <v>15521</v>
      </c>
      <c r="D34" s="6">
        <v>42</v>
      </c>
      <c r="E34" s="6"/>
      <c r="F34" s="6"/>
      <c r="G34" s="6" t="s">
        <v>270</v>
      </c>
    </row>
    <row r="35" spans="1:7" x14ac:dyDescent="0.25">
      <c r="A35" s="140" t="s">
        <v>8</v>
      </c>
      <c r="B35" s="141"/>
      <c r="C35" s="141"/>
      <c r="D35" s="141"/>
      <c r="E35" s="142"/>
      <c r="F35" s="8">
        <f>SUM(D31:D34) - SUM(E31:E34)</f>
        <v>42</v>
      </c>
      <c r="G35" s="9"/>
    </row>
    <row r="36" spans="1:7" x14ac:dyDescent="0.25">
      <c r="A36" s="10"/>
      <c r="B36" s="11"/>
      <c r="C36" s="11"/>
      <c r="D36" s="11"/>
      <c r="E36" s="11"/>
      <c r="F36" s="12"/>
      <c r="G36" s="13"/>
    </row>
    <row r="41" spans="1:7" ht="15.75" x14ac:dyDescent="0.25">
      <c r="A41" s="137" t="s">
        <v>12</v>
      </c>
      <c r="B41" s="138"/>
      <c r="C41" s="138"/>
      <c r="D41" s="138"/>
      <c r="E41" s="138"/>
      <c r="F41" s="138"/>
      <c r="G41" s="139"/>
    </row>
    <row r="42" spans="1:7" ht="25.5" x14ac:dyDescent="0.25">
      <c r="A42" s="1" t="s">
        <v>1</v>
      </c>
      <c r="B42" s="2" t="s">
        <v>2</v>
      </c>
      <c r="C42" s="2" t="s">
        <v>3</v>
      </c>
      <c r="D42" s="2" t="s">
        <v>4</v>
      </c>
      <c r="E42" s="2" t="s">
        <v>5</v>
      </c>
      <c r="F42" s="2" t="s">
        <v>6</v>
      </c>
      <c r="G42" s="2" t="s">
        <v>7</v>
      </c>
    </row>
    <row r="43" spans="1:7" x14ac:dyDescent="0.25">
      <c r="A43" s="3">
        <v>45867</v>
      </c>
      <c r="B43" s="4">
        <v>0.34097222222222223</v>
      </c>
      <c r="C43" s="5">
        <v>2500</v>
      </c>
      <c r="D43" s="7">
        <v>4</v>
      </c>
      <c r="E43" s="6"/>
      <c r="F43" s="6">
        <f>D43</f>
        <v>4</v>
      </c>
      <c r="G43" s="6" t="s">
        <v>13</v>
      </c>
    </row>
    <row r="44" spans="1:7" x14ac:dyDescent="0.25">
      <c r="A44" s="3">
        <v>45874</v>
      </c>
      <c r="B44" s="4">
        <v>0.45833333333333331</v>
      </c>
      <c r="C44" s="5">
        <v>7484</v>
      </c>
      <c r="D44" s="6"/>
      <c r="E44" s="7">
        <v>4</v>
      </c>
      <c r="F44" s="6">
        <f>F43+D44-E44</f>
        <v>0</v>
      </c>
      <c r="G44" s="6" t="s">
        <v>13</v>
      </c>
    </row>
    <row r="45" spans="1:7" x14ac:dyDescent="0.25">
      <c r="A45" s="3"/>
      <c r="B45" s="4"/>
      <c r="C45" s="5"/>
      <c r="D45" s="6"/>
      <c r="E45" s="6"/>
      <c r="F45" s="6">
        <f>F44+D45-E45</f>
        <v>0</v>
      </c>
      <c r="G45" s="6"/>
    </row>
    <row r="46" spans="1:7" x14ac:dyDescent="0.25">
      <c r="A46" s="3"/>
      <c r="B46" s="4"/>
      <c r="C46" s="5"/>
      <c r="D46" s="6"/>
      <c r="E46" s="6"/>
      <c r="F46" s="6"/>
      <c r="G46" s="6"/>
    </row>
    <row r="47" spans="1:7" x14ac:dyDescent="0.25">
      <c r="A47" s="140" t="s">
        <v>8</v>
      </c>
      <c r="B47" s="141"/>
      <c r="C47" s="141"/>
      <c r="D47" s="141"/>
      <c r="E47" s="142"/>
      <c r="F47" s="8">
        <f>SUM(D43:D46) - SUM(E43:E46)</f>
        <v>0</v>
      </c>
      <c r="G47" s="9"/>
    </row>
    <row r="49" spans="1:9" ht="15.75" x14ac:dyDescent="0.25">
      <c r="A49" s="137" t="s">
        <v>14</v>
      </c>
      <c r="B49" s="138"/>
      <c r="C49" s="138"/>
      <c r="D49" s="138"/>
      <c r="E49" s="138"/>
      <c r="F49" s="138"/>
      <c r="G49" s="139"/>
    </row>
    <row r="50" spans="1:9" ht="25.5" x14ac:dyDescent="0.25">
      <c r="A50" s="1" t="s">
        <v>1</v>
      </c>
      <c r="B50" s="2" t="s">
        <v>2</v>
      </c>
      <c r="C50" s="2" t="s">
        <v>3</v>
      </c>
      <c r="D50" s="2" t="s">
        <v>4</v>
      </c>
      <c r="E50" s="2" t="s">
        <v>5</v>
      </c>
      <c r="F50" s="2" t="s">
        <v>6</v>
      </c>
      <c r="G50" s="2" t="s">
        <v>7</v>
      </c>
    </row>
    <row r="51" spans="1:9" x14ac:dyDescent="0.25">
      <c r="A51" s="3">
        <v>46083</v>
      </c>
      <c r="B51" s="4">
        <v>0.3125</v>
      </c>
      <c r="C51" s="5">
        <v>13974</v>
      </c>
      <c r="D51" s="7">
        <v>8</v>
      </c>
      <c r="E51" s="6"/>
      <c r="F51" s="6"/>
      <c r="G51" s="6" t="s">
        <v>17</v>
      </c>
    </row>
    <row r="52" spans="1:9" x14ac:dyDescent="0.25">
      <c r="A52" s="3">
        <v>46090</v>
      </c>
      <c r="B52" s="4">
        <v>8.3333333333333329E-2</v>
      </c>
      <c r="C52" s="5">
        <v>10575</v>
      </c>
      <c r="D52" s="6"/>
      <c r="E52" s="7">
        <v>7</v>
      </c>
      <c r="F52" s="6"/>
      <c r="G52" s="6" t="s">
        <v>116</v>
      </c>
      <c r="H52" t="s">
        <v>255</v>
      </c>
    </row>
    <row r="53" spans="1:9" x14ac:dyDescent="0.25">
      <c r="A53" s="3">
        <v>46100</v>
      </c>
      <c r="B53" s="4">
        <v>0.40277777777777779</v>
      </c>
      <c r="C53" s="5">
        <v>10632</v>
      </c>
      <c r="D53" s="6"/>
      <c r="E53" s="6">
        <v>1</v>
      </c>
      <c r="F53" s="6"/>
      <c r="G53" s="6" t="s">
        <v>17</v>
      </c>
    </row>
    <row r="54" spans="1:9" x14ac:dyDescent="0.25">
      <c r="A54" s="3"/>
      <c r="B54" s="4"/>
      <c r="C54" s="5"/>
      <c r="D54" s="6"/>
      <c r="E54" s="6"/>
      <c r="F54" s="6"/>
      <c r="G54" s="6"/>
    </row>
    <row r="55" spans="1:9" x14ac:dyDescent="0.25">
      <c r="A55" s="17"/>
      <c r="B55" s="18"/>
      <c r="C55" s="34"/>
      <c r="D55" s="30"/>
      <c r="E55" s="21"/>
      <c r="F55" s="6"/>
      <c r="G55" s="6"/>
    </row>
    <row r="56" spans="1:9" x14ac:dyDescent="0.25">
      <c r="A56" s="140" t="s">
        <v>8</v>
      </c>
      <c r="B56" s="141"/>
      <c r="C56" s="141"/>
      <c r="D56" s="141"/>
      <c r="E56" s="142"/>
      <c r="F56" s="8">
        <f>SUM(D51:D54) - SUM(E51:E54)</f>
        <v>0</v>
      </c>
      <c r="G56" s="9"/>
    </row>
    <row r="59" spans="1:9" ht="15.75" x14ac:dyDescent="0.25">
      <c r="A59" s="137" t="s">
        <v>86</v>
      </c>
      <c r="B59" s="138"/>
      <c r="C59" s="138"/>
      <c r="D59" s="138"/>
      <c r="E59" s="138"/>
      <c r="F59" s="138"/>
      <c r="G59" s="139"/>
    </row>
    <row r="60" spans="1:9" ht="25.5" x14ac:dyDescent="0.25">
      <c r="A60" s="1" t="s">
        <v>1</v>
      </c>
      <c r="B60" s="2" t="s">
        <v>2</v>
      </c>
      <c r="C60" s="2" t="s">
        <v>3</v>
      </c>
      <c r="D60" s="2" t="s">
        <v>4</v>
      </c>
      <c r="E60" s="2" t="s">
        <v>5</v>
      </c>
      <c r="F60" s="2" t="s">
        <v>6</v>
      </c>
      <c r="G60" s="2" t="s">
        <v>7</v>
      </c>
    </row>
    <row r="61" spans="1:9" x14ac:dyDescent="0.25">
      <c r="A61" s="3">
        <v>46084</v>
      </c>
      <c r="B61" s="4" t="s">
        <v>87</v>
      </c>
      <c r="C61" s="5">
        <v>13989</v>
      </c>
      <c r="D61" s="6">
        <v>30</v>
      </c>
      <c r="E61" s="6"/>
      <c r="F61" s="6">
        <f>D61</f>
        <v>30</v>
      </c>
      <c r="G61" s="6" t="s">
        <v>88</v>
      </c>
    </row>
    <row r="62" spans="1:9" x14ac:dyDescent="0.25">
      <c r="A62" s="3"/>
      <c r="B62" s="4"/>
      <c r="D62" s="6"/>
      <c r="E62" s="6"/>
      <c r="F62" s="6">
        <f>F61+D62-E62</f>
        <v>30</v>
      </c>
      <c r="G62" s="6"/>
    </row>
    <row r="63" spans="1:9" x14ac:dyDescent="0.25">
      <c r="A63" s="3">
        <v>46091</v>
      </c>
      <c r="B63" s="4">
        <v>0.3888888888888889</v>
      </c>
      <c r="C63" s="5">
        <v>10579</v>
      </c>
      <c r="D63" s="6"/>
      <c r="E63" s="6">
        <v>30</v>
      </c>
      <c r="F63" s="6">
        <f>F62+D63-E63</f>
        <v>0</v>
      </c>
      <c r="G63" s="6" t="s">
        <v>101</v>
      </c>
      <c r="H63" s="39" t="s">
        <v>102</v>
      </c>
      <c r="I63" s="39"/>
    </row>
    <row r="64" spans="1:9" x14ac:dyDescent="0.25">
      <c r="A64" s="3"/>
      <c r="B64" s="4"/>
      <c r="C64" s="5"/>
      <c r="D64" s="6"/>
      <c r="E64" s="6"/>
      <c r="F64" s="6"/>
      <c r="G64" s="73" t="s">
        <v>103</v>
      </c>
    </row>
    <row r="65" spans="1:7" x14ac:dyDescent="0.25">
      <c r="A65" s="140" t="s">
        <v>8</v>
      </c>
      <c r="B65" s="141"/>
      <c r="C65" s="141"/>
      <c r="D65" s="141"/>
      <c r="E65" s="142"/>
      <c r="F65" s="8">
        <f>SUM(D61:D64) - SUM(E61:E64)</f>
        <v>0</v>
      </c>
      <c r="G65" s="9"/>
    </row>
    <row r="68" spans="1:7" ht="15.75" x14ac:dyDescent="0.25">
      <c r="A68" s="137" t="s">
        <v>89</v>
      </c>
      <c r="B68" s="138"/>
      <c r="C68" s="138"/>
      <c r="D68" s="138"/>
      <c r="E68" s="138"/>
      <c r="F68" s="138"/>
      <c r="G68" s="139"/>
    </row>
    <row r="69" spans="1:7" ht="25.5" x14ac:dyDescent="0.25">
      <c r="A69" s="1" t="s">
        <v>1</v>
      </c>
      <c r="B69" s="2" t="s">
        <v>2</v>
      </c>
      <c r="C69" s="2" t="s">
        <v>3</v>
      </c>
      <c r="D69" s="2" t="s">
        <v>4</v>
      </c>
      <c r="E69" s="2" t="s">
        <v>5</v>
      </c>
      <c r="F69" s="2" t="s">
        <v>6</v>
      </c>
      <c r="G69" s="2" t="s">
        <v>7</v>
      </c>
    </row>
    <row r="70" spans="1:7" x14ac:dyDescent="0.25">
      <c r="A70" s="3">
        <v>46084</v>
      </c>
      <c r="B70" s="4" t="s">
        <v>87</v>
      </c>
      <c r="C70" s="5">
        <v>13989</v>
      </c>
      <c r="D70" s="6">
        <v>60</v>
      </c>
      <c r="E70" s="6"/>
      <c r="F70" s="6"/>
      <c r="G70" s="6" t="s">
        <v>88</v>
      </c>
    </row>
    <row r="71" spans="1:7" x14ac:dyDescent="0.25">
      <c r="A71" s="3">
        <v>46091</v>
      </c>
      <c r="B71" s="4">
        <v>0.1875</v>
      </c>
      <c r="C71" s="5">
        <v>10588</v>
      </c>
      <c r="D71" s="6"/>
      <c r="E71" s="6">
        <v>60</v>
      </c>
      <c r="F71" s="6"/>
      <c r="G71" s="6" t="s">
        <v>88</v>
      </c>
    </row>
    <row r="72" spans="1:7" x14ac:dyDescent="0.25">
      <c r="A72" s="3"/>
      <c r="B72" s="4"/>
      <c r="C72" s="5"/>
      <c r="D72" s="6"/>
      <c r="E72" s="6"/>
      <c r="F72" s="6"/>
      <c r="G72" s="6"/>
    </row>
    <row r="73" spans="1:7" x14ac:dyDescent="0.25">
      <c r="A73" s="3"/>
      <c r="B73" s="4"/>
      <c r="C73" s="5"/>
      <c r="D73" s="6"/>
      <c r="E73" s="6"/>
      <c r="F73" s="6"/>
      <c r="G73" s="6"/>
    </row>
    <row r="74" spans="1:7" x14ac:dyDescent="0.25">
      <c r="A74" s="140" t="s">
        <v>8</v>
      </c>
      <c r="B74" s="141"/>
      <c r="C74" s="141"/>
      <c r="D74" s="141"/>
      <c r="E74" s="142"/>
      <c r="F74" s="8">
        <v>0</v>
      </c>
      <c r="G74" s="9"/>
    </row>
    <row r="77" spans="1:7" ht="15.75" x14ac:dyDescent="0.25">
      <c r="A77" s="137" t="s">
        <v>141</v>
      </c>
      <c r="B77" s="138"/>
      <c r="C77" s="138"/>
      <c r="D77" s="138"/>
      <c r="E77" s="138"/>
      <c r="F77" s="138"/>
      <c r="G77" s="139"/>
    </row>
    <row r="78" spans="1:7" ht="25.5" x14ac:dyDescent="0.25">
      <c r="A78" s="1" t="s">
        <v>1</v>
      </c>
      <c r="B78" s="2" t="s">
        <v>2</v>
      </c>
      <c r="C78" s="2" t="s">
        <v>3</v>
      </c>
      <c r="D78" s="2" t="s">
        <v>4</v>
      </c>
      <c r="E78" s="2" t="s">
        <v>5</v>
      </c>
      <c r="F78" s="2" t="s">
        <v>6</v>
      </c>
      <c r="G78" s="2" t="s">
        <v>7</v>
      </c>
    </row>
    <row r="79" spans="1:7" x14ac:dyDescent="0.25">
      <c r="A79" s="3">
        <v>46130</v>
      </c>
      <c r="B79" s="4">
        <v>0.43055555555555558</v>
      </c>
      <c r="C79" s="5">
        <v>14344</v>
      </c>
      <c r="D79" s="6">
        <v>61</v>
      </c>
      <c r="E79" s="6"/>
      <c r="F79" s="6">
        <f>D79</f>
        <v>61</v>
      </c>
      <c r="G79" s="6" t="s">
        <v>140</v>
      </c>
    </row>
    <row r="80" spans="1:7" x14ac:dyDescent="0.25">
      <c r="A80" s="3">
        <v>46150</v>
      </c>
      <c r="B80" s="4">
        <v>0.39583333333333331</v>
      </c>
      <c r="C80" s="5">
        <v>10891</v>
      </c>
      <c r="D80" s="6"/>
      <c r="E80" s="6">
        <v>14</v>
      </c>
      <c r="F80" s="6">
        <f>F79+D80-E80</f>
        <v>47</v>
      </c>
      <c r="G80" s="6" t="s">
        <v>140</v>
      </c>
    </row>
    <row r="81" spans="1:11" x14ac:dyDescent="0.25">
      <c r="A81" s="3" t="s">
        <v>176</v>
      </c>
      <c r="B81" s="4">
        <v>0.10416666666666667</v>
      </c>
      <c r="C81" s="5">
        <v>10975</v>
      </c>
      <c r="D81" s="6"/>
      <c r="E81" s="6">
        <v>47</v>
      </c>
      <c r="F81" s="6">
        <f>F80+D81-E81</f>
        <v>0</v>
      </c>
      <c r="G81" s="6" t="s">
        <v>140</v>
      </c>
    </row>
    <row r="82" spans="1:11" x14ac:dyDescent="0.25">
      <c r="A82" s="3"/>
      <c r="B82" s="4"/>
      <c r="C82" s="5"/>
      <c r="D82" s="6"/>
      <c r="E82" s="6"/>
      <c r="F82" s="6"/>
      <c r="G82" s="6"/>
    </row>
    <row r="83" spans="1:11" x14ac:dyDescent="0.25">
      <c r="A83" s="140" t="s">
        <v>8</v>
      </c>
      <c r="B83" s="141"/>
      <c r="C83" s="141"/>
      <c r="D83" s="141"/>
      <c r="E83" s="142"/>
      <c r="F83" s="8">
        <f>SUM(D79:D82) - SUM(E79:E82)</f>
        <v>0</v>
      </c>
      <c r="G83" s="9"/>
      <c r="K83" t="s">
        <v>177</v>
      </c>
    </row>
    <row r="85" spans="1:11" ht="15.75" x14ac:dyDescent="0.25">
      <c r="A85" s="137" t="s">
        <v>215</v>
      </c>
      <c r="B85" s="138"/>
      <c r="C85" s="138"/>
      <c r="D85" s="138"/>
      <c r="E85" s="138"/>
      <c r="F85" s="138"/>
      <c r="G85" s="139"/>
    </row>
    <row r="86" spans="1:11" ht="25.5" x14ac:dyDescent="0.25">
      <c r="A86" s="1" t="s">
        <v>1</v>
      </c>
      <c r="B86" s="2" t="s">
        <v>2</v>
      </c>
      <c r="C86" s="2" t="s">
        <v>3</v>
      </c>
      <c r="D86" s="2" t="s">
        <v>4</v>
      </c>
      <c r="E86" s="2" t="s">
        <v>5</v>
      </c>
      <c r="F86" s="2" t="s">
        <v>6</v>
      </c>
      <c r="G86" s="2" t="s">
        <v>7</v>
      </c>
    </row>
    <row r="87" spans="1:11" x14ac:dyDescent="0.25">
      <c r="A87" s="3">
        <v>46190</v>
      </c>
      <c r="B87" s="4">
        <v>7.2916666666666671E-2</v>
      </c>
      <c r="C87" s="5">
        <v>14770</v>
      </c>
      <c r="D87" s="77">
        <v>6</v>
      </c>
      <c r="E87" s="6"/>
      <c r="F87" s="6"/>
      <c r="G87" s="6" t="s">
        <v>216</v>
      </c>
    </row>
    <row r="88" spans="1:11" x14ac:dyDescent="0.25">
      <c r="A88" s="3">
        <v>46197</v>
      </c>
      <c r="B88" s="4">
        <v>0.33333333333333331</v>
      </c>
      <c r="C88" s="5">
        <v>11098</v>
      </c>
      <c r="D88" s="6"/>
      <c r="E88" s="6">
        <v>6</v>
      </c>
      <c r="F88" s="6"/>
      <c r="G88" s="6" t="s">
        <v>239</v>
      </c>
      <c r="H88" s="39" t="s">
        <v>240</v>
      </c>
      <c r="I88" s="39"/>
    </row>
    <row r="89" spans="1:11" x14ac:dyDescent="0.25">
      <c r="A89" s="3"/>
      <c r="B89" s="4"/>
      <c r="C89" s="5"/>
      <c r="D89" s="6"/>
      <c r="E89" s="6"/>
      <c r="F89" s="6"/>
      <c r="G89" s="6"/>
    </row>
    <row r="90" spans="1:11" x14ac:dyDescent="0.25">
      <c r="A90" s="3"/>
      <c r="B90" s="4"/>
      <c r="C90" s="5"/>
      <c r="D90" s="6"/>
      <c r="E90" s="6"/>
      <c r="F90" s="6"/>
      <c r="G90" s="6"/>
    </row>
    <row r="91" spans="1:11" x14ac:dyDescent="0.25">
      <c r="A91" s="140" t="s">
        <v>8</v>
      </c>
      <c r="B91" s="141"/>
      <c r="C91" s="141"/>
      <c r="D91" s="141"/>
      <c r="E91" s="142"/>
      <c r="F91" s="8">
        <f>SUM(D87:D90) - SUM(E87:E90)</f>
        <v>0</v>
      </c>
      <c r="G91" s="9"/>
    </row>
    <row r="93" spans="1:11" ht="15.75" x14ac:dyDescent="0.25">
      <c r="A93" s="137" t="s">
        <v>18</v>
      </c>
      <c r="B93" s="138"/>
      <c r="C93" s="138"/>
      <c r="D93" s="138"/>
      <c r="E93" s="138"/>
      <c r="F93" s="138"/>
      <c r="G93" s="139"/>
    </row>
    <row r="94" spans="1:11" ht="25.5" x14ac:dyDescent="0.25">
      <c r="A94" s="1" t="s">
        <v>1</v>
      </c>
      <c r="B94" s="2" t="s">
        <v>2</v>
      </c>
      <c r="C94" s="2" t="s">
        <v>3</v>
      </c>
      <c r="D94" s="2" t="s">
        <v>4</v>
      </c>
      <c r="E94" s="2" t="s">
        <v>5</v>
      </c>
      <c r="F94" s="2" t="s">
        <v>6</v>
      </c>
      <c r="G94" s="2" t="s">
        <v>7</v>
      </c>
    </row>
    <row r="95" spans="1:11" x14ac:dyDescent="0.25">
      <c r="A95" s="3">
        <v>45790</v>
      </c>
      <c r="B95" s="3" t="s">
        <v>19</v>
      </c>
      <c r="C95" s="5">
        <v>2360</v>
      </c>
      <c r="D95" s="7">
        <v>7</v>
      </c>
      <c r="E95" s="6"/>
      <c r="F95" s="6">
        <f>D95</f>
        <v>7</v>
      </c>
      <c r="G95" s="6" t="s">
        <v>20</v>
      </c>
    </row>
    <row r="96" spans="1:11" x14ac:dyDescent="0.25">
      <c r="A96" s="3">
        <v>45793</v>
      </c>
      <c r="B96" s="4">
        <v>0.20833333333333334</v>
      </c>
      <c r="C96" s="5">
        <v>7397</v>
      </c>
      <c r="D96" s="6"/>
      <c r="E96" s="7">
        <v>7</v>
      </c>
      <c r="F96" s="6">
        <f>F95+D96-E96</f>
        <v>0</v>
      </c>
      <c r="G96" s="6" t="s">
        <v>20</v>
      </c>
    </row>
    <row r="97" spans="1:7" x14ac:dyDescent="0.25">
      <c r="A97" s="3">
        <v>45860</v>
      </c>
      <c r="B97" s="4">
        <v>0.40347222222222223</v>
      </c>
      <c r="C97" s="5">
        <v>2494</v>
      </c>
      <c r="D97" s="7">
        <v>2</v>
      </c>
      <c r="E97" s="6"/>
      <c r="F97" s="6">
        <f t="shared" ref="F97:F103" si="0">F96+D97-E97</f>
        <v>2</v>
      </c>
      <c r="G97" s="6" t="s">
        <v>11</v>
      </c>
    </row>
    <row r="98" spans="1:7" x14ac:dyDescent="0.25">
      <c r="A98" s="3">
        <v>45863</v>
      </c>
      <c r="B98" s="4">
        <v>0.1875</v>
      </c>
      <c r="C98" s="5">
        <v>2499</v>
      </c>
      <c r="D98" s="7">
        <v>13</v>
      </c>
      <c r="E98" s="6"/>
      <c r="F98" s="6">
        <f t="shared" si="0"/>
        <v>15</v>
      </c>
      <c r="G98" s="6" t="s">
        <v>21</v>
      </c>
    </row>
    <row r="99" spans="1:7" x14ac:dyDescent="0.25">
      <c r="A99" s="3">
        <v>45868</v>
      </c>
      <c r="B99" s="4" t="s">
        <v>22</v>
      </c>
      <c r="C99" s="5">
        <v>2504</v>
      </c>
      <c r="D99" s="7">
        <v>5</v>
      </c>
      <c r="E99" s="6"/>
      <c r="F99" s="6">
        <f t="shared" si="0"/>
        <v>20</v>
      </c>
      <c r="G99" s="6" t="s">
        <v>23</v>
      </c>
    </row>
    <row r="100" spans="1:7" x14ac:dyDescent="0.25">
      <c r="A100" s="3">
        <v>45873</v>
      </c>
      <c r="B100" s="4">
        <v>0.34375</v>
      </c>
      <c r="C100" s="5">
        <v>2507</v>
      </c>
      <c r="D100" s="14">
        <v>13</v>
      </c>
      <c r="E100" s="6"/>
      <c r="F100" s="6">
        <f t="shared" si="0"/>
        <v>33</v>
      </c>
      <c r="G100" s="6" t="s">
        <v>24</v>
      </c>
    </row>
    <row r="101" spans="1:7" x14ac:dyDescent="0.25">
      <c r="A101" s="3">
        <v>45873</v>
      </c>
      <c r="B101" s="4">
        <v>0.45833333333333331</v>
      </c>
      <c r="C101" s="5">
        <v>7483</v>
      </c>
      <c r="D101" s="6"/>
      <c r="E101" s="14">
        <v>8</v>
      </c>
      <c r="F101" s="6">
        <f t="shared" si="0"/>
        <v>25</v>
      </c>
      <c r="G101" s="6" t="s">
        <v>21</v>
      </c>
    </row>
    <row r="102" spans="1:7" x14ac:dyDescent="0.25">
      <c r="A102" s="3">
        <v>45877</v>
      </c>
      <c r="B102" s="4">
        <v>0.34861111111111109</v>
      </c>
      <c r="C102" s="5">
        <v>7487</v>
      </c>
      <c r="D102" s="6"/>
      <c r="E102" s="14">
        <v>5</v>
      </c>
      <c r="F102" s="6">
        <f t="shared" si="0"/>
        <v>20</v>
      </c>
      <c r="G102" s="6" t="s">
        <v>23</v>
      </c>
    </row>
    <row r="103" spans="1:7" x14ac:dyDescent="0.25">
      <c r="A103" s="3">
        <v>45875</v>
      </c>
      <c r="B103" s="4">
        <v>9.166666666666666E-2</v>
      </c>
      <c r="C103" s="5">
        <v>7486</v>
      </c>
      <c r="D103" s="6"/>
      <c r="E103" s="14">
        <v>2</v>
      </c>
      <c r="F103" s="6">
        <f t="shared" si="0"/>
        <v>18</v>
      </c>
      <c r="G103" s="6" t="s">
        <v>11</v>
      </c>
    </row>
    <row r="104" spans="1:7" ht="26.25" x14ac:dyDescent="0.25">
      <c r="A104" s="3">
        <v>45882</v>
      </c>
      <c r="B104" s="4">
        <v>0.5</v>
      </c>
      <c r="C104" s="5">
        <v>7491</v>
      </c>
      <c r="D104" s="6"/>
      <c r="E104" s="14">
        <v>18</v>
      </c>
      <c r="F104" s="6"/>
      <c r="G104" s="6" t="s">
        <v>25</v>
      </c>
    </row>
    <row r="105" spans="1:7" x14ac:dyDescent="0.25">
      <c r="A105" s="3">
        <v>45957</v>
      </c>
      <c r="B105" s="4">
        <v>0.34305555555555556</v>
      </c>
      <c r="C105" s="5">
        <v>2591</v>
      </c>
      <c r="D105" s="6">
        <v>9</v>
      </c>
      <c r="E105" s="14"/>
      <c r="F105" s="6"/>
      <c r="G105" s="9" t="s">
        <v>17</v>
      </c>
    </row>
    <row r="106" spans="1:7" ht="26.25" x14ac:dyDescent="0.25">
      <c r="A106" s="3">
        <v>45961</v>
      </c>
      <c r="B106" s="4">
        <v>0.16666666666666666</v>
      </c>
      <c r="C106" s="5">
        <v>7545</v>
      </c>
      <c r="D106" s="6"/>
      <c r="E106" s="14">
        <v>8</v>
      </c>
      <c r="F106" s="6"/>
      <c r="G106" s="9" t="s">
        <v>26</v>
      </c>
    </row>
    <row r="107" spans="1:7" x14ac:dyDescent="0.25">
      <c r="A107" s="3">
        <v>45973</v>
      </c>
      <c r="B107" s="4">
        <v>0.45833333333333331</v>
      </c>
      <c r="C107" s="5">
        <v>7550</v>
      </c>
      <c r="D107" s="6"/>
      <c r="E107" s="14">
        <v>1</v>
      </c>
      <c r="F107" s="6"/>
      <c r="G107" s="9" t="s">
        <v>27</v>
      </c>
    </row>
    <row r="108" spans="1:7" x14ac:dyDescent="0.25">
      <c r="A108" s="3">
        <v>45993</v>
      </c>
      <c r="B108" s="4">
        <v>0.37152777777777779</v>
      </c>
      <c r="C108" s="5">
        <v>2639</v>
      </c>
      <c r="D108" s="6">
        <v>22</v>
      </c>
      <c r="E108" s="14"/>
      <c r="F108" s="6"/>
      <c r="G108" s="9" t="s">
        <v>17</v>
      </c>
    </row>
    <row r="109" spans="1:7" x14ac:dyDescent="0.25">
      <c r="A109" s="3">
        <v>46002</v>
      </c>
      <c r="B109" s="4">
        <v>0.39791666666666664</v>
      </c>
      <c r="C109" s="5">
        <v>7574</v>
      </c>
      <c r="D109" s="6"/>
      <c r="E109" s="14">
        <v>22</v>
      </c>
      <c r="F109" s="6"/>
      <c r="G109" s="9" t="s">
        <v>17</v>
      </c>
    </row>
    <row r="110" spans="1:7" x14ac:dyDescent="0.25">
      <c r="A110" s="3"/>
      <c r="B110" s="4"/>
      <c r="C110" s="58"/>
      <c r="D110" s="6"/>
      <c r="E110" s="14"/>
      <c r="F110" s="6"/>
      <c r="G110" s="9"/>
    </row>
    <row r="111" spans="1:7" x14ac:dyDescent="0.25">
      <c r="A111" s="143" t="s">
        <v>8</v>
      </c>
      <c r="B111" s="143"/>
      <c r="C111" s="143"/>
      <c r="D111" s="143"/>
      <c r="E111" s="143"/>
      <c r="F111" s="8">
        <f>SUM(D95:D110) - SUM(E95:E110)</f>
        <v>0</v>
      </c>
      <c r="G111" s="9"/>
    </row>
    <row r="113" spans="1:9" x14ac:dyDescent="0.25">
      <c r="E113" t="s">
        <v>105</v>
      </c>
    </row>
    <row r="114" spans="1:9" ht="15.75" x14ac:dyDescent="0.25">
      <c r="A114" s="137" t="s">
        <v>155</v>
      </c>
      <c r="B114" s="138"/>
      <c r="C114" s="138"/>
      <c r="D114" s="138"/>
      <c r="E114" s="138"/>
      <c r="F114" s="138"/>
      <c r="G114" s="139"/>
    </row>
    <row r="115" spans="1:9" ht="25.5" x14ac:dyDescent="0.25">
      <c r="A115" s="1" t="s">
        <v>1</v>
      </c>
      <c r="B115" s="2" t="s">
        <v>2</v>
      </c>
      <c r="C115" s="2" t="s">
        <v>3</v>
      </c>
      <c r="D115" s="2" t="s">
        <v>4</v>
      </c>
      <c r="E115" s="2" t="s">
        <v>5</v>
      </c>
      <c r="F115" s="2" t="s">
        <v>6</v>
      </c>
      <c r="G115" s="2" t="s">
        <v>7</v>
      </c>
    </row>
    <row r="116" spans="1:9" x14ac:dyDescent="0.25">
      <c r="A116" s="3">
        <v>46155</v>
      </c>
      <c r="B116" s="4" t="s">
        <v>104</v>
      </c>
      <c r="C116" s="5">
        <v>14527</v>
      </c>
      <c r="D116" s="6">
        <v>21</v>
      </c>
      <c r="E116" s="6"/>
      <c r="F116" s="6">
        <f>D116</f>
        <v>21</v>
      </c>
      <c r="G116" s="6" t="s">
        <v>88</v>
      </c>
    </row>
    <row r="117" spans="1:9" x14ac:dyDescent="0.25">
      <c r="A117" s="3"/>
      <c r="B117" s="4"/>
      <c r="D117" s="6"/>
      <c r="E117" s="6"/>
      <c r="F117" s="6">
        <f>F116+D117-E117</f>
        <v>21</v>
      </c>
      <c r="G117" s="6"/>
    </row>
    <row r="118" spans="1:9" x14ac:dyDescent="0.25">
      <c r="A118" s="3">
        <v>46164</v>
      </c>
      <c r="B118" s="4" t="s">
        <v>168</v>
      </c>
      <c r="C118" s="50">
        <v>10948</v>
      </c>
      <c r="D118" s="6"/>
      <c r="E118" s="44">
        <v>21</v>
      </c>
      <c r="F118" s="6"/>
      <c r="G118" s="6" t="s">
        <v>169</v>
      </c>
      <c r="H118" s="39" t="s">
        <v>170</v>
      </c>
      <c r="I118" s="39"/>
    </row>
    <row r="119" spans="1:9" x14ac:dyDescent="0.25">
      <c r="A119" s="3">
        <v>46206</v>
      </c>
      <c r="B119" s="4">
        <v>8.3333333333333329E-2</v>
      </c>
      <c r="C119" s="5">
        <v>14875</v>
      </c>
      <c r="D119" s="21">
        <v>7</v>
      </c>
      <c r="E119" s="21"/>
      <c r="F119" s="6"/>
      <c r="G119" s="6" t="s">
        <v>254</v>
      </c>
    </row>
    <row r="120" spans="1:9" x14ac:dyDescent="0.25">
      <c r="A120" s="3">
        <v>46221</v>
      </c>
      <c r="B120" s="4">
        <v>0.4513888888888889</v>
      </c>
      <c r="C120" s="5">
        <v>11202</v>
      </c>
      <c r="D120" s="6"/>
      <c r="E120" s="21">
        <v>7</v>
      </c>
      <c r="F120" s="6"/>
      <c r="G120" s="6" t="s">
        <v>254</v>
      </c>
    </row>
    <row r="121" spans="1:9" x14ac:dyDescent="0.25">
      <c r="A121" s="3">
        <v>46265</v>
      </c>
      <c r="B121" s="4">
        <v>0.35416666666666669</v>
      </c>
      <c r="C121" s="5">
        <v>15248</v>
      </c>
      <c r="D121" s="6">
        <v>6</v>
      </c>
      <c r="E121" s="21"/>
      <c r="F121" s="6"/>
      <c r="G121" s="6" t="s">
        <v>293</v>
      </c>
    </row>
    <row r="122" spans="1:9" x14ac:dyDescent="0.25">
      <c r="A122" s="3">
        <v>46269</v>
      </c>
      <c r="B122" s="4">
        <v>0.10069444444444445</v>
      </c>
      <c r="C122" s="5">
        <v>11428</v>
      </c>
      <c r="D122" s="6"/>
      <c r="E122" s="21">
        <v>6</v>
      </c>
      <c r="F122" s="6"/>
      <c r="G122" s="6" t="s">
        <v>293</v>
      </c>
      <c r="H122" t="s">
        <v>301</v>
      </c>
    </row>
    <row r="123" spans="1:9" x14ac:dyDescent="0.25">
      <c r="A123" s="55" t="s">
        <v>8</v>
      </c>
      <c r="B123" s="56"/>
      <c r="C123" s="56"/>
      <c r="D123" s="68">
        <f>SUM(D116:D121)</f>
        <v>34</v>
      </c>
      <c r="E123" s="69">
        <f>SUM(E118:E122)</f>
        <v>34</v>
      </c>
      <c r="F123" s="70">
        <f>D123-E123</f>
        <v>0</v>
      </c>
      <c r="G123" s="9"/>
    </row>
    <row r="124" spans="1:9" x14ac:dyDescent="0.25">
      <c r="D124" s="101"/>
    </row>
    <row r="125" spans="1:9" ht="15.75" x14ac:dyDescent="0.25">
      <c r="A125" s="137" t="s">
        <v>174</v>
      </c>
      <c r="B125" s="138"/>
      <c r="C125" s="138"/>
      <c r="D125" s="138"/>
      <c r="E125" s="138"/>
      <c r="F125" s="138"/>
      <c r="G125" s="139"/>
    </row>
    <row r="126" spans="1:9" ht="25.5" x14ac:dyDescent="0.25">
      <c r="A126" s="1" t="s">
        <v>1</v>
      </c>
      <c r="B126" s="2" t="s">
        <v>2</v>
      </c>
      <c r="C126" s="2" t="s">
        <v>3</v>
      </c>
      <c r="D126" s="2" t="s">
        <v>4</v>
      </c>
      <c r="E126" s="2" t="s">
        <v>5</v>
      </c>
      <c r="F126" s="2" t="s">
        <v>6</v>
      </c>
      <c r="G126" s="2" t="s">
        <v>7</v>
      </c>
    </row>
    <row r="127" spans="1:9" x14ac:dyDescent="0.25">
      <c r="A127" s="3">
        <v>46169</v>
      </c>
      <c r="B127" s="4" t="s">
        <v>175</v>
      </c>
      <c r="C127" s="5">
        <v>14640</v>
      </c>
      <c r="D127" s="6">
        <v>5</v>
      </c>
      <c r="E127" s="6"/>
      <c r="F127" s="6"/>
      <c r="G127" s="6" t="s">
        <v>185</v>
      </c>
    </row>
    <row r="128" spans="1:9" x14ac:dyDescent="0.25">
      <c r="A128" s="3" t="s">
        <v>184</v>
      </c>
      <c r="B128" s="4">
        <v>0.14583333333333334</v>
      </c>
      <c r="C128" s="20">
        <v>10997</v>
      </c>
      <c r="D128" s="6"/>
      <c r="E128" s="6">
        <v>5</v>
      </c>
      <c r="F128" s="6"/>
      <c r="G128" s="6" t="s">
        <v>185</v>
      </c>
    </row>
    <row r="129" spans="1:7" x14ac:dyDescent="0.25">
      <c r="A129" s="3"/>
      <c r="B129" s="102">
        <v>46225</v>
      </c>
      <c r="C129" s="6">
        <v>14975</v>
      </c>
      <c r="D129" s="6">
        <v>8</v>
      </c>
      <c r="E129" s="6"/>
      <c r="F129" s="6"/>
      <c r="G129" s="6" t="s">
        <v>261</v>
      </c>
    </row>
    <row r="130" spans="1:7" x14ac:dyDescent="0.25">
      <c r="A130" s="3"/>
      <c r="B130" s="102">
        <v>46230</v>
      </c>
      <c r="C130" s="6">
        <v>11241</v>
      </c>
      <c r="D130" s="6"/>
      <c r="E130" s="6">
        <v>5</v>
      </c>
      <c r="F130" s="6"/>
      <c r="G130" s="6" t="s">
        <v>261</v>
      </c>
    </row>
    <row r="131" spans="1:7" x14ac:dyDescent="0.25">
      <c r="A131" s="17">
        <v>46232</v>
      </c>
      <c r="B131" s="110" t="s">
        <v>268</v>
      </c>
      <c r="C131" s="30">
        <v>11260</v>
      </c>
      <c r="D131" s="30"/>
      <c r="E131" s="21">
        <v>3</v>
      </c>
      <c r="F131" s="6"/>
      <c r="G131" s="6" t="s">
        <v>261</v>
      </c>
    </row>
    <row r="132" spans="1:7" x14ac:dyDescent="0.25">
      <c r="A132" s="55" t="s">
        <v>8</v>
      </c>
      <c r="B132" s="56"/>
      <c r="C132" s="56"/>
      <c r="D132" s="68">
        <f>SUM(D126:D131)</f>
        <v>13</v>
      </c>
      <c r="E132" s="69">
        <f>SUM(E127:E131)</f>
        <v>13</v>
      </c>
      <c r="F132" s="70">
        <f>D132-E132</f>
        <v>0</v>
      </c>
      <c r="G132" s="9"/>
    </row>
    <row r="135" spans="1:7" ht="15.75" x14ac:dyDescent="0.25">
      <c r="A135" s="137" t="s">
        <v>56</v>
      </c>
      <c r="B135" s="138"/>
      <c r="C135" s="138"/>
      <c r="D135" s="138"/>
      <c r="E135" s="138"/>
      <c r="F135" s="138"/>
      <c r="G135" s="139"/>
    </row>
    <row r="136" spans="1:7" ht="25.5" x14ac:dyDescent="0.25">
      <c r="A136" s="1" t="s">
        <v>1</v>
      </c>
      <c r="B136" s="2" t="s">
        <v>2</v>
      </c>
      <c r="C136" s="2" t="s">
        <v>3</v>
      </c>
      <c r="D136" s="2" t="s">
        <v>4</v>
      </c>
      <c r="E136" s="2" t="s">
        <v>5</v>
      </c>
      <c r="F136" s="2" t="s">
        <v>6</v>
      </c>
      <c r="G136" s="2" t="s">
        <v>7</v>
      </c>
    </row>
    <row r="137" spans="1:7" x14ac:dyDescent="0.25">
      <c r="A137" s="3">
        <v>46206</v>
      </c>
      <c r="B137" s="4" t="s">
        <v>253</v>
      </c>
      <c r="C137" s="5">
        <v>14872</v>
      </c>
      <c r="D137" s="6">
        <v>1</v>
      </c>
      <c r="E137" s="6"/>
      <c r="F137" s="6"/>
      <c r="G137" s="6" t="s">
        <v>252</v>
      </c>
    </row>
    <row r="138" spans="1:7" x14ac:dyDescent="0.25">
      <c r="A138" s="3">
        <v>46212</v>
      </c>
      <c r="B138" s="4">
        <v>0.3125</v>
      </c>
      <c r="C138" s="6">
        <v>11157</v>
      </c>
      <c r="D138" s="6"/>
      <c r="E138" s="6">
        <v>1</v>
      </c>
      <c r="F138" s="6"/>
      <c r="G138" s="6" t="s">
        <v>252</v>
      </c>
    </row>
    <row r="139" spans="1:7" x14ac:dyDescent="0.25">
      <c r="A139" s="3"/>
      <c r="B139" s="4"/>
      <c r="C139" s="6"/>
      <c r="D139" s="6"/>
      <c r="E139" s="6"/>
      <c r="F139" s="6"/>
      <c r="G139" s="6"/>
    </row>
    <row r="140" spans="1:7" x14ac:dyDescent="0.25">
      <c r="A140" s="55" t="s">
        <v>8</v>
      </c>
      <c r="B140" s="56"/>
      <c r="C140" s="56"/>
      <c r="D140" s="56"/>
      <c r="E140" s="57"/>
      <c r="F140" s="8">
        <f>SUM(D137:D139) - SUM(E137:E139)</f>
        <v>0</v>
      </c>
      <c r="G140" s="9"/>
    </row>
    <row r="143" spans="1:7" ht="15.75" x14ac:dyDescent="0.25">
      <c r="A143" s="137" t="s">
        <v>269</v>
      </c>
      <c r="B143" s="138"/>
      <c r="C143" s="138"/>
      <c r="D143" s="138"/>
      <c r="E143" s="138"/>
      <c r="F143" s="138"/>
      <c r="G143" s="139"/>
    </row>
    <row r="144" spans="1:7" ht="25.5" x14ac:dyDescent="0.25">
      <c r="A144" s="1" t="s">
        <v>1</v>
      </c>
      <c r="B144" s="2" t="s">
        <v>2</v>
      </c>
      <c r="C144" s="2" t="s">
        <v>3</v>
      </c>
      <c r="D144" s="2" t="s">
        <v>4</v>
      </c>
      <c r="E144" s="2" t="s">
        <v>5</v>
      </c>
      <c r="F144" s="2" t="s">
        <v>6</v>
      </c>
      <c r="G144" s="2" t="s">
        <v>7</v>
      </c>
    </row>
    <row r="145" spans="1:8" x14ac:dyDescent="0.25">
      <c r="A145" s="3">
        <v>46238</v>
      </c>
      <c r="B145" s="4">
        <v>0.4375</v>
      </c>
      <c r="C145" s="5">
        <v>15072</v>
      </c>
      <c r="D145" s="6">
        <v>9</v>
      </c>
      <c r="E145" s="21"/>
      <c r="F145" s="6"/>
      <c r="G145" s="6" t="s">
        <v>270</v>
      </c>
    </row>
    <row r="146" spans="1:8" x14ac:dyDescent="0.25">
      <c r="A146" s="3">
        <v>46267</v>
      </c>
      <c r="B146" s="4">
        <v>0.125</v>
      </c>
      <c r="C146" s="6">
        <v>11413</v>
      </c>
      <c r="D146" s="6"/>
      <c r="E146" s="21">
        <v>6</v>
      </c>
      <c r="F146" s="6"/>
      <c r="G146" s="6" t="s">
        <v>296</v>
      </c>
      <c r="H146" t="s">
        <v>297</v>
      </c>
    </row>
    <row r="147" spans="1:8" x14ac:dyDescent="0.25">
      <c r="A147" s="3">
        <v>46279</v>
      </c>
      <c r="B147" s="4">
        <v>0.14583333333333334</v>
      </c>
      <c r="C147" s="6">
        <v>11481</v>
      </c>
      <c r="D147" s="6"/>
      <c r="E147" s="21">
        <v>2</v>
      </c>
      <c r="F147" s="6"/>
      <c r="G147" s="6" t="s">
        <v>296</v>
      </c>
    </row>
    <row r="148" spans="1:8" x14ac:dyDescent="0.25">
      <c r="A148" s="55" t="s">
        <v>8</v>
      </c>
      <c r="B148" s="56"/>
      <c r="C148" s="56"/>
      <c r="D148" s="56"/>
      <c r="E148" s="57"/>
      <c r="F148" s="8">
        <f>SUM(D145:D146) - SUM(E145:E147)</f>
        <v>1</v>
      </c>
      <c r="G148" s="9"/>
    </row>
    <row r="151" spans="1:8" ht="15.75" x14ac:dyDescent="0.25">
      <c r="A151" s="137" t="s">
        <v>322</v>
      </c>
      <c r="B151" s="138"/>
      <c r="C151" s="138"/>
      <c r="D151" s="138"/>
      <c r="E151" s="138"/>
      <c r="F151" s="138"/>
      <c r="G151" s="139"/>
    </row>
    <row r="152" spans="1:8" ht="25.5" x14ac:dyDescent="0.25">
      <c r="A152" s="1" t="s">
        <v>1</v>
      </c>
      <c r="B152" s="2" t="s">
        <v>2</v>
      </c>
      <c r="C152" s="2" t="s">
        <v>3</v>
      </c>
      <c r="D152" s="2" t="s">
        <v>4</v>
      </c>
      <c r="E152" s="2" t="s">
        <v>5</v>
      </c>
      <c r="F152" s="2" t="s">
        <v>6</v>
      </c>
      <c r="G152" s="2" t="s">
        <v>7</v>
      </c>
    </row>
    <row r="153" spans="1:8" x14ac:dyDescent="0.25">
      <c r="A153" s="3">
        <v>46238</v>
      </c>
      <c r="B153" s="37">
        <v>0.4375</v>
      </c>
      <c r="C153" s="5">
        <v>15072</v>
      </c>
      <c r="D153" s="6">
        <v>9</v>
      </c>
      <c r="E153" s="21"/>
      <c r="F153" s="6"/>
      <c r="G153" s="6" t="s">
        <v>270</v>
      </c>
    </row>
    <row r="154" spans="1:8" x14ac:dyDescent="0.25">
      <c r="A154" s="3">
        <v>46267</v>
      </c>
      <c r="B154" s="37">
        <v>0.125</v>
      </c>
      <c r="C154" s="6">
        <v>11413</v>
      </c>
      <c r="D154" s="6"/>
      <c r="E154" s="21">
        <v>6</v>
      </c>
      <c r="F154" s="6"/>
      <c r="G154" s="6" t="s">
        <v>296</v>
      </c>
    </row>
    <row r="155" spans="1:8" x14ac:dyDescent="0.25">
      <c r="A155" s="3">
        <v>46279</v>
      </c>
      <c r="B155" s="37">
        <v>0.14583333333333334</v>
      </c>
      <c r="C155" s="6">
        <v>11481</v>
      </c>
      <c r="D155" s="6"/>
      <c r="E155" s="21">
        <v>2</v>
      </c>
      <c r="F155" s="6"/>
      <c r="G155" s="6" t="s">
        <v>296</v>
      </c>
    </row>
    <row r="156" spans="1:8" x14ac:dyDescent="0.25">
      <c r="A156" s="3">
        <v>46295</v>
      </c>
      <c r="B156" s="37">
        <v>0.1388888888888889</v>
      </c>
      <c r="C156" s="6">
        <v>15486</v>
      </c>
      <c r="D156" s="6">
        <v>16</v>
      </c>
      <c r="E156" s="21"/>
      <c r="F156" s="6"/>
      <c r="G156" s="6" t="s">
        <v>323</v>
      </c>
    </row>
    <row r="157" spans="1:8" x14ac:dyDescent="0.25">
      <c r="A157" s="17">
        <v>46302</v>
      </c>
      <c r="B157" s="18">
        <v>0.42708333333333331</v>
      </c>
      <c r="C157" s="30">
        <v>11593</v>
      </c>
      <c r="D157" s="30"/>
      <c r="E157" s="21">
        <v>14</v>
      </c>
      <c r="F157" s="6"/>
      <c r="G157" s="6" t="s">
        <v>323</v>
      </c>
    </row>
    <row r="158" spans="1:8" x14ac:dyDescent="0.25">
      <c r="A158" s="55" t="s">
        <v>8</v>
      </c>
      <c r="B158" s="56"/>
      <c r="C158" s="56"/>
      <c r="D158" s="56"/>
      <c r="E158" s="57"/>
      <c r="F158" s="8">
        <f>SUM(D153:D156) - SUM(E153:E157)</f>
        <v>3</v>
      </c>
      <c r="G158" s="9"/>
    </row>
  </sheetData>
  <mergeCells count="27">
    <mergeCell ref="A135:G135"/>
    <mergeCell ref="A111:E111"/>
    <mergeCell ref="A114:G114"/>
    <mergeCell ref="A125:G125"/>
    <mergeCell ref="A49:G49"/>
    <mergeCell ref="A93:G93"/>
    <mergeCell ref="A1:G1"/>
    <mergeCell ref="A13:G13"/>
    <mergeCell ref="A18:E18"/>
    <mergeCell ref="A21:G21"/>
    <mergeCell ref="A27:E27"/>
    <mergeCell ref="A151:G151"/>
    <mergeCell ref="A10:C10"/>
    <mergeCell ref="A56:E56"/>
    <mergeCell ref="A59:G59"/>
    <mergeCell ref="A65:E65"/>
    <mergeCell ref="A68:G68"/>
    <mergeCell ref="A74:E74"/>
    <mergeCell ref="A77:G77"/>
    <mergeCell ref="A83:E83"/>
    <mergeCell ref="A85:G85"/>
    <mergeCell ref="A91:E91"/>
    <mergeCell ref="A143:G143"/>
    <mergeCell ref="A47:E47"/>
    <mergeCell ref="A29:G29"/>
    <mergeCell ref="A35:E35"/>
    <mergeCell ref="A41:G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F56FC-AD6F-424B-994F-D16DC169DA8D}">
  <sheetPr>
    <pageSetUpPr fitToPage="1"/>
  </sheetPr>
  <dimension ref="A1:N150"/>
  <sheetViews>
    <sheetView topLeftCell="A31" zoomScaleNormal="100" workbookViewId="0">
      <selection activeCell="I79" sqref="I79"/>
    </sheetView>
  </sheetViews>
  <sheetFormatPr baseColWidth="10" defaultRowHeight="15" x14ac:dyDescent="0.25"/>
  <cols>
    <col min="4" max="4" width="20.7109375" bestFit="1" customWidth="1"/>
    <col min="6" max="6" width="20.7109375" bestFit="1" customWidth="1"/>
    <col min="7" max="7" width="31.140625" customWidth="1"/>
    <col min="8" max="8" width="19.28515625" customWidth="1"/>
  </cols>
  <sheetData>
    <row r="1" spans="1:9" ht="15.75" x14ac:dyDescent="0.25">
      <c r="A1" s="137" t="s">
        <v>47</v>
      </c>
      <c r="B1" s="138"/>
      <c r="C1" s="138"/>
      <c r="D1" s="138"/>
      <c r="E1" s="138"/>
      <c r="F1" s="138"/>
      <c r="G1" s="139"/>
    </row>
    <row r="2" spans="1:9" ht="25.5" x14ac:dyDescent="0.2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9" x14ac:dyDescent="0.25">
      <c r="A3" s="3">
        <v>46176</v>
      </c>
      <c r="B3" s="4">
        <v>0.15972222222222221</v>
      </c>
      <c r="C3" s="6">
        <v>4862</v>
      </c>
      <c r="D3" s="6">
        <v>8</v>
      </c>
      <c r="E3" s="6"/>
      <c r="F3" s="6"/>
      <c r="G3" s="6" t="s">
        <v>186</v>
      </c>
    </row>
    <row r="4" spans="1:9" x14ac:dyDescent="0.25">
      <c r="A4" s="3">
        <v>46191</v>
      </c>
      <c r="B4" s="4" t="s">
        <v>48</v>
      </c>
      <c r="C4" s="6">
        <v>4926</v>
      </c>
      <c r="D4" s="6">
        <v>1</v>
      </c>
      <c r="E4" s="6"/>
      <c r="F4" s="6"/>
      <c r="G4" s="6" t="s">
        <v>218</v>
      </c>
    </row>
    <row r="5" spans="1:9" x14ac:dyDescent="0.25">
      <c r="A5" s="3">
        <v>46198</v>
      </c>
      <c r="B5" s="4">
        <v>0.34236111111111112</v>
      </c>
      <c r="C5" s="6">
        <v>4959</v>
      </c>
      <c r="D5" s="6"/>
      <c r="E5" s="6">
        <v>1</v>
      </c>
      <c r="F5" s="6"/>
      <c r="G5" s="6" t="s">
        <v>218</v>
      </c>
    </row>
    <row r="6" spans="1:9" x14ac:dyDescent="0.25">
      <c r="A6" s="3">
        <v>46234</v>
      </c>
      <c r="B6" s="4" t="s">
        <v>58</v>
      </c>
      <c r="C6" s="6">
        <v>5133</v>
      </c>
      <c r="D6" s="6"/>
      <c r="E6" s="6">
        <v>8</v>
      </c>
      <c r="F6" s="6"/>
      <c r="G6" s="6" t="s">
        <v>186</v>
      </c>
    </row>
    <row r="7" spans="1:9" x14ac:dyDescent="0.25">
      <c r="A7" s="3">
        <v>46280</v>
      </c>
      <c r="B7" s="4">
        <v>0.43055555555555558</v>
      </c>
      <c r="C7" s="7">
        <v>5216</v>
      </c>
      <c r="D7" s="6">
        <v>9</v>
      </c>
      <c r="E7" s="6"/>
      <c r="F7" s="6"/>
      <c r="G7" s="6" t="s">
        <v>309</v>
      </c>
    </row>
    <row r="8" spans="1:9" x14ac:dyDescent="0.25">
      <c r="A8" s="17"/>
      <c r="B8" s="18"/>
      <c r="C8" s="30"/>
      <c r="D8" s="30"/>
      <c r="E8" s="21"/>
      <c r="F8" s="6"/>
      <c r="G8" s="6"/>
    </row>
    <row r="9" spans="1:9" x14ac:dyDescent="0.25">
      <c r="A9" s="140" t="s">
        <v>8</v>
      </c>
      <c r="B9" s="141"/>
      <c r="C9" s="141"/>
      <c r="D9" s="141"/>
      <c r="E9" s="142"/>
      <c r="F9" s="8">
        <f>SUM(D3:D7) - SUM(E3:E8)</f>
        <v>9</v>
      </c>
      <c r="G9" s="9"/>
      <c r="I9">
        <v>6</v>
      </c>
    </row>
    <row r="12" spans="1:9" ht="15.75" hidden="1" x14ac:dyDescent="0.25">
      <c r="A12" s="137" t="s">
        <v>49</v>
      </c>
      <c r="B12" s="138"/>
      <c r="C12" s="138"/>
      <c r="D12" s="138"/>
      <c r="E12" s="138"/>
      <c r="F12" s="138"/>
      <c r="G12" s="139"/>
    </row>
    <row r="13" spans="1:9" ht="25.5" hidden="1" x14ac:dyDescent="0.25">
      <c r="A13" s="1" t="s">
        <v>1</v>
      </c>
      <c r="B13" s="2" t="s">
        <v>2</v>
      </c>
      <c r="C13" s="2" t="s">
        <v>3</v>
      </c>
      <c r="D13" s="2" t="s">
        <v>4</v>
      </c>
      <c r="E13" s="2" t="s">
        <v>5</v>
      </c>
      <c r="F13" s="2" t="s">
        <v>6</v>
      </c>
      <c r="G13" s="2" t="s">
        <v>7</v>
      </c>
    </row>
    <row r="14" spans="1:9" hidden="1" x14ac:dyDescent="0.25">
      <c r="A14" s="3">
        <v>45719</v>
      </c>
      <c r="B14" s="4">
        <v>0.33888888888888891</v>
      </c>
      <c r="C14" s="7">
        <v>3106</v>
      </c>
      <c r="D14" s="7">
        <v>7</v>
      </c>
      <c r="E14" s="6"/>
      <c r="F14" s="6">
        <f>D14-E14</f>
        <v>7</v>
      </c>
      <c r="G14" s="6" t="s">
        <v>50</v>
      </c>
    </row>
    <row r="15" spans="1:9" hidden="1" x14ac:dyDescent="0.25">
      <c r="A15" s="3">
        <v>45733</v>
      </c>
      <c r="B15" s="4" t="s">
        <v>48</v>
      </c>
      <c r="C15" s="5">
        <v>11028</v>
      </c>
      <c r="D15" s="6"/>
      <c r="E15" s="6">
        <v>5</v>
      </c>
      <c r="F15" s="6">
        <f>F14+D15-E15</f>
        <v>2</v>
      </c>
      <c r="G15" s="6" t="s">
        <v>51</v>
      </c>
    </row>
    <row r="16" spans="1:9" hidden="1" x14ac:dyDescent="0.25">
      <c r="A16" s="3">
        <v>45738</v>
      </c>
      <c r="B16" s="4">
        <v>0.34375</v>
      </c>
      <c r="C16" s="5">
        <v>11045</v>
      </c>
      <c r="D16" s="6"/>
      <c r="E16" s="6">
        <v>2</v>
      </c>
      <c r="F16" s="6">
        <f>F15+D16-E16</f>
        <v>0</v>
      </c>
      <c r="G16" s="6" t="s">
        <v>50</v>
      </c>
    </row>
    <row r="17" spans="1:12" hidden="1" x14ac:dyDescent="0.25">
      <c r="A17" s="3">
        <v>45742</v>
      </c>
      <c r="B17" s="4">
        <v>0.1875</v>
      </c>
      <c r="C17" s="7">
        <v>3180</v>
      </c>
      <c r="D17" s="7">
        <v>16</v>
      </c>
      <c r="E17" s="6"/>
      <c r="F17" s="6">
        <f>F16+D17-E17</f>
        <v>16</v>
      </c>
      <c r="G17" s="6" t="s">
        <v>52</v>
      </c>
    </row>
    <row r="18" spans="1:12" hidden="1" x14ac:dyDescent="0.25">
      <c r="A18" s="3">
        <v>45751</v>
      </c>
      <c r="B18" s="4">
        <v>0.34722222222222221</v>
      </c>
      <c r="C18" s="5">
        <v>11095</v>
      </c>
      <c r="D18" s="6"/>
      <c r="E18" s="6">
        <v>12</v>
      </c>
      <c r="F18" s="6">
        <f>F17+D18-E18</f>
        <v>4</v>
      </c>
      <c r="G18" s="6" t="s">
        <v>52</v>
      </c>
    </row>
    <row r="19" spans="1:12" hidden="1" x14ac:dyDescent="0.25">
      <c r="A19" s="17">
        <v>45923</v>
      </c>
      <c r="B19" s="4">
        <v>0.36805555555555558</v>
      </c>
      <c r="C19" s="7">
        <v>11922</v>
      </c>
      <c r="D19" s="7">
        <v>3</v>
      </c>
      <c r="E19" s="6"/>
      <c r="F19" s="6"/>
      <c r="G19" s="6" t="s">
        <v>53</v>
      </c>
    </row>
    <row r="20" spans="1:12" hidden="1" x14ac:dyDescent="0.25">
      <c r="A20" s="3">
        <v>45950</v>
      </c>
      <c r="B20" s="4">
        <v>9.5138888888888884E-2</v>
      </c>
      <c r="C20" s="5">
        <v>12060</v>
      </c>
      <c r="D20" s="6"/>
      <c r="E20" s="6">
        <v>5</v>
      </c>
      <c r="F20" s="6"/>
      <c r="G20" s="6" t="s">
        <v>53</v>
      </c>
    </row>
    <row r="21" spans="1:12" hidden="1" x14ac:dyDescent="0.25">
      <c r="A21" s="3">
        <v>46211</v>
      </c>
      <c r="B21" s="18">
        <v>0.10069444444444445</v>
      </c>
      <c r="C21" s="36">
        <v>5035</v>
      </c>
      <c r="D21" s="21"/>
      <c r="E21" s="105">
        <v>2</v>
      </c>
      <c r="F21" s="6"/>
      <c r="G21" s="6" t="s">
        <v>257</v>
      </c>
    </row>
    <row r="22" spans="1:12" hidden="1" x14ac:dyDescent="0.25">
      <c r="A22" s="140" t="s">
        <v>8</v>
      </c>
      <c r="B22" s="141"/>
      <c r="C22" s="141"/>
      <c r="D22" s="141"/>
      <c r="E22" s="142"/>
      <c r="F22" s="45">
        <f>SUM(D14:D19) - SUM(E14:E22)</f>
        <v>0</v>
      </c>
      <c r="G22" s="9"/>
      <c r="H22" t="s">
        <v>196</v>
      </c>
    </row>
    <row r="24" spans="1:12" ht="15.75" x14ac:dyDescent="0.25">
      <c r="A24" s="137" t="s">
        <v>54</v>
      </c>
      <c r="B24" s="138"/>
      <c r="C24" s="138"/>
      <c r="D24" s="138"/>
      <c r="E24" s="138"/>
      <c r="F24" s="138"/>
      <c r="G24" s="139"/>
    </row>
    <row r="25" spans="1:12" ht="25.5" x14ac:dyDescent="0.25">
      <c r="A25" s="1" t="s">
        <v>1</v>
      </c>
      <c r="B25" s="2" t="s">
        <v>2</v>
      </c>
      <c r="C25" s="2" t="s">
        <v>3</v>
      </c>
      <c r="D25" s="2" t="s">
        <v>4</v>
      </c>
      <c r="E25" s="2" t="s">
        <v>5</v>
      </c>
      <c r="F25" s="2" t="s">
        <v>6</v>
      </c>
      <c r="G25" s="2" t="s">
        <v>7</v>
      </c>
    </row>
    <row r="26" spans="1:12" x14ac:dyDescent="0.25">
      <c r="A26" s="3">
        <v>46112</v>
      </c>
      <c r="B26" s="37">
        <v>0.32291666666666669</v>
      </c>
      <c r="C26" s="6">
        <v>4607</v>
      </c>
      <c r="D26" s="47">
        <v>16</v>
      </c>
      <c r="E26" s="21"/>
      <c r="F26" s="6">
        <f>D26-E26</f>
        <v>16</v>
      </c>
      <c r="G26" s="6" t="s">
        <v>129</v>
      </c>
    </row>
    <row r="27" spans="1:12" x14ac:dyDescent="0.25">
      <c r="A27" s="3">
        <v>46120</v>
      </c>
      <c r="B27" s="37">
        <v>0.35416666666666669</v>
      </c>
      <c r="C27" s="6">
        <v>4638</v>
      </c>
      <c r="D27" s="21"/>
      <c r="E27" s="21">
        <v>12</v>
      </c>
      <c r="F27" s="6">
        <f>F26+D27-E27</f>
        <v>4</v>
      </c>
      <c r="G27" s="6" t="s">
        <v>129</v>
      </c>
      <c r="H27" s="39" t="s">
        <v>130</v>
      </c>
      <c r="I27" s="39"/>
    </row>
    <row r="28" spans="1:12" x14ac:dyDescent="0.25">
      <c r="A28" s="3">
        <v>46125</v>
      </c>
      <c r="B28" s="37">
        <v>0.47499999999999998</v>
      </c>
      <c r="C28" s="6">
        <v>4653</v>
      </c>
      <c r="D28" s="21"/>
      <c r="E28" s="115">
        <v>3</v>
      </c>
      <c r="F28" s="6">
        <f>F27+D28-E28</f>
        <v>1</v>
      </c>
      <c r="G28" s="6" t="s">
        <v>211</v>
      </c>
      <c r="H28" s="72" t="s">
        <v>210</v>
      </c>
      <c r="I28" s="72"/>
      <c r="J28" s="72"/>
      <c r="K28" s="72"/>
      <c r="L28" s="72"/>
    </row>
    <row r="29" spans="1:12" x14ac:dyDescent="0.25">
      <c r="A29" s="3">
        <v>46211</v>
      </c>
      <c r="B29" s="37">
        <v>0.10069444444444445</v>
      </c>
      <c r="C29" s="6">
        <v>5035</v>
      </c>
      <c r="D29" s="21"/>
      <c r="E29" s="105">
        <v>1</v>
      </c>
      <c r="F29" s="6"/>
      <c r="G29" s="6" t="s">
        <v>211</v>
      </c>
    </row>
    <row r="30" spans="1:12" x14ac:dyDescent="0.25">
      <c r="A30" s="3">
        <v>46281</v>
      </c>
      <c r="B30" s="37">
        <v>0.35138888888888886</v>
      </c>
      <c r="C30" s="7">
        <v>5223</v>
      </c>
      <c r="D30" s="21">
        <v>5</v>
      </c>
      <c r="E30" s="105"/>
      <c r="F30" s="6"/>
      <c r="G30" s="6" t="s">
        <v>311</v>
      </c>
    </row>
    <row r="31" spans="1:12" x14ac:dyDescent="0.25">
      <c r="A31" s="3">
        <v>46282</v>
      </c>
      <c r="B31" s="37">
        <v>0.44027777777777777</v>
      </c>
      <c r="C31" s="7">
        <v>5227</v>
      </c>
      <c r="D31" s="21">
        <v>3</v>
      </c>
      <c r="E31" s="105"/>
      <c r="F31" s="6"/>
      <c r="G31" s="6" t="s">
        <v>311</v>
      </c>
    </row>
    <row r="32" spans="1:12" x14ac:dyDescent="0.25">
      <c r="A32" s="3">
        <v>46283</v>
      </c>
      <c r="B32" s="37">
        <v>0.42499999999999999</v>
      </c>
      <c r="C32" s="7">
        <v>5232</v>
      </c>
      <c r="D32" s="30">
        <v>1</v>
      </c>
      <c r="E32" s="105"/>
      <c r="F32" s="6"/>
      <c r="G32" s="6" t="s">
        <v>311</v>
      </c>
    </row>
    <row r="33" spans="1:9" x14ac:dyDescent="0.25">
      <c r="A33" s="3">
        <v>46287</v>
      </c>
      <c r="B33" s="37" t="s">
        <v>79</v>
      </c>
      <c r="C33" s="6">
        <v>5248</v>
      </c>
      <c r="D33" s="30"/>
      <c r="E33" s="105">
        <v>9</v>
      </c>
      <c r="F33" s="6"/>
      <c r="G33" s="6" t="s">
        <v>311</v>
      </c>
    </row>
    <row r="34" spans="1:9" x14ac:dyDescent="0.25">
      <c r="A34" s="55" t="s">
        <v>8</v>
      </c>
      <c r="B34" s="56"/>
      <c r="C34" s="56"/>
      <c r="D34" s="68">
        <f>SUM(D26:D33)</f>
        <v>25</v>
      </c>
      <c r="E34" s="69">
        <f>SUM(E27:E33)</f>
        <v>25</v>
      </c>
      <c r="F34" s="70">
        <f>D34-E34</f>
        <v>0</v>
      </c>
      <c r="G34" s="9"/>
    </row>
    <row r="36" spans="1:9" ht="15.75" hidden="1" x14ac:dyDescent="0.25">
      <c r="A36" s="137" t="s">
        <v>55</v>
      </c>
      <c r="B36" s="138"/>
      <c r="C36" s="138"/>
      <c r="D36" s="138"/>
      <c r="E36" s="138"/>
      <c r="F36" s="138"/>
      <c r="G36" s="139"/>
    </row>
    <row r="37" spans="1:9" ht="25.5" hidden="1" x14ac:dyDescent="0.25">
      <c r="A37" s="1" t="s">
        <v>1</v>
      </c>
      <c r="B37" s="2" t="s">
        <v>2</v>
      </c>
      <c r="C37" s="2" t="s">
        <v>3</v>
      </c>
      <c r="D37" s="2" t="s">
        <v>4</v>
      </c>
      <c r="E37" s="2" t="s">
        <v>5</v>
      </c>
      <c r="F37" s="2" t="s">
        <v>6</v>
      </c>
      <c r="G37" s="2" t="s">
        <v>7</v>
      </c>
    </row>
    <row r="38" spans="1:9" hidden="1" x14ac:dyDescent="0.25">
      <c r="A38" s="3">
        <v>46107</v>
      </c>
      <c r="B38" s="4">
        <v>0.31597222222222221</v>
      </c>
      <c r="C38" s="6">
        <v>4578</v>
      </c>
      <c r="D38" s="46">
        <v>2</v>
      </c>
      <c r="E38" s="6"/>
      <c r="F38" s="6"/>
      <c r="G38" s="6" t="s">
        <v>118</v>
      </c>
    </row>
    <row r="39" spans="1:9" hidden="1" x14ac:dyDescent="0.25">
      <c r="A39" s="3">
        <v>46113</v>
      </c>
      <c r="B39" s="4" t="s">
        <v>120</v>
      </c>
      <c r="C39" s="6">
        <v>4623</v>
      </c>
      <c r="D39" s="6"/>
      <c r="E39" s="46">
        <v>2</v>
      </c>
      <c r="F39" s="6"/>
      <c r="G39" s="6" t="s">
        <v>121</v>
      </c>
    </row>
    <row r="40" spans="1:9" hidden="1" x14ac:dyDescent="0.25">
      <c r="A40" s="3">
        <v>46168</v>
      </c>
      <c r="B40" s="4">
        <v>6.9444444444444448E-2</v>
      </c>
      <c r="C40" s="6">
        <v>4819</v>
      </c>
      <c r="D40" s="6">
        <v>5</v>
      </c>
      <c r="E40" s="6"/>
      <c r="F40" s="6"/>
      <c r="G40" s="6" t="s">
        <v>171</v>
      </c>
    </row>
    <row r="41" spans="1:9" hidden="1" x14ac:dyDescent="0.25">
      <c r="A41" s="3">
        <v>46185</v>
      </c>
      <c r="B41" s="4">
        <v>0.125</v>
      </c>
      <c r="C41" s="6">
        <v>4901</v>
      </c>
      <c r="D41" s="6"/>
      <c r="E41" s="6">
        <v>3</v>
      </c>
      <c r="F41" s="6"/>
      <c r="G41" s="6" t="s">
        <v>195</v>
      </c>
      <c r="H41" s="63" t="s">
        <v>198</v>
      </c>
      <c r="I41" s="63"/>
    </row>
    <row r="42" spans="1:9" hidden="1" x14ac:dyDescent="0.25">
      <c r="A42" s="3">
        <v>46185</v>
      </c>
      <c r="B42" s="4" t="s">
        <v>48</v>
      </c>
      <c r="C42" s="6">
        <v>4927</v>
      </c>
      <c r="D42" s="6"/>
      <c r="E42" s="6">
        <v>2</v>
      </c>
      <c r="F42" s="6"/>
      <c r="G42" s="6" t="s">
        <v>171</v>
      </c>
    </row>
    <row r="43" spans="1:9" hidden="1" x14ac:dyDescent="0.25">
      <c r="A43" s="3"/>
      <c r="B43" s="4"/>
      <c r="C43" s="6"/>
      <c r="D43" s="6"/>
      <c r="E43" s="6"/>
      <c r="F43" s="6"/>
      <c r="G43" s="6"/>
    </row>
    <row r="44" spans="1:9" hidden="1" x14ac:dyDescent="0.25">
      <c r="A44" s="3"/>
      <c r="B44" s="4"/>
      <c r="C44" s="6"/>
      <c r="D44" s="6"/>
      <c r="E44" s="6"/>
      <c r="F44" s="6"/>
      <c r="G44" s="6"/>
    </row>
    <row r="45" spans="1:9" hidden="1" x14ac:dyDescent="0.25">
      <c r="A45" s="17"/>
      <c r="B45" s="4"/>
      <c r="C45" s="6"/>
      <c r="D45" s="6"/>
      <c r="E45" s="6"/>
      <c r="F45" s="6"/>
      <c r="G45" s="6"/>
    </row>
    <row r="46" spans="1:9" hidden="1" x14ac:dyDescent="0.25">
      <c r="A46" s="3"/>
      <c r="B46" s="4"/>
      <c r="C46" s="6"/>
      <c r="D46" s="6"/>
      <c r="E46" s="6"/>
      <c r="F46" s="6"/>
      <c r="G46" s="6"/>
    </row>
    <row r="47" spans="1:9" hidden="1" x14ac:dyDescent="0.25">
      <c r="A47" s="140"/>
      <c r="B47" s="141"/>
      <c r="C47" s="141"/>
      <c r="D47" s="141"/>
      <c r="E47" s="142"/>
      <c r="F47" s="8">
        <f>SUM(D38:D47) - SUM(E38:E47)</f>
        <v>0</v>
      </c>
      <c r="G47" s="62"/>
    </row>
    <row r="48" spans="1:9" hidden="1" x14ac:dyDescent="0.25"/>
    <row r="49" spans="1:8" hidden="1" x14ac:dyDescent="0.25"/>
    <row r="50" spans="1:8" ht="15.75" hidden="1" x14ac:dyDescent="0.25">
      <c r="A50" s="137" t="s">
        <v>266</v>
      </c>
      <c r="B50" s="138"/>
      <c r="C50" s="138"/>
      <c r="D50" s="138"/>
      <c r="E50" s="138"/>
      <c r="F50" s="138"/>
      <c r="G50" s="139"/>
    </row>
    <row r="51" spans="1:8" ht="25.5" hidden="1" x14ac:dyDescent="0.25">
      <c r="A51" s="1" t="s">
        <v>1</v>
      </c>
      <c r="B51" s="2" t="s">
        <v>2</v>
      </c>
      <c r="C51" s="2" t="s">
        <v>3</v>
      </c>
      <c r="D51" s="2" t="s">
        <v>4</v>
      </c>
      <c r="E51" s="2" t="s">
        <v>5</v>
      </c>
      <c r="F51" s="2" t="s">
        <v>6</v>
      </c>
      <c r="G51" s="2" t="s">
        <v>7</v>
      </c>
    </row>
    <row r="52" spans="1:8" hidden="1" x14ac:dyDescent="0.25">
      <c r="A52" s="123">
        <v>46227</v>
      </c>
      <c r="B52" s="124">
        <v>0.11805555555555555</v>
      </c>
      <c r="C52" s="33">
        <v>13240</v>
      </c>
      <c r="D52" s="33">
        <v>4</v>
      </c>
      <c r="E52" s="21"/>
      <c r="F52" s="6"/>
      <c r="G52" s="6" t="s">
        <v>275</v>
      </c>
    </row>
    <row r="53" spans="1:8" hidden="1" x14ac:dyDescent="0.25">
      <c r="A53" s="123">
        <v>46227</v>
      </c>
      <c r="B53" s="124">
        <v>0.15972222222222221</v>
      </c>
      <c r="C53" s="33">
        <v>13241</v>
      </c>
      <c r="D53" s="33"/>
      <c r="E53" s="21"/>
      <c r="F53" s="6"/>
      <c r="G53" s="6" t="s">
        <v>267</v>
      </c>
      <c r="H53">
        <v>1</v>
      </c>
    </row>
    <row r="54" spans="1:8" hidden="1" x14ac:dyDescent="0.25">
      <c r="A54" s="3">
        <v>46246</v>
      </c>
      <c r="B54" s="4">
        <v>0.11319444444444444</v>
      </c>
      <c r="C54" s="6">
        <v>13333</v>
      </c>
      <c r="D54" s="6"/>
      <c r="E54" s="21">
        <v>2</v>
      </c>
      <c r="F54" s="6"/>
      <c r="G54" s="6" t="s">
        <v>275</v>
      </c>
    </row>
    <row r="55" spans="1:8" hidden="1" x14ac:dyDescent="0.25">
      <c r="A55" s="3">
        <v>46256</v>
      </c>
      <c r="B55" s="4">
        <v>0.3576388888888889</v>
      </c>
      <c r="C55" s="6">
        <v>13384</v>
      </c>
      <c r="D55" s="6"/>
      <c r="E55" s="21">
        <v>2</v>
      </c>
      <c r="F55" s="6"/>
      <c r="G55" s="6" t="s">
        <v>275</v>
      </c>
    </row>
    <row r="56" spans="1:8" hidden="1" x14ac:dyDescent="0.25">
      <c r="A56" s="3">
        <v>46258</v>
      </c>
      <c r="B56" s="4">
        <v>0.48680555555555555</v>
      </c>
      <c r="C56" s="6" t="s">
        <v>287</v>
      </c>
      <c r="D56" s="6">
        <v>2</v>
      </c>
      <c r="E56" s="21"/>
      <c r="F56" s="6"/>
      <c r="G56" s="6" t="s">
        <v>288</v>
      </c>
    </row>
    <row r="57" spans="1:8" hidden="1" x14ac:dyDescent="0.25">
      <c r="A57" s="3">
        <v>46269</v>
      </c>
      <c r="B57" s="4" t="s">
        <v>302</v>
      </c>
      <c r="C57" s="6">
        <v>5181</v>
      </c>
      <c r="D57" s="6"/>
      <c r="E57" s="21">
        <v>2</v>
      </c>
      <c r="F57" s="6"/>
      <c r="G57" s="6" t="s">
        <v>288</v>
      </c>
    </row>
    <row r="58" spans="1:8" hidden="1" x14ac:dyDescent="0.25">
      <c r="A58" s="3"/>
      <c r="B58" s="4"/>
      <c r="C58" s="6"/>
      <c r="D58" s="6"/>
      <c r="E58" s="21"/>
      <c r="F58" s="6"/>
      <c r="G58" s="6"/>
    </row>
    <row r="59" spans="1:8" hidden="1" x14ac:dyDescent="0.25">
      <c r="A59" s="140" t="s">
        <v>8</v>
      </c>
      <c r="B59" s="141"/>
      <c r="C59" s="141"/>
      <c r="D59" s="141"/>
      <c r="E59" s="142"/>
      <c r="F59" s="8">
        <f>SUM(D52:D58) - SUM(E52:E58)</f>
        <v>0</v>
      </c>
      <c r="G59" s="9"/>
    </row>
    <row r="60" spans="1:8" hidden="1" x14ac:dyDescent="0.25"/>
    <row r="61" spans="1:8" ht="15.75" hidden="1" x14ac:dyDescent="0.25">
      <c r="A61" s="137" t="s">
        <v>77</v>
      </c>
      <c r="B61" s="138"/>
      <c r="C61" s="138"/>
      <c r="D61" s="138"/>
      <c r="E61" s="138"/>
      <c r="F61" s="138"/>
      <c r="G61" s="139"/>
    </row>
    <row r="62" spans="1:8" ht="25.5" hidden="1" x14ac:dyDescent="0.25">
      <c r="A62" s="1" t="s">
        <v>1</v>
      </c>
      <c r="B62" s="2" t="s">
        <v>2</v>
      </c>
      <c r="C62" s="2" t="s">
        <v>3</v>
      </c>
      <c r="D62" s="2" t="s">
        <v>4</v>
      </c>
      <c r="E62" s="2" t="s">
        <v>5</v>
      </c>
      <c r="F62" s="2" t="s">
        <v>6</v>
      </c>
      <c r="G62" s="2" t="s">
        <v>7</v>
      </c>
    </row>
    <row r="63" spans="1:8" hidden="1" x14ac:dyDescent="0.25">
      <c r="A63" s="3">
        <v>46052</v>
      </c>
      <c r="B63" s="4" t="s">
        <v>62</v>
      </c>
      <c r="C63" s="15">
        <v>4311</v>
      </c>
      <c r="D63" s="6">
        <v>4</v>
      </c>
      <c r="E63" s="6"/>
      <c r="F63" s="6"/>
      <c r="G63" s="7" t="s">
        <v>63</v>
      </c>
    </row>
    <row r="64" spans="1:8" hidden="1" x14ac:dyDescent="0.25">
      <c r="A64" s="3"/>
      <c r="B64" s="4"/>
      <c r="C64" s="6"/>
      <c r="D64" s="6"/>
      <c r="E64" s="6"/>
      <c r="F64" s="6"/>
      <c r="G64" s="6"/>
    </row>
    <row r="65" spans="1:13" hidden="1" x14ac:dyDescent="0.25">
      <c r="A65" s="3"/>
      <c r="B65" s="4"/>
      <c r="C65" s="6"/>
      <c r="D65" s="6"/>
      <c r="E65" s="6"/>
      <c r="F65" s="6"/>
      <c r="G65" s="6"/>
    </row>
    <row r="66" spans="1:13" hidden="1" x14ac:dyDescent="0.25">
      <c r="A66" s="3"/>
      <c r="B66" s="4"/>
      <c r="C66" s="32"/>
      <c r="D66" s="6"/>
      <c r="E66" s="21"/>
      <c r="F66" s="6"/>
      <c r="G66" s="6"/>
    </row>
    <row r="67" spans="1:13" hidden="1" x14ac:dyDescent="0.25">
      <c r="A67" s="17"/>
      <c r="B67" s="18"/>
      <c r="C67" s="30"/>
      <c r="D67" s="6"/>
      <c r="E67" s="21"/>
      <c r="F67" s="6"/>
      <c r="G67" s="6"/>
    </row>
    <row r="68" spans="1:13" hidden="1" x14ac:dyDescent="0.25">
      <c r="A68" s="140" t="s">
        <v>8</v>
      </c>
      <c r="B68" s="141"/>
      <c r="C68" s="141"/>
      <c r="D68" s="141"/>
      <c r="E68" s="142"/>
      <c r="F68" s="8"/>
      <c r="G68" s="9"/>
    </row>
    <row r="70" spans="1:13" ht="15.75" x14ac:dyDescent="0.25">
      <c r="A70" s="137" t="s">
        <v>56</v>
      </c>
      <c r="B70" s="138"/>
      <c r="C70" s="138"/>
      <c r="D70" s="138"/>
      <c r="E70" s="138"/>
      <c r="F70" s="138"/>
      <c r="G70" s="139"/>
    </row>
    <row r="71" spans="1:13" ht="25.5" x14ac:dyDescent="0.25">
      <c r="A71" s="1" t="s">
        <v>1</v>
      </c>
      <c r="B71" s="2" t="s">
        <v>2</v>
      </c>
      <c r="C71" s="2" t="s">
        <v>3</v>
      </c>
      <c r="D71" s="2" t="s">
        <v>4</v>
      </c>
      <c r="E71" s="2" t="s">
        <v>5</v>
      </c>
      <c r="F71" s="2" t="s">
        <v>6</v>
      </c>
      <c r="G71" s="2" t="s">
        <v>7</v>
      </c>
    </row>
    <row r="72" spans="1:13" x14ac:dyDescent="0.25">
      <c r="A72" s="3">
        <v>46043</v>
      </c>
      <c r="B72" s="4">
        <v>0.32361111111111113</v>
      </c>
      <c r="C72" s="5">
        <v>4254</v>
      </c>
      <c r="D72" s="46">
        <v>1</v>
      </c>
      <c r="E72" s="5"/>
      <c r="F72" s="6"/>
      <c r="G72" s="6" t="s">
        <v>59</v>
      </c>
    </row>
    <row r="73" spans="1:13" x14ac:dyDescent="0.25">
      <c r="A73" s="3">
        <v>46072</v>
      </c>
      <c r="B73" s="4">
        <v>0.41944444444444445</v>
      </c>
      <c r="C73" s="5">
        <v>4420</v>
      </c>
      <c r="D73" s="5"/>
      <c r="E73" s="46">
        <v>1</v>
      </c>
      <c r="F73" s="6"/>
      <c r="G73" s="6" t="s">
        <v>78</v>
      </c>
    </row>
    <row r="74" spans="1:13" x14ac:dyDescent="0.25">
      <c r="A74" s="3">
        <v>46162</v>
      </c>
      <c r="B74" s="4">
        <v>0.33333333333333331</v>
      </c>
      <c r="C74" s="5">
        <v>4796</v>
      </c>
      <c r="D74" s="46">
        <v>1</v>
      </c>
      <c r="E74" s="5"/>
      <c r="F74" s="6"/>
      <c r="G74" s="6" t="s">
        <v>208</v>
      </c>
      <c r="H74" s="97"/>
      <c r="I74" s="72"/>
      <c r="J74" s="72"/>
      <c r="K74" s="72"/>
      <c r="L74" s="72"/>
      <c r="M74" s="72"/>
    </row>
    <row r="75" spans="1:13" x14ac:dyDescent="0.25">
      <c r="A75" s="3">
        <v>46199</v>
      </c>
      <c r="B75" s="4">
        <v>0.17708333333333334</v>
      </c>
      <c r="C75" s="5">
        <v>4965</v>
      </c>
      <c r="D75" s="5"/>
      <c r="E75" s="77">
        <v>1</v>
      </c>
      <c r="F75" s="6"/>
      <c r="G75" s="6" t="s">
        <v>208</v>
      </c>
    </row>
    <row r="76" spans="1:13" x14ac:dyDescent="0.25">
      <c r="A76" s="17">
        <v>46227</v>
      </c>
      <c r="B76" s="4">
        <v>0.11805555555555555</v>
      </c>
      <c r="C76" s="5">
        <v>13240</v>
      </c>
      <c r="D76" s="33">
        <v>2</v>
      </c>
      <c r="E76" s="21"/>
      <c r="F76" s="6"/>
      <c r="G76" s="6" t="s">
        <v>265</v>
      </c>
    </row>
    <row r="77" spans="1:13" x14ac:dyDescent="0.25">
      <c r="A77" s="3">
        <v>46227</v>
      </c>
      <c r="B77" s="4">
        <v>0.15972222222222221</v>
      </c>
      <c r="C77" s="5">
        <v>13241</v>
      </c>
      <c r="D77" s="33">
        <v>1</v>
      </c>
      <c r="E77" s="21"/>
      <c r="F77" s="6"/>
      <c r="G77" s="6" t="s">
        <v>112</v>
      </c>
    </row>
    <row r="78" spans="1:13" x14ac:dyDescent="0.25">
      <c r="A78" s="3">
        <v>46246</v>
      </c>
      <c r="B78" s="37">
        <v>0.11319444444444444</v>
      </c>
      <c r="C78" s="5">
        <v>13333</v>
      </c>
      <c r="D78" s="6"/>
      <c r="E78" s="21">
        <v>1</v>
      </c>
      <c r="F78" s="6"/>
      <c r="G78" s="6" t="s">
        <v>276</v>
      </c>
    </row>
    <row r="79" spans="1:13" x14ac:dyDescent="0.25">
      <c r="A79" s="3">
        <v>46256</v>
      </c>
      <c r="B79" s="37">
        <v>0.3576388888888889</v>
      </c>
      <c r="C79" s="5">
        <v>13384</v>
      </c>
      <c r="D79" s="6"/>
      <c r="E79" s="21">
        <v>1</v>
      </c>
      <c r="F79" s="6"/>
      <c r="G79" s="6" t="s">
        <v>276</v>
      </c>
    </row>
    <row r="80" spans="1:13" x14ac:dyDescent="0.25">
      <c r="A80" s="3">
        <v>46258</v>
      </c>
      <c r="B80" s="37">
        <v>0.48958333333333331</v>
      </c>
      <c r="C80" s="5" t="s">
        <v>287</v>
      </c>
      <c r="D80" s="6">
        <v>2</v>
      </c>
      <c r="E80" s="21"/>
      <c r="F80" s="6"/>
      <c r="G80" s="6" t="s">
        <v>289</v>
      </c>
    </row>
    <row r="81" spans="1:10" x14ac:dyDescent="0.25">
      <c r="A81" s="3">
        <v>46269</v>
      </c>
      <c r="B81" s="37">
        <v>7.7777777777777779E-2</v>
      </c>
      <c r="C81" s="5">
        <v>5181</v>
      </c>
      <c r="D81" s="6"/>
      <c r="E81" s="21">
        <v>1</v>
      </c>
      <c r="F81" s="6"/>
      <c r="G81" s="6" t="s">
        <v>289</v>
      </c>
      <c r="H81" s="120" t="s">
        <v>301</v>
      </c>
    </row>
    <row r="82" spans="1:10" x14ac:dyDescent="0.25">
      <c r="A82" s="17">
        <v>46300</v>
      </c>
      <c r="B82" s="18" t="s">
        <v>48</v>
      </c>
      <c r="C82" s="34">
        <v>5316</v>
      </c>
      <c r="D82" s="30"/>
      <c r="E82" s="21">
        <v>2</v>
      </c>
      <c r="F82" s="6"/>
      <c r="G82" s="6" t="s">
        <v>112</v>
      </c>
      <c r="H82" s="120"/>
    </row>
    <row r="83" spans="1:10" x14ac:dyDescent="0.25">
      <c r="A83" s="140" t="s">
        <v>8</v>
      </c>
      <c r="B83" s="141"/>
      <c r="C83" s="141"/>
      <c r="D83" s="68">
        <f>SUM(D72:D80)</f>
        <v>7</v>
      </c>
      <c r="E83" s="69">
        <f>SUM(E72:E82)</f>
        <v>7</v>
      </c>
      <c r="F83" s="8">
        <f>D83-E83</f>
        <v>0</v>
      </c>
      <c r="G83" s="9"/>
      <c r="H83" t="s">
        <v>197</v>
      </c>
    </row>
    <row r="85" spans="1:10" ht="15.75" x14ac:dyDescent="0.25">
      <c r="A85" s="137" t="s">
        <v>57</v>
      </c>
      <c r="B85" s="138"/>
      <c r="C85" s="138"/>
      <c r="D85" s="138"/>
      <c r="E85" s="138"/>
      <c r="F85" s="138"/>
      <c r="G85" s="139"/>
    </row>
    <row r="86" spans="1:10" ht="25.5" x14ac:dyDescent="0.25">
      <c r="A86" s="1" t="s">
        <v>1</v>
      </c>
      <c r="B86" s="2" t="s">
        <v>2</v>
      </c>
      <c r="C86" s="2" t="s">
        <v>3</v>
      </c>
      <c r="D86" s="2" t="s">
        <v>4</v>
      </c>
      <c r="E86" s="2" t="s">
        <v>5</v>
      </c>
      <c r="F86" s="2" t="s">
        <v>6</v>
      </c>
      <c r="G86" s="2" t="s">
        <v>7</v>
      </c>
    </row>
    <row r="87" spans="1:10" x14ac:dyDescent="0.25">
      <c r="A87" s="3">
        <v>45966</v>
      </c>
      <c r="B87" s="4">
        <v>0.15972222222222221</v>
      </c>
      <c r="C87" s="15">
        <v>4018</v>
      </c>
      <c r="D87" s="7">
        <v>7</v>
      </c>
      <c r="E87" s="21"/>
      <c r="F87" s="6"/>
      <c r="G87" s="6" t="s">
        <v>27</v>
      </c>
      <c r="J87" t="s">
        <v>105</v>
      </c>
    </row>
    <row r="88" spans="1:10" x14ac:dyDescent="0.25">
      <c r="A88" s="3">
        <v>45972</v>
      </c>
      <c r="B88" s="4">
        <v>0.42569444444444443</v>
      </c>
      <c r="C88" s="5">
        <v>4045</v>
      </c>
      <c r="D88" s="7">
        <v>12</v>
      </c>
      <c r="E88" s="21"/>
      <c r="F88" s="6"/>
      <c r="G88" s="6" t="s">
        <v>17</v>
      </c>
    </row>
    <row r="89" spans="1:10" x14ac:dyDescent="0.25">
      <c r="A89" s="3">
        <v>45973</v>
      </c>
      <c r="B89" s="4">
        <v>0.11319444444444444</v>
      </c>
      <c r="C89" s="5">
        <v>4055</v>
      </c>
      <c r="D89" s="6"/>
      <c r="E89" s="31">
        <v>2</v>
      </c>
      <c r="F89" s="6"/>
      <c r="G89" s="6" t="s">
        <v>27</v>
      </c>
    </row>
    <row r="90" spans="1:10" x14ac:dyDescent="0.25">
      <c r="A90" s="3">
        <v>45973</v>
      </c>
      <c r="B90" s="4">
        <v>0.19583333333333333</v>
      </c>
      <c r="C90" s="5">
        <v>4056</v>
      </c>
      <c r="D90" s="6"/>
      <c r="E90" s="31">
        <v>8</v>
      </c>
      <c r="F90" s="6"/>
      <c r="G90" s="6" t="s">
        <v>17</v>
      </c>
    </row>
    <row r="91" spans="1:10" x14ac:dyDescent="0.25">
      <c r="A91" s="3">
        <v>46364</v>
      </c>
      <c r="B91" s="4" t="s">
        <v>58</v>
      </c>
      <c r="C91" s="5">
        <v>4150</v>
      </c>
      <c r="D91" s="6"/>
      <c r="E91" s="31">
        <v>2</v>
      </c>
      <c r="F91" s="6"/>
      <c r="G91" s="6" t="s">
        <v>17</v>
      </c>
    </row>
    <row r="92" spans="1:10" x14ac:dyDescent="0.25">
      <c r="A92" s="3">
        <v>46366</v>
      </c>
      <c r="B92" s="4" t="s">
        <v>58</v>
      </c>
      <c r="C92" s="5">
        <v>4176</v>
      </c>
      <c r="D92" s="6"/>
      <c r="E92" s="31">
        <v>5</v>
      </c>
      <c r="F92" s="6"/>
      <c r="G92" s="6" t="s">
        <v>27</v>
      </c>
    </row>
    <row r="93" spans="1:10" x14ac:dyDescent="0.25">
      <c r="A93" s="3">
        <v>46053</v>
      </c>
      <c r="B93" s="4">
        <v>0.34375</v>
      </c>
      <c r="C93" s="5">
        <v>4314</v>
      </c>
      <c r="D93" s="6">
        <v>4</v>
      </c>
      <c r="E93" s="7"/>
      <c r="F93" s="6"/>
      <c r="G93" s="6" t="s">
        <v>76</v>
      </c>
    </row>
    <row r="94" spans="1:10" x14ac:dyDescent="0.25">
      <c r="A94" s="3">
        <v>46067</v>
      </c>
      <c r="B94" s="4">
        <v>0.41666666666666669</v>
      </c>
      <c r="C94" s="14">
        <v>4392</v>
      </c>
      <c r="D94" s="6"/>
      <c r="E94" s="47">
        <v>2</v>
      </c>
      <c r="F94" s="6"/>
      <c r="G94" s="6" t="s">
        <v>76</v>
      </c>
    </row>
    <row r="95" spans="1:10" x14ac:dyDescent="0.25">
      <c r="A95" s="3">
        <v>46101</v>
      </c>
      <c r="B95" s="4">
        <v>0.4513888888888889</v>
      </c>
      <c r="C95" s="14">
        <v>4557</v>
      </c>
      <c r="D95" s="6"/>
      <c r="E95" s="47">
        <v>3</v>
      </c>
      <c r="F95" s="6"/>
      <c r="G95" s="6" t="s">
        <v>76</v>
      </c>
    </row>
    <row r="96" spans="1:10" x14ac:dyDescent="0.25">
      <c r="A96" s="17">
        <v>46102</v>
      </c>
      <c r="B96" s="18">
        <v>0.40069444444444446</v>
      </c>
      <c r="C96" s="43">
        <v>4569</v>
      </c>
      <c r="D96" s="30"/>
      <c r="E96" s="47">
        <v>1</v>
      </c>
      <c r="F96" s="6"/>
      <c r="G96" s="6" t="s">
        <v>76</v>
      </c>
    </row>
    <row r="97" spans="1:10" x14ac:dyDescent="0.25">
      <c r="A97" s="140" t="s">
        <v>8</v>
      </c>
      <c r="B97" s="141"/>
      <c r="C97" s="141"/>
      <c r="D97" s="141"/>
      <c r="E97" s="142"/>
      <c r="F97" s="8">
        <f>SUM(D87:D93) - SUM(E87:E96)</f>
        <v>0</v>
      </c>
      <c r="G97" s="9"/>
    </row>
    <row r="98" spans="1:10" x14ac:dyDescent="0.25">
      <c r="I98" t="s">
        <v>313</v>
      </c>
    </row>
    <row r="99" spans="1:10" ht="15.75" x14ac:dyDescent="0.25">
      <c r="A99" s="137" t="s">
        <v>70</v>
      </c>
      <c r="B99" s="138"/>
      <c r="C99" s="138"/>
      <c r="D99" s="138"/>
      <c r="E99" s="138"/>
      <c r="F99" s="138"/>
      <c r="G99" s="139"/>
    </row>
    <row r="100" spans="1:10" ht="25.5" x14ac:dyDescent="0.25">
      <c r="A100" s="1" t="s">
        <v>1</v>
      </c>
      <c r="B100" s="2" t="s">
        <v>2</v>
      </c>
      <c r="C100" s="2" t="s">
        <v>3</v>
      </c>
      <c r="D100" s="2" t="s">
        <v>4</v>
      </c>
      <c r="E100" s="96" t="s">
        <v>5</v>
      </c>
      <c r="F100" s="2" t="s">
        <v>6</v>
      </c>
      <c r="G100" s="2" t="s">
        <v>7</v>
      </c>
    </row>
    <row r="101" spans="1:10" x14ac:dyDescent="0.25">
      <c r="A101" s="3">
        <v>46059</v>
      </c>
      <c r="B101" s="4">
        <v>0.13541666666666666</v>
      </c>
      <c r="C101" s="6">
        <v>4350</v>
      </c>
      <c r="D101" s="7">
        <v>8</v>
      </c>
      <c r="E101" s="131"/>
      <c r="F101" s="6"/>
      <c r="G101" s="6" t="s">
        <v>71</v>
      </c>
      <c r="H101" t="s">
        <v>75</v>
      </c>
    </row>
    <row r="102" spans="1:10" x14ac:dyDescent="0.25">
      <c r="A102" s="3">
        <v>46191</v>
      </c>
      <c r="B102" s="4" t="s">
        <v>58</v>
      </c>
      <c r="C102" s="6">
        <v>4926</v>
      </c>
      <c r="D102" s="7">
        <v>3</v>
      </c>
      <c r="E102" s="131"/>
      <c r="F102" s="6"/>
      <c r="G102" s="6" t="s">
        <v>157</v>
      </c>
    </row>
    <row r="103" spans="1:10" x14ac:dyDescent="0.25">
      <c r="A103" s="3">
        <v>46197</v>
      </c>
      <c r="B103" s="4">
        <v>0.43402777777777779</v>
      </c>
      <c r="C103" s="6">
        <v>4953</v>
      </c>
      <c r="D103" s="6"/>
      <c r="E103" s="105">
        <v>5</v>
      </c>
      <c r="F103" s="6"/>
      <c r="G103" s="6" t="s">
        <v>71</v>
      </c>
    </row>
    <row r="104" spans="1:10" x14ac:dyDescent="0.25">
      <c r="A104" s="3">
        <v>46198</v>
      </c>
      <c r="B104" s="4">
        <v>0.34236111111111112</v>
      </c>
      <c r="C104" s="6">
        <v>4959</v>
      </c>
      <c r="D104" s="6"/>
      <c r="E104" s="105">
        <v>3</v>
      </c>
      <c r="F104" s="6"/>
      <c r="G104" s="6" t="s">
        <v>157</v>
      </c>
    </row>
    <row r="105" spans="1:10" x14ac:dyDescent="0.25">
      <c r="A105" s="3">
        <v>46281</v>
      </c>
      <c r="B105" s="4">
        <v>0.35138888888888886</v>
      </c>
      <c r="C105" s="6">
        <v>5223</v>
      </c>
      <c r="D105" s="6">
        <v>1</v>
      </c>
      <c r="E105" s="21"/>
      <c r="F105" s="6"/>
      <c r="G105" s="6" t="s">
        <v>310</v>
      </c>
    </row>
    <row r="106" spans="1:10" x14ac:dyDescent="0.25">
      <c r="A106" s="3">
        <v>46283</v>
      </c>
      <c r="B106" s="4">
        <v>0.48194444444444445</v>
      </c>
      <c r="C106" s="6">
        <v>13518</v>
      </c>
      <c r="D106" s="6"/>
      <c r="E106" s="21">
        <v>1</v>
      </c>
      <c r="F106" s="6"/>
      <c r="G106" s="6" t="s">
        <v>310</v>
      </c>
    </row>
    <row r="107" spans="1:10" x14ac:dyDescent="0.25">
      <c r="A107" s="17"/>
      <c r="B107" s="18"/>
      <c r="C107" s="30"/>
      <c r="D107" s="30"/>
      <c r="E107" s="21"/>
      <c r="F107" s="6"/>
      <c r="G107" s="6"/>
    </row>
    <row r="108" spans="1:10" x14ac:dyDescent="0.25">
      <c r="A108" s="140" t="s">
        <v>8</v>
      </c>
      <c r="B108" s="141"/>
      <c r="C108" s="141"/>
      <c r="D108" s="68">
        <f>SUM(D101:D106)</f>
        <v>12</v>
      </c>
      <c r="E108" s="69">
        <f>SUM(E103:E106)</f>
        <v>9</v>
      </c>
      <c r="F108" s="70">
        <f>D108-E108</f>
        <v>3</v>
      </c>
      <c r="G108" s="9"/>
      <c r="H108" t="s">
        <v>250</v>
      </c>
    </row>
    <row r="111" spans="1:10" ht="15.75" x14ac:dyDescent="0.25">
      <c r="A111" s="137" t="s">
        <v>163</v>
      </c>
      <c r="B111" s="138"/>
      <c r="C111" s="138"/>
      <c r="D111" s="138"/>
      <c r="E111" s="138"/>
      <c r="F111" s="138"/>
      <c r="G111" s="139"/>
      <c r="J111" s="42"/>
    </row>
    <row r="112" spans="1:10" ht="25.5" x14ac:dyDescent="0.25">
      <c r="A112" s="1" t="s">
        <v>1</v>
      </c>
      <c r="B112" s="2" t="s">
        <v>2</v>
      </c>
      <c r="C112" s="2" t="s">
        <v>3</v>
      </c>
      <c r="D112" s="2" t="s">
        <v>4</v>
      </c>
      <c r="E112" s="2" t="s">
        <v>5</v>
      </c>
      <c r="F112" s="2" t="s">
        <v>6</v>
      </c>
      <c r="G112" s="2" t="s">
        <v>7</v>
      </c>
    </row>
    <row r="113" spans="1:14" x14ac:dyDescent="0.25">
      <c r="A113" s="3">
        <v>46162</v>
      </c>
      <c r="B113" s="4">
        <v>0.33333333333333331</v>
      </c>
      <c r="C113" s="6">
        <v>4796</v>
      </c>
      <c r="D113" s="7">
        <v>17</v>
      </c>
      <c r="E113" s="6"/>
      <c r="F113" s="6"/>
      <c r="G113" s="6" t="s">
        <v>164</v>
      </c>
    </row>
    <row r="114" spans="1:14" x14ac:dyDescent="0.25">
      <c r="A114" s="3">
        <v>46171</v>
      </c>
      <c r="B114" s="4">
        <v>0.16944444444444445</v>
      </c>
      <c r="C114" s="6">
        <v>4839</v>
      </c>
      <c r="D114" s="6"/>
      <c r="E114" s="7">
        <v>17</v>
      </c>
      <c r="F114" s="6"/>
      <c r="G114" s="6" t="s">
        <v>164</v>
      </c>
    </row>
    <row r="115" spans="1:14" x14ac:dyDescent="0.25">
      <c r="A115" s="3">
        <v>46174</v>
      </c>
      <c r="B115" s="4">
        <v>0.34444444444444444</v>
      </c>
      <c r="C115" s="6">
        <v>4846</v>
      </c>
      <c r="D115" s="77">
        <v>45</v>
      </c>
      <c r="E115" s="6"/>
      <c r="F115" s="6"/>
      <c r="G115" s="6" t="s">
        <v>24</v>
      </c>
      <c r="H115">
        <v>45</v>
      </c>
    </row>
    <row r="116" spans="1:14" x14ac:dyDescent="0.25">
      <c r="A116" s="3">
        <v>46199</v>
      </c>
      <c r="B116" s="4">
        <v>0.17708333333333334</v>
      </c>
      <c r="C116" s="6">
        <v>4965</v>
      </c>
      <c r="D116" s="6"/>
      <c r="E116" s="105">
        <v>4</v>
      </c>
      <c r="F116" s="6"/>
      <c r="G116" s="6" t="s">
        <v>24</v>
      </c>
      <c r="H116" t="s">
        <v>243</v>
      </c>
      <c r="J116" s="144" t="s">
        <v>260</v>
      </c>
      <c r="K116" s="144"/>
      <c r="L116" s="144"/>
      <c r="M116" s="144"/>
      <c r="N116" s="144"/>
    </row>
    <row r="117" spans="1:14" x14ac:dyDescent="0.25">
      <c r="A117" s="17">
        <v>46230</v>
      </c>
      <c r="B117" s="4">
        <v>8.6805555555555552E-2</v>
      </c>
      <c r="C117" s="6">
        <v>13276</v>
      </c>
      <c r="D117" s="6"/>
      <c r="E117" s="21">
        <v>36</v>
      </c>
      <c r="F117" s="6"/>
      <c r="G117" s="6" t="s">
        <v>24</v>
      </c>
    </row>
    <row r="118" spans="1:14" x14ac:dyDescent="0.25">
      <c r="A118" s="17">
        <v>46233</v>
      </c>
      <c r="B118" s="4">
        <v>0.4236111111111111</v>
      </c>
      <c r="C118" s="6">
        <v>13282</v>
      </c>
      <c r="D118" s="6"/>
      <c r="E118" s="21">
        <v>4</v>
      </c>
      <c r="F118" s="6"/>
      <c r="G118" s="6" t="s">
        <v>24</v>
      </c>
    </row>
    <row r="119" spans="1:14" x14ac:dyDescent="0.25">
      <c r="A119" s="17">
        <v>46238</v>
      </c>
      <c r="B119" s="4">
        <v>0.375</v>
      </c>
      <c r="C119" s="6">
        <v>13293</v>
      </c>
      <c r="D119" s="21">
        <v>14</v>
      </c>
      <c r="E119" s="21"/>
      <c r="F119" s="6"/>
      <c r="G119" s="6" t="s">
        <v>270</v>
      </c>
      <c r="H119" t="s">
        <v>271</v>
      </c>
    </row>
    <row r="120" spans="1:14" x14ac:dyDescent="0.25">
      <c r="A120" s="17">
        <v>46238</v>
      </c>
      <c r="B120" s="4">
        <v>0.47430555555555554</v>
      </c>
      <c r="C120" s="21">
        <v>13297</v>
      </c>
      <c r="D120" s="21"/>
      <c r="E120" s="21">
        <v>1</v>
      </c>
      <c r="F120" s="6"/>
      <c r="G120" s="6" t="s">
        <v>270</v>
      </c>
    </row>
    <row r="121" spans="1:14" x14ac:dyDescent="0.25">
      <c r="A121" s="17">
        <v>46240</v>
      </c>
      <c r="B121" s="37" t="s">
        <v>48</v>
      </c>
      <c r="C121" s="6">
        <v>13310</v>
      </c>
      <c r="D121" s="6"/>
      <c r="E121" s="21">
        <v>5</v>
      </c>
      <c r="F121" s="6"/>
      <c r="G121" s="6" t="s">
        <v>270</v>
      </c>
    </row>
    <row r="122" spans="1:14" x14ac:dyDescent="0.25">
      <c r="A122" s="17">
        <v>46267</v>
      </c>
      <c r="B122" s="37">
        <v>0.1111111111111111</v>
      </c>
      <c r="C122" s="6">
        <v>13447</v>
      </c>
      <c r="D122" s="6"/>
      <c r="E122" s="21">
        <v>9</v>
      </c>
      <c r="F122" s="6"/>
      <c r="G122" s="6" t="s">
        <v>270</v>
      </c>
    </row>
    <row r="123" spans="1:14" x14ac:dyDescent="0.25">
      <c r="A123" s="55" t="s">
        <v>105</v>
      </c>
      <c r="B123" s="56"/>
      <c r="C123" s="56"/>
      <c r="D123" s="68">
        <f>SUM(D113:D122)</f>
        <v>76</v>
      </c>
      <c r="E123" s="69">
        <f>SUM(E114:E122)</f>
        <v>76</v>
      </c>
      <c r="F123" s="8">
        <f>SUM(D113:D120) - SUM(E113:E122)</f>
        <v>0</v>
      </c>
      <c r="G123" s="9"/>
    </row>
    <row r="125" spans="1:14" ht="15.75" x14ac:dyDescent="0.25">
      <c r="A125" s="137" t="s">
        <v>165</v>
      </c>
      <c r="B125" s="138"/>
      <c r="C125" s="138"/>
      <c r="D125" s="138"/>
      <c r="E125" s="138"/>
      <c r="F125" s="138"/>
      <c r="G125" s="139"/>
    </row>
    <row r="126" spans="1:14" ht="25.5" x14ac:dyDescent="0.25">
      <c r="A126" s="1" t="s">
        <v>1</v>
      </c>
      <c r="B126" s="2" t="s">
        <v>2</v>
      </c>
      <c r="C126" s="2" t="s">
        <v>3</v>
      </c>
      <c r="D126" s="2" t="s">
        <v>4</v>
      </c>
      <c r="E126" s="2" t="s">
        <v>5</v>
      </c>
      <c r="F126" s="2" t="s">
        <v>6</v>
      </c>
      <c r="G126" s="2" t="s">
        <v>7</v>
      </c>
    </row>
    <row r="127" spans="1:14" x14ac:dyDescent="0.25">
      <c r="A127" s="3">
        <v>46162</v>
      </c>
      <c r="B127" s="4">
        <v>0.33333333333333331</v>
      </c>
      <c r="C127" s="6">
        <v>4796</v>
      </c>
      <c r="D127" s="46">
        <v>2</v>
      </c>
      <c r="E127" s="6"/>
      <c r="F127" s="6"/>
      <c r="G127" s="6" t="s">
        <v>208</v>
      </c>
      <c r="H127" s="72" t="s">
        <v>209</v>
      </c>
      <c r="I127" s="72"/>
      <c r="J127" s="72"/>
      <c r="K127" s="72"/>
      <c r="L127" s="72"/>
      <c r="M127" s="72"/>
    </row>
    <row r="128" spans="1:14" x14ac:dyDescent="0.25">
      <c r="A128" s="3">
        <v>46199</v>
      </c>
      <c r="B128" s="4">
        <v>0.17708333333333334</v>
      </c>
      <c r="C128" s="6">
        <v>4965</v>
      </c>
      <c r="D128" s="6"/>
      <c r="E128" s="77">
        <v>2</v>
      </c>
      <c r="F128" s="6"/>
      <c r="G128" s="6" t="s">
        <v>208</v>
      </c>
    </row>
    <row r="129" spans="1:8" x14ac:dyDescent="0.25">
      <c r="A129" s="3">
        <v>46227</v>
      </c>
      <c r="B129" s="4">
        <v>0.11805555555555555</v>
      </c>
      <c r="C129" s="6">
        <v>13240</v>
      </c>
      <c r="D129" s="33">
        <v>2</v>
      </c>
      <c r="E129" s="6"/>
      <c r="F129" s="6"/>
      <c r="G129" s="6" t="s">
        <v>286</v>
      </c>
    </row>
    <row r="130" spans="1:8" x14ac:dyDescent="0.25">
      <c r="A130" s="3">
        <v>46300</v>
      </c>
      <c r="B130" s="4" t="s">
        <v>48</v>
      </c>
      <c r="C130" s="6">
        <v>5316</v>
      </c>
      <c r="D130" s="6"/>
      <c r="E130" s="6">
        <v>2</v>
      </c>
      <c r="F130" s="6"/>
      <c r="G130" s="6" t="s">
        <v>286</v>
      </c>
      <c r="H130" s="152" t="s">
        <v>330</v>
      </c>
    </row>
    <row r="131" spans="1:8" x14ac:dyDescent="0.25">
      <c r="A131" s="3"/>
      <c r="B131" s="4"/>
      <c r="C131" s="6"/>
      <c r="D131" s="6"/>
      <c r="E131" s="6"/>
      <c r="F131" s="6"/>
      <c r="G131" s="6"/>
    </row>
    <row r="132" spans="1:8" x14ac:dyDescent="0.25">
      <c r="A132" s="17"/>
      <c r="B132" s="18"/>
      <c r="C132" s="30"/>
      <c r="D132" s="30"/>
      <c r="E132" s="21"/>
      <c r="F132" s="6"/>
      <c r="G132" s="6"/>
    </row>
    <row r="133" spans="1:8" x14ac:dyDescent="0.25">
      <c r="A133" s="140" t="s">
        <v>8</v>
      </c>
      <c r="B133" s="141"/>
      <c r="C133" s="141"/>
      <c r="D133" s="141"/>
      <c r="E133" s="142"/>
      <c r="F133" s="8">
        <f>SUM(D127:D131) - SUM(E127:E132)</f>
        <v>0</v>
      </c>
      <c r="G133" s="9"/>
    </row>
    <row r="135" spans="1:8" ht="15.75" x14ac:dyDescent="0.25">
      <c r="A135" s="137" t="s">
        <v>141</v>
      </c>
      <c r="B135" s="138"/>
      <c r="C135" s="138"/>
      <c r="D135" s="138"/>
      <c r="E135" s="138"/>
      <c r="F135" s="138"/>
      <c r="G135" s="139"/>
    </row>
    <row r="136" spans="1:8" ht="25.5" x14ac:dyDescent="0.25">
      <c r="A136" s="1" t="s">
        <v>1</v>
      </c>
      <c r="B136" s="2" t="s">
        <v>2</v>
      </c>
      <c r="C136" s="2" t="s">
        <v>3</v>
      </c>
      <c r="D136" s="2" t="s">
        <v>4</v>
      </c>
      <c r="E136" s="2" t="s">
        <v>5</v>
      </c>
      <c r="F136" s="2" t="s">
        <v>6</v>
      </c>
      <c r="G136" s="2" t="s">
        <v>7</v>
      </c>
    </row>
    <row r="137" spans="1:8" x14ac:dyDescent="0.25">
      <c r="A137" s="3">
        <v>46120</v>
      </c>
      <c r="B137" s="4">
        <v>0.43055555555555558</v>
      </c>
      <c r="C137" s="6">
        <v>4640</v>
      </c>
      <c r="D137" s="6">
        <v>56</v>
      </c>
      <c r="E137" s="6"/>
      <c r="F137" s="6"/>
      <c r="G137" s="6" t="s">
        <v>71</v>
      </c>
    </row>
    <row r="138" spans="1:8" x14ac:dyDescent="0.25">
      <c r="A138" s="3">
        <v>46189</v>
      </c>
      <c r="B138" s="4">
        <v>0.4861111111111111</v>
      </c>
      <c r="C138" s="6">
        <v>4908</v>
      </c>
      <c r="D138" s="6"/>
      <c r="E138" s="7">
        <v>56</v>
      </c>
      <c r="F138" s="6"/>
      <c r="G138" s="6" t="s">
        <v>71</v>
      </c>
      <c r="H138" t="s">
        <v>207</v>
      </c>
    </row>
    <row r="139" spans="1:8" x14ac:dyDescent="0.25">
      <c r="A139" s="3"/>
      <c r="B139" s="4"/>
      <c r="C139" s="6"/>
      <c r="D139" s="6"/>
      <c r="E139" s="6"/>
      <c r="F139" s="6"/>
      <c r="G139" s="6"/>
    </row>
    <row r="140" spans="1:8" x14ac:dyDescent="0.25">
      <c r="A140" s="17"/>
      <c r="B140" s="18"/>
      <c r="C140" s="30"/>
      <c r="D140" s="30"/>
      <c r="E140" s="21"/>
      <c r="F140" s="6"/>
      <c r="G140" s="6"/>
    </row>
    <row r="141" spans="1:8" x14ac:dyDescent="0.25">
      <c r="A141" s="140" t="s">
        <v>8</v>
      </c>
      <c r="B141" s="141"/>
      <c r="C141" s="141"/>
      <c r="D141" s="141"/>
      <c r="E141" s="142"/>
      <c r="F141" s="45">
        <f>SUM(D137:D139) - SUM(E137:E140)</f>
        <v>0</v>
      </c>
      <c r="G141" s="9"/>
    </row>
    <row r="143" spans="1:8" ht="15.75" x14ac:dyDescent="0.25">
      <c r="A143" s="137" t="s">
        <v>283</v>
      </c>
      <c r="B143" s="138"/>
      <c r="C143" s="138"/>
      <c r="D143" s="138"/>
      <c r="E143" s="138"/>
      <c r="F143" s="138"/>
      <c r="G143" s="139"/>
    </row>
    <row r="144" spans="1:8" ht="25.5" x14ac:dyDescent="0.25">
      <c r="A144" s="1" t="s">
        <v>1</v>
      </c>
      <c r="B144" s="2" t="s">
        <v>2</v>
      </c>
      <c r="C144" s="2" t="s">
        <v>3</v>
      </c>
      <c r="D144" s="2" t="s">
        <v>4</v>
      </c>
      <c r="E144" s="2" t="s">
        <v>5</v>
      </c>
      <c r="F144" s="2" t="s">
        <v>6</v>
      </c>
      <c r="G144" s="2" t="s">
        <v>7</v>
      </c>
    </row>
    <row r="145" spans="1:7" x14ac:dyDescent="0.25">
      <c r="A145" s="3">
        <v>46254</v>
      </c>
      <c r="B145" s="4">
        <v>0.14583333333333334</v>
      </c>
      <c r="C145" s="15">
        <v>13373</v>
      </c>
      <c r="D145" s="6">
        <v>4</v>
      </c>
      <c r="E145" s="6"/>
      <c r="F145" s="6"/>
      <c r="G145" s="7" t="s">
        <v>284</v>
      </c>
    </row>
    <row r="146" spans="1:7" x14ac:dyDescent="0.25">
      <c r="A146" s="3">
        <v>46267</v>
      </c>
      <c r="B146" s="4">
        <v>0.1111111111111111</v>
      </c>
      <c r="C146" s="6">
        <v>13447</v>
      </c>
      <c r="D146" s="6"/>
      <c r="E146" s="6">
        <v>4</v>
      </c>
      <c r="F146" s="6"/>
      <c r="G146" s="7" t="s">
        <v>299</v>
      </c>
    </row>
    <row r="147" spans="1:7" x14ac:dyDescent="0.25">
      <c r="A147" s="3"/>
      <c r="B147" s="4"/>
      <c r="C147" s="6"/>
      <c r="D147" s="6"/>
      <c r="E147" s="6"/>
      <c r="F147" s="6"/>
      <c r="G147" s="6"/>
    </row>
    <row r="148" spans="1:7" x14ac:dyDescent="0.25">
      <c r="A148" s="3"/>
      <c r="B148" s="4"/>
      <c r="C148" s="30"/>
      <c r="D148" s="6"/>
      <c r="E148" s="21"/>
      <c r="F148" s="6"/>
      <c r="G148" s="6"/>
    </row>
    <row r="149" spans="1:7" x14ac:dyDescent="0.25">
      <c r="A149" s="3"/>
      <c r="B149" s="4"/>
      <c r="C149" s="30"/>
      <c r="D149" s="6"/>
      <c r="E149" s="21"/>
      <c r="F149" s="6"/>
      <c r="G149" s="6"/>
    </row>
    <row r="150" spans="1:7" x14ac:dyDescent="0.25">
      <c r="A150" s="140" t="s">
        <v>8</v>
      </c>
      <c r="B150" s="141"/>
      <c r="C150" s="141"/>
      <c r="D150" s="68">
        <f>SUM(D145:D149)</f>
        <v>4</v>
      </c>
      <c r="E150" s="69">
        <f>SUM(E146:E149)</f>
        <v>4</v>
      </c>
      <c r="F150" s="70">
        <f>D150-E150</f>
        <v>0</v>
      </c>
      <c r="G150" s="9"/>
    </row>
  </sheetData>
  <mergeCells count="25">
    <mergeCell ref="A143:G143"/>
    <mergeCell ref="A150:C150"/>
    <mergeCell ref="J116:N116"/>
    <mergeCell ref="A36:G36"/>
    <mergeCell ref="A47:E47"/>
    <mergeCell ref="A50:G50"/>
    <mergeCell ref="A59:E59"/>
    <mergeCell ref="A61:G61"/>
    <mergeCell ref="A68:E68"/>
    <mergeCell ref="A70:G70"/>
    <mergeCell ref="A85:G85"/>
    <mergeCell ref="A97:E97"/>
    <mergeCell ref="A99:G99"/>
    <mergeCell ref="A135:G135"/>
    <mergeCell ref="A108:C108"/>
    <mergeCell ref="A141:E141"/>
    <mergeCell ref="A111:G111"/>
    <mergeCell ref="A125:G125"/>
    <mergeCell ref="A133:E133"/>
    <mergeCell ref="A1:G1"/>
    <mergeCell ref="A9:E9"/>
    <mergeCell ref="A12:G12"/>
    <mergeCell ref="A22:E22"/>
    <mergeCell ref="A24:G24"/>
    <mergeCell ref="A83:C83"/>
  </mergeCells>
  <pageMargins left="0.70866141732283472" right="0.70866141732283472" top="0.74803149606299213" bottom="0.74803149606299213" header="0.31496062992125984" footer="0.31496062992125984"/>
  <pageSetup paperSize="9" scale="42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191AD-FEFB-489D-B19A-D7FB57B8DB3F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A4751-A8C1-4C12-BEDB-E981250CD257}">
  <sheetPr>
    <pageSetUpPr fitToPage="1"/>
  </sheetPr>
  <dimension ref="A1:M286"/>
  <sheetViews>
    <sheetView topLeftCell="A270" workbookViewId="0">
      <selection activeCell="L272" sqref="L272"/>
    </sheetView>
  </sheetViews>
  <sheetFormatPr baseColWidth="10" defaultRowHeight="15" x14ac:dyDescent="0.25"/>
  <cols>
    <col min="5" max="5" width="12.28515625" bestFit="1" customWidth="1"/>
    <col min="6" max="6" width="21.140625" customWidth="1"/>
    <col min="7" max="7" width="17.85546875" customWidth="1"/>
  </cols>
  <sheetData>
    <row r="1" spans="1:8" ht="15.75" x14ac:dyDescent="0.25">
      <c r="A1" s="137" t="s">
        <v>90</v>
      </c>
      <c r="B1" s="138"/>
      <c r="C1" s="138"/>
      <c r="D1" s="138"/>
      <c r="E1" s="138"/>
      <c r="F1" s="138"/>
      <c r="G1" s="139"/>
    </row>
    <row r="2" spans="1:8" ht="25.5" x14ac:dyDescent="0.2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8" x14ac:dyDescent="0.25">
      <c r="A3" s="3">
        <v>46086</v>
      </c>
      <c r="B3" s="4">
        <v>0.45833333333333331</v>
      </c>
      <c r="C3" s="53">
        <v>1038</v>
      </c>
      <c r="D3" s="7">
        <v>300</v>
      </c>
      <c r="E3" s="6"/>
      <c r="F3" s="6"/>
      <c r="G3" s="6" t="s">
        <v>91</v>
      </c>
    </row>
    <row r="4" spans="1:8" x14ac:dyDescent="0.25">
      <c r="A4" s="3">
        <v>46091</v>
      </c>
      <c r="B4" s="4">
        <v>7.0833333333333331E-2</v>
      </c>
      <c r="C4" s="5">
        <v>1105</v>
      </c>
      <c r="D4" s="6"/>
      <c r="E4" s="7">
        <v>300</v>
      </c>
      <c r="F4" s="6"/>
      <c r="G4" s="6" t="s">
        <v>91</v>
      </c>
      <c r="H4" t="s">
        <v>108</v>
      </c>
    </row>
    <row r="5" spans="1:8" x14ac:dyDescent="0.25">
      <c r="A5" s="3">
        <v>46142</v>
      </c>
      <c r="B5" s="4" t="s">
        <v>148</v>
      </c>
      <c r="C5" s="44">
        <v>1283</v>
      </c>
      <c r="D5" s="7">
        <v>200</v>
      </c>
      <c r="E5" s="6"/>
      <c r="F5" s="6"/>
      <c r="G5" s="6" t="s">
        <v>123</v>
      </c>
    </row>
    <row r="6" spans="1:8" x14ac:dyDescent="0.25">
      <c r="A6" s="3">
        <v>46148</v>
      </c>
      <c r="B6" s="4">
        <v>0.48958333333333331</v>
      </c>
      <c r="C6" s="59">
        <v>1291</v>
      </c>
      <c r="D6" s="59"/>
      <c r="E6" s="7">
        <v>200</v>
      </c>
      <c r="F6" s="6"/>
      <c r="G6" s="6" t="s">
        <v>123</v>
      </c>
      <c r="H6" t="s">
        <v>193</v>
      </c>
    </row>
    <row r="7" spans="1:8" ht="26.25" x14ac:dyDescent="0.25">
      <c r="A7" s="3">
        <v>46191</v>
      </c>
      <c r="B7" s="4">
        <v>0.36944444444444446</v>
      </c>
      <c r="C7" s="59">
        <v>1622</v>
      </c>
      <c r="D7" s="44">
        <v>100</v>
      </c>
      <c r="E7" s="7"/>
      <c r="F7" s="6"/>
      <c r="G7" s="6" t="s">
        <v>222</v>
      </c>
      <c r="H7" t="s">
        <v>223</v>
      </c>
    </row>
    <row r="8" spans="1:8" x14ac:dyDescent="0.25">
      <c r="A8" s="17">
        <v>46203</v>
      </c>
      <c r="B8" s="18">
        <v>0.19166666666666668</v>
      </c>
      <c r="C8" s="30">
        <v>1662</v>
      </c>
      <c r="D8" s="30"/>
      <c r="E8" s="50">
        <v>100</v>
      </c>
      <c r="F8" s="6"/>
      <c r="G8" s="6" t="s">
        <v>251</v>
      </c>
    </row>
    <row r="9" spans="1:8" x14ac:dyDescent="0.25">
      <c r="A9" s="140" t="s">
        <v>8</v>
      </c>
      <c r="B9" s="141"/>
      <c r="C9" s="141"/>
      <c r="D9" s="141"/>
      <c r="E9" s="142"/>
      <c r="F9" s="8">
        <f>SUM(D3:D7) - SUM(E3:E8)</f>
        <v>0</v>
      </c>
      <c r="G9" s="9"/>
    </row>
    <row r="11" spans="1:8" ht="15.75" x14ac:dyDescent="0.25">
      <c r="A11" s="137" t="s">
        <v>29</v>
      </c>
      <c r="B11" s="138"/>
      <c r="C11" s="138"/>
      <c r="D11" s="138"/>
      <c r="E11" s="138"/>
      <c r="F11" s="138"/>
      <c r="G11" s="139"/>
    </row>
    <row r="12" spans="1:8" ht="25.5" x14ac:dyDescent="0.25">
      <c r="A12" s="1" t="s">
        <v>1</v>
      </c>
      <c r="B12" s="2" t="s">
        <v>2</v>
      </c>
      <c r="C12" s="2" t="s">
        <v>3</v>
      </c>
      <c r="D12" s="2" t="s">
        <v>4</v>
      </c>
      <c r="E12" s="2" t="s">
        <v>5</v>
      </c>
      <c r="F12" s="2" t="s">
        <v>6</v>
      </c>
      <c r="G12" s="2" t="s">
        <v>7</v>
      </c>
    </row>
    <row r="13" spans="1:8" x14ac:dyDescent="0.25">
      <c r="A13" s="3"/>
      <c r="B13" s="4"/>
      <c r="C13" s="15"/>
      <c r="D13" s="16"/>
      <c r="E13" s="6"/>
      <c r="F13" s="6"/>
      <c r="G13" s="6"/>
    </row>
    <row r="14" spans="1:8" x14ac:dyDescent="0.25">
      <c r="A14" s="3"/>
      <c r="B14" s="4"/>
      <c r="C14" s="5"/>
      <c r="D14" s="6"/>
      <c r="E14" s="7"/>
      <c r="F14" s="6"/>
      <c r="G14" s="6"/>
    </row>
    <row r="15" spans="1:8" x14ac:dyDescent="0.25">
      <c r="A15" s="3"/>
      <c r="B15" s="4"/>
      <c r="C15" s="5"/>
      <c r="D15" s="6"/>
      <c r="E15" s="6"/>
      <c r="F15" s="6"/>
      <c r="G15" s="6"/>
    </row>
    <row r="16" spans="1:8" x14ac:dyDescent="0.25">
      <c r="A16" s="3"/>
      <c r="B16" s="4"/>
      <c r="C16" s="5"/>
      <c r="D16" s="6"/>
      <c r="E16" s="6"/>
      <c r="F16" s="6"/>
      <c r="G16" s="6"/>
    </row>
    <row r="17" spans="1:10" x14ac:dyDescent="0.25">
      <c r="A17" s="140" t="s">
        <v>8</v>
      </c>
      <c r="B17" s="141"/>
      <c r="C17" s="141"/>
      <c r="D17" s="141"/>
      <c r="E17" s="142"/>
      <c r="F17" s="8">
        <v>0</v>
      </c>
      <c r="G17" s="9"/>
    </row>
    <row r="19" spans="1:10" ht="15.75" x14ac:dyDescent="0.25">
      <c r="A19" s="137" t="s">
        <v>30</v>
      </c>
      <c r="B19" s="138"/>
      <c r="C19" s="138"/>
      <c r="D19" s="138"/>
      <c r="E19" s="138"/>
      <c r="F19" s="138"/>
      <c r="G19" s="139"/>
    </row>
    <row r="20" spans="1:10" ht="25.5" x14ac:dyDescent="0.25">
      <c r="A20" s="1" t="s">
        <v>1</v>
      </c>
      <c r="B20" s="2" t="s">
        <v>2</v>
      </c>
      <c r="C20" s="2" t="s">
        <v>3</v>
      </c>
      <c r="D20" s="2" t="s">
        <v>4</v>
      </c>
      <c r="E20" s="2" t="s">
        <v>5</v>
      </c>
      <c r="F20" s="2" t="s">
        <v>6</v>
      </c>
      <c r="G20" s="2" t="s">
        <v>7</v>
      </c>
    </row>
    <row r="21" spans="1:10" x14ac:dyDescent="0.25">
      <c r="A21" s="3">
        <v>46041</v>
      </c>
      <c r="B21" s="4" t="s">
        <v>42</v>
      </c>
      <c r="C21" s="45">
        <v>963</v>
      </c>
      <c r="D21" s="7">
        <v>2</v>
      </c>
      <c r="E21" s="6"/>
      <c r="F21" s="6"/>
      <c r="G21" s="6" t="s">
        <v>43</v>
      </c>
    </row>
    <row r="22" spans="1:10" x14ac:dyDescent="0.25">
      <c r="A22" s="3">
        <v>46048</v>
      </c>
      <c r="B22" s="4">
        <v>0.48333333333333334</v>
      </c>
      <c r="C22" s="44">
        <v>833</v>
      </c>
      <c r="D22" s="7">
        <v>16</v>
      </c>
      <c r="E22" s="6"/>
      <c r="F22" s="6"/>
      <c r="G22" s="6" t="s">
        <v>61</v>
      </c>
    </row>
    <row r="23" spans="1:10" x14ac:dyDescent="0.25">
      <c r="A23" s="3">
        <v>46048</v>
      </c>
      <c r="B23" s="4">
        <v>0.19305555555555556</v>
      </c>
      <c r="C23" s="44">
        <v>835</v>
      </c>
      <c r="D23" s="7">
        <v>7</v>
      </c>
      <c r="E23" s="6"/>
      <c r="F23" s="6"/>
      <c r="G23" s="6" t="s">
        <v>61</v>
      </c>
    </row>
    <row r="24" spans="1:10" x14ac:dyDescent="0.25">
      <c r="A24" s="3">
        <v>46051</v>
      </c>
      <c r="B24" s="4" t="s">
        <v>48</v>
      </c>
      <c r="C24" s="59">
        <v>850</v>
      </c>
      <c r="D24" s="59"/>
      <c r="E24" s="7">
        <v>1</v>
      </c>
      <c r="F24" s="6"/>
      <c r="G24" s="6" t="s">
        <v>61</v>
      </c>
      <c r="H24" s="39" t="s">
        <v>133</v>
      </c>
    </row>
    <row r="25" spans="1:10" x14ac:dyDescent="0.25">
      <c r="A25" s="3">
        <v>46078</v>
      </c>
      <c r="B25" s="4">
        <v>0.375</v>
      </c>
      <c r="C25" s="59">
        <v>939</v>
      </c>
      <c r="D25" s="59"/>
      <c r="E25" s="7">
        <v>1</v>
      </c>
      <c r="F25" s="6"/>
      <c r="G25" s="6" t="s">
        <v>43</v>
      </c>
      <c r="H25" s="39" t="s">
        <v>204</v>
      </c>
    </row>
    <row r="26" spans="1:10" x14ac:dyDescent="0.25">
      <c r="A26" s="3">
        <v>46105</v>
      </c>
      <c r="B26" s="4">
        <v>0.39374999999999999</v>
      </c>
      <c r="C26" s="7">
        <v>1145</v>
      </c>
      <c r="D26" s="6"/>
      <c r="E26" s="7">
        <v>1</v>
      </c>
      <c r="F26" s="6"/>
      <c r="G26" s="6" t="s">
        <v>43</v>
      </c>
      <c r="H26" s="39" t="s">
        <v>132</v>
      </c>
    </row>
    <row r="27" spans="1:10" x14ac:dyDescent="0.25">
      <c r="A27" s="3">
        <v>46111</v>
      </c>
      <c r="B27" s="4">
        <v>0.20833333333333334</v>
      </c>
      <c r="C27" s="44">
        <v>1090</v>
      </c>
      <c r="D27" s="7">
        <v>36</v>
      </c>
      <c r="E27" s="6"/>
      <c r="F27" s="6"/>
      <c r="G27" s="6" t="s">
        <v>122</v>
      </c>
    </row>
    <row r="28" spans="1:10" x14ac:dyDescent="0.25">
      <c r="A28" s="3">
        <v>46119</v>
      </c>
      <c r="B28" s="4"/>
      <c r="C28" s="6">
        <v>1188</v>
      </c>
      <c r="D28" s="6"/>
      <c r="E28" s="7">
        <v>22</v>
      </c>
      <c r="F28" s="6"/>
      <c r="G28" s="6" t="s">
        <v>61</v>
      </c>
      <c r="H28" t="s">
        <v>131</v>
      </c>
    </row>
    <row r="29" spans="1:10" x14ac:dyDescent="0.25">
      <c r="A29" s="3">
        <v>46120</v>
      </c>
      <c r="B29" s="4">
        <v>0.33055555555555555</v>
      </c>
      <c r="C29" s="6">
        <v>1191</v>
      </c>
      <c r="D29" s="6"/>
      <c r="E29" s="7">
        <v>36</v>
      </c>
      <c r="F29" s="6"/>
      <c r="G29" s="6" t="s">
        <v>122</v>
      </c>
      <c r="H29" s="39" t="s">
        <v>127</v>
      </c>
      <c r="I29" s="39"/>
      <c r="J29" s="39"/>
    </row>
    <row r="30" spans="1:10" x14ac:dyDescent="0.25">
      <c r="A30" s="3">
        <v>46133</v>
      </c>
      <c r="B30" s="4">
        <v>0.34444444444444444</v>
      </c>
      <c r="C30" s="44">
        <v>1477</v>
      </c>
      <c r="D30" s="44">
        <v>12</v>
      </c>
      <c r="E30" s="6"/>
      <c r="F30" s="6"/>
      <c r="G30" s="6" t="s">
        <v>144</v>
      </c>
    </row>
    <row r="31" spans="1:10" x14ac:dyDescent="0.25">
      <c r="A31" s="3">
        <v>46133</v>
      </c>
      <c r="B31" s="4">
        <v>0.45833333333333331</v>
      </c>
      <c r="C31" s="44">
        <v>1484</v>
      </c>
      <c r="D31" s="44">
        <v>8</v>
      </c>
      <c r="E31" s="6"/>
      <c r="F31" s="6"/>
      <c r="G31" s="6" t="s">
        <v>123</v>
      </c>
    </row>
    <row r="32" spans="1:10" x14ac:dyDescent="0.25">
      <c r="A32" s="3">
        <v>46133</v>
      </c>
      <c r="B32" s="4">
        <v>0.13541666666666666</v>
      </c>
      <c r="C32" s="44">
        <v>1248</v>
      </c>
      <c r="D32" s="44">
        <v>9</v>
      </c>
      <c r="E32" s="6"/>
      <c r="F32" s="6"/>
      <c r="G32" s="6" t="s">
        <v>145</v>
      </c>
    </row>
    <row r="33" spans="1:9" x14ac:dyDescent="0.25">
      <c r="A33" s="3">
        <v>46136</v>
      </c>
      <c r="B33" s="4">
        <v>0.13194444444444445</v>
      </c>
      <c r="C33" s="6">
        <v>1265</v>
      </c>
      <c r="D33" s="6"/>
      <c r="E33" s="6">
        <v>8</v>
      </c>
      <c r="F33" s="6"/>
      <c r="G33" s="6" t="s">
        <v>123</v>
      </c>
    </row>
    <row r="34" spans="1:9" x14ac:dyDescent="0.25">
      <c r="A34" s="3">
        <v>46150</v>
      </c>
      <c r="B34" s="4" t="s">
        <v>48</v>
      </c>
      <c r="C34" s="59">
        <v>1328</v>
      </c>
      <c r="D34" s="59"/>
      <c r="E34" s="7">
        <v>10</v>
      </c>
      <c r="F34" s="6"/>
      <c r="G34" s="6" t="s">
        <v>205</v>
      </c>
      <c r="H34" s="39" t="s">
        <v>152</v>
      </c>
      <c r="I34" s="39"/>
    </row>
    <row r="35" spans="1:9" x14ac:dyDescent="0.25">
      <c r="A35" s="17">
        <v>46153</v>
      </c>
      <c r="B35" s="4">
        <v>0.47569444444444442</v>
      </c>
      <c r="C35" s="59">
        <v>1354</v>
      </c>
      <c r="D35" s="59"/>
      <c r="E35" s="7">
        <v>2</v>
      </c>
      <c r="F35" s="6"/>
      <c r="G35" s="6" t="s">
        <v>153</v>
      </c>
      <c r="H35" s="39" t="s">
        <v>203</v>
      </c>
    </row>
    <row r="36" spans="1:9" x14ac:dyDescent="0.25">
      <c r="A36" s="3">
        <v>46161</v>
      </c>
      <c r="B36" s="4">
        <v>0.1875</v>
      </c>
      <c r="C36" s="44">
        <v>1335</v>
      </c>
      <c r="D36" s="6"/>
      <c r="E36" s="7">
        <v>9</v>
      </c>
      <c r="F36" s="6"/>
      <c r="G36" s="6" t="s">
        <v>145</v>
      </c>
      <c r="H36" s="39" t="s">
        <v>161</v>
      </c>
      <c r="I36" s="39"/>
    </row>
    <row r="37" spans="1:9" x14ac:dyDescent="0.25">
      <c r="A37" s="55">
        <v>46173</v>
      </c>
      <c r="B37" s="56"/>
      <c r="C37" s="56"/>
      <c r="D37" s="68">
        <f>SUM(D21:D36)</f>
        <v>90</v>
      </c>
      <c r="E37" s="69">
        <f>SUM(E24:E36)</f>
        <v>90</v>
      </c>
      <c r="F37" s="70">
        <f>SUM(D21:D33)-SUM(E21:E36)</f>
        <v>0</v>
      </c>
      <c r="G37" s="19"/>
    </row>
    <row r="39" spans="1:9" ht="15.75" x14ac:dyDescent="0.25">
      <c r="A39" s="137" t="s">
        <v>92</v>
      </c>
      <c r="B39" s="138"/>
      <c r="C39" s="138"/>
      <c r="D39" s="138"/>
      <c r="E39" s="138"/>
      <c r="F39" s="138"/>
      <c r="G39" s="139"/>
    </row>
    <row r="40" spans="1:9" ht="25.5" x14ac:dyDescent="0.25">
      <c r="A40" s="1" t="s">
        <v>1</v>
      </c>
      <c r="B40" s="2" t="s">
        <v>2</v>
      </c>
      <c r="C40" s="2" t="s">
        <v>3</v>
      </c>
      <c r="D40" s="2" t="s">
        <v>4</v>
      </c>
      <c r="E40" s="2" t="s">
        <v>5</v>
      </c>
      <c r="F40" s="2" t="s">
        <v>6</v>
      </c>
      <c r="G40" s="2" t="s">
        <v>7</v>
      </c>
    </row>
    <row r="41" spans="1:9" x14ac:dyDescent="0.25">
      <c r="A41" s="3">
        <v>46086</v>
      </c>
      <c r="B41" s="4"/>
      <c r="C41" s="53">
        <v>1038</v>
      </c>
      <c r="D41" s="46">
        <v>4</v>
      </c>
      <c r="E41" s="21"/>
      <c r="F41" s="6"/>
      <c r="G41" s="6" t="s">
        <v>88</v>
      </c>
      <c r="H41" s="39" t="s">
        <v>93</v>
      </c>
      <c r="I41" s="39"/>
    </row>
    <row r="42" spans="1:9" x14ac:dyDescent="0.25">
      <c r="A42" s="3">
        <v>46085</v>
      </c>
      <c r="B42" s="4"/>
      <c r="C42" s="51">
        <v>1034</v>
      </c>
      <c r="D42" s="46">
        <v>4</v>
      </c>
      <c r="E42" s="21"/>
      <c r="F42" s="6"/>
      <c r="G42" s="6" t="s">
        <v>94</v>
      </c>
    </row>
    <row r="43" spans="1:9" x14ac:dyDescent="0.25">
      <c r="A43" s="75">
        <v>46091</v>
      </c>
      <c r="B43" s="41" t="s">
        <v>48</v>
      </c>
      <c r="C43" s="41">
        <v>1105</v>
      </c>
      <c r="D43" s="40"/>
      <c r="E43" s="99">
        <v>8</v>
      </c>
      <c r="F43" s="40"/>
      <c r="G43" s="41" t="s">
        <v>88</v>
      </c>
      <c r="H43" t="s">
        <v>111</v>
      </c>
    </row>
    <row r="44" spans="1:9" x14ac:dyDescent="0.25">
      <c r="A44" s="3">
        <v>46195</v>
      </c>
      <c r="B44" s="4">
        <v>0.36736111111111114</v>
      </c>
      <c r="C44" s="5">
        <v>1396</v>
      </c>
      <c r="D44" s="46">
        <v>2</v>
      </c>
      <c r="E44" s="21"/>
      <c r="F44" s="6"/>
      <c r="G44" s="6" t="s">
        <v>234</v>
      </c>
    </row>
    <row r="45" spans="1:9" x14ac:dyDescent="0.25">
      <c r="A45" s="3">
        <v>46199</v>
      </c>
      <c r="B45" s="4">
        <v>0.4909722222222222</v>
      </c>
      <c r="C45" s="5">
        <v>1443</v>
      </c>
      <c r="D45" s="6"/>
      <c r="E45" s="47">
        <v>2</v>
      </c>
      <c r="F45" s="6"/>
      <c r="G45" s="6" t="s">
        <v>234</v>
      </c>
    </row>
    <row r="46" spans="1:9" ht="26.25" x14ac:dyDescent="0.25">
      <c r="A46" s="3">
        <v>46211</v>
      </c>
      <c r="B46" s="4">
        <v>0.3659722222222222</v>
      </c>
      <c r="C46" s="5">
        <v>1677</v>
      </c>
      <c r="D46" s="46">
        <v>6</v>
      </c>
      <c r="E46" s="21"/>
      <c r="F46" s="6"/>
      <c r="G46" s="6" t="s">
        <v>24</v>
      </c>
    </row>
    <row r="47" spans="1:9" x14ac:dyDescent="0.25">
      <c r="A47" s="3">
        <v>46226</v>
      </c>
      <c r="B47" s="4">
        <v>0.50763888888888886</v>
      </c>
      <c r="C47" s="5">
        <v>1692</v>
      </c>
      <c r="D47" s="7"/>
      <c r="E47" s="47">
        <v>6</v>
      </c>
      <c r="F47" s="6"/>
      <c r="G47" s="6"/>
    </row>
    <row r="48" spans="1:9" x14ac:dyDescent="0.25">
      <c r="A48" s="3">
        <v>46275</v>
      </c>
      <c r="B48" s="4">
        <v>9.583333333333334E-2</v>
      </c>
      <c r="C48" s="5">
        <v>2080</v>
      </c>
      <c r="D48" s="7">
        <v>4</v>
      </c>
      <c r="E48" s="21"/>
      <c r="F48" s="6"/>
      <c r="G48" s="6" t="s">
        <v>305</v>
      </c>
    </row>
    <row r="49" spans="1:13" x14ac:dyDescent="0.25">
      <c r="A49" s="3">
        <v>46281</v>
      </c>
      <c r="B49" s="4">
        <v>0.10416666666666667</v>
      </c>
      <c r="C49" s="5">
        <v>2125</v>
      </c>
      <c r="D49" s="7"/>
      <c r="E49" s="21">
        <v>4</v>
      </c>
      <c r="F49" s="6"/>
      <c r="G49" s="6" t="s">
        <v>305</v>
      </c>
    </row>
    <row r="50" spans="1:13" x14ac:dyDescent="0.25">
      <c r="A50" s="3">
        <v>46289</v>
      </c>
      <c r="B50" s="4" t="s">
        <v>315</v>
      </c>
      <c r="C50" s="5">
        <v>2206</v>
      </c>
      <c r="D50" s="7">
        <v>4</v>
      </c>
      <c r="E50" s="21"/>
      <c r="F50" s="6"/>
      <c r="G50" s="6" t="s">
        <v>112</v>
      </c>
    </row>
    <row r="51" spans="1:13" x14ac:dyDescent="0.25">
      <c r="A51" s="3">
        <v>46290</v>
      </c>
      <c r="B51" s="4">
        <v>8.1250000000000003E-2</v>
      </c>
      <c r="C51" s="5">
        <v>2165</v>
      </c>
      <c r="D51" s="7"/>
      <c r="E51" s="21">
        <v>1</v>
      </c>
      <c r="F51" s="6"/>
      <c r="G51" s="6" t="s">
        <v>112</v>
      </c>
    </row>
    <row r="52" spans="1:13" x14ac:dyDescent="0.25">
      <c r="A52" s="17">
        <v>46295</v>
      </c>
      <c r="B52" s="18">
        <v>0.14861111111111111</v>
      </c>
      <c r="C52" s="34">
        <v>2231</v>
      </c>
      <c r="D52" s="71"/>
      <c r="E52" s="21">
        <v>3</v>
      </c>
      <c r="F52" s="6"/>
      <c r="G52" s="6" t="s">
        <v>112</v>
      </c>
      <c r="H52" s="135" t="s">
        <v>319</v>
      </c>
      <c r="I52" s="135"/>
    </row>
    <row r="53" spans="1:13" x14ac:dyDescent="0.25">
      <c r="A53" s="55" t="s">
        <v>8</v>
      </c>
      <c r="B53" s="56"/>
      <c r="C53" s="56"/>
      <c r="D53" s="68">
        <f>SUM(D41:D48)</f>
        <v>20</v>
      </c>
      <c r="E53" s="69">
        <f>SUM(E43:E49)</f>
        <v>20</v>
      </c>
      <c r="F53" s="70">
        <f>SUM(D41:D51)-SUM(E41:E52)</f>
        <v>0</v>
      </c>
      <c r="G53" s="9"/>
    </row>
    <row r="55" spans="1:13" ht="15.75" x14ac:dyDescent="0.25">
      <c r="A55" s="137" t="s">
        <v>33</v>
      </c>
      <c r="B55" s="138"/>
      <c r="C55" s="138"/>
      <c r="D55" s="138"/>
      <c r="E55" s="138"/>
      <c r="F55" s="138"/>
      <c r="G55" s="139"/>
      <c r="M55" s="42"/>
    </row>
    <row r="56" spans="1:13" ht="25.5" x14ac:dyDescent="0.25">
      <c r="A56" s="1" t="s">
        <v>1</v>
      </c>
      <c r="B56" s="2" t="s">
        <v>2</v>
      </c>
      <c r="C56" s="2" t="s">
        <v>3</v>
      </c>
      <c r="D56" s="2" t="s">
        <v>4</v>
      </c>
      <c r="E56" s="2" t="s">
        <v>5</v>
      </c>
      <c r="F56" s="2" t="s">
        <v>6</v>
      </c>
      <c r="G56" s="2" t="s">
        <v>7</v>
      </c>
      <c r="M56" t="s">
        <v>105</v>
      </c>
    </row>
    <row r="57" spans="1:13" x14ac:dyDescent="0.25">
      <c r="A57" s="3">
        <v>46086</v>
      </c>
      <c r="B57" s="37">
        <v>0.16597222222222222</v>
      </c>
      <c r="C57" s="54">
        <v>948</v>
      </c>
      <c r="D57" s="7">
        <v>48</v>
      </c>
      <c r="E57" s="21"/>
      <c r="F57" s="6"/>
      <c r="G57" s="6" t="s">
        <v>96</v>
      </c>
    </row>
    <row r="58" spans="1:13" x14ac:dyDescent="0.25">
      <c r="A58" s="3">
        <v>46092</v>
      </c>
      <c r="B58" s="37">
        <v>0.11597222222222223</v>
      </c>
      <c r="C58" s="52">
        <v>1117</v>
      </c>
      <c r="D58" s="7">
        <v>14</v>
      </c>
      <c r="E58" s="21"/>
      <c r="F58" s="6"/>
      <c r="G58" s="6" t="s">
        <v>107</v>
      </c>
    </row>
    <row r="59" spans="1:13" x14ac:dyDescent="0.25">
      <c r="A59" s="3">
        <v>46091</v>
      </c>
      <c r="B59" s="37">
        <v>7.0833333333333331E-2</v>
      </c>
      <c r="C59" s="60">
        <v>1105</v>
      </c>
      <c r="D59" s="6"/>
      <c r="E59" s="61">
        <v>48</v>
      </c>
      <c r="F59" s="6"/>
      <c r="G59" s="6" t="s">
        <v>96</v>
      </c>
      <c r="H59" t="s">
        <v>109</v>
      </c>
    </row>
    <row r="60" spans="1:13" x14ac:dyDescent="0.25">
      <c r="A60" s="3">
        <v>46091</v>
      </c>
      <c r="B60" s="37" t="s">
        <v>232</v>
      </c>
      <c r="C60" s="60">
        <v>1106</v>
      </c>
      <c r="D60" s="6"/>
      <c r="E60" s="61">
        <v>4</v>
      </c>
      <c r="F60" s="6"/>
      <c r="G60" s="6" t="s">
        <v>233</v>
      </c>
    </row>
    <row r="61" spans="1:13" x14ac:dyDescent="0.25">
      <c r="A61" s="3">
        <v>46097</v>
      </c>
      <c r="B61" s="37">
        <v>0.15763888888888888</v>
      </c>
      <c r="C61" s="60">
        <v>1124</v>
      </c>
      <c r="D61" s="6"/>
      <c r="E61" s="47">
        <v>14</v>
      </c>
      <c r="F61" s="6"/>
      <c r="G61" s="6" t="s">
        <v>112</v>
      </c>
    </row>
    <row r="62" spans="1:13" x14ac:dyDescent="0.25">
      <c r="A62" s="3">
        <v>46130</v>
      </c>
      <c r="B62" s="37">
        <v>0.44444444444444442</v>
      </c>
      <c r="C62" s="44">
        <v>1239</v>
      </c>
      <c r="D62" s="71">
        <v>23</v>
      </c>
      <c r="E62" s="21"/>
      <c r="F62" s="6"/>
      <c r="G62" s="6" t="s">
        <v>143</v>
      </c>
      <c r="H62" t="s">
        <v>142</v>
      </c>
    </row>
    <row r="63" spans="1:13" x14ac:dyDescent="0.25">
      <c r="A63" s="3">
        <v>46133</v>
      </c>
      <c r="B63" s="37">
        <v>0.34027777777777779</v>
      </c>
      <c r="C63" s="59">
        <v>1478</v>
      </c>
      <c r="D63" s="6"/>
      <c r="E63" s="76">
        <v>1</v>
      </c>
      <c r="F63" s="6"/>
      <c r="G63" s="6" t="s">
        <v>60</v>
      </c>
    </row>
    <row r="64" spans="1:13" x14ac:dyDescent="0.25">
      <c r="A64" s="3">
        <v>46146</v>
      </c>
      <c r="B64" s="37" t="s">
        <v>79</v>
      </c>
      <c r="C64" s="61">
        <v>1285</v>
      </c>
      <c r="D64" s="21"/>
      <c r="E64" s="61">
        <v>16</v>
      </c>
      <c r="F64" s="6"/>
      <c r="G64" s="6" t="s">
        <v>149</v>
      </c>
      <c r="H64" t="s">
        <v>202</v>
      </c>
    </row>
    <row r="65" spans="1:9" x14ac:dyDescent="0.25">
      <c r="A65" s="3">
        <v>46171</v>
      </c>
      <c r="B65" s="37" t="s">
        <v>79</v>
      </c>
      <c r="C65" s="36">
        <v>1527</v>
      </c>
      <c r="D65" s="21"/>
      <c r="E65" s="50">
        <v>2</v>
      </c>
      <c r="F65" s="6"/>
      <c r="G65" s="6" t="s">
        <v>178</v>
      </c>
      <c r="H65" t="s">
        <v>179</v>
      </c>
    </row>
    <row r="66" spans="1:9" ht="15" customHeight="1" x14ac:dyDescent="0.25">
      <c r="A66" s="3">
        <v>46171</v>
      </c>
      <c r="B66" s="37" t="s">
        <v>79</v>
      </c>
      <c r="C66" s="50">
        <v>1526</v>
      </c>
      <c r="D66" s="50">
        <v>11</v>
      </c>
      <c r="E66" s="21"/>
      <c r="F66" s="6"/>
      <c r="G66" s="6" t="s">
        <v>180</v>
      </c>
    </row>
    <row r="67" spans="1:9" ht="15" customHeight="1" x14ac:dyDescent="0.25">
      <c r="A67" s="3" t="s">
        <v>191</v>
      </c>
      <c r="B67" s="37">
        <v>8.2638888888888887E-2</v>
      </c>
      <c r="C67" s="59">
        <v>1581</v>
      </c>
      <c r="D67" s="6"/>
      <c r="E67" s="50">
        <v>5</v>
      </c>
      <c r="F67" s="6"/>
      <c r="G67" s="6" t="s">
        <v>180</v>
      </c>
    </row>
    <row r="68" spans="1:9" ht="15" customHeight="1" x14ac:dyDescent="0.25">
      <c r="A68" s="3">
        <v>46190</v>
      </c>
      <c r="B68" s="37">
        <v>0.17222222222222222</v>
      </c>
      <c r="C68" s="59">
        <v>1618</v>
      </c>
      <c r="D68" s="6"/>
      <c r="E68" s="50">
        <v>6</v>
      </c>
      <c r="F68" s="6"/>
      <c r="G68" s="6" t="s">
        <v>180</v>
      </c>
    </row>
    <row r="69" spans="1:9" ht="15" customHeight="1" x14ac:dyDescent="0.25">
      <c r="A69" s="3">
        <v>46225</v>
      </c>
      <c r="B69" s="4">
        <v>0.43541666666666667</v>
      </c>
      <c r="C69" s="59">
        <v>1811</v>
      </c>
      <c r="D69" s="21">
        <v>2</v>
      </c>
      <c r="E69" s="31"/>
      <c r="F69" s="6"/>
      <c r="G69" s="6" t="s">
        <v>261</v>
      </c>
    </row>
    <row r="70" spans="1:9" ht="15" customHeight="1" x14ac:dyDescent="0.25">
      <c r="A70" s="3">
        <v>46233</v>
      </c>
      <c r="B70" s="4">
        <v>6.9444444444444448E-2</v>
      </c>
      <c r="C70" s="59">
        <v>1787</v>
      </c>
      <c r="D70" s="21"/>
      <c r="E70" s="31">
        <v>2</v>
      </c>
      <c r="F70" s="6"/>
      <c r="G70" s="6" t="s">
        <v>261</v>
      </c>
    </row>
    <row r="71" spans="1:9" ht="15" customHeight="1" x14ac:dyDescent="0.25">
      <c r="A71" s="3">
        <v>46247</v>
      </c>
      <c r="B71" s="4">
        <v>0.16666666666666666</v>
      </c>
      <c r="C71" s="59">
        <v>1899</v>
      </c>
      <c r="D71" s="21">
        <v>13</v>
      </c>
      <c r="E71" s="31"/>
      <c r="F71" s="6"/>
      <c r="G71" s="6" t="s">
        <v>273</v>
      </c>
    </row>
    <row r="72" spans="1:9" ht="15" customHeight="1" x14ac:dyDescent="0.25">
      <c r="A72" s="17">
        <v>46252</v>
      </c>
      <c r="B72" s="18" t="s">
        <v>282</v>
      </c>
      <c r="C72" s="60">
        <v>1931</v>
      </c>
      <c r="D72" s="30"/>
      <c r="E72" s="31">
        <v>13</v>
      </c>
      <c r="F72" s="6"/>
      <c r="G72" s="6" t="s">
        <v>273</v>
      </c>
    </row>
    <row r="73" spans="1:9" x14ac:dyDescent="0.25">
      <c r="A73" s="140"/>
      <c r="B73" s="141"/>
      <c r="C73" s="141"/>
      <c r="D73" s="68">
        <f>SUM(D57:D72)</f>
        <v>111</v>
      </c>
      <c r="E73" s="69">
        <f>SUM(E57:E72)</f>
        <v>111</v>
      </c>
      <c r="F73" s="70">
        <f>D73-E73</f>
        <v>0</v>
      </c>
      <c r="G73" s="9"/>
    </row>
    <row r="74" spans="1:9" x14ac:dyDescent="0.25">
      <c r="I74" t="s">
        <v>231</v>
      </c>
    </row>
    <row r="75" spans="1:9" ht="15.75" x14ac:dyDescent="0.25">
      <c r="A75" s="137" t="s">
        <v>124</v>
      </c>
      <c r="B75" s="138"/>
      <c r="C75" s="138"/>
      <c r="D75" s="138"/>
      <c r="E75" s="138"/>
      <c r="F75" s="138"/>
      <c r="G75" s="139"/>
    </row>
    <row r="76" spans="1:9" ht="25.5" x14ac:dyDescent="0.25">
      <c r="A76" s="1" t="s">
        <v>1</v>
      </c>
      <c r="B76" s="2" t="s">
        <v>2</v>
      </c>
      <c r="C76" s="2" t="s">
        <v>3</v>
      </c>
      <c r="D76" s="2" t="s">
        <v>4</v>
      </c>
      <c r="E76" s="2" t="s">
        <v>5</v>
      </c>
      <c r="F76" s="2" t="s">
        <v>6</v>
      </c>
      <c r="G76" s="2" t="s">
        <v>7</v>
      </c>
    </row>
    <row r="77" spans="1:9" x14ac:dyDescent="0.25">
      <c r="A77" s="3">
        <v>46120</v>
      </c>
      <c r="B77" s="4">
        <v>0.37777777777777777</v>
      </c>
      <c r="C77" s="45">
        <v>1099</v>
      </c>
      <c r="D77" s="44">
        <v>1</v>
      </c>
      <c r="E77" s="6"/>
      <c r="F77" s="6"/>
      <c r="G77" s="6" t="s">
        <v>125</v>
      </c>
    </row>
    <row r="78" spans="1:9" x14ac:dyDescent="0.25">
      <c r="A78" s="3">
        <v>46163</v>
      </c>
      <c r="B78" s="4"/>
      <c r="C78" s="44">
        <v>1339</v>
      </c>
      <c r="D78" s="44">
        <v>4</v>
      </c>
      <c r="E78" s="6"/>
      <c r="F78" s="6"/>
      <c r="G78" s="6" t="s">
        <v>129</v>
      </c>
    </row>
    <row r="79" spans="1:9" x14ac:dyDescent="0.25">
      <c r="A79" s="3" t="s">
        <v>230</v>
      </c>
      <c r="B79" s="4">
        <v>0.43541666666666667</v>
      </c>
      <c r="C79" s="44">
        <v>1281</v>
      </c>
      <c r="D79" s="44"/>
      <c r="E79" s="44">
        <v>1</v>
      </c>
      <c r="F79" s="6"/>
      <c r="G79" s="6" t="s">
        <v>129</v>
      </c>
    </row>
    <row r="80" spans="1:9" x14ac:dyDescent="0.25">
      <c r="A80" s="3">
        <v>46174</v>
      </c>
      <c r="B80" s="4" t="s">
        <v>87</v>
      </c>
      <c r="C80" s="6">
        <v>1383</v>
      </c>
      <c r="D80" s="6"/>
      <c r="E80" s="44">
        <v>4</v>
      </c>
      <c r="F80" s="6"/>
      <c r="G80" s="6" t="s">
        <v>129</v>
      </c>
    </row>
    <row r="81" spans="1:10" x14ac:dyDescent="0.25">
      <c r="A81" s="3"/>
      <c r="B81" s="4"/>
      <c r="C81" s="5"/>
      <c r="D81" s="6"/>
      <c r="E81" s="6"/>
      <c r="F81" s="6"/>
      <c r="G81" s="6"/>
    </row>
    <row r="82" spans="1:10" x14ac:dyDescent="0.25">
      <c r="A82" s="3"/>
      <c r="B82" s="4"/>
      <c r="C82" s="6"/>
      <c r="D82" s="6"/>
      <c r="E82" s="6"/>
      <c r="F82" s="6"/>
      <c r="G82" s="6"/>
    </row>
    <row r="83" spans="1:10" x14ac:dyDescent="0.25">
      <c r="A83" s="3"/>
      <c r="B83" s="4"/>
      <c r="C83" s="6"/>
      <c r="D83" s="6"/>
      <c r="E83" s="6"/>
      <c r="F83" s="6"/>
      <c r="G83" s="6"/>
    </row>
    <row r="84" spans="1:10" x14ac:dyDescent="0.25">
      <c r="A84" s="140" t="s">
        <v>8</v>
      </c>
      <c r="B84" s="141"/>
      <c r="C84" s="141"/>
      <c r="D84" s="141"/>
      <c r="E84" s="142"/>
      <c r="F84" s="8">
        <f>SUM(D77:D82) - SUM(E77:E84)</f>
        <v>0</v>
      </c>
      <c r="G84" s="9"/>
    </row>
    <row r="86" spans="1:10" ht="15.75" x14ac:dyDescent="0.25">
      <c r="A86" s="137" t="s">
        <v>18</v>
      </c>
      <c r="B86" s="138"/>
      <c r="C86" s="138"/>
      <c r="D86" s="138"/>
      <c r="E86" s="138"/>
      <c r="F86" s="138"/>
      <c r="G86" s="139"/>
    </row>
    <row r="87" spans="1:10" ht="25.5" x14ac:dyDescent="0.25">
      <c r="A87" s="1" t="s">
        <v>1</v>
      </c>
      <c r="B87" s="2" t="s">
        <v>2</v>
      </c>
      <c r="C87" s="2" t="s">
        <v>3</v>
      </c>
      <c r="D87" s="2" t="s">
        <v>4</v>
      </c>
      <c r="E87" s="2" t="s">
        <v>5</v>
      </c>
      <c r="F87" s="2" t="s">
        <v>6</v>
      </c>
      <c r="G87" s="2" t="s">
        <v>7</v>
      </c>
    </row>
    <row r="88" spans="1:10" ht="19.5" customHeight="1" x14ac:dyDescent="0.25">
      <c r="A88" s="3">
        <v>46041</v>
      </c>
      <c r="B88" s="4">
        <v>0.17499999999999999</v>
      </c>
      <c r="C88" s="45">
        <v>963</v>
      </c>
      <c r="D88" s="7">
        <v>3</v>
      </c>
      <c r="E88" s="6"/>
      <c r="F88" s="6"/>
      <c r="G88" s="6"/>
    </row>
    <row r="89" spans="1:10" ht="21.75" customHeight="1" x14ac:dyDescent="0.25">
      <c r="A89" s="3">
        <v>46078</v>
      </c>
      <c r="B89" s="4">
        <v>0.375</v>
      </c>
      <c r="C89" s="6">
        <v>939</v>
      </c>
      <c r="D89" s="6"/>
      <c r="E89" s="7">
        <v>3</v>
      </c>
      <c r="F89" s="6"/>
      <c r="G89" s="6"/>
      <c r="H89" t="s">
        <v>80</v>
      </c>
    </row>
    <row r="90" spans="1:10" x14ac:dyDescent="0.25">
      <c r="A90" s="3">
        <v>46085</v>
      </c>
      <c r="B90" s="4">
        <v>0.33680555555555558</v>
      </c>
      <c r="C90" s="51">
        <v>1034</v>
      </c>
      <c r="D90" s="7">
        <v>4</v>
      </c>
      <c r="E90" s="6"/>
      <c r="F90" s="15"/>
      <c r="G90" s="6"/>
    </row>
    <row r="91" spans="1:10" x14ac:dyDescent="0.25">
      <c r="A91" s="3">
        <v>46091</v>
      </c>
      <c r="B91" s="4">
        <v>7.0833333333333331E-2</v>
      </c>
      <c r="C91" s="6">
        <v>1105</v>
      </c>
      <c r="D91" s="6"/>
      <c r="E91" s="7">
        <v>4</v>
      </c>
      <c r="F91" s="15"/>
      <c r="G91" s="6"/>
    </row>
    <row r="92" spans="1:10" x14ac:dyDescent="0.25">
      <c r="A92" s="3">
        <v>46169</v>
      </c>
      <c r="B92" s="4">
        <v>0.3659722222222222</v>
      </c>
      <c r="C92" s="98">
        <v>1523</v>
      </c>
      <c r="D92" s="7">
        <v>7</v>
      </c>
      <c r="E92" s="7"/>
      <c r="F92" s="15"/>
      <c r="G92" s="6"/>
    </row>
    <row r="93" spans="1:10" x14ac:dyDescent="0.25">
      <c r="A93" s="17">
        <v>46175</v>
      </c>
      <c r="B93" s="4" t="s">
        <v>79</v>
      </c>
      <c r="C93" s="44">
        <v>1553</v>
      </c>
      <c r="D93" s="5"/>
      <c r="E93" s="7">
        <v>7</v>
      </c>
      <c r="F93" s="15"/>
      <c r="G93" s="6"/>
      <c r="H93" t="s">
        <v>181</v>
      </c>
    </row>
    <row r="94" spans="1:10" x14ac:dyDescent="0.25">
      <c r="A94" s="17">
        <v>46192</v>
      </c>
      <c r="B94" s="4">
        <v>0.34583333333333333</v>
      </c>
      <c r="C94" s="98">
        <v>1389</v>
      </c>
      <c r="D94" s="7">
        <v>7</v>
      </c>
      <c r="E94" s="7"/>
      <c r="F94" s="15"/>
      <c r="G94" s="6"/>
    </row>
    <row r="95" spans="1:10" x14ac:dyDescent="0.25">
      <c r="A95" s="3">
        <v>46198</v>
      </c>
      <c r="B95" s="4">
        <v>0.16666666666666666</v>
      </c>
      <c r="C95" s="6">
        <v>1349</v>
      </c>
      <c r="D95" s="6"/>
      <c r="E95" s="7">
        <v>5</v>
      </c>
      <c r="F95" s="15"/>
      <c r="G95" s="6"/>
    </row>
    <row r="96" spans="1:10" x14ac:dyDescent="0.25">
      <c r="A96" s="3">
        <v>46202</v>
      </c>
      <c r="B96" s="4">
        <v>0.19166666666666668</v>
      </c>
      <c r="C96" s="6">
        <v>1662</v>
      </c>
      <c r="D96" s="6"/>
      <c r="E96" s="31">
        <v>2</v>
      </c>
      <c r="F96" s="15"/>
      <c r="G96" s="6"/>
      <c r="H96" t="s">
        <v>258</v>
      </c>
      <c r="J96" t="s">
        <v>259</v>
      </c>
    </row>
    <row r="97" spans="1:7" x14ac:dyDescent="0.25">
      <c r="A97" s="17">
        <v>46217</v>
      </c>
      <c r="B97" s="4">
        <v>0.41666666666666669</v>
      </c>
      <c r="C97" s="6">
        <v>1687</v>
      </c>
      <c r="D97" s="7">
        <v>2</v>
      </c>
      <c r="E97" s="21"/>
      <c r="F97" s="15"/>
      <c r="G97" s="6"/>
    </row>
    <row r="98" spans="1:7" x14ac:dyDescent="0.25">
      <c r="A98" s="3">
        <v>46221</v>
      </c>
      <c r="B98" s="4">
        <v>0.41666666666666669</v>
      </c>
      <c r="C98" s="6">
        <v>1768</v>
      </c>
      <c r="D98" s="6"/>
      <c r="E98" s="31">
        <v>2</v>
      </c>
      <c r="F98" s="15"/>
      <c r="G98" s="6"/>
    </row>
    <row r="99" spans="1:7" x14ac:dyDescent="0.25">
      <c r="A99" s="3">
        <v>46231</v>
      </c>
      <c r="B99" s="37">
        <v>0.16666666666666666</v>
      </c>
      <c r="C99" s="6">
        <v>1861</v>
      </c>
      <c r="D99" s="7">
        <v>1</v>
      </c>
      <c r="E99" s="21"/>
      <c r="F99" s="15"/>
      <c r="G99" s="6"/>
    </row>
    <row r="100" spans="1:7" x14ac:dyDescent="0.25">
      <c r="A100" s="3">
        <v>46234</v>
      </c>
      <c r="B100" s="37" t="s">
        <v>282</v>
      </c>
      <c r="C100" s="6">
        <v>1825</v>
      </c>
      <c r="D100" s="6"/>
      <c r="E100" s="31">
        <v>1</v>
      </c>
      <c r="F100" s="15"/>
      <c r="G100" s="6"/>
    </row>
    <row r="101" spans="1:7" x14ac:dyDescent="0.25">
      <c r="A101" s="3">
        <v>46244</v>
      </c>
      <c r="B101" s="37">
        <v>0.3611111111111111</v>
      </c>
      <c r="C101" s="6">
        <v>1888</v>
      </c>
      <c r="D101" s="7">
        <v>13</v>
      </c>
      <c r="E101" s="21"/>
      <c r="F101" s="15"/>
      <c r="G101" s="6"/>
    </row>
    <row r="102" spans="1:7" x14ac:dyDescent="0.25">
      <c r="A102" s="3">
        <v>46249</v>
      </c>
      <c r="B102" s="37">
        <v>0.40763888888888888</v>
      </c>
      <c r="C102" s="6">
        <v>1799</v>
      </c>
      <c r="D102" s="6"/>
      <c r="E102" s="31">
        <v>12</v>
      </c>
      <c r="F102" s="15"/>
      <c r="G102" s="6"/>
    </row>
    <row r="103" spans="1:7" x14ac:dyDescent="0.25">
      <c r="A103" s="3">
        <v>46249</v>
      </c>
      <c r="B103" s="37" t="s">
        <v>308</v>
      </c>
      <c r="C103" s="6">
        <v>1933</v>
      </c>
      <c r="D103" s="6"/>
      <c r="E103" s="115">
        <v>1</v>
      </c>
      <c r="F103" s="15"/>
      <c r="G103" s="6"/>
    </row>
    <row r="104" spans="1:7" x14ac:dyDescent="0.25">
      <c r="A104" s="3">
        <v>46275</v>
      </c>
      <c r="B104" s="37">
        <v>9.583333333333334E-2</v>
      </c>
      <c r="C104" s="6">
        <v>2080</v>
      </c>
      <c r="D104" s="7">
        <v>12</v>
      </c>
      <c r="E104" s="21"/>
      <c r="F104" s="15"/>
      <c r="G104" s="6"/>
    </row>
    <row r="105" spans="1:7" x14ac:dyDescent="0.25">
      <c r="A105" s="17">
        <v>46281</v>
      </c>
      <c r="B105" s="18">
        <v>0.10416666666666667</v>
      </c>
      <c r="C105" s="30">
        <v>2125</v>
      </c>
      <c r="D105" s="30"/>
      <c r="E105" s="31">
        <v>12</v>
      </c>
      <c r="F105" s="15"/>
      <c r="G105" s="6"/>
    </row>
    <row r="106" spans="1:7" x14ac:dyDescent="0.25">
      <c r="A106" s="150"/>
      <c r="B106" s="151"/>
      <c r="C106" s="151"/>
      <c r="D106" s="100">
        <f>SUM(D88:D104)</f>
        <v>49</v>
      </c>
      <c r="E106" s="125">
        <f>SUM(E89:E105)</f>
        <v>49</v>
      </c>
      <c r="F106" s="8">
        <f>D106-E106</f>
        <v>0</v>
      </c>
      <c r="G106" s="9"/>
    </row>
    <row r="110" spans="1:7" ht="15.75" x14ac:dyDescent="0.25">
      <c r="A110" s="137" t="s">
        <v>35</v>
      </c>
      <c r="B110" s="138"/>
      <c r="C110" s="138"/>
      <c r="D110" s="138"/>
      <c r="E110" s="138"/>
      <c r="F110" s="138"/>
      <c r="G110" s="139"/>
    </row>
    <row r="112" spans="1:7" ht="25.5" x14ac:dyDescent="0.25">
      <c r="A112" s="1" t="s">
        <v>1</v>
      </c>
      <c r="B112" s="2" t="s">
        <v>2</v>
      </c>
      <c r="C112" s="2" t="s">
        <v>3</v>
      </c>
      <c r="D112" s="2" t="s">
        <v>4</v>
      </c>
      <c r="E112" s="2" t="s">
        <v>5</v>
      </c>
      <c r="F112" s="2" t="s">
        <v>6</v>
      </c>
      <c r="G112" s="2" t="s">
        <v>7</v>
      </c>
    </row>
    <row r="113" spans="1:8" x14ac:dyDescent="0.25">
      <c r="A113" s="3">
        <v>46167</v>
      </c>
      <c r="B113" s="4">
        <v>0.36805555555555558</v>
      </c>
      <c r="C113" s="45">
        <v>1377</v>
      </c>
      <c r="D113" s="7">
        <v>53</v>
      </c>
      <c r="E113" s="6"/>
      <c r="F113" s="6"/>
      <c r="G113" s="6" t="s">
        <v>171</v>
      </c>
    </row>
    <row r="114" spans="1:8" x14ac:dyDescent="0.25">
      <c r="A114" s="3">
        <v>46184</v>
      </c>
      <c r="B114" s="4">
        <v>0.17083333333333334</v>
      </c>
      <c r="C114" s="44">
        <v>1586</v>
      </c>
      <c r="D114" s="44"/>
      <c r="E114" s="44">
        <v>13</v>
      </c>
      <c r="F114" s="6"/>
      <c r="G114" s="6" t="s">
        <v>171</v>
      </c>
    </row>
    <row r="115" spans="1:8" x14ac:dyDescent="0.25">
      <c r="A115" s="3">
        <v>46185</v>
      </c>
      <c r="B115" s="4">
        <v>0.49236111111111114</v>
      </c>
      <c r="C115" s="44">
        <v>1587</v>
      </c>
      <c r="D115" s="44"/>
      <c r="E115" s="44">
        <v>40</v>
      </c>
      <c r="F115" s="15"/>
      <c r="G115" s="6" t="s">
        <v>171</v>
      </c>
    </row>
    <row r="116" spans="1:8" ht="26.25" x14ac:dyDescent="0.25">
      <c r="A116" s="3">
        <v>46240</v>
      </c>
      <c r="B116" s="4">
        <v>5.347222222222222E-2</v>
      </c>
      <c r="C116" s="5">
        <v>1790</v>
      </c>
      <c r="D116" s="46">
        <v>15</v>
      </c>
      <c r="E116" s="6"/>
      <c r="F116" s="15"/>
      <c r="G116" s="6" t="s">
        <v>270</v>
      </c>
    </row>
    <row r="117" spans="1:8" x14ac:dyDescent="0.25">
      <c r="A117" s="3">
        <v>46244</v>
      </c>
      <c r="B117" s="4">
        <v>0.14166666666666666</v>
      </c>
      <c r="C117" s="5">
        <v>1913</v>
      </c>
      <c r="D117" s="46">
        <v>84</v>
      </c>
      <c r="E117" s="6"/>
      <c r="F117" s="15"/>
      <c r="G117" s="6" t="s">
        <v>13</v>
      </c>
    </row>
    <row r="118" spans="1:8" x14ac:dyDescent="0.25">
      <c r="A118" s="3">
        <v>46246</v>
      </c>
      <c r="B118" s="4">
        <v>0.4861111111111111</v>
      </c>
      <c r="C118" s="5">
        <v>1834</v>
      </c>
      <c r="D118" s="46">
        <v>2</v>
      </c>
      <c r="E118" s="6"/>
      <c r="F118" s="15"/>
      <c r="G118" s="6" t="s">
        <v>112</v>
      </c>
    </row>
    <row r="119" spans="1:8" ht="26.25" x14ac:dyDescent="0.25">
      <c r="A119" s="3">
        <v>46246</v>
      </c>
      <c r="B119" s="4">
        <v>0.19097222222222221</v>
      </c>
      <c r="C119" s="5">
        <v>1793</v>
      </c>
      <c r="D119" s="6">
        <v>129</v>
      </c>
      <c r="E119" s="21"/>
      <c r="F119" s="15"/>
      <c r="G119" s="6" t="s">
        <v>285</v>
      </c>
    </row>
    <row r="120" spans="1:8" x14ac:dyDescent="0.25">
      <c r="A120" s="3">
        <v>46248</v>
      </c>
      <c r="B120" s="4">
        <v>6.9444444444444448E-2</v>
      </c>
      <c r="C120" s="5">
        <v>1796</v>
      </c>
      <c r="D120" s="6"/>
      <c r="E120" s="21">
        <v>3</v>
      </c>
      <c r="F120" s="15"/>
      <c r="G120" s="6" t="s">
        <v>13</v>
      </c>
      <c r="H120" t="s">
        <v>277</v>
      </c>
    </row>
    <row r="121" spans="1:8" x14ac:dyDescent="0.25">
      <c r="A121" s="3">
        <v>46255</v>
      </c>
      <c r="B121" s="4">
        <v>0.46736111111111112</v>
      </c>
      <c r="C121" s="5">
        <v>1934</v>
      </c>
      <c r="D121" s="6"/>
      <c r="E121" s="21">
        <v>2</v>
      </c>
      <c r="F121" s="15"/>
      <c r="G121" s="6" t="s">
        <v>164</v>
      </c>
    </row>
    <row r="122" spans="1:8" ht="26.25" x14ac:dyDescent="0.25">
      <c r="A122" s="3">
        <v>46266</v>
      </c>
      <c r="B122" s="4">
        <v>0.46736111111111112</v>
      </c>
      <c r="C122" s="5">
        <v>2033</v>
      </c>
      <c r="D122" s="6"/>
      <c r="E122" s="21">
        <v>129</v>
      </c>
      <c r="F122" s="15"/>
      <c r="G122" s="6" t="s">
        <v>285</v>
      </c>
    </row>
    <row r="123" spans="1:8" ht="26.25" x14ac:dyDescent="0.25">
      <c r="A123" s="3">
        <v>46267</v>
      </c>
      <c r="B123" s="4">
        <v>0.12291666666666666</v>
      </c>
      <c r="C123" s="5">
        <v>1699</v>
      </c>
      <c r="D123" s="6"/>
      <c r="E123" s="21">
        <v>15</v>
      </c>
      <c r="F123" s="15"/>
      <c r="G123" s="6" t="s">
        <v>296</v>
      </c>
      <c r="H123" t="s">
        <v>298</v>
      </c>
    </row>
    <row r="124" spans="1:8" x14ac:dyDescent="0.25">
      <c r="A124" s="3">
        <v>46296</v>
      </c>
      <c r="B124" s="4">
        <v>0.47499999999999998</v>
      </c>
      <c r="C124" s="5">
        <v>2234</v>
      </c>
      <c r="D124" s="6"/>
      <c r="E124" s="21">
        <v>51</v>
      </c>
      <c r="F124" s="15"/>
      <c r="G124" s="6" t="s">
        <v>324</v>
      </c>
    </row>
    <row r="125" spans="1:8" x14ac:dyDescent="0.25">
      <c r="A125" s="3">
        <v>46267</v>
      </c>
      <c r="B125" s="4">
        <v>0.34930555555555554</v>
      </c>
      <c r="C125" s="5">
        <v>2236</v>
      </c>
      <c r="D125" s="6"/>
      <c r="E125" s="21">
        <v>30</v>
      </c>
      <c r="F125" s="15"/>
      <c r="G125" s="6" t="s">
        <v>324</v>
      </c>
      <c r="H125" t="s">
        <v>327</v>
      </c>
    </row>
    <row r="126" spans="1:8" x14ac:dyDescent="0.25">
      <c r="A126" s="140" t="s">
        <v>8</v>
      </c>
      <c r="B126" s="141"/>
      <c r="C126" s="141"/>
      <c r="D126" s="68">
        <f>SUM(D113:D123)</f>
        <v>283</v>
      </c>
      <c r="E126" s="69">
        <f>SUM(E113:E125)</f>
        <v>283</v>
      </c>
      <c r="F126" s="70">
        <f>D126-E126</f>
        <v>0</v>
      </c>
      <c r="G126" s="9"/>
    </row>
    <row r="127" spans="1:8" x14ac:dyDescent="0.25">
      <c r="D127" s="114"/>
      <c r="E127" s="114"/>
    </row>
    <row r="128" spans="1:8" ht="15.75" x14ac:dyDescent="0.25">
      <c r="A128" s="137" t="s">
        <v>36</v>
      </c>
      <c r="B128" s="138"/>
      <c r="C128" s="138"/>
      <c r="D128" s="138"/>
      <c r="E128" s="138"/>
      <c r="F128" s="138"/>
      <c r="G128" s="139"/>
    </row>
    <row r="129" spans="1:8" ht="25.5" x14ac:dyDescent="0.25">
      <c r="A129" s="1" t="s">
        <v>1</v>
      </c>
      <c r="B129" s="2" t="s">
        <v>2</v>
      </c>
      <c r="C129" s="2" t="s">
        <v>3</v>
      </c>
      <c r="D129" s="2" t="s">
        <v>4</v>
      </c>
      <c r="E129" s="2" t="s">
        <v>5</v>
      </c>
      <c r="F129" s="2" t="s">
        <v>6</v>
      </c>
      <c r="G129" s="2" t="s">
        <v>7</v>
      </c>
    </row>
    <row r="130" spans="1:8" x14ac:dyDescent="0.25">
      <c r="A130" s="3">
        <v>46022</v>
      </c>
      <c r="B130" s="4" t="s">
        <v>28</v>
      </c>
      <c r="C130" s="29">
        <v>5</v>
      </c>
      <c r="D130" s="6"/>
      <c r="E130" s="6"/>
      <c r="F130" s="6">
        <v>4</v>
      </c>
      <c r="G130" s="6"/>
    </row>
    <row r="131" spans="1:8" x14ac:dyDescent="0.25">
      <c r="A131" s="3">
        <v>46037</v>
      </c>
      <c r="B131" s="4"/>
      <c r="C131" s="28"/>
      <c r="D131" s="6"/>
      <c r="E131" s="6">
        <v>1</v>
      </c>
      <c r="F131" s="6">
        <v>3</v>
      </c>
      <c r="G131" s="6"/>
    </row>
    <row r="132" spans="1:8" x14ac:dyDescent="0.25">
      <c r="A132" s="3">
        <v>46045</v>
      </c>
      <c r="B132" s="4"/>
      <c r="C132" s="59">
        <v>827</v>
      </c>
      <c r="D132" s="59"/>
      <c r="E132" s="59">
        <v>3</v>
      </c>
      <c r="F132" s="6"/>
      <c r="G132" s="33" t="s">
        <v>60</v>
      </c>
      <c r="H132" t="s">
        <v>40</v>
      </c>
    </row>
    <row r="133" spans="1:8" x14ac:dyDescent="0.25">
      <c r="A133" s="3"/>
      <c r="B133" s="4"/>
      <c r="C133" s="7"/>
      <c r="D133" s="6"/>
      <c r="E133" s="6"/>
      <c r="F133" s="6"/>
      <c r="G133" s="6"/>
    </row>
    <row r="134" spans="1:8" x14ac:dyDescent="0.25">
      <c r="A134" s="3"/>
      <c r="B134" s="4"/>
      <c r="C134" s="7"/>
      <c r="D134" s="6"/>
      <c r="E134" s="6"/>
      <c r="F134" s="6"/>
      <c r="G134" s="6"/>
    </row>
    <row r="135" spans="1:8" x14ac:dyDescent="0.25">
      <c r="A135" s="3"/>
      <c r="B135" s="4"/>
      <c r="C135" s="7"/>
      <c r="D135" s="6"/>
      <c r="E135" s="6"/>
      <c r="F135" s="6"/>
      <c r="G135" s="6"/>
    </row>
    <row r="136" spans="1:8" x14ac:dyDescent="0.25">
      <c r="A136" s="3"/>
      <c r="B136" s="4"/>
      <c r="C136" s="7"/>
      <c r="D136" s="6"/>
      <c r="E136" s="6"/>
      <c r="F136" s="6"/>
      <c r="G136" s="6"/>
    </row>
    <row r="137" spans="1:8" x14ac:dyDescent="0.25">
      <c r="A137" s="3"/>
      <c r="B137" s="4"/>
      <c r="C137" s="7"/>
      <c r="D137" s="6"/>
      <c r="E137" s="6"/>
      <c r="F137" s="6"/>
      <c r="G137" s="6"/>
    </row>
    <row r="138" spans="1:8" x14ac:dyDescent="0.25">
      <c r="A138" s="3"/>
      <c r="B138" s="4"/>
      <c r="C138" s="7"/>
      <c r="D138" s="6"/>
      <c r="E138" s="6"/>
      <c r="F138" s="6"/>
      <c r="G138" s="6"/>
    </row>
    <row r="139" spans="1:8" x14ac:dyDescent="0.25">
      <c r="A139" s="3"/>
      <c r="B139" s="4"/>
      <c r="C139" s="7"/>
      <c r="D139" s="6"/>
      <c r="E139" s="6"/>
      <c r="F139" s="6"/>
      <c r="G139" s="6"/>
    </row>
    <row r="140" spans="1:8" x14ac:dyDescent="0.25">
      <c r="A140" s="143" t="s">
        <v>8</v>
      </c>
      <c r="B140" s="143"/>
      <c r="C140" s="143"/>
      <c r="D140" s="143"/>
      <c r="E140" s="143"/>
      <c r="F140" s="8" cm="1">
        <f t="array" ref="F140">SUM(D130:D130)-(E130:E130)</f>
        <v>0</v>
      </c>
      <c r="G140" s="9"/>
    </row>
    <row r="143" spans="1:8" ht="15.75" x14ac:dyDescent="0.25">
      <c r="A143" s="137" t="s">
        <v>37</v>
      </c>
      <c r="B143" s="138"/>
      <c r="C143" s="138"/>
      <c r="D143" s="138"/>
      <c r="E143" s="138"/>
      <c r="F143" s="138"/>
      <c r="G143" s="139"/>
    </row>
    <row r="145" spans="1:12" ht="25.5" x14ac:dyDescent="0.25">
      <c r="A145" s="1" t="s">
        <v>1</v>
      </c>
      <c r="B145" s="2" t="s">
        <v>2</v>
      </c>
      <c r="C145" s="2" t="s">
        <v>3</v>
      </c>
      <c r="D145" s="2" t="s">
        <v>4</v>
      </c>
      <c r="E145" s="2" t="s">
        <v>5</v>
      </c>
      <c r="F145" s="2" t="s">
        <v>6</v>
      </c>
      <c r="G145" s="2" t="s">
        <v>7</v>
      </c>
    </row>
    <row r="146" spans="1:12" x14ac:dyDescent="0.25">
      <c r="A146" s="1">
        <v>46167</v>
      </c>
      <c r="B146" s="38">
        <v>0.36805555555555558</v>
      </c>
      <c r="C146" s="48">
        <v>1377</v>
      </c>
      <c r="D146" s="64">
        <v>7</v>
      </c>
      <c r="E146" s="2"/>
      <c r="F146" s="2"/>
      <c r="G146" s="2" t="s">
        <v>171</v>
      </c>
    </row>
    <row r="147" spans="1:12" x14ac:dyDescent="0.25">
      <c r="A147" s="22">
        <v>46184</v>
      </c>
      <c r="B147" s="4">
        <v>0.16666666666666666</v>
      </c>
      <c r="C147" s="45">
        <v>1586</v>
      </c>
      <c r="D147" s="44"/>
      <c r="E147" s="44">
        <v>3</v>
      </c>
      <c r="F147" s="6"/>
      <c r="G147" s="6" t="s">
        <v>171</v>
      </c>
    </row>
    <row r="148" spans="1:12" x14ac:dyDescent="0.25">
      <c r="A148" s="3">
        <v>46185</v>
      </c>
      <c r="B148" s="4">
        <v>0.49236111111111114</v>
      </c>
      <c r="C148" s="44">
        <v>1587</v>
      </c>
      <c r="D148" s="44"/>
      <c r="E148" s="44">
        <v>4</v>
      </c>
      <c r="F148" s="6"/>
      <c r="G148" s="6" t="s">
        <v>171</v>
      </c>
    </row>
    <row r="149" spans="1:12" x14ac:dyDescent="0.25">
      <c r="A149" s="3">
        <v>46290</v>
      </c>
      <c r="B149" s="4">
        <v>8.1250000000000003E-2</v>
      </c>
      <c r="C149" s="5"/>
      <c r="D149" s="6"/>
      <c r="E149" s="6"/>
      <c r="F149" s="15"/>
      <c r="G149" s="6"/>
    </row>
    <row r="150" spans="1:12" x14ac:dyDescent="0.25">
      <c r="A150" s="3"/>
      <c r="B150" s="23"/>
      <c r="C150" s="5"/>
      <c r="D150" s="6"/>
      <c r="E150" s="6"/>
      <c r="F150" s="15"/>
      <c r="G150" s="6"/>
    </row>
    <row r="151" spans="1:12" x14ac:dyDescent="0.25">
      <c r="A151" s="24"/>
      <c r="B151" s="25"/>
      <c r="C151" s="26"/>
      <c r="D151" s="27"/>
      <c r="E151" s="27"/>
      <c r="F151" s="15"/>
      <c r="G151" s="6"/>
    </row>
    <row r="152" spans="1:12" x14ac:dyDescent="0.25">
      <c r="A152" s="140" t="s">
        <v>8</v>
      </c>
      <c r="B152" s="141"/>
      <c r="C152" s="141"/>
      <c r="D152" s="141"/>
      <c r="E152" s="142"/>
      <c r="F152" s="8">
        <f>SUM(D146:D151) - SUM(E146:E151)</f>
        <v>0</v>
      </c>
      <c r="G152" s="9"/>
    </row>
    <row r="154" spans="1:12" ht="15.75" x14ac:dyDescent="0.25">
      <c r="A154" s="137" t="s">
        <v>31</v>
      </c>
      <c r="B154" s="138"/>
      <c r="C154" s="138"/>
      <c r="D154" s="138"/>
      <c r="E154" s="138"/>
      <c r="F154" s="138"/>
      <c r="G154" s="139"/>
    </row>
    <row r="155" spans="1:12" ht="25.5" x14ac:dyDescent="0.25">
      <c r="A155" s="1" t="s">
        <v>1</v>
      </c>
      <c r="B155" s="2" t="s">
        <v>2</v>
      </c>
      <c r="C155" s="2" t="s">
        <v>3</v>
      </c>
      <c r="D155" s="2" t="s">
        <v>4</v>
      </c>
      <c r="E155" s="2" t="s">
        <v>5</v>
      </c>
      <c r="F155" s="2" t="s">
        <v>6</v>
      </c>
      <c r="G155" s="2" t="s">
        <v>7</v>
      </c>
    </row>
    <row r="156" spans="1:12" x14ac:dyDescent="0.25">
      <c r="A156" s="3">
        <v>46106</v>
      </c>
      <c r="B156" s="4">
        <v>0.15416666666666667</v>
      </c>
      <c r="C156" s="45">
        <v>1163</v>
      </c>
      <c r="D156" s="44">
        <v>7</v>
      </c>
      <c r="E156" s="6"/>
      <c r="F156" s="6"/>
      <c r="G156" s="6" t="s">
        <v>117</v>
      </c>
    </row>
    <row r="157" spans="1:12" x14ac:dyDescent="0.25">
      <c r="A157" s="3">
        <v>46126</v>
      </c>
      <c r="B157" s="4">
        <v>0.35</v>
      </c>
      <c r="C157" s="5">
        <v>1451</v>
      </c>
      <c r="D157" s="6"/>
      <c r="E157" s="46">
        <v>7</v>
      </c>
      <c r="F157" s="6"/>
      <c r="G157" s="6" t="s">
        <v>117</v>
      </c>
      <c r="H157" t="s">
        <v>137</v>
      </c>
    </row>
    <row r="158" spans="1:12" x14ac:dyDescent="0.25">
      <c r="A158" s="3">
        <v>46126</v>
      </c>
      <c r="B158" s="4">
        <v>0.35138888888888886</v>
      </c>
      <c r="C158" s="44">
        <v>1452</v>
      </c>
      <c r="D158" s="44">
        <v>7</v>
      </c>
      <c r="E158" s="6"/>
      <c r="F158" s="6"/>
      <c r="G158" s="6" t="s">
        <v>96</v>
      </c>
    </row>
    <row r="159" spans="1:12" x14ac:dyDescent="0.25">
      <c r="A159" s="3">
        <v>46141</v>
      </c>
      <c r="B159" s="4">
        <v>0.43541666666666667</v>
      </c>
      <c r="C159" s="6"/>
      <c r="D159" s="6"/>
      <c r="E159" s="20">
        <v>6</v>
      </c>
      <c r="F159" s="6"/>
      <c r="G159" s="6" t="s">
        <v>96</v>
      </c>
      <c r="H159" t="s">
        <v>226</v>
      </c>
      <c r="K159" t="s">
        <v>228</v>
      </c>
      <c r="L159" t="s">
        <v>224</v>
      </c>
    </row>
    <row r="160" spans="1:12" x14ac:dyDescent="0.25">
      <c r="A160" s="3">
        <v>46174</v>
      </c>
      <c r="B160" s="4">
        <v>0.16666666666666666</v>
      </c>
      <c r="C160" s="5">
        <v>1383</v>
      </c>
      <c r="D160" s="6"/>
      <c r="E160" s="44">
        <v>1</v>
      </c>
      <c r="F160" s="6"/>
      <c r="G160" s="6" t="s">
        <v>96</v>
      </c>
    </row>
    <row r="161" spans="1:8" x14ac:dyDescent="0.25">
      <c r="A161" s="17"/>
      <c r="B161" s="18"/>
      <c r="C161" s="34"/>
      <c r="D161" s="30"/>
      <c r="E161" s="21"/>
      <c r="F161" s="6"/>
      <c r="G161" s="6"/>
    </row>
    <row r="162" spans="1:8" x14ac:dyDescent="0.25">
      <c r="A162" s="140" t="s">
        <v>8</v>
      </c>
      <c r="B162" s="141"/>
      <c r="C162" s="141"/>
      <c r="D162" s="141"/>
      <c r="E162" s="142"/>
      <c r="F162" s="8">
        <f>SUM(D156:D160) - SUM(E156:E160)</f>
        <v>0</v>
      </c>
      <c r="G162" s="19"/>
    </row>
    <row r="164" spans="1:8" ht="15.75" x14ac:dyDescent="0.25">
      <c r="A164" s="137" t="s">
        <v>45</v>
      </c>
      <c r="B164" s="138"/>
      <c r="C164" s="138"/>
      <c r="D164" s="138"/>
      <c r="E164" s="138"/>
      <c r="F164" s="138"/>
      <c r="G164" s="139"/>
    </row>
    <row r="165" spans="1:8" ht="25.5" x14ac:dyDescent="0.25">
      <c r="A165" s="1" t="s">
        <v>1</v>
      </c>
      <c r="B165" s="2" t="s">
        <v>2</v>
      </c>
      <c r="C165" s="2" t="s">
        <v>3</v>
      </c>
      <c r="D165" s="2" t="s">
        <v>4</v>
      </c>
      <c r="E165" s="2" t="s">
        <v>5</v>
      </c>
      <c r="F165" s="2" t="s">
        <v>6</v>
      </c>
      <c r="G165" s="2" t="s">
        <v>7</v>
      </c>
    </row>
    <row r="166" spans="1:8" ht="25.5" customHeight="1" x14ac:dyDescent="0.25">
      <c r="A166" s="147" t="s">
        <v>248</v>
      </c>
      <c r="B166" s="148"/>
      <c r="C166" s="149"/>
      <c r="D166" s="35"/>
      <c r="E166" s="35"/>
      <c r="F166" s="64">
        <v>8</v>
      </c>
      <c r="G166" s="2" t="s">
        <v>249</v>
      </c>
    </row>
    <row r="167" spans="1:8" ht="35.25" customHeight="1" x14ac:dyDescent="0.25">
      <c r="A167" s="3">
        <v>46057</v>
      </c>
      <c r="B167" s="82">
        <v>0.16666666666666666</v>
      </c>
      <c r="C167" s="83">
        <v>974</v>
      </c>
      <c r="D167" s="84">
        <v>20</v>
      </c>
      <c r="E167" s="21"/>
      <c r="F167" s="6">
        <f>F166+D167-E167</f>
        <v>28</v>
      </c>
      <c r="G167" s="6" t="s">
        <v>67</v>
      </c>
    </row>
    <row r="168" spans="1:8" ht="26.25" customHeight="1" x14ac:dyDescent="0.25">
      <c r="A168" s="3">
        <v>46057</v>
      </c>
      <c r="B168" s="82">
        <v>0.33402777777777776</v>
      </c>
      <c r="C168" s="83">
        <v>901</v>
      </c>
      <c r="D168" s="84">
        <v>6</v>
      </c>
      <c r="E168" s="21"/>
      <c r="F168" s="6">
        <f t="shared" ref="F168:F175" si="0">F167+D168-E168</f>
        <v>34</v>
      </c>
      <c r="G168" s="6" t="s">
        <v>192</v>
      </c>
    </row>
    <row r="169" spans="1:8" ht="29.25" customHeight="1" x14ac:dyDescent="0.25">
      <c r="A169" s="85">
        <v>46069</v>
      </c>
      <c r="B169" s="82">
        <v>0.15</v>
      </c>
      <c r="C169" s="83">
        <v>910</v>
      </c>
      <c r="D169" s="84"/>
      <c r="E169" s="84">
        <v>20</v>
      </c>
      <c r="F169" s="6">
        <f t="shared" si="0"/>
        <v>14</v>
      </c>
      <c r="G169" s="6" t="s">
        <v>67</v>
      </c>
      <c r="H169" t="s">
        <v>113</v>
      </c>
    </row>
    <row r="170" spans="1:8" ht="18.75" customHeight="1" x14ac:dyDescent="0.25">
      <c r="A170" s="85">
        <v>46076</v>
      </c>
      <c r="B170" s="82" t="s">
        <v>79</v>
      </c>
      <c r="C170" s="83">
        <v>928</v>
      </c>
      <c r="D170" s="83"/>
      <c r="E170" s="83">
        <v>4</v>
      </c>
      <c r="F170" s="6">
        <f t="shared" si="0"/>
        <v>10</v>
      </c>
      <c r="G170" s="6" t="s">
        <v>39</v>
      </c>
      <c r="H170" t="s">
        <v>82</v>
      </c>
    </row>
    <row r="171" spans="1:8" ht="18.75" customHeight="1" x14ac:dyDescent="0.25">
      <c r="A171" s="85">
        <v>46079</v>
      </c>
      <c r="B171" s="82">
        <v>8.4722222222222227E-2</v>
      </c>
      <c r="C171" s="83">
        <v>940</v>
      </c>
      <c r="D171" s="83">
        <v>10</v>
      </c>
      <c r="E171" s="6"/>
      <c r="F171" s="6">
        <f t="shared" si="0"/>
        <v>20</v>
      </c>
      <c r="G171" s="6" t="s">
        <v>172</v>
      </c>
    </row>
    <row r="172" spans="1:8" ht="27.75" customHeight="1" x14ac:dyDescent="0.25">
      <c r="A172" s="85">
        <v>46092</v>
      </c>
      <c r="B172" s="82">
        <v>0.10902777777777778</v>
      </c>
      <c r="C172" s="83">
        <v>1116</v>
      </c>
      <c r="D172" s="83"/>
      <c r="E172" s="83">
        <v>10</v>
      </c>
      <c r="F172" s="6">
        <f t="shared" si="0"/>
        <v>10</v>
      </c>
      <c r="G172" s="6" t="s">
        <v>199</v>
      </c>
    </row>
    <row r="173" spans="1:8" ht="31.5" customHeight="1" x14ac:dyDescent="0.25">
      <c r="A173" s="85">
        <v>46175</v>
      </c>
      <c r="B173" s="82">
        <v>0.34166666666666667</v>
      </c>
      <c r="C173" s="83">
        <v>1539</v>
      </c>
      <c r="D173" s="44">
        <v>28</v>
      </c>
      <c r="E173" s="6"/>
      <c r="F173" s="6">
        <f t="shared" si="0"/>
        <v>38</v>
      </c>
      <c r="G173" s="6" t="s">
        <v>183</v>
      </c>
    </row>
    <row r="174" spans="1:8" ht="18.75" customHeight="1" x14ac:dyDescent="0.25">
      <c r="A174" s="85">
        <v>46182</v>
      </c>
      <c r="B174" s="82">
        <v>0.47222222222222221</v>
      </c>
      <c r="C174" s="83">
        <v>1345</v>
      </c>
      <c r="D174" s="83"/>
      <c r="E174" s="44">
        <v>28</v>
      </c>
      <c r="F174" s="6">
        <f t="shared" si="0"/>
        <v>10</v>
      </c>
      <c r="G174" s="6" t="s">
        <v>189</v>
      </c>
      <c r="H174" t="s">
        <v>188</v>
      </c>
    </row>
    <row r="175" spans="1:8" ht="42" customHeight="1" x14ac:dyDescent="0.25">
      <c r="A175" s="85">
        <v>46186</v>
      </c>
      <c r="B175" s="82">
        <v>0.37569444444444444</v>
      </c>
      <c r="C175" s="83">
        <v>1590</v>
      </c>
      <c r="D175" s="83"/>
      <c r="E175" s="44">
        <v>10</v>
      </c>
      <c r="F175" s="6">
        <f t="shared" si="0"/>
        <v>0</v>
      </c>
      <c r="G175" s="6" t="s">
        <v>192</v>
      </c>
    </row>
    <row r="176" spans="1:8" x14ac:dyDescent="0.25">
      <c r="A176" s="55"/>
      <c r="B176" s="56"/>
      <c r="C176" s="56"/>
      <c r="D176" s="68">
        <f>SUM(D167:D175)+F166</f>
        <v>72</v>
      </c>
      <c r="E176" s="69">
        <f>SUM(E169:E175)</f>
        <v>72</v>
      </c>
      <c r="F176" s="70">
        <f>D176-E176</f>
        <v>0</v>
      </c>
      <c r="G176" s="9"/>
    </row>
    <row r="179" spans="1:13" ht="15.75" x14ac:dyDescent="0.25">
      <c r="A179" s="137" t="s">
        <v>46</v>
      </c>
      <c r="B179" s="138"/>
      <c r="C179" s="138"/>
      <c r="D179" s="138"/>
      <c r="E179" s="138"/>
      <c r="F179" s="138"/>
      <c r="G179" s="139"/>
    </row>
    <row r="180" spans="1:13" ht="25.5" x14ac:dyDescent="0.25">
      <c r="A180" s="1" t="s">
        <v>1</v>
      </c>
      <c r="B180" s="2" t="s">
        <v>2</v>
      </c>
      <c r="C180" s="2" t="s">
        <v>3</v>
      </c>
      <c r="D180" s="35" t="s">
        <v>4</v>
      </c>
      <c r="E180" s="2" t="s">
        <v>5</v>
      </c>
      <c r="F180" s="2" t="s">
        <v>6</v>
      </c>
      <c r="G180" s="2" t="s">
        <v>7</v>
      </c>
    </row>
    <row r="181" spans="1:13" ht="32.25" customHeight="1" x14ac:dyDescent="0.25">
      <c r="A181" s="1">
        <v>46022</v>
      </c>
      <c r="B181" s="145" t="s">
        <v>314</v>
      </c>
      <c r="C181" s="146"/>
      <c r="D181" s="35">
        <v>8</v>
      </c>
      <c r="E181" s="35"/>
      <c r="F181" s="2">
        <f>D181-E181</f>
        <v>8</v>
      </c>
      <c r="G181" s="2"/>
    </row>
    <row r="182" spans="1:13" x14ac:dyDescent="0.25">
      <c r="A182" s="85">
        <v>46035</v>
      </c>
      <c r="B182" s="82" t="s">
        <v>200</v>
      </c>
      <c r="C182" s="83">
        <v>958</v>
      </c>
      <c r="D182" s="83"/>
      <c r="E182" s="31">
        <v>6</v>
      </c>
      <c r="F182" s="6">
        <f>F181+D182-E182</f>
        <v>2</v>
      </c>
      <c r="G182" s="6" t="s">
        <v>39</v>
      </c>
    </row>
    <row r="183" spans="1:13" ht="31.5" customHeight="1" x14ac:dyDescent="0.25">
      <c r="A183" s="85">
        <v>46057</v>
      </c>
      <c r="B183" s="82">
        <v>0.33333333333333331</v>
      </c>
      <c r="C183" s="83">
        <v>902</v>
      </c>
      <c r="D183" s="83"/>
      <c r="E183" s="31">
        <v>1</v>
      </c>
      <c r="F183" s="6">
        <f t="shared" ref="F183:F192" si="1">F182+D183-E183</f>
        <v>1</v>
      </c>
      <c r="G183" s="6" t="s">
        <v>39</v>
      </c>
      <c r="H183" t="s">
        <v>64</v>
      </c>
      <c r="M183" t="s">
        <v>65</v>
      </c>
    </row>
    <row r="184" spans="1:13" ht="23.25" x14ac:dyDescent="0.25">
      <c r="A184" s="85">
        <v>46057</v>
      </c>
      <c r="B184" s="82" t="s">
        <v>66</v>
      </c>
      <c r="C184" s="83">
        <v>901</v>
      </c>
      <c r="D184" s="7">
        <v>10</v>
      </c>
      <c r="E184" s="21"/>
      <c r="F184" s="6">
        <f t="shared" si="1"/>
        <v>11</v>
      </c>
      <c r="G184" s="65" t="s">
        <v>68</v>
      </c>
    </row>
    <row r="185" spans="1:13" x14ac:dyDescent="0.25">
      <c r="A185" s="3">
        <v>46057</v>
      </c>
      <c r="B185" s="82">
        <v>0.16666666666666666</v>
      </c>
      <c r="C185" s="83">
        <v>974</v>
      </c>
      <c r="D185" s="7">
        <v>20</v>
      </c>
      <c r="E185" s="21"/>
      <c r="F185" s="6">
        <f t="shared" si="1"/>
        <v>31</v>
      </c>
      <c r="G185" s="6"/>
    </row>
    <row r="186" spans="1:13" x14ac:dyDescent="0.25">
      <c r="A186" s="85">
        <v>46069</v>
      </c>
      <c r="B186" s="82">
        <v>0.15</v>
      </c>
      <c r="C186" s="83">
        <v>910</v>
      </c>
      <c r="D186" s="83"/>
      <c r="E186" s="31">
        <v>20</v>
      </c>
      <c r="F186" s="6">
        <f t="shared" si="1"/>
        <v>11</v>
      </c>
      <c r="G186" s="6" t="s">
        <v>67</v>
      </c>
    </row>
    <row r="187" spans="1:13" x14ac:dyDescent="0.25">
      <c r="A187" s="85">
        <v>46079</v>
      </c>
      <c r="B187" s="82">
        <v>8.4722222222222227E-2</v>
      </c>
      <c r="C187" s="83">
        <v>940</v>
      </c>
      <c r="D187" s="7">
        <v>10</v>
      </c>
      <c r="E187" s="6"/>
      <c r="F187" s="6">
        <f t="shared" si="1"/>
        <v>21</v>
      </c>
      <c r="G187" s="6" t="s">
        <v>199</v>
      </c>
    </row>
    <row r="188" spans="1:13" x14ac:dyDescent="0.25">
      <c r="A188" s="85">
        <v>46092</v>
      </c>
      <c r="B188" s="82">
        <v>0.10902777777777778</v>
      </c>
      <c r="C188" s="83">
        <v>1116</v>
      </c>
      <c r="D188" s="83"/>
      <c r="E188" s="7">
        <v>10</v>
      </c>
      <c r="F188" s="6">
        <f t="shared" si="1"/>
        <v>11</v>
      </c>
      <c r="G188" s="6" t="s">
        <v>199</v>
      </c>
    </row>
    <row r="189" spans="1:13" x14ac:dyDescent="0.25">
      <c r="A189" s="85">
        <v>46091</v>
      </c>
      <c r="B189" s="82">
        <v>7.0833333333333331E-2</v>
      </c>
      <c r="C189" s="83">
        <v>1105</v>
      </c>
      <c r="D189" s="83"/>
      <c r="E189" s="7">
        <v>7</v>
      </c>
      <c r="F189" s="6">
        <f t="shared" si="1"/>
        <v>4</v>
      </c>
      <c r="G189" s="6"/>
      <c r="H189" t="s">
        <v>110</v>
      </c>
    </row>
    <row r="190" spans="1:13" ht="26.25" x14ac:dyDescent="0.25">
      <c r="A190" s="85">
        <v>46175</v>
      </c>
      <c r="B190" s="82">
        <v>0.34166666666666667</v>
      </c>
      <c r="C190" s="83">
        <v>1539</v>
      </c>
      <c r="D190" s="7">
        <v>14</v>
      </c>
      <c r="E190" s="6"/>
      <c r="F190" s="6">
        <f t="shared" si="1"/>
        <v>18</v>
      </c>
      <c r="G190" s="6" t="s">
        <v>187</v>
      </c>
    </row>
    <row r="191" spans="1:13" ht="26.25" x14ac:dyDescent="0.25">
      <c r="A191" s="85">
        <v>46182</v>
      </c>
      <c r="B191" s="82">
        <v>0.47222222222222221</v>
      </c>
      <c r="C191" s="83">
        <v>1345</v>
      </c>
      <c r="D191" s="83"/>
      <c r="E191" s="7">
        <v>14</v>
      </c>
      <c r="F191" s="6">
        <f t="shared" si="1"/>
        <v>4</v>
      </c>
      <c r="G191" s="6" t="s">
        <v>187</v>
      </c>
      <c r="H191" t="s">
        <v>188</v>
      </c>
    </row>
    <row r="192" spans="1:13" ht="26.25" x14ac:dyDescent="0.25">
      <c r="A192" s="85">
        <v>46186</v>
      </c>
      <c r="B192" s="82">
        <v>0.37569444444444444</v>
      </c>
      <c r="C192" s="83">
        <v>1590</v>
      </c>
      <c r="D192" s="83"/>
      <c r="E192" s="7">
        <v>3</v>
      </c>
      <c r="F192" s="6">
        <f t="shared" si="1"/>
        <v>1</v>
      </c>
      <c r="G192" s="6" t="s">
        <v>68</v>
      </c>
    </row>
    <row r="193" spans="1:11" x14ac:dyDescent="0.25">
      <c r="A193" s="132">
        <v>46290</v>
      </c>
      <c r="B193" s="93">
        <v>8.1250000000000003E-2</v>
      </c>
      <c r="C193" s="94">
        <v>2165</v>
      </c>
      <c r="D193" s="94"/>
      <c r="E193" s="31">
        <v>1</v>
      </c>
      <c r="F193" s="6"/>
      <c r="G193" s="6" t="s">
        <v>316</v>
      </c>
      <c r="H193" s="39" t="s">
        <v>317</v>
      </c>
      <c r="I193" s="39"/>
      <c r="J193" s="39"/>
    </row>
    <row r="194" spans="1:11" x14ac:dyDescent="0.25">
      <c r="A194" s="66"/>
      <c r="B194" s="67"/>
      <c r="C194" s="67"/>
      <c r="D194" s="68">
        <f>SUM(D181:D192)</f>
        <v>62</v>
      </c>
      <c r="E194" s="69">
        <f>SUM(E182:E193)</f>
        <v>62</v>
      </c>
      <c r="F194" s="70">
        <f>D194-E194</f>
        <v>0</v>
      </c>
      <c r="G194" s="9"/>
      <c r="H194" t="s">
        <v>201</v>
      </c>
    </row>
    <row r="196" spans="1:11" ht="15.75" x14ac:dyDescent="0.25">
      <c r="A196" s="137" t="s">
        <v>69</v>
      </c>
      <c r="B196" s="138"/>
      <c r="C196" s="138"/>
      <c r="D196" s="138"/>
      <c r="E196" s="138"/>
      <c r="F196" s="138"/>
      <c r="G196" s="139"/>
    </row>
    <row r="198" spans="1:11" ht="25.5" x14ac:dyDescent="0.25">
      <c r="A198" s="1" t="s">
        <v>1</v>
      </c>
      <c r="B198" s="2" t="s">
        <v>2</v>
      </c>
      <c r="C198" s="2" t="s">
        <v>3</v>
      </c>
      <c r="D198" s="2" t="s">
        <v>4</v>
      </c>
      <c r="E198" s="2" t="s">
        <v>5</v>
      </c>
      <c r="F198" s="2" t="s">
        <v>6</v>
      </c>
      <c r="G198" s="2" t="s">
        <v>7</v>
      </c>
    </row>
    <row r="199" spans="1:11" ht="25.5" x14ac:dyDescent="0.25">
      <c r="A199" s="86">
        <v>46057</v>
      </c>
      <c r="B199" s="87">
        <v>0.33402777777777776</v>
      </c>
      <c r="C199" s="88">
        <v>901</v>
      </c>
      <c r="D199" s="133">
        <v>6</v>
      </c>
      <c r="E199" s="2"/>
      <c r="F199" s="2"/>
      <c r="G199" s="2" t="s">
        <v>68</v>
      </c>
    </row>
    <row r="200" spans="1:11" x14ac:dyDescent="0.25">
      <c r="A200" s="85">
        <v>46057</v>
      </c>
      <c r="B200" s="82">
        <v>0.16666666666666666</v>
      </c>
      <c r="C200" s="83">
        <v>974</v>
      </c>
      <c r="D200" s="84">
        <v>12</v>
      </c>
      <c r="E200" s="6"/>
      <c r="F200" s="6"/>
      <c r="G200" s="6" t="s">
        <v>67</v>
      </c>
    </row>
    <row r="201" spans="1:11" x14ac:dyDescent="0.25">
      <c r="A201" s="89">
        <v>46069</v>
      </c>
      <c r="B201" s="82">
        <v>0.15</v>
      </c>
      <c r="C201" s="90">
        <v>910</v>
      </c>
      <c r="D201" s="84"/>
      <c r="E201" s="83">
        <v>12</v>
      </c>
      <c r="F201" s="6"/>
      <c r="G201" s="6" t="s">
        <v>67</v>
      </c>
    </row>
    <row r="202" spans="1:11" ht="26.25" x14ac:dyDescent="0.25">
      <c r="A202" s="85">
        <v>46129</v>
      </c>
      <c r="B202" s="82">
        <v>0.34791666666666665</v>
      </c>
      <c r="C202" s="83">
        <v>1228</v>
      </c>
      <c r="D202" s="84">
        <v>2</v>
      </c>
      <c r="E202" s="6"/>
      <c r="F202" s="15"/>
      <c r="G202" s="6" t="s">
        <v>138</v>
      </c>
    </row>
    <row r="203" spans="1:11" ht="26.25" x14ac:dyDescent="0.25">
      <c r="A203" s="85">
        <v>46134</v>
      </c>
      <c r="B203" s="82">
        <v>0.15347222222222223</v>
      </c>
      <c r="C203" s="83">
        <v>1487</v>
      </c>
      <c r="D203" s="134"/>
      <c r="E203" s="92">
        <v>2</v>
      </c>
      <c r="F203" s="15"/>
      <c r="G203" s="6" t="s">
        <v>138</v>
      </c>
      <c r="K203" t="s">
        <v>147</v>
      </c>
    </row>
    <row r="204" spans="1:11" ht="26.25" x14ac:dyDescent="0.25">
      <c r="A204" s="85">
        <v>46186</v>
      </c>
      <c r="B204" s="91">
        <v>0.37569444444444444</v>
      </c>
      <c r="C204" s="83">
        <v>1590</v>
      </c>
      <c r="D204" s="134"/>
      <c r="E204" s="92">
        <v>3</v>
      </c>
      <c r="F204" s="15"/>
      <c r="G204" s="6" t="s">
        <v>68</v>
      </c>
    </row>
    <row r="205" spans="1:11" ht="26.25" x14ac:dyDescent="0.25">
      <c r="A205" s="85">
        <v>46193</v>
      </c>
      <c r="B205" s="91">
        <v>0.33819444444444446</v>
      </c>
      <c r="C205" s="83">
        <v>1394</v>
      </c>
      <c r="D205" s="95"/>
      <c r="E205" s="111">
        <v>2</v>
      </c>
      <c r="F205" s="15"/>
      <c r="G205" s="6" t="s">
        <v>68</v>
      </c>
    </row>
    <row r="206" spans="1:11" x14ac:dyDescent="0.25">
      <c r="A206" s="132">
        <v>46290</v>
      </c>
      <c r="B206" s="91">
        <v>8.1250000000000003E-2</v>
      </c>
      <c r="C206" s="83">
        <v>2165</v>
      </c>
      <c r="D206" s="95"/>
      <c r="E206" s="111">
        <v>1</v>
      </c>
      <c r="F206" s="15"/>
      <c r="G206" s="6"/>
      <c r="H206" s="39" t="s">
        <v>318</v>
      </c>
      <c r="I206" s="39"/>
      <c r="J206" s="39"/>
    </row>
    <row r="207" spans="1:11" x14ac:dyDescent="0.25">
      <c r="A207" s="55" t="s">
        <v>8</v>
      </c>
      <c r="B207" s="56"/>
      <c r="C207" s="56"/>
      <c r="D207" s="68">
        <f>SUM(D199:D202)</f>
        <v>20</v>
      </c>
      <c r="E207" s="69">
        <f>SUM(E201:E205)</f>
        <v>19</v>
      </c>
      <c r="F207" s="130">
        <f>SUM(D199:D205)-SUM(E199:E205)</f>
        <v>1</v>
      </c>
      <c r="G207" s="9"/>
    </row>
    <row r="209" spans="1:12" ht="15.75" x14ac:dyDescent="0.25">
      <c r="A209" s="137" t="s">
        <v>32</v>
      </c>
      <c r="B209" s="138"/>
      <c r="C209" s="138"/>
      <c r="D209" s="138"/>
      <c r="E209" s="138"/>
      <c r="F209" s="138"/>
      <c r="G209" s="139"/>
    </row>
    <row r="210" spans="1:12" ht="25.5" x14ac:dyDescent="0.25">
      <c r="A210" s="1" t="s">
        <v>1</v>
      </c>
      <c r="B210" s="2" t="s">
        <v>2</v>
      </c>
      <c r="C210" s="2" t="s">
        <v>3</v>
      </c>
      <c r="D210" s="2" t="s">
        <v>4</v>
      </c>
      <c r="E210" s="2" t="s">
        <v>5</v>
      </c>
      <c r="F210" s="2" t="s">
        <v>6</v>
      </c>
      <c r="G210" s="2" t="s">
        <v>7</v>
      </c>
    </row>
    <row r="211" spans="1:12" x14ac:dyDescent="0.25">
      <c r="A211" s="3">
        <v>46106</v>
      </c>
      <c r="B211" s="4">
        <v>0.15416666666666667</v>
      </c>
      <c r="C211" s="45">
        <v>1163</v>
      </c>
      <c r="D211" s="51">
        <v>7</v>
      </c>
      <c r="E211" s="6"/>
      <c r="F211" s="6"/>
      <c r="G211" s="6" t="s">
        <v>117</v>
      </c>
    </row>
    <row r="212" spans="1:12" x14ac:dyDescent="0.25">
      <c r="A212" s="3">
        <v>46126</v>
      </c>
      <c r="B212" s="4">
        <v>0.35</v>
      </c>
      <c r="C212" s="5">
        <v>1451</v>
      </c>
      <c r="D212" s="6"/>
      <c r="E212" s="46">
        <v>7</v>
      </c>
      <c r="F212" s="6"/>
      <c r="G212" s="6" t="s">
        <v>117</v>
      </c>
      <c r="H212" t="s">
        <v>137</v>
      </c>
    </row>
    <row r="213" spans="1:12" x14ac:dyDescent="0.25">
      <c r="A213" s="3">
        <v>46191</v>
      </c>
      <c r="B213" s="4">
        <v>0.36944444444444446</v>
      </c>
      <c r="C213" s="5">
        <v>1622</v>
      </c>
      <c r="D213" s="7">
        <v>1</v>
      </c>
      <c r="E213" s="6"/>
      <c r="F213" s="6"/>
      <c r="G213" s="6" t="s">
        <v>157</v>
      </c>
      <c r="H213" s="74" t="s">
        <v>221</v>
      </c>
      <c r="I213" s="74"/>
      <c r="J213" s="74"/>
    </row>
    <row r="214" spans="1:12" x14ac:dyDescent="0.25">
      <c r="A214" s="3">
        <v>46199</v>
      </c>
      <c r="B214" s="4">
        <v>0.4909722222222222</v>
      </c>
      <c r="C214" s="5"/>
      <c r="D214" s="6"/>
      <c r="E214" s="7">
        <v>1</v>
      </c>
      <c r="F214" s="6"/>
      <c r="G214" s="6" t="s">
        <v>157</v>
      </c>
    </row>
    <row r="215" spans="1:12" x14ac:dyDescent="0.25">
      <c r="A215" s="140" t="s">
        <v>8</v>
      </c>
      <c r="B215" s="141"/>
      <c r="C215" s="141"/>
      <c r="D215" s="141"/>
      <c r="E215" s="142"/>
      <c r="F215" s="8">
        <f>SUM(D211:D214) - SUM(E211:E214)</f>
        <v>0</v>
      </c>
      <c r="G215" s="9"/>
    </row>
    <row r="217" spans="1:12" ht="15.75" x14ac:dyDescent="0.25">
      <c r="A217" s="137" t="s">
        <v>126</v>
      </c>
      <c r="B217" s="138"/>
      <c r="C217" s="138"/>
      <c r="D217" s="138"/>
      <c r="E217" s="138"/>
      <c r="F217" s="138"/>
      <c r="G217" s="139"/>
    </row>
    <row r="218" spans="1:12" ht="25.5" x14ac:dyDescent="0.25">
      <c r="A218" s="1" t="s">
        <v>1</v>
      </c>
      <c r="B218" s="2" t="s">
        <v>2</v>
      </c>
      <c r="C218" s="2" t="s">
        <v>3</v>
      </c>
      <c r="D218" s="2" t="s">
        <v>4</v>
      </c>
      <c r="E218" s="2" t="s">
        <v>5</v>
      </c>
      <c r="F218" s="2" t="s">
        <v>6</v>
      </c>
      <c r="G218" s="2" t="s">
        <v>7</v>
      </c>
    </row>
    <row r="219" spans="1:12" x14ac:dyDescent="0.25">
      <c r="A219" s="3">
        <v>46120</v>
      </c>
      <c r="B219" s="4">
        <v>0.37777777777777777</v>
      </c>
      <c r="C219" s="45">
        <v>1099</v>
      </c>
      <c r="D219" s="44">
        <v>4</v>
      </c>
      <c r="E219" s="21"/>
      <c r="F219" s="6"/>
      <c r="G219" s="6" t="s">
        <v>125</v>
      </c>
      <c r="H219" t="s">
        <v>128</v>
      </c>
    </row>
    <row r="220" spans="1:12" x14ac:dyDescent="0.25">
      <c r="A220" s="3" t="s">
        <v>225</v>
      </c>
      <c r="B220" s="4" t="s">
        <v>229</v>
      </c>
      <c r="C220" s="5">
        <v>1281</v>
      </c>
      <c r="D220" s="6"/>
      <c r="E220" s="21">
        <v>4</v>
      </c>
      <c r="F220" s="6"/>
      <c r="G220" s="6" t="s">
        <v>125</v>
      </c>
      <c r="H220" t="s">
        <v>226</v>
      </c>
      <c r="K220" t="s">
        <v>227</v>
      </c>
      <c r="L220" t="s">
        <v>224</v>
      </c>
    </row>
    <row r="221" spans="1:12" x14ac:dyDescent="0.25">
      <c r="A221" s="3">
        <v>46195</v>
      </c>
      <c r="B221" s="4">
        <v>0.36736111111111114</v>
      </c>
      <c r="C221" s="15">
        <v>1396</v>
      </c>
      <c r="D221" s="44">
        <v>2</v>
      </c>
      <c r="E221" s="21"/>
      <c r="F221" s="6"/>
      <c r="G221" s="6" t="s">
        <v>235</v>
      </c>
    </row>
    <row r="222" spans="1:12" x14ac:dyDescent="0.25">
      <c r="A222" s="3">
        <v>46199</v>
      </c>
      <c r="B222" s="4">
        <v>0.4909722222222222</v>
      </c>
      <c r="C222" s="5">
        <v>1443</v>
      </c>
      <c r="D222" s="6"/>
      <c r="E222" s="50">
        <v>2</v>
      </c>
      <c r="F222" s="6"/>
      <c r="G222" s="6" t="s">
        <v>235</v>
      </c>
    </row>
    <row r="223" spans="1:12" x14ac:dyDescent="0.25">
      <c r="A223" s="3">
        <v>46289</v>
      </c>
      <c r="B223" s="4">
        <v>0.33124999999999999</v>
      </c>
      <c r="C223" s="5">
        <v>2206</v>
      </c>
      <c r="D223" s="6">
        <v>5</v>
      </c>
      <c r="E223" s="50"/>
      <c r="F223" s="6"/>
      <c r="G223" s="6" t="s">
        <v>112</v>
      </c>
    </row>
    <row r="224" spans="1:12" x14ac:dyDescent="0.25">
      <c r="A224" s="3">
        <v>46290</v>
      </c>
      <c r="B224" s="4">
        <v>8.1250000000000003E-2</v>
      </c>
      <c r="C224" s="5">
        <v>2165</v>
      </c>
      <c r="D224" s="6"/>
      <c r="E224" s="50">
        <v>3</v>
      </c>
      <c r="F224" s="6"/>
      <c r="G224" s="6" t="s">
        <v>112</v>
      </c>
    </row>
    <row r="225" spans="1:8" x14ac:dyDescent="0.25">
      <c r="A225" s="17">
        <v>46295</v>
      </c>
      <c r="B225" s="18" t="s">
        <v>320</v>
      </c>
      <c r="C225" s="34">
        <v>2231</v>
      </c>
      <c r="D225" s="30"/>
      <c r="E225" s="50">
        <v>2</v>
      </c>
      <c r="F225" s="6"/>
      <c r="G225" s="6" t="s">
        <v>112</v>
      </c>
      <c r="H225" t="s">
        <v>321</v>
      </c>
    </row>
    <row r="226" spans="1:8" x14ac:dyDescent="0.25">
      <c r="A226" s="140" t="s">
        <v>8</v>
      </c>
      <c r="B226" s="141"/>
      <c r="C226" s="141"/>
      <c r="D226" s="141"/>
      <c r="E226" s="142"/>
      <c r="F226" s="8">
        <f>SUM(D219:D224)-SUM(E219:E225)</f>
        <v>0</v>
      </c>
      <c r="G226" s="9"/>
    </row>
    <row r="228" spans="1:8" ht="15.75" x14ac:dyDescent="0.25">
      <c r="A228" s="137" t="s">
        <v>134</v>
      </c>
      <c r="B228" s="138"/>
      <c r="C228" s="138"/>
      <c r="D228" s="138"/>
      <c r="E228" s="138"/>
      <c r="F228" s="138"/>
      <c r="G228" s="139"/>
    </row>
    <row r="229" spans="1:8" ht="25.5" x14ac:dyDescent="0.25">
      <c r="A229" s="1" t="s">
        <v>1</v>
      </c>
      <c r="B229" s="2" t="s">
        <v>2</v>
      </c>
      <c r="C229" s="2" t="s">
        <v>3</v>
      </c>
      <c r="D229" s="2" t="s">
        <v>4</v>
      </c>
      <c r="E229" s="2" t="s">
        <v>5</v>
      </c>
      <c r="F229" s="2" t="s">
        <v>6</v>
      </c>
      <c r="G229" s="2" t="s">
        <v>7</v>
      </c>
    </row>
    <row r="230" spans="1:8" ht="26.25" x14ac:dyDescent="0.25">
      <c r="A230" s="3">
        <v>46122</v>
      </c>
      <c r="B230" s="4">
        <v>0.35416666666666669</v>
      </c>
      <c r="C230" s="45">
        <v>1211</v>
      </c>
      <c r="D230" s="44">
        <v>5</v>
      </c>
      <c r="E230" s="6"/>
      <c r="F230" s="6"/>
      <c r="G230" s="6" t="s">
        <v>135</v>
      </c>
      <c r="H230" t="s">
        <v>136</v>
      </c>
    </row>
    <row r="231" spans="1:8" ht="26.25" x14ac:dyDescent="0.25">
      <c r="A231" s="3">
        <v>46133</v>
      </c>
      <c r="B231" s="4">
        <v>0.4548611111111111</v>
      </c>
      <c r="C231" s="59">
        <v>1483</v>
      </c>
      <c r="D231" s="59"/>
      <c r="E231" s="59">
        <v>5</v>
      </c>
      <c r="F231" s="6"/>
      <c r="G231" s="6" t="s">
        <v>135</v>
      </c>
    </row>
    <row r="232" spans="1:8" x14ac:dyDescent="0.25">
      <c r="A232" s="3"/>
      <c r="B232" s="4"/>
      <c r="C232" s="6"/>
      <c r="D232" s="6"/>
      <c r="E232" s="6"/>
      <c r="F232" s="6"/>
      <c r="G232" s="6"/>
    </row>
    <row r="233" spans="1:8" x14ac:dyDescent="0.25">
      <c r="A233" s="3"/>
      <c r="B233" s="4"/>
      <c r="C233" s="5"/>
      <c r="D233" s="6"/>
      <c r="E233" s="6"/>
      <c r="F233" s="6"/>
      <c r="G233" s="6"/>
    </row>
    <row r="234" spans="1:8" x14ac:dyDescent="0.25">
      <c r="A234" s="3"/>
      <c r="B234" s="4"/>
      <c r="C234" s="6"/>
      <c r="D234" s="6"/>
      <c r="E234" s="6"/>
      <c r="F234" s="6"/>
      <c r="G234" s="6"/>
    </row>
    <row r="235" spans="1:8" x14ac:dyDescent="0.25">
      <c r="A235" s="3"/>
      <c r="B235" s="4"/>
      <c r="C235" s="6"/>
      <c r="D235" s="6"/>
      <c r="E235" s="6"/>
      <c r="F235" s="6"/>
      <c r="G235" s="6"/>
    </row>
    <row r="236" spans="1:8" x14ac:dyDescent="0.25">
      <c r="A236" s="140" t="s">
        <v>8</v>
      </c>
      <c r="B236" s="141"/>
      <c r="C236" s="141"/>
      <c r="D236" s="141"/>
      <c r="E236" s="142"/>
      <c r="F236" s="8">
        <f>SUM(D230:D234) - SUM(E230:E236)</f>
        <v>0</v>
      </c>
      <c r="G236" s="9"/>
    </row>
    <row r="238" spans="1:8" ht="15.75" x14ac:dyDescent="0.25">
      <c r="A238" s="137" t="s">
        <v>34</v>
      </c>
      <c r="B238" s="138"/>
      <c r="C238" s="138"/>
      <c r="D238" s="138"/>
      <c r="E238" s="138"/>
      <c r="F238" s="138"/>
      <c r="G238" s="139"/>
    </row>
    <row r="239" spans="1:8" ht="25.5" x14ac:dyDescent="0.25">
      <c r="A239" s="1" t="s">
        <v>1</v>
      </c>
      <c r="B239" s="2" t="s">
        <v>2</v>
      </c>
      <c r="C239" s="35" t="s">
        <v>3</v>
      </c>
      <c r="D239" s="2" t="s">
        <v>4</v>
      </c>
      <c r="E239" s="2" t="s">
        <v>5</v>
      </c>
      <c r="F239" s="2" t="s">
        <v>6</v>
      </c>
      <c r="G239" s="2" t="s">
        <v>7</v>
      </c>
    </row>
    <row r="240" spans="1:8" x14ac:dyDescent="0.25">
      <c r="A240" s="3">
        <v>46154</v>
      </c>
      <c r="B240" s="4" t="s">
        <v>79</v>
      </c>
      <c r="C240" s="45">
        <v>1411</v>
      </c>
      <c r="D240" s="7">
        <v>16</v>
      </c>
      <c r="E240" s="21"/>
      <c r="F240" s="6"/>
      <c r="G240" s="6" t="s">
        <v>157</v>
      </c>
    </row>
    <row r="241" spans="1:12" ht="26.25" x14ac:dyDescent="0.25">
      <c r="A241" s="3">
        <v>46154</v>
      </c>
      <c r="B241" s="4">
        <v>0.4236111111111111</v>
      </c>
      <c r="C241" s="44">
        <v>1355</v>
      </c>
      <c r="D241" s="7">
        <v>20</v>
      </c>
      <c r="E241" s="21"/>
      <c r="F241" s="6"/>
      <c r="G241" s="6" t="s">
        <v>154</v>
      </c>
    </row>
    <row r="242" spans="1:12" x14ac:dyDescent="0.25">
      <c r="A242" s="3">
        <v>46161</v>
      </c>
      <c r="B242" s="4" t="s">
        <v>158</v>
      </c>
      <c r="C242" s="44">
        <v>1335</v>
      </c>
      <c r="D242" s="6"/>
      <c r="E242" s="31">
        <v>36</v>
      </c>
      <c r="F242" s="6"/>
      <c r="G242" s="6" t="s">
        <v>159</v>
      </c>
      <c r="H242" s="103" t="s">
        <v>160</v>
      </c>
      <c r="I242" s="104"/>
      <c r="J242" s="39"/>
    </row>
    <row r="243" spans="1:12" x14ac:dyDescent="0.25">
      <c r="A243" s="3">
        <v>46185</v>
      </c>
      <c r="B243" s="4">
        <v>0.49375000000000002</v>
      </c>
      <c r="C243" s="5">
        <v>1588</v>
      </c>
      <c r="D243" s="44">
        <v>15</v>
      </c>
      <c r="E243" s="21"/>
      <c r="F243" s="6"/>
      <c r="G243" s="6" t="s">
        <v>213</v>
      </c>
      <c r="H243" s="103" t="s">
        <v>194</v>
      </c>
      <c r="I243" s="104"/>
      <c r="J243" s="39"/>
    </row>
    <row r="244" spans="1:12" x14ac:dyDescent="0.25">
      <c r="A244" s="3" t="s">
        <v>212</v>
      </c>
      <c r="B244" s="4">
        <v>0.40486111111111112</v>
      </c>
      <c r="C244" s="5">
        <v>1597</v>
      </c>
      <c r="D244" s="6"/>
      <c r="E244" s="50">
        <v>15</v>
      </c>
      <c r="F244" s="6"/>
      <c r="G244" s="6" t="s">
        <v>213</v>
      </c>
      <c r="H244" s="103" t="s">
        <v>214</v>
      </c>
      <c r="I244" s="104"/>
      <c r="J244" s="39"/>
    </row>
    <row r="245" spans="1:12" x14ac:dyDescent="0.25">
      <c r="A245" s="3">
        <v>46217</v>
      </c>
      <c r="B245" s="4">
        <v>0.41666666666666669</v>
      </c>
      <c r="C245" s="5">
        <v>1687</v>
      </c>
      <c r="D245" s="46">
        <v>2</v>
      </c>
      <c r="E245" s="31"/>
      <c r="F245" s="6"/>
      <c r="G245" s="6" t="s">
        <v>261</v>
      </c>
    </row>
    <row r="246" spans="1:12" x14ac:dyDescent="0.25">
      <c r="A246" s="3">
        <v>46221</v>
      </c>
      <c r="B246" s="4">
        <v>0.41666666666666669</v>
      </c>
      <c r="C246" s="36"/>
      <c r="D246" s="6"/>
      <c r="E246" s="47">
        <v>2</v>
      </c>
      <c r="F246" s="6"/>
      <c r="G246" s="6" t="s">
        <v>261</v>
      </c>
    </row>
    <row r="247" spans="1:12" ht="26.25" x14ac:dyDescent="0.25">
      <c r="A247" s="3">
        <v>46274</v>
      </c>
      <c r="B247" s="4">
        <v>0.34722222222222221</v>
      </c>
      <c r="C247" s="5">
        <v>2073</v>
      </c>
      <c r="D247" s="6">
        <v>11</v>
      </c>
      <c r="E247" s="31"/>
      <c r="F247" s="6"/>
      <c r="G247" s="6" t="s">
        <v>303</v>
      </c>
    </row>
    <row r="248" spans="1:12" x14ac:dyDescent="0.25">
      <c r="A248" s="17">
        <v>46281</v>
      </c>
      <c r="B248" s="37">
        <v>0.1763888888888889</v>
      </c>
      <c r="C248" s="5">
        <v>2127</v>
      </c>
      <c r="D248" s="6"/>
      <c r="E248" s="31">
        <v>11</v>
      </c>
      <c r="F248" s="6"/>
      <c r="G248" s="6" t="s">
        <v>312</v>
      </c>
    </row>
    <row r="249" spans="1:12" x14ac:dyDescent="0.25">
      <c r="A249" s="140" t="s">
        <v>8</v>
      </c>
      <c r="B249" s="141"/>
      <c r="C249" s="141"/>
      <c r="D249" s="141"/>
      <c r="E249" s="142"/>
      <c r="F249" s="8">
        <f>SUM(D240:D247) - SUM(E240:E249)</f>
        <v>0</v>
      </c>
      <c r="G249" s="9"/>
    </row>
    <row r="251" spans="1:12" ht="15.75" x14ac:dyDescent="0.25">
      <c r="A251" s="137" t="s">
        <v>38</v>
      </c>
      <c r="B251" s="138"/>
      <c r="C251" s="138"/>
      <c r="D251" s="138"/>
      <c r="E251" s="138"/>
      <c r="F251" s="138"/>
      <c r="G251" s="139"/>
    </row>
    <row r="252" spans="1:12" ht="25.5" x14ac:dyDescent="0.25">
      <c r="A252" s="1" t="s">
        <v>1</v>
      </c>
      <c r="B252" s="2" t="s">
        <v>2</v>
      </c>
      <c r="C252" s="2" t="s">
        <v>3</v>
      </c>
      <c r="D252" s="2" t="s">
        <v>4</v>
      </c>
      <c r="E252" s="2" t="s">
        <v>5</v>
      </c>
      <c r="F252" s="2" t="s">
        <v>6</v>
      </c>
      <c r="G252" s="2" t="s">
        <v>7</v>
      </c>
    </row>
    <row r="253" spans="1:12" ht="25.5" x14ac:dyDescent="0.25">
      <c r="A253" s="1">
        <v>46154</v>
      </c>
      <c r="B253" s="38">
        <v>0.4236111111111111</v>
      </c>
      <c r="C253" s="48">
        <v>1355</v>
      </c>
      <c r="D253" s="64">
        <v>4</v>
      </c>
      <c r="E253" s="2"/>
      <c r="F253" s="2"/>
      <c r="G253" s="49" t="s">
        <v>154</v>
      </c>
    </row>
    <row r="254" spans="1:12" x14ac:dyDescent="0.25">
      <c r="A254" s="3">
        <v>46155</v>
      </c>
      <c r="B254" s="4">
        <v>7.3611111111111113E-2</v>
      </c>
      <c r="C254" s="45">
        <v>1360</v>
      </c>
      <c r="D254" s="7">
        <v>19</v>
      </c>
      <c r="E254" s="6"/>
      <c r="F254" s="6"/>
      <c r="G254" s="6" t="s">
        <v>156</v>
      </c>
    </row>
    <row r="255" spans="1:12" ht="26.25" x14ac:dyDescent="0.25">
      <c r="A255" s="3">
        <v>46161</v>
      </c>
      <c r="B255" s="4">
        <v>0.1875</v>
      </c>
      <c r="C255" s="44">
        <v>1335</v>
      </c>
      <c r="D255" s="6"/>
      <c r="E255" s="7">
        <v>4</v>
      </c>
      <c r="F255" s="6"/>
      <c r="G255" s="6" t="s">
        <v>154</v>
      </c>
      <c r="H255" s="39" t="s">
        <v>162</v>
      </c>
      <c r="I255" s="39"/>
      <c r="L255" t="s">
        <v>263</v>
      </c>
    </row>
    <row r="256" spans="1:12" x14ac:dyDescent="0.25">
      <c r="A256" s="3">
        <v>46164</v>
      </c>
      <c r="B256" s="4">
        <v>0.32500000000000001</v>
      </c>
      <c r="C256" s="44">
        <v>1375</v>
      </c>
      <c r="D256" s="6"/>
      <c r="E256" s="7">
        <v>19</v>
      </c>
      <c r="F256" s="6"/>
      <c r="G256" s="6" t="s">
        <v>156</v>
      </c>
      <c r="H256" s="39" t="s">
        <v>170</v>
      </c>
      <c r="I256" s="39"/>
    </row>
    <row r="257" spans="1:8" x14ac:dyDescent="0.25">
      <c r="A257" s="3">
        <v>46212</v>
      </c>
      <c r="B257" s="4">
        <v>0.32500000000000001</v>
      </c>
      <c r="C257" s="5">
        <v>1448</v>
      </c>
      <c r="D257" s="46">
        <v>19</v>
      </c>
      <c r="E257" s="6"/>
      <c r="F257" s="6"/>
      <c r="G257" s="6" t="s">
        <v>261</v>
      </c>
    </row>
    <row r="258" spans="1:8" x14ac:dyDescent="0.25">
      <c r="A258" s="17">
        <v>46217</v>
      </c>
      <c r="B258" s="18">
        <v>0.46180555555555558</v>
      </c>
      <c r="C258" s="34"/>
      <c r="D258" s="30"/>
      <c r="E258" s="47">
        <v>19</v>
      </c>
      <c r="F258" s="6"/>
      <c r="G258" s="6" t="s">
        <v>261</v>
      </c>
    </row>
    <row r="259" spans="1:8" x14ac:dyDescent="0.25">
      <c r="A259" s="140">
        <f>SUM(D253:D257)</f>
        <v>42</v>
      </c>
      <c r="B259" s="141"/>
      <c r="C259" s="141"/>
      <c r="D259" s="100">
        <f>SUM(D253:D257)</f>
        <v>42</v>
      </c>
      <c r="E259" s="69">
        <f>SUM(E255:E258)</f>
        <v>42</v>
      </c>
      <c r="F259" s="70">
        <f>D259-E259</f>
        <v>0</v>
      </c>
      <c r="G259" s="9"/>
    </row>
    <row r="261" spans="1:8" ht="15.75" x14ac:dyDescent="0.25">
      <c r="A261" s="137" t="s">
        <v>173</v>
      </c>
      <c r="B261" s="138"/>
      <c r="C261" s="138"/>
      <c r="D261" s="138"/>
      <c r="E261" s="138"/>
      <c r="F261" s="138"/>
      <c r="G261" s="139"/>
    </row>
    <row r="262" spans="1:8" ht="25.5" x14ac:dyDescent="0.25">
      <c r="A262" s="1" t="s">
        <v>1</v>
      </c>
      <c r="B262" s="2" t="s">
        <v>2</v>
      </c>
      <c r="C262" s="2" t="s">
        <v>3</v>
      </c>
      <c r="D262" s="2" t="s">
        <v>4</v>
      </c>
      <c r="E262" s="2" t="s">
        <v>5</v>
      </c>
      <c r="F262" s="2" t="s">
        <v>6</v>
      </c>
      <c r="G262" s="2" t="s">
        <v>7</v>
      </c>
    </row>
    <row r="263" spans="1:8" x14ac:dyDescent="0.25">
      <c r="A263" s="3">
        <v>46168</v>
      </c>
      <c r="B263" s="4">
        <v>0.41875000000000001</v>
      </c>
      <c r="C263" s="45">
        <v>1340</v>
      </c>
      <c r="D263" s="7">
        <v>6</v>
      </c>
      <c r="E263" s="6"/>
      <c r="F263" s="6"/>
      <c r="G263" s="6" t="s">
        <v>88</v>
      </c>
    </row>
    <row r="264" spans="1:8" x14ac:dyDescent="0.25">
      <c r="A264" s="3">
        <v>46174</v>
      </c>
      <c r="B264" s="4">
        <v>0.16666666666666666</v>
      </c>
      <c r="C264" s="5">
        <v>1383</v>
      </c>
      <c r="D264" s="6"/>
      <c r="E264" s="44">
        <v>6</v>
      </c>
      <c r="F264" s="6"/>
      <c r="G264" s="6" t="s">
        <v>88</v>
      </c>
      <c r="H264" s="63"/>
    </row>
    <row r="265" spans="1:8" x14ac:dyDescent="0.25">
      <c r="A265" s="3">
        <v>46275</v>
      </c>
      <c r="B265" s="4">
        <v>9.583333333333334E-2</v>
      </c>
      <c r="C265" s="5">
        <v>2080</v>
      </c>
      <c r="D265" s="6">
        <v>3</v>
      </c>
      <c r="E265" s="6"/>
      <c r="F265" s="6"/>
      <c r="G265" s="6" t="s">
        <v>304</v>
      </c>
    </row>
    <row r="266" spans="1:8" x14ac:dyDescent="0.25">
      <c r="A266" s="3">
        <v>46281</v>
      </c>
      <c r="B266" s="4">
        <v>0.10416666666666667</v>
      </c>
      <c r="C266" s="5">
        <v>2125</v>
      </c>
      <c r="D266" s="6"/>
      <c r="E266" s="6">
        <v>3</v>
      </c>
      <c r="F266" s="6"/>
      <c r="G266" s="6" t="s">
        <v>304</v>
      </c>
    </row>
    <row r="267" spans="1:8" x14ac:dyDescent="0.25">
      <c r="A267" s="140" t="s">
        <v>8</v>
      </c>
      <c r="B267" s="141"/>
      <c r="C267" s="141"/>
      <c r="D267" s="141"/>
      <c r="E267" s="142"/>
      <c r="F267" s="8">
        <f>SUM(D263:D266)-SUM(E263:E266)</f>
        <v>0</v>
      </c>
      <c r="G267" s="8"/>
    </row>
    <row r="269" spans="1:8" ht="15.75" x14ac:dyDescent="0.25">
      <c r="A269" s="137" t="s">
        <v>89</v>
      </c>
      <c r="B269" s="138"/>
      <c r="C269" s="138"/>
      <c r="D269" s="138"/>
      <c r="E269" s="138"/>
      <c r="F269" s="138"/>
      <c r="G269" s="139"/>
    </row>
    <row r="270" spans="1:8" ht="25.5" x14ac:dyDescent="0.25">
      <c r="A270" s="1" t="s">
        <v>1</v>
      </c>
      <c r="B270" s="2" t="s">
        <v>2</v>
      </c>
      <c r="C270" s="2" t="s">
        <v>3</v>
      </c>
      <c r="D270" s="2" t="s">
        <v>4</v>
      </c>
      <c r="E270" s="2" t="s">
        <v>5</v>
      </c>
      <c r="F270" s="2" t="s">
        <v>6</v>
      </c>
      <c r="G270" s="2" t="s">
        <v>7</v>
      </c>
    </row>
    <row r="271" spans="1:8" x14ac:dyDescent="0.25">
      <c r="A271" s="3">
        <v>46218</v>
      </c>
      <c r="B271" s="4">
        <v>0.44583333333333336</v>
      </c>
      <c r="C271" s="15">
        <v>1742</v>
      </c>
      <c r="D271" s="6">
        <v>304</v>
      </c>
      <c r="E271" s="6"/>
      <c r="F271" s="6"/>
      <c r="G271" s="6" t="s">
        <v>261</v>
      </c>
    </row>
    <row r="272" spans="1:8" x14ac:dyDescent="0.25">
      <c r="A272" s="3">
        <v>46238</v>
      </c>
      <c r="B272" s="4">
        <v>0.15069444444444444</v>
      </c>
      <c r="C272" s="6">
        <v>1825</v>
      </c>
      <c r="D272" s="6"/>
      <c r="E272" s="6">
        <v>258</v>
      </c>
      <c r="F272" s="6"/>
      <c r="G272" s="6" t="s">
        <v>261</v>
      </c>
    </row>
    <row r="273" spans="1:8" ht="26.25" x14ac:dyDescent="0.25">
      <c r="A273" s="3"/>
      <c r="B273" s="23">
        <v>46238</v>
      </c>
      <c r="C273" s="6"/>
      <c r="D273" s="6"/>
      <c r="E273" s="6">
        <v>46</v>
      </c>
      <c r="F273" s="6"/>
      <c r="G273" s="6" t="s">
        <v>278</v>
      </c>
    </row>
    <row r="274" spans="1:8" x14ac:dyDescent="0.25">
      <c r="A274" s="3"/>
      <c r="B274" s="4"/>
      <c r="C274" s="6"/>
      <c r="D274" s="6"/>
      <c r="E274" s="20"/>
      <c r="F274" s="6"/>
      <c r="G274" s="6"/>
    </row>
    <row r="275" spans="1:8" x14ac:dyDescent="0.25">
      <c r="A275" s="3"/>
      <c r="B275" s="4"/>
      <c r="C275" s="6"/>
      <c r="D275" s="6"/>
      <c r="E275" s="6"/>
      <c r="F275" s="6"/>
      <c r="G275" s="6"/>
    </row>
    <row r="276" spans="1:8" x14ac:dyDescent="0.25">
      <c r="A276" s="140" t="s">
        <v>8</v>
      </c>
      <c r="B276" s="141"/>
      <c r="C276" s="141"/>
      <c r="D276" s="141"/>
      <c r="E276" s="142"/>
      <c r="F276" s="8">
        <f>SUM(D271:D275) - SUM(E271:E275)</f>
        <v>0</v>
      </c>
      <c r="G276" s="19"/>
    </row>
    <row r="278" spans="1:8" ht="15.75" x14ac:dyDescent="0.25">
      <c r="A278" s="137" t="s">
        <v>274</v>
      </c>
      <c r="B278" s="138"/>
      <c r="C278" s="138"/>
      <c r="D278" s="138"/>
      <c r="E278" s="138"/>
      <c r="F278" s="138"/>
      <c r="G278" s="139"/>
    </row>
    <row r="279" spans="1:8" ht="25.5" x14ac:dyDescent="0.25">
      <c r="A279" s="1" t="s">
        <v>1</v>
      </c>
      <c r="B279" s="2" t="s">
        <v>2</v>
      </c>
      <c r="C279" s="2" t="s">
        <v>3</v>
      </c>
      <c r="D279" s="2" t="s">
        <v>4</v>
      </c>
      <c r="E279" s="2" t="s">
        <v>5</v>
      </c>
      <c r="F279" s="2" t="s">
        <v>6</v>
      </c>
      <c r="G279" s="2" t="s">
        <v>7</v>
      </c>
    </row>
    <row r="280" spans="1:8" x14ac:dyDescent="0.25">
      <c r="A280" s="3">
        <v>46246</v>
      </c>
      <c r="B280" s="112">
        <v>0.4861111111111111</v>
      </c>
      <c r="C280" s="15">
        <v>1834</v>
      </c>
      <c r="D280" s="46">
        <v>6</v>
      </c>
      <c r="E280" s="6"/>
      <c r="F280" s="6" t="s">
        <v>13</v>
      </c>
      <c r="G280" s="6" t="s">
        <v>13</v>
      </c>
    </row>
    <row r="281" spans="1:8" ht="26.25" x14ac:dyDescent="0.25">
      <c r="A281" s="3">
        <v>46286</v>
      </c>
      <c r="B281" s="4">
        <v>0.19444444444444445</v>
      </c>
      <c r="C281" s="6">
        <v>2161</v>
      </c>
      <c r="D281" s="6">
        <v>4</v>
      </c>
      <c r="E281" s="6"/>
      <c r="F281" s="6"/>
      <c r="G281" s="6" t="s">
        <v>270</v>
      </c>
    </row>
    <row r="282" spans="1:8" ht="26.25" x14ac:dyDescent="0.25">
      <c r="A282" s="3">
        <v>46290</v>
      </c>
      <c r="B282" s="4">
        <v>8.1250000000000003E-2</v>
      </c>
      <c r="C282" s="6">
        <v>2165</v>
      </c>
      <c r="D282" s="6"/>
      <c r="E282" s="6">
        <v>2</v>
      </c>
      <c r="F282" s="6"/>
      <c r="G282" s="6" t="s">
        <v>270</v>
      </c>
    </row>
    <row r="283" spans="1:8" ht="26.25" x14ac:dyDescent="0.25">
      <c r="A283" s="3">
        <v>46293</v>
      </c>
      <c r="B283" s="4">
        <v>0.34375</v>
      </c>
      <c r="C283" s="6">
        <v>2220</v>
      </c>
      <c r="D283" s="6"/>
      <c r="E283" s="20">
        <v>1</v>
      </c>
      <c r="F283" s="6"/>
      <c r="G283" s="6" t="s">
        <v>270</v>
      </c>
    </row>
    <row r="284" spans="1:8" x14ac:dyDescent="0.25">
      <c r="A284" s="3">
        <v>46296</v>
      </c>
      <c r="B284" s="4">
        <v>0.47499999999999998</v>
      </c>
      <c r="C284" s="6">
        <v>2234</v>
      </c>
      <c r="D284" s="6"/>
      <c r="E284" s="6">
        <v>3</v>
      </c>
      <c r="F284" s="6"/>
      <c r="G284" s="6" t="s">
        <v>324</v>
      </c>
      <c r="H284" s="39" t="s">
        <v>325</v>
      </c>
    </row>
    <row r="285" spans="1:8" x14ac:dyDescent="0.25">
      <c r="A285" s="17">
        <v>46297</v>
      </c>
      <c r="B285" s="18">
        <v>0.34930555555555554</v>
      </c>
      <c r="C285" s="30">
        <v>2236</v>
      </c>
      <c r="D285" s="30"/>
      <c r="E285" s="21">
        <v>3</v>
      </c>
      <c r="F285" s="6"/>
      <c r="G285" s="6" t="s">
        <v>324</v>
      </c>
      <c r="H285" s="39" t="s">
        <v>326</v>
      </c>
    </row>
    <row r="286" spans="1:8" x14ac:dyDescent="0.25">
      <c r="A286" s="140" t="s">
        <v>8</v>
      </c>
      <c r="B286" s="141"/>
      <c r="C286" s="141"/>
      <c r="D286" s="141"/>
      <c r="E286" s="142"/>
      <c r="F286" s="8">
        <f>SUM(D280:D284) - SUM(E280:E285)</f>
        <v>1</v>
      </c>
      <c r="G286" s="19"/>
    </row>
  </sheetData>
  <mergeCells count="41">
    <mergeCell ref="A39:G39"/>
    <mergeCell ref="A55:G55"/>
    <mergeCell ref="A75:G75"/>
    <mergeCell ref="A73:C73"/>
    <mergeCell ref="A126:C126"/>
    <mergeCell ref="A106:C106"/>
    <mergeCell ref="A84:E84"/>
    <mergeCell ref="A86:G86"/>
    <mergeCell ref="A1:G1"/>
    <mergeCell ref="A9:E9"/>
    <mergeCell ref="A11:G11"/>
    <mergeCell ref="A17:E17"/>
    <mergeCell ref="A19:G19"/>
    <mergeCell ref="A228:G228"/>
    <mergeCell ref="A236:E236"/>
    <mergeCell ref="A217:G217"/>
    <mergeCell ref="A226:E226"/>
    <mergeCell ref="A209:G209"/>
    <mergeCell ref="A215:E215"/>
    <mergeCell ref="A196:G196"/>
    <mergeCell ref="A154:G154"/>
    <mergeCell ref="A162:E162"/>
    <mergeCell ref="A110:G110"/>
    <mergeCell ref="A128:G128"/>
    <mergeCell ref="A140:E140"/>
    <mergeCell ref="A143:G143"/>
    <mergeCell ref="A152:E152"/>
    <mergeCell ref="B181:C181"/>
    <mergeCell ref="A179:G179"/>
    <mergeCell ref="A164:G164"/>
    <mergeCell ref="A166:C166"/>
    <mergeCell ref="A286:E286"/>
    <mergeCell ref="A269:G269"/>
    <mergeCell ref="A276:E276"/>
    <mergeCell ref="A261:G261"/>
    <mergeCell ref="A267:E267"/>
    <mergeCell ref="A238:G238"/>
    <mergeCell ref="A249:E249"/>
    <mergeCell ref="A251:G251"/>
    <mergeCell ref="A259:C259"/>
    <mergeCell ref="A278:G278"/>
  </mergeCells>
  <pageMargins left="0.7" right="0.7" top="0.75" bottom="0.75" header="0.3" footer="0.3"/>
  <pageSetup paperSize="9" scale="10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F1B6B-E246-4164-A1D8-39DB093144AF}">
  <dimension ref="A1:G9"/>
  <sheetViews>
    <sheetView workbookViewId="0">
      <selection activeCell="K33" sqref="K33"/>
    </sheetView>
  </sheetViews>
  <sheetFormatPr baseColWidth="10" defaultRowHeight="15" x14ac:dyDescent="0.25"/>
  <cols>
    <col min="7" max="7" width="18" customWidth="1"/>
  </cols>
  <sheetData>
    <row r="1" spans="1:7" ht="15.75" x14ac:dyDescent="0.25">
      <c r="A1" s="137" t="s">
        <v>97</v>
      </c>
      <c r="B1" s="138"/>
      <c r="C1" s="138"/>
      <c r="D1" s="138"/>
      <c r="E1" s="138"/>
      <c r="F1" s="138"/>
      <c r="G1" s="139"/>
    </row>
    <row r="2" spans="1:7" ht="25.5" x14ac:dyDescent="0.2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26.25" x14ac:dyDescent="0.25">
      <c r="A3" s="3">
        <v>46086</v>
      </c>
      <c r="B3" s="4" t="s">
        <v>48</v>
      </c>
      <c r="C3" s="15"/>
      <c r="D3" s="6">
        <v>10000</v>
      </c>
      <c r="E3" s="6"/>
      <c r="F3" s="6"/>
      <c r="G3" s="6" t="s">
        <v>98</v>
      </c>
    </row>
    <row r="4" spans="1:7" x14ac:dyDescent="0.25">
      <c r="A4" s="3">
        <v>46092</v>
      </c>
      <c r="B4" s="4"/>
      <c r="C4" s="6"/>
      <c r="D4" s="6"/>
      <c r="E4" s="6">
        <v>10000</v>
      </c>
      <c r="F4" s="6"/>
      <c r="G4" s="6" t="s">
        <v>106</v>
      </c>
    </row>
    <row r="5" spans="1:7" x14ac:dyDescent="0.25">
      <c r="A5" s="3"/>
      <c r="B5" s="4"/>
      <c r="C5" s="6"/>
      <c r="D5" s="6"/>
      <c r="E5" s="6"/>
      <c r="F5" s="6"/>
      <c r="G5" s="6"/>
    </row>
    <row r="6" spans="1:7" x14ac:dyDescent="0.25">
      <c r="A6" s="3"/>
      <c r="B6" s="4"/>
      <c r="C6" s="5"/>
      <c r="D6" s="6"/>
      <c r="E6" s="6"/>
      <c r="F6" s="6"/>
      <c r="G6" s="6"/>
    </row>
    <row r="7" spans="1:7" x14ac:dyDescent="0.25">
      <c r="A7" s="3"/>
      <c r="B7" s="4"/>
      <c r="C7" s="6"/>
      <c r="D7" s="6"/>
      <c r="E7" s="6"/>
      <c r="F7" s="6"/>
      <c r="G7" s="6"/>
    </row>
    <row r="8" spans="1:7" x14ac:dyDescent="0.25">
      <c r="A8" s="3"/>
      <c r="B8" s="4"/>
      <c r="C8" s="6"/>
      <c r="D8" s="6"/>
      <c r="E8" s="6"/>
      <c r="F8" s="6"/>
      <c r="G8" s="6"/>
    </row>
    <row r="9" spans="1:7" x14ac:dyDescent="0.25">
      <c r="A9" s="140" t="s">
        <v>8</v>
      </c>
      <c r="B9" s="141"/>
      <c r="C9" s="141"/>
      <c r="D9" s="141"/>
      <c r="E9" s="142"/>
      <c r="F9" s="8">
        <f>SUM(D3:D7) - SUM(E3:E9)</f>
        <v>0</v>
      </c>
      <c r="G9" s="9"/>
    </row>
  </sheetData>
  <mergeCells count="2">
    <mergeCell ref="A1:G1"/>
    <mergeCell ref="A9:E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87B37-E67F-48B3-BEC3-1C54D8D7E1BA}">
  <dimension ref="A1:K28"/>
  <sheetViews>
    <sheetView topLeftCell="A14" workbookViewId="0">
      <selection activeCell="I32" sqref="I32"/>
    </sheetView>
  </sheetViews>
  <sheetFormatPr baseColWidth="10" defaultRowHeight="15" x14ac:dyDescent="0.25"/>
  <cols>
    <col min="6" max="6" width="20.7109375" bestFit="1" customWidth="1"/>
    <col min="7" max="7" width="21.85546875" customWidth="1"/>
  </cols>
  <sheetData>
    <row r="1" spans="1:11" ht="15.75" x14ac:dyDescent="0.25">
      <c r="A1" s="137" t="s">
        <v>70</v>
      </c>
      <c r="B1" s="138"/>
      <c r="C1" s="138"/>
      <c r="D1" s="138"/>
      <c r="E1" s="138"/>
      <c r="F1" s="138"/>
      <c r="G1" s="139"/>
    </row>
    <row r="2" spans="1:11" ht="25.5" x14ac:dyDescent="0.2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11" ht="26.25" x14ac:dyDescent="0.25">
      <c r="A3" s="3">
        <v>46057</v>
      </c>
      <c r="B3" s="4">
        <v>0.17708333333333334</v>
      </c>
      <c r="C3" s="15">
        <v>3367</v>
      </c>
      <c r="D3" s="31">
        <v>19</v>
      </c>
      <c r="E3" s="21"/>
      <c r="F3" s="6"/>
      <c r="G3" s="6" t="s">
        <v>71</v>
      </c>
    </row>
    <row r="4" spans="1:11" ht="26.25" x14ac:dyDescent="0.25">
      <c r="A4" s="3">
        <v>46197</v>
      </c>
      <c r="B4" s="4">
        <v>0.44791666666666669</v>
      </c>
      <c r="C4" s="5">
        <v>4289</v>
      </c>
      <c r="D4" s="21"/>
      <c r="E4" s="31">
        <v>12</v>
      </c>
      <c r="F4" s="6"/>
      <c r="G4" s="6" t="s">
        <v>71</v>
      </c>
    </row>
    <row r="5" spans="1:11" x14ac:dyDescent="0.25">
      <c r="A5" s="3">
        <v>46232</v>
      </c>
      <c r="B5" s="4">
        <v>9.0277777777777776E-2</v>
      </c>
      <c r="C5" s="5">
        <v>4526</v>
      </c>
      <c r="D5" s="31">
        <v>5</v>
      </c>
      <c r="E5" s="21"/>
      <c r="F5" s="6"/>
      <c r="G5" s="6" t="s">
        <v>241</v>
      </c>
    </row>
    <row r="6" spans="1:11" x14ac:dyDescent="0.25">
      <c r="A6" s="3">
        <v>46230</v>
      </c>
      <c r="B6" s="121">
        <v>0.36805555555555558</v>
      </c>
      <c r="C6" s="122">
        <v>4503</v>
      </c>
      <c r="D6" s="113">
        <v>3</v>
      </c>
      <c r="G6" s="6" t="s">
        <v>272</v>
      </c>
    </row>
    <row r="7" spans="1:11" x14ac:dyDescent="0.25">
      <c r="A7" s="3">
        <v>46241</v>
      </c>
      <c r="B7" s="4">
        <v>0.35416666666666669</v>
      </c>
      <c r="C7" s="5">
        <v>4580</v>
      </c>
      <c r="D7" s="21"/>
      <c r="E7" s="31">
        <v>3</v>
      </c>
      <c r="F7" s="6"/>
      <c r="G7" s="6" t="s">
        <v>272</v>
      </c>
    </row>
    <row r="8" spans="1:11" x14ac:dyDescent="0.25">
      <c r="A8" s="3">
        <v>46265</v>
      </c>
      <c r="B8" s="4">
        <v>0.36805555555555558</v>
      </c>
      <c r="C8" s="5">
        <v>4729</v>
      </c>
      <c r="D8" s="30"/>
      <c r="E8" s="31">
        <v>5</v>
      </c>
      <c r="F8" s="6"/>
      <c r="G8" s="6" t="s">
        <v>241</v>
      </c>
      <c r="H8" s="39" t="s">
        <v>294</v>
      </c>
      <c r="I8" s="39"/>
      <c r="J8" s="39"/>
    </row>
    <row r="9" spans="1:11" ht="26.25" x14ac:dyDescent="0.25">
      <c r="A9" s="3">
        <v>46275</v>
      </c>
      <c r="B9" s="4">
        <v>6.9444444444444448E-2</v>
      </c>
      <c r="C9" s="5">
        <v>4805</v>
      </c>
      <c r="D9" s="30"/>
      <c r="E9" s="31">
        <v>3</v>
      </c>
      <c r="F9" s="6"/>
      <c r="G9" s="6" t="s">
        <v>71</v>
      </c>
      <c r="H9" s="39"/>
      <c r="I9" s="39"/>
      <c r="J9" s="39"/>
    </row>
    <row r="10" spans="1:11" x14ac:dyDescent="0.25">
      <c r="A10" s="140" t="s">
        <v>8</v>
      </c>
      <c r="B10" s="141"/>
      <c r="C10" s="141"/>
      <c r="D10" s="68">
        <f>SUM(D3:D7)</f>
        <v>27</v>
      </c>
      <c r="E10" s="69">
        <f>SUM(E4:E9)</f>
        <v>23</v>
      </c>
      <c r="F10" s="70">
        <f>D10-E10</f>
        <v>4</v>
      </c>
      <c r="G10" s="9"/>
    </row>
    <row r="12" spans="1:11" ht="15.75" x14ac:dyDescent="0.25">
      <c r="A12" s="137" t="s">
        <v>306</v>
      </c>
      <c r="B12" s="138"/>
      <c r="C12" s="138"/>
      <c r="D12" s="138"/>
      <c r="E12" s="138"/>
      <c r="F12" s="138"/>
      <c r="G12" s="139"/>
      <c r="K12">
        <f>SUM(D14:D17)</f>
        <v>1</v>
      </c>
    </row>
    <row r="13" spans="1:11" ht="25.5" x14ac:dyDescent="0.25">
      <c r="A13" s="1" t="s">
        <v>1</v>
      </c>
      <c r="B13" s="2" t="s">
        <v>2</v>
      </c>
      <c r="C13" s="2" t="s">
        <v>3</v>
      </c>
      <c r="D13" s="2" t="s">
        <v>4</v>
      </c>
      <c r="E13" s="2" t="s">
        <v>5</v>
      </c>
      <c r="F13" s="2" t="s">
        <v>6</v>
      </c>
      <c r="G13" s="2" t="s">
        <v>7</v>
      </c>
      <c r="K13">
        <f>SUM(D14:D17)</f>
        <v>1</v>
      </c>
    </row>
    <row r="14" spans="1:11" ht="26.25" x14ac:dyDescent="0.25">
      <c r="A14" s="3">
        <v>46057</v>
      </c>
      <c r="B14" s="4">
        <v>0.17708333333333334</v>
      </c>
      <c r="C14" s="15">
        <v>3367</v>
      </c>
      <c r="D14" s="7">
        <v>1</v>
      </c>
      <c r="E14" s="6"/>
      <c r="F14" s="6"/>
      <c r="G14" s="6" t="s">
        <v>72</v>
      </c>
    </row>
    <row r="15" spans="1:11" ht="26.25" x14ac:dyDescent="0.25">
      <c r="A15" s="3">
        <v>46197</v>
      </c>
      <c r="B15" s="4">
        <v>0.44791666666666669</v>
      </c>
      <c r="C15" s="5">
        <v>4289</v>
      </c>
      <c r="D15" s="6"/>
      <c r="E15" s="7">
        <v>1</v>
      </c>
      <c r="F15" s="6"/>
      <c r="G15" s="6" t="s">
        <v>72</v>
      </c>
    </row>
    <row r="16" spans="1:11" x14ac:dyDescent="0.25">
      <c r="A16" s="3"/>
      <c r="B16" s="4"/>
      <c r="C16" s="5"/>
      <c r="D16" s="6"/>
      <c r="E16" s="6"/>
      <c r="F16" s="6"/>
      <c r="G16" s="6"/>
    </row>
    <row r="17" spans="1:8" x14ac:dyDescent="0.25">
      <c r="A17" s="3"/>
      <c r="B17" s="4"/>
      <c r="C17" s="5"/>
      <c r="D17" s="6"/>
      <c r="E17" s="6"/>
      <c r="F17" s="6"/>
      <c r="G17" s="6"/>
    </row>
    <row r="18" spans="1:8" x14ac:dyDescent="0.25">
      <c r="A18" s="140" t="s">
        <v>8</v>
      </c>
      <c r="B18" s="141"/>
      <c r="C18" s="141"/>
      <c r="D18" s="141"/>
      <c r="E18" s="142"/>
      <c r="F18" s="8">
        <f>SUM(D14:D17)-SUM(E14:E17)</f>
        <v>0</v>
      </c>
      <c r="G18" s="9"/>
    </row>
    <row r="21" spans="1:8" ht="15.75" x14ac:dyDescent="0.25">
      <c r="A21" s="137" t="s">
        <v>279</v>
      </c>
      <c r="B21" s="138"/>
      <c r="C21" s="138"/>
      <c r="D21" s="138"/>
      <c r="E21" s="138"/>
      <c r="F21" s="138"/>
      <c r="G21" s="139"/>
    </row>
    <row r="22" spans="1:8" ht="25.5" x14ac:dyDescent="0.25">
      <c r="A22" s="1" t="s">
        <v>1</v>
      </c>
      <c r="B22" s="2" t="s">
        <v>2</v>
      </c>
      <c r="C22" s="2" t="s">
        <v>3</v>
      </c>
      <c r="D22" s="2" t="s">
        <v>4</v>
      </c>
      <c r="E22" s="2" t="s">
        <v>5</v>
      </c>
      <c r="F22" s="2" t="s">
        <v>6</v>
      </c>
      <c r="G22" s="2" t="s">
        <v>7</v>
      </c>
    </row>
    <row r="23" spans="1:8" x14ac:dyDescent="0.25">
      <c r="A23" s="3">
        <v>46240</v>
      </c>
      <c r="B23" s="4">
        <v>5.5555555555555552E-2</v>
      </c>
      <c r="C23" s="5">
        <v>4568</v>
      </c>
      <c r="D23" s="21">
        <v>20</v>
      </c>
      <c r="E23" s="21"/>
      <c r="F23" s="6">
        <f>D23-E23</f>
        <v>20</v>
      </c>
      <c r="G23" s="6" t="s">
        <v>270</v>
      </c>
    </row>
    <row r="24" spans="1:8" x14ac:dyDescent="0.25">
      <c r="A24" s="3">
        <v>46253</v>
      </c>
      <c r="B24" s="4" t="s">
        <v>281</v>
      </c>
      <c r="C24" s="5">
        <v>4633</v>
      </c>
      <c r="D24" s="6">
        <v>2</v>
      </c>
      <c r="E24" s="21"/>
      <c r="F24" s="6">
        <f>F23+D24-E24</f>
        <v>22</v>
      </c>
      <c r="G24" s="6" t="s">
        <v>280</v>
      </c>
    </row>
    <row r="25" spans="1:8" x14ac:dyDescent="0.25">
      <c r="A25" s="3">
        <v>46267</v>
      </c>
      <c r="B25" s="4">
        <v>9.375E-2</v>
      </c>
      <c r="C25" s="5">
        <v>4748</v>
      </c>
      <c r="D25" s="6"/>
      <c r="E25" s="21">
        <v>18</v>
      </c>
      <c r="F25" s="6"/>
      <c r="G25" s="6" t="s">
        <v>270</v>
      </c>
      <c r="H25" t="s">
        <v>295</v>
      </c>
    </row>
    <row r="26" spans="1:8" x14ac:dyDescent="0.25">
      <c r="A26" s="3">
        <v>46279</v>
      </c>
      <c r="B26" s="4">
        <v>0.15277777777777779</v>
      </c>
      <c r="C26" s="5">
        <v>4824</v>
      </c>
      <c r="D26" s="21"/>
      <c r="E26" s="21">
        <v>4</v>
      </c>
      <c r="F26" s="6"/>
      <c r="G26" s="6" t="s">
        <v>270</v>
      </c>
    </row>
    <row r="27" spans="1:8" x14ac:dyDescent="0.25">
      <c r="A27" s="17"/>
      <c r="B27" s="37"/>
      <c r="C27" s="5"/>
      <c r="D27" s="21"/>
      <c r="E27" s="21"/>
      <c r="F27" s="6"/>
      <c r="G27" s="6"/>
    </row>
    <row r="28" spans="1:8" x14ac:dyDescent="0.25">
      <c r="A28" s="140" t="s">
        <v>8</v>
      </c>
      <c r="B28" s="141"/>
      <c r="C28" s="141"/>
      <c r="D28" s="68">
        <f>SUM(D23:D27)</f>
        <v>22</v>
      </c>
      <c r="E28" s="69">
        <f>SUM(E23:E27)</f>
        <v>22</v>
      </c>
      <c r="F28" s="70">
        <f>D28-E28</f>
        <v>0</v>
      </c>
      <c r="G28" s="9"/>
    </row>
  </sheetData>
  <mergeCells count="6">
    <mergeCell ref="A28:C28"/>
    <mergeCell ref="A10:C10"/>
    <mergeCell ref="A1:G1"/>
    <mergeCell ref="A12:G12"/>
    <mergeCell ref="A18:E18"/>
    <mergeCell ref="A21:G2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12BE4-E551-48A8-88CB-E24F7FF2DB94}">
  <dimension ref="A1:L106"/>
  <sheetViews>
    <sheetView tabSelected="1" topLeftCell="A83" workbookViewId="0">
      <selection activeCell="L92" sqref="L92"/>
    </sheetView>
  </sheetViews>
  <sheetFormatPr baseColWidth="10" defaultRowHeight="15" x14ac:dyDescent="0.25"/>
  <cols>
    <col min="1" max="1" width="14.140625" customWidth="1"/>
    <col min="6" max="6" width="0" hidden="1" customWidth="1"/>
    <col min="7" max="7" width="18.28515625" customWidth="1"/>
    <col min="9" max="9" width="13.28515625" customWidth="1"/>
    <col min="11" max="11" width="13.140625" customWidth="1"/>
  </cols>
  <sheetData>
    <row r="1" spans="1:11" ht="15.75" x14ac:dyDescent="0.25">
      <c r="A1" s="137" t="s">
        <v>95</v>
      </c>
      <c r="B1" s="138"/>
      <c r="C1" s="138"/>
      <c r="D1" s="138"/>
      <c r="E1" s="138"/>
      <c r="F1" s="138"/>
      <c r="G1" s="139"/>
    </row>
    <row r="2" spans="1:11" ht="25.5" x14ac:dyDescent="0.2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11" x14ac:dyDescent="0.25">
      <c r="A3" s="3">
        <v>46085</v>
      </c>
      <c r="B3" s="4">
        <v>0.35902777777777778</v>
      </c>
      <c r="C3" s="5">
        <v>2712</v>
      </c>
      <c r="D3" s="6">
        <v>4</v>
      </c>
      <c r="E3" s="6"/>
      <c r="F3" s="6"/>
      <c r="G3" s="6" t="s">
        <v>88</v>
      </c>
    </row>
    <row r="4" spans="1:11" x14ac:dyDescent="0.25">
      <c r="A4" s="3">
        <v>46091</v>
      </c>
      <c r="B4" s="4">
        <v>0.42222222222222222</v>
      </c>
      <c r="C4" s="5">
        <v>7622</v>
      </c>
      <c r="D4" s="6"/>
      <c r="E4" s="6">
        <v>3</v>
      </c>
      <c r="F4" s="6"/>
      <c r="G4" s="6" t="s">
        <v>88</v>
      </c>
    </row>
    <row r="5" spans="1:11" x14ac:dyDescent="0.25">
      <c r="A5" s="3">
        <v>46140</v>
      </c>
      <c r="B5" s="4">
        <v>0.45902777777777776</v>
      </c>
      <c r="C5" s="5">
        <v>2774</v>
      </c>
      <c r="D5" s="6">
        <v>20</v>
      </c>
      <c r="E5" s="6"/>
      <c r="F5" s="6"/>
      <c r="G5" s="6" t="s">
        <v>123</v>
      </c>
    </row>
    <row r="6" spans="1:11" x14ac:dyDescent="0.25">
      <c r="A6" s="3">
        <v>46146</v>
      </c>
      <c r="B6" s="4" t="s">
        <v>150</v>
      </c>
      <c r="C6" s="5">
        <v>7661</v>
      </c>
      <c r="D6" s="6"/>
      <c r="E6" s="59">
        <v>20</v>
      </c>
      <c r="F6" s="6"/>
      <c r="G6" s="6" t="s">
        <v>123</v>
      </c>
      <c r="H6" t="s">
        <v>151</v>
      </c>
    </row>
    <row r="7" spans="1:11" x14ac:dyDescent="0.25">
      <c r="A7" s="3"/>
      <c r="B7" s="4"/>
      <c r="C7" s="5"/>
      <c r="D7" s="6"/>
      <c r="E7" s="6"/>
      <c r="F7" s="6"/>
      <c r="G7" s="6"/>
    </row>
    <row r="8" spans="1:11" x14ac:dyDescent="0.25">
      <c r="A8" s="3"/>
      <c r="B8" s="4"/>
      <c r="C8" s="5"/>
      <c r="D8" s="6"/>
      <c r="E8" s="6"/>
      <c r="F8" s="6"/>
      <c r="G8" s="6"/>
    </row>
    <row r="9" spans="1:11" x14ac:dyDescent="0.25">
      <c r="A9" s="140" t="s">
        <v>8</v>
      </c>
      <c r="B9" s="141"/>
      <c r="C9" s="142"/>
      <c r="D9" s="70">
        <f>SUM(D3:D8)</f>
        <v>24</v>
      </c>
      <c r="E9" s="70">
        <f>SUM(E3:E8)</f>
        <v>23</v>
      </c>
      <c r="F9" s="8">
        <f>SUM(D3:D8)- SUM(E3:E8)</f>
        <v>1</v>
      </c>
      <c r="G9" s="118">
        <f>D9-E9</f>
        <v>1</v>
      </c>
    </row>
    <row r="12" spans="1:11" ht="15.75" x14ac:dyDescent="0.25">
      <c r="A12" s="137" t="s">
        <v>146</v>
      </c>
      <c r="B12" s="138"/>
      <c r="C12" s="138"/>
      <c r="D12" s="138"/>
      <c r="E12" s="138"/>
      <c r="F12" s="138"/>
      <c r="G12" s="139"/>
    </row>
    <row r="13" spans="1:11" ht="25.5" x14ac:dyDescent="0.25">
      <c r="A13" s="1" t="s">
        <v>1</v>
      </c>
      <c r="B13" s="2" t="s">
        <v>2</v>
      </c>
      <c r="C13" s="2" t="s">
        <v>3</v>
      </c>
      <c r="D13" s="2" t="s">
        <v>4</v>
      </c>
      <c r="E13" s="2" t="s">
        <v>5</v>
      </c>
      <c r="F13" s="2" t="s">
        <v>6</v>
      </c>
      <c r="G13" s="2" t="s">
        <v>7</v>
      </c>
    </row>
    <row r="14" spans="1:11" x14ac:dyDescent="0.25">
      <c r="A14" s="3">
        <v>46134</v>
      </c>
      <c r="B14" s="4">
        <v>0.42430555555555555</v>
      </c>
      <c r="C14" s="80">
        <v>2764</v>
      </c>
      <c r="D14" s="6">
        <v>18</v>
      </c>
      <c r="E14" s="21"/>
      <c r="F14" s="6">
        <f>D14</f>
        <v>18</v>
      </c>
      <c r="G14" s="6" t="s">
        <v>145</v>
      </c>
    </row>
    <row r="15" spans="1:11" x14ac:dyDescent="0.25">
      <c r="A15" s="3">
        <v>46156</v>
      </c>
      <c r="B15" s="4">
        <v>0.1388888888888889</v>
      </c>
      <c r="C15" s="80">
        <v>7676</v>
      </c>
      <c r="D15" s="6"/>
      <c r="E15" s="31">
        <v>11</v>
      </c>
      <c r="F15" s="6">
        <f>F14+D15-E15</f>
        <v>7</v>
      </c>
      <c r="G15" s="6" t="s">
        <v>145</v>
      </c>
      <c r="H15" s="39"/>
      <c r="I15" s="39"/>
      <c r="K15">
        <v>43</v>
      </c>
    </row>
    <row r="16" spans="1:11" x14ac:dyDescent="0.25">
      <c r="A16" s="3">
        <v>46161</v>
      </c>
      <c r="B16" s="4">
        <v>0.5</v>
      </c>
      <c r="C16" s="80">
        <v>7677</v>
      </c>
      <c r="D16" s="6"/>
      <c r="E16" s="31">
        <v>4</v>
      </c>
      <c r="F16" s="6">
        <f t="shared" ref="F16:F23" si="0">F15+D16-E16</f>
        <v>3</v>
      </c>
      <c r="G16" s="6" t="s">
        <v>145</v>
      </c>
      <c r="H16" s="39" t="s">
        <v>167</v>
      </c>
      <c r="I16" s="39"/>
    </row>
    <row r="17" spans="1:9" x14ac:dyDescent="0.25">
      <c r="A17" s="3">
        <v>46174</v>
      </c>
      <c r="B17" s="4">
        <v>0.14583333333333334</v>
      </c>
      <c r="C17" s="80">
        <v>7697</v>
      </c>
      <c r="D17" s="6"/>
      <c r="E17" s="31">
        <v>1</v>
      </c>
      <c r="F17" s="6">
        <f t="shared" si="0"/>
        <v>2</v>
      </c>
      <c r="G17" s="6" t="s">
        <v>157</v>
      </c>
    </row>
    <row r="18" spans="1:9" x14ac:dyDescent="0.25">
      <c r="A18" s="3">
        <v>46183</v>
      </c>
      <c r="B18" s="4">
        <v>0.3125</v>
      </c>
      <c r="C18" s="5">
        <v>2823</v>
      </c>
      <c r="D18" s="59">
        <v>31</v>
      </c>
      <c r="E18" s="21"/>
      <c r="F18" s="6">
        <f t="shared" si="0"/>
        <v>33</v>
      </c>
      <c r="G18" s="6" t="s">
        <v>190</v>
      </c>
    </row>
    <row r="19" spans="1:9" x14ac:dyDescent="0.25">
      <c r="A19" s="3" t="s">
        <v>219</v>
      </c>
      <c r="B19" s="4">
        <v>8.7499999999999994E-2</v>
      </c>
      <c r="C19" s="5">
        <v>2831</v>
      </c>
      <c r="D19" s="61">
        <v>2</v>
      </c>
      <c r="E19" s="21"/>
      <c r="F19" s="6">
        <f t="shared" si="0"/>
        <v>35</v>
      </c>
      <c r="G19" s="6" t="s">
        <v>220</v>
      </c>
    </row>
    <row r="20" spans="1:9" x14ac:dyDescent="0.25">
      <c r="A20" s="3">
        <v>46195</v>
      </c>
      <c r="B20" s="37">
        <v>0.1875</v>
      </c>
      <c r="C20" s="80">
        <v>7713</v>
      </c>
      <c r="D20" s="21"/>
      <c r="E20" s="21">
        <v>20</v>
      </c>
      <c r="F20" s="6">
        <f t="shared" si="0"/>
        <v>15</v>
      </c>
      <c r="G20" s="6" t="s">
        <v>220</v>
      </c>
    </row>
    <row r="21" spans="1:9" x14ac:dyDescent="0.25">
      <c r="A21" s="3">
        <v>46196</v>
      </c>
      <c r="B21" s="4">
        <v>8.4722222222222227E-2</v>
      </c>
      <c r="C21" s="80">
        <v>7714</v>
      </c>
      <c r="D21" s="21"/>
      <c r="E21" s="21">
        <v>3</v>
      </c>
      <c r="F21" s="6">
        <f t="shared" si="0"/>
        <v>12</v>
      </c>
      <c r="G21" s="6" t="s">
        <v>220</v>
      </c>
      <c r="H21" s="39" t="s">
        <v>238</v>
      </c>
      <c r="I21" s="39"/>
    </row>
    <row r="22" spans="1:9" x14ac:dyDescent="0.25">
      <c r="A22" s="3" t="s">
        <v>242</v>
      </c>
      <c r="B22" s="4">
        <v>0.48402777777777778</v>
      </c>
      <c r="C22" s="80">
        <v>7719</v>
      </c>
      <c r="D22" s="21"/>
      <c r="E22" s="21">
        <v>1</v>
      </c>
      <c r="F22" s="6">
        <f t="shared" si="0"/>
        <v>11</v>
      </c>
      <c r="G22" s="6" t="s">
        <v>88</v>
      </c>
      <c r="H22" s="81"/>
      <c r="I22" s="81"/>
    </row>
    <row r="23" spans="1:9" ht="26.25" x14ac:dyDescent="0.25">
      <c r="A23" s="3">
        <v>46203</v>
      </c>
      <c r="B23" s="4" t="s">
        <v>245</v>
      </c>
      <c r="C23" s="6">
        <v>2847</v>
      </c>
      <c r="D23" s="59">
        <v>7</v>
      </c>
      <c r="E23" s="21"/>
      <c r="F23" s="6">
        <f t="shared" si="0"/>
        <v>18</v>
      </c>
      <c r="G23" s="6" t="s">
        <v>244</v>
      </c>
      <c r="H23" s="81" t="s">
        <v>246</v>
      </c>
      <c r="I23" s="81"/>
    </row>
    <row r="24" spans="1:9" ht="26.25" x14ac:dyDescent="0.25">
      <c r="A24" s="3">
        <v>46220</v>
      </c>
      <c r="B24" s="4">
        <v>0.16666666666666666</v>
      </c>
      <c r="C24" s="6">
        <v>7733</v>
      </c>
      <c r="D24" s="59"/>
      <c r="E24" s="115">
        <v>18</v>
      </c>
      <c r="F24" s="6"/>
      <c r="G24" s="6" t="s">
        <v>244</v>
      </c>
      <c r="H24" s="81"/>
      <c r="I24" s="81"/>
    </row>
    <row r="25" spans="1:9" x14ac:dyDescent="0.25">
      <c r="A25" s="3">
        <v>46258</v>
      </c>
      <c r="B25" s="4">
        <v>0.38194444444444442</v>
      </c>
      <c r="C25" s="6">
        <v>2898</v>
      </c>
      <c r="D25" s="59">
        <v>2</v>
      </c>
      <c r="E25" s="21"/>
      <c r="F25" s="6"/>
      <c r="G25" s="6" t="s">
        <v>290</v>
      </c>
      <c r="H25" s="81"/>
      <c r="I25" s="81"/>
    </row>
    <row r="26" spans="1:9" x14ac:dyDescent="0.25">
      <c r="A26" s="3">
        <v>46259</v>
      </c>
      <c r="B26" s="4">
        <v>0.41666666666666669</v>
      </c>
      <c r="C26" s="6">
        <v>2901</v>
      </c>
      <c r="D26" s="59">
        <v>7</v>
      </c>
      <c r="E26" s="21"/>
      <c r="F26" s="6"/>
      <c r="G26" s="6" t="s">
        <v>291</v>
      </c>
      <c r="H26" s="81"/>
      <c r="I26" s="81"/>
    </row>
    <row r="27" spans="1:9" x14ac:dyDescent="0.25">
      <c r="A27" s="3">
        <v>46265</v>
      </c>
      <c r="B27" s="4">
        <v>0.13750000000000001</v>
      </c>
      <c r="C27" s="6"/>
      <c r="D27" s="59"/>
      <c r="E27" s="21">
        <v>2</v>
      </c>
      <c r="F27" s="6"/>
      <c r="G27" s="6" t="s">
        <v>290</v>
      </c>
      <c r="H27" s="81"/>
      <c r="I27" s="81"/>
    </row>
    <row r="28" spans="1:9" x14ac:dyDescent="0.25">
      <c r="A28" s="3">
        <v>46273</v>
      </c>
      <c r="B28" s="4">
        <v>0.14722222222222223</v>
      </c>
      <c r="C28" s="6">
        <v>7765</v>
      </c>
      <c r="D28" s="59"/>
      <c r="E28" s="21">
        <v>7</v>
      </c>
      <c r="F28" s="6"/>
      <c r="G28" s="6" t="s">
        <v>291</v>
      </c>
      <c r="H28" s="81"/>
      <c r="I28" s="81"/>
    </row>
    <row r="29" spans="1:9" x14ac:dyDescent="0.25">
      <c r="A29" s="3">
        <v>46290</v>
      </c>
      <c r="B29" s="4">
        <v>6.8750000000000006E-2</v>
      </c>
      <c r="C29" s="6">
        <v>2945</v>
      </c>
      <c r="D29" s="59">
        <v>30</v>
      </c>
      <c r="E29" s="21"/>
      <c r="F29" s="6"/>
      <c r="G29" s="6"/>
      <c r="H29" s="81"/>
      <c r="I29" s="81"/>
    </row>
    <row r="30" spans="1:9" x14ac:dyDescent="0.25">
      <c r="A30" s="55" t="s">
        <v>8</v>
      </c>
      <c r="B30" s="56"/>
      <c r="C30" s="56"/>
      <c r="D30" s="68">
        <f>SUM(D14:D29)</f>
        <v>97</v>
      </c>
      <c r="E30" s="69">
        <f>SUM(E15:E28)</f>
        <v>67</v>
      </c>
      <c r="F30" s="8">
        <f>SUM(D14:D23) - SUM(E14:E22)</f>
        <v>18</v>
      </c>
      <c r="G30" s="9">
        <f>D30-E30</f>
        <v>30</v>
      </c>
    </row>
    <row r="33" spans="1:7" ht="15.75" x14ac:dyDescent="0.25">
      <c r="A33" s="137" t="s">
        <v>74</v>
      </c>
      <c r="B33" s="138"/>
      <c r="C33" s="138"/>
      <c r="D33" s="138"/>
      <c r="E33" s="138"/>
      <c r="F33" s="138"/>
      <c r="G33" s="139"/>
    </row>
    <row r="34" spans="1:7" ht="25.5" x14ac:dyDescent="0.25">
      <c r="A34" s="1" t="s">
        <v>1</v>
      </c>
      <c r="B34" s="2" t="s">
        <v>2</v>
      </c>
      <c r="C34" s="2" t="s">
        <v>3</v>
      </c>
      <c r="D34" s="2" t="s">
        <v>4</v>
      </c>
      <c r="E34" s="2" t="s">
        <v>5</v>
      </c>
      <c r="F34" s="2" t="s">
        <v>6</v>
      </c>
      <c r="G34" s="2" t="s">
        <v>7</v>
      </c>
    </row>
    <row r="35" spans="1:7" ht="26.25" x14ac:dyDescent="0.25">
      <c r="A35" s="3">
        <v>46057</v>
      </c>
      <c r="B35" s="37">
        <v>0.12361111111111112</v>
      </c>
      <c r="C35" s="5">
        <v>2672</v>
      </c>
      <c r="D35" s="6">
        <v>5</v>
      </c>
      <c r="E35" s="6"/>
      <c r="F35" s="6">
        <f>D35</f>
        <v>5</v>
      </c>
      <c r="G35" s="6" t="s">
        <v>71</v>
      </c>
    </row>
    <row r="36" spans="1:7" x14ac:dyDescent="0.25">
      <c r="A36" s="3">
        <v>46077</v>
      </c>
      <c r="B36" s="37" t="s">
        <v>81</v>
      </c>
      <c r="C36" s="5">
        <v>7609</v>
      </c>
      <c r="D36" s="6"/>
      <c r="E36" s="7">
        <v>2</v>
      </c>
      <c r="F36" s="7">
        <f>F35+D36-E36</f>
        <v>3</v>
      </c>
      <c r="G36" s="6" t="s">
        <v>41</v>
      </c>
    </row>
    <row r="37" spans="1:7" ht="26.25" x14ac:dyDescent="0.25">
      <c r="A37" s="3">
        <v>46197</v>
      </c>
      <c r="B37" s="37">
        <v>0.46250000000000002</v>
      </c>
      <c r="C37" s="5">
        <v>7715</v>
      </c>
      <c r="D37" s="21"/>
      <c r="E37" s="59">
        <v>1</v>
      </c>
      <c r="F37" s="6">
        <f>F36+D37-E37</f>
        <v>2</v>
      </c>
      <c r="G37" s="6" t="s">
        <v>71</v>
      </c>
    </row>
    <row r="38" spans="1:7" ht="26.25" x14ac:dyDescent="0.25">
      <c r="A38" s="3">
        <v>46220</v>
      </c>
      <c r="B38" s="4">
        <v>0.16666666666666666</v>
      </c>
      <c r="C38" s="5">
        <v>7733</v>
      </c>
      <c r="D38" s="21"/>
      <c r="E38" s="33">
        <v>1</v>
      </c>
      <c r="F38" s="6"/>
      <c r="G38" s="6" t="s">
        <v>71</v>
      </c>
    </row>
    <row r="39" spans="1:7" x14ac:dyDescent="0.25">
      <c r="A39" s="3">
        <v>46265</v>
      </c>
      <c r="B39" s="4">
        <v>0.38541666666666669</v>
      </c>
      <c r="C39" s="5">
        <v>2907</v>
      </c>
      <c r="D39" s="30">
        <v>11</v>
      </c>
      <c r="E39" s="115"/>
      <c r="F39" s="6"/>
      <c r="G39" s="6" t="s">
        <v>293</v>
      </c>
    </row>
    <row r="40" spans="1:7" x14ac:dyDescent="0.25">
      <c r="A40" s="3">
        <v>46269</v>
      </c>
      <c r="B40" s="4">
        <v>0.47916666666666669</v>
      </c>
      <c r="C40" s="5">
        <v>7760</v>
      </c>
      <c r="D40" s="30"/>
      <c r="E40" s="115">
        <v>11</v>
      </c>
      <c r="F40" s="6"/>
      <c r="G40" s="6" t="s">
        <v>300</v>
      </c>
    </row>
    <row r="41" spans="1:7" x14ac:dyDescent="0.25">
      <c r="A41" s="140" t="s">
        <v>8</v>
      </c>
      <c r="B41" s="141"/>
      <c r="C41" s="141"/>
      <c r="D41" s="68">
        <f>SUM(D35:D39)</f>
        <v>16</v>
      </c>
      <c r="E41" s="69">
        <f>SUM(E36:E40)</f>
        <v>15</v>
      </c>
      <c r="F41" s="8">
        <f>SUM(D35:D38) - SUM(E35:E38)</f>
        <v>1</v>
      </c>
      <c r="G41" s="119">
        <f>D41-E41</f>
        <v>1</v>
      </c>
    </row>
    <row r="43" spans="1:7" x14ac:dyDescent="0.25">
      <c r="A43" s="10"/>
      <c r="B43" s="11"/>
      <c r="C43" s="11"/>
      <c r="E43" s="11"/>
      <c r="F43" s="12"/>
      <c r="G43" s="13"/>
    </row>
    <row r="44" spans="1:7" ht="15.75" x14ac:dyDescent="0.25">
      <c r="A44" s="137" t="s">
        <v>10</v>
      </c>
      <c r="B44" s="138"/>
      <c r="C44" s="138"/>
      <c r="D44" s="138"/>
      <c r="E44" s="138"/>
      <c r="F44" s="138"/>
      <c r="G44" s="139"/>
    </row>
    <row r="45" spans="1:7" ht="25.5" x14ac:dyDescent="0.25">
      <c r="A45" s="1" t="s">
        <v>1</v>
      </c>
      <c r="B45" s="2" t="s">
        <v>2</v>
      </c>
      <c r="C45" s="2" t="s">
        <v>3</v>
      </c>
      <c r="D45" s="2" t="s">
        <v>4</v>
      </c>
      <c r="E45" s="2" t="s">
        <v>5</v>
      </c>
      <c r="F45" s="2" t="s">
        <v>6</v>
      </c>
      <c r="G45" s="2" t="s">
        <v>7</v>
      </c>
    </row>
    <row r="46" spans="1:7" ht="26.25" x14ac:dyDescent="0.25">
      <c r="A46" s="3">
        <v>46057</v>
      </c>
      <c r="B46" s="37" t="s">
        <v>73</v>
      </c>
      <c r="C46" s="36">
        <v>2672</v>
      </c>
      <c r="D46" s="7">
        <v>21</v>
      </c>
      <c r="E46" s="6"/>
      <c r="F46" s="6"/>
      <c r="G46" s="6" t="s">
        <v>71</v>
      </c>
    </row>
    <row r="47" spans="1:7" x14ac:dyDescent="0.25">
      <c r="A47" s="3">
        <v>46086</v>
      </c>
      <c r="B47" s="37">
        <v>0.45694444444444443</v>
      </c>
      <c r="C47" s="36">
        <v>7619</v>
      </c>
      <c r="D47" s="6"/>
      <c r="E47" s="6">
        <v>1</v>
      </c>
      <c r="F47" s="6"/>
      <c r="G47" s="6"/>
    </row>
    <row r="48" spans="1:7" x14ac:dyDescent="0.25">
      <c r="A48" s="3">
        <v>46085</v>
      </c>
      <c r="B48" s="37">
        <v>0.35902777777777778</v>
      </c>
      <c r="C48" s="36">
        <v>2712</v>
      </c>
      <c r="D48" s="6">
        <v>9</v>
      </c>
      <c r="E48" s="6"/>
      <c r="F48" s="6"/>
      <c r="G48" s="6" t="s">
        <v>88</v>
      </c>
    </row>
    <row r="49" spans="1:8" ht="20.25" customHeight="1" x14ac:dyDescent="0.25">
      <c r="A49" s="3">
        <v>46085</v>
      </c>
      <c r="B49" s="37"/>
      <c r="C49" s="36">
        <v>2713</v>
      </c>
      <c r="D49" s="6">
        <v>3</v>
      </c>
      <c r="E49" s="6"/>
      <c r="F49" s="6"/>
      <c r="G49" s="6" t="s">
        <v>17</v>
      </c>
    </row>
    <row r="50" spans="1:8" x14ac:dyDescent="0.25">
      <c r="A50" s="3">
        <v>46091</v>
      </c>
      <c r="B50" s="37">
        <v>0.42222222222222222</v>
      </c>
      <c r="C50" s="36">
        <v>7622</v>
      </c>
      <c r="D50" s="6"/>
      <c r="E50" s="6">
        <v>9</v>
      </c>
      <c r="F50" s="6" t="s">
        <v>105</v>
      </c>
      <c r="G50" s="6" t="s">
        <v>88</v>
      </c>
    </row>
    <row r="51" spans="1:8" x14ac:dyDescent="0.25">
      <c r="A51" s="3">
        <v>46107</v>
      </c>
      <c r="B51" s="37">
        <v>6.25E-2</v>
      </c>
      <c r="C51" s="36">
        <v>2739</v>
      </c>
      <c r="D51" s="6">
        <v>3</v>
      </c>
      <c r="E51" s="6"/>
      <c r="F51" s="6"/>
      <c r="G51" s="6" t="s">
        <v>118</v>
      </c>
    </row>
    <row r="52" spans="1:8" x14ac:dyDescent="0.25">
      <c r="A52" s="3">
        <v>46113</v>
      </c>
      <c r="B52" s="37">
        <v>0.44513888888888886</v>
      </c>
      <c r="C52" s="36">
        <v>7644</v>
      </c>
      <c r="D52" s="6"/>
      <c r="E52" s="6">
        <v>2</v>
      </c>
      <c r="F52" s="6"/>
      <c r="G52" s="6" t="s">
        <v>119</v>
      </c>
    </row>
    <row r="53" spans="1:8" x14ac:dyDescent="0.25">
      <c r="A53" s="3">
        <v>46120</v>
      </c>
      <c r="B53" s="37">
        <v>0.34097222222222223</v>
      </c>
      <c r="C53" s="36">
        <v>2750</v>
      </c>
      <c r="D53" s="6">
        <v>6</v>
      </c>
      <c r="E53" s="6"/>
      <c r="F53" s="6"/>
      <c r="G53" s="6" t="s">
        <v>123</v>
      </c>
    </row>
    <row r="54" spans="1:8" x14ac:dyDescent="0.25">
      <c r="A54" s="3">
        <v>46125</v>
      </c>
      <c r="B54" s="37">
        <v>0.14583333333333334</v>
      </c>
      <c r="C54" s="5">
        <v>7651</v>
      </c>
      <c r="D54" s="21"/>
      <c r="E54" s="21">
        <v>3</v>
      </c>
      <c r="F54" s="6"/>
      <c r="G54" s="6" t="s">
        <v>118</v>
      </c>
    </row>
    <row r="55" spans="1:8" x14ac:dyDescent="0.25">
      <c r="A55" s="3">
        <v>46129</v>
      </c>
      <c r="B55" s="37">
        <v>8.3333333333333329E-2</v>
      </c>
      <c r="C55" s="5">
        <v>7656</v>
      </c>
      <c r="D55" s="21"/>
      <c r="E55" s="21">
        <v>6</v>
      </c>
      <c r="F55" s="6"/>
      <c r="G55" s="6" t="s">
        <v>123</v>
      </c>
      <c r="H55">
        <v>21</v>
      </c>
    </row>
    <row r="56" spans="1:8" x14ac:dyDescent="0.25">
      <c r="A56" s="3">
        <v>46189</v>
      </c>
      <c r="B56" s="4">
        <v>0.14374999999999999</v>
      </c>
      <c r="C56" s="5">
        <v>2829</v>
      </c>
      <c r="D56" s="61">
        <v>12</v>
      </c>
      <c r="E56" s="6"/>
      <c r="F56" s="6"/>
      <c r="G56" s="6" t="s">
        <v>206</v>
      </c>
    </row>
    <row r="57" spans="1:8" x14ac:dyDescent="0.25">
      <c r="A57" s="3" t="s">
        <v>236</v>
      </c>
      <c r="B57" s="4">
        <v>8.4722222222222227E-2</v>
      </c>
      <c r="C57" s="5">
        <v>7714</v>
      </c>
      <c r="D57" s="21"/>
      <c r="E57" s="59">
        <v>5</v>
      </c>
      <c r="F57" s="6"/>
      <c r="G57" s="6" t="s">
        <v>206</v>
      </c>
      <c r="H57" t="s">
        <v>237</v>
      </c>
    </row>
    <row r="58" spans="1:8" ht="26.25" x14ac:dyDescent="0.25">
      <c r="A58" s="3">
        <v>46197</v>
      </c>
      <c r="B58" s="4">
        <v>0.46250000000000002</v>
      </c>
      <c r="C58" s="5">
        <v>7715</v>
      </c>
      <c r="D58" s="21"/>
      <c r="E58" s="7">
        <v>7</v>
      </c>
      <c r="F58" s="6"/>
      <c r="G58" s="6" t="s">
        <v>71</v>
      </c>
    </row>
    <row r="59" spans="1:8" x14ac:dyDescent="0.25">
      <c r="A59" s="3">
        <v>46213</v>
      </c>
      <c r="B59" s="4">
        <v>0.2013888888888889</v>
      </c>
      <c r="C59" s="5">
        <v>7730</v>
      </c>
      <c r="D59" s="30"/>
      <c r="E59" s="115">
        <v>7</v>
      </c>
      <c r="F59" s="6"/>
      <c r="G59" s="6" t="s">
        <v>206</v>
      </c>
    </row>
    <row r="60" spans="1:8" ht="26.25" x14ac:dyDescent="0.25">
      <c r="A60" s="3">
        <v>46276</v>
      </c>
      <c r="B60" s="4">
        <v>8.1944444444444445E-2</v>
      </c>
      <c r="C60" s="5">
        <v>7770</v>
      </c>
      <c r="D60" s="30"/>
      <c r="E60" s="115">
        <v>2</v>
      </c>
      <c r="F60" s="6"/>
      <c r="G60" s="6" t="s">
        <v>71</v>
      </c>
    </row>
    <row r="61" spans="1:8" x14ac:dyDescent="0.25">
      <c r="A61" s="55" t="s">
        <v>8</v>
      </c>
      <c r="B61" s="56"/>
      <c r="C61" s="56"/>
      <c r="D61" s="117">
        <f>SUM(D46:D60)-I58</f>
        <v>54</v>
      </c>
      <c r="E61" s="116">
        <f>SUM(E47:E60)</f>
        <v>42</v>
      </c>
      <c r="F61" s="70">
        <f>D61-E61</f>
        <v>12</v>
      </c>
      <c r="G61" s="118">
        <f>D61-E61</f>
        <v>12</v>
      </c>
    </row>
    <row r="63" spans="1:8" ht="15.75" x14ac:dyDescent="0.25">
      <c r="A63" s="137" t="s">
        <v>12</v>
      </c>
      <c r="B63" s="138"/>
      <c r="C63" s="138"/>
      <c r="D63" s="138"/>
      <c r="E63" s="138"/>
      <c r="F63" s="138"/>
      <c r="G63" s="139"/>
    </row>
    <row r="64" spans="1:8" ht="25.5" x14ac:dyDescent="0.25">
      <c r="A64" s="1" t="s">
        <v>1</v>
      </c>
      <c r="B64" s="2" t="s">
        <v>2</v>
      </c>
      <c r="C64" s="2" t="s">
        <v>3</v>
      </c>
      <c r="D64" s="2" t="s">
        <v>4</v>
      </c>
      <c r="E64" s="2" t="s">
        <v>5</v>
      </c>
      <c r="F64" s="2" t="s">
        <v>6</v>
      </c>
      <c r="G64" s="2" t="s">
        <v>7</v>
      </c>
    </row>
    <row r="65" spans="1:7" x14ac:dyDescent="0.25">
      <c r="A65" s="3">
        <v>45867</v>
      </c>
      <c r="B65" s="4">
        <v>0.34097222222222223</v>
      </c>
      <c r="C65" s="5">
        <v>2500</v>
      </c>
      <c r="D65" s="7">
        <v>4</v>
      </c>
      <c r="E65" s="6"/>
      <c r="F65" s="6">
        <f>D65</f>
        <v>4</v>
      </c>
      <c r="G65" s="6" t="s">
        <v>13</v>
      </c>
    </row>
    <row r="66" spans="1:7" x14ac:dyDescent="0.25">
      <c r="A66" s="3">
        <v>45874</v>
      </c>
      <c r="B66" s="4">
        <v>0.45833333333333331</v>
      </c>
      <c r="C66" s="5">
        <v>7484</v>
      </c>
      <c r="D66" s="6"/>
      <c r="E66" s="7">
        <v>4</v>
      </c>
      <c r="F66" s="6">
        <f>F65+D66-E66</f>
        <v>0</v>
      </c>
      <c r="G66" s="6" t="s">
        <v>13</v>
      </c>
    </row>
    <row r="67" spans="1:7" x14ac:dyDescent="0.25">
      <c r="A67" s="3"/>
      <c r="B67" s="4"/>
      <c r="C67" s="5"/>
      <c r="D67" s="6"/>
      <c r="E67" s="6"/>
      <c r="F67" s="6">
        <f>F66+D67-E67</f>
        <v>0</v>
      </c>
      <c r="G67" s="6"/>
    </row>
    <row r="68" spans="1:7" x14ac:dyDescent="0.25">
      <c r="A68" s="3"/>
      <c r="B68" s="4"/>
      <c r="C68" s="5"/>
      <c r="D68" s="6"/>
      <c r="E68" s="6"/>
      <c r="F68" s="6"/>
      <c r="G68" s="6"/>
    </row>
    <row r="69" spans="1:7" x14ac:dyDescent="0.25">
      <c r="A69" s="140" t="s">
        <v>8</v>
      </c>
      <c r="B69" s="141"/>
      <c r="C69" s="141"/>
      <c r="D69" s="141"/>
      <c r="E69" s="142"/>
      <c r="F69" s="8">
        <f>SUM(D65:D68) - SUM(E65:E68)</f>
        <v>0</v>
      </c>
      <c r="G69" s="9"/>
    </row>
    <row r="71" spans="1:7" ht="15.75" x14ac:dyDescent="0.25">
      <c r="A71" s="137" t="s">
        <v>14</v>
      </c>
      <c r="B71" s="138"/>
      <c r="C71" s="138"/>
      <c r="D71" s="138"/>
      <c r="E71" s="138"/>
      <c r="F71" s="138"/>
      <c r="G71" s="139"/>
    </row>
    <row r="72" spans="1:7" ht="25.5" x14ac:dyDescent="0.25">
      <c r="A72" s="1" t="s">
        <v>1</v>
      </c>
      <c r="B72" s="2" t="s">
        <v>2</v>
      </c>
      <c r="C72" s="2" t="s">
        <v>3</v>
      </c>
      <c r="D72" s="2" t="s">
        <v>4</v>
      </c>
      <c r="E72" s="2" t="s">
        <v>5</v>
      </c>
      <c r="F72" s="2" t="s">
        <v>6</v>
      </c>
      <c r="G72" s="2" t="s">
        <v>7</v>
      </c>
    </row>
    <row r="73" spans="1:7" ht="26.25" x14ac:dyDescent="0.25">
      <c r="A73" s="3">
        <v>45799</v>
      </c>
      <c r="B73" s="4">
        <v>0.44444444444444442</v>
      </c>
      <c r="C73" s="5">
        <v>2381</v>
      </c>
      <c r="D73" s="7">
        <v>14</v>
      </c>
      <c r="E73" s="6"/>
      <c r="F73" s="6">
        <f>D73</f>
        <v>14</v>
      </c>
      <c r="G73" s="6" t="s">
        <v>15</v>
      </c>
    </row>
    <row r="74" spans="1:7" ht="26.25" x14ac:dyDescent="0.25">
      <c r="A74" s="3">
        <v>45807</v>
      </c>
      <c r="B74" s="4">
        <v>6.6666666666666666E-2</v>
      </c>
      <c r="C74" s="5">
        <v>7411</v>
      </c>
      <c r="D74" s="6"/>
      <c r="E74" s="7">
        <v>14</v>
      </c>
      <c r="F74" s="6">
        <f>F73+D74-E74</f>
        <v>0</v>
      </c>
      <c r="G74" s="6" t="s">
        <v>15</v>
      </c>
    </row>
    <row r="75" spans="1:7" ht="26.25" x14ac:dyDescent="0.25">
      <c r="A75" s="3">
        <v>45993</v>
      </c>
      <c r="B75" s="4">
        <v>0.37152777777777779</v>
      </c>
      <c r="C75" s="5">
        <v>2639</v>
      </c>
      <c r="D75" s="6">
        <v>9</v>
      </c>
      <c r="E75" s="6"/>
      <c r="F75" s="6">
        <f>F74+D75-E75</f>
        <v>9</v>
      </c>
      <c r="G75" s="6" t="s">
        <v>16</v>
      </c>
    </row>
    <row r="76" spans="1:7" ht="26.25" x14ac:dyDescent="0.25">
      <c r="A76" s="3">
        <v>46002</v>
      </c>
      <c r="B76" s="4">
        <v>0.39791666666666664</v>
      </c>
      <c r="C76" s="5">
        <v>7574</v>
      </c>
      <c r="D76" s="6"/>
      <c r="E76" s="6">
        <v>9</v>
      </c>
      <c r="F76" s="6"/>
      <c r="G76" s="6" t="s">
        <v>17</v>
      </c>
    </row>
    <row r="77" spans="1:7" x14ac:dyDescent="0.25">
      <c r="A77" s="140" t="s">
        <v>264</v>
      </c>
      <c r="B77" s="141"/>
      <c r="C77" s="141"/>
      <c r="D77" s="68">
        <f>SUM(D73:D76)</f>
        <v>23</v>
      </c>
      <c r="E77" s="69">
        <f>SUM(E74:E76)</f>
        <v>23</v>
      </c>
      <c r="F77" s="8">
        <f>SUM(D73:D76) - SUM(E73:E76)</f>
        <v>0</v>
      </c>
      <c r="G77" s="9">
        <f>D77-E77</f>
        <v>0</v>
      </c>
    </row>
    <row r="80" spans="1:7" ht="15.75" x14ac:dyDescent="0.25">
      <c r="A80" s="137" t="s">
        <v>44</v>
      </c>
      <c r="B80" s="138"/>
      <c r="C80" s="138"/>
      <c r="D80" s="138"/>
      <c r="E80" s="138"/>
      <c r="F80" s="138"/>
      <c r="G80" s="139"/>
    </row>
    <row r="81" spans="1:12" ht="25.5" x14ac:dyDescent="0.25">
      <c r="A81" s="1" t="s">
        <v>1</v>
      </c>
      <c r="B81" s="2" t="s">
        <v>2</v>
      </c>
      <c r="C81" s="2" t="s">
        <v>3</v>
      </c>
      <c r="D81" s="2" t="s">
        <v>4</v>
      </c>
      <c r="E81" s="2" t="s">
        <v>5</v>
      </c>
      <c r="F81" s="2" t="s">
        <v>6</v>
      </c>
      <c r="G81" s="2" t="s">
        <v>7</v>
      </c>
    </row>
    <row r="82" spans="1:12" x14ac:dyDescent="0.25">
      <c r="A82" s="17">
        <v>46041</v>
      </c>
      <c r="B82" s="4">
        <v>0.1388888888888889</v>
      </c>
      <c r="C82" s="34">
        <v>2661</v>
      </c>
      <c r="D82" s="59">
        <v>96</v>
      </c>
      <c r="E82" s="21"/>
      <c r="F82" s="7">
        <f>D82</f>
        <v>96</v>
      </c>
      <c r="G82" s="6" t="s">
        <v>41</v>
      </c>
    </row>
    <row r="83" spans="1:12" ht="26.25" x14ac:dyDescent="0.25">
      <c r="A83" s="17">
        <v>46057</v>
      </c>
      <c r="B83" s="4">
        <v>0.12361111111111112</v>
      </c>
      <c r="C83" s="34">
        <v>2672</v>
      </c>
      <c r="D83" s="107">
        <v>36</v>
      </c>
      <c r="E83" s="21"/>
      <c r="F83" s="6"/>
      <c r="G83" s="6" t="s">
        <v>71</v>
      </c>
    </row>
    <row r="84" spans="1:12" x14ac:dyDescent="0.25">
      <c r="A84" s="17">
        <v>46077</v>
      </c>
      <c r="B84" s="4">
        <v>0.20624999999999999</v>
      </c>
      <c r="C84" s="34">
        <v>7609</v>
      </c>
      <c r="D84" s="6"/>
      <c r="E84" s="31">
        <v>83</v>
      </c>
      <c r="F84" s="6"/>
      <c r="G84" s="6" t="s">
        <v>41</v>
      </c>
    </row>
    <row r="85" spans="1:12" x14ac:dyDescent="0.25">
      <c r="A85" s="17">
        <v>46087</v>
      </c>
      <c r="B85" s="4">
        <v>0.10416666666666667</v>
      </c>
      <c r="C85" s="34">
        <v>2717</v>
      </c>
      <c r="D85" s="6">
        <v>3</v>
      </c>
      <c r="E85" s="21"/>
      <c r="F85" s="6"/>
      <c r="G85" s="6"/>
    </row>
    <row r="86" spans="1:12" x14ac:dyDescent="0.25">
      <c r="A86" s="17">
        <v>46090</v>
      </c>
      <c r="B86" s="4" t="s">
        <v>99</v>
      </c>
      <c r="C86" s="34">
        <v>2718</v>
      </c>
      <c r="D86" s="6">
        <v>4</v>
      </c>
      <c r="E86" s="21"/>
      <c r="F86" s="6"/>
      <c r="G86" s="6" t="s">
        <v>100</v>
      </c>
    </row>
    <row r="87" spans="1:12" x14ac:dyDescent="0.25">
      <c r="A87" s="17">
        <v>46092</v>
      </c>
      <c r="B87" s="4">
        <v>9.583333333333334E-2</v>
      </c>
      <c r="C87" s="34">
        <v>7624</v>
      </c>
      <c r="D87" s="6"/>
      <c r="E87" s="21">
        <v>3</v>
      </c>
      <c r="F87" s="6"/>
      <c r="G87" s="6"/>
    </row>
    <row r="88" spans="1:12" x14ac:dyDescent="0.25">
      <c r="A88" s="17">
        <v>46097</v>
      </c>
      <c r="B88" s="4" t="s">
        <v>114</v>
      </c>
      <c r="C88" s="34">
        <v>7628</v>
      </c>
      <c r="D88" s="6"/>
      <c r="E88" s="21">
        <v>4</v>
      </c>
      <c r="F88" s="6"/>
      <c r="G88" s="6" t="s">
        <v>100</v>
      </c>
    </row>
    <row r="89" spans="1:12" x14ac:dyDescent="0.25">
      <c r="A89" s="3">
        <v>46101</v>
      </c>
      <c r="B89" s="4">
        <v>0.1875</v>
      </c>
      <c r="C89" s="5">
        <v>7636</v>
      </c>
      <c r="D89" s="6"/>
      <c r="E89" s="59">
        <v>14</v>
      </c>
      <c r="F89" s="6"/>
      <c r="G89" s="6" t="s">
        <v>61</v>
      </c>
      <c r="H89">
        <v>46</v>
      </c>
    </row>
    <row r="90" spans="1:12" x14ac:dyDescent="0.25">
      <c r="A90" s="3">
        <v>46134</v>
      </c>
      <c r="B90" s="4">
        <v>0.42430555555555555</v>
      </c>
      <c r="C90" s="5">
        <v>2764</v>
      </c>
      <c r="D90" s="109">
        <v>11</v>
      </c>
      <c r="E90" s="6"/>
      <c r="F90" s="6"/>
      <c r="G90" s="6" t="s">
        <v>145</v>
      </c>
    </row>
    <row r="91" spans="1:12" x14ac:dyDescent="0.25">
      <c r="A91" s="3">
        <v>46161</v>
      </c>
      <c r="B91" s="4">
        <v>0.5</v>
      </c>
      <c r="C91" s="44">
        <v>7677</v>
      </c>
      <c r="D91" s="6"/>
      <c r="E91" s="7">
        <v>10</v>
      </c>
      <c r="F91" s="6"/>
      <c r="G91" s="6" t="s">
        <v>145</v>
      </c>
      <c r="H91" t="s">
        <v>166</v>
      </c>
    </row>
    <row r="92" spans="1:12" x14ac:dyDescent="0.25">
      <c r="A92" s="3" t="s">
        <v>182</v>
      </c>
      <c r="B92" s="4">
        <v>0.14583333333333334</v>
      </c>
      <c r="C92" s="44">
        <v>7697</v>
      </c>
      <c r="D92" s="6"/>
      <c r="E92" s="7">
        <v>1</v>
      </c>
      <c r="F92" s="6"/>
      <c r="G92" s="6" t="s">
        <v>145</v>
      </c>
      <c r="L92" s="153"/>
    </row>
    <row r="93" spans="1:12" x14ac:dyDescent="0.25">
      <c r="A93" s="3">
        <v>46190</v>
      </c>
      <c r="B93" s="4">
        <v>8.7499999999999994E-2</v>
      </c>
      <c r="C93" s="44">
        <v>2831</v>
      </c>
      <c r="D93" s="77">
        <v>45</v>
      </c>
      <c r="E93" s="44"/>
      <c r="F93" s="6"/>
      <c r="G93" s="6" t="s">
        <v>218</v>
      </c>
    </row>
    <row r="94" spans="1:12" x14ac:dyDescent="0.25">
      <c r="A94" s="3">
        <v>46196</v>
      </c>
      <c r="B94" s="37">
        <v>8.4722222222222227E-2</v>
      </c>
      <c r="C94" s="79">
        <v>7714</v>
      </c>
      <c r="D94" s="78"/>
      <c r="E94" s="108">
        <v>40</v>
      </c>
      <c r="F94" s="6"/>
      <c r="G94" s="6" t="s">
        <v>218</v>
      </c>
      <c r="H94" t="s">
        <v>237</v>
      </c>
    </row>
    <row r="95" spans="1:12" ht="26.25" x14ac:dyDescent="0.25">
      <c r="A95" s="3">
        <v>46197</v>
      </c>
      <c r="B95" s="4">
        <v>0.46250000000000002</v>
      </c>
      <c r="C95" s="129">
        <v>7715</v>
      </c>
      <c r="D95" s="136"/>
      <c r="E95" s="106">
        <v>7</v>
      </c>
      <c r="F95" s="6"/>
      <c r="G95" s="6" t="s">
        <v>71</v>
      </c>
    </row>
    <row r="96" spans="1:12" ht="26.25" x14ac:dyDescent="0.25">
      <c r="A96" s="3">
        <v>46276</v>
      </c>
      <c r="B96" s="4">
        <v>8.1944444444444445E-2</v>
      </c>
      <c r="C96" s="129">
        <v>7770</v>
      </c>
      <c r="D96" s="127"/>
      <c r="E96" s="128">
        <v>31</v>
      </c>
      <c r="F96" s="6"/>
      <c r="G96" s="6" t="s">
        <v>307</v>
      </c>
    </row>
    <row r="97" spans="1:8" ht="26.25" x14ac:dyDescent="0.25">
      <c r="A97" s="3">
        <v>46301</v>
      </c>
      <c r="B97" s="4" t="s">
        <v>328</v>
      </c>
      <c r="C97" s="129">
        <v>2955</v>
      </c>
      <c r="D97" s="126">
        <v>47</v>
      </c>
      <c r="E97" s="128"/>
      <c r="F97" s="6"/>
      <c r="G97" s="6" t="s">
        <v>329</v>
      </c>
    </row>
    <row r="98" spans="1:8" x14ac:dyDescent="0.25">
      <c r="A98" s="55" t="s">
        <v>8</v>
      </c>
      <c r="B98" s="56"/>
      <c r="C98" s="56"/>
      <c r="D98" s="68">
        <f>SUM(D82:D97)</f>
        <v>242</v>
      </c>
      <c r="E98" s="69">
        <f>SUM(E83:E96)</f>
        <v>193</v>
      </c>
      <c r="F98" s="8">
        <f>SUM(D82:D95) - SUM(E82:E95)</f>
        <v>33</v>
      </c>
      <c r="G98" s="118">
        <f>D98-E98</f>
        <v>49</v>
      </c>
      <c r="H98" t="s">
        <v>247</v>
      </c>
    </row>
    <row r="100" spans="1:8" ht="15.75" x14ac:dyDescent="0.25">
      <c r="A100" s="137" t="s">
        <v>262</v>
      </c>
      <c r="B100" s="138"/>
      <c r="C100" s="138"/>
      <c r="D100" s="138"/>
      <c r="E100" s="138"/>
      <c r="F100" s="138"/>
      <c r="G100" s="139"/>
    </row>
    <row r="101" spans="1:8" ht="25.5" x14ac:dyDescent="0.25">
      <c r="A101" s="1" t="s">
        <v>1</v>
      </c>
      <c r="B101" s="2" t="s">
        <v>2</v>
      </c>
      <c r="C101" s="2" t="s">
        <v>3</v>
      </c>
      <c r="D101" s="2" t="s">
        <v>4</v>
      </c>
      <c r="E101" s="2" t="s">
        <v>5</v>
      </c>
      <c r="F101" s="2" t="s">
        <v>6</v>
      </c>
      <c r="G101" s="2" t="s">
        <v>7</v>
      </c>
    </row>
    <row r="102" spans="1:8" x14ac:dyDescent="0.25">
      <c r="A102" s="3">
        <v>46211</v>
      </c>
      <c r="B102" s="4">
        <v>6.25E-2</v>
      </c>
      <c r="C102" s="5">
        <v>2862</v>
      </c>
      <c r="D102" s="6">
        <v>14</v>
      </c>
      <c r="E102" s="6"/>
      <c r="F102" s="6">
        <f>D102</f>
        <v>14</v>
      </c>
      <c r="G102" s="6" t="s">
        <v>123</v>
      </c>
    </row>
    <row r="103" spans="1:8" x14ac:dyDescent="0.25">
      <c r="A103" s="3">
        <v>46217</v>
      </c>
      <c r="B103" s="4">
        <v>0.16666666666666666</v>
      </c>
      <c r="C103" s="5">
        <v>7732</v>
      </c>
      <c r="D103" s="6"/>
      <c r="E103" s="6">
        <v>14</v>
      </c>
      <c r="F103" s="6"/>
      <c r="G103" s="6" t="s">
        <v>123</v>
      </c>
    </row>
    <row r="104" spans="1:8" x14ac:dyDescent="0.25">
      <c r="A104" s="3"/>
      <c r="B104" s="4"/>
      <c r="C104" s="5"/>
      <c r="D104" s="6"/>
      <c r="E104" s="6"/>
      <c r="F104" s="6"/>
      <c r="G104" s="6"/>
    </row>
    <row r="105" spans="1:8" x14ac:dyDescent="0.25">
      <c r="A105" s="3"/>
      <c r="B105" s="4"/>
      <c r="C105" s="5"/>
      <c r="D105" s="6"/>
      <c r="E105" s="6"/>
      <c r="F105" s="6"/>
      <c r="G105" s="6"/>
    </row>
    <row r="106" spans="1:8" x14ac:dyDescent="0.25">
      <c r="A106" s="140" t="s">
        <v>8</v>
      </c>
      <c r="B106" s="141"/>
      <c r="C106" s="141"/>
      <c r="D106" s="141"/>
      <c r="E106" s="142"/>
      <c r="F106" s="8">
        <f>SUM(D102:D105) - SUM(E102:E105)</f>
        <v>0</v>
      </c>
      <c r="G106" s="9"/>
    </row>
  </sheetData>
  <mergeCells count="13">
    <mergeCell ref="A100:G100"/>
    <mergeCell ref="A106:E106"/>
    <mergeCell ref="A1:G1"/>
    <mergeCell ref="A12:G12"/>
    <mergeCell ref="A33:G33"/>
    <mergeCell ref="A80:G80"/>
    <mergeCell ref="A44:G44"/>
    <mergeCell ref="A63:G63"/>
    <mergeCell ref="A69:E69"/>
    <mergeCell ref="A71:G71"/>
    <mergeCell ref="A41:C41"/>
    <mergeCell ref="A9:C9"/>
    <mergeCell ref="A77:C77"/>
  </mergeCells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ALQUIOBRAS</vt:lpstr>
      <vt:lpstr>LUNA SANCHEZ</vt:lpstr>
      <vt:lpstr>Hoja1</vt:lpstr>
      <vt:lpstr>JEREZ</vt:lpstr>
      <vt:lpstr>EDWIN BARBOSA</vt:lpstr>
      <vt:lpstr>EL OPERADOR</vt:lpstr>
      <vt:lpstr>POLIMYS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Jaimes</dc:creator>
  <cp:lastModifiedBy>Jimmy Jaimes</cp:lastModifiedBy>
  <cp:lastPrinted>2026-10-05T21:06:31Z</cp:lastPrinted>
  <dcterms:created xsi:type="dcterms:W3CDTF">2015-06-05T18:19:34Z</dcterms:created>
  <dcterms:modified xsi:type="dcterms:W3CDTF">2026-10-08T18:24:27Z</dcterms:modified>
</cp:coreProperties>
</file>
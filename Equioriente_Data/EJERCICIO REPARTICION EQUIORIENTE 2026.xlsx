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5DD8B83-E92C-4A43-9CEB-C0A579A948EA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Calculo" sheetId="1" r:id="rId1"/>
    <sheet name="Propuesta 1" sheetId="2" state="hidden" r:id="rId2"/>
    <sheet name="Propuesta J1" sheetId="3" r:id="rId3"/>
    <sheet name="CALCULO PROPUESTA2" sheetId="5" r:id="rId4"/>
    <sheet name="PROPUESTA JIMMY 2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htuwCb0N63LQxSWUl/6+2D//lK540Dd1Y+fzCccvrRQ="/>
    </ext>
  </extLst>
</workbook>
</file>

<file path=xl/calcChain.xml><?xml version="1.0" encoding="utf-8"?>
<calcChain xmlns="http://schemas.openxmlformats.org/spreadsheetml/2006/main">
  <c r="K14" i="4" l="1"/>
  <c r="C24" i="4"/>
  <c r="K17" i="4"/>
  <c r="K16" i="4"/>
  <c r="K15" i="4"/>
  <c r="G24" i="4"/>
  <c r="G20" i="4"/>
  <c r="F20" i="4"/>
  <c r="G2" i="4"/>
  <c r="F2" i="4"/>
  <c r="E2" i="4"/>
  <c r="E3" i="4"/>
  <c r="D2" i="4"/>
  <c r="D3" i="4"/>
  <c r="F24" i="4"/>
  <c r="E24" i="4"/>
  <c r="D24" i="4"/>
  <c r="C7" i="4"/>
  <c r="C17" i="4"/>
  <c r="F16" i="4" s="1"/>
  <c r="G16" i="4" s="1"/>
  <c r="C38" i="5"/>
  <c r="C15" i="5"/>
  <c r="F12" i="4"/>
  <c r="C45" i="1"/>
  <c r="G15" i="1"/>
  <c r="C17" i="5" l="1"/>
  <c r="C19" i="5" s="1"/>
  <c r="C21" i="4"/>
  <c r="C25" i="5"/>
  <c r="F3" i="4" s="1"/>
  <c r="C24" i="5"/>
  <c r="C23" i="5"/>
  <c r="C22" i="5"/>
  <c r="G3" i="4" s="1"/>
  <c r="C26" i="5"/>
  <c r="D23" i="3"/>
  <c r="H22" i="3"/>
  <c r="D7" i="3"/>
  <c r="D23" i="2"/>
  <c r="H23" i="2" s="1"/>
  <c r="H22" i="2"/>
  <c r="L18" i="2"/>
  <c r="D7" i="2"/>
  <c r="D15" i="3"/>
  <c r="C41" i="1"/>
  <c r="D11" i="3" s="1"/>
  <c r="C20" i="1"/>
  <c r="D27" i="3" s="1"/>
  <c r="H27" i="3" s="1"/>
  <c r="E11" i="4" l="1"/>
  <c r="D11" i="4"/>
  <c r="G11" i="4"/>
  <c r="C3" i="4"/>
  <c r="C33" i="5"/>
  <c r="C32" i="5" s="1"/>
  <c r="H23" i="3"/>
  <c r="C31" i="5"/>
  <c r="C30" i="5"/>
  <c r="C29" i="5"/>
  <c r="D35" i="5"/>
  <c r="C22" i="1"/>
  <c r="C24" i="1" s="1"/>
  <c r="C28" i="1" s="1"/>
  <c r="G11" i="3"/>
  <c r="E11" i="3"/>
  <c r="D4" i="3"/>
  <c r="H11" i="3"/>
  <c r="F11" i="3"/>
  <c r="E15" i="3"/>
  <c r="G15" i="3"/>
  <c r="F15" i="3"/>
  <c r="H15" i="3"/>
  <c r="D15" i="2"/>
  <c r="D11" i="2"/>
  <c r="C42" i="1"/>
  <c r="D40" i="1" s="1"/>
  <c r="G23" i="2"/>
  <c r="D27" i="2"/>
  <c r="G23" i="3"/>
  <c r="C35" i="1" l="1"/>
  <c r="C27" i="1"/>
  <c r="H3" i="2" s="1"/>
  <c r="C29" i="1"/>
  <c r="C36" i="1"/>
  <c r="C34" i="1"/>
  <c r="C30" i="1"/>
  <c r="C37" i="1"/>
  <c r="D4" i="2"/>
  <c r="G3" i="2"/>
  <c r="E3" i="2"/>
  <c r="G3" i="3"/>
  <c r="G19" i="3" s="1"/>
  <c r="G18" i="3" s="1"/>
  <c r="J17" i="3" s="1"/>
  <c r="K17" i="3" s="1"/>
  <c r="F3" i="3"/>
  <c r="F19" i="3" s="1"/>
  <c r="F18" i="3" s="1"/>
  <c r="J16" i="3" s="1"/>
  <c r="K16" i="3" s="1"/>
  <c r="E3" i="3"/>
  <c r="E19" i="3" s="1"/>
  <c r="E18" i="3" s="1"/>
  <c r="J15" i="3" s="1"/>
  <c r="K15" i="3" s="1"/>
  <c r="F3" i="2"/>
  <c r="G27" i="2"/>
  <c r="H27" i="2"/>
  <c r="D41" i="1"/>
  <c r="H11" i="2"/>
  <c r="F11" i="2"/>
  <c r="G11" i="2"/>
  <c r="E11" i="2"/>
  <c r="E15" i="2"/>
  <c r="G15" i="2"/>
  <c r="F15" i="2"/>
  <c r="H15" i="2"/>
  <c r="C38" i="1" l="1"/>
  <c r="E4" i="3"/>
  <c r="H19" i="2"/>
  <c r="H18" i="2" s="1"/>
  <c r="M18" i="2" s="1"/>
  <c r="N18" i="2" s="1"/>
  <c r="H4" i="2"/>
  <c r="H3" i="3"/>
  <c r="H19" i="3" s="1"/>
  <c r="H18" i="3" s="1"/>
  <c r="J18" i="3" s="1"/>
  <c r="K18" i="3" s="1"/>
  <c r="C31" i="1"/>
  <c r="D3" i="3" s="1"/>
  <c r="G4" i="3"/>
  <c r="F19" i="2"/>
  <c r="F18" i="2" s="1"/>
  <c r="M16" i="2" s="1"/>
  <c r="N16" i="2" s="1"/>
  <c r="F4" i="3"/>
  <c r="E19" i="2"/>
  <c r="E18" i="2" s="1"/>
  <c r="M15" i="2" s="1"/>
  <c r="N15" i="2" s="1"/>
  <c r="G19" i="2"/>
  <c r="G18" i="2" s="1"/>
  <c r="M17" i="2" s="1"/>
  <c r="N17" i="2" s="1"/>
  <c r="F4" i="2" l="1"/>
  <c r="D3" i="2"/>
  <c r="H4" i="3"/>
  <c r="E4" i="2"/>
  <c r="G4" i="2"/>
  <c r="I4" i="4"/>
</calcChain>
</file>

<file path=xl/sharedStrings.xml><?xml version="1.0" encoding="utf-8"?>
<sst xmlns="http://schemas.openxmlformats.org/spreadsheetml/2006/main" count="257" uniqueCount="70">
  <si>
    <t>DESCRIPCION</t>
  </si>
  <si>
    <t>VALOR</t>
  </si>
  <si>
    <t>ONSERVACIONES</t>
  </si>
  <si>
    <t>BODEGA (AVALUO COMERCIAL)</t>
  </si>
  <si>
    <t>Avaluo realizado por arquitecto.</t>
  </si>
  <si>
    <t>CAMION (AVALUO COMERCIAL)</t>
  </si>
  <si>
    <t>Valor calculado de mercadolibre.</t>
  </si>
  <si>
    <t>EQUIPO DE CONSTRUCCION (AVALUO REAL)</t>
  </si>
  <si>
    <t>Valor aportado por Jimmy, luego del inventario.</t>
  </si>
  <si>
    <t>ANTICIPOS APTO PUERTA ORO</t>
  </si>
  <si>
    <t>CDT 1 - COMULTRASAN - 20/02/2025</t>
  </si>
  <si>
    <t>HEIDY ZION</t>
  </si>
  <si>
    <t>Pagado Septiembre 2025</t>
  </si>
  <si>
    <t>CDT 1 - Utilidades al 20/08/2025</t>
  </si>
  <si>
    <t>Utilidad a Agosto</t>
  </si>
  <si>
    <t>JHON ZION</t>
  </si>
  <si>
    <t>CDT 1 - Utilidades a diciembre</t>
  </si>
  <si>
    <t>Utilidad a diciembre</t>
  </si>
  <si>
    <t>JIMMY ZION</t>
  </si>
  <si>
    <t>CDT 2 - COOMULTRASAN  18/07/2025</t>
  </si>
  <si>
    <t>CDT 2 - Utilidades a 18/10/2025</t>
  </si>
  <si>
    <t>Utilidad a octubre</t>
  </si>
  <si>
    <t>CDT 2 - Utilidades a diciembre</t>
  </si>
  <si>
    <t>CDT 3 - BBVA 19/12/2025</t>
  </si>
  <si>
    <t>TOTAL</t>
  </si>
  <si>
    <t>CAJA</t>
  </si>
  <si>
    <t xml:space="preserve">BANCO </t>
  </si>
  <si>
    <t>Se resta el valor pendiente que debe incluirse en el CDT del BBVA</t>
  </si>
  <si>
    <t>CLIENTES</t>
  </si>
  <si>
    <t xml:space="preserve">PASIVOS </t>
  </si>
  <si>
    <t>Repartición entre los socios segun su porcentaje.</t>
  </si>
  <si>
    <t>Flor Alba Carrilo de Jaimes</t>
  </si>
  <si>
    <t>Heidy Milena Jaimes Carrillo</t>
  </si>
  <si>
    <t>Jhon Alexander Jaimes Carrillo</t>
  </si>
  <si>
    <t>Repartición entre lo socios descontando el efectivo pagado en Septiembre 2025</t>
  </si>
  <si>
    <t>Saldo Pendiente Apto Puerta de Oro</t>
  </si>
  <si>
    <t>Pagado</t>
  </si>
  <si>
    <t>Valor total</t>
  </si>
  <si>
    <t>CDTs</t>
  </si>
  <si>
    <t>Propuesta</t>
  </si>
  <si>
    <t>Total</t>
  </si>
  <si>
    <t>Heidy</t>
  </si>
  <si>
    <t>Jhon</t>
  </si>
  <si>
    <t>Jimmy</t>
  </si>
  <si>
    <t>Flor Alba</t>
  </si>
  <si>
    <t>Dinero  Repartido Venta de Zion</t>
  </si>
  <si>
    <t>Puerta de Oro - Pagado</t>
  </si>
  <si>
    <t>CDTs a Diciembre</t>
  </si>
  <si>
    <t>Arriendo Actual</t>
  </si>
  <si>
    <t>Arriendo Futuro</t>
  </si>
  <si>
    <t>Socio</t>
  </si>
  <si>
    <t>Porcentaje</t>
  </si>
  <si>
    <t>Bodega</t>
  </si>
  <si>
    <t>Flor</t>
  </si>
  <si>
    <t>Equioriente</t>
  </si>
  <si>
    <t>CAJA, BANCO, CLIENTES - PASIVOS</t>
  </si>
  <si>
    <t>Porcentajes</t>
  </si>
  <si>
    <t xml:space="preserve">Puerta de Oro </t>
  </si>
  <si>
    <t xml:space="preserve">Jimmy </t>
  </si>
  <si>
    <t>-</t>
  </si>
  <si>
    <t>Madre</t>
  </si>
  <si>
    <t>La utilidades del dinero de los CDT para la compra del apto se va repartir entre los 4 socios en partes iguales a partir del 1 de enero del 2026.</t>
  </si>
  <si>
    <t>Acordamos que seguiremos recibiendo el arriendo de $340.000 equivalente al 15% de cada socio, hasta definir lo del apto, luego miramos el aumento del arriendo de la bodega.</t>
  </si>
  <si>
    <t>Se hara un derecho de peticion para solicitar la devolucion del dinero aporta por el apto.</t>
  </si>
  <si>
    <t>Al momento de definir lo del apto, se realizará la ejecución de la propuesta.</t>
  </si>
  <si>
    <t>Valor del CDT incluyendo lo pendiente de Zion</t>
  </si>
  <si>
    <t>La utilidades del dinero de los CDT para la compra del apto se va repartir entre los 3 socios en partes iguales a partir del 1 de enero hasta el 31 de marzo del 2026.</t>
  </si>
  <si>
    <t>Se solicitara el traspaso de la propiedad del Apto puerta de Oro de Equioriente a Heidy y Jhon.</t>
  </si>
  <si>
    <t>Acordamos que seguiremos recibiendo el arriendo de $340.000 equivalente al 15% de cada socio, hasta pasar lla propiedad del apto, luego el aumento del arriendo de la bodega queda este año en $3,473,250.</t>
  </si>
  <si>
    <t>Jimmy Alfredo  Jaimes Carrillo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</si>
</sst>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\ * #,##0_-;\-&quot;$&quot;\ * #,##0_-;_-&quot;$&quot;\ * &quot;-&quot;??_-;_-@"/>
    <numFmt numFmtId="165" formatCode="#,##0.00\ [$€-1]"/>
    <numFmt numFmtId="166" formatCode="_-&quot;$&quot;\ * #,##0.00_-;\-&quot;$&quot;\ * #,##0.00_-;_-&quot;$&quot;\ * &quot;-&quot;??_-;_-@"/>
    <numFmt numFmtId="167" formatCode="0.000%"/>
  </numFmts>
  <fonts count="21"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</font>
    <font>
      <b/>
      <sz val="11"/>
      <color theme="1"/>
      <name val="Arial"/>
    </font>
    <font>
      <sz val="11"/>
      <color theme="1"/>
      <name val="Arial"/>
    </font>
    <font>
      <sz val="8"/>
      <color rgb="FF000000"/>
      <name val="Arial"/>
    </font>
    <font>
      <b/>
      <sz val="12"/>
      <color theme="1"/>
      <name val="Arial"/>
    </font>
    <font>
      <b/>
      <sz val="12"/>
      <color theme="1"/>
      <name val="Aptos Narrow"/>
    </font>
    <font>
      <b/>
      <sz val="13"/>
      <color theme="1"/>
      <name val="Arial"/>
    </font>
    <font>
      <sz val="11"/>
      <name val="Aptos Narrow"/>
    </font>
    <font>
      <sz val="10"/>
      <color theme="1"/>
      <name val="Aptos Narrow"/>
    </font>
    <font>
      <sz val="10"/>
      <color theme="1"/>
      <name val="Arial"/>
    </font>
    <font>
      <b/>
      <sz val="10"/>
      <color theme="1"/>
      <name val="Aptos Narrow"/>
    </font>
    <font>
      <b/>
      <sz val="10"/>
      <color theme="1"/>
      <name val="Arial"/>
    </font>
    <font>
      <b/>
      <sz val="10"/>
      <color theme="1"/>
      <name val="Aptos Narrow"/>
      <family val="2"/>
    </font>
    <font>
      <b/>
      <sz val="11"/>
      <name val="Aptos Narrow"/>
      <family val="2"/>
    </font>
    <font>
      <sz val="10"/>
      <color theme="1"/>
      <name val="Arial"/>
      <family val="2"/>
    </font>
    <font>
      <sz val="11"/>
      <color theme="1"/>
      <name val="Arial Black"/>
      <family val="2"/>
    </font>
    <font>
      <sz val="10"/>
      <color theme="1"/>
      <name val="Aptos Narrow"/>
      <family val="2"/>
    </font>
    <font>
      <sz val="10"/>
      <color theme="1"/>
      <name val="Arial Black"/>
      <family val="2"/>
    </font>
    <font>
      <b/>
      <sz val="10"/>
      <color theme="1"/>
      <name val="Arial Black"/>
      <family val="2"/>
    </font>
  </fonts>
  <fills count="15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FAE2D5"/>
        <bgColor rgb="FFFAE2D5"/>
      </patternFill>
    </fill>
    <fill>
      <patternFill patternType="solid">
        <fgColor rgb="FFF9CB9C"/>
        <bgColor rgb="FFF9CB9C"/>
      </patternFill>
    </fill>
    <fill>
      <patternFill patternType="solid">
        <fgColor rgb="FFCAEDFB"/>
        <bgColor rgb="FFCAEDFB"/>
      </patternFill>
    </fill>
    <fill>
      <patternFill patternType="solid">
        <fgColor rgb="FFE6B8AF"/>
        <bgColor rgb="FFE6B8AF"/>
      </patternFill>
    </fill>
    <fill>
      <patternFill patternType="solid">
        <fgColor rgb="FFD9F2D0"/>
        <bgColor rgb="FFD9F2D0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F1CEEE"/>
        <bgColor rgb="FFF1CEEE"/>
      </patternFill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0">
    <xf numFmtId="0" fontId="0" fillId="0" borderId="0" xfId="0"/>
    <xf numFmtId="164" fontId="1" fillId="0" borderId="0" xfId="0" applyNumberFormat="1" applyFont="1"/>
    <xf numFmtId="0" fontId="2" fillId="0" borderId="0" xfId="0" applyFont="1"/>
    <xf numFmtId="0" fontId="2" fillId="0" borderId="1" xfId="0" applyFont="1" applyBorder="1"/>
    <xf numFmtId="164" fontId="2" fillId="0" borderId="1" xfId="0" applyNumberFormat="1" applyFont="1" applyBorder="1"/>
    <xf numFmtId="0" fontId="3" fillId="0" borderId="1" xfId="0" applyFont="1" applyBorder="1"/>
    <xf numFmtId="0" fontId="4" fillId="0" borderId="0" xfId="0" applyFont="1"/>
    <xf numFmtId="0" fontId="1" fillId="0" borderId="0" xfId="0" applyFont="1"/>
    <xf numFmtId="0" fontId="1" fillId="0" borderId="1" xfId="0" applyFont="1" applyBorder="1"/>
    <xf numFmtId="164" fontId="4" fillId="0" borderId="1" xfId="0" applyNumberFormat="1" applyFont="1" applyBorder="1"/>
    <xf numFmtId="0" fontId="4" fillId="0" borderId="1" xfId="0" applyFont="1" applyBorder="1"/>
    <xf numFmtId="3" fontId="4" fillId="0" borderId="1" xfId="0" applyNumberFormat="1" applyFont="1" applyBorder="1"/>
    <xf numFmtId="0" fontId="5" fillId="0" borderId="0" xfId="0" applyFont="1" applyAlignment="1">
      <alignment horizontal="left" vertical="top"/>
    </xf>
    <xf numFmtId="3" fontId="5" fillId="0" borderId="0" xfId="0" applyNumberFormat="1" applyFont="1" applyAlignment="1">
      <alignment horizontal="right" vertical="top"/>
    </xf>
    <xf numFmtId="3" fontId="1" fillId="0" borderId="1" xfId="0" applyNumberFormat="1" applyFont="1" applyBorder="1"/>
    <xf numFmtId="0" fontId="4" fillId="2" borderId="1" xfId="0" applyFont="1" applyFill="1" applyBorder="1"/>
    <xf numFmtId="164" fontId="1" fillId="2" borderId="1" xfId="0" applyNumberFormat="1" applyFont="1" applyFill="1" applyBorder="1"/>
    <xf numFmtId="3" fontId="1" fillId="2" borderId="1" xfId="0" applyNumberFormat="1" applyFont="1" applyFill="1" applyBorder="1"/>
    <xf numFmtId="0" fontId="4" fillId="3" borderId="1" xfId="0" applyFont="1" applyFill="1" applyBorder="1"/>
    <xf numFmtId="164" fontId="4" fillId="3" borderId="1" xfId="0" applyNumberFormat="1" applyFont="1" applyFill="1" applyBorder="1"/>
    <xf numFmtId="3" fontId="4" fillId="3" borderId="1" xfId="0" applyNumberFormat="1" applyFont="1" applyFill="1" applyBorder="1"/>
    <xf numFmtId="164" fontId="4" fillId="2" borderId="1" xfId="0" applyNumberFormat="1" applyFont="1" applyFill="1" applyBorder="1"/>
    <xf numFmtId="3" fontId="4" fillId="2" borderId="1" xfId="0" applyNumberFormat="1" applyFont="1" applyFill="1" applyBorder="1"/>
    <xf numFmtId="0" fontId="6" fillId="2" borderId="1" xfId="0" applyFont="1" applyFill="1" applyBorder="1"/>
    <xf numFmtId="164" fontId="7" fillId="2" borderId="1" xfId="0" applyNumberFormat="1" applyFont="1" applyFill="1" applyBorder="1"/>
    <xf numFmtId="164" fontId="1" fillId="0" borderId="1" xfId="0" applyNumberFormat="1" applyFont="1" applyBorder="1"/>
    <xf numFmtId="0" fontId="1" fillId="4" borderId="1" xfId="0" applyFont="1" applyFill="1" applyBorder="1"/>
    <xf numFmtId="164" fontId="4" fillId="4" borderId="1" xfId="0" applyNumberFormat="1" applyFont="1" applyFill="1" applyBorder="1"/>
    <xf numFmtId="3" fontId="1" fillId="4" borderId="1" xfId="0" applyNumberFormat="1" applyFont="1" applyFill="1" applyBorder="1"/>
    <xf numFmtId="164" fontId="1" fillId="5" borderId="1" xfId="0" applyNumberFormat="1" applyFont="1" applyFill="1" applyBorder="1"/>
    <xf numFmtId="9" fontId="1" fillId="0" borderId="0" xfId="0" applyNumberFormat="1" applyFont="1" applyAlignment="1">
      <alignment horizontal="left"/>
    </xf>
    <xf numFmtId="9" fontId="4" fillId="0" borderId="1" xfId="0" applyNumberFormat="1" applyFont="1" applyBorder="1" applyAlignment="1">
      <alignment horizontal="left"/>
    </xf>
    <xf numFmtId="9" fontId="1" fillId="0" borderId="1" xfId="0" applyNumberFormat="1" applyFont="1" applyBorder="1" applyAlignment="1">
      <alignment horizontal="left"/>
    </xf>
    <xf numFmtId="9" fontId="4" fillId="0" borderId="1" xfId="0" applyNumberFormat="1" applyFont="1" applyBorder="1"/>
    <xf numFmtId="9" fontId="4" fillId="2" borderId="1" xfId="0" applyNumberFormat="1" applyFont="1" applyFill="1" applyBorder="1"/>
    <xf numFmtId="0" fontId="10" fillId="0" borderId="0" xfId="0" applyFont="1"/>
    <xf numFmtId="0" fontId="11" fillId="0" borderId="0" xfId="0" applyFont="1" applyAlignment="1">
      <alignment horizontal="center" vertical="center" textRotation="90" wrapText="1"/>
    </xf>
    <xf numFmtId="0" fontId="10" fillId="0" borderId="6" xfId="0" applyFont="1" applyBorder="1"/>
    <xf numFmtId="0" fontId="11" fillId="6" borderId="7" xfId="0" applyFont="1" applyFill="1" applyBorder="1"/>
    <xf numFmtId="0" fontId="12" fillId="6" borderId="7" xfId="0" applyFont="1" applyFill="1" applyBorder="1" applyAlignment="1">
      <alignment horizontal="center"/>
    </xf>
    <xf numFmtId="0" fontId="13" fillId="6" borderId="7" xfId="0" applyFont="1" applyFill="1" applyBorder="1" applyAlignment="1">
      <alignment horizontal="center"/>
    </xf>
    <xf numFmtId="0" fontId="13" fillId="6" borderId="8" xfId="0" applyFont="1" applyFill="1" applyBorder="1" applyAlignment="1">
      <alignment horizontal="center"/>
    </xf>
    <xf numFmtId="0" fontId="11" fillId="0" borderId="0" xfId="0" applyFont="1"/>
    <xf numFmtId="9" fontId="11" fillId="0" borderId="0" xfId="0" applyNumberFormat="1" applyFont="1"/>
    <xf numFmtId="164" fontId="12" fillId="6" borderId="1" xfId="0" applyNumberFormat="1" applyFont="1" applyFill="1" applyBorder="1"/>
    <xf numFmtId="164" fontId="10" fillId="6" borderId="1" xfId="0" applyNumberFormat="1" applyFont="1" applyFill="1" applyBorder="1"/>
    <xf numFmtId="164" fontId="10" fillId="6" borderId="10" xfId="0" applyNumberFormat="1" applyFont="1" applyFill="1" applyBorder="1"/>
    <xf numFmtId="164" fontId="10" fillId="0" borderId="0" xfId="0" applyNumberFormat="1" applyFont="1"/>
    <xf numFmtId="164" fontId="10" fillId="0" borderId="11" xfId="0" applyNumberFormat="1" applyFont="1" applyBorder="1"/>
    <xf numFmtId="0" fontId="12" fillId="7" borderId="1" xfId="0" applyFont="1" applyFill="1" applyBorder="1" applyAlignment="1">
      <alignment horizontal="center"/>
    </xf>
    <xf numFmtId="0" fontId="13" fillId="7" borderId="10" xfId="0" applyFont="1" applyFill="1" applyBorder="1" applyAlignment="1">
      <alignment horizontal="center"/>
    </xf>
    <xf numFmtId="10" fontId="11" fillId="7" borderId="1" xfId="0" applyNumberFormat="1" applyFont="1" applyFill="1" applyBorder="1"/>
    <xf numFmtId="9" fontId="11" fillId="7" borderId="10" xfId="0" applyNumberFormat="1" applyFont="1" applyFill="1" applyBorder="1"/>
    <xf numFmtId="164" fontId="13" fillId="7" borderId="1" xfId="0" applyNumberFormat="1" applyFont="1" applyFill="1" applyBorder="1"/>
    <xf numFmtId="164" fontId="11" fillId="7" borderId="1" xfId="0" applyNumberFormat="1" applyFont="1" applyFill="1" applyBorder="1"/>
    <xf numFmtId="164" fontId="11" fillId="7" borderId="10" xfId="0" applyNumberFormat="1" applyFont="1" applyFill="1" applyBorder="1"/>
    <xf numFmtId="0" fontId="10" fillId="0" borderId="11" xfId="0" applyFont="1" applyBorder="1"/>
    <xf numFmtId="0" fontId="12" fillId="9" borderId="1" xfId="0" applyFont="1" applyFill="1" applyBorder="1" applyAlignment="1">
      <alignment horizontal="center"/>
    </xf>
    <xf numFmtId="0" fontId="13" fillId="9" borderId="10" xfId="0" applyFont="1" applyFill="1" applyBorder="1" applyAlignment="1">
      <alignment horizontal="center"/>
    </xf>
    <xf numFmtId="165" fontId="11" fillId="0" borderId="0" xfId="0" applyNumberFormat="1" applyFont="1"/>
    <xf numFmtId="10" fontId="11" fillId="8" borderId="1" xfId="0" applyNumberFormat="1" applyFont="1" applyFill="1" applyBorder="1"/>
    <xf numFmtId="10" fontId="11" fillId="8" borderId="10" xfId="0" applyNumberFormat="1" applyFont="1" applyFill="1" applyBorder="1"/>
    <xf numFmtId="164" fontId="13" fillId="8" borderId="1" xfId="0" applyNumberFormat="1" applyFont="1" applyFill="1" applyBorder="1"/>
    <xf numFmtId="164" fontId="10" fillId="8" borderId="1" xfId="0" applyNumberFormat="1" applyFont="1" applyFill="1" applyBorder="1"/>
    <xf numFmtId="164" fontId="10" fillId="8" borderId="10" xfId="0" applyNumberFormat="1" applyFont="1" applyFill="1" applyBorder="1"/>
    <xf numFmtId="10" fontId="11" fillId="0" borderId="0" xfId="0" applyNumberFormat="1" applyFont="1"/>
    <xf numFmtId="0" fontId="12" fillId="0" borderId="0" xfId="0" applyFont="1"/>
    <xf numFmtId="165" fontId="10" fillId="0" borderId="0" xfId="0" applyNumberFormat="1" applyFont="1"/>
    <xf numFmtId="0" fontId="12" fillId="10" borderId="1" xfId="0" applyFont="1" applyFill="1" applyBorder="1"/>
    <xf numFmtId="0" fontId="13" fillId="10" borderId="10" xfId="0" applyFont="1" applyFill="1" applyBorder="1"/>
    <xf numFmtId="9" fontId="11" fillId="10" borderId="1" xfId="0" applyNumberFormat="1" applyFont="1" applyFill="1" applyBorder="1"/>
    <xf numFmtId="9" fontId="11" fillId="10" borderId="10" xfId="0" applyNumberFormat="1" applyFont="1" applyFill="1" applyBorder="1"/>
    <xf numFmtId="0" fontId="10" fillId="4" borderId="1" xfId="0" applyFont="1" applyFill="1" applyBorder="1"/>
    <xf numFmtId="166" fontId="10" fillId="4" borderId="1" xfId="0" applyNumberFormat="1" applyFont="1" applyFill="1" applyBorder="1"/>
    <xf numFmtId="0" fontId="10" fillId="8" borderId="1" xfId="0" applyFont="1" applyFill="1" applyBorder="1"/>
    <xf numFmtId="166" fontId="10" fillId="8" borderId="1" xfId="0" applyNumberFormat="1" applyFont="1" applyFill="1" applyBorder="1"/>
    <xf numFmtId="164" fontId="13" fillId="10" borderId="1" xfId="0" applyNumberFormat="1" applyFont="1" applyFill="1" applyBorder="1"/>
    <xf numFmtId="164" fontId="10" fillId="10" borderId="1" xfId="0" applyNumberFormat="1" applyFont="1" applyFill="1" applyBorder="1"/>
    <xf numFmtId="164" fontId="10" fillId="10" borderId="10" xfId="0" applyNumberFormat="1" applyFont="1" applyFill="1" applyBorder="1"/>
    <xf numFmtId="9" fontId="10" fillId="4" borderId="1" xfId="0" applyNumberFormat="1" applyFont="1" applyFill="1" applyBorder="1"/>
    <xf numFmtId="10" fontId="10" fillId="8" borderId="1" xfId="0" applyNumberFormat="1" applyFont="1" applyFill="1" applyBorder="1"/>
    <xf numFmtId="0" fontId="12" fillId="0" borderId="0" xfId="0" applyFont="1" applyAlignment="1">
      <alignment horizontal="center" vertical="center"/>
    </xf>
    <xf numFmtId="9" fontId="12" fillId="0" borderId="0" xfId="0" applyNumberFormat="1" applyFont="1" applyAlignment="1">
      <alignment horizontal="center" vertical="center"/>
    </xf>
    <xf numFmtId="0" fontId="12" fillId="0" borderId="11" xfId="0" applyFont="1" applyBorder="1"/>
    <xf numFmtId="0" fontId="12" fillId="11" borderId="1" xfId="0" applyFont="1" applyFill="1" applyBorder="1"/>
    <xf numFmtId="0" fontId="13" fillId="11" borderId="10" xfId="0" applyFont="1" applyFill="1" applyBorder="1"/>
    <xf numFmtId="10" fontId="10" fillId="11" borderId="1" xfId="0" applyNumberFormat="1" applyFont="1" applyFill="1" applyBorder="1"/>
    <xf numFmtId="164" fontId="12" fillId="11" borderId="1" xfId="0" applyNumberFormat="1" applyFont="1" applyFill="1" applyBorder="1"/>
    <xf numFmtId="164" fontId="10" fillId="11" borderId="1" xfId="0" applyNumberFormat="1" applyFont="1" applyFill="1" applyBorder="1"/>
    <xf numFmtId="164" fontId="10" fillId="11" borderId="10" xfId="0" applyNumberFormat="1" applyFont="1" applyFill="1" applyBorder="1"/>
    <xf numFmtId="0" fontId="13" fillId="0" borderId="0" xfId="0" applyFont="1"/>
    <xf numFmtId="0" fontId="12" fillId="12" borderId="1" xfId="0" applyFont="1" applyFill="1" applyBorder="1"/>
    <xf numFmtId="0" fontId="13" fillId="12" borderId="10" xfId="0" applyFont="1" applyFill="1" applyBorder="1"/>
    <xf numFmtId="9" fontId="11" fillId="12" borderId="1" xfId="0" applyNumberFormat="1" applyFont="1" applyFill="1" applyBorder="1"/>
    <xf numFmtId="9" fontId="11" fillId="12" borderId="10" xfId="0" applyNumberFormat="1" applyFont="1" applyFill="1" applyBorder="1"/>
    <xf numFmtId="164" fontId="12" fillId="12" borderId="1" xfId="0" applyNumberFormat="1" applyFont="1" applyFill="1" applyBorder="1"/>
    <xf numFmtId="164" fontId="11" fillId="12" borderId="1" xfId="0" applyNumberFormat="1" applyFont="1" applyFill="1" applyBorder="1"/>
    <xf numFmtId="164" fontId="10" fillId="12" borderId="1" xfId="0" applyNumberFormat="1" applyFont="1" applyFill="1" applyBorder="1"/>
    <xf numFmtId="164" fontId="10" fillId="12" borderId="10" xfId="0" applyNumberFormat="1" applyFont="1" applyFill="1" applyBorder="1"/>
    <xf numFmtId="0" fontId="13" fillId="0" borderId="0" xfId="0" applyFont="1" applyAlignment="1">
      <alignment horizontal="center" vertical="center"/>
    </xf>
    <xf numFmtId="0" fontId="12" fillId="13" borderId="1" xfId="0" applyFont="1" applyFill="1" applyBorder="1"/>
    <xf numFmtId="0" fontId="13" fillId="13" borderId="10" xfId="0" applyFont="1" applyFill="1" applyBorder="1"/>
    <xf numFmtId="9" fontId="11" fillId="13" borderId="1" xfId="0" applyNumberFormat="1" applyFont="1" applyFill="1" applyBorder="1"/>
    <xf numFmtId="9" fontId="11" fillId="13" borderId="10" xfId="0" applyNumberFormat="1" applyFont="1" applyFill="1" applyBorder="1"/>
    <xf numFmtId="164" fontId="12" fillId="13" borderId="19" xfId="0" applyNumberFormat="1" applyFont="1" applyFill="1" applyBorder="1"/>
    <xf numFmtId="164" fontId="11" fillId="13" borderId="19" xfId="0" applyNumberFormat="1" applyFont="1" applyFill="1" applyBorder="1"/>
    <xf numFmtId="164" fontId="10" fillId="13" borderId="19" xfId="0" applyNumberFormat="1" applyFont="1" applyFill="1" applyBorder="1"/>
    <xf numFmtId="164" fontId="10" fillId="13" borderId="20" xfId="0" applyNumberFormat="1" applyFont="1" applyFill="1" applyBorder="1"/>
    <xf numFmtId="164" fontId="12" fillId="0" borderId="0" xfId="0" applyNumberFormat="1" applyFont="1"/>
    <xf numFmtId="164" fontId="11" fillId="0" borderId="0" xfId="0" applyNumberFormat="1" applyFont="1"/>
    <xf numFmtId="0" fontId="10" fillId="0" borderId="0" xfId="0" applyFont="1" applyAlignment="1">
      <alignment horizontal="center" vertical="center"/>
    </xf>
    <xf numFmtId="0" fontId="13" fillId="8" borderId="7" xfId="0" applyFont="1" applyFill="1" applyBorder="1"/>
    <xf numFmtId="0" fontId="13" fillId="8" borderId="8" xfId="0" applyFont="1" applyFill="1" applyBorder="1"/>
    <xf numFmtId="9" fontId="11" fillId="8" borderId="1" xfId="0" applyNumberFormat="1" applyFont="1" applyFill="1" applyBorder="1"/>
    <xf numFmtId="9" fontId="11" fillId="8" borderId="10" xfId="0" applyNumberFormat="1" applyFont="1" applyFill="1" applyBorder="1"/>
    <xf numFmtId="0" fontId="12" fillId="11" borderId="10" xfId="0" applyFont="1" applyFill="1" applyBorder="1"/>
    <xf numFmtId="10" fontId="11" fillId="11" borderId="1" xfId="0" applyNumberFormat="1" applyFont="1" applyFill="1" applyBorder="1"/>
    <xf numFmtId="10" fontId="10" fillId="11" borderId="10" xfId="0" applyNumberFormat="1" applyFont="1" applyFill="1" applyBorder="1"/>
    <xf numFmtId="0" fontId="12" fillId="12" borderId="10" xfId="0" applyFont="1" applyFill="1" applyBorder="1"/>
    <xf numFmtId="9" fontId="11" fillId="12" borderId="19" xfId="0" applyNumberFormat="1" applyFont="1" applyFill="1" applyBorder="1"/>
    <xf numFmtId="9" fontId="11" fillId="12" borderId="20" xfId="0" applyNumberFormat="1" applyFont="1" applyFill="1" applyBorder="1"/>
    <xf numFmtId="0" fontId="11" fillId="14" borderId="24" xfId="0" applyFont="1" applyFill="1" applyBorder="1"/>
    <xf numFmtId="0" fontId="11" fillId="14" borderId="1" xfId="0" applyFont="1" applyFill="1" applyBorder="1"/>
    <xf numFmtId="166" fontId="11" fillId="8" borderId="1" xfId="0" applyNumberFormat="1" applyFont="1" applyFill="1" applyBorder="1"/>
    <xf numFmtId="164" fontId="0" fillId="0" borderId="0" xfId="0" applyNumberFormat="1"/>
    <xf numFmtId="0" fontId="6" fillId="0" borderId="0" xfId="0" applyFont="1"/>
    <xf numFmtId="164" fontId="7" fillId="0" borderId="0" xfId="0" applyNumberFormat="1" applyFont="1"/>
    <xf numFmtId="3" fontId="1" fillId="0" borderId="0" xfId="0" applyNumberFormat="1" applyFont="1"/>
    <xf numFmtId="10" fontId="11" fillId="10" borderId="1" xfId="0" applyNumberFormat="1" applyFont="1" applyFill="1" applyBorder="1"/>
    <xf numFmtId="10" fontId="11" fillId="10" borderId="10" xfId="0" applyNumberFormat="1" applyFont="1" applyFill="1" applyBorder="1"/>
    <xf numFmtId="164" fontId="17" fillId="0" borderId="0" xfId="0" applyNumberFormat="1" applyFont="1"/>
    <xf numFmtId="0" fontId="11" fillId="6" borderId="15" xfId="0" applyFont="1" applyFill="1" applyBorder="1"/>
    <xf numFmtId="10" fontId="12" fillId="6" borderId="15" xfId="0" applyNumberFormat="1" applyFont="1" applyFill="1" applyBorder="1" applyAlignment="1">
      <alignment horizontal="center"/>
    </xf>
    <xf numFmtId="10" fontId="13" fillId="6" borderId="15" xfId="0" applyNumberFormat="1" applyFont="1" applyFill="1" applyBorder="1" applyAlignment="1">
      <alignment horizontal="center"/>
    </xf>
    <xf numFmtId="10" fontId="13" fillId="6" borderId="25" xfId="0" applyNumberFormat="1" applyFont="1" applyFill="1" applyBorder="1" applyAlignment="1">
      <alignment horizontal="center"/>
    </xf>
    <xf numFmtId="10" fontId="11" fillId="13" borderId="1" xfId="0" applyNumberFormat="1" applyFont="1" applyFill="1" applyBorder="1"/>
    <xf numFmtId="167" fontId="11" fillId="13" borderId="10" xfId="0" applyNumberFormat="1" applyFont="1" applyFill="1" applyBorder="1"/>
    <xf numFmtId="166" fontId="18" fillId="8" borderId="1" xfId="0" applyNumberFormat="1" applyFont="1" applyFill="1" applyBorder="1"/>
    <xf numFmtId="164" fontId="19" fillId="10" borderId="1" xfId="0" applyNumberFormat="1" applyFont="1" applyFill="1" applyBorder="1"/>
    <xf numFmtId="164" fontId="19" fillId="6" borderId="10" xfId="0" applyNumberFormat="1" applyFont="1" applyFill="1" applyBorder="1"/>
    <xf numFmtId="164" fontId="19" fillId="10" borderId="10" xfId="0" applyNumberFormat="1" applyFont="1" applyFill="1" applyBorder="1"/>
    <xf numFmtId="164" fontId="19" fillId="12" borderId="10" xfId="0" applyNumberFormat="1" applyFont="1" applyFill="1" applyBorder="1"/>
    <xf numFmtId="164" fontId="19" fillId="13" borderId="20" xfId="0" applyNumberFormat="1" applyFont="1" applyFill="1" applyBorder="1"/>
    <xf numFmtId="164" fontId="20" fillId="13" borderId="19" xfId="0" applyNumberFormat="1" applyFont="1" applyFill="1" applyBorder="1"/>
    <xf numFmtId="164" fontId="19" fillId="13" borderId="19" xfId="0" applyNumberFormat="1" applyFont="1" applyFill="1" applyBorder="1"/>
    <xf numFmtId="164" fontId="19" fillId="6" borderId="1" xfId="0" applyNumberFormat="1" applyFont="1" applyFill="1" applyBorder="1"/>
    <xf numFmtId="164" fontId="20" fillId="7" borderId="1" xfId="0" applyNumberFormat="1" applyFont="1" applyFill="1" applyBorder="1"/>
    <xf numFmtId="164" fontId="20" fillId="6" borderId="1" xfId="0" applyNumberFormat="1" applyFont="1" applyFill="1" applyBorder="1"/>
    <xf numFmtId="164" fontId="20" fillId="10" borderId="1" xfId="0" applyNumberFormat="1" applyFont="1" applyFill="1" applyBorder="1"/>
    <xf numFmtId="0" fontId="13" fillId="12" borderId="12" xfId="0" applyFont="1" applyFill="1" applyBorder="1" applyAlignment="1">
      <alignment horizontal="center" vertical="center"/>
    </xf>
    <xf numFmtId="0" fontId="9" fillId="0" borderId="14" xfId="0" applyFont="1" applyBorder="1"/>
    <xf numFmtId="0" fontId="9" fillId="0" borderId="16" xfId="0" applyFont="1" applyBorder="1"/>
    <xf numFmtId="9" fontId="12" fillId="12" borderId="13" xfId="0" applyNumberFormat="1" applyFont="1" applyFill="1" applyBorder="1" applyAlignment="1">
      <alignment horizontal="center" vertical="center"/>
    </xf>
    <xf numFmtId="0" fontId="9" fillId="0" borderId="15" xfId="0" applyFont="1" applyBorder="1"/>
    <xf numFmtId="0" fontId="13" fillId="13" borderId="12" xfId="0" applyFont="1" applyFill="1" applyBorder="1" applyAlignment="1">
      <alignment horizontal="center" vertical="center"/>
    </xf>
    <xf numFmtId="0" fontId="9" fillId="0" borderId="18" xfId="0" applyFont="1" applyBorder="1"/>
    <xf numFmtId="9" fontId="12" fillId="13" borderId="13" xfId="0" applyNumberFormat="1" applyFont="1" applyFill="1" applyBorder="1" applyAlignment="1">
      <alignment horizontal="center" vertical="center"/>
    </xf>
    <xf numFmtId="0" fontId="13" fillId="7" borderId="12" xfId="0" applyFont="1" applyFill="1" applyBorder="1" applyAlignment="1">
      <alignment horizontal="center" vertical="center"/>
    </xf>
    <xf numFmtId="9" fontId="11" fillId="7" borderId="13" xfId="0" applyNumberFormat="1" applyFont="1" applyFill="1" applyBorder="1" applyAlignment="1">
      <alignment horizontal="center" vertical="center"/>
    </xf>
    <xf numFmtId="0" fontId="13" fillId="10" borderId="12" xfId="0" applyFont="1" applyFill="1" applyBorder="1" applyAlignment="1">
      <alignment horizontal="center" vertical="center"/>
    </xf>
    <xf numFmtId="9" fontId="13" fillId="10" borderId="13" xfId="0" applyNumberFormat="1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/>
    </xf>
    <xf numFmtId="0" fontId="15" fillId="0" borderId="4" xfId="0" applyFont="1" applyBorder="1"/>
    <xf numFmtId="0" fontId="8" fillId="0" borderId="2" xfId="0" applyFont="1" applyBorder="1" applyAlignment="1">
      <alignment horizontal="center"/>
    </xf>
    <xf numFmtId="0" fontId="9" fillId="0" borderId="3" xfId="0" applyFont="1" applyBorder="1"/>
    <xf numFmtId="0" fontId="9" fillId="0" borderId="4" xfId="0" applyFont="1" applyBorder="1"/>
    <xf numFmtId="0" fontId="11" fillId="14" borderId="2" xfId="0" applyFont="1" applyFill="1" applyBorder="1" applyAlignment="1">
      <alignment horizontal="left"/>
    </xf>
    <xf numFmtId="0" fontId="11" fillId="0" borderId="5" xfId="0" applyFont="1" applyBorder="1" applyAlignment="1">
      <alignment horizontal="center" vertical="center" textRotation="90" wrapText="1"/>
    </xf>
    <xf numFmtId="0" fontId="9" fillId="0" borderId="9" xfId="0" applyFont="1" applyBorder="1"/>
    <xf numFmtId="0" fontId="9" fillId="0" borderId="17" xfId="0" applyFont="1" applyBorder="1"/>
    <xf numFmtId="0" fontId="13" fillId="8" borderId="21" xfId="0" applyFont="1" applyFill="1" applyBorder="1" applyAlignment="1">
      <alignment horizontal="center" vertical="center"/>
    </xf>
    <xf numFmtId="9" fontId="11" fillId="8" borderId="22" xfId="0" applyNumberFormat="1" applyFont="1" applyFill="1" applyBorder="1" applyAlignment="1">
      <alignment horizontal="center" vertical="center"/>
    </xf>
    <xf numFmtId="0" fontId="12" fillId="11" borderId="12" xfId="0" applyFont="1" applyFill="1" applyBorder="1" applyAlignment="1">
      <alignment horizontal="center" vertical="center"/>
    </xf>
    <xf numFmtId="9" fontId="12" fillId="11" borderId="13" xfId="0" applyNumberFormat="1" applyFont="1" applyFill="1" applyBorder="1" applyAlignment="1">
      <alignment horizontal="center" vertical="center"/>
    </xf>
    <xf numFmtId="0" fontId="9" fillId="0" borderId="23" xfId="0" applyFont="1" applyBorder="1"/>
    <xf numFmtId="0" fontId="13" fillId="8" borderId="12" xfId="0" applyFont="1" applyFill="1" applyBorder="1" applyAlignment="1">
      <alignment horizontal="center" vertical="center"/>
    </xf>
    <xf numFmtId="9" fontId="13" fillId="8" borderId="13" xfId="0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/>
    </xf>
    <xf numFmtId="0" fontId="10" fillId="8" borderId="2" xfId="0" applyFont="1" applyFill="1" applyBorder="1" applyAlignment="1">
      <alignment horizontal="center"/>
    </xf>
    <xf numFmtId="0" fontId="16" fillId="14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2"/>
  <sheetViews>
    <sheetView showGridLines="0" workbookViewId="0">
      <selection activeCell="C12" sqref="C12:C18"/>
    </sheetView>
  </sheetViews>
  <sheetFormatPr baseColWidth="10" defaultColWidth="12.5703125" defaultRowHeight="15" customHeight="1"/>
  <cols>
    <col min="1" max="1" width="5.28515625" customWidth="1"/>
    <col min="2" max="2" width="43" customWidth="1"/>
    <col min="3" max="3" width="16.7109375" customWidth="1"/>
    <col min="4" max="4" width="59.28515625" customWidth="1"/>
    <col min="5" max="5" width="20.7109375" customWidth="1"/>
    <col min="6" max="6" width="33.42578125" customWidth="1"/>
    <col min="7" max="7" width="24.5703125" customWidth="1"/>
    <col min="8" max="8" width="55.28515625" customWidth="1"/>
    <col min="9" max="25" width="10.5703125" customWidth="1"/>
  </cols>
  <sheetData>
    <row r="1" spans="1:9">
      <c r="C1" s="1"/>
    </row>
    <row r="2" spans="1:9">
      <c r="C2" s="1"/>
    </row>
    <row r="3" spans="1:9">
      <c r="C3" s="1"/>
    </row>
    <row r="4" spans="1:9">
      <c r="A4" s="2"/>
      <c r="B4" s="3" t="s">
        <v>0</v>
      </c>
      <c r="C4" s="4" t="s">
        <v>1</v>
      </c>
      <c r="D4" s="5" t="s">
        <v>2</v>
      </c>
      <c r="E4" s="6"/>
    </row>
    <row r="5" spans="1:9">
      <c r="A5" s="7"/>
      <c r="B5" s="8" t="s">
        <v>3</v>
      </c>
      <c r="C5" s="9">
        <v>722820000</v>
      </c>
      <c r="D5" s="10" t="s">
        <v>4</v>
      </c>
    </row>
    <row r="6" spans="1:9">
      <c r="A6" s="7"/>
      <c r="B6" s="8" t="s">
        <v>5</v>
      </c>
      <c r="C6" s="9">
        <v>30000000</v>
      </c>
      <c r="D6" s="10" t="s">
        <v>6</v>
      </c>
      <c r="E6" s="6"/>
    </row>
    <row r="7" spans="1:9">
      <c r="A7" s="6"/>
      <c r="B7" s="10" t="s">
        <v>7</v>
      </c>
      <c r="C7" s="9">
        <v>152131800</v>
      </c>
      <c r="D7" s="11" t="s">
        <v>8</v>
      </c>
      <c r="E7" s="6"/>
      <c r="H7" s="12"/>
      <c r="I7" s="13"/>
    </row>
    <row r="8" spans="1:9">
      <c r="A8" s="7"/>
      <c r="B8" s="8" t="s">
        <v>9</v>
      </c>
      <c r="C8" s="9">
        <v>50879394</v>
      </c>
      <c r="D8" s="14"/>
      <c r="E8" s="6"/>
      <c r="F8" s="15" t="s">
        <v>10</v>
      </c>
      <c r="G8" s="16">
        <v>7474000</v>
      </c>
      <c r="H8" s="17"/>
    </row>
    <row r="9" spans="1:9">
      <c r="A9" s="6"/>
      <c r="B9" s="18" t="s">
        <v>11</v>
      </c>
      <c r="C9" s="19">
        <v>24447900</v>
      </c>
      <c r="D9" s="20" t="s">
        <v>12</v>
      </c>
      <c r="E9" s="6"/>
      <c r="F9" s="15" t="s">
        <v>13</v>
      </c>
      <c r="G9" s="21">
        <v>336240</v>
      </c>
      <c r="H9" s="22" t="s">
        <v>14</v>
      </c>
    </row>
    <row r="10" spans="1:9">
      <c r="A10" s="6"/>
      <c r="B10" s="18" t="s">
        <v>15</v>
      </c>
      <c r="C10" s="19">
        <v>24447900</v>
      </c>
      <c r="D10" s="20" t="s">
        <v>12</v>
      </c>
      <c r="E10" s="6"/>
      <c r="F10" s="15" t="s">
        <v>16</v>
      </c>
      <c r="G10" s="21">
        <v>197870</v>
      </c>
      <c r="H10" s="22" t="s">
        <v>17</v>
      </c>
    </row>
    <row r="11" spans="1:9">
      <c r="A11" s="6"/>
      <c r="B11" s="18" t="s">
        <v>18</v>
      </c>
      <c r="C11" s="19">
        <v>24447900</v>
      </c>
      <c r="D11" s="20" t="s">
        <v>12</v>
      </c>
      <c r="E11" s="6"/>
      <c r="F11" s="15" t="s">
        <v>19</v>
      </c>
      <c r="G11" s="16">
        <v>22337500</v>
      </c>
      <c r="H11" s="17"/>
    </row>
    <row r="12" spans="1:9">
      <c r="A12" s="6"/>
      <c r="B12" s="15" t="s">
        <v>10</v>
      </c>
      <c r="C12" s="16">
        <v>7474000</v>
      </c>
      <c r="D12" s="17"/>
      <c r="F12" s="15" t="s">
        <v>20</v>
      </c>
      <c r="G12" s="21">
        <v>426707</v>
      </c>
      <c r="H12" s="22" t="s">
        <v>21</v>
      </c>
    </row>
    <row r="13" spans="1:9">
      <c r="A13" s="6"/>
      <c r="B13" s="15" t="s">
        <v>13</v>
      </c>
      <c r="C13" s="21">
        <v>336240</v>
      </c>
      <c r="D13" s="22" t="s">
        <v>14</v>
      </c>
      <c r="F13" s="15" t="s">
        <v>22</v>
      </c>
      <c r="G13" s="21">
        <v>281086</v>
      </c>
      <c r="H13" s="22" t="s">
        <v>17</v>
      </c>
    </row>
    <row r="14" spans="1:9">
      <c r="A14" s="6"/>
      <c r="B14" s="15" t="s">
        <v>16</v>
      </c>
      <c r="C14" s="21">
        <v>197870</v>
      </c>
      <c r="D14" s="22" t="s">
        <v>17</v>
      </c>
      <c r="F14" s="15" t="s">
        <v>23</v>
      </c>
      <c r="G14" s="21">
        <v>92994996</v>
      </c>
      <c r="H14" s="22" t="s">
        <v>65</v>
      </c>
    </row>
    <row r="15" spans="1:9" ht="15.75">
      <c r="A15" s="6"/>
      <c r="B15" s="15" t="s">
        <v>19</v>
      </c>
      <c r="C15" s="16">
        <v>22337500</v>
      </c>
      <c r="D15" s="17"/>
      <c r="F15" s="23" t="s">
        <v>24</v>
      </c>
      <c r="G15" s="24">
        <f>+SUM(G8:G14)</f>
        <v>124048399</v>
      </c>
      <c r="H15" s="17"/>
    </row>
    <row r="16" spans="1:9" ht="15.75">
      <c r="A16" s="6"/>
      <c r="B16" s="15" t="s">
        <v>20</v>
      </c>
      <c r="C16" s="21">
        <v>426707</v>
      </c>
      <c r="D16" s="22" t="s">
        <v>21</v>
      </c>
      <c r="F16" s="125"/>
      <c r="G16" s="126"/>
      <c r="H16" s="127"/>
    </row>
    <row r="17" spans="1:7">
      <c r="A17" s="6"/>
      <c r="B17" s="15" t="s">
        <v>22</v>
      </c>
      <c r="C17" s="21">
        <v>281086</v>
      </c>
      <c r="D17" s="22" t="s">
        <v>17</v>
      </c>
      <c r="G17" s="124"/>
    </row>
    <row r="18" spans="1:7">
      <c r="A18" s="6"/>
      <c r="B18" s="15" t="s">
        <v>23</v>
      </c>
      <c r="C18" s="21">
        <v>92994996</v>
      </c>
      <c r="D18" s="22" t="s">
        <v>65</v>
      </c>
      <c r="E18" s="6"/>
    </row>
    <row r="19" spans="1:7">
      <c r="A19" s="7"/>
      <c r="B19" s="8" t="s">
        <v>25</v>
      </c>
      <c r="C19" s="25">
        <v>9204613</v>
      </c>
      <c r="D19" s="14"/>
    </row>
    <row r="20" spans="1:7">
      <c r="A20" s="7"/>
      <c r="B20" s="26" t="s">
        <v>26</v>
      </c>
      <c r="C20" s="27">
        <f>6165540.43-4857700</f>
        <v>1307840.4299999997</v>
      </c>
      <c r="D20" s="28" t="s">
        <v>27</v>
      </c>
    </row>
    <row r="21" spans="1:7">
      <c r="A21" s="7"/>
      <c r="B21" s="8" t="s">
        <v>28</v>
      </c>
      <c r="C21" s="9">
        <v>5456823</v>
      </c>
      <c r="D21" s="14"/>
    </row>
    <row r="22" spans="1:7">
      <c r="A22" s="7"/>
      <c r="B22" s="8"/>
      <c r="C22" s="25">
        <f>SUM(C5:C21)</f>
        <v>1169192569.4300001</v>
      </c>
      <c r="D22" s="14"/>
    </row>
    <row r="23" spans="1:7">
      <c r="A23" s="7"/>
      <c r="B23" s="8" t="s">
        <v>29</v>
      </c>
      <c r="C23" s="9">
        <v>6891940</v>
      </c>
      <c r="D23" s="8"/>
    </row>
    <row r="24" spans="1:7">
      <c r="C24" s="29">
        <f>+C22-C23</f>
        <v>1162300629.4300001</v>
      </c>
    </row>
    <row r="25" spans="1:7">
      <c r="A25" s="6"/>
      <c r="B25" s="6"/>
      <c r="C25" s="1"/>
      <c r="D25" s="30"/>
    </row>
    <row r="26" spans="1:7" ht="16.5">
      <c r="A26" s="6"/>
      <c r="B26" s="163" t="s">
        <v>30</v>
      </c>
      <c r="C26" s="164"/>
      <c r="D26" s="165"/>
    </row>
    <row r="27" spans="1:7">
      <c r="A27" s="6"/>
      <c r="B27" s="10" t="s">
        <v>31</v>
      </c>
      <c r="C27" s="25">
        <f>C24*D27</f>
        <v>639265346.18650007</v>
      </c>
      <c r="D27" s="31">
        <v>0.55000000000000004</v>
      </c>
    </row>
    <row r="28" spans="1:7">
      <c r="A28" s="6"/>
      <c r="B28" s="10" t="s">
        <v>32</v>
      </c>
      <c r="C28" s="25">
        <f>+(C24*D28)</f>
        <v>174345094.4145</v>
      </c>
      <c r="D28" s="32">
        <v>0.15</v>
      </c>
    </row>
    <row r="29" spans="1:7">
      <c r="A29" s="6"/>
      <c r="B29" s="10" t="s">
        <v>33</v>
      </c>
      <c r="C29" s="25">
        <f>(C24*D29)</f>
        <v>174345094.4145</v>
      </c>
      <c r="D29" s="32">
        <v>0.15</v>
      </c>
    </row>
    <row r="30" spans="1:7">
      <c r="A30" s="6"/>
      <c r="B30" s="10" t="s">
        <v>33</v>
      </c>
      <c r="C30" s="25">
        <f>+(C24*D30)</f>
        <v>174345094.4145</v>
      </c>
      <c r="D30" s="32">
        <v>0.15</v>
      </c>
    </row>
    <row r="31" spans="1:7" ht="15.75" customHeight="1">
      <c r="C31" s="29">
        <f>SUM(C27:C30)</f>
        <v>1162300629.4300001</v>
      </c>
    </row>
    <row r="32" spans="1:7" ht="15.75" customHeight="1">
      <c r="C32" s="1"/>
    </row>
    <row r="33" spans="1:4" ht="15.75" customHeight="1">
      <c r="B33" s="163" t="s">
        <v>34</v>
      </c>
      <c r="C33" s="164"/>
      <c r="D33" s="165"/>
    </row>
    <row r="34" spans="1:4" ht="15.75" customHeight="1">
      <c r="B34" s="10" t="s">
        <v>31</v>
      </c>
      <c r="C34" s="25">
        <f>C24*D34</f>
        <v>639265346.18650007</v>
      </c>
      <c r="D34" s="31">
        <v>0.55000000000000004</v>
      </c>
    </row>
    <row r="35" spans="1:4" ht="15.75" customHeight="1">
      <c r="B35" s="10" t="s">
        <v>32</v>
      </c>
      <c r="C35" s="25">
        <f>+(C24*D35)-C9</f>
        <v>149897194.4145</v>
      </c>
      <c r="D35" s="32">
        <v>0.15</v>
      </c>
    </row>
    <row r="36" spans="1:4" ht="15.75" customHeight="1">
      <c r="B36" s="10" t="s">
        <v>33</v>
      </c>
      <c r="C36" s="25">
        <f>(C24*D36)-C10</f>
        <v>149897194.4145</v>
      </c>
      <c r="D36" s="32">
        <v>0.15</v>
      </c>
    </row>
    <row r="37" spans="1:4" ht="15.75" customHeight="1">
      <c r="B37" s="10" t="s">
        <v>33</v>
      </c>
      <c r="C37" s="25">
        <f>+(C24*D37)-C11</f>
        <v>149897194.4145</v>
      </c>
      <c r="D37" s="32">
        <v>0.15</v>
      </c>
    </row>
    <row r="38" spans="1:4" ht="15.75" customHeight="1">
      <c r="C38" s="29">
        <f>SUM(C34:C37)</f>
        <v>1088956929.4300001</v>
      </c>
    </row>
    <row r="39" spans="1:4" ht="15.75" customHeight="1">
      <c r="C39" s="1"/>
    </row>
    <row r="40" spans="1:4" ht="15.75" customHeight="1">
      <c r="A40" s="6"/>
      <c r="B40" s="10" t="s">
        <v>35</v>
      </c>
      <c r="C40" s="9">
        <v>118718586</v>
      </c>
      <c r="D40" s="33">
        <f>C40*D42/C42</f>
        <v>0.7</v>
      </c>
    </row>
    <row r="41" spans="1:4" ht="15.75" customHeight="1">
      <c r="A41" s="6"/>
      <c r="B41" s="15" t="s">
        <v>36</v>
      </c>
      <c r="C41" s="16">
        <f>C8</f>
        <v>50879394</v>
      </c>
      <c r="D41" s="34">
        <f>C41*D42/C42</f>
        <v>0.3</v>
      </c>
    </row>
    <row r="42" spans="1:4" ht="15.75" customHeight="1">
      <c r="A42" s="6"/>
      <c r="B42" s="10" t="s">
        <v>37</v>
      </c>
      <c r="C42" s="25">
        <f>C40+C41</f>
        <v>169597980</v>
      </c>
      <c r="D42" s="33">
        <v>1</v>
      </c>
    </row>
    <row r="43" spans="1:4" ht="15.75" customHeight="1">
      <c r="C43" s="1"/>
    </row>
    <row r="44" spans="1:4" ht="15.75" customHeight="1">
      <c r="C44" s="1"/>
    </row>
    <row r="45" spans="1:4" ht="15.75" customHeight="1">
      <c r="A45" s="6"/>
      <c r="B45" s="15" t="s">
        <v>38</v>
      </c>
      <c r="C45" s="16">
        <f>SUM(C12:C18)</f>
        <v>124048399</v>
      </c>
    </row>
    <row r="46" spans="1:4" ht="15.75" customHeight="1">
      <c r="C46" s="1"/>
    </row>
    <row r="47" spans="1:4" ht="15.75" customHeight="1">
      <c r="C47" s="1"/>
    </row>
    <row r="48" spans="1:4" ht="15.75" customHeight="1">
      <c r="C48" s="1"/>
    </row>
    <row r="49" spans="3:3" ht="15.75" customHeight="1">
      <c r="C49" s="1"/>
    </row>
    <row r="50" spans="3:3" ht="15.75" customHeight="1">
      <c r="C50" s="1"/>
    </row>
    <row r="51" spans="3:3" ht="15.75" customHeight="1">
      <c r="C51" s="1"/>
    </row>
    <row r="52" spans="3:3" ht="15.75" customHeight="1">
      <c r="C52" s="1"/>
    </row>
    <row r="53" spans="3:3" ht="15.75" customHeight="1">
      <c r="C53" s="1"/>
    </row>
    <row r="54" spans="3:3" ht="15.75" customHeight="1">
      <c r="C54" s="1"/>
    </row>
    <row r="55" spans="3:3" ht="15.75" customHeight="1">
      <c r="C55" s="1"/>
    </row>
    <row r="56" spans="3:3" ht="15.75" customHeight="1">
      <c r="C56" s="1"/>
    </row>
    <row r="57" spans="3:3" ht="15.75" customHeight="1">
      <c r="C57" s="1"/>
    </row>
    <row r="58" spans="3:3" ht="15.75" customHeight="1">
      <c r="C58" s="1"/>
    </row>
    <row r="59" spans="3:3" ht="15.75" customHeight="1">
      <c r="C59" s="1"/>
    </row>
    <row r="60" spans="3:3" ht="15.75" customHeight="1">
      <c r="C60" s="1"/>
    </row>
    <row r="61" spans="3:3" ht="15.75" customHeight="1">
      <c r="C61" s="1"/>
    </row>
    <row r="62" spans="3:3" ht="15.75" customHeight="1">
      <c r="C62" s="1"/>
    </row>
    <row r="63" spans="3:3" ht="15.75" customHeight="1">
      <c r="C63" s="1"/>
    </row>
    <row r="64" spans="3:3" ht="15.75" customHeight="1">
      <c r="C64" s="1"/>
    </row>
    <row r="65" spans="3:3" ht="15.75" customHeight="1">
      <c r="C65" s="1"/>
    </row>
    <row r="66" spans="3:3" ht="15.75" customHeight="1">
      <c r="C66" s="1"/>
    </row>
    <row r="67" spans="3:3" ht="15.75" customHeight="1">
      <c r="C67" s="1"/>
    </row>
    <row r="68" spans="3:3" ht="15.75" customHeight="1">
      <c r="C68" s="1"/>
    </row>
    <row r="69" spans="3:3" ht="15.75" customHeight="1">
      <c r="C69" s="1"/>
    </row>
    <row r="70" spans="3:3" ht="15.75" customHeight="1">
      <c r="C70" s="1"/>
    </row>
    <row r="71" spans="3:3" ht="15.75" customHeight="1">
      <c r="C71" s="1"/>
    </row>
    <row r="72" spans="3:3" ht="15.75" customHeight="1">
      <c r="C72" s="1"/>
    </row>
    <row r="73" spans="3:3" ht="15.75" customHeight="1">
      <c r="C73" s="1"/>
    </row>
    <row r="74" spans="3:3" ht="15.75" customHeight="1">
      <c r="C74" s="1"/>
    </row>
    <row r="75" spans="3:3" ht="15.75" customHeight="1">
      <c r="C75" s="1"/>
    </row>
    <row r="76" spans="3:3" ht="15.75" customHeight="1">
      <c r="C76" s="1"/>
    </row>
    <row r="77" spans="3:3" ht="15.75" customHeight="1">
      <c r="C77" s="1"/>
    </row>
    <row r="78" spans="3:3" ht="15.75" customHeight="1">
      <c r="C78" s="1"/>
    </row>
    <row r="79" spans="3:3" ht="15.75" customHeight="1">
      <c r="C79" s="1"/>
    </row>
    <row r="80" spans="3:3" ht="15.75" customHeight="1">
      <c r="C80" s="1"/>
    </row>
    <row r="81" spans="3:3" ht="15.75" customHeight="1">
      <c r="C81" s="1"/>
    </row>
    <row r="82" spans="3:3" ht="15.75" customHeight="1">
      <c r="C82" s="1"/>
    </row>
    <row r="83" spans="3:3" ht="15.75" customHeight="1">
      <c r="C83" s="1"/>
    </row>
    <row r="84" spans="3:3" ht="15.75" customHeight="1">
      <c r="C84" s="1"/>
    </row>
    <row r="85" spans="3:3" ht="15.75" customHeight="1">
      <c r="C85" s="1"/>
    </row>
    <row r="86" spans="3:3" ht="15.75" customHeight="1">
      <c r="C86" s="1"/>
    </row>
    <row r="87" spans="3:3" ht="15.75" customHeight="1">
      <c r="C87" s="1"/>
    </row>
    <row r="88" spans="3:3" ht="15.75" customHeight="1">
      <c r="C88" s="1"/>
    </row>
    <row r="89" spans="3:3" ht="15.75" customHeight="1">
      <c r="C89" s="1"/>
    </row>
    <row r="90" spans="3:3" ht="15.75" customHeight="1">
      <c r="C90" s="1"/>
    </row>
    <row r="91" spans="3:3" ht="15.75" customHeight="1">
      <c r="C91" s="1"/>
    </row>
    <row r="92" spans="3:3" ht="15.75" customHeight="1">
      <c r="C92" s="1"/>
    </row>
    <row r="93" spans="3:3" ht="15.75" customHeight="1">
      <c r="C93" s="1"/>
    </row>
    <row r="94" spans="3:3" ht="15.75" customHeight="1">
      <c r="C94" s="1"/>
    </row>
    <row r="95" spans="3:3" ht="15.75" customHeight="1">
      <c r="C95" s="1"/>
    </row>
    <row r="96" spans="3:3" ht="15.75" customHeight="1">
      <c r="C96" s="1"/>
    </row>
    <row r="97" spans="3:3" ht="15.75" customHeight="1">
      <c r="C97" s="1"/>
    </row>
    <row r="98" spans="3:3" ht="15.75" customHeight="1">
      <c r="C98" s="1"/>
    </row>
    <row r="99" spans="3:3" ht="15.75" customHeight="1">
      <c r="C99" s="1"/>
    </row>
    <row r="100" spans="3:3" ht="15.75" customHeight="1">
      <c r="C100" s="1"/>
    </row>
    <row r="101" spans="3:3" ht="15.75" customHeight="1">
      <c r="C101" s="1"/>
    </row>
    <row r="102" spans="3:3" ht="15.75" customHeight="1">
      <c r="C102" s="1"/>
    </row>
    <row r="103" spans="3:3" ht="15.75" customHeight="1">
      <c r="C103" s="1"/>
    </row>
    <row r="104" spans="3:3" ht="15.75" customHeight="1">
      <c r="C104" s="1"/>
    </row>
    <row r="105" spans="3:3" ht="15.75" customHeight="1">
      <c r="C105" s="1"/>
    </row>
    <row r="106" spans="3:3" ht="15.75" customHeight="1">
      <c r="C106" s="1"/>
    </row>
    <row r="107" spans="3:3" ht="15.75" customHeight="1">
      <c r="C107" s="1"/>
    </row>
    <row r="108" spans="3:3" ht="15.75" customHeight="1">
      <c r="C108" s="1"/>
    </row>
    <row r="109" spans="3:3" ht="15.75" customHeight="1">
      <c r="C109" s="1"/>
    </row>
    <row r="110" spans="3:3" ht="15.75" customHeight="1">
      <c r="C110" s="1"/>
    </row>
    <row r="111" spans="3:3" ht="15.75" customHeight="1">
      <c r="C111" s="1"/>
    </row>
    <row r="112" spans="3:3" ht="15.75" customHeight="1">
      <c r="C112" s="1"/>
    </row>
    <row r="113" spans="3:3" ht="15.75" customHeight="1">
      <c r="C113" s="1"/>
    </row>
    <row r="114" spans="3:3" ht="15.75" customHeight="1">
      <c r="C114" s="1"/>
    </row>
    <row r="115" spans="3:3" ht="15.75" customHeight="1">
      <c r="C115" s="1"/>
    </row>
    <row r="116" spans="3:3" ht="15.75" customHeight="1">
      <c r="C116" s="1"/>
    </row>
    <row r="117" spans="3:3" ht="15.75" customHeight="1">
      <c r="C117" s="1"/>
    </row>
    <row r="118" spans="3:3" ht="15.75" customHeight="1">
      <c r="C118" s="1"/>
    </row>
    <row r="119" spans="3:3" ht="15.75" customHeight="1">
      <c r="C119" s="1"/>
    </row>
    <row r="120" spans="3:3" ht="15.75" customHeight="1">
      <c r="C120" s="1"/>
    </row>
    <row r="121" spans="3:3" ht="15.75" customHeight="1">
      <c r="C121" s="1"/>
    </row>
    <row r="122" spans="3:3" ht="15.75" customHeight="1">
      <c r="C122" s="1"/>
    </row>
    <row r="123" spans="3:3" ht="15.75" customHeight="1">
      <c r="C123" s="1"/>
    </row>
    <row r="124" spans="3:3" ht="15.75" customHeight="1">
      <c r="C124" s="1"/>
    </row>
    <row r="125" spans="3:3" ht="15.75" customHeight="1">
      <c r="C125" s="1"/>
    </row>
    <row r="126" spans="3:3" ht="15.75" customHeight="1">
      <c r="C126" s="1"/>
    </row>
    <row r="127" spans="3:3" ht="15.75" customHeight="1">
      <c r="C127" s="1"/>
    </row>
    <row r="128" spans="3:3" ht="15.75" customHeight="1">
      <c r="C128" s="1"/>
    </row>
    <row r="129" spans="3:3" ht="15.75" customHeight="1">
      <c r="C129" s="1"/>
    </row>
    <row r="130" spans="3:3" ht="15.75" customHeight="1">
      <c r="C130" s="1"/>
    </row>
    <row r="131" spans="3:3" ht="15.75" customHeight="1">
      <c r="C131" s="1"/>
    </row>
    <row r="132" spans="3:3" ht="15.75" customHeight="1">
      <c r="C132" s="1"/>
    </row>
    <row r="133" spans="3:3" ht="15.75" customHeight="1">
      <c r="C133" s="1"/>
    </row>
    <row r="134" spans="3:3" ht="15.75" customHeight="1">
      <c r="C134" s="1"/>
    </row>
    <row r="135" spans="3:3" ht="15.75" customHeight="1">
      <c r="C135" s="1"/>
    </row>
    <row r="136" spans="3:3" ht="15.75" customHeight="1">
      <c r="C136" s="1"/>
    </row>
    <row r="137" spans="3:3" ht="15.75" customHeight="1">
      <c r="C137" s="1"/>
    </row>
    <row r="138" spans="3:3" ht="15.75" customHeight="1">
      <c r="C138" s="1"/>
    </row>
    <row r="139" spans="3:3" ht="15.75" customHeight="1">
      <c r="C139" s="1"/>
    </row>
    <row r="140" spans="3:3" ht="15.75" customHeight="1">
      <c r="C140" s="1"/>
    </row>
    <row r="141" spans="3:3" ht="15.75" customHeight="1">
      <c r="C141" s="1"/>
    </row>
    <row r="142" spans="3:3" ht="15.75" customHeight="1">
      <c r="C142" s="1"/>
    </row>
    <row r="143" spans="3:3" ht="15.75" customHeight="1">
      <c r="C143" s="1"/>
    </row>
    <row r="144" spans="3:3" ht="15.75" customHeight="1">
      <c r="C144" s="1"/>
    </row>
    <row r="145" spans="3:3" ht="15.75" customHeight="1">
      <c r="C145" s="1"/>
    </row>
    <row r="146" spans="3:3" ht="15.75" customHeight="1">
      <c r="C146" s="1"/>
    </row>
    <row r="147" spans="3:3" ht="15.75" customHeight="1">
      <c r="C147" s="1"/>
    </row>
    <row r="148" spans="3:3" ht="15.75" customHeight="1">
      <c r="C148" s="1"/>
    </row>
    <row r="149" spans="3:3" ht="15.75" customHeight="1">
      <c r="C149" s="1"/>
    </row>
    <row r="150" spans="3:3" ht="15.75" customHeight="1">
      <c r="C150" s="1"/>
    </row>
    <row r="151" spans="3:3" ht="15.75" customHeight="1">
      <c r="C151" s="1"/>
    </row>
    <row r="152" spans="3:3" ht="15.75" customHeight="1">
      <c r="C152" s="1"/>
    </row>
    <row r="153" spans="3:3" ht="15.75" customHeight="1">
      <c r="C153" s="1"/>
    </row>
    <row r="154" spans="3:3" ht="15.75" customHeight="1">
      <c r="C154" s="1"/>
    </row>
    <row r="155" spans="3:3" ht="15.75" customHeight="1">
      <c r="C155" s="1"/>
    </row>
    <row r="156" spans="3:3" ht="15.75" customHeight="1">
      <c r="C156" s="1"/>
    </row>
    <row r="157" spans="3:3" ht="15.75" customHeight="1">
      <c r="C157" s="1"/>
    </row>
    <row r="158" spans="3:3" ht="15.75" customHeight="1">
      <c r="C158" s="1"/>
    </row>
    <row r="159" spans="3:3" ht="15.75" customHeight="1">
      <c r="C159" s="1"/>
    </row>
    <row r="160" spans="3:3" ht="15.75" customHeight="1">
      <c r="C160" s="1"/>
    </row>
    <row r="161" spans="3:3" ht="15.75" customHeight="1">
      <c r="C161" s="1"/>
    </row>
    <row r="162" spans="3:3" ht="15.75" customHeight="1">
      <c r="C162" s="1"/>
    </row>
    <row r="163" spans="3:3" ht="15.75" customHeight="1">
      <c r="C163" s="1"/>
    </row>
    <row r="164" spans="3:3" ht="15.75" customHeight="1">
      <c r="C164" s="1"/>
    </row>
    <row r="165" spans="3:3" ht="15.75" customHeight="1">
      <c r="C165" s="1"/>
    </row>
    <row r="166" spans="3:3" ht="15.75" customHeight="1">
      <c r="C166" s="1"/>
    </row>
    <row r="167" spans="3:3" ht="15.75" customHeight="1">
      <c r="C167" s="1"/>
    </row>
    <row r="168" spans="3:3" ht="15.75" customHeight="1">
      <c r="C168" s="1"/>
    </row>
    <row r="169" spans="3:3" ht="15.75" customHeight="1">
      <c r="C169" s="1"/>
    </row>
    <row r="170" spans="3:3" ht="15.75" customHeight="1">
      <c r="C170" s="1"/>
    </row>
    <row r="171" spans="3:3" ht="15.75" customHeight="1">
      <c r="C171" s="1"/>
    </row>
    <row r="172" spans="3:3" ht="15.75" customHeight="1">
      <c r="C172" s="1"/>
    </row>
    <row r="173" spans="3:3" ht="15.75" customHeight="1">
      <c r="C173" s="1"/>
    </row>
    <row r="174" spans="3:3" ht="15.75" customHeight="1">
      <c r="C174" s="1"/>
    </row>
    <row r="175" spans="3:3" ht="15.75" customHeight="1">
      <c r="C175" s="1"/>
    </row>
    <row r="176" spans="3:3" ht="15.75" customHeight="1">
      <c r="C176" s="1"/>
    </row>
    <row r="177" spans="3:3" ht="15.75" customHeight="1">
      <c r="C177" s="1"/>
    </row>
    <row r="178" spans="3:3" ht="15.75" customHeight="1">
      <c r="C178" s="1"/>
    </row>
    <row r="179" spans="3:3" ht="15.75" customHeight="1">
      <c r="C179" s="1"/>
    </row>
    <row r="180" spans="3:3" ht="15.75" customHeight="1">
      <c r="C180" s="1"/>
    </row>
    <row r="181" spans="3:3" ht="15.75" customHeight="1">
      <c r="C181" s="1"/>
    </row>
    <row r="182" spans="3:3" ht="15.75" customHeight="1">
      <c r="C182" s="1"/>
    </row>
    <row r="183" spans="3:3" ht="15.75" customHeight="1">
      <c r="C183" s="1"/>
    </row>
    <row r="184" spans="3:3" ht="15.75" customHeight="1">
      <c r="C184" s="1"/>
    </row>
    <row r="185" spans="3:3" ht="15.75" customHeight="1">
      <c r="C185" s="1"/>
    </row>
    <row r="186" spans="3:3" ht="15.75" customHeight="1">
      <c r="C186" s="1"/>
    </row>
    <row r="187" spans="3:3" ht="15.75" customHeight="1">
      <c r="C187" s="1"/>
    </row>
    <row r="188" spans="3:3" ht="15.75" customHeight="1">
      <c r="C188" s="1"/>
    </row>
    <row r="189" spans="3:3" ht="15.75" customHeight="1">
      <c r="C189" s="1"/>
    </row>
    <row r="190" spans="3:3" ht="15.75" customHeight="1">
      <c r="C190" s="1"/>
    </row>
    <row r="191" spans="3:3" ht="15.75" customHeight="1">
      <c r="C191" s="1"/>
    </row>
    <row r="192" spans="3:3" ht="15.75" customHeight="1">
      <c r="C192" s="1"/>
    </row>
    <row r="193" spans="3:3" ht="15.75" customHeight="1">
      <c r="C193" s="1"/>
    </row>
    <row r="194" spans="3:3" ht="15.75" customHeight="1">
      <c r="C194" s="1"/>
    </row>
    <row r="195" spans="3:3" ht="15.75" customHeight="1">
      <c r="C195" s="1"/>
    </row>
    <row r="196" spans="3:3" ht="15.75" customHeight="1">
      <c r="C196" s="1"/>
    </row>
    <row r="197" spans="3:3" ht="15.75" customHeight="1">
      <c r="C197" s="1"/>
    </row>
    <row r="198" spans="3:3" ht="15.75" customHeight="1">
      <c r="C198" s="1"/>
    </row>
    <row r="199" spans="3:3" ht="15.75" customHeight="1">
      <c r="C199" s="1"/>
    </row>
    <row r="200" spans="3:3" ht="15.75" customHeight="1">
      <c r="C200" s="1"/>
    </row>
    <row r="201" spans="3:3" ht="15.75" customHeight="1">
      <c r="C201" s="1"/>
    </row>
    <row r="202" spans="3:3" ht="15.75" customHeight="1">
      <c r="C202" s="1"/>
    </row>
    <row r="203" spans="3:3" ht="15.75" customHeight="1">
      <c r="C203" s="1"/>
    </row>
    <row r="204" spans="3:3" ht="15.75" customHeight="1">
      <c r="C204" s="1"/>
    </row>
    <row r="205" spans="3:3" ht="15.75" customHeight="1">
      <c r="C205" s="1"/>
    </row>
    <row r="206" spans="3:3" ht="15.75" customHeight="1">
      <c r="C206" s="1"/>
    </row>
    <row r="207" spans="3:3" ht="15.75" customHeight="1">
      <c r="C207" s="1"/>
    </row>
    <row r="208" spans="3:3" ht="15.75" customHeight="1">
      <c r="C208" s="1"/>
    </row>
    <row r="209" spans="3:3" ht="15.75" customHeight="1">
      <c r="C209" s="1"/>
    </row>
    <row r="210" spans="3:3" ht="15.75" customHeight="1">
      <c r="C210" s="1"/>
    </row>
    <row r="211" spans="3:3" ht="15.75" customHeight="1">
      <c r="C211" s="1"/>
    </row>
    <row r="212" spans="3:3" ht="15.75" customHeight="1">
      <c r="C212" s="1"/>
    </row>
    <row r="213" spans="3:3" ht="15.75" customHeight="1">
      <c r="C213" s="1"/>
    </row>
    <row r="214" spans="3:3" ht="15.75" customHeight="1">
      <c r="C214" s="1"/>
    </row>
    <row r="215" spans="3:3" ht="15.75" customHeight="1">
      <c r="C215" s="1"/>
    </row>
    <row r="216" spans="3:3" ht="15.75" customHeight="1">
      <c r="C216" s="1"/>
    </row>
    <row r="217" spans="3:3" ht="15.75" customHeight="1">
      <c r="C217" s="1"/>
    </row>
    <row r="218" spans="3:3" ht="15.75" customHeight="1">
      <c r="C218" s="1"/>
    </row>
    <row r="219" spans="3:3" ht="15.75" customHeight="1">
      <c r="C219" s="1"/>
    </row>
    <row r="220" spans="3:3" ht="15.75" customHeight="1">
      <c r="C220" s="1"/>
    </row>
    <row r="221" spans="3:3" ht="15.75" customHeight="1">
      <c r="C221" s="1"/>
    </row>
    <row r="222" spans="3:3" ht="15.75" customHeight="1">
      <c r="C222" s="1"/>
    </row>
    <row r="223" spans="3:3" ht="15.75" customHeight="1">
      <c r="C223" s="1"/>
    </row>
    <row r="224" spans="3:3" ht="15.75" customHeight="1">
      <c r="C224" s="1"/>
    </row>
    <row r="225" spans="3:3" ht="15.75" customHeight="1">
      <c r="C225" s="1"/>
    </row>
    <row r="226" spans="3:3" ht="15.75" customHeight="1">
      <c r="C226" s="1"/>
    </row>
    <row r="227" spans="3:3" ht="15.75" customHeight="1">
      <c r="C227" s="1"/>
    </row>
    <row r="228" spans="3:3" ht="15.75" customHeight="1">
      <c r="C228" s="1"/>
    </row>
    <row r="229" spans="3:3" ht="15.75" customHeight="1">
      <c r="C229" s="1"/>
    </row>
    <row r="230" spans="3:3" ht="15.75" customHeight="1">
      <c r="C230" s="1"/>
    </row>
    <row r="231" spans="3:3" ht="15.75" customHeight="1">
      <c r="C231" s="1"/>
    </row>
    <row r="232" spans="3:3" ht="15.75" customHeight="1">
      <c r="C232" s="1"/>
    </row>
    <row r="233" spans="3:3" ht="15.75" customHeight="1">
      <c r="C233" s="1"/>
    </row>
    <row r="234" spans="3:3" ht="15.75" customHeight="1">
      <c r="C234" s="1"/>
    </row>
    <row r="235" spans="3:3" ht="15.75" customHeight="1">
      <c r="C235" s="1"/>
    </row>
    <row r="236" spans="3:3" ht="15.75" customHeight="1">
      <c r="C236" s="1"/>
    </row>
    <row r="237" spans="3:3" ht="15.75" customHeight="1">
      <c r="C237" s="1"/>
    </row>
    <row r="238" spans="3:3" ht="15.75" customHeight="1">
      <c r="C238" s="1"/>
    </row>
    <row r="239" spans="3:3" ht="15.75" customHeight="1">
      <c r="C239" s="1"/>
    </row>
    <row r="240" spans="3:3" ht="15.75" customHeight="1">
      <c r="C240" s="1"/>
    </row>
    <row r="241" spans="3:3" ht="15.75" customHeight="1">
      <c r="C241" s="1"/>
    </row>
    <row r="242" spans="3:3" ht="15.75" customHeight="1">
      <c r="C242" s="1"/>
    </row>
    <row r="243" spans="3:3" ht="15.75" customHeight="1">
      <c r="C243" s="1"/>
    </row>
    <row r="244" spans="3:3" ht="15.75" customHeight="1">
      <c r="C244" s="1"/>
    </row>
    <row r="245" spans="3:3" ht="15.75" customHeight="1">
      <c r="C245" s="1"/>
    </row>
    <row r="246" spans="3:3" ht="15.75" customHeight="1">
      <c r="C246" s="1"/>
    </row>
    <row r="247" spans="3:3" ht="15.75" customHeight="1">
      <c r="C247" s="1"/>
    </row>
    <row r="248" spans="3:3" ht="15.75" customHeight="1">
      <c r="C248" s="1"/>
    </row>
    <row r="249" spans="3:3" ht="15.75" customHeight="1">
      <c r="C249" s="1"/>
    </row>
    <row r="250" spans="3:3" ht="15.75" customHeight="1">
      <c r="C250" s="1"/>
    </row>
    <row r="251" spans="3:3" ht="15.75" customHeight="1">
      <c r="C251" s="1"/>
    </row>
    <row r="252" spans="3:3" ht="15.75" customHeight="1">
      <c r="C252" s="1"/>
    </row>
    <row r="253" spans="3:3" ht="15.75" customHeight="1">
      <c r="C253" s="1"/>
    </row>
    <row r="254" spans="3:3" ht="15.75" customHeight="1">
      <c r="C254" s="1"/>
    </row>
    <row r="255" spans="3:3" ht="15.75" customHeight="1">
      <c r="C255" s="1"/>
    </row>
    <row r="256" spans="3:3" ht="15.75" customHeight="1">
      <c r="C256" s="1"/>
    </row>
    <row r="257" spans="3:3" ht="15.75" customHeight="1">
      <c r="C257" s="1"/>
    </row>
    <row r="258" spans="3:3" ht="15.75" customHeight="1">
      <c r="C258" s="1"/>
    </row>
    <row r="259" spans="3:3" ht="15.75" customHeight="1">
      <c r="C259" s="1"/>
    </row>
    <row r="260" spans="3:3" ht="15.75" customHeight="1">
      <c r="C260" s="1"/>
    </row>
    <row r="261" spans="3:3" ht="15.75" customHeight="1">
      <c r="C261" s="1"/>
    </row>
    <row r="262" spans="3:3" ht="15.75" customHeight="1">
      <c r="C262" s="1"/>
    </row>
    <row r="263" spans="3:3" ht="15.75" customHeight="1">
      <c r="C263" s="1"/>
    </row>
    <row r="264" spans="3:3" ht="15.75" customHeight="1">
      <c r="C264" s="1"/>
    </row>
    <row r="265" spans="3:3" ht="15.75" customHeight="1">
      <c r="C265" s="1"/>
    </row>
    <row r="266" spans="3:3" ht="15.75" customHeight="1">
      <c r="C266" s="1"/>
    </row>
    <row r="267" spans="3:3" ht="15.75" customHeight="1">
      <c r="C267" s="1"/>
    </row>
    <row r="268" spans="3:3" ht="15.75" customHeight="1">
      <c r="C268" s="1"/>
    </row>
    <row r="269" spans="3:3" ht="15.75" customHeight="1">
      <c r="C269" s="1"/>
    </row>
    <row r="270" spans="3:3" ht="15.75" customHeight="1">
      <c r="C270" s="1"/>
    </row>
    <row r="271" spans="3:3" ht="15.75" customHeight="1">
      <c r="C271" s="1"/>
    </row>
    <row r="272" spans="3:3" ht="15.75" customHeight="1">
      <c r="C272" s="1"/>
    </row>
    <row r="273" spans="3:3" ht="15.75" customHeight="1">
      <c r="C273" s="1"/>
    </row>
    <row r="274" spans="3:3" ht="15.75" customHeight="1">
      <c r="C274" s="1"/>
    </row>
    <row r="275" spans="3:3" ht="15.75" customHeight="1">
      <c r="C275" s="1"/>
    </row>
    <row r="276" spans="3:3" ht="15.75" customHeight="1">
      <c r="C276" s="1"/>
    </row>
    <row r="277" spans="3:3" ht="15.75" customHeight="1">
      <c r="C277" s="1"/>
    </row>
    <row r="278" spans="3:3" ht="15.75" customHeight="1">
      <c r="C278" s="1"/>
    </row>
    <row r="279" spans="3:3" ht="15.75" customHeight="1">
      <c r="C279" s="1"/>
    </row>
    <row r="280" spans="3:3" ht="15.75" customHeight="1">
      <c r="C280" s="1"/>
    </row>
    <row r="281" spans="3:3" ht="15.75" customHeight="1">
      <c r="C281" s="1"/>
    </row>
    <row r="282" spans="3:3" ht="15.75" customHeight="1">
      <c r="C282" s="1"/>
    </row>
    <row r="283" spans="3:3" ht="15.75" customHeight="1">
      <c r="C283" s="1"/>
    </row>
    <row r="284" spans="3:3" ht="15.75" customHeight="1">
      <c r="C284" s="1"/>
    </row>
    <row r="285" spans="3:3" ht="15.75" customHeight="1">
      <c r="C285" s="1"/>
    </row>
    <row r="286" spans="3:3" ht="15.75" customHeight="1">
      <c r="C286" s="1"/>
    </row>
    <row r="287" spans="3:3" ht="15.75" customHeight="1">
      <c r="C287" s="1"/>
    </row>
    <row r="288" spans="3:3" ht="15.75" customHeight="1">
      <c r="C288" s="1"/>
    </row>
    <row r="289" spans="3:3" ht="15.75" customHeight="1">
      <c r="C289" s="1"/>
    </row>
    <row r="290" spans="3:3" ht="15.75" customHeight="1">
      <c r="C290" s="1"/>
    </row>
    <row r="291" spans="3:3" ht="15.75" customHeight="1">
      <c r="C291" s="1"/>
    </row>
    <row r="292" spans="3:3" ht="15.75" customHeight="1">
      <c r="C292" s="1"/>
    </row>
    <row r="293" spans="3:3" ht="15.75" customHeight="1">
      <c r="C293" s="1"/>
    </row>
    <row r="294" spans="3:3" ht="15.75" customHeight="1">
      <c r="C294" s="1"/>
    </row>
    <row r="295" spans="3:3" ht="15.75" customHeight="1">
      <c r="C295" s="1"/>
    </row>
    <row r="296" spans="3:3" ht="15.75" customHeight="1">
      <c r="C296" s="1"/>
    </row>
    <row r="297" spans="3:3" ht="15.75" customHeight="1">
      <c r="C297" s="1"/>
    </row>
    <row r="298" spans="3:3" ht="15.75" customHeight="1">
      <c r="C298" s="1"/>
    </row>
    <row r="299" spans="3:3" ht="15.75" customHeight="1">
      <c r="C299" s="1"/>
    </row>
    <row r="300" spans="3:3" ht="15.75" customHeight="1">
      <c r="C300" s="1"/>
    </row>
    <row r="301" spans="3:3" ht="15.75" customHeight="1">
      <c r="C301" s="1"/>
    </row>
    <row r="302" spans="3:3" ht="15.75" customHeight="1">
      <c r="C302" s="1"/>
    </row>
    <row r="303" spans="3:3" ht="15.75" customHeight="1">
      <c r="C303" s="1"/>
    </row>
    <row r="304" spans="3:3" ht="15.75" customHeight="1">
      <c r="C304" s="1"/>
    </row>
    <row r="305" spans="3:3" ht="15.75" customHeight="1">
      <c r="C305" s="1"/>
    </row>
    <row r="306" spans="3:3" ht="15.75" customHeight="1">
      <c r="C306" s="1"/>
    </row>
    <row r="307" spans="3:3" ht="15.75" customHeight="1">
      <c r="C307" s="1"/>
    </row>
    <row r="308" spans="3:3" ht="15.75" customHeight="1">
      <c r="C308" s="1"/>
    </row>
    <row r="309" spans="3:3" ht="15.75" customHeight="1">
      <c r="C309" s="1"/>
    </row>
    <row r="310" spans="3:3" ht="15.75" customHeight="1">
      <c r="C310" s="1"/>
    </row>
    <row r="311" spans="3:3" ht="15.75" customHeight="1">
      <c r="C311" s="1"/>
    </row>
    <row r="312" spans="3:3" ht="15.75" customHeight="1">
      <c r="C312" s="1"/>
    </row>
    <row r="313" spans="3:3" ht="15.75" customHeight="1">
      <c r="C313" s="1"/>
    </row>
    <row r="314" spans="3:3" ht="15.75" customHeight="1">
      <c r="C314" s="1"/>
    </row>
    <row r="315" spans="3:3" ht="15.75" customHeight="1">
      <c r="C315" s="1"/>
    </row>
    <row r="316" spans="3:3" ht="15.75" customHeight="1">
      <c r="C316" s="1"/>
    </row>
    <row r="317" spans="3:3" ht="15.75" customHeight="1">
      <c r="C317" s="1"/>
    </row>
    <row r="318" spans="3:3" ht="15.75" customHeight="1">
      <c r="C318" s="1"/>
    </row>
    <row r="319" spans="3:3" ht="15.75" customHeight="1">
      <c r="C319" s="1"/>
    </row>
    <row r="320" spans="3:3" ht="15.75" customHeight="1">
      <c r="C320" s="1"/>
    </row>
    <row r="321" spans="3:3" ht="15.75" customHeight="1">
      <c r="C321" s="1"/>
    </row>
    <row r="322" spans="3:3" ht="15.75" customHeight="1">
      <c r="C322" s="1"/>
    </row>
    <row r="323" spans="3:3" ht="15.75" customHeight="1">
      <c r="C323" s="1"/>
    </row>
    <row r="324" spans="3:3" ht="15.75" customHeight="1">
      <c r="C324" s="1"/>
    </row>
    <row r="325" spans="3:3" ht="15.75" customHeight="1">
      <c r="C325" s="1"/>
    </row>
    <row r="326" spans="3:3" ht="15.75" customHeight="1">
      <c r="C326" s="1"/>
    </row>
    <row r="327" spans="3:3" ht="15.75" customHeight="1">
      <c r="C327" s="1"/>
    </row>
    <row r="328" spans="3:3" ht="15.75" customHeight="1">
      <c r="C328" s="1"/>
    </row>
    <row r="329" spans="3:3" ht="15.75" customHeight="1">
      <c r="C329" s="1"/>
    </row>
    <row r="330" spans="3:3" ht="15.75" customHeight="1">
      <c r="C330" s="1"/>
    </row>
    <row r="331" spans="3:3" ht="15.75" customHeight="1">
      <c r="C331" s="1"/>
    </row>
    <row r="332" spans="3:3" ht="15.75" customHeight="1">
      <c r="C332" s="1"/>
    </row>
    <row r="333" spans="3:3" ht="15.75" customHeight="1">
      <c r="C333" s="1"/>
    </row>
    <row r="334" spans="3:3" ht="15.75" customHeight="1">
      <c r="C334" s="1"/>
    </row>
    <row r="335" spans="3:3" ht="15.75" customHeight="1">
      <c r="C335" s="1"/>
    </row>
    <row r="336" spans="3:3" ht="15.75" customHeight="1">
      <c r="C336" s="1"/>
    </row>
    <row r="337" spans="3:3" ht="15.75" customHeight="1">
      <c r="C337" s="1"/>
    </row>
    <row r="338" spans="3:3" ht="15.75" customHeight="1">
      <c r="C338" s="1"/>
    </row>
    <row r="339" spans="3:3" ht="15.75" customHeight="1">
      <c r="C339" s="1"/>
    </row>
    <row r="340" spans="3:3" ht="15.75" customHeight="1">
      <c r="C340" s="1"/>
    </row>
    <row r="341" spans="3:3" ht="15.75" customHeight="1">
      <c r="C341" s="1"/>
    </row>
    <row r="342" spans="3:3" ht="15.75" customHeight="1">
      <c r="C342" s="1"/>
    </row>
    <row r="343" spans="3:3" ht="15.75" customHeight="1">
      <c r="C343" s="1"/>
    </row>
    <row r="344" spans="3:3" ht="15.75" customHeight="1">
      <c r="C344" s="1"/>
    </row>
    <row r="345" spans="3:3" ht="15.75" customHeight="1">
      <c r="C345" s="1"/>
    </row>
    <row r="346" spans="3:3" ht="15.75" customHeight="1">
      <c r="C346" s="1"/>
    </row>
    <row r="347" spans="3:3" ht="15.75" customHeight="1">
      <c r="C347" s="1"/>
    </row>
    <row r="348" spans="3:3" ht="15.75" customHeight="1">
      <c r="C348" s="1"/>
    </row>
    <row r="349" spans="3:3" ht="15.75" customHeight="1">
      <c r="C349" s="1"/>
    </row>
    <row r="350" spans="3:3" ht="15.75" customHeight="1">
      <c r="C350" s="1"/>
    </row>
    <row r="351" spans="3:3" ht="15.75" customHeight="1">
      <c r="C351" s="1"/>
    </row>
    <row r="352" spans="3:3" ht="15.75" customHeight="1">
      <c r="C352" s="1"/>
    </row>
    <row r="353" spans="3:3" ht="15.75" customHeight="1">
      <c r="C353" s="1"/>
    </row>
    <row r="354" spans="3:3" ht="15.75" customHeight="1">
      <c r="C354" s="1"/>
    </row>
    <row r="355" spans="3:3" ht="15.75" customHeight="1">
      <c r="C355" s="1"/>
    </row>
    <row r="356" spans="3:3" ht="15.75" customHeight="1">
      <c r="C356" s="1"/>
    </row>
    <row r="357" spans="3:3" ht="15.75" customHeight="1">
      <c r="C357" s="1"/>
    </row>
    <row r="358" spans="3:3" ht="15.75" customHeight="1">
      <c r="C358" s="1"/>
    </row>
    <row r="359" spans="3:3" ht="15.75" customHeight="1">
      <c r="C359" s="1"/>
    </row>
    <row r="360" spans="3:3" ht="15.75" customHeight="1">
      <c r="C360" s="1"/>
    </row>
    <row r="361" spans="3:3" ht="15.75" customHeight="1">
      <c r="C361" s="1"/>
    </row>
    <row r="362" spans="3:3" ht="15.75" customHeight="1">
      <c r="C362" s="1"/>
    </row>
    <row r="363" spans="3:3" ht="15.75" customHeight="1">
      <c r="C363" s="1"/>
    </row>
    <row r="364" spans="3:3" ht="15.75" customHeight="1">
      <c r="C364" s="1"/>
    </row>
    <row r="365" spans="3:3" ht="15.75" customHeight="1">
      <c r="C365" s="1"/>
    </row>
    <row r="366" spans="3:3" ht="15.75" customHeight="1">
      <c r="C366" s="1"/>
    </row>
    <row r="367" spans="3:3" ht="15.75" customHeight="1">
      <c r="C367" s="1"/>
    </row>
    <row r="368" spans="3:3" ht="15.75" customHeight="1">
      <c r="C368" s="1"/>
    </row>
    <row r="369" spans="3:3" ht="15.75" customHeight="1">
      <c r="C369" s="1"/>
    </row>
    <row r="370" spans="3:3" ht="15.75" customHeight="1">
      <c r="C370" s="1"/>
    </row>
    <row r="371" spans="3:3" ht="15.75" customHeight="1">
      <c r="C371" s="1"/>
    </row>
    <row r="372" spans="3:3" ht="15.75" customHeight="1">
      <c r="C372" s="1"/>
    </row>
    <row r="373" spans="3:3" ht="15.75" customHeight="1">
      <c r="C373" s="1"/>
    </row>
    <row r="374" spans="3:3" ht="15.75" customHeight="1">
      <c r="C374" s="1"/>
    </row>
    <row r="375" spans="3:3" ht="15.75" customHeight="1">
      <c r="C375" s="1"/>
    </row>
    <row r="376" spans="3:3" ht="15.75" customHeight="1">
      <c r="C376" s="1"/>
    </row>
    <row r="377" spans="3:3" ht="15.75" customHeight="1">
      <c r="C377" s="1"/>
    </row>
    <row r="378" spans="3:3" ht="15.75" customHeight="1">
      <c r="C378" s="1"/>
    </row>
    <row r="379" spans="3:3" ht="15.75" customHeight="1">
      <c r="C379" s="1"/>
    </row>
    <row r="380" spans="3:3" ht="15.75" customHeight="1">
      <c r="C380" s="1"/>
    </row>
    <row r="381" spans="3:3" ht="15.75" customHeight="1">
      <c r="C381" s="1"/>
    </row>
    <row r="382" spans="3:3" ht="15.75" customHeight="1">
      <c r="C382" s="1"/>
    </row>
    <row r="383" spans="3:3" ht="15.75" customHeight="1">
      <c r="C383" s="1"/>
    </row>
    <row r="384" spans="3:3" ht="15.75" customHeight="1">
      <c r="C384" s="1"/>
    </row>
    <row r="385" spans="3:3" ht="15.75" customHeight="1">
      <c r="C385" s="1"/>
    </row>
    <row r="386" spans="3:3" ht="15.75" customHeight="1">
      <c r="C386" s="1"/>
    </row>
    <row r="387" spans="3:3" ht="15.75" customHeight="1">
      <c r="C387" s="1"/>
    </row>
    <row r="388" spans="3:3" ht="15.75" customHeight="1">
      <c r="C388" s="1"/>
    </row>
    <row r="389" spans="3:3" ht="15.75" customHeight="1">
      <c r="C389" s="1"/>
    </row>
    <row r="390" spans="3:3" ht="15.75" customHeight="1">
      <c r="C390" s="1"/>
    </row>
    <row r="391" spans="3:3" ht="15.75" customHeight="1">
      <c r="C391" s="1"/>
    </row>
    <row r="392" spans="3:3" ht="15.75" customHeight="1">
      <c r="C392" s="1"/>
    </row>
    <row r="393" spans="3:3" ht="15.75" customHeight="1">
      <c r="C393" s="1"/>
    </row>
    <row r="394" spans="3:3" ht="15.75" customHeight="1">
      <c r="C394" s="1"/>
    </row>
    <row r="395" spans="3:3" ht="15.75" customHeight="1">
      <c r="C395" s="1"/>
    </row>
    <row r="396" spans="3:3" ht="15.75" customHeight="1">
      <c r="C396" s="1"/>
    </row>
    <row r="397" spans="3:3" ht="15.75" customHeight="1">
      <c r="C397" s="1"/>
    </row>
    <row r="398" spans="3:3" ht="15.75" customHeight="1">
      <c r="C398" s="1"/>
    </row>
    <row r="399" spans="3:3" ht="15.75" customHeight="1">
      <c r="C399" s="1"/>
    </row>
    <row r="400" spans="3:3" ht="15.75" customHeight="1">
      <c r="C400" s="1"/>
    </row>
    <row r="401" spans="3:3" ht="15.75" customHeight="1">
      <c r="C401" s="1"/>
    </row>
    <row r="402" spans="3:3" ht="15.75" customHeight="1">
      <c r="C402" s="1"/>
    </row>
    <row r="403" spans="3:3" ht="15.75" customHeight="1">
      <c r="C403" s="1"/>
    </row>
    <row r="404" spans="3:3" ht="15.75" customHeight="1">
      <c r="C404" s="1"/>
    </row>
    <row r="405" spans="3:3" ht="15.75" customHeight="1">
      <c r="C405" s="1"/>
    </row>
    <row r="406" spans="3:3" ht="15.75" customHeight="1">
      <c r="C406" s="1"/>
    </row>
    <row r="407" spans="3:3" ht="15.75" customHeight="1">
      <c r="C407" s="1"/>
    </row>
    <row r="408" spans="3:3" ht="15.75" customHeight="1">
      <c r="C408" s="1"/>
    </row>
    <row r="409" spans="3:3" ht="15.75" customHeight="1">
      <c r="C409" s="1"/>
    </row>
    <row r="410" spans="3:3" ht="15.75" customHeight="1">
      <c r="C410" s="1"/>
    </row>
    <row r="411" spans="3:3" ht="15.75" customHeight="1">
      <c r="C411" s="1"/>
    </row>
    <row r="412" spans="3:3" ht="15.75" customHeight="1">
      <c r="C412" s="1"/>
    </row>
    <row r="413" spans="3:3" ht="15.75" customHeight="1">
      <c r="C413" s="1"/>
    </row>
    <row r="414" spans="3:3" ht="15.75" customHeight="1">
      <c r="C414" s="1"/>
    </row>
    <row r="415" spans="3:3" ht="15.75" customHeight="1">
      <c r="C415" s="1"/>
    </row>
    <row r="416" spans="3:3" ht="15.75" customHeight="1">
      <c r="C416" s="1"/>
    </row>
    <row r="417" spans="3:3" ht="15.75" customHeight="1">
      <c r="C417" s="1"/>
    </row>
    <row r="418" spans="3:3" ht="15.75" customHeight="1">
      <c r="C418" s="1"/>
    </row>
    <row r="419" spans="3:3" ht="15.75" customHeight="1">
      <c r="C419" s="1"/>
    </row>
    <row r="420" spans="3:3" ht="15.75" customHeight="1">
      <c r="C420" s="1"/>
    </row>
    <row r="421" spans="3:3" ht="15.75" customHeight="1">
      <c r="C421" s="1"/>
    </row>
    <row r="422" spans="3:3" ht="15.75" customHeight="1">
      <c r="C422" s="1"/>
    </row>
    <row r="423" spans="3:3" ht="15.75" customHeight="1">
      <c r="C423" s="1"/>
    </row>
    <row r="424" spans="3:3" ht="15.75" customHeight="1">
      <c r="C424" s="1"/>
    </row>
    <row r="425" spans="3:3" ht="15.75" customHeight="1">
      <c r="C425" s="1"/>
    </row>
    <row r="426" spans="3:3" ht="15.75" customHeight="1">
      <c r="C426" s="1"/>
    </row>
    <row r="427" spans="3:3" ht="15.75" customHeight="1">
      <c r="C427" s="1"/>
    </row>
    <row r="428" spans="3:3" ht="15.75" customHeight="1">
      <c r="C428" s="1"/>
    </row>
    <row r="429" spans="3:3" ht="15.75" customHeight="1">
      <c r="C429" s="1"/>
    </row>
    <row r="430" spans="3:3" ht="15.75" customHeight="1">
      <c r="C430" s="1"/>
    </row>
    <row r="431" spans="3:3" ht="15.75" customHeight="1">
      <c r="C431" s="1"/>
    </row>
    <row r="432" spans="3:3" ht="15.75" customHeight="1">
      <c r="C432" s="1"/>
    </row>
    <row r="433" spans="3:3" ht="15.75" customHeight="1">
      <c r="C433" s="1"/>
    </row>
    <row r="434" spans="3:3" ht="15.75" customHeight="1">
      <c r="C434" s="1"/>
    </row>
    <row r="435" spans="3:3" ht="15.75" customHeight="1">
      <c r="C435" s="1"/>
    </row>
    <row r="436" spans="3:3" ht="15.75" customHeight="1">
      <c r="C436" s="1"/>
    </row>
    <row r="437" spans="3:3" ht="15.75" customHeight="1">
      <c r="C437" s="1"/>
    </row>
    <row r="438" spans="3:3" ht="15.75" customHeight="1">
      <c r="C438" s="1"/>
    </row>
    <row r="439" spans="3:3" ht="15.75" customHeight="1">
      <c r="C439" s="1"/>
    </row>
    <row r="440" spans="3:3" ht="15.75" customHeight="1">
      <c r="C440" s="1"/>
    </row>
    <row r="441" spans="3:3" ht="15.75" customHeight="1">
      <c r="C441" s="1"/>
    </row>
    <row r="442" spans="3:3" ht="15.75" customHeight="1">
      <c r="C442" s="1"/>
    </row>
    <row r="443" spans="3:3" ht="15.75" customHeight="1">
      <c r="C443" s="1"/>
    </row>
    <row r="444" spans="3:3" ht="15.75" customHeight="1">
      <c r="C444" s="1"/>
    </row>
    <row r="445" spans="3:3" ht="15.75" customHeight="1">
      <c r="C445" s="1"/>
    </row>
    <row r="446" spans="3:3" ht="15.75" customHeight="1">
      <c r="C446" s="1"/>
    </row>
    <row r="447" spans="3:3" ht="15.75" customHeight="1">
      <c r="C447" s="1"/>
    </row>
    <row r="448" spans="3:3" ht="15.75" customHeight="1">
      <c r="C448" s="1"/>
    </row>
    <row r="449" spans="3:3" ht="15.75" customHeight="1">
      <c r="C449" s="1"/>
    </row>
    <row r="450" spans="3:3" ht="15.75" customHeight="1">
      <c r="C450" s="1"/>
    </row>
    <row r="451" spans="3:3" ht="15.75" customHeight="1">
      <c r="C451" s="1"/>
    </row>
    <row r="452" spans="3:3" ht="15.75" customHeight="1">
      <c r="C452" s="1"/>
    </row>
    <row r="453" spans="3:3" ht="15.75" customHeight="1">
      <c r="C453" s="1"/>
    </row>
    <row r="454" spans="3:3" ht="15.75" customHeight="1">
      <c r="C454" s="1"/>
    </row>
    <row r="455" spans="3:3" ht="15.75" customHeight="1">
      <c r="C455" s="1"/>
    </row>
    <row r="456" spans="3:3" ht="15.75" customHeight="1">
      <c r="C456" s="1"/>
    </row>
    <row r="457" spans="3:3" ht="15.75" customHeight="1">
      <c r="C457" s="1"/>
    </row>
    <row r="458" spans="3:3" ht="15.75" customHeight="1">
      <c r="C458" s="1"/>
    </row>
    <row r="459" spans="3:3" ht="15.75" customHeight="1">
      <c r="C459" s="1"/>
    </row>
    <row r="460" spans="3:3" ht="15.75" customHeight="1">
      <c r="C460" s="1"/>
    </row>
    <row r="461" spans="3:3" ht="15.75" customHeight="1">
      <c r="C461" s="1"/>
    </row>
    <row r="462" spans="3:3" ht="15.75" customHeight="1">
      <c r="C462" s="1"/>
    </row>
    <row r="463" spans="3:3" ht="15.75" customHeight="1">
      <c r="C463" s="1"/>
    </row>
    <row r="464" spans="3:3" ht="15.75" customHeight="1">
      <c r="C464" s="1"/>
    </row>
    <row r="465" spans="3:3" ht="15.75" customHeight="1">
      <c r="C465" s="1"/>
    </row>
    <row r="466" spans="3:3" ht="15.75" customHeight="1">
      <c r="C466" s="1"/>
    </row>
    <row r="467" spans="3:3" ht="15.75" customHeight="1">
      <c r="C467" s="1"/>
    </row>
    <row r="468" spans="3:3" ht="15.75" customHeight="1">
      <c r="C468" s="1"/>
    </row>
    <row r="469" spans="3:3" ht="15.75" customHeight="1">
      <c r="C469" s="1"/>
    </row>
    <row r="470" spans="3:3" ht="15.75" customHeight="1">
      <c r="C470" s="1"/>
    </row>
    <row r="471" spans="3:3" ht="15.75" customHeight="1">
      <c r="C471" s="1"/>
    </row>
    <row r="472" spans="3:3" ht="15.75" customHeight="1">
      <c r="C472" s="1"/>
    </row>
    <row r="473" spans="3:3" ht="15.75" customHeight="1">
      <c r="C473" s="1"/>
    </row>
    <row r="474" spans="3:3" ht="15.75" customHeight="1">
      <c r="C474" s="1"/>
    </row>
    <row r="475" spans="3:3" ht="15.75" customHeight="1">
      <c r="C475" s="1"/>
    </row>
    <row r="476" spans="3:3" ht="15.75" customHeight="1">
      <c r="C476" s="1"/>
    </row>
    <row r="477" spans="3:3" ht="15.75" customHeight="1">
      <c r="C477" s="1"/>
    </row>
    <row r="478" spans="3:3" ht="15.75" customHeight="1">
      <c r="C478" s="1"/>
    </row>
    <row r="479" spans="3:3" ht="15.75" customHeight="1">
      <c r="C479" s="1"/>
    </row>
    <row r="480" spans="3:3" ht="15.75" customHeight="1">
      <c r="C480" s="1"/>
    </row>
    <row r="481" spans="3:3" ht="15.75" customHeight="1">
      <c r="C481" s="1"/>
    </row>
    <row r="482" spans="3:3" ht="15.75" customHeight="1">
      <c r="C482" s="1"/>
    </row>
    <row r="483" spans="3:3" ht="15.75" customHeight="1">
      <c r="C483" s="1"/>
    </row>
    <row r="484" spans="3:3" ht="15.75" customHeight="1">
      <c r="C484" s="1"/>
    </row>
    <row r="485" spans="3:3" ht="15.75" customHeight="1">
      <c r="C485" s="1"/>
    </row>
    <row r="486" spans="3:3" ht="15.75" customHeight="1">
      <c r="C486" s="1"/>
    </row>
    <row r="487" spans="3:3" ht="15.75" customHeight="1">
      <c r="C487" s="1"/>
    </row>
    <row r="488" spans="3:3" ht="15.75" customHeight="1">
      <c r="C488" s="1"/>
    </row>
    <row r="489" spans="3:3" ht="15.75" customHeight="1">
      <c r="C489" s="1"/>
    </row>
    <row r="490" spans="3:3" ht="15.75" customHeight="1">
      <c r="C490" s="1"/>
    </row>
    <row r="491" spans="3:3" ht="15.75" customHeight="1">
      <c r="C491" s="1"/>
    </row>
    <row r="492" spans="3:3" ht="15.75" customHeight="1">
      <c r="C492" s="1"/>
    </row>
    <row r="493" spans="3:3" ht="15.75" customHeight="1">
      <c r="C493" s="1"/>
    </row>
    <row r="494" spans="3:3" ht="15.75" customHeight="1">
      <c r="C494" s="1"/>
    </row>
    <row r="495" spans="3:3" ht="15.75" customHeight="1">
      <c r="C495" s="1"/>
    </row>
    <row r="496" spans="3:3" ht="15.75" customHeight="1">
      <c r="C496" s="1"/>
    </row>
    <row r="497" spans="3:3" ht="15.75" customHeight="1">
      <c r="C497" s="1"/>
    </row>
    <row r="498" spans="3:3" ht="15.75" customHeight="1">
      <c r="C498" s="1"/>
    </row>
    <row r="499" spans="3:3" ht="15.75" customHeight="1">
      <c r="C499" s="1"/>
    </row>
    <row r="500" spans="3:3" ht="15.75" customHeight="1">
      <c r="C500" s="1"/>
    </row>
    <row r="501" spans="3:3" ht="15.75" customHeight="1">
      <c r="C501" s="1"/>
    </row>
    <row r="502" spans="3:3" ht="15.75" customHeight="1">
      <c r="C502" s="1"/>
    </row>
    <row r="503" spans="3:3" ht="15.75" customHeight="1">
      <c r="C503" s="1"/>
    </row>
    <row r="504" spans="3:3" ht="15.75" customHeight="1">
      <c r="C504" s="1"/>
    </row>
    <row r="505" spans="3:3" ht="15.75" customHeight="1">
      <c r="C505" s="1"/>
    </row>
    <row r="506" spans="3:3" ht="15.75" customHeight="1">
      <c r="C506" s="1"/>
    </row>
    <row r="507" spans="3:3" ht="15.75" customHeight="1">
      <c r="C507" s="1"/>
    </row>
    <row r="508" spans="3:3" ht="15.75" customHeight="1">
      <c r="C508" s="1"/>
    </row>
    <row r="509" spans="3:3" ht="15.75" customHeight="1">
      <c r="C509" s="1"/>
    </row>
    <row r="510" spans="3:3" ht="15.75" customHeight="1">
      <c r="C510" s="1"/>
    </row>
    <row r="511" spans="3:3" ht="15.75" customHeight="1">
      <c r="C511" s="1"/>
    </row>
    <row r="512" spans="3:3" ht="15.75" customHeight="1">
      <c r="C512" s="1"/>
    </row>
    <row r="513" spans="3:3" ht="15.75" customHeight="1">
      <c r="C513" s="1"/>
    </row>
    <row r="514" spans="3:3" ht="15.75" customHeight="1">
      <c r="C514" s="1"/>
    </row>
    <row r="515" spans="3:3" ht="15.75" customHeight="1">
      <c r="C515" s="1"/>
    </row>
    <row r="516" spans="3:3" ht="15.75" customHeight="1">
      <c r="C516" s="1"/>
    </row>
    <row r="517" spans="3:3" ht="15.75" customHeight="1">
      <c r="C517" s="1"/>
    </row>
    <row r="518" spans="3:3" ht="15.75" customHeight="1">
      <c r="C518" s="1"/>
    </row>
    <row r="519" spans="3:3" ht="15.75" customHeight="1">
      <c r="C519" s="1"/>
    </row>
    <row r="520" spans="3:3" ht="15.75" customHeight="1">
      <c r="C520" s="1"/>
    </row>
    <row r="521" spans="3:3" ht="15.75" customHeight="1">
      <c r="C521" s="1"/>
    </row>
    <row r="522" spans="3:3" ht="15.75" customHeight="1">
      <c r="C522" s="1"/>
    </row>
    <row r="523" spans="3:3" ht="15.75" customHeight="1">
      <c r="C523" s="1"/>
    </row>
    <row r="524" spans="3:3" ht="15.75" customHeight="1">
      <c r="C524" s="1"/>
    </row>
    <row r="525" spans="3:3" ht="15.75" customHeight="1">
      <c r="C525" s="1"/>
    </row>
    <row r="526" spans="3:3" ht="15.75" customHeight="1">
      <c r="C526" s="1"/>
    </row>
    <row r="527" spans="3:3" ht="15.75" customHeight="1">
      <c r="C527" s="1"/>
    </row>
    <row r="528" spans="3:3" ht="15.75" customHeight="1">
      <c r="C528" s="1"/>
    </row>
    <row r="529" spans="3:3" ht="15.75" customHeight="1">
      <c r="C529" s="1"/>
    </row>
    <row r="530" spans="3:3" ht="15.75" customHeight="1">
      <c r="C530" s="1"/>
    </row>
    <row r="531" spans="3:3" ht="15.75" customHeight="1">
      <c r="C531" s="1"/>
    </row>
    <row r="532" spans="3:3" ht="15.75" customHeight="1">
      <c r="C532" s="1"/>
    </row>
    <row r="533" spans="3:3" ht="15.75" customHeight="1">
      <c r="C533" s="1"/>
    </row>
    <row r="534" spans="3:3" ht="15.75" customHeight="1">
      <c r="C534" s="1"/>
    </row>
    <row r="535" spans="3:3" ht="15.75" customHeight="1">
      <c r="C535" s="1"/>
    </row>
    <row r="536" spans="3:3" ht="15.75" customHeight="1">
      <c r="C536" s="1"/>
    </row>
    <row r="537" spans="3:3" ht="15.75" customHeight="1">
      <c r="C537" s="1"/>
    </row>
    <row r="538" spans="3:3" ht="15.75" customHeight="1">
      <c r="C538" s="1"/>
    </row>
    <row r="539" spans="3:3" ht="15.75" customHeight="1">
      <c r="C539" s="1"/>
    </row>
    <row r="540" spans="3:3" ht="15.75" customHeight="1">
      <c r="C540" s="1"/>
    </row>
    <row r="541" spans="3:3" ht="15.75" customHeight="1">
      <c r="C541" s="1"/>
    </row>
    <row r="542" spans="3:3" ht="15.75" customHeight="1">
      <c r="C542" s="1"/>
    </row>
    <row r="543" spans="3:3" ht="15.75" customHeight="1">
      <c r="C543" s="1"/>
    </row>
    <row r="544" spans="3:3" ht="15.75" customHeight="1">
      <c r="C544" s="1"/>
    </row>
    <row r="545" spans="3:3" ht="15.75" customHeight="1">
      <c r="C545" s="1"/>
    </row>
    <row r="546" spans="3:3" ht="15.75" customHeight="1">
      <c r="C546" s="1"/>
    </row>
    <row r="547" spans="3:3" ht="15.75" customHeight="1">
      <c r="C547" s="1"/>
    </row>
    <row r="548" spans="3:3" ht="15.75" customHeight="1">
      <c r="C548" s="1"/>
    </row>
    <row r="549" spans="3:3" ht="15.75" customHeight="1">
      <c r="C549" s="1"/>
    </row>
    <row r="550" spans="3:3" ht="15.75" customHeight="1">
      <c r="C550" s="1"/>
    </row>
    <row r="551" spans="3:3" ht="15.75" customHeight="1">
      <c r="C551" s="1"/>
    </row>
    <row r="552" spans="3:3" ht="15.75" customHeight="1">
      <c r="C552" s="1"/>
    </row>
    <row r="553" spans="3:3" ht="15.75" customHeight="1">
      <c r="C553" s="1"/>
    </row>
    <row r="554" spans="3:3" ht="15.75" customHeight="1">
      <c r="C554" s="1"/>
    </row>
    <row r="555" spans="3:3" ht="15.75" customHeight="1">
      <c r="C555" s="1"/>
    </row>
    <row r="556" spans="3:3" ht="15.75" customHeight="1">
      <c r="C556" s="1"/>
    </row>
    <row r="557" spans="3:3" ht="15.75" customHeight="1">
      <c r="C557" s="1"/>
    </row>
    <row r="558" spans="3:3" ht="15.75" customHeight="1">
      <c r="C558" s="1"/>
    </row>
    <row r="559" spans="3:3" ht="15.75" customHeight="1">
      <c r="C559" s="1"/>
    </row>
    <row r="560" spans="3:3" ht="15.75" customHeight="1">
      <c r="C560" s="1"/>
    </row>
    <row r="561" spans="3:3" ht="15.75" customHeight="1">
      <c r="C561" s="1"/>
    </row>
    <row r="562" spans="3:3" ht="15.75" customHeight="1">
      <c r="C562" s="1"/>
    </row>
    <row r="563" spans="3:3" ht="15.75" customHeight="1">
      <c r="C563" s="1"/>
    </row>
    <row r="564" spans="3:3" ht="15.75" customHeight="1">
      <c r="C564" s="1"/>
    </row>
    <row r="565" spans="3:3" ht="15.75" customHeight="1">
      <c r="C565" s="1"/>
    </row>
    <row r="566" spans="3:3" ht="15.75" customHeight="1">
      <c r="C566" s="1"/>
    </row>
    <row r="567" spans="3:3" ht="15.75" customHeight="1">
      <c r="C567" s="1"/>
    </row>
    <row r="568" spans="3:3" ht="15.75" customHeight="1">
      <c r="C568" s="1"/>
    </row>
    <row r="569" spans="3:3" ht="15.75" customHeight="1">
      <c r="C569" s="1"/>
    </row>
    <row r="570" spans="3:3" ht="15.75" customHeight="1">
      <c r="C570" s="1"/>
    </row>
    <row r="571" spans="3:3" ht="15.75" customHeight="1">
      <c r="C571" s="1"/>
    </row>
    <row r="572" spans="3:3" ht="15.75" customHeight="1">
      <c r="C572" s="1"/>
    </row>
    <row r="573" spans="3:3" ht="15.75" customHeight="1">
      <c r="C573" s="1"/>
    </row>
    <row r="574" spans="3:3" ht="15.75" customHeight="1">
      <c r="C574" s="1"/>
    </row>
    <row r="575" spans="3:3" ht="15.75" customHeight="1">
      <c r="C575" s="1"/>
    </row>
    <row r="576" spans="3:3" ht="15.75" customHeight="1">
      <c r="C576" s="1"/>
    </row>
    <row r="577" spans="3:3" ht="15.75" customHeight="1">
      <c r="C577" s="1"/>
    </row>
    <row r="578" spans="3:3" ht="15.75" customHeight="1">
      <c r="C578" s="1"/>
    </row>
    <row r="579" spans="3:3" ht="15.75" customHeight="1">
      <c r="C579" s="1"/>
    </row>
    <row r="580" spans="3:3" ht="15.75" customHeight="1">
      <c r="C580" s="1"/>
    </row>
    <row r="581" spans="3:3" ht="15.75" customHeight="1">
      <c r="C581" s="1"/>
    </row>
    <row r="582" spans="3:3" ht="15.75" customHeight="1">
      <c r="C582" s="1"/>
    </row>
    <row r="583" spans="3:3" ht="15.75" customHeight="1">
      <c r="C583" s="1"/>
    </row>
    <row r="584" spans="3:3" ht="15.75" customHeight="1">
      <c r="C584" s="1"/>
    </row>
    <row r="585" spans="3:3" ht="15.75" customHeight="1">
      <c r="C585" s="1"/>
    </row>
    <row r="586" spans="3:3" ht="15.75" customHeight="1">
      <c r="C586" s="1"/>
    </row>
    <row r="587" spans="3:3" ht="15.75" customHeight="1">
      <c r="C587" s="1"/>
    </row>
    <row r="588" spans="3:3" ht="15.75" customHeight="1">
      <c r="C588" s="1"/>
    </row>
    <row r="589" spans="3:3" ht="15.75" customHeight="1">
      <c r="C589" s="1"/>
    </row>
    <row r="590" spans="3:3" ht="15.75" customHeight="1">
      <c r="C590" s="1"/>
    </row>
    <row r="591" spans="3:3" ht="15.75" customHeight="1">
      <c r="C591" s="1"/>
    </row>
    <row r="592" spans="3:3" ht="15.75" customHeight="1">
      <c r="C592" s="1"/>
    </row>
    <row r="593" spans="3:3" ht="15.75" customHeight="1">
      <c r="C593" s="1"/>
    </row>
    <row r="594" spans="3:3" ht="15.75" customHeight="1">
      <c r="C594" s="1"/>
    </row>
    <row r="595" spans="3:3" ht="15.75" customHeight="1">
      <c r="C595" s="1"/>
    </row>
    <row r="596" spans="3:3" ht="15.75" customHeight="1">
      <c r="C596" s="1"/>
    </row>
    <row r="597" spans="3:3" ht="15.75" customHeight="1">
      <c r="C597" s="1"/>
    </row>
    <row r="598" spans="3:3" ht="15.75" customHeight="1">
      <c r="C598" s="1"/>
    </row>
    <row r="599" spans="3:3" ht="15.75" customHeight="1">
      <c r="C599" s="1"/>
    </row>
    <row r="600" spans="3:3" ht="15.75" customHeight="1">
      <c r="C600" s="1"/>
    </row>
    <row r="601" spans="3:3" ht="15.75" customHeight="1">
      <c r="C601" s="1"/>
    </row>
    <row r="602" spans="3:3" ht="15.75" customHeight="1">
      <c r="C602" s="1"/>
    </row>
    <row r="603" spans="3:3" ht="15.75" customHeight="1">
      <c r="C603" s="1"/>
    </row>
    <row r="604" spans="3:3" ht="15.75" customHeight="1">
      <c r="C604" s="1"/>
    </row>
    <row r="605" spans="3:3" ht="15.75" customHeight="1">
      <c r="C605" s="1"/>
    </row>
    <row r="606" spans="3:3" ht="15.75" customHeight="1">
      <c r="C606" s="1"/>
    </row>
    <row r="607" spans="3:3" ht="15.75" customHeight="1">
      <c r="C607" s="1"/>
    </row>
    <row r="608" spans="3:3" ht="15.75" customHeight="1">
      <c r="C608" s="1"/>
    </row>
    <row r="609" spans="3:3" ht="15.75" customHeight="1">
      <c r="C609" s="1"/>
    </row>
    <row r="610" spans="3:3" ht="15.75" customHeight="1">
      <c r="C610" s="1"/>
    </row>
    <row r="611" spans="3:3" ht="15.75" customHeight="1">
      <c r="C611" s="1"/>
    </row>
    <row r="612" spans="3:3" ht="15.75" customHeight="1">
      <c r="C612" s="1"/>
    </row>
    <row r="613" spans="3:3" ht="15.75" customHeight="1">
      <c r="C613" s="1"/>
    </row>
    <row r="614" spans="3:3" ht="15.75" customHeight="1">
      <c r="C614" s="1"/>
    </row>
    <row r="615" spans="3:3" ht="15.75" customHeight="1">
      <c r="C615" s="1"/>
    </row>
    <row r="616" spans="3:3" ht="15.75" customHeight="1">
      <c r="C616" s="1"/>
    </row>
    <row r="617" spans="3:3" ht="15.75" customHeight="1">
      <c r="C617" s="1"/>
    </row>
    <row r="618" spans="3:3" ht="15.75" customHeight="1">
      <c r="C618" s="1"/>
    </row>
    <row r="619" spans="3:3" ht="15.75" customHeight="1">
      <c r="C619" s="1"/>
    </row>
    <row r="620" spans="3:3" ht="15.75" customHeight="1">
      <c r="C620" s="1"/>
    </row>
    <row r="621" spans="3:3" ht="15.75" customHeight="1">
      <c r="C621" s="1"/>
    </row>
    <row r="622" spans="3:3" ht="15.75" customHeight="1">
      <c r="C622" s="1"/>
    </row>
    <row r="623" spans="3:3" ht="15.75" customHeight="1">
      <c r="C623" s="1"/>
    </row>
    <row r="624" spans="3:3" ht="15.75" customHeight="1">
      <c r="C624" s="1"/>
    </row>
    <row r="625" spans="3:3" ht="15.75" customHeight="1">
      <c r="C625" s="1"/>
    </row>
    <row r="626" spans="3:3" ht="15.75" customHeight="1">
      <c r="C626" s="1"/>
    </row>
    <row r="627" spans="3:3" ht="15.75" customHeight="1">
      <c r="C627" s="1"/>
    </row>
    <row r="628" spans="3:3" ht="15.75" customHeight="1">
      <c r="C628" s="1"/>
    </row>
    <row r="629" spans="3:3" ht="15.75" customHeight="1">
      <c r="C629" s="1"/>
    </row>
    <row r="630" spans="3:3" ht="15.75" customHeight="1">
      <c r="C630" s="1"/>
    </row>
    <row r="631" spans="3:3" ht="15.75" customHeight="1">
      <c r="C631" s="1"/>
    </row>
    <row r="632" spans="3:3" ht="15.75" customHeight="1">
      <c r="C632" s="1"/>
    </row>
    <row r="633" spans="3:3" ht="15.75" customHeight="1">
      <c r="C633" s="1"/>
    </row>
    <row r="634" spans="3:3" ht="15.75" customHeight="1">
      <c r="C634" s="1"/>
    </row>
    <row r="635" spans="3:3" ht="15.75" customHeight="1">
      <c r="C635" s="1"/>
    </row>
    <row r="636" spans="3:3" ht="15.75" customHeight="1">
      <c r="C636" s="1"/>
    </row>
    <row r="637" spans="3:3" ht="15.75" customHeight="1">
      <c r="C637" s="1"/>
    </row>
    <row r="638" spans="3:3" ht="15.75" customHeight="1">
      <c r="C638" s="1"/>
    </row>
    <row r="639" spans="3:3" ht="15.75" customHeight="1">
      <c r="C639" s="1"/>
    </row>
    <row r="640" spans="3:3" ht="15.75" customHeight="1">
      <c r="C640" s="1"/>
    </row>
    <row r="641" spans="3:3" ht="15.75" customHeight="1">
      <c r="C641" s="1"/>
    </row>
    <row r="642" spans="3:3" ht="15.75" customHeight="1">
      <c r="C642" s="1"/>
    </row>
    <row r="643" spans="3:3" ht="15.75" customHeight="1">
      <c r="C643" s="1"/>
    </row>
    <row r="644" spans="3:3" ht="15.75" customHeight="1">
      <c r="C644" s="1"/>
    </row>
    <row r="645" spans="3:3" ht="15.75" customHeight="1">
      <c r="C645" s="1"/>
    </row>
    <row r="646" spans="3:3" ht="15.75" customHeight="1">
      <c r="C646" s="1"/>
    </row>
    <row r="647" spans="3:3" ht="15.75" customHeight="1">
      <c r="C647" s="1"/>
    </row>
    <row r="648" spans="3:3" ht="15.75" customHeight="1">
      <c r="C648" s="1"/>
    </row>
    <row r="649" spans="3:3" ht="15.75" customHeight="1">
      <c r="C649" s="1"/>
    </row>
    <row r="650" spans="3:3" ht="15.75" customHeight="1">
      <c r="C650" s="1"/>
    </row>
    <row r="651" spans="3:3" ht="15.75" customHeight="1">
      <c r="C651" s="1"/>
    </row>
    <row r="652" spans="3:3" ht="15.75" customHeight="1">
      <c r="C652" s="1"/>
    </row>
    <row r="653" spans="3:3" ht="15.75" customHeight="1">
      <c r="C653" s="1"/>
    </row>
    <row r="654" spans="3:3" ht="15.75" customHeight="1">
      <c r="C654" s="1"/>
    </row>
    <row r="655" spans="3:3" ht="15.75" customHeight="1">
      <c r="C655" s="1"/>
    </row>
    <row r="656" spans="3:3" ht="15.75" customHeight="1">
      <c r="C656" s="1"/>
    </row>
    <row r="657" spans="3:3" ht="15.75" customHeight="1">
      <c r="C657" s="1"/>
    </row>
    <row r="658" spans="3:3" ht="15.75" customHeight="1">
      <c r="C658" s="1"/>
    </row>
    <row r="659" spans="3:3" ht="15.75" customHeight="1">
      <c r="C659" s="1"/>
    </row>
    <row r="660" spans="3:3" ht="15.75" customHeight="1">
      <c r="C660" s="1"/>
    </row>
    <row r="661" spans="3:3" ht="15.75" customHeight="1">
      <c r="C661" s="1"/>
    </row>
    <row r="662" spans="3:3" ht="15.75" customHeight="1">
      <c r="C662" s="1"/>
    </row>
    <row r="663" spans="3:3" ht="15.75" customHeight="1">
      <c r="C663" s="1"/>
    </row>
    <row r="664" spans="3:3" ht="15.75" customHeight="1">
      <c r="C664" s="1"/>
    </row>
    <row r="665" spans="3:3" ht="15.75" customHeight="1">
      <c r="C665" s="1"/>
    </row>
    <row r="666" spans="3:3" ht="15.75" customHeight="1">
      <c r="C666" s="1"/>
    </row>
    <row r="667" spans="3:3" ht="15.75" customHeight="1">
      <c r="C667" s="1"/>
    </row>
    <row r="668" spans="3:3" ht="15.75" customHeight="1">
      <c r="C668" s="1"/>
    </row>
    <row r="669" spans="3:3" ht="15.75" customHeight="1">
      <c r="C669" s="1"/>
    </row>
    <row r="670" spans="3:3" ht="15.75" customHeight="1">
      <c r="C670" s="1"/>
    </row>
    <row r="671" spans="3:3" ht="15.75" customHeight="1">
      <c r="C671" s="1"/>
    </row>
    <row r="672" spans="3:3" ht="15.75" customHeight="1">
      <c r="C672" s="1"/>
    </row>
    <row r="673" spans="3:3" ht="15.75" customHeight="1">
      <c r="C673" s="1"/>
    </row>
    <row r="674" spans="3:3" ht="15.75" customHeight="1">
      <c r="C674" s="1"/>
    </row>
    <row r="675" spans="3:3" ht="15.75" customHeight="1">
      <c r="C675" s="1"/>
    </row>
    <row r="676" spans="3:3" ht="15.75" customHeight="1">
      <c r="C676" s="1"/>
    </row>
    <row r="677" spans="3:3" ht="15.75" customHeight="1">
      <c r="C677" s="1"/>
    </row>
    <row r="678" spans="3:3" ht="15.75" customHeight="1">
      <c r="C678" s="1"/>
    </row>
    <row r="679" spans="3:3" ht="15.75" customHeight="1">
      <c r="C679" s="1"/>
    </row>
    <row r="680" spans="3:3" ht="15.75" customHeight="1">
      <c r="C680" s="1"/>
    </row>
    <row r="681" spans="3:3" ht="15.75" customHeight="1">
      <c r="C681" s="1"/>
    </row>
    <row r="682" spans="3:3" ht="15.75" customHeight="1">
      <c r="C682" s="1"/>
    </row>
    <row r="683" spans="3:3" ht="15.75" customHeight="1">
      <c r="C683" s="1"/>
    </row>
    <row r="684" spans="3:3" ht="15.75" customHeight="1">
      <c r="C684" s="1"/>
    </row>
    <row r="685" spans="3:3" ht="15.75" customHeight="1">
      <c r="C685" s="1"/>
    </row>
    <row r="686" spans="3:3" ht="15.75" customHeight="1">
      <c r="C686" s="1"/>
    </row>
    <row r="687" spans="3:3" ht="15.75" customHeight="1">
      <c r="C687" s="1"/>
    </row>
    <row r="688" spans="3:3" ht="15.75" customHeight="1">
      <c r="C688" s="1"/>
    </row>
    <row r="689" spans="3:3" ht="15.75" customHeight="1">
      <c r="C689" s="1"/>
    </row>
    <row r="690" spans="3:3" ht="15.75" customHeight="1">
      <c r="C690" s="1"/>
    </row>
    <row r="691" spans="3:3" ht="15.75" customHeight="1">
      <c r="C691" s="1"/>
    </row>
    <row r="692" spans="3:3" ht="15.75" customHeight="1">
      <c r="C692" s="1"/>
    </row>
    <row r="693" spans="3:3" ht="15.75" customHeight="1">
      <c r="C693" s="1"/>
    </row>
    <row r="694" spans="3:3" ht="15.75" customHeight="1">
      <c r="C694" s="1"/>
    </row>
    <row r="695" spans="3:3" ht="15.75" customHeight="1">
      <c r="C695" s="1"/>
    </row>
    <row r="696" spans="3:3" ht="15.75" customHeight="1">
      <c r="C696" s="1"/>
    </row>
    <row r="697" spans="3:3" ht="15.75" customHeight="1">
      <c r="C697" s="1"/>
    </row>
    <row r="698" spans="3:3" ht="15.75" customHeight="1">
      <c r="C698" s="1"/>
    </row>
    <row r="699" spans="3:3" ht="15.75" customHeight="1">
      <c r="C699" s="1"/>
    </row>
    <row r="700" spans="3:3" ht="15.75" customHeight="1">
      <c r="C700" s="1"/>
    </row>
    <row r="701" spans="3:3" ht="15.75" customHeight="1">
      <c r="C701" s="1"/>
    </row>
    <row r="702" spans="3:3" ht="15.75" customHeight="1">
      <c r="C702" s="1"/>
    </row>
    <row r="703" spans="3:3" ht="15.75" customHeight="1">
      <c r="C703" s="1"/>
    </row>
    <row r="704" spans="3:3" ht="15.75" customHeight="1">
      <c r="C704" s="1"/>
    </row>
    <row r="705" spans="3:3" ht="15.75" customHeight="1">
      <c r="C705" s="1"/>
    </row>
    <row r="706" spans="3:3" ht="15.75" customHeight="1">
      <c r="C706" s="1"/>
    </row>
    <row r="707" spans="3:3" ht="15.75" customHeight="1">
      <c r="C707" s="1"/>
    </row>
    <row r="708" spans="3:3" ht="15.75" customHeight="1">
      <c r="C708" s="1"/>
    </row>
    <row r="709" spans="3:3" ht="15.75" customHeight="1">
      <c r="C709" s="1"/>
    </row>
    <row r="710" spans="3:3" ht="15.75" customHeight="1">
      <c r="C710" s="1"/>
    </row>
    <row r="711" spans="3:3" ht="15.75" customHeight="1">
      <c r="C711" s="1"/>
    </row>
    <row r="712" spans="3:3" ht="15.75" customHeight="1">
      <c r="C712" s="1"/>
    </row>
    <row r="713" spans="3:3" ht="15.75" customHeight="1">
      <c r="C713" s="1"/>
    </row>
    <row r="714" spans="3:3" ht="15.75" customHeight="1">
      <c r="C714" s="1"/>
    </row>
    <row r="715" spans="3:3" ht="15.75" customHeight="1">
      <c r="C715" s="1"/>
    </row>
    <row r="716" spans="3:3" ht="15.75" customHeight="1">
      <c r="C716" s="1"/>
    </row>
    <row r="717" spans="3:3" ht="15.75" customHeight="1">
      <c r="C717" s="1"/>
    </row>
    <row r="718" spans="3:3" ht="15.75" customHeight="1">
      <c r="C718" s="1"/>
    </row>
    <row r="719" spans="3:3" ht="15.75" customHeight="1">
      <c r="C719" s="1"/>
    </row>
    <row r="720" spans="3:3" ht="15.75" customHeight="1">
      <c r="C720" s="1"/>
    </row>
    <row r="721" spans="3:3" ht="15.75" customHeight="1">
      <c r="C721" s="1"/>
    </row>
    <row r="722" spans="3:3" ht="15.75" customHeight="1">
      <c r="C722" s="1"/>
    </row>
    <row r="723" spans="3:3" ht="15.75" customHeight="1">
      <c r="C723" s="1"/>
    </row>
    <row r="724" spans="3:3" ht="15.75" customHeight="1">
      <c r="C724" s="1"/>
    </row>
    <row r="725" spans="3:3" ht="15.75" customHeight="1">
      <c r="C725" s="1"/>
    </row>
    <row r="726" spans="3:3" ht="15.75" customHeight="1">
      <c r="C726" s="1"/>
    </row>
    <row r="727" spans="3:3" ht="15.75" customHeight="1">
      <c r="C727" s="1"/>
    </row>
    <row r="728" spans="3:3" ht="15.75" customHeight="1">
      <c r="C728" s="1"/>
    </row>
    <row r="729" spans="3:3" ht="15.75" customHeight="1">
      <c r="C729" s="1"/>
    </row>
    <row r="730" spans="3:3" ht="15.75" customHeight="1">
      <c r="C730" s="1"/>
    </row>
    <row r="731" spans="3:3" ht="15.75" customHeight="1">
      <c r="C731" s="1"/>
    </row>
    <row r="732" spans="3:3" ht="15.75" customHeight="1">
      <c r="C732" s="1"/>
    </row>
    <row r="733" spans="3:3" ht="15.75" customHeight="1">
      <c r="C733" s="1"/>
    </row>
    <row r="734" spans="3:3" ht="15.75" customHeight="1">
      <c r="C734" s="1"/>
    </row>
    <row r="735" spans="3:3" ht="15.75" customHeight="1">
      <c r="C735" s="1"/>
    </row>
    <row r="736" spans="3:3" ht="15.75" customHeight="1">
      <c r="C736" s="1"/>
    </row>
    <row r="737" spans="3:3" ht="15.75" customHeight="1">
      <c r="C737" s="1"/>
    </row>
    <row r="738" spans="3:3" ht="15.75" customHeight="1">
      <c r="C738" s="1"/>
    </row>
    <row r="739" spans="3:3" ht="15.75" customHeight="1">
      <c r="C739" s="1"/>
    </row>
    <row r="740" spans="3:3" ht="15.75" customHeight="1">
      <c r="C740" s="1"/>
    </row>
    <row r="741" spans="3:3" ht="15.75" customHeight="1">
      <c r="C741" s="1"/>
    </row>
    <row r="742" spans="3:3" ht="15.75" customHeight="1">
      <c r="C742" s="1"/>
    </row>
    <row r="743" spans="3:3" ht="15.75" customHeight="1">
      <c r="C743" s="1"/>
    </row>
    <row r="744" spans="3:3" ht="15.75" customHeight="1">
      <c r="C744" s="1"/>
    </row>
    <row r="745" spans="3:3" ht="15.75" customHeight="1">
      <c r="C745" s="1"/>
    </row>
    <row r="746" spans="3:3" ht="15.75" customHeight="1">
      <c r="C746" s="1"/>
    </row>
    <row r="747" spans="3:3" ht="15.75" customHeight="1">
      <c r="C747" s="1"/>
    </row>
    <row r="748" spans="3:3" ht="15.75" customHeight="1">
      <c r="C748" s="1"/>
    </row>
    <row r="749" spans="3:3" ht="15.75" customHeight="1">
      <c r="C749" s="1"/>
    </row>
    <row r="750" spans="3:3" ht="15.75" customHeight="1">
      <c r="C750" s="1"/>
    </row>
    <row r="751" spans="3:3" ht="15.75" customHeight="1">
      <c r="C751" s="1"/>
    </row>
    <row r="752" spans="3:3" ht="15.75" customHeight="1">
      <c r="C752" s="1"/>
    </row>
    <row r="753" spans="3:3" ht="15.75" customHeight="1">
      <c r="C753" s="1"/>
    </row>
    <row r="754" spans="3:3" ht="15.75" customHeight="1">
      <c r="C754" s="1"/>
    </row>
    <row r="755" spans="3:3" ht="15.75" customHeight="1">
      <c r="C755" s="1"/>
    </row>
    <row r="756" spans="3:3" ht="15.75" customHeight="1">
      <c r="C756" s="1"/>
    </row>
    <row r="757" spans="3:3" ht="15.75" customHeight="1">
      <c r="C757" s="1"/>
    </row>
    <row r="758" spans="3:3" ht="15.75" customHeight="1">
      <c r="C758" s="1"/>
    </row>
    <row r="759" spans="3:3" ht="15.75" customHeight="1">
      <c r="C759" s="1"/>
    </row>
    <row r="760" spans="3:3" ht="15.75" customHeight="1">
      <c r="C760" s="1"/>
    </row>
    <row r="761" spans="3:3" ht="15.75" customHeight="1">
      <c r="C761" s="1"/>
    </row>
    <row r="762" spans="3:3" ht="15.75" customHeight="1">
      <c r="C762" s="1"/>
    </row>
    <row r="763" spans="3:3" ht="15.75" customHeight="1">
      <c r="C763" s="1"/>
    </row>
    <row r="764" spans="3:3" ht="15.75" customHeight="1">
      <c r="C764" s="1"/>
    </row>
    <row r="765" spans="3:3" ht="15.75" customHeight="1">
      <c r="C765" s="1"/>
    </row>
    <row r="766" spans="3:3" ht="15.75" customHeight="1">
      <c r="C766" s="1"/>
    </row>
    <row r="767" spans="3:3" ht="15.75" customHeight="1">
      <c r="C767" s="1"/>
    </row>
    <row r="768" spans="3:3" ht="15.75" customHeight="1">
      <c r="C768" s="1"/>
    </row>
    <row r="769" spans="3:3" ht="15.75" customHeight="1">
      <c r="C769" s="1"/>
    </row>
    <row r="770" spans="3:3" ht="15.75" customHeight="1">
      <c r="C770" s="1"/>
    </row>
    <row r="771" spans="3:3" ht="15.75" customHeight="1">
      <c r="C771" s="1"/>
    </row>
    <row r="772" spans="3:3" ht="15.75" customHeight="1">
      <c r="C772" s="1"/>
    </row>
    <row r="773" spans="3:3" ht="15.75" customHeight="1">
      <c r="C773" s="1"/>
    </row>
    <row r="774" spans="3:3" ht="15.75" customHeight="1">
      <c r="C774" s="1"/>
    </row>
    <row r="775" spans="3:3" ht="15.75" customHeight="1">
      <c r="C775" s="1"/>
    </row>
    <row r="776" spans="3:3" ht="15.75" customHeight="1">
      <c r="C776" s="1"/>
    </row>
    <row r="777" spans="3:3" ht="15.75" customHeight="1">
      <c r="C777" s="1"/>
    </row>
    <row r="778" spans="3:3" ht="15.75" customHeight="1">
      <c r="C778" s="1"/>
    </row>
    <row r="779" spans="3:3" ht="15.75" customHeight="1">
      <c r="C779" s="1"/>
    </row>
    <row r="780" spans="3:3" ht="15.75" customHeight="1">
      <c r="C780" s="1"/>
    </row>
    <row r="781" spans="3:3" ht="15.75" customHeight="1">
      <c r="C781" s="1"/>
    </row>
    <row r="782" spans="3:3" ht="15.75" customHeight="1">
      <c r="C782" s="1"/>
    </row>
    <row r="783" spans="3:3" ht="15.75" customHeight="1">
      <c r="C783" s="1"/>
    </row>
    <row r="784" spans="3:3" ht="15.75" customHeight="1">
      <c r="C784" s="1"/>
    </row>
    <row r="785" spans="3:3" ht="15.75" customHeight="1">
      <c r="C785" s="1"/>
    </row>
    <row r="786" spans="3:3" ht="15.75" customHeight="1">
      <c r="C786" s="1"/>
    </row>
    <row r="787" spans="3:3" ht="15.75" customHeight="1">
      <c r="C787" s="1"/>
    </row>
    <row r="788" spans="3:3" ht="15.75" customHeight="1">
      <c r="C788" s="1"/>
    </row>
    <row r="789" spans="3:3" ht="15.75" customHeight="1">
      <c r="C789" s="1"/>
    </row>
    <row r="790" spans="3:3" ht="15.75" customHeight="1">
      <c r="C790" s="1"/>
    </row>
    <row r="791" spans="3:3" ht="15.75" customHeight="1">
      <c r="C791" s="1"/>
    </row>
    <row r="792" spans="3:3" ht="15.75" customHeight="1">
      <c r="C792" s="1"/>
    </row>
    <row r="793" spans="3:3" ht="15.75" customHeight="1">
      <c r="C793" s="1"/>
    </row>
    <row r="794" spans="3:3" ht="15.75" customHeight="1">
      <c r="C794" s="1"/>
    </row>
    <row r="795" spans="3:3" ht="15.75" customHeight="1">
      <c r="C795" s="1"/>
    </row>
    <row r="796" spans="3:3" ht="15.75" customHeight="1">
      <c r="C796" s="1"/>
    </row>
    <row r="797" spans="3:3" ht="15.75" customHeight="1">
      <c r="C797" s="1"/>
    </row>
    <row r="798" spans="3:3" ht="15.75" customHeight="1">
      <c r="C798" s="1"/>
    </row>
    <row r="799" spans="3:3" ht="15.75" customHeight="1">
      <c r="C799" s="1"/>
    </row>
    <row r="800" spans="3:3" ht="15.75" customHeight="1">
      <c r="C800" s="1"/>
    </row>
    <row r="801" spans="3:3" ht="15.75" customHeight="1">
      <c r="C801" s="1"/>
    </row>
    <row r="802" spans="3:3" ht="15.75" customHeight="1">
      <c r="C802" s="1"/>
    </row>
    <row r="803" spans="3:3" ht="15.75" customHeight="1">
      <c r="C803" s="1"/>
    </row>
    <row r="804" spans="3:3" ht="15.75" customHeight="1">
      <c r="C804" s="1"/>
    </row>
    <row r="805" spans="3:3" ht="15.75" customHeight="1">
      <c r="C805" s="1"/>
    </row>
    <row r="806" spans="3:3" ht="15.75" customHeight="1">
      <c r="C806" s="1"/>
    </row>
    <row r="807" spans="3:3" ht="15.75" customHeight="1">
      <c r="C807" s="1"/>
    </row>
    <row r="808" spans="3:3" ht="15.75" customHeight="1">
      <c r="C808" s="1"/>
    </row>
    <row r="809" spans="3:3" ht="15.75" customHeight="1">
      <c r="C809" s="1"/>
    </row>
    <row r="810" spans="3:3" ht="15.75" customHeight="1">
      <c r="C810" s="1"/>
    </row>
    <row r="811" spans="3:3" ht="15.75" customHeight="1">
      <c r="C811" s="1"/>
    </row>
    <row r="812" spans="3:3" ht="15.75" customHeight="1">
      <c r="C812" s="1"/>
    </row>
    <row r="813" spans="3:3" ht="15.75" customHeight="1">
      <c r="C813" s="1"/>
    </row>
    <row r="814" spans="3:3" ht="15.75" customHeight="1">
      <c r="C814" s="1"/>
    </row>
    <row r="815" spans="3:3" ht="15.75" customHeight="1">
      <c r="C815" s="1"/>
    </row>
    <row r="816" spans="3:3" ht="15.75" customHeight="1">
      <c r="C816" s="1"/>
    </row>
    <row r="817" spans="3:3" ht="15.75" customHeight="1">
      <c r="C817" s="1"/>
    </row>
    <row r="818" spans="3:3" ht="15.75" customHeight="1">
      <c r="C818" s="1"/>
    </row>
    <row r="819" spans="3:3" ht="15.75" customHeight="1">
      <c r="C819" s="1"/>
    </row>
    <row r="820" spans="3:3" ht="15.75" customHeight="1">
      <c r="C820" s="1"/>
    </row>
    <row r="821" spans="3:3" ht="15.75" customHeight="1">
      <c r="C821" s="1"/>
    </row>
    <row r="822" spans="3:3" ht="15.75" customHeight="1">
      <c r="C822" s="1"/>
    </row>
    <row r="823" spans="3:3" ht="15.75" customHeight="1">
      <c r="C823" s="1"/>
    </row>
    <row r="824" spans="3:3" ht="15.75" customHeight="1">
      <c r="C824" s="1"/>
    </row>
    <row r="825" spans="3:3" ht="15.75" customHeight="1">
      <c r="C825" s="1"/>
    </row>
    <row r="826" spans="3:3" ht="15.75" customHeight="1">
      <c r="C826" s="1"/>
    </row>
    <row r="827" spans="3:3" ht="15.75" customHeight="1">
      <c r="C827" s="1"/>
    </row>
    <row r="828" spans="3:3" ht="15.75" customHeight="1">
      <c r="C828" s="1"/>
    </row>
    <row r="829" spans="3:3" ht="15.75" customHeight="1">
      <c r="C829" s="1"/>
    </row>
    <row r="830" spans="3:3" ht="15.75" customHeight="1">
      <c r="C830" s="1"/>
    </row>
    <row r="831" spans="3:3" ht="15.75" customHeight="1">
      <c r="C831" s="1"/>
    </row>
    <row r="832" spans="3:3" ht="15.75" customHeight="1">
      <c r="C832" s="1"/>
    </row>
    <row r="833" spans="3:3" ht="15.75" customHeight="1">
      <c r="C833" s="1"/>
    </row>
    <row r="834" spans="3:3" ht="15.75" customHeight="1">
      <c r="C834" s="1"/>
    </row>
    <row r="835" spans="3:3" ht="15.75" customHeight="1">
      <c r="C835" s="1"/>
    </row>
    <row r="836" spans="3:3" ht="15.75" customHeight="1">
      <c r="C836" s="1"/>
    </row>
    <row r="837" spans="3:3" ht="15.75" customHeight="1">
      <c r="C837" s="1"/>
    </row>
    <row r="838" spans="3:3" ht="15.75" customHeight="1">
      <c r="C838" s="1"/>
    </row>
    <row r="839" spans="3:3" ht="15.75" customHeight="1">
      <c r="C839" s="1"/>
    </row>
    <row r="840" spans="3:3" ht="15.75" customHeight="1">
      <c r="C840" s="1"/>
    </row>
    <row r="841" spans="3:3" ht="15.75" customHeight="1">
      <c r="C841" s="1"/>
    </row>
    <row r="842" spans="3:3" ht="15.75" customHeight="1">
      <c r="C842" s="1"/>
    </row>
    <row r="843" spans="3:3" ht="15.75" customHeight="1">
      <c r="C843" s="1"/>
    </row>
    <row r="844" spans="3:3" ht="15.75" customHeight="1">
      <c r="C844" s="1"/>
    </row>
    <row r="845" spans="3:3" ht="15.75" customHeight="1">
      <c r="C845" s="1"/>
    </row>
    <row r="846" spans="3:3" ht="15.75" customHeight="1">
      <c r="C846" s="1"/>
    </row>
    <row r="847" spans="3:3" ht="15.75" customHeight="1">
      <c r="C847" s="1"/>
    </row>
    <row r="848" spans="3:3" ht="15.75" customHeight="1">
      <c r="C848" s="1"/>
    </row>
    <row r="849" spans="3:3" ht="15.75" customHeight="1">
      <c r="C849" s="1"/>
    </row>
    <row r="850" spans="3:3" ht="15.75" customHeight="1">
      <c r="C850" s="1"/>
    </row>
    <row r="851" spans="3:3" ht="15.75" customHeight="1">
      <c r="C851" s="1"/>
    </row>
    <row r="852" spans="3:3" ht="15.75" customHeight="1">
      <c r="C852" s="1"/>
    </row>
    <row r="853" spans="3:3" ht="15.75" customHeight="1">
      <c r="C853" s="1"/>
    </row>
    <row r="854" spans="3:3" ht="15.75" customHeight="1">
      <c r="C854" s="1"/>
    </row>
    <row r="855" spans="3:3" ht="15.75" customHeight="1">
      <c r="C855" s="1"/>
    </row>
    <row r="856" spans="3:3" ht="15.75" customHeight="1">
      <c r="C856" s="1"/>
    </row>
    <row r="857" spans="3:3" ht="15.75" customHeight="1">
      <c r="C857" s="1"/>
    </row>
    <row r="858" spans="3:3" ht="15.75" customHeight="1">
      <c r="C858" s="1"/>
    </row>
    <row r="859" spans="3:3" ht="15.75" customHeight="1">
      <c r="C859" s="1"/>
    </row>
    <row r="860" spans="3:3" ht="15.75" customHeight="1">
      <c r="C860" s="1"/>
    </row>
    <row r="861" spans="3:3" ht="15.75" customHeight="1">
      <c r="C861" s="1"/>
    </row>
    <row r="862" spans="3:3" ht="15.75" customHeight="1">
      <c r="C862" s="1"/>
    </row>
    <row r="863" spans="3:3" ht="15.75" customHeight="1">
      <c r="C863" s="1"/>
    </row>
    <row r="864" spans="3:3" ht="15.75" customHeight="1">
      <c r="C864" s="1"/>
    </row>
    <row r="865" spans="3:3" ht="15.75" customHeight="1">
      <c r="C865" s="1"/>
    </row>
    <row r="866" spans="3:3" ht="15.75" customHeight="1">
      <c r="C866" s="1"/>
    </row>
    <row r="867" spans="3:3" ht="15.75" customHeight="1">
      <c r="C867" s="1"/>
    </row>
    <row r="868" spans="3:3" ht="15.75" customHeight="1">
      <c r="C868" s="1"/>
    </row>
    <row r="869" spans="3:3" ht="15.75" customHeight="1">
      <c r="C869" s="1"/>
    </row>
    <row r="870" spans="3:3" ht="15.75" customHeight="1">
      <c r="C870" s="1"/>
    </row>
    <row r="871" spans="3:3" ht="15.75" customHeight="1">
      <c r="C871" s="1"/>
    </row>
    <row r="872" spans="3:3" ht="15.75" customHeight="1">
      <c r="C872" s="1"/>
    </row>
    <row r="873" spans="3:3" ht="15.75" customHeight="1">
      <c r="C873" s="1"/>
    </row>
    <row r="874" spans="3:3" ht="15.75" customHeight="1">
      <c r="C874" s="1"/>
    </row>
    <row r="875" spans="3:3" ht="15.75" customHeight="1">
      <c r="C875" s="1"/>
    </row>
    <row r="876" spans="3:3" ht="15.75" customHeight="1">
      <c r="C876" s="1"/>
    </row>
    <row r="877" spans="3:3" ht="15.75" customHeight="1">
      <c r="C877" s="1"/>
    </row>
    <row r="878" spans="3:3" ht="15.75" customHeight="1">
      <c r="C878" s="1"/>
    </row>
    <row r="879" spans="3:3" ht="15.75" customHeight="1">
      <c r="C879" s="1"/>
    </row>
    <row r="880" spans="3:3" ht="15.75" customHeight="1">
      <c r="C880" s="1"/>
    </row>
    <row r="881" spans="3:3" ht="15.75" customHeight="1">
      <c r="C881" s="1"/>
    </row>
    <row r="882" spans="3:3" ht="15.75" customHeight="1">
      <c r="C882" s="1"/>
    </row>
    <row r="883" spans="3:3" ht="15.75" customHeight="1">
      <c r="C883" s="1"/>
    </row>
    <row r="884" spans="3:3" ht="15.75" customHeight="1">
      <c r="C884" s="1"/>
    </row>
    <row r="885" spans="3:3" ht="15.75" customHeight="1">
      <c r="C885" s="1"/>
    </row>
    <row r="886" spans="3:3" ht="15.75" customHeight="1">
      <c r="C886" s="1"/>
    </row>
    <row r="887" spans="3:3" ht="15.75" customHeight="1">
      <c r="C887" s="1"/>
    </row>
    <row r="888" spans="3:3" ht="15.75" customHeight="1">
      <c r="C888" s="1"/>
    </row>
    <row r="889" spans="3:3" ht="15.75" customHeight="1">
      <c r="C889" s="1"/>
    </row>
    <row r="890" spans="3:3" ht="15.75" customHeight="1">
      <c r="C890" s="1"/>
    </row>
    <row r="891" spans="3:3" ht="15.75" customHeight="1">
      <c r="C891" s="1"/>
    </row>
    <row r="892" spans="3:3" ht="15.75" customHeight="1">
      <c r="C892" s="1"/>
    </row>
    <row r="893" spans="3:3" ht="15.75" customHeight="1">
      <c r="C893" s="1"/>
    </row>
    <row r="894" spans="3:3" ht="15.75" customHeight="1">
      <c r="C894" s="1"/>
    </row>
    <row r="895" spans="3:3" ht="15.75" customHeight="1">
      <c r="C895" s="1"/>
    </row>
    <row r="896" spans="3:3" ht="15.75" customHeight="1">
      <c r="C896" s="1"/>
    </row>
    <row r="897" spans="3:3" ht="15.75" customHeight="1">
      <c r="C897" s="1"/>
    </row>
    <row r="898" spans="3:3" ht="15.75" customHeight="1">
      <c r="C898" s="1"/>
    </row>
    <row r="899" spans="3:3" ht="15.75" customHeight="1">
      <c r="C899" s="1"/>
    </row>
    <row r="900" spans="3:3" ht="15.75" customHeight="1">
      <c r="C900" s="1"/>
    </row>
    <row r="901" spans="3:3" ht="15.75" customHeight="1">
      <c r="C901" s="1"/>
    </row>
    <row r="902" spans="3:3" ht="15.75" customHeight="1">
      <c r="C902" s="1"/>
    </row>
    <row r="903" spans="3:3" ht="15.75" customHeight="1">
      <c r="C903" s="1"/>
    </row>
    <row r="904" spans="3:3" ht="15.75" customHeight="1">
      <c r="C904" s="1"/>
    </row>
    <row r="905" spans="3:3" ht="15.75" customHeight="1">
      <c r="C905" s="1"/>
    </row>
    <row r="906" spans="3:3" ht="15.75" customHeight="1">
      <c r="C906" s="1"/>
    </row>
    <row r="907" spans="3:3" ht="15.75" customHeight="1">
      <c r="C907" s="1"/>
    </row>
    <row r="908" spans="3:3" ht="15.75" customHeight="1">
      <c r="C908" s="1"/>
    </row>
    <row r="909" spans="3:3" ht="15.75" customHeight="1">
      <c r="C909" s="1"/>
    </row>
    <row r="910" spans="3:3" ht="15.75" customHeight="1">
      <c r="C910" s="1"/>
    </row>
    <row r="911" spans="3:3" ht="15.75" customHeight="1">
      <c r="C911" s="1"/>
    </row>
    <row r="912" spans="3:3" ht="15.75" customHeight="1">
      <c r="C912" s="1"/>
    </row>
    <row r="913" spans="3:3" ht="15.75" customHeight="1">
      <c r="C913" s="1"/>
    </row>
    <row r="914" spans="3:3" ht="15.75" customHeight="1">
      <c r="C914" s="1"/>
    </row>
    <row r="915" spans="3:3" ht="15.75" customHeight="1">
      <c r="C915" s="1"/>
    </row>
    <row r="916" spans="3:3" ht="15.75" customHeight="1">
      <c r="C916" s="1"/>
    </row>
    <row r="917" spans="3:3" ht="15.75" customHeight="1">
      <c r="C917" s="1"/>
    </row>
    <row r="918" spans="3:3" ht="15.75" customHeight="1">
      <c r="C918" s="1"/>
    </row>
    <row r="919" spans="3:3" ht="15.75" customHeight="1">
      <c r="C919" s="1"/>
    </row>
    <row r="920" spans="3:3" ht="15.75" customHeight="1">
      <c r="C920" s="1"/>
    </row>
    <row r="921" spans="3:3" ht="15.75" customHeight="1">
      <c r="C921" s="1"/>
    </row>
    <row r="922" spans="3:3" ht="15.75" customHeight="1">
      <c r="C922" s="1"/>
    </row>
    <row r="923" spans="3:3" ht="15.75" customHeight="1">
      <c r="C923" s="1"/>
    </row>
    <row r="924" spans="3:3" ht="15.75" customHeight="1">
      <c r="C924" s="1"/>
    </row>
    <row r="925" spans="3:3" ht="15.75" customHeight="1">
      <c r="C925" s="1"/>
    </row>
    <row r="926" spans="3:3" ht="15.75" customHeight="1">
      <c r="C926" s="1"/>
    </row>
    <row r="927" spans="3:3" ht="15.75" customHeight="1">
      <c r="C927" s="1"/>
    </row>
    <row r="928" spans="3:3" ht="15.75" customHeight="1">
      <c r="C928" s="1"/>
    </row>
    <row r="929" spans="3:3" ht="15.75" customHeight="1">
      <c r="C929" s="1"/>
    </row>
    <row r="930" spans="3:3" ht="15.75" customHeight="1">
      <c r="C930" s="1"/>
    </row>
    <row r="931" spans="3:3" ht="15.75" customHeight="1">
      <c r="C931" s="1"/>
    </row>
    <row r="932" spans="3:3" ht="15.75" customHeight="1">
      <c r="C932" s="1"/>
    </row>
    <row r="933" spans="3:3" ht="15.75" customHeight="1">
      <c r="C933" s="1"/>
    </row>
    <row r="934" spans="3:3" ht="15.75" customHeight="1">
      <c r="C934" s="1"/>
    </row>
    <row r="935" spans="3:3" ht="15.75" customHeight="1">
      <c r="C935" s="1"/>
    </row>
    <row r="936" spans="3:3" ht="15.75" customHeight="1">
      <c r="C936" s="1"/>
    </row>
    <row r="937" spans="3:3" ht="15.75" customHeight="1">
      <c r="C937" s="1"/>
    </row>
    <row r="938" spans="3:3" ht="15.75" customHeight="1">
      <c r="C938" s="1"/>
    </row>
    <row r="939" spans="3:3" ht="15.75" customHeight="1">
      <c r="C939" s="1"/>
    </row>
    <row r="940" spans="3:3" ht="15.75" customHeight="1">
      <c r="C940" s="1"/>
    </row>
    <row r="941" spans="3:3" ht="15.75" customHeight="1">
      <c r="C941" s="1"/>
    </row>
    <row r="942" spans="3:3" ht="15.75" customHeight="1">
      <c r="C942" s="1"/>
    </row>
    <row r="943" spans="3:3" ht="15.75" customHeight="1">
      <c r="C943" s="1"/>
    </row>
    <row r="944" spans="3:3" ht="15.75" customHeight="1">
      <c r="C944" s="1"/>
    </row>
    <row r="945" spans="3:3" ht="15.75" customHeight="1">
      <c r="C945" s="1"/>
    </row>
    <row r="946" spans="3:3" ht="15.75" customHeight="1">
      <c r="C946" s="1"/>
    </row>
    <row r="947" spans="3:3" ht="15.75" customHeight="1">
      <c r="C947" s="1"/>
    </row>
    <row r="948" spans="3:3" ht="15.75" customHeight="1">
      <c r="C948" s="1"/>
    </row>
    <row r="949" spans="3:3" ht="15.75" customHeight="1">
      <c r="C949" s="1"/>
    </row>
    <row r="950" spans="3:3" ht="15.75" customHeight="1">
      <c r="C950" s="1"/>
    </row>
    <row r="951" spans="3:3" ht="15.75" customHeight="1">
      <c r="C951" s="1"/>
    </row>
    <row r="952" spans="3:3" ht="15.75" customHeight="1">
      <c r="C952" s="1"/>
    </row>
    <row r="953" spans="3:3" ht="15.75" customHeight="1">
      <c r="C953" s="1"/>
    </row>
    <row r="954" spans="3:3" ht="15.75" customHeight="1">
      <c r="C954" s="1"/>
    </row>
    <row r="955" spans="3:3" ht="15.75" customHeight="1">
      <c r="C955" s="1"/>
    </row>
    <row r="956" spans="3:3" ht="15.75" customHeight="1">
      <c r="C956" s="1"/>
    </row>
    <row r="957" spans="3:3" ht="15.75" customHeight="1">
      <c r="C957" s="1"/>
    </row>
    <row r="958" spans="3:3" ht="15.75" customHeight="1">
      <c r="C958" s="1"/>
    </row>
    <row r="959" spans="3:3" ht="15.75" customHeight="1">
      <c r="C959" s="1"/>
    </row>
    <row r="960" spans="3:3" ht="15.75" customHeight="1">
      <c r="C960" s="1"/>
    </row>
    <row r="961" spans="3:3" ht="15.75" customHeight="1">
      <c r="C961" s="1"/>
    </row>
    <row r="962" spans="3:3" ht="15.75" customHeight="1">
      <c r="C962" s="1"/>
    </row>
    <row r="963" spans="3:3" ht="15.75" customHeight="1">
      <c r="C963" s="1"/>
    </row>
    <row r="964" spans="3:3" ht="15.75" customHeight="1">
      <c r="C964" s="1"/>
    </row>
    <row r="965" spans="3:3" ht="15.75" customHeight="1">
      <c r="C965" s="1"/>
    </row>
    <row r="966" spans="3:3" ht="15.75" customHeight="1">
      <c r="C966" s="1"/>
    </row>
    <row r="967" spans="3:3" ht="15.75" customHeight="1">
      <c r="C967" s="1"/>
    </row>
    <row r="968" spans="3:3" ht="15.75" customHeight="1">
      <c r="C968" s="1"/>
    </row>
    <row r="969" spans="3:3" ht="15.75" customHeight="1">
      <c r="C969" s="1"/>
    </row>
    <row r="970" spans="3:3" ht="15.75" customHeight="1">
      <c r="C970" s="1"/>
    </row>
    <row r="971" spans="3:3" ht="15.75" customHeight="1">
      <c r="C971" s="1"/>
    </row>
    <row r="972" spans="3:3" ht="15.75" customHeight="1">
      <c r="C972" s="1"/>
    </row>
    <row r="973" spans="3:3" ht="15.75" customHeight="1">
      <c r="C973" s="1"/>
    </row>
    <row r="974" spans="3:3" ht="15.75" customHeight="1">
      <c r="C974" s="1"/>
    </row>
    <row r="975" spans="3:3" ht="15.75" customHeight="1">
      <c r="C975" s="1"/>
    </row>
    <row r="976" spans="3:3" ht="15.75" customHeight="1">
      <c r="C976" s="1"/>
    </row>
    <row r="977" spans="3:3" ht="15.75" customHeight="1">
      <c r="C977" s="1"/>
    </row>
    <row r="978" spans="3:3" ht="15.75" customHeight="1">
      <c r="C978" s="1"/>
    </row>
    <row r="979" spans="3:3" ht="15.75" customHeight="1">
      <c r="C979" s="1"/>
    </row>
    <row r="980" spans="3:3" ht="15.75" customHeight="1">
      <c r="C980" s="1"/>
    </row>
    <row r="981" spans="3:3" ht="15.75" customHeight="1">
      <c r="C981" s="1"/>
    </row>
    <row r="982" spans="3:3" ht="15.75" customHeight="1">
      <c r="C982" s="1"/>
    </row>
    <row r="983" spans="3:3" ht="15.75" customHeight="1">
      <c r="C983" s="1"/>
    </row>
    <row r="984" spans="3:3" ht="15.75" customHeight="1">
      <c r="C984" s="1"/>
    </row>
    <row r="985" spans="3:3" ht="15.75" customHeight="1">
      <c r="C985" s="1"/>
    </row>
    <row r="986" spans="3:3" ht="15.75" customHeight="1">
      <c r="C986" s="1"/>
    </row>
    <row r="987" spans="3:3" ht="15.75" customHeight="1">
      <c r="C987" s="1"/>
    </row>
    <row r="988" spans="3:3" ht="15.75" customHeight="1">
      <c r="C988" s="1"/>
    </row>
    <row r="989" spans="3:3" ht="15.75" customHeight="1">
      <c r="C989" s="1"/>
    </row>
    <row r="990" spans="3:3" ht="15.75" customHeight="1">
      <c r="C990" s="1"/>
    </row>
    <row r="991" spans="3:3" ht="15.75" customHeight="1">
      <c r="C991" s="1"/>
    </row>
    <row r="992" spans="3:3" ht="15.75" customHeight="1">
      <c r="C992" s="1"/>
    </row>
    <row r="993" spans="3:3" ht="15.75" customHeight="1">
      <c r="C993" s="1"/>
    </row>
    <row r="994" spans="3:3" ht="15.75" customHeight="1">
      <c r="C994" s="1"/>
    </row>
    <row r="995" spans="3:3" ht="15.75" customHeight="1">
      <c r="C995" s="1"/>
    </row>
    <row r="996" spans="3:3" ht="15.75" customHeight="1">
      <c r="C996" s="1"/>
    </row>
    <row r="997" spans="3:3" ht="15.75" customHeight="1">
      <c r="C997" s="1"/>
    </row>
    <row r="998" spans="3:3" ht="15.75" customHeight="1">
      <c r="C998" s="1"/>
    </row>
    <row r="999" spans="3:3" ht="15.75" customHeight="1">
      <c r="C999" s="1"/>
    </row>
    <row r="1000" spans="3:3" ht="15.75" customHeight="1">
      <c r="C1000" s="1"/>
    </row>
    <row r="1001" spans="3:3" ht="15.75" customHeight="1">
      <c r="C1001" s="1"/>
    </row>
    <row r="1002" spans="3:3" ht="15.75" customHeight="1">
      <c r="C1002" s="1"/>
    </row>
    <row r="1003" spans="3:3" ht="15.75" customHeight="1">
      <c r="C1003" s="1"/>
    </row>
    <row r="1004" spans="3:3" ht="15.75" customHeight="1">
      <c r="C1004" s="1"/>
    </row>
    <row r="1005" spans="3:3" ht="15.75" customHeight="1">
      <c r="C1005" s="1"/>
    </row>
    <row r="1006" spans="3:3" ht="15.75" customHeight="1">
      <c r="C1006" s="1"/>
    </row>
    <row r="1007" spans="3:3" ht="15.75" customHeight="1">
      <c r="C1007" s="1"/>
    </row>
    <row r="1008" spans="3:3" ht="15.75" customHeight="1">
      <c r="C1008" s="1"/>
    </row>
    <row r="1009" spans="3:3" ht="15.75" customHeight="1">
      <c r="C1009" s="1"/>
    </row>
    <row r="1010" spans="3:3" ht="15.75" customHeight="1">
      <c r="C1010" s="1"/>
    </row>
    <row r="1011" spans="3:3" ht="15.75" customHeight="1">
      <c r="C1011" s="1"/>
    </row>
    <row r="1012" spans="3:3" ht="15.75" customHeight="1">
      <c r="C1012" s="1"/>
    </row>
    <row r="1013" spans="3:3" ht="15.75" customHeight="1">
      <c r="C1013" s="1"/>
    </row>
    <row r="1014" spans="3:3" ht="15.75" customHeight="1">
      <c r="C1014" s="1"/>
    </row>
    <row r="1015" spans="3:3" ht="15.75" customHeight="1">
      <c r="C1015" s="1"/>
    </row>
    <row r="1016" spans="3:3" ht="15.75" customHeight="1">
      <c r="C1016" s="1"/>
    </row>
    <row r="1017" spans="3:3" ht="15.75" customHeight="1">
      <c r="C1017" s="1"/>
    </row>
    <row r="1018" spans="3:3" ht="15.75" customHeight="1">
      <c r="C1018" s="1"/>
    </row>
    <row r="1019" spans="3:3" ht="15.75" customHeight="1">
      <c r="C1019" s="1"/>
    </row>
    <row r="1020" spans="3:3" ht="15.75" customHeight="1">
      <c r="C1020" s="1"/>
    </row>
    <row r="1021" spans="3:3" ht="15.75" customHeight="1">
      <c r="C1021" s="1"/>
    </row>
    <row r="1022" spans="3:3" ht="15.75" customHeight="1">
      <c r="C1022" s="1"/>
    </row>
  </sheetData>
  <mergeCells count="2">
    <mergeCell ref="B26:D26"/>
    <mergeCell ref="B33:D33"/>
  </mergeCells>
  <pageMargins left="0.7" right="0.7" top="0.75" bottom="0.75" header="0" footer="0"/>
  <pageSetup orientation="landscape"/>
  <ignoredErrors>
    <ignoredError sqref="C4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975"/>
  <sheetViews>
    <sheetView showGridLines="0" workbookViewId="0"/>
  </sheetViews>
  <sheetFormatPr baseColWidth="10" defaultColWidth="12.5703125" defaultRowHeight="15" customHeight="1"/>
  <cols>
    <col min="1" max="2" width="4.140625" customWidth="1"/>
    <col min="3" max="3" width="47.85546875" customWidth="1"/>
    <col min="4" max="4" width="15.85546875" customWidth="1"/>
    <col min="5" max="7" width="14.42578125" customWidth="1"/>
    <col min="8" max="9" width="14" customWidth="1"/>
    <col min="10" max="10" width="9.140625" customWidth="1"/>
    <col min="11" max="11" width="14.42578125" customWidth="1"/>
    <col min="12" max="12" width="16.28515625" customWidth="1"/>
    <col min="13" max="13" width="14.42578125" customWidth="1"/>
    <col min="14" max="14" width="16.28515625" customWidth="1"/>
    <col min="15" max="16" width="14.42578125" customWidth="1"/>
    <col min="17" max="32" width="10.5703125" customWidth="1"/>
  </cols>
  <sheetData>
    <row r="1" spans="1:32" ht="14.25" customHeight="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</row>
    <row r="2" spans="1:32">
      <c r="A2" s="36"/>
      <c r="B2" s="167" t="s">
        <v>39</v>
      </c>
      <c r="C2" s="37"/>
      <c r="D2" s="38" t="s">
        <v>40</v>
      </c>
      <c r="E2" s="39" t="s">
        <v>41</v>
      </c>
      <c r="F2" s="39" t="s">
        <v>42</v>
      </c>
      <c r="G2" s="40" t="s">
        <v>43</v>
      </c>
      <c r="H2" s="41" t="s">
        <v>44</v>
      </c>
      <c r="I2" s="35"/>
      <c r="J2" s="35"/>
      <c r="K2" s="42"/>
      <c r="L2" s="42"/>
      <c r="M2" s="42"/>
      <c r="N2" s="42"/>
      <c r="O2" s="42"/>
      <c r="P2" s="42"/>
      <c r="Q2" s="43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</row>
    <row r="3" spans="1:32" ht="12" customHeight="1">
      <c r="A3" s="36"/>
      <c r="B3" s="168"/>
      <c r="C3" s="35"/>
      <c r="D3" s="44">
        <f>Calculo!C31</f>
        <v>1162300629.4300001</v>
      </c>
      <c r="E3" s="45">
        <f>+Calculo!$C$28</f>
        <v>174345094.4145</v>
      </c>
      <c r="F3" s="45">
        <f>+Calculo!$C$28</f>
        <v>174345094.4145</v>
      </c>
      <c r="G3" s="45">
        <f>+Calculo!$C$28</f>
        <v>174345094.4145</v>
      </c>
      <c r="H3" s="46">
        <f>Calculo!C27</f>
        <v>639265346.18650007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</row>
    <row r="4" spans="1:32" ht="12" customHeight="1">
      <c r="A4" s="36"/>
      <c r="B4" s="168"/>
      <c r="C4" s="35"/>
      <c r="D4" s="47">
        <f>D7+D11+D15+D19+D23+D27</f>
        <v>1162300629.4300001</v>
      </c>
      <c r="E4" s="47">
        <f t="shared" ref="E4:F4" si="0">E7+E11+E15+E19</f>
        <v>174345094.4145</v>
      </c>
      <c r="F4" s="47">
        <f t="shared" si="0"/>
        <v>174345094.4145</v>
      </c>
      <c r="G4" s="47">
        <f>G7+G11+G15+G19+G23+G27</f>
        <v>174345094.41449997</v>
      </c>
      <c r="H4" s="48">
        <f>+H7+H11+H15+H19+H23+H27</f>
        <v>639265346.18650007</v>
      </c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</row>
    <row r="5" spans="1:32" ht="12" customHeight="1">
      <c r="A5" s="36"/>
      <c r="B5" s="168"/>
      <c r="C5" s="157" t="s">
        <v>45</v>
      </c>
      <c r="D5" s="158">
        <v>1</v>
      </c>
      <c r="E5" s="49" t="s">
        <v>41</v>
      </c>
      <c r="F5" s="49" t="s">
        <v>42</v>
      </c>
      <c r="G5" s="49" t="s">
        <v>43</v>
      </c>
      <c r="H5" s="50" t="s">
        <v>44</v>
      </c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</row>
    <row r="6" spans="1:32" ht="12" customHeight="1">
      <c r="A6" s="36"/>
      <c r="B6" s="168"/>
      <c r="C6" s="150"/>
      <c r="D6" s="153"/>
      <c r="E6" s="51">
        <v>0.33333299999999999</v>
      </c>
      <c r="F6" s="51">
        <v>0.33333299999999999</v>
      </c>
      <c r="G6" s="51">
        <v>0.33333299999999999</v>
      </c>
      <c r="H6" s="52">
        <v>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</row>
    <row r="7" spans="1:32" ht="12" customHeight="1">
      <c r="A7" s="36"/>
      <c r="B7" s="168"/>
      <c r="C7" s="151"/>
      <c r="D7" s="53">
        <f>Calculo!C9+Calculo!C9+Calculo!C10</f>
        <v>73343700</v>
      </c>
      <c r="E7" s="54">
        <v>24447900</v>
      </c>
      <c r="F7" s="54">
        <v>24447900</v>
      </c>
      <c r="G7" s="54">
        <v>24447900</v>
      </c>
      <c r="H7" s="55">
        <v>0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</row>
    <row r="8" spans="1:32" ht="12" customHeight="1">
      <c r="A8" s="36"/>
      <c r="B8" s="168"/>
      <c r="C8" s="35"/>
      <c r="D8" s="35"/>
      <c r="E8" s="35"/>
      <c r="F8" s="35"/>
      <c r="G8" s="35"/>
      <c r="H8" s="56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</row>
    <row r="9" spans="1:32" ht="12" customHeight="1">
      <c r="A9" s="36"/>
      <c r="B9" s="168"/>
      <c r="C9" s="175" t="s">
        <v>46</v>
      </c>
      <c r="D9" s="176">
        <v>1</v>
      </c>
      <c r="E9" s="57" t="s">
        <v>41</v>
      </c>
      <c r="F9" s="57" t="s">
        <v>42</v>
      </c>
      <c r="G9" s="57" t="s">
        <v>43</v>
      </c>
      <c r="H9" s="58" t="s">
        <v>44</v>
      </c>
      <c r="I9" s="35"/>
      <c r="J9" s="35"/>
      <c r="K9" s="59"/>
      <c r="L9" s="59"/>
      <c r="M9" s="59"/>
      <c r="N9" s="59"/>
      <c r="O9" s="59"/>
      <c r="P9" s="59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</row>
    <row r="10" spans="1:32" ht="12" customHeight="1">
      <c r="A10" s="36"/>
      <c r="B10" s="168"/>
      <c r="C10" s="150"/>
      <c r="D10" s="153"/>
      <c r="E10" s="60">
        <v>0.5</v>
      </c>
      <c r="F10" s="60">
        <v>0.5</v>
      </c>
      <c r="G10" s="60">
        <v>0</v>
      </c>
      <c r="H10" s="61">
        <v>0</v>
      </c>
      <c r="I10" s="35"/>
      <c r="J10" s="35"/>
      <c r="K10" s="59"/>
      <c r="L10" s="59"/>
      <c r="M10" s="59"/>
      <c r="N10" s="59"/>
      <c r="O10" s="59"/>
      <c r="P10" s="59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</row>
    <row r="11" spans="1:32" ht="12" customHeight="1">
      <c r="A11" s="36"/>
      <c r="B11" s="168"/>
      <c r="C11" s="151"/>
      <c r="D11" s="62">
        <f>Calculo!C41</f>
        <v>50879394</v>
      </c>
      <c r="E11" s="63">
        <f>+D11*E10</f>
        <v>25439697</v>
      </c>
      <c r="F11" s="63">
        <f>+D11*F10</f>
        <v>25439697</v>
      </c>
      <c r="G11" s="63">
        <f>+D11*G10</f>
        <v>0</v>
      </c>
      <c r="H11" s="64">
        <f>+D11*H10</f>
        <v>0</v>
      </c>
      <c r="I11" s="35"/>
      <c r="J11" s="35"/>
      <c r="K11" s="59"/>
      <c r="L11" s="59"/>
      <c r="M11" s="59"/>
      <c r="N11" s="65"/>
      <c r="O11" s="35"/>
      <c r="P11" s="59"/>
      <c r="Q11" s="43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</row>
    <row r="12" spans="1:32" ht="12" customHeight="1">
      <c r="A12" s="36"/>
      <c r="B12" s="168"/>
      <c r="C12" s="35"/>
      <c r="D12" s="66"/>
      <c r="E12" s="35"/>
      <c r="F12" s="35"/>
      <c r="G12" s="35"/>
      <c r="H12" s="56"/>
      <c r="I12" s="35"/>
      <c r="J12" s="35"/>
      <c r="K12" s="42"/>
      <c r="L12" s="67"/>
      <c r="M12" s="35"/>
      <c r="N12" s="42"/>
      <c r="O12" s="35"/>
      <c r="P12" s="35"/>
      <c r="Q12" s="43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</row>
    <row r="13" spans="1:32" ht="12" customHeight="1">
      <c r="A13" s="36"/>
      <c r="B13" s="168"/>
      <c r="C13" s="159" t="s">
        <v>47</v>
      </c>
      <c r="D13" s="160">
        <v>1</v>
      </c>
      <c r="E13" s="68" t="s">
        <v>41</v>
      </c>
      <c r="F13" s="68" t="s">
        <v>42</v>
      </c>
      <c r="G13" s="68" t="s">
        <v>43</v>
      </c>
      <c r="H13" s="69" t="s">
        <v>44</v>
      </c>
      <c r="I13" s="35"/>
      <c r="J13" s="177" t="s">
        <v>48</v>
      </c>
      <c r="K13" s="164"/>
      <c r="L13" s="165"/>
      <c r="M13" s="178" t="s">
        <v>49</v>
      </c>
      <c r="N13" s="165"/>
      <c r="O13" s="35"/>
      <c r="P13" s="35"/>
      <c r="Q13" s="43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</row>
    <row r="14" spans="1:32" ht="12" customHeight="1">
      <c r="A14" s="36"/>
      <c r="B14" s="168"/>
      <c r="C14" s="150"/>
      <c r="D14" s="153"/>
      <c r="E14" s="70">
        <v>0.5</v>
      </c>
      <c r="F14" s="70">
        <v>0.5</v>
      </c>
      <c r="G14" s="70">
        <v>0</v>
      </c>
      <c r="H14" s="71">
        <v>0</v>
      </c>
      <c r="I14" s="35"/>
      <c r="J14" s="72" t="s">
        <v>50</v>
      </c>
      <c r="K14" s="72" t="s">
        <v>51</v>
      </c>
      <c r="L14" s="73">
        <v>2266666.666666667</v>
      </c>
      <c r="M14" s="74"/>
      <c r="N14" s="75">
        <v>3500000</v>
      </c>
      <c r="O14" s="35"/>
      <c r="P14" s="35"/>
      <c r="Q14" s="43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</row>
    <row r="15" spans="1:32" ht="12" customHeight="1">
      <c r="A15" s="36"/>
      <c r="B15" s="168"/>
      <c r="C15" s="151"/>
      <c r="D15" s="76">
        <f>Calculo!C45</f>
        <v>124048399</v>
      </c>
      <c r="E15" s="77">
        <f t="shared" ref="E15:H15" si="1">+$D$15*E14</f>
        <v>62024199.5</v>
      </c>
      <c r="F15" s="77">
        <f t="shared" si="1"/>
        <v>62024199.5</v>
      </c>
      <c r="G15" s="77">
        <f t="shared" si="1"/>
        <v>0</v>
      </c>
      <c r="H15" s="78">
        <f t="shared" si="1"/>
        <v>0</v>
      </c>
      <c r="I15" s="35"/>
      <c r="J15" s="72" t="s">
        <v>41</v>
      </c>
      <c r="K15" s="79">
        <v>0.15</v>
      </c>
      <c r="L15" s="73">
        <v>340000</v>
      </c>
      <c r="M15" s="80">
        <f>$E$18</f>
        <v>8.6374613201765302E-2</v>
      </c>
      <c r="N15" s="75">
        <f t="shared" ref="N15:N18" si="2">$N$14*M15</f>
        <v>302311.14620617853</v>
      </c>
      <c r="O15" s="59"/>
      <c r="P15" s="59"/>
      <c r="Q15" s="43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</row>
    <row r="16" spans="1:32" ht="12" customHeight="1">
      <c r="A16" s="36"/>
      <c r="B16" s="168"/>
      <c r="C16" s="81"/>
      <c r="D16" s="82"/>
      <c r="E16" s="66"/>
      <c r="F16" s="66"/>
      <c r="G16" s="66"/>
      <c r="H16" s="83"/>
      <c r="I16" s="35"/>
      <c r="J16" s="72" t="s">
        <v>42</v>
      </c>
      <c r="K16" s="79">
        <v>0.15</v>
      </c>
      <c r="L16" s="73">
        <v>340000</v>
      </c>
      <c r="M16" s="80">
        <f>$F$18</f>
        <v>8.6374613201765302E-2</v>
      </c>
      <c r="N16" s="75">
        <f t="shared" si="2"/>
        <v>302311.14620617853</v>
      </c>
      <c r="O16" s="59"/>
      <c r="P16" s="59"/>
      <c r="Q16" s="43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</row>
    <row r="17" spans="1:32" ht="12" customHeight="1">
      <c r="A17" s="36"/>
      <c r="B17" s="168"/>
      <c r="C17" s="172" t="s">
        <v>52</v>
      </c>
      <c r="D17" s="173">
        <v>1</v>
      </c>
      <c r="E17" s="84" t="s">
        <v>41</v>
      </c>
      <c r="F17" s="84" t="s">
        <v>42</v>
      </c>
      <c r="G17" s="84" t="s">
        <v>43</v>
      </c>
      <c r="H17" s="85" t="s">
        <v>44</v>
      </c>
      <c r="I17" s="35"/>
      <c r="J17" s="72" t="s">
        <v>43</v>
      </c>
      <c r="K17" s="79">
        <v>0.15</v>
      </c>
      <c r="L17" s="73">
        <v>340000</v>
      </c>
      <c r="M17" s="80">
        <f>$G$18</f>
        <v>0.12801866783639079</v>
      </c>
      <c r="N17" s="75">
        <f t="shared" si="2"/>
        <v>448065.33742736775</v>
      </c>
      <c r="O17" s="59"/>
      <c r="P17" s="59"/>
      <c r="Q17" s="43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</row>
    <row r="18" spans="1:32" ht="12" customHeight="1">
      <c r="A18" s="36"/>
      <c r="B18" s="168"/>
      <c r="C18" s="150"/>
      <c r="D18" s="153"/>
      <c r="E18" s="86">
        <f>E19/D19</f>
        <v>8.6374613201765302E-2</v>
      </c>
      <c r="F18" s="86">
        <f>F19*1/D19</f>
        <v>8.6374613201765302E-2</v>
      </c>
      <c r="G18" s="86">
        <f>G19/D19</f>
        <v>0.12801866783639079</v>
      </c>
      <c r="H18" s="86">
        <f>H19/D19</f>
        <v>0.69923210576007866</v>
      </c>
      <c r="I18" s="35"/>
      <c r="J18" s="72" t="s">
        <v>53</v>
      </c>
      <c r="K18" s="79">
        <v>0.55000000000000004</v>
      </c>
      <c r="L18" s="73">
        <f>L14*K18</f>
        <v>1246666.666666667</v>
      </c>
      <c r="M18" s="80">
        <f>$H$18</f>
        <v>0.69923210576007866</v>
      </c>
      <c r="N18" s="75">
        <f t="shared" si="2"/>
        <v>2447312.3701602751</v>
      </c>
      <c r="O18" s="67"/>
      <c r="P18" s="67"/>
      <c r="Q18" s="43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</row>
    <row r="19" spans="1:32" ht="12" customHeight="1">
      <c r="A19" s="36"/>
      <c r="B19" s="168"/>
      <c r="C19" s="151"/>
      <c r="D19" s="87">
        <v>722820000</v>
      </c>
      <c r="E19" s="88">
        <f t="shared" ref="E19:F19" si="3">E3-E7-E11-E15</f>
        <v>62433297.914499998</v>
      </c>
      <c r="F19" s="88">
        <f t="shared" si="3"/>
        <v>62433297.914499998</v>
      </c>
      <c r="G19" s="88">
        <f>G3-G7-G23-G27</f>
        <v>92534453.485499993</v>
      </c>
      <c r="H19" s="89">
        <f>H3-H23-H27</f>
        <v>505418950.68550009</v>
      </c>
      <c r="I19" s="35"/>
      <c r="J19" s="42"/>
      <c r="K19" s="43"/>
      <c r="L19" s="59"/>
      <c r="M19" s="6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</row>
    <row r="20" spans="1:32" ht="12" customHeight="1">
      <c r="A20" s="36"/>
      <c r="B20" s="168"/>
      <c r="C20" s="81"/>
      <c r="D20" s="82"/>
      <c r="E20" s="90"/>
      <c r="F20" s="66"/>
      <c r="G20" s="66"/>
      <c r="H20" s="83"/>
      <c r="I20" s="35"/>
      <c r="J20" s="42"/>
      <c r="K20" s="43"/>
      <c r="L20" s="59"/>
      <c r="M20" s="6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</row>
    <row r="21" spans="1:32" ht="12" customHeight="1">
      <c r="A21" s="36"/>
      <c r="B21" s="168"/>
      <c r="C21" s="149" t="s">
        <v>54</v>
      </c>
      <c r="D21" s="152">
        <v>1</v>
      </c>
      <c r="E21" s="91" t="s">
        <v>41</v>
      </c>
      <c r="F21" s="91" t="s">
        <v>42</v>
      </c>
      <c r="G21" s="91" t="s">
        <v>43</v>
      </c>
      <c r="H21" s="92" t="s">
        <v>44</v>
      </c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</row>
    <row r="22" spans="1:32" ht="12" customHeight="1">
      <c r="A22" s="36"/>
      <c r="B22" s="168"/>
      <c r="C22" s="150"/>
      <c r="D22" s="153"/>
      <c r="E22" s="93">
        <v>0</v>
      </c>
      <c r="F22" s="93">
        <v>0</v>
      </c>
      <c r="G22" s="93">
        <v>0.3</v>
      </c>
      <c r="H22" s="94">
        <f>D21-E22-F22-G22</f>
        <v>0.7</v>
      </c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2" ht="12" customHeight="1">
      <c r="A23" s="36"/>
      <c r="B23" s="168"/>
      <c r="C23" s="151"/>
      <c r="D23" s="95">
        <f>Calculo!C6+Calculo!C7</f>
        <v>182131800</v>
      </c>
      <c r="E23" s="96">
        <v>0</v>
      </c>
      <c r="F23" s="96">
        <v>0</v>
      </c>
      <c r="G23" s="97">
        <f>+D23*G22</f>
        <v>54639540</v>
      </c>
      <c r="H23" s="98">
        <f>+D23*H22</f>
        <v>127492259.99999999</v>
      </c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</row>
    <row r="24" spans="1:32" ht="12" customHeight="1">
      <c r="A24" s="36"/>
      <c r="B24" s="168"/>
      <c r="C24" s="99"/>
      <c r="D24" s="82"/>
      <c r="E24" s="66"/>
      <c r="F24" s="66"/>
      <c r="G24" s="66"/>
      <c r="H24" s="83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</row>
    <row r="25" spans="1:32" ht="12" customHeight="1">
      <c r="A25" s="36"/>
      <c r="B25" s="168"/>
      <c r="C25" s="154" t="s">
        <v>55</v>
      </c>
      <c r="D25" s="156">
        <v>1</v>
      </c>
      <c r="E25" s="100" t="s">
        <v>41</v>
      </c>
      <c r="F25" s="100" t="s">
        <v>42</v>
      </c>
      <c r="G25" s="100" t="s">
        <v>43</v>
      </c>
      <c r="H25" s="101" t="s">
        <v>44</v>
      </c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</row>
    <row r="26" spans="1:32" ht="12" customHeight="1">
      <c r="A26" s="36"/>
      <c r="B26" s="168"/>
      <c r="C26" s="150"/>
      <c r="D26" s="153"/>
      <c r="E26" s="102">
        <v>0</v>
      </c>
      <c r="F26" s="102">
        <v>0</v>
      </c>
      <c r="G26" s="102">
        <v>0.3</v>
      </c>
      <c r="H26" s="103">
        <v>0.7</v>
      </c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</row>
    <row r="27" spans="1:32" ht="12" customHeight="1">
      <c r="A27" s="36"/>
      <c r="B27" s="169"/>
      <c r="C27" s="155"/>
      <c r="D27" s="104">
        <f>Calculo!C19+Calculo!C20+Calculo!C21-Calculo!C23</f>
        <v>9077336.4299999997</v>
      </c>
      <c r="E27" s="105">
        <v>0</v>
      </c>
      <c r="F27" s="105">
        <v>0</v>
      </c>
      <c r="G27" s="106">
        <f>+D27*G26</f>
        <v>2723200.929</v>
      </c>
      <c r="H27" s="107">
        <f>+D27*H26</f>
        <v>6354135.5009999992</v>
      </c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</row>
    <row r="28" spans="1:32" ht="12" customHeight="1">
      <c r="A28" s="36"/>
      <c r="B28" s="35"/>
      <c r="C28" s="35"/>
      <c r="D28" s="108"/>
      <c r="E28" s="109"/>
      <c r="F28" s="109"/>
      <c r="G28" s="47"/>
      <c r="H28" s="47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</row>
    <row r="29" spans="1:32">
      <c r="A29" s="35"/>
      <c r="B29" s="35"/>
      <c r="C29" s="110"/>
      <c r="D29" s="47"/>
      <c r="E29" s="47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</row>
    <row r="30" spans="1:32" ht="12.75" customHeight="1">
      <c r="A30" s="35"/>
      <c r="B30" s="167" t="s">
        <v>56</v>
      </c>
      <c r="C30" s="170" t="s">
        <v>57</v>
      </c>
      <c r="D30" s="171">
        <v>1</v>
      </c>
      <c r="E30" s="111" t="s">
        <v>41</v>
      </c>
      <c r="F30" s="111" t="s">
        <v>42</v>
      </c>
      <c r="G30" s="111" t="s">
        <v>58</v>
      </c>
      <c r="H30" s="112" t="s">
        <v>44</v>
      </c>
      <c r="I30" s="35"/>
      <c r="J30" s="35"/>
      <c r="K30" s="42"/>
      <c r="L30" s="43"/>
      <c r="M30" s="59"/>
      <c r="N30" s="65"/>
      <c r="O30" s="59"/>
      <c r="P30" s="59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</row>
    <row r="31" spans="1:32" ht="12.75" customHeight="1">
      <c r="A31" s="35"/>
      <c r="B31" s="168"/>
      <c r="C31" s="151"/>
      <c r="D31" s="153"/>
      <c r="E31" s="113">
        <v>0.5</v>
      </c>
      <c r="F31" s="113">
        <v>0.5</v>
      </c>
      <c r="G31" s="113" t="s">
        <v>59</v>
      </c>
      <c r="H31" s="114" t="s">
        <v>59</v>
      </c>
      <c r="I31" s="35"/>
      <c r="J31" s="35"/>
      <c r="K31" s="42"/>
      <c r="L31" s="43"/>
      <c r="M31" s="59"/>
      <c r="N31" s="65"/>
      <c r="O31" s="59"/>
      <c r="P31" s="59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2" ht="12.75" customHeight="1">
      <c r="A32" s="35"/>
      <c r="B32" s="168"/>
      <c r="C32" s="81"/>
      <c r="D32" s="82"/>
      <c r="E32" s="66"/>
      <c r="F32" s="66"/>
      <c r="G32" s="66"/>
      <c r="H32" s="83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</row>
    <row r="33" spans="1:32" ht="12.75" customHeight="1">
      <c r="A33" s="35"/>
      <c r="B33" s="168"/>
      <c r="C33" s="172" t="s">
        <v>52</v>
      </c>
      <c r="D33" s="173">
        <v>1</v>
      </c>
      <c r="E33" s="84" t="s">
        <v>41</v>
      </c>
      <c r="F33" s="84" t="s">
        <v>42</v>
      </c>
      <c r="G33" s="84" t="s">
        <v>43</v>
      </c>
      <c r="H33" s="115" t="s">
        <v>60</v>
      </c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</row>
    <row r="34" spans="1:32" ht="12.75" customHeight="1">
      <c r="A34" s="35"/>
      <c r="B34" s="168"/>
      <c r="C34" s="151"/>
      <c r="D34" s="153"/>
      <c r="E34" s="86">
        <v>8.6400000000000005E-2</v>
      </c>
      <c r="F34" s="86">
        <v>8.6400000000000005E-2</v>
      </c>
      <c r="G34" s="116">
        <v>0.127010595</v>
      </c>
      <c r="H34" s="117">
        <v>0.70020000000000004</v>
      </c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</row>
    <row r="35" spans="1:32" ht="12.75" customHeight="1">
      <c r="A35" s="35"/>
      <c r="B35" s="168"/>
      <c r="C35" s="81"/>
      <c r="D35" s="82"/>
      <c r="E35" s="66"/>
      <c r="F35" s="66"/>
      <c r="G35" s="66"/>
      <c r="H35" s="83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</row>
    <row r="36" spans="1:32" ht="12.75" customHeight="1">
      <c r="A36" s="35"/>
      <c r="B36" s="168"/>
      <c r="C36" s="149" t="s">
        <v>54</v>
      </c>
      <c r="D36" s="152">
        <v>1</v>
      </c>
      <c r="E36" s="91" t="s">
        <v>41</v>
      </c>
      <c r="F36" s="91" t="s">
        <v>42</v>
      </c>
      <c r="G36" s="91" t="s">
        <v>43</v>
      </c>
      <c r="H36" s="118" t="s">
        <v>60</v>
      </c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</row>
    <row r="37" spans="1:32" ht="12.75" customHeight="1">
      <c r="A37" s="35"/>
      <c r="B37" s="169"/>
      <c r="C37" s="155"/>
      <c r="D37" s="174"/>
      <c r="E37" s="119" t="s">
        <v>59</v>
      </c>
      <c r="F37" s="119" t="s">
        <v>59</v>
      </c>
      <c r="G37" s="119">
        <v>0.3</v>
      </c>
      <c r="H37" s="120">
        <v>0.7</v>
      </c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</row>
    <row r="38" spans="1:32" ht="14.2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</row>
    <row r="39" spans="1:32" ht="14.2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</row>
    <row r="40" spans="1:32" ht="12.75" customHeight="1">
      <c r="A40" s="42"/>
      <c r="B40" s="121">
        <v>1</v>
      </c>
      <c r="C40" s="166" t="s">
        <v>61</v>
      </c>
      <c r="D40" s="164"/>
      <c r="E40" s="164"/>
      <c r="F40" s="164"/>
      <c r="G40" s="164"/>
      <c r="H40" s="164"/>
      <c r="I40" s="164"/>
      <c r="J40" s="164"/>
      <c r="K40" s="16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</row>
    <row r="41" spans="1:32" ht="12.75" customHeight="1">
      <c r="A41" s="42"/>
      <c r="B41" s="122">
        <v>2</v>
      </c>
      <c r="C41" s="166" t="s">
        <v>62</v>
      </c>
      <c r="D41" s="164"/>
      <c r="E41" s="164"/>
      <c r="F41" s="164"/>
      <c r="G41" s="164"/>
      <c r="H41" s="164"/>
      <c r="I41" s="164"/>
      <c r="J41" s="164"/>
      <c r="K41" s="16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</row>
    <row r="42" spans="1:32" ht="12.75" customHeight="1">
      <c r="A42" s="42"/>
      <c r="B42" s="122">
        <v>3</v>
      </c>
      <c r="C42" s="166" t="s">
        <v>63</v>
      </c>
      <c r="D42" s="164"/>
      <c r="E42" s="164"/>
      <c r="F42" s="164"/>
      <c r="G42" s="164"/>
      <c r="H42" s="164"/>
      <c r="I42" s="164"/>
      <c r="J42" s="164"/>
      <c r="K42" s="16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ht="12.75" customHeight="1">
      <c r="A43" s="42"/>
      <c r="B43" s="122">
        <v>4</v>
      </c>
      <c r="C43" s="166" t="s">
        <v>64</v>
      </c>
      <c r="D43" s="164"/>
      <c r="E43" s="164"/>
      <c r="F43" s="164"/>
      <c r="G43" s="164"/>
      <c r="H43" s="164"/>
      <c r="I43" s="164"/>
      <c r="J43" s="164"/>
      <c r="K43" s="16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ht="14.2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ht="14.2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ht="14.2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ht="14.2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ht="14.2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</row>
    <row r="49" spans="1:32" ht="14.2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</row>
    <row r="50" spans="1:32" ht="14.2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</row>
    <row r="51" spans="1:32" ht="14.2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</row>
    <row r="52" spans="1:32" ht="14.2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</row>
    <row r="53" spans="1:32" ht="14.2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</row>
    <row r="54" spans="1:32" ht="14.2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</row>
    <row r="55" spans="1:32" ht="14.2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</row>
    <row r="56" spans="1:32" ht="14.2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</row>
    <row r="57" spans="1:32" ht="14.2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</row>
    <row r="58" spans="1:32" ht="14.2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</row>
    <row r="59" spans="1:32" ht="14.2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</row>
    <row r="60" spans="1:32" ht="14.2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</row>
    <row r="61" spans="1:32" ht="14.2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</row>
    <row r="62" spans="1:32" ht="14.2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</row>
    <row r="63" spans="1:32" ht="14.2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</row>
    <row r="64" spans="1:32" ht="14.2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</row>
    <row r="65" spans="1:32" ht="14.2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</row>
    <row r="66" spans="1:32" ht="14.2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</row>
    <row r="67" spans="1:32" ht="14.2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</row>
    <row r="68" spans="1:32" ht="14.2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</row>
    <row r="69" spans="1:32" ht="14.2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</row>
    <row r="70" spans="1:32" ht="14.2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</row>
    <row r="71" spans="1:32" ht="14.2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</row>
    <row r="72" spans="1:32" ht="14.2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</row>
    <row r="73" spans="1:32" ht="14.2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</row>
    <row r="74" spans="1:32" ht="14.2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</row>
    <row r="75" spans="1:32" ht="14.2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</row>
    <row r="76" spans="1:32" ht="14.2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</row>
    <row r="77" spans="1:32" ht="14.2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</row>
    <row r="78" spans="1:32" ht="14.2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</row>
    <row r="79" spans="1:32" ht="14.2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</row>
    <row r="80" spans="1:32" ht="14.2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</row>
    <row r="81" spans="1:32" ht="14.2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</row>
    <row r="82" spans="1:32" ht="14.2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</row>
    <row r="83" spans="1:32" ht="14.2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</row>
    <row r="84" spans="1:32" ht="14.2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</row>
    <row r="85" spans="1:32" ht="14.2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</row>
    <row r="86" spans="1:32" ht="14.2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</row>
    <row r="87" spans="1:32" ht="14.2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</row>
    <row r="88" spans="1:32" ht="14.2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</row>
    <row r="89" spans="1:32" ht="14.2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</row>
    <row r="90" spans="1:32" ht="14.2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</row>
    <row r="91" spans="1:32" ht="14.2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</row>
    <row r="92" spans="1:32" ht="14.2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</row>
    <row r="93" spans="1:32" ht="14.2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</row>
    <row r="94" spans="1:32" ht="14.2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</row>
    <row r="95" spans="1:32" ht="14.2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</row>
    <row r="96" spans="1:32" ht="14.2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</row>
    <row r="97" spans="1:32" ht="14.2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</row>
    <row r="98" spans="1:32" ht="14.2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</row>
    <row r="99" spans="1:32" ht="14.2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</row>
    <row r="100" spans="1:32" ht="14.2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</row>
    <row r="101" spans="1:32" ht="14.2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</row>
    <row r="102" spans="1:32" ht="14.2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</row>
    <row r="103" spans="1:32" ht="14.2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</row>
    <row r="104" spans="1:32" ht="14.2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</row>
    <row r="105" spans="1:32" ht="14.2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</row>
    <row r="106" spans="1:32" ht="14.2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</row>
    <row r="107" spans="1:32" ht="14.2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</row>
    <row r="108" spans="1:32" ht="14.2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</row>
    <row r="109" spans="1:32" ht="14.2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</row>
    <row r="110" spans="1:32" ht="14.2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</row>
    <row r="111" spans="1:32" ht="14.2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</row>
    <row r="112" spans="1:32" ht="14.2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</row>
    <row r="113" spans="1:32" ht="14.2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</row>
    <row r="114" spans="1:32" ht="14.2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</row>
    <row r="115" spans="1:32" ht="14.2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</row>
    <row r="116" spans="1:32" ht="14.2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</row>
    <row r="117" spans="1:32" ht="14.2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</row>
    <row r="118" spans="1:32" ht="14.2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</row>
    <row r="119" spans="1:32" ht="14.2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</row>
    <row r="120" spans="1:32" ht="14.2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</row>
    <row r="121" spans="1:32" ht="14.2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</row>
    <row r="122" spans="1:32" ht="14.2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</row>
    <row r="123" spans="1:32" ht="14.2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</row>
    <row r="124" spans="1:32" ht="14.2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</row>
    <row r="125" spans="1:32" ht="14.2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</row>
    <row r="126" spans="1:32" ht="14.2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</row>
    <row r="127" spans="1:32" ht="14.2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</row>
    <row r="128" spans="1:32" ht="14.2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</row>
    <row r="129" spans="1:32" ht="14.2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</row>
    <row r="130" spans="1:32" ht="14.2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</row>
    <row r="131" spans="1:32" ht="14.2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</row>
    <row r="132" spans="1:32" ht="14.2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</row>
    <row r="133" spans="1:32" ht="14.2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</row>
    <row r="134" spans="1:32" ht="14.2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</row>
    <row r="135" spans="1:32" ht="14.2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</row>
    <row r="136" spans="1:32" ht="14.2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</row>
    <row r="137" spans="1:32" ht="14.2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</row>
    <row r="138" spans="1:32" ht="14.2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</row>
    <row r="139" spans="1:32" ht="14.2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</row>
    <row r="140" spans="1:32" ht="14.2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</row>
    <row r="141" spans="1:32" ht="14.2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</row>
    <row r="142" spans="1:32" ht="14.2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</row>
    <row r="143" spans="1:32" ht="14.2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</row>
    <row r="144" spans="1:32" ht="14.2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</row>
    <row r="145" spans="1:32" ht="14.2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</row>
    <row r="146" spans="1:32" ht="14.2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</row>
    <row r="147" spans="1:32" ht="14.2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</row>
    <row r="148" spans="1:32" ht="14.2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</row>
    <row r="149" spans="1:32" ht="14.2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</row>
    <row r="150" spans="1:32" ht="14.2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</row>
    <row r="151" spans="1:32" ht="14.2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</row>
    <row r="152" spans="1:32" ht="14.2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</row>
    <row r="153" spans="1:32" ht="14.2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</row>
    <row r="154" spans="1:32" ht="14.2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</row>
    <row r="155" spans="1:32" ht="14.2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</row>
    <row r="156" spans="1:32" ht="14.2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</row>
    <row r="157" spans="1:32" ht="14.2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</row>
    <row r="158" spans="1:32" ht="14.2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</row>
    <row r="159" spans="1:32" ht="14.2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</row>
    <row r="160" spans="1:32" ht="14.2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</row>
    <row r="161" spans="1:32" ht="14.2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</row>
    <row r="162" spans="1:32" ht="14.2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</row>
    <row r="163" spans="1:32" ht="14.2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</row>
    <row r="164" spans="1:32" ht="14.2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</row>
    <row r="165" spans="1:32" ht="14.2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</row>
    <row r="166" spans="1:32" ht="14.2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</row>
    <row r="167" spans="1:32" ht="14.2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</row>
    <row r="168" spans="1:32" ht="14.2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</row>
    <row r="169" spans="1:32" ht="14.2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</row>
    <row r="170" spans="1:32" ht="14.2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</row>
    <row r="171" spans="1:32" ht="14.2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</row>
    <row r="172" spans="1:32" ht="14.2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</row>
    <row r="173" spans="1:32" ht="14.2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</row>
    <row r="174" spans="1:32" ht="14.2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</row>
    <row r="175" spans="1:32" ht="14.2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</row>
    <row r="176" spans="1:32" ht="14.2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</row>
    <row r="177" spans="1:32" ht="14.2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</row>
    <row r="178" spans="1:32" ht="14.2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</row>
    <row r="179" spans="1:32" ht="14.2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</row>
    <row r="180" spans="1:32" ht="14.2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</row>
    <row r="181" spans="1:32" ht="14.2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</row>
    <row r="182" spans="1:32" ht="14.2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</row>
    <row r="183" spans="1:32" ht="14.2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</row>
    <row r="184" spans="1:32" ht="14.2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</row>
    <row r="185" spans="1:32" ht="14.2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</row>
    <row r="186" spans="1:32" ht="14.2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</row>
    <row r="187" spans="1:32" ht="14.2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</row>
    <row r="188" spans="1:32" ht="14.2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</row>
    <row r="189" spans="1:32" ht="14.2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</row>
    <row r="190" spans="1:32" ht="14.2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</row>
    <row r="191" spans="1:32" ht="14.2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</row>
    <row r="192" spans="1:32" ht="14.2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</row>
    <row r="193" spans="1:32" ht="14.2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</row>
    <row r="194" spans="1:32" ht="14.2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</row>
    <row r="195" spans="1:32" ht="14.2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</row>
    <row r="196" spans="1:32" ht="14.2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</row>
    <row r="197" spans="1:32" ht="14.2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</row>
    <row r="198" spans="1:32" ht="14.2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</row>
    <row r="199" spans="1:32" ht="14.2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</row>
    <row r="200" spans="1:32" ht="14.2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</row>
    <row r="201" spans="1:32" ht="14.2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</row>
    <row r="202" spans="1:32" ht="14.2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</row>
    <row r="203" spans="1:32" ht="14.2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</row>
    <row r="204" spans="1:32" ht="14.2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</row>
    <row r="205" spans="1:32" ht="14.2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</row>
    <row r="206" spans="1:32" ht="14.2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</row>
    <row r="207" spans="1:32" ht="14.2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</row>
    <row r="208" spans="1:32" ht="14.2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</row>
    <row r="209" spans="1:32" ht="14.2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</row>
    <row r="210" spans="1:32" ht="14.2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</row>
    <row r="211" spans="1:32" ht="14.2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</row>
    <row r="212" spans="1:32" ht="14.2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</row>
    <row r="213" spans="1:32" ht="14.2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</row>
    <row r="214" spans="1:32" ht="14.2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</row>
    <row r="215" spans="1:32" ht="14.2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</row>
    <row r="216" spans="1:32" ht="14.2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</row>
    <row r="217" spans="1:32" ht="14.2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</row>
    <row r="218" spans="1:32" ht="14.2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</row>
    <row r="219" spans="1:32" ht="14.2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</row>
    <row r="220" spans="1:32" ht="14.2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</row>
    <row r="221" spans="1:32" ht="14.25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</row>
    <row r="222" spans="1:32" ht="14.25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</row>
    <row r="223" spans="1:32" ht="14.25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</row>
    <row r="224" spans="1:32" ht="14.25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</row>
    <row r="225" spans="1:32" ht="14.25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</row>
    <row r="226" spans="1:32" ht="14.25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</row>
    <row r="227" spans="1:32" ht="14.25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</row>
    <row r="228" spans="1:32" ht="14.25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</row>
    <row r="229" spans="1:32" ht="14.25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</row>
    <row r="230" spans="1:32" ht="14.25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</row>
    <row r="231" spans="1:32" ht="14.25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</row>
    <row r="232" spans="1:32" ht="14.25" customHeigh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</row>
    <row r="233" spans="1:32" ht="14.25" customHeigh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</row>
    <row r="234" spans="1:32" ht="14.25" customHeigh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</row>
    <row r="235" spans="1:32" ht="14.25" customHeigh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</row>
    <row r="236" spans="1:32" ht="14.25" customHeigh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</row>
    <row r="237" spans="1:32" ht="14.25" customHeigh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</row>
    <row r="238" spans="1:32" ht="14.25" customHeigh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</row>
    <row r="239" spans="1:32" ht="14.25" customHeigh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</row>
    <row r="240" spans="1:32" ht="14.25" customHeigh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</row>
    <row r="241" spans="1:32" ht="14.25" customHeigh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</row>
    <row r="242" spans="1:32" ht="14.25" customHeigh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</row>
    <row r="243" spans="1:32" ht="14.25" customHeigh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</row>
    <row r="244" spans="1:32" ht="14.25" customHeigh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</row>
    <row r="245" spans="1:32" ht="14.25" customHeigh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</row>
    <row r="246" spans="1:32" ht="14.25" customHeigh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</row>
    <row r="247" spans="1:32" ht="14.25" customHeigh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</row>
    <row r="248" spans="1:32" ht="14.25" customHeigh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</row>
    <row r="249" spans="1:32" ht="14.25" customHeigh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</row>
    <row r="250" spans="1:32" ht="14.25" customHeigh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</row>
    <row r="251" spans="1:32" ht="14.25" customHeigh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</row>
    <row r="252" spans="1:32" ht="14.25" customHeigh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</row>
    <row r="253" spans="1:32" ht="14.25" customHeigh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</row>
    <row r="254" spans="1:32" ht="14.25" customHeigh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</row>
    <row r="255" spans="1:32" ht="14.25" customHeigh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</row>
    <row r="256" spans="1:32" ht="14.25" customHeigh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</row>
    <row r="257" spans="1:32" ht="14.25" customHeigh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</row>
    <row r="258" spans="1:32" ht="14.25" customHeigh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</row>
    <row r="259" spans="1:32" ht="14.25" customHeigh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</row>
    <row r="260" spans="1:32" ht="14.25" customHeigh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</row>
    <row r="261" spans="1:32" ht="14.25" customHeigh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</row>
    <row r="262" spans="1:32" ht="14.25" customHeigh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</row>
    <row r="263" spans="1:32" ht="14.25" customHeigh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</row>
    <row r="264" spans="1:32" ht="14.25" customHeigh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</row>
    <row r="265" spans="1:32" ht="14.25" customHeigh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</row>
    <row r="266" spans="1:32" ht="14.25" customHeigh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</row>
    <row r="267" spans="1:32" ht="14.25" customHeigh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</row>
    <row r="268" spans="1:32" ht="14.25" customHeigh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</row>
    <row r="269" spans="1:32" ht="14.25" customHeigh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</row>
    <row r="270" spans="1:32" ht="14.25" customHeigh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</row>
    <row r="271" spans="1:32" ht="14.25" customHeigh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</row>
    <row r="272" spans="1:32" ht="14.25" customHeigh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</row>
    <row r="273" spans="1:32" ht="14.25" customHeigh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</row>
    <row r="274" spans="1:32" ht="14.25" customHeigh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</row>
    <row r="275" spans="1:32" ht="14.25" customHeigh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</row>
    <row r="276" spans="1:32" ht="14.25" customHeigh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</row>
    <row r="277" spans="1:32" ht="14.25" customHeigh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</row>
    <row r="278" spans="1:32" ht="14.25" customHeigh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</row>
    <row r="279" spans="1:32" ht="14.25" customHeigh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</row>
    <row r="280" spans="1:32" ht="14.25" customHeigh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</row>
    <row r="281" spans="1:32" ht="14.25" customHeigh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</row>
    <row r="282" spans="1:32" ht="14.25" customHeigh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</row>
    <row r="283" spans="1:32" ht="14.25" customHeigh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</row>
    <row r="284" spans="1:32" ht="14.25" customHeigh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</row>
    <row r="285" spans="1:32" ht="14.25" customHeigh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</row>
    <row r="286" spans="1:32" ht="14.25" customHeigh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</row>
    <row r="287" spans="1:32" ht="14.25" customHeigh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</row>
    <row r="288" spans="1:32" ht="14.25" customHeigh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</row>
    <row r="289" spans="1:32" ht="14.25" customHeigh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</row>
    <row r="290" spans="1:32" ht="14.25" customHeigh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</row>
    <row r="291" spans="1:32" ht="14.25" customHeigh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</row>
    <row r="292" spans="1:32" ht="14.25" customHeigh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</row>
    <row r="293" spans="1:32" ht="14.25" customHeigh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</row>
    <row r="294" spans="1:32" ht="14.25" customHeigh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</row>
    <row r="295" spans="1:32" ht="14.25" customHeigh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</row>
    <row r="296" spans="1:32" ht="14.25" customHeigh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</row>
    <row r="297" spans="1:32" ht="14.25" customHeigh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</row>
    <row r="298" spans="1:32" ht="14.25" customHeigh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</row>
    <row r="299" spans="1:32" ht="14.25" customHeigh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</row>
    <row r="300" spans="1:32" ht="14.25" customHeigh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</row>
    <row r="301" spans="1:32" ht="14.25" customHeigh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</row>
    <row r="302" spans="1:32" ht="14.25" customHeigh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</row>
    <row r="303" spans="1:32" ht="14.25" customHeigh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</row>
    <row r="304" spans="1:32" ht="14.25" customHeigh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</row>
    <row r="305" spans="1:32" ht="14.25" customHeigh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</row>
    <row r="306" spans="1:32" ht="14.25" customHeigh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</row>
    <row r="307" spans="1:32" ht="14.25" customHeigh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</row>
    <row r="308" spans="1:32" ht="14.25" customHeigh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</row>
    <row r="309" spans="1:32" ht="14.25" customHeigh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</row>
    <row r="310" spans="1:32" ht="14.25" customHeigh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</row>
    <row r="311" spans="1:32" ht="14.25" customHeigh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</row>
    <row r="312" spans="1:32" ht="14.25" customHeigh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</row>
    <row r="313" spans="1:32" ht="14.25" customHeigh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</row>
    <row r="314" spans="1:32" ht="14.25" customHeigh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</row>
    <row r="315" spans="1:32" ht="14.25" customHeigh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</row>
    <row r="316" spans="1:32" ht="14.25" customHeigh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</row>
    <row r="317" spans="1:32" ht="14.25" customHeigh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</row>
    <row r="318" spans="1:32" ht="14.25" customHeigh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</row>
    <row r="319" spans="1:32" ht="14.25" customHeigh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</row>
    <row r="320" spans="1:32" ht="14.25" customHeigh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</row>
    <row r="321" spans="1:32" ht="14.25" customHeigh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</row>
    <row r="322" spans="1:32" ht="14.25" customHeigh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</row>
    <row r="323" spans="1:32" ht="14.25" customHeigh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</row>
    <row r="324" spans="1:32" ht="14.25" customHeigh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</row>
    <row r="325" spans="1:32" ht="14.25" customHeigh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</row>
    <row r="326" spans="1:32" ht="14.25" customHeigh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</row>
    <row r="327" spans="1:32" ht="14.25" customHeigh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</row>
    <row r="328" spans="1:32" ht="14.25" customHeigh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</row>
    <row r="329" spans="1:32" ht="14.25" customHeigh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</row>
    <row r="330" spans="1:32" ht="14.25" customHeigh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</row>
    <row r="331" spans="1:32" ht="14.25" customHeigh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</row>
    <row r="332" spans="1:32" ht="14.25" customHeigh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</row>
    <row r="333" spans="1:32" ht="14.25" customHeigh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</row>
    <row r="334" spans="1:32" ht="14.25" customHeigh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</row>
    <row r="335" spans="1:32" ht="14.25" customHeigh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</row>
    <row r="336" spans="1:32" ht="14.25" customHeigh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</row>
    <row r="337" spans="1:32" ht="14.25" customHeigh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</row>
    <row r="338" spans="1:32" ht="14.25" customHeigh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</row>
    <row r="339" spans="1:32" ht="14.25" customHeigh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</row>
    <row r="340" spans="1:32" ht="14.25" customHeigh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</row>
    <row r="341" spans="1:32" ht="14.25" customHeigh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</row>
    <row r="342" spans="1:32" ht="14.25" customHeigh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</row>
    <row r="343" spans="1:32" ht="14.25" customHeigh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</row>
    <row r="344" spans="1:32" ht="14.25" customHeigh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</row>
    <row r="345" spans="1:32" ht="14.25" customHeigh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</row>
    <row r="346" spans="1:32" ht="14.25" customHeigh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</row>
    <row r="347" spans="1:32" ht="14.25" customHeigh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</row>
    <row r="348" spans="1:32" ht="14.25" customHeigh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</row>
    <row r="349" spans="1:32" ht="14.25" customHeigh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</row>
    <row r="350" spans="1:32" ht="14.25" customHeigh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</row>
    <row r="351" spans="1:32" ht="14.25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</row>
    <row r="352" spans="1:32" ht="14.25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</row>
    <row r="353" spans="1:32" ht="14.25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</row>
    <row r="354" spans="1:32" ht="14.25" customHeigh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</row>
    <row r="355" spans="1:32" ht="14.25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</row>
    <row r="356" spans="1:32" ht="14.25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</row>
    <row r="357" spans="1:32" ht="14.25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</row>
    <row r="358" spans="1:32" ht="14.25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</row>
    <row r="359" spans="1:32" ht="14.25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</row>
    <row r="360" spans="1:32" ht="14.25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</row>
    <row r="361" spans="1:32" ht="14.25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</row>
    <row r="362" spans="1:32" ht="14.25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</row>
    <row r="363" spans="1:32" ht="14.25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</row>
    <row r="364" spans="1:32" ht="14.25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</row>
    <row r="365" spans="1:32" ht="14.25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</row>
    <row r="366" spans="1:32" ht="14.25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</row>
    <row r="367" spans="1:32" ht="14.25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</row>
    <row r="368" spans="1:32" ht="14.25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</row>
    <row r="369" spans="1:32" ht="14.25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</row>
    <row r="370" spans="1:32" ht="14.25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</row>
    <row r="371" spans="1:32" ht="14.25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</row>
    <row r="372" spans="1:32" ht="14.25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</row>
    <row r="373" spans="1:32" ht="14.25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</row>
    <row r="374" spans="1:32" ht="14.25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</row>
    <row r="375" spans="1:32" ht="14.25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</row>
    <row r="376" spans="1:32" ht="14.25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</row>
    <row r="377" spans="1:32" ht="14.25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</row>
    <row r="378" spans="1:32" ht="14.25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</row>
    <row r="379" spans="1:32" ht="14.25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</row>
    <row r="380" spans="1:32" ht="14.25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</row>
    <row r="381" spans="1:32" ht="14.25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</row>
    <row r="382" spans="1:32" ht="14.25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</row>
    <row r="383" spans="1:32" ht="14.25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</row>
    <row r="384" spans="1:32" ht="14.25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</row>
    <row r="385" spans="1:32" ht="14.25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</row>
    <row r="386" spans="1:32" ht="14.25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</row>
    <row r="387" spans="1:32" ht="14.25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</row>
    <row r="388" spans="1:32" ht="14.25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</row>
    <row r="389" spans="1:32" ht="14.25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</row>
    <row r="390" spans="1:32" ht="14.25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</row>
    <row r="391" spans="1:32" ht="14.25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</row>
    <row r="392" spans="1:32" ht="14.25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</row>
    <row r="393" spans="1:32" ht="14.25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</row>
    <row r="394" spans="1:32" ht="14.25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</row>
    <row r="395" spans="1:32" ht="14.25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</row>
    <row r="396" spans="1:32" ht="14.25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</row>
    <row r="397" spans="1:32" ht="14.25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</row>
    <row r="398" spans="1:32" ht="14.25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</row>
    <row r="399" spans="1:32" ht="14.25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</row>
    <row r="400" spans="1:32" ht="14.25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</row>
    <row r="401" spans="1:32" ht="14.25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</row>
    <row r="402" spans="1:32" ht="14.25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</row>
    <row r="403" spans="1:32" ht="14.25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</row>
    <row r="404" spans="1:32" ht="14.25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</row>
    <row r="405" spans="1:32" ht="14.25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</row>
    <row r="406" spans="1:32" ht="14.25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</row>
    <row r="407" spans="1:32" ht="14.25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</row>
    <row r="408" spans="1:32" ht="14.25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</row>
    <row r="409" spans="1:32" ht="14.25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</row>
    <row r="410" spans="1:32" ht="14.25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</row>
    <row r="411" spans="1:32" ht="14.25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</row>
    <row r="412" spans="1:32" ht="14.25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</row>
    <row r="413" spans="1:32" ht="14.25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</row>
    <row r="414" spans="1:32" ht="14.25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</row>
    <row r="415" spans="1:32" ht="14.25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</row>
    <row r="416" spans="1:32" ht="14.25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</row>
    <row r="417" spans="1:32" ht="14.25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</row>
    <row r="418" spans="1:32" ht="14.25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</row>
    <row r="419" spans="1:32" ht="14.25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</row>
    <row r="420" spans="1:32" ht="14.25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</row>
    <row r="421" spans="1:32" ht="14.25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</row>
    <row r="422" spans="1:32" ht="14.25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</row>
    <row r="423" spans="1:32" ht="14.25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</row>
    <row r="424" spans="1:32" ht="14.25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</row>
    <row r="425" spans="1:32" ht="14.25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</row>
    <row r="426" spans="1:32" ht="14.25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</row>
    <row r="427" spans="1:32" ht="14.25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</row>
    <row r="428" spans="1:32" ht="14.25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</row>
    <row r="429" spans="1:32" ht="14.25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</row>
    <row r="430" spans="1:32" ht="14.25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</row>
    <row r="431" spans="1:32" ht="14.25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</row>
    <row r="432" spans="1:32" ht="14.25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</row>
    <row r="433" spans="1:32" ht="14.25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</row>
    <row r="434" spans="1:32" ht="14.25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</row>
    <row r="435" spans="1:32" ht="14.25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</row>
    <row r="436" spans="1:32" ht="14.25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</row>
    <row r="437" spans="1:32" ht="14.25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</row>
    <row r="438" spans="1:32" ht="14.25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</row>
    <row r="439" spans="1:32" ht="14.25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</row>
    <row r="440" spans="1:32" ht="14.25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</row>
    <row r="441" spans="1:32" ht="14.25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</row>
    <row r="442" spans="1:32" ht="14.25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</row>
    <row r="443" spans="1:32" ht="14.25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</row>
    <row r="444" spans="1:32" ht="14.25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</row>
    <row r="445" spans="1:32" ht="14.25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</row>
    <row r="446" spans="1:32" ht="14.25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</row>
    <row r="447" spans="1:32" ht="14.25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</row>
    <row r="448" spans="1:32" ht="14.25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</row>
    <row r="449" spans="1:32" ht="14.25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</row>
    <row r="450" spans="1:32" ht="14.25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</row>
    <row r="451" spans="1:32" ht="14.25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</row>
    <row r="452" spans="1:32" ht="14.25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</row>
    <row r="453" spans="1:32" ht="14.25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</row>
    <row r="454" spans="1:32" ht="14.25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</row>
    <row r="455" spans="1:32" ht="14.25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</row>
    <row r="456" spans="1:32" ht="14.25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</row>
    <row r="457" spans="1:32" ht="14.25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</row>
    <row r="458" spans="1:32" ht="14.25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</row>
    <row r="459" spans="1:32" ht="14.25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</row>
    <row r="460" spans="1:32" ht="14.25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</row>
    <row r="461" spans="1:32" ht="14.25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</row>
    <row r="462" spans="1:32" ht="14.25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</row>
    <row r="463" spans="1:32" ht="14.25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</row>
    <row r="464" spans="1:32" ht="14.25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</row>
    <row r="465" spans="1:32" ht="14.25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</row>
    <row r="466" spans="1:32" ht="14.25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</row>
    <row r="467" spans="1:32" ht="14.25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</row>
    <row r="468" spans="1:32" ht="14.25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</row>
    <row r="469" spans="1:32" ht="14.25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</row>
    <row r="470" spans="1:32" ht="14.25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</row>
    <row r="471" spans="1:32" ht="14.25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</row>
    <row r="472" spans="1:32" ht="14.25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</row>
    <row r="473" spans="1:32" ht="14.25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</row>
    <row r="474" spans="1:32" ht="14.25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</row>
    <row r="475" spans="1:32" ht="14.25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</row>
    <row r="476" spans="1:32" ht="14.25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</row>
    <row r="477" spans="1:32" ht="14.25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</row>
    <row r="478" spans="1:32" ht="14.25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</row>
    <row r="479" spans="1:32" ht="14.25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</row>
    <row r="480" spans="1:32" ht="14.25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</row>
    <row r="481" spans="1:32" ht="14.25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</row>
    <row r="482" spans="1:32" ht="14.25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</row>
    <row r="483" spans="1:32" ht="14.25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</row>
    <row r="484" spans="1:32" ht="14.25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</row>
    <row r="485" spans="1:32" ht="14.25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</row>
    <row r="486" spans="1:32" ht="14.25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</row>
    <row r="487" spans="1:32" ht="14.25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</row>
    <row r="488" spans="1:32" ht="14.25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</row>
    <row r="489" spans="1:32" ht="14.25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</row>
    <row r="490" spans="1:32" ht="14.25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</row>
    <row r="491" spans="1:32" ht="14.25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</row>
    <row r="492" spans="1:32" ht="14.25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</row>
    <row r="493" spans="1:32" ht="14.25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</row>
    <row r="494" spans="1:32" ht="14.25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</row>
    <row r="495" spans="1:32" ht="14.25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</row>
    <row r="496" spans="1:32" ht="14.25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</row>
    <row r="497" spans="1:32" ht="14.25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</row>
    <row r="498" spans="1:32" ht="14.25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</row>
    <row r="499" spans="1:32" ht="14.25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</row>
    <row r="500" spans="1:32" ht="14.25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</row>
    <row r="501" spans="1:32" ht="14.25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</row>
    <row r="502" spans="1:32" ht="14.25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</row>
    <row r="503" spans="1:32" ht="14.25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</row>
    <row r="504" spans="1:32" ht="14.25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</row>
    <row r="505" spans="1:32" ht="14.25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</row>
    <row r="506" spans="1:32" ht="14.25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</row>
    <row r="507" spans="1:32" ht="14.25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</row>
    <row r="508" spans="1:32" ht="14.25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</row>
    <row r="509" spans="1:32" ht="14.25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</row>
    <row r="510" spans="1:32" ht="14.25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</row>
    <row r="511" spans="1:32" ht="14.2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</row>
    <row r="512" spans="1:32" ht="14.2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</row>
    <row r="513" spans="1:32" ht="14.2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</row>
    <row r="514" spans="1:32" ht="14.2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</row>
    <row r="515" spans="1:32" ht="14.2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</row>
    <row r="516" spans="1:32" ht="14.2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</row>
    <row r="517" spans="1:32" ht="14.2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</row>
    <row r="518" spans="1:32" ht="14.2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</row>
    <row r="519" spans="1:32" ht="14.2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</row>
    <row r="520" spans="1:32" ht="14.2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</row>
    <row r="521" spans="1:32" ht="14.2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</row>
    <row r="522" spans="1:32" ht="14.2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</row>
    <row r="523" spans="1:32" ht="14.2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</row>
    <row r="524" spans="1:32" ht="14.2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</row>
    <row r="525" spans="1:32" ht="14.2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</row>
    <row r="526" spans="1:32" ht="14.2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</row>
    <row r="527" spans="1:32" ht="14.2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</row>
    <row r="528" spans="1:32" ht="14.2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</row>
    <row r="529" spans="1:32" ht="14.2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</row>
    <row r="530" spans="1:32" ht="14.2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</row>
    <row r="531" spans="1:32" ht="14.2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</row>
    <row r="532" spans="1:32" ht="14.2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</row>
    <row r="533" spans="1:32" ht="14.2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</row>
    <row r="534" spans="1:32" ht="14.2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</row>
    <row r="535" spans="1:32" ht="14.2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</row>
    <row r="536" spans="1:32" ht="14.2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</row>
    <row r="537" spans="1:32" ht="14.2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</row>
    <row r="538" spans="1:32" ht="14.2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</row>
    <row r="539" spans="1:32" ht="14.2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</row>
    <row r="540" spans="1:32" ht="14.2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</row>
    <row r="541" spans="1:32" ht="14.2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</row>
    <row r="542" spans="1:32" ht="14.2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</row>
    <row r="543" spans="1:32" ht="14.2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</row>
    <row r="544" spans="1:32" ht="14.2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</row>
    <row r="545" spans="1:32" ht="14.2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</row>
    <row r="546" spans="1:32" ht="14.2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</row>
    <row r="547" spans="1:32" ht="14.2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</row>
    <row r="548" spans="1:32" ht="14.2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</row>
    <row r="549" spans="1:32" ht="14.2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</row>
    <row r="550" spans="1:32" ht="14.2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</row>
    <row r="551" spans="1:32" ht="14.2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</row>
    <row r="552" spans="1:32" ht="14.2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</row>
    <row r="553" spans="1:32" ht="14.2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</row>
    <row r="554" spans="1:32" ht="14.2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</row>
    <row r="555" spans="1:32" ht="14.2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</row>
    <row r="556" spans="1:32" ht="14.2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</row>
    <row r="557" spans="1:32" ht="14.2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</row>
    <row r="558" spans="1:32" ht="14.2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</row>
    <row r="559" spans="1:32" ht="14.2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</row>
    <row r="560" spans="1:32" ht="14.2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</row>
    <row r="561" spans="1:32" ht="14.2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</row>
    <row r="562" spans="1:32" ht="14.2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</row>
    <row r="563" spans="1:32" ht="14.2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</row>
    <row r="564" spans="1:32" ht="14.2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</row>
    <row r="565" spans="1:32" ht="14.2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</row>
    <row r="566" spans="1:32" ht="14.2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</row>
    <row r="567" spans="1:32" ht="14.2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</row>
    <row r="568" spans="1:32" ht="14.2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</row>
    <row r="569" spans="1:32" ht="14.2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</row>
    <row r="570" spans="1:32" ht="14.2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</row>
    <row r="571" spans="1:32" ht="14.2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</row>
    <row r="572" spans="1:32" ht="14.2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</row>
    <row r="573" spans="1:32" ht="14.2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</row>
    <row r="574" spans="1:32" ht="14.2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</row>
    <row r="575" spans="1:32" ht="14.2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</row>
    <row r="576" spans="1:32" ht="14.2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</row>
    <row r="577" spans="1:32" ht="14.2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</row>
    <row r="578" spans="1:32" ht="14.2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</row>
    <row r="579" spans="1:32" ht="14.2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</row>
    <row r="580" spans="1:32" ht="14.2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</row>
    <row r="581" spans="1:32" ht="14.2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</row>
    <row r="582" spans="1:32" ht="14.2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</row>
    <row r="583" spans="1:32" ht="14.2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</row>
    <row r="584" spans="1:32" ht="14.2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</row>
    <row r="585" spans="1:32" ht="14.2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</row>
    <row r="586" spans="1:32" ht="14.2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</row>
    <row r="587" spans="1:32" ht="14.2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</row>
    <row r="588" spans="1:32" ht="14.2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</row>
    <row r="589" spans="1:32" ht="14.2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</row>
    <row r="590" spans="1:32" ht="14.2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</row>
    <row r="591" spans="1:32" ht="14.2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</row>
    <row r="592" spans="1:32" ht="14.2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</row>
    <row r="593" spans="1:32" ht="14.2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</row>
    <row r="594" spans="1:32" ht="14.2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</row>
    <row r="595" spans="1:32" ht="14.2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</row>
    <row r="596" spans="1:32" ht="14.2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</row>
    <row r="597" spans="1:32" ht="14.2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</row>
    <row r="598" spans="1:32" ht="14.2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</row>
    <row r="599" spans="1:32" ht="14.2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</row>
    <row r="600" spans="1:32" ht="14.2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</row>
    <row r="601" spans="1:32" ht="14.2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</row>
    <row r="602" spans="1:32" ht="14.2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</row>
    <row r="603" spans="1:32" ht="14.2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</row>
    <row r="604" spans="1:32" ht="14.2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</row>
    <row r="605" spans="1:32" ht="14.2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</row>
    <row r="606" spans="1:32" ht="14.2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</row>
    <row r="607" spans="1:32" ht="14.2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</row>
    <row r="608" spans="1:32" ht="14.2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</row>
    <row r="609" spans="1:32" ht="14.2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</row>
    <row r="610" spans="1:32" ht="14.2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</row>
    <row r="611" spans="1:32" ht="14.2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</row>
    <row r="612" spans="1:32" ht="14.2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</row>
    <row r="613" spans="1:32" ht="14.2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</row>
    <row r="614" spans="1:32" ht="14.2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</row>
    <row r="615" spans="1:32" ht="14.2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</row>
    <row r="616" spans="1:32" ht="14.2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</row>
    <row r="617" spans="1:32" ht="14.2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</row>
    <row r="618" spans="1:32" ht="14.2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</row>
    <row r="619" spans="1:32" ht="14.2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</row>
    <row r="620" spans="1:32" ht="14.2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</row>
    <row r="621" spans="1:32" ht="14.2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</row>
    <row r="622" spans="1:32" ht="14.2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</row>
    <row r="623" spans="1:32" ht="14.2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</row>
    <row r="624" spans="1:32" ht="14.2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</row>
    <row r="625" spans="1:32" ht="14.2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</row>
    <row r="626" spans="1:32" ht="14.2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</row>
    <row r="627" spans="1:32" ht="14.2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</row>
    <row r="628" spans="1:32" ht="14.2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</row>
    <row r="629" spans="1:32" ht="14.2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</row>
    <row r="630" spans="1:32" ht="14.2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</row>
    <row r="631" spans="1:32" ht="14.2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</row>
    <row r="632" spans="1:32" ht="14.2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</row>
    <row r="633" spans="1:32" ht="14.2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</row>
    <row r="634" spans="1:32" ht="14.2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</row>
    <row r="635" spans="1:32" ht="14.2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</row>
    <row r="636" spans="1:32" ht="14.2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</row>
    <row r="637" spans="1:32" ht="14.2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</row>
    <row r="638" spans="1:32" ht="14.2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</row>
    <row r="639" spans="1:32" ht="14.2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</row>
    <row r="640" spans="1:32" ht="14.2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</row>
    <row r="641" spans="1:32" ht="14.2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</row>
    <row r="642" spans="1:32" ht="14.2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</row>
    <row r="643" spans="1:32" ht="14.2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</row>
    <row r="644" spans="1:32" ht="14.2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</row>
    <row r="645" spans="1:32" ht="14.2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</row>
    <row r="646" spans="1:32" ht="14.2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</row>
    <row r="647" spans="1:32" ht="14.2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</row>
    <row r="648" spans="1:32" ht="14.2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</row>
    <row r="649" spans="1:32" ht="14.2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</row>
    <row r="650" spans="1:32" ht="14.2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</row>
    <row r="651" spans="1:32" ht="14.2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</row>
    <row r="652" spans="1:32" ht="14.2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</row>
    <row r="653" spans="1:32" ht="14.2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</row>
    <row r="654" spans="1:32" ht="14.2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</row>
    <row r="655" spans="1:32" ht="14.2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</row>
    <row r="656" spans="1:32" ht="14.2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</row>
    <row r="657" spans="1:32" ht="14.2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</row>
    <row r="658" spans="1:32" ht="14.2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</row>
    <row r="659" spans="1:32" ht="14.2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</row>
    <row r="660" spans="1:32" ht="14.2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</row>
    <row r="661" spans="1:32" ht="14.2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</row>
    <row r="662" spans="1:32" ht="14.2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</row>
    <row r="663" spans="1:32" ht="14.2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</row>
    <row r="664" spans="1:32" ht="14.2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</row>
    <row r="665" spans="1:32" ht="14.2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</row>
    <row r="666" spans="1:32" ht="14.2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</row>
    <row r="667" spans="1:32" ht="14.2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</row>
    <row r="668" spans="1:32" ht="14.2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</row>
    <row r="669" spans="1:32" ht="14.2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</row>
    <row r="670" spans="1:32" ht="14.2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</row>
    <row r="671" spans="1:32" ht="14.2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</row>
    <row r="672" spans="1:32" ht="14.2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</row>
    <row r="673" spans="1:32" ht="14.2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</row>
    <row r="674" spans="1:32" ht="14.2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</row>
    <row r="675" spans="1:32" ht="14.2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</row>
    <row r="676" spans="1:32" ht="14.2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</row>
    <row r="677" spans="1:32" ht="14.2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</row>
    <row r="678" spans="1:32" ht="14.2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</row>
    <row r="679" spans="1:32" ht="14.2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</row>
    <row r="680" spans="1:32" ht="14.2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</row>
    <row r="681" spans="1:32" ht="14.2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</row>
    <row r="682" spans="1:32" ht="14.2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</row>
    <row r="683" spans="1:32" ht="14.2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</row>
    <row r="684" spans="1:32" ht="14.2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</row>
    <row r="685" spans="1:32" ht="14.2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</row>
    <row r="686" spans="1:32" ht="14.2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</row>
    <row r="687" spans="1:32" ht="14.2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</row>
    <row r="688" spans="1:32" ht="14.2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</row>
    <row r="689" spans="1:32" ht="14.2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</row>
    <row r="690" spans="1:32" ht="14.2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</row>
    <row r="691" spans="1:32" ht="14.2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</row>
    <row r="692" spans="1:32" ht="14.2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</row>
    <row r="693" spans="1:32" ht="14.2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</row>
    <row r="694" spans="1:32" ht="14.2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</row>
    <row r="695" spans="1:32" ht="14.2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</row>
    <row r="696" spans="1:32" ht="14.2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</row>
    <row r="697" spans="1:32" ht="14.2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</row>
    <row r="698" spans="1:32" ht="14.2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</row>
    <row r="699" spans="1:32" ht="14.2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</row>
    <row r="700" spans="1:32" ht="14.2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</row>
    <row r="701" spans="1:32" ht="14.2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</row>
    <row r="702" spans="1:32" ht="14.2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</row>
    <row r="703" spans="1:32" ht="14.2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</row>
    <row r="704" spans="1:32" ht="14.2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</row>
    <row r="705" spans="1:32" ht="14.2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</row>
    <row r="706" spans="1:32" ht="14.2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</row>
    <row r="707" spans="1:32" ht="14.2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</row>
    <row r="708" spans="1:32" ht="14.2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</row>
    <row r="709" spans="1:32" ht="14.2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</row>
    <row r="710" spans="1:32" ht="14.2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</row>
    <row r="711" spans="1:32" ht="14.2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</row>
    <row r="712" spans="1:32" ht="14.2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</row>
    <row r="713" spans="1:32" ht="14.2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</row>
    <row r="714" spans="1:32" ht="14.2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</row>
    <row r="715" spans="1:32" ht="14.2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</row>
    <row r="716" spans="1:32" ht="14.2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</row>
    <row r="717" spans="1:32" ht="14.2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</row>
    <row r="718" spans="1:32" ht="14.2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</row>
    <row r="719" spans="1:32" ht="14.2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</row>
    <row r="720" spans="1:32" ht="14.2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</row>
    <row r="721" spans="1:32" ht="14.2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</row>
    <row r="722" spans="1:32" ht="14.2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</row>
    <row r="723" spans="1:32" ht="14.2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</row>
    <row r="724" spans="1:32" ht="14.2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</row>
    <row r="725" spans="1:32" ht="14.2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</row>
    <row r="726" spans="1:32" ht="14.2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</row>
    <row r="727" spans="1:32" ht="14.2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</row>
    <row r="728" spans="1:32" ht="14.2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</row>
    <row r="729" spans="1:32" ht="14.2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</row>
    <row r="730" spans="1:32" ht="14.2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</row>
    <row r="731" spans="1:32" ht="14.2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</row>
    <row r="732" spans="1:32" ht="14.2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</row>
    <row r="733" spans="1:32" ht="14.2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</row>
    <row r="734" spans="1:32" ht="14.2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</row>
    <row r="735" spans="1:32" ht="14.2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</row>
    <row r="736" spans="1:32" ht="14.2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</row>
    <row r="737" spans="1:32" ht="14.2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</row>
    <row r="738" spans="1:32" ht="14.2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</row>
    <row r="739" spans="1:32" ht="14.2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</row>
    <row r="740" spans="1:32" ht="14.2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</row>
    <row r="741" spans="1:32" ht="14.2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</row>
    <row r="742" spans="1:32" ht="14.2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</row>
    <row r="743" spans="1:32" ht="14.2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</row>
    <row r="744" spans="1:32" ht="14.2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</row>
    <row r="745" spans="1:32" ht="14.2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</row>
    <row r="746" spans="1:32" ht="14.2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</row>
    <row r="747" spans="1:32" ht="14.2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</row>
    <row r="748" spans="1:32" ht="14.2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</row>
    <row r="749" spans="1:32" ht="14.2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</row>
    <row r="750" spans="1:32" ht="14.2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</row>
    <row r="751" spans="1:32" ht="14.2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</row>
    <row r="752" spans="1:32" ht="14.2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</row>
    <row r="753" spans="1:32" ht="14.2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</row>
    <row r="754" spans="1:32" ht="14.2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</row>
    <row r="755" spans="1:32" ht="14.2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</row>
    <row r="756" spans="1:32" ht="14.2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</row>
    <row r="757" spans="1:32" ht="14.2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</row>
    <row r="758" spans="1:32" ht="14.2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</row>
    <row r="759" spans="1:32" ht="14.2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</row>
    <row r="760" spans="1:32" ht="14.2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</row>
    <row r="761" spans="1:32" ht="14.2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</row>
    <row r="762" spans="1:32" ht="14.2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</row>
    <row r="763" spans="1:32" ht="14.2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</row>
    <row r="764" spans="1:32" ht="14.2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</row>
    <row r="765" spans="1:32" ht="14.2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</row>
    <row r="766" spans="1:32" ht="14.2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</row>
    <row r="767" spans="1:32" ht="14.2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</row>
    <row r="768" spans="1:32" ht="14.2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</row>
    <row r="769" spans="1:32" ht="14.2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</row>
    <row r="770" spans="1:32" ht="14.2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</row>
    <row r="771" spans="1:32" ht="14.2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</row>
    <row r="772" spans="1:32" ht="14.2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</row>
    <row r="773" spans="1:32" ht="14.2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</row>
    <row r="774" spans="1:32" ht="14.2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</row>
    <row r="775" spans="1:32" ht="14.2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</row>
    <row r="776" spans="1:32" ht="14.2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</row>
    <row r="777" spans="1:32" ht="14.2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</row>
    <row r="778" spans="1:32" ht="14.2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</row>
    <row r="779" spans="1:32" ht="14.2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</row>
    <row r="780" spans="1:32" ht="14.2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</row>
    <row r="781" spans="1:32" ht="14.2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</row>
    <row r="782" spans="1:32" ht="14.2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</row>
    <row r="783" spans="1:32" ht="14.2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</row>
    <row r="784" spans="1:32" ht="14.2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</row>
    <row r="785" spans="1:32" ht="14.2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</row>
    <row r="786" spans="1:32" ht="14.2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</row>
    <row r="787" spans="1:32" ht="14.2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</row>
    <row r="788" spans="1:32" ht="14.2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</row>
    <row r="789" spans="1:32" ht="14.2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</row>
    <row r="790" spans="1:32" ht="14.2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</row>
    <row r="791" spans="1:32" ht="14.2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</row>
    <row r="792" spans="1:32" ht="14.2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</row>
    <row r="793" spans="1:32" ht="14.2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</row>
    <row r="794" spans="1:32" ht="14.2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</row>
    <row r="795" spans="1:32" ht="14.2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</row>
    <row r="796" spans="1:32" ht="14.2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</row>
    <row r="797" spans="1:32" ht="14.2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</row>
    <row r="798" spans="1:32" ht="14.2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</row>
    <row r="799" spans="1:32" ht="14.2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</row>
    <row r="800" spans="1:32" ht="14.2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</row>
    <row r="801" spans="1:32" ht="14.2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</row>
    <row r="802" spans="1:32" ht="14.2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</row>
    <row r="803" spans="1:32" ht="14.2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</row>
    <row r="804" spans="1:32" ht="14.2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</row>
    <row r="805" spans="1:32" ht="14.2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</row>
    <row r="806" spans="1:32" ht="14.2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</row>
    <row r="807" spans="1:32" ht="14.2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</row>
    <row r="808" spans="1:32" ht="14.2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</row>
    <row r="809" spans="1:32" ht="14.2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</row>
    <row r="810" spans="1:32" ht="14.2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</row>
    <row r="811" spans="1:32" ht="14.2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</row>
    <row r="812" spans="1:32" ht="14.2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</row>
    <row r="813" spans="1:32" ht="14.2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</row>
    <row r="814" spans="1:32" ht="14.2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</row>
    <row r="815" spans="1:32" ht="14.2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</row>
    <row r="816" spans="1:32" ht="14.2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</row>
    <row r="817" spans="1:32" ht="14.2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</row>
    <row r="818" spans="1:32" ht="14.2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</row>
    <row r="819" spans="1:32" ht="14.2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</row>
    <row r="820" spans="1:32" ht="14.2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</row>
    <row r="821" spans="1:32" ht="14.2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</row>
    <row r="822" spans="1:32" ht="14.2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</row>
    <row r="823" spans="1:32" ht="14.2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</row>
    <row r="824" spans="1:32" ht="14.2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</row>
    <row r="825" spans="1:32" ht="14.2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</row>
    <row r="826" spans="1:32" ht="14.2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</row>
    <row r="827" spans="1:32" ht="14.2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</row>
    <row r="828" spans="1:32" ht="14.2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</row>
    <row r="829" spans="1:32" ht="14.2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</row>
    <row r="830" spans="1:32" ht="14.2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</row>
    <row r="831" spans="1:32" ht="14.2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</row>
    <row r="832" spans="1:32" ht="14.2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</row>
    <row r="833" spans="1:32" ht="14.2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</row>
    <row r="834" spans="1:32" ht="14.2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</row>
    <row r="835" spans="1:32" ht="14.2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</row>
    <row r="836" spans="1:32" ht="14.2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</row>
    <row r="837" spans="1:32" ht="14.2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</row>
    <row r="838" spans="1:32" ht="14.2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</row>
    <row r="839" spans="1:32" ht="14.2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</row>
    <row r="840" spans="1:32" ht="14.2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</row>
    <row r="841" spans="1:32" ht="14.2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</row>
    <row r="842" spans="1:32" ht="14.2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</row>
    <row r="843" spans="1:32" ht="14.2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</row>
    <row r="844" spans="1:32" ht="14.2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</row>
    <row r="845" spans="1:32" ht="14.2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</row>
    <row r="846" spans="1:32" ht="14.2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</row>
    <row r="847" spans="1:32" ht="14.2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</row>
    <row r="848" spans="1:32" ht="14.2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</row>
    <row r="849" spans="1:32" ht="14.2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</row>
    <row r="850" spans="1:32" ht="14.2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</row>
    <row r="851" spans="1:32" ht="14.2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</row>
    <row r="852" spans="1:32" ht="14.2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</row>
    <row r="853" spans="1:32" ht="14.2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</row>
    <row r="854" spans="1:32" ht="14.2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</row>
    <row r="855" spans="1:32" ht="14.2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</row>
    <row r="856" spans="1:32" ht="14.2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</row>
    <row r="857" spans="1:32" ht="14.2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</row>
    <row r="858" spans="1:32" ht="14.2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</row>
    <row r="859" spans="1:32" ht="14.2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</row>
    <row r="860" spans="1:32" ht="14.2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</row>
    <row r="861" spans="1:32" ht="14.2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</row>
    <row r="862" spans="1:32" ht="14.2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</row>
    <row r="863" spans="1:32" ht="14.2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</row>
    <row r="864" spans="1:32" ht="14.2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</row>
    <row r="865" spans="1:32" ht="14.2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</row>
    <row r="866" spans="1:32" ht="14.2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</row>
    <row r="867" spans="1:32" ht="14.2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</row>
    <row r="868" spans="1:32" ht="14.2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</row>
    <row r="869" spans="1:32" ht="14.2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</row>
    <row r="870" spans="1:32" ht="14.2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</row>
    <row r="871" spans="1:32" ht="14.2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</row>
    <row r="872" spans="1:32" ht="14.2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</row>
    <row r="873" spans="1:32" ht="14.2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</row>
    <row r="874" spans="1:32" ht="14.2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</row>
    <row r="875" spans="1:32" ht="14.2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</row>
    <row r="876" spans="1:32" ht="14.2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</row>
    <row r="877" spans="1:32" ht="14.2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</row>
    <row r="878" spans="1:32" ht="14.2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</row>
    <row r="879" spans="1:32" ht="14.2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</row>
    <row r="880" spans="1:32" ht="14.2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</row>
    <row r="881" spans="1:32" ht="14.2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</row>
    <row r="882" spans="1:32" ht="14.2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</row>
    <row r="883" spans="1:32" ht="14.2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</row>
    <row r="884" spans="1:32" ht="14.2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</row>
    <row r="885" spans="1:32" ht="14.2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</row>
    <row r="886" spans="1:32" ht="14.2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</row>
    <row r="887" spans="1:32" ht="14.2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</row>
    <row r="888" spans="1:32" ht="14.2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</row>
    <row r="889" spans="1:32" ht="14.2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</row>
    <row r="890" spans="1:32" ht="14.2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</row>
    <row r="891" spans="1:32" ht="14.2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</row>
    <row r="892" spans="1:32" ht="14.2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</row>
    <row r="893" spans="1:32" ht="14.2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</row>
    <row r="894" spans="1:32" ht="14.2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</row>
    <row r="895" spans="1:32" ht="14.2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</row>
    <row r="896" spans="1:32" ht="14.2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</row>
    <row r="897" spans="1:32" ht="14.2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</row>
    <row r="898" spans="1:32" ht="14.2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</row>
    <row r="899" spans="1:32" ht="14.2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</row>
    <row r="900" spans="1:32" ht="14.2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</row>
    <row r="901" spans="1:32" ht="14.2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</row>
    <row r="902" spans="1:32" ht="14.2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</row>
    <row r="903" spans="1:32" ht="14.2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</row>
    <row r="904" spans="1:32" ht="14.2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</row>
    <row r="905" spans="1:32" ht="14.2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</row>
    <row r="906" spans="1:32" ht="14.2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</row>
    <row r="907" spans="1:32" ht="14.2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</row>
    <row r="908" spans="1:32" ht="14.2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</row>
    <row r="909" spans="1:32" ht="14.2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</row>
    <row r="910" spans="1:32" ht="14.2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</row>
    <row r="911" spans="1:32" ht="14.2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</row>
    <row r="912" spans="1:32" ht="14.2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</row>
    <row r="913" spans="1:32" ht="14.2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</row>
    <row r="914" spans="1:32" ht="14.2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</row>
    <row r="915" spans="1:32" ht="14.2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</row>
    <row r="916" spans="1:32" ht="14.2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</row>
    <row r="917" spans="1:32" ht="14.2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</row>
    <row r="918" spans="1:32" ht="14.2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</row>
    <row r="919" spans="1:32" ht="14.2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</row>
    <row r="920" spans="1:32" ht="14.2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</row>
    <row r="921" spans="1:32" ht="14.2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</row>
    <row r="922" spans="1:32" ht="14.2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</row>
    <row r="923" spans="1:32" ht="14.2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</row>
    <row r="924" spans="1:32" ht="14.2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</row>
    <row r="925" spans="1:32" ht="14.2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</row>
    <row r="926" spans="1:32" ht="14.2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</row>
    <row r="927" spans="1:32" ht="14.2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</row>
    <row r="928" spans="1:32" ht="14.2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</row>
    <row r="929" spans="1:32" ht="14.2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</row>
    <row r="930" spans="1:32" ht="14.2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</row>
    <row r="931" spans="1:32" ht="14.2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</row>
    <row r="932" spans="1:32" ht="14.2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</row>
    <row r="933" spans="1:32" ht="14.2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</row>
    <row r="934" spans="1:32" ht="14.2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</row>
    <row r="935" spans="1:32" ht="14.2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</row>
    <row r="936" spans="1:32" ht="14.2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</row>
    <row r="937" spans="1:32" ht="14.2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</row>
    <row r="938" spans="1:32" ht="14.2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</row>
    <row r="939" spans="1:32" ht="14.2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</row>
    <row r="940" spans="1:32" ht="14.2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</row>
    <row r="941" spans="1:32" ht="14.2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</row>
    <row r="942" spans="1:32" ht="14.2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</row>
    <row r="943" spans="1:32" ht="14.2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</row>
    <row r="944" spans="1:32" ht="14.2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</row>
    <row r="945" spans="1:32" ht="14.2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</row>
    <row r="946" spans="1:32" ht="14.2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</row>
    <row r="947" spans="1:32" ht="14.2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</row>
    <row r="948" spans="1:32" ht="14.2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</row>
    <row r="949" spans="1:32" ht="14.25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</row>
    <row r="950" spans="1:32" ht="14.25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</row>
    <row r="951" spans="1:32" ht="14.25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</row>
    <row r="952" spans="1:32" ht="14.25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</row>
    <row r="953" spans="1:32" ht="14.25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</row>
    <row r="954" spans="1:32" ht="14.25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</row>
    <row r="955" spans="1:32" ht="14.25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</row>
    <row r="956" spans="1:32" ht="14.25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</row>
    <row r="957" spans="1:32" ht="14.25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</row>
    <row r="958" spans="1:32" ht="14.25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</row>
    <row r="959" spans="1:32" ht="14.25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</row>
    <row r="960" spans="1:32" ht="14.25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</row>
    <row r="961" spans="1:32" ht="14.25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</row>
    <row r="962" spans="1:32" ht="14.25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</row>
    <row r="963" spans="1:32" ht="14.25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</row>
    <row r="964" spans="1:32" ht="14.25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</row>
    <row r="965" spans="1:32" ht="14.25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</row>
    <row r="966" spans="1:32" ht="14.25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</row>
    <row r="967" spans="1:32" ht="14.25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</row>
    <row r="968" spans="1:32" ht="14.25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</row>
    <row r="969" spans="1:32" ht="14.25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</row>
    <row r="970" spans="1:32" ht="14.25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</row>
    <row r="971" spans="1:32" ht="14.25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</row>
    <row r="972" spans="1:32" ht="14.25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</row>
    <row r="973" spans="1:32" ht="14.25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</row>
    <row r="974" spans="1:32" ht="14.25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</row>
    <row r="975" spans="1:32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</row>
  </sheetData>
  <mergeCells count="26">
    <mergeCell ref="J13:L13"/>
    <mergeCell ref="M13:N13"/>
    <mergeCell ref="C17:C19"/>
    <mergeCell ref="D17:D18"/>
    <mergeCell ref="C21:C23"/>
    <mergeCell ref="D21:D22"/>
    <mergeCell ref="C25:C27"/>
    <mergeCell ref="D25:D26"/>
    <mergeCell ref="B2:B27"/>
    <mergeCell ref="C5:C7"/>
    <mergeCell ref="D5:D6"/>
    <mergeCell ref="C9:C11"/>
    <mergeCell ref="D9:D10"/>
    <mergeCell ref="C13:C15"/>
    <mergeCell ref="D13:D14"/>
    <mergeCell ref="C40:K40"/>
    <mergeCell ref="C41:K41"/>
    <mergeCell ref="C42:K42"/>
    <mergeCell ref="C43:K43"/>
    <mergeCell ref="B30:B37"/>
    <mergeCell ref="C30:C31"/>
    <mergeCell ref="D30:D31"/>
    <mergeCell ref="C33:C34"/>
    <mergeCell ref="D33:D34"/>
    <mergeCell ref="C36:C37"/>
    <mergeCell ref="D36:D3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949"/>
  <sheetViews>
    <sheetView showGridLines="0" topLeftCell="A7" workbookViewId="0">
      <selection activeCell="D15" sqref="D15"/>
    </sheetView>
  </sheetViews>
  <sheetFormatPr baseColWidth="10" defaultColWidth="12.5703125" defaultRowHeight="15" customHeight="1"/>
  <cols>
    <col min="1" max="2" width="4.140625" customWidth="1"/>
    <col min="3" max="3" width="47.85546875" customWidth="1"/>
    <col min="4" max="4" width="15.85546875" customWidth="1"/>
    <col min="5" max="7" width="14.42578125" customWidth="1"/>
    <col min="8" max="8" width="14" customWidth="1"/>
    <col min="9" max="9" width="54.140625" customWidth="1"/>
    <col min="10" max="10" width="9.140625" customWidth="1"/>
    <col min="11" max="11" width="17.42578125" customWidth="1"/>
    <col min="12" max="13" width="14.42578125" customWidth="1"/>
    <col min="14" max="29" width="10.5703125" customWidth="1"/>
  </cols>
  <sheetData>
    <row r="1" spans="1:29" ht="14.25" customHeight="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</row>
    <row r="2" spans="1:29">
      <c r="A2" s="36"/>
      <c r="B2" s="167" t="s">
        <v>39</v>
      </c>
      <c r="C2" s="37"/>
      <c r="D2" s="38" t="s">
        <v>40</v>
      </c>
      <c r="E2" s="39" t="s">
        <v>41</v>
      </c>
      <c r="F2" s="39" t="s">
        <v>42</v>
      </c>
      <c r="G2" s="40" t="s">
        <v>43</v>
      </c>
      <c r="H2" s="41" t="s">
        <v>44</v>
      </c>
      <c r="I2" s="35"/>
      <c r="J2" s="42"/>
      <c r="K2" s="42"/>
      <c r="L2" s="42"/>
      <c r="M2" s="42"/>
      <c r="N2" s="43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</row>
    <row r="3" spans="1:29" ht="12" customHeight="1">
      <c r="A3" s="36"/>
      <c r="B3" s="168"/>
      <c r="C3" s="35"/>
      <c r="D3" s="44">
        <f>Calculo!C31</f>
        <v>1162300629.4300001</v>
      </c>
      <c r="E3" s="45">
        <f>+Calculo!$C$28</f>
        <v>174345094.4145</v>
      </c>
      <c r="F3" s="45">
        <f>+Calculo!$C$28</f>
        <v>174345094.4145</v>
      </c>
      <c r="G3" s="45">
        <f>+Calculo!$C$28</f>
        <v>174345094.4145</v>
      </c>
      <c r="H3" s="46">
        <f>Calculo!C27</f>
        <v>639265346.18650007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</row>
    <row r="4" spans="1:29" ht="12" customHeight="1">
      <c r="A4" s="36"/>
      <c r="B4" s="168"/>
      <c r="C4" s="35"/>
      <c r="D4" s="47">
        <f>D7+D11+D15+D19+D23+D27</f>
        <v>1162300629.4300001</v>
      </c>
      <c r="E4" s="47">
        <f t="shared" ref="E4:F4" si="0">E7+E11+E15+E19</f>
        <v>174345094.4145</v>
      </c>
      <c r="F4" s="47">
        <f t="shared" si="0"/>
        <v>174345094.4145</v>
      </c>
      <c r="G4" s="47">
        <f>G7+G11+G15+G19+G23+G27</f>
        <v>174345094.4145</v>
      </c>
      <c r="H4" s="48">
        <f>+H7+H11+H15+H19+H23+H27</f>
        <v>639265346.18650007</v>
      </c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</row>
    <row r="5" spans="1:29" ht="12" customHeight="1">
      <c r="A5" s="36"/>
      <c r="B5" s="168"/>
      <c r="C5" s="157" t="s">
        <v>45</v>
      </c>
      <c r="D5" s="158">
        <v>1</v>
      </c>
      <c r="E5" s="49" t="s">
        <v>41</v>
      </c>
      <c r="F5" s="49" t="s">
        <v>42</v>
      </c>
      <c r="G5" s="49" t="s">
        <v>43</v>
      </c>
      <c r="H5" s="50" t="s">
        <v>44</v>
      </c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</row>
    <row r="6" spans="1:29" ht="12" customHeight="1">
      <c r="A6" s="36"/>
      <c r="B6" s="168"/>
      <c r="C6" s="150"/>
      <c r="D6" s="153"/>
      <c r="E6" s="51">
        <v>0.33333299999999999</v>
      </c>
      <c r="F6" s="51">
        <v>0.33333299999999999</v>
      </c>
      <c r="G6" s="51">
        <v>0.33333299999999999</v>
      </c>
      <c r="H6" s="52">
        <v>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</row>
    <row r="7" spans="1:29" ht="12" customHeight="1">
      <c r="A7" s="36"/>
      <c r="B7" s="168"/>
      <c r="C7" s="151"/>
      <c r="D7" s="53">
        <f>Calculo!C9+Calculo!C9+Calculo!C10</f>
        <v>73343700</v>
      </c>
      <c r="E7" s="54">
        <v>24447900</v>
      </c>
      <c r="F7" s="54">
        <v>24447900</v>
      </c>
      <c r="G7" s="54">
        <v>24447900</v>
      </c>
      <c r="H7" s="55">
        <v>0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</row>
    <row r="8" spans="1:29" ht="12" customHeight="1">
      <c r="A8" s="36"/>
      <c r="B8" s="168"/>
      <c r="C8" s="35"/>
      <c r="D8" s="35"/>
      <c r="E8" s="35"/>
      <c r="F8" s="35"/>
      <c r="G8" s="35"/>
      <c r="H8" s="56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</row>
    <row r="9" spans="1:29" ht="12" customHeight="1">
      <c r="A9" s="36"/>
      <c r="B9" s="168"/>
      <c r="C9" s="175" t="s">
        <v>46</v>
      </c>
      <c r="D9" s="176">
        <v>1</v>
      </c>
      <c r="E9" s="57" t="s">
        <v>41</v>
      </c>
      <c r="F9" s="57" t="s">
        <v>42</v>
      </c>
      <c r="G9" s="57" t="s">
        <v>43</v>
      </c>
      <c r="H9" s="58" t="s">
        <v>44</v>
      </c>
      <c r="I9" s="35"/>
      <c r="J9" s="59"/>
      <c r="K9" s="59"/>
      <c r="L9" s="59"/>
      <c r="M9" s="59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</row>
    <row r="10" spans="1:29" ht="12" customHeight="1">
      <c r="A10" s="36"/>
      <c r="B10" s="168"/>
      <c r="C10" s="150"/>
      <c r="D10" s="153"/>
      <c r="E10" s="60">
        <v>0.5</v>
      </c>
      <c r="F10" s="60">
        <v>0.5</v>
      </c>
      <c r="G10" s="60">
        <v>0</v>
      </c>
      <c r="H10" s="61">
        <v>0</v>
      </c>
      <c r="I10" s="35"/>
      <c r="J10" s="59"/>
      <c r="K10" s="59"/>
      <c r="L10" s="59"/>
      <c r="M10" s="59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</row>
    <row r="11" spans="1:29" ht="12" customHeight="1">
      <c r="A11" s="36"/>
      <c r="B11" s="168"/>
      <c r="C11" s="151"/>
      <c r="D11" s="62">
        <f>Calculo!C41</f>
        <v>50879394</v>
      </c>
      <c r="E11" s="63">
        <f>+D11*E10</f>
        <v>25439697</v>
      </c>
      <c r="F11" s="63">
        <f>+D11*F10</f>
        <v>25439697</v>
      </c>
      <c r="G11" s="63">
        <f>+D11*G10</f>
        <v>0</v>
      </c>
      <c r="H11" s="64">
        <f>+D11*H10</f>
        <v>0</v>
      </c>
      <c r="I11" s="35"/>
      <c r="J11" s="59"/>
      <c r="K11" s="65"/>
      <c r="L11" s="35"/>
      <c r="M11" s="59"/>
      <c r="N11" s="43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</row>
    <row r="12" spans="1:29" ht="12" customHeight="1">
      <c r="A12" s="36"/>
      <c r="B12" s="168"/>
      <c r="C12" s="35"/>
      <c r="D12" s="66"/>
      <c r="E12" s="35"/>
      <c r="F12" s="35"/>
      <c r="G12" s="35"/>
      <c r="H12" s="56"/>
      <c r="I12" s="35"/>
      <c r="J12" s="35"/>
      <c r="K12" s="42"/>
      <c r="L12" s="35"/>
      <c r="M12" s="35"/>
      <c r="N12" s="43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</row>
    <row r="13" spans="1:29" ht="12" customHeight="1">
      <c r="A13" s="36"/>
      <c r="B13" s="168"/>
      <c r="C13" s="159" t="s">
        <v>47</v>
      </c>
      <c r="D13" s="160">
        <v>1</v>
      </c>
      <c r="E13" s="68" t="s">
        <v>41</v>
      </c>
      <c r="F13" s="68" t="s">
        <v>42</v>
      </c>
      <c r="G13" s="68" t="s">
        <v>43</v>
      </c>
      <c r="H13" s="69" t="s">
        <v>44</v>
      </c>
      <c r="I13" s="35"/>
      <c r="J13" s="161" t="s">
        <v>49</v>
      </c>
      <c r="K13" s="162"/>
      <c r="L13" s="35"/>
      <c r="M13" s="35"/>
      <c r="N13" s="43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</row>
    <row r="14" spans="1:29" ht="12" customHeight="1">
      <c r="A14" s="36"/>
      <c r="B14" s="168"/>
      <c r="C14" s="150"/>
      <c r="D14" s="153"/>
      <c r="E14" s="70">
        <v>0.5</v>
      </c>
      <c r="F14" s="70">
        <v>0.5</v>
      </c>
      <c r="G14" s="70">
        <v>0</v>
      </c>
      <c r="H14" s="71">
        <v>0</v>
      </c>
      <c r="I14" s="35"/>
      <c r="J14" s="74"/>
      <c r="K14" s="123">
        <v>3473250</v>
      </c>
      <c r="L14" s="35"/>
      <c r="M14" s="35"/>
      <c r="N14" s="43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</row>
    <row r="15" spans="1:29" ht="12" customHeight="1">
      <c r="A15" s="36"/>
      <c r="B15" s="168"/>
      <c r="C15" s="151"/>
      <c r="D15" s="76">
        <f>Calculo!C45</f>
        <v>124048399</v>
      </c>
      <c r="E15" s="77">
        <f t="shared" ref="E15:H15" si="1">+$D$15*E14</f>
        <v>62024199.5</v>
      </c>
      <c r="F15" s="77">
        <f t="shared" si="1"/>
        <v>62024199.5</v>
      </c>
      <c r="G15" s="77">
        <f t="shared" si="1"/>
        <v>0</v>
      </c>
      <c r="H15" s="78">
        <f t="shared" si="1"/>
        <v>0</v>
      </c>
      <c r="I15" s="35"/>
      <c r="J15" s="80">
        <f>$E$18</f>
        <v>8.6374613201765302E-2</v>
      </c>
      <c r="K15" s="75">
        <f t="shared" ref="K15:K18" si="2">$K$14*J15</f>
        <v>300000.62530303135</v>
      </c>
      <c r="L15" s="59"/>
      <c r="M15" s="59"/>
      <c r="N15" s="43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</row>
    <row r="16" spans="1:29" ht="12" customHeight="1">
      <c r="A16" s="36"/>
      <c r="B16" s="168"/>
      <c r="C16" s="81"/>
      <c r="D16" s="82"/>
      <c r="E16" s="66"/>
      <c r="F16" s="66"/>
      <c r="G16" s="66"/>
      <c r="H16" s="83"/>
      <c r="I16" s="35"/>
      <c r="J16" s="80">
        <f>$F$18</f>
        <v>8.6374613201765302E-2</v>
      </c>
      <c r="K16" s="75">
        <f t="shared" si="2"/>
        <v>300000.62530303135</v>
      </c>
      <c r="L16" s="59"/>
      <c r="M16" s="59"/>
      <c r="N16" s="43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</row>
    <row r="17" spans="1:29" ht="12" customHeight="1">
      <c r="A17" s="36"/>
      <c r="B17" s="168"/>
      <c r="C17" s="172" t="s">
        <v>52</v>
      </c>
      <c r="D17" s="173">
        <v>1</v>
      </c>
      <c r="E17" s="84" t="s">
        <v>41</v>
      </c>
      <c r="F17" s="84" t="s">
        <v>42</v>
      </c>
      <c r="G17" s="84" t="s">
        <v>43</v>
      </c>
      <c r="H17" s="85" t="s">
        <v>44</v>
      </c>
      <c r="I17" s="35"/>
      <c r="J17" s="80">
        <f>$G$18</f>
        <v>0.11922791070321795</v>
      </c>
      <c r="K17" s="75">
        <f t="shared" si="2"/>
        <v>414108.34084995172</v>
      </c>
      <c r="L17" s="59"/>
      <c r="M17" s="59"/>
      <c r="N17" s="43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</row>
    <row r="18" spans="1:29" ht="12" customHeight="1">
      <c r="A18" s="36"/>
      <c r="B18" s="168"/>
      <c r="C18" s="150"/>
      <c r="D18" s="153"/>
      <c r="E18" s="86">
        <f>E19/D19</f>
        <v>8.6374613201765302E-2</v>
      </c>
      <c r="F18" s="86">
        <f>F19*1/D19</f>
        <v>8.6374613201765302E-2</v>
      </c>
      <c r="G18" s="86">
        <f>G19/D19</f>
        <v>0.11922791070321795</v>
      </c>
      <c r="H18" s="86">
        <f>H19/D19</f>
        <v>0.70802286348814381</v>
      </c>
      <c r="I18" s="35"/>
      <c r="J18" s="80">
        <f>$H$18</f>
        <v>0.70802286348814381</v>
      </c>
      <c r="K18" s="75">
        <f t="shared" si="2"/>
        <v>2459140.4106101952</v>
      </c>
      <c r="L18" s="67"/>
      <c r="M18" s="67"/>
      <c r="N18" s="43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</row>
    <row r="19" spans="1:29" ht="12" customHeight="1">
      <c r="A19" s="36"/>
      <c r="B19" s="168"/>
      <c r="C19" s="151"/>
      <c r="D19" s="87">
        <v>722820000</v>
      </c>
      <c r="E19" s="88">
        <f t="shared" ref="E19:F19" si="3">E3-E7-E11-E15</f>
        <v>62433297.914499998</v>
      </c>
      <c r="F19" s="88">
        <f t="shared" si="3"/>
        <v>62433297.914499998</v>
      </c>
      <c r="G19" s="88">
        <f>G3-G7-G23-G27</f>
        <v>86180318.414499998</v>
      </c>
      <c r="H19" s="89">
        <f>H3-H23-H27</f>
        <v>511773086.18650007</v>
      </c>
      <c r="I19" s="35"/>
      <c r="J19" s="6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</row>
    <row r="20" spans="1:29" ht="12" customHeight="1">
      <c r="A20" s="36"/>
      <c r="B20" s="168"/>
      <c r="C20" s="81"/>
      <c r="D20" s="82"/>
      <c r="E20" s="90"/>
      <c r="F20" s="66"/>
      <c r="G20" s="66"/>
      <c r="H20" s="83"/>
      <c r="I20" s="35"/>
      <c r="J20" s="6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</row>
    <row r="21" spans="1:29" ht="12" customHeight="1">
      <c r="A21" s="36"/>
      <c r="B21" s="168"/>
      <c r="C21" s="149" t="s">
        <v>54</v>
      </c>
      <c r="D21" s="152">
        <v>1</v>
      </c>
      <c r="E21" s="91" t="s">
        <v>41</v>
      </c>
      <c r="F21" s="91" t="s">
        <v>42</v>
      </c>
      <c r="G21" s="91" t="s">
        <v>43</v>
      </c>
      <c r="H21" s="92" t="s">
        <v>44</v>
      </c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</row>
    <row r="22" spans="1:29" ht="12" customHeight="1">
      <c r="A22" s="36"/>
      <c r="B22" s="168"/>
      <c r="C22" s="150"/>
      <c r="D22" s="153"/>
      <c r="E22" s="93">
        <v>0</v>
      </c>
      <c r="F22" s="93">
        <v>0</v>
      </c>
      <c r="G22" s="93">
        <v>0.3</v>
      </c>
      <c r="H22" s="94">
        <f>D21-E22-F22-G22</f>
        <v>0.7</v>
      </c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</row>
    <row r="23" spans="1:29" ht="12" customHeight="1">
      <c r="A23" s="36"/>
      <c r="B23" s="168"/>
      <c r="C23" s="151"/>
      <c r="D23" s="95">
        <f>Calculo!C6+Calculo!C7</f>
        <v>182131800</v>
      </c>
      <c r="E23" s="96">
        <v>0</v>
      </c>
      <c r="F23" s="96">
        <v>0</v>
      </c>
      <c r="G23" s="97">
        <f>+D23*G22</f>
        <v>54639540</v>
      </c>
      <c r="H23" s="98">
        <f>+D23*H22</f>
        <v>127492259.99999999</v>
      </c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</row>
    <row r="24" spans="1:29" ht="12" customHeight="1">
      <c r="A24" s="36"/>
      <c r="B24" s="168"/>
      <c r="C24" s="99"/>
      <c r="D24" s="82"/>
      <c r="E24" s="66"/>
      <c r="F24" s="66"/>
      <c r="G24" s="66"/>
      <c r="H24" s="83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</row>
    <row r="25" spans="1:29" ht="12" customHeight="1">
      <c r="A25" s="36"/>
      <c r="B25" s="168"/>
      <c r="C25" s="154" t="s">
        <v>55</v>
      </c>
      <c r="D25" s="156">
        <v>1</v>
      </c>
      <c r="E25" s="100" t="s">
        <v>41</v>
      </c>
      <c r="F25" s="100" t="s">
        <v>42</v>
      </c>
      <c r="G25" s="100" t="s">
        <v>43</v>
      </c>
      <c r="H25" s="101" t="s">
        <v>44</v>
      </c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</row>
    <row r="26" spans="1:29" ht="12" customHeight="1">
      <c r="A26" s="36"/>
      <c r="B26" s="168"/>
      <c r="C26" s="150"/>
      <c r="D26" s="153"/>
      <c r="E26" s="102">
        <v>0</v>
      </c>
      <c r="F26" s="102">
        <v>0</v>
      </c>
      <c r="G26" s="102">
        <v>1</v>
      </c>
      <c r="H26" s="103">
        <v>0</v>
      </c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</row>
    <row r="27" spans="1:29" ht="12" customHeight="1">
      <c r="A27" s="36"/>
      <c r="B27" s="169"/>
      <c r="C27" s="155"/>
      <c r="D27" s="104">
        <f>Calculo!C19+Calculo!C20+Calculo!C21-Calculo!C23</f>
        <v>9077336.4299999997</v>
      </c>
      <c r="E27" s="105">
        <v>0</v>
      </c>
      <c r="F27" s="105">
        <v>0</v>
      </c>
      <c r="G27" s="105">
        <v>9077336</v>
      </c>
      <c r="H27" s="107">
        <f>+D27*H26</f>
        <v>0</v>
      </c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</row>
    <row r="28" spans="1:29" ht="12" customHeight="1">
      <c r="A28" s="36"/>
      <c r="B28" s="35"/>
      <c r="C28" s="35"/>
      <c r="D28" s="108"/>
      <c r="E28" s="109"/>
      <c r="F28" s="109"/>
      <c r="G28" s="47"/>
      <c r="H28" s="47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</row>
    <row r="29" spans="1:29">
      <c r="A29" s="35"/>
      <c r="B29" s="35"/>
      <c r="C29" s="110"/>
      <c r="D29" s="47"/>
      <c r="E29" s="47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</row>
    <row r="30" spans="1:29" ht="12.75" customHeight="1">
      <c r="A30" s="35"/>
      <c r="B30" s="167" t="s">
        <v>56</v>
      </c>
      <c r="C30" s="170" t="s">
        <v>57</v>
      </c>
      <c r="D30" s="171">
        <v>1</v>
      </c>
      <c r="E30" s="111" t="s">
        <v>41</v>
      </c>
      <c r="F30" s="111" t="s">
        <v>42</v>
      </c>
      <c r="G30" s="111" t="s">
        <v>58</v>
      </c>
      <c r="H30" s="112" t="s">
        <v>44</v>
      </c>
      <c r="I30" s="35"/>
      <c r="J30" s="59"/>
      <c r="K30" s="65"/>
      <c r="L30" s="59"/>
      <c r="M30" s="59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</row>
    <row r="31" spans="1:29" ht="12.75" customHeight="1">
      <c r="A31" s="35"/>
      <c r="B31" s="168"/>
      <c r="C31" s="151"/>
      <c r="D31" s="153"/>
      <c r="E31" s="113">
        <v>0.5</v>
      </c>
      <c r="F31" s="113">
        <v>0.5</v>
      </c>
      <c r="G31" s="113" t="s">
        <v>59</v>
      </c>
      <c r="H31" s="114" t="s">
        <v>59</v>
      </c>
      <c r="I31" s="35"/>
      <c r="J31" s="59"/>
      <c r="K31" s="65"/>
      <c r="L31" s="59"/>
      <c r="M31" s="59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</row>
    <row r="32" spans="1:29" ht="12.75" customHeight="1">
      <c r="A32" s="35"/>
      <c r="B32" s="168"/>
      <c r="C32" s="81"/>
      <c r="D32" s="82"/>
      <c r="E32" s="66"/>
      <c r="F32" s="66"/>
      <c r="G32" s="66"/>
      <c r="H32" s="83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</row>
    <row r="33" spans="1:29" ht="12.75" customHeight="1">
      <c r="A33" s="35"/>
      <c r="B33" s="168"/>
      <c r="C33" s="172" t="s">
        <v>52</v>
      </c>
      <c r="D33" s="173">
        <v>1</v>
      </c>
      <c r="E33" s="84" t="s">
        <v>41</v>
      </c>
      <c r="F33" s="84" t="s">
        <v>42</v>
      </c>
      <c r="G33" s="84" t="s">
        <v>43</v>
      </c>
      <c r="H33" s="115" t="s">
        <v>60</v>
      </c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</row>
    <row r="34" spans="1:29" ht="12.75" customHeight="1">
      <c r="A34" s="35"/>
      <c r="B34" s="168"/>
      <c r="C34" s="151"/>
      <c r="D34" s="153"/>
      <c r="E34" s="86">
        <v>8.7998037567444162E-2</v>
      </c>
      <c r="F34" s="86">
        <v>8.7998037567444162E-2</v>
      </c>
      <c r="G34" s="116">
        <v>0.11853215740364129</v>
      </c>
      <c r="H34" s="117">
        <v>0.70547176805636269</v>
      </c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</row>
    <row r="35" spans="1:29" ht="12.75" customHeight="1">
      <c r="A35" s="35"/>
      <c r="B35" s="168"/>
      <c r="C35" s="81"/>
      <c r="D35" s="82"/>
      <c r="E35" s="66"/>
      <c r="F35" s="66"/>
      <c r="G35" s="66"/>
      <c r="H35" s="83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</row>
    <row r="36" spans="1:29" ht="12.75" customHeight="1">
      <c r="A36" s="35"/>
      <c r="B36" s="168"/>
      <c r="C36" s="149" t="s">
        <v>54</v>
      </c>
      <c r="D36" s="152">
        <v>1</v>
      </c>
      <c r="E36" s="91" t="s">
        <v>41</v>
      </c>
      <c r="F36" s="91" t="s">
        <v>42</v>
      </c>
      <c r="G36" s="91" t="s">
        <v>43</v>
      </c>
      <c r="H36" s="118" t="s">
        <v>60</v>
      </c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</row>
    <row r="37" spans="1:29" ht="12.75" customHeight="1">
      <c r="A37" s="35"/>
      <c r="B37" s="169"/>
      <c r="C37" s="155"/>
      <c r="D37" s="174"/>
      <c r="E37" s="119" t="s">
        <v>59</v>
      </c>
      <c r="F37" s="119" t="s">
        <v>59</v>
      </c>
      <c r="G37" s="119">
        <v>0.3</v>
      </c>
      <c r="H37" s="120">
        <v>0.7</v>
      </c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</row>
    <row r="38" spans="1:29" ht="14.2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</row>
    <row r="39" spans="1:29" ht="14.2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</row>
    <row r="40" spans="1:29" ht="12.75" customHeight="1">
      <c r="A40" s="42"/>
      <c r="B40" s="121">
        <v>1</v>
      </c>
      <c r="C40" s="179" t="s">
        <v>66</v>
      </c>
      <c r="D40" s="164"/>
      <c r="E40" s="164"/>
      <c r="F40" s="164"/>
      <c r="G40" s="164"/>
      <c r="H40" s="164"/>
      <c r="I40" s="16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</row>
    <row r="41" spans="1:29" ht="12.75" customHeight="1">
      <c r="A41" s="42"/>
      <c r="B41" s="122">
        <v>2</v>
      </c>
      <c r="C41" s="166" t="s">
        <v>68</v>
      </c>
      <c r="D41" s="164"/>
      <c r="E41" s="164"/>
      <c r="F41" s="164"/>
      <c r="G41" s="164"/>
      <c r="H41" s="164"/>
      <c r="I41" s="16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</row>
    <row r="42" spans="1:29" ht="12.75" customHeight="1">
      <c r="A42" s="42"/>
      <c r="B42" s="122">
        <v>3</v>
      </c>
      <c r="C42" s="166" t="s">
        <v>67</v>
      </c>
      <c r="D42" s="164"/>
      <c r="E42" s="164"/>
      <c r="F42" s="164"/>
      <c r="G42" s="164"/>
      <c r="H42" s="164"/>
      <c r="I42" s="16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</row>
    <row r="43" spans="1:29" ht="12.75" customHeight="1">
      <c r="A43" s="42"/>
      <c r="B43" s="122">
        <v>4</v>
      </c>
      <c r="C43" s="166" t="s">
        <v>64</v>
      </c>
      <c r="D43" s="164"/>
      <c r="E43" s="164"/>
      <c r="F43" s="164"/>
      <c r="G43" s="164"/>
      <c r="H43" s="164"/>
      <c r="I43" s="16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</row>
    <row r="44" spans="1:29" ht="14.2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</row>
    <row r="45" spans="1:29" ht="14.2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</row>
    <row r="46" spans="1:29" ht="14.2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</row>
    <row r="47" spans="1:29" ht="14.2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</row>
    <row r="48" spans="1:29" ht="14.2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</row>
    <row r="49" spans="1:29" ht="14.2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</row>
    <row r="50" spans="1:29" ht="14.2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</row>
    <row r="51" spans="1:29" ht="14.2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</row>
    <row r="52" spans="1:29" ht="14.2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</row>
    <row r="53" spans="1:29" ht="14.2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</row>
    <row r="54" spans="1:29" ht="14.2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</row>
    <row r="55" spans="1:29" ht="14.2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</row>
    <row r="56" spans="1:29" ht="14.2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</row>
    <row r="57" spans="1:29" ht="14.2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</row>
    <row r="58" spans="1:29" ht="14.2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</row>
    <row r="59" spans="1:29" ht="14.2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</row>
    <row r="60" spans="1:29" ht="14.2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</row>
    <row r="61" spans="1:29" ht="14.2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</row>
    <row r="62" spans="1:29" ht="14.2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</row>
    <row r="63" spans="1:29" ht="14.2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</row>
    <row r="64" spans="1:29" ht="14.2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</row>
    <row r="65" spans="1:29" ht="14.2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</row>
    <row r="66" spans="1:29" ht="14.2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</row>
    <row r="67" spans="1:29" ht="14.2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</row>
    <row r="68" spans="1:29" ht="14.2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</row>
    <row r="69" spans="1:29" ht="14.2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</row>
    <row r="70" spans="1:29" ht="14.2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</row>
    <row r="71" spans="1:29" ht="14.2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</row>
    <row r="72" spans="1:29" ht="14.2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</row>
    <row r="73" spans="1:29" ht="14.2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</row>
    <row r="74" spans="1:29" ht="14.2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</row>
    <row r="75" spans="1:29" ht="14.2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</row>
    <row r="76" spans="1:29" ht="14.2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</row>
    <row r="77" spans="1:29" ht="14.2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</row>
    <row r="78" spans="1:29" ht="14.2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</row>
    <row r="79" spans="1:29" ht="14.2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</row>
    <row r="80" spans="1:29" ht="14.2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</row>
    <row r="81" spans="1:29" ht="14.2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</row>
    <row r="82" spans="1:29" ht="14.2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</row>
    <row r="83" spans="1:29" ht="14.2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</row>
    <row r="84" spans="1:29" ht="14.2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</row>
    <row r="85" spans="1:29" ht="14.2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</row>
    <row r="86" spans="1:29" ht="14.2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</row>
    <row r="87" spans="1:29" ht="14.2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</row>
    <row r="88" spans="1:29" ht="14.2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</row>
    <row r="89" spans="1:29" ht="14.2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</row>
    <row r="90" spans="1:29" ht="14.2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</row>
    <row r="91" spans="1:29" ht="14.2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</row>
    <row r="92" spans="1:29" ht="14.2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</row>
    <row r="93" spans="1:29" ht="14.2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</row>
    <row r="94" spans="1:29" ht="14.2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</row>
    <row r="95" spans="1:29" ht="14.2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</row>
    <row r="96" spans="1:29" ht="14.2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</row>
    <row r="97" spans="1:29" ht="14.2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</row>
    <row r="98" spans="1:29" ht="14.2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</row>
    <row r="99" spans="1:29" ht="14.2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</row>
    <row r="100" spans="1:29" ht="14.2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</row>
    <row r="101" spans="1:29" ht="14.2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</row>
    <row r="102" spans="1:29" ht="14.2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</row>
    <row r="103" spans="1:29" ht="14.2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</row>
    <row r="104" spans="1:29" ht="14.2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</row>
    <row r="105" spans="1:29" ht="14.2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</row>
    <row r="106" spans="1:29" ht="14.2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</row>
    <row r="107" spans="1:29" ht="14.2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</row>
    <row r="108" spans="1:29" ht="14.2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</row>
    <row r="109" spans="1:29" ht="14.2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</row>
    <row r="110" spans="1:29" ht="14.2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</row>
    <row r="111" spans="1:29" ht="14.2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</row>
    <row r="112" spans="1:29" ht="14.2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</row>
    <row r="113" spans="1:29" ht="14.2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</row>
    <row r="114" spans="1:29" ht="14.2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</row>
    <row r="115" spans="1:29" ht="14.2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</row>
    <row r="116" spans="1:29" ht="14.2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</row>
    <row r="117" spans="1:29" ht="14.2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</row>
    <row r="118" spans="1:29" ht="14.2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</row>
    <row r="119" spans="1:29" ht="14.2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</row>
    <row r="120" spans="1:29" ht="14.2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</row>
    <row r="121" spans="1:29" ht="14.2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</row>
    <row r="122" spans="1:29" ht="14.2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</row>
    <row r="123" spans="1:29" ht="14.2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</row>
    <row r="124" spans="1:29" ht="14.2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</row>
    <row r="125" spans="1:29" ht="14.2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</row>
    <row r="126" spans="1:29" ht="14.2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</row>
    <row r="127" spans="1:29" ht="14.2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</row>
    <row r="128" spans="1:29" ht="14.2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</row>
    <row r="129" spans="1:29" ht="14.2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</row>
    <row r="130" spans="1:29" ht="14.2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</row>
    <row r="131" spans="1:29" ht="14.2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</row>
    <row r="132" spans="1:29" ht="14.2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</row>
    <row r="133" spans="1:29" ht="14.2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</row>
    <row r="134" spans="1:29" ht="14.2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</row>
    <row r="135" spans="1:29" ht="14.2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</row>
    <row r="136" spans="1:29" ht="14.2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</row>
    <row r="137" spans="1:29" ht="14.2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</row>
    <row r="138" spans="1:29" ht="14.2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</row>
    <row r="139" spans="1:29" ht="14.2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</row>
    <row r="140" spans="1:29" ht="14.2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</row>
    <row r="141" spans="1:29" ht="14.2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</row>
    <row r="142" spans="1:29" ht="14.2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</row>
    <row r="143" spans="1:29" ht="14.2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</row>
    <row r="144" spans="1:29" ht="14.2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</row>
    <row r="145" spans="1:29" ht="14.2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</row>
    <row r="146" spans="1:29" ht="14.2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</row>
    <row r="147" spans="1:29" ht="14.2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</row>
    <row r="148" spans="1:29" ht="14.2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</row>
    <row r="149" spans="1:29" ht="14.2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</row>
    <row r="150" spans="1:29" ht="14.2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</row>
    <row r="151" spans="1:29" ht="14.2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</row>
    <row r="152" spans="1:29" ht="14.2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</row>
    <row r="153" spans="1:29" ht="14.2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</row>
    <row r="154" spans="1:29" ht="14.2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</row>
    <row r="155" spans="1:29" ht="14.2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</row>
    <row r="156" spans="1:29" ht="14.2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</row>
    <row r="157" spans="1:29" ht="14.2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</row>
    <row r="158" spans="1:29" ht="14.2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</row>
    <row r="159" spans="1:29" ht="14.2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</row>
    <row r="160" spans="1:29" ht="14.2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</row>
    <row r="161" spans="1:29" ht="14.2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</row>
    <row r="162" spans="1:29" ht="14.2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</row>
    <row r="163" spans="1:29" ht="14.2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</row>
    <row r="164" spans="1:29" ht="14.2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</row>
    <row r="165" spans="1:29" ht="14.2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</row>
    <row r="166" spans="1:29" ht="14.2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</row>
    <row r="167" spans="1:29" ht="14.2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</row>
    <row r="168" spans="1:29" ht="14.2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</row>
    <row r="169" spans="1:29" ht="14.2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</row>
    <row r="170" spans="1:29" ht="14.2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</row>
    <row r="171" spans="1:29" ht="14.2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</row>
    <row r="172" spans="1:29" ht="14.2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</row>
    <row r="173" spans="1:29" ht="14.2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</row>
    <row r="174" spans="1:29" ht="14.2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</row>
    <row r="175" spans="1:29" ht="14.2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</row>
    <row r="176" spans="1:29" ht="14.2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</row>
    <row r="177" spans="1:29" ht="14.2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</row>
    <row r="178" spans="1:29" ht="14.2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</row>
    <row r="179" spans="1:29" ht="14.2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</row>
    <row r="180" spans="1:29" ht="14.2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</row>
    <row r="181" spans="1:29" ht="14.2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</row>
    <row r="182" spans="1:29" ht="14.2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</row>
    <row r="183" spans="1:29" ht="14.2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</row>
    <row r="184" spans="1:29" ht="14.2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</row>
    <row r="185" spans="1:29" ht="14.2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</row>
    <row r="186" spans="1:29" ht="14.2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</row>
    <row r="187" spans="1:29" ht="14.2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</row>
    <row r="188" spans="1:29" ht="14.2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</row>
    <row r="189" spans="1:29" ht="14.2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</row>
    <row r="190" spans="1:29" ht="14.2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</row>
    <row r="191" spans="1:29" ht="14.2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</row>
    <row r="192" spans="1:29" ht="14.2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</row>
    <row r="193" spans="1:29" ht="14.2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</row>
    <row r="194" spans="1:29" ht="14.2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</row>
    <row r="195" spans="1:29" ht="14.2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</row>
    <row r="196" spans="1:29" ht="14.2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</row>
    <row r="197" spans="1:29" ht="14.2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</row>
    <row r="198" spans="1:29" ht="14.2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</row>
    <row r="199" spans="1:29" ht="14.2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</row>
    <row r="200" spans="1:29" ht="14.2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</row>
    <row r="201" spans="1:29" ht="14.2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</row>
    <row r="202" spans="1:29" ht="14.2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</row>
    <row r="203" spans="1:29" ht="14.2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</row>
    <row r="204" spans="1:29" ht="14.2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</row>
    <row r="205" spans="1:29" ht="14.2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</row>
    <row r="206" spans="1:29" ht="14.2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</row>
    <row r="207" spans="1:29" ht="14.2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</row>
    <row r="208" spans="1:29" ht="14.2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</row>
    <row r="209" spans="1:29" ht="14.2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</row>
    <row r="210" spans="1:29" ht="14.2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</row>
    <row r="211" spans="1:29" ht="14.2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</row>
    <row r="212" spans="1:29" ht="14.2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</row>
    <row r="213" spans="1:29" ht="14.2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</row>
    <row r="214" spans="1:29" ht="14.2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</row>
    <row r="215" spans="1:29" ht="14.2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</row>
    <row r="216" spans="1:29" ht="14.2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</row>
    <row r="217" spans="1:29" ht="14.2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</row>
    <row r="218" spans="1:29" ht="14.2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</row>
    <row r="219" spans="1:29" ht="14.2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</row>
    <row r="220" spans="1:29" ht="14.2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</row>
    <row r="221" spans="1:29" ht="14.25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</row>
    <row r="222" spans="1:29" ht="14.25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</row>
    <row r="223" spans="1:29" ht="14.25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</row>
    <row r="224" spans="1:29" ht="14.25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</row>
    <row r="225" spans="1:29" ht="14.25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</row>
    <row r="226" spans="1:29" ht="14.25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</row>
    <row r="227" spans="1:29" ht="14.25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</row>
    <row r="228" spans="1:29" ht="14.25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</row>
    <row r="229" spans="1:29" ht="14.25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</row>
    <row r="230" spans="1:29" ht="14.25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</row>
    <row r="231" spans="1:29" ht="14.25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</row>
    <row r="232" spans="1:29" ht="14.25" customHeigh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</row>
    <row r="233" spans="1:29" ht="14.25" customHeigh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</row>
    <row r="234" spans="1:29" ht="14.25" customHeigh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</row>
    <row r="235" spans="1:29" ht="14.25" customHeigh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</row>
    <row r="236" spans="1:29" ht="14.25" customHeigh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</row>
    <row r="237" spans="1:29" ht="14.25" customHeigh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</row>
    <row r="238" spans="1:29" ht="14.25" customHeigh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</row>
    <row r="239" spans="1:29" ht="14.25" customHeigh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</row>
    <row r="240" spans="1:29" ht="14.25" customHeigh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</row>
    <row r="241" spans="1:29" ht="14.25" customHeigh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</row>
    <row r="242" spans="1:29" ht="14.25" customHeigh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</row>
    <row r="243" spans="1:29" ht="14.25" customHeigh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</row>
    <row r="244" spans="1:29" ht="14.25" customHeigh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</row>
    <row r="245" spans="1:29" ht="14.25" customHeigh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</row>
    <row r="246" spans="1:29" ht="14.25" customHeigh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</row>
    <row r="247" spans="1:29" ht="14.25" customHeigh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</row>
    <row r="248" spans="1:29" ht="14.25" customHeigh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</row>
    <row r="249" spans="1:29" ht="14.25" customHeigh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</row>
    <row r="250" spans="1:29" ht="14.25" customHeigh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</row>
    <row r="251" spans="1:29" ht="14.25" customHeigh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</row>
    <row r="252" spans="1:29" ht="14.25" customHeigh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</row>
    <row r="253" spans="1:29" ht="14.25" customHeigh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</row>
    <row r="254" spans="1:29" ht="14.25" customHeigh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</row>
    <row r="255" spans="1:29" ht="14.25" customHeigh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</row>
    <row r="256" spans="1:29" ht="14.25" customHeigh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</row>
    <row r="257" spans="1:29" ht="14.25" customHeigh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</row>
    <row r="258" spans="1:29" ht="14.25" customHeigh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</row>
    <row r="259" spans="1:29" ht="14.25" customHeigh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</row>
    <row r="260" spans="1:29" ht="14.25" customHeigh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</row>
    <row r="261" spans="1:29" ht="14.25" customHeigh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</row>
    <row r="262" spans="1:29" ht="14.25" customHeigh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</row>
    <row r="263" spans="1:29" ht="14.25" customHeigh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</row>
    <row r="264" spans="1:29" ht="14.25" customHeigh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</row>
    <row r="265" spans="1:29" ht="14.25" customHeigh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</row>
    <row r="266" spans="1:29" ht="14.25" customHeigh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</row>
    <row r="267" spans="1:29" ht="14.25" customHeigh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</row>
    <row r="268" spans="1:29" ht="14.25" customHeigh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</row>
    <row r="269" spans="1:29" ht="14.25" customHeigh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</row>
    <row r="270" spans="1:29" ht="14.25" customHeigh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</row>
    <row r="271" spans="1:29" ht="14.25" customHeigh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</row>
    <row r="272" spans="1:29" ht="14.25" customHeigh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</row>
    <row r="273" spans="1:29" ht="14.25" customHeigh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</row>
    <row r="274" spans="1:29" ht="14.25" customHeigh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</row>
    <row r="275" spans="1:29" ht="14.25" customHeigh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</row>
    <row r="276" spans="1:29" ht="14.25" customHeigh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</row>
    <row r="277" spans="1:29" ht="14.25" customHeigh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</row>
    <row r="278" spans="1:29" ht="14.25" customHeigh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</row>
    <row r="279" spans="1:29" ht="14.25" customHeigh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</row>
    <row r="280" spans="1:29" ht="14.25" customHeigh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</row>
    <row r="281" spans="1:29" ht="14.25" customHeigh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</row>
    <row r="282" spans="1:29" ht="14.25" customHeigh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</row>
    <row r="283" spans="1:29" ht="14.25" customHeigh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</row>
    <row r="284" spans="1:29" ht="14.25" customHeigh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</row>
    <row r="285" spans="1:29" ht="14.25" customHeigh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</row>
    <row r="286" spans="1:29" ht="14.25" customHeigh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</row>
    <row r="287" spans="1:29" ht="14.25" customHeigh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</row>
    <row r="288" spans="1:29" ht="14.25" customHeigh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</row>
    <row r="289" spans="1:29" ht="14.25" customHeigh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</row>
    <row r="290" spans="1:29" ht="14.25" customHeigh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</row>
    <row r="291" spans="1:29" ht="14.25" customHeigh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</row>
    <row r="292" spans="1:29" ht="14.25" customHeigh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</row>
    <row r="293" spans="1:29" ht="14.25" customHeigh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</row>
    <row r="294" spans="1:29" ht="14.25" customHeigh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</row>
    <row r="295" spans="1:29" ht="14.25" customHeigh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</row>
    <row r="296" spans="1:29" ht="14.25" customHeigh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</row>
    <row r="297" spans="1:29" ht="14.25" customHeigh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</row>
    <row r="298" spans="1:29" ht="14.25" customHeigh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</row>
    <row r="299" spans="1:29" ht="14.25" customHeigh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</row>
    <row r="300" spans="1:29" ht="14.25" customHeigh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</row>
    <row r="301" spans="1:29" ht="14.25" customHeigh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</row>
    <row r="302" spans="1:29" ht="14.25" customHeigh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</row>
    <row r="303" spans="1:29" ht="14.25" customHeigh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</row>
    <row r="304" spans="1:29" ht="14.25" customHeigh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</row>
    <row r="305" spans="1:29" ht="14.25" customHeigh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</row>
    <row r="306" spans="1:29" ht="14.25" customHeigh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</row>
    <row r="307" spans="1:29" ht="14.25" customHeigh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</row>
    <row r="308" spans="1:29" ht="14.25" customHeigh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</row>
    <row r="309" spans="1:29" ht="14.25" customHeigh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</row>
    <row r="310" spans="1:29" ht="14.25" customHeigh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</row>
    <row r="311" spans="1:29" ht="14.25" customHeigh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</row>
    <row r="312" spans="1:29" ht="14.25" customHeigh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</row>
    <row r="313" spans="1:29" ht="14.25" customHeigh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</row>
    <row r="314" spans="1:29" ht="14.25" customHeigh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</row>
    <row r="315" spans="1:29" ht="14.25" customHeigh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</row>
    <row r="316" spans="1:29" ht="14.25" customHeigh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</row>
    <row r="317" spans="1:29" ht="14.25" customHeigh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</row>
    <row r="318" spans="1:29" ht="14.25" customHeigh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</row>
    <row r="319" spans="1:29" ht="14.25" customHeigh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</row>
    <row r="320" spans="1:29" ht="14.25" customHeigh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</row>
    <row r="321" spans="1:29" ht="14.25" customHeigh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</row>
    <row r="322" spans="1:29" ht="14.25" customHeigh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</row>
    <row r="323" spans="1:29" ht="14.25" customHeigh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</row>
    <row r="324" spans="1:29" ht="14.25" customHeigh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</row>
    <row r="325" spans="1:29" ht="14.25" customHeigh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</row>
    <row r="326" spans="1:29" ht="14.25" customHeigh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</row>
    <row r="327" spans="1:29" ht="14.25" customHeigh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</row>
    <row r="328" spans="1:29" ht="14.25" customHeigh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</row>
    <row r="329" spans="1:29" ht="14.25" customHeigh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</row>
    <row r="330" spans="1:29" ht="14.25" customHeigh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</row>
    <row r="331" spans="1:29" ht="14.25" customHeigh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</row>
    <row r="332" spans="1:29" ht="14.25" customHeigh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</row>
    <row r="333" spans="1:29" ht="14.25" customHeigh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</row>
    <row r="334" spans="1:29" ht="14.25" customHeigh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</row>
    <row r="335" spans="1:29" ht="14.25" customHeigh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</row>
    <row r="336" spans="1:29" ht="14.25" customHeigh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</row>
    <row r="337" spans="1:29" ht="14.25" customHeigh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</row>
    <row r="338" spans="1:29" ht="14.25" customHeigh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</row>
    <row r="339" spans="1:29" ht="14.25" customHeigh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</row>
    <row r="340" spans="1:29" ht="14.25" customHeigh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</row>
    <row r="341" spans="1:29" ht="14.25" customHeigh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</row>
    <row r="342" spans="1:29" ht="14.25" customHeigh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</row>
    <row r="343" spans="1:29" ht="14.25" customHeigh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</row>
    <row r="344" spans="1:29" ht="14.25" customHeigh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</row>
    <row r="345" spans="1:29" ht="14.25" customHeigh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</row>
    <row r="346" spans="1:29" ht="14.25" customHeigh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</row>
    <row r="347" spans="1:29" ht="14.25" customHeigh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</row>
    <row r="348" spans="1:29" ht="14.25" customHeigh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</row>
    <row r="349" spans="1:29" ht="14.25" customHeigh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</row>
    <row r="350" spans="1:29" ht="14.25" customHeigh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</row>
    <row r="351" spans="1:29" ht="14.25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</row>
    <row r="352" spans="1:29" ht="14.25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</row>
    <row r="353" spans="1:29" ht="14.25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</row>
    <row r="354" spans="1:29" ht="14.25" customHeigh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</row>
    <row r="355" spans="1:29" ht="14.25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</row>
    <row r="356" spans="1:29" ht="14.25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</row>
    <row r="357" spans="1:29" ht="14.25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</row>
    <row r="358" spans="1:29" ht="14.25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</row>
    <row r="359" spans="1:29" ht="14.25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</row>
    <row r="360" spans="1:29" ht="14.25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</row>
    <row r="361" spans="1:29" ht="14.25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</row>
    <row r="362" spans="1:29" ht="14.25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</row>
    <row r="363" spans="1:29" ht="14.25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</row>
    <row r="364" spans="1:29" ht="14.25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</row>
    <row r="365" spans="1:29" ht="14.25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</row>
    <row r="366" spans="1:29" ht="14.25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</row>
    <row r="367" spans="1:29" ht="14.25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</row>
    <row r="368" spans="1:29" ht="14.25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</row>
    <row r="369" spans="1:29" ht="14.25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</row>
    <row r="370" spans="1:29" ht="14.25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</row>
    <row r="371" spans="1:29" ht="14.25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</row>
    <row r="372" spans="1:29" ht="14.25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</row>
    <row r="373" spans="1:29" ht="14.25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</row>
    <row r="374" spans="1:29" ht="14.25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</row>
    <row r="375" spans="1:29" ht="14.25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</row>
    <row r="376" spans="1:29" ht="14.25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</row>
    <row r="377" spans="1:29" ht="14.25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</row>
    <row r="378" spans="1:29" ht="14.25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</row>
    <row r="379" spans="1:29" ht="14.25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</row>
    <row r="380" spans="1:29" ht="14.25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</row>
    <row r="381" spans="1:29" ht="14.25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</row>
    <row r="382" spans="1:29" ht="14.25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</row>
    <row r="383" spans="1:29" ht="14.25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</row>
    <row r="384" spans="1:29" ht="14.25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</row>
    <row r="385" spans="1:29" ht="14.25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</row>
    <row r="386" spans="1:29" ht="14.25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</row>
    <row r="387" spans="1:29" ht="14.25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</row>
    <row r="388" spans="1:29" ht="14.25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</row>
    <row r="389" spans="1:29" ht="14.25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</row>
    <row r="390" spans="1:29" ht="14.25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</row>
    <row r="391" spans="1:29" ht="14.25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</row>
    <row r="392" spans="1:29" ht="14.25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</row>
    <row r="393" spans="1:29" ht="14.25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</row>
    <row r="394" spans="1:29" ht="14.25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</row>
    <row r="395" spans="1:29" ht="14.25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</row>
    <row r="396" spans="1:29" ht="14.25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</row>
    <row r="397" spans="1:29" ht="14.25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</row>
    <row r="398" spans="1:29" ht="14.25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</row>
    <row r="399" spans="1:29" ht="14.25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</row>
    <row r="400" spans="1:29" ht="14.25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</row>
    <row r="401" spans="1:29" ht="14.25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</row>
    <row r="402" spans="1:29" ht="14.25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</row>
    <row r="403" spans="1:29" ht="14.25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</row>
    <row r="404" spans="1:29" ht="14.25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</row>
    <row r="405" spans="1:29" ht="14.25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</row>
    <row r="406" spans="1:29" ht="14.25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</row>
    <row r="407" spans="1:29" ht="14.25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</row>
    <row r="408" spans="1:29" ht="14.25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</row>
    <row r="409" spans="1:29" ht="14.25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</row>
    <row r="410" spans="1:29" ht="14.25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</row>
    <row r="411" spans="1:29" ht="14.25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</row>
    <row r="412" spans="1:29" ht="14.25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</row>
    <row r="413" spans="1:29" ht="14.25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</row>
    <row r="414" spans="1:29" ht="14.25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</row>
    <row r="415" spans="1:29" ht="14.25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</row>
    <row r="416" spans="1:29" ht="14.25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</row>
    <row r="417" spans="1:29" ht="14.25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</row>
    <row r="418" spans="1:29" ht="14.25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</row>
    <row r="419" spans="1:29" ht="14.25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</row>
    <row r="420" spans="1:29" ht="14.25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</row>
    <row r="421" spans="1:29" ht="14.25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</row>
    <row r="422" spans="1:29" ht="14.25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</row>
    <row r="423" spans="1:29" ht="14.25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</row>
    <row r="424" spans="1:29" ht="14.25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</row>
    <row r="425" spans="1:29" ht="14.25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</row>
    <row r="426" spans="1:29" ht="14.25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</row>
    <row r="427" spans="1:29" ht="14.25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</row>
    <row r="428" spans="1:29" ht="14.25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</row>
    <row r="429" spans="1:29" ht="14.25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</row>
    <row r="430" spans="1:29" ht="14.25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</row>
    <row r="431" spans="1:29" ht="14.25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</row>
    <row r="432" spans="1:29" ht="14.25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</row>
    <row r="433" spans="1:29" ht="14.25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</row>
    <row r="434" spans="1:29" ht="14.25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</row>
    <row r="435" spans="1:29" ht="14.25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</row>
    <row r="436" spans="1:29" ht="14.25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</row>
    <row r="437" spans="1:29" ht="14.25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</row>
    <row r="438" spans="1:29" ht="14.25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</row>
    <row r="439" spans="1:29" ht="14.25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</row>
    <row r="440" spans="1:29" ht="14.25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</row>
    <row r="441" spans="1:29" ht="14.25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</row>
    <row r="442" spans="1:29" ht="14.25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</row>
    <row r="443" spans="1:29" ht="14.25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</row>
    <row r="444" spans="1:29" ht="14.25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</row>
    <row r="445" spans="1:29" ht="14.25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</row>
    <row r="446" spans="1:29" ht="14.25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</row>
    <row r="447" spans="1:29" ht="14.25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</row>
    <row r="448" spans="1:29" ht="14.25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</row>
    <row r="449" spans="1:29" ht="14.25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</row>
    <row r="450" spans="1:29" ht="14.25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</row>
    <row r="451" spans="1:29" ht="14.25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</row>
    <row r="452" spans="1:29" ht="14.25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</row>
    <row r="453" spans="1:29" ht="14.25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</row>
    <row r="454" spans="1:29" ht="14.25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</row>
    <row r="455" spans="1:29" ht="14.25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</row>
    <row r="456" spans="1:29" ht="14.25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</row>
    <row r="457" spans="1:29" ht="14.25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</row>
    <row r="458" spans="1:29" ht="14.25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</row>
    <row r="459" spans="1:29" ht="14.25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</row>
    <row r="460" spans="1:29" ht="14.25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</row>
    <row r="461" spans="1:29" ht="14.25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</row>
    <row r="462" spans="1:29" ht="14.25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</row>
    <row r="463" spans="1:29" ht="14.25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</row>
    <row r="464" spans="1:29" ht="14.25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</row>
    <row r="465" spans="1:29" ht="14.25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</row>
    <row r="466" spans="1:29" ht="14.25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</row>
    <row r="467" spans="1:29" ht="14.25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</row>
    <row r="468" spans="1:29" ht="14.25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</row>
    <row r="469" spans="1:29" ht="14.25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</row>
    <row r="470" spans="1:29" ht="14.25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</row>
    <row r="471" spans="1:29" ht="14.25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</row>
    <row r="472" spans="1:29" ht="14.25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</row>
    <row r="473" spans="1:29" ht="14.25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</row>
    <row r="474" spans="1:29" ht="14.25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</row>
    <row r="475" spans="1:29" ht="14.25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</row>
    <row r="476" spans="1:29" ht="14.25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</row>
    <row r="477" spans="1:29" ht="14.25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</row>
    <row r="478" spans="1:29" ht="14.25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</row>
    <row r="479" spans="1:29" ht="14.25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</row>
    <row r="480" spans="1:29" ht="14.25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</row>
    <row r="481" spans="1:29" ht="14.25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</row>
    <row r="482" spans="1:29" ht="14.25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</row>
    <row r="483" spans="1:29" ht="14.25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</row>
    <row r="484" spans="1:29" ht="14.25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</row>
    <row r="485" spans="1:29" ht="14.25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</row>
    <row r="486" spans="1:29" ht="14.25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</row>
    <row r="487" spans="1:29" ht="14.25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</row>
    <row r="488" spans="1:29" ht="14.25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</row>
    <row r="489" spans="1:29" ht="14.25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</row>
    <row r="490" spans="1:29" ht="14.25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</row>
    <row r="491" spans="1:29" ht="14.25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</row>
    <row r="492" spans="1:29" ht="14.25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</row>
    <row r="493" spans="1:29" ht="14.25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</row>
    <row r="494" spans="1:29" ht="14.25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</row>
    <row r="495" spans="1:29" ht="14.25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</row>
    <row r="496" spans="1:29" ht="14.25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</row>
    <row r="497" spans="1:29" ht="14.25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</row>
    <row r="498" spans="1:29" ht="14.25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</row>
    <row r="499" spans="1:29" ht="14.25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</row>
    <row r="500" spans="1:29" ht="14.25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</row>
    <row r="501" spans="1:29" ht="14.25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</row>
    <row r="502" spans="1:29" ht="14.25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</row>
    <row r="503" spans="1:29" ht="14.25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</row>
    <row r="504" spans="1:29" ht="14.25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</row>
    <row r="505" spans="1:29" ht="14.25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</row>
    <row r="506" spans="1:29" ht="14.25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</row>
    <row r="507" spans="1:29" ht="14.25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</row>
    <row r="508" spans="1:29" ht="14.25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</row>
    <row r="509" spans="1:29" ht="14.25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</row>
    <row r="510" spans="1:29" ht="14.25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</row>
    <row r="511" spans="1:29" ht="14.2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</row>
    <row r="512" spans="1:29" ht="14.2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</row>
    <row r="513" spans="1:29" ht="14.2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</row>
    <row r="514" spans="1:29" ht="14.2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</row>
    <row r="515" spans="1:29" ht="14.2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</row>
    <row r="516" spans="1:29" ht="14.2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</row>
    <row r="517" spans="1:29" ht="14.2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</row>
    <row r="518" spans="1:29" ht="14.2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</row>
    <row r="519" spans="1:29" ht="14.2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</row>
    <row r="520" spans="1:29" ht="14.2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</row>
    <row r="521" spans="1:29" ht="14.2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</row>
    <row r="522" spans="1:29" ht="14.2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</row>
    <row r="523" spans="1:29" ht="14.2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</row>
    <row r="524" spans="1:29" ht="14.2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</row>
    <row r="525" spans="1:29" ht="14.2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</row>
    <row r="526" spans="1:29" ht="14.2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</row>
    <row r="527" spans="1:29" ht="14.2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</row>
    <row r="528" spans="1:29" ht="14.2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</row>
    <row r="529" spans="1:29" ht="14.2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</row>
    <row r="530" spans="1:29" ht="14.2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</row>
    <row r="531" spans="1:29" ht="14.2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</row>
    <row r="532" spans="1:29" ht="14.2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</row>
    <row r="533" spans="1:29" ht="14.2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</row>
    <row r="534" spans="1:29" ht="14.2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</row>
    <row r="535" spans="1:29" ht="14.2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</row>
    <row r="536" spans="1:29" ht="14.2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</row>
    <row r="537" spans="1:29" ht="14.2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</row>
    <row r="538" spans="1:29" ht="14.2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</row>
    <row r="539" spans="1:29" ht="14.2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</row>
    <row r="540" spans="1:29" ht="14.2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</row>
    <row r="541" spans="1:29" ht="14.2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</row>
    <row r="542" spans="1:29" ht="14.2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</row>
    <row r="543" spans="1:29" ht="14.2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</row>
    <row r="544" spans="1:29" ht="14.2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</row>
    <row r="545" spans="1:29" ht="14.2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</row>
    <row r="546" spans="1:29" ht="14.2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</row>
    <row r="547" spans="1:29" ht="14.2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</row>
    <row r="548" spans="1:29" ht="14.2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</row>
    <row r="549" spans="1:29" ht="14.2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</row>
    <row r="550" spans="1:29" ht="14.2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</row>
    <row r="551" spans="1:29" ht="14.2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</row>
    <row r="552" spans="1:29" ht="14.2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</row>
    <row r="553" spans="1:29" ht="14.2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</row>
    <row r="554" spans="1:29" ht="14.2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</row>
    <row r="555" spans="1:29" ht="14.2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</row>
    <row r="556" spans="1:29" ht="14.2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</row>
    <row r="557" spans="1:29" ht="14.2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</row>
    <row r="558" spans="1:29" ht="14.2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</row>
    <row r="559" spans="1:29" ht="14.2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</row>
    <row r="560" spans="1:29" ht="14.2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</row>
    <row r="561" spans="1:29" ht="14.2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</row>
    <row r="562" spans="1:29" ht="14.2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</row>
    <row r="563" spans="1:29" ht="14.2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</row>
    <row r="564" spans="1:29" ht="14.2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</row>
    <row r="565" spans="1:29" ht="14.2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</row>
    <row r="566" spans="1:29" ht="14.2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</row>
    <row r="567" spans="1:29" ht="14.2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</row>
    <row r="568" spans="1:29" ht="14.2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</row>
    <row r="569" spans="1:29" ht="14.2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</row>
    <row r="570" spans="1:29" ht="14.2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</row>
    <row r="571" spans="1:29" ht="14.2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</row>
    <row r="572" spans="1:29" ht="14.2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</row>
    <row r="573" spans="1:29" ht="14.2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</row>
    <row r="574" spans="1:29" ht="14.2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</row>
    <row r="575" spans="1:29" ht="14.2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</row>
    <row r="576" spans="1:29" ht="14.2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</row>
    <row r="577" spans="1:29" ht="14.2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</row>
    <row r="578" spans="1:29" ht="14.2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</row>
    <row r="579" spans="1:29" ht="14.2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</row>
    <row r="580" spans="1:29" ht="14.2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</row>
    <row r="581" spans="1:29" ht="14.2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</row>
    <row r="582" spans="1:29" ht="14.2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</row>
    <row r="583" spans="1:29" ht="14.2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</row>
    <row r="584" spans="1:29" ht="14.2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</row>
    <row r="585" spans="1:29" ht="14.2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</row>
    <row r="586" spans="1:29" ht="14.2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</row>
    <row r="587" spans="1:29" ht="14.2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</row>
    <row r="588" spans="1:29" ht="14.2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</row>
    <row r="589" spans="1:29" ht="14.2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</row>
    <row r="590" spans="1:29" ht="14.2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</row>
    <row r="591" spans="1:29" ht="14.2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</row>
    <row r="592" spans="1:29" ht="14.2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</row>
    <row r="593" spans="1:29" ht="14.2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</row>
    <row r="594" spans="1:29" ht="14.2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</row>
    <row r="595" spans="1:29" ht="14.2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</row>
    <row r="596" spans="1:29" ht="14.2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</row>
    <row r="597" spans="1:29" ht="14.2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</row>
    <row r="598" spans="1:29" ht="14.2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</row>
    <row r="599" spans="1:29" ht="14.2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</row>
    <row r="600" spans="1:29" ht="14.2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</row>
    <row r="601" spans="1:29" ht="14.2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</row>
    <row r="602" spans="1:29" ht="14.2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</row>
    <row r="603" spans="1:29" ht="14.2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</row>
    <row r="604" spans="1:29" ht="14.2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</row>
    <row r="605" spans="1:29" ht="14.2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</row>
    <row r="606" spans="1:29" ht="14.2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</row>
    <row r="607" spans="1:29" ht="14.2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</row>
    <row r="608" spans="1:29" ht="14.2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</row>
    <row r="609" spans="1:29" ht="14.2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</row>
    <row r="610" spans="1:29" ht="14.2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</row>
    <row r="611" spans="1:29" ht="14.2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</row>
    <row r="612" spans="1:29" ht="14.2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</row>
    <row r="613" spans="1:29" ht="14.2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</row>
    <row r="614" spans="1:29" ht="14.2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</row>
    <row r="615" spans="1:29" ht="14.2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</row>
    <row r="616" spans="1:29" ht="14.2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</row>
    <row r="617" spans="1:29" ht="14.2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</row>
    <row r="618" spans="1:29" ht="14.2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</row>
    <row r="619" spans="1:29" ht="14.2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</row>
    <row r="620" spans="1:29" ht="14.2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</row>
    <row r="621" spans="1:29" ht="14.2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</row>
    <row r="622" spans="1:29" ht="14.2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</row>
    <row r="623" spans="1:29" ht="14.2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</row>
    <row r="624" spans="1:29" ht="14.2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</row>
    <row r="625" spans="1:29" ht="14.2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</row>
    <row r="626" spans="1:29" ht="14.2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</row>
    <row r="627" spans="1:29" ht="14.2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</row>
    <row r="628" spans="1:29" ht="14.2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</row>
    <row r="629" spans="1:29" ht="14.2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</row>
    <row r="630" spans="1:29" ht="14.2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</row>
    <row r="631" spans="1:29" ht="14.2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</row>
    <row r="632" spans="1:29" ht="14.2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</row>
    <row r="633" spans="1:29" ht="14.2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</row>
    <row r="634" spans="1:29" ht="14.2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</row>
    <row r="635" spans="1:29" ht="14.2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</row>
    <row r="636" spans="1:29" ht="14.2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</row>
    <row r="637" spans="1:29" ht="14.2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</row>
    <row r="638" spans="1:29" ht="14.2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</row>
    <row r="639" spans="1:29" ht="14.2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</row>
    <row r="640" spans="1:29" ht="14.2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</row>
    <row r="641" spans="1:29" ht="14.2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</row>
    <row r="642" spans="1:29" ht="14.2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</row>
    <row r="643" spans="1:29" ht="14.2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</row>
    <row r="644" spans="1:29" ht="14.2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</row>
    <row r="645" spans="1:29" ht="14.2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</row>
    <row r="646" spans="1:29" ht="14.2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</row>
    <row r="647" spans="1:29" ht="14.2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</row>
    <row r="648" spans="1:29" ht="14.2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</row>
    <row r="649" spans="1:29" ht="14.2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</row>
    <row r="650" spans="1:29" ht="14.2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</row>
    <row r="651" spans="1:29" ht="14.2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</row>
    <row r="652" spans="1:29" ht="14.2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</row>
    <row r="653" spans="1:29" ht="14.2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</row>
    <row r="654" spans="1:29" ht="14.2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</row>
    <row r="655" spans="1:29" ht="14.2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</row>
    <row r="656" spans="1:29" ht="14.2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</row>
    <row r="657" spans="1:29" ht="14.2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</row>
    <row r="658" spans="1:29" ht="14.2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</row>
    <row r="659" spans="1:29" ht="14.2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</row>
    <row r="660" spans="1:29" ht="14.2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</row>
    <row r="661" spans="1:29" ht="14.2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</row>
    <row r="662" spans="1:29" ht="14.2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</row>
    <row r="663" spans="1:29" ht="14.2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</row>
    <row r="664" spans="1:29" ht="14.2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</row>
    <row r="665" spans="1:29" ht="14.2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</row>
    <row r="666" spans="1:29" ht="14.2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</row>
    <row r="667" spans="1:29" ht="14.2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</row>
    <row r="668" spans="1:29" ht="14.2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</row>
    <row r="669" spans="1:29" ht="14.2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</row>
    <row r="670" spans="1:29" ht="14.2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</row>
    <row r="671" spans="1:29" ht="14.2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</row>
    <row r="672" spans="1:29" ht="14.2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</row>
    <row r="673" spans="1:29" ht="14.2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</row>
    <row r="674" spans="1:29" ht="14.2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</row>
    <row r="675" spans="1:29" ht="14.2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</row>
    <row r="676" spans="1:29" ht="14.2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</row>
    <row r="677" spans="1:29" ht="14.2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</row>
    <row r="678" spans="1:29" ht="14.2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</row>
    <row r="679" spans="1:29" ht="14.2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</row>
    <row r="680" spans="1:29" ht="14.2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</row>
    <row r="681" spans="1:29" ht="14.2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</row>
    <row r="682" spans="1:29" ht="14.2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</row>
    <row r="683" spans="1:29" ht="14.2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</row>
    <row r="684" spans="1:29" ht="14.2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</row>
    <row r="685" spans="1:29" ht="14.2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</row>
    <row r="686" spans="1:29" ht="14.2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</row>
    <row r="687" spans="1:29" ht="14.2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</row>
    <row r="688" spans="1:29" ht="14.2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</row>
    <row r="689" spans="1:29" ht="14.2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</row>
    <row r="690" spans="1:29" ht="14.2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</row>
    <row r="691" spans="1:29" ht="14.2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</row>
    <row r="692" spans="1:29" ht="14.2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</row>
    <row r="693" spans="1:29" ht="14.2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</row>
    <row r="694" spans="1:29" ht="14.2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</row>
    <row r="695" spans="1:29" ht="14.2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</row>
    <row r="696" spans="1:29" ht="14.2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</row>
    <row r="697" spans="1:29" ht="14.2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</row>
    <row r="698" spans="1:29" ht="14.2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</row>
    <row r="699" spans="1:29" ht="14.2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</row>
    <row r="700" spans="1:29" ht="14.2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</row>
    <row r="701" spans="1:29" ht="14.2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</row>
    <row r="702" spans="1:29" ht="14.2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</row>
    <row r="703" spans="1:29" ht="14.2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</row>
    <row r="704" spans="1:29" ht="14.2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</row>
    <row r="705" spans="1:29" ht="14.2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</row>
    <row r="706" spans="1:29" ht="14.2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</row>
    <row r="707" spans="1:29" ht="14.2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</row>
    <row r="708" spans="1:29" ht="14.2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</row>
    <row r="709" spans="1:29" ht="14.2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</row>
    <row r="710" spans="1:29" ht="14.2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</row>
    <row r="711" spans="1:29" ht="14.2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</row>
    <row r="712" spans="1:29" ht="14.2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</row>
    <row r="713" spans="1:29" ht="14.2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</row>
    <row r="714" spans="1:29" ht="14.2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</row>
    <row r="715" spans="1:29" ht="14.2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</row>
    <row r="716" spans="1:29" ht="14.2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</row>
    <row r="717" spans="1:29" ht="14.2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</row>
    <row r="718" spans="1:29" ht="14.2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</row>
    <row r="719" spans="1:29" ht="14.2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</row>
    <row r="720" spans="1:29" ht="14.2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</row>
    <row r="721" spans="1:29" ht="14.2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</row>
    <row r="722" spans="1:29" ht="14.2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</row>
    <row r="723" spans="1:29" ht="14.2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</row>
    <row r="724" spans="1:29" ht="14.2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</row>
    <row r="725" spans="1:29" ht="14.2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</row>
    <row r="726" spans="1:29" ht="14.2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</row>
    <row r="727" spans="1:29" ht="14.2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</row>
    <row r="728" spans="1:29" ht="14.2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</row>
    <row r="729" spans="1:29" ht="14.2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</row>
    <row r="730" spans="1:29" ht="14.2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</row>
    <row r="731" spans="1:29" ht="14.2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</row>
    <row r="732" spans="1:29" ht="14.2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</row>
    <row r="733" spans="1:29" ht="14.2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</row>
    <row r="734" spans="1:29" ht="14.2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</row>
    <row r="735" spans="1:29" ht="14.2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</row>
    <row r="736" spans="1:29" ht="14.2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</row>
    <row r="737" spans="1:29" ht="14.2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</row>
    <row r="738" spans="1:29" ht="14.2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</row>
    <row r="739" spans="1:29" ht="14.2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</row>
    <row r="740" spans="1:29" ht="14.2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</row>
    <row r="741" spans="1:29" ht="14.2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</row>
    <row r="742" spans="1:29" ht="14.2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</row>
    <row r="743" spans="1:29" ht="14.2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</row>
    <row r="744" spans="1:29" ht="14.2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</row>
    <row r="745" spans="1:29" ht="14.2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</row>
    <row r="746" spans="1:29" ht="14.2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</row>
    <row r="747" spans="1:29" ht="14.2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</row>
    <row r="748" spans="1:29" ht="14.2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</row>
    <row r="749" spans="1:29" ht="14.2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</row>
    <row r="750" spans="1:29" ht="14.2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</row>
    <row r="751" spans="1:29" ht="14.2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</row>
    <row r="752" spans="1:29" ht="14.2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</row>
    <row r="753" spans="1:29" ht="14.2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</row>
    <row r="754" spans="1:29" ht="14.2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</row>
    <row r="755" spans="1:29" ht="14.2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</row>
    <row r="756" spans="1:29" ht="14.2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</row>
    <row r="757" spans="1:29" ht="14.2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</row>
    <row r="758" spans="1:29" ht="14.2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</row>
    <row r="759" spans="1:29" ht="14.2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</row>
    <row r="760" spans="1:29" ht="14.2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</row>
    <row r="761" spans="1:29" ht="14.2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</row>
    <row r="762" spans="1:29" ht="14.2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</row>
    <row r="763" spans="1:29" ht="14.2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</row>
    <row r="764" spans="1:29" ht="14.2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</row>
    <row r="765" spans="1:29" ht="14.2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</row>
    <row r="766" spans="1:29" ht="14.2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</row>
    <row r="767" spans="1:29" ht="14.2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</row>
    <row r="768" spans="1:29" ht="14.2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</row>
    <row r="769" spans="1:29" ht="14.2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</row>
    <row r="770" spans="1:29" ht="14.2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</row>
    <row r="771" spans="1:29" ht="14.2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</row>
    <row r="772" spans="1:29" ht="14.2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</row>
    <row r="773" spans="1:29" ht="14.2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</row>
    <row r="774" spans="1:29" ht="14.2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</row>
    <row r="775" spans="1:29" ht="14.2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</row>
    <row r="776" spans="1:29" ht="14.2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</row>
    <row r="777" spans="1:29" ht="14.2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</row>
    <row r="778" spans="1:29" ht="14.2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</row>
    <row r="779" spans="1:29" ht="14.2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</row>
    <row r="780" spans="1:29" ht="14.2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</row>
    <row r="781" spans="1:29" ht="14.2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</row>
    <row r="782" spans="1:29" ht="14.2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</row>
    <row r="783" spans="1:29" ht="14.2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</row>
    <row r="784" spans="1:29" ht="14.2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</row>
    <row r="785" spans="1:29" ht="14.2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</row>
    <row r="786" spans="1:29" ht="14.2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</row>
    <row r="787" spans="1:29" ht="14.2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</row>
    <row r="788" spans="1:29" ht="14.2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</row>
    <row r="789" spans="1:29" ht="14.2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</row>
    <row r="790" spans="1:29" ht="14.2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</row>
    <row r="791" spans="1:29" ht="14.2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</row>
    <row r="792" spans="1:29" ht="14.2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</row>
    <row r="793" spans="1:29" ht="14.2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</row>
    <row r="794" spans="1:29" ht="14.2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</row>
    <row r="795" spans="1:29" ht="14.2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</row>
    <row r="796" spans="1:29" ht="14.2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</row>
    <row r="797" spans="1:29" ht="14.2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</row>
    <row r="798" spans="1:29" ht="14.2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</row>
    <row r="799" spans="1:29" ht="14.2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</row>
    <row r="800" spans="1:29" ht="14.2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</row>
    <row r="801" spans="1:29" ht="14.2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</row>
    <row r="802" spans="1:29" ht="14.2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</row>
    <row r="803" spans="1:29" ht="14.2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</row>
    <row r="804" spans="1:29" ht="14.2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</row>
    <row r="805" spans="1:29" ht="14.2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</row>
    <row r="806" spans="1:29" ht="14.2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</row>
    <row r="807" spans="1:29" ht="14.2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</row>
    <row r="808" spans="1:29" ht="14.2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</row>
    <row r="809" spans="1:29" ht="14.2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</row>
    <row r="810" spans="1:29" ht="14.2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</row>
    <row r="811" spans="1:29" ht="14.2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</row>
    <row r="812" spans="1:29" ht="14.2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</row>
    <row r="813" spans="1:29" ht="14.2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</row>
    <row r="814" spans="1:29" ht="14.2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</row>
    <row r="815" spans="1:29" ht="14.2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</row>
    <row r="816" spans="1:29" ht="14.2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</row>
    <row r="817" spans="1:29" ht="14.2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</row>
    <row r="818" spans="1:29" ht="14.2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</row>
    <row r="819" spans="1:29" ht="14.2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</row>
    <row r="820" spans="1:29" ht="14.2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</row>
    <row r="821" spans="1:29" ht="14.2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</row>
    <row r="822" spans="1:29" ht="14.2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</row>
    <row r="823" spans="1:29" ht="14.2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</row>
    <row r="824" spans="1:29" ht="14.2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</row>
    <row r="825" spans="1:29" ht="14.2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</row>
    <row r="826" spans="1:29" ht="14.2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</row>
    <row r="827" spans="1:29" ht="14.2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</row>
    <row r="828" spans="1:29" ht="14.2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</row>
    <row r="829" spans="1:29" ht="14.2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</row>
    <row r="830" spans="1:29" ht="14.2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</row>
    <row r="831" spans="1:29" ht="14.2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</row>
    <row r="832" spans="1:29" ht="14.2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</row>
    <row r="833" spans="1:29" ht="14.2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</row>
    <row r="834" spans="1:29" ht="14.2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</row>
    <row r="835" spans="1:29" ht="14.2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</row>
    <row r="836" spans="1:29" ht="14.2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</row>
    <row r="837" spans="1:29" ht="14.2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</row>
    <row r="838" spans="1:29" ht="14.2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</row>
    <row r="839" spans="1:29" ht="14.2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</row>
    <row r="840" spans="1:29" ht="14.2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</row>
    <row r="841" spans="1:29" ht="14.2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</row>
    <row r="842" spans="1:29" ht="14.2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</row>
    <row r="843" spans="1:29" ht="14.2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</row>
    <row r="844" spans="1:29" ht="14.2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</row>
    <row r="845" spans="1:29" ht="14.2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</row>
    <row r="846" spans="1:29" ht="14.2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</row>
    <row r="847" spans="1:29" ht="14.2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</row>
    <row r="848" spans="1:29" ht="14.2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</row>
    <row r="849" spans="1:29" ht="14.2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</row>
    <row r="850" spans="1:29" ht="14.2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</row>
    <row r="851" spans="1:29" ht="14.2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</row>
    <row r="852" spans="1:29" ht="14.2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</row>
    <row r="853" spans="1:29" ht="14.2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</row>
    <row r="854" spans="1:29" ht="14.2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</row>
    <row r="855" spans="1:29" ht="14.2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</row>
    <row r="856" spans="1:29" ht="14.2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</row>
    <row r="857" spans="1:29" ht="14.2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</row>
    <row r="858" spans="1:29" ht="14.2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</row>
    <row r="859" spans="1:29" ht="14.2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</row>
    <row r="860" spans="1:29" ht="14.2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</row>
    <row r="861" spans="1:29" ht="14.2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</row>
    <row r="862" spans="1:29" ht="14.2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</row>
    <row r="863" spans="1:29" ht="14.2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</row>
    <row r="864" spans="1:29" ht="14.2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</row>
    <row r="865" spans="1:29" ht="14.2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</row>
    <row r="866" spans="1:29" ht="14.2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</row>
    <row r="867" spans="1:29" ht="14.2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</row>
    <row r="868" spans="1:29" ht="14.2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</row>
    <row r="869" spans="1:29" ht="14.2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</row>
    <row r="870" spans="1:29" ht="14.2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</row>
    <row r="871" spans="1:29" ht="14.2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</row>
    <row r="872" spans="1:29" ht="14.2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</row>
    <row r="873" spans="1:29" ht="14.2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</row>
    <row r="874" spans="1:29" ht="14.2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</row>
    <row r="875" spans="1:29" ht="14.2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</row>
    <row r="876" spans="1:29" ht="14.2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</row>
    <row r="877" spans="1:29" ht="14.2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</row>
    <row r="878" spans="1:29" ht="14.2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</row>
    <row r="879" spans="1:29" ht="14.2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</row>
    <row r="880" spans="1:29" ht="14.2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</row>
    <row r="881" spans="1:29" ht="14.2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</row>
    <row r="882" spans="1:29" ht="14.2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</row>
    <row r="883" spans="1:29" ht="14.2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</row>
    <row r="884" spans="1:29" ht="14.2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</row>
    <row r="885" spans="1:29" ht="14.2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</row>
    <row r="886" spans="1:29" ht="14.2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</row>
    <row r="887" spans="1:29" ht="14.2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</row>
    <row r="888" spans="1:29" ht="14.2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</row>
    <row r="889" spans="1:29" ht="14.2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</row>
    <row r="890" spans="1:29" ht="14.2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</row>
    <row r="891" spans="1:29" ht="14.2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</row>
    <row r="892" spans="1:29" ht="14.2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</row>
    <row r="893" spans="1:29" ht="14.2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</row>
    <row r="894" spans="1:29" ht="14.2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</row>
    <row r="895" spans="1:29" ht="14.2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</row>
    <row r="896" spans="1:29" ht="14.2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</row>
    <row r="897" spans="1:29" ht="14.2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</row>
    <row r="898" spans="1:29" ht="14.2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</row>
    <row r="899" spans="1:29" ht="14.2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</row>
    <row r="900" spans="1:29" ht="14.2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</row>
    <row r="901" spans="1:29" ht="14.2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</row>
    <row r="902" spans="1:29" ht="14.2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</row>
    <row r="903" spans="1:29" ht="14.2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</row>
    <row r="904" spans="1:29" ht="14.2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</row>
    <row r="905" spans="1:29" ht="14.2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</row>
    <row r="906" spans="1:29" ht="14.2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</row>
    <row r="907" spans="1:29" ht="14.2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</row>
    <row r="908" spans="1:29" ht="14.2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</row>
    <row r="909" spans="1:29" ht="14.2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</row>
    <row r="910" spans="1:29" ht="14.2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</row>
    <row r="911" spans="1:29" ht="14.2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</row>
    <row r="912" spans="1:29" ht="14.2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</row>
    <row r="913" spans="1:29" ht="14.2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</row>
    <row r="914" spans="1:29" ht="14.2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</row>
    <row r="915" spans="1:29" ht="14.2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</row>
    <row r="916" spans="1:29" ht="14.2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</row>
    <row r="917" spans="1:29" ht="14.2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</row>
    <row r="918" spans="1:29" ht="14.2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</row>
    <row r="919" spans="1:29" ht="14.2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</row>
    <row r="920" spans="1:29" ht="14.2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</row>
    <row r="921" spans="1:29" ht="14.2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</row>
    <row r="922" spans="1:29" ht="14.2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</row>
    <row r="923" spans="1:29" ht="14.2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</row>
    <row r="924" spans="1:29" ht="14.2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</row>
    <row r="925" spans="1:29" ht="14.2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</row>
    <row r="926" spans="1:29" ht="14.2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</row>
    <row r="927" spans="1:29" ht="14.2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</row>
    <row r="928" spans="1:29" ht="14.2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</row>
    <row r="929" spans="1:29" ht="14.2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</row>
    <row r="930" spans="1:29" ht="14.2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</row>
    <row r="931" spans="1:29" ht="14.2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</row>
    <row r="932" spans="1:29" ht="14.2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</row>
    <row r="933" spans="1:29" ht="14.2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</row>
    <row r="934" spans="1:29" ht="14.2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</row>
    <row r="935" spans="1:29" ht="14.2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</row>
    <row r="936" spans="1:29" ht="14.2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</row>
    <row r="937" spans="1:29" ht="14.2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</row>
    <row r="938" spans="1:29" ht="14.2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</row>
    <row r="939" spans="1:29" ht="14.2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</row>
    <row r="940" spans="1:29" ht="14.2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</row>
    <row r="941" spans="1:29" ht="14.2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</row>
    <row r="942" spans="1:29" ht="14.2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</row>
    <row r="943" spans="1:29" ht="14.2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</row>
    <row r="944" spans="1:29" ht="14.2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</row>
    <row r="945" spans="1:29" ht="14.2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</row>
    <row r="946" spans="1:29" ht="14.2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</row>
    <row r="947" spans="1:29" ht="14.2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</row>
    <row r="948" spans="1:29" ht="14.2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</row>
    <row r="949" spans="1:2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</row>
  </sheetData>
  <mergeCells count="25">
    <mergeCell ref="J13:K13"/>
    <mergeCell ref="C36:C37"/>
    <mergeCell ref="D36:D37"/>
    <mergeCell ref="C40:I40"/>
    <mergeCell ref="C41:I41"/>
    <mergeCell ref="D13:D14"/>
    <mergeCell ref="C13:C15"/>
    <mergeCell ref="C17:C19"/>
    <mergeCell ref="D17:D18"/>
    <mergeCell ref="C21:C23"/>
    <mergeCell ref="D21:D22"/>
    <mergeCell ref="C42:I42"/>
    <mergeCell ref="C43:I43"/>
    <mergeCell ref="C25:C27"/>
    <mergeCell ref="D25:D26"/>
    <mergeCell ref="B30:B37"/>
    <mergeCell ref="C30:C31"/>
    <mergeCell ref="D30:D31"/>
    <mergeCell ref="C33:C34"/>
    <mergeCell ref="D33:D34"/>
    <mergeCell ref="B2:B27"/>
    <mergeCell ref="C5:C7"/>
    <mergeCell ref="D5:D6"/>
    <mergeCell ref="C9:C11"/>
    <mergeCell ref="D9:D10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92E9C-6E1E-463C-998B-CDFD8F584957}">
  <dimension ref="B1:F38"/>
  <sheetViews>
    <sheetView workbookViewId="0">
      <selection activeCell="C7" sqref="C7:C13"/>
    </sheetView>
  </sheetViews>
  <sheetFormatPr baseColWidth="10" defaultRowHeight="15"/>
  <cols>
    <col min="1" max="2" width="47.5703125" bestFit="1" customWidth="1"/>
    <col min="3" max="4" width="58.28515625" bestFit="1" customWidth="1"/>
    <col min="6" max="6" width="14" bestFit="1" customWidth="1"/>
  </cols>
  <sheetData>
    <row r="1" spans="2:4">
      <c r="B1" s="3" t="s">
        <v>0</v>
      </c>
      <c r="C1" s="4" t="s">
        <v>1</v>
      </c>
      <c r="D1" s="5" t="s">
        <v>2</v>
      </c>
    </row>
    <row r="2" spans="2:4">
      <c r="B2" s="8" t="s">
        <v>5</v>
      </c>
      <c r="C2" s="9">
        <v>30000000</v>
      </c>
      <c r="D2" s="10" t="s">
        <v>6</v>
      </c>
    </row>
    <row r="3" spans="2:4">
      <c r="B3" s="10" t="s">
        <v>7</v>
      </c>
      <c r="C3" s="9">
        <v>152131800</v>
      </c>
      <c r="D3" s="11" t="s">
        <v>8</v>
      </c>
    </row>
    <row r="4" spans="2:4">
      <c r="B4" s="18" t="s">
        <v>11</v>
      </c>
      <c r="C4" s="19">
        <v>24447900</v>
      </c>
      <c r="D4" s="20" t="s">
        <v>12</v>
      </c>
    </row>
    <row r="5" spans="2:4">
      <c r="B5" s="18" t="s">
        <v>15</v>
      </c>
      <c r="C5" s="19">
        <v>24447900</v>
      </c>
      <c r="D5" s="20" t="s">
        <v>12</v>
      </c>
    </row>
    <row r="6" spans="2:4">
      <c r="B6" s="18" t="s">
        <v>18</v>
      </c>
      <c r="C6" s="19">
        <v>24447900</v>
      </c>
      <c r="D6" s="20" t="s">
        <v>12</v>
      </c>
    </row>
    <row r="7" spans="2:4">
      <c r="B7" s="15" t="s">
        <v>10</v>
      </c>
      <c r="C7" s="16">
        <v>7474000</v>
      </c>
      <c r="D7" s="17"/>
    </row>
    <row r="8" spans="2:4">
      <c r="B8" s="15" t="s">
        <v>13</v>
      </c>
      <c r="C8" s="21">
        <v>336240</v>
      </c>
      <c r="D8" s="22" t="s">
        <v>14</v>
      </c>
    </row>
    <row r="9" spans="2:4">
      <c r="B9" s="15" t="s">
        <v>16</v>
      </c>
      <c r="C9" s="21">
        <v>197870</v>
      </c>
      <c r="D9" s="22" t="s">
        <v>17</v>
      </c>
    </row>
    <row r="10" spans="2:4">
      <c r="B10" s="15" t="s">
        <v>19</v>
      </c>
      <c r="C10" s="16">
        <v>22337500</v>
      </c>
      <c r="D10" s="17"/>
    </row>
    <row r="11" spans="2:4">
      <c r="B11" s="15" t="s">
        <v>20</v>
      </c>
      <c r="C11" s="21">
        <v>426707</v>
      </c>
      <c r="D11" s="22" t="s">
        <v>21</v>
      </c>
    </row>
    <row r="12" spans="2:4">
      <c r="B12" s="15" t="s">
        <v>22</v>
      </c>
      <c r="C12" s="21">
        <v>281086</v>
      </c>
      <c r="D12" s="22" t="s">
        <v>17</v>
      </c>
    </row>
    <row r="13" spans="2:4">
      <c r="B13" s="15" t="s">
        <v>23</v>
      </c>
      <c r="C13" s="21">
        <v>92994996</v>
      </c>
      <c r="D13" s="22" t="s">
        <v>65</v>
      </c>
    </row>
    <row r="14" spans="2:4">
      <c r="B14" s="8" t="s">
        <v>25</v>
      </c>
      <c r="C14" s="25">
        <v>9204613</v>
      </c>
      <c r="D14" s="14"/>
    </row>
    <row r="15" spans="2:4">
      <c r="B15" s="26" t="s">
        <v>26</v>
      </c>
      <c r="C15" s="27">
        <f>6165540.43-4857700</f>
        <v>1307840.4299999997</v>
      </c>
      <c r="D15" s="28" t="s">
        <v>27</v>
      </c>
    </row>
    <row r="16" spans="2:4">
      <c r="B16" s="8" t="s">
        <v>28</v>
      </c>
      <c r="C16" s="9">
        <v>5456823</v>
      </c>
      <c r="D16" s="14"/>
    </row>
    <row r="17" spans="2:6">
      <c r="B17" s="8"/>
      <c r="C17" s="25">
        <f>SUM(C2:C16)</f>
        <v>395493175.43000001</v>
      </c>
      <c r="D17" s="14"/>
    </row>
    <row r="18" spans="2:6">
      <c r="B18" s="8" t="s">
        <v>29</v>
      </c>
      <c r="C18" s="9">
        <v>6891940</v>
      </c>
      <c r="D18" s="8"/>
    </row>
    <row r="19" spans="2:6">
      <c r="C19" s="29">
        <f>+C17-C18</f>
        <v>388601235.43000001</v>
      </c>
    </row>
    <row r="20" spans="2:6">
      <c r="B20" s="6"/>
      <c r="C20" s="1"/>
      <c r="D20" s="30"/>
    </row>
    <row r="21" spans="2:6" ht="16.5">
      <c r="B21" s="163" t="s">
        <v>30</v>
      </c>
      <c r="C21" s="164"/>
      <c r="D21" s="165"/>
    </row>
    <row r="22" spans="2:6">
      <c r="B22" s="10" t="s">
        <v>31</v>
      </c>
      <c r="C22" s="25">
        <f>C19*D22</f>
        <v>213730679.48650002</v>
      </c>
      <c r="D22" s="31">
        <v>0.55000000000000004</v>
      </c>
    </row>
    <row r="23" spans="2:6">
      <c r="B23" s="10" t="s">
        <v>32</v>
      </c>
      <c r="C23" s="25">
        <f>+(C19*D23)</f>
        <v>58290185.314499997</v>
      </c>
      <c r="D23" s="32">
        <v>0.15</v>
      </c>
    </row>
    <row r="24" spans="2:6">
      <c r="B24" s="10" t="s">
        <v>33</v>
      </c>
      <c r="C24" s="25">
        <f>(C19*D24)</f>
        <v>58290185.314499997</v>
      </c>
      <c r="D24" s="32">
        <v>0.15</v>
      </c>
    </row>
    <row r="25" spans="2:6">
      <c r="B25" s="10" t="s">
        <v>69</v>
      </c>
      <c r="C25" s="25">
        <f>+(C19*D25)</f>
        <v>58290185.314499997</v>
      </c>
      <c r="D25" s="32">
        <v>0.15</v>
      </c>
    </row>
    <row r="26" spans="2:6">
      <c r="C26" s="29">
        <f>C19</f>
        <v>388601235.43000001</v>
      </c>
    </row>
    <row r="27" spans="2:6">
      <c r="C27" s="1"/>
    </row>
    <row r="28" spans="2:6" ht="16.5">
      <c r="B28" s="163" t="s">
        <v>34</v>
      </c>
      <c r="C28" s="164"/>
      <c r="D28" s="165"/>
      <c r="F28" s="124"/>
    </row>
    <row r="29" spans="2:6">
      <c r="B29" s="10" t="s">
        <v>31</v>
      </c>
      <c r="C29" s="25">
        <f>$C33*D29</f>
        <v>173391644.48650002</v>
      </c>
      <c r="D29" s="31">
        <v>0.55000000000000004</v>
      </c>
    </row>
    <row r="30" spans="2:6">
      <c r="B30" s="10" t="s">
        <v>32</v>
      </c>
      <c r="C30" s="25">
        <f>$C33*D30</f>
        <v>47288630.314499997</v>
      </c>
      <c r="D30" s="32">
        <v>0.15</v>
      </c>
    </row>
    <row r="31" spans="2:6">
      <c r="B31" s="10" t="s">
        <v>33</v>
      </c>
      <c r="C31" s="25">
        <f>$C33*D31</f>
        <v>47288630.314499997</v>
      </c>
      <c r="D31" s="32">
        <v>0.15</v>
      </c>
    </row>
    <row r="32" spans="2:6">
      <c r="B32" s="10" t="s">
        <v>69</v>
      </c>
      <c r="C32" s="25">
        <f>$C33*D32</f>
        <v>47288630.314499997</v>
      </c>
      <c r="D32" s="32">
        <v>0.15</v>
      </c>
    </row>
    <row r="33" spans="2:4">
      <c r="C33" s="29">
        <f>C26-(C4+C5+C6)</f>
        <v>315257535.43000001</v>
      </c>
    </row>
    <row r="34" spans="2:4">
      <c r="C34" s="1"/>
    </row>
    <row r="35" spans="2:4">
      <c r="B35" s="10" t="s">
        <v>35</v>
      </c>
      <c r="C35" s="9">
        <v>118718586</v>
      </c>
      <c r="D35" s="33" t="e">
        <f>C35*#REF!/#REF!</f>
        <v>#REF!</v>
      </c>
    </row>
    <row r="36" spans="2:4">
      <c r="C36" s="1"/>
    </row>
    <row r="37" spans="2:4">
      <c r="C37" s="1"/>
    </row>
    <row r="38" spans="2:4">
      <c r="B38" s="15" t="s">
        <v>38</v>
      </c>
      <c r="C38" s="16">
        <f>SUM(C7:C13)</f>
        <v>124048399</v>
      </c>
    </row>
  </sheetData>
  <mergeCells count="2">
    <mergeCell ref="B21:D21"/>
    <mergeCell ref="B28:D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B5C71-B6D4-43B9-8061-378DAD5ED167}">
  <dimension ref="B1:K26"/>
  <sheetViews>
    <sheetView tabSelected="1" topLeftCell="C9" workbookViewId="0">
      <selection activeCell="G12" sqref="G12"/>
    </sheetView>
  </sheetViews>
  <sheetFormatPr baseColWidth="10" defaultRowHeight="15"/>
  <cols>
    <col min="2" max="2" width="34.42578125" bestFit="1" customWidth="1"/>
    <col min="3" max="3" width="35.28515625" bestFit="1" customWidth="1"/>
    <col min="4" max="6" width="17.85546875" bestFit="1" customWidth="1"/>
    <col min="7" max="7" width="41.42578125" customWidth="1"/>
    <col min="8" max="9" width="14" bestFit="1" customWidth="1"/>
    <col min="11" max="11" width="19.5703125" customWidth="1"/>
  </cols>
  <sheetData>
    <row r="1" spans="2:11">
      <c r="B1" s="37"/>
      <c r="C1" s="38" t="s">
        <v>40</v>
      </c>
      <c r="D1" s="39" t="s">
        <v>41</v>
      </c>
      <c r="E1" s="39" t="s">
        <v>42</v>
      </c>
      <c r="F1" s="40" t="s">
        <v>43</v>
      </c>
      <c r="G1" s="41" t="s">
        <v>44</v>
      </c>
    </row>
    <row r="2" spans="2:11">
      <c r="B2" s="35"/>
      <c r="C2" s="131"/>
      <c r="D2" s="132">
        <f>D3/C3</f>
        <v>0.15</v>
      </c>
      <c r="E2" s="132">
        <f>E3/C3</f>
        <v>0.15</v>
      </c>
      <c r="F2" s="133">
        <f>F3/C3</f>
        <v>0.15</v>
      </c>
      <c r="G2" s="134">
        <f>G3/C3</f>
        <v>0.55000000000000004</v>
      </c>
    </row>
    <row r="3" spans="2:11" ht="15.75">
      <c r="B3" s="35"/>
      <c r="C3" s="147">
        <f>'CALCULO PROPUESTA2'!C26</f>
        <v>388601235.43000001</v>
      </c>
      <c r="D3" s="145">
        <f>'CALCULO PROPUESTA2'!C23</f>
        <v>58290185.314499997</v>
      </c>
      <c r="E3" s="145">
        <f>'CALCULO PROPUESTA2'!C24</f>
        <v>58290185.314499997</v>
      </c>
      <c r="F3" s="145">
        <f>'CALCULO PROPUESTA2'!C25</f>
        <v>58290185.314499997</v>
      </c>
      <c r="G3" s="139">
        <f>'CALCULO PROPUESTA2'!C22</f>
        <v>213730679.48650002</v>
      </c>
    </row>
    <row r="4" spans="2:11">
      <c r="B4" s="35"/>
      <c r="C4" s="47"/>
      <c r="D4" s="47"/>
      <c r="E4" s="47"/>
      <c r="F4" s="47"/>
      <c r="G4" s="48"/>
      <c r="I4" s="124">
        <f>C3*0.15</f>
        <v>58290185.314499997</v>
      </c>
    </row>
    <row r="5" spans="2:11">
      <c r="B5" s="157" t="s">
        <v>45</v>
      </c>
      <c r="C5" s="158">
        <v>1</v>
      </c>
      <c r="D5" s="49" t="s">
        <v>41</v>
      </c>
      <c r="E5" s="49" t="s">
        <v>42</v>
      </c>
      <c r="F5" s="49" t="s">
        <v>43</v>
      </c>
      <c r="G5" s="50" t="s">
        <v>44</v>
      </c>
    </row>
    <row r="6" spans="2:11">
      <c r="B6" s="150"/>
      <c r="C6" s="153"/>
      <c r="D6" s="51">
        <v>0.33333299999999999</v>
      </c>
      <c r="E6" s="51">
        <v>0.33333299999999999</v>
      </c>
      <c r="F6" s="51">
        <v>0.33333299999999999</v>
      </c>
      <c r="G6" s="52">
        <v>0</v>
      </c>
    </row>
    <row r="7" spans="2:11" ht="15.75">
      <c r="B7" s="151"/>
      <c r="C7" s="146">
        <f>'PROPUESTA JIMMY 2'!D7+'PROPUESTA JIMMY 2'!E7+'PROPUESTA JIMMY 2'!F7</f>
        <v>73343700</v>
      </c>
      <c r="D7" s="54">
        <v>24447900</v>
      </c>
      <c r="E7" s="54">
        <v>24447900</v>
      </c>
      <c r="F7" s="54">
        <v>24447900</v>
      </c>
      <c r="G7" s="55">
        <v>0</v>
      </c>
    </row>
    <row r="8" spans="2:11">
      <c r="B8" s="35"/>
      <c r="C8" s="35"/>
      <c r="D8" s="35"/>
      <c r="E8" s="35"/>
      <c r="F8" s="35"/>
      <c r="G8" s="56"/>
    </row>
    <row r="9" spans="2:11">
      <c r="B9" s="35"/>
      <c r="C9" s="66"/>
      <c r="D9" s="35"/>
      <c r="E9" s="35"/>
      <c r="F9" s="35"/>
      <c r="G9" s="56"/>
    </row>
    <row r="10" spans="2:11">
      <c r="B10" s="159" t="s">
        <v>47</v>
      </c>
      <c r="C10" s="160">
        <v>1</v>
      </c>
      <c r="D10" s="68" t="s">
        <v>41</v>
      </c>
      <c r="E10" s="68" t="s">
        <v>42</v>
      </c>
      <c r="F10" s="68" t="s">
        <v>43</v>
      </c>
      <c r="G10" s="69" t="s">
        <v>44</v>
      </c>
    </row>
    <row r="11" spans="2:11">
      <c r="B11" s="150"/>
      <c r="C11" s="153"/>
      <c r="D11" s="128">
        <f>D12/C12</f>
        <v>0.28039345360952911</v>
      </c>
      <c r="E11" s="128">
        <f>E12/C12</f>
        <v>0.28039345360952911</v>
      </c>
      <c r="F11" s="70">
        <v>0</v>
      </c>
      <c r="G11" s="129">
        <f>G12/C12</f>
        <v>4.4753871643632583E-4</v>
      </c>
    </row>
    <row r="12" spans="2:11" ht="15.75">
      <c r="B12" s="151"/>
      <c r="C12" s="148">
        <v>120695703</v>
      </c>
      <c r="D12" s="138">
        <v>33842285</v>
      </c>
      <c r="E12" s="138">
        <v>33842285</v>
      </c>
      <c r="F12" s="77">
        <f>+$D$13*F11</f>
        <v>0</v>
      </c>
      <c r="G12" s="140">
        <v>54016</v>
      </c>
      <c r="J12" s="161" t="s">
        <v>49</v>
      </c>
      <c r="K12" s="162"/>
    </row>
    <row r="13" spans="2:11">
      <c r="B13" s="81"/>
      <c r="C13" s="82"/>
      <c r="D13" s="66"/>
      <c r="E13" s="66"/>
      <c r="F13" s="66"/>
      <c r="G13" s="83"/>
      <c r="J13" s="74"/>
      <c r="K13" s="123">
        <v>3000000</v>
      </c>
    </row>
    <row r="14" spans="2:11">
      <c r="B14" s="81"/>
      <c r="C14" s="82"/>
      <c r="D14" s="90"/>
      <c r="E14" s="66"/>
      <c r="F14" s="66"/>
      <c r="G14" s="83"/>
      <c r="J14" s="80">
        <v>0.15</v>
      </c>
      <c r="K14" s="75">
        <f>K13*J14</f>
        <v>450000</v>
      </c>
    </row>
    <row r="15" spans="2:11">
      <c r="B15" s="149" t="s">
        <v>54</v>
      </c>
      <c r="C15" s="152">
        <v>1</v>
      </c>
      <c r="D15" s="91" t="s">
        <v>41</v>
      </c>
      <c r="E15" s="91" t="s">
        <v>42</v>
      </c>
      <c r="F15" s="91" t="s">
        <v>43</v>
      </c>
      <c r="G15" s="92" t="s">
        <v>44</v>
      </c>
      <c r="J15" s="80">
        <v>0.15</v>
      </c>
      <c r="K15" s="137">
        <f>K13*J15</f>
        <v>450000</v>
      </c>
    </row>
    <row r="16" spans="2:11">
      <c r="B16" s="150"/>
      <c r="C16" s="153"/>
      <c r="D16" s="93">
        <v>0</v>
      </c>
      <c r="E16" s="93">
        <v>0</v>
      </c>
      <c r="F16" s="93">
        <f>F17/C17</f>
        <v>0.13598915181203941</v>
      </c>
      <c r="G16" s="94">
        <f>C15-D16-E16-F16</f>
        <v>0.86401084818796059</v>
      </c>
      <c r="J16" s="80">
        <v>0.15</v>
      </c>
      <c r="K16" s="75">
        <f>K13*J16</f>
        <v>450000</v>
      </c>
    </row>
    <row r="17" spans="2:11" ht="15.75">
      <c r="B17" s="151"/>
      <c r="C17" s="95">
        <f>'CALCULO PROPUESTA2'!C2+'CALCULO PROPUESTA2'!C3</f>
        <v>182131800</v>
      </c>
      <c r="D17" s="96">
        <v>0</v>
      </c>
      <c r="E17" s="96">
        <v>0</v>
      </c>
      <c r="F17" s="97">
        <v>24767949</v>
      </c>
      <c r="G17" s="141">
        <v>157869766</v>
      </c>
      <c r="J17" s="80">
        <v>0.55000000000000004</v>
      </c>
      <c r="K17" s="75">
        <f>K13*J17</f>
        <v>1650000.0000000002</v>
      </c>
    </row>
    <row r="18" spans="2:11">
      <c r="B18" s="99"/>
      <c r="C18" s="82"/>
      <c r="D18" s="66"/>
      <c r="E18" s="66"/>
      <c r="F18" s="66"/>
      <c r="G18" s="83"/>
    </row>
    <row r="19" spans="2:11">
      <c r="B19" s="154" t="s">
        <v>55</v>
      </c>
      <c r="C19" s="156">
        <v>1</v>
      </c>
      <c r="D19" s="100" t="s">
        <v>41</v>
      </c>
      <c r="E19" s="100" t="s">
        <v>42</v>
      </c>
      <c r="F19" s="100" t="s">
        <v>43</v>
      </c>
      <c r="G19" s="101" t="s">
        <v>44</v>
      </c>
    </row>
    <row r="20" spans="2:11">
      <c r="B20" s="150"/>
      <c r="C20" s="153"/>
      <c r="D20" s="102">
        <v>0</v>
      </c>
      <c r="E20" s="102">
        <v>0</v>
      </c>
      <c r="F20" s="135">
        <f>F21/C21</f>
        <v>0.99999995262927588</v>
      </c>
      <c r="G20" s="136">
        <f>G21/C21</f>
        <v>0</v>
      </c>
    </row>
    <row r="21" spans="2:11" ht="16.5" thickBot="1">
      <c r="B21" s="155"/>
      <c r="C21" s="143">
        <f>'CALCULO PROPUESTA2'!C14+'CALCULO PROPUESTA2'!C15+'CALCULO PROPUESTA2'!C16-'CALCULO PROPUESTA2'!C18</f>
        <v>9077336.4299999997</v>
      </c>
      <c r="D21" s="105">
        <v>0</v>
      </c>
      <c r="E21" s="105">
        <v>0</v>
      </c>
      <c r="F21" s="144">
        <v>9077336</v>
      </c>
      <c r="G21" s="142"/>
    </row>
    <row r="22" spans="2:11">
      <c r="B22" s="35"/>
      <c r="C22" s="108"/>
      <c r="D22" s="109"/>
      <c r="E22" s="109"/>
      <c r="F22" s="47"/>
      <c r="G22" s="47"/>
    </row>
    <row r="23" spans="2:11">
      <c r="B23" s="110"/>
      <c r="C23" s="47"/>
      <c r="D23" s="47"/>
      <c r="E23" s="35"/>
      <c r="F23" s="35"/>
      <c r="G23" s="35"/>
    </row>
    <row r="24" spans="2:11" ht="18.75">
      <c r="C24" s="130">
        <f>C7+C12+C17+C21</f>
        <v>385248539.43000001</v>
      </c>
      <c r="D24" s="130">
        <f>D7+D12</f>
        <v>58290185</v>
      </c>
      <c r="E24" s="130">
        <f>E7+E12</f>
        <v>58290185</v>
      </c>
      <c r="F24" s="130">
        <f>F7+F21+F17</f>
        <v>58293185</v>
      </c>
      <c r="G24" s="130">
        <f>G12+G17+G21</f>
        <v>157923782</v>
      </c>
    </row>
    <row r="26" spans="2:11">
      <c r="F26" s="124"/>
    </row>
  </sheetData>
  <mergeCells count="9">
    <mergeCell ref="J12:K12"/>
    <mergeCell ref="B15:B17"/>
    <mergeCell ref="C15:C16"/>
    <mergeCell ref="B19:B21"/>
    <mergeCell ref="C19:C20"/>
    <mergeCell ref="B5:B7"/>
    <mergeCell ref="C5:C6"/>
    <mergeCell ref="B10:B12"/>
    <mergeCell ref="C10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Calculo</vt:lpstr>
      <vt:lpstr>Propuesta 1</vt:lpstr>
      <vt:lpstr>Propuesta J1</vt:lpstr>
      <vt:lpstr>CALCULO PROPUESTA2</vt:lpstr>
      <vt:lpstr>PROPUESTA JIMMY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Jaimes</dc:creator>
  <cp:lastModifiedBy>Jimmy Jaimes</cp:lastModifiedBy>
  <dcterms:created xsi:type="dcterms:W3CDTF">2026-02-13T21:38:17Z</dcterms:created>
  <dcterms:modified xsi:type="dcterms:W3CDTF">2026-07-21T14:58:33Z</dcterms:modified>
</cp:coreProperties>
</file>
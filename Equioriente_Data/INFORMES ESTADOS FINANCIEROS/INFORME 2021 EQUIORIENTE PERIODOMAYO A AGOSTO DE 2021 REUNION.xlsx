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OS\Escritorio\"/>
    </mc:Choice>
  </mc:AlternateContent>
  <bookViews>
    <workbookView xWindow="0" yWindow="0" windowWidth="28800" windowHeight="12300" activeTab="1"/>
  </bookViews>
  <sheets>
    <sheet name="AGOSTO" sheetId="9" r:id="rId1"/>
    <sheet name="PYG " sheetId="5" r:id="rId2"/>
    <sheet name="GRAFICAS PYG" sheetId="6" r:id="rId3"/>
    <sheet name="INDICADORES" sheetId="10" r:id="rId4"/>
    <sheet name="Hoja1" sheetId="11" r:id="rId5"/>
    <sheet name="TABLAS" sheetId="13" r:id="rId6"/>
  </sheets>
  <externalReferences>
    <externalReference r:id="rId7"/>
  </externalReferences>
  <definedNames>
    <definedName name="_xlnm.Print_Area" localSheetId="1">'PYG '!$A$1:$AM$157</definedName>
  </definedNames>
  <calcPr calcId="162913"/>
</workbook>
</file>

<file path=xl/calcChain.xml><?xml version="1.0" encoding="utf-8"?>
<calcChain xmlns="http://schemas.openxmlformats.org/spreadsheetml/2006/main">
  <c r="D25" i="13" l="1"/>
  <c r="E25" i="13"/>
  <c r="F25" i="13"/>
  <c r="G25" i="13"/>
  <c r="C25" i="13"/>
  <c r="M23" i="13"/>
  <c r="M24" i="13" s="1"/>
  <c r="N23" i="13"/>
  <c r="O23" i="13"/>
  <c r="P23" i="13"/>
  <c r="M22" i="13"/>
  <c r="N22" i="13"/>
  <c r="O22" i="13"/>
  <c r="P22" i="13"/>
  <c r="M21" i="13"/>
  <c r="N21" i="13"/>
  <c r="O21" i="13"/>
  <c r="P21" i="13"/>
  <c r="P20" i="13"/>
  <c r="M20" i="13"/>
  <c r="N20" i="13"/>
  <c r="N24" i="13" s="1"/>
  <c r="O20" i="13"/>
  <c r="L21" i="13"/>
  <c r="L22" i="13"/>
  <c r="L23" i="13"/>
  <c r="L24" i="13"/>
  <c r="L20" i="13"/>
  <c r="P24" i="13"/>
  <c r="O24" i="13"/>
  <c r="D13" i="13"/>
  <c r="C12" i="13"/>
  <c r="C13" i="13"/>
  <c r="C40" i="13"/>
  <c r="G40" i="13"/>
  <c r="F40" i="13"/>
  <c r="E40" i="13"/>
  <c r="D40" i="13"/>
  <c r="C32" i="13"/>
  <c r="C24" i="13"/>
  <c r="G32" i="13"/>
  <c r="F32" i="13"/>
  <c r="E32" i="13"/>
  <c r="D32" i="13"/>
  <c r="G24" i="13"/>
  <c r="F24" i="13"/>
  <c r="E24" i="13"/>
  <c r="D24" i="13"/>
  <c r="E13" i="13"/>
  <c r="F13" i="13"/>
  <c r="G13" i="13"/>
  <c r="C11" i="13"/>
  <c r="C10" i="13"/>
  <c r="C9" i="13"/>
  <c r="R13" i="6" l="1"/>
  <c r="R11" i="6"/>
  <c r="R10" i="6"/>
  <c r="R9" i="6"/>
  <c r="R8" i="6"/>
  <c r="R7" i="6"/>
  <c r="AF31" i="5"/>
  <c r="R116" i="5"/>
  <c r="F6" i="11"/>
  <c r="E39" i="9" l="1"/>
  <c r="E28" i="9"/>
  <c r="E24" i="9"/>
  <c r="E17" i="9"/>
  <c r="R96" i="5" l="1"/>
  <c r="D7" i="11"/>
  <c r="D6" i="11"/>
  <c r="E6" i="11" s="1"/>
  <c r="E14" i="11" s="1"/>
  <c r="E5" i="11"/>
  <c r="E7" i="11"/>
  <c r="E8" i="11"/>
  <c r="E9" i="11"/>
  <c r="E10" i="11"/>
  <c r="E11" i="11"/>
  <c r="E12" i="11"/>
  <c r="E13" i="11"/>
  <c r="E4" i="11"/>
  <c r="D13" i="11"/>
  <c r="D11" i="11"/>
  <c r="D9" i="11"/>
  <c r="D4" i="11"/>
  <c r="C10" i="11"/>
  <c r="C8" i="11"/>
  <c r="C5" i="11"/>
  <c r="C3" i="11"/>
  <c r="D14" i="11" l="1"/>
  <c r="H154" i="5" l="1"/>
  <c r="S9" i="5"/>
  <c r="X11" i="5" l="1"/>
  <c r="I153" i="5"/>
  <c r="E153" i="5"/>
  <c r="C13" i="6"/>
  <c r="AD29" i="5"/>
  <c r="N83" i="5"/>
  <c r="P84" i="5"/>
  <c r="N42" i="5"/>
  <c r="Z116" i="5"/>
  <c r="Z104" i="5" s="1"/>
  <c r="AA25" i="5"/>
  <c r="AA15" i="5"/>
  <c r="W22" i="5"/>
  <c r="R104" i="5"/>
  <c r="C10" i="6"/>
  <c r="AD151" i="5"/>
  <c r="AD147" i="5"/>
  <c r="AD141" i="5"/>
  <c r="AD140" i="5" s="1"/>
  <c r="AD137" i="5"/>
  <c r="AD134" i="5"/>
  <c r="AD131" i="5"/>
  <c r="AF129" i="5"/>
  <c r="AD128" i="5"/>
  <c r="AF128" i="5" s="1"/>
  <c r="AD125" i="5"/>
  <c r="AD118" i="5" s="1"/>
  <c r="AD122" i="5"/>
  <c r="AD104" i="5"/>
  <c r="AD90" i="5"/>
  <c r="AD83" i="5"/>
  <c r="AD77" i="5"/>
  <c r="AD66" i="5"/>
  <c r="AD63" i="5"/>
  <c r="AD56" i="5"/>
  <c r="AD50" i="5"/>
  <c r="AD45" i="5"/>
  <c r="AD44" i="5"/>
  <c r="AE24" i="5"/>
  <c r="AE22" i="5"/>
  <c r="AE19" i="5"/>
  <c r="AE15" i="5"/>
  <c r="AE9" i="5"/>
  <c r="AE8" i="5" s="1"/>
  <c r="Z151" i="5"/>
  <c r="Z147" i="5"/>
  <c r="Z141" i="5"/>
  <c r="Z140" i="5" s="1"/>
  <c r="Z137" i="5"/>
  <c r="Z134" i="5"/>
  <c r="Z131" i="5"/>
  <c r="AB129" i="5"/>
  <c r="Z128" i="5"/>
  <c r="AB128" i="5" s="1"/>
  <c r="Z125" i="5"/>
  <c r="Z122" i="5"/>
  <c r="Z90" i="5"/>
  <c r="Z83" i="5"/>
  <c r="Z77" i="5"/>
  <c r="Z66" i="5"/>
  <c r="Z63" i="5"/>
  <c r="Z56" i="5"/>
  <c r="Z50" i="5"/>
  <c r="Z45" i="5"/>
  <c r="Z29" i="5"/>
  <c r="Z44" i="5" s="1"/>
  <c r="AA24" i="5"/>
  <c r="AA22" i="5"/>
  <c r="AA19" i="5"/>
  <c r="AA9" i="5"/>
  <c r="V151" i="5"/>
  <c r="V147" i="5"/>
  <c r="V141" i="5"/>
  <c r="V140" i="5" s="1"/>
  <c r="V137" i="5"/>
  <c r="V134" i="5"/>
  <c r="V131" i="5"/>
  <c r="X129" i="5"/>
  <c r="V128" i="5"/>
  <c r="X128" i="5" s="1"/>
  <c r="V125" i="5"/>
  <c r="V122" i="5"/>
  <c r="V118" i="5"/>
  <c r="V104" i="5"/>
  <c r="V90" i="5"/>
  <c r="V83" i="5"/>
  <c r="V77" i="5"/>
  <c r="V66" i="5"/>
  <c r="V63" i="5"/>
  <c r="V56" i="5"/>
  <c r="V50" i="5"/>
  <c r="V45" i="5"/>
  <c r="V29" i="5"/>
  <c r="V44" i="5" s="1"/>
  <c r="W24" i="5"/>
  <c r="W19" i="5"/>
  <c r="W15" i="5"/>
  <c r="W9" i="5"/>
  <c r="W8" i="5" s="1"/>
  <c r="R151" i="5"/>
  <c r="R147" i="5"/>
  <c r="R141" i="5"/>
  <c r="R137" i="5"/>
  <c r="R134" i="5"/>
  <c r="R131" i="5"/>
  <c r="T129" i="5"/>
  <c r="T128" i="5"/>
  <c r="R128" i="5"/>
  <c r="R125" i="5"/>
  <c r="R122" i="5"/>
  <c r="R90" i="5"/>
  <c r="R83" i="5"/>
  <c r="R77" i="5"/>
  <c r="R66" i="5"/>
  <c r="R63" i="5"/>
  <c r="R56" i="5"/>
  <c r="R50" i="5"/>
  <c r="R45" i="5"/>
  <c r="R29" i="5"/>
  <c r="R44" i="5" s="1"/>
  <c r="S24" i="5"/>
  <c r="S22" i="5"/>
  <c r="S19" i="5"/>
  <c r="S15" i="5"/>
  <c r="S8" i="5"/>
  <c r="AA8" i="5" l="1"/>
  <c r="C12" i="6"/>
  <c r="S14" i="5"/>
  <c r="C11" i="6"/>
  <c r="AD28" i="5"/>
  <c r="AD27" i="5" s="1"/>
  <c r="AD153" i="5" s="1"/>
  <c r="AD154" i="5" s="1"/>
  <c r="M13" i="6" s="1"/>
  <c r="AA14" i="5"/>
  <c r="V28" i="5"/>
  <c r="V27" i="5" s="1"/>
  <c r="V153" i="5" s="1"/>
  <c r="V154" i="5" s="1"/>
  <c r="M11" i="6" s="1"/>
  <c r="R140" i="5"/>
  <c r="AE14" i="5"/>
  <c r="AA7" i="5"/>
  <c r="Z28" i="5"/>
  <c r="Z118" i="5"/>
  <c r="W14" i="5"/>
  <c r="S7" i="5"/>
  <c r="R28" i="5"/>
  <c r="R118" i="5"/>
  <c r="C61" i="6"/>
  <c r="C86" i="6"/>
  <c r="F86" i="6"/>
  <c r="C104" i="5"/>
  <c r="C144" i="6"/>
  <c r="D141" i="6"/>
  <c r="C116" i="6"/>
  <c r="C83" i="6"/>
  <c r="C58" i="6"/>
  <c r="E88" i="9"/>
  <c r="E79" i="9"/>
  <c r="E72" i="9"/>
  <c r="E60" i="9"/>
  <c r="E43" i="5"/>
  <c r="D24" i="5"/>
  <c r="G147" i="5"/>
  <c r="G125" i="5"/>
  <c r="J131" i="5"/>
  <c r="J126" i="5"/>
  <c r="AE7" i="5" l="1"/>
  <c r="Z27" i="5"/>
  <c r="Z153" i="5" s="1"/>
  <c r="AA151" i="5"/>
  <c r="W7" i="5"/>
  <c r="R27" i="5"/>
  <c r="S151" i="5"/>
  <c r="F19" i="6"/>
  <c r="E19" i="6"/>
  <c r="C19" i="6"/>
  <c r="H19" i="6"/>
  <c r="AE151" i="5" l="1"/>
  <c r="AA152" i="5"/>
  <c r="W151" i="5"/>
  <c r="S152" i="5"/>
  <c r="R153" i="5"/>
  <c r="M10" i="6" s="1"/>
  <c r="C104" i="9"/>
  <c r="E64" i="9"/>
  <c r="AE152" i="5" l="1"/>
  <c r="Z154" i="5"/>
  <c r="M12" i="6" s="1"/>
  <c r="AA154" i="5"/>
  <c r="AB155" i="5" s="1"/>
  <c r="W152" i="5"/>
  <c r="R154" i="5"/>
  <c r="S154" i="5"/>
  <c r="T155" i="5" l="1"/>
  <c r="AE154" i="5"/>
  <c r="AF155" i="5" s="1"/>
  <c r="W154" i="5"/>
  <c r="X155" i="5" s="1"/>
  <c r="O19" i="5"/>
  <c r="J77" i="5"/>
  <c r="D126" i="5"/>
  <c r="J116" i="5"/>
  <c r="K19" i="5"/>
  <c r="H15" i="5"/>
  <c r="C141" i="5"/>
  <c r="C29" i="5"/>
  <c r="C44" i="5" s="1"/>
  <c r="D22" i="5"/>
  <c r="E12" i="9"/>
  <c r="D83" i="6" l="1"/>
  <c r="E68" i="9" l="1"/>
  <c r="E107" i="9" l="1"/>
  <c r="D58" i="6"/>
  <c r="D19" i="6"/>
  <c r="D45" i="9" l="1"/>
  <c r="D47" i="9"/>
  <c r="D40" i="9"/>
  <c r="D15" i="5" l="1"/>
  <c r="E17" i="5"/>
  <c r="I17" i="5" s="1"/>
  <c r="L17" i="5" s="1"/>
  <c r="P17" i="5" s="1"/>
  <c r="T17" i="5" s="1"/>
  <c r="X17" i="5" s="1"/>
  <c r="AB17" i="5" s="1"/>
  <c r="AF17" i="5" s="1"/>
  <c r="C77" i="5"/>
  <c r="C66" i="5"/>
  <c r="C147" i="5"/>
  <c r="C131" i="5"/>
  <c r="E115" i="5"/>
  <c r="I115" i="5" s="1"/>
  <c r="L115" i="5" s="1"/>
  <c r="P115" i="5" s="1"/>
  <c r="T115" i="5" s="1"/>
  <c r="X115" i="5" s="1"/>
  <c r="AB115" i="5" s="1"/>
  <c r="AF115" i="5" s="1"/>
  <c r="G104" i="5"/>
  <c r="G83" i="5"/>
  <c r="K15" i="5"/>
  <c r="H9" i="5"/>
  <c r="G66" i="5"/>
  <c r="J66" i="5"/>
  <c r="J50" i="5"/>
  <c r="N90" i="5"/>
  <c r="O15" i="5"/>
  <c r="P102" i="5"/>
  <c r="T102" i="5" s="1"/>
  <c r="X102" i="5" s="1"/>
  <c r="AB102" i="5" s="1"/>
  <c r="AF102" i="5" s="1"/>
  <c r="E94" i="5"/>
  <c r="I94" i="5" s="1"/>
  <c r="E95" i="5"/>
  <c r="I95" i="5" s="1"/>
  <c r="L95" i="5" s="1"/>
  <c r="P95" i="5" s="1"/>
  <c r="T95" i="5" s="1"/>
  <c r="X95" i="5" s="1"/>
  <c r="AB95" i="5" s="1"/>
  <c r="AF95" i="5" s="1"/>
  <c r="E97" i="5"/>
  <c r="I97" i="5" s="1"/>
  <c r="L97" i="5" s="1"/>
  <c r="P97" i="5" s="1"/>
  <c r="T97" i="5" s="1"/>
  <c r="X97" i="5" s="1"/>
  <c r="AB97" i="5" s="1"/>
  <c r="AF97" i="5" s="1"/>
  <c r="E98" i="5"/>
  <c r="I98" i="5" s="1"/>
  <c r="L98" i="5" s="1"/>
  <c r="P98" i="5" s="1"/>
  <c r="T98" i="5" s="1"/>
  <c r="X98" i="5" s="1"/>
  <c r="AB98" i="5" s="1"/>
  <c r="AF98" i="5" s="1"/>
  <c r="E99" i="5"/>
  <c r="I99" i="5" s="1"/>
  <c r="L99" i="5" s="1"/>
  <c r="P99" i="5" s="1"/>
  <c r="T99" i="5" s="1"/>
  <c r="X99" i="5" s="1"/>
  <c r="AB99" i="5" s="1"/>
  <c r="AF99" i="5" s="1"/>
  <c r="E100" i="5"/>
  <c r="I100" i="5" s="1"/>
  <c r="L100" i="5" s="1"/>
  <c r="P100" i="5" s="1"/>
  <c r="T100" i="5" s="1"/>
  <c r="X100" i="5" s="1"/>
  <c r="AB100" i="5" s="1"/>
  <c r="AF100" i="5" s="1"/>
  <c r="E101" i="5"/>
  <c r="I101" i="5" s="1"/>
  <c r="L101" i="5" s="1"/>
  <c r="P101" i="5" s="1"/>
  <c r="T101" i="5" s="1"/>
  <c r="X101" i="5" s="1"/>
  <c r="AB101" i="5" s="1"/>
  <c r="AF101" i="5" s="1"/>
  <c r="N96" i="5"/>
  <c r="J96" i="5"/>
  <c r="G96" i="5"/>
  <c r="C96" i="5"/>
  <c r="E96" i="5" s="1"/>
  <c r="I96" i="5" l="1"/>
  <c r="L96" i="5" s="1"/>
  <c r="P96" i="5" s="1"/>
  <c r="T96" i="5" s="1"/>
  <c r="X96" i="5" s="1"/>
  <c r="AB96" i="5" s="1"/>
  <c r="AF96" i="5" s="1"/>
  <c r="F56" i="6" l="1"/>
  <c r="F55" i="6"/>
  <c r="F54" i="6"/>
  <c r="G48" i="6"/>
  <c r="F48" i="6"/>
  <c r="G47" i="6"/>
  <c r="F47" i="6"/>
  <c r="F61" i="6" s="1"/>
  <c r="G46" i="6"/>
  <c r="G45" i="6"/>
  <c r="N141" i="5" l="1"/>
  <c r="G141" i="5"/>
  <c r="G140" i="5" s="1"/>
  <c r="N137" i="5" l="1"/>
  <c r="L133" i="5"/>
  <c r="P133" i="5" s="1"/>
  <c r="T133" i="5" s="1"/>
  <c r="X133" i="5" s="1"/>
  <c r="AB133" i="5" s="1"/>
  <c r="AF133" i="5" s="1"/>
  <c r="N134" i="5"/>
  <c r="I135" i="5"/>
  <c r="L135" i="5" s="1"/>
  <c r="P135" i="5" s="1"/>
  <c r="T135" i="5" s="1"/>
  <c r="X135" i="5" s="1"/>
  <c r="AB135" i="5" s="1"/>
  <c r="AF135" i="5" s="1"/>
  <c r="G134" i="5"/>
  <c r="I134" i="5" s="1"/>
  <c r="L134" i="5" s="1"/>
  <c r="N131" i="5"/>
  <c r="G56" i="5"/>
  <c r="P134" i="5" l="1"/>
  <c r="T134" i="5" s="1"/>
  <c r="X134" i="5" s="1"/>
  <c r="AB134" i="5" s="1"/>
  <c r="AF134" i="5" s="1"/>
  <c r="D116" i="6" l="1"/>
  <c r="E98" i="9"/>
  <c r="E53" i="9"/>
  <c r="E35" i="9"/>
  <c r="D42" i="9" l="1"/>
  <c r="E9" i="9"/>
  <c r="C13" i="10" l="1"/>
  <c r="E93" i="9"/>
  <c r="C20" i="10" s="1"/>
  <c r="E56" i="9" l="1"/>
  <c r="C21" i="10" s="1"/>
  <c r="D20" i="10" s="1"/>
  <c r="C5" i="10"/>
  <c r="C8" i="10" s="1"/>
  <c r="D9" i="5"/>
  <c r="D8" i="5" s="1"/>
  <c r="N151" i="5"/>
  <c r="N128" i="5"/>
  <c r="P128" i="5" s="1"/>
  <c r="P129" i="5"/>
  <c r="L129" i="5"/>
  <c r="L128" i="5"/>
  <c r="I129" i="5"/>
  <c r="I128" i="5"/>
  <c r="E129" i="5"/>
  <c r="E128" i="5"/>
  <c r="C7" i="10" l="1"/>
  <c r="D7" i="10" s="1"/>
  <c r="C4" i="10"/>
  <c r="C16" i="10" s="1"/>
  <c r="D4" i="10" l="1"/>
  <c r="K19" i="6"/>
  <c r="L19" i="6"/>
  <c r="P19" i="6"/>
  <c r="Q19" i="6"/>
  <c r="E144" i="6"/>
  <c r="E116" i="6"/>
  <c r="G144" i="6"/>
  <c r="F144" i="6"/>
  <c r="F116" i="6"/>
  <c r="G116" i="6"/>
  <c r="F83" i="6"/>
  <c r="G83" i="6"/>
  <c r="F58" i="6"/>
  <c r="G19" i="6"/>
  <c r="G58" i="6" l="1"/>
  <c r="E83" i="6"/>
  <c r="V19" i="6"/>
  <c r="U19" i="6"/>
  <c r="N50" i="5" l="1"/>
  <c r="N104" i="5"/>
  <c r="N122" i="5"/>
  <c r="N66" i="5"/>
  <c r="P76" i="5"/>
  <c r="T76" i="5" s="1"/>
  <c r="X76" i="5" s="1"/>
  <c r="AB76" i="5" s="1"/>
  <c r="AF76" i="5" s="1"/>
  <c r="L59" i="5"/>
  <c r="J60" i="5"/>
  <c r="N56" i="5"/>
  <c r="J137" i="5"/>
  <c r="J122" i="5"/>
  <c r="L13" i="5"/>
  <c r="L18" i="5"/>
  <c r="L21" i="5"/>
  <c r="E117" i="5"/>
  <c r="I117" i="5" s="1"/>
  <c r="L117" i="5" s="1"/>
  <c r="E119" i="5"/>
  <c r="E120" i="5"/>
  <c r="I120" i="5" s="1"/>
  <c r="L120" i="5" s="1"/>
  <c r="P120" i="5" s="1"/>
  <c r="T120" i="5" s="1"/>
  <c r="X120" i="5" s="1"/>
  <c r="AB120" i="5" s="1"/>
  <c r="AF120" i="5" s="1"/>
  <c r="E121" i="5"/>
  <c r="I121" i="5" s="1"/>
  <c r="L121" i="5" s="1"/>
  <c r="E122" i="5"/>
  <c r="E123" i="5"/>
  <c r="I123" i="5" s="1"/>
  <c r="L123" i="5" s="1"/>
  <c r="P123" i="5" s="1"/>
  <c r="T123" i="5" s="1"/>
  <c r="X123" i="5" s="1"/>
  <c r="AB123" i="5" s="1"/>
  <c r="AF123" i="5" s="1"/>
  <c r="E124" i="5"/>
  <c r="I124" i="5" s="1"/>
  <c r="L124" i="5" s="1"/>
  <c r="P124" i="5" s="1"/>
  <c r="T124" i="5" s="1"/>
  <c r="X124" i="5" s="1"/>
  <c r="AB124" i="5" s="1"/>
  <c r="AF124" i="5" s="1"/>
  <c r="E126" i="5"/>
  <c r="I126" i="5" s="1"/>
  <c r="L126" i="5" s="1"/>
  <c r="P126" i="5" s="1"/>
  <c r="T126" i="5" s="1"/>
  <c r="X126" i="5" s="1"/>
  <c r="AB126" i="5" s="1"/>
  <c r="AF126" i="5" s="1"/>
  <c r="E127" i="5"/>
  <c r="I127" i="5" s="1"/>
  <c r="L127" i="5" s="1"/>
  <c r="P127" i="5" s="1"/>
  <c r="T127" i="5" s="1"/>
  <c r="X127" i="5" s="1"/>
  <c r="AB127" i="5" s="1"/>
  <c r="AF127" i="5" s="1"/>
  <c r="E131" i="5"/>
  <c r="E132" i="5"/>
  <c r="I132" i="5" s="1"/>
  <c r="L132" i="5" s="1"/>
  <c r="E136" i="5"/>
  <c r="I136" i="5" s="1"/>
  <c r="L136" i="5" s="1"/>
  <c r="P136" i="5" s="1"/>
  <c r="T136" i="5" s="1"/>
  <c r="X136" i="5" s="1"/>
  <c r="AB136" i="5" s="1"/>
  <c r="AF136" i="5" s="1"/>
  <c r="E138" i="5"/>
  <c r="I138" i="5" s="1"/>
  <c r="L138" i="5" s="1"/>
  <c r="P138" i="5" s="1"/>
  <c r="T138" i="5" s="1"/>
  <c r="X138" i="5" s="1"/>
  <c r="AB138" i="5" s="1"/>
  <c r="AF138" i="5" s="1"/>
  <c r="E139" i="5"/>
  <c r="I139" i="5" s="1"/>
  <c r="L139" i="5" s="1"/>
  <c r="P139" i="5" s="1"/>
  <c r="T139" i="5" s="1"/>
  <c r="X139" i="5" s="1"/>
  <c r="AB139" i="5" s="1"/>
  <c r="AF139" i="5" s="1"/>
  <c r="E142" i="5"/>
  <c r="E143" i="5"/>
  <c r="E144" i="5"/>
  <c r="E145" i="5"/>
  <c r="E146" i="5"/>
  <c r="E147" i="5"/>
  <c r="E148" i="5"/>
  <c r="E64" i="5"/>
  <c r="I64" i="5" s="1"/>
  <c r="L64" i="5" s="1"/>
  <c r="P64" i="5" s="1"/>
  <c r="T64" i="5" s="1"/>
  <c r="X64" i="5" s="1"/>
  <c r="AB64" i="5" s="1"/>
  <c r="AF64" i="5" s="1"/>
  <c r="E67" i="5"/>
  <c r="E68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5" i="5"/>
  <c r="E86" i="5"/>
  <c r="E87" i="5"/>
  <c r="E88" i="5"/>
  <c r="E89" i="5"/>
  <c r="E91" i="5"/>
  <c r="E92" i="5"/>
  <c r="E93" i="5"/>
  <c r="E105" i="5"/>
  <c r="E106" i="5"/>
  <c r="E107" i="5"/>
  <c r="E108" i="5"/>
  <c r="I108" i="5" s="1"/>
  <c r="E109" i="5"/>
  <c r="I109" i="5" s="1"/>
  <c r="E110" i="5"/>
  <c r="I110" i="5" s="1"/>
  <c r="L110" i="5" s="1"/>
  <c r="E111" i="5"/>
  <c r="I111" i="5" s="1"/>
  <c r="L111" i="5" s="1"/>
  <c r="E112" i="5"/>
  <c r="I112" i="5" s="1"/>
  <c r="L112" i="5" s="1"/>
  <c r="E113" i="5"/>
  <c r="I113" i="5" s="1"/>
  <c r="L113" i="5" s="1"/>
  <c r="E114" i="5"/>
  <c r="I114" i="5" s="1"/>
  <c r="L114" i="5" s="1"/>
  <c r="E116" i="5"/>
  <c r="I116" i="5" s="1"/>
  <c r="L116" i="5" s="1"/>
  <c r="E30" i="5"/>
  <c r="E32" i="5"/>
  <c r="E33" i="5"/>
  <c r="E34" i="5"/>
  <c r="E35" i="5"/>
  <c r="E36" i="5"/>
  <c r="E37" i="5"/>
  <c r="E38" i="5"/>
  <c r="E39" i="5"/>
  <c r="E40" i="5"/>
  <c r="I40" i="5" s="1"/>
  <c r="L40" i="5" s="1"/>
  <c r="E41" i="5"/>
  <c r="I41" i="5" s="1"/>
  <c r="L41" i="5" s="1"/>
  <c r="P41" i="5" s="1"/>
  <c r="T41" i="5" s="1"/>
  <c r="X41" i="5" s="1"/>
  <c r="AB41" i="5" s="1"/>
  <c r="AF41" i="5" s="1"/>
  <c r="E42" i="5"/>
  <c r="I42" i="5" s="1"/>
  <c r="E46" i="5"/>
  <c r="I46" i="5" s="1"/>
  <c r="L46" i="5" s="1"/>
  <c r="P46" i="5" s="1"/>
  <c r="T46" i="5" s="1"/>
  <c r="X46" i="5" s="1"/>
  <c r="AB46" i="5" s="1"/>
  <c r="AF46" i="5" s="1"/>
  <c r="E47" i="5"/>
  <c r="I47" i="5" s="1"/>
  <c r="L47" i="5" s="1"/>
  <c r="P47" i="5" s="1"/>
  <c r="T47" i="5" s="1"/>
  <c r="X47" i="5" s="1"/>
  <c r="AB47" i="5" s="1"/>
  <c r="AF47" i="5" s="1"/>
  <c r="E51" i="5"/>
  <c r="I51" i="5" s="1"/>
  <c r="L51" i="5" s="1"/>
  <c r="P51" i="5" s="1"/>
  <c r="T51" i="5" s="1"/>
  <c r="X51" i="5" s="1"/>
  <c r="AB51" i="5" s="1"/>
  <c r="AF51" i="5" s="1"/>
  <c r="E52" i="5"/>
  <c r="I52" i="5" s="1"/>
  <c r="L52" i="5" s="1"/>
  <c r="P52" i="5" s="1"/>
  <c r="T52" i="5" s="1"/>
  <c r="X52" i="5" s="1"/>
  <c r="AB52" i="5" s="1"/>
  <c r="AF52" i="5" s="1"/>
  <c r="E53" i="5"/>
  <c r="I53" i="5" s="1"/>
  <c r="L53" i="5" s="1"/>
  <c r="P53" i="5" s="1"/>
  <c r="T53" i="5" s="1"/>
  <c r="X53" i="5" s="1"/>
  <c r="AB53" i="5" s="1"/>
  <c r="AF53" i="5" s="1"/>
  <c r="E54" i="5"/>
  <c r="I54" i="5" s="1"/>
  <c r="L54" i="5" s="1"/>
  <c r="P54" i="5" s="1"/>
  <c r="T54" i="5" s="1"/>
  <c r="X54" i="5" s="1"/>
  <c r="AB54" i="5" s="1"/>
  <c r="AF54" i="5" s="1"/>
  <c r="E57" i="5"/>
  <c r="I57" i="5" s="1"/>
  <c r="L57" i="5" s="1"/>
  <c r="P57" i="5" s="1"/>
  <c r="T57" i="5" s="1"/>
  <c r="X57" i="5" s="1"/>
  <c r="AB57" i="5" s="1"/>
  <c r="AF57" i="5" s="1"/>
  <c r="E58" i="5"/>
  <c r="I58" i="5" s="1"/>
  <c r="L58" i="5" s="1"/>
  <c r="P58" i="5" s="1"/>
  <c r="T58" i="5" s="1"/>
  <c r="X58" i="5" s="1"/>
  <c r="AB58" i="5" s="1"/>
  <c r="AF58" i="5" s="1"/>
  <c r="E20" i="5"/>
  <c r="E23" i="5"/>
  <c r="E24" i="5"/>
  <c r="E25" i="5"/>
  <c r="E61" i="5"/>
  <c r="E60" i="5" s="1"/>
  <c r="I60" i="5" s="1"/>
  <c r="K24" i="5"/>
  <c r="O24" i="5"/>
  <c r="G137" i="5"/>
  <c r="G131" i="5"/>
  <c r="G122" i="5"/>
  <c r="G119" i="5"/>
  <c r="H24" i="5"/>
  <c r="C137" i="5"/>
  <c r="E137" i="5" s="1"/>
  <c r="N125" i="5"/>
  <c r="C125" i="5"/>
  <c r="C56" i="5"/>
  <c r="E56" i="5" s="1"/>
  <c r="C60" i="5"/>
  <c r="E149" i="5"/>
  <c r="E16" i="5"/>
  <c r="E15" i="5"/>
  <c r="E12" i="5"/>
  <c r="E11" i="5"/>
  <c r="E10" i="5"/>
  <c r="E66" i="5"/>
  <c r="C90" i="5"/>
  <c r="E90" i="5" s="1"/>
  <c r="C63" i="5"/>
  <c r="E63" i="5" s="1"/>
  <c r="E29" i="5"/>
  <c r="N118" i="5" l="1"/>
  <c r="G118" i="5"/>
  <c r="L60" i="5"/>
  <c r="P60" i="5" s="1"/>
  <c r="T60" i="5" s="1"/>
  <c r="X60" i="5" s="1"/>
  <c r="AB60" i="5" s="1"/>
  <c r="AF60" i="5" s="1"/>
  <c r="P132" i="5"/>
  <c r="T132" i="5" s="1"/>
  <c r="X132" i="5" s="1"/>
  <c r="AB132" i="5" s="1"/>
  <c r="AF132" i="5" s="1"/>
  <c r="I122" i="5"/>
  <c r="L122" i="5" s="1"/>
  <c r="I137" i="5"/>
  <c r="L137" i="5" s="1"/>
  <c r="P137" i="5" s="1"/>
  <c r="T137" i="5" s="1"/>
  <c r="X137" i="5" s="1"/>
  <c r="AB137" i="5" s="1"/>
  <c r="AF137" i="5" s="1"/>
  <c r="J118" i="5"/>
  <c r="I131" i="5"/>
  <c r="L131" i="5" s="1"/>
  <c r="P131" i="5" s="1"/>
  <c r="T131" i="5" s="1"/>
  <c r="X131" i="5" s="1"/>
  <c r="AB131" i="5" s="1"/>
  <c r="AF131" i="5" s="1"/>
  <c r="C118" i="5"/>
  <c r="E118" i="5" s="1"/>
  <c r="L42" i="5"/>
  <c r="P42" i="5" s="1"/>
  <c r="T42" i="5" s="1"/>
  <c r="X42" i="5" s="1"/>
  <c r="AB42" i="5" s="1"/>
  <c r="AF42" i="5" s="1"/>
  <c r="I61" i="5"/>
  <c r="L61" i="5" s="1"/>
  <c r="P61" i="5" s="1"/>
  <c r="T61" i="5" s="1"/>
  <c r="X61" i="5" s="1"/>
  <c r="AB61" i="5" s="1"/>
  <c r="AF61" i="5" s="1"/>
  <c r="E125" i="5"/>
  <c r="I125" i="5" s="1"/>
  <c r="L125" i="5" s="1"/>
  <c r="P125" i="5" s="1"/>
  <c r="T125" i="5" s="1"/>
  <c r="X125" i="5" s="1"/>
  <c r="AB125" i="5" s="1"/>
  <c r="AF125" i="5" s="1"/>
  <c r="I119" i="5"/>
  <c r="L119" i="5" s="1"/>
  <c r="P119" i="5" s="1"/>
  <c r="T119" i="5" s="1"/>
  <c r="X119" i="5" s="1"/>
  <c r="AB119" i="5" s="1"/>
  <c r="AF119" i="5" s="1"/>
  <c r="P40" i="5"/>
  <c r="T40" i="5" s="1"/>
  <c r="X40" i="5" s="1"/>
  <c r="AB40" i="5" s="1"/>
  <c r="AF40" i="5" s="1"/>
  <c r="I11" i="5"/>
  <c r="I118" i="5" l="1"/>
  <c r="L118" i="5"/>
  <c r="P118" i="5" s="1"/>
  <c r="T118" i="5" s="1"/>
  <c r="X118" i="5" s="1"/>
  <c r="AB118" i="5" s="1"/>
  <c r="AF118" i="5" s="1"/>
  <c r="L11" i="5"/>
  <c r="P11" i="5" s="1"/>
  <c r="T11" i="5" s="1"/>
  <c r="AB11" i="5" s="1"/>
  <c r="AF11" i="5" s="1"/>
  <c r="P116" i="5"/>
  <c r="T116" i="5" s="1"/>
  <c r="X116" i="5" s="1"/>
  <c r="AB116" i="5" s="1"/>
  <c r="AF116" i="5" s="1"/>
  <c r="P110" i="5"/>
  <c r="T110" i="5" s="1"/>
  <c r="X110" i="5" s="1"/>
  <c r="AB110" i="5" s="1"/>
  <c r="AF110" i="5" s="1"/>
  <c r="I93" i="5"/>
  <c r="L93" i="5" s="1"/>
  <c r="P93" i="5" s="1"/>
  <c r="T93" i="5" s="1"/>
  <c r="X93" i="5" s="1"/>
  <c r="AB93" i="5" s="1"/>
  <c r="AF93" i="5" s="1"/>
  <c r="L94" i="5"/>
  <c r="P94" i="5" s="1"/>
  <c r="T94" i="5" s="1"/>
  <c r="X94" i="5" s="1"/>
  <c r="AB94" i="5" s="1"/>
  <c r="AF94" i="5" s="1"/>
  <c r="I91" i="5"/>
  <c r="L91" i="5" s="1"/>
  <c r="P91" i="5" s="1"/>
  <c r="T91" i="5" s="1"/>
  <c r="X91" i="5" s="1"/>
  <c r="AB91" i="5" s="1"/>
  <c r="AF91" i="5" s="1"/>
  <c r="I92" i="5"/>
  <c r="L92" i="5" s="1"/>
  <c r="P92" i="5" s="1"/>
  <c r="T92" i="5" s="1"/>
  <c r="X92" i="5" s="1"/>
  <c r="AB92" i="5" s="1"/>
  <c r="AF92" i="5" s="1"/>
  <c r="I145" i="5"/>
  <c r="L145" i="5" s="1"/>
  <c r="P145" i="5" s="1"/>
  <c r="T145" i="5" s="1"/>
  <c r="X145" i="5" s="1"/>
  <c r="AB145" i="5" s="1"/>
  <c r="AF145" i="5" s="1"/>
  <c r="I105" i="5"/>
  <c r="L105" i="5" s="1"/>
  <c r="P105" i="5" s="1"/>
  <c r="T105" i="5" s="1"/>
  <c r="X105" i="5" s="1"/>
  <c r="AB105" i="5" s="1"/>
  <c r="AF105" i="5" s="1"/>
  <c r="P122" i="5"/>
  <c r="T122" i="5" s="1"/>
  <c r="X122" i="5" s="1"/>
  <c r="AB122" i="5" s="1"/>
  <c r="AF122" i="5" s="1"/>
  <c r="I73" i="5"/>
  <c r="L73" i="5" s="1"/>
  <c r="P73" i="5" s="1"/>
  <c r="T73" i="5" s="1"/>
  <c r="X73" i="5" s="1"/>
  <c r="AB73" i="5" s="1"/>
  <c r="AF73" i="5" s="1"/>
  <c r="I148" i="5"/>
  <c r="L148" i="5" s="1"/>
  <c r="P148" i="5" s="1"/>
  <c r="T148" i="5" s="1"/>
  <c r="X148" i="5" s="1"/>
  <c r="AB148" i="5" s="1"/>
  <c r="AF148" i="5" s="1"/>
  <c r="N147" i="5"/>
  <c r="J147" i="5"/>
  <c r="J140" i="5" s="1"/>
  <c r="I147" i="5"/>
  <c r="I146" i="5"/>
  <c r="L146" i="5" s="1"/>
  <c r="P146" i="5" s="1"/>
  <c r="T146" i="5" s="1"/>
  <c r="X146" i="5" s="1"/>
  <c r="AB146" i="5" s="1"/>
  <c r="AF146" i="5" s="1"/>
  <c r="I144" i="5"/>
  <c r="L144" i="5" s="1"/>
  <c r="P144" i="5" s="1"/>
  <c r="T144" i="5" s="1"/>
  <c r="X144" i="5" s="1"/>
  <c r="AB144" i="5" s="1"/>
  <c r="AF144" i="5" s="1"/>
  <c r="I143" i="5"/>
  <c r="L143" i="5" s="1"/>
  <c r="P143" i="5" s="1"/>
  <c r="T143" i="5" s="1"/>
  <c r="X143" i="5" s="1"/>
  <c r="AB143" i="5" s="1"/>
  <c r="AF143" i="5" s="1"/>
  <c r="I142" i="5"/>
  <c r="L142" i="5" s="1"/>
  <c r="P142" i="5" s="1"/>
  <c r="T142" i="5" s="1"/>
  <c r="X142" i="5" s="1"/>
  <c r="AB142" i="5" s="1"/>
  <c r="AF142" i="5" s="1"/>
  <c r="E141" i="5"/>
  <c r="L109" i="5"/>
  <c r="I107" i="5"/>
  <c r="L107" i="5" s="1"/>
  <c r="I106" i="5"/>
  <c r="L106" i="5" s="1"/>
  <c r="P106" i="5" s="1"/>
  <c r="T106" i="5" s="1"/>
  <c r="X106" i="5" s="1"/>
  <c r="AB106" i="5" s="1"/>
  <c r="AF106" i="5" s="1"/>
  <c r="J104" i="5"/>
  <c r="E104" i="5"/>
  <c r="J90" i="5"/>
  <c r="G90" i="5"/>
  <c r="I88" i="5"/>
  <c r="L88" i="5" s="1"/>
  <c r="P88" i="5" s="1"/>
  <c r="T88" i="5" s="1"/>
  <c r="X88" i="5" s="1"/>
  <c r="AB88" i="5" s="1"/>
  <c r="AF88" i="5" s="1"/>
  <c r="I87" i="5"/>
  <c r="L87" i="5" s="1"/>
  <c r="P87" i="5" s="1"/>
  <c r="T87" i="5" s="1"/>
  <c r="X87" i="5" s="1"/>
  <c r="AB87" i="5" s="1"/>
  <c r="AF87" i="5" s="1"/>
  <c r="I85" i="5"/>
  <c r="L85" i="5" s="1"/>
  <c r="J83" i="5"/>
  <c r="C83" i="5"/>
  <c r="E83" i="5" s="1"/>
  <c r="I81" i="5"/>
  <c r="L81" i="5" s="1"/>
  <c r="P81" i="5" s="1"/>
  <c r="T81" i="5" s="1"/>
  <c r="X81" i="5" s="1"/>
  <c r="AB81" i="5" s="1"/>
  <c r="AF81" i="5" s="1"/>
  <c r="I80" i="5"/>
  <c r="L80" i="5" s="1"/>
  <c r="I79" i="5"/>
  <c r="L79" i="5" s="1"/>
  <c r="P79" i="5" s="1"/>
  <c r="T79" i="5" s="1"/>
  <c r="X79" i="5" s="1"/>
  <c r="AB79" i="5" s="1"/>
  <c r="AF79" i="5" s="1"/>
  <c r="I78" i="5"/>
  <c r="L78" i="5" s="1"/>
  <c r="P78" i="5" s="1"/>
  <c r="T78" i="5" s="1"/>
  <c r="X78" i="5" s="1"/>
  <c r="AB78" i="5" s="1"/>
  <c r="AF78" i="5" s="1"/>
  <c r="N77" i="5"/>
  <c r="G77" i="5"/>
  <c r="I75" i="5"/>
  <c r="L75" i="5" s="1"/>
  <c r="P75" i="5" s="1"/>
  <c r="T75" i="5" s="1"/>
  <c r="X75" i="5" s="1"/>
  <c r="AB75" i="5" s="1"/>
  <c r="AF75" i="5" s="1"/>
  <c r="I74" i="5"/>
  <c r="L74" i="5" s="1"/>
  <c r="P74" i="5" s="1"/>
  <c r="T74" i="5" s="1"/>
  <c r="X74" i="5" s="1"/>
  <c r="AB74" i="5" s="1"/>
  <c r="AF74" i="5" s="1"/>
  <c r="I72" i="5"/>
  <c r="L72" i="5" s="1"/>
  <c r="P72" i="5" s="1"/>
  <c r="T72" i="5" s="1"/>
  <c r="X72" i="5" s="1"/>
  <c r="AB72" i="5" s="1"/>
  <c r="AF72" i="5" s="1"/>
  <c r="I71" i="5"/>
  <c r="L71" i="5" s="1"/>
  <c r="P71" i="5" s="1"/>
  <c r="T71" i="5" s="1"/>
  <c r="X71" i="5" s="1"/>
  <c r="AB71" i="5" s="1"/>
  <c r="AF71" i="5" s="1"/>
  <c r="I70" i="5"/>
  <c r="L70" i="5" s="1"/>
  <c r="P70" i="5" s="1"/>
  <c r="T70" i="5" s="1"/>
  <c r="X70" i="5" s="1"/>
  <c r="AB70" i="5" s="1"/>
  <c r="AF70" i="5" s="1"/>
  <c r="I68" i="5"/>
  <c r="L68" i="5" s="1"/>
  <c r="P68" i="5" s="1"/>
  <c r="T68" i="5" s="1"/>
  <c r="X68" i="5" s="1"/>
  <c r="AB68" i="5" s="1"/>
  <c r="AF68" i="5" s="1"/>
  <c r="I67" i="5"/>
  <c r="L67" i="5" s="1"/>
  <c r="P67" i="5" s="1"/>
  <c r="T67" i="5" s="1"/>
  <c r="X67" i="5" s="1"/>
  <c r="AB67" i="5" s="1"/>
  <c r="AF67" i="5" s="1"/>
  <c r="N63" i="5"/>
  <c r="J63" i="5"/>
  <c r="G63" i="5"/>
  <c r="I63" i="5" s="1"/>
  <c r="J56" i="5"/>
  <c r="I56" i="5"/>
  <c r="G50" i="5"/>
  <c r="C50" i="5"/>
  <c r="E50" i="5" s="1"/>
  <c r="N45" i="5"/>
  <c r="G45" i="5"/>
  <c r="C45" i="5"/>
  <c r="I39" i="5"/>
  <c r="I38" i="5"/>
  <c r="I37" i="5"/>
  <c r="I36" i="5"/>
  <c r="L36" i="5" s="1"/>
  <c r="I35" i="5"/>
  <c r="I34" i="5"/>
  <c r="L34" i="5" s="1"/>
  <c r="I33" i="5"/>
  <c r="I32" i="5"/>
  <c r="I30" i="5"/>
  <c r="N29" i="5"/>
  <c r="N44" i="5" s="1"/>
  <c r="J29" i="5"/>
  <c r="J44" i="5" s="1"/>
  <c r="G29" i="5"/>
  <c r="G44" i="5" s="1"/>
  <c r="I25" i="5"/>
  <c r="I24" i="5"/>
  <c r="I23" i="5"/>
  <c r="O22" i="5"/>
  <c r="O14" i="5" s="1"/>
  <c r="K22" i="5"/>
  <c r="H22" i="5"/>
  <c r="E22" i="5"/>
  <c r="D19" i="5"/>
  <c r="I16" i="5"/>
  <c r="I12" i="5"/>
  <c r="I10" i="5"/>
  <c r="O9" i="5"/>
  <c r="O8" i="5" s="1"/>
  <c r="K9" i="5"/>
  <c r="K8" i="5" s="1"/>
  <c r="E9" i="5"/>
  <c r="E8" i="5" s="1"/>
  <c r="G28" i="5" l="1"/>
  <c r="G27" i="5" s="1"/>
  <c r="C28" i="5"/>
  <c r="E28" i="5" s="1"/>
  <c r="E19" i="5"/>
  <c r="D14" i="5"/>
  <c r="E14" i="5" s="1"/>
  <c r="E7" i="5" s="1"/>
  <c r="J28" i="5"/>
  <c r="J27" i="5" s="1"/>
  <c r="N28" i="5"/>
  <c r="I50" i="5"/>
  <c r="L50" i="5" s="1"/>
  <c r="P50" i="5" s="1"/>
  <c r="T50" i="5" s="1"/>
  <c r="X50" i="5" s="1"/>
  <c r="AB50" i="5" s="1"/>
  <c r="AF50" i="5" s="1"/>
  <c r="L56" i="5"/>
  <c r="P56" i="5" s="1"/>
  <c r="T56" i="5" s="1"/>
  <c r="X56" i="5" s="1"/>
  <c r="AB56" i="5" s="1"/>
  <c r="AF56" i="5" s="1"/>
  <c r="J19" i="6"/>
  <c r="O7" i="5"/>
  <c r="O151" i="5" s="1"/>
  <c r="O152" i="5" s="1"/>
  <c r="H8" i="5"/>
  <c r="L10" i="5"/>
  <c r="P10" i="5" s="1"/>
  <c r="T10" i="5" s="1"/>
  <c r="X10" i="5" s="1"/>
  <c r="AB10" i="5" s="1"/>
  <c r="AF10" i="5" s="1"/>
  <c r="L12" i="5"/>
  <c r="P12" i="5" s="1"/>
  <c r="T12" i="5" s="1"/>
  <c r="X12" i="5" s="1"/>
  <c r="AB12" i="5" s="1"/>
  <c r="AF12" i="5" s="1"/>
  <c r="L16" i="5"/>
  <c r="P16" i="5" s="1"/>
  <c r="T16" i="5" s="1"/>
  <c r="X16" i="5" s="1"/>
  <c r="AB16" i="5" s="1"/>
  <c r="AF16" i="5" s="1"/>
  <c r="L23" i="5"/>
  <c r="P23" i="5" s="1"/>
  <c r="T23" i="5" s="1"/>
  <c r="X23" i="5" s="1"/>
  <c r="AB23" i="5" s="1"/>
  <c r="AF23" i="5" s="1"/>
  <c r="L25" i="5"/>
  <c r="P25" i="5" s="1"/>
  <c r="T25" i="5" s="1"/>
  <c r="X25" i="5" s="1"/>
  <c r="AB25" i="5" s="1"/>
  <c r="AF25" i="5" s="1"/>
  <c r="L30" i="5"/>
  <c r="P30" i="5" s="1"/>
  <c r="T30" i="5" s="1"/>
  <c r="X30" i="5" s="1"/>
  <c r="AB30" i="5" s="1"/>
  <c r="AF30" i="5" s="1"/>
  <c r="L33" i="5"/>
  <c r="P33" i="5" s="1"/>
  <c r="T33" i="5" s="1"/>
  <c r="X33" i="5" s="1"/>
  <c r="AB33" i="5" s="1"/>
  <c r="AF33" i="5" s="1"/>
  <c r="L35" i="5"/>
  <c r="P35" i="5" s="1"/>
  <c r="T35" i="5" s="1"/>
  <c r="X35" i="5" s="1"/>
  <c r="AB35" i="5" s="1"/>
  <c r="AF35" i="5" s="1"/>
  <c r="L37" i="5"/>
  <c r="P37" i="5" s="1"/>
  <c r="T37" i="5" s="1"/>
  <c r="X37" i="5" s="1"/>
  <c r="AB37" i="5" s="1"/>
  <c r="AF37" i="5" s="1"/>
  <c r="L39" i="5"/>
  <c r="P39" i="5" s="1"/>
  <c r="T39" i="5" s="1"/>
  <c r="X39" i="5" s="1"/>
  <c r="AB39" i="5" s="1"/>
  <c r="AF39" i="5" s="1"/>
  <c r="L24" i="5"/>
  <c r="P24" i="5" s="1"/>
  <c r="T24" i="5" s="1"/>
  <c r="X24" i="5" s="1"/>
  <c r="AB24" i="5" s="1"/>
  <c r="AF24" i="5" s="1"/>
  <c r="L32" i="5"/>
  <c r="P32" i="5" s="1"/>
  <c r="T32" i="5" s="1"/>
  <c r="X32" i="5" s="1"/>
  <c r="AB32" i="5" s="1"/>
  <c r="AF32" i="5" s="1"/>
  <c r="L38" i="5"/>
  <c r="P38" i="5" s="1"/>
  <c r="T38" i="5" s="1"/>
  <c r="X38" i="5" s="1"/>
  <c r="AB38" i="5" s="1"/>
  <c r="AF38" i="5" s="1"/>
  <c r="E45" i="5"/>
  <c r="I45" i="5" s="1"/>
  <c r="L63" i="5"/>
  <c r="P63" i="5" s="1"/>
  <c r="T63" i="5" s="1"/>
  <c r="X63" i="5" s="1"/>
  <c r="AB63" i="5" s="1"/>
  <c r="AF63" i="5" s="1"/>
  <c r="C140" i="5"/>
  <c r="E140" i="5" s="1"/>
  <c r="I140" i="5" s="1"/>
  <c r="L140" i="5" s="1"/>
  <c r="I15" i="5"/>
  <c r="I66" i="5"/>
  <c r="L66" i="5" s="1"/>
  <c r="P66" i="5" s="1"/>
  <c r="T66" i="5" s="1"/>
  <c r="X66" i="5" s="1"/>
  <c r="AB66" i="5" s="1"/>
  <c r="AF66" i="5" s="1"/>
  <c r="I77" i="5"/>
  <c r="L77" i="5" s="1"/>
  <c r="P77" i="5" s="1"/>
  <c r="T77" i="5" s="1"/>
  <c r="X77" i="5" s="1"/>
  <c r="AB77" i="5" s="1"/>
  <c r="AF77" i="5" s="1"/>
  <c r="I90" i="5"/>
  <c r="L90" i="5" s="1"/>
  <c r="P90" i="5" s="1"/>
  <c r="T90" i="5" s="1"/>
  <c r="X90" i="5" s="1"/>
  <c r="AB90" i="5" s="1"/>
  <c r="AF90" i="5" s="1"/>
  <c r="I83" i="5"/>
  <c r="L83" i="5" s="1"/>
  <c r="P83" i="5" s="1"/>
  <c r="T83" i="5" s="1"/>
  <c r="X83" i="5" s="1"/>
  <c r="AB83" i="5" s="1"/>
  <c r="AF83" i="5" s="1"/>
  <c r="N140" i="5"/>
  <c r="I22" i="5"/>
  <c r="P34" i="5"/>
  <c r="T34" i="5" s="1"/>
  <c r="X34" i="5" s="1"/>
  <c r="AB34" i="5" s="1"/>
  <c r="AF34" i="5" s="1"/>
  <c r="P85" i="5"/>
  <c r="T85" i="5" s="1"/>
  <c r="X85" i="5" s="1"/>
  <c r="AB85" i="5" s="1"/>
  <c r="AF85" i="5" s="1"/>
  <c r="P36" i="5"/>
  <c r="T36" i="5" s="1"/>
  <c r="X36" i="5" s="1"/>
  <c r="AB36" i="5" s="1"/>
  <c r="AF36" i="5" s="1"/>
  <c r="I104" i="5"/>
  <c r="L104" i="5" s="1"/>
  <c r="P104" i="5" s="1"/>
  <c r="T104" i="5" s="1"/>
  <c r="X104" i="5" s="1"/>
  <c r="AB104" i="5" s="1"/>
  <c r="AF104" i="5" s="1"/>
  <c r="I141" i="5"/>
  <c r="L141" i="5" s="1"/>
  <c r="P141" i="5" s="1"/>
  <c r="T141" i="5" s="1"/>
  <c r="X141" i="5" s="1"/>
  <c r="AB141" i="5" s="1"/>
  <c r="AF141" i="5" s="1"/>
  <c r="P111" i="5"/>
  <c r="T111" i="5" s="1"/>
  <c r="X111" i="5" s="1"/>
  <c r="AB111" i="5" s="1"/>
  <c r="AF111" i="5" s="1"/>
  <c r="L147" i="5"/>
  <c r="P147" i="5" s="1"/>
  <c r="T147" i="5" s="1"/>
  <c r="X147" i="5" s="1"/>
  <c r="AB147" i="5" s="1"/>
  <c r="AF147" i="5" s="1"/>
  <c r="P114" i="5"/>
  <c r="T114" i="5" s="1"/>
  <c r="X114" i="5" s="1"/>
  <c r="AB114" i="5" s="1"/>
  <c r="AF114" i="5" s="1"/>
  <c r="L108" i="5"/>
  <c r="P108" i="5" s="1"/>
  <c r="T108" i="5" s="1"/>
  <c r="X108" i="5" s="1"/>
  <c r="AB108" i="5" s="1"/>
  <c r="AF108" i="5" s="1"/>
  <c r="I86" i="5"/>
  <c r="L86" i="5" s="1"/>
  <c r="P86" i="5" s="1"/>
  <c r="T86" i="5" s="1"/>
  <c r="X86" i="5" s="1"/>
  <c r="AB86" i="5" s="1"/>
  <c r="AF86" i="5" s="1"/>
  <c r="P107" i="5"/>
  <c r="T107" i="5" s="1"/>
  <c r="X107" i="5" s="1"/>
  <c r="AB107" i="5" s="1"/>
  <c r="AF107" i="5" s="1"/>
  <c r="P109" i="5"/>
  <c r="T109" i="5" s="1"/>
  <c r="X109" i="5" s="1"/>
  <c r="AB109" i="5" s="1"/>
  <c r="AF109" i="5" s="1"/>
  <c r="P113" i="5"/>
  <c r="T113" i="5" s="1"/>
  <c r="X113" i="5" s="1"/>
  <c r="AB113" i="5" s="1"/>
  <c r="AF113" i="5" s="1"/>
  <c r="P80" i="5"/>
  <c r="T80" i="5" s="1"/>
  <c r="X80" i="5" s="1"/>
  <c r="AB80" i="5" s="1"/>
  <c r="AF80" i="5" s="1"/>
  <c r="P112" i="5"/>
  <c r="T112" i="5" s="1"/>
  <c r="X112" i="5" s="1"/>
  <c r="AB112" i="5" s="1"/>
  <c r="AF112" i="5" s="1"/>
  <c r="I29" i="5"/>
  <c r="I9" i="5"/>
  <c r="D7" i="5" l="1"/>
  <c r="O154" i="5"/>
  <c r="I8" i="5"/>
  <c r="L8" i="5" s="1"/>
  <c r="P8" i="5" s="1"/>
  <c r="T8" i="5" s="1"/>
  <c r="X8" i="5" s="1"/>
  <c r="AB8" i="5" s="1"/>
  <c r="AF8" i="5" s="1"/>
  <c r="E58" i="6"/>
  <c r="L9" i="5"/>
  <c r="P9" i="5" s="1"/>
  <c r="T9" i="5" s="1"/>
  <c r="X9" i="5" s="1"/>
  <c r="AB9" i="5" s="1"/>
  <c r="AF9" i="5" s="1"/>
  <c r="L45" i="5"/>
  <c r="P45" i="5" s="1"/>
  <c r="T45" i="5" s="1"/>
  <c r="X45" i="5" s="1"/>
  <c r="AB45" i="5" s="1"/>
  <c r="AF45" i="5" s="1"/>
  <c r="L29" i="5"/>
  <c r="P29" i="5" s="1"/>
  <c r="T29" i="5" s="1"/>
  <c r="X29" i="5" s="1"/>
  <c r="AB29" i="5" s="1"/>
  <c r="AF29" i="5" s="1"/>
  <c r="P140" i="5"/>
  <c r="T140" i="5" s="1"/>
  <c r="X140" i="5" s="1"/>
  <c r="AB140" i="5" s="1"/>
  <c r="AF140" i="5" s="1"/>
  <c r="L15" i="5"/>
  <c r="P15" i="5" s="1"/>
  <c r="T15" i="5" s="1"/>
  <c r="X15" i="5" s="1"/>
  <c r="AB15" i="5" s="1"/>
  <c r="AF15" i="5" s="1"/>
  <c r="L22" i="5"/>
  <c r="P22" i="5" s="1"/>
  <c r="T22" i="5" s="1"/>
  <c r="X22" i="5" s="1"/>
  <c r="AB22" i="5" s="1"/>
  <c r="AF22" i="5" s="1"/>
  <c r="N27" i="5"/>
  <c r="N153" i="5" s="1"/>
  <c r="M9" i="6" s="1"/>
  <c r="J154" i="5"/>
  <c r="J153" i="5"/>
  <c r="M8" i="6" s="1"/>
  <c r="G153" i="5"/>
  <c r="M7" i="6" s="1"/>
  <c r="C27" i="5"/>
  <c r="I28" i="5"/>
  <c r="L28" i="5" s="1"/>
  <c r="N154" i="5" l="1"/>
  <c r="P155" i="5" s="1"/>
  <c r="G154" i="5"/>
  <c r="C153" i="5"/>
  <c r="M6" i="6" s="1"/>
  <c r="E27" i="5"/>
  <c r="I27" i="5" s="1"/>
  <c r="L27" i="5" s="1"/>
  <c r="P27" i="5" s="1"/>
  <c r="P28" i="5"/>
  <c r="T28" i="5" s="1"/>
  <c r="X28" i="5" s="1"/>
  <c r="AB28" i="5" s="1"/>
  <c r="AF28" i="5" s="1"/>
  <c r="D151" i="5"/>
  <c r="T27" i="5" l="1"/>
  <c r="X27" i="5" s="1"/>
  <c r="AB27" i="5" s="1"/>
  <c r="AF27" i="5" s="1"/>
  <c r="M19" i="6"/>
  <c r="R19" i="6"/>
  <c r="D152" i="5"/>
  <c r="E151" i="5"/>
  <c r="C154" i="5"/>
  <c r="N19" i="6" l="1"/>
  <c r="O19" i="6"/>
  <c r="D154" i="5"/>
  <c r="E152" i="5"/>
  <c r="E154" i="5" l="1"/>
  <c r="E155" i="5"/>
  <c r="T19" i="6" l="1"/>
  <c r="D12" i="10" l="1"/>
  <c r="C15" i="10"/>
  <c r="D15" i="10" s="1"/>
  <c r="D144" i="6" l="1"/>
  <c r="K14" i="5" l="1"/>
  <c r="H20" i="5"/>
  <c r="H19" i="5" s="1"/>
  <c r="H14" i="5" l="1"/>
  <c r="I19" i="5"/>
  <c r="L19" i="5" s="1"/>
  <c r="P19" i="5" s="1"/>
  <c r="T19" i="5" s="1"/>
  <c r="X19" i="5" s="1"/>
  <c r="AB19" i="5" s="1"/>
  <c r="AF19" i="5" s="1"/>
  <c r="K7" i="5"/>
  <c r="K151" i="5" s="1"/>
  <c r="K152" i="5" s="1"/>
  <c r="K154" i="5" s="1"/>
  <c r="L155" i="5" s="1"/>
  <c r="I20" i="5"/>
  <c r="L20" i="5" s="1"/>
  <c r="P20" i="5" s="1"/>
  <c r="T20" i="5" s="1"/>
  <c r="X20" i="5" s="1"/>
  <c r="AB20" i="5" s="1"/>
  <c r="AF20" i="5" s="1"/>
  <c r="H7" i="5" l="1"/>
  <c r="I14" i="5"/>
  <c r="L14" i="5" s="1"/>
  <c r="P14" i="5" s="1"/>
  <c r="T14" i="5" s="1"/>
  <c r="X14" i="5" s="1"/>
  <c r="AB14" i="5" s="1"/>
  <c r="AF14" i="5" s="1"/>
  <c r="S19" i="6" l="1"/>
  <c r="I19" i="6"/>
  <c r="H151" i="5"/>
  <c r="I7" i="5"/>
  <c r="L7" i="5" s="1"/>
  <c r="P7" i="5" s="1"/>
  <c r="T7" i="5" s="1"/>
  <c r="X7" i="5" s="1"/>
  <c r="AB7" i="5" s="1"/>
  <c r="AF7" i="5" s="1"/>
  <c r="H152" i="5" l="1"/>
  <c r="I151" i="5"/>
  <c r="L151" i="5" s="1"/>
  <c r="P151" i="5" s="1"/>
  <c r="T151" i="5" s="1"/>
  <c r="X151" i="5" s="1"/>
  <c r="AB151" i="5" s="1"/>
  <c r="AF151" i="5" s="1"/>
  <c r="I152" i="5" l="1"/>
  <c r="L152" i="5" s="1"/>
  <c r="P152" i="5" s="1"/>
  <c r="T152" i="5" s="1"/>
  <c r="X152" i="5" s="1"/>
  <c r="AB152" i="5" s="1"/>
  <c r="AF152" i="5" s="1"/>
  <c r="I155" i="5" l="1"/>
  <c r="I154" i="5"/>
  <c r="L154" i="5" s="1"/>
  <c r="P154" i="5" l="1"/>
  <c r="T154" i="5" s="1"/>
  <c r="L153" i="5"/>
  <c r="P153" i="5" s="1"/>
  <c r="X154" i="5"/>
  <c r="T153" i="5" l="1"/>
  <c r="AB154" i="5"/>
  <c r="AF154" i="5" s="1"/>
  <c r="X153" i="5"/>
  <c r="AB153" i="5" l="1"/>
  <c r="AF153" i="5" s="1"/>
  <c r="D105" i="9"/>
  <c r="D104" i="9" s="1"/>
  <c r="E103" i="9" s="1"/>
  <c r="E111" i="9" s="1"/>
  <c r="E113" i="9" l="1"/>
  <c r="E116" i="9"/>
</calcChain>
</file>

<file path=xl/comments1.xml><?xml version="1.0" encoding="utf-8"?>
<comments xmlns="http://schemas.openxmlformats.org/spreadsheetml/2006/main">
  <authors>
    <author>Monica Johana Villamizar Ochoa</author>
  </authors>
  <commentList>
    <comment ref="D14" authorId="0" shapeId="0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ESTE VALOR NO VA SUMADO EN EL BALANCE
</t>
        </r>
      </text>
    </comment>
  </commentList>
</comments>
</file>

<file path=xl/sharedStrings.xml><?xml version="1.0" encoding="utf-8"?>
<sst xmlns="http://schemas.openxmlformats.org/spreadsheetml/2006/main" count="587" uniqueCount="399">
  <si>
    <t>EQUIORIENTE LTDA</t>
  </si>
  <si>
    <t>Cuenta</t>
  </si>
  <si>
    <t>Cód.</t>
  </si>
  <si>
    <t>Nombre</t>
  </si>
  <si>
    <t xml:space="preserve">Débitos </t>
  </si>
  <si>
    <t xml:space="preserve">Créditos </t>
  </si>
  <si>
    <t xml:space="preserve">Saldo actual </t>
  </si>
  <si>
    <t>4</t>
  </si>
  <si>
    <t>INGRESOS</t>
  </si>
  <si>
    <t>41</t>
  </si>
  <si>
    <t>Operacionales</t>
  </si>
  <si>
    <t>4155</t>
  </si>
  <si>
    <t>Actividades inmobiliarias, empresariales y de alquiler</t>
  </si>
  <si>
    <t>415520</t>
  </si>
  <si>
    <t>Transporte</t>
  </si>
  <si>
    <t>42</t>
  </si>
  <si>
    <t>No operacionales</t>
  </si>
  <si>
    <t>4210</t>
  </si>
  <si>
    <t>Financieros</t>
  </si>
  <si>
    <t>421005</t>
  </si>
  <si>
    <t>Intereses</t>
  </si>
  <si>
    <t>4220</t>
  </si>
  <si>
    <t>ARRENDAMIENTOS APARTAMENTOS</t>
  </si>
  <si>
    <t>422010</t>
  </si>
  <si>
    <t>Apartamentos Arrendados</t>
  </si>
  <si>
    <t>4235</t>
  </si>
  <si>
    <t>Servicios</t>
  </si>
  <si>
    <t>423510</t>
  </si>
  <si>
    <t>VENTAS SIN IVA</t>
  </si>
  <si>
    <t>5</t>
  </si>
  <si>
    <t>GASTOS</t>
  </si>
  <si>
    <t>51</t>
  </si>
  <si>
    <t>Operacionales de administración</t>
  </si>
  <si>
    <t>5105</t>
  </si>
  <si>
    <t>Gastos de personal</t>
  </si>
  <si>
    <t>510506</t>
  </si>
  <si>
    <t>Sueldos</t>
  </si>
  <si>
    <t>510527</t>
  </si>
  <si>
    <t>Auxilio de transporte</t>
  </si>
  <si>
    <t>510530</t>
  </si>
  <si>
    <t>Cesantías</t>
  </si>
  <si>
    <t>510533</t>
  </si>
  <si>
    <t>Intereses sobre cesantías</t>
  </si>
  <si>
    <t>510536</t>
  </si>
  <si>
    <t>Prima de servicios</t>
  </si>
  <si>
    <t>510539</t>
  </si>
  <si>
    <t>Vacaciones</t>
  </si>
  <si>
    <t>510545</t>
  </si>
  <si>
    <t>Auxilios</t>
  </si>
  <si>
    <t>510551</t>
  </si>
  <si>
    <t>510568</t>
  </si>
  <si>
    <t>Aportes a administradoras de riesgos profesionales arp</t>
  </si>
  <si>
    <t>510569</t>
  </si>
  <si>
    <t>Aportes a entidades promotoras de salud eps</t>
  </si>
  <si>
    <t>510570</t>
  </si>
  <si>
    <t>Aportes a fondos de pensiones y/o cesantías</t>
  </si>
  <si>
    <t>510572</t>
  </si>
  <si>
    <t>Aportes cajas de compensación familiar</t>
  </si>
  <si>
    <t>5110</t>
  </si>
  <si>
    <t>Honorarios</t>
  </si>
  <si>
    <t>511030</t>
  </si>
  <si>
    <t>Asesoría financiera</t>
  </si>
  <si>
    <t>5115</t>
  </si>
  <si>
    <t>Impuestos</t>
  </si>
  <si>
    <t>511540</t>
  </si>
  <si>
    <t>De vehículos</t>
  </si>
  <si>
    <t>5120</t>
  </si>
  <si>
    <t>Arrendamientos</t>
  </si>
  <si>
    <t>512010</t>
  </si>
  <si>
    <t>Construcciones y edificaciones</t>
  </si>
  <si>
    <t>5130</t>
  </si>
  <si>
    <t>Seguros</t>
  </si>
  <si>
    <t>513095</t>
  </si>
  <si>
    <t>Otros</t>
  </si>
  <si>
    <t>5135</t>
  </si>
  <si>
    <t>513505</t>
  </si>
  <si>
    <t>Aseo y vigilancia</t>
  </si>
  <si>
    <t>513510</t>
  </si>
  <si>
    <t>Temporales</t>
  </si>
  <si>
    <t>513525</t>
  </si>
  <si>
    <t>Acueducto y alcantarillado</t>
  </si>
  <si>
    <t>513530</t>
  </si>
  <si>
    <t>Energía eléctrica</t>
  </si>
  <si>
    <t>513535</t>
  </si>
  <si>
    <t>5140</t>
  </si>
  <si>
    <t>Gastos legales</t>
  </si>
  <si>
    <t>514010</t>
  </si>
  <si>
    <t>Registro mercantil</t>
  </si>
  <si>
    <t>514015</t>
  </si>
  <si>
    <t>Trámites y licencias</t>
  </si>
  <si>
    <t>5145</t>
  </si>
  <si>
    <t>Mantenimiento y reparaciones</t>
  </si>
  <si>
    <t>514515</t>
  </si>
  <si>
    <t>Maquinaria y equipo</t>
  </si>
  <si>
    <t>514520</t>
  </si>
  <si>
    <t>Equipo de oficina</t>
  </si>
  <si>
    <t>514540</t>
  </si>
  <si>
    <t>Flota y equipo de transportes</t>
  </si>
  <si>
    <t>5150</t>
  </si>
  <si>
    <t>Adecuación e instalación</t>
  </si>
  <si>
    <t>515095</t>
  </si>
  <si>
    <t>5195</t>
  </si>
  <si>
    <t>Diversos</t>
  </si>
  <si>
    <t>519520</t>
  </si>
  <si>
    <t>Gastos de representación y relaciones públicas</t>
  </si>
  <si>
    <t>519525</t>
  </si>
  <si>
    <t>Elementos de aseo y cafetería</t>
  </si>
  <si>
    <t>519530</t>
  </si>
  <si>
    <t>Utiles, papelería y fotocopias</t>
  </si>
  <si>
    <t>519535</t>
  </si>
  <si>
    <t>Combustibles Turbo</t>
  </si>
  <si>
    <t>519545</t>
  </si>
  <si>
    <t>Taxis y buses</t>
  </si>
  <si>
    <t>519555</t>
  </si>
  <si>
    <t>Peajes</t>
  </si>
  <si>
    <t>519560</t>
  </si>
  <si>
    <t>Casino y restaurante</t>
  </si>
  <si>
    <t>519565</t>
  </si>
  <si>
    <t>Parqueaderos</t>
  </si>
  <si>
    <t>519595</t>
  </si>
  <si>
    <t>53</t>
  </si>
  <si>
    <t>5305</t>
  </si>
  <si>
    <t>530505</t>
  </si>
  <si>
    <t>Gastos bancarios</t>
  </si>
  <si>
    <t>530515</t>
  </si>
  <si>
    <t>Comisiones</t>
  </si>
  <si>
    <t>530525</t>
  </si>
  <si>
    <t>4 X MIL</t>
  </si>
  <si>
    <t>530540</t>
  </si>
  <si>
    <t>5315</t>
  </si>
  <si>
    <t>Gastos extraordinarios</t>
  </si>
  <si>
    <t>531520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</si>
  <si>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</si>
  <si>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</si>
  <si>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</si>
  <si>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</si>
  <si>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</si>
  <si>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</si>
  <si>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</si>
  <si>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</si>
  <si>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</si>
  <si>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</si>
  <si>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</si>
  <si>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</si>
  <si>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</si>
  <si>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</si>
  <si>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</si>
  <si>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</si>
  <si>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</si>
  <si>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</si>
  <si>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>514005</t>
  </si>
  <si>
    <t>514095</t>
  </si>
  <si>
    <t>514525</t>
  </si>
  <si>
    <t>519540</t>
  </si>
  <si>
    <t>52</t>
  </si>
  <si>
    <t>5215</t>
  </si>
  <si>
    <t>521595</t>
  </si>
  <si>
    <t>5220</t>
  </si>
  <si>
    <t>522015</t>
  </si>
  <si>
    <t>5245</t>
  </si>
  <si>
    <t>524510</t>
  </si>
  <si>
    <t>530535</t>
  </si>
  <si>
    <t>511505</t>
  </si>
  <si>
    <t xml:space="preserve">A la propiedad raiz </t>
  </si>
  <si>
    <t xml:space="preserve">Otros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</si>
  <si>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</si>
  <si>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</si>
  <si>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</si>
  <si>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</si>
  <si>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</si>
  <si>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</si>
  <si>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</si>
  <si>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>AFILIACIONES Y CONTRIBUCIONES</t>
  </si>
  <si>
    <t xml:space="preserve">DIVERSOS </t>
  </si>
  <si>
    <t>Comisiones inmobiliaria</t>
  </si>
  <si>
    <t xml:space="preserve">Maquinaria y equipo </t>
  </si>
  <si>
    <t>MES</t>
  </si>
  <si>
    <t>VENTAS FISCALES 2018</t>
  </si>
  <si>
    <t>VENTAS FISCALES 2017</t>
  </si>
  <si>
    <t>VENTAS SIN IVA 2018</t>
  </si>
  <si>
    <t>VENTAS SIN IVA 2017</t>
  </si>
  <si>
    <t>GASTOS  2018</t>
  </si>
  <si>
    <t>GASTOS 2017</t>
  </si>
  <si>
    <t xml:space="preserve">TOTAL </t>
  </si>
  <si>
    <t xml:space="preserve">ENERO </t>
  </si>
  <si>
    <t xml:space="preserve">FEBRERO </t>
  </si>
  <si>
    <t>MARZO</t>
  </si>
  <si>
    <t xml:space="preserve">ABRIL </t>
  </si>
  <si>
    <t xml:space="preserve">MAYO </t>
  </si>
  <si>
    <t xml:space="preserve">JUNIO </t>
  </si>
  <si>
    <t>JULIO</t>
  </si>
  <si>
    <t>AGOSTO</t>
  </si>
  <si>
    <t>SEPTIEMBRE</t>
  </si>
  <si>
    <t xml:space="preserve">OCTUBRE </t>
  </si>
  <si>
    <t xml:space="preserve">NOVIEMBRE </t>
  </si>
  <si>
    <t xml:space="preserve">DICIEMBRE </t>
  </si>
  <si>
    <t>DICIEMBRE</t>
  </si>
  <si>
    <t>UTILIDAD 2018</t>
  </si>
  <si>
    <t>UTILIDAD  2017</t>
  </si>
  <si>
    <t>VENTAS FISCALES 2019</t>
  </si>
  <si>
    <t>VENTAS SIN IVA 2019</t>
  </si>
  <si>
    <t>GASTOS  2019</t>
  </si>
  <si>
    <t>UTILIDAD 2019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</si>
  <si>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</si>
  <si>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</si>
  <si>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</si>
  <si>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</si>
  <si>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</si>
  <si>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</si>
  <si>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</si>
  <si>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</si>
  <si>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</si>
  <si>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</si>
  <si>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</si>
  <si>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</si>
  <si>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</si>
  <si>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</si>
  <si>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</si>
  <si>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13</t>
  </si>
  <si>
    <t>Cuentas por cobrar (instrumentos financieros)</t>
  </si>
  <si>
    <t>1305</t>
  </si>
  <si>
    <t>Clientes</t>
  </si>
  <si>
    <t>130505</t>
  </si>
  <si>
    <t>Nacionales</t>
  </si>
  <si>
    <t xml:space="preserve">Fenix Constructores </t>
  </si>
  <si>
    <t>130515</t>
  </si>
  <si>
    <t>Deudores facturacion sin iva</t>
  </si>
  <si>
    <t xml:space="preserve">Miriam Serrano 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</si>
  <si>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</si>
  <si>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</si>
  <si>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</si>
  <si>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</si>
  <si>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</si>
  <si>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</si>
  <si>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135517</t>
  </si>
  <si>
    <t>Impuesto a las ventas retenido</t>
  </si>
  <si>
    <t>13559006</t>
  </si>
  <si>
    <t>14</t>
  </si>
  <si>
    <t>Inventarios</t>
  </si>
  <si>
    <t>1435</t>
  </si>
  <si>
    <t>Mercancías no fabricadas por la empresa</t>
  </si>
  <si>
    <t>15</t>
  </si>
  <si>
    <t>Propiedades planta y equipo</t>
  </si>
  <si>
    <t>1512</t>
  </si>
  <si>
    <t>Maquinaria y equipos en montaje</t>
  </si>
  <si>
    <t>151210</t>
  </si>
  <si>
    <t>1516</t>
  </si>
  <si>
    <t>151605</t>
  </si>
  <si>
    <t xml:space="preserve">Apto sion </t>
  </si>
  <si>
    <t>151610</t>
  </si>
  <si>
    <t>Apto tamara</t>
  </si>
  <si>
    <t>1524</t>
  </si>
  <si>
    <t>152410</t>
  </si>
  <si>
    <t>Equipos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</si>
  <si>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</si>
  <si>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</si>
  <si>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</si>
  <si>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</si>
  <si>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</si>
  <si>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</si>
  <si>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</si>
  <si>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</si>
  <si>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</si>
  <si>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16</t>
  </si>
  <si>
    <t>Intangibles</t>
  </si>
  <si>
    <t>1635</t>
  </si>
  <si>
    <t>Licencias</t>
  </si>
  <si>
    <t xml:space="preserve">TOTAL ACTIVO </t>
  </si>
  <si>
    <t>2365</t>
  </si>
  <si>
    <t>236525</t>
  </si>
  <si>
    <t>2370</t>
  </si>
  <si>
    <t>Retenciones y aportes de nómina</t>
  </si>
  <si>
    <t>237005</t>
  </si>
  <si>
    <t>Aportes a entidades promotoras de salud EPS</t>
  </si>
  <si>
    <t>237006</t>
  </si>
  <si>
    <t>237010</t>
  </si>
  <si>
    <t>Aportes al i.c.b.f, sena y cajas compensación</t>
  </si>
  <si>
    <t>2380</t>
  </si>
  <si>
    <t>Acreedores varios</t>
  </si>
  <si>
    <t>238030</t>
  </si>
  <si>
    <t>Fondos de cesantías y/o pensiones</t>
  </si>
  <si>
    <t>24</t>
  </si>
  <si>
    <t>Impuestos, gravámenes y tasas</t>
  </si>
  <si>
    <t>2408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</si>
  <si>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</si>
  <si>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</si>
  <si>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</si>
  <si>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</si>
  <si>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</si>
  <si>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</si>
  <si>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</si>
  <si>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>PROVEEDORES</t>
  </si>
  <si>
    <t>Proveedores por debajo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</si>
  <si>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</si>
  <si>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</si>
  <si>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</si>
  <si>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</si>
  <si>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</si>
  <si>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</si>
  <si>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</si>
  <si>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</si>
  <si>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Capital autorizado</t>
  </si>
  <si>
    <t>36</t>
  </si>
  <si>
    <t>Resultados del ejercicio</t>
  </si>
  <si>
    <t>3605</t>
  </si>
  <si>
    <t>360501</t>
  </si>
  <si>
    <t xml:space="preserve">UTILIDAD DEL EJERCICIO ANTERIORES </t>
  </si>
  <si>
    <t>Utilidad de ejercicios anteriores</t>
  </si>
  <si>
    <t xml:space="preserve">TOTAL PATRIMONIO </t>
  </si>
  <si>
    <t>TOTAL PATRIMONIO  Y PASIVO</t>
  </si>
  <si>
    <t>UTILIDAD ACUMULADA DEL CUATRIMESTRE</t>
  </si>
  <si>
    <t xml:space="preserve">industria y comercio </t>
  </si>
  <si>
    <t>Autorretencion de renta</t>
  </si>
  <si>
    <t>EXOGENA</t>
  </si>
  <si>
    <t xml:space="preserve">Horas extras </t>
  </si>
  <si>
    <t xml:space="preserve">servicios </t>
  </si>
  <si>
    <t>inmuebles</t>
  </si>
  <si>
    <t>intereses prestamos socios</t>
  </si>
  <si>
    <t>Olga gomez (metalmartinez)</t>
  </si>
  <si>
    <t>Liquidez</t>
  </si>
  <si>
    <t>Activos Circulantes</t>
  </si>
  <si>
    <t>Pasivos Circulantes</t>
  </si>
  <si>
    <t>Razón de Endeudamiento</t>
  </si>
  <si>
    <t>Deudas Totales</t>
  </si>
  <si>
    <t>Activos totales</t>
  </si>
  <si>
    <t>Ventas</t>
  </si>
  <si>
    <t>Razones Financieras</t>
  </si>
  <si>
    <t>Prueba Acida</t>
  </si>
  <si>
    <t>Activos Circulantes - Inventarios</t>
  </si>
  <si>
    <t>Administración de Activos</t>
  </si>
  <si>
    <t>Rotación Activos Fijos</t>
  </si>
  <si>
    <t>Activos Fijos Netos</t>
  </si>
  <si>
    <t>Rotación Activos Totales</t>
  </si>
  <si>
    <t>Activos Totales</t>
  </si>
  <si>
    <t>Administración de Deudas</t>
  </si>
  <si>
    <t xml:space="preserve">UTILIDAD 2018 </t>
  </si>
  <si>
    <t xml:space="preserve">UTILIDAD 2019 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</si>
  <si>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</si>
  <si>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</si>
  <si>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</si>
  <si>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</si>
  <si>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</si>
  <si>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</si>
  <si>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</si>
  <si>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</si>
  <si>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>Autorretencion</t>
  </si>
  <si>
    <t xml:space="preserve">Industria y comercio </t>
  </si>
  <si>
    <t xml:space="preserve">UTILIDAD MENSUAL </t>
  </si>
  <si>
    <t>ENERO</t>
  </si>
  <si>
    <t xml:space="preserve">MARZO </t>
  </si>
  <si>
    <t>Drogas y medicamentos</t>
  </si>
  <si>
    <t xml:space="preserve">Clientes varios </t>
  </si>
  <si>
    <t xml:space="preserve">Prima </t>
  </si>
  <si>
    <t>VENTAS FISCALES 2020</t>
  </si>
  <si>
    <t>VENTAS SIN IVA 2020</t>
  </si>
  <si>
    <t>GASTOS 2020</t>
  </si>
  <si>
    <t>UTILIDAD 2020</t>
  </si>
  <si>
    <t>GASTOS  2020</t>
  </si>
  <si>
    <t>FUMIGACION</t>
  </si>
  <si>
    <t xml:space="preserve">Retención en la fuente </t>
  </si>
  <si>
    <t xml:space="preserve">Reteica </t>
  </si>
  <si>
    <t>Davivienda</t>
  </si>
  <si>
    <t>INFORMES AÑO 2021</t>
  </si>
  <si>
    <t>Mov. 02/01/2021 a 31/01/2021</t>
  </si>
  <si>
    <t>Saldos a 31/01/1</t>
  </si>
  <si>
    <t>Mov. 01/02/2021 a 28/02/2021</t>
  </si>
  <si>
    <t>Saldos a 28/02/2021</t>
  </si>
  <si>
    <t>Saldos a 31/03/2021</t>
  </si>
  <si>
    <t>Mov. 01/03/2021 a 31/03/2021</t>
  </si>
  <si>
    <t>Mov. 01/04/2021 a 30/04/2021</t>
  </si>
  <si>
    <t>Saldos a 30/04/2021</t>
  </si>
  <si>
    <t>VENTAS FISCALES 2021</t>
  </si>
  <si>
    <t>VENTAS SIN IVA 2021</t>
  </si>
  <si>
    <t>GASTOS 2021</t>
  </si>
  <si>
    <t>UTILIDAD 2021</t>
  </si>
  <si>
    <t xml:space="preserve">Perdida del ejercicio </t>
  </si>
  <si>
    <t>GASTOS  2021</t>
  </si>
  <si>
    <t>la empresa roto su activo el 0,38</t>
  </si>
  <si>
    <t>la empresa roto su activo totales el 0,23</t>
  </si>
  <si>
    <t>GASTOS PERSONAL FISCAl y no fiscal</t>
  </si>
  <si>
    <t>c vvvvvv</t>
  </si>
  <si>
    <t>MAYO</t>
  </si>
  <si>
    <t>FECHA: 30 AGOSTO  DE 2021</t>
  </si>
  <si>
    <t>DEPRECIACION ANUAL</t>
  </si>
  <si>
    <t>Construcasa</t>
  </si>
  <si>
    <t>gonzalez bohorque</t>
  </si>
  <si>
    <t>la empresa de los activos debe el 0,010</t>
  </si>
  <si>
    <t>con el activo que tenemos hay el 68,36% para pagar el pasivo</t>
  </si>
  <si>
    <t>La empresa cuenta con el 96,11% de respaldo de los activos</t>
  </si>
  <si>
    <t>TOTAL</t>
  </si>
  <si>
    <t>GASTOS 2019</t>
  </si>
  <si>
    <t>GASTOS 2018</t>
  </si>
  <si>
    <t>UTILIDAD  2019</t>
  </si>
  <si>
    <t>UTILIDAD 2017</t>
  </si>
  <si>
    <t>VENTA ACUMULADA 2021</t>
  </si>
  <si>
    <t>VENTA ACUMULADA 2020</t>
  </si>
  <si>
    <t>VENTA ACUMULADA 2019</t>
  </si>
  <si>
    <t>VENTA ACUMULADA 2018</t>
  </si>
  <si>
    <t>VENTA ACUMULADA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</si>
</sst>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5" formatCode="&quot;$&quot;\ #,##0;\-&quot;$&quot;\ #,##0"/>
    <numFmt numFmtId="7" formatCode="&quot;$&quot;\ #,##0.00;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  <numFmt numFmtId="177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b/>
      <sz val="10"/>
      <name val="MS Sans Serif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 val="singleAccounting"/>
      <sz val="10"/>
      <name val="Arial"/>
      <family val="2"/>
    </font>
    <font>
      <sz val="8"/>
      <name val="MS Sans Serif"/>
      <charset val="1"/>
    </font>
    <font>
      <sz val="8"/>
      <name val="MS Sans Serif"/>
    </font>
    <font>
      <sz val="11"/>
      <color theme="0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  <bgColor indexed="64"/>
      </patternFill>
    </fill>
  </fills>
  <borders count="5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1"/>
      </top>
      <bottom style="medium">
        <color indexed="64"/>
      </bottom>
      <diagonal/>
    </border>
    <border>
      <left/>
      <right/>
      <top style="thin">
        <color indexed="6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>
      <alignment vertical="top"/>
    </xf>
    <xf numFmtId="0" fontId="23" fillId="0" borderId="0"/>
    <xf numFmtId="169" fontId="23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4">
    <xf numFmtId="0" fontId="0" fillId="0" borderId="0" xfId="0"/>
    <xf numFmtId="0" fontId="1" fillId="0" borderId="0" xfId="1"/>
    <xf numFmtId="0" fontId="1" fillId="0" borderId="10" xfId="1" applyBorder="1"/>
    <xf numFmtId="0" fontId="1" fillId="0" borderId="12" xfId="1" applyBorder="1"/>
    <xf numFmtId="0" fontId="1" fillId="3" borderId="13" xfId="1" applyFill="1" applyBorder="1"/>
    <xf numFmtId="165" fontId="0" fillId="0" borderId="0" xfId="0" applyNumberFormat="1"/>
    <xf numFmtId="7" fontId="0" fillId="0" borderId="0" xfId="0" applyNumberFormat="1"/>
    <xf numFmtId="7" fontId="2" fillId="0" borderId="0" xfId="1" applyNumberFormat="1" applyFont="1" applyAlignment="1">
      <alignment horizontal="righ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7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right" vertical="top" wrapText="1"/>
    </xf>
    <xf numFmtId="0" fontId="6" fillId="2" borderId="3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right" vertical="top" wrapText="1"/>
    </xf>
    <xf numFmtId="7" fontId="2" fillId="3" borderId="2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7" fontId="2" fillId="0" borderId="8" xfId="1" applyNumberFormat="1" applyFont="1" applyBorder="1" applyAlignment="1">
      <alignment horizontal="right" vertical="top" wrapText="1"/>
    </xf>
    <xf numFmtId="7" fontId="2" fillId="0" borderId="2" xfId="1" applyNumberFormat="1" applyFont="1" applyBorder="1" applyAlignment="1">
      <alignment horizontal="right" vertical="top" wrapText="1"/>
    </xf>
    <xf numFmtId="0" fontId="2" fillId="0" borderId="9" xfId="1" applyFont="1" applyBorder="1" applyAlignment="1">
      <alignment horizontal="center" vertical="top" wrapText="1"/>
    </xf>
    <xf numFmtId="0" fontId="3" fillId="0" borderId="9" xfId="1" applyFont="1" applyBorder="1" applyAlignment="1">
      <alignment horizontal="left" vertical="top" wrapText="1"/>
    </xf>
    <xf numFmtId="7" fontId="2" fillId="4" borderId="2" xfId="1" applyNumberFormat="1" applyFont="1" applyFill="1" applyBorder="1" applyAlignment="1">
      <alignment horizontal="right" vertical="top" wrapText="1"/>
    </xf>
    <xf numFmtId="7" fontId="2" fillId="5" borderId="8" xfId="1" applyNumberFormat="1" applyFont="1" applyFill="1" applyBorder="1" applyAlignment="1">
      <alignment horizontal="right" vertical="top" wrapText="1"/>
    </xf>
    <xf numFmtId="7" fontId="2" fillId="0" borderId="4" xfId="1" applyNumberFormat="1" applyFont="1" applyBorder="1" applyAlignment="1">
      <alignment horizontal="right" vertical="top" wrapText="1"/>
    </xf>
    <xf numFmtId="0" fontId="2" fillId="0" borderId="12" xfId="1" applyFont="1" applyBorder="1" applyAlignment="1">
      <alignment horizontal="left" vertical="top" wrapText="1"/>
    </xf>
    <xf numFmtId="0" fontId="2" fillId="3" borderId="14" xfId="1" applyFont="1" applyFill="1" applyBorder="1" applyAlignment="1">
      <alignment horizontal="left" vertical="top" wrapText="1"/>
    </xf>
    <xf numFmtId="7" fontId="2" fillId="3" borderId="15" xfId="1" applyNumberFormat="1" applyFont="1" applyFill="1" applyBorder="1" applyAlignment="1">
      <alignment horizontal="right" vertical="top" wrapText="1"/>
    </xf>
    <xf numFmtId="0" fontId="0" fillId="0" borderId="0" xfId="0" applyFill="1"/>
    <xf numFmtId="7" fontId="2" fillId="0" borderId="8" xfId="1" applyNumberFormat="1" applyFont="1" applyFill="1" applyBorder="1" applyAlignment="1">
      <alignment horizontal="right" vertical="top" wrapText="1"/>
    </xf>
    <xf numFmtId="7" fontId="2" fillId="0" borderId="2" xfId="1" applyNumberFormat="1" applyFont="1" applyFill="1" applyBorder="1" applyAlignment="1">
      <alignment horizontal="right" vertical="top" wrapText="1"/>
    </xf>
    <xf numFmtId="0" fontId="2" fillId="0" borderId="9" xfId="1" applyFont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  <xf numFmtId="0" fontId="2" fillId="0" borderId="8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center" vertical="top" wrapText="1"/>
    </xf>
    <xf numFmtId="0" fontId="3" fillId="0" borderId="9" xfId="1" applyFont="1" applyFill="1" applyBorder="1" applyAlignment="1">
      <alignment horizontal="left" vertical="top" wrapText="1"/>
    </xf>
    <xf numFmtId="0" fontId="2" fillId="6" borderId="8" xfId="1" applyFont="1" applyFill="1" applyBorder="1" applyAlignment="1">
      <alignment horizontal="left" vertical="top" wrapText="1"/>
    </xf>
    <xf numFmtId="0" fontId="2" fillId="6" borderId="9" xfId="1" applyFont="1" applyFill="1" applyBorder="1" applyAlignment="1">
      <alignment horizontal="left" vertical="top" wrapText="1"/>
    </xf>
    <xf numFmtId="7" fontId="2" fillId="6" borderId="2" xfId="1" applyNumberFormat="1" applyFont="1" applyFill="1" applyBorder="1" applyAlignment="1">
      <alignment horizontal="right" vertical="top" wrapText="1"/>
    </xf>
    <xf numFmtId="0" fontId="2" fillId="6" borderId="9" xfId="1" applyFont="1" applyFill="1" applyBorder="1" applyAlignment="1">
      <alignment horizontal="center" vertical="top" wrapText="1"/>
    </xf>
    <xf numFmtId="7" fontId="2" fillId="6" borderId="8" xfId="1" applyNumberFormat="1" applyFont="1" applyFill="1" applyBorder="1" applyAlignment="1">
      <alignment horizontal="right" vertical="top" wrapText="1"/>
    </xf>
    <xf numFmtId="7" fontId="2" fillId="7" borderId="2" xfId="1" applyNumberFormat="1" applyFont="1" applyFill="1" applyBorder="1" applyAlignment="1">
      <alignment horizontal="right" vertical="top" wrapText="1"/>
    </xf>
    <xf numFmtId="0" fontId="1" fillId="0" borderId="26" xfId="1" applyBorder="1"/>
    <xf numFmtId="0" fontId="1" fillId="0" borderId="25" xfId="1" applyBorder="1"/>
    <xf numFmtId="0" fontId="1" fillId="0" borderId="27" xfId="1" applyBorder="1"/>
    <xf numFmtId="3" fontId="3" fillId="0" borderId="16" xfId="1" applyNumberFormat="1" applyFont="1" applyBorder="1" applyAlignment="1">
      <alignment vertical="top" wrapText="1"/>
    </xf>
    <xf numFmtId="3" fontId="3" fillId="0" borderId="28" xfId="1" applyNumberFormat="1" applyFont="1" applyBorder="1" applyAlignment="1">
      <alignment vertical="top" wrapText="1"/>
    </xf>
    <xf numFmtId="3" fontId="3" fillId="0" borderId="29" xfId="1" applyNumberFormat="1" applyFont="1" applyBorder="1" applyAlignment="1">
      <alignment vertical="top" wrapText="1"/>
    </xf>
    <xf numFmtId="3" fontId="8" fillId="0" borderId="30" xfId="2" applyNumberFormat="1" applyFont="1" applyBorder="1"/>
    <xf numFmtId="3" fontId="3" fillId="0" borderId="31" xfId="1" applyNumberFormat="1" applyFont="1" applyBorder="1" applyAlignment="1">
      <alignment horizontal="center" vertical="top" wrapText="1"/>
    </xf>
    <xf numFmtId="3" fontId="3" fillId="0" borderId="32" xfId="1" applyNumberFormat="1" applyFont="1" applyBorder="1" applyAlignment="1">
      <alignment horizontal="center" vertical="top" wrapText="1"/>
    </xf>
    <xf numFmtId="166" fontId="8" fillId="0" borderId="30" xfId="4" applyNumberFormat="1" applyFont="1" applyBorder="1"/>
    <xf numFmtId="3" fontId="3" fillId="0" borderId="33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13" xfId="1" applyBorder="1"/>
    <xf numFmtId="0" fontId="1" fillId="0" borderId="34" xfId="1" applyBorder="1"/>
    <xf numFmtId="0" fontId="1" fillId="0" borderId="35" xfId="1" applyBorder="1"/>
    <xf numFmtId="3" fontId="3" fillId="0" borderId="36" xfId="1" applyNumberFormat="1" applyFont="1" applyBorder="1" applyAlignment="1">
      <alignment vertical="top" wrapText="1"/>
    </xf>
    <xf numFmtId="3" fontId="3" fillId="0" borderId="37" xfId="1" applyNumberFormat="1" applyFont="1" applyBorder="1" applyAlignment="1">
      <alignment vertical="top" wrapText="1"/>
    </xf>
    <xf numFmtId="3" fontId="3" fillId="0" borderId="38" xfId="1" applyNumberFormat="1" applyFont="1" applyBorder="1" applyAlignment="1">
      <alignment vertical="top" wrapText="1"/>
    </xf>
    <xf numFmtId="3" fontId="0" fillId="0" borderId="30" xfId="3" applyNumberFormat="1" applyFont="1" applyBorder="1"/>
    <xf numFmtId="3" fontId="0" fillId="0" borderId="39" xfId="3" applyNumberFormat="1" applyFont="1" applyBorder="1"/>
    <xf numFmtId="3" fontId="1" fillId="0" borderId="40" xfId="1" applyNumberFormat="1" applyBorder="1"/>
    <xf numFmtId="3" fontId="1" fillId="0" borderId="41" xfId="1" applyNumberFormat="1" applyBorder="1"/>
    <xf numFmtId="3" fontId="3" fillId="0" borderId="0" xfId="1" applyNumberFormat="1" applyFont="1" applyAlignment="1">
      <alignment vertical="top" wrapText="1"/>
    </xf>
    <xf numFmtId="167" fontId="8" fillId="0" borderId="30" xfId="2" applyNumberFormat="1" applyFont="1" applyBorder="1"/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42" xfId="2" applyNumberFormat="1" applyFont="1" applyBorder="1"/>
    <xf numFmtId="167" fontId="8" fillId="0" borderId="43" xfId="2" applyNumberFormat="1" applyFont="1" applyBorder="1"/>
    <xf numFmtId="3" fontId="2" fillId="0" borderId="42" xfId="1" applyNumberFormat="1" applyFont="1" applyBorder="1" applyAlignment="1">
      <alignment horizontal="right" vertical="top" wrapText="1"/>
    </xf>
    <xf numFmtId="167" fontId="8" fillId="0" borderId="44" xfId="2" applyNumberFormat="1" applyFont="1" applyBorder="1"/>
    <xf numFmtId="168" fontId="1" fillId="0" borderId="40" xfId="1" applyNumberFormat="1" applyBorder="1"/>
    <xf numFmtId="168" fontId="1" fillId="0" borderId="0" xfId="1" applyNumberFormat="1"/>
    <xf numFmtId="3" fontId="2" fillId="0" borderId="30" xfId="1" applyNumberFormat="1" applyFont="1" applyBorder="1" applyAlignment="1">
      <alignment horizontal="right" vertical="top" wrapText="1"/>
    </xf>
    <xf numFmtId="3" fontId="2" fillId="0" borderId="0" xfId="1" applyNumberFormat="1" applyFont="1" applyBorder="1" applyAlignment="1">
      <alignment horizontal="right" vertical="top" wrapText="1"/>
    </xf>
    <xf numFmtId="3" fontId="3" fillId="0" borderId="30" xfId="1" applyNumberFormat="1" applyFont="1" applyBorder="1" applyAlignment="1">
      <alignment horizontal="center" vertical="top" wrapText="1"/>
    </xf>
    <xf numFmtId="7" fontId="2" fillId="0" borderId="30" xfId="1" applyNumberFormat="1" applyFont="1" applyBorder="1" applyAlignment="1">
      <alignment horizontal="right" vertical="top" wrapText="1"/>
    </xf>
    <xf numFmtId="7" fontId="1" fillId="0" borderId="0" xfId="1" applyNumberFormat="1"/>
    <xf numFmtId="3" fontId="3" fillId="0" borderId="46" xfId="1" applyNumberFormat="1" applyFont="1" applyBorder="1" applyAlignment="1">
      <alignment vertical="top" wrapText="1"/>
    </xf>
    <xf numFmtId="3" fontId="8" fillId="0" borderId="45" xfId="2" applyNumberFormat="1" applyFont="1" applyBorder="1"/>
    <xf numFmtId="3" fontId="3" fillId="0" borderId="0" xfId="1" applyNumberFormat="1" applyFont="1" applyBorder="1" applyAlignment="1">
      <alignment vertical="top" wrapText="1"/>
    </xf>
    <xf numFmtId="3" fontId="0" fillId="0" borderId="0" xfId="3" applyNumberFormat="1" applyFont="1" applyBorder="1"/>
    <xf numFmtId="3" fontId="1" fillId="0" borderId="0" xfId="1" applyNumberFormat="1" applyBorder="1"/>
    <xf numFmtId="167" fontId="8" fillId="0" borderId="0" xfId="2" applyNumberFormat="1" applyFont="1" applyBorder="1"/>
    <xf numFmtId="168" fontId="1" fillId="0" borderId="0" xfId="1" applyNumberFormat="1" applyBorder="1"/>
    <xf numFmtId="7" fontId="2" fillId="0" borderId="0" xfId="1" applyNumberFormat="1" applyFont="1" applyBorder="1" applyAlignment="1">
      <alignment horizontal="right" vertical="top" wrapText="1"/>
    </xf>
    <xf numFmtId="3" fontId="1" fillId="0" borderId="0" xfId="1" applyNumberFormat="1"/>
    <xf numFmtId="0" fontId="9" fillId="0" borderId="0" xfId="5" applyProtection="1">
      <alignment vertical="top"/>
      <protection locked="0"/>
    </xf>
    <xf numFmtId="0" fontId="11" fillId="0" borderId="0" xfId="5" applyFont="1" applyAlignment="1">
      <alignment horizontal="center" vertical="top"/>
    </xf>
    <xf numFmtId="3" fontId="13" fillId="0" borderId="0" xfId="5" applyNumberFormat="1" applyFont="1" applyAlignment="1">
      <alignment horizontal="center" vertical="top"/>
    </xf>
    <xf numFmtId="3" fontId="14" fillId="0" borderId="0" xfId="5" applyNumberFormat="1" applyFont="1" applyFill="1" applyAlignment="1">
      <alignment horizontal="right" vertical="top"/>
    </xf>
    <xf numFmtId="0" fontId="9" fillId="0" borderId="0" xfId="5" applyFont="1" applyProtection="1">
      <alignment vertical="top"/>
      <protection locked="0"/>
    </xf>
    <xf numFmtId="0" fontId="14" fillId="0" borderId="0" xfId="5" applyFont="1" applyAlignment="1">
      <alignment horizontal="center" vertical="top"/>
    </xf>
    <xf numFmtId="7" fontId="14" fillId="0" borderId="0" xfId="5" applyNumberFormat="1" applyFont="1" applyAlignment="1">
      <alignment horizontal="center" vertical="top"/>
    </xf>
    <xf numFmtId="0" fontId="13" fillId="0" borderId="0" xfId="5" applyFont="1" applyAlignment="1">
      <alignment horizontal="center" vertical="top"/>
    </xf>
    <xf numFmtId="7" fontId="12" fillId="0" borderId="0" xfId="5" applyNumberFormat="1" applyFont="1" applyAlignment="1">
      <alignment horizontal="center" vertical="top"/>
    </xf>
    <xf numFmtId="3" fontId="15" fillId="8" borderId="48" xfId="5" applyNumberFormat="1" applyFont="1" applyFill="1" applyBorder="1" applyAlignment="1">
      <alignment horizontal="center" vertical="top"/>
    </xf>
    <xf numFmtId="3" fontId="14" fillId="0" borderId="0" xfId="5" applyNumberFormat="1" applyFont="1" applyAlignment="1">
      <alignment horizontal="center" vertical="top"/>
    </xf>
    <xf numFmtId="0" fontId="12" fillId="0" borderId="0" xfId="5" applyFont="1" applyAlignment="1">
      <alignment horizontal="center" vertical="top"/>
    </xf>
    <xf numFmtId="3" fontId="17" fillId="8" borderId="48" xfId="5" applyNumberFormat="1" applyFont="1" applyFill="1" applyBorder="1" applyAlignment="1">
      <alignment horizontal="center" vertical="top"/>
    </xf>
    <xf numFmtId="7" fontId="2" fillId="3" borderId="11" xfId="1" applyNumberFormat="1" applyFont="1" applyFill="1" applyBorder="1" applyAlignment="1">
      <alignment horizontal="right" vertical="top" wrapText="1"/>
    </xf>
    <xf numFmtId="7" fontId="3" fillId="9" borderId="15" xfId="1" applyNumberFormat="1" applyFont="1" applyFill="1" applyBorder="1" applyAlignment="1">
      <alignment horizontal="right" vertical="top" wrapText="1"/>
    </xf>
    <xf numFmtId="7" fontId="18" fillId="3" borderId="47" xfId="1" applyNumberFormat="1" applyFont="1" applyFill="1" applyBorder="1" applyAlignment="1">
      <alignment horizontal="right" vertical="top" wrapText="1"/>
    </xf>
    <xf numFmtId="7" fontId="2" fillId="0" borderId="42" xfId="1" applyNumberFormat="1" applyFont="1" applyBorder="1" applyAlignment="1">
      <alignment horizontal="right" vertical="top" wrapText="1"/>
    </xf>
    <xf numFmtId="168" fontId="1" fillId="0" borderId="47" xfId="1" applyNumberFormat="1" applyBorder="1"/>
    <xf numFmtId="3" fontId="3" fillId="0" borderId="42" xfId="1" applyNumberFormat="1" applyFont="1" applyBorder="1" applyAlignment="1">
      <alignment horizontal="center" vertical="top" wrapText="1"/>
    </xf>
    <xf numFmtId="3" fontId="3" fillId="0" borderId="16" xfId="1" applyNumberFormat="1" applyFont="1" applyBorder="1" applyAlignment="1">
      <alignment horizontal="center" vertical="top" wrapText="1"/>
    </xf>
    <xf numFmtId="168" fontId="1" fillId="0" borderId="16" xfId="1" applyNumberFormat="1" applyBorder="1"/>
    <xf numFmtId="3" fontId="2" fillId="0" borderId="39" xfId="1" applyNumberFormat="1" applyFont="1" applyBorder="1" applyAlignment="1">
      <alignment horizontal="right" vertical="top" wrapText="1"/>
    </xf>
    <xf numFmtId="7" fontId="2" fillId="0" borderId="39" xfId="1" applyNumberFormat="1" applyFont="1" applyBorder="1" applyAlignment="1">
      <alignment horizontal="right" vertical="top" wrapText="1"/>
    </xf>
    <xf numFmtId="3" fontId="3" fillId="0" borderId="49" xfId="1" applyNumberFormat="1" applyFont="1" applyBorder="1" applyAlignment="1">
      <alignment horizontal="center" vertical="top" wrapText="1"/>
    </xf>
    <xf numFmtId="168" fontId="1" fillId="0" borderId="41" xfId="1" applyNumberFormat="1" applyBorder="1"/>
    <xf numFmtId="3" fontId="8" fillId="0" borderId="50" xfId="2" applyNumberFormat="1" applyFont="1" applyBorder="1"/>
    <xf numFmtId="0" fontId="13" fillId="0" borderId="0" xfId="5" applyFont="1" applyAlignment="1">
      <alignment horizontal="left" vertical="top"/>
    </xf>
    <xf numFmtId="0" fontId="9" fillId="0" borderId="0" xfId="5" applyAlignment="1" applyProtection="1">
      <alignment horizontal="center" vertical="top"/>
      <protection locked="0"/>
    </xf>
    <xf numFmtId="0" fontId="11" fillId="0" borderId="0" xfId="5" applyFont="1" applyAlignment="1">
      <alignment horizontal="left" vertical="top"/>
    </xf>
    <xf numFmtId="0" fontId="12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23" fillId="0" borderId="0" xfId="6"/>
    <xf numFmtId="169" fontId="25" fillId="0" borderId="0" xfId="7" applyFont="1"/>
    <xf numFmtId="0" fontId="23" fillId="0" borderId="0" xfId="6" applyAlignment="1">
      <alignment horizontal="center"/>
    </xf>
    <xf numFmtId="0" fontId="22" fillId="0" borderId="0" xfId="6" applyFont="1" applyAlignment="1">
      <alignment horizontal="center"/>
    </xf>
    <xf numFmtId="3" fontId="23" fillId="0" borderId="0" xfId="6" applyNumberFormat="1"/>
    <xf numFmtId="3" fontId="23" fillId="0" borderId="51" xfId="6" applyNumberFormat="1" applyBorder="1"/>
    <xf numFmtId="0" fontId="2" fillId="0" borderId="8" xfId="1" applyFont="1" applyBorder="1" applyAlignment="1">
      <alignment horizontal="left" wrapText="1"/>
    </xf>
    <xf numFmtId="0" fontId="2" fillId="0" borderId="9" xfId="1" applyFont="1" applyBorder="1" applyAlignment="1">
      <alignment horizontal="left" wrapText="1"/>
    </xf>
    <xf numFmtId="7" fontId="2" fillId="0" borderId="11" xfId="1" applyNumberFormat="1" applyFont="1" applyBorder="1" applyAlignment="1">
      <alignment horizontal="right" wrapText="1"/>
    </xf>
    <xf numFmtId="7" fontId="2" fillId="0" borderId="2" xfId="1" applyNumberFormat="1" applyFont="1" applyBorder="1" applyAlignment="1">
      <alignment horizontal="right" wrapText="1"/>
    </xf>
    <xf numFmtId="0" fontId="2" fillId="0" borderId="9" xfId="1" applyFont="1" applyBorder="1" applyAlignment="1">
      <alignment horizontal="center" wrapText="1"/>
    </xf>
    <xf numFmtId="7" fontId="2" fillId="3" borderId="2" xfId="1" applyNumberFormat="1" applyFont="1" applyFill="1" applyBorder="1" applyAlignment="1">
      <alignment horizontal="right" wrapText="1"/>
    </xf>
    <xf numFmtId="7" fontId="2" fillId="0" borderId="8" xfId="1" applyNumberFormat="1" applyFont="1" applyBorder="1" applyAlignment="1">
      <alignment horizontal="right" wrapText="1"/>
    </xf>
    <xf numFmtId="0" fontId="0" fillId="0" borderId="0" xfId="0" applyAlignment="1"/>
    <xf numFmtId="0" fontId="14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2" fillId="0" borderId="10" xfId="1" applyFont="1" applyBorder="1" applyAlignment="1">
      <alignment horizontal="center" vertical="top" wrapText="1"/>
    </xf>
    <xf numFmtId="0" fontId="9" fillId="0" borderId="0" xfId="5" applyFill="1" applyProtection="1">
      <alignment vertical="top"/>
      <protection locked="0"/>
    </xf>
    <xf numFmtId="0" fontId="11" fillId="0" borderId="0" xfId="5" applyFont="1" applyFill="1" applyAlignment="1">
      <alignment horizontal="left" vertical="top"/>
    </xf>
    <xf numFmtId="0" fontId="12" fillId="0" borderId="0" xfId="5" applyFont="1" applyFill="1" applyAlignment="1">
      <alignment horizontal="right" vertical="top"/>
    </xf>
    <xf numFmtId="3" fontId="13" fillId="0" borderId="0" xfId="5" applyNumberFormat="1" applyFont="1" applyFill="1" applyAlignment="1">
      <alignment horizontal="right" vertical="top"/>
    </xf>
    <xf numFmtId="0" fontId="13" fillId="0" borderId="0" xfId="5" applyFont="1" applyFill="1" applyAlignment="1">
      <alignment horizontal="right" vertical="top"/>
    </xf>
    <xf numFmtId="0" fontId="12" fillId="0" borderId="0" xfId="5" applyFont="1" applyFill="1" applyAlignment="1">
      <alignment horizontal="left" vertical="top"/>
    </xf>
    <xf numFmtId="0" fontId="13" fillId="0" borderId="0" xfId="5" applyFont="1" applyFill="1" applyAlignment="1">
      <alignment horizontal="left" vertical="top"/>
    </xf>
    <xf numFmtId="0" fontId="14" fillId="0" borderId="0" xfId="5" applyFont="1" applyFill="1" applyAlignment="1">
      <alignment horizontal="left" vertical="top"/>
    </xf>
    <xf numFmtId="5" fontId="23" fillId="0" borderId="51" xfId="6" applyNumberFormat="1" applyBorder="1"/>
    <xf numFmtId="5" fontId="23" fillId="0" borderId="0" xfId="6" applyNumberFormat="1"/>
    <xf numFmtId="0" fontId="1" fillId="0" borderId="0" xfId="6" applyFont="1"/>
    <xf numFmtId="0" fontId="0" fillId="0" borderId="25" xfId="0" applyFill="1" applyBorder="1" applyAlignment="1">
      <alignment wrapText="1"/>
    </xf>
    <xf numFmtId="0" fontId="14" fillId="0" borderId="0" xfId="5" applyFont="1" applyAlignment="1">
      <alignment horizontal="left" vertical="top"/>
    </xf>
    <xf numFmtId="3" fontId="8" fillId="0" borderId="0" xfId="2" applyNumberFormat="1" applyFont="1" applyBorder="1"/>
    <xf numFmtId="166" fontId="8" fillId="0" borderId="0" xfId="4" applyNumberFormat="1" applyFont="1" applyBorder="1"/>
    <xf numFmtId="7" fontId="27" fillId="0" borderId="8" xfId="1" applyNumberFormat="1" applyFont="1" applyFill="1" applyBorder="1" applyAlignment="1">
      <alignment horizontal="right" vertical="top" wrapText="1"/>
    </xf>
    <xf numFmtId="7" fontId="27" fillId="0" borderId="2" xfId="1" applyNumberFormat="1" applyFont="1" applyBorder="1" applyAlignment="1">
      <alignment horizontal="right" vertical="top" wrapText="1"/>
    </xf>
    <xf numFmtId="0" fontId="27" fillId="0" borderId="9" xfId="1" applyFont="1" applyBorder="1" applyAlignment="1">
      <alignment horizontal="center" vertical="top" wrapText="1"/>
    </xf>
    <xf numFmtId="7" fontId="27" fillId="3" borderId="2" xfId="1" applyNumberFormat="1" applyFont="1" applyFill="1" applyBorder="1" applyAlignment="1">
      <alignment horizontal="right" vertical="top" wrapText="1"/>
    </xf>
    <xf numFmtId="7" fontId="27" fillId="0" borderId="8" xfId="1" applyNumberFormat="1" applyFont="1" applyBorder="1" applyAlignment="1">
      <alignment horizontal="right" vertical="top" wrapText="1"/>
    </xf>
    <xf numFmtId="3" fontId="15" fillId="10" borderId="48" xfId="5" applyNumberFormat="1" applyFont="1" applyFill="1" applyBorder="1" applyAlignment="1">
      <alignment horizontal="center" vertical="top"/>
    </xf>
    <xf numFmtId="3" fontId="17" fillId="10" borderId="48" xfId="5" applyNumberFormat="1" applyFont="1" applyFill="1" applyBorder="1" applyAlignment="1">
      <alignment horizontal="center" vertical="top"/>
    </xf>
    <xf numFmtId="3" fontId="28" fillId="5" borderId="0" xfId="5" applyNumberFormat="1" applyFont="1" applyFill="1" applyAlignment="1" applyProtection="1">
      <alignment horizontal="center" vertical="top"/>
      <protection locked="0"/>
    </xf>
    <xf numFmtId="3" fontId="9" fillId="0" borderId="0" xfId="5" applyNumberFormat="1" applyAlignment="1" applyProtection="1">
      <alignment horizontal="center" vertical="top"/>
      <protection locked="0"/>
    </xf>
    <xf numFmtId="0" fontId="14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3" fontId="3" fillId="0" borderId="28" xfId="1" applyNumberFormat="1" applyFont="1" applyFill="1" applyBorder="1" applyAlignment="1">
      <alignment vertical="top" wrapText="1"/>
    </xf>
    <xf numFmtId="3" fontId="8" fillId="0" borderId="30" xfId="2" applyNumberFormat="1" applyFont="1" applyFill="1" applyBorder="1"/>
    <xf numFmtId="3" fontId="8" fillId="0" borderId="42" xfId="2" applyNumberFormat="1" applyFont="1" applyFill="1" applyBorder="1"/>
    <xf numFmtId="3" fontId="19" fillId="0" borderId="47" xfId="2" applyNumberFormat="1" applyFont="1" applyFill="1" applyBorder="1"/>
    <xf numFmtId="3" fontId="3" fillId="11" borderId="28" xfId="1" applyNumberFormat="1" applyFont="1" applyFill="1" applyBorder="1" applyAlignment="1">
      <alignment vertical="top" wrapText="1"/>
    </xf>
    <xf numFmtId="3" fontId="8" fillId="11" borderId="30" xfId="2" applyNumberFormat="1" applyFont="1" applyFill="1" applyBorder="1"/>
    <xf numFmtId="3" fontId="8" fillId="11" borderId="42" xfId="2" applyNumberFormat="1" applyFont="1" applyFill="1" applyBorder="1"/>
    <xf numFmtId="3" fontId="8" fillId="11" borderId="50" xfId="2" applyNumberFormat="1" applyFont="1" applyFill="1" applyBorder="1"/>
    <xf numFmtId="3" fontId="0" fillId="0" borderId="30" xfId="3" applyNumberFormat="1" applyFont="1" applyFill="1" applyBorder="1"/>
    <xf numFmtId="3" fontId="3" fillId="12" borderId="21" xfId="1" applyNumberFormat="1" applyFont="1" applyFill="1" applyBorder="1" applyAlignment="1">
      <alignment vertical="top" wrapText="1"/>
    </xf>
    <xf numFmtId="3" fontId="8" fillId="12" borderId="30" xfId="2" applyNumberFormat="1" applyFont="1" applyFill="1" applyBorder="1"/>
    <xf numFmtId="3" fontId="8" fillId="12" borderId="45" xfId="2" applyNumberFormat="1" applyFont="1" applyFill="1" applyBorder="1"/>
    <xf numFmtId="3" fontId="3" fillId="0" borderId="47" xfId="1" applyNumberFormat="1" applyFont="1" applyFill="1" applyBorder="1" applyAlignment="1">
      <alignment vertical="top" wrapText="1"/>
    </xf>
    <xf numFmtId="3" fontId="3" fillId="12" borderId="47" xfId="1" applyNumberFormat="1" applyFont="1" applyFill="1" applyBorder="1" applyAlignment="1">
      <alignment vertical="top" wrapText="1"/>
    </xf>
    <xf numFmtId="3" fontId="3" fillId="0" borderId="16" xfId="1" applyNumberFormat="1" applyFont="1" applyFill="1" applyBorder="1" applyAlignment="1">
      <alignment vertical="top" wrapText="1"/>
    </xf>
    <xf numFmtId="166" fontId="8" fillId="0" borderId="30" xfId="4" applyNumberFormat="1" applyFont="1" applyFill="1" applyBorder="1"/>
    <xf numFmtId="7" fontId="2" fillId="12" borderId="2" xfId="1" applyNumberFormat="1" applyFont="1" applyFill="1" applyBorder="1" applyAlignment="1">
      <alignment horizontal="right" vertical="top" wrapText="1"/>
    </xf>
    <xf numFmtId="7" fontId="26" fillId="12" borderId="2" xfId="0" applyNumberFormat="1" applyFont="1" applyFill="1" applyBorder="1" applyAlignment="1">
      <alignment horizontal="right" vertical="top" wrapText="1"/>
    </xf>
    <xf numFmtId="0" fontId="14" fillId="0" borderId="0" xfId="5" applyFont="1" applyFill="1" applyAlignment="1">
      <alignment horizontal="center" vertical="top"/>
    </xf>
    <xf numFmtId="3" fontId="13" fillId="0" borderId="0" xfId="5" applyNumberFormat="1" applyFont="1" applyFill="1" applyAlignment="1">
      <alignment horizontal="center" vertical="top"/>
    </xf>
    <xf numFmtId="0" fontId="9" fillId="0" borderId="0" xfId="5" applyFill="1" applyAlignment="1" applyProtection="1">
      <alignment horizontal="center" vertical="top"/>
      <protection locked="0"/>
    </xf>
    <xf numFmtId="3" fontId="14" fillId="0" borderId="0" xfId="5" applyNumberFormat="1" applyFont="1" applyFill="1" applyAlignment="1">
      <alignment horizontal="center" vertical="top"/>
    </xf>
    <xf numFmtId="3" fontId="3" fillId="0" borderId="45" xfId="1" applyNumberFormat="1" applyFont="1" applyBorder="1" applyAlignment="1">
      <alignment horizontal="center" vertical="top" wrapText="1"/>
    </xf>
    <xf numFmtId="3" fontId="8" fillId="0" borderId="42" xfId="2" applyNumberFormat="1" applyFont="1" applyBorder="1"/>
    <xf numFmtId="3" fontId="14" fillId="14" borderId="0" xfId="5" applyNumberFormat="1" applyFont="1" applyFill="1" applyAlignment="1">
      <alignment horizontal="right" vertical="top"/>
    </xf>
    <xf numFmtId="3" fontId="29" fillId="0" borderId="0" xfId="5" applyNumberFormat="1" applyFont="1" applyFill="1" applyAlignment="1" applyProtection="1">
      <alignment horizontal="center" vertical="top"/>
      <protection locked="0"/>
    </xf>
    <xf numFmtId="3" fontId="30" fillId="0" borderId="0" xfId="5" applyNumberFormat="1" applyFont="1" applyFill="1" applyAlignment="1">
      <alignment horizontal="right" vertical="top"/>
    </xf>
    <xf numFmtId="166" fontId="8" fillId="12" borderId="45" xfId="4" applyNumberFormat="1" applyFont="1" applyFill="1" applyBorder="1"/>
    <xf numFmtId="3" fontId="3" fillId="12" borderId="25" xfId="1" applyNumberFormat="1" applyFont="1" applyFill="1" applyBorder="1" applyAlignment="1">
      <alignment vertical="top" wrapText="1"/>
    </xf>
    <xf numFmtId="3" fontId="8" fillId="0" borderId="45" xfId="2" applyNumberFormat="1" applyFont="1" applyFill="1" applyBorder="1"/>
    <xf numFmtId="3" fontId="3" fillId="12" borderId="53" xfId="1" applyNumberFormat="1" applyFont="1" applyFill="1" applyBorder="1" applyAlignment="1">
      <alignment vertical="top" wrapText="1"/>
    </xf>
    <xf numFmtId="3" fontId="14" fillId="0" borderId="0" xfId="5" applyNumberFormat="1" applyFont="1" applyAlignment="1">
      <alignment horizontal="right" vertical="top"/>
    </xf>
    <xf numFmtId="7" fontId="9" fillId="0" borderId="0" xfId="5" applyNumberFormat="1" applyProtection="1">
      <alignment vertical="top"/>
      <protection locked="0"/>
    </xf>
    <xf numFmtId="3" fontId="3" fillId="0" borderId="54" xfId="1" applyNumberFormat="1" applyFont="1" applyBorder="1" applyAlignment="1">
      <alignment vertical="top" wrapText="1"/>
    </xf>
    <xf numFmtId="3" fontId="0" fillId="0" borderId="45" xfId="3" applyNumberFormat="1" applyFont="1" applyBorder="1"/>
    <xf numFmtId="3" fontId="1" fillId="0" borderId="52" xfId="1" applyNumberFormat="1" applyBorder="1"/>
    <xf numFmtId="3" fontId="3" fillId="0" borderId="30" xfId="1" applyNumberFormat="1" applyFont="1" applyBorder="1" applyAlignment="1">
      <alignment vertical="top" wrapText="1"/>
    </xf>
    <xf numFmtId="3" fontId="1" fillId="0" borderId="30" xfId="1" applyNumberFormat="1" applyBorder="1"/>
    <xf numFmtId="0" fontId="2" fillId="13" borderId="9" xfId="1" applyFont="1" applyFill="1" applyBorder="1" applyAlignment="1">
      <alignment horizontal="left" vertical="top" wrapText="1"/>
    </xf>
    <xf numFmtId="7" fontId="2" fillId="13" borderId="2" xfId="1" applyNumberFormat="1" applyFont="1" applyFill="1" applyBorder="1" applyAlignment="1">
      <alignment horizontal="right" vertical="top" wrapText="1"/>
    </xf>
    <xf numFmtId="0" fontId="2" fillId="13" borderId="9" xfId="1" applyFont="1" applyFill="1" applyBorder="1" applyAlignment="1">
      <alignment horizontal="center" vertical="top" wrapText="1"/>
    </xf>
    <xf numFmtId="7" fontId="2" fillId="13" borderId="8" xfId="1" applyNumberFormat="1" applyFont="1" applyFill="1" applyBorder="1" applyAlignment="1">
      <alignment horizontal="right" vertical="top" wrapText="1"/>
    </xf>
    <xf numFmtId="7" fontId="2" fillId="15" borderId="2" xfId="1" applyNumberFormat="1" applyFont="1" applyFill="1" applyBorder="1" applyAlignment="1">
      <alignment horizontal="right" vertical="top" wrapText="1"/>
    </xf>
    <xf numFmtId="167" fontId="1" fillId="0" borderId="0" xfId="1" applyNumberFormat="1"/>
    <xf numFmtId="165" fontId="31" fillId="0" borderId="0" xfId="0" applyNumberFormat="1" applyFont="1"/>
    <xf numFmtId="0" fontId="13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165" fontId="0" fillId="0" borderId="0" xfId="0" applyNumberFormat="1" applyFont="1"/>
    <xf numFmtId="7" fontId="2" fillId="16" borderId="2" xfId="1" applyNumberFormat="1" applyFont="1" applyFill="1" applyBorder="1" applyAlignment="1">
      <alignment horizontal="right" vertical="top" wrapText="1"/>
    </xf>
    <xf numFmtId="7" fontId="2" fillId="17" borderId="2" xfId="1" applyNumberFormat="1" applyFont="1" applyFill="1" applyBorder="1" applyAlignment="1">
      <alignment horizontal="right" vertical="top" wrapText="1"/>
    </xf>
    <xf numFmtId="7" fontId="2" fillId="17" borderId="8" xfId="1" applyNumberFormat="1" applyFont="1" applyFill="1" applyBorder="1" applyAlignment="1">
      <alignment horizontal="right" vertical="top" wrapText="1"/>
    </xf>
    <xf numFmtId="7" fontId="2" fillId="16" borderId="8" xfId="1" applyNumberFormat="1" applyFont="1" applyFill="1" applyBorder="1" applyAlignment="1">
      <alignment horizontal="right" vertical="top" wrapText="1"/>
    </xf>
    <xf numFmtId="7" fontId="2" fillId="5" borderId="2" xfId="1" applyNumberFormat="1" applyFont="1" applyFill="1" applyBorder="1" applyAlignment="1">
      <alignment horizontal="right" vertical="top" wrapText="1"/>
    </xf>
    <xf numFmtId="0" fontId="32" fillId="0" borderId="0" xfId="0" applyFont="1" applyAlignment="1">
      <alignment horizontal="center" wrapText="1"/>
    </xf>
    <xf numFmtId="165" fontId="33" fillId="0" borderId="0" xfId="0" applyNumberFormat="1" applyFont="1" applyFill="1"/>
    <xf numFmtId="3" fontId="14" fillId="13" borderId="0" xfId="5" applyNumberFormat="1" applyFont="1" applyFill="1" applyAlignment="1">
      <alignment horizontal="right" vertical="top"/>
    </xf>
    <xf numFmtId="3" fontId="0" fillId="0" borderId="0" xfId="0" applyNumberFormat="1"/>
    <xf numFmtId="7" fontId="2" fillId="0" borderId="9" xfId="1" applyNumberFormat="1" applyFont="1" applyFill="1" applyBorder="1" applyAlignment="1">
      <alignment horizontal="center" vertical="top" wrapText="1"/>
    </xf>
    <xf numFmtId="7" fontId="2" fillId="0" borderId="9" xfId="1" applyNumberFormat="1" applyFont="1" applyBorder="1" applyAlignment="1">
      <alignment horizontal="center" vertical="top" wrapText="1"/>
    </xf>
    <xf numFmtId="0" fontId="14" fillId="0" borderId="0" xfId="5" applyFont="1" applyAlignment="1">
      <alignment horizontal="left" vertical="top"/>
    </xf>
    <xf numFmtId="0" fontId="16" fillId="8" borderId="48" xfId="5" applyFont="1" applyFill="1" applyBorder="1" applyAlignment="1" applyProtection="1">
      <alignment horizontal="center" vertical="top"/>
      <protection locked="0"/>
    </xf>
    <xf numFmtId="0" fontId="12" fillId="0" borderId="0" xfId="5" applyFont="1" applyAlignment="1">
      <alignment horizontal="left" vertical="top"/>
    </xf>
    <xf numFmtId="0" fontId="13" fillId="0" borderId="0" xfId="5" applyFont="1" applyAlignment="1">
      <alignment horizontal="left" vertical="top"/>
    </xf>
    <xf numFmtId="0" fontId="11" fillId="0" borderId="0" xfId="5" applyFont="1" applyAlignment="1">
      <alignment horizontal="left" vertical="top"/>
    </xf>
    <xf numFmtId="0" fontId="16" fillId="10" borderId="48" xfId="5" applyFont="1" applyFill="1" applyBorder="1" applyAlignment="1" applyProtection="1">
      <alignment horizontal="center" vertical="top"/>
      <protection locked="0"/>
    </xf>
    <xf numFmtId="0" fontId="15" fillId="10" borderId="48" xfId="5" applyFont="1" applyFill="1" applyBorder="1" applyAlignment="1">
      <alignment horizontal="center" vertical="top"/>
    </xf>
    <xf numFmtId="0" fontId="10" fillId="0" borderId="0" xfId="5" applyFont="1" applyAlignment="1">
      <alignment horizontal="center" vertical="top" wrapText="1"/>
    </xf>
    <xf numFmtId="0" fontId="9" fillId="0" borderId="0" xfId="5" applyFont="1" applyAlignment="1" applyProtection="1">
      <alignment horizontal="center" vertical="top"/>
      <protection locked="0"/>
    </xf>
    <xf numFmtId="0" fontId="9" fillId="0" borderId="0" xfId="5" applyAlignment="1" applyProtection="1">
      <alignment horizontal="center" vertical="top"/>
      <protection locked="0"/>
    </xf>
    <xf numFmtId="17" fontId="4" fillId="0" borderId="16" xfId="1" applyNumberFormat="1" applyFont="1" applyBorder="1" applyAlignment="1">
      <alignment horizontal="center"/>
    </xf>
    <xf numFmtId="49" fontId="4" fillId="0" borderId="21" xfId="1" applyNumberFormat="1" applyFont="1" applyBorder="1" applyAlignment="1">
      <alignment horizontal="center"/>
    </xf>
    <xf numFmtId="49" fontId="4" fillId="0" borderId="22" xfId="1" applyNumberFormat="1" applyFont="1" applyBorder="1" applyAlignment="1">
      <alignment horizontal="center"/>
    </xf>
    <xf numFmtId="0" fontId="6" fillId="2" borderId="5" xfId="1" applyFont="1" applyFill="1" applyBorder="1" applyAlignment="1">
      <alignment horizontal="center" vertical="top" wrapText="1"/>
    </xf>
    <xf numFmtId="0" fontId="6" fillId="2" borderId="24" xfId="1" applyFont="1" applyFill="1" applyBorder="1" applyAlignment="1">
      <alignment horizontal="center" vertical="top" wrapText="1"/>
    </xf>
    <xf numFmtId="0" fontId="6" fillId="2" borderId="23" xfId="1" applyFont="1" applyFill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  <xf numFmtId="0" fontId="6" fillId="2" borderId="19" xfId="1" applyFont="1" applyFill="1" applyBorder="1" applyAlignment="1">
      <alignment horizontal="center" vertical="top" wrapText="1"/>
    </xf>
    <xf numFmtId="0" fontId="5" fillId="0" borderId="0" xfId="1" applyFont="1" applyAlignment="1">
      <alignment horizontal="center"/>
    </xf>
    <xf numFmtId="0" fontId="6" fillId="2" borderId="20" xfId="1" applyFont="1" applyFill="1" applyBorder="1" applyAlignment="1">
      <alignment horizontal="center" vertical="top" wrapText="1"/>
    </xf>
    <xf numFmtId="0" fontId="6" fillId="2" borderId="17" xfId="1" applyFont="1" applyFill="1" applyBorder="1" applyAlignment="1">
      <alignment horizontal="center" vertical="top" wrapText="1"/>
    </xf>
    <xf numFmtId="0" fontId="0" fillId="0" borderId="25" xfId="0" applyFill="1" applyBorder="1" applyAlignment="1">
      <alignment horizontal="center"/>
    </xf>
    <xf numFmtId="0" fontId="24" fillId="0" borderId="0" xfId="6" applyFont="1" applyAlignment="1">
      <alignment horizontal="left"/>
    </xf>
    <xf numFmtId="3" fontId="3" fillId="0" borderId="0" xfId="1" applyNumberFormat="1" applyFont="1" applyFill="1" applyBorder="1" applyAlignment="1">
      <alignment horizontal="center" vertical="top" wrapText="1"/>
    </xf>
    <xf numFmtId="3" fontId="3" fillId="0" borderId="30" xfId="1" applyNumberFormat="1" applyFont="1" applyFill="1" applyBorder="1" applyAlignment="1">
      <alignment horizontal="center" vertical="top" wrapText="1"/>
    </xf>
    <xf numFmtId="3" fontId="0" fillId="0" borderId="30" xfId="0" applyNumberFormat="1" applyFill="1" applyBorder="1"/>
    <xf numFmtId="0" fontId="34" fillId="18" borderId="55" xfId="0" applyFont="1" applyFill="1" applyBorder="1" applyAlignment="1">
      <alignment horizontal="left" vertical="top" wrapText="1" readingOrder="1"/>
    </xf>
    <xf numFmtId="3" fontId="0" fillId="0" borderId="0" xfId="0" applyNumberFormat="1" applyFill="1" applyBorder="1"/>
    <xf numFmtId="9" fontId="0" fillId="0" borderId="0" xfId="8" applyFont="1" applyFill="1" applyBorder="1"/>
    <xf numFmtId="9" fontId="0" fillId="0" borderId="0" xfId="8" applyFont="1"/>
    <xf numFmtId="177" fontId="35" fillId="0" borderId="0" xfId="4" applyNumberFormat="1" applyFont="1"/>
    <xf numFmtId="3" fontId="8" fillId="0" borderId="0" xfId="2" applyNumberFormat="1" applyFont="1" applyFill="1" applyBorder="1"/>
    <xf numFmtId="0" fontId="0" fillId="0" borderId="0" xfId="0" applyBorder="1"/>
    <xf numFmtId="7" fontId="2" fillId="14" borderId="8" xfId="1" applyNumberFormat="1" applyFont="1" applyFill="1" applyBorder="1" applyAlignment="1">
      <alignment horizontal="right" vertical="top" wrapText="1"/>
    </xf>
  </cellXfs>
  <cellStyles count="12">
    <cellStyle name="Millares 2" xfId="2"/>
    <cellStyle name="Moneda" xfId="4" builtinId="4"/>
    <cellStyle name="Moneda [0] 2" xfId="2"/>
    <cellStyle name="Moneda 2" xfId="2"/>
    <cellStyle name="Moneda 3" xfId="3"/>
    <cellStyle name="Moneda 4" xfId="7"/>
    <cellStyle name="Normal" xfId="0" builtinId="0"/>
    <cellStyle name="Normal 2" xfId="1"/>
    <cellStyle name="Normal 3" xfId="5"/>
    <cellStyle name="Normal 4" xfId="6"/>
    <cellStyle name="Porcentaje" xfId="8" builtinId="5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PYG'!$D$70</c:f>
              <c:strCache>
                <c:ptCount val="1"/>
                <c:pt idx="0">
                  <c:v>VENTAS SIN IVA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PYG'!$D$71:$D$82</c:f>
              <c:numCache>
                <c:formatCode>_(* #,##0_);_(* \(#,##0\);_(* "-"??_);_(@_)</c:formatCode>
                <c:ptCount val="12"/>
                <c:pt idx="0">
                  <c:v>4656136</c:v>
                </c:pt>
                <c:pt idx="1">
                  <c:v>7804429</c:v>
                </c:pt>
                <c:pt idx="2">
                  <c:v>5900305</c:v>
                </c:pt>
                <c:pt idx="3">
                  <c:v>121014</c:v>
                </c:pt>
                <c:pt idx="4">
                  <c:v>1804105</c:v>
                </c:pt>
                <c:pt idx="5">
                  <c:v>5883300</c:v>
                </c:pt>
                <c:pt idx="6">
                  <c:v>9069381</c:v>
                </c:pt>
                <c:pt idx="7">
                  <c:v>6862717</c:v>
                </c:pt>
                <c:pt idx="8">
                  <c:v>9114471</c:v>
                </c:pt>
                <c:pt idx="9">
                  <c:v>11912109.83</c:v>
                </c:pt>
                <c:pt idx="10">
                  <c:v>9403633</c:v>
                </c:pt>
                <c:pt idx="11">
                  <c:v>11129725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C-4B03-8A71-A0079F11E396}"/>
            </c:ext>
          </c:extLst>
        </c:ser>
        <c:ser>
          <c:idx val="1"/>
          <c:order val="1"/>
          <c:tx>
            <c:strRef>
              <c:f>'GRAFICAS PYG'!$E$70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CEC-4B03-8A71-A0079F11E396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CEC-4B03-8A71-A0079F11E396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CEC-4B03-8A71-A0079F11E396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CEC-4B03-8A71-A0079F11E396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CEC-4B03-8A71-A0079F11E396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CEC-4B03-8A71-A0079F1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PYG'!$E$71:$E$82</c:f>
              <c:numCache>
                <c:formatCode>_(* #,##0_);_(* \(#,##0\);_(* "-"??_);_(@_)</c:formatCode>
                <c:ptCount val="12"/>
                <c:pt idx="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  <c:pt idx="4">
                  <c:v>7419178</c:v>
                </c:pt>
                <c:pt idx="5">
                  <c:v>6384585</c:v>
                </c:pt>
                <c:pt idx="6">
                  <c:v>4374077</c:v>
                </c:pt>
                <c:pt idx="7">
                  <c:v>8088583</c:v>
                </c:pt>
                <c:pt idx="8">
                  <c:v>5761435</c:v>
                </c:pt>
                <c:pt idx="9">
                  <c:v>5903667</c:v>
                </c:pt>
                <c:pt idx="10">
                  <c:v>6953987</c:v>
                </c:pt>
                <c:pt idx="11">
                  <c:v>3580427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EC-4B03-8A71-A0079F11E396}"/>
            </c:ext>
          </c:extLst>
        </c:ser>
        <c:ser>
          <c:idx val="2"/>
          <c:order val="2"/>
          <c:tx>
            <c:strRef>
              <c:f>'GRAFICAS PYG'!$F$70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PYG'!$F$71:$F$82</c:f>
              <c:numCache>
                <c:formatCode>_(* #,##0_);_(* \(#,##0\);_(* "-"??_);_(@_)</c:formatCode>
                <c:ptCount val="12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  <c:pt idx="4">
                  <c:v>5721041</c:v>
                </c:pt>
                <c:pt idx="5">
                  <c:v>4021740</c:v>
                </c:pt>
                <c:pt idx="6">
                  <c:v>1959742</c:v>
                </c:pt>
                <c:pt idx="7">
                  <c:v>4820282</c:v>
                </c:pt>
                <c:pt idx="8">
                  <c:v>6035931</c:v>
                </c:pt>
                <c:pt idx="9">
                  <c:v>10697305</c:v>
                </c:pt>
                <c:pt idx="10">
                  <c:v>7259988</c:v>
                </c:pt>
                <c:pt idx="11" formatCode="#,##0">
                  <c:v>8230584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EC-4B03-8A71-A0079F11E396}"/>
            </c:ext>
          </c:extLst>
        </c:ser>
        <c:ser>
          <c:idx val="3"/>
          <c:order val="3"/>
          <c:tx>
            <c:strRef>
              <c:f>'GRAFICAS PYG'!$G$70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PYG'!$G$71:$G$82</c:f>
              <c:numCache>
                <c:formatCode>_(* #,##0_);_(* \(#,##0\);_(* "-"??_);_(@_)</c:formatCode>
                <c:ptCount val="12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  <c:pt idx="4">
                  <c:v>13796936</c:v>
                </c:pt>
                <c:pt idx="5">
                  <c:v>6565667</c:v>
                </c:pt>
                <c:pt idx="6">
                  <c:v>6138041</c:v>
                </c:pt>
                <c:pt idx="7">
                  <c:v>5449400</c:v>
                </c:pt>
                <c:pt idx="8">
                  <c:v>6941815</c:v>
                </c:pt>
                <c:pt idx="9">
                  <c:v>5541550</c:v>
                </c:pt>
                <c:pt idx="10">
                  <c:v>6901480</c:v>
                </c:pt>
                <c:pt idx="11">
                  <c:v>7106144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A-4D6E-9142-940998BEF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PYG'!$D$102</c:f>
              <c:strCache>
                <c:ptCount val="1"/>
                <c:pt idx="0">
                  <c:v>GASTOS 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PYG'!$D$103:$D$115</c:f>
              <c:numCache>
                <c:formatCode>#,##0</c:formatCode>
                <c:ptCount val="13"/>
                <c:pt idx="0">
                  <c:v>11183760</c:v>
                </c:pt>
                <c:pt idx="1">
                  <c:v>13337610</c:v>
                </c:pt>
                <c:pt idx="2">
                  <c:v>10865138</c:v>
                </c:pt>
                <c:pt idx="3">
                  <c:v>8424882</c:v>
                </c:pt>
                <c:pt idx="4">
                  <c:v>10909925</c:v>
                </c:pt>
                <c:pt idx="5">
                  <c:v>12990071</c:v>
                </c:pt>
                <c:pt idx="6">
                  <c:v>11530572</c:v>
                </c:pt>
                <c:pt idx="7">
                  <c:v>11013798</c:v>
                </c:pt>
                <c:pt idx="8">
                  <c:v>11098718</c:v>
                </c:pt>
                <c:pt idx="9">
                  <c:v>14559398</c:v>
                </c:pt>
                <c:pt idx="10">
                  <c:v>15548745</c:v>
                </c:pt>
                <c:pt idx="11">
                  <c:v>12796951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64B-B0D5-144F23797C0A}"/>
            </c:ext>
          </c:extLst>
        </c:ser>
        <c:ser>
          <c:idx val="1"/>
          <c:order val="1"/>
          <c:tx>
            <c:strRef>
              <c:f>'GRAFICAS PYG'!$E$102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883236384347181E-4"/>
                  <c:y val="-0.1538198475831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72A-464B-B0D5-144F23797C0A}"/>
                </c:ext>
              </c:extLst>
            </c:dLbl>
            <c:dLbl>
              <c:idx val="1"/>
              <c:layout>
                <c:manualLayout>
                  <c:x val="3.5640467994483105E-3"/>
                  <c:y val="-0.165471528383999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72A-464B-B0D5-144F23797C0A}"/>
                </c:ext>
              </c:extLst>
            </c:dLbl>
            <c:dLbl>
              <c:idx val="2"/>
              <c:layout>
                <c:manualLayout>
                  <c:x val="-2.5164970915304151E-3"/>
                  <c:y val="-0.142168166782342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72A-464B-B0D5-144F23797C0A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72A-464B-B0D5-144F23797C0A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72A-464B-B0D5-144F23797C0A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72A-464B-B0D5-144F23797C0A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72A-464B-B0D5-144F23797C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PYG'!$E$103:$E$115</c:f>
              <c:numCache>
                <c:formatCode>#,##0</c:formatCode>
                <c:ptCount val="13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  <c:pt idx="4">
                  <c:v>10164486</c:v>
                </c:pt>
                <c:pt idx="5">
                  <c:v>8433671</c:v>
                </c:pt>
                <c:pt idx="6">
                  <c:v>8752682</c:v>
                </c:pt>
                <c:pt idx="7">
                  <c:v>10250005</c:v>
                </c:pt>
                <c:pt idx="8">
                  <c:v>12341540.75</c:v>
                </c:pt>
                <c:pt idx="9">
                  <c:v>13788360.75</c:v>
                </c:pt>
                <c:pt idx="10">
                  <c:v>12146150.75</c:v>
                </c:pt>
                <c:pt idx="11">
                  <c:v>9554095.75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2A-464B-B0D5-144F23797C0A}"/>
            </c:ext>
          </c:extLst>
        </c:ser>
        <c:ser>
          <c:idx val="2"/>
          <c:order val="2"/>
          <c:tx>
            <c:strRef>
              <c:f>'GRAFICAS PYG'!$F$102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PYG'!$F$103:$F$115</c:f>
              <c:numCache>
                <c:formatCode>#,##0</c:formatCode>
                <c:ptCount val="13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  <c:pt idx="4">
                  <c:v>8014528</c:v>
                </c:pt>
                <c:pt idx="5">
                  <c:v>7385244</c:v>
                </c:pt>
                <c:pt idx="6">
                  <c:v>7676064</c:v>
                </c:pt>
                <c:pt idx="7">
                  <c:v>9472439</c:v>
                </c:pt>
                <c:pt idx="8">
                  <c:v>16476675</c:v>
                </c:pt>
                <c:pt idx="9">
                  <c:v>10699836</c:v>
                </c:pt>
                <c:pt idx="10">
                  <c:v>12696365</c:v>
                </c:pt>
                <c:pt idx="11">
                  <c:v>8852048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2A-464B-B0D5-144F23797C0A}"/>
            </c:ext>
          </c:extLst>
        </c:ser>
        <c:ser>
          <c:idx val="3"/>
          <c:order val="3"/>
          <c:tx>
            <c:strRef>
              <c:f>'GRAFICAS PYG'!$G$102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PYG'!$G$103:$G$115</c:f>
              <c:numCache>
                <c:formatCode>#,##0</c:formatCode>
                <c:ptCount val="13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  <c:pt idx="4">
                  <c:v>10155182</c:v>
                </c:pt>
                <c:pt idx="5">
                  <c:v>14240736</c:v>
                </c:pt>
                <c:pt idx="6">
                  <c:v>10531315</c:v>
                </c:pt>
                <c:pt idx="7">
                  <c:v>10083753</c:v>
                </c:pt>
                <c:pt idx="8">
                  <c:v>13656658</c:v>
                </c:pt>
                <c:pt idx="9">
                  <c:v>12463405</c:v>
                </c:pt>
                <c:pt idx="10">
                  <c:v>13179987</c:v>
                </c:pt>
                <c:pt idx="11">
                  <c:v>27294325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F-405A-8428-DA0221AECD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PYG'!$D$129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PYG'!$D$130:$D$144</c:f>
              <c:numCache>
                <c:formatCode>#,##0</c:formatCode>
                <c:ptCount val="15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  <c:pt idx="4">
                  <c:v>-9105820</c:v>
                </c:pt>
                <c:pt idx="5">
                  <c:v>7982004</c:v>
                </c:pt>
                <c:pt idx="6">
                  <c:v>2646214</c:v>
                </c:pt>
                <c:pt idx="7">
                  <c:v>197274</c:v>
                </c:pt>
                <c:pt idx="8">
                  <c:v>3359239</c:v>
                </c:pt>
                <c:pt idx="9">
                  <c:v>2559631.8299999982</c:v>
                </c:pt>
                <c:pt idx="10">
                  <c:v>-1605167</c:v>
                </c:pt>
                <c:pt idx="11">
                  <c:v>0</c:v>
                </c:pt>
                <c:pt idx="14" formatCode="&quot;$&quot;#,##0.00;\-&quot;$&quot;#,##0.00">
                  <c:v>10460959.829999998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6-400F-A472-EC183AFBC46D}"/>
            </c:ext>
          </c:extLst>
        </c:ser>
        <c:ser>
          <c:idx val="1"/>
          <c:order val="1"/>
          <c:tx>
            <c:strRef>
              <c:f>'GRAFICAS PYG'!$E$129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PYG'!$E$130:$E$144</c:f>
              <c:numCache>
                <c:formatCode>#,##0</c:formatCode>
                <c:ptCount val="15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8">
                  <c:v>-4658595.75</c:v>
                </c:pt>
                <c:pt idx="9">
                  <c:v>-5944643.75</c:v>
                </c:pt>
                <c:pt idx="10">
                  <c:v>904815.25</c:v>
                </c:pt>
                <c:pt idx="11">
                  <c:v>4829226.25</c:v>
                </c:pt>
                <c:pt idx="14" formatCode="&quot;$&quot;#,##0.00;\-&quot;$&quot;#,##0.00">
                  <c:v>9534688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16-400F-A472-EC183AFBC46D}"/>
            </c:ext>
          </c:extLst>
        </c:ser>
        <c:ser>
          <c:idx val="2"/>
          <c:order val="2"/>
          <c:tx>
            <c:strRef>
              <c:f>'GRAFICAS PYG'!$F$129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PYG'!$F$130:$F$144</c:f>
              <c:numCache>
                <c:formatCode>#,##0</c:formatCode>
                <c:ptCount val="15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8">
                  <c:v>-10440744</c:v>
                </c:pt>
                <c:pt idx="9">
                  <c:v>4755101</c:v>
                </c:pt>
                <c:pt idx="10">
                  <c:v>-380592</c:v>
                </c:pt>
                <c:pt idx="11">
                  <c:v>5224186</c:v>
                </c:pt>
                <c:pt idx="14" formatCode="&quot;$&quot;#,##0.00;\-&quot;$&quot;#,##0.00">
                  <c:v>18188372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16-400F-A472-EC183AFBC46D}"/>
            </c:ext>
          </c:extLst>
        </c:ser>
        <c:ser>
          <c:idx val="3"/>
          <c:order val="3"/>
          <c:tx>
            <c:strRef>
              <c:f>'GRAFICAS PYG'!$G$129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PYG'!$G$130:$G$144</c:f>
              <c:numCache>
                <c:formatCode>#,##0</c:formatCode>
                <c:ptCount val="15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  <c:pt idx="4">
                  <c:v>5204853</c:v>
                </c:pt>
                <c:pt idx="5">
                  <c:v>-5170532</c:v>
                </c:pt>
                <c:pt idx="6">
                  <c:v>9983538</c:v>
                </c:pt>
                <c:pt idx="7">
                  <c:v>5208815</c:v>
                </c:pt>
                <c:pt idx="8">
                  <c:v>92670</c:v>
                </c:pt>
                <c:pt idx="9">
                  <c:v>-3000416</c:v>
                </c:pt>
                <c:pt idx="10">
                  <c:v>-3733117</c:v>
                </c:pt>
                <c:pt idx="11">
                  <c:v>48325460</c:v>
                </c:pt>
                <c:pt idx="14" formatCode="&quot;$&quot;#,##0.00;\-&quot;$&quot;#,##0.00">
                  <c:v>62345245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7-4BC4-AF1F-7F8996A3B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'GRAFICAS PYG'!$D$44</c:f>
              <c:strCache>
                <c:ptCount val="1"/>
                <c:pt idx="0">
                  <c:v>VENTAS FISCALES 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PYG'!$D$45:$D$58</c:f>
              <c:numCache>
                <c:formatCode>#,##0</c:formatCode>
                <c:ptCount val="14"/>
                <c:pt idx="0">
                  <c:v>9772741</c:v>
                </c:pt>
                <c:pt idx="1">
                  <c:v>8662267</c:v>
                </c:pt>
                <c:pt idx="2">
                  <c:v>11213082</c:v>
                </c:pt>
                <c:pt idx="3">
                  <c:v>109000</c:v>
                </c:pt>
                <c:pt idx="5">
                  <c:v>15088775</c:v>
                </c:pt>
                <c:pt idx="6">
                  <c:v>5107405</c:v>
                </c:pt>
                <c:pt idx="7">
                  <c:v>4348355</c:v>
                </c:pt>
                <c:pt idx="8">
                  <c:v>5343486</c:v>
                </c:pt>
                <c:pt idx="9">
                  <c:v>5206920</c:v>
                </c:pt>
                <c:pt idx="10">
                  <c:v>4539945</c:v>
                </c:pt>
                <c:pt idx="11">
                  <c:v>5671900</c:v>
                </c:pt>
                <c:pt idx="13">
                  <c:v>75063876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0-47EF-BF4E-1908CC7FABB1}"/>
            </c:ext>
          </c:extLst>
        </c:ser>
        <c:ser>
          <c:idx val="3"/>
          <c:order val="1"/>
          <c:tx>
            <c:strRef>
              <c:f>'GRAFICAS PYG'!$E$44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PYG'!$E$45:$E$58</c:f>
              <c:numCache>
                <c:formatCode>#,##0</c:formatCode>
                <c:ptCount val="14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  <c:pt idx="4">
                  <c:v>4831245</c:v>
                </c:pt>
                <c:pt idx="5">
                  <c:v>2541098</c:v>
                </c:pt>
                <c:pt idx="6">
                  <c:v>2060928</c:v>
                </c:pt>
                <c:pt idx="7">
                  <c:v>722060</c:v>
                </c:pt>
                <c:pt idx="8">
                  <c:v>1921510</c:v>
                </c:pt>
                <c:pt idx="9">
                  <c:v>1940050</c:v>
                </c:pt>
                <c:pt idx="10">
                  <c:v>6096979</c:v>
                </c:pt>
                <c:pt idx="11">
                  <c:v>10802895</c:v>
                </c:pt>
                <c:pt idx="13">
                  <c:v>55860584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0-47EF-BF4E-1908CC7FABB1}"/>
            </c:ext>
          </c:extLst>
        </c:ser>
        <c:ser>
          <c:idx val="0"/>
          <c:order val="2"/>
          <c:tx>
            <c:strRef>
              <c:f>'GRAFICAS PYG'!$F$44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PYG'!$F$45:$F$58</c:f>
              <c:numCache>
                <c:formatCode>#,##0</c:formatCode>
                <c:ptCount val="14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  <c:pt idx="4">
                  <c:v>2070588</c:v>
                </c:pt>
                <c:pt idx="5">
                  <c:v>4186225</c:v>
                </c:pt>
                <c:pt idx="6">
                  <c:v>3502320</c:v>
                </c:pt>
                <c:pt idx="7">
                  <c:v>13456626</c:v>
                </c:pt>
                <c:pt idx="8">
                  <c:v>0</c:v>
                </c:pt>
                <c:pt idx="9">
                  <c:v>11000000</c:v>
                </c:pt>
                <c:pt idx="10">
                  <c:v>12000000</c:v>
                </c:pt>
                <c:pt idx="11">
                  <c:v>13000000</c:v>
                </c:pt>
                <c:pt idx="13">
                  <c:v>80640359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0-47EF-BF4E-1908CC7FABB1}"/>
            </c:ext>
          </c:extLst>
        </c:ser>
        <c:ser>
          <c:idx val="1"/>
          <c:order val="3"/>
          <c:tx>
            <c:strRef>
              <c:f>'GRAFICAS PYG'!$G$44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PYG'!$G$45:$G$58</c:f>
              <c:numCache>
                <c:formatCode>#,##0</c:formatCode>
                <c:ptCount val="14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  <c:pt idx="4">
                  <c:v>1563099</c:v>
                </c:pt>
                <c:pt idx="5">
                  <c:v>2504537</c:v>
                </c:pt>
                <c:pt idx="6">
                  <c:v>14376812</c:v>
                </c:pt>
                <c:pt idx="7">
                  <c:v>9843168</c:v>
                </c:pt>
                <c:pt idx="8">
                  <c:v>6807513</c:v>
                </c:pt>
                <c:pt idx="9">
                  <c:v>3921439</c:v>
                </c:pt>
                <c:pt idx="10">
                  <c:v>2545390</c:v>
                </c:pt>
                <c:pt idx="11" formatCode="_(&quot;$&quot;\ * #,##0_);_(&quot;$&quot;\ * \(#,##0\);_(&quot;$&quot;\ * &quot;-&quot;??_);_(@_)">
                  <c:v>68513641</c:v>
                </c:pt>
                <c:pt idx="13">
                  <c:v>126904551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6-4297-9DDB-FCD563997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233361</xdr:colOff>
      <xdr:row>68</xdr:row>
      <xdr:rowOff>61912</xdr:rowOff>
    </xdr:from>
    <xdr:to>
      <xdr:col>29</xdr:col>
      <xdr:colOff>257175</xdr:colOff>
      <xdr:row>90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271461</xdr:colOff>
      <xdr:row>98</xdr:row>
      <xdr:rowOff>119062</xdr:rowOff>
    </xdr:from>
    <xdr:to>
      <xdr:col>29</xdr:col>
      <xdr:colOff>276225</xdr:colOff>
      <xdr:row>122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257174</xdr:colOff>
      <xdr:row>125</xdr:row>
      <xdr:rowOff>47624</xdr:rowOff>
    </xdr:from>
    <xdr:to>
      <xdr:col>27</xdr:col>
      <xdr:colOff>495300</xdr:colOff>
      <xdr:row>155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304800</xdr:colOff>
      <xdr:row>40</xdr:row>
      <xdr:rowOff>47625</xdr:rowOff>
    </xdr:from>
    <xdr:to>
      <xdr:col>30</xdr:col>
      <xdr:colOff>276225</xdr:colOff>
      <xdr:row>63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RGIO\AppData\Roaming\Microsoft\Excel\INFORME%202019%20ultima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G "/>
      <sheetName val="GRAFICAS PYG"/>
      <sheetName val="PRESUPUESTO"/>
      <sheetName val="balance"/>
    </sheetNames>
    <sheetDataSet>
      <sheetData sheetId="0" refreshError="1">
        <row r="8">
          <cell r="AP8">
            <v>53036592</v>
          </cell>
        </row>
        <row r="47">
          <cell r="AP47">
            <v>11000000</v>
          </cell>
          <cell r="AT47">
            <v>12000000</v>
          </cell>
          <cell r="AX47">
            <v>13000000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7"/>
  <sheetViews>
    <sheetView showOutlineSymbols="0" topLeftCell="A67" workbookViewId="0">
      <selection activeCell="D37" sqref="D37"/>
    </sheetView>
  </sheetViews>
  <sheetFormatPr baseColWidth="10" defaultColWidth="6.85546875" defaultRowHeight="15" x14ac:dyDescent="0.25"/>
  <cols>
    <col min="1" max="1" width="7.7109375" style="87" customWidth="1"/>
    <col min="2" max="2" width="6" style="87" customWidth="1"/>
    <col min="3" max="3" width="38.140625" style="87" customWidth="1"/>
    <col min="4" max="4" width="15" style="135" customWidth="1"/>
    <col min="5" max="5" width="18.140625" style="114" customWidth="1"/>
    <col min="6" max="7" width="6.85546875" style="87"/>
    <col min="8" max="8" width="14.140625" style="87" bestFit="1" customWidth="1"/>
    <col min="9" max="256" width="6.85546875" style="87"/>
    <col min="257" max="258" width="6" style="87" customWidth="1"/>
    <col min="259" max="259" width="38.140625" style="87" customWidth="1"/>
    <col min="260" max="260" width="15" style="87" customWidth="1"/>
    <col min="261" max="261" width="18.140625" style="87" customWidth="1"/>
    <col min="262" max="512" width="6.85546875" style="87"/>
    <col min="513" max="514" width="6" style="87" customWidth="1"/>
    <col min="515" max="515" width="38.140625" style="87" customWidth="1"/>
    <col min="516" max="516" width="15" style="87" customWidth="1"/>
    <col min="517" max="517" width="18.140625" style="87" customWidth="1"/>
    <col min="518" max="768" width="6.85546875" style="87"/>
    <col min="769" max="770" width="6" style="87" customWidth="1"/>
    <col min="771" max="771" width="38.140625" style="87" customWidth="1"/>
    <col min="772" max="772" width="15" style="87" customWidth="1"/>
    <col min="773" max="773" width="18.140625" style="87" customWidth="1"/>
    <col min="774" max="1024" width="6.85546875" style="87"/>
    <col min="1025" max="1026" width="6" style="87" customWidth="1"/>
    <col min="1027" max="1027" width="38.140625" style="87" customWidth="1"/>
    <col min="1028" max="1028" width="15" style="87" customWidth="1"/>
    <col min="1029" max="1029" width="18.140625" style="87" customWidth="1"/>
    <col min="1030" max="1280" width="6.85546875" style="87"/>
    <col min="1281" max="1282" width="6" style="87" customWidth="1"/>
    <col min="1283" max="1283" width="38.140625" style="87" customWidth="1"/>
    <col min="1284" max="1284" width="15" style="87" customWidth="1"/>
    <col min="1285" max="1285" width="18.140625" style="87" customWidth="1"/>
    <col min="1286" max="1536" width="6.85546875" style="87"/>
    <col min="1537" max="1538" width="6" style="87" customWidth="1"/>
    <col min="1539" max="1539" width="38.140625" style="87" customWidth="1"/>
    <col min="1540" max="1540" width="15" style="87" customWidth="1"/>
    <col min="1541" max="1541" width="18.140625" style="87" customWidth="1"/>
    <col min="1542" max="1792" width="6.85546875" style="87"/>
    <col min="1793" max="1794" width="6" style="87" customWidth="1"/>
    <col min="1795" max="1795" width="38.140625" style="87" customWidth="1"/>
    <col min="1796" max="1796" width="15" style="87" customWidth="1"/>
    <col min="1797" max="1797" width="18.140625" style="87" customWidth="1"/>
    <col min="1798" max="2048" width="6.85546875" style="87"/>
    <col min="2049" max="2050" width="6" style="87" customWidth="1"/>
    <col min="2051" max="2051" width="38.140625" style="87" customWidth="1"/>
    <col min="2052" max="2052" width="15" style="87" customWidth="1"/>
    <col min="2053" max="2053" width="18.140625" style="87" customWidth="1"/>
    <col min="2054" max="2304" width="6.85546875" style="87"/>
    <col min="2305" max="2306" width="6" style="87" customWidth="1"/>
    <col min="2307" max="2307" width="38.140625" style="87" customWidth="1"/>
    <col min="2308" max="2308" width="15" style="87" customWidth="1"/>
    <col min="2309" max="2309" width="18.140625" style="87" customWidth="1"/>
    <col min="2310" max="2560" width="6.85546875" style="87"/>
    <col min="2561" max="2562" width="6" style="87" customWidth="1"/>
    <col min="2563" max="2563" width="38.140625" style="87" customWidth="1"/>
    <col min="2564" max="2564" width="15" style="87" customWidth="1"/>
    <col min="2565" max="2565" width="18.140625" style="87" customWidth="1"/>
    <col min="2566" max="2816" width="6.85546875" style="87"/>
    <col min="2817" max="2818" width="6" style="87" customWidth="1"/>
    <col min="2819" max="2819" width="38.140625" style="87" customWidth="1"/>
    <col min="2820" max="2820" width="15" style="87" customWidth="1"/>
    <col min="2821" max="2821" width="18.140625" style="87" customWidth="1"/>
    <col min="2822" max="3072" width="6.85546875" style="87"/>
    <col min="3073" max="3074" width="6" style="87" customWidth="1"/>
    <col min="3075" max="3075" width="38.140625" style="87" customWidth="1"/>
    <col min="3076" max="3076" width="15" style="87" customWidth="1"/>
    <col min="3077" max="3077" width="18.140625" style="87" customWidth="1"/>
    <col min="3078" max="3328" width="6.85546875" style="87"/>
    <col min="3329" max="3330" width="6" style="87" customWidth="1"/>
    <col min="3331" max="3331" width="38.140625" style="87" customWidth="1"/>
    <col min="3332" max="3332" width="15" style="87" customWidth="1"/>
    <col min="3333" max="3333" width="18.140625" style="87" customWidth="1"/>
    <col min="3334" max="3584" width="6.85546875" style="87"/>
    <col min="3585" max="3586" width="6" style="87" customWidth="1"/>
    <col min="3587" max="3587" width="38.140625" style="87" customWidth="1"/>
    <col min="3588" max="3588" width="15" style="87" customWidth="1"/>
    <col min="3589" max="3589" width="18.140625" style="87" customWidth="1"/>
    <col min="3590" max="3840" width="6.85546875" style="87"/>
    <col min="3841" max="3842" width="6" style="87" customWidth="1"/>
    <col min="3843" max="3843" width="38.140625" style="87" customWidth="1"/>
    <col min="3844" max="3844" width="15" style="87" customWidth="1"/>
    <col min="3845" max="3845" width="18.140625" style="87" customWidth="1"/>
    <col min="3846" max="4096" width="6.85546875" style="87"/>
    <col min="4097" max="4098" width="6" style="87" customWidth="1"/>
    <col min="4099" max="4099" width="38.140625" style="87" customWidth="1"/>
    <col min="4100" max="4100" width="15" style="87" customWidth="1"/>
    <col min="4101" max="4101" width="18.140625" style="87" customWidth="1"/>
    <col min="4102" max="4352" width="6.85546875" style="87"/>
    <col min="4353" max="4354" width="6" style="87" customWidth="1"/>
    <col min="4355" max="4355" width="38.140625" style="87" customWidth="1"/>
    <col min="4356" max="4356" width="15" style="87" customWidth="1"/>
    <col min="4357" max="4357" width="18.140625" style="87" customWidth="1"/>
    <col min="4358" max="4608" width="6.85546875" style="87"/>
    <col min="4609" max="4610" width="6" style="87" customWidth="1"/>
    <col min="4611" max="4611" width="38.140625" style="87" customWidth="1"/>
    <col min="4612" max="4612" width="15" style="87" customWidth="1"/>
    <col min="4613" max="4613" width="18.140625" style="87" customWidth="1"/>
    <col min="4614" max="4864" width="6.85546875" style="87"/>
    <col min="4865" max="4866" width="6" style="87" customWidth="1"/>
    <col min="4867" max="4867" width="38.140625" style="87" customWidth="1"/>
    <col min="4868" max="4868" width="15" style="87" customWidth="1"/>
    <col min="4869" max="4869" width="18.140625" style="87" customWidth="1"/>
    <col min="4870" max="5120" width="6.85546875" style="87"/>
    <col min="5121" max="5122" width="6" style="87" customWidth="1"/>
    <col min="5123" max="5123" width="38.140625" style="87" customWidth="1"/>
    <col min="5124" max="5124" width="15" style="87" customWidth="1"/>
    <col min="5125" max="5125" width="18.140625" style="87" customWidth="1"/>
    <col min="5126" max="5376" width="6.85546875" style="87"/>
    <col min="5377" max="5378" width="6" style="87" customWidth="1"/>
    <col min="5379" max="5379" width="38.140625" style="87" customWidth="1"/>
    <col min="5380" max="5380" width="15" style="87" customWidth="1"/>
    <col min="5381" max="5381" width="18.140625" style="87" customWidth="1"/>
    <col min="5382" max="5632" width="6.85546875" style="87"/>
    <col min="5633" max="5634" width="6" style="87" customWidth="1"/>
    <col min="5635" max="5635" width="38.140625" style="87" customWidth="1"/>
    <col min="5636" max="5636" width="15" style="87" customWidth="1"/>
    <col min="5637" max="5637" width="18.140625" style="87" customWidth="1"/>
    <col min="5638" max="5888" width="6.85546875" style="87"/>
    <col min="5889" max="5890" width="6" style="87" customWidth="1"/>
    <col min="5891" max="5891" width="38.140625" style="87" customWidth="1"/>
    <col min="5892" max="5892" width="15" style="87" customWidth="1"/>
    <col min="5893" max="5893" width="18.140625" style="87" customWidth="1"/>
    <col min="5894" max="6144" width="6.85546875" style="87"/>
    <col min="6145" max="6146" width="6" style="87" customWidth="1"/>
    <col min="6147" max="6147" width="38.140625" style="87" customWidth="1"/>
    <col min="6148" max="6148" width="15" style="87" customWidth="1"/>
    <col min="6149" max="6149" width="18.140625" style="87" customWidth="1"/>
    <col min="6150" max="6400" width="6.85546875" style="87"/>
    <col min="6401" max="6402" width="6" style="87" customWidth="1"/>
    <col min="6403" max="6403" width="38.140625" style="87" customWidth="1"/>
    <col min="6404" max="6404" width="15" style="87" customWidth="1"/>
    <col min="6405" max="6405" width="18.140625" style="87" customWidth="1"/>
    <col min="6406" max="6656" width="6.85546875" style="87"/>
    <col min="6657" max="6658" width="6" style="87" customWidth="1"/>
    <col min="6659" max="6659" width="38.140625" style="87" customWidth="1"/>
    <col min="6660" max="6660" width="15" style="87" customWidth="1"/>
    <col min="6661" max="6661" width="18.140625" style="87" customWidth="1"/>
    <col min="6662" max="6912" width="6.85546875" style="87"/>
    <col min="6913" max="6914" width="6" style="87" customWidth="1"/>
    <col min="6915" max="6915" width="38.140625" style="87" customWidth="1"/>
    <col min="6916" max="6916" width="15" style="87" customWidth="1"/>
    <col min="6917" max="6917" width="18.140625" style="87" customWidth="1"/>
    <col min="6918" max="7168" width="6.85546875" style="87"/>
    <col min="7169" max="7170" width="6" style="87" customWidth="1"/>
    <col min="7171" max="7171" width="38.140625" style="87" customWidth="1"/>
    <col min="7172" max="7172" width="15" style="87" customWidth="1"/>
    <col min="7173" max="7173" width="18.140625" style="87" customWidth="1"/>
    <col min="7174" max="7424" width="6.85546875" style="87"/>
    <col min="7425" max="7426" width="6" style="87" customWidth="1"/>
    <col min="7427" max="7427" width="38.140625" style="87" customWidth="1"/>
    <col min="7428" max="7428" width="15" style="87" customWidth="1"/>
    <col min="7429" max="7429" width="18.140625" style="87" customWidth="1"/>
    <col min="7430" max="7680" width="6.85546875" style="87"/>
    <col min="7681" max="7682" width="6" style="87" customWidth="1"/>
    <col min="7683" max="7683" width="38.140625" style="87" customWidth="1"/>
    <col min="7684" max="7684" width="15" style="87" customWidth="1"/>
    <col min="7685" max="7685" width="18.140625" style="87" customWidth="1"/>
    <col min="7686" max="7936" width="6.85546875" style="87"/>
    <col min="7937" max="7938" width="6" style="87" customWidth="1"/>
    <col min="7939" max="7939" width="38.140625" style="87" customWidth="1"/>
    <col min="7940" max="7940" width="15" style="87" customWidth="1"/>
    <col min="7941" max="7941" width="18.140625" style="87" customWidth="1"/>
    <col min="7942" max="8192" width="6.85546875" style="87"/>
    <col min="8193" max="8194" width="6" style="87" customWidth="1"/>
    <col min="8195" max="8195" width="38.140625" style="87" customWidth="1"/>
    <col min="8196" max="8196" width="15" style="87" customWidth="1"/>
    <col min="8197" max="8197" width="18.140625" style="87" customWidth="1"/>
    <col min="8198" max="8448" width="6.85546875" style="87"/>
    <col min="8449" max="8450" width="6" style="87" customWidth="1"/>
    <col min="8451" max="8451" width="38.140625" style="87" customWidth="1"/>
    <col min="8452" max="8452" width="15" style="87" customWidth="1"/>
    <col min="8453" max="8453" width="18.140625" style="87" customWidth="1"/>
    <col min="8454" max="8704" width="6.85546875" style="87"/>
    <col min="8705" max="8706" width="6" style="87" customWidth="1"/>
    <col min="8707" max="8707" width="38.140625" style="87" customWidth="1"/>
    <col min="8708" max="8708" width="15" style="87" customWidth="1"/>
    <col min="8709" max="8709" width="18.140625" style="87" customWidth="1"/>
    <col min="8710" max="8960" width="6.85546875" style="87"/>
    <col min="8961" max="8962" width="6" style="87" customWidth="1"/>
    <col min="8963" max="8963" width="38.140625" style="87" customWidth="1"/>
    <col min="8964" max="8964" width="15" style="87" customWidth="1"/>
    <col min="8965" max="8965" width="18.140625" style="87" customWidth="1"/>
    <col min="8966" max="9216" width="6.85546875" style="87"/>
    <col min="9217" max="9218" width="6" style="87" customWidth="1"/>
    <col min="9219" max="9219" width="38.140625" style="87" customWidth="1"/>
    <col min="9220" max="9220" width="15" style="87" customWidth="1"/>
    <col min="9221" max="9221" width="18.140625" style="87" customWidth="1"/>
    <col min="9222" max="9472" width="6.85546875" style="87"/>
    <col min="9473" max="9474" width="6" style="87" customWidth="1"/>
    <col min="9475" max="9475" width="38.140625" style="87" customWidth="1"/>
    <col min="9476" max="9476" width="15" style="87" customWidth="1"/>
    <col min="9477" max="9477" width="18.140625" style="87" customWidth="1"/>
    <col min="9478" max="9728" width="6.85546875" style="87"/>
    <col min="9729" max="9730" width="6" style="87" customWidth="1"/>
    <col min="9731" max="9731" width="38.140625" style="87" customWidth="1"/>
    <col min="9732" max="9732" width="15" style="87" customWidth="1"/>
    <col min="9733" max="9733" width="18.140625" style="87" customWidth="1"/>
    <col min="9734" max="9984" width="6.85546875" style="87"/>
    <col min="9985" max="9986" width="6" style="87" customWidth="1"/>
    <col min="9987" max="9987" width="38.140625" style="87" customWidth="1"/>
    <col min="9988" max="9988" width="15" style="87" customWidth="1"/>
    <col min="9989" max="9989" width="18.140625" style="87" customWidth="1"/>
    <col min="9990" max="10240" width="6.85546875" style="87"/>
    <col min="10241" max="10242" width="6" style="87" customWidth="1"/>
    <col min="10243" max="10243" width="38.140625" style="87" customWidth="1"/>
    <col min="10244" max="10244" width="15" style="87" customWidth="1"/>
    <col min="10245" max="10245" width="18.140625" style="87" customWidth="1"/>
    <col min="10246" max="10496" width="6.85546875" style="87"/>
    <col min="10497" max="10498" width="6" style="87" customWidth="1"/>
    <col min="10499" max="10499" width="38.140625" style="87" customWidth="1"/>
    <col min="10500" max="10500" width="15" style="87" customWidth="1"/>
    <col min="10501" max="10501" width="18.140625" style="87" customWidth="1"/>
    <col min="10502" max="10752" width="6.85546875" style="87"/>
    <col min="10753" max="10754" width="6" style="87" customWidth="1"/>
    <col min="10755" max="10755" width="38.140625" style="87" customWidth="1"/>
    <col min="10756" max="10756" width="15" style="87" customWidth="1"/>
    <col min="10757" max="10757" width="18.140625" style="87" customWidth="1"/>
    <col min="10758" max="11008" width="6.85546875" style="87"/>
    <col min="11009" max="11010" width="6" style="87" customWidth="1"/>
    <col min="11011" max="11011" width="38.140625" style="87" customWidth="1"/>
    <col min="11012" max="11012" width="15" style="87" customWidth="1"/>
    <col min="11013" max="11013" width="18.140625" style="87" customWidth="1"/>
    <col min="11014" max="11264" width="6.85546875" style="87"/>
    <col min="11265" max="11266" width="6" style="87" customWidth="1"/>
    <col min="11267" max="11267" width="38.140625" style="87" customWidth="1"/>
    <col min="11268" max="11268" width="15" style="87" customWidth="1"/>
    <col min="11269" max="11269" width="18.140625" style="87" customWidth="1"/>
    <col min="11270" max="11520" width="6.85546875" style="87"/>
    <col min="11521" max="11522" width="6" style="87" customWidth="1"/>
    <col min="11523" max="11523" width="38.140625" style="87" customWidth="1"/>
    <col min="11524" max="11524" width="15" style="87" customWidth="1"/>
    <col min="11525" max="11525" width="18.140625" style="87" customWidth="1"/>
    <col min="11526" max="11776" width="6.85546875" style="87"/>
    <col min="11777" max="11778" width="6" style="87" customWidth="1"/>
    <col min="11779" max="11779" width="38.140625" style="87" customWidth="1"/>
    <col min="11780" max="11780" width="15" style="87" customWidth="1"/>
    <col min="11781" max="11781" width="18.140625" style="87" customWidth="1"/>
    <col min="11782" max="12032" width="6.85546875" style="87"/>
    <col min="12033" max="12034" width="6" style="87" customWidth="1"/>
    <col min="12035" max="12035" width="38.140625" style="87" customWidth="1"/>
    <col min="12036" max="12036" width="15" style="87" customWidth="1"/>
    <col min="12037" max="12037" width="18.140625" style="87" customWidth="1"/>
    <col min="12038" max="12288" width="6.85546875" style="87"/>
    <col min="12289" max="12290" width="6" style="87" customWidth="1"/>
    <col min="12291" max="12291" width="38.140625" style="87" customWidth="1"/>
    <col min="12292" max="12292" width="15" style="87" customWidth="1"/>
    <col min="12293" max="12293" width="18.140625" style="87" customWidth="1"/>
    <col min="12294" max="12544" width="6.85546875" style="87"/>
    <col min="12545" max="12546" width="6" style="87" customWidth="1"/>
    <col min="12547" max="12547" width="38.140625" style="87" customWidth="1"/>
    <col min="12548" max="12548" width="15" style="87" customWidth="1"/>
    <col min="12549" max="12549" width="18.140625" style="87" customWidth="1"/>
    <col min="12550" max="12800" width="6.85546875" style="87"/>
    <col min="12801" max="12802" width="6" style="87" customWidth="1"/>
    <col min="12803" max="12803" width="38.140625" style="87" customWidth="1"/>
    <col min="12804" max="12804" width="15" style="87" customWidth="1"/>
    <col min="12805" max="12805" width="18.140625" style="87" customWidth="1"/>
    <col min="12806" max="13056" width="6.85546875" style="87"/>
    <col min="13057" max="13058" width="6" style="87" customWidth="1"/>
    <col min="13059" max="13059" width="38.140625" style="87" customWidth="1"/>
    <col min="13060" max="13060" width="15" style="87" customWidth="1"/>
    <col min="13061" max="13061" width="18.140625" style="87" customWidth="1"/>
    <col min="13062" max="13312" width="6.85546875" style="87"/>
    <col min="13313" max="13314" width="6" style="87" customWidth="1"/>
    <col min="13315" max="13315" width="38.140625" style="87" customWidth="1"/>
    <col min="13316" max="13316" width="15" style="87" customWidth="1"/>
    <col min="13317" max="13317" width="18.140625" style="87" customWidth="1"/>
    <col min="13318" max="13568" width="6.85546875" style="87"/>
    <col min="13569" max="13570" width="6" style="87" customWidth="1"/>
    <col min="13571" max="13571" width="38.140625" style="87" customWidth="1"/>
    <col min="13572" max="13572" width="15" style="87" customWidth="1"/>
    <col min="13573" max="13573" width="18.140625" style="87" customWidth="1"/>
    <col min="13574" max="13824" width="6.85546875" style="87"/>
    <col min="13825" max="13826" width="6" style="87" customWidth="1"/>
    <col min="13827" max="13827" width="38.140625" style="87" customWidth="1"/>
    <col min="13828" max="13828" width="15" style="87" customWidth="1"/>
    <col min="13829" max="13829" width="18.140625" style="87" customWidth="1"/>
    <col min="13830" max="14080" width="6.85546875" style="87"/>
    <col min="14081" max="14082" width="6" style="87" customWidth="1"/>
    <col min="14083" max="14083" width="38.140625" style="87" customWidth="1"/>
    <col min="14084" max="14084" width="15" style="87" customWidth="1"/>
    <col min="14085" max="14085" width="18.140625" style="87" customWidth="1"/>
    <col min="14086" max="14336" width="6.85546875" style="87"/>
    <col min="14337" max="14338" width="6" style="87" customWidth="1"/>
    <col min="14339" max="14339" width="38.140625" style="87" customWidth="1"/>
    <col min="14340" max="14340" width="15" style="87" customWidth="1"/>
    <col min="14341" max="14341" width="18.140625" style="87" customWidth="1"/>
    <col min="14342" max="14592" width="6.85546875" style="87"/>
    <col min="14593" max="14594" width="6" style="87" customWidth="1"/>
    <col min="14595" max="14595" width="38.140625" style="87" customWidth="1"/>
    <col min="14596" max="14596" width="15" style="87" customWidth="1"/>
    <col min="14597" max="14597" width="18.140625" style="87" customWidth="1"/>
    <col min="14598" max="14848" width="6.85546875" style="87"/>
    <col min="14849" max="14850" width="6" style="87" customWidth="1"/>
    <col min="14851" max="14851" width="38.140625" style="87" customWidth="1"/>
    <col min="14852" max="14852" width="15" style="87" customWidth="1"/>
    <col min="14853" max="14853" width="18.140625" style="87" customWidth="1"/>
    <col min="14854" max="15104" width="6.85546875" style="87"/>
    <col min="15105" max="15106" width="6" style="87" customWidth="1"/>
    <col min="15107" max="15107" width="38.140625" style="87" customWidth="1"/>
    <col min="15108" max="15108" width="15" style="87" customWidth="1"/>
    <col min="15109" max="15109" width="18.140625" style="87" customWidth="1"/>
    <col min="15110" max="15360" width="6.85546875" style="87"/>
    <col min="15361" max="15362" width="6" style="87" customWidth="1"/>
    <col min="15363" max="15363" width="38.140625" style="87" customWidth="1"/>
    <col min="15364" max="15364" width="15" style="87" customWidth="1"/>
    <col min="15365" max="15365" width="18.140625" style="87" customWidth="1"/>
    <col min="15366" max="15616" width="6.85546875" style="87"/>
    <col min="15617" max="15618" width="6" style="87" customWidth="1"/>
    <col min="15619" max="15619" width="38.140625" style="87" customWidth="1"/>
    <col min="15620" max="15620" width="15" style="87" customWidth="1"/>
    <col min="15621" max="15621" width="18.140625" style="87" customWidth="1"/>
    <col min="15622" max="15872" width="6.85546875" style="87"/>
    <col min="15873" max="15874" width="6" style="87" customWidth="1"/>
    <col min="15875" max="15875" width="38.140625" style="87" customWidth="1"/>
    <col min="15876" max="15876" width="15" style="87" customWidth="1"/>
    <col min="15877" max="15877" width="18.140625" style="87" customWidth="1"/>
    <col min="15878" max="16128" width="6.85546875" style="87"/>
    <col min="16129" max="16130" width="6" style="87" customWidth="1"/>
    <col min="16131" max="16131" width="38.140625" style="87" customWidth="1"/>
    <col min="16132" max="16132" width="15" style="87" customWidth="1"/>
    <col min="16133" max="16133" width="18.140625" style="87" customWidth="1"/>
    <col min="16134" max="16384" width="6.85546875" style="87"/>
  </cols>
  <sheetData>
    <row r="1" spans="1:5" ht="16.5" customHeight="1" x14ac:dyDescent="0.25">
      <c r="A1" s="227" t="s">
        <v>0</v>
      </c>
      <c r="B1" s="227"/>
      <c r="C1" s="227"/>
      <c r="D1" s="227"/>
      <c r="E1" s="227"/>
    </row>
    <row r="2" spans="1:5" ht="13.5" customHeight="1" x14ac:dyDescent="0.25">
      <c r="A2" s="228" t="s">
        <v>203</v>
      </c>
      <c r="B2" s="229"/>
      <c r="C2" s="229"/>
      <c r="D2" s="229"/>
      <c r="E2" s="229"/>
    </row>
    <row r="3" spans="1:5" ht="20.25" customHeight="1" x14ac:dyDescent="0.25">
      <c r="A3" s="228" t="s">
        <v>382</v>
      </c>
      <c r="B3" s="229"/>
      <c r="C3" s="229"/>
      <c r="D3" s="229"/>
      <c r="E3" s="229"/>
    </row>
    <row r="4" spans="1:5" ht="9.75" customHeight="1" x14ac:dyDescent="0.25"/>
    <row r="5" spans="1:5" ht="7.5" customHeight="1" x14ac:dyDescent="0.25"/>
    <row r="6" spans="1:5" ht="12.75" customHeight="1" x14ac:dyDescent="0.25">
      <c r="A6" s="224" t="s">
        <v>204</v>
      </c>
      <c r="B6" s="224"/>
      <c r="C6" s="115" t="s">
        <v>205</v>
      </c>
      <c r="D6" s="136"/>
      <c r="E6" s="88"/>
    </row>
    <row r="7" spans="1:5" ht="9.9499999999999993" customHeight="1" x14ac:dyDescent="0.25"/>
    <row r="8" spans="1:5" ht="18.600000000000001" customHeight="1" x14ac:dyDescent="0.25">
      <c r="A8" s="222" t="s">
        <v>206</v>
      </c>
      <c r="B8" s="222"/>
      <c r="C8" s="116" t="s">
        <v>207</v>
      </c>
      <c r="D8" s="137"/>
      <c r="E8" s="89"/>
    </row>
    <row r="9" spans="1:5" ht="14.85" customHeight="1" x14ac:dyDescent="0.25">
      <c r="A9" s="223" t="s">
        <v>208</v>
      </c>
      <c r="B9" s="223"/>
      <c r="C9" s="113" t="s">
        <v>209</v>
      </c>
      <c r="D9" s="138"/>
      <c r="E9" s="89">
        <f>+D10</f>
        <v>31272301</v>
      </c>
    </row>
    <row r="10" spans="1:5" ht="17.649999999999999" customHeight="1" x14ac:dyDescent="0.25">
      <c r="A10" s="220" t="s">
        <v>210</v>
      </c>
      <c r="B10" s="220"/>
      <c r="C10" s="117" t="s">
        <v>211</v>
      </c>
      <c r="D10" s="90">
        <v>31272301</v>
      </c>
      <c r="E10" s="89"/>
    </row>
    <row r="11" spans="1:5" ht="14.85" customHeight="1" x14ac:dyDescent="0.25">
      <c r="A11" s="223" t="s">
        <v>212</v>
      </c>
      <c r="B11" s="223"/>
      <c r="C11" s="113" t="s">
        <v>213</v>
      </c>
      <c r="D11" s="139"/>
      <c r="E11" s="89"/>
    </row>
    <row r="12" spans="1:5" ht="12" customHeight="1" x14ac:dyDescent="0.25">
      <c r="A12" s="220" t="s">
        <v>214</v>
      </c>
      <c r="B12" s="220"/>
      <c r="C12" s="117" t="s">
        <v>215</v>
      </c>
      <c r="D12" s="90"/>
      <c r="E12" s="89">
        <f>+D13</f>
        <v>5634973</v>
      </c>
    </row>
    <row r="13" spans="1:5" ht="14.85" customHeight="1" x14ac:dyDescent="0.25">
      <c r="A13" s="220" t="s">
        <v>216</v>
      </c>
      <c r="B13" s="220"/>
      <c r="C13" s="117" t="s">
        <v>217</v>
      </c>
      <c r="D13" s="216">
        <v>5634973</v>
      </c>
      <c r="E13" s="89"/>
    </row>
    <row r="14" spans="1:5" ht="10.15" customHeight="1" x14ac:dyDescent="0.25">
      <c r="A14" s="87">
        <v>11200502</v>
      </c>
      <c r="C14" s="160" t="s">
        <v>361</v>
      </c>
      <c r="D14" s="90"/>
      <c r="E14" s="89"/>
    </row>
    <row r="15" spans="1:5" ht="10.15" customHeight="1" x14ac:dyDescent="0.25">
      <c r="D15" s="90"/>
      <c r="E15" s="89"/>
    </row>
    <row r="16" spans="1:5" ht="18.600000000000001" customHeight="1" x14ac:dyDescent="0.25">
      <c r="A16" s="222" t="s">
        <v>218</v>
      </c>
      <c r="B16" s="222"/>
      <c r="C16" s="116" t="s">
        <v>219</v>
      </c>
      <c r="D16" s="90"/>
      <c r="E16" s="89"/>
    </row>
    <row r="17" spans="1:5" ht="14.85" customHeight="1" x14ac:dyDescent="0.25">
      <c r="A17" s="223" t="s">
        <v>220</v>
      </c>
      <c r="B17" s="223"/>
      <c r="C17" s="113" t="s">
        <v>221</v>
      </c>
      <c r="D17" s="90"/>
      <c r="E17" s="89">
        <f>SUM(D19:D21)</f>
        <v>7483662</v>
      </c>
    </row>
    <row r="18" spans="1:5" ht="12" customHeight="1" x14ac:dyDescent="0.25">
      <c r="A18" s="220" t="s">
        <v>222</v>
      </c>
      <c r="B18" s="220"/>
      <c r="C18" s="117" t="s">
        <v>223</v>
      </c>
      <c r="D18" s="90"/>
      <c r="E18" s="89"/>
    </row>
    <row r="19" spans="1:5" ht="12" customHeight="1" x14ac:dyDescent="0.25">
      <c r="A19" s="117"/>
      <c r="B19" s="117"/>
      <c r="C19" s="117" t="s">
        <v>224</v>
      </c>
      <c r="D19" s="187">
        <v>5855549</v>
      </c>
      <c r="E19" s="89"/>
    </row>
    <row r="20" spans="1:5" ht="11.25" customHeight="1" x14ac:dyDescent="0.25">
      <c r="A20" s="159"/>
      <c r="B20" s="159"/>
      <c r="C20" s="159" t="s">
        <v>384</v>
      </c>
      <c r="D20" s="185">
        <v>1386670</v>
      </c>
      <c r="E20" s="89"/>
    </row>
    <row r="21" spans="1:5" ht="11.25" customHeight="1" x14ac:dyDescent="0.25">
      <c r="A21" s="160"/>
      <c r="B21" s="160"/>
      <c r="C21" s="160" t="s">
        <v>385</v>
      </c>
      <c r="D21" s="90">
        <v>241443</v>
      </c>
      <c r="E21" s="89"/>
    </row>
    <row r="22" spans="1:5" ht="11.25" customHeight="1" x14ac:dyDescent="0.25">
      <c r="A22" s="207"/>
      <c r="B22" s="207"/>
      <c r="C22" s="207"/>
      <c r="D22" s="90"/>
      <c r="E22" s="89"/>
    </row>
    <row r="23" spans="1:5" ht="12" customHeight="1" x14ac:dyDescent="0.25">
      <c r="A23" s="117"/>
      <c r="B23" s="117"/>
      <c r="C23" s="117"/>
      <c r="D23" s="90"/>
      <c r="E23" s="89"/>
    </row>
    <row r="24" spans="1:5" ht="17.649999999999999" customHeight="1" x14ac:dyDescent="0.25">
      <c r="A24" s="220" t="s">
        <v>225</v>
      </c>
      <c r="B24" s="220"/>
      <c r="C24" s="117" t="s">
        <v>226</v>
      </c>
      <c r="D24" s="90"/>
      <c r="E24" s="89">
        <f>+D25+D26</f>
        <v>6005402</v>
      </c>
    </row>
    <row r="25" spans="1:5" ht="17.649999999999999" customHeight="1" x14ac:dyDescent="0.25">
      <c r="A25" s="117"/>
      <c r="B25" s="117"/>
      <c r="C25" s="117" t="s">
        <v>227</v>
      </c>
      <c r="D25" s="185">
        <v>4577126</v>
      </c>
      <c r="E25" s="89"/>
    </row>
    <row r="26" spans="1:5" ht="17.649999999999999" customHeight="1" x14ac:dyDescent="0.25">
      <c r="A26" s="132"/>
      <c r="B26" s="132"/>
      <c r="C26" s="132" t="s">
        <v>351</v>
      </c>
      <c r="D26" s="185">
        <v>1428276</v>
      </c>
      <c r="E26" s="89"/>
    </row>
    <row r="27" spans="1:5" ht="17.649999999999999" customHeight="1" x14ac:dyDescent="0.25">
      <c r="A27" s="117"/>
      <c r="B27" s="117"/>
      <c r="C27" s="117"/>
      <c r="D27" s="90"/>
      <c r="E27" s="89"/>
    </row>
    <row r="28" spans="1:5" ht="14.85" customHeight="1" x14ac:dyDescent="0.25">
      <c r="A28" s="223" t="s">
        <v>228</v>
      </c>
      <c r="B28" s="223"/>
      <c r="C28" s="113" t="s">
        <v>229</v>
      </c>
      <c r="D28" s="90"/>
      <c r="E28" s="89">
        <f>SUM(D29:D33)</f>
        <v>2836193</v>
      </c>
    </row>
    <row r="29" spans="1:5" ht="12" customHeight="1" x14ac:dyDescent="0.25">
      <c r="A29" s="220" t="s">
        <v>230</v>
      </c>
      <c r="B29" s="220"/>
      <c r="C29" s="117" t="s">
        <v>231</v>
      </c>
      <c r="D29" s="185">
        <v>1762000</v>
      </c>
      <c r="E29" s="89"/>
    </row>
    <row r="30" spans="1:5" ht="12" customHeight="1" x14ac:dyDescent="0.25">
      <c r="A30" s="159">
        <v>135518</v>
      </c>
      <c r="B30" s="159"/>
      <c r="C30" s="159" t="s">
        <v>360</v>
      </c>
      <c r="D30" s="216">
        <v>51861</v>
      </c>
      <c r="E30" s="89"/>
    </row>
    <row r="31" spans="1:5" ht="12" customHeight="1" x14ac:dyDescent="0.25">
      <c r="A31" s="220" t="s">
        <v>232</v>
      </c>
      <c r="B31" s="220"/>
      <c r="C31" s="117" t="s">
        <v>359</v>
      </c>
      <c r="D31" s="185">
        <v>771332</v>
      </c>
      <c r="E31" s="89"/>
    </row>
    <row r="32" spans="1:5" ht="12" customHeight="1" x14ac:dyDescent="0.25">
      <c r="A32" s="220" t="s">
        <v>234</v>
      </c>
      <c r="B32" s="220"/>
      <c r="C32" s="117" t="s">
        <v>235</v>
      </c>
      <c r="D32" s="90">
        <v>0</v>
      </c>
      <c r="E32" s="89"/>
    </row>
    <row r="33" spans="1:8" ht="10.5" customHeight="1" x14ac:dyDescent="0.25">
      <c r="A33" s="220" t="s">
        <v>236</v>
      </c>
      <c r="B33" s="220"/>
      <c r="C33" s="117" t="s">
        <v>312</v>
      </c>
      <c r="D33" s="185">
        <v>251000</v>
      </c>
      <c r="E33" s="89"/>
    </row>
    <row r="34" spans="1:8" ht="10.15" customHeight="1" x14ac:dyDescent="0.25">
      <c r="D34" s="90"/>
      <c r="E34" s="89"/>
    </row>
    <row r="35" spans="1:8" ht="18.600000000000001" customHeight="1" x14ac:dyDescent="0.25">
      <c r="A35" s="222" t="s">
        <v>237</v>
      </c>
      <c r="B35" s="222"/>
      <c r="C35" s="116" t="s">
        <v>238</v>
      </c>
      <c r="D35" s="90"/>
      <c r="E35" s="89">
        <f>+D36</f>
        <v>166485896</v>
      </c>
      <c r="F35" s="91"/>
    </row>
    <row r="36" spans="1:8" ht="14.85" customHeight="1" x14ac:dyDescent="0.25">
      <c r="A36" s="223" t="s">
        <v>239</v>
      </c>
      <c r="B36" s="223"/>
      <c r="C36" s="113" t="s">
        <v>240</v>
      </c>
      <c r="D36" s="185">
        <v>166485896</v>
      </c>
      <c r="E36" s="89"/>
      <c r="H36" s="192"/>
    </row>
    <row r="37" spans="1:8" ht="10.5" customHeight="1" x14ac:dyDescent="0.25">
      <c r="A37" s="220"/>
      <c r="B37" s="220"/>
      <c r="C37" s="117"/>
      <c r="D37" s="90"/>
      <c r="E37" s="92"/>
    </row>
    <row r="38" spans="1:8" ht="10.15" customHeight="1" x14ac:dyDescent="0.25">
      <c r="D38" s="90"/>
    </row>
    <row r="39" spans="1:8" ht="18.600000000000001" customHeight="1" x14ac:dyDescent="0.25">
      <c r="A39" s="222" t="s">
        <v>241</v>
      </c>
      <c r="B39" s="222"/>
      <c r="C39" s="116" t="s">
        <v>242</v>
      </c>
      <c r="D39" s="90"/>
      <c r="E39" s="93">
        <f>+D40+D42+D45+D47+D49+D51</f>
        <v>354443971</v>
      </c>
    </row>
    <row r="40" spans="1:8" ht="14.85" customHeight="1" x14ac:dyDescent="0.25">
      <c r="A40" s="223" t="s">
        <v>243</v>
      </c>
      <c r="B40" s="223"/>
      <c r="C40" s="113" t="s">
        <v>244</v>
      </c>
      <c r="D40" s="90">
        <f>+D41</f>
        <v>10126196</v>
      </c>
      <c r="E40" s="94"/>
    </row>
    <row r="41" spans="1:8" ht="17.649999999999999" customHeight="1" x14ac:dyDescent="0.25">
      <c r="A41" s="220" t="s">
        <v>245</v>
      </c>
      <c r="B41" s="220"/>
      <c r="C41" s="117" t="s">
        <v>95</v>
      </c>
      <c r="D41" s="90">
        <v>10126196</v>
      </c>
      <c r="E41" s="92"/>
    </row>
    <row r="42" spans="1:8" ht="14.85" customHeight="1" x14ac:dyDescent="0.25">
      <c r="A42" s="223" t="s">
        <v>246</v>
      </c>
      <c r="B42" s="223"/>
      <c r="C42" s="113" t="s">
        <v>69</v>
      </c>
      <c r="D42" s="90">
        <f>+D43+D44</f>
        <v>381000000</v>
      </c>
      <c r="E42" s="94"/>
    </row>
    <row r="43" spans="1:8" ht="12" customHeight="1" x14ac:dyDescent="0.25">
      <c r="A43" s="220" t="s">
        <v>247</v>
      </c>
      <c r="B43" s="220"/>
      <c r="C43" s="117" t="s">
        <v>248</v>
      </c>
      <c r="D43" s="90">
        <v>91000000</v>
      </c>
      <c r="E43" s="92"/>
    </row>
    <row r="44" spans="1:8" ht="17.649999999999999" customHeight="1" x14ac:dyDescent="0.25">
      <c r="A44" s="220" t="s">
        <v>249</v>
      </c>
      <c r="B44" s="220"/>
      <c r="C44" s="117" t="s">
        <v>250</v>
      </c>
      <c r="D44" s="90">
        <v>290000000</v>
      </c>
      <c r="E44" s="92"/>
    </row>
    <row r="45" spans="1:8" ht="14.85" customHeight="1" x14ac:dyDescent="0.25">
      <c r="A45" s="223" t="s">
        <v>251</v>
      </c>
      <c r="B45" s="223"/>
      <c r="C45" s="113" t="s">
        <v>95</v>
      </c>
      <c r="D45" s="90">
        <f>+D46</f>
        <v>1070000</v>
      </c>
      <c r="E45" s="94"/>
    </row>
    <row r="46" spans="1:8" ht="17.649999999999999" customHeight="1" x14ac:dyDescent="0.25">
      <c r="A46" s="220" t="s">
        <v>252</v>
      </c>
      <c r="B46" s="220"/>
      <c r="C46" s="117" t="s">
        <v>253</v>
      </c>
      <c r="D46" s="90">
        <v>1070000</v>
      </c>
      <c r="E46" s="92"/>
    </row>
    <row r="47" spans="1:8" ht="14.85" customHeight="1" x14ac:dyDescent="0.25">
      <c r="A47" s="223" t="s">
        <v>254</v>
      </c>
      <c r="B47" s="223"/>
      <c r="C47" s="113" t="s">
        <v>143</v>
      </c>
      <c r="D47" s="90">
        <f>+D48</f>
        <v>3109000</v>
      </c>
      <c r="E47" s="94"/>
    </row>
    <row r="48" spans="1:8" ht="17.649999999999999" customHeight="1" x14ac:dyDescent="0.25">
      <c r="A48" s="220" t="s">
        <v>255</v>
      </c>
      <c r="B48" s="220"/>
      <c r="C48" s="117" t="s">
        <v>256</v>
      </c>
      <c r="D48" s="90">
        <v>3109000</v>
      </c>
      <c r="E48" s="92"/>
    </row>
    <row r="49" spans="1:8" ht="14.85" customHeight="1" x14ac:dyDescent="0.25">
      <c r="A49" s="223" t="s">
        <v>257</v>
      </c>
      <c r="B49" s="223"/>
      <c r="C49" s="113" t="s">
        <v>258</v>
      </c>
      <c r="D49" s="90">
        <v>34596000</v>
      </c>
      <c r="E49" s="94"/>
    </row>
    <row r="50" spans="1:8" ht="10.5" customHeight="1" x14ac:dyDescent="0.25">
      <c r="A50" s="220" t="s">
        <v>259</v>
      </c>
      <c r="B50" s="220"/>
      <c r="C50" s="117" t="s">
        <v>260</v>
      </c>
      <c r="D50" s="90">
        <v>34596000</v>
      </c>
      <c r="E50" s="92"/>
    </row>
    <row r="51" spans="1:8" ht="14.85" customHeight="1" x14ac:dyDescent="0.25">
      <c r="A51" s="223" t="s">
        <v>261</v>
      </c>
      <c r="B51" s="223"/>
      <c r="C51" s="113" t="s">
        <v>262</v>
      </c>
      <c r="D51" s="90">
        <v>-75457225</v>
      </c>
      <c r="E51" s="94"/>
      <c r="H51" s="193"/>
    </row>
    <row r="52" spans="1:8" ht="10.15" customHeight="1" x14ac:dyDescent="0.25">
      <c r="D52" s="90"/>
    </row>
    <row r="53" spans="1:8" ht="18.600000000000001" customHeight="1" x14ac:dyDescent="0.25">
      <c r="A53" s="222" t="s">
        <v>263</v>
      </c>
      <c r="B53" s="222"/>
      <c r="C53" s="116" t="s">
        <v>264</v>
      </c>
      <c r="D53" s="90"/>
      <c r="E53" s="95">
        <f>+D54</f>
        <v>2548980</v>
      </c>
    </row>
    <row r="54" spans="1:8" ht="14.85" customHeight="1" x14ac:dyDescent="0.25">
      <c r="A54" s="223" t="s">
        <v>265</v>
      </c>
      <c r="B54" s="223"/>
      <c r="C54" s="113" t="s">
        <v>266</v>
      </c>
      <c r="D54" s="90">
        <v>2548980</v>
      </c>
      <c r="E54" s="94"/>
    </row>
    <row r="55" spans="1:8" ht="14.85" customHeight="1" x14ac:dyDescent="0.25">
      <c r="A55" s="113"/>
      <c r="B55" s="113"/>
      <c r="C55" s="113"/>
      <c r="D55" s="90"/>
      <c r="E55" s="94"/>
    </row>
    <row r="56" spans="1:8" ht="31.5" customHeight="1" thickBot="1" x14ac:dyDescent="0.3">
      <c r="A56" s="226" t="s">
        <v>267</v>
      </c>
      <c r="B56" s="226"/>
      <c r="C56" s="226"/>
      <c r="D56" s="155"/>
      <c r="E56" s="155">
        <f>SUM(E9:E54)</f>
        <v>576711378</v>
      </c>
    </row>
    <row r="57" spans="1:8" ht="14.85" customHeight="1" thickTop="1" x14ac:dyDescent="0.25">
      <c r="A57" s="113"/>
      <c r="B57" s="113"/>
      <c r="C57" s="113"/>
      <c r="D57" s="90"/>
      <c r="E57" s="94"/>
    </row>
    <row r="58" spans="1:8" ht="14.85" customHeight="1" x14ac:dyDescent="0.25">
      <c r="A58" s="113"/>
      <c r="B58" s="113"/>
      <c r="C58" s="113"/>
      <c r="D58" s="90"/>
      <c r="E58" s="94"/>
    </row>
    <row r="59" spans="1:8" ht="17.649999999999999" customHeight="1" x14ac:dyDescent="0.25">
      <c r="A59" s="117"/>
      <c r="B59" s="117"/>
      <c r="C59" s="117"/>
      <c r="D59" s="90"/>
      <c r="E59" s="179"/>
    </row>
    <row r="60" spans="1:8" ht="14.85" customHeight="1" x14ac:dyDescent="0.25">
      <c r="A60" s="223" t="s">
        <v>268</v>
      </c>
      <c r="B60" s="223"/>
      <c r="C60" s="113" t="s">
        <v>233</v>
      </c>
      <c r="D60" s="90"/>
      <c r="E60" s="180">
        <f>+D61+D62</f>
        <v>63000</v>
      </c>
    </row>
    <row r="61" spans="1:8" ht="12" customHeight="1" x14ac:dyDescent="0.25">
      <c r="A61" s="220" t="s">
        <v>269</v>
      </c>
      <c r="B61" s="220"/>
      <c r="C61" s="117" t="s">
        <v>233</v>
      </c>
      <c r="D61" s="90">
        <v>55000</v>
      </c>
      <c r="E61" s="179"/>
    </row>
    <row r="62" spans="1:8" ht="12" customHeight="1" x14ac:dyDescent="0.25">
      <c r="A62" s="133">
        <v>236706</v>
      </c>
      <c r="B62" s="133"/>
      <c r="C62" s="133" t="s">
        <v>345</v>
      </c>
      <c r="D62" s="90">
        <v>8000</v>
      </c>
      <c r="E62" s="179"/>
    </row>
    <row r="63" spans="1:8" ht="17.649999999999999" customHeight="1" x14ac:dyDescent="0.25">
      <c r="A63" s="220"/>
      <c r="B63" s="220"/>
      <c r="C63" s="117"/>
      <c r="D63" s="90"/>
      <c r="E63" s="179"/>
    </row>
    <row r="64" spans="1:8" ht="14.85" customHeight="1" x14ac:dyDescent="0.25">
      <c r="A64" s="223" t="s">
        <v>270</v>
      </c>
      <c r="B64" s="223"/>
      <c r="C64" s="113" t="s">
        <v>271</v>
      </c>
      <c r="D64" s="90"/>
      <c r="E64" s="180">
        <f>+D65+D66+D67</f>
        <v>282100</v>
      </c>
    </row>
    <row r="65" spans="1:6" ht="12" customHeight="1" x14ac:dyDescent="0.25">
      <c r="A65" s="220" t="s">
        <v>272</v>
      </c>
      <c r="B65" s="220"/>
      <c r="C65" s="117" t="s">
        <v>273</v>
      </c>
      <c r="D65" s="90">
        <v>124700</v>
      </c>
      <c r="E65" s="179"/>
    </row>
    <row r="66" spans="1:6" ht="12" customHeight="1" x14ac:dyDescent="0.25">
      <c r="A66" s="220" t="s">
        <v>274</v>
      </c>
      <c r="B66" s="220"/>
      <c r="C66" s="117" t="s">
        <v>51</v>
      </c>
      <c r="D66" s="90">
        <v>32700</v>
      </c>
      <c r="E66" s="179"/>
    </row>
    <row r="67" spans="1:6" ht="17.649999999999999" customHeight="1" x14ac:dyDescent="0.25">
      <c r="A67" s="220" t="s">
        <v>275</v>
      </c>
      <c r="B67" s="220"/>
      <c r="C67" s="117" t="s">
        <v>276</v>
      </c>
      <c r="D67" s="90">
        <v>124700</v>
      </c>
      <c r="E67" s="179"/>
    </row>
    <row r="68" spans="1:6" ht="14.85" customHeight="1" x14ac:dyDescent="0.25">
      <c r="A68" s="223" t="s">
        <v>277</v>
      </c>
      <c r="B68" s="223"/>
      <c r="C68" s="113" t="s">
        <v>278</v>
      </c>
      <c r="D68" s="90"/>
      <c r="E68" s="180">
        <f>+D69</f>
        <v>498700</v>
      </c>
    </row>
    <row r="69" spans="1:6" ht="12" customHeight="1" x14ac:dyDescent="0.25">
      <c r="A69" s="220" t="s">
        <v>279</v>
      </c>
      <c r="B69" s="220"/>
      <c r="C69" s="117" t="s">
        <v>280</v>
      </c>
      <c r="D69" s="90">
        <v>498700</v>
      </c>
      <c r="E69" s="179"/>
    </row>
    <row r="70" spans="1:6" ht="10.5" customHeight="1" x14ac:dyDescent="0.25">
      <c r="A70" s="220"/>
      <c r="B70" s="220"/>
      <c r="C70" s="117"/>
      <c r="D70" s="90"/>
      <c r="E70" s="179"/>
    </row>
    <row r="71" spans="1:6" ht="10.15" customHeight="1" x14ac:dyDescent="0.25">
      <c r="D71" s="90"/>
      <c r="E71" s="181"/>
    </row>
    <row r="72" spans="1:6" ht="18.600000000000001" customHeight="1" x14ac:dyDescent="0.25">
      <c r="A72" s="222" t="s">
        <v>281</v>
      </c>
      <c r="B72" s="222"/>
      <c r="C72" s="116" t="s">
        <v>282</v>
      </c>
      <c r="D72" s="90"/>
      <c r="E72" s="180">
        <f>+D73+D74</f>
        <v>437000</v>
      </c>
    </row>
    <row r="73" spans="1:6" ht="14.85" customHeight="1" x14ac:dyDescent="0.25">
      <c r="A73" s="223" t="s">
        <v>283</v>
      </c>
      <c r="B73" s="223"/>
      <c r="C73" s="113" t="s">
        <v>284</v>
      </c>
      <c r="D73" s="90">
        <v>437000</v>
      </c>
      <c r="E73" s="182"/>
      <c r="F73" s="91"/>
    </row>
    <row r="74" spans="1:6" ht="14.85" customHeight="1" x14ac:dyDescent="0.25">
      <c r="A74" s="113">
        <v>2412</v>
      </c>
      <c r="B74" s="113"/>
      <c r="C74" s="113" t="s">
        <v>311</v>
      </c>
      <c r="D74" s="90">
        <v>0</v>
      </c>
      <c r="E74" s="182"/>
      <c r="F74" s="91"/>
    </row>
    <row r="75" spans="1:6" ht="14.85" customHeight="1" x14ac:dyDescent="0.25">
      <c r="A75" s="113"/>
      <c r="B75" s="113"/>
      <c r="C75" s="113"/>
      <c r="D75" s="90"/>
      <c r="E75" s="97"/>
      <c r="F75" s="91"/>
    </row>
    <row r="76" spans="1:6" ht="10.15" customHeight="1" x14ac:dyDescent="0.25">
      <c r="D76" s="90"/>
      <c r="E76" s="97"/>
    </row>
    <row r="77" spans="1:6" ht="10.15" customHeight="1" x14ac:dyDescent="0.25"/>
    <row r="78" spans="1:6" ht="18.600000000000001" customHeight="1" x14ac:dyDescent="0.25">
      <c r="A78" s="222" t="s">
        <v>285</v>
      </c>
      <c r="B78" s="222"/>
      <c r="C78" s="116" t="s">
        <v>286</v>
      </c>
      <c r="D78" s="140"/>
      <c r="E78" s="98"/>
    </row>
    <row r="79" spans="1:6" ht="14.85" customHeight="1" x14ac:dyDescent="0.25">
      <c r="A79" s="223" t="s">
        <v>287</v>
      </c>
      <c r="B79" s="223"/>
      <c r="C79" s="113" t="s">
        <v>288</v>
      </c>
      <c r="D79" s="141"/>
      <c r="E79" s="89">
        <f>SUM(D80:D85)</f>
        <v>3454995</v>
      </c>
    </row>
    <row r="80" spans="1:6" ht="12" customHeight="1" x14ac:dyDescent="0.25">
      <c r="A80" s="220" t="s">
        <v>289</v>
      </c>
      <c r="B80" s="220"/>
      <c r="C80" s="117" t="s">
        <v>40</v>
      </c>
      <c r="D80" s="90">
        <v>1861238</v>
      </c>
      <c r="E80" s="92"/>
    </row>
    <row r="81" spans="1:5" ht="12" customHeight="1" x14ac:dyDescent="0.25">
      <c r="A81" s="220" t="s">
        <v>290</v>
      </c>
      <c r="B81" s="220"/>
      <c r="C81" s="117" t="s">
        <v>42</v>
      </c>
      <c r="D81" s="90">
        <v>214175</v>
      </c>
      <c r="E81" s="92"/>
    </row>
    <row r="82" spans="1:5" ht="12" customHeight="1" x14ac:dyDescent="0.25">
      <c r="A82" s="147">
        <v>261015</v>
      </c>
      <c r="B82" s="147"/>
      <c r="C82" s="147" t="s">
        <v>46</v>
      </c>
      <c r="D82" s="90">
        <v>465310</v>
      </c>
      <c r="E82" s="92"/>
    </row>
    <row r="83" spans="1:5" ht="12" customHeight="1" x14ac:dyDescent="0.25">
      <c r="A83" s="147">
        <v>261020</v>
      </c>
      <c r="B83" s="147"/>
      <c r="C83" s="147" t="s">
        <v>352</v>
      </c>
      <c r="D83" s="90">
        <v>914272</v>
      </c>
      <c r="E83" s="92"/>
    </row>
    <row r="84" spans="1:5" ht="12" customHeight="1" x14ac:dyDescent="0.25">
      <c r="A84" s="220"/>
      <c r="B84" s="220"/>
      <c r="C84" s="117"/>
      <c r="D84" s="90"/>
      <c r="E84" s="92"/>
    </row>
    <row r="85" spans="1:5" ht="10.5" customHeight="1" x14ac:dyDescent="0.25">
      <c r="A85" s="220"/>
      <c r="B85" s="220"/>
      <c r="C85" s="117"/>
      <c r="D85" s="90"/>
      <c r="E85" s="92"/>
    </row>
    <row r="86" spans="1:5" ht="10.5" customHeight="1" x14ac:dyDescent="0.25">
      <c r="A86" s="117"/>
      <c r="B86" s="117"/>
      <c r="C86" s="117"/>
      <c r="D86" s="90"/>
      <c r="E86" s="92"/>
    </row>
    <row r="87" spans="1:5" ht="18.600000000000001" customHeight="1" x14ac:dyDescent="0.25">
      <c r="A87" s="222">
        <v>22</v>
      </c>
      <c r="B87" s="222"/>
      <c r="C87" s="116" t="s">
        <v>291</v>
      </c>
      <c r="D87" s="90"/>
      <c r="E87" s="98"/>
    </row>
    <row r="88" spans="1:5" ht="14.85" customHeight="1" x14ac:dyDescent="0.25">
      <c r="A88" s="223">
        <v>2205</v>
      </c>
      <c r="B88" s="223"/>
      <c r="C88" s="113" t="s">
        <v>223</v>
      </c>
      <c r="D88" s="141"/>
      <c r="E88" s="89">
        <f>+D90+D91</f>
        <v>1264428</v>
      </c>
    </row>
    <row r="89" spans="1:5" ht="10.5" customHeight="1" x14ac:dyDescent="0.25">
      <c r="A89" s="220">
        <v>221005</v>
      </c>
      <c r="B89" s="220"/>
      <c r="C89" s="117" t="s">
        <v>292</v>
      </c>
      <c r="D89" s="90"/>
      <c r="E89" s="92"/>
    </row>
    <row r="90" spans="1:5" ht="10.5" customHeight="1" x14ac:dyDescent="0.25">
      <c r="A90" s="117"/>
      <c r="B90" s="117"/>
      <c r="C90" s="117" t="s">
        <v>318</v>
      </c>
      <c r="D90" s="90">
        <v>1264428</v>
      </c>
      <c r="E90" s="92"/>
    </row>
    <row r="91" spans="1:5" ht="10.5" customHeight="1" x14ac:dyDescent="0.25">
      <c r="A91" s="117"/>
      <c r="B91" s="117"/>
      <c r="C91" s="117"/>
      <c r="D91" s="90"/>
      <c r="E91" s="92"/>
    </row>
    <row r="92" spans="1:5" ht="12.95" customHeight="1" x14ac:dyDescent="0.25"/>
    <row r="93" spans="1:5" ht="25.5" customHeight="1" thickBot="1" x14ac:dyDescent="0.3">
      <c r="A93" s="225" t="s">
        <v>293</v>
      </c>
      <c r="B93" s="225"/>
      <c r="C93" s="225"/>
      <c r="D93" s="225"/>
      <c r="E93" s="156">
        <f>SUM(E59:E92)</f>
        <v>6000223</v>
      </c>
    </row>
    <row r="94" spans="1:5" ht="12.95" customHeight="1" thickTop="1" x14ac:dyDescent="0.25"/>
    <row r="95" spans="1:5" ht="12.95" customHeight="1" x14ac:dyDescent="0.25"/>
    <row r="96" spans="1:5" ht="12.75" customHeight="1" x14ac:dyDescent="0.25">
      <c r="A96" s="224" t="s">
        <v>294</v>
      </c>
      <c r="B96" s="224"/>
      <c r="C96" s="115" t="s">
        <v>295</v>
      </c>
      <c r="D96" s="136"/>
      <c r="E96" s="88"/>
    </row>
    <row r="97" spans="1:5" ht="9.9499999999999993" customHeight="1" x14ac:dyDescent="0.25">
      <c r="E97" s="89"/>
    </row>
    <row r="98" spans="1:5" ht="18.600000000000001" customHeight="1" x14ac:dyDescent="0.25">
      <c r="A98" s="222" t="s">
        <v>296</v>
      </c>
      <c r="B98" s="222"/>
      <c r="C98" s="116" t="s">
        <v>297</v>
      </c>
      <c r="D98" s="90"/>
      <c r="E98" s="89">
        <f>+D99</f>
        <v>574301990</v>
      </c>
    </row>
    <row r="99" spans="1:5" ht="14.85" customHeight="1" x14ac:dyDescent="0.25">
      <c r="A99" s="223" t="s">
        <v>298</v>
      </c>
      <c r="B99" s="223"/>
      <c r="C99" s="113" t="s">
        <v>299</v>
      </c>
      <c r="D99" s="90">
        <v>574301990</v>
      </c>
      <c r="E99" s="89"/>
    </row>
    <row r="100" spans="1:5" ht="10.5" customHeight="1" x14ac:dyDescent="0.25">
      <c r="A100" s="220" t="s">
        <v>300</v>
      </c>
      <c r="B100" s="220"/>
      <c r="C100" s="117" t="s">
        <v>301</v>
      </c>
      <c r="D100" s="90"/>
      <c r="E100" s="89"/>
    </row>
    <row r="101" spans="1:5" ht="10.5" customHeight="1" x14ac:dyDescent="0.25">
      <c r="A101" s="117"/>
      <c r="B101" s="117"/>
      <c r="C101" s="117"/>
      <c r="D101" s="90"/>
      <c r="E101" s="89"/>
    </row>
    <row r="102" spans="1:5" ht="10.15" customHeight="1" x14ac:dyDescent="0.25">
      <c r="D102" s="90"/>
      <c r="E102" s="89"/>
    </row>
    <row r="103" spans="1:5" ht="18.600000000000001" customHeight="1" x14ac:dyDescent="0.25">
      <c r="A103" s="222" t="s">
        <v>302</v>
      </c>
      <c r="B103" s="222"/>
      <c r="C103" s="116" t="s">
        <v>303</v>
      </c>
      <c r="D103" s="90"/>
      <c r="E103" s="89">
        <f>+D104</f>
        <v>-3590834.6333333328</v>
      </c>
    </row>
    <row r="104" spans="1:5" ht="14.85" customHeight="1" x14ac:dyDescent="0.25">
      <c r="A104" s="223" t="s">
        <v>304</v>
      </c>
      <c r="B104" s="223"/>
      <c r="C104" s="113" t="str">
        <f>+C105</f>
        <v xml:space="preserve">Perdida del ejercicio </v>
      </c>
      <c r="D104" s="90">
        <f>+D105</f>
        <v>-3590834.6333333328</v>
      </c>
      <c r="E104" s="94"/>
    </row>
    <row r="105" spans="1:5" ht="17.649999999999999" customHeight="1" x14ac:dyDescent="0.25">
      <c r="A105" s="220" t="s">
        <v>305</v>
      </c>
      <c r="B105" s="220"/>
      <c r="C105" s="117" t="s">
        <v>375</v>
      </c>
      <c r="D105" s="90">
        <f>+'PYG '!AF154</f>
        <v>-3590834.6333333328</v>
      </c>
      <c r="E105" s="92"/>
    </row>
    <row r="106" spans="1:5" ht="17.649999999999999" customHeight="1" x14ac:dyDescent="0.25">
      <c r="A106" s="117"/>
      <c r="B106" s="117"/>
      <c r="C106" s="117"/>
      <c r="D106" s="90"/>
      <c r="E106" s="92"/>
    </row>
    <row r="107" spans="1:5" ht="17.649999999999999" customHeight="1" x14ac:dyDescent="0.25">
      <c r="A107" s="117">
        <v>37</v>
      </c>
      <c r="B107" s="117"/>
      <c r="C107" s="117" t="s">
        <v>306</v>
      </c>
      <c r="D107" s="90"/>
      <c r="E107" s="97">
        <f>+D108+D109</f>
        <v>0</v>
      </c>
    </row>
    <row r="108" spans="1:5" ht="17.649999999999999" customHeight="1" x14ac:dyDescent="0.25">
      <c r="A108" s="117">
        <v>37</v>
      </c>
      <c r="B108" s="117"/>
      <c r="C108" s="117" t="s">
        <v>307</v>
      </c>
      <c r="D108" s="90"/>
      <c r="E108" s="92"/>
    </row>
    <row r="109" spans="1:5" ht="17.649999999999999" customHeight="1" x14ac:dyDescent="0.25">
      <c r="A109" s="147"/>
      <c r="B109" s="147"/>
      <c r="C109" s="147"/>
      <c r="D109" s="90"/>
      <c r="E109" s="92"/>
    </row>
    <row r="110" spans="1:5" ht="12" customHeight="1" x14ac:dyDescent="0.25">
      <c r="A110" s="220"/>
      <c r="B110" s="220"/>
      <c r="C110" s="117"/>
      <c r="D110" s="142"/>
      <c r="E110" s="92"/>
    </row>
    <row r="111" spans="1:5" ht="16.5" thickBot="1" x14ac:dyDescent="0.3">
      <c r="A111" s="221" t="s">
        <v>308</v>
      </c>
      <c r="B111" s="221"/>
      <c r="C111" s="221"/>
      <c r="D111" s="221"/>
      <c r="E111" s="99">
        <f>+E98+E103+E107</f>
        <v>570711155.36666667</v>
      </c>
    </row>
    <row r="112" spans="1:5" ht="15.75" thickTop="1" x14ac:dyDescent="0.25"/>
    <row r="113" spans="1:5" ht="16.5" thickBot="1" x14ac:dyDescent="0.3">
      <c r="A113" s="221" t="s">
        <v>309</v>
      </c>
      <c r="B113" s="221"/>
      <c r="C113" s="221"/>
      <c r="D113" s="221"/>
      <c r="E113" s="96">
        <f>+E111+E93</f>
        <v>576711378.36666667</v>
      </c>
    </row>
    <row r="114" spans="1:5" ht="15.75" thickTop="1" x14ac:dyDescent="0.25"/>
    <row r="115" spans="1:5" x14ac:dyDescent="0.25">
      <c r="E115" s="157">
        <v>0</v>
      </c>
    </row>
    <row r="116" spans="1:5" x14ac:dyDescent="0.25">
      <c r="E116" s="186">
        <f>+E56-E93-E111</f>
        <v>-0.36666667461395264</v>
      </c>
    </row>
    <row r="117" spans="1:5" x14ac:dyDescent="0.25">
      <c r="E117" s="158"/>
    </row>
  </sheetData>
  <mergeCells count="70">
    <mergeCell ref="A9:B9"/>
    <mergeCell ref="A1:E1"/>
    <mergeCell ref="A2:E2"/>
    <mergeCell ref="A3:E3"/>
    <mergeCell ref="A6:B6"/>
    <mergeCell ref="A8:B8"/>
    <mergeCell ref="A32:B32"/>
    <mergeCell ref="A10:B10"/>
    <mergeCell ref="A11:B11"/>
    <mergeCell ref="A12:B12"/>
    <mergeCell ref="A13:B13"/>
    <mergeCell ref="A16:B16"/>
    <mergeCell ref="A17:B17"/>
    <mergeCell ref="A18:B18"/>
    <mergeCell ref="A24:B24"/>
    <mergeCell ref="A28:B28"/>
    <mergeCell ref="A29:B29"/>
    <mergeCell ref="A31:B31"/>
    <mergeCell ref="A40:B40"/>
    <mergeCell ref="A41:B41"/>
    <mergeCell ref="A42:B42"/>
    <mergeCell ref="A43:B43"/>
    <mergeCell ref="A44:B44"/>
    <mergeCell ref="A33:B33"/>
    <mergeCell ref="A35:B35"/>
    <mergeCell ref="A36:B36"/>
    <mergeCell ref="A37:B37"/>
    <mergeCell ref="A39:B39"/>
    <mergeCell ref="A51:B51"/>
    <mergeCell ref="A53:B53"/>
    <mergeCell ref="A54:B54"/>
    <mergeCell ref="A56:C56"/>
    <mergeCell ref="A45:B45"/>
    <mergeCell ref="A46:B46"/>
    <mergeCell ref="A47:B47"/>
    <mergeCell ref="A48:B48"/>
    <mergeCell ref="A49:B49"/>
    <mergeCell ref="A50:B50"/>
    <mergeCell ref="A72:B72"/>
    <mergeCell ref="A60:B60"/>
    <mergeCell ref="A61:B61"/>
    <mergeCell ref="A63:B63"/>
    <mergeCell ref="A64:B64"/>
    <mergeCell ref="A65:B65"/>
    <mergeCell ref="A66:B66"/>
    <mergeCell ref="A67:B67"/>
    <mergeCell ref="A68:B68"/>
    <mergeCell ref="A69:B69"/>
    <mergeCell ref="A70:B70"/>
    <mergeCell ref="A96:B96"/>
    <mergeCell ref="A73:B73"/>
    <mergeCell ref="A78:B78"/>
    <mergeCell ref="A79:B79"/>
    <mergeCell ref="A80:B80"/>
    <mergeCell ref="A81:B81"/>
    <mergeCell ref="A84:B84"/>
    <mergeCell ref="A85:B85"/>
    <mergeCell ref="A87:B87"/>
    <mergeCell ref="A88:B88"/>
    <mergeCell ref="A89:B89"/>
    <mergeCell ref="A93:D93"/>
    <mergeCell ref="A110:B110"/>
    <mergeCell ref="A111:D111"/>
    <mergeCell ref="A113:D113"/>
    <mergeCell ref="A98:B98"/>
    <mergeCell ref="A99:B99"/>
    <mergeCell ref="A100:B100"/>
    <mergeCell ref="A103:B103"/>
    <mergeCell ref="A104:B104"/>
    <mergeCell ref="A105:B105"/>
  </mergeCells>
  <pageMargins left="0.55119997262954712" right="0" top="0.2362000048160553" bottom="0.2362000048160553" header="0" footer="0"/>
  <pageSetup firstPageNumber="0" fitToHeight="0" orientation="portrait" horizontalDpi="360" verticalDpi="36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9"/>
  <sheetViews>
    <sheetView tabSelected="1" view="pageBreakPreview" zoomScale="82" zoomScaleNormal="82" zoomScaleSheetLayoutView="82" workbookViewId="0">
      <pane xSplit="1" topLeftCell="P1" activePane="topRight" state="frozen"/>
      <selection pane="topRight" activeCell="Z38" sqref="Z38"/>
    </sheetView>
  </sheetViews>
  <sheetFormatPr baseColWidth="10" defaultRowHeight="15" x14ac:dyDescent="0.25"/>
  <cols>
    <col min="2" max="2" width="47.7109375" customWidth="1"/>
    <col min="3" max="3" width="12.42578125" customWidth="1"/>
    <col min="4" max="4" width="12.28515625" bestFit="1" customWidth="1"/>
    <col min="5" max="5" width="14.5703125" bestFit="1" customWidth="1"/>
    <col min="6" max="6" width="8.5703125" customWidth="1"/>
    <col min="7" max="8" width="12.28515625" bestFit="1" customWidth="1"/>
    <col min="9" max="9" width="15.7109375" bestFit="1" customWidth="1"/>
    <col min="10" max="11" width="12.28515625" bestFit="1" customWidth="1"/>
    <col min="12" max="12" width="14.42578125" bestFit="1" customWidth="1"/>
    <col min="13" max="13" width="14.7109375" customWidth="1"/>
    <col min="14" max="14" width="12.28515625" bestFit="1" customWidth="1"/>
    <col min="15" max="15" width="13" bestFit="1" customWidth="1"/>
    <col min="16" max="16" width="18" bestFit="1" customWidth="1"/>
    <col min="17" max="17" width="17.5703125" customWidth="1"/>
    <col min="18" max="19" width="12.140625" bestFit="1" customWidth="1"/>
    <col min="20" max="20" width="17.42578125" bestFit="1" customWidth="1"/>
    <col min="22" max="23" width="12.140625" bestFit="1" customWidth="1"/>
    <col min="24" max="24" width="17.42578125" bestFit="1" customWidth="1"/>
    <col min="26" max="26" width="12.140625" bestFit="1" customWidth="1"/>
    <col min="27" max="27" width="12.28515625" bestFit="1" customWidth="1"/>
    <col min="28" max="28" width="17.42578125" bestFit="1" customWidth="1"/>
    <col min="30" max="31" width="12.28515625" bestFit="1" customWidth="1"/>
    <col min="32" max="32" width="17.85546875" bestFit="1" customWidth="1"/>
    <col min="33" max="33" width="25.28515625" bestFit="1" customWidth="1"/>
  </cols>
  <sheetData>
    <row r="1" spans="1:33" ht="20.25" x14ac:dyDescent="0.3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</row>
    <row r="2" spans="1:33" ht="20.25" x14ac:dyDescent="0.3">
      <c r="A2" s="238" t="s">
        <v>362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</row>
    <row r="3" spans="1:33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33" ht="15.75" customHeight="1" thickBot="1" x14ac:dyDescent="0.3">
      <c r="A4" s="1"/>
      <c r="B4" s="1"/>
      <c r="C4" s="230">
        <v>44197</v>
      </c>
      <c r="D4" s="231"/>
      <c r="E4" s="231"/>
      <c r="F4" s="232"/>
      <c r="G4" s="230">
        <v>44228</v>
      </c>
      <c r="H4" s="231"/>
      <c r="I4" s="231"/>
      <c r="J4" s="230">
        <v>44256</v>
      </c>
      <c r="K4" s="231"/>
      <c r="L4" s="231"/>
      <c r="M4" s="232"/>
      <c r="N4" s="230">
        <v>44287</v>
      </c>
      <c r="O4" s="231"/>
      <c r="P4" s="231"/>
      <c r="Q4" s="232"/>
      <c r="R4" s="230">
        <v>44317</v>
      </c>
      <c r="S4" s="231"/>
      <c r="T4" s="231"/>
      <c r="U4" s="232"/>
      <c r="V4" s="230">
        <v>44348</v>
      </c>
      <c r="W4" s="231"/>
      <c r="X4" s="231"/>
      <c r="Y4" s="232"/>
      <c r="Z4" s="230">
        <v>44378</v>
      </c>
      <c r="AA4" s="231"/>
      <c r="AB4" s="231"/>
      <c r="AC4" s="232"/>
      <c r="AD4" s="230">
        <v>44409</v>
      </c>
      <c r="AE4" s="231"/>
      <c r="AF4" s="231"/>
      <c r="AG4" s="232"/>
    </row>
    <row r="5" spans="1:33" ht="15" customHeight="1" x14ac:dyDescent="0.25">
      <c r="A5" s="233" t="s">
        <v>1</v>
      </c>
      <c r="B5" s="235"/>
      <c r="C5" s="234" t="s">
        <v>363</v>
      </c>
      <c r="D5" s="234"/>
      <c r="E5" s="234" t="s">
        <v>364</v>
      </c>
      <c r="F5" s="235"/>
      <c r="G5" s="239" t="s">
        <v>365</v>
      </c>
      <c r="H5" s="240"/>
      <c r="I5" s="30" t="s">
        <v>366</v>
      </c>
      <c r="J5" s="233" t="s">
        <v>368</v>
      </c>
      <c r="K5" s="234"/>
      <c r="L5" s="236" t="s">
        <v>367</v>
      </c>
      <c r="M5" s="237"/>
      <c r="N5" s="233" t="s">
        <v>369</v>
      </c>
      <c r="O5" s="234"/>
      <c r="P5" s="234" t="s">
        <v>370</v>
      </c>
      <c r="Q5" s="235"/>
      <c r="R5" s="233" t="s">
        <v>369</v>
      </c>
      <c r="S5" s="234"/>
      <c r="T5" s="234" t="s">
        <v>370</v>
      </c>
      <c r="U5" s="235"/>
      <c r="V5" s="233" t="s">
        <v>369</v>
      </c>
      <c r="W5" s="234"/>
      <c r="X5" s="234" t="s">
        <v>370</v>
      </c>
      <c r="Y5" s="235"/>
      <c r="Z5" s="233" t="s">
        <v>369</v>
      </c>
      <c r="AA5" s="234"/>
      <c r="AB5" s="234" t="s">
        <v>370</v>
      </c>
      <c r="AC5" s="235"/>
      <c r="AD5" s="233" t="s">
        <v>369</v>
      </c>
      <c r="AE5" s="234"/>
      <c r="AF5" s="234" t="s">
        <v>380</v>
      </c>
      <c r="AG5" s="235"/>
    </row>
    <row r="6" spans="1:33" ht="15" customHeight="1" x14ac:dyDescent="0.25">
      <c r="A6" s="8" t="s">
        <v>2</v>
      </c>
      <c r="B6" s="9" t="s">
        <v>3</v>
      </c>
      <c r="C6" s="10" t="s">
        <v>4</v>
      </c>
      <c r="D6" s="10" t="s">
        <v>5</v>
      </c>
      <c r="E6" s="10" t="s">
        <v>6</v>
      </c>
      <c r="F6" s="9"/>
      <c r="G6" s="11" t="s">
        <v>4</v>
      </c>
      <c r="H6" s="10" t="s">
        <v>5</v>
      </c>
      <c r="I6" s="10" t="s">
        <v>6</v>
      </c>
      <c r="J6" s="12" t="s">
        <v>4</v>
      </c>
      <c r="K6" s="10" t="s">
        <v>5</v>
      </c>
      <c r="L6" s="10" t="s">
        <v>6</v>
      </c>
      <c r="M6" s="9"/>
      <c r="N6" s="12" t="s">
        <v>4</v>
      </c>
      <c r="O6" s="10" t="s">
        <v>5</v>
      </c>
      <c r="P6" s="10" t="s">
        <v>6</v>
      </c>
      <c r="Q6" s="9"/>
      <c r="R6" s="12" t="s">
        <v>4</v>
      </c>
      <c r="S6" s="10" t="s">
        <v>5</v>
      </c>
      <c r="T6" s="10" t="s">
        <v>6</v>
      </c>
      <c r="U6" s="9"/>
      <c r="V6" s="12" t="s">
        <v>4</v>
      </c>
      <c r="W6" s="10" t="s">
        <v>5</v>
      </c>
      <c r="X6" s="10" t="s">
        <v>6</v>
      </c>
      <c r="Y6" s="9"/>
      <c r="Z6" s="12" t="s">
        <v>4</v>
      </c>
      <c r="AA6" s="10" t="s">
        <v>5</v>
      </c>
      <c r="AB6" s="10" t="s">
        <v>6</v>
      </c>
      <c r="AC6" s="9"/>
      <c r="AD6" s="12" t="s">
        <v>4</v>
      </c>
      <c r="AE6" s="10" t="s">
        <v>5</v>
      </c>
      <c r="AF6" s="10" t="s">
        <v>6</v>
      </c>
      <c r="AG6" s="9"/>
    </row>
    <row r="7" spans="1:33" x14ac:dyDescent="0.25">
      <c r="A7" s="35" t="s">
        <v>7</v>
      </c>
      <c r="B7" s="36" t="s">
        <v>8</v>
      </c>
      <c r="C7" s="37">
        <v>0</v>
      </c>
      <c r="D7" s="37">
        <f>D8+D14</f>
        <v>11344635</v>
      </c>
      <c r="E7" s="37">
        <f>E8+E14</f>
        <v>11344635</v>
      </c>
      <c r="F7" s="38"/>
      <c r="G7" s="37">
        <v>0</v>
      </c>
      <c r="H7" s="37">
        <f>H8+H14</f>
        <v>12286773</v>
      </c>
      <c r="I7" s="37">
        <f t="shared" ref="I7:I25" si="0">E7+H7</f>
        <v>23631408</v>
      </c>
      <c r="J7" s="39">
        <v>0</v>
      </c>
      <c r="K7" s="37">
        <f>K8+K14</f>
        <v>14156650</v>
      </c>
      <c r="L7" s="37">
        <f>I7+K7</f>
        <v>37788058</v>
      </c>
      <c r="M7" s="38"/>
      <c r="N7" s="39">
        <v>0</v>
      </c>
      <c r="O7" s="37">
        <f>O8+O14</f>
        <v>15531100</v>
      </c>
      <c r="P7" s="37">
        <f t="shared" ref="P7:P12" si="1">L7+O7</f>
        <v>53319158</v>
      </c>
      <c r="Q7" s="38"/>
      <c r="R7" s="39">
        <v>0</v>
      </c>
      <c r="S7" s="37">
        <f>S8+S14</f>
        <v>14472469</v>
      </c>
      <c r="T7" s="37">
        <f>P7+S7</f>
        <v>67791627</v>
      </c>
      <c r="U7" s="38"/>
      <c r="V7" s="39">
        <v>0</v>
      </c>
      <c r="W7" s="37">
        <f>W8+W14</f>
        <v>19253718</v>
      </c>
      <c r="X7" s="37">
        <f t="shared" ref="X7:X12" si="2">T7+W7</f>
        <v>87045345</v>
      </c>
      <c r="Y7" s="38"/>
      <c r="Z7" s="39">
        <v>0</v>
      </c>
      <c r="AA7" s="37">
        <f>AA8+AA14</f>
        <v>12791478</v>
      </c>
      <c r="AB7" s="37">
        <f t="shared" ref="AB7:AB12" si="3">X7+AA7</f>
        <v>99836823</v>
      </c>
      <c r="AC7" s="38"/>
      <c r="AD7" s="39">
        <v>0</v>
      </c>
      <c r="AE7" s="37">
        <f>AE8+AE14</f>
        <v>14702304</v>
      </c>
      <c r="AF7" s="37">
        <f t="shared" ref="AF7:AF12" si="4">AB7+AE7</f>
        <v>114539127</v>
      </c>
      <c r="AG7" s="38"/>
    </row>
    <row r="8" spans="1:33" ht="23.25" customHeight="1" x14ac:dyDescent="0.25">
      <c r="A8" s="14" t="s">
        <v>9</v>
      </c>
      <c r="B8" s="15" t="s">
        <v>10</v>
      </c>
      <c r="C8" s="17">
        <v>0</v>
      </c>
      <c r="D8" s="28">
        <f>D9</f>
        <v>4088450</v>
      </c>
      <c r="E8" s="28">
        <f>E9</f>
        <v>4088450</v>
      </c>
      <c r="F8" s="18"/>
      <c r="G8" s="17">
        <v>0</v>
      </c>
      <c r="H8" s="28">
        <f>H9</f>
        <v>3444630</v>
      </c>
      <c r="I8" s="17">
        <f t="shared" si="0"/>
        <v>7533080</v>
      </c>
      <c r="J8" s="16">
        <v>0</v>
      </c>
      <c r="K8" s="17">
        <f>K9</f>
        <v>4294490</v>
      </c>
      <c r="L8" s="13">
        <f>I8+K8</f>
        <v>11827570</v>
      </c>
      <c r="M8" s="18"/>
      <c r="N8" s="17">
        <v>0</v>
      </c>
      <c r="O8" s="17">
        <f>O9</f>
        <v>3094715</v>
      </c>
      <c r="P8" s="13">
        <f t="shared" si="1"/>
        <v>14922285</v>
      </c>
      <c r="Q8" s="18"/>
      <c r="R8" s="17">
        <v>0</v>
      </c>
      <c r="S8" s="17">
        <f>S9</f>
        <v>3036250</v>
      </c>
      <c r="T8" s="13">
        <f t="shared" ref="T8:T12" si="5">P8+S8</f>
        <v>17958535</v>
      </c>
      <c r="U8" s="29"/>
      <c r="V8" s="17">
        <v>0</v>
      </c>
      <c r="W8" s="17">
        <f>W9</f>
        <v>3220640</v>
      </c>
      <c r="X8" s="13">
        <f t="shared" si="2"/>
        <v>21179175</v>
      </c>
      <c r="Y8" s="29"/>
      <c r="Z8" s="17">
        <v>0</v>
      </c>
      <c r="AA8" s="17">
        <f>AA9</f>
        <v>2982171</v>
      </c>
      <c r="AB8" s="13">
        <f t="shared" si="3"/>
        <v>24161346</v>
      </c>
      <c r="AC8" s="29"/>
      <c r="AD8" s="17">
        <v>0</v>
      </c>
      <c r="AE8" s="17">
        <f>AE9</f>
        <v>2259634</v>
      </c>
      <c r="AF8" s="13">
        <f t="shared" si="4"/>
        <v>26420980</v>
      </c>
      <c r="AG8" s="29"/>
    </row>
    <row r="9" spans="1:33" x14ac:dyDescent="0.25">
      <c r="A9" s="14" t="s">
        <v>11</v>
      </c>
      <c r="B9" s="15" t="s">
        <v>12</v>
      </c>
      <c r="C9" s="17">
        <v>0</v>
      </c>
      <c r="D9" s="28">
        <f>+D10+D11+D12</f>
        <v>4088450</v>
      </c>
      <c r="E9" s="28">
        <f>D9</f>
        <v>4088450</v>
      </c>
      <c r="F9" s="18"/>
      <c r="G9" s="17">
        <v>0</v>
      </c>
      <c r="H9" s="17">
        <f>H10+H11+H12</f>
        <v>3444630</v>
      </c>
      <c r="I9" s="17">
        <f t="shared" si="0"/>
        <v>7533080</v>
      </c>
      <c r="J9" s="16">
        <v>0</v>
      </c>
      <c r="K9" s="17">
        <f>K10+K11+K12</f>
        <v>4294490</v>
      </c>
      <c r="L9" s="13">
        <f t="shared" ref="L9:L25" si="6">I9+K9</f>
        <v>11827570</v>
      </c>
      <c r="M9" s="18"/>
      <c r="N9" s="17">
        <v>0</v>
      </c>
      <c r="O9" s="17">
        <f>O10+O11+O12</f>
        <v>3094715</v>
      </c>
      <c r="P9" s="13">
        <f t="shared" si="1"/>
        <v>14922285</v>
      </c>
      <c r="Q9" s="18"/>
      <c r="R9" s="17">
        <v>0</v>
      </c>
      <c r="S9" s="17">
        <f>S10+S11+S12</f>
        <v>3036250</v>
      </c>
      <c r="T9" s="13">
        <f t="shared" si="5"/>
        <v>17958535</v>
      </c>
      <c r="U9" s="29"/>
      <c r="V9" s="17">
        <v>0</v>
      </c>
      <c r="W9" s="17">
        <f>W10+W11+W12</f>
        <v>3220640</v>
      </c>
      <c r="X9" s="13">
        <f t="shared" si="2"/>
        <v>21179175</v>
      </c>
      <c r="Y9" s="29"/>
      <c r="Z9" s="17">
        <v>0</v>
      </c>
      <c r="AA9" s="17">
        <f>AA10+AA11+AA12</f>
        <v>2982171</v>
      </c>
      <c r="AB9" s="13">
        <f t="shared" si="3"/>
        <v>24161346</v>
      </c>
      <c r="AC9" s="29"/>
      <c r="AD9" s="17">
        <v>0</v>
      </c>
      <c r="AE9" s="17">
        <f>AE10+AE11+AE12</f>
        <v>2259634</v>
      </c>
      <c r="AF9" s="13">
        <f t="shared" si="4"/>
        <v>26420980</v>
      </c>
      <c r="AG9" s="29"/>
    </row>
    <row r="10" spans="1:33" x14ac:dyDescent="0.25">
      <c r="A10" s="14" t="s">
        <v>13</v>
      </c>
      <c r="B10" s="15" t="s">
        <v>136</v>
      </c>
      <c r="C10" s="17">
        <v>0</v>
      </c>
      <c r="D10" s="28">
        <v>4058450</v>
      </c>
      <c r="E10" s="28">
        <f>+D10</f>
        <v>4058450</v>
      </c>
      <c r="F10" s="18"/>
      <c r="G10" s="17">
        <v>0</v>
      </c>
      <c r="H10" s="17">
        <v>3409630</v>
      </c>
      <c r="I10" s="17">
        <f t="shared" si="0"/>
        <v>7468080</v>
      </c>
      <c r="J10" s="16">
        <v>0</v>
      </c>
      <c r="K10" s="17">
        <v>4294490</v>
      </c>
      <c r="L10" s="13">
        <f t="shared" si="6"/>
        <v>11762570</v>
      </c>
      <c r="M10" s="18"/>
      <c r="N10" s="17">
        <v>0</v>
      </c>
      <c r="O10" s="17">
        <v>3019715</v>
      </c>
      <c r="P10" s="13">
        <f t="shared" si="1"/>
        <v>14782285</v>
      </c>
      <c r="Q10" s="18"/>
      <c r="R10" s="17">
        <v>0</v>
      </c>
      <c r="S10" s="203">
        <v>3036250</v>
      </c>
      <c r="T10" s="13">
        <f t="shared" si="5"/>
        <v>17818535</v>
      </c>
      <c r="U10" s="29"/>
      <c r="V10" s="17">
        <v>0</v>
      </c>
      <c r="W10" s="203">
        <v>3175640</v>
      </c>
      <c r="X10" s="13">
        <f t="shared" si="2"/>
        <v>20994175</v>
      </c>
      <c r="Y10" s="29"/>
      <c r="Z10" s="17">
        <v>0</v>
      </c>
      <c r="AA10" s="203">
        <v>2982171</v>
      </c>
      <c r="AB10" s="13">
        <f t="shared" si="3"/>
        <v>23976346</v>
      </c>
      <c r="AC10" s="29"/>
      <c r="AD10" s="17">
        <v>0</v>
      </c>
      <c r="AE10" s="203">
        <v>2259634</v>
      </c>
      <c r="AF10" s="13">
        <f t="shared" si="4"/>
        <v>26235980</v>
      </c>
      <c r="AG10" s="29"/>
    </row>
    <row r="11" spans="1:33" x14ac:dyDescent="0.25">
      <c r="A11" s="31">
        <v>415525</v>
      </c>
      <c r="B11" s="15" t="s">
        <v>135</v>
      </c>
      <c r="C11" s="17"/>
      <c r="D11" s="28">
        <v>0</v>
      </c>
      <c r="E11" s="28">
        <f>+D11</f>
        <v>0</v>
      </c>
      <c r="F11" s="18"/>
      <c r="G11" s="17">
        <v>0</v>
      </c>
      <c r="H11" s="17">
        <v>0</v>
      </c>
      <c r="I11" s="17">
        <f t="shared" si="0"/>
        <v>0</v>
      </c>
      <c r="J11" s="16"/>
      <c r="K11" s="17">
        <v>0</v>
      </c>
      <c r="L11" s="13">
        <f t="shared" si="6"/>
        <v>0</v>
      </c>
      <c r="M11" s="18"/>
      <c r="N11" s="17"/>
      <c r="O11" s="17">
        <v>0</v>
      </c>
      <c r="P11" s="13">
        <f t="shared" si="1"/>
        <v>0</v>
      </c>
      <c r="Q11" s="18"/>
      <c r="R11" s="17"/>
      <c r="S11" s="17">
        <v>0</v>
      </c>
      <c r="T11" s="13">
        <f t="shared" si="5"/>
        <v>0</v>
      </c>
      <c r="U11" s="29"/>
      <c r="V11" s="17"/>
      <c r="W11" s="17">
        <v>0</v>
      </c>
      <c r="X11" s="13">
        <f>T11+W11</f>
        <v>0</v>
      </c>
      <c r="Y11" s="29"/>
      <c r="Z11" s="17"/>
      <c r="AA11" s="17">
        <v>0</v>
      </c>
      <c r="AB11" s="13">
        <f t="shared" si="3"/>
        <v>0</v>
      </c>
      <c r="AC11" s="29"/>
      <c r="AD11" s="17"/>
      <c r="AE11" s="17">
        <v>0</v>
      </c>
      <c r="AF11" s="13">
        <f t="shared" si="4"/>
        <v>0</v>
      </c>
      <c r="AG11" s="29"/>
    </row>
    <row r="12" spans="1:33" x14ac:dyDescent="0.25">
      <c r="A12" s="14">
        <v>415515</v>
      </c>
      <c r="B12" s="15" t="s">
        <v>14</v>
      </c>
      <c r="C12" s="17">
        <v>0</v>
      </c>
      <c r="D12" s="40">
        <v>30000</v>
      </c>
      <c r="E12" s="17">
        <f>+D12</f>
        <v>30000</v>
      </c>
      <c r="F12" s="18"/>
      <c r="G12" s="17">
        <v>0</v>
      </c>
      <c r="H12" s="17">
        <v>35000</v>
      </c>
      <c r="I12" s="17">
        <f t="shared" si="0"/>
        <v>65000</v>
      </c>
      <c r="J12" s="16">
        <v>0</v>
      </c>
      <c r="K12" s="17">
        <v>0</v>
      </c>
      <c r="L12" s="13">
        <f t="shared" si="6"/>
        <v>65000</v>
      </c>
      <c r="M12" s="18"/>
      <c r="N12" s="17">
        <v>0</v>
      </c>
      <c r="O12" s="17">
        <v>75000</v>
      </c>
      <c r="P12" s="13">
        <f t="shared" si="1"/>
        <v>140000</v>
      </c>
      <c r="Q12" s="18"/>
      <c r="R12" s="17">
        <v>0</v>
      </c>
      <c r="S12" s="17">
        <v>0</v>
      </c>
      <c r="T12" s="13">
        <f t="shared" si="5"/>
        <v>140000</v>
      </c>
      <c r="U12" s="29"/>
      <c r="V12" s="17">
        <v>0</v>
      </c>
      <c r="W12" s="203">
        <v>45000</v>
      </c>
      <c r="X12" s="13">
        <f t="shared" si="2"/>
        <v>185000</v>
      </c>
      <c r="Y12" s="29"/>
      <c r="Z12" s="17">
        <v>0</v>
      </c>
      <c r="AA12" s="17">
        <v>0</v>
      </c>
      <c r="AB12" s="13">
        <f t="shared" si="3"/>
        <v>185000</v>
      </c>
      <c r="AC12" s="29"/>
      <c r="AD12" s="17">
        <v>0</v>
      </c>
      <c r="AE12" s="17">
        <v>0</v>
      </c>
      <c r="AF12" s="13">
        <f t="shared" si="4"/>
        <v>185000</v>
      </c>
      <c r="AG12" s="29"/>
    </row>
    <row r="13" spans="1:33" s="26" customFormat="1" x14ac:dyDescent="0.25">
      <c r="A13" s="31"/>
      <c r="B13" s="32"/>
      <c r="C13" s="28"/>
      <c r="D13" s="28"/>
      <c r="E13" s="28"/>
      <c r="F13" s="33"/>
      <c r="G13" s="28"/>
      <c r="H13" s="28"/>
      <c r="I13" s="28"/>
      <c r="J13" s="27"/>
      <c r="K13" s="28"/>
      <c r="L13" s="13">
        <f t="shared" si="6"/>
        <v>0</v>
      </c>
      <c r="M13" s="33"/>
      <c r="N13" s="27"/>
      <c r="O13" s="28"/>
      <c r="P13" s="28"/>
      <c r="Q13" s="33"/>
      <c r="R13" s="27"/>
      <c r="S13" s="28"/>
      <c r="T13" s="28"/>
      <c r="U13" s="33"/>
      <c r="V13" s="27"/>
      <c r="W13" s="28"/>
      <c r="X13" s="28"/>
      <c r="Y13" s="33"/>
      <c r="Z13" s="27"/>
      <c r="AA13" s="28"/>
      <c r="AB13" s="28"/>
      <c r="AC13" s="33"/>
      <c r="AD13" s="27"/>
      <c r="AE13" s="28"/>
      <c r="AF13" s="28"/>
      <c r="AG13" s="33"/>
    </row>
    <row r="14" spans="1:33" x14ac:dyDescent="0.25">
      <c r="A14" s="35" t="s">
        <v>15</v>
      </c>
      <c r="B14" s="36" t="s">
        <v>16</v>
      </c>
      <c r="C14" s="37">
        <v>0</v>
      </c>
      <c r="D14" s="37">
        <f>D15+D19+D22+D24</f>
        <v>7256185</v>
      </c>
      <c r="E14" s="37">
        <f>+D14</f>
        <v>7256185</v>
      </c>
      <c r="F14" s="38"/>
      <c r="G14" s="37">
        <v>0</v>
      </c>
      <c r="H14" s="37">
        <f>H15+H19+H22+H24</f>
        <v>8842143</v>
      </c>
      <c r="I14" s="37">
        <f t="shared" si="0"/>
        <v>16098328</v>
      </c>
      <c r="J14" s="39">
        <v>0</v>
      </c>
      <c r="K14" s="37">
        <f>K15+K19+K22+K24</f>
        <v>9862160</v>
      </c>
      <c r="L14" s="37">
        <f t="shared" si="6"/>
        <v>25960488</v>
      </c>
      <c r="M14" s="38"/>
      <c r="N14" s="39">
        <v>0</v>
      </c>
      <c r="O14" s="37">
        <f>O15+O19+O22+O24</f>
        <v>12436385</v>
      </c>
      <c r="P14" s="37">
        <f>L14+O14</f>
        <v>38396873</v>
      </c>
      <c r="Q14" s="38"/>
      <c r="R14" s="39">
        <v>0</v>
      </c>
      <c r="S14" s="37">
        <f>S15+S19+S22+S24</f>
        <v>11436219</v>
      </c>
      <c r="T14" s="37">
        <f>P14+S14</f>
        <v>49833092</v>
      </c>
      <c r="U14" s="38"/>
      <c r="V14" s="39">
        <v>0</v>
      </c>
      <c r="W14" s="37">
        <f>W15+W19+W22+W24</f>
        <v>16033078</v>
      </c>
      <c r="X14" s="37">
        <f>T14+W14</f>
        <v>65866170</v>
      </c>
      <c r="Y14" s="38"/>
      <c r="Z14" s="39">
        <v>0</v>
      </c>
      <c r="AA14" s="37">
        <f>AA15+AA19+AA22+AA24</f>
        <v>9809307</v>
      </c>
      <c r="AB14" s="37">
        <f>X14+AA14</f>
        <v>75675477</v>
      </c>
      <c r="AC14" s="38"/>
      <c r="AD14" s="39">
        <v>0</v>
      </c>
      <c r="AE14" s="37">
        <f>AE15+AE19+AE22+AE24</f>
        <v>12442670</v>
      </c>
      <c r="AF14" s="37">
        <f>AB14+AE14</f>
        <v>88118147</v>
      </c>
      <c r="AG14" s="38"/>
    </row>
    <row r="15" spans="1:33" x14ac:dyDescent="0.25">
      <c r="A15" s="14" t="s">
        <v>17</v>
      </c>
      <c r="B15" s="15" t="s">
        <v>18</v>
      </c>
      <c r="C15" s="17">
        <v>0</v>
      </c>
      <c r="D15" s="17">
        <f>+D16+D17</f>
        <v>3538</v>
      </c>
      <c r="E15" s="17">
        <f>+D15</f>
        <v>3538</v>
      </c>
      <c r="F15" s="18"/>
      <c r="G15" s="17">
        <v>0</v>
      </c>
      <c r="H15" s="17">
        <f>+H16</f>
        <v>3553</v>
      </c>
      <c r="I15" s="17">
        <f t="shared" si="0"/>
        <v>7091</v>
      </c>
      <c r="J15" s="16">
        <v>0</v>
      </c>
      <c r="K15" s="17">
        <f>+K16+K17</f>
        <v>1206</v>
      </c>
      <c r="L15" s="13">
        <f t="shared" si="6"/>
        <v>8297</v>
      </c>
      <c r="M15" s="18"/>
      <c r="N15" s="16">
        <v>0</v>
      </c>
      <c r="O15" s="17">
        <f>+O16+O17</f>
        <v>112</v>
      </c>
      <c r="P15" s="13">
        <f>L15+O15</f>
        <v>8409</v>
      </c>
      <c r="Q15" s="18"/>
      <c r="R15" s="16">
        <v>0</v>
      </c>
      <c r="S15" s="17">
        <f>+S16+S17</f>
        <v>444</v>
      </c>
      <c r="T15" s="13">
        <f>P15+S15</f>
        <v>8853</v>
      </c>
      <c r="U15" s="29"/>
      <c r="V15" s="16">
        <v>0</v>
      </c>
      <c r="W15" s="17">
        <f>+W16+W17</f>
        <v>681</v>
      </c>
      <c r="X15" s="13">
        <f>T15+W15</f>
        <v>9534</v>
      </c>
      <c r="Y15" s="29"/>
      <c r="Z15" s="16">
        <v>0</v>
      </c>
      <c r="AA15" s="17">
        <f>+AA16+AA17</f>
        <v>570</v>
      </c>
      <c r="AB15" s="13">
        <f>X15+AA15</f>
        <v>10104</v>
      </c>
      <c r="AC15" s="29"/>
      <c r="AD15" s="16">
        <v>0</v>
      </c>
      <c r="AE15" s="17">
        <f>+AE16+AE17</f>
        <v>644</v>
      </c>
      <c r="AF15" s="13">
        <f>AB15+AE15</f>
        <v>10748</v>
      </c>
      <c r="AG15" s="29"/>
    </row>
    <row r="16" spans="1:33" x14ac:dyDescent="0.25">
      <c r="A16" s="14" t="s">
        <v>19</v>
      </c>
      <c r="B16" s="15" t="s">
        <v>20</v>
      </c>
      <c r="C16" s="17">
        <v>0</v>
      </c>
      <c r="D16" s="17">
        <v>3538</v>
      </c>
      <c r="E16" s="17">
        <f>+D16</f>
        <v>3538</v>
      </c>
      <c r="F16" s="18"/>
      <c r="G16" s="17">
        <v>0</v>
      </c>
      <c r="H16" s="17">
        <v>3553</v>
      </c>
      <c r="I16" s="17">
        <f t="shared" si="0"/>
        <v>7091</v>
      </c>
      <c r="J16" s="16">
        <v>0</v>
      </c>
      <c r="K16" s="17">
        <v>1206</v>
      </c>
      <c r="L16" s="13">
        <f t="shared" si="6"/>
        <v>8297</v>
      </c>
      <c r="M16" s="18"/>
      <c r="N16" s="16">
        <v>0</v>
      </c>
      <c r="O16" s="17">
        <v>112</v>
      </c>
      <c r="P16" s="13">
        <f>L16+O16</f>
        <v>8409</v>
      </c>
      <c r="Q16" s="18"/>
      <c r="R16" s="16">
        <v>0</v>
      </c>
      <c r="S16" s="17">
        <v>444</v>
      </c>
      <c r="T16" s="13">
        <f>P16+S16</f>
        <v>8853</v>
      </c>
      <c r="U16" s="29"/>
      <c r="V16" s="16">
        <v>0</v>
      </c>
      <c r="W16" s="17">
        <v>681</v>
      </c>
      <c r="X16" s="13">
        <f>T16+W16</f>
        <v>9534</v>
      </c>
      <c r="Y16" s="29"/>
      <c r="Z16" s="16">
        <v>0</v>
      </c>
      <c r="AA16" s="17">
        <v>570</v>
      </c>
      <c r="AB16" s="13">
        <f>X16+AA16</f>
        <v>10104</v>
      </c>
      <c r="AC16" s="29"/>
      <c r="AD16" s="16">
        <v>0</v>
      </c>
      <c r="AE16" s="17">
        <v>644</v>
      </c>
      <c r="AF16" s="13">
        <f>AB16+AE16</f>
        <v>10748</v>
      </c>
      <c r="AG16" s="29"/>
    </row>
    <row r="17" spans="1:33" x14ac:dyDescent="0.25">
      <c r="A17" s="14">
        <v>421095</v>
      </c>
      <c r="B17" s="32" t="s">
        <v>317</v>
      </c>
      <c r="C17" s="17"/>
      <c r="D17" s="17"/>
      <c r="E17" s="17">
        <f>+D17</f>
        <v>0</v>
      </c>
      <c r="F17" s="29"/>
      <c r="G17" s="17"/>
      <c r="H17" s="17">
        <v>0</v>
      </c>
      <c r="I17" s="17">
        <f t="shared" si="0"/>
        <v>0</v>
      </c>
      <c r="J17" s="16"/>
      <c r="K17" s="17">
        <v>0</v>
      </c>
      <c r="L17" s="13">
        <f t="shared" si="6"/>
        <v>0</v>
      </c>
      <c r="M17" s="29"/>
      <c r="N17" s="16">
        <v>0</v>
      </c>
      <c r="O17" s="17">
        <v>0</v>
      </c>
      <c r="P17" s="13">
        <f>L17+O17</f>
        <v>0</v>
      </c>
      <c r="Q17" s="29"/>
      <c r="R17" s="16">
        <v>0</v>
      </c>
      <c r="S17" s="17">
        <v>0</v>
      </c>
      <c r="T17" s="13">
        <f>P17+S17</f>
        <v>0</v>
      </c>
      <c r="U17" s="29"/>
      <c r="V17" s="16">
        <v>0</v>
      </c>
      <c r="W17" s="17">
        <v>0</v>
      </c>
      <c r="X17" s="13">
        <f>T17+W17</f>
        <v>0</v>
      </c>
      <c r="Y17" s="29"/>
      <c r="Z17" s="16">
        <v>0</v>
      </c>
      <c r="AA17" s="17">
        <v>0</v>
      </c>
      <c r="AB17" s="13">
        <f>X17+AA17</f>
        <v>0</v>
      </c>
      <c r="AC17" s="29"/>
      <c r="AD17" s="16">
        <v>0</v>
      </c>
      <c r="AE17" s="17">
        <v>0</v>
      </c>
      <c r="AF17" s="13">
        <f>AB17+AE17</f>
        <v>0</v>
      </c>
      <c r="AG17" s="29"/>
    </row>
    <row r="18" spans="1:33" x14ac:dyDescent="0.25">
      <c r="A18" s="14"/>
      <c r="B18" s="15"/>
      <c r="C18" s="17"/>
      <c r="D18" s="17"/>
      <c r="E18" s="17"/>
      <c r="F18" s="29"/>
      <c r="G18" s="17"/>
      <c r="H18" s="17"/>
      <c r="I18" s="17"/>
      <c r="J18" s="16"/>
      <c r="K18" s="17"/>
      <c r="L18" s="13">
        <f t="shared" si="6"/>
        <v>0</v>
      </c>
      <c r="M18" s="29"/>
      <c r="N18" s="16"/>
      <c r="O18" s="17"/>
      <c r="P18" s="13"/>
      <c r="Q18" s="29"/>
      <c r="R18" s="16"/>
      <c r="S18" s="17"/>
      <c r="T18" s="13"/>
      <c r="U18" s="29"/>
      <c r="V18" s="16"/>
      <c r="W18" s="17"/>
      <c r="X18" s="13"/>
      <c r="Y18" s="29"/>
      <c r="Z18" s="16"/>
      <c r="AA18" s="17"/>
      <c r="AB18" s="13"/>
      <c r="AC18" s="29"/>
      <c r="AD18" s="16"/>
      <c r="AE18" s="17"/>
      <c r="AF18" s="13"/>
      <c r="AG18" s="29"/>
    </row>
    <row r="19" spans="1:33" ht="21" customHeight="1" x14ac:dyDescent="0.25">
      <c r="A19" s="14" t="s">
        <v>21</v>
      </c>
      <c r="B19" s="19" t="s">
        <v>22</v>
      </c>
      <c r="C19" s="17">
        <v>0</v>
      </c>
      <c r="D19" s="17">
        <f>D20</f>
        <v>1960600</v>
      </c>
      <c r="E19" s="20">
        <f>+D19</f>
        <v>1960600</v>
      </c>
      <c r="F19" s="18"/>
      <c r="G19" s="17">
        <v>0</v>
      </c>
      <c r="H19" s="17">
        <f>+H20</f>
        <v>1960600</v>
      </c>
      <c r="I19" s="20">
        <f t="shared" si="0"/>
        <v>3921200</v>
      </c>
      <c r="J19" s="16">
        <v>0</v>
      </c>
      <c r="K19" s="17">
        <f>+K20</f>
        <v>1960600</v>
      </c>
      <c r="L19" s="13">
        <f t="shared" si="6"/>
        <v>5881800</v>
      </c>
      <c r="M19" s="18"/>
      <c r="N19" s="16">
        <v>0</v>
      </c>
      <c r="O19" s="17">
        <f>O20</f>
        <v>1960600</v>
      </c>
      <c r="P19" s="20">
        <f>L19+O19</f>
        <v>7842400</v>
      </c>
      <c r="Q19" s="18"/>
      <c r="R19" s="16">
        <v>0</v>
      </c>
      <c r="S19" s="17">
        <f>S20</f>
        <v>1960600</v>
      </c>
      <c r="T19" s="20">
        <f>P19+S19</f>
        <v>9803000</v>
      </c>
      <c r="U19" s="29"/>
      <c r="V19" s="16">
        <v>0</v>
      </c>
      <c r="W19" s="17">
        <f>W20</f>
        <v>1960600</v>
      </c>
      <c r="X19" s="20">
        <f>T19+W19</f>
        <v>11763600</v>
      </c>
      <c r="Y19" s="29"/>
      <c r="Z19" s="16">
        <v>0</v>
      </c>
      <c r="AA19" s="17">
        <f>AA20</f>
        <v>1960600</v>
      </c>
      <c r="AB19" s="20">
        <f>X19+AA19</f>
        <v>13724200</v>
      </c>
      <c r="AC19" s="29"/>
      <c r="AD19" s="16">
        <v>0</v>
      </c>
      <c r="AE19" s="17">
        <f>AE20</f>
        <v>1960600</v>
      </c>
      <c r="AF19" s="20">
        <f>AB19+AE19</f>
        <v>15684800</v>
      </c>
      <c r="AG19" s="29"/>
    </row>
    <row r="20" spans="1:33" x14ac:dyDescent="0.25">
      <c r="A20" s="14" t="s">
        <v>23</v>
      </c>
      <c r="B20" s="15" t="s">
        <v>24</v>
      </c>
      <c r="C20" s="17">
        <v>0</v>
      </c>
      <c r="D20" s="17">
        <v>1960600</v>
      </c>
      <c r="E20" s="17">
        <f>+D20</f>
        <v>1960600</v>
      </c>
      <c r="F20" s="18"/>
      <c r="G20" s="17">
        <v>0</v>
      </c>
      <c r="H20" s="17">
        <f>+K20</f>
        <v>1960600</v>
      </c>
      <c r="I20" s="17">
        <f t="shared" si="0"/>
        <v>3921200</v>
      </c>
      <c r="J20" s="16">
        <v>0</v>
      </c>
      <c r="K20" s="17">
        <v>1960600</v>
      </c>
      <c r="L20" s="13">
        <f t="shared" si="6"/>
        <v>5881800</v>
      </c>
      <c r="M20" s="18"/>
      <c r="N20" s="16">
        <v>0</v>
      </c>
      <c r="O20" s="17">
        <v>1960600</v>
      </c>
      <c r="P20" s="13">
        <f>L20+O20</f>
        <v>7842400</v>
      </c>
      <c r="Q20" s="18"/>
      <c r="R20" s="16">
        <v>0</v>
      </c>
      <c r="S20" s="17">
        <v>1960600</v>
      </c>
      <c r="T20" s="13">
        <f>P20+S20</f>
        <v>9803000</v>
      </c>
      <c r="U20" s="29"/>
      <c r="V20" s="16">
        <v>0</v>
      </c>
      <c r="W20" s="17">
        <v>1960600</v>
      </c>
      <c r="X20" s="13">
        <f>T20+W20</f>
        <v>11763600</v>
      </c>
      <c r="Y20" s="29"/>
      <c r="Z20" s="16">
        <v>0</v>
      </c>
      <c r="AA20" s="17">
        <v>1960600</v>
      </c>
      <c r="AB20" s="13">
        <f>X20+AA20</f>
        <v>13724200</v>
      </c>
      <c r="AC20" s="29"/>
      <c r="AD20" s="16">
        <v>0</v>
      </c>
      <c r="AE20" s="17">
        <v>1960600</v>
      </c>
      <c r="AF20" s="13">
        <f>AB20+AE20</f>
        <v>15684800</v>
      </c>
      <c r="AG20" s="29"/>
    </row>
    <row r="21" spans="1:33" x14ac:dyDescent="0.25">
      <c r="A21" s="14"/>
      <c r="B21" s="15"/>
      <c r="C21" s="17"/>
      <c r="D21" s="17"/>
      <c r="E21" s="17"/>
      <c r="F21" s="29"/>
      <c r="G21" s="17"/>
      <c r="H21" s="17"/>
      <c r="I21" s="17"/>
      <c r="J21" s="16"/>
      <c r="K21" s="40"/>
      <c r="L21" s="13">
        <f t="shared" si="6"/>
        <v>0</v>
      </c>
      <c r="M21" s="29"/>
      <c r="N21" s="16"/>
      <c r="O21" s="17"/>
      <c r="P21" s="13"/>
      <c r="Q21" s="29"/>
      <c r="R21" s="16"/>
      <c r="S21" s="17"/>
      <c r="T21" s="13"/>
      <c r="U21" s="29"/>
      <c r="V21" s="16"/>
      <c r="W21" s="17"/>
      <c r="X21" s="13"/>
      <c r="Y21" s="29"/>
      <c r="Z21" s="16"/>
      <c r="AA21" s="17"/>
      <c r="AB21" s="13"/>
      <c r="AC21" s="29"/>
      <c r="AD21" s="16"/>
      <c r="AE21" s="17"/>
      <c r="AF21" s="13"/>
      <c r="AG21" s="29"/>
    </row>
    <row r="22" spans="1:33" x14ac:dyDescent="0.25">
      <c r="A22" s="14" t="s">
        <v>25</v>
      </c>
      <c r="B22" s="15" t="s">
        <v>26</v>
      </c>
      <c r="C22" s="17">
        <v>0</v>
      </c>
      <c r="D22" s="17">
        <f>D23</f>
        <v>5292010</v>
      </c>
      <c r="E22" s="17">
        <f>+D22</f>
        <v>5292010</v>
      </c>
      <c r="F22" s="18"/>
      <c r="G22" s="17">
        <v>0</v>
      </c>
      <c r="H22" s="17">
        <f>H23</f>
        <v>6877990</v>
      </c>
      <c r="I22" s="17">
        <f t="shared" si="0"/>
        <v>12170000</v>
      </c>
      <c r="J22" s="16">
        <v>0</v>
      </c>
      <c r="K22" s="40">
        <f>K23</f>
        <v>7900354</v>
      </c>
      <c r="L22" s="13">
        <f t="shared" si="6"/>
        <v>20070354</v>
      </c>
      <c r="M22" s="18"/>
      <c r="N22" s="16">
        <v>0</v>
      </c>
      <c r="O22" s="17">
        <f>O23</f>
        <v>10475673</v>
      </c>
      <c r="P22" s="13">
        <f>L22+O22</f>
        <v>30546027</v>
      </c>
      <c r="Q22" s="18"/>
      <c r="R22" s="16">
        <v>0</v>
      </c>
      <c r="S22" s="17">
        <f>S23</f>
        <v>9475175</v>
      </c>
      <c r="T22" s="13">
        <f>P22+S22</f>
        <v>40021202</v>
      </c>
      <c r="U22" s="29"/>
      <c r="V22" s="16">
        <v>0</v>
      </c>
      <c r="W22" s="17">
        <f>W23</f>
        <v>14071797</v>
      </c>
      <c r="X22" s="13">
        <f>T22+W22</f>
        <v>54092999</v>
      </c>
      <c r="Y22" s="29"/>
      <c r="Z22" s="16">
        <v>0</v>
      </c>
      <c r="AA22" s="17">
        <f>AA23</f>
        <v>7846784</v>
      </c>
      <c r="AB22" s="13">
        <f>X22+AA22</f>
        <v>61939783</v>
      </c>
      <c r="AC22" s="29"/>
      <c r="AD22" s="16">
        <v>0</v>
      </c>
      <c r="AE22" s="17">
        <f>AE23</f>
        <v>10481424</v>
      </c>
      <c r="AF22" s="13">
        <f>AB22+AE22</f>
        <v>72421207</v>
      </c>
      <c r="AG22" s="29"/>
    </row>
    <row r="23" spans="1:33" s="26" customFormat="1" x14ac:dyDescent="0.25">
      <c r="A23" s="31" t="s">
        <v>27</v>
      </c>
      <c r="B23" s="34" t="s">
        <v>28</v>
      </c>
      <c r="C23" s="28">
        <v>0</v>
      </c>
      <c r="D23" s="28">
        <v>5292010</v>
      </c>
      <c r="E23" s="28">
        <f t="shared" ref="E23:E25" si="7">+D23</f>
        <v>5292010</v>
      </c>
      <c r="F23" s="33"/>
      <c r="G23" s="28">
        <v>0</v>
      </c>
      <c r="H23" s="28">
        <v>6877990</v>
      </c>
      <c r="I23" s="28">
        <f t="shared" si="0"/>
        <v>12170000</v>
      </c>
      <c r="J23" s="27">
        <v>0</v>
      </c>
      <c r="K23" s="28">
        <v>7900354</v>
      </c>
      <c r="L23" s="28">
        <f t="shared" si="6"/>
        <v>20070354</v>
      </c>
      <c r="M23" s="33"/>
      <c r="N23" s="27">
        <v>0</v>
      </c>
      <c r="O23" s="28">
        <v>10475673</v>
      </c>
      <c r="P23" s="28">
        <f>L23+O23</f>
        <v>30546027</v>
      </c>
      <c r="Q23" s="33"/>
      <c r="R23" s="27">
        <v>0</v>
      </c>
      <c r="S23" s="200">
        <v>9475175</v>
      </c>
      <c r="T23" s="28">
        <f>P23+S23</f>
        <v>40021202</v>
      </c>
      <c r="U23" s="33"/>
      <c r="V23" s="27">
        <v>0</v>
      </c>
      <c r="W23" s="200">
        <v>14071797</v>
      </c>
      <c r="X23" s="28">
        <f>T23+W23</f>
        <v>54092999</v>
      </c>
      <c r="Y23" s="33"/>
      <c r="Z23" s="27">
        <v>0</v>
      </c>
      <c r="AA23" s="200">
        <v>7846784</v>
      </c>
      <c r="AB23" s="28">
        <f>X23+AA23</f>
        <v>61939783</v>
      </c>
      <c r="AC23" s="33"/>
      <c r="AD23" s="27">
        <v>0</v>
      </c>
      <c r="AE23" s="200">
        <v>10481424</v>
      </c>
      <c r="AF23" s="28">
        <f>AB23+AE23</f>
        <v>72421207</v>
      </c>
      <c r="AG23" s="218"/>
    </row>
    <row r="24" spans="1:33" x14ac:dyDescent="0.25">
      <c r="A24" s="14">
        <v>4295</v>
      </c>
      <c r="B24" s="15" t="s">
        <v>148</v>
      </c>
      <c r="C24" s="17">
        <v>0</v>
      </c>
      <c r="D24" s="28">
        <f>+D25</f>
        <v>37</v>
      </c>
      <c r="E24" s="17">
        <f t="shared" si="7"/>
        <v>37</v>
      </c>
      <c r="F24" s="18"/>
      <c r="G24" s="17">
        <v>0</v>
      </c>
      <c r="H24" s="40">
        <f>+H25</f>
        <v>0</v>
      </c>
      <c r="I24" s="17">
        <f t="shared" si="0"/>
        <v>37</v>
      </c>
      <c r="J24" s="16">
        <v>0</v>
      </c>
      <c r="K24" s="40">
        <f>+K25</f>
        <v>0</v>
      </c>
      <c r="L24" s="13">
        <f t="shared" si="6"/>
        <v>37</v>
      </c>
      <c r="M24" s="18"/>
      <c r="N24" s="16">
        <v>0</v>
      </c>
      <c r="O24" s="17">
        <f>+O25</f>
        <v>0</v>
      </c>
      <c r="P24" s="13">
        <f>L24+O24</f>
        <v>37</v>
      </c>
      <c r="Q24" s="18"/>
      <c r="R24" s="16">
        <v>0</v>
      </c>
      <c r="S24" s="17">
        <f>+S25</f>
        <v>0</v>
      </c>
      <c r="T24" s="13">
        <f>P24+S24</f>
        <v>37</v>
      </c>
      <c r="U24" s="29"/>
      <c r="V24" s="16">
        <v>0</v>
      </c>
      <c r="W24" s="17">
        <f>+W25</f>
        <v>0</v>
      </c>
      <c r="X24" s="13">
        <f>T24+W24</f>
        <v>37</v>
      </c>
      <c r="Y24" s="29"/>
      <c r="Z24" s="16">
        <v>0</v>
      </c>
      <c r="AA24" s="17">
        <f>+AA25</f>
        <v>1353</v>
      </c>
      <c r="AB24" s="13">
        <f>X24+AA24</f>
        <v>1390</v>
      </c>
      <c r="AC24" s="29"/>
      <c r="AD24" s="16">
        <v>0</v>
      </c>
      <c r="AE24" s="17">
        <f>+AE25</f>
        <v>2</v>
      </c>
      <c r="AF24" s="13">
        <f>AB24+AE24</f>
        <v>1392</v>
      </c>
      <c r="AG24" s="29">
        <v>3</v>
      </c>
    </row>
    <row r="25" spans="1:33" x14ac:dyDescent="0.25">
      <c r="A25" s="14">
        <v>429581</v>
      </c>
      <c r="B25" s="15" t="s">
        <v>147</v>
      </c>
      <c r="C25" s="17">
        <v>0</v>
      </c>
      <c r="D25" s="28">
        <v>37</v>
      </c>
      <c r="E25" s="17">
        <f t="shared" si="7"/>
        <v>37</v>
      </c>
      <c r="F25" s="18"/>
      <c r="G25" s="17">
        <v>0</v>
      </c>
      <c r="H25" s="40"/>
      <c r="I25" s="17">
        <f t="shared" si="0"/>
        <v>37</v>
      </c>
      <c r="J25" s="16">
        <v>0</v>
      </c>
      <c r="K25" s="40"/>
      <c r="L25" s="13">
        <f t="shared" si="6"/>
        <v>37</v>
      </c>
      <c r="M25" s="18"/>
      <c r="N25" s="16">
        <v>0</v>
      </c>
      <c r="O25" s="17">
        <v>0</v>
      </c>
      <c r="P25" s="13">
        <f>L25+O25</f>
        <v>37</v>
      </c>
      <c r="Q25" s="18"/>
      <c r="R25" s="16">
        <v>0</v>
      </c>
      <c r="S25" s="17">
        <v>0</v>
      </c>
      <c r="T25" s="13">
        <f>P25+S25</f>
        <v>37</v>
      </c>
      <c r="U25" s="29"/>
      <c r="V25" s="16">
        <v>0</v>
      </c>
      <c r="W25" s="17">
        <v>0</v>
      </c>
      <c r="X25" s="13">
        <f>T25+W25</f>
        <v>37</v>
      </c>
      <c r="Y25" s="29"/>
      <c r="Z25" s="16">
        <v>0</v>
      </c>
      <c r="AA25" s="17">
        <f>1360-7</f>
        <v>1353</v>
      </c>
      <c r="AB25" s="13">
        <f>X25+AA25</f>
        <v>1390</v>
      </c>
      <c r="AC25" s="29"/>
      <c r="AD25" s="16">
        <v>0</v>
      </c>
      <c r="AE25" s="17">
        <v>2</v>
      </c>
      <c r="AF25" s="13">
        <f>AB25+AE25</f>
        <v>1392</v>
      </c>
      <c r="AG25" s="29"/>
    </row>
    <row r="26" spans="1:33" x14ac:dyDescent="0.25">
      <c r="A26" s="14"/>
      <c r="B26" s="19"/>
      <c r="C26" s="17"/>
      <c r="D26" s="28"/>
      <c r="E26" s="17"/>
      <c r="F26" s="18"/>
      <c r="G26" s="17"/>
      <c r="H26" s="40"/>
      <c r="I26" s="17"/>
      <c r="J26" s="16"/>
      <c r="K26" s="40"/>
      <c r="L26" s="13"/>
      <c r="M26" s="18"/>
      <c r="N26" s="16"/>
      <c r="O26" s="17"/>
      <c r="P26" s="13"/>
      <c r="Q26" s="18"/>
      <c r="R26" s="16"/>
      <c r="S26" s="17"/>
      <c r="T26" s="13"/>
      <c r="U26" s="29"/>
      <c r="V26" s="16"/>
      <c r="W26" s="17"/>
      <c r="X26" s="13"/>
      <c r="Y26" s="29"/>
      <c r="Z26" s="16"/>
      <c r="AA26" s="17"/>
      <c r="AB26" s="13"/>
      <c r="AC26" s="29"/>
      <c r="AD26" s="16"/>
      <c r="AE26" s="17"/>
      <c r="AF26" s="13"/>
      <c r="AG26" s="29"/>
    </row>
    <row r="27" spans="1:33" x14ac:dyDescent="0.25">
      <c r="A27" s="35" t="s">
        <v>29</v>
      </c>
      <c r="B27" s="36" t="s">
        <v>30</v>
      </c>
      <c r="C27" s="37">
        <f>C28+C140+C118</f>
        <v>9031235</v>
      </c>
      <c r="D27" s="37">
        <v>0</v>
      </c>
      <c r="E27" s="37">
        <f>+C27</f>
        <v>9031235</v>
      </c>
      <c r="F27" s="38"/>
      <c r="G27" s="37">
        <f>G28+G140+G118</f>
        <v>12657564</v>
      </c>
      <c r="H27" s="37">
        <v>0</v>
      </c>
      <c r="I27" s="37">
        <f t="shared" ref="I27:I64" si="8">E27+G27</f>
        <v>21688799</v>
      </c>
      <c r="J27" s="37">
        <f>J28+J140+J118</f>
        <v>14106743</v>
      </c>
      <c r="K27" s="37">
        <v>0</v>
      </c>
      <c r="L27" s="37">
        <f>I27+J27</f>
        <v>35795542</v>
      </c>
      <c r="M27" s="38"/>
      <c r="N27" s="37">
        <f>N28+N140+N118</f>
        <v>17975576</v>
      </c>
      <c r="O27" s="37">
        <v>0</v>
      </c>
      <c r="P27" s="37">
        <f t="shared" ref="P27:P39" si="9">L27+N27</f>
        <v>53771118</v>
      </c>
      <c r="Q27" s="38"/>
      <c r="R27" s="37">
        <f>R28+R140+R118</f>
        <v>12421884.633333333</v>
      </c>
      <c r="S27" s="37">
        <v>0</v>
      </c>
      <c r="T27" s="37">
        <f>P27+R27</f>
        <v>66193002.633333333</v>
      </c>
      <c r="U27" s="38"/>
      <c r="V27" s="37">
        <f>V28+V140+V118</f>
        <v>13474748</v>
      </c>
      <c r="W27" s="37">
        <v>0</v>
      </c>
      <c r="X27" s="37">
        <f t="shared" ref="X27:X30" si="10">T27+V27</f>
        <v>79667750.633333325</v>
      </c>
      <c r="Y27" s="38"/>
      <c r="Z27" s="37">
        <f>Z28+Z140+Z118</f>
        <v>14035260</v>
      </c>
      <c r="AA27" s="37">
        <v>0</v>
      </c>
      <c r="AB27" s="37">
        <f t="shared" ref="AB27:AB30" si="11">X27+Z27</f>
        <v>93703010.633333325</v>
      </c>
      <c r="AC27" s="38"/>
      <c r="AD27" s="37">
        <f>AD28+AD140+AD118</f>
        <v>13118813</v>
      </c>
      <c r="AE27" s="37">
        <v>0</v>
      </c>
      <c r="AF27" s="37">
        <f t="shared" ref="AF27:AF30" si="12">AB27+AD27</f>
        <v>106821823.63333333</v>
      </c>
      <c r="AG27" s="38"/>
    </row>
    <row r="28" spans="1:33" x14ac:dyDescent="0.25">
      <c r="A28" s="14" t="s">
        <v>31</v>
      </c>
      <c r="B28" s="15" t="s">
        <v>32</v>
      </c>
      <c r="C28" s="17">
        <f>C29+C45+C56+C50+C63+C66+C77+C83+C90+C104+C60+C96</f>
        <v>8946851</v>
      </c>
      <c r="D28" s="17">
        <v>0</v>
      </c>
      <c r="E28" s="17">
        <f t="shared" ref="E28:E58" si="13">+C28</f>
        <v>8946851</v>
      </c>
      <c r="F28" s="29"/>
      <c r="G28" s="17">
        <f>G29+G45+G56+G50+G63+G66+G77+G83+G90+G104+G60+G96</f>
        <v>12329940</v>
      </c>
      <c r="H28" s="17">
        <v>0</v>
      </c>
      <c r="I28" s="13">
        <f t="shared" si="8"/>
        <v>21276791</v>
      </c>
      <c r="J28" s="17">
        <f>J29+J45+J56+J50+J63+J66+J77+J83+J90+J104+J60+J96</f>
        <v>13307958</v>
      </c>
      <c r="K28" s="17">
        <v>0</v>
      </c>
      <c r="L28" s="13">
        <f t="shared" ref="L28:L74" si="14">I28+J28</f>
        <v>34584749</v>
      </c>
      <c r="M28" s="29"/>
      <c r="N28" s="17">
        <f>N29+N45+N56+N50+N63+N66+N77+N83+N90+N104+N60+N96</f>
        <v>16977646</v>
      </c>
      <c r="O28" s="17">
        <v>0</v>
      </c>
      <c r="P28" s="13">
        <f t="shared" si="9"/>
        <v>51562395</v>
      </c>
      <c r="Q28" s="29"/>
      <c r="R28" s="17">
        <f>R29+R45+R56+R50+R63+R66+R77+R83+R90+R104+R60+R96</f>
        <v>11666773.633333333</v>
      </c>
      <c r="S28" s="17">
        <v>0</v>
      </c>
      <c r="T28" s="13">
        <f t="shared" ref="T28:T30" si="15">P28+R28</f>
        <v>63229168.633333333</v>
      </c>
      <c r="U28" s="29"/>
      <c r="V28" s="17">
        <f>V29+V45+V56+V50+V63+V66+V77+V83+V90+V104+V60+V96</f>
        <v>12699979</v>
      </c>
      <c r="W28" s="17">
        <v>0</v>
      </c>
      <c r="X28" s="13">
        <f t="shared" si="10"/>
        <v>75929147.633333325</v>
      </c>
      <c r="Y28" s="29"/>
      <c r="Z28" s="17">
        <f>Z29+Z45+Z56+Z50+Z63+Z66+Z77+Z83+Z90+Z104+Z60+Z96</f>
        <v>13275217</v>
      </c>
      <c r="AA28" s="17">
        <v>0</v>
      </c>
      <c r="AB28" s="13">
        <f t="shared" si="11"/>
        <v>89204364.633333325</v>
      </c>
      <c r="AC28" s="29"/>
      <c r="AD28" s="17">
        <f>AD29+AD45+AD56+AD50+AD63+AD66+AD77+AD83+AD90+AD104+AD60+AD96</f>
        <v>12322820</v>
      </c>
      <c r="AE28" s="17">
        <v>0</v>
      </c>
      <c r="AF28" s="13">
        <f t="shared" si="12"/>
        <v>101527184.63333333</v>
      </c>
      <c r="AG28" s="29"/>
    </row>
    <row r="29" spans="1:33" x14ac:dyDescent="0.25">
      <c r="A29" s="14" t="s">
        <v>33</v>
      </c>
      <c r="B29" s="15" t="s">
        <v>34</v>
      </c>
      <c r="C29" s="17">
        <f>+C38</f>
        <v>30000</v>
      </c>
      <c r="D29" s="17">
        <v>0</v>
      </c>
      <c r="E29" s="17">
        <f t="shared" si="13"/>
        <v>30000</v>
      </c>
      <c r="F29" s="29"/>
      <c r="G29" s="17">
        <f>SUM(G30:G42)</f>
        <v>4888998</v>
      </c>
      <c r="H29" s="17">
        <v>0</v>
      </c>
      <c r="I29" s="13">
        <f t="shared" si="8"/>
        <v>4918998</v>
      </c>
      <c r="J29" s="17">
        <f>SUM(J30:J42)</f>
        <v>4803581</v>
      </c>
      <c r="K29" s="17">
        <v>0</v>
      </c>
      <c r="L29" s="13">
        <f t="shared" si="14"/>
        <v>9722579</v>
      </c>
      <c r="M29" s="29"/>
      <c r="N29" s="21">
        <f>N30+N32+N33+N34+N35+N36+N37+N38+N39+N40+N41+N42</f>
        <v>4803967</v>
      </c>
      <c r="O29" s="17">
        <v>0</v>
      </c>
      <c r="P29" s="13">
        <f t="shared" si="9"/>
        <v>14526546</v>
      </c>
      <c r="Q29" s="29"/>
      <c r="R29" s="21">
        <f>R30+R32+R33+R34+R35+R36+R37+R38+R39+R40+R41+R42</f>
        <v>4902866</v>
      </c>
      <c r="S29" s="17">
        <v>0</v>
      </c>
      <c r="T29" s="13">
        <f t="shared" si="15"/>
        <v>19429412</v>
      </c>
      <c r="U29" s="29"/>
      <c r="V29" s="21">
        <f>V30+V32+V33+V34+V35+V36+V37+V38+V39+V40+V41+V42</f>
        <v>4792542</v>
      </c>
      <c r="W29" s="17">
        <v>0</v>
      </c>
      <c r="X29" s="13">
        <f t="shared" si="10"/>
        <v>24221954</v>
      </c>
      <c r="Y29" s="29"/>
      <c r="Z29" s="21">
        <f>Z30+Z32+Z33+Z34+Z35+Z36+Z37+Z38+Z39+Z40+Z41+Z42</f>
        <v>4916046</v>
      </c>
      <c r="AA29" s="17">
        <v>0</v>
      </c>
      <c r="AB29" s="13">
        <f t="shared" si="11"/>
        <v>29138000</v>
      </c>
      <c r="AC29" s="29"/>
      <c r="AD29" s="21">
        <f>AD30+AD32+AD33+AD34+AD35+AD36+AD37+AD38+AD39+AD40+AD41+AD42+AD31</f>
        <v>4800542</v>
      </c>
      <c r="AE29" s="17">
        <v>0</v>
      </c>
      <c r="AF29" s="13">
        <f t="shared" si="12"/>
        <v>33938542</v>
      </c>
      <c r="AG29" s="219"/>
    </row>
    <row r="30" spans="1:33" x14ac:dyDescent="0.25">
      <c r="A30" s="14" t="s">
        <v>35</v>
      </c>
      <c r="B30" s="15" t="s">
        <v>36</v>
      </c>
      <c r="C30" s="17">
        <v>0</v>
      </c>
      <c r="D30" s="17">
        <v>0</v>
      </c>
      <c r="E30" s="17">
        <f t="shared" si="13"/>
        <v>0</v>
      </c>
      <c r="F30" s="29"/>
      <c r="G30" s="16">
        <v>2908453</v>
      </c>
      <c r="H30" s="17">
        <v>0</v>
      </c>
      <c r="I30" s="13">
        <f t="shared" si="8"/>
        <v>2908453</v>
      </c>
      <c r="J30" s="16">
        <v>3116200</v>
      </c>
      <c r="K30" s="17">
        <v>0</v>
      </c>
      <c r="L30" s="13">
        <f t="shared" si="14"/>
        <v>6024653</v>
      </c>
      <c r="M30" s="29"/>
      <c r="N30" s="16">
        <v>3116200</v>
      </c>
      <c r="O30" s="17">
        <v>0</v>
      </c>
      <c r="P30" s="13">
        <f t="shared" si="9"/>
        <v>9140853</v>
      </c>
      <c r="Q30" s="29"/>
      <c r="R30" s="16">
        <v>3116200</v>
      </c>
      <c r="S30" s="17">
        <v>0</v>
      </c>
      <c r="T30" s="13">
        <f t="shared" si="15"/>
        <v>12257053</v>
      </c>
      <c r="U30" s="29"/>
      <c r="V30" s="16">
        <v>3116200</v>
      </c>
      <c r="W30" s="17">
        <v>0</v>
      </c>
      <c r="X30" s="13">
        <f t="shared" si="10"/>
        <v>15373253</v>
      </c>
      <c r="Y30" s="29"/>
      <c r="Z30" s="16">
        <v>3116200</v>
      </c>
      <c r="AA30" s="17">
        <v>0</v>
      </c>
      <c r="AB30" s="13">
        <f t="shared" si="11"/>
        <v>18489453</v>
      </c>
      <c r="AC30" s="29"/>
      <c r="AD30" s="16">
        <v>3116200</v>
      </c>
      <c r="AE30" s="17">
        <v>0</v>
      </c>
      <c r="AF30" s="13">
        <f t="shared" si="12"/>
        <v>21605653</v>
      </c>
      <c r="AG30" s="29"/>
    </row>
    <row r="31" spans="1:33" x14ac:dyDescent="0.25">
      <c r="A31" s="14">
        <v>5105</v>
      </c>
      <c r="B31" s="15" t="s">
        <v>314</v>
      </c>
      <c r="C31" s="17">
        <v>0</v>
      </c>
      <c r="D31" s="17">
        <v>0</v>
      </c>
      <c r="E31" s="17">
        <v>0</v>
      </c>
      <c r="F31" s="29"/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29"/>
      <c r="N31" s="17">
        <v>0</v>
      </c>
      <c r="O31" s="17">
        <v>0</v>
      </c>
      <c r="P31" s="17">
        <v>0</v>
      </c>
      <c r="Q31" s="29"/>
      <c r="R31" s="17">
        <v>0</v>
      </c>
      <c r="S31" s="17">
        <v>0</v>
      </c>
      <c r="T31" s="17">
        <v>0</v>
      </c>
      <c r="U31" s="29"/>
      <c r="V31" s="17">
        <v>0</v>
      </c>
      <c r="W31" s="17">
        <v>0</v>
      </c>
      <c r="X31" s="17">
        <v>0</v>
      </c>
      <c r="Y31" s="29"/>
      <c r="Z31" s="17">
        <v>0</v>
      </c>
      <c r="AA31" s="17">
        <v>0</v>
      </c>
      <c r="AB31" s="17">
        <v>0</v>
      </c>
      <c r="AC31" s="29"/>
      <c r="AD31" s="17">
        <v>25000</v>
      </c>
      <c r="AE31" s="17">
        <v>0</v>
      </c>
      <c r="AF31" s="17">
        <f>+AD31</f>
        <v>25000</v>
      </c>
      <c r="AG31" s="29"/>
    </row>
    <row r="32" spans="1:33" x14ac:dyDescent="0.25">
      <c r="A32" s="14" t="s">
        <v>37</v>
      </c>
      <c r="B32" s="15" t="s">
        <v>38</v>
      </c>
      <c r="C32" s="17">
        <v>0</v>
      </c>
      <c r="D32" s="17">
        <v>0</v>
      </c>
      <c r="E32" s="17">
        <f t="shared" si="13"/>
        <v>0</v>
      </c>
      <c r="F32" s="29"/>
      <c r="G32" s="16">
        <v>99357</v>
      </c>
      <c r="H32" s="17">
        <v>0</v>
      </c>
      <c r="I32" s="13">
        <f t="shared" si="8"/>
        <v>99357</v>
      </c>
      <c r="J32" s="16">
        <v>106454</v>
      </c>
      <c r="K32" s="17">
        <v>0</v>
      </c>
      <c r="L32" s="13">
        <f t="shared" si="14"/>
        <v>205811</v>
      </c>
      <c r="M32" s="29"/>
      <c r="N32" s="16">
        <v>106454</v>
      </c>
      <c r="O32" s="17">
        <v>0</v>
      </c>
      <c r="P32" s="13">
        <f t="shared" si="9"/>
        <v>312265</v>
      </c>
      <c r="Q32" s="29"/>
      <c r="R32" s="16">
        <v>106454</v>
      </c>
      <c r="S32" s="17">
        <v>0</v>
      </c>
      <c r="T32" s="13">
        <f t="shared" ref="T32" si="16">P32+R32</f>
        <v>418719</v>
      </c>
      <c r="U32" s="29"/>
      <c r="V32" s="16">
        <v>106454</v>
      </c>
      <c r="W32" s="17">
        <v>0</v>
      </c>
      <c r="X32" s="13">
        <f t="shared" ref="X32" si="17">T32+V32</f>
        <v>525173</v>
      </c>
      <c r="Y32" s="29"/>
      <c r="Z32" s="16">
        <v>106454</v>
      </c>
      <c r="AA32" s="17">
        <v>0</v>
      </c>
      <c r="AB32" s="13">
        <f t="shared" ref="AB32" si="18">X32+Z32</f>
        <v>631627</v>
      </c>
      <c r="AC32" s="29"/>
      <c r="AD32" s="16">
        <v>106454</v>
      </c>
      <c r="AE32" s="17">
        <v>0</v>
      </c>
      <c r="AF32" s="13">
        <f t="shared" ref="AF32" si="19">AB32+AD32</f>
        <v>738081</v>
      </c>
      <c r="AG32" s="29"/>
    </row>
    <row r="33" spans="1:33" x14ac:dyDescent="0.25">
      <c r="A33" s="14" t="s">
        <v>39</v>
      </c>
      <c r="B33" s="15" t="s">
        <v>40</v>
      </c>
      <c r="C33" s="17">
        <v>0</v>
      </c>
      <c r="D33" s="17">
        <v>0</v>
      </c>
      <c r="E33" s="17">
        <f t="shared" si="13"/>
        <v>0</v>
      </c>
      <c r="F33" s="29"/>
      <c r="G33" s="21">
        <v>250550</v>
      </c>
      <c r="H33" s="17">
        <v>0</v>
      </c>
      <c r="I33" s="13">
        <f t="shared" si="8"/>
        <v>250550</v>
      </c>
      <c r="J33" s="21">
        <v>268448</v>
      </c>
      <c r="K33" s="17">
        <v>0</v>
      </c>
      <c r="L33" s="13">
        <f t="shared" si="14"/>
        <v>518998</v>
      </c>
      <c r="M33" s="29"/>
      <c r="N33" s="21">
        <v>268448</v>
      </c>
      <c r="O33" s="17">
        <v>0</v>
      </c>
      <c r="P33" s="13">
        <f>L33+N33</f>
        <v>787446</v>
      </c>
      <c r="Q33" s="29"/>
      <c r="R33" s="21">
        <v>268448</v>
      </c>
      <c r="S33" s="17">
        <v>0</v>
      </c>
      <c r="T33" s="13">
        <f>P33+R33</f>
        <v>1055894</v>
      </c>
      <c r="U33" s="29"/>
      <c r="V33" s="21">
        <v>268448</v>
      </c>
      <c r="W33" s="17">
        <v>0</v>
      </c>
      <c r="X33" s="13">
        <f>T33+V33</f>
        <v>1324342</v>
      </c>
      <c r="Y33" s="29"/>
      <c r="Z33" s="21">
        <v>268448</v>
      </c>
      <c r="AA33" s="17">
        <v>0</v>
      </c>
      <c r="AB33" s="13">
        <f>X33+Z33</f>
        <v>1592790</v>
      </c>
      <c r="AC33" s="29"/>
      <c r="AD33" s="21">
        <v>268448</v>
      </c>
      <c r="AE33" s="17">
        <v>0</v>
      </c>
      <c r="AF33" s="13">
        <f>AB33+AD33</f>
        <v>1861238</v>
      </c>
      <c r="AG33" s="29"/>
    </row>
    <row r="34" spans="1:33" x14ac:dyDescent="0.25">
      <c r="A34" s="14" t="s">
        <v>41</v>
      </c>
      <c r="B34" s="15" t="s">
        <v>42</v>
      </c>
      <c r="C34" s="17">
        <v>0</v>
      </c>
      <c r="D34" s="17">
        <v>0</v>
      </c>
      <c r="E34" s="17">
        <f t="shared" si="13"/>
        <v>0</v>
      </c>
      <c r="F34" s="29"/>
      <c r="G34" s="21">
        <v>20879</v>
      </c>
      <c r="H34" s="17">
        <v>0</v>
      </c>
      <c r="I34" s="13">
        <f t="shared" si="8"/>
        <v>20879</v>
      </c>
      <c r="J34" s="21">
        <v>32213</v>
      </c>
      <c r="K34" s="17">
        <v>0</v>
      </c>
      <c r="L34" s="13">
        <f t="shared" si="14"/>
        <v>53092</v>
      </c>
      <c r="M34" s="29"/>
      <c r="N34" s="21">
        <v>32226</v>
      </c>
      <c r="O34" s="17">
        <v>0</v>
      </c>
      <c r="P34" s="13">
        <f t="shared" si="9"/>
        <v>85318</v>
      </c>
      <c r="Q34" s="29"/>
      <c r="R34" s="21">
        <v>32214</v>
      </c>
      <c r="S34" s="17">
        <v>0</v>
      </c>
      <c r="T34" s="13">
        <f t="shared" ref="T34:T42" si="20">P34+R34</f>
        <v>117532</v>
      </c>
      <c r="U34" s="29"/>
      <c r="V34" s="21">
        <v>32214</v>
      </c>
      <c r="W34" s="17">
        <v>0</v>
      </c>
      <c r="X34" s="13">
        <f t="shared" ref="X34:X42" si="21">T34+V34</f>
        <v>149746</v>
      </c>
      <c r="Y34" s="29"/>
      <c r="Z34" s="21">
        <v>32214</v>
      </c>
      <c r="AA34" s="17">
        <v>0</v>
      </c>
      <c r="AB34" s="13">
        <f t="shared" ref="AB34:AB42" si="22">X34+Z34</f>
        <v>181960</v>
      </c>
      <c r="AC34" s="29"/>
      <c r="AD34" s="21">
        <v>32214</v>
      </c>
      <c r="AE34" s="17">
        <v>0</v>
      </c>
      <c r="AF34" s="13">
        <f t="shared" ref="AF34:AF42" si="23">AB34+AD34</f>
        <v>214174</v>
      </c>
      <c r="AG34" s="29"/>
    </row>
    <row r="35" spans="1:33" x14ac:dyDescent="0.25">
      <c r="A35" s="14" t="s">
        <v>43</v>
      </c>
      <c r="B35" s="15" t="s">
        <v>44</v>
      </c>
      <c r="C35" s="17">
        <v>0</v>
      </c>
      <c r="D35" s="17">
        <v>0</v>
      </c>
      <c r="E35" s="17">
        <f t="shared" si="13"/>
        <v>0</v>
      </c>
      <c r="F35" s="29"/>
      <c r="G35" s="21">
        <v>250550</v>
      </c>
      <c r="H35" s="17">
        <v>0</v>
      </c>
      <c r="I35" s="13">
        <f t="shared" si="8"/>
        <v>250550</v>
      </c>
      <c r="J35" s="21">
        <v>268448</v>
      </c>
      <c r="K35" s="17">
        <v>0</v>
      </c>
      <c r="L35" s="13">
        <f t="shared" si="14"/>
        <v>518998</v>
      </c>
      <c r="M35" s="29"/>
      <c r="N35" s="21">
        <v>268448</v>
      </c>
      <c r="O35" s="17">
        <v>0</v>
      </c>
      <c r="P35" s="13">
        <f t="shared" si="9"/>
        <v>787446</v>
      </c>
      <c r="Q35" s="29"/>
      <c r="R35" s="21">
        <v>268448</v>
      </c>
      <c r="S35" s="17">
        <v>0</v>
      </c>
      <c r="T35" s="13">
        <f t="shared" si="20"/>
        <v>1055894</v>
      </c>
      <c r="U35" s="29"/>
      <c r="V35" s="21">
        <v>268448</v>
      </c>
      <c r="W35" s="17">
        <v>0</v>
      </c>
      <c r="X35" s="13">
        <f t="shared" si="21"/>
        <v>1324342</v>
      </c>
      <c r="Y35" s="29"/>
      <c r="Z35" s="21">
        <v>268448</v>
      </c>
      <c r="AA35" s="17">
        <v>0</v>
      </c>
      <c r="AB35" s="13">
        <f t="shared" si="22"/>
        <v>1592790</v>
      </c>
      <c r="AC35" s="29"/>
      <c r="AD35" s="21">
        <v>268448</v>
      </c>
      <c r="AE35" s="17">
        <v>0</v>
      </c>
      <c r="AF35" s="13">
        <f t="shared" si="23"/>
        <v>1861238</v>
      </c>
      <c r="AG35" s="29"/>
    </row>
    <row r="36" spans="1:33" x14ac:dyDescent="0.25">
      <c r="A36" s="14" t="s">
        <v>45</v>
      </c>
      <c r="B36" s="15" t="s">
        <v>46</v>
      </c>
      <c r="C36" s="17">
        <v>0</v>
      </c>
      <c r="D36" s="17">
        <v>0</v>
      </c>
      <c r="E36" s="17">
        <f t="shared" si="13"/>
        <v>0</v>
      </c>
      <c r="F36" s="29"/>
      <c r="G36" s="21">
        <v>121282</v>
      </c>
      <c r="H36" s="17">
        <v>0</v>
      </c>
      <c r="I36" s="13">
        <f t="shared" si="8"/>
        <v>121282</v>
      </c>
      <c r="J36" s="21">
        <v>129946</v>
      </c>
      <c r="K36" s="17">
        <v>0</v>
      </c>
      <c r="L36" s="13">
        <f t="shared" si="14"/>
        <v>251228</v>
      </c>
      <c r="M36" s="29"/>
      <c r="N36" s="21">
        <v>129946</v>
      </c>
      <c r="O36" s="17">
        <v>0</v>
      </c>
      <c r="P36" s="13">
        <f t="shared" si="9"/>
        <v>381174</v>
      </c>
      <c r="Q36" s="29"/>
      <c r="R36" s="21">
        <v>129946</v>
      </c>
      <c r="S36" s="17">
        <v>0</v>
      </c>
      <c r="T36" s="13">
        <f t="shared" si="20"/>
        <v>511120</v>
      </c>
      <c r="U36" s="29"/>
      <c r="V36" s="21">
        <v>134384</v>
      </c>
      <c r="W36" s="17">
        <v>0</v>
      </c>
      <c r="X36" s="13">
        <f t="shared" si="21"/>
        <v>645504</v>
      </c>
      <c r="Y36" s="29"/>
      <c r="Z36" s="21">
        <v>134384</v>
      </c>
      <c r="AA36" s="17">
        <v>0</v>
      </c>
      <c r="AB36" s="13">
        <f t="shared" si="22"/>
        <v>779888</v>
      </c>
      <c r="AC36" s="29"/>
      <c r="AD36" s="21">
        <v>134384</v>
      </c>
      <c r="AE36" s="17">
        <v>0</v>
      </c>
      <c r="AF36" s="13">
        <f t="shared" si="23"/>
        <v>914272</v>
      </c>
      <c r="AG36" s="29"/>
    </row>
    <row r="37" spans="1:33" x14ac:dyDescent="0.25">
      <c r="A37" s="14" t="s">
        <v>47</v>
      </c>
      <c r="B37" s="15" t="s">
        <v>48</v>
      </c>
      <c r="C37" s="17">
        <v>0</v>
      </c>
      <c r="D37" s="17">
        <v>0</v>
      </c>
      <c r="E37" s="17">
        <f t="shared" si="13"/>
        <v>0</v>
      </c>
      <c r="F37" s="29"/>
      <c r="G37" s="16">
        <v>350872</v>
      </c>
      <c r="H37" s="17">
        <v>0</v>
      </c>
      <c r="I37" s="13">
        <f t="shared" si="8"/>
        <v>350872</v>
      </c>
      <c r="J37" s="16">
        <v>350872</v>
      </c>
      <c r="K37" s="17">
        <v>0</v>
      </c>
      <c r="L37" s="13">
        <f t="shared" si="14"/>
        <v>701744</v>
      </c>
      <c r="M37" s="29"/>
      <c r="N37" s="16">
        <v>350872</v>
      </c>
      <c r="O37" s="17">
        <v>0</v>
      </c>
      <c r="P37" s="13">
        <f t="shared" si="9"/>
        <v>1052616</v>
      </c>
      <c r="Q37" s="29"/>
      <c r="R37" s="16">
        <v>350872</v>
      </c>
      <c r="S37" s="17">
        <v>0</v>
      </c>
      <c r="T37" s="13">
        <f t="shared" si="20"/>
        <v>1403488</v>
      </c>
      <c r="U37" s="29"/>
      <c r="V37" s="16">
        <v>350872</v>
      </c>
      <c r="W37" s="17">
        <v>0</v>
      </c>
      <c r="X37" s="13">
        <f t="shared" si="21"/>
        <v>1754360</v>
      </c>
      <c r="Y37" s="29"/>
      <c r="Z37" s="16">
        <v>350872</v>
      </c>
      <c r="AA37" s="17">
        <v>0</v>
      </c>
      <c r="AB37" s="13">
        <f t="shared" si="22"/>
        <v>2105232</v>
      </c>
      <c r="AC37" s="29"/>
      <c r="AD37" s="16">
        <v>350872</v>
      </c>
      <c r="AE37" s="17">
        <v>0</v>
      </c>
      <c r="AF37" s="13">
        <f t="shared" si="23"/>
        <v>2456104</v>
      </c>
      <c r="AG37" s="29"/>
    </row>
    <row r="38" spans="1:33" ht="21" customHeight="1" x14ac:dyDescent="0.25">
      <c r="A38" s="14" t="s">
        <v>49</v>
      </c>
      <c r="B38" s="15" t="s">
        <v>140</v>
      </c>
      <c r="C38" s="17">
        <v>30000</v>
      </c>
      <c r="D38" s="17">
        <v>0</v>
      </c>
      <c r="E38" s="17">
        <f t="shared" si="13"/>
        <v>30000</v>
      </c>
      <c r="F38" s="29"/>
      <c r="G38" s="17">
        <v>391093</v>
      </c>
      <c r="H38" s="17">
        <v>0</v>
      </c>
      <c r="I38" s="13">
        <f t="shared" si="8"/>
        <v>421093</v>
      </c>
      <c r="J38" s="16">
        <v>0</v>
      </c>
      <c r="K38" s="17">
        <v>0</v>
      </c>
      <c r="L38" s="13">
        <f t="shared" si="14"/>
        <v>421093</v>
      </c>
      <c r="M38" s="29"/>
      <c r="N38" s="16">
        <v>0</v>
      </c>
      <c r="O38" s="17">
        <v>0</v>
      </c>
      <c r="P38" s="13">
        <f t="shared" si="9"/>
        <v>421093</v>
      </c>
      <c r="Q38" s="29"/>
      <c r="R38" s="16">
        <v>73950</v>
      </c>
      <c r="S38" s="17">
        <v>0</v>
      </c>
      <c r="T38" s="13">
        <f t="shared" si="20"/>
        <v>495043</v>
      </c>
      <c r="U38" s="29"/>
      <c r="V38" s="16">
        <v>17000</v>
      </c>
      <c r="W38" s="17">
        <v>0</v>
      </c>
      <c r="X38" s="13">
        <f t="shared" si="21"/>
        <v>512043</v>
      </c>
      <c r="Y38" s="29"/>
      <c r="Z38" s="253">
        <v>140504</v>
      </c>
      <c r="AA38" s="17">
        <v>0</v>
      </c>
      <c r="AB38" s="13">
        <f t="shared" si="22"/>
        <v>652547</v>
      </c>
      <c r="AC38" s="29"/>
      <c r="AD38" s="16">
        <v>0</v>
      </c>
      <c r="AE38" s="17">
        <v>0</v>
      </c>
      <c r="AF38" s="13">
        <f t="shared" si="23"/>
        <v>652547</v>
      </c>
      <c r="AG38" s="29"/>
    </row>
    <row r="39" spans="1:33" x14ac:dyDescent="0.25">
      <c r="A39" s="14" t="s">
        <v>50</v>
      </c>
      <c r="B39" s="15" t="s">
        <v>51</v>
      </c>
      <c r="C39" s="17">
        <v>0</v>
      </c>
      <c r="D39" s="17">
        <v>0</v>
      </c>
      <c r="E39" s="17">
        <f t="shared" si="13"/>
        <v>0</v>
      </c>
      <c r="F39" s="29"/>
      <c r="G39" s="16">
        <v>30400</v>
      </c>
      <c r="H39" s="17">
        <v>0</v>
      </c>
      <c r="I39" s="13">
        <f t="shared" si="8"/>
        <v>30400</v>
      </c>
      <c r="J39" s="16">
        <v>32408</v>
      </c>
      <c r="K39" s="17">
        <v>0</v>
      </c>
      <c r="L39" s="13">
        <f t="shared" si="14"/>
        <v>62808</v>
      </c>
      <c r="M39" s="29"/>
      <c r="N39" s="27">
        <v>32700</v>
      </c>
      <c r="O39" s="17">
        <v>0</v>
      </c>
      <c r="P39" s="13">
        <f t="shared" si="9"/>
        <v>95508</v>
      </c>
      <c r="Q39" s="29"/>
      <c r="R39" s="27">
        <v>32678</v>
      </c>
      <c r="S39" s="17">
        <v>0</v>
      </c>
      <c r="T39" s="13">
        <f t="shared" si="20"/>
        <v>128186</v>
      </c>
      <c r="U39" s="29"/>
      <c r="V39" s="27">
        <v>32532</v>
      </c>
      <c r="W39" s="17">
        <v>0</v>
      </c>
      <c r="X39" s="13">
        <f t="shared" si="21"/>
        <v>160718</v>
      </c>
      <c r="Y39" s="29"/>
      <c r="Z39" s="27">
        <v>32532</v>
      </c>
      <c r="AA39" s="17">
        <v>0</v>
      </c>
      <c r="AB39" s="13">
        <f t="shared" si="22"/>
        <v>193250</v>
      </c>
      <c r="AC39" s="29"/>
      <c r="AD39" s="27">
        <v>32532</v>
      </c>
      <c r="AE39" s="17">
        <v>0</v>
      </c>
      <c r="AF39" s="13">
        <f t="shared" si="23"/>
        <v>225782</v>
      </c>
      <c r="AG39" s="29"/>
    </row>
    <row r="40" spans="1:33" ht="21" customHeight="1" x14ac:dyDescent="0.25">
      <c r="A40" s="14" t="s">
        <v>52</v>
      </c>
      <c r="B40" s="15" t="s">
        <v>53</v>
      </c>
      <c r="C40" s="17">
        <v>0</v>
      </c>
      <c r="D40" s="17">
        <v>0</v>
      </c>
      <c r="E40" s="17">
        <f t="shared" si="13"/>
        <v>0</v>
      </c>
      <c r="F40" s="29"/>
      <c r="G40" s="16">
        <v>0</v>
      </c>
      <c r="H40" s="17">
        <v>0</v>
      </c>
      <c r="I40" s="13">
        <f t="shared" si="8"/>
        <v>0</v>
      </c>
      <c r="J40" s="16">
        <v>0</v>
      </c>
      <c r="K40" s="17">
        <v>0</v>
      </c>
      <c r="L40" s="13">
        <f t="shared" si="14"/>
        <v>0</v>
      </c>
      <c r="M40" s="29"/>
      <c r="N40" s="27">
        <v>0</v>
      </c>
      <c r="O40" s="17">
        <v>0</v>
      </c>
      <c r="P40" s="13">
        <f t="shared" ref="P40:P77" si="24">L40+N40</f>
        <v>0</v>
      </c>
      <c r="Q40" s="29"/>
      <c r="R40" s="27">
        <v>0</v>
      </c>
      <c r="S40" s="17">
        <v>0</v>
      </c>
      <c r="T40" s="13">
        <f t="shared" si="20"/>
        <v>0</v>
      </c>
      <c r="U40" s="29"/>
      <c r="V40" s="27">
        <v>0</v>
      </c>
      <c r="W40" s="17">
        <v>0</v>
      </c>
      <c r="X40" s="13">
        <f t="shared" si="21"/>
        <v>0</v>
      </c>
      <c r="Y40" s="29"/>
      <c r="Z40" s="27">
        <v>0</v>
      </c>
      <c r="AA40" s="17">
        <v>0</v>
      </c>
      <c r="AB40" s="13">
        <f t="shared" si="22"/>
        <v>0</v>
      </c>
      <c r="AC40" s="29"/>
      <c r="AD40" s="27">
        <v>0</v>
      </c>
      <c r="AE40" s="17">
        <v>0</v>
      </c>
      <c r="AF40" s="13">
        <f t="shared" si="23"/>
        <v>0</v>
      </c>
      <c r="AG40" s="29"/>
    </row>
    <row r="41" spans="1:33" ht="21" customHeight="1" x14ac:dyDescent="0.25">
      <c r="A41" s="14" t="s">
        <v>54</v>
      </c>
      <c r="B41" s="15" t="s">
        <v>55</v>
      </c>
      <c r="C41" s="17">
        <v>0</v>
      </c>
      <c r="D41" s="17">
        <v>0</v>
      </c>
      <c r="E41" s="17">
        <f t="shared" si="13"/>
        <v>0</v>
      </c>
      <c r="F41" s="29"/>
      <c r="G41" s="16">
        <v>349162</v>
      </c>
      <c r="H41" s="17">
        <v>0</v>
      </c>
      <c r="I41" s="13">
        <f t="shared" si="8"/>
        <v>349162</v>
      </c>
      <c r="J41" s="16">
        <v>373944</v>
      </c>
      <c r="K41" s="17">
        <v>0</v>
      </c>
      <c r="L41" s="13">
        <f t="shared" si="14"/>
        <v>723106</v>
      </c>
      <c r="M41" s="29"/>
      <c r="N41" s="27">
        <v>374025</v>
      </c>
      <c r="O41" s="17">
        <v>0</v>
      </c>
      <c r="P41" s="13">
        <f t="shared" si="24"/>
        <v>1097131</v>
      </c>
      <c r="Q41" s="29"/>
      <c r="R41" s="27">
        <v>373944</v>
      </c>
      <c r="S41" s="17">
        <v>0</v>
      </c>
      <c r="T41" s="13">
        <f t="shared" si="20"/>
        <v>1471075</v>
      </c>
      <c r="U41" s="29"/>
      <c r="V41" s="27">
        <v>341342</v>
      </c>
      <c r="W41" s="17">
        <v>0</v>
      </c>
      <c r="X41" s="13">
        <f t="shared" si="21"/>
        <v>1812417</v>
      </c>
      <c r="Y41" s="29"/>
      <c r="Z41" s="27">
        <v>341342</v>
      </c>
      <c r="AA41" s="17">
        <v>0</v>
      </c>
      <c r="AB41" s="13">
        <f t="shared" si="22"/>
        <v>2153759</v>
      </c>
      <c r="AC41" s="29"/>
      <c r="AD41" s="27">
        <v>341342</v>
      </c>
      <c r="AE41" s="17">
        <v>0</v>
      </c>
      <c r="AF41" s="13">
        <f t="shared" si="23"/>
        <v>2495101</v>
      </c>
      <c r="AG41" s="29"/>
    </row>
    <row r="42" spans="1:33" ht="21" customHeight="1" x14ac:dyDescent="0.25">
      <c r="A42" s="14" t="s">
        <v>56</v>
      </c>
      <c r="B42" s="15" t="s">
        <v>57</v>
      </c>
      <c r="C42" s="17">
        <v>0</v>
      </c>
      <c r="D42" s="17">
        <v>0</v>
      </c>
      <c r="E42" s="17">
        <f t="shared" si="13"/>
        <v>0</v>
      </c>
      <c r="F42" s="29"/>
      <c r="G42" s="17">
        <v>116400</v>
      </c>
      <c r="H42" s="17">
        <v>0</v>
      </c>
      <c r="I42" s="13">
        <f t="shared" si="8"/>
        <v>116400</v>
      </c>
      <c r="J42" s="27">
        <v>124648</v>
      </c>
      <c r="K42" s="17">
        <v>0</v>
      </c>
      <c r="L42" s="13">
        <f t="shared" si="14"/>
        <v>241048</v>
      </c>
      <c r="M42" s="29"/>
      <c r="N42" s="27">
        <f>124700-52</f>
        <v>124648</v>
      </c>
      <c r="O42" s="17">
        <v>0</v>
      </c>
      <c r="P42" s="13">
        <f t="shared" si="24"/>
        <v>365696</v>
      </c>
      <c r="Q42" s="29"/>
      <c r="R42" s="27">
        <v>149712</v>
      </c>
      <c r="S42" s="17">
        <v>0</v>
      </c>
      <c r="T42" s="13">
        <f t="shared" si="20"/>
        <v>515408</v>
      </c>
      <c r="U42" s="29"/>
      <c r="V42" s="27">
        <v>124648</v>
      </c>
      <c r="W42" s="17">
        <v>0</v>
      </c>
      <c r="X42" s="13">
        <f t="shared" si="21"/>
        <v>640056</v>
      </c>
      <c r="Y42" s="29"/>
      <c r="Z42" s="27">
        <v>124648</v>
      </c>
      <c r="AA42" s="17">
        <v>0</v>
      </c>
      <c r="AB42" s="13">
        <f t="shared" si="22"/>
        <v>764704</v>
      </c>
      <c r="AC42" s="29"/>
      <c r="AD42" s="27">
        <v>124648</v>
      </c>
      <c r="AE42" s="17">
        <v>0</v>
      </c>
      <c r="AF42" s="13">
        <f t="shared" si="23"/>
        <v>889352</v>
      </c>
      <c r="AG42" s="29"/>
    </row>
    <row r="43" spans="1:33" ht="21" customHeight="1" x14ac:dyDescent="0.25">
      <c r="A43" s="14">
        <v>510584</v>
      </c>
      <c r="B43" s="15" t="s">
        <v>350</v>
      </c>
      <c r="C43" s="17">
        <v>0</v>
      </c>
      <c r="D43" s="17"/>
      <c r="E43" s="17">
        <f t="shared" si="13"/>
        <v>0</v>
      </c>
      <c r="F43" s="29"/>
      <c r="H43" s="17"/>
      <c r="I43" s="13"/>
      <c r="J43" s="16"/>
      <c r="K43" s="17"/>
      <c r="L43" s="13"/>
      <c r="M43" s="29"/>
      <c r="N43" s="27"/>
      <c r="O43" s="17"/>
      <c r="P43" s="13"/>
      <c r="Q43" s="29"/>
      <c r="R43" s="27"/>
      <c r="S43" s="17"/>
      <c r="T43" s="13"/>
      <c r="U43" s="29"/>
      <c r="V43" s="27"/>
      <c r="W43" s="17"/>
      <c r="X43" s="13"/>
      <c r="Y43" s="29"/>
      <c r="Z43" s="27"/>
      <c r="AA43" s="17"/>
      <c r="AB43" s="13"/>
      <c r="AC43" s="29"/>
      <c r="AD43" s="27"/>
      <c r="AE43" s="17"/>
      <c r="AF43" s="13"/>
      <c r="AG43" s="29"/>
    </row>
    <row r="44" spans="1:33" ht="21" customHeight="1" x14ac:dyDescent="0.25">
      <c r="A44" s="14"/>
      <c r="B44" s="199" t="s">
        <v>379</v>
      </c>
      <c r="C44" s="200">
        <f>SUM(C29:C43)+C68</f>
        <v>2632000</v>
      </c>
      <c r="D44" s="200"/>
      <c r="E44" s="200"/>
      <c r="F44" s="201"/>
      <c r="G44" s="200">
        <f>SUM(G29:G43)-391093+G68</f>
        <v>10921903</v>
      </c>
      <c r="H44" s="200"/>
      <c r="I44" s="200"/>
      <c r="J44" s="202">
        <f>SUM(J29:J43)+J68</f>
        <v>11612662</v>
      </c>
      <c r="K44" s="200"/>
      <c r="L44" s="200"/>
      <c r="M44" s="201"/>
      <c r="N44" s="202">
        <f>SUM(N29:N43)+N68</f>
        <v>11582934</v>
      </c>
      <c r="O44" s="17"/>
      <c r="P44" s="13"/>
      <c r="Q44" s="29"/>
      <c r="R44" s="202">
        <f>SUM(R29:R43)+R68</f>
        <v>11461232</v>
      </c>
      <c r="S44" s="17"/>
      <c r="T44" s="13"/>
      <c r="U44" s="29"/>
      <c r="V44" s="202">
        <f>SUM(V29:V43)+V68</f>
        <v>11418584</v>
      </c>
      <c r="W44" s="17"/>
      <c r="X44" s="13"/>
      <c r="Y44" s="29"/>
      <c r="Z44" s="202">
        <f>SUM(Z29:Z43)+Z68</f>
        <v>11664092</v>
      </c>
      <c r="AA44" s="17"/>
      <c r="AB44" s="13"/>
      <c r="AC44" s="29"/>
      <c r="AD44" s="202">
        <f>SUM(AD29:AD43)+AD68</f>
        <v>11600584</v>
      </c>
      <c r="AE44" s="17"/>
      <c r="AF44" s="13"/>
      <c r="AG44" s="29"/>
    </row>
    <row r="45" spans="1:33" x14ac:dyDescent="0.25">
      <c r="A45" s="14" t="s">
        <v>58</v>
      </c>
      <c r="B45" s="15" t="s">
        <v>59</v>
      </c>
      <c r="C45" s="17">
        <f>C47</f>
        <v>300000</v>
      </c>
      <c r="D45" s="17">
        <v>0</v>
      </c>
      <c r="E45" s="17">
        <f t="shared" si="13"/>
        <v>300000</v>
      </c>
      <c r="F45" s="18"/>
      <c r="G45" s="17">
        <f>G47</f>
        <v>300000</v>
      </c>
      <c r="H45" s="17">
        <v>0</v>
      </c>
      <c r="I45" s="13">
        <f t="shared" si="8"/>
        <v>600000</v>
      </c>
      <c r="J45" s="27">
        <v>300000</v>
      </c>
      <c r="K45" s="17">
        <v>0</v>
      </c>
      <c r="L45" s="13">
        <f t="shared" si="14"/>
        <v>900000</v>
      </c>
      <c r="M45" s="18"/>
      <c r="N45" s="27">
        <f>N47</f>
        <v>300000</v>
      </c>
      <c r="O45" s="17">
        <v>0</v>
      </c>
      <c r="P45" s="13">
        <f t="shared" si="24"/>
        <v>1200000</v>
      </c>
      <c r="Q45" s="18"/>
      <c r="R45" s="27">
        <f>R47</f>
        <v>300000</v>
      </c>
      <c r="S45" s="17">
        <v>0</v>
      </c>
      <c r="T45" s="13">
        <f t="shared" ref="T45:T47" si="25">P45+R45</f>
        <v>1500000</v>
      </c>
      <c r="U45" s="29"/>
      <c r="V45" s="27">
        <f>V47</f>
        <v>300000</v>
      </c>
      <c r="W45" s="17">
        <v>0</v>
      </c>
      <c r="X45" s="13">
        <f t="shared" ref="X45:X47" si="26">T45+V45</f>
        <v>1800000</v>
      </c>
      <c r="Y45" s="29"/>
      <c r="Z45" s="27">
        <f>Z47</f>
        <v>300000</v>
      </c>
      <c r="AA45" s="17">
        <v>0</v>
      </c>
      <c r="AB45" s="13">
        <f t="shared" ref="AB45:AB47" si="27">X45+Z45</f>
        <v>2100000</v>
      </c>
      <c r="AC45" s="29"/>
      <c r="AD45" s="27">
        <f>AD47</f>
        <v>300000</v>
      </c>
      <c r="AE45" s="17">
        <v>0</v>
      </c>
      <c r="AF45" s="13">
        <f t="shared" ref="AF45:AF47" si="28">AB45+AD45</f>
        <v>2400000</v>
      </c>
      <c r="AG45" s="29"/>
    </row>
    <row r="46" spans="1:33" x14ac:dyDescent="0.25">
      <c r="A46" s="14">
        <v>511025</v>
      </c>
      <c r="B46" s="15" t="s">
        <v>169</v>
      </c>
      <c r="C46" s="17">
        <v>0</v>
      </c>
      <c r="D46" s="17">
        <v>0</v>
      </c>
      <c r="E46" s="17">
        <f t="shared" si="13"/>
        <v>0</v>
      </c>
      <c r="F46" s="18"/>
      <c r="G46" s="17">
        <v>0</v>
      </c>
      <c r="H46" s="17">
        <v>0</v>
      </c>
      <c r="I46" s="13">
        <f t="shared" si="8"/>
        <v>0</v>
      </c>
      <c r="J46" s="27">
        <v>0</v>
      </c>
      <c r="K46" s="17">
        <v>0</v>
      </c>
      <c r="L46" s="13">
        <f t="shared" si="14"/>
        <v>0</v>
      </c>
      <c r="M46" s="18"/>
      <c r="N46" s="16">
        <v>0</v>
      </c>
      <c r="O46" s="17">
        <v>0</v>
      </c>
      <c r="P46" s="13">
        <f t="shared" si="24"/>
        <v>0</v>
      </c>
      <c r="Q46" s="18"/>
      <c r="R46" s="16">
        <v>0</v>
      </c>
      <c r="S46" s="17">
        <v>0</v>
      </c>
      <c r="T46" s="13">
        <f t="shared" si="25"/>
        <v>0</v>
      </c>
      <c r="U46" s="29"/>
      <c r="V46" s="16">
        <v>0</v>
      </c>
      <c r="W46" s="17">
        <v>0</v>
      </c>
      <c r="X46" s="13">
        <f t="shared" si="26"/>
        <v>0</v>
      </c>
      <c r="Y46" s="29"/>
      <c r="Z46" s="16">
        <v>0</v>
      </c>
      <c r="AA46" s="17">
        <v>0</v>
      </c>
      <c r="AB46" s="13">
        <f t="shared" si="27"/>
        <v>0</v>
      </c>
      <c r="AC46" s="29"/>
      <c r="AD46" s="16">
        <v>0</v>
      </c>
      <c r="AE46" s="17">
        <v>0</v>
      </c>
      <c r="AF46" s="13">
        <f t="shared" si="28"/>
        <v>0</v>
      </c>
      <c r="AG46" s="29"/>
    </row>
    <row r="47" spans="1:33" x14ac:dyDescent="0.25">
      <c r="A47" s="14" t="s">
        <v>60</v>
      </c>
      <c r="B47" s="15" t="s">
        <v>61</v>
      </c>
      <c r="C47" s="17">
        <v>300000</v>
      </c>
      <c r="D47" s="17">
        <v>0</v>
      </c>
      <c r="E47" s="17">
        <f t="shared" si="13"/>
        <v>300000</v>
      </c>
      <c r="F47" s="18"/>
      <c r="G47" s="17">
        <v>300000</v>
      </c>
      <c r="H47" s="17">
        <v>0</v>
      </c>
      <c r="I47" s="13">
        <f t="shared" si="8"/>
        <v>600000</v>
      </c>
      <c r="J47" s="16">
        <v>300000</v>
      </c>
      <c r="K47" s="17">
        <v>0</v>
      </c>
      <c r="L47" s="13">
        <f t="shared" si="14"/>
        <v>900000</v>
      </c>
      <c r="M47" s="18"/>
      <c r="N47" s="16">
        <v>300000</v>
      </c>
      <c r="O47" s="17">
        <v>0</v>
      </c>
      <c r="P47" s="13">
        <f t="shared" si="24"/>
        <v>1200000</v>
      </c>
      <c r="Q47" s="18"/>
      <c r="R47" s="16">
        <v>300000</v>
      </c>
      <c r="S47" s="17">
        <v>0</v>
      </c>
      <c r="T47" s="13">
        <f t="shared" si="25"/>
        <v>1500000</v>
      </c>
      <c r="U47" s="29"/>
      <c r="V47" s="16">
        <v>300000</v>
      </c>
      <c r="W47" s="17">
        <v>0</v>
      </c>
      <c r="X47" s="13">
        <f t="shared" si="26"/>
        <v>1800000</v>
      </c>
      <c r="Y47" s="29"/>
      <c r="Z47" s="16">
        <v>300000</v>
      </c>
      <c r="AA47" s="17">
        <v>0</v>
      </c>
      <c r="AB47" s="13">
        <f t="shared" si="27"/>
        <v>2100000</v>
      </c>
      <c r="AC47" s="29"/>
      <c r="AD47" s="16">
        <v>300000</v>
      </c>
      <c r="AE47" s="17">
        <v>0</v>
      </c>
      <c r="AF47" s="13">
        <f t="shared" si="28"/>
        <v>2400000</v>
      </c>
      <c r="AG47" s="29"/>
    </row>
    <row r="48" spans="1:33" x14ac:dyDescent="0.25">
      <c r="A48" s="14">
        <v>511095</v>
      </c>
      <c r="B48" s="15" t="s">
        <v>313</v>
      </c>
      <c r="C48" s="17"/>
      <c r="D48" s="17"/>
      <c r="E48" s="17"/>
      <c r="F48" s="29"/>
      <c r="G48" s="17"/>
      <c r="H48" s="17"/>
      <c r="I48" s="13"/>
      <c r="J48" s="16"/>
      <c r="K48" s="17"/>
      <c r="L48" s="13"/>
      <c r="M48" s="29"/>
      <c r="N48" s="16"/>
      <c r="O48" s="17"/>
      <c r="P48" s="13"/>
      <c r="Q48" s="29"/>
      <c r="R48" s="16"/>
      <c r="S48" s="17"/>
      <c r="T48" s="13"/>
      <c r="U48" s="29"/>
      <c r="V48" s="16"/>
      <c r="W48" s="17"/>
      <c r="X48" s="13"/>
      <c r="Y48" s="29"/>
      <c r="Z48" s="16"/>
      <c r="AA48" s="17"/>
      <c r="AB48" s="13"/>
      <c r="AC48" s="29"/>
      <c r="AD48" s="16"/>
      <c r="AE48" s="17"/>
      <c r="AF48" s="13"/>
      <c r="AG48" s="29"/>
    </row>
    <row r="49" spans="1:33" x14ac:dyDescent="0.25">
      <c r="A49" s="14"/>
      <c r="B49" s="15"/>
      <c r="C49" s="17"/>
      <c r="D49" s="17"/>
      <c r="E49" s="17"/>
      <c r="F49" s="29"/>
      <c r="G49" s="17"/>
      <c r="H49" s="17"/>
      <c r="I49" s="13"/>
      <c r="J49" s="16"/>
      <c r="K49" s="17"/>
      <c r="L49" s="13"/>
      <c r="M49" s="29"/>
      <c r="N49" s="16"/>
      <c r="O49" s="17"/>
      <c r="P49" s="13"/>
      <c r="Q49" s="29"/>
      <c r="R49" s="16"/>
      <c r="S49" s="17"/>
      <c r="T49" s="13"/>
      <c r="U49" s="29"/>
      <c r="V49" s="16"/>
      <c r="W49" s="17"/>
      <c r="X49" s="13"/>
      <c r="Y49" s="29"/>
      <c r="Z49" s="16"/>
      <c r="AA49" s="17"/>
      <c r="AB49" s="13"/>
      <c r="AC49" s="29"/>
      <c r="AD49" s="16"/>
      <c r="AE49" s="17"/>
      <c r="AF49" s="13"/>
      <c r="AG49" s="29"/>
    </row>
    <row r="50" spans="1:33" x14ac:dyDescent="0.25">
      <c r="A50" s="14" t="s">
        <v>62</v>
      </c>
      <c r="B50" s="15" t="s">
        <v>63</v>
      </c>
      <c r="C50" s="17">
        <f>+C51+C52+C53</f>
        <v>61900</v>
      </c>
      <c r="D50" s="17">
        <v>0</v>
      </c>
      <c r="E50" s="17">
        <f t="shared" si="13"/>
        <v>61900</v>
      </c>
      <c r="F50" s="18"/>
      <c r="G50" s="17">
        <f>G53</f>
        <v>0</v>
      </c>
      <c r="H50" s="17">
        <v>0</v>
      </c>
      <c r="I50" s="13">
        <f t="shared" si="8"/>
        <v>61900</v>
      </c>
      <c r="J50" s="16">
        <f>+J52</f>
        <v>0</v>
      </c>
      <c r="K50" s="17">
        <v>0</v>
      </c>
      <c r="L50" s="13">
        <f t="shared" si="14"/>
        <v>61900</v>
      </c>
      <c r="M50" s="18"/>
      <c r="N50" s="16">
        <f>+N54</f>
        <v>0</v>
      </c>
      <c r="O50" s="17">
        <v>0</v>
      </c>
      <c r="P50" s="13">
        <f t="shared" si="24"/>
        <v>61900</v>
      </c>
      <c r="Q50" s="18"/>
      <c r="R50" s="16">
        <f>+R54</f>
        <v>0</v>
      </c>
      <c r="S50" s="17">
        <v>0</v>
      </c>
      <c r="T50" s="13">
        <f t="shared" ref="T50:T54" si="29">P50+R50</f>
        <v>61900</v>
      </c>
      <c r="U50" s="29"/>
      <c r="V50" s="16">
        <f>+V54</f>
        <v>0</v>
      </c>
      <c r="W50" s="17">
        <v>0</v>
      </c>
      <c r="X50" s="13">
        <f t="shared" ref="X50:X54" si="30">T50+V50</f>
        <v>61900</v>
      </c>
      <c r="Y50" s="29"/>
      <c r="Z50" s="16">
        <f>+Z54</f>
        <v>0</v>
      </c>
      <c r="AA50" s="17">
        <v>0</v>
      </c>
      <c r="AB50" s="13">
        <f t="shared" ref="AB50:AB54" si="31">X50+Z50</f>
        <v>61900</v>
      </c>
      <c r="AC50" s="29"/>
      <c r="AD50" s="16">
        <f>+AD54</f>
        <v>0</v>
      </c>
      <c r="AE50" s="17">
        <v>0</v>
      </c>
      <c r="AF50" s="13">
        <f t="shared" ref="AF50:AF54" si="32">AB50+AD50</f>
        <v>61900</v>
      </c>
      <c r="AG50" s="29"/>
    </row>
    <row r="51" spans="1:33" x14ac:dyDescent="0.25">
      <c r="A51" s="14" t="s">
        <v>162</v>
      </c>
      <c r="B51" s="15" t="s">
        <v>149</v>
      </c>
      <c r="C51" s="17">
        <v>0</v>
      </c>
      <c r="D51" s="17">
        <v>0</v>
      </c>
      <c r="E51" s="17">
        <f t="shared" si="13"/>
        <v>0</v>
      </c>
      <c r="F51" s="18"/>
      <c r="G51" s="17">
        <v>0</v>
      </c>
      <c r="H51" s="17">
        <v>0</v>
      </c>
      <c r="I51" s="13">
        <f t="shared" si="8"/>
        <v>0</v>
      </c>
      <c r="J51" s="16">
        <v>0</v>
      </c>
      <c r="K51" s="17">
        <v>0</v>
      </c>
      <c r="L51" s="13">
        <f t="shared" si="14"/>
        <v>0</v>
      </c>
      <c r="M51" s="18"/>
      <c r="N51" s="16">
        <v>0</v>
      </c>
      <c r="O51" s="17">
        <v>0</v>
      </c>
      <c r="P51" s="13">
        <f t="shared" si="24"/>
        <v>0</v>
      </c>
      <c r="Q51" s="18"/>
      <c r="R51" s="16">
        <v>0</v>
      </c>
      <c r="S51" s="17">
        <v>0</v>
      </c>
      <c r="T51" s="13">
        <f t="shared" si="29"/>
        <v>0</v>
      </c>
      <c r="U51" s="29"/>
      <c r="V51" s="16">
        <v>0</v>
      </c>
      <c r="W51" s="17">
        <v>0</v>
      </c>
      <c r="X51" s="13">
        <f t="shared" si="30"/>
        <v>0</v>
      </c>
      <c r="Y51" s="29"/>
      <c r="Z51" s="16">
        <v>0</v>
      </c>
      <c r="AA51" s="17">
        <v>0</v>
      </c>
      <c r="AB51" s="13">
        <f t="shared" si="31"/>
        <v>0</v>
      </c>
      <c r="AC51" s="29"/>
      <c r="AD51" s="16">
        <v>0</v>
      </c>
      <c r="AE51" s="17">
        <v>0</v>
      </c>
      <c r="AF51" s="13">
        <f t="shared" si="32"/>
        <v>0</v>
      </c>
      <c r="AG51" s="29"/>
    </row>
    <row r="52" spans="1:33" x14ac:dyDescent="0.25">
      <c r="A52" s="14">
        <v>511515</v>
      </c>
      <c r="B52" s="15" t="s">
        <v>163</v>
      </c>
      <c r="C52" s="17">
        <v>0</v>
      </c>
      <c r="D52" s="17">
        <v>0</v>
      </c>
      <c r="E52" s="17">
        <f t="shared" si="13"/>
        <v>0</v>
      </c>
      <c r="F52" s="18"/>
      <c r="G52" s="17">
        <v>0</v>
      </c>
      <c r="H52" s="17">
        <v>0</v>
      </c>
      <c r="I52" s="13">
        <f t="shared" si="8"/>
        <v>0</v>
      </c>
      <c r="J52" s="16">
        <v>0</v>
      </c>
      <c r="K52" s="17">
        <v>0</v>
      </c>
      <c r="L52" s="13">
        <f t="shared" si="14"/>
        <v>0</v>
      </c>
      <c r="M52" s="18"/>
      <c r="N52" s="16">
        <v>0</v>
      </c>
      <c r="O52" s="17">
        <v>0</v>
      </c>
      <c r="P52" s="13">
        <f t="shared" si="24"/>
        <v>0</v>
      </c>
      <c r="Q52" s="18"/>
      <c r="R52" s="16">
        <v>0</v>
      </c>
      <c r="S52" s="17">
        <v>0</v>
      </c>
      <c r="T52" s="13">
        <f t="shared" si="29"/>
        <v>0</v>
      </c>
      <c r="U52" s="29"/>
      <c r="V52" s="16">
        <v>0</v>
      </c>
      <c r="W52" s="17">
        <v>0</v>
      </c>
      <c r="X52" s="13">
        <f t="shared" si="30"/>
        <v>0</v>
      </c>
      <c r="Y52" s="29"/>
      <c r="Z52" s="16">
        <v>0</v>
      </c>
      <c r="AA52" s="17">
        <v>0</v>
      </c>
      <c r="AB52" s="13">
        <f t="shared" si="31"/>
        <v>0</v>
      </c>
      <c r="AC52" s="29"/>
      <c r="AD52" s="16">
        <v>0</v>
      </c>
      <c r="AE52" s="17">
        <v>0</v>
      </c>
      <c r="AF52" s="13">
        <f t="shared" si="32"/>
        <v>0</v>
      </c>
      <c r="AG52" s="29"/>
    </row>
    <row r="53" spans="1:33" x14ac:dyDescent="0.25">
      <c r="A53" s="14" t="s">
        <v>64</v>
      </c>
      <c r="B53" s="15" t="s">
        <v>65</v>
      </c>
      <c r="C53" s="17">
        <v>61900</v>
      </c>
      <c r="D53" s="17">
        <v>0</v>
      </c>
      <c r="E53" s="17">
        <f t="shared" si="13"/>
        <v>61900</v>
      </c>
      <c r="F53" s="18"/>
      <c r="G53" s="17">
        <v>0</v>
      </c>
      <c r="H53" s="17">
        <v>0</v>
      </c>
      <c r="I53" s="13">
        <f t="shared" si="8"/>
        <v>61900</v>
      </c>
      <c r="J53" s="16"/>
      <c r="K53" s="17">
        <v>0</v>
      </c>
      <c r="L53" s="13">
        <f t="shared" si="14"/>
        <v>61900</v>
      </c>
      <c r="M53" s="18"/>
      <c r="N53" s="16">
        <v>0</v>
      </c>
      <c r="O53" s="17">
        <v>0</v>
      </c>
      <c r="P53" s="13">
        <f t="shared" si="24"/>
        <v>61900</v>
      </c>
      <c r="Q53" s="18"/>
      <c r="R53" s="16">
        <v>0</v>
      </c>
      <c r="S53" s="17">
        <v>0</v>
      </c>
      <c r="T53" s="13">
        <f t="shared" si="29"/>
        <v>61900</v>
      </c>
      <c r="U53" s="29"/>
      <c r="V53" s="16">
        <v>0</v>
      </c>
      <c r="W53" s="17">
        <v>0</v>
      </c>
      <c r="X53" s="13">
        <f t="shared" si="30"/>
        <v>61900</v>
      </c>
      <c r="Y53" s="29"/>
      <c r="Z53" s="16">
        <v>0</v>
      </c>
      <c r="AA53" s="17">
        <v>0</v>
      </c>
      <c r="AB53" s="13">
        <f t="shared" si="31"/>
        <v>61900</v>
      </c>
      <c r="AC53" s="29"/>
      <c r="AD53" s="16">
        <v>0</v>
      </c>
      <c r="AE53" s="17">
        <v>0</v>
      </c>
      <c r="AF53" s="13">
        <f t="shared" si="32"/>
        <v>61900</v>
      </c>
      <c r="AG53" s="29"/>
    </row>
    <row r="54" spans="1:33" x14ac:dyDescent="0.25">
      <c r="A54" s="14">
        <v>511595</v>
      </c>
      <c r="B54" s="15" t="s">
        <v>73</v>
      </c>
      <c r="C54" s="17">
        <v>0</v>
      </c>
      <c r="D54" s="17"/>
      <c r="E54" s="17">
        <f t="shared" si="13"/>
        <v>0</v>
      </c>
      <c r="F54" s="18"/>
      <c r="G54" s="17"/>
      <c r="H54" s="17"/>
      <c r="I54" s="13">
        <f t="shared" si="8"/>
        <v>0</v>
      </c>
      <c r="J54" s="16"/>
      <c r="K54" s="17"/>
      <c r="L54" s="13">
        <f t="shared" si="14"/>
        <v>0</v>
      </c>
      <c r="M54" s="18"/>
      <c r="N54" s="16">
        <v>0</v>
      </c>
      <c r="O54" s="17"/>
      <c r="P54" s="13">
        <f t="shared" si="24"/>
        <v>0</v>
      </c>
      <c r="Q54" s="18"/>
      <c r="R54" s="16">
        <v>0</v>
      </c>
      <c r="S54" s="17"/>
      <c r="T54" s="13">
        <f t="shared" si="29"/>
        <v>0</v>
      </c>
      <c r="U54" s="29"/>
      <c r="V54" s="16">
        <v>0</v>
      </c>
      <c r="W54" s="17"/>
      <c r="X54" s="13">
        <f t="shared" si="30"/>
        <v>0</v>
      </c>
      <c r="Y54" s="29"/>
      <c r="Z54" s="16">
        <v>0</v>
      </c>
      <c r="AA54" s="17"/>
      <c r="AB54" s="13">
        <f t="shared" si="31"/>
        <v>0</v>
      </c>
      <c r="AC54" s="29"/>
      <c r="AD54" s="16">
        <v>0</v>
      </c>
      <c r="AE54" s="17"/>
      <c r="AF54" s="13">
        <f t="shared" si="32"/>
        <v>0</v>
      </c>
      <c r="AG54" s="29"/>
    </row>
    <row r="55" spans="1:33" x14ac:dyDescent="0.25">
      <c r="A55" s="14"/>
      <c r="B55" s="15"/>
      <c r="C55" s="17"/>
      <c r="D55" s="17"/>
      <c r="E55" s="17"/>
      <c r="F55" s="29"/>
      <c r="G55" s="17"/>
      <c r="H55" s="17"/>
      <c r="I55" s="13"/>
      <c r="J55" s="16"/>
      <c r="K55" s="17"/>
      <c r="L55" s="13"/>
      <c r="M55" s="29"/>
      <c r="N55" s="16"/>
      <c r="O55" s="17"/>
      <c r="P55" s="13"/>
      <c r="Q55" s="29"/>
      <c r="R55" s="16"/>
      <c r="S55" s="17"/>
      <c r="T55" s="13"/>
      <c r="U55" s="29"/>
      <c r="V55" s="16"/>
      <c r="W55" s="17"/>
      <c r="X55" s="13"/>
      <c r="Y55" s="29"/>
      <c r="Z55" s="16"/>
      <c r="AA55" s="17"/>
      <c r="AB55" s="13"/>
      <c r="AC55" s="29"/>
      <c r="AD55" s="16"/>
      <c r="AE55" s="17"/>
      <c r="AF55" s="13"/>
      <c r="AG55" s="29"/>
    </row>
    <row r="56" spans="1:33" x14ac:dyDescent="0.25">
      <c r="A56" s="14" t="s">
        <v>66</v>
      </c>
      <c r="B56" s="15" t="s">
        <v>67</v>
      </c>
      <c r="C56" s="17">
        <f>+C57</f>
        <v>1000000</v>
      </c>
      <c r="D56" s="17">
        <v>0</v>
      </c>
      <c r="E56" s="17">
        <f t="shared" si="13"/>
        <v>1000000</v>
      </c>
      <c r="F56" s="18"/>
      <c r="G56" s="17">
        <f>+G57+G58</f>
        <v>1017150</v>
      </c>
      <c r="H56" s="17">
        <v>0</v>
      </c>
      <c r="I56" s="13">
        <f t="shared" si="8"/>
        <v>2017150</v>
      </c>
      <c r="J56" s="16">
        <f>+J57+J61</f>
        <v>1000000</v>
      </c>
      <c r="K56" s="17">
        <v>0</v>
      </c>
      <c r="L56" s="13">
        <f t="shared" si="14"/>
        <v>3017150</v>
      </c>
      <c r="M56" s="18"/>
      <c r="N56" s="16">
        <f>N57+N58</f>
        <v>1000000</v>
      </c>
      <c r="O56" s="17">
        <v>0</v>
      </c>
      <c r="P56" s="13">
        <f t="shared" si="24"/>
        <v>4017150</v>
      </c>
      <c r="Q56" s="18"/>
      <c r="R56" s="16">
        <f>R57+R58</f>
        <v>1000000</v>
      </c>
      <c r="S56" s="17">
        <v>0</v>
      </c>
      <c r="T56" s="13">
        <f t="shared" ref="T56:T58" si="33">P56+R56</f>
        <v>5017150</v>
      </c>
      <c r="U56" s="29"/>
      <c r="V56" s="16">
        <f>V57+V58</f>
        <v>1000000</v>
      </c>
      <c r="W56" s="17">
        <v>0</v>
      </c>
      <c r="X56" s="13">
        <f t="shared" ref="X56:X58" si="34">T56+V56</f>
        <v>6017150</v>
      </c>
      <c r="Y56" s="29"/>
      <c r="Z56" s="16">
        <f>Z57+Z58</f>
        <v>1000000</v>
      </c>
      <c r="AA56" s="17">
        <v>0</v>
      </c>
      <c r="AB56" s="13">
        <f t="shared" ref="AB56:AB58" si="35">X56+Z56</f>
        <v>7017150</v>
      </c>
      <c r="AC56" s="29"/>
      <c r="AD56" s="16">
        <f>AD57+AD58</f>
        <v>1000000</v>
      </c>
      <c r="AE56" s="17">
        <v>0</v>
      </c>
      <c r="AF56" s="13">
        <f t="shared" ref="AF56:AF58" si="36">AB56+AD56</f>
        <v>8017150</v>
      </c>
      <c r="AG56" s="29"/>
    </row>
    <row r="57" spans="1:33" ht="15.75" customHeight="1" x14ac:dyDescent="0.25">
      <c r="A57" s="14" t="s">
        <v>68</v>
      </c>
      <c r="B57" s="15" t="s">
        <v>69</v>
      </c>
      <c r="C57" s="17">
        <v>1000000</v>
      </c>
      <c r="D57" s="17">
        <v>0</v>
      </c>
      <c r="E57" s="17">
        <f t="shared" si="13"/>
        <v>1000000</v>
      </c>
      <c r="F57" s="18"/>
      <c r="G57" s="17">
        <v>1000000</v>
      </c>
      <c r="H57" s="17">
        <v>0</v>
      </c>
      <c r="I57" s="13">
        <f t="shared" si="8"/>
        <v>2000000</v>
      </c>
      <c r="J57" s="27">
        <v>1000000</v>
      </c>
      <c r="K57" s="17">
        <v>0</v>
      </c>
      <c r="L57" s="13">
        <f t="shared" si="14"/>
        <v>3000000</v>
      </c>
      <c r="M57" s="18"/>
      <c r="N57" s="16">
        <v>1000000</v>
      </c>
      <c r="O57" s="17">
        <v>0</v>
      </c>
      <c r="P57" s="13">
        <f t="shared" si="24"/>
        <v>4000000</v>
      </c>
      <c r="Q57" s="18"/>
      <c r="R57" s="16">
        <v>1000000</v>
      </c>
      <c r="S57" s="17">
        <v>0</v>
      </c>
      <c r="T57" s="13">
        <f t="shared" si="33"/>
        <v>5000000</v>
      </c>
      <c r="U57" s="29"/>
      <c r="V57" s="16">
        <v>1000000</v>
      </c>
      <c r="W57" s="17">
        <v>0</v>
      </c>
      <c r="X57" s="13">
        <f t="shared" si="34"/>
        <v>6000000</v>
      </c>
      <c r="Y57" s="29"/>
      <c r="Z57" s="16">
        <v>1000000</v>
      </c>
      <c r="AA57" s="17">
        <v>0</v>
      </c>
      <c r="AB57" s="13">
        <f t="shared" si="35"/>
        <v>7000000</v>
      </c>
      <c r="AC57" s="29"/>
      <c r="AD57" s="16">
        <v>1000000</v>
      </c>
      <c r="AE57" s="17">
        <v>0</v>
      </c>
      <c r="AF57" s="13">
        <f t="shared" si="36"/>
        <v>8000000</v>
      </c>
      <c r="AG57" s="29"/>
    </row>
    <row r="58" spans="1:33" ht="15.75" customHeight="1" x14ac:dyDescent="0.25">
      <c r="A58" s="14">
        <v>512015</v>
      </c>
      <c r="B58" s="15" t="s">
        <v>175</v>
      </c>
      <c r="C58" s="17">
        <v>0</v>
      </c>
      <c r="D58" s="17">
        <v>0</v>
      </c>
      <c r="E58" s="17">
        <f t="shared" si="13"/>
        <v>0</v>
      </c>
      <c r="F58" s="29"/>
      <c r="G58" s="17">
        <v>17150</v>
      </c>
      <c r="H58" s="17"/>
      <c r="I58" s="13">
        <f t="shared" si="8"/>
        <v>17150</v>
      </c>
      <c r="J58" s="27">
        <v>0</v>
      </c>
      <c r="K58" s="17">
        <v>0</v>
      </c>
      <c r="L58" s="13">
        <f t="shared" si="14"/>
        <v>17150</v>
      </c>
      <c r="M58" s="29"/>
      <c r="N58" s="16">
        <v>0</v>
      </c>
      <c r="O58" s="17"/>
      <c r="P58" s="13">
        <f t="shared" si="24"/>
        <v>17150</v>
      </c>
      <c r="Q58" s="29"/>
      <c r="R58" s="16">
        <v>0</v>
      </c>
      <c r="S58" s="17"/>
      <c r="T58" s="13">
        <f t="shared" si="33"/>
        <v>17150</v>
      </c>
      <c r="U58" s="29"/>
      <c r="V58" s="16">
        <v>0</v>
      </c>
      <c r="W58" s="17"/>
      <c r="X58" s="13">
        <f t="shared" si="34"/>
        <v>17150</v>
      </c>
      <c r="Y58" s="29"/>
      <c r="Z58" s="16">
        <v>0</v>
      </c>
      <c r="AA58" s="17"/>
      <c r="AB58" s="13">
        <f t="shared" si="35"/>
        <v>17150</v>
      </c>
      <c r="AC58" s="29"/>
      <c r="AD58" s="16">
        <v>0</v>
      </c>
      <c r="AE58" s="17"/>
      <c r="AF58" s="13">
        <f t="shared" si="36"/>
        <v>17150</v>
      </c>
      <c r="AG58" s="29"/>
    </row>
    <row r="59" spans="1:33" ht="15.75" customHeight="1" x14ac:dyDescent="0.25">
      <c r="A59" s="14"/>
      <c r="B59" s="15"/>
      <c r="C59" s="17"/>
      <c r="D59" s="17"/>
      <c r="E59" s="17"/>
      <c r="F59" s="29"/>
      <c r="G59" s="17"/>
      <c r="H59" s="17"/>
      <c r="I59" s="13"/>
      <c r="J59" s="27"/>
      <c r="K59" s="17"/>
      <c r="L59" s="13">
        <f t="shared" si="14"/>
        <v>0</v>
      </c>
      <c r="M59" s="29"/>
      <c r="N59" s="16"/>
      <c r="O59" s="17"/>
      <c r="P59" s="13"/>
      <c r="Q59" s="29"/>
      <c r="R59" s="16"/>
      <c r="S59" s="17"/>
      <c r="T59" s="13"/>
      <c r="U59" s="29"/>
      <c r="V59" s="16"/>
      <c r="W59" s="17"/>
      <c r="X59" s="13"/>
      <c r="Y59" s="29"/>
      <c r="Z59" s="16"/>
      <c r="AA59" s="17"/>
      <c r="AB59" s="13"/>
      <c r="AC59" s="29"/>
      <c r="AD59" s="16"/>
      <c r="AE59" s="17"/>
      <c r="AF59" s="13"/>
      <c r="AG59" s="29"/>
    </row>
    <row r="60" spans="1:33" ht="15.75" customHeight="1" x14ac:dyDescent="0.25">
      <c r="A60" s="14">
        <v>5125</v>
      </c>
      <c r="B60" s="15" t="s">
        <v>172</v>
      </c>
      <c r="C60" s="17">
        <f>+C61</f>
        <v>130000</v>
      </c>
      <c r="D60" s="17"/>
      <c r="E60" s="17">
        <f>+E61</f>
        <v>130000</v>
      </c>
      <c r="F60" s="29"/>
      <c r="G60" s="17">
        <v>0</v>
      </c>
      <c r="H60" s="17"/>
      <c r="I60" s="13">
        <f t="shared" si="8"/>
        <v>130000</v>
      </c>
      <c r="J60" s="27">
        <f>+J61</f>
        <v>0</v>
      </c>
      <c r="K60" s="17"/>
      <c r="L60" s="13">
        <f t="shared" si="14"/>
        <v>130000</v>
      </c>
      <c r="M60" s="29"/>
      <c r="N60" s="16">
        <v>0</v>
      </c>
      <c r="O60" s="17"/>
      <c r="P60" s="13">
        <f t="shared" si="24"/>
        <v>130000</v>
      </c>
      <c r="Q60" s="29"/>
      <c r="R60" s="16">
        <v>0</v>
      </c>
      <c r="S60" s="17"/>
      <c r="T60" s="13">
        <f t="shared" ref="T60:T61" si="37">P60+R60</f>
        <v>130000</v>
      </c>
      <c r="U60" s="29"/>
      <c r="V60" s="16">
        <v>0</v>
      </c>
      <c r="W60" s="17"/>
      <c r="X60" s="13">
        <f t="shared" ref="X60:X61" si="38">T60+V60</f>
        <v>130000</v>
      </c>
      <c r="Y60" s="29"/>
      <c r="Z60" s="16">
        <v>0</v>
      </c>
      <c r="AA60" s="17"/>
      <c r="AB60" s="13">
        <f t="shared" ref="AB60:AB61" si="39">X60+Z60</f>
        <v>130000</v>
      </c>
      <c r="AC60" s="29"/>
      <c r="AD60" s="16">
        <v>0</v>
      </c>
      <c r="AE60" s="17"/>
      <c r="AF60" s="13">
        <f t="shared" ref="AF60:AF61" si="40">AB60+AD60</f>
        <v>130000</v>
      </c>
      <c r="AG60" s="29"/>
    </row>
    <row r="61" spans="1:33" x14ac:dyDescent="0.25">
      <c r="A61" s="14">
        <v>512510</v>
      </c>
      <c r="B61" s="15" t="s">
        <v>171</v>
      </c>
      <c r="C61" s="17">
        <v>130000</v>
      </c>
      <c r="D61" s="17">
        <v>0</v>
      </c>
      <c r="E61" s="17">
        <f>+C61</f>
        <v>130000</v>
      </c>
      <c r="F61" s="18"/>
      <c r="G61" s="17">
        <v>0</v>
      </c>
      <c r="H61" s="17"/>
      <c r="I61" s="13">
        <f t="shared" si="8"/>
        <v>130000</v>
      </c>
      <c r="J61" s="16">
        <v>0</v>
      </c>
      <c r="K61" s="17"/>
      <c r="L61" s="13">
        <f t="shared" si="14"/>
        <v>130000</v>
      </c>
      <c r="M61" s="18"/>
      <c r="N61" s="16">
        <v>0</v>
      </c>
      <c r="O61" s="17"/>
      <c r="P61" s="13">
        <f t="shared" si="24"/>
        <v>130000</v>
      </c>
      <c r="Q61" s="18"/>
      <c r="R61" s="16">
        <v>0</v>
      </c>
      <c r="S61" s="17"/>
      <c r="T61" s="13">
        <f t="shared" si="37"/>
        <v>130000</v>
      </c>
      <c r="U61" s="29"/>
      <c r="V61" s="16">
        <v>0</v>
      </c>
      <c r="W61" s="17"/>
      <c r="X61" s="13">
        <f t="shared" si="38"/>
        <v>130000</v>
      </c>
      <c r="Y61" s="29"/>
      <c r="Z61" s="16">
        <v>0</v>
      </c>
      <c r="AA61" s="17"/>
      <c r="AB61" s="13">
        <f t="shared" si="39"/>
        <v>130000</v>
      </c>
      <c r="AC61" s="29"/>
      <c r="AD61" s="16">
        <v>0</v>
      </c>
      <c r="AE61" s="17"/>
      <c r="AF61" s="13">
        <f t="shared" si="40"/>
        <v>130000</v>
      </c>
      <c r="AG61" s="29"/>
    </row>
    <row r="62" spans="1:33" x14ac:dyDescent="0.25">
      <c r="A62" s="14"/>
      <c r="B62" s="15"/>
      <c r="C62" s="17"/>
      <c r="D62" s="17"/>
      <c r="E62" s="17"/>
      <c r="F62" s="29"/>
      <c r="G62" s="17"/>
      <c r="H62" s="17"/>
      <c r="I62" s="13"/>
      <c r="J62" s="16"/>
      <c r="K62" s="17"/>
      <c r="L62" s="13"/>
      <c r="M62" s="29"/>
      <c r="N62" s="16"/>
      <c r="O62" s="17"/>
      <c r="P62" s="13"/>
      <c r="Q62" s="29"/>
      <c r="R62" s="16"/>
      <c r="S62" s="17"/>
      <c r="T62" s="13"/>
      <c r="U62" s="29"/>
      <c r="V62" s="16"/>
      <c r="W62" s="17"/>
      <c r="X62" s="13"/>
      <c r="Y62" s="29"/>
      <c r="Z62" s="16"/>
      <c r="AA62" s="17"/>
      <c r="AB62" s="13"/>
      <c r="AC62" s="29"/>
      <c r="AD62" s="16"/>
      <c r="AE62" s="17"/>
      <c r="AF62" s="13"/>
      <c r="AG62" s="29"/>
    </row>
    <row r="63" spans="1:33" x14ac:dyDescent="0.25">
      <c r="A63" s="14" t="s">
        <v>70</v>
      </c>
      <c r="B63" s="15" t="s">
        <v>71</v>
      </c>
      <c r="C63" s="17">
        <f>+C64</f>
        <v>652200</v>
      </c>
      <c r="D63" s="17">
        <v>0</v>
      </c>
      <c r="E63" s="17">
        <f t="shared" ref="E63:E142" si="41">+C63</f>
        <v>652200</v>
      </c>
      <c r="F63" s="18"/>
      <c r="G63" s="17">
        <f>G64</f>
        <v>0</v>
      </c>
      <c r="H63" s="17">
        <v>0</v>
      </c>
      <c r="I63" s="13">
        <f t="shared" si="8"/>
        <v>652200</v>
      </c>
      <c r="J63" s="16">
        <f>J64</f>
        <v>0</v>
      </c>
      <c r="K63" s="17">
        <v>0</v>
      </c>
      <c r="L63" s="13">
        <f t="shared" si="14"/>
        <v>652200</v>
      </c>
      <c r="M63" s="18"/>
      <c r="N63" s="27">
        <f>N64</f>
        <v>0</v>
      </c>
      <c r="O63" s="17">
        <v>0</v>
      </c>
      <c r="P63" s="13">
        <f t="shared" si="24"/>
        <v>652200</v>
      </c>
      <c r="Q63" s="18"/>
      <c r="R63" s="27">
        <f>R64</f>
        <v>0</v>
      </c>
      <c r="S63" s="17">
        <v>0</v>
      </c>
      <c r="T63" s="13">
        <f t="shared" ref="T63:T64" si="42">P63+R63</f>
        <v>652200</v>
      </c>
      <c r="U63" s="29"/>
      <c r="V63" s="27">
        <f>V64</f>
        <v>0</v>
      </c>
      <c r="W63" s="17">
        <v>0</v>
      </c>
      <c r="X63" s="13">
        <f t="shared" ref="X63:X64" si="43">T63+V63</f>
        <v>652200</v>
      </c>
      <c r="Y63" s="29"/>
      <c r="Z63" s="27">
        <f>Z64</f>
        <v>0</v>
      </c>
      <c r="AA63" s="17">
        <v>0</v>
      </c>
      <c r="AB63" s="13">
        <f t="shared" ref="AB63:AB64" si="44">X63+Z63</f>
        <v>652200</v>
      </c>
      <c r="AC63" s="29"/>
      <c r="AD63" s="27">
        <f>AD64</f>
        <v>0</v>
      </c>
      <c r="AE63" s="17">
        <v>0</v>
      </c>
      <c r="AF63" s="13">
        <f t="shared" ref="AF63:AF64" si="45">AB63+AD63</f>
        <v>652200</v>
      </c>
      <c r="AG63" s="29"/>
    </row>
    <row r="64" spans="1:33" x14ac:dyDescent="0.25">
      <c r="A64" s="14" t="s">
        <v>72</v>
      </c>
      <c r="B64" s="15" t="s">
        <v>73</v>
      </c>
      <c r="C64" s="17">
        <v>652200</v>
      </c>
      <c r="D64" s="17">
        <v>0</v>
      </c>
      <c r="E64" s="17">
        <f t="shared" si="41"/>
        <v>652200</v>
      </c>
      <c r="F64" s="18"/>
      <c r="G64" s="17">
        <v>0</v>
      </c>
      <c r="H64" s="17">
        <v>0</v>
      </c>
      <c r="I64" s="13">
        <f t="shared" si="8"/>
        <v>652200</v>
      </c>
      <c r="J64" s="16">
        <v>0</v>
      </c>
      <c r="K64" s="17">
        <v>0</v>
      </c>
      <c r="L64" s="13">
        <f t="shared" si="14"/>
        <v>652200</v>
      </c>
      <c r="M64" s="18"/>
      <c r="N64" s="27">
        <v>0</v>
      </c>
      <c r="O64" s="17">
        <v>0</v>
      </c>
      <c r="P64" s="13">
        <f t="shared" si="24"/>
        <v>652200</v>
      </c>
      <c r="Q64" s="18"/>
      <c r="R64" s="27">
        <v>0</v>
      </c>
      <c r="S64" s="17">
        <v>0</v>
      </c>
      <c r="T64" s="13">
        <f t="shared" si="42"/>
        <v>652200</v>
      </c>
      <c r="U64" s="29"/>
      <c r="V64" s="27">
        <v>0</v>
      </c>
      <c r="W64" s="17">
        <v>0</v>
      </c>
      <c r="X64" s="13">
        <f t="shared" si="43"/>
        <v>652200</v>
      </c>
      <c r="Y64" s="29"/>
      <c r="Z64" s="27">
        <v>0</v>
      </c>
      <c r="AA64" s="17">
        <v>0</v>
      </c>
      <c r="AB64" s="13">
        <f t="shared" si="44"/>
        <v>652200</v>
      </c>
      <c r="AC64" s="29"/>
      <c r="AD64" s="27">
        <v>0</v>
      </c>
      <c r="AE64" s="17">
        <v>0</v>
      </c>
      <c r="AF64" s="13">
        <f t="shared" si="45"/>
        <v>652200</v>
      </c>
      <c r="AG64" s="29"/>
    </row>
    <row r="65" spans="1:33" x14ac:dyDescent="0.25">
      <c r="A65" s="14"/>
      <c r="B65" s="15"/>
      <c r="C65" s="17"/>
      <c r="D65" s="17"/>
      <c r="E65" s="17"/>
      <c r="F65" s="29"/>
      <c r="G65" s="17"/>
      <c r="H65" s="17"/>
      <c r="I65" s="13"/>
      <c r="J65" s="16"/>
      <c r="K65" s="17"/>
      <c r="L65" s="13"/>
      <c r="M65" s="29"/>
      <c r="N65" s="27"/>
      <c r="O65" s="17"/>
      <c r="P65" s="13"/>
      <c r="Q65" s="29"/>
      <c r="R65" s="27"/>
      <c r="S65" s="17"/>
      <c r="T65" s="13"/>
      <c r="U65" s="29"/>
      <c r="V65" s="27"/>
      <c r="W65" s="17"/>
      <c r="X65" s="13"/>
      <c r="Y65" s="29"/>
      <c r="Z65" s="27"/>
      <c r="AA65" s="17"/>
      <c r="AB65" s="13"/>
      <c r="AC65" s="29"/>
      <c r="AD65" s="27"/>
      <c r="AE65" s="17"/>
      <c r="AF65" s="13"/>
      <c r="AG65" s="29"/>
    </row>
    <row r="66" spans="1:33" x14ac:dyDescent="0.25">
      <c r="A66" s="14" t="s">
        <v>74</v>
      </c>
      <c r="B66" s="15" t="s">
        <v>26</v>
      </c>
      <c r="C66" s="17">
        <f>C67+C68+C70+C71+C72+C74+C73+C75</f>
        <v>2886130</v>
      </c>
      <c r="D66" s="17">
        <v>0</v>
      </c>
      <c r="E66" s="17">
        <f t="shared" si="41"/>
        <v>2886130</v>
      </c>
      <c r="F66" s="18"/>
      <c r="G66" s="16">
        <f>G67+G68+G70+G71+G72+G75</f>
        <v>1861820</v>
      </c>
      <c r="H66" s="17">
        <v>0</v>
      </c>
      <c r="I66" s="13">
        <f t="shared" ref="I66:I148" si="46">E66+G66</f>
        <v>4747950</v>
      </c>
      <c r="J66" s="16">
        <f>J67+J68+J70+J71+J72+J75</f>
        <v>2465725</v>
      </c>
      <c r="K66" s="17">
        <v>0</v>
      </c>
      <c r="L66" s="13">
        <f t="shared" si="14"/>
        <v>7213675</v>
      </c>
      <c r="M66" s="18"/>
      <c r="N66" s="27">
        <f>SUM(N67:N75)</f>
        <v>2381761</v>
      </c>
      <c r="O66" s="17">
        <v>0</v>
      </c>
      <c r="P66" s="13">
        <f t="shared" si="24"/>
        <v>9595436</v>
      </c>
      <c r="Q66" s="18"/>
      <c r="R66" s="27">
        <f>SUM(R67:R75)</f>
        <v>2050581</v>
      </c>
      <c r="S66" s="17">
        <v>0</v>
      </c>
      <c r="T66" s="13">
        <f t="shared" ref="T66:T68" si="47">P66+R66</f>
        <v>11646017</v>
      </c>
      <c r="U66" s="29"/>
      <c r="V66" s="27">
        <f>SUM(V67:V75)</f>
        <v>2277044</v>
      </c>
      <c r="W66" s="17">
        <v>0</v>
      </c>
      <c r="X66" s="13">
        <f t="shared" ref="X66:X68" si="48">T66+V66</f>
        <v>13923061</v>
      </c>
      <c r="Y66" s="29"/>
      <c r="Z66" s="27">
        <f>SUM(Z67:Z75)</f>
        <v>2357156</v>
      </c>
      <c r="AA66" s="17">
        <v>0</v>
      </c>
      <c r="AB66" s="13">
        <f t="shared" ref="AB66:AB68" si="49">X66+Z66</f>
        <v>16280217</v>
      </c>
      <c r="AC66" s="29"/>
      <c r="AD66" s="27">
        <f>SUM(AD67:AD75)</f>
        <v>2446634</v>
      </c>
      <c r="AE66" s="17">
        <v>0</v>
      </c>
      <c r="AF66" s="13">
        <f t="shared" ref="AF66:AF68" si="50">AB66+AD66</f>
        <v>18726851</v>
      </c>
      <c r="AG66" s="29"/>
    </row>
    <row r="67" spans="1:33" x14ac:dyDescent="0.25">
      <c r="A67" s="14" t="s">
        <v>75</v>
      </c>
      <c r="B67" s="15" t="s">
        <v>76</v>
      </c>
      <c r="C67" s="17"/>
      <c r="D67" s="17">
        <v>0</v>
      </c>
      <c r="E67" s="17">
        <f t="shared" si="41"/>
        <v>0</v>
      </c>
      <c r="F67" s="18"/>
      <c r="G67" s="17">
        <v>30000</v>
      </c>
      <c r="H67" s="17">
        <v>0</v>
      </c>
      <c r="I67" s="13">
        <f t="shared" si="46"/>
        <v>30000</v>
      </c>
      <c r="J67" s="16">
        <v>0</v>
      </c>
      <c r="K67" s="17">
        <v>0</v>
      </c>
      <c r="L67" s="13">
        <f t="shared" si="14"/>
        <v>30000</v>
      </c>
      <c r="M67" s="18"/>
      <c r="N67" s="27">
        <v>0</v>
      </c>
      <c r="O67" s="17">
        <v>0</v>
      </c>
      <c r="P67" s="13">
        <f t="shared" si="24"/>
        <v>30000</v>
      </c>
      <c r="Q67" s="18"/>
      <c r="R67" s="27">
        <v>0</v>
      </c>
      <c r="S67" s="17">
        <v>0</v>
      </c>
      <c r="T67" s="13">
        <f t="shared" si="47"/>
        <v>30000</v>
      </c>
      <c r="U67" s="29"/>
      <c r="V67" s="27">
        <v>0</v>
      </c>
      <c r="W67" s="17">
        <v>0</v>
      </c>
      <c r="X67" s="13">
        <f t="shared" si="48"/>
        <v>30000</v>
      </c>
      <c r="Y67" s="29"/>
      <c r="Z67" s="27">
        <v>30000</v>
      </c>
      <c r="AA67" s="17">
        <v>0</v>
      </c>
      <c r="AB67" s="13">
        <f t="shared" si="49"/>
        <v>60000</v>
      </c>
      <c r="AC67" s="29"/>
      <c r="AD67" s="27">
        <v>0</v>
      </c>
      <c r="AE67" s="17">
        <v>0</v>
      </c>
      <c r="AF67" s="13">
        <f t="shared" si="50"/>
        <v>60000</v>
      </c>
      <c r="AG67" s="29"/>
    </row>
    <row r="68" spans="1:33" x14ac:dyDescent="0.25">
      <c r="A68" s="14" t="s">
        <v>77</v>
      </c>
      <c r="B68" s="15" t="s">
        <v>78</v>
      </c>
      <c r="C68" s="210">
        <v>2572000</v>
      </c>
      <c r="D68" s="17">
        <v>0</v>
      </c>
      <c r="E68" s="17">
        <f t="shared" si="41"/>
        <v>2572000</v>
      </c>
      <c r="F68" s="18"/>
      <c r="G68" s="210">
        <v>1535000</v>
      </c>
      <c r="H68" s="17">
        <v>0</v>
      </c>
      <c r="I68" s="13">
        <f t="shared" si="46"/>
        <v>4107000</v>
      </c>
      <c r="J68" s="211">
        <v>2005500</v>
      </c>
      <c r="K68" s="17">
        <v>0</v>
      </c>
      <c r="L68" s="13">
        <f t="shared" si="14"/>
        <v>6112500</v>
      </c>
      <c r="M68" s="18"/>
      <c r="N68" s="211">
        <v>1975000</v>
      </c>
      <c r="O68" s="17">
        <v>0</v>
      </c>
      <c r="P68" s="13">
        <f t="shared" si="24"/>
        <v>8087500</v>
      </c>
      <c r="Q68" s="18"/>
      <c r="R68" s="211">
        <v>1655500</v>
      </c>
      <c r="S68" s="17">
        <v>0</v>
      </c>
      <c r="T68" s="13">
        <f t="shared" si="47"/>
        <v>9743000</v>
      </c>
      <c r="U68" s="29"/>
      <c r="V68" s="211">
        <v>1833500</v>
      </c>
      <c r="W68" s="17">
        <v>0</v>
      </c>
      <c r="X68" s="13">
        <f t="shared" si="48"/>
        <v>11576500</v>
      </c>
      <c r="Y68" s="29"/>
      <c r="Z68" s="211">
        <v>1832000</v>
      </c>
      <c r="AA68" s="17">
        <v>0</v>
      </c>
      <c r="AB68" s="13">
        <f t="shared" si="49"/>
        <v>13408500</v>
      </c>
      <c r="AC68" s="29"/>
      <c r="AD68" s="211">
        <v>1999500</v>
      </c>
      <c r="AE68" s="17">
        <v>0</v>
      </c>
      <c r="AF68" s="13">
        <f t="shared" si="50"/>
        <v>15408000</v>
      </c>
      <c r="AG68" s="29"/>
    </row>
    <row r="69" spans="1:33" x14ac:dyDescent="0.25">
      <c r="A69" s="14">
        <v>513520</v>
      </c>
      <c r="B69" s="15"/>
      <c r="C69" s="17"/>
      <c r="D69" s="17"/>
      <c r="E69" s="17"/>
      <c r="F69" s="29"/>
      <c r="G69" s="17"/>
      <c r="H69" s="17"/>
      <c r="I69" s="13"/>
      <c r="J69" s="16"/>
      <c r="K69" s="17"/>
      <c r="L69" s="13"/>
      <c r="M69" s="29"/>
      <c r="N69" s="27">
        <v>0</v>
      </c>
      <c r="O69" s="17"/>
      <c r="P69" s="13"/>
      <c r="Q69" s="29"/>
      <c r="R69" s="27">
        <v>0</v>
      </c>
      <c r="S69" s="17"/>
      <c r="T69" s="13"/>
      <c r="U69" s="29"/>
      <c r="V69" s="27">
        <v>0</v>
      </c>
      <c r="W69" s="17"/>
      <c r="X69" s="13"/>
      <c r="Y69" s="29"/>
      <c r="Z69" s="27">
        <v>0</v>
      </c>
      <c r="AA69" s="17"/>
      <c r="AB69" s="13"/>
      <c r="AC69" s="29"/>
      <c r="AD69" s="27">
        <v>0</v>
      </c>
      <c r="AE69" s="17"/>
      <c r="AF69" s="13"/>
      <c r="AG69" s="29"/>
    </row>
    <row r="70" spans="1:33" x14ac:dyDescent="0.25">
      <c r="A70" s="14" t="s">
        <v>79</v>
      </c>
      <c r="B70" s="15" t="s">
        <v>80</v>
      </c>
      <c r="C70" s="17">
        <v>61030</v>
      </c>
      <c r="D70" s="17">
        <v>0</v>
      </c>
      <c r="E70" s="17">
        <f t="shared" si="41"/>
        <v>61030</v>
      </c>
      <c r="F70" s="18"/>
      <c r="G70" s="17">
        <v>146724</v>
      </c>
      <c r="H70" s="17">
        <v>0</v>
      </c>
      <c r="I70" s="13">
        <f t="shared" si="46"/>
        <v>207754</v>
      </c>
      <c r="J70" s="16">
        <v>74320</v>
      </c>
      <c r="K70" s="17">
        <v>0</v>
      </c>
      <c r="L70" s="13">
        <f t="shared" si="14"/>
        <v>282074</v>
      </c>
      <c r="M70" s="18"/>
      <c r="N70" s="27">
        <v>155552</v>
      </c>
      <c r="O70" s="17">
        <v>0</v>
      </c>
      <c r="P70" s="13">
        <f t="shared" si="24"/>
        <v>437626</v>
      </c>
      <c r="Q70" s="18"/>
      <c r="R70" s="27">
        <v>69830</v>
      </c>
      <c r="S70" s="17">
        <v>0</v>
      </c>
      <c r="T70" s="13">
        <f t="shared" ref="T70:T77" si="51">P70+R70</f>
        <v>507456</v>
      </c>
      <c r="U70" s="29"/>
      <c r="V70" s="27">
        <v>94890</v>
      </c>
      <c r="W70" s="17">
        <v>0</v>
      </c>
      <c r="X70" s="13">
        <f t="shared" ref="X70:X77" si="52">T70+V70</f>
        <v>602346</v>
      </c>
      <c r="Y70" s="29"/>
      <c r="Z70" s="27">
        <v>94830</v>
      </c>
      <c r="AA70" s="17">
        <v>0</v>
      </c>
      <c r="AB70" s="13">
        <f t="shared" ref="AB70:AB77" si="53">X70+Z70</f>
        <v>697176</v>
      </c>
      <c r="AC70" s="29"/>
      <c r="AD70" s="27">
        <v>63680</v>
      </c>
      <c r="AE70" s="17">
        <v>0</v>
      </c>
      <c r="AF70" s="13">
        <f t="shared" ref="AF70:AF77" si="54">AB70+AD70</f>
        <v>760856</v>
      </c>
      <c r="AG70" s="29"/>
    </row>
    <row r="71" spans="1:33" x14ac:dyDescent="0.25">
      <c r="A71" s="14" t="s">
        <v>81</v>
      </c>
      <c r="B71" s="15" t="s">
        <v>82</v>
      </c>
      <c r="C71" s="17">
        <v>102021</v>
      </c>
      <c r="D71" s="17">
        <v>0</v>
      </c>
      <c r="E71" s="17">
        <f t="shared" si="41"/>
        <v>102021</v>
      </c>
      <c r="F71" s="18"/>
      <c r="G71" s="17">
        <v>0</v>
      </c>
      <c r="H71" s="17">
        <v>0</v>
      </c>
      <c r="I71" s="13">
        <f t="shared" si="46"/>
        <v>102021</v>
      </c>
      <c r="J71" s="16">
        <v>92898</v>
      </c>
      <c r="K71" s="17">
        <v>0</v>
      </c>
      <c r="L71" s="13">
        <f t="shared" si="14"/>
        <v>194919</v>
      </c>
      <c r="M71" s="18"/>
      <c r="N71" s="27">
        <v>100130</v>
      </c>
      <c r="O71" s="17">
        <v>0</v>
      </c>
      <c r="P71" s="13">
        <f t="shared" si="24"/>
        <v>295049</v>
      </c>
      <c r="Q71" s="18"/>
      <c r="R71" s="27">
        <v>109685</v>
      </c>
      <c r="S71" s="17">
        <v>0</v>
      </c>
      <c r="T71" s="13">
        <f t="shared" si="51"/>
        <v>404734</v>
      </c>
      <c r="U71" s="29"/>
      <c r="V71" s="27">
        <v>88575</v>
      </c>
      <c r="W71" s="17">
        <v>0</v>
      </c>
      <c r="X71" s="13">
        <f t="shared" si="52"/>
        <v>493309</v>
      </c>
      <c r="Y71" s="29"/>
      <c r="Z71" s="27">
        <v>98168</v>
      </c>
      <c r="AA71" s="17">
        <v>0</v>
      </c>
      <c r="AB71" s="13">
        <f t="shared" si="53"/>
        <v>591477</v>
      </c>
      <c r="AC71" s="29"/>
      <c r="AD71" s="27">
        <v>100276</v>
      </c>
      <c r="AE71" s="17">
        <v>0</v>
      </c>
      <c r="AF71" s="13">
        <f t="shared" si="54"/>
        <v>691753</v>
      </c>
      <c r="AG71" s="29"/>
    </row>
    <row r="72" spans="1:33" x14ac:dyDescent="0.25">
      <c r="A72" s="14" t="s">
        <v>83</v>
      </c>
      <c r="B72" s="15" t="s">
        <v>139</v>
      </c>
      <c r="C72" s="17">
        <v>151079</v>
      </c>
      <c r="D72" s="17">
        <v>0</v>
      </c>
      <c r="E72" s="17">
        <f t="shared" si="41"/>
        <v>151079</v>
      </c>
      <c r="F72" s="18"/>
      <c r="G72" s="17">
        <v>150096</v>
      </c>
      <c r="H72" s="17">
        <v>0</v>
      </c>
      <c r="I72" s="13">
        <f t="shared" si="46"/>
        <v>301175</v>
      </c>
      <c r="J72" s="16">
        <v>293007</v>
      </c>
      <c r="K72" s="17">
        <v>0</v>
      </c>
      <c r="L72" s="13">
        <f t="shared" si="14"/>
        <v>594182</v>
      </c>
      <c r="M72" s="18"/>
      <c r="N72" s="27">
        <v>151079</v>
      </c>
      <c r="O72" s="17">
        <v>0</v>
      </c>
      <c r="P72" s="13">
        <f t="shared" si="24"/>
        <v>745261</v>
      </c>
      <c r="Q72" s="18"/>
      <c r="R72" s="27">
        <v>215566</v>
      </c>
      <c r="S72" s="17">
        <v>0</v>
      </c>
      <c r="T72" s="13">
        <f t="shared" si="51"/>
        <v>960827</v>
      </c>
      <c r="U72" s="29"/>
      <c r="V72" s="27">
        <v>210079</v>
      </c>
      <c r="W72" s="17">
        <v>0</v>
      </c>
      <c r="X72" s="13">
        <f t="shared" si="52"/>
        <v>1170906</v>
      </c>
      <c r="Y72" s="29"/>
      <c r="Z72" s="27">
        <v>302158</v>
      </c>
      <c r="AA72" s="17">
        <v>0</v>
      </c>
      <c r="AB72" s="13">
        <f t="shared" si="53"/>
        <v>1473064</v>
      </c>
      <c r="AC72" s="29"/>
      <c r="AD72" s="27">
        <v>283178</v>
      </c>
      <c r="AE72" s="17">
        <v>0</v>
      </c>
      <c r="AF72" s="13">
        <f t="shared" si="54"/>
        <v>1756242</v>
      </c>
      <c r="AG72" s="29"/>
    </row>
    <row r="73" spans="1:33" x14ac:dyDescent="0.25">
      <c r="A73" s="14">
        <v>513540</v>
      </c>
      <c r="B73" s="15" t="s">
        <v>170</v>
      </c>
      <c r="C73" s="17">
        <v>0</v>
      </c>
      <c r="D73" s="17">
        <v>0</v>
      </c>
      <c r="E73" s="17">
        <f t="shared" si="41"/>
        <v>0</v>
      </c>
      <c r="F73" s="18"/>
      <c r="G73" s="17">
        <v>0</v>
      </c>
      <c r="H73" s="17">
        <v>0</v>
      </c>
      <c r="I73" s="13">
        <f t="shared" si="46"/>
        <v>0</v>
      </c>
      <c r="J73" s="16">
        <v>0</v>
      </c>
      <c r="K73" s="17">
        <v>0</v>
      </c>
      <c r="L73" s="13">
        <f t="shared" si="14"/>
        <v>0</v>
      </c>
      <c r="M73" s="18"/>
      <c r="N73" s="27">
        <v>0</v>
      </c>
      <c r="O73" s="17">
        <v>0</v>
      </c>
      <c r="P73" s="13">
        <f t="shared" si="24"/>
        <v>0</v>
      </c>
      <c r="Q73" s="18"/>
      <c r="R73" s="27">
        <v>0</v>
      </c>
      <c r="S73" s="17">
        <v>0</v>
      </c>
      <c r="T73" s="13">
        <f t="shared" si="51"/>
        <v>0</v>
      </c>
      <c r="U73" s="29"/>
      <c r="V73" s="27">
        <v>0</v>
      </c>
      <c r="W73" s="17">
        <v>0</v>
      </c>
      <c r="X73" s="13">
        <f t="shared" si="52"/>
        <v>0</v>
      </c>
      <c r="Y73" s="29"/>
      <c r="Z73" s="27">
        <v>0</v>
      </c>
      <c r="AA73" s="17">
        <v>0</v>
      </c>
      <c r="AB73" s="13">
        <f t="shared" si="53"/>
        <v>0</v>
      </c>
      <c r="AC73" s="29"/>
      <c r="AD73" s="27">
        <v>0</v>
      </c>
      <c r="AE73" s="17">
        <v>0</v>
      </c>
      <c r="AF73" s="13">
        <f t="shared" si="54"/>
        <v>0</v>
      </c>
      <c r="AG73" s="29"/>
    </row>
    <row r="74" spans="1:33" x14ac:dyDescent="0.25">
      <c r="A74" s="14">
        <v>513595</v>
      </c>
      <c r="B74" s="15" t="s">
        <v>164</v>
      </c>
      <c r="C74" s="17">
        <v>0</v>
      </c>
      <c r="D74" s="17">
        <v>0</v>
      </c>
      <c r="E74" s="17">
        <f t="shared" si="41"/>
        <v>0</v>
      </c>
      <c r="F74" s="18"/>
      <c r="G74" s="17">
        <v>0</v>
      </c>
      <c r="H74" s="17">
        <v>0</v>
      </c>
      <c r="I74" s="13">
        <f t="shared" si="46"/>
        <v>0</v>
      </c>
      <c r="J74" s="16">
        <v>0</v>
      </c>
      <c r="K74" s="17">
        <v>0</v>
      </c>
      <c r="L74" s="13">
        <f t="shared" si="14"/>
        <v>0</v>
      </c>
      <c r="M74" s="18"/>
      <c r="N74" s="27">
        <v>0</v>
      </c>
      <c r="O74" s="17">
        <v>0</v>
      </c>
      <c r="P74" s="13">
        <f t="shared" si="24"/>
        <v>0</v>
      </c>
      <c r="Q74" s="18"/>
      <c r="R74" s="27">
        <v>0</v>
      </c>
      <c r="S74" s="17">
        <v>0</v>
      </c>
      <c r="T74" s="13">
        <f t="shared" si="51"/>
        <v>0</v>
      </c>
      <c r="U74" s="29"/>
      <c r="V74" s="27">
        <v>0</v>
      </c>
      <c r="W74" s="17">
        <v>0</v>
      </c>
      <c r="X74" s="13">
        <f t="shared" si="52"/>
        <v>0</v>
      </c>
      <c r="Y74" s="29"/>
      <c r="Z74" s="27">
        <v>0</v>
      </c>
      <c r="AA74" s="17">
        <v>0</v>
      </c>
      <c r="AB74" s="13">
        <f t="shared" si="53"/>
        <v>0</v>
      </c>
      <c r="AC74" s="29"/>
      <c r="AD74" s="27">
        <v>0</v>
      </c>
      <c r="AE74" s="17">
        <v>0</v>
      </c>
      <c r="AF74" s="13">
        <f t="shared" si="54"/>
        <v>0</v>
      </c>
      <c r="AG74" s="29"/>
    </row>
    <row r="75" spans="1:33" x14ac:dyDescent="0.25">
      <c r="A75" s="14">
        <v>513550</v>
      </c>
      <c r="B75" s="15" t="s">
        <v>141</v>
      </c>
      <c r="C75" s="17"/>
      <c r="D75" s="17">
        <v>0</v>
      </c>
      <c r="E75" s="17">
        <f t="shared" si="41"/>
        <v>0</v>
      </c>
      <c r="F75" s="18"/>
      <c r="G75" s="17">
        <v>0</v>
      </c>
      <c r="H75" s="17">
        <v>0</v>
      </c>
      <c r="I75" s="13">
        <f t="shared" si="46"/>
        <v>0</v>
      </c>
      <c r="J75" s="16">
        <v>0</v>
      </c>
      <c r="K75" s="17">
        <v>0</v>
      </c>
      <c r="L75" s="13">
        <f>I75+J75</f>
        <v>0</v>
      </c>
      <c r="M75" s="18"/>
      <c r="N75" s="27">
        <v>0</v>
      </c>
      <c r="O75" s="17">
        <v>0</v>
      </c>
      <c r="P75" s="13">
        <f t="shared" si="24"/>
        <v>0</v>
      </c>
      <c r="Q75" s="18"/>
      <c r="R75" s="27">
        <v>0</v>
      </c>
      <c r="S75" s="17">
        <v>0</v>
      </c>
      <c r="T75" s="13">
        <f t="shared" si="51"/>
        <v>0</v>
      </c>
      <c r="U75" s="29"/>
      <c r="V75" s="27">
        <v>50000</v>
      </c>
      <c r="W75" s="17">
        <v>0</v>
      </c>
      <c r="X75" s="13">
        <f t="shared" si="52"/>
        <v>50000</v>
      </c>
      <c r="Y75" s="29"/>
      <c r="Z75" s="27">
        <v>0</v>
      </c>
      <c r="AA75" s="17">
        <v>0</v>
      </c>
      <c r="AB75" s="13">
        <f t="shared" si="53"/>
        <v>50000</v>
      </c>
      <c r="AC75" s="29"/>
      <c r="AD75" s="27">
        <v>0</v>
      </c>
      <c r="AE75" s="17">
        <v>0</v>
      </c>
      <c r="AF75" s="13">
        <f t="shared" si="54"/>
        <v>50000</v>
      </c>
      <c r="AG75" s="29"/>
    </row>
    <row r="76" spans="1:33" x14ac:dyDescent="0.25">
      <c r="A76" s="14"/>
      <c r="B76" s="15"/>
      <c r="C76" s="17"/>
      <c r="D76" s="17"/>
      <c r="E76" s="17">
        <f t="shared" si="41"/>
        <v>0</v>
      </c>
      <c r="F76" s="29"/>
      <c r="G76" s="17"/>
      <c r="H76" s="17"/>
      <c r="I76" s="13"/>
      <c r="J76" s="16"/>
      <c r="K76" s="17"/>
      <c r="L76" s="13"/>
      <c r="M76" s="29"/>
      <c r="N76" s="16"/>
      <c r="O76" s="17"/>
      <c r="P76" s="13">
        <f t="shared" si="24"/>
        <v>0</v>
      </c>
      <c r="Q76" s="29"/>
      <c r="R76" s="16"/>
      <c r="S76" s="17"/>
      <c r="T76" s="13">
        <f t="shared" si="51"/>
        <v>0</v>
      </c>
      <c r="U76" s="29"/>
      <c r="V76" s="16"/>
      <c r="W76" s="17"/>
      <c r="X76" s="13">
        <f t="shared" si="52"/>
        <v>0</v>
      </c>
      <c r="Y76" s="29"/>
      <c r="Z76" s="16"/>
      <c r="AA76" s="17"/>
      <c r="AB76" s="13">
        <f t="shared" si="53"/>
        <v>0</v>
      </c>
      <c r="AC76" s="29"/>
      <c r="AD76" s="16"/>
      <c r="AE76" s="17"/>
      <c r="AF76" s="13">
        <f t="shared" si="54"/>
        <v>0</v>
      </c>
      <c r="AG76" s="29"/>
    </row>
    <row r="77" spans="1:33" x14ac:dyDescent="0.25">
      <c r="A77" s="14" t="s">
        <v>84</v>
      </c>
      <c r="B77" s="15" t="s">
        <v>85</v>
      </c>
      <c r="C77" s="17">
        <f>+C80</f>
        <v>180000</v>
      </c>
      <c r="D77" s="17">
        <v>0</v>
      </c>
      <c r="E77" s="17">
        <f t="shared" si="41"/>
        <v>180000</v>
      </c>
      <c r="F77" s="18"/>
      <c r="G77" s="17">
        <f>G79+G80</f>
        <v>0</v>
      </c>
      <c r="H77" s="17">
        <v>0</v>
      </c>
      <c r="I77" s="13">
        <f t="shared" si="46"/>
        <v>180000</v>
      </c>
      <c r="J77" s="16">
        <f>+J79</f>
        <v>5900</v>
      </c>
      <c r="K77" s="17">
        <v>0</v>
      </c>
      <c r="L77" s="13">
        <f>I77+J77</f>
        <v>185900</v>
      </c>
      <c r="M77" s="18"/>
      <c r="N77" s="16">
        <f>N79+N80</f>
        <v>0</v>
      </c>
      <c r="O77" s="17">
        <v>0</v>
      </c>
      <c r="P77" s="13">
        <f t="shared" si="24"/>
        <v>185900</v>
      </c>
      <c r="Q77" s="18"/>
      <c r="R77" s="16">
        <f>R79+R80</f>
        <v>0</v>
      </c>
      <c r="S77" s="17">
        <v>0</v>
      </c>
      <c r="T77" s="13">
        <f t="shared" si="51"/>
        <v>185900</v>
      </c>
      <c r="U77" s="29"/>
      <c r="V77" s="16">
        <f>V79+V80</f>
        <v>0</v>
      </c>
      <c r="W77" s="17">
        <v>0</v>
      </c>
      <c r="X77" s="13">
        <f t="shared" si="52"/>
        <v>185900</v>
      </c>
      <c r="Y77" s="29"/>
      <c r="Z77" s="16">
        <f>Z79+Z80</f>
        <v>5900</v>
      </c>
      <c r="AA77" s="17">
        <v>0</v>
      </c>
      <c r="AB77" s="13">
        <f t="shared" si="53"/>
        <v>191800</v>
      </c>
      <c r="AC77" s="29"/>
      <c r="AD77" s="16">
        <f>AD79+AD80</f>
        <v>80000</v>
      </c>
      <c r="AE77" s="17">
        <v>0</v>
      </c>
      <c r="AF77" s="13">
        <f t="shared" si="54"/>
        <v>271800</v>
      </c>
      <c r="AG77" s="29"/>
    </row>
    <row r="78" spans="1:33" x14ac:dyDescent="0.25">
      <c r="A78" s="14" t="s">
        <v>150</v>
      </c>
      <c r="B78" s="15" t="s">
        <v>142</v>
      </c>
      <c r="C78" s="17">
        <v>0</v>
      </c>
      <c r="D78" s="17">
        <v>0</v>
      </c>
      <c r="E78" s="17">
        <f t="shared" si="41"/>
        <v>0</v>
      </c>
      <c r="F78" s="18"/>
      <c r="G78" s="17">
        <v>0</v>
      </c>
      <c r="H78" s="17">
        <v>0</v>
      </c>
      <c r="I78" s="13">
        <f t="shared" si="46"/>
        <v>0</v>
      </c>
      <c r="J78" s="16">
        <v>0</v>
      </c>
      <c r="K78" s="17">
        <v>0</v>
      </c>
      <c r="L78" s="13">
        <f>I78+J78</f>
        <v>0</v>
      </c>
      <c r="M78" s="18"/>
      <c r="N78" s="16">
        <v>0</v>
      </c>
      <c r="O78" s="17">
        <v>0</v>
      </c>
      <c r="P78" s="13">
        <f>L78+N78</f>
        <v>0</v>
      </c>
      <c r="Q78" s="18"/>
      <c r="R78" s="16">
        <v>0</v>
      </c>
      <c r="S78" s="17">
        <v>0</v>
      </c>
      <c r="T78" s="13">
        <f>P78+R78</f>
        <v>0</v>
      </c>
      <c r="U78" s="29"/>
      <c r="V78" s="16">
        <v>0</v>
      </c>
      <c r="W78" s="17">
        <v>0</v>
      </c>
      <c r="X78" s="13">
        <f>T78+V78</f>
        <v>0</v>
      </c>
      <c r="Y78" s="29"/>
      <c r="Z78" s="16">
        <v>0</v>
      </c>
      <c r="AA78" s="17">
        <v>0</v>
      </c>
      <c r="AB78" s="13">
        <f>X78+Z78</f>
        <v>0</v>
      </c>
      <c r="AC78" s="29"/>
      <c r="AD78" s="16">
        <v>0</v>
      </c>
      <c r="AE78" s="17">
        <v>0</v>
      </c>
      <c r="AF78" s="13">
        <f>AB78+AD78</f>
        <v>0</v>
      </c>
      <c r="AG78" s="29"/>
    </row>
    <row r="79" spans="1:33" x14ac:dyDescent="0.25">
      <c r="A79" s="14" t="s">
        <v>86</v>
      </c>
      <c r="B79" s="15" t="s">
        <v>87</v>
      </c>
      <c r="C79" s="17">
        <v>0</v>
      </c>
      <c r="D79" s="17">
        <v>0</v>
      </c>
      <c r="E79" s="17">
        <f t="shared" si="41"/>
        <v>0</v>
      </c>
      <c r="F79" s="18"/>
      <c r="G79" s="17">
        <v>0</v>
      </c>
      <c r="H79" s="17">
        <v>0</v>
      </c>
      <c r="I79" s="13">
        <f t="shared" si="46"/>
        <v>0</v>
      </c>
      <c r="J79" s="16">
        <v>5900</v>
      </c>
      <c r="K79" s="17">
        <v>0</v>
      </c>
      <c r="L79" s="13">
        <f>I79+J79</f>
        <v>5900</v>
      </c>
      <c r="M79" s="18"/>
      <c r="N79" s="16">
        <v>0</v>
      </c>
      <c r="O79" s="17">
        <v>0</v>
      </c>
      <c r="P79" s="13">
        <f>L79+N79</f>
        <v>5900</v>
      </c>
      <c r="Q79" s="18"/>
      <c r="R79" s="16">
        <v>0</v>
      </c>
      <c r="S79" s="17">
        <v>0</v>
      </c>
      <c r="T79" s="13">
        <f>P79+R79</f>
        <v>5900</v>
      </c>
      <c r="U79" s="29"/>
      <c r="V79" s="16"/>
      <c r="W79" s="17">
        <v>0</v>
      </c>
      <c r="X79" s="13">
        <f>T79+V79</f>
        <v>5900</v>
      </c>
      <c r="Y79" s="29"/>
      <c r="Z79" s="16">
        <v>5900</v>
      </c>
      <c r="AA79" s="17">
        <v>0</v>
      </c>
      <c r="AB79" s="13">
        <f>X79+Z79</f>
        <v>11800</v>
      </c>
      <c r="AC79" s="29"/>
      <c r="AD79" s="16">
        <v>0</v>
      </c>
      <c r="AE79" s="17">
        <v>0</v>
      </c>
      <c r="AF79" s="13">
        <f>AB79+AD79</f>
        <v>11800</v>
      </c>
      <c r="AG79" s="29"/>
    </row>
    <row r="80" spans="1:33" x14ac:dyDescent="0.25">
      <c r="A80" s="14" t="s">
        <v>88</v>
      </c>
      <c r="B80" s="15" t="s">
        <v>89</v>
      </c>
      <c r="C80" s="17">
        <v>180000</v>
      </c>
      <c r="D80" s="17">
        <v>0</v>
      </c>
      <c r="E80" s="17">
        <f t="shared" si="41"/>
        <v>180000</v>
      </c>
      <c r="F80" s="18"/>
      <c r="G80" s="17">
        <v>0</v>
      </c>
      <c r="H80" s="17">
        <v>0</v>
      </c>
      <c r="I80" s="13">
        <f t="shared" si="46"/>
        <v>180000</v>
      </c>
      <c r="J80" s="16">
        <v>0</v>
      </c>
      <c r="K80" s="17">
        <v>0</v>
      </c>
      <c r="L80" s="13">
        <f>I80+J80</f>
        <v>180000</v>
      </c>
      <c r="M80" s="18"/>
      <c r="N80" s="16">
        <v>0</v>
      </c>
      <c r="O80" s="17">
        <v>0</v>
      </c>
      <c r="P80" s="13">
        <f>L80+N80</f>
        <v>180000</v>
      </c>
      <c r="Q80" s="18"/>
      <c r="R80" s="16">
        <v>0</v>
      </c>
      <c r="S80" s="17">
        <v>0</v>
      </c>
      <c r="T80" s="13">
        <f>P80+R80</f>
        <v>180000</v>
      </c>
      <c r="U80" s="29"/>
      <c r="V80" s="16">
        <v>0</v>
      </c>
      <c r="W80" s="17">
        <v>0</v>
      </c>
      <c r="X80" s="13">
        <f>T80+V80</f>
        <v>180000</v>
      </c>
      <c r="Y80" s="29"/>
      <c r="Z80" s="16">
        <v>0</v>
      </c>
      <c r="AA80" s="17">
        <v>0</v>
      </c>
      <c r="AB80" s="13">
        <f>X80+Z80</f>
        <v>180000</v>
      </c>
      <c r="AC80" s="29"/>
      <c r="AD80" s="16">
        <v>80000</v>
      </c>
      <c r="AE80" s="17">
        <v>0</v>
      </c>
      <c r="AF80" s="13">
        <f>AB80+AD80</f>
        <v>260000</v>
      </c>
      <c r="AG80" s="29"/>
    </row>
    <row r="81" spans="1:33" x14ac:dyDescent="0.25">
      <c r="A81" s="14" t="s">
        <v>151</v>
      </c>
      <c r="B81" s="15" t="s">
        <v>73</v>
      </c>
      <c r="C81" s="17">
        <v>0</v>
      </c>
      <c r="D81" s="17">
        <v>0</v>
      </c>
      <c r="E81" s="17">
        <f t="shared" si="41"/>
        <v>0</v>
      </c>
      <c r="F81" s="18"/>
      <c r="G81" s="17">
        <v>0</v>
      </c>
      <c r="H81" s="17">
        <v>0</v>
      </c>
      <c r="I81" s="13">
        <f t="shared" si="46"/>
        <v>0</v>
      </c>
      <c r="J81" s="16">
        <v>0</v>
      </c>
      <c r="K81" s="17">
        <v>0</v>
      </c>
      <c r="L81" s="13">
        <f>I81+J81</f>
        <v>0</v>
      </c>
      <c r="M81" s="18"/>
      <c r="N81" s="16">
        <v>0</v>
      </c>
      <c r="O81" s="17">
        <v>0</v>
      </c>
      <c r="P81" s="13">
        <f>L81+N81</f>
        <v>0</v>
      </c>
      <c r="Q81" s="18"/>
      <c r="R81" s="16">
        <v>0</v>
      </c>
      <c r="S81" s="17">
        <v>0</v>
      </c>
      <c r="T81" s="13">
        <f>P81+R81</f>
        <v>0</v>
      </c>
      <c r="U81" s="29"/>
      <c r="V81" s="16">
        <v>0</v>
      </c>
      <c r="W81" s="17">
        <v>0</v>
      </c>
      <c r="X81" s="13">
        <f>T81+V81</f>
        <v>0</v>
      </c>
      <c r="Y81" s="29"/>
      <c r="Z81" s="16">
        <v>0</v>
      </c>
      <c r="AA81" s="17">
        <v>0</v>
      </c>
      <c r="AB81" s="13">
        <f>X81+Z81</f>
        <v>0</v>
      </c>
      <c r="AC81" s="29"/>
      <c r="AD81" s="16">
        <v>0</v>
      </c>
      <c r="AE81" s="17">
        <v>0</v>
      </c>
      <c r="AF81" s="13">
        <f>AB81+AD81</f>
        <v>0</v>
      </c>
      <c r="AG81" s="29"/>
    </row>
    <row r="82" spans="1:33" x14ac:dyDescent="0.25">
      <c r="A82" s="14"/>
      <c r="B82" s="15"/>
      <c r="C82" s="17"/>
      <c r="D82" s="17"/>
      <c r="E82" s="17">
        <f t="shared" si="41"/>
        <v>0</v>
      </c>
      <c r="F82" s="29"/>
      <c r="G82" s="17"/>
      <c r="H82" s="17"/>
      <c r="I82" s="13"/>
      <c r="J82" s="16"/>
      <c r="K82" s="17"/>
      <c r="L82" s="13"/>
      <c r="M82" s="29"/>
      <c r="N82" s="16"/>
      <c r="O82" s="17"/>
      <c r="P82" s="13"/>
      <c r="Q82" s="29"/>
      <c r="R82" s="16"/>
      <c r="S82" s="17"/>
      <c r="T82" s="13"/>
      <c r="U82" s="29"/>
      <c r="V82" s="16"/>
      <c r="W82" s="17"/>
      <c r="X82" s="13"/>
      <c r="Y82" s="29"/>
      <c r="Z82" s="16"/>
      <c r="AA82" s="17"/>
      <c r="AB82" s="13"/>
      <c r="AC82" s="29"/>
      <c r="AD82" s="16"/>
      <c r="AE82" s="17"/>
      <c r="AF82" s="13"/>
      <c r="AG82" s="29"/>
    </row>
    <row r="83" spans="1:33" x14ac:dyDescent="0.25">
      <c r="A83" s="14" t="s">
        <v>90</v>
      </c>
      <c r="B83" s="15" t="s">
        <v>91</v>
      </c>
      <c r="C83" s="17">
        <f>+C85+C86+C87+C88</f>
        <v>199000</v>
      </c>
      <c r="D83" s="17">
        <v>0</v>
      </c>
      <c r="E83" s="17">
        <f t="shared" si="41"/>
        <v>199000</v>
      </c>
      <c r="F83" s="18"/>
      <c r="G83" s="17">
        <f>G85+G86+G88+G87</f>
        <v>566465</v>
      </c>
      <c r="H83" s="17">
        <v>0</v>
      </c>
      <c r="I83" s="13">
        <f t="shared" si="46"/>
        <v>765465</v>
      </c>
      <c r="J83" s="16">
        <f>+J85+J86+J87+J88</f>
        <v>1153513</v>
      </c>
      <c r="K83" s="17">
        <v>0</v>
      </c>
      <c r="L83" s="13">
        <f>I83+J83</f>
        <v>1918978</v>
      </c>
      <c r="M83" s="18"/>
      <c r="N83" s="16">
        <f>+N85+N86+N87+N88+N84</f>
        <v>4011924</v>
      </c>
      <c r="O83" s="17">
        <v>0</v>
      </c>
      <c r="P83" s="13">
        <f t="shared" ref="P83:P88" si="55">L83+N83</f>
        <v>5930902</v>
      </c>
      <c r="Q83" s="18"/>
      <c r="R83" s="16">
        <f>+R85+R86+R87+R88</f>
        <v>414071</v>
      </c>
      <c r="S83" s="17">
        <v>0</v>
      </c>
      <c r="T83" s="13">
        <f>P83+R83</f>
        <v>6344973</v>
      </c>
      <c r="U83" s="29"/>
      <c r="V83" s="21">
        <f>+V85+V86+V87+V88</f>
        <v>2214231</v>
      </c>
      <c r="W83" s="17">
        <v>0</v>
      </c>
      <c r="X83" s="13">
        <f>T83+V83</f>
        <v>8559204</v>
      </c>
      <c r="Y83" s="29"/>
      <c r="Z83" s="16">
        <f>+Z85+Z86+Z87+Z88</f>
        <v>1515810</v>
      </c>
      <c r="AA83" s="17">
        <v>0</v>
      </c>
      <c r="AB83" s="13">
        <f>X83+Z83</f>
        <v>10075014</v>
      </c>
      <c r="AC83" s="29"/>
      <c r="AD83" s="16">
        <f>+AD85+AD86+AD87+AD88</f>
        <v>1454402</v>
      </c>
      <c r="AE83" s="17">
        <v>0</v>
      </c>
      <c r="AF83" s="13">
        <f>AB83+AD83</f>
        <v>11529416</v>
      </c>
      <c r="AG83" s="29"/>
    </row>
    <row r="84" spans="1:33" x14ac:dyDescent="0.25">
      <c r="A84" s="14">
        <v>514510</v>
      </c>
      <c r="B84" s="15" t="s">
        <v>338</v>
      </c>
      <c r="C84" s="17"/>
      <c r="D84" s="17"/>
      <c r="E84" s="17"/>
      <c r="F84" s="29"/>
      <c r="G84" s="17"/>
      <c r="H84" s="17"/>
      <c r="I84" s="13"/>
      <c r="J84" s="16"/>
      <c r="K84" s="17"/>
      <c r="L84" s="13"/>
      <c r="M84" s="29"/>
      <c r="N84" s="16">
        <v>12500</v>
      </c>
      <c r="O84" s="17"/>
      <c r="P84" s="13">
        <f t="shared" si="55"/>
        <v>12500</v>
      </c>
      <c r="Q84" s="29"/>
      <c r="R84" s="16">
        <v>0</v>
      </c>
      <c r="S84" s="17"/>
      <c r="T84" s="13"/>
      <c r="U84" s="29"/>
      <c r="V84" s="16">
        <v>0</v>
      </c>
      <c r="W84" s="17"/>
      <c r="X84" s="13"/>
      <c r="Y84" s="29"/>
      <c r="Z84" s="16">
        <v>12500</v>
      </c>
      <c r="AA84" s="17"/>
      <c r="AB84" s="13"/>
      <c r="AC84" s="29"/>
      <c r="AD84" s="16">
        <v>0</v>
      </c>
      <c r="AE84" s="17"/>
      <c r="AF84" s="13"/>
      <c r="AG84" s="29"/>
    </row>
    <row r="85" spans="1:33" x14ac:dyDescent="0.25">
      <c r="A85" s="14" t="s">
        <v>92</v>
      </c>
      <c r="B85" s="15" t="s">
        <v>93</v>
      </c>
      <c r="C85" s="17">
        <v>199000</v>
      </c>
      <c r="D85" s="17">
        <v>0</v>
      </c>
      <c r="E85" s="17">
        <f t="shared" si="41"/>
        <v>199000</v>
      </c>
      <c r="F85" s="18"/>
      <c r="G85" s="17">
        <v>211465</v>
      </c>
      <c r="H85" s="17">
        <v>0</v>
      </c>
      <c r="I85" s="13">
        <f t="shared" si="46"/>
        <v>410465</v>
      </c>
      <c r="J85" s="16">
        <v>1071513</v>
      </c>
      <c r="K85" s="17">
        <v>0</v>
      </c>
      <c r="L85" s="13">
        <f>I85+J85</f>
        <v>1481978</v>
      </c>
      <c r="M85" s="18"/>
      <c r="N85" s="16">
        <v>3999424</v>
      </c>
      <c r="O85" s="17">
        <v>0</v>
      </c>
      <c r="P85" s="13">
        <f t="shared" si="55"/>
        <v>5481402</v>
      </c>
      <c r="Q85" s="18"/>
      <c r="R85" s="16">
        <v>414071</v>
      </c>
      <c r="S85" s="17">
        <v>0</v>
      </c>
      <c r="T85" s="13">
        <f>P85+R85</f>
        <v>5895473</v>
      </c>
      <c r="U85" s="29"/>
      <c r="V85" s="27">
        <v>2214231</v>
      </c>
      <c r="W85" s="17">
        <v>0</v>
      </c>
      <c r="X85" s="13">
        <f>T85+V85</f>
        <v>8109704</v>
      </c>
      <c r="Y85" s="29"/>
      <c r="Z85" s="253">
        <v>1035810</v>
      </c>
      <c r="AA85" s="17">
        <v>0</v>
      </c>
      <c r="AB85" s="13">
        <f>X85+Z85</f>
        <v>9145514</v>
      </c>
      <c r="AC85" s="29"/>
      <c r="AD85" s="16">
        <v>1452402</v>
      </c>
      <c r="AE85" s="17">
        <v>0</v>
      </c>
      <c r="AF85" s="13">
        <f>AB85+AD85</f>
        <v>10597916</v>
      </c>
      <c r="AG85" s="29"/>
    </row>
    <row r="86" spans="1:33" x14ac:dyDescent="0.25">
      <c r="A86" s="14" t="s">
        <v>94</v>
      </c>
      <c r="B86" s="15" t="s">
        <v>95</v>
      </c>
      <c r="C86" s="17">
        <v>0</v>
      </c>
      <c r="D86" s="17">
        <v>0</v>
      </c>
      <c r="E86" s="17">
        <f t="shared" si="41"/>
        <v>0</v>
      </c>
      <c r="F86" s="18"/>
      <c r="G86" s="17">
        <v>0</v>
      </c>
      <c r="H86" s="17">
        <v>0</v>
      </c>
      <c r="I86" s="13">
        <f t="shared" si="46"/>
        <v>0</v>
      </c>
      <c r="J86" s="16">
        <v>0</v>
      </c>
      <c r="K86" s="17">
        <v>0</v>
      </c>
      <c r="L86" s="13">
        <f>I86+J86</f>
        <v>0</v>
      </c>
      <c r="M86" s="18"/>
      <c r="N86" s="16">
        <v>0</v>
      </c>
      <c r="O86" s="17">
        <v>0</v>
      </c>
      <c r="P86" s="13">
        <f t="shared" si="55"/>
        <v>0</v>
      </c>
      <c r="Q86" s="18"/>
      <c r="R86" s="16">
        <v>0</v>
      </c>
      <c r="S86" s="17">
        <v>0</v>
      </c>
      <c r="T86" s="13">
        <f>P86+R86</f>
        <v>0</v>
      </c>
      <c r="U86" s="29"/>
      <c r="V86" s="16">
        <v>0</v>
      </c>
      <c r="W86" s="17">
        <v>0</v>
      </c>
      <c r="X86" s="13">
        <f>T86+V86</f>
        <v>0</v>
      </c>
      <c r="Y86" s="29"/>
      <c r="Z86" s="16">
        <v>0</v>
      </c>
      <c r="AA86" s="17">
        <v>0</v>
      </c>
      <c r="AB86" s="13">
        <f>X86+Z86</f>
        <v>0</v>
      </c>
      <c r="AC86" s="29"/>
      <c r="AD86" s="16">
        <v>0</v>
      </c>
      <c r="AE86" s="17">
        <v>0</v>
      </c>
      <c r="AF86" s="13">
        <f>AB86+AD86</f>
        <v>0</v>
      </c>
      <c r="AG86" s="29"/>
    </row>
    <row r="87" spans="1:33" ht="21" customHeight="1" x14ac:dyDescent="0.25">
      <c r="A87" s="14" t="s">
        <v>152</v>
      </c>
      <c r="B87" s="15" t="s">
        <v>143</v>
      </c>
      <c r="C87" s="17">
        <v>0</v>
      </c>
      <c r="D87" s="17">
        <v>0</v>
      </c>
      <c r="E87" s="17">
        <f t="shared" si="41"/>
        <v>0</v>
      </c>
      <c r="F87" s="18"/>
      <c r="G87" s="17">
        <v>15000</v>
      </c>
      <c r="H87" s="17">
        <v>0</v>
      </c>
      <c r="I87" s="13">
        <f t="shared" si="46"/>
        <v>15000</v>
      </c>
      <c r="J87" s="16">
        <v>0</v>
      </c>
      <c r="K87" s="17">
        <v>0</v>
      </c>
      <c r="L87" s="13">
        <f>I87+J87</f>
        <v>15000</v>
      </c>
      <c r="M87" s="18"/>
      <c r="N87" s="16">
        <v>0</v>
      </c>
      <c r="O87" s="17">
        <v>0</v>
      </c>
      <c r="P87" s="13">
        <f t="shared" si="55"/>
        <v>15000</v>
      </c>
      <c r="Q87" s="18"/>
      <c r="R87" s="16">
        <v>0</v>
      </c>
      <c r="S87" s="17">
        <v>0</v>
      </c>
      <c r="T87" s="13">
        <f>P87+R87</f>
        <v>15000</v>
      </c>
      <c r="U87" s="29"/>
      <c r="V87" s="16">
        <v>0</v>
      </c>
      <c r="W87" s="17">
        <v>0</v>
      </c>
      <c r="X87" s="13">
        <f>T87+V87</f>
        <v>15000</v>
      </c>
      <c r="Y87" s="29"/>
      <c r="Z87" s="27">
        <v>400000</v>
      </c>
      <c r="AA87" s="17">
        <v>0</v>
      </c>
      <c r="AB87" s="13">
        <f>X87+Z87</f>
        <v>415000</v>
      </c>
      <c r="AC87" s="29"/>
      <c r="AD87" s="16">
        <v>0</v>
      </c>
      <c r="AE87" s="17">
        <v>0</v>
      </c>
      <c r="AF87" s="13">
        <f>AB87+AD87</f>
        <v>415000</v>
      </c>
      <c r="AG87" s="29"/>
    </row>
    <row r="88" spans="1:33" x14ac:dyDescent="0.25">
      <c r="A88" s="14" t="s">
        <v>96</v>
      </c>
      <c r="B88" s="15" t="s">
        <v>97</v>
      </c>
      <c r="C88" s="17"/>
      <c r="D88" s="17">
        <v>0</v>
      </c>
      <c r="E88" s="17">
        <f t="shared" si="41"/>
        <v>0</v>
      </c>
      <c r="F88" s="18"/>
      <c r="G88" s="17">
        <v>340000</v>
      </c>
      <c r="H88" s="17">
        <v>0</v>
      </c>
      <c r="I88" s="13">
        <f t="shared" si="46"/>
        <v>340000</v>
      </c>
      <c r="J88" s="16">
        <v>82000</v>
      </c>
      <c r="K88" s="17">
        <v>0</v>
      </c>
      <c r="L88" s="13">
        <f>I88+J88</f>
        <v>422000</v>
      </c>
      <c r="M88" s="18"/>
      <c r="N88" s="16">
        <v>0</v>
      </c>
      <c r="O88" s="17">
        <v>0</v>
      </c>
      <c r="P88" s="13">
        <f t="shared" si="55"/>
        <v>422000</v>
      </c>
      <c r="Q88" s="18"/>
      <c r="R88" s="16">
        <v>0</v>
      </c>
      <c r="S88" s="17">
        <v>0</v>
      </c>
      <c r="T88" s="13">
        <f>P88+R88</f>
        <v>422000</v>
      </c>
      <c r="U88" s="29"/>
      <c r="V88" s="16">
        <v>0</v>
      </c>
      <c r="W88" s="17">
        <v>0</v>
      </c>
      <c r="X88" s="13">
        <f>T88+V88</f>
        <v>422000</v>
      </c>
      <c r="Y88" s="29"/>
      <c r="Z88" s="16">
        <v>80000</v>
      </c>
      <c r="AA88" s="17">
        <v>0</v>
      </c>
      <c r="AB88" s="13">
        <f>X88+Z88</f>
        <v>502000</v>
      </c>
      <c r="AC88" s="29"/>
      <c r="AD88" s="16">
        <v>2000</v>
      </c>
      <c r="AE88" s="17">
        <v>0</v>
      </c>
      <c r="AF88" s="13">
        <f>AB88+AD88</f>
        <v>504000</v>
      </c>
      <c r="AG88" s="29"/>
    </row>
    <row r="89" spans="1:33" x14ac:dyDescent="0.25">
      <c r="E89" s="17">
        <f t="shared" si="41"/>
        <v>0</v>
      </c>
    </row>
    <row r="90" spans="1:33" x14ac:dyDescent="0.25">
      <c r="A90" s="14" t="s">
        <v>98</v>
      </c>
      <c r="B90" s="15" t="s">
        <v>99</v>
      </c>
      <c r="C90" s="17">
        <f>+C91+C92+C93+C94</f>
        <v>10084</v>
      </c>
      <c r="D90" s="17">
        <v>0</v>
      </c>
      <c r="E90" s="17">
        <f t="shared" si="41"/>
        <v>10084</v>
      </c>
      <c r="F90" s="18"/>
      <c r="G90" s="17">
        <f>+G91+G92+G93+G94</f>
        <v>535658</v>
      </c>
      <c r="H90" s="17">
        <v>0</v>
      </c>
      <c r="I90" s="13">
        <f t="shared" si="46"/>
        <v>545742</v>
      </c>
      <c r="J90" s="16">
        <f>+J91+J92+J93</f>
        <v>14500</v>
      </c>
      <c r="K90" s="17">
        <v>0</v>
      </c>
      <c r="L90" s="13">
        <f>I90+J90</f>
        <v>560242</v>
      </c>
      <c r="M90" s="18"/>
      <c r="N90" s="16">
        <f>N94+N93</f>
        <v>38000</v>
      </c>
      <c r="O90" s="17">
        <v>0</v>
      </c>
      <c r="P90" s="13">
        <f>L90+N90</f>
        <v>598242</v>
      </c>
      <c r="Q90" s="18"/>
      <c r="R90" s="16">
        <f>R94+R93</f>
        <v>189050</v>
      </c>
      <c r="S90" s="17">
        <v>0</v>
      </c>
      <c r="T90" s="13">
        <f>P90+R90</f>
        <v>787292</v>
      </c>
      <c r="U90" s="29"/>
      <c r="V90" s="16">
        <f>V94+V93</f>
        <v>45000</v>
      </c>
      <c r="W90" s="17">
        <v>0</v>
      </c>
      <c r="X90" s="13">
        <f>T90+V90</f>
        <v>832292</v>
      </c>
      <c r="Y90" s="29"/>
      <c r="Z90" s="16">
        <f>Z94+Z93</f>
        <v>0</v>
      </c>
      <c r="AA90" s="17">
        <v>0</v>
      </c>
      <c r="AB90" s="13">
        <f>X90+Z90</f>
        <v>832292</v>
      </c>
      <c r="AC90" s="29"/>
      <c r="AD90" s="16">
        <f>AD94+AD93</f>
        <v>0</v>
      </c>
      <c r="AE90" s="17">
        <v>0</v>
      </c>
      <c r="AF90" s="13">
        <f>AB90+AD90</f>
        <v>832292</v>
      </c>
      <c r="AG90" s="29"/>
    </row>
    <row r="91" spans="1:33" x14ac:dyDescent="0.25">
      <c r="A91" s="14">
        <v>515005</v>
      </c>
      <c r="B91" s="15" t="s">
        <v>166</v>
      </c>
      <c r="C91" s="17">
        <v>0</v>
      </c>
      <c r="D91" s="17">
        <v>0</v>
      </c>
      <c r="E91" s="17">
        <f t="shared" si="41"/>
        <v>0</v>
      </c>
      <c r="F91" s="18"/>
      <c r="G91" s="17">
        <v>0</v>
      </c>
      <c r="H91" s="17">
        <v>0</v>
      </c>
      <c r="I91" s="13">
        <f t="shared" si="46"/>
        <v>0</v>
      </c>
      <c r="J91" s="16">
        <v>0</v>
      </c>
      <c r="K91" s="17">
        <v>0</v>
      </c>
      <c r="L91" s="13">
        <f>I91+J91</f>
        <v>0</v>
      </c>
      <c r="M91" s="18"/>
      <c r="N91" s="16">
        <v>0</v>
      </c>
      <c r="O91" s="17">
        <v>0</v>
      </c>
      <c r="P91" s="13">
        <f>L91+N91</f>
        <v>0</v>
      </c>
      <c r="Q91" s="18"/>
      <c r="R91" s="16">
        <v>0</v>
      </c>
      <c r="S91" s="17">
        <v>0</v>
      </c>
      <c r="T91" s="13">
        <f>P91+R91</f>
        <v>0</v>
      </c>
      <c r="U91" s="29"/>
      <c r="V91" s="16">
        <v>0</v>
      </c>
      <c r="W91" s="17">
        <v>0</v>
      </c>
      <c r="X91" s="13">
        <f>T91+V91</f>
        <v>0</v>
      </c>
      <c r="Y91" s="29"/>
      <c r="Z91" s="16">
        <v>0</v>
      </c>
      <c r="AA91" s="17">
        <v>0</v>
      </c>
      <c r="AB91" s="13">
        <f>X91+Z91</f>
        <v>0</v>
      </c>
      <c r="AC91" s="29"/>
      <c r="AD91" s="16">
        <v>0</v>
      </c>
      <c r="AE91" s="17">
        <v>0</v>
      </c>
      <c r="AF91" s="13">
        <f>AB91+AD91</f>
        <v>0</v>
      </c>
      <c r="AG91" s="29"/>
    </row>
    <row r="92" spans="1:33" x14ac:dyDescent="0.25">
      <c r="A92" s="14">
        <v>515010</v>
      </c>
      <c r="B92" s="15" t="s">
        <v>167</v>
      </c>
      <c r="C92" s="17">
        <v>0</v>
      </c>
      <c r="D92" s="17">
        <v>0</v>
      </c>
      <c r="E92" s="17">
        <f t="shared" si="41"/>
        <v>0</v>
      </c>
      <c r="F92" s="18"/>
      <c r="G92" s="17">
        <v>0</v>
      </c>
      <c r="H92" s="17">
        <v>0</v>
      </c>
      <c r="I92" s="13">
        <f t="shared" si="46"/>
        <v>0</v>
      </c>
      <c r="J92" s="16">
        <v>0</v>
      </c>
      <c r="K92" s="17">
        <v>0</v>
      </c>
      <c r="L92" s="13">
        <f>I92+J92</f>
        <v>0</v>
      </c>
      <c r="M92" s="18"/>
      <c r="N92" s="16">
        <v>0</v>
      </c>
      <c r="O92" s="17">
        <v>0</v>
      </c>
      <c r="P92" s="13">
        <f>L92+N92</f>
        <v>0</v>
      </c>
      <c r="Q92" s="18"/>
      <c r="R92" s="16">
        <v>0</v>
      </c>
      <c r="S92" s="17">
        <v>0</v>
      </c>
      <c r="T92" s="13">
        <f>P92+R92</f>
        <v>0</v>
      </c>
      <c r="U92" s="29"/>
      <c r="V92" s="16">
        <v>0</v>
      </c>
      <c r="W92" s="17">
        <v>0</v>
      </c>
      <c r="X92" s="13">
        <f>T92+V92</f>
        <v>0</v>
      </c>
      <c r="Y92" s="29"/>
      <c r="Z92" s="16">
        <v>0</v>
      </c>
      <c r="AA92" s="17">
        <v>0</v>
      </c>
      <c r="AB92" s="13">
        <f>X92+Z92</f>
        <v>0</v>
      </c>
      <c r="AC92" s="29"/>
      <c r="AD92" s="16">
        <v>0</v>
      </c>
      <c r="AE92" s="17">
        <v>0</v>
      </c>
      <c r="AF92" s="13">
        <f>AB92+AD92</f>
        <v>0</v>
      </c>
      <c r="AG92" s="29"/>
    </row>
    <row r="93" spans="1:33" x14ac:dyDescent="0.25">
      <c r="A93" s="14">
        <v>515015</v>
      </c>
      <c r="B93" s="15" t="s">
        <v>168</v>
      </c>
      <c r="C93" s="17">
        <v>10084</v>
      </c>
      <c r="D93" s="17">
        <v>0</v>
      </c>
      <c r="E93" s="17">
        <f t="shared" si="41"/>
        <v>10084</v>
      </c>
      <c r="F93" s="18"/>
      <c r="G93" s="213">
        <v>535658</v>
      </c>
      <c r="H93" s="17">
        <v>0</v>
      </c>
      <c r="I93" s="13">
        <f t="shared" si="46"/>
        <v>545742</v>
      </c>
      <c r="J93" s="16">
        <v>14500</v>
      </c>
      <c r="K93" s="17">
        <v>0</v>
      </c>
      <c r="L93" s="13">
        <f>I93+J93</f>
        <v>560242</v>
      </c>
      <c r="M93" s="18"/>
      <c r="N93" s="16">
        <v>38000</v>
      </c>
      <c r="O93" s="17">
        <v>0</v>
      </c>
      <c r="P93" s="13">
        <f>L93+N93</f>
        <v>598242</v>
      </c>
      <c r="Q93" s="18"/>
      <c r="R93" s="16">
        <v>189050</v>
      </c>
      <c r="S93" s="17">
        <v>0</v>
      </c>
      <c r="T93" s="13">
        <f>P93+R93</f>
        <v>787292</v>
      </c>
      <c r="U93" s="29"/>
      <c r="V93" s="16">
        <v>45000</v>
      </c>
      <c r="W93" s="17">
        <v>0</v>
      </c>
      <c r="X93" s="13">
        <f>T93+V93</f>
        <v>832292</v>
      </c>
      <c r="Y93" s="29"/>
      <c r="Z93" s="16">
        <v>0</v>
      </c>
      <c r="AA93" s="17">
        <v>0</v>
      </c>
      <c r="AB93" s="13">
        <f>X93+Z93</f>
        <v>832292</v>
      </c>
      <c r="AC93" s="29"/>
      <c r="AD93" s="16">
        <v>0</v>
      </c>
      <c r="AE93" s="17">
        <v>0</v>
      </c>
      <c r="AF93" s="13">
        <f>AB93+AD93</f>
        <v>832292</v>
      </c>
      <c r="AG93" s="29"/>
    </row>
    <row r="94" spans="1:33" x14ac:dyDescent="0.25">
      <c r="A94" s="14" t="s">
        <v>100</v>
      </c>
      <c r="B94" s="15" t="s">
        <v>73</v>
      </c>
      <c r="C94" s="17">
        <v>0</v>
      </c>
      <c r="D94" s="17">
        <v>0</v>
      </c>
      <c r="E94" s="17">
        <f t="shared" si="41"/>
        <v>0</v>
      </c>
      <c r="F94" s="18"/>
      <c r="G94" s="17">
        <v>0</v>
      </c>
      <c r="H94" s="17">
        <v>0</v>
      </c>
      <c r="I94" s="13">
        <f t="shared" si="46"/>
        <v>0</v>
      </c>
      <c r="J94" s="16">
        <v>0</v>
      </c>
      <c r="K94" s="17">
        <v>0</v>
      </c>
      <c r="L94" s="13">
        <f>I94+J94</f>
        <v>0</v>
      </c>
      <c r="M94" s="18"/>
      <c r="N94" s="16">
        <v>0</v>
      </c>
      <c r="O94" s="17">
        <v>0</v>
      </c>
      <c r="P94" s="13">
        <f t="shared" ref="P94:P102" si="56">L94+N94</f>
        <v>0</v>
      </c>
      <c r="Q94" s="18"/>
      <c r="R94" s="16">
        <v>0</v>
      </c>
      <c r="S94" s="17">
        <v>0</v>
      </c>
      <c r="T94" s="13">
        <f t="shared" ref="T94:T102" si="57">P94+R94</f>
        <v>0</v>
      </c>
      <c r="U94" s="29"/>
      <c r="V94" s="16">
        <v>0</v>
      </c>
      <c r="W94" s="17">
        <v>0</v>
      </c>
      <c r="X94" s="13">
        <f t="shared" ref="X94:X102" si="58">T94+V94</f>
        <v>0</v>
      </c>
      <c r="Y94" s="29"/>
      <c r="Z94" s="16">
        <v>0</v>
      </c>
      <c r="AA94" s="17">
        <v>0</v>
      </c>
      <c r="AB94" s="13">
        <f t="shared" ref="AB94:AB102" si="59">X94+Z94</f>
        <v>0</v>
      </c>
      <c r="AC94" s="29"/>
      <c r="AD94" s="16">
        <v>0</v>
      </c>
      <c r="AE94" s="17">
        <v>0</v>
      </c>
      <c r="AF94" s="13">
        <f t="shared" ref="AF94:AF102" si="60">AB94+AD94</f>
        <v>0</v>
      </c>
      <c r="AG94" s="29"/>
    </row>
    <row r="95" spans="1:33" x14ac:dyDescent="0.25">
      <c r="A95" s="14"/>
      <c r="B95" s="15"/>
      <c r="C95" s="17"/>
      <c r="D95" s="17"/>
      <c r="E95" s="17">
        <f t="shared" si="41"/>
        <v>0</v>
      </c>
      <c r="F95" s="29"/>
      <c r="G95" s="17"/>
      <c r="H95" s="17"/>
      <c r="I95" s="13">
        <f t="shared" si="46"/>
        <v>0</v>
      </c>
      <c r="J95" s="16"/>
      <c r="K95" s="17"/>
      <c r="L95" s="13">
        <f t="shared" ref="L95:L101" si="61">I95+J95</f>
        <v>0</v>
      </c>
      <c r="M95" s="29"/>
      <c r="N95" s="16"/>
      <c r="O95" s="17"/>
      <c r="P95" s="13">
        <f t="shared" si="56"/>
        <v>0</v>
      </c>
      <c r="Q95" s="29"/>
      <c r="R95" s="16"/>
      <c r="S95" s="17"/>
      <c r="T95" s="13">
        <f t="shared" si="57"/>
        <v>0</v>
      </c>
      <c r="U95" s="29"/>
      <c r="V95" s="16"/>
      <c r="W95" s="17"/>
      <c r="X95" s="13">
        <f t="shared" si="58"/>
        <v>0</v>
      </c>
      <c r="Y95" s="29"/>
      <c r="Z95" s="16"/>
      <c r="AA95" s="17"/>
      <c r="AB95" s="13">
        <f t="shared" si="59"/>
        <v>0</v>
      </c>
      <c r="AC95" s="29"/>
      <c r="AD95" s="16"/>
      <c r="AE95" s="17"/>
      <c r="AF95" s="13">
        <f t="shared" si="60"/>
        <v>0</v>
      </c>
      <c r="AG95" s="29"/>
    </row>
    <row r="96" spans="1:33" x14ac:dyDescent="0.25">
      <c r="A96" s="14">
        <v>5160</v>
      </c>
      <c r="B96" s="15" t="s">
        <v>337</v>
      </c>
      <c r="C96" s="17">
        <f>+C97+C98+C99+C100+C101</f>
        <v>2941584</v>
      </c>
      <c r="D96" s="17"/>
      <c r="E96" s="17">
        <f t="shared" si="41"/>
        <v>2941584</v>
      </c>
      <c r="F96" s="29"/>
      <c r="G96" s="17">
        <f>+G97+G98+G99+G100+G101</f>
        <v>2941584</v>
      </c>
      <c r="H96" s="17"/>
      <c r="I96" s="13">
        <f t="shared" si="46"/>
        <v>5883168</v>
      </c>
      <c r="J96" s="17">
        <f>+J97+J98+J99+J100+J101</f>
        <v>2941584</v>
      </c>
      <c r="K96" s="17"/>
      <c r="L96" s="13">
        <f t="shared" si="61"/>
        <v>8824752</v>
      </c>
      <c r="M96" s="29"/>
      <c r="N96" s="17">
        <f>+N97+N98+N99+N100+N101</f>
        <v>2941584</v>
      </c>
      <c r="O96" s="17"/>
      <c r="P96" s="13">
        <f t="shared" si="56"/>
        <v>11766336</v>
      </c>
      <c r="Q96" s="29"/>
      <c r="R96" s="17">
        <f>+Hoja1!E14</f>
        <v>1780051.6333333333</v>
      </c>
      <c r="S96" s="17"/>
      <c r="T96" s="13">
        <f t="shared" si="57"/>
        <v>13546387.633333333</v>
      </c>
      <c r="U96" s="29"/>
      <c r="V96" s="17">
        <v>1780051</v>
      </c>
      <c r="W96" s="17"/>
      <c r="X96" s="13">
        <f t="shared" si="58"/>
        <v>15326438.633333333</v>
      </c>
      <c r="Y96" s="29"/>
      <c r="Z96" s="17">
        <v>1780051</v>
      </c>
      <c r="AA96" s="17"/>
      <c r="AB96" s="13">
        <f t="shared" si="59"/>
        <v>17106489.633333333</v>
      </c>
      <c r="AC96" s="29"/>
      <c r="AD96" s="17">
        <v>1780051</v>
      </c>
      <c r="AE96" s="17"/>
      <c r="AF96" s="13">
        <f t="shared" si="60"/>
        <v>18886540.633333333</v>
      </c>
      <c r="AG96" s="29"/>
    </row>
    <row r="97" spans="1:33" x14ac:dyDescent="0.25">
      <c r="A97" s="14">
        <v>516005</v>
      </c>
      <c r="B97" s="15" t="s">
        <v>338</v>
      </c>
      <c r="C97" s="150">
        <v>1588943</v>
      </c>
      <c r="D97" s="151"/>
      <c r="E97" s="151">
        <f t="shared" si="41"/>
        <v>1588943</v>
      </c>
      <c r="F97" s="152"/>
      <c r="G97" s="150">
        <v>1588943</v>
      </c>
      <c r="H97" s="151"/>
      <c r="I97" s="153">
        <f t="shared" si="46"/>
        <v>3177886</v>
      </c>
      <c r="J97" s="150">
        <v>1588943</v>
      </c>
      <c r="K97" s="151"/>
      <c r="L97" s="153">
        <f t="shared" si="61"/>
        <v>4766829</v>
      </c>
      <c r="M97" s="152"/>
      <c r="N97" s="150">
        <v>1588943</v>
      </c>
      <c r="O97" s="151"/>
      <c r="P97" s="153">
        <f t="shared" si="56"/>
        <v>6355772</v>
      </c>
      <c r="Q97" s="152"/>
      <c r="R97" s="150">
        <v>1588943</v>
      </c>
      <c r="S97" s="151"/>
      <c r="T97" s="153">
        <f t="shared" si="57"/>
        <v>7944715</v>
      </c>
      <c r="U97" s="152"/>
      <c r="V97" s="150">
        <v>1588943</v>
      </c>
      <c r="W97" s="151"/>
      <c r="X97" s="153">
        <f t="shared" si="58"/>
        <v>9533658</v>
      </c>
      <c r="Y97" s="152"/>
      <c r="Z97" s="150">
        <v>1588943</v>
      </c>
      <c r="AA97" s="151"/>
      <c r="AB97" s="153">
        <f t="shared" si="59"/>
        <v>11122601</v>
      </c>
      <c r="AC97" s="152"/>
      <c r="AD97" s="150">
        <v>1588943</v>
      </c>
      <c r="AE97" s="151"/>
      <c r="AF97" s="153">
        <f t="shared" si="60"/>
        <v>12711544</v>
      </c>
      <c r="AG97" s="152"/>
    </row>
    <row r="98" spans="1:33" x14ac:dyDescent="0.25">
      <c r="A98" s="14">
        <v>516010</v>
      </c>
      <c r="B98" s="15" t="s">
        <v>339</v>
      </c>
      <c r="C98" s="150">
        <v>749658</v>
      </c>
      <c r="D98" s="151"/>
      <c r="E98" s="151">
        <f t="shared" si="41"/>
        <v>749658</v>
      </c>
      <c r="F98" s="152"/>
      <c r="G98" s="150">
        <v>749658</v>
      </c>
      <c r="H98" s="151"/>
      <c r="I98" s="153">
        <f t="shared" si="46"/>
        <v>1499316</v>
      </c>
      <c r="J98" s="150">
        <v>749658</v>
      </c>
      <c r="K98" s="151"/>
      <c r="L98" s="153">
        <f t="shared" si="61"/>
        <v>2248974</v>
      </c>
      <c r="M98" s="152"/>
      <c r="N98" s="150">
        <v>749658</v>
      </c>
      <c r="O98" s="151"/>
      <c r="P98" s="153">
        <f t="shared" si="56"/>
        <v>2998632</v>
      </c>
      <c r="Q98" s="152"/>
      <c r="R98" s="150">
        <v>749658</v>
      </c>
      <c r="S98" s="151"/>
      <c r="T98" s="153">
        <f t="shared" si="57"/>
        <v>3748290</v>
      </c>
      <c r="U98" s="152"/>
      <c r="V98" s="150">
        <v>749658</v>
      </c>
      <c r="W98" s="151"/>
      <c r="X98" s="153">
        <f t="shared" si="58"/>
        <v>4497948</v>
      </c>
      <c r="Y98" s="152"/>
      <c r="Z98" s="150">
        <v>749658</v>
      </c>
      <c r="AA98" s="151"/>
      <c r="AB98" s="153">
        <f t="shared" si="59"/>
        <v>5247606</v>
      </c>
      <c r="AC98" s="152"/>
      <c r="AD98" s="150">
        <v>749658</v>
      </c>
      <c r="AE98" s="151"/>
      <c r="AF98" s="153">
        <f t="shared" si="60"/>
        <v>5997264</v>
      </c>
      <c r="AG98" s="152"/>
    </row>
    <row r="99" spans="1:33" x14ac:dyDescent="0.25">
      <c r="A99" s="14">
        <v>516015</v>
      </c>
      <c r="B99" s="15" t="s">
        <v>340</v>
      </c>
      <c r="C99" s="150">
        <v>3733</v>
      </c>
      <c r="D99" s="151"/>
      <c r="E99" s="151">
        <f t="shared" si="41"/>
        <v>3733</v>
      </c>
      <c r="F99" s="152"/>
      <c r="G99" s="150">
        <v>3733</v>
      </c>
      <c r="H99" s="151"/>
      <c r="I99" s="153">
        <f t="shared" si="46"/>
        <v>7466</v>
      </c>
      <c r="J99" s="150">
        <v>3733</v>
      </c>
      <c r="K99" s="151"/>
      <c r="L99" s="153">
        <f t="shared" si="61"/>
        <v>11199</v>
      </c>
      <c r="M99" s="152"/>
      <c r="N99" s="150">
        <v>3733</v>
      </c>
      <c r="O99" s="151"/>
      <c r="P99" s="153">
        <f t="shared" si="56"/>
        <v>14932</v>
      </c>
      <c r="Q99" s="152"/>
      <c r="R99" s="150">
        <v>3733</v>
      </c>
      <c r="S99" s="151"/>
      <c r="T99" s="153">
        <f t="shared" si="57"/>
        <v>18665</v>
      </c>
      <c r="U99" s="152"/>
      <c r="V99" s="150">
        <v>3733</v>
      </c>
      <c r="W99" s="151"/>
      <c r="X99" s="153">
        <f t="shared" si="58"/>
        <v>22398</v>
      </c>
      <c r="Y99" s="152"/>
      <c r="Z99" s="150">
        <v>3733</v>
      </c>
      <c r="AA99" s="151"/>
      <c r="AB99" s="153">
        <f t="shared" si="59"/>
        <v>26131</v>
      </c>
      <c r="AC99" s="152"/>
      <c r="AD99" s="150">
        <v>3733</v>
      </c>
      <c r="AE99" s="151"/>
      <c r="AF99" s="153">
        <f t="shared" si="60"/>
        <v>29864</v>
      </c>
      <c r="AG99" s="152"/>
    </row>
    <row r="100" spans="1:33" x14ac:dyDescent="0.25">
      <c r="A100" s="14">
        <v>516020</v>
      </c>
      <c r="B100" s="15" t="s">
        <v>341</v>
      </c>
      <c r="C100" s="150">
        <v>22650</v>
      </c>
      <c r="D100" s="151"/>
      <c r="E100" s="151">
        <f t="shared" si="41"/>
        <v>22650</v>
      </c>
      <c r="F100" s="152"/>
      <c r="G100" s="150">
        <v>22650</v>
      </c>
      <c r="H100" s="151"/>
      <c r="I100" s="153">
        <f t="shared" si="46"/>
        <v>45300</v>
      </c>
      <c r="J100" s="150">
        <v>22650</v>
      </c>
      <c r="K100" s="151"/>
      <c r="L100" s="153">
        <f t="shared" si="61"/>
        <v>67950</v>
      </c>
      <c r="M100" s="152"/>
      <c r="N100" s="150">
        <v>22650</v>
      </c>
      <c r="O100" s="151"/>
      <c r="P100" s="153">
        <f t="shared" si="56"/>
        <v>90600</v>
      </c>
      <c r="Q100" s="152"/>
      <c r="R100" s="150">
        <v>22650</v>
      </c>
      <c r="S100" s="151"/>
      <c r="T100" s="153">
        <f t="shared" si="57"/>
        <v>113250</v>
      </c>
      <c r="U100" s="152"/>
      <c r="V100" s="150">
        <v>22650</v>
      </c>
      <c r="W100" s="151"/>
      <c r="X100" s="153">
        <f t="shared" si="58"/>
        <v>135900</v>
      </c>
      <c r="Y100" s="152"/>
      <c r="Z100" s="150">
        <v>22650</v>
      </c>
      <c r="AA100" s="151"/>
      <c r="AB100" s="153">
        <f t="shared" si="59"/>
        <v>158550</v>
      </c>
      <c r="AC100" s="152"/>
      <c r="AD100" s="150">
        <v>22650</v>
      </c>
      <c r="AE100" s="151"/>
      <c r="AF100" s="153">
        <f t="shared" si="60"/>
        <v>181200</v>
      </c>
      <c r="AG100" s="152"/>
    </row>
    <row r="101" spans="1:33" x14ac:dyDescent="0.25">
      <c r="A101" s="14">
        <v>516035</v>
      </c>
      <c r="B101" s="15" t="s">
        <v>342</v>
      </c>
      <c r="C101" s="150">
        <v>576600</v>
      </c>
      <c r="D101" s="151"/>
      <c r="E101" s="151">
        <f t="shared" si="41"/>
        <v>576600</v>
      </c>
      <c r="F101" s="152"/>
      <c r="G101" s="150">
        <v>576600</v>
      </c>
      <c r="H101" s="151"/>
      <c r="I101" s="153">
        <f t="shared" si="46"/>
        <v>1153200</v>
      </c>
      <c r="J101" s="150">
        <v>576600</v>
      </c>
      <c r="K101" s="151"/>
      <c r="L101" s="153">
        <f t="shared" si="61"/>
        <v>1729800</v>
      </c>
      <c r="M101" s="152"/>
      <c r="N101" s="150">
        <v>576600</v>
      </c>
      <c r="O101" s="151"/>
      <c r="P101" s="153">
        <f t="shared" si="56"/>
        <v>2306400</v>
      </c>
      <c r="Q101" s="152"/>
      <c r="R101" s="150">
        <v>576600</v>
      </c>
      <c r="S101" s="151"/>
      <c r="T101" s="153">
        <f t="shared" si="57"/>
        <v>2883000</v>
      </c>
      <c r="U101" s="152"/>
      <c r="V101" s="150">
        <v>576600</v>
      </c>
      <c r="W101" s="151"/>
      <c r="X101" s="153">
        <f t="shared" si="58"/>
        <v>3459600</v>
      </c>
      <c r="Y101" s="152"/>
      <c r="Z101" s="150">
        <v>576600</v>
      </c>
      <c r="AA101" s="151"/>
      <c r="AB101" s="153">
        <f t="shared" si="59"/>
        <v>4036200</v>
      </c>
      <c r="AC101" s="152"/>
      <c r="AD101" s="150">
        <v>576600</v>
      </c>
      <c r="AE101" s="151"/>
      <c r="AF101" s="153">
        <f t="shared" si="60"/>
        <v>4612800</v>
      </c>
      <c r="AG101" s="152"/>
    </row>
    <row r="102" spans="1:33" x14ac:dyDescent="0.25">
      <c r="A102" s="14"/>
      <c r="B102" s="15"/>
      <c r="C102" s="151"/>
      <c r="D102" s="151"/>
      <c r="E102" s="151"/>
      <c r="F102" s="152"/>
      <c r="G102" s="151"/>
      <c r="H102" s="151"/>
      <c r="I102" s="153"/>
      <c r="J102" s="154"/>
      <c r="K102" s="151"/>
      <c r="L102" s="153"/>
      <c r="M102" s="152"/>
      <c r="N102" s="154"/>
      <c r="O102" s="151"/>
      <c r="P102" s="153">
        <f t="shared" si="56"/>
        <v>0</v>
      </c>
      <c r="Q102" s="152"/>
      <c r="R102" s="154"/>
      <c r="S102" s="151"/>
      <c r="T102" s="153">
        <f t="shared" si="57"/>
        <v>0</v>
      </c>
      <c r="U102" s="152"/>
      <c r="V102" s="154"/>
      <c r="W102" s="151"/>
      <c r="X102" s="153">
        <f t="shared" si="58"/>
        <v>0</v>
      </c>
      <c r="Y102" s="152"/>
      <c r="Z102" s="154"/>
      <c r="AA102" s="151"/>
      <c r="AB102" s="153">
        <f t="shared" si="59"/>
        <v>0</v>
      </c>
      <c r="AC102" s="152"/>
      <c r="AD102" s="154"/>
      <c r="AE102" s="151"/>
      <c r="AF102" s="153">
        <f t="shared" si="60"/>
        <v>0</v>
      </c>
      <c r="AG102" s="152"/>
    </row>
    <row r="103" spans="1:33" x14ac:dyDescent="0.25">
      <c r="A103" s="14"/>
      <c r="B103" s="15"/>
      <c r="C103" s="151"/>
      <c r="D103" s="151"/>
      <c r="E103" s="151"/>
      <c r="F103" s="152"/>
      <c r="G103" s="151"/>
      <c r="H103" s="151"/>
      <c r="I103" s="153"/>
      <c r="J103" s="154"/>
      <c r="K103" s="151"/>
      <c r="L103" s="153"/>
      <c r="M103" s="152"/>
      <c r="N103" s="154"/>
      <c r="O103" s="151"/>
      <c r="P103" s="153"/>
      <c r="Q103" s="152"/>
      <c r="R103" s="154"/>
      <c r="S103" s="151"/>
      <c r="T103" s="153"/>
      <c r="U103" s="152"/>
      <c r="V103" s="154"/>
      <c r="W103" s="151"/>
      <c r="X103" s="153"/>
      <c r="Y103" s="152"/>
      <c r="Z103" s="154"/>
      <c r="AA103" s="151"/>
      <c r="AB103" s="153"/>
      <c r="AC103" s="152"/>
      <c r="AD103" s="154"/>
      <c r="AE103" s="151"/>
      <c r="AF103" s="153"/>
      <c r="AG103" s="152"/>
    </row>
    <row r="104" spans="1:33" x14ac:dyDescent="0.25">
      <c r="A104" s="14" t="s">
        <v>101</v>
      </c>
      <c r="B104" s="15" t="s">
        <v>102</v>
      </c>
      <c r="C104" s="17">
        <f>SUM(C105:C116)</f>
        <v>555953</v>
      </c>
      <c r="D104" s="17">
        <v>0</v>
      </c>
      <c r="E104" s="17">
        <f t="shared" si="41"/>
        <v>555953</v>
      </c>
      <c r="F104" s="18"/>
      <c r="G104" s="17">
        <f>G106+G107+G108+G109+G111+G112+G113+G114+G116+G110+G115</f>
        <v>218265</v>
      </c>
      <c r="H104" s="17">
        <v>0</v>
      </c>
      <c r="I104" s="13">
        <f t="shared" si="46"/>
        <v>774218</v>
      </c>
      <c r="J104" s="16">
        <f>SUM(J106:J116)</f>
        <v>623155</v>
      </c>
      <c r="K104" s="17">
        <v>0</v>
      </c>
      <c r="L104" s="13">
        <f t="shared" ref="L104:L109" si="62">I104+J104</f>
        <v>1397373</v>
      </c>
      <c r="M104" s="18"/>
      <c r="N104" s="16">
        <f>SUM(N105:N116)</f>
        <v>1500410</v>
      </c>
      <c r="O104" s="17">
        <v>0</v>
      </c>
      <c r="P104" s="13">
        <f t="shared" ref="P104:P116" si="63">L104+N104</f>
        <v>2897783</v>
      </c>
      <c r="Q104" s="18"/>
      <c r="R104" s="16">
        <f>SUM(R105:R116)</f>
        <v>1030154</v>
      </c>
      <c r="S104" s="17">
        <v>0</v>
      </c>
      <c r="T104" s="13">
        <f t="shared" ref="T104:T116" si="64">P104+R104</f>
        <v>3927937</v>
      </c>
      <c r="U104" s="29"/>
      <c r="V104" s="16">
        <f>SUM(V105:V116)</f>
        <v>291111</v>
      </c>
      <c r="W104" s="17">
        <v>0</v>
      </c>
      <c r="X104" s="13">
        <f t="shared" ref="X104:X116" si="65">T104+V104</f>
        <v>4219048</v>
      </c>
      <c r="Y104" s="29"/>
      <c r="Z104" s="16">
        <f>SUM(Z105:Z116)</f>
        <v>1400254</v>
      </c>
      <c r="AA104" s="17">
        <v>0</v>
      </c>
      <c r="AB104" s="13">
        <f t="shared" ref="AB104:AB116" si="66">X104+Z104</f>
        <v>5619302</v>
      </c>
      <c r="AC104" s="29"/>
      <c r="AD104" s="16">
        <f>SUM(AD105:AD116)</f>
        <v>461191</v>
      </c>
      <c r="AE104" s="17">
        <v>0</v>
      </c>
      <c r="AF104" s="13">
        <f t="shared" ref="AF104:AF116" si="67">AB104+AD104</f>
        <v>6080493</v>
      </c>
      <c r="AG104" s="29"/>
    </row>
    <row r="105" spans="1:33" x14ac:dyDescent="0.25">
      <c r="A105" s="14">
        <v>519505</v>
      </c>
      <c r="B105" s="15" t="s">
        <v>125</v>
      </c>
      <c r="C105" s="17">
        <v>0</v>
      </c>
      <c r="D105" s="17">
        <v>0</v>
      </c>
      <c r="E105" s="17">
        <f t="shared" si="41"/>
        <v>0</v>
      </c>
      <c r="F105" s="18"/>
      <c r="G105" s="17">
        <v>0</v>
      </c>
      <c r="H105" s="17">
        <v>0</v>
      </c>
      <c r="I105" s="13">
        <f t="shared" si="46"/>
        <v>0</v>
      </c>
      <c r="J105" s="16">
        <v>0</v>
      </c>
      <c r="K105" s="17">
        <v>0</v>
      </c>
      <c r="L105" s="13">
        <f t="shared" si="62"/>
        <v>0</v>
      </c>
      <c r="M105" s="18"/>
      <c r="N105" s="16">
        <v>0</v>
      </c>
      <c r="O105" s="17">
        <v>0</v>
      </c>
      <c r="P105" s="13">
        <f t="shared" si="63"/>
        <v>0</v>
      </c>
      <c r="Q105" s="18"/>
      <c r="R105" s="27">
        <v>0</v>
      </c>
      <c r="S105" s="17">
        <v>0</v>
      </c>
      <c r="T105" s="13">
        <f t="shared" si="64"/>
        <v>0</v>
      </c>
      <c r="U105" s="29"/>
      <c r="V105" s="16">
        <v>0</v>
      </c>
      <c r="W105" s="17">
        <v>0</v>
      </c>
      <c r="X105" s="13">
        <f t="shared" si="65"/>
        <v>0</v>
      </c>
      <c r="Y105" s="29"/>
      <c r="Z105" s="16">
        <v>0</v>
      </c>
      <c r="AA105" s="17">
        <v>0</v>
      </c>
      <c r="AB105" s="13">
        <f t="shared" si="66"/>
        <v>0</v>
      </c>
      <c r="AC105" s="29"/>
      <c r="AD105" s="16">
        <v>0</v>
      </c>
      <c r="AE105" s="17">
        <v>0</v>
      </c>
      <c r="AF105" s="13">
        <f t="shared" si="67"/>
        <v>0</v>
      </c>
      <c r="AG105" s="29"/>
    </row>
    <row r="106" spans="1:33" ht="21" customHeight="1" x14ac:dyDescent="0.25">
      <c r="A106" s="14" t="s">
        <v>103</v>
      </c>
      <c r="B106" s="15" t="s">
        <v>104</v>
      </c>
      <c r="C106" s="17"/>
      <c r="D106" s="17">
        <v>0</v>
      </c>
      <c r="E106" s="17">
        <f t="shared" si="41"/>
        <v>0</v>
      </c>
      <c r="F106" s="18"/>
      <c r="G106" s="17">
        <v>0</v>
      </c>
      <c r="H106" s="17">
        <v>0</v>
      </c>
      <c r="I106" s="13">
        <f t="shared" si="46"/>
        <v>0</v>
      </c>
      <c r="J106" s="16">
        <v>0</v>
      </c>
      <c r="K106" s="17">
        <v>0</v>
      </c>
      <c r="L106" s="13">
        <f t="shared" si="62"/>
        <v>0</v>
      </c>
      <c r="M106" s="18"/>
      <c r="N106" s="16">
        <v>0</v>
      </c>
      <c r="O106" s="17">
        <v>0</v>
      </c>
      <c r="P106" s="13">
        <f t="shared" si="63"/>
        <v>0</v>
      </c>
      <c r="Q106" s="18"/>
      <c r="R106" s="27">
        <v>0</v>
      </c>
      <c r="S106" s="17">
        <v>0</v>
      </c>
      <c r="T106" s="13">
        <f t="shared" si="64"/>
        <v>0</v>
      </c>
      <c r="U106" s="29"/>
      <c r="V106" s="16">
        <v>0</v>
      </c>
      <c r="W106" s="17">
        <v>0</v>
      </c>
      <c r="X106" s="13">
        <f t="shared" si="65"/>
        <v>0</v>
      </c>
      <c r="Y106" s="29"/>
      <c r="Z106" s="27">
        <v>0</v>
      </c>
      <c r="AA106" s="17">
        <v>0</v>
      </c>
      <c r="AB106" s="13">
        <f t="shared" si="66"/>
        <v>0</v>
      </c>
      <c r="AC106" s="29"/>
      <c r="AD106" s="16">
        <v>0</v>
      </c>
      <c r="AE106" s="17">
        <v>0</v>
      </c>
      <c r="AF106" s="13">
        <f t="shared" si="67"/>
        <v>0</v>
      </c>
      <c r="AG106" s="29"/>
    </row>
    <row r="107" spans="1:33" x14ac:dyDescent="0.25">
      <c r="A107" s="14" t="s">
        <v>105</v>
      </c>
      <c r="B107" s="15" t="s">
        <v>106</v>
      </c>
      <c r="C107" s="17">
        <v>10500</v>
      </c>
      <c r="D107" s="17">
        <v>0</v>
      </c>
      <c r="E107" s="17">
        <f t="shared" si="41"/>
        <v>10500</v>
      </c>
      <c r="F107" s="18"/>
      <c r="G107" s="17">
        <v>24000</v>
      </c>
      <c r="H107" s="17">
        <v>0</v>
      </c>
      <c r="I107" s="13">
        <f t="shared" si="46"/>
        <v>34500</v>
      </c>
      <c r="J107" s="16">
        <v>38000</v>
      </c>
      <c r="K107" s="17">
        <v>0</v>
      </c>
      <c r="L107" s="13">
        <f t="shared" si="62"/>
        <v>72500</v>
      </c>
      <c r="M107" s="18"/>
      <c r="N107" s="16">
        <v>143029</v>
      </c>
      <c r="O107" s="17">
        <v>0</v>
      </c>
      <c r="P107" s="13">
        <f t="shared" si="63"/>
        <v>215529</v>
      </c>
      <c r="Q107" s="18"/>
      <c r="R107" s="27">
        <v>48600</v>
      </c>
      <c r="S107" s="17">
        <v>0</v>
      </c>
      <c r="T107" s="13">
        <f t="shared" si="64"/>
        <v>264129</v>
      </c>
      <c r="U107" s="29"/>
      <c r="V107" s="16">
        <v>54000</v>
      </c>
      <c r="W107" s="17">
        <v>0</v>
      </c>
      <c r="X107" s="13">
        <f t="shared" si="65"/>
        <v>318129</v>
      </c>
      <c r="Y107" s="29"/>
      <c r="Z107" s="27">
        <v>107131</v>
      </c>
      <c r="AA107" s="17">
        <v>0</v>
      </c>
      <c r="AB107" s="13">
        <f t="shared" si="66"/>
        <v>425260</v>
      </c>
      <c r="AC107" s="29"/>
      <c r="AD107" s="16">
        <v>9000</v>
      </c>
      <c r="AE107" s="17">
        <v>0</v>
      </c>
      <c r="AF107" s="13">
        <f t="shared" si="67"/>
        <v>434260</v>
      </c>
      <c r="AG107" s="29"/>
    </row>
    <row r="108" spans="1:33" x14ac:dyDescent="0.25">
      <c r="A108" s="14" t="s">
        <v>107</v>
      </c>
      <c r="B108" s="15" t="s">
        <v>108</v>
      </c>
      <c r="C108" s="17">
        <v>235000</v>
      </c>
      <c r="D108" s="17">
        <v>0</v>
      </c>
      <c r="E108" s="17">
        <f t="shared" si="41"/>
        <v>235000</v>
      </c>
      <c r="F108" s="18"/>
      <c r="G108" s="17">
        <v>4850</v>
      </c>
      <c r="H108" s="17">
        <v>0</v>
      </c>
      <c r="I108" s="13">
        <f t="shared" si="46"/>
        <v>239850</v>
      </c>
      <c r="J108" s="16">
        <v>41996</v>
      </c>
      <c r="K108" s="17">
        <v>0</v>
      </c>
      <c r="L108" s="13">
        <f t="shared" si="62"/>
        <v>281846</v>
      </c>
      <c r="M108" s="18"/>
      <c r="N108" s="16">
        <v>4000</v>
      </c>
      <c r="O108" s="17">
        <v>0</v>
      </c>
      <c r="P108" s="13">
        <f t="shared" si="63"/>
        <v>285846</v>
      </c>
      <c r="Q108" s="18"/>
      <c r="R108" s="27">
        <v>0</v>
      </c>
      <c r="S108" s="17">
        <v>0</v>
      </c>
      <c r="T108" s="13">
        <f t="shared" si="64"/>
        <v>285846</v>
      </c>
      <c r="U108" s="29"/>
      <c r="V108" s="16">
        <v>3900</v>
      </c>
      <c r="W108" s="17">
        <v>0</v>
      </c>
      <c r="X108" s="13">
        <f t="shared" si="65"/>
        <v>289746</v>
      </c>
      <c r="Y108" s="29"/>
      <c r="Z108" s="27">
        <v>350000</v>
      </c>
      <c r="AA108" s="17">
        <v>0</v>
      </c>
      <c r="AB108" s="13">
        <f t="shared" si="66"/>
        <v>639746</v>
      </c>
      <c r="AC108" s="29"/>
      <c r="AD108" s="16">
        <v>22101</v>
      </c>
      <c r="AE108" s="17">
        <v>0</v>
      </c>
      <c r="AF108" s="13">
        <f t="shared" si="67"/>
        <v>661847</v>
      </c>
      <c r="AG108" s="29"/>
    </row>
    <row r="109" spans="1:33" x14ac:dyDescent="0.25">
      <c r="A109" s="14" t="s">
        <v>109</v>
      </c>
      <c r="B109" s="15" t="s">
        <v>110</v>
      </c>
      <c r="C109" s="17">
        <v>168084</v>
      </c>
      <c r="D109" s="17">
        <v>0</v>
      </c>
      <c r="E109" s="17">
        <f t="shared" si="41"/>
        <v>168084</v>
      </c>
      <c r="F109" s="18"/>
      <c r="G109" s="17">
        <v>189415</v>
      </c>
      <c r="H109" s="17">
        <v>0</v>
      </c>
      <c r="I109" s="13">
        <f t="shared" si="46"/>
        <v>357499</v>
      </c>
      <c r="J109" s="16">
        <v>267907</v>
      </c>
      <c r="K109" s="17">
        <v>0</v>
      </c>
      <c r="L109" s="13">
        <f t="shared" si="62"/>
        <v>625406</v>
      </c>
      <c r="M109" s="18"/>
      <c r="N109" s="16">
        <v>147740</v>
      </c>
      <c r="O109" s="17">
        <v>0</v>
      </c>
      <c r="P109" s="13">
        <f t="shared" si="63"/>
        <v>773146</v>
      </c>
      <c r="Q109" s="18"/>
      <c r="R109" s="27">
        <v>367771</v>
      </c>
      <c r="S109" s="17">
        <v>0</v>
      </c>
      <c r="T109" s="13">
        <f t="shared" si="64"/>
        <v>1140917</v>
      </c>
      <c r="U109" s="29"/>
      <c r="V109" s="16">
        <v>87297</v>
      </c>
      <c r="W109" s="17">
        <v>0</v>
      </c>
      <c r="X109" s="13">
        <f t="shared" si="65"/>
        <v>1228214</v>
      </c>
      <c r="Y109" s="29"/>
      <c r="Z109" s="27">
        <v>230099</v>
      </c>
      <c r="AA109" s="17">
        <v>0</v>
      </c>
      <c r="AB109" s="13">
        <f t="shared" si="66"/>
        <v>1458313</v>
      </c>
      <c r="AC109" s="29"/>
      <c r="AD109" s="16">
        <v>305350</v>
      </c>
      <c r="AE109" s="17">
        <v>0</v>
      </c>
      <c r="AF109" s="13">
        <f t="shared" si="67"/>
        <v>1763663</v>
      </c>
      <c r="AG109" s="29"/>
    </row>
    <row r="110" spans="1:33" x14ac:dyDescent="0.25">
      <c r="A110" s="14" t="s">
        <v>153</v>
      </c>
      <c r="B110" s="15" t="s">
        <v>144</v>
      </c>
      <c r="C110" s="17">
        <v>100000</v>
      </c>
      <c r="D110" s="17">
        <v>0</v>
      </c>
      <c r="E110" s="17">
        <f t="shared" si="41"/>
        <v>100000</v>
      </c>
      <c r="F110" s="18"/>
      <c r="G110" s="17"/>
      <c r="H110" s="17">
        <v>0</v>
      </c>
      <c r="I110" s="13">
        <f t="shared" si="46"/>
        <v>100000</v>
      </c>
      <c r="J110" s="16">
        <v>192000</v>
      </c>
      <c r="K110" s="17">
        <v>0</v>
      </c>
      <c r="L110" s="13">
        <f t="shared" ref="L110:L143" si="68">I110+J110</f>
        <v>292000</v>
      </c>
      <c r="M110" s="18"/>
      <c r="N110" s="16">
        <v>62066</v>
      </c>
      <c r="O110" s="17">
        <v>0</v>
      </c>
      <c r="P110" s="13">
        <f t="shared" si="63"/>
        <v>354066</v>
      </c>
      <c r="Q110" s="18"/>
      <c r="R110" s="27">
        <v>35000</v>
      </c>
      <c r="S110" s="17">
        <v>0</v>
      </c>
      <c r="T110" s="13">
        <f t="shared" si="64"/>
        <v>389066</v>
      </c>
      <c r="U110" s="29"/>
      <c r="V110" s="16">
        <v>100026</v>
      </c>
      <c r="W110" s="17">
        <v>0</v>
      </c>
      <c r="X110" s="13">
        <f t="shared" si="65"/>
        <v>489092</v>
      </c>
      <c r="Y110" s="29"/>
      <c r="Z110" s="27">
        <v>0</v>
      </c>
      <c r="AA110" s="17">
        <v>0</v>
      </c>
      <c r="AB110" s="13">
        <f t="shared" si="66"/>
        <v>489092</v>
      </c>
      <c r="AC110" s="29"/>
      <c r="AD110" s="16">
        <v>0</v>
      </c>
      <c r="AE110" s="17">
        <v>0</v>
      </c>
      <c r="AF110" s="13">
        <f t="shared" si="67"/>
        <v>489092</v>
      </c>
      <c r="AG110" s="29"/>
    </row>
    <row r="111" spans="1:33" x14ac:dyDescent="0.25">
      <c r="A111" s="14" t="s">
        <v>111</v>
      </c>
      <c r="B111" s="15" t="s">
        <v>112</v>
      </c>
      <c r="C111" s="17">
        <v>0</v>
      </c>
      <c r="D111" s="17">
        <v>0</v>
      </c>
      <c r="E111" s="17">
        <f t="shared" si="41"/>
        <v>0</v>
      </c>
      <c r="F111" s="18"/>
      <c r="G111" s="17"/>
      <c r="H111" s="17">
        <v>0</v>
      </c>
      <c r="I111" s="13">
        <f t="shared" si="46"/>
        <v>0</v>
      </c>
      <c r="J111" s="16">
        <v>0</v>
      </c>
      <c r="K111" s="17">
        <v>0</v>
      </c>
      <c r="L111" s="13">
        <f t="shared" si="68"/>
        <v>0</v>
      </c>
      <c r="M111" s="18"/>
      <c r="N111" s="16">
        <v>0</v>
      </c>
      <c r="O111" s="17">
        <v>0</v>
      </c>
      <c r="P111" s="13">
        <f t="shared" si="63"/>
        <v>0</v>
      </c>
      <c r="Q111" s="18"/>
      <c r="R111" s="16">
        <v>0</v>
      </c>
      <c r="S111" s="17">
        <v>0</v>
      </c>
      <c r="T111" s="13">
        <f t="shared" si="64"/>
        <v>0</v>
      </c>
      <c r="U111" s="29"/>
      <c r="V111" s="16">
        <v>0</v>
      </c>
      <c r="W111" s="17">
        <v>0</v>
      </c>
      <c r="X111" s="13">
        <f t="shared" si="65"/>
        <v>0</v>
      </c>
      <c r="Y111" s="29"/>
      <c r="Z111" s="16">
        <v>0</v>
      </c>
      <c r="AA111" s="17">
        <v>0</v>
      </c>
      <c r="AB111" s="13">
        <f t="shared" si="66"/>
        <v>0</v>
      </c>
      <c r="AC111" s="29"/>
      <c r="AD111" s="16">
        <v>0</v>
      </c>
      <c r="AE111" s="17">
        <v>0</v>
      </c>
      <c r="AF111" s="13">
        <f t="shared" si="67"/>
        <v>0</v>
      </c>
      <c r="AG111" s="29"/>
    </row>
    <row r="112" spans="1:33" x14ac:dyDescent="0.25">
      <c r="A112" s="14" t="s">
        <v>113</v>
      </c>
      <c r="B112" s="15" t="s">
        <v>114</v>
      </c>
      <c r="C112" s="17">
        <v>0</v>
      </c>
      <c r="D112" s="17">
        <v>0</v>
      </c>
      <c r="E112" s="17">
        <f t="shared" si="41"/>
        <v>0</v>
      </c>
      <c r="F112" s="18"/>
      <c r="G112" s="17">
        <v>0</v>
      </c>
      <c r="H112" s="17">
        <v>0</v>
      </c>
      <c r="I112" s="13">
        <f t="shared" si="46"/>
        <v>0</v>
      </c>
      <c r="J112" s="16">
        <v>0</v>
      </c>
      <c r="K112" s="17">
        <v>0</v>
      </c>
      <c r="L112" s="13">
        <f t="shared" si="68"/>
        <v>0</v>
      </c>
      <c r="M112" s="18"/>
      <c r="N112" s="16">
        <v>0</v>
      </c>
      <c r="O112" s="17">
        <v>0</v>
      </c>
      <c r="P112" s="13">
        <f t="shared" si="63"/>
        <v>0</v>
      </c>
      <c r="Q112" s="18"/>
      <c r="R112" s="16">
        <v>0</v>
      </c>
      <c r="S112" s="17">
        <v>0</v>
      </c>
      <c r="T112" s="13">
        <f t="shared" si="64"/>
        <v>0</v>
      </c>
      <c r="U112" s="29"/>
      <c r="V112" s="16">
        <v>0</v>
      </c>
      <c r="W112" s="17">
        <v>0</v>
      </c>
      <c r="X112" s="13">
        <f t="shared" si="65"/>
        <v>0</v>
      </c>
      <c r="Y112" s="29"/>
      <c r="Z112" s="16">
        <v>0</v>
      </c>
      <c r="AA112" s="17">
        <v>0</v>
      </c>
      <c r="AB112" s="13">
        <f t="shared" si="66"/>
        <v>0</v>
      </c>
      <c r="AC112" s="29"/>
      <c r="AD112" s="16">
        <v>0</v>
      </c>
      <c r="AE112" s="17">
        <v>0</v>
      </c>
      <c r="AF112" s="13">
        <f t="shared" si="67"/>
        <v>0</v>
      </c>
      <c r="AG112" s="29"/>
    </row>
    <row r="113" spans="1:33" x14ac:dyDescent="0.25">
      <c r="A113" s="14" t="s">
        <v>115</v>
      </c>
      <c r="B113" s="15" t="s">
        <v>116</v>
      </c>
      <c r="C113" s="17">
        <v>0</v>
      </c>
      <c r="D113" s="17">
        <v>0</v>
      </c>
      <c r="E113" s="17">
        <f t="shared" si="41"/>
        <v>0</v>
      </c>
      <c r="F113" s="18"/>
      <c r="G113" s="17">
        <v>0</v>
      </c>
      <c r="H113" s="17">
        <v>0</v>
      </c>
      <c r="I113" s="13">
        <f t="shared" si="46"/>
        <v>0</v>
      </c>
      <c r="J113" s="16">
        <v>0</v>
      </c>
      <c r="K113" s="17">
        <v>0</v>
      </c>
      <c r="L113" s="13">
        <f t="shared" si="68"/>
        <v>0</v>
      </c>
      <c r="M113" s="18"/>
      <c r="N113" s="16">
        <v>0</v>
      </c>
      <c r="O113" s="17">
        <v>0</v>
      </c>
      <c r="P113" s="13">
        <f t="shared" si="63"/>
        <v>0</v>
      </c>
      <c r="Q113" s="18"/>
      <c r="R113" s="16">
        <v>0</v>
      </c>
      <c r="S113" s="17">
        <v>0</v>
      </c>
      <c r="T113" s="13">
        <f t="shared" si="64"/>
        <v>0</v>
      </c>
      <c r="U113" s="29"/>
      <c r="V113" s="16">
        <v>0</v>
      </c>
      <c r="W113" s="17">
        <v>0</v>
      </c>
      <c r="X113" s="13">
        <f t="shared" si="65"/>
        <v>0</v>
      </c>
      <c r="Y113" s="29"/>
      <c r="Z113" s="16">
        <v>0</v>
      </c>
      <c r="AA113" s="17">
        <v>0</v>
      </c>
      <c r="AB113" s="13">
        <f t="shared" si="66"/>
        <v>0</v>
      </c>
      <c r="AC113" s="29"/>
      <c r="AD113" s="16">
        <v>0</v>
      </c>
      <c r="AE113" s="17">
        <v>0</v>
      </c>
      <c r="AF113" s="13">
        <f t="shared" si="67"/>
        <v>0</v>
      </c>
      <c r="AG113" s="29"/>
    </row>
    <row r="114" spans="1:33" x14ac:dyDescent="0.25">
      <c r="A114" s="14" t="s">
        <v>117</v>
      </c>
      <c r="B114" s="15" t="s">
        <v>118</v>
      </c>
      <c r="C114" s="17"/>
      <c r="D114" s="17">
        <v>0</v>
      </c>
      <c r="E114" s="17">
        <f t="shared" si="41"/>
        <v>0</v>
      </c>
      <c r="F114" s="18"/>
      <c r="G114" s="17">
        <v>0</v>
      </c>
      <c r="H114" s="17">
        <v>0</v>
      </c>
      <c r="I114" s="13">
        <f t="shared" si="46"/>
        <v>0</v>
      </c>
      <c r="J114" s="16">
        <v>2300</v>
      </c>
      <c r="K114" s="17">
        <v>0</v>
      </c>
      <c r="L114" s="13">
        <f t="shared" si="68"/>
        <v>2300</v>
      </c>
      <c r="M114" s="18"/>
      <c r="N114" s="16">
        <v>2300</v>
      </c>
      <c r="O114" s="17">
        <v>0</v>
      </c>
      <c r="P114" s="13">
        <f t="shared" si="63"/>
        <v>4600</v>
      </c>
      <c r="Q114" s="18"/>
      <c r="R114" s="16">
        <v>2521</v>
      </c>
      <c r="S114" s="17">
        <v>0</v>
      </c>
      <c r="T114" s="13">
        <f t="shared" si="64"/>
        <v>7121</v>
      </c>
      <c r="U114" s="29"/>
      <c r="V114" s="16">
        <v>4600</v>
      </c>
      <c r="W114" s="17">
        <v>0</v>
      </c>
      <c r="X114" s="13">
        <f t="shared" si="65"/>
        <v>11721</v>
      </c>
      <c r="Y114" s="29"/>
      <c r="Z114" s="16">
        <v>13367</v>
      </c>
      <c r="AA114" s="17">
        <v>0</v>
      </c>
      <c r="AB114" s="13">
        <f t="shared" si="66"/>
        <v>25088</v>
      </c>
      <c r="AC114" s="29"/>
      <c r="AD114" s="16">
        <v>12100</v>
      </c>
      <c r="AE114" s="17">
        <v>0</v>
      </c>
      <c r="AF114" s="13">
        <f t="shared" si="67"/>
        <v>37188</v>
      </c>
      <c r="AG114" s="29"/>
    </row>
    <row r="115" spans="1:33" x14ac:dyDescent="0.25">
      <c r="A115" s="14">
        <v>519576</v>
      </c>
      <c r="B115" s="15" t="s">
        <v>358</v>
      </c>
      <c r="C115" s="17"/>
      <c r="D115" s="17"/>
      <c r="E115" s="17">
        <f t="shared" si="41"/>
        <v>0</v>
      </c>
      <c r="F115" s="29"/>
      <c r="G115" s="17">
        <v>0</v>
      </c>
      <c r="H115" s="17"/>
      <c r="I115" s="13">
        <f t="shared" si="46"/>
        <v>0</v>
      </c>
      <c r="J115" s="16">
        <v>0</v>
      </c>
      <c r="K115" s="17"/>
      <c r="L115" s="13">
        <f t="shared" si="68"/>
        <v>0</v>
      </c>
      <c r="M115" s="29"/>
      <c r="N115" s="16"/>
      <c r="O115" s="17"/>
      <c r="P115" s="13">
        <f t="shared" si="63"/>
        <v>0</v>
      </c>
      <c r="Q115" s="29"/>
      <c r="R115" s="16"/>
      <c r="S115" s="17"/>
      <c r="T115" s="13">
        <f t="shared" si="64"/>
        <v>0</v>
      </c>
      <c r="U115" s="29"/>
      <c r="V115" s="16"/>
      <c r="W115" s="17"/>
      <c r="X115" s="13">
        <f t="shared" si="65"/>
        <v>0</v>
      </c>
      <c r="Y115" s="29"/>
      <c r="Z115" s="16"/>
      <c r="AA115" s="17"/>
      <c r="AB115" s="13">
        <f t="shared" si="66"/>
        <v>0</v>
      </c>
      <c r="AC115" s="29"/>
      <c r="AD115" s="16"/>
      <c r="AE115" s="17"/>
      <c r="AF115" s="13">
        <f t="shared" si="67"/>
        <v>0</v>
      </c>
      <c r="AG115" s="29"/>
    </row>
    <row r="116" spans="1:33" x14ac:dyDescent="0.25">
      <c r="A116" s="14" t="s">
        <v>119</v>
      </c>
      <c r="B116" s="15" t="s">
        <v>73</v>
      </c>
      <c r="C116" s="17">
        <v>42369</v>
      </c>
      <c r="D116" s="17">
        <v>0</v>
      </c>
      <c r="E116" s="17">
        <f t="shared" si="41"/>
        <v>42369</v>
      </c>
      <c r="F116" s="18"/>
      <c r="G116" s="17">
        <v>0</v>
      </c>
      <c r="H116" s="17">
        <v>0</v>
      </c>
      <c r="I116" s="13">
        <f t="shared" si="46"/>
        <v>42369</v>
      </c>
      <c r="J116" s="16">
        <f>45000+35952</f>
        <v>80952</v>
      </c>
      <c r="K116" s="17">
        <v>0</v>
      </c>
      <c r="L116" s="13">
        <f t="shared" si="68"/>
        <v>123321</v>
      </c>
      <c r="M116" s="18"/>
      <c r="N116" s="16">
        <v>1141275</v>
      </c>
      <c r="O116" s="17">
        <v>0</v>
      </c>
      <c r="P116" s="13">
        <f t="shared" si="63"/>
        <v>1264596</v>
      </c>
      <c r="Q116" s="18"/>
      <c r="R116" s="16">
        <f>535000+41262</f>
        <v>576262</v>
      </c>
      <c r="S116" s="17">
        <v>0</v>
      </c>
      <c r="T116" s="13">
        <f t="shared" si="64"/>
        <v>1840858</v>
      </c>
      <c r="U116" s="29"/>
      <c r="V116" s="16">
        <v>41288</v>
      </c>
      <c r="W116" s="17">
        <v>0</v>
      </c>
      <c r="X116" s="13">
        <f t="shared" si="65"/>
        <v>1882146</v>
      </c>
      <c r="Y116" s="29"/>
      <c r="Z116" s="16">
        <f>658000+41657</f>
        <v>699657</v>
      </c>
      <c r="AA116" s="17">
        <v>0</v>
      </c>
      <c r="AB116" s="13">
        <f t="shared" si="66"/>
        <v>2581803</v>
      </c>
      <c r="AC116" s="29"/>
      <c r="AD116" s="16">
        <v>112640</v>
      </c>
      <c r="AE116" s="17">
        <v>0</v>
      </c>
      <c r="AF116" s="13">
        <f t="shared" si="67"/>
        <v>2694443</v>
      </c>
      <c r="AG116" s="29"/>
    </row>
    <row r="117" spans="1:33" x14ac:dyDescent="0.25">
      <c r="A117" s="14"/>
      <c r="B117" s="15"/>
      <c r="C117" s="17"/>
      <c r="D117" s="17"/>
      <c r="E117" s="17">
        <f t="shared" si="41"/>
        <v>0</v>
      </c>
      <c r="F117" s="29"/>
      <c r="G117" s="17"/>
      <c r="H117" s="17"/>
      <c r="I117" s="13">
        <f t="shared" si="46"/>
        <v>0</v>
      </c>
      <c r="J117" s="17"/>
      <c r="K117" s="17"/>
      <c r="L117" s="13">
        <f t="shared" si="68"/>
        <v>0</v>
      </c>
      <c r="M117" s="29"/>
      <c r="N117" s="17"/>
      <c r="O117" s="17"/>
      <c r="P117" s="13"/>
      <c r="Q117" s="29"/>
      <c r="R117" s="17"/>
      <c r="S117" s="17"/>
      <c r="T117" s="13"/>
      <c r="U117" s="29"/>
      <c r="V117" s="17"/>
      <c r="W117" s="17"/>
      <c r="X117" s="13"/>
      <c r="Y117" s="29"/>
      <c r="Z117" s="17"/>
      <c r="AA117" s="17"/>
      <c r="AB117" s="13"/>
      <c r="AC117" s="29"/>
      <c r="AD117" s="17"/>
      <c r="AE117" s="17"/>
      <c r="AF117" s="13"/>
      <c r="AG117" s="29"/>
    </row>
    <row r="118" spans="1:33" x14ac:dyDescent="0.25">
      <c r="A118" s="14" t="s">
        <v>154</v>
      </c>
      <c r="B118" s="15" t="s">
        <v>145</v>
      </c>
      <c r="C118" s="17">
        <f>+C119+C122+C125+C131+C137</f>
        <v>0</v>
      </c>
      <c r="D118" s="17">
        <v>0</v>
      </c>
      <c r="E118" s="17">
        <f t="shared" si="41"/>
        <v>0</v>
      </c>
      <c r="F118" s="18"/>
      <c r="G118" s="17">
        <f>+G119+G122+G125+G131+G137+G134</f>
        <v>237227</v>
      </c>
      <c r="H118" s="17">
        <v>0</v>
      </c>
      <c r="I118" s="13">
        <f t="shared" si="46"/>
        <v>237227</v>
      </c>
      <c r="J118" s="17">
        <f>+J119+J122+J125+J131+J137</f>
        <v>515368</v>
      </c>
      <c r="K118" s="17">
        <v>0</v>
      </c>
      <c r="L118" s="13">
        <f t="shared" si="68"/>
        <v>752595</v>
      </c>
      <c r="M118" s="18"/>
      <c r="N118" s="17">
        <f>+N119+N122+N125+N131+N137+N128+N134</f>
        <v>914595</v>
      </c>
      <c r="O118" s="17">
        <v>0</v>
      </c>
      <c r="P118" s="13">
        <f>L118+N118</f>
        <v>1667190</v>
      </c>
      <c r="Q118" s="18"/>
      <c r="R118" s="17">
        <f>+R119+R122+R125+R131+R137+R128+R134</f>
        <v>677368</v>
      </c>
      <c r="S118" s="17">
        <v>0</v>
      </c>
      <c r="T118" s="13">
        <f>P118+R118</f>
        <v>2344558</v>
      </c>
      <c r="U118" s="29"/>
      <c r="V118" s="17">
        <f>+V119+V122+V125+V131+V137+V128+V134</f>
        <v>677368</v>
      </c>
      <c r="W118" s="17">
        <v>0</v>
      </c>
      <c r="X118" s="13">
        <f>T118+V118</f>
        <v>3021926</v>
      </c>
      <c r="Y118" s="29"/>
      <c r="Z118" s="17">
        <f>+Z119+Z122+Z125+Z131+Z137+Z128+Z134</f>
        <v>677368</v>
      </c>
      <c r="AA118" s="17">
        <v>0</v>
      </c>
      <c r="AB118" s="13">
        <f>X118+Z118</f>
        <v>3699294</v>
      </c>
      <c r="AC118" s="29"/>
      <c r="AD118" s="17">
        <f>+AD119+AD122+AD125+AD131+AD137+AD128+AD134</f>
        <v>677368</v>
      </c>
      <c r="AE118" s="17">
        <v>0</v>
      </c>
      <c r="AF118" s="13">
        <f>AB118+AD118</f>
        <v>4376662</v>
      </c>
      <c r="AG118" s="29"/>
    </row>
    <row r="119" spans="1:33" x14ac:dyDescent="0.25">
      <c r="A119" s="14" t="s">
        <v>155</v>
      </c>
      <c r="B119" s="15" t="s">
        <v>63</v>
      </c>
      <c r="C119" s="17">
        <v>0</v>
      </c>
      <c r="D119" s="17">
        <v>0</v>
      </c>
      <c r="E119" s="17">
        <f t="shared" si="41"/>
        <v>0</v>
      </c>
      <c r="F119" s="18"/>
      <c r="G119" s="17">
        <f>+G120</f>
        <v>0</v>
      </c>
      <c r="H119" s="17">
        <v>0</v>
      </c>
      <c r="I119" s="13">
        <f t="shared" si="46"/>
        <v>0</v>
      </c>
      <c r="J119" s="17">
        <v>0</v>
      </c>
      <c r="K119" s="17">
        <v>0</v>
      </c>
      <c r="L119" s="13">
        <f t="shared" si="68"/>
        <v>0</v>
      </c>
      <c r="M119" s="18"/>
      <c r="N119" s="17">
        <v>0</v>
      </c>
      <c r="O119" s="17">
        <v>0</v>
      </c>
      <c r="P119" s="13">
        <f t="shared" ref="P119:P120" si="69">L119+N119</f>
        <v>0</v>
      </c>
      <c r="Q119" s="18"/>
      <c r="R119" s="17">
        <v>0</v>
      </c>
      <c r="S119" s="17">
        <v>0</v>
      </c>
      <c r="T119" s="13">
        <f t="shared" ref="T119:T120" si="70">P119+R119</f>
        <v>0</v>
      </c>
      <c r="U119" s="29"/>
      <c r="V119" s="17">
        <v>0</v>
      </c>
      <c r="W119" s="17">
        <v>0</v>
      </c>
      <c r="X119" s="13">
        <f t="shared" ref="X119:X120" si="71">T119+V119</f>
        <v>0</v>
      </c>
      <c r="Y119" s="29"/>
      <c r="Z119" s="17">
        <v>0</v>
      </c>
      <c r="AA119" s="17">
        <v>0</v>
      </c>
      <c r="AB119" s="13">
        <f t="shared" ref="AB119:AB120" si="72">X119+Z119</f>
        <v>0</v>
      </c>
      <c r="AC119" s="29"/>
      <c r="AD119" s="17">
        <v>0</v>
      </c>
      <c r="AE119" s="17">
        <v>0</v>
      </c>
      <c r="AF119" s="13">
        <f t="shared" ref="AF119:AF120" si="73">AB119+AD119</f>
        <v>0</v>
      </c>
      <c r="AG119" s="29"/>
    </row>
    <row r="120" spans="1:33" x14ac:dyDescent="0.25">
      <c r="A120" s="14" t="s">
        <v>156</v>
      </c>
      <c r="B120" s="15" t="s">
        <v>73</v>
      </c>
      <c r="C120" s="17">
        <v>0</v>
      </c>
      <c r="D120" s="17">
        <v>0</v>
      </c>
      <c r="E120" s="17">
        <f t="shared" si="41"/>
        <v>0</v>
      </c>
      <c r="F120" s="18"/>
      <c r="G120" s="17">
        <v>0</v>
      </c>
      <c r="H120" s="17">
        <v>0</v>
      </c>
      <c r="I120" s="13">
        <f t="shared" si="46"/>
        <v>0</v>
      </c>
      <c r="J120" s="17">
        <v>0</v>
      </c>
      <c r="K120" s="17">
        <v>0</v>
      </c>
      <c r="L120" s="13">
        <f t="shared" si="68"/>
        <v>0</v>
      </c>
      <c r="M120" s="18"/>
      <c r="N120" s="17">
        <v>0</v>
      </c>
      <c r="O120" s="17">
        <v>0</v>
      </c>
      <c r="P120" s="13">
        <f t="shared" si="69"/>
        <v>0</v>
      </c>
      <c r="Q120" s="18"/>
      <c r="R120" s="17">
        <v>0</v>
      </c>
      <c r="S120" s="17">
        <v>0</v>
      </c>
      <c r="T120" s="13">
        <f t="shared" si="70"/>
        <v>0</v>
      </c>
      <c r="U120" s="29"/>
      <c r="V120" s="17">
        <v>0</v>
      </c>
      <c r="W120" s="17">
        <v>0</v>
      </c>
      <c r="X120" s="13">
        <f t="shared" si="71"/>
        <v>0</v>
      </c>
      <c r="Y120" s="29"/>
      <c r="Z120" s="17">
        <v>0</v>
      </c>
      <c r="AA120" s="17">
        <v>0</v>
      </c>
      <c r="AB120" s="13">
        <f t="shared" si="72"/>
        <v>0</v>
      </c>
      <c r="AC120" s="29"/>
      <c r="AD120" s="17">
        <v>0</v>
      </c>
      <c r="AE120" s="17">
        <v>0</v>
      </c>
      <c r="AF120" s="13">
        <f t="shared" si="73"/>
        <v>0</v>
      </c>
      <c r="AG120" s="29"/>
    </row>
    <row r="121" spans="1:33" x14ac:dyDescent="0.25">
      <c r="A121" s="14"/>
      <c r="B121" s="15"/>
      <c r="C121" s="17"/>
      <c r="D121" s="17"/>
      <c r="E121" s="17">
        <f t="shared" si="41"/>
        <v>0</v>
      </c>
      <c r="F121" s="29"/>
      <c r="G121" s="17"/>
      <c r="H121" s="17"/>
      <c r="I121" s="13">
        <f t="shared" si="46"/>
        <v>0</v>
      </c>
      <c r="J121" s="17"/>
      <c r="K121" s="17"/>
      <c r="L121" s="13">
        <f t="shared" si="68"/>
        <v>0</v>
      </c>
      <c r="M121" s="29"/>
      <c r="N121" s="17"/>
      <c r="O121" s="17"/>
      <c r="P121" s="13"/>
      <c r="Q121" s="29"/>
      <c r="R121" s="17"/>
      <c r="S121" s="17"/>
      <c r="T121" s="13"/>
      <c r="U121" s="29"/>
      <c r="V121" s="17"/>
      <c r="W121" s="17"/>
      <c r="X121" s="13"/>
      <c r="Y121" s="29"/>
      <c r="Z121" s="17"/>
      <c r="AA121" s="17"/>
      <c r="AB121" s="13"/>
      <c r="AC121" s="29"/>
      <c r="AD121" s="17"/>
      <c r="AE121" s="17"/>
      <c r="AF121" s="13"/>
      <c r="AG121" s="29"/>
    </row>
    <row r="122" spans="1:33" x14ac:dyDescent="0.25">
      <c r="A122" s="14" t="s">
        <v>157</v>
      </c>
      <c r="B122" s="15" t="s">
        <v>67</v>
      </c>
      <c r="C122" s="17">
        <v>0</v>
      </c>
      <c r="D122" s="17">
        <v>0</v>
      </c>
      <c r="E122" s="17">
        <f t="shared" si="41"/>
        <v>0</v>
      </c>
      <c r="F122" s="18"/>
      <c r="G122" s="17">
        <f>+G123</f>
        <v>0</v>
      </c>
      <c r="H122" s="17">
        <v>0</v>
      </c>
      <c r="I122" s="13">
        <f t="shared" si="46"/>
        <v>0</v>
      </c>
      <c r="J122" s="17">
        <f>+J123</f>
        <v>0</v>
      </c>
      <c r="K122" s="17">
        <v>0</v>
      </c>
      <c r="L122" s="13">
        <f t="shared" si="68"/>
        <v>0</v>
      </c>
      <c r="M122" s="18"/>
      <c r="N122" s="17">
        <f>+N123</f>
        <v>0</v>
      </c>
      <c r="O122" s="17">
        <v>0</v>
      </c>
      <c r="P122" s="13">
        <f>L122+N122</f>
        <v>0</v>
      </c>
      <c r="Q122" s="18"/>
      <c r="R122" s="17">
        <f>+R123</f>
        <v>0</v>
      </c>
      <c r="S122" s="17">
        <v>0</v>
      </c>
      <c r="T122" s="13">
        <f>P122+R122</f>
        <v>0</v>
      </c>
      <c r="U122" s="29"/>
      <c r="V122" s="17">
        <f>+V123</f>
        <v>0</v>
      </c>
      <c r="W122" s="17">
        <v>0</v>
      </c>
      <c r="X122" s="13">
        <f>T122+V122</f>
        <v>0</v>
      </c>
      <c r="Y122" s="29"/>
      <c r="Z122" s="17">
        <f>+Z123</f>
        <v>0</v>
      </c>
      <c r="AA122" s="17">
        <v>0</v>
      </c>
      <c r="AB122" s="13">
        <f>X122+Z122</f>
        <v>0</v>
      </c>
      <c r="AC122" s="29"/>
      <c r="AD122" s="17">
        <f>+AD123</f>
        <v>0</v>
      </c>
      <c r="AE122" s="17">
        <v>0</v>
      </c>
      <c r="AF122" s="13">
        <f>AB122+AD122</f>
        <v>0</v>
      </c>
      <c r="AG122" s="29"/>
    </row>
    <row r="123" spans="1:33" x14ac:dyDescent="0.25">
      <c r="A123" s="14" t="s">
        <v>158</v>
      </c>
      <c r="B123" s="15" t="s">
        <v>93</v>
      </c>
      <c r="C123" s="17">
        <v>0</v>
      </c>
      <c r="D123" s="17">
        <v>0</v>
      </c>
      <c r="E123" s="17">
        <f t="shared" si="41"/>
        <v>0</v>
      </c>
      <c r="F123" s="18"/>
      <c r="G123" s="17"/>
      <c r="H123" s="17">
        <v>0</v>
      </c>
      <c r="I123" s="13">
        <f t="shared" si="46"/>
        <v>0</v>
      </c>
      <c r="J123" s="17">
        <v>0</v>
      </c>
      <c r="K123" s="17">
        <v>0</v>
      </c>
      <c r="L123" s="13">
        <f t="shared" si="68"/>
        <v>0</v>
      </c>
      <c r="M123" s="18"/>
      <c r="N123" s="17">
        <v>0</v>
      </c>
      <c r="O123" s="17">
        <v>0</v>
      </c>
      <c r="P123" s="13">
        <f t="shared" ref="P123:P146" si="74">L123+N123</f>
        <v>0</v>
      </c>
      <c r="Q123" s="18"/>
      <c r="R123" s="17">
        <v>0</v>
      </c>
      <c r="S123" s="17">
        <v>0</v>
      </c>
      <c r="T123" s="13">
        <f t="shared" ref="T123:T127" si="75">P123+R123</f>
        <v>0</v>
      </c>
      <c r="U123" s="29"/>
      <c r="V123" s="17">
        <v>0</v>
      </c>
      <c r="W123" s="17">
        <v>0</v>
      </c>
      <c r="X123" s="13">
        <f t="shared" ref="X123:X127" si="76">T123+V123</f>
        <v>0</v>
      </c>
      <c r="Y123" s="29"/>
      <c r="Z123" s="17">
        <v>0</v>
      </c>
      <c r="AA123" s="17">
        <v>0</v>
      </c>
      <c r="AB123" s="13">
        <f t="shared" ref="AB123:AB127" si="77">X123+Z123</f>
        <v>0</v>
      </c>
      <c r="AC123" s="29"/>
      <c r="AD123" s="17">
        <v>0</v>
      </c>
      <c r="AE123" s="17">
        <v>0</v>
      </c>
      <c r="AF123" s="13">
        <f t="shared" ref="AF123:AF127" si="78">AB123+AD123</f>
        <v>0</v>
      </c>
      <c r="AG123" s="29"/>
    </row>
    <row r="124" spans="1:33" x14ac:dyDescent="0.25">
      <c r="A124" s="14"/>
      <c r="B124" s="15"/>
      <c r="C124" s="17"/>
      <c r="D124" s="17"/>
      <c r="E124" s="17">
        <f t="shared" si="41"/>
        <v>0</v>
      </c>
      <c r="F124" s="29"/>
      <c r="G124" s="17"/>
      <c r="H124" s="17"/>
      <c r="I124" s="13">
        <f t="shared" si="46"/>
        <v>0</v>
      </c>
      <c r="J124" s="17"/>
      <c r="K124" s="17"/>
      <c r="L124" s="13">
        <f t="shared" si="68"/>
        <v>0</v>
      </c>
      <c r="M124" s="29"/>
      <c r="N124" s="17"/>
      <c r="O124" s="17"/>
      <c r="P124" s="13">
        <f t="shared" si="74"/>
        <v>0</v>
      </c>
      <c r="Q124" s="29"/>
      <c r="R124" s="17"/>
      <c r="S124" s="17"/>
      <c r="T124" s="13">
        <f t="shared" si="75"/>
        <v>0</v>
      </c>
      <c r="U124" s="29"/>
      <c r="V124" s="17"/>
      <c r="W124" s="17"/>
      <c r="X124" s="13">
        <f t="shared" si="76"/>
        <v>0</v>
      </c>
      <c r="Y124" s="29"/>
      <c r="Z124" s="17"/>
      <c r="AA124" s="17"/>
      <c r="AB124" s="13">
        <f t="shared" si="77"/>
        <v>0</v>
      </c>
      <c r="AC124" s="29"/>
      <c r="AD124" s="17"/>
      <c r="AE124" s="17"/>
      <c r="AF124" s="13">
        <f t="shared" si="78"/>
        <v>0</v>
      </c>
      <c r="AG124" s="29"/>
    </row>
    <row r="125" spans="1:33" x14ac:dyDescent="0.25">
      <c r="A125" s="14">
        <v>5230</v>
      </c>
      <c r="B125" s="15" t="s">
        <v>71</v>
      </c>
      <c r="C125" s="17">
        <f>+C126</f>
        <v>0</v>
      </c>
      <c r="D125" s="17">
        <v>61214</v>
      </c>
      <c r="E125" s="17">
        <f t="shared" si="41"/>
        <v>0</v>
      </c>
      <c r="F125" s="29"/>
      <c r="G125" s="17">
        <f>+G126</f>
        <v>62923</v>
      </c>
      <c r="H125" s="17">
        <v>0</v>
      </c>
      <c r="I125" s="13">
        <f t="shared" si="46"/>
        <v>62923</v>
      </c>
      <c r="J125" s="16">
        <v>63064</v>
      </c>
      <c r="K125" s="17">
        <v>0</v>
      </c>
      <c r="L125" s="13">
        <f t="shared" si="68"/>
        <v>125987</v>
      </c>
      <c r="M125" s="29"/>
      <c r="N125" s="16">
        <f>N126</f>
        <v>125987</v>
      </c>
      <c r="O125" s="17">
        <v>0</v>
      </c>
      <c r="P125" s="13">
        <f t="shared" si="74"/>
        <v>251974</v>
      </c>
      <c r="Q125" s="29"/>
      <c r="R125" s="16">
        <f>R126</f>
        <v>63064</v>
      </c>
      <c r="S125" s="17">
        <v>0</v>
      </c>
      <c r="T125" s="13">
        <f t="shared" si="75"/>
        <v>315038</v>
      </c>
      <c r="U125" s="29"/>
      <c r="V125" s="16">
        <f>V126</f>
        <v>63064</v>
      </c>
      <c r="W125" s="17">
        <v>0</v>
      </c>
      <c r="X125" s="13">
        <f t="shared" si="76"/>
        <v>378102</v>
      </c>
      <c r="Y125" s="29"/>
      <c r="Z125" s="16">
        <f>Z126</f>
        <v>63064</v>
      </c>
      <c r="AA125" s="17">
        <v>0</v>
      </c>
      <c r="AB125" s="13">
        <f t="shared" si="77"/>
        <v>441166</v>
      </c>
      <c r="AC125" s="29"/>
      <c r="AD125" s="16">
        <f>AD126</f>
        <v>63064</v>
      </c>
      <c r="AE125" s="17">
        <v>0</v>
      </c>
      <c r="AF125" s="13">
        <f t="shared" si="78"/>
        <v>504230</v>
      </c>
      <c r="AG125" s="29"/>
    </row>
    <row r="126" spans="1:33" x14ac:dyDescent="0.25">
      <c r="A126" s="14">
        <v>523095</v>
      </c>
      <c r="B126" s="15" t="s">
        <v>73</v>
      </c>
      <c r="C126" s="17"/>
      <c r="D126" s="17">
        <f>+D125</f>
        <v>61214</v>
      </c>
      <c r="E126" s="17">
        <f t="shared" si="41"/>
        <v>0</v>
      </c>
      <c r="F126" s="29"/>
      <c r="G126" s="17">
        <v>62923</v>
      </c>
      <c r="H126" s="17">
        <v>0</v>
      </c>
      <c r="I126" s="13">
        <f t="shared" si="46"/>
        <v>62923</v>
      </c>
      <c r="J126" s="16">
        <f>+J125</f>
        <v>63064</v>
      </c>
      <c r="K126" s="17">
        <v>0</v>
      </c>
      <c r="L126" s="13">
        <f t="shared" si="68"/>
        <v>125987</v>
      </c>
      <c r="M126" s="29"/>
      <c r="N126" s="212">
        <v>125987</v>
      </c>
      <c r="O126" s="17">
        <v>0</v>
      </c>
      <c r="P126" s="13">
        <f t="shared" si="74"/>
        <v>251974</v>
      </c>
      <c r="Q126" s="29"/>
      <c r="R126" s="212">
        <v>63064</v>
      </c>
      <c r="S126" s="17">
        <v>0</v>
      </c>
      <c r="T126" s="13">
        <f t="shared" si="75"/>
        <v>315038</v>
      </c>
      <c r="U126" s="29"/>
      <c r="V126" s="212">
        <v>63064</v>
      </c>
      <c r="W126" s="17">
        <v>0</v>
      </c>
      <c r="X126" s="13">
        <f t="shared" si="76"/>
        <v>378102</v>
      </c>
      <c r="Y126" s="29"/>
      <c r="Z126" s="212">
        <v>63064</v>
      </c>
      <c r="AA126" s="17">
        <v>0</v>
      </c>
      <c r="AB126" s="13">
        <f t="shared" si="77"/>
        <v>441166</v>
      </c>
      <c r="AC126" s="29"/>
      <c r="AD126" s="16">
        <v>63064</v>
      </c>
      <c r="AE126" s="17">
        <v>0</v>
      </c>
      <c r="AF126" s="13">
        <f t="shared" si="78"/>
        <v>504230</v>
      </c>
      <c r="AG126" s="29"/>
    </row>
    <row r="127" spans="1:33" x14ac:dyDescent="0.25">
      <c r="A127" s="14"/>
      <c r="B127" s="15"/>
      <c r="C127" s="17"/>
      <c r="D127" s="17"/>
      <c r="E127" s="17">
        <f t="shared" si="41"/>
        <v>0</v>
      </c>
      <c r="F127" s="29"/>
      <c r="G127" s="17"/>
      <c r="H127" s="17"/>
      <c r="I127" s="13">
        <f t="shared" si="46"/>
        <v>0</v>
      </c>
      <c r="J127" s="17"/>
      <c r="K127" s="17"/>
      <c r="L127" s="13">
        <f t="shared" si="68"/>
        <v>0</v>
      </c>
      <c r="M127" s="29"/>
      <c r="N127" s="17"/>
      <c r="O127" s="17"/>
      <c r="P127" s="13">
        <f t="shared" si="74"/>
        <v>0</v>
      </c>
      <c r="Q127" s="29"/>
      <c r="R127" s="17"/>
      <c r="S127" s="17"/>
      <c r="T127" s="13">
        <f t="shared" si="75"/>
        <v>0</v>
      </c>
      <c r="U127" s="29"/>
      <c r="V127" s="17"/>
      <c r="W127" s="17"/>
      <c r="X127" s="13">
        <f t="shared" si="76"/>
        <v>0</v>
      </c>
      <c r="Y127" s="29"/>
      <c r="Z127" s="17"/>
      <c r="AA127" s="17"/>
      <c r="AB127" s="13">
        <f t="shared" si="77"/>
        <v>0</v>
      </c>
      <c r="AC127" s="29"/>
      <c r="AD127" s="17"/>
      <c r="AE127" s="17"/>
      <c r="AF127" s="13">
        <f t="shared" si="78"/>
        <v>0</v>
      </c>
      <c r="AG127" s="29"/>
    </row>
    <row r="128" spans="1:33" x14ac:dyDescent="0.25">
      <c r="A128" s="14">
        <v>5235</v>
      </c>
      <c r="B128" s="15" t="s">
        <v>315</v>
      </c>
      <c r="C128" s="17">
        <v>0</v>
      </c>
      <c r="D128" s="17">
        <v>0</v>
      </c>
      <c r="E128" s="17">
        <f t="shared" ref="E128" si="79">+C128</f>
        <v>0</v>
      </c>
      <c r="F128" s="29"/>
      <c r="G128" s="17">
        <v>0</v>
      </c>
      <c r="H128" s="17">
        <v>0</v>
      </c>
      <c r="I128" s="13">
        <f t="shared" ref="I128:I129" si="80">+G128</f>
        <v>0</v>
      </c>
      <c r="J128" s="17">
        <v>0</v>
      </c>
      <c r="K128" s="17">
        <v>0</v>
      </c>
      <c r="L128" s="17">
        <f t="shared" ref="L128:L129" si="81">+J128</f>
        <v>0</v>
      </c>
      <c r="M128" s="29"/>
      <c r="N128" s="17">
        <f>+N129</f>
        <v>0</v>
      </c>
      <c r="O128" s="17">
        <v>0</v>
      </c>
      <c r="P128" s="17">
        <f t="shared" ref="P128:P129" si="82">+N128</f>
        <v>0</v>
      </c>
      <c r="Q128" s="29"/>
      <c r="R128" s="17">
        <f>+R129</f>
        <v>0</v>
      </c>
      <c r="S128" s="17">
        <v>0</v>
      </c>
      <c r="T128" s="17">
        <f t="shared" ref="T128:T129" si="83">+R128</f>
        <v>0</v>
      </c>
      <c r="U128" s="29"/>
      <c r="V128" s="17">
        <f>+V129</f>
        <v>0</v>
      </c>
      <c r="W128" s="17">
        <v>0</v>
      </c>
      <c r="X128" s="17">
        <f t="shared" ref="X128:X129" si="84">+V128</f>
        <v>0</v>
      </c>
      <c r="Y128" s="29"/>
      <c r="Z128" s="17">
        <f>+Z129</f>
        <v>0</v>
      </c>
      <c r="AA128" s="17">
        <v>0</v>
      </c>
      <c r="AB128" s="17">
        <f t="shared" ref="AB128:AB129" si="85">+Z128</f>
        <v>0</v>
      </c>
      <c r="AC128" s="29"/>
      <c r="AD128" s="17">
        <f>+AD129</f>
        <v>0</v>
      </c>
      <c r="AE128" s="17">
        <v>0</v>
      </c>
      <c r="AF128" s="17">
        <f t="shared" ref="AF128:AF129" si="86">+AD128</f>
        <v>0</v>
      </c>
      <c r="AG128" s="29"/>
    </row>
    <row r="129" spans="1:33" x14ac:dyDescent="0.25">
      <c r="A129" s="14">
        <v>5235</v>
      </c>
      <c r="B129" s="15" t="s">
        <v>316</v>
      </c>
      <c r="C129" s="17">
        <v>0</v>
      </c>
      <c r="D129" s="17">
        <v>0</v>
      </c>
      <c r="E129" s="17">
        <f t="shared" ref="E129" si="87">+C129</f>
        <v>0</v>
      </c>
      <c r="F129" s="29"/>
      <c r="G129" s="17">
        <v>0</v>
      </c>
      <c r="H129" s="17">
        <v>0</v>
      </c>
      <c r="I129" s="13">
        <f t="shared" si="80"/>
        <v>0</v>
      </c>
      <c r="J129" s="17">
        <v>0</v>
      </c>
      <c r="K129" s="17">
        <v>0</v>
      </c>
      <c r="L129" s="17">
        <f t="shared" si="81"/>
        <v>0</v>
      </c>
      <c r="M129" s="29"/>
      <c r="N129" s="17">
        <v>0</v>
      </c>
      <c r="O129" s="17">
        <v>0</v>
      </c>
      <c r="P129" s="17">
        <f t="shared" si="82"/>
        <v>0</v>
      </c>
      <c r="Q129" s="29"/>
      <c r="R129" s="17">
        <v>0</v>
      </c>
      <c r="S129" s="17">
        <v>0</v>
      </c>
      <c r="T129" s="17">
        <f t="shared" si="83"/>
        <v>0</v>
      </c>
      <c r="U129" s="29"/>
      <c r="V129" s="17">
        <v>0</v>
      </c>
      <c r="W129" s="17">
        <v>0</v>
      </c>
      <c r="X129" s="17">
        <f t="shared" si="84"/>
        <v>0</v>
      </c>
      <c r="Y129" s="29"/>
      <c r="Z129" s="17">
        <v>0</v>
      </c>
      <c r="AA129" s="17">
        <v>0</v>
      </c>
      <c r="AB129" s="17">
        <f t="shared" si="85"/>
        <v>0</v>
      </c>
      <c r="AC129" s="29"/>
      <c r="AD129" s="17">
        <v>0</v>
      </c>
      <c r="AE129" s="17">
        <v>0</v>
      </c>
      <c r="AF129" s="17">
        <f t="shared" si="86"/>
        <v>0</v>
      </c>
      <c r="AG129" s="29"/>
    </row>
    <row r="130" spans="1:33" x14ac:dyDescent="0.25">
      <c r="A130" s="14"/>
      <c r="B130" s="15"/>
      <c r="C130" s="17"/>
      <c r="D130" s="17"/>
      <c r="E130" s="17"/>
      <c r="F130" s="29"/>
      <c r="G130" s="17"/>
      <c r="H130" s="17"/>
      <c r="I130" s="13"/>
      <c r="J130" s="17"/>
      <c r="K130" s="17"/>
      <c r="L130" s="13"/>
      <c r="M130" s="29"/>
      <c r="N130" s="17"/>
      <c r="O130" s="17"/>
      <c r="P130" s="13"/>
      <c r="Q130" s="29"/>
      <c r="R130" s="17"/>
      <c r="S130" s="17"/>
      <c r="T130" s="13"/>
      <c r="U130" s="29"/>
      <c r="V130" s="17"/>
      <c r="W130" s="17"/>
      <c r="X130" s="13"/>
      <c r="Y130" s="29"/>
      <c r="Z130" s="17"/>
      <c r="AA130" s="17"/>
      <c r="AB130" s="13"/>
      <c r="AC130" s="29"/>
      <c r="AD130" s="17"/>
      <c r="AE130" s="17"/>
      <c r="AF130" s="13"/>
      <c r="AG130" s="29"/>
    </row>
    <row r="131" spans="1:33" x14ac:dyDescent="0.25">
      <c r="A131" s="14" t="s">
        <v>159</v>
      </c>
      <c r="B131" s="15" t="s">
        <v>91</v>
      </c>
      <c r="C131" s="17">
        <f>+C132</f>
        <v>0</v>
      </c>
      <c r="D131" s="17">
        <v>0</v>
      </c>
      <c r="E131" s="17">
        <f t="shared" si="41"/>
        <v>0</v>
      </c>
      <c r="F131" s="18"/>
      <c r="G131" s="17">
        <f>+G132</f>
        <v>0</v>
      </c>
      <c r="H131" s="17">
        <v>0</v>
      </c>
      <c r="I131" s="13">
        <f t="shared" si="46"/>
        <v>0</v>
      </c>
      <c r="J131" s="213">
        <f>+J132</f>
        <v>278000</v>
      </c>
      <c r="K131" s="17">
        <v>0</v>
      </c>
      <c r="L131" s="13">
        <f t="shared" si="68"/>
        <v>278000</v>
      </c>
      <c r="M131" s="18"/>
      <c r="N131" s="17">
        <f>+N132</f>
        <v>440000</v>
      </c>
      <c r="O131" s="17">
        <v>0</v>
      </c>
      <c r="P131" s="13">
        <f t="shared" si="74"/>
        <v>718000</v>
      </c>
      <c r="Q131" s="18"/>
      <c r="R131" s="213">
        <f>+R132</f>
        <v>440000</v>
      </c>
      <c r="S131" s="17">
        <v>0</v>
      </c>
      <c r="T131" s="13">
        <f t="shared" ref="T131:T146" si="88">P131+R131</f>
        <v>1158000</v>
      </c>
      <c r="U131" s="29"/>
      <c r="V131" s="17">
        <f>+V132</f>
        <v>440000</v>
      </c>
      <c r="W131" s="17">
        <v>0</v>
      </c>
      <c r="X131" s="13">
        <f t="shared" ref="X131:X146" si="89">T131+V131</f>
        <v>1598000</v>
      </c>
      <c r="Y131" s="29"/>
      <c r="Z131" s="17">
        <f>+Z132</f>
        <v>440000</v>
      </c>
      <c r="AA131" s="17">
        <v>0</v>
      </c>
      <c r="AB131" s="13">
        <f t="shared" ref="AB131:AB146" si="90">X131+Z131</f>
        <v>2038000</v>
      </c>
      <c r="AC131" s="29"/>
      <c r="AD131" s="17">
        <f>+AD132</f>
        <v>440000</v>
      </c>
      <c r="AE131" s="17">
        <v>0</v>
      </c>
      <c r="AF131" s="13">
        <f t="shared" ref="AF131:AF146" si="91">AB131+AD131</f>
        <v>2478000</v>
      </c>
      <c r="AG131" s="29"/>
    </row>
    <row r="132" spans="1:33" x14ac:dyDescent="0.25">
      <c r="A132" s="14" t="s">
        <v>160</v>
      </c>
      <c r="B132" s="15" t="s">
        <v>69</v>
      </c>
      <c r="C132" s="17"/>
      <c r="D132" s="17">
        <v>0</v>
      </c>
      <c r="E132" s="17">
        <f t="shared" si="41"/>
        <v>0</v>
      </c>
      <c r="F132" s="18"/>
      <c r="G132" s="17">
        <v>0</v>
      </c>
      <c r="H132" s="17">
        <v>0</v>
      </c>
      <c r="I132" s="13">
        <f t="shared" si="46"/>
        <v>0</v>
      </c>
      <c r="J132" s="17">
        <v>278000</v>
      </c>
      <c r="K132" s="17">
        <v>0</v>
      </c>
      <c r="L132" s="13">
        <f t="shared" si="68"/>
        <v>278000</v>
      </c>
      <c r="M132" s="18"/>
      <c r="N132" s="17">
        <v>440000</v>
      </c>
      <c r="O132" s="17">
        <v>0</v>
      </c>
      <c r="P132" s="13">
        <f t="shared" si="74"/>
        <v>718000</v>
      </c>
      <c r="Q132" s="18"/>
      <c r="R132" s="209">
        <v>440000</v>
      </c>
      <c r="S132" s="17">
        <v>0</v>
      </c>
      <c r="T132" s="13">
        <f t="shared" si="88"/>
        <v>1158000</v>
      </c>
      <c r="U132" s="29"/>
      <c r="V132" s="209">
        <v>440000</v>
      </c>
      <c r="W132" s="17">
        <v>0</v>
      </c>
      <c r="X132" s="13">
        <f t="shared" si="89"/>
        <v>1598000</v>
      </c>
      <c r="Y132" s="29"/>
      <c r="Z132" s="209">
        <v>440000</v>
      </c>
      <c r="AA132" s="17">
        <v>0</v>
      </c>
      <c r="AB132" s="13">
        <f t="shared" si="90"/>
        <v>2038000</v>
      </c>
      <c r="AC132" s="29"/>
      <c r="AD132" s="209">
        <v>440000</v>
      </c>
      <c r="AE132" s="17">
        <v>0</v>
      </c>
      <c r="AF132" s="13">
        <f t="shared" si="91"/>
        <v>2478000</v>
      </c>
      <c r="AG132" s="29"/>
    </row>
    <row r="133" spans="1:33" x14ac:dyDescent="0.25">
      <c r="A133" s="14"/>
      <c r="B133" s="15"/>
      <c r="C133" s="17"/>
      <c r="D133" s="17"/>
      <c r="E133" s="17"/>
      <c r="F133" s="29"/>
      <c r="G133" s="17"/>
      <c r="H133" s="17"/>
      <c r="I133" s="13"/>
      <c r="J133" s="17"/>
      <c r="K133" s="17"/>
      <c r="L133" s="13">
        <f t="shared" si="68"/>
        <v>0</v>
      </c>
      <c r="M133" s="29"/>
      <c r="N133" s="17"/>
      <c r="O133" s="17"/>
      <c r="P133" s="13">
        <f t="shared" si="74"/>
        <v>0</v>
      </c>
      <c r="Q133" s="29"/>
      <c r="R133" s="17"/>
      <c r="S133" s="17"/>
      <c r="T133" s="13">
        <f t="shared" si="88"/>
        <v>0</v>
      </c>
      <c r="U133" s="29"/>
      <c r="V133" s="17"/>
      <c r="W133" s="17"/>
      <c r="X133" s="13">
        <f t="shared" si="89"/>
        <v>0</v>
      </c>
      <c r="Y133" s="29"/>
      <c r="Z133" s="17"/>
      <c r="AA133" s="17"/>
      <c r="AB133" s="13">
        <f t="shared" si="90"/>
        <v>0</v>
      </c>
      <c r="AC133" s="29"/>
      <c r="AD133" s="17"/>
      <c r="AE133" s="17"/>
      <c r="AF133" s="13">
        <f t="shared" si="91"/>
        <v>0</v>
      </c>
      <c r="AG133" s="29"/>
    </row>
    <row r="134" spans="1:33" x14ac:dyDescent="0.25">
      <c r="A134" s="14">
        <v>5250</v>
      </c>
      <c r="B134" s="15" t="s">
        <v>343</v>
      </c>
      <c r="C134" s="17"/>
      <c r="D134" s="17"/>
      <c r="E134" s="17"/>
      <c r="F134" s="29"/>
      <c r="G134" s="17">
        <f>+G135</f>
        <v>0</v>
      </c>
      <c r="H134" s="17"/>
      <c r="I134" s="13">
        <f>+G134</f>
        <v>0</v>
      </c>
      <c r="J134" s="17"/>
      <c r="K134" s="17"/>
      <c r="L134" s="13">
        <f t="shared" si="68"/>
        <v>0</v>
      </c>
      <c r="M134" s="29"/>
      <c r="N134" s="17">
        <f>+N135</f>
        <v>0</v>
      </c>
      <c r="O134" s="17"/>
      <c r="P134" s="13">
        <f t="shared" si="74"/>
        <v>0</v>
      </c>
      <c r="Q134" s="29"/>
      <c r="R134" s="17">
        <f>+R135</f>
        <v>0</v>
      </c>
      <c r="S134" s="17"/>
      <c r="T134" s="13">
        <f t="shared" si="88"/>
        <v>0</v>
      </c>
      <c r="U134" s="29"/>
      <c r="V134" s="17">
        <f>+V135</f>
        <v>0</v>
      </c>
      <c r="W134" s="17"/>
      <c r="X134" s="13">
        <f t="shared" si="89"/>
        <v>0</v>
      </c>
      <c r="Y134" s="29"/>
      <c r="Z134" s="17">
        <f>+Z135</f>
        <v>0</v>
      </c>
      <c r="AA134" s="17"/>
      <c r="AB134" s="13">
        <f t="shared" si="90"/>
        <v>0</v>
      </c>
      <c r="AC134" s="29"/>
      <c r="AD134" s="17">
        <f>+AD135</f>
        <v>0</v>
      </c>
      <c r="AE134" s="17"/>
      <c r="AF134" s="13">
        <f t="shared" si="91"/>
        <v>0</v>
      </c>
      <c r="AG134" s="29"/>
    </row>
    <row r="135" spans="1:33" x14ac:dyDescent="0.25">
      <c r="A135" s="14">
        <v>525015</v>
      </c>
      <c r="B135" s="15" t="s">
        <v>344</v>
      </c>
      <c r="C135" s="17"/>
      <c r="D135" s="17"/>
      <c r="E135" s="17"/>
      <c r="F135" s="29"/>
      <c r="G135" s="17">
        <v>0</v>
      </c>
      <c r="H135" s="17"/>
      <c r="I135" s="13">
        <f>+G135</f>
        <v>0</v>
      </c>
      <c r="J135" s="17"/>
      <c r="K135" s="17"/>
      <c r="L135" s="13">
        <f t="shared" si="68"/>
        <v>0</v>
      </c>
      <c r="M135" s="29"/>
      <c r="N135" s="17">
        <v>0</v>
      </c>
      <c r="O135" s="17"/>
      <c r="P135" s="13">
        <f t="shared" si="74"/>
        <v>0</v>
      </c>
      <c r="Q135" s="29"/>
      <c r="R135" s="17">
        <v>0</v>
      </c>
      <c r="S135" s="17"/>
      <c r="T135" s="13">
        <f t="shared" si="88"/>
        <v>0</v>
      </c>
      <c r="U135" s="29"/>
      <c r="V135" s="17">
        <v>0</v>
      </c>
      <c r="W135" s="17"/>
      <c r="X135" s="13">
        <f t="shared" si="89"/>
        <v>0</v>
      </c>
      <c r="Y135" s="29"/>
      <c r="Z135" s="17">
        <v>0</v>
      </c>
      <c r="AA135" s="17"/>
      <c r="AB135" s="13">
        <f t="shared" si="90"/>
        <v>0</v>
      </c>
      <c r="AC135" s="29"/>
      <c r="AD135" s="17">
        <v>0</v>
      </c>
      <c r="AE135" s="17"/>
      <c r="AF135" s="13">
        <f t="shared" si="91"/>
        <v>0</v>
      </c>
      <c r="AG135" s="29"/>
    </row>
    <row r="136" spans="1:33" x14ac:dyDescent="0.25">
      <c r="A136" s="14"/>
      <c r="B136" s="15"/>
      <c r="C136" s="17"/>
      <c r="D136" s="17"/>
      <c r="E136" s="17">
        <f t="shared" si="41"/>
        <v>0</v>
      </c>
      <c r="F136" s="29"/>
      <c r="G136" s="17"/>
      <c r="H136" s="17"/>
      <c r="I136" s="13">
        <f t="shared" si="46"/>
        <v>0</v>
      </c>
      <c r="J136" s="17"/>
      <c r="K136" s="17"/>
      <c r="L136" s="13">
        <f t="shared" si="68"/>
        <v>0</v>
      </c>
      <c r="M136" s="29"/>
      <c r="N136" s="17"/>
      <c r="O136" s="17"/>
      <c r="P136" s="13">
        <f t="shared" si="74"/>
        <v>0</v>
      </c>
      <c r="Q136" s="29"/>
      <c r="R136" s="17"/>
      <c r="S136" s="17"/>
      <c r="T136" s="13">
        <f t="shared" si="88"/>
        <v>0</v>
      </c>
      <c r="U136" s="29"/>
      <c r="V136" s="17"/>
      <c r="W136" s="17"/>
      <c r="X136" s="13">
        <f t="shared" si="89"/>
        <v>0</v>
      </c>
      <c r="Y136" s="29"/>
      <c r="Z136" s="17"/>
      <c r="AA136" s="17"/>
      <c r="AB136" s="13">
        <f t="shared" si="90"/>
        <v>0</v>
      </c>
      <c r="AC136" s="29"/>
      <c r="AD136" s="17"/>
      <c r="AE136" s="17"/>
      <c r="AF136" s="13">
        <f t="shared" si="91"/>
        <v>0</v>
      </c>
      <c r="AG136" s="29"/>
    </row>
    <row r="137" spans="1:33" x14ac:dyDescent="0.25">
      <c r="A137" s="14">
        <v>5295</v>
      </c>
      <c r="B137" s="15" t="s">
        <v>173</v>
      </c>
      <c r="C137" s="17">
        <f>+C138</f>
        <v>0</v>
      </c>
      <c r="D137" s="17">
        <v>166560</v>
      </c>
      <c r="E137" s="17">
        <f t="shared" si="41"/>
        <v>0</v>
      </c>
      <c r="F137" s="29"/>
      <c r="G137" s="17">
        <f>+G138</f>
        <v>174304</v>
      </c>
      <c r="H137" s="17"/>
      <c r="I137" s="13">
        <f t="shared" si="46"/>
        <v>174304</v>
      </c>
      <c r="J137" s="17">
        <f>+J138</f>
        <v>174304</v>
      </c>
      <c r="K137" s="17"/>
      <c r="L137" s="13">
        <f t="shared" si="68"/>
        <v>348608</v>
      </c>
      <c r="M137" s="29"/>
      <c r="N137" s="17">
        <f>+N138</f>
        <v>348608</v>
      </c>
      <c r="O137" s="17"/>
      <c r="P137" s="13">
        <f t="shared" si="74"/>
        <v>697216</v>
      </c>
      <c r="Q137" s="29"/>
      <c r="R137" s="17">
        <f>+R138</f>
        <v>174304</v>
      </c>
      <c r="S137" s="17"/>
      <c r="T137" s="13">
        <f t="shared" si="88"/>
        <v>871520</v>
      </c>
      <c r="U137" s="29"/>
      <c r="V137" s="17">
        <f>+V138</f>
        <v>174304</v>
      </c>
      <c r="W137" s="17"/>
      <c r="X137" s="13">
        <f t="shared" si="89"/>
        <v>1045824</v>
      </c>
      <c r="Y137" s="29"/>
      <c r="Z137" s="17">
        <f>+Z138</f>
        <v>174304</v>
      </c>
      <c r="AA137" s="17"/>
      <c r="AB137" s="13">
        <f t="shared" si="90"/>
        <v>1220128</v>
      </c>
      <c r="AC137" s="29"/>
      <c r="AD137" s="17">
        <f>+AD138</f>
        <v>174304</v>
      </c>
      <c r="AE137" s="17"/>
      <c r="AF137" s="13">
        <f t="shared" si="91"/>
        <v>1394432</v>
      </c>
      <c r="AG137" s="29"/>
    </row>
    <row r="138" spans="1:33" x14ac:dyDescent="0.25">
      <c r="A138" s="14">
        <v>529510</v>
      </c>
      <c r="B138" s="15" t="s">
        <v>174</v>
      </c>
      <c r="C138" s="17"/>
      <c r="D138" s="17">
        <v>166560</v>
      </c>
      <c r="E138" s="17">
        <f t="shared" si="41"/>
        <v>0</v>
      </c>
      <c r="F138" s="29"/>
      <c r="G138" s="17">
        <v>174304</v>
      </c>
      <c r="H138" s="17"/>
      <c r="I138" s="13">
        <f t="shared" si="46"/>
        <v>174304</v>
      </c>
      <c r="J138" s="17">
        <v>174304</v>
      </c>
      <c r="K138" s="17"/>
      <c r="L138" s="13">
        <f t="shared" si="68"/>
        <v>348608</v>
      </c>
      <c r="M138" s="29"/>
      <c r="N138" s="200">
        <v>348608</v>
      </c>
      <c r="O138" s="17"/>
      <c r="P138" s="13">
        <f t="shared" si="74"/>
        <v>697216</v>
      </c>
      <c r="Q138" s="29"/>
      <c r="R138" s="17">
        <v>174304</v>
      </c>
      <c r="S138" s="17"/>
      <c r="T138" s="13">
        <f t="shared" si="88"/>
        <v>871520</v>
      </c>
      <c r="U138" s="29"/>
      <c r="V138" s="17">
        <v>174304</v>
      </c>
      <c r="W138" s="17"/>
      <c r="X138" s="13">
        <f t="shared" si="89"/>
        <v>1045824</v>
      </c>
      <c r="Y138" s="29"/>
      <c r="Z138" s="17">
        <v>174304</v>
      </c>
      <c r="AA138" s="17"/>
      <c r="AB138" s="13">
        <f t="shared" si="90"/>
        <v>1220128</v>
      </c>
      <c r="AC138" s="29"/>
      <c r="AD138" s="17">
        <v>174304</v>
      </c>
      <c r="AE138" s="17"/>
      <c r="AF138" s="13">
        <f t="shared" si="91"/>
        <v>1394432</v>
      </c>
      <c r="AG138" s="29"/>
    </row>
    <row r="139" spans="1:33" x14ac:dyDescent="0.25">
      <c r="A139" s="14"/>
      <c r="B139" s="15"/>
      <c r="C139" s="17"/>
      <c r="D139" s="17"/>
      <c r="E139" s="17">
        <f t="shared" si="41"/>
        <v>0</v>
      </c>
      <c r="F139" s="29"/>
      <c r="G139" s="17"/>
      <c r="H139" s="17"/>
      <c r="I139" s="13">
        <f t="shared" si="46"/>
        <v>0</v>
      </c>
      <c r="J139" s="17"/>
      <c r="K139" s="17"/>
      <c r="L139" s="13">
        <f t="shared" si="68"/>
        <v>0</v>
      </c>
      <c r="M139" s="29"/>
      <c r="N139" s="17"/>
      <c r="O139" s="17"/>
      <c r="P139" s="13">
        <f t="shared" si="74"/>
        <v>0</v>
      </c>
      <c r="Q139" s="29"/>
      <c r="R139" s="17"/>
      <c r="S139" s="17"/>
      <c r="T139" s="13">
        <f t="shared" si="88"/>
        <v>0</v>
      </c>
      <c r="U139" s="29"/>
      <c r="V139" s="17"/>
      <c r="W139" s="17"/>
      <c r="X139" s="13">
        <f t="shared" si="89"/>
        <v>0</v>
      </c>
      <c r="Y139" s="29"/>
      <c r="Z139" s="17"/>
      <c r="AA139" s="17"/>
      <c r="AB139" s="13">
        <f t="shared" si="90"/>
        <v>0</v>
      </c>
      <c r="AC139" s="29"/>
      <c r="AD139" s="17"/>
      <c r="AE139" s="17"/>
      <c r="AF139" s="13">
        <f t="shared" si="91"/>
        <v>0</v>
      </c>
      <c r="AG139" s="29"/>
    </row>
    <row r="140" spans="1:33" x14ac:dyDescent="0.25">
      <c r="A140" s="14" t="s">
        <v>120</v>
      </c>
      <c r="B140" s="15" t="s">
        <v>16</v>
      </c>
      <c r="C140" s="17">
        <f>C141+C147</f>
        <v>84384</v>
      </c>
      <c r="D140" s="17">
        <v>0</v>
      </c>
      <c r="E140" s="17">
        <f t="shared" si="41"/>
        <v>84384</v>
      </c>
      <c r="F140" s="18"/>
      <c r="G140" s="17">
        <f>G141+G147</f>
        <v>90397</v>
      </c>
      <c r="H140" s="17">
        <v>0</v>
      </c>
      <c r="I140" s="13">
        <f t="shared" si="46"/>
        <v>174781</v>
      </c>
      <c r="J140" s="16">
        <f>J141+J147</f>
        <v>283417</v>
      </c>
      <c r="K140" s="17">
        <v>0</v>
      </c>
      <c r="L140" s="13">
        <f t="shared" si="68"/>
        <v>458198</v>
      </c>
      <c r="M140" s="18"/>
      <c r="N140" s="16">
        <f>N141+N147</f>
        <v>83335</v>
      </c>
      <c r="O140" s="17">
        <v>0</v>
      </c>
      <c r="P140" s="13">
        <f t="shared" si="74"/>
        <v>541533</v>
      </c>
      <c r="Q140" s="18"/>
      <c r="R140" s="16">
        <f>R141+R147</f>
        <v>77743</v>
      </c>
      <c r="S140" s="17">
        <v>0</v>
      </c>
      <c r="T140" s="13">
        <f t="shared" si="88"/>
        <v>619276</v>
      </c>
      <c r="U140" s="29"/>
      <c r="V140" s="16">
        <f>V141+V147</f>
        <v>97401</v>
      </c>
      <c r="W140" s="17">
        <v>0</v>
      </c>
      <c r="X140" s="13">
        <f t="shared" si="89"/>
        <v>716677</v>
      </c>
      <c r="Y140" s="29"/>
      <c r="Z140" s="16">
        <f>Z141+Z147</f>
        <v>82675</v>
      </c>
      <c r="AA140" s="17">
        <v>0</v>
      </c>
      <c r="AB140" s="13">
        <f t="shared" si="90"/>
        <v>799352</v>
      </c>
      <c r="AC140" s="29"/>
      <c r="AD140" s="16">
        <f>AD141+AD147</f>
        <v>118625</v>
      </c>
      <c r="AE140" s="17">
        <v>0</v>
      </c>
      <c r="AF140" s="13">
        <f t="shared" si="91"/>
        <v>917977</v>
      </c>
      <c r="AG140" s="29"/>
    </row>
    <row r="141" spans="1:33" x14ac:dyDescent="0.25">
      <c r="A141" s="14" t="s">
        <v>121</v>
      </c>
      <c r="B141" s="15" t="s">
        <v>18</v>
      </c>
      <c r="C141" s="17">
        <f>+C142+C143+C144+C145+C146</f>
        <v>84384</v>
      </c>
      <c r="D141" s="17">
        <v>0</v>
      </c>
      <c r="E141" s="17">
        <f t="shared" si="41"/>
        <v>84384</v>
      </c>
      <c r="F141" s="18"/>
      <c r="G141" s="17">
        <f>SUM(G142:G146)</f>
        <v>84948</v>
      </c>
      <c r="H141" s="17">
        <v>0</v>
      </c>
      <c r="I141" s="13">
        <f t="shared" si="46"/>
        <v>169332</v>
      </c>
      <c r="J141" s="17">
        <v>282957</v>
      </c>
      <c r="K141" s="17">
        <v>0</v>
      </c>
      <c r="L141" s="13">
        <f t="shared" si="68"/>
        <v>452289</v>
      </c>
      <c r="M141" s="18"/>
      <c r="N141" s="17">
        <f>SUM(N142:N146)</f>
        <v>83335</v>
      </c>
      <c r="O141" s="17">
        <v>0</v>
      </c>
      <c r="P141" s="13">
        <f t="shared" si="74"/>
        <v>535624</v>
      </c>
      <c r="Q141" s="18"/>
      <c r="R141" s="17">
        <f>SUM(R142:R146)</f>
        <v>77643</v>
      </c>
      <c r="S141" s="17">
        <v>0</v>
      </c>
      <c r="T141" s="13">
        <f t="shared" si="88"/>
        <v>613267</v>
      </c>
      <c r="U141" s="29"/>
      <c r="V141" s="17">
        <f>SUM(V142:V146)</f>
        <v>97387</v>
      </c>
      <c r="W141" s="17">
        <v>0</v>
      </c>
      <c r="X141" s="13">
        <f t="shared" si="89"/>
        <v>710654</v>
      </c>
      <c r="Y141" s="29"/>
      <c r="Z141" s="17">
        <f>SUM(Z142:Z146)</f>
        <v>82675</v>
      </c>
      <c r="AA141" s="17">
        <v>0</v>
      </c>
      <c r="AB141" s="13">
        <f t="shared" si="90"/>
        <v>793329</v>
      </c>
      <c r="AC141" s="29"/>
      <c r="AD141" s="17">
        <f>SUM(AD142:AD146)</f>
        <v>118625</v>
      </c>
      <c r="AE141" s="17">
        <v>0</v>
      </c>
      <c r="AF141" s="13">
        <f t="shared" si="91"/>
        <v>911954</v>
      </c>
      <c r="AG141" s="29"/>
    </row>
    <row r="142" spans="1:33" x14ac:dyDescent="0.25">
      <c r="A142" s="14" t="s">
        <v>122</v>
      </c>
      <c r="B142" s="15" t="s">
        <v>123</v>
      </c>
      <c r="C142" s="17">
        <v>7000</v>
      </c>
      <c r="D142" s="17">
        <v>0</v>
      </c>
      <c r="E142" s="17">
        <f t="shared" si="41"/>
        <v>7000</v>
      </c>
      <c r="F142" s="18"/>
      <c r="G142" s="17">
        <v>7000</v>
      </c>
      <c r="H142" s="17">
        <v>0</v>
      </c>
      <c r="I142" s="13">
        <f t="shared" si="46"/>
        <v>14000</v>
      </c>
      <c r="J142" s="16">
        <v>7000</v>
      </c>
      <c r="K142" s="17">
        <v>0</v>
      </c>
      <c r="L142" s="13">
        <f t="shared" si="68"/>
        <v>21000</v>
      </c>
      <c r="M142" s="18"/>
      <c r="N142" s="16">
        <v>7000</v>
      </c>
      <c r="O142" s="17">
        <v>0</v>
      </c>
      <c r="P142" s="13">
        <f t="shared" si="74"/>
        <v>28000</v>
      </c>
      <c r="Q142" s="18"/>
      <c r="R142" s="16">
        <v>7000</v>
      </c>
      <c r="S142" s="17">
        <v>0</v>
      </c>
      <c r="T142" s="13">
        <f t="shared" si="88"/>
        <v>35000</v>
      </c>
      <c r="U142" s="29"/>
      <c r="V142" s="16">
        <v>7000</v>
      </c>
      <c r="W142" s="17">
        <v>0</v>
      </c>
      <c r="X142" s="13">
        <f t="shared" si="89"/>
        <v>42000</v>
      </c>
      <c r="Y142" s="29"/>
      <c r="Z142" s="16">
        <v>7000</v>
      </c>
      <c r="AA142" s="17">
        <v>0</v>
      </c>
      <c r="AB142" s="13">
        <f t="shared" si="90"/>
        <v>49000</v>
      </c>
      <c r="AC142" s="29"/>
      <c r="AD142" s="16">
        <v>7000</v>
      </c>
      <c r="AE142" s="17">
        <v>0</v>
      </c>
      <c r="AF142" s="13">
        <f t="shared" si="91"/>
        <v>56000</v>
      </c>
      <c r="AG142" s="29"/>
    </row>
    <row r="143" spans="1:33" x14ac:dyDescent="0.25">
      <c r="A143" s="14" t="s">
        <v>124</v>
      </c>
      <c r="B143" s="15" t="s">
        <v>125</v>
      </c>
      <c r="C143" s="17">
        <v>59780</v>
      </c>
      <c r="D143" s="17">
        <v>0</v>
      </c>
      <c r="E143" s="17">
        <f t="shared" ref="E143:E148" si="92">+C143</f>
        <v>59780</v>
      </c>
      <c r="F143" s="29"/>
      <c r="G143" s="17">
        <v>67460</v>
      </c>
      <c r="H143" s="17">
        <v>0</v>
      </c>
      <c r="I143" s="13">
        <f t="shared" si="46"/>
        <v>127240</v>
      </c>
      <c r="J143" s="16">
        <v>113420</v>
      </c>
      <c r="K143" s="17">
        <v>0</v>
      </c>
      <c r="L143" s="13">
        <f t="shared" si="68"/>
        <v>240660</v>
      </c>
      <c r="M143" s="18"/>
      <c r="N143" s="16">
        <v>63260</v>
      </c>
      <c r="O143" s="17">
        <v>0</v>
      </c>
      <c r="P143" s="13">
        <f t="shared" si="74"/>
        <v>303920</v>
      </c>
      <c r="Q143" s="18"/>
      <c r="R143" s="16">
        <v>60407</v>
      </c>
      <c r="S143" s="17">
        <v>0</v>
      </c>
      <c r="T143" s="13">
        <f t="shared" si="88"/>
        <v>364327</v>
      </c>
      <c r="U143" s="29"/>
      <c r="V143" s="16">
        <v>71630</v>
      </c>
      <c r="W143" s="17">
        <v>0</v>
      </c>
      <c r="X143" s="13">
        <f t="shared" si="89"/>
        <v>435957</v>
      </c>
      <c r="Y143" s="29"/>
      <c r="Z143" s="16">
        <v>65360</v>
      </c>
      <c r="AA143" s="17">
        <v>0</v>
      </c>
      <c r="AB143" s="13">
        <f t="shared" si="90"/>
        <v>501317</v>
      </c>
      <c r="AC143" s="29"/>
      <c r="AD143" s="16">
        <v>84650</v>
      </c>
      <c r="AE143" s="17">
        <v>0</v>
      </c>
      <c r="AF143" s="13">
        <f t="shared" si="91"/>
        <v>585967</v>
      </c>
      <c r="AG143" s="29"/>
    </row>
    <row r="144" spans="1:33" x14ac:dyDescent="0.25">
      <c r="A144" s="14" t="s">
        <v>126</v>
      </c>
      <c r="B144" s="15" t="s">
        <v>127</v>
      </c>
      <c r="C144" s="17">
        <v>17604</v>
      </c>
      <c r="D144" s="17">
        <v>0</v>
      </c>
      <c r="E144" s="17">
        <f t="shared" si="92"/>
        <v>17604</v>
      </c>
      <c r="F144" s="29"/>
      <c r="G144" s="17">
        <v>10488</v>
      </c>
      <c r="H144" s="17">
        <v>0</v>
      </c>
      <c r="I144" s="13">
        <f t="shared" si="46"/>
        <v>28092</v>
      </c>
      <c r="J144" s="16">
        <v>162537</v>
      </c>
      <c r="K144" s="17">
        <v>0</v>
      </c>
      <c r="L144" s="13">
        <f>I144+J144</f>
        <v>190629</v>
      </c>
      <c r="M144" s="18"/>
      <c r="N144" s="16">
        <v>13075</v>
      </c>
      <c r="O144" s="17">
        <v>0</v>
      </c>
      <c r="P144" s="13">
        <f t="shared" si="74"/>
        <v>203704</v>
      </c>
      <c r="Q144" s="18"/>
      <c r="R144" s="16">
        <v>10236</v>
      </c>
      <c r="S144" s="17">
        <v>0</v>
      </c>
      <c r="T144" s="13">
        <f t="shared" si="88"/>
        <v>213940</v>
      </c>
      <c r="U144" s="29"/>
      <c r="V144" s="16">
        <v>18757</v>
      </c>
      <c r="W144" s="17">
        <v>0</v>
      </c>
      <c r="X144" s="13">
        <f t="shared" si="89"/>
        <v>232697</v>
      </c>
      <c r="Y144" s="29"/>
      <c r="Z144" s="16">
        <v>10315</v>
      </c>
      <c r="AA144" s="17">
        <v>0</v>
      </c>
      <c r="AB144" s="13">
        <f t="shared" si="90"/>
        <v>243012</v>
      </c>
      <c r="AC144" s="29"/>
      <c r="AD144" s="16">
        <v>26975</v>
      </c>
      <c r="AE144" s="17">
        <v>0</v>
      </c>
      <c r="AF144" s="13">
        <f t="shared" si="91"/>
        <v>269987</v>
      </c>
      <c r="AG144" s="29"/>
    </row>
    <row r="145" spans="1:33" ht="21" customHeight="1" x14ac:dyDescent="0.25">
      <c r="A145" s="14" t="s">
        <v>161</v>
      </c>
      <c r="B145" s="15" t="s">
        <v>146</v>
      </c>
      <c r="C145" s="17">
        <v>0</v>
      </c>
      <c r="D145" s="17">
        <v>0</v>
      </c>
      <c r="E145" s="17">
        <f t="shared" si="92"/>
        <v>0</v>
      </c>
      <c r="F145" s="29"/>
      <c r="G145" s="17">
        <v>0</v>
      </c>
      <c r="H145" s="17">
        <v>0</v>
      </c>
      <c r="I145" s="13">
        <f t="shared" si="46"/>
        <v>0</v>
      </c>
      <c r="J145" s="16">
        <v>0</v>
      </c>
      <c r="K145" s="17">
        <v>0</v>
      </c>
      <c r="L145" s="13">
        <f>I145+J145</f>
        <v>0</v>
      </c>
      <c r="M145" s="18"/>
      <c r="N145" s="16">
        <v>0</v>
      </c>
      <c r="O145" s="17">
        <v>0</v>
      </c>
      <c r="P145" s="13">
        <f t="shared" si="74"/>
        <v>0</v>
      </c>
      <c r="Q145" s="18"/>
      <c r="R145" s="16">
        <v>0</v>
      </c>
      <c r="S145" s="17">
        <v>0</v>
      </c>
      <c r="T145" s="13">
        <f t="shared" si="88"/>
        <v>0</v>
      </c>
      <c r="U145" s="29"/>
      <c r="V145" s="16">
        <v>0</v>
      </c>
      <c r="W145" s="17">
        <v>0</v>
      </c>
      <c r="X145" s="13">
        <f t="shared" si="89"/>
        <v>0</v>
      </c>
      <c r="Y145" s="29"/>
      <c r="Z145" s="16">
        <v>0</v>
      </c>
      <c r="AA145" s="17">
        <v>0</v>
      </c>
      <c r="AB145" s="13">
        <f t="shared" si="90"/>
        <v>0</v>
      </c>
      <c r="AC145" s="29"/>
      <c r="AD145" s="16">
        <v>0</v>
      </c>
      <c r="AE145" s="17">
        <v>0</v>
      </c>
      <c r="AF145" s="13">
        <f t="shared" si="91"/>
        <v>0</v>
      </c>
      <c r="AG145" s="29"/>
    </row>
    <row r="146" spans="1:33" x14ac:dyDescent="0.25">
      <c r="A146" s="14" t="s">
        <v>128</v>
      </c>
      <c r="B146" s="15" t="s">
        <v>165</v>
      </c>
      <c r="C146" s="17">
        <v>0</v>
      </c>
      <c r="D146" s="17">
        <v>0</v>
      </c>
      <c r="E146" s="17">
        <f t="shared" si="92"/>
        <v>0</v>
      </c>
      <c r="F146" s="29"/>
      <c r="G146" s="17">
        <v>0</v>
      </c>
      <c r="H146" s="17">
        <v>0</v>
      </c>
      <c r="I146" s="13">
        <f t="shared" si="46"/>
        <v>0</v>
      </c>
      <c r="J146" s="16">
        <v>0</v>
      </c>
      <c r="K146" s="17">
        <v>0</v>
      </c>
      <c r="L146" s="13">
        <f>I146+J146</f>
        <v>0</v>
      </c>
      <c r="M146" s="18"/>
      <c r="N146" s="16">
        <v>0</v>
      </c>
      <c r="O146" s="17">
        <v>0</v>
      </c>
      <c r="P146" s="13">
        <f t="shared" si="74"/>
        <v>0</v>
      </c>
      <c r="Q146" s="18"/>
      <c r="R146" s="16">
        <v>0</v>
      </c>
      <c r="S146" s="17">
        <v>0</v>
      </c>
      <c r="T146" s="13">
        <f t="shared" si="88"/>
        <v>0</v>
      </c>
      <c r="U146" s="29"/>
      <c r="V146" s="16">
        <v>0</v>
      </c>
      <c r="W146" s="17">
        <v>0</v>
      </c>
      <c r="X146" s="13">
        <f t="shared" si="89"/>
        <v>0</v>
      </c>
      <c r="Y146" s="29"/>
      <c r="Z146" s="16">
        <v>0</v>
      </c>
      <c r="AA146" s="17">
        <v>0</v>
      </c>
      <c r="AB146" s="13">
        <f t="shared" si="90"/>
        <v>0</v>
      </c>
      <c r="AC146" s="29"/>
      <c r="AD146" s="16">
        <v>0</v>
      </c>
      <c r="AE146" s="17">
        <v>0</v>
      </c>
      <c r="AF146" s="13">
        <f t="shared" si="91"/>
        <v>0</v>
      </c>
      <c r="AG146" s="29"/>
    </row>
    <row r="147" spans="1:33" s="131" customFormat="1" ht="30.75" customHeight="1" x14ac:dyDescent="0.25">
      <c r="A147" s="124" t="s">
        <v>129</v>
      </c>
      <c r="B147" s="125" t="s">
        <v>130</v>
      </c>
      <c r="C147" s="126">
        <f>+C148</f>
        <v>0</v>
      </c>
      <c r="D147" s="126">
        <v>0</v>
      </c>
      <c r="E147" s="127">
        <f t="shared" si="92"/>
        <v>0</v>
      </c>
      <c r="F147" s="128"/>
      <c r="G147" s="127">
        <f>+G148+G149</f>
        <v>5449</v>
      </c>
      <c r="H147" s="127">
        <v>0</v>
      </c>
      <c r="I147" s="129">
        <f t="shared" si="46"/>
        <v>5449</v>
      </c>
      <c r="J147" s="130">
        <f>J148</f>
        <v>460</v>
      </c>
      <c r="K147" s="127">
        <v>0</v>
      </c>
      <c r="L147" s="129">
        <f>I147+J147</f>
        <v>5909</v>
      </c>
      <c r="M147" s="128"/>
      <c r="N147" s="130">
        <f>N148</f>
        <v>0</v>
      </c>
      <c r="O147" s="127">
        <v>0</v>
      </c>
      <c r="P147" s="129">
        <f>L147+N147</f>
        <v>5909</v>
      </c>
      <c r="Q147" s="128"/>
      <c r="R147" s="130">
        <f>R148</f>
        <v>100</v>
      </c>
      <c r="S147" s="127">
        <v>0</v>
      </c>
      <c r="T147" s="129">
        <f>P147+R147</f>
        <v>6009</v>
      </c>
      <c r="U147" s="128"/>
      <c r="V147" s="130">
        <f>V148</f>
        <v>14</v>
      </c>
      <c r="W147" s="127">
        <v>0</v>
      </c>
      <c r="X147" s="129">
        <f>T147+V147</f>
        <v>6023</v>
      </c>
      <c r="Y147" s="128"/>
      <c r="Z147" s="130">
        <f>Z148</f>
        <v>0</v>
      </c>
      <c r="AA147" s="127">
        <v>0</v>
      </c>
      <c r="AB147" s="129">
        <f>X147+Z147</f>
        <v>6023</v>
      </c>
      <c r="AC147" s="128"/>
      <c r="AD147" s="130">
        <f>AD148</f>
        <v>0</v>
      </c>
      <c r="AE147" s="127">
        <v>0</v>
      </c>
      <c r="AF147" s="129">
        <f>AB147+AD147</f>
        <v>6023</v>
      </c>
      <c r="AG147" s="128"/>
    </row>
    <row r="148" spans="1:33" x14ac:dyDescent="0.25">
      <c r="A148" s="14" t="s">
        <v>131</v>
      </c>
      <c r="B148" s="15" t="s">
        <v>132</v>
      </c>
      <c r="C148" s="7"/>
      <c r="D148" s="7">
        <v>0</v>
      </c>
      <c r="E148" s="17">
        <f t="shared" si="92"/>
        <v>0</v>
      </c>
      <c r="F148" s="29"/>
      <c r="G148" s="17">
        <v>189</v>
      </c>
      <c r="H148" s="17">
        <v>0</v>
      </c>
      <c r="I148" s="13">
        <f t="shared" si="46"/>
        <v>189</v>
      </c>
      <c r="J148" s="16">
        <v>460</v>
      </c>
      <c r="K148" s="17">
        <v>0</v>
      </c>
      <c r="L148" s="13">
        <f>I148+J148</f>
        <v>649</v>
      </c>
      <c r="M148" s="18"/>
      <c r="N148" s="16">
        <v>0</v>
      </c>
      <c r="O148" s="17">
        <v>0</v>
      </c>
      <c r="P148" s="13">
        <f>L148+N148</f>
        <v>649</v>
      </c>
      <c r="Q148" s="18"/>
      <c r="R148" s="16">
        <v>100</v>
      </c>
      <c r="S148" s="17">
        <v>0</v>
      </c>
      <c r="T148" s="13">
        <f>P148+R148</f>
        <v>749</v>
      </c>
      <c r="U148" s="29"/>
      <c r="V148" s="16">
        <v>14</v>
      </c>
      <c r="W148" s="17">
        <v>0</v>
      </c>
      <c r="X148" s="13">
        <f>T148+V148</f>
        <v>763</v>
      </c>
      <c r="Y148" s="29"/>
      <c r="Z148" s="16">
        <v>0</v>
      </c>
      <c r="AA148" s="17">
        <v>0</v>
      </c>
      <c r="AB148" s="13">
        <f>X148+Z148</f>
        <v>763</v>
      </c>
      <c r="AC148" s="29"/>
      <c r="AD148" s="16">
        <v>0</v>
      </c>
      <c r="AE148" s="17">
        <v>0</v>
      </c>
      <c r="AF148" s="13">
        <f>AB148+AD148</f>
        <v>763</v>
      </c>
      <c r="AG148" s="29"/>
    </row>
    <row r="149" spans="1:33" x14ac:dyDescent="0.25">
      <c r="A149" s="14">
        <v>531525</v>
      </c>
      <c r="B149" s="15" t="s">
        <v>346</v>
      </c>
      <c r="C149" s="22"/>
      <c r="D149" s="22"/>
      <c r="E149" s="17">
        <f t="shared" ref="E149" si="93">+D149</f>
        <v>0</v>
      </c>
      <c r="F149" s="29"/>
      <c r="G149" s="203">
        <v>5260</v>
      </c>
      <c r="H149" s="17">
        <v>0</v>
      </c>
      <c r="I149" s="13">
        <v>0</v>
      </c>
      <c r="J149" s="16">
        <v>0</v>
      </c>
      <c r="K149" s="17">
        <v>0</v>
      </c>
      <c r="L149" s="17">
        <v>0</v>
      </c>
      <c r="M149" s="18"/>
      <c r="N149" s="16">
        <v>0</v>
      </c>
      <c r="O149" s="17">
        <v>0</v>
      </c>
      <c r="P149" s="17">
        <v>0</v>
      </c>
      <c r="Q149" s="18"/>
      <c r="R149" s="16">
        <v>0</v>
      </c>
      <c r="S149" s="17">
        <v>0</v>
      </c>
      <c r="T149" s="17">
        <v>0</v>
      </c>
      <c r="U149" s="29"/>
      <c r="V149" s="16">
        <v>0</v>
      </c>
      <c r="W149" s="17">
        <v>0</v>
      </c>
      <c r="X149" s="17">
        <v>0</v>
      </c>
      <c r="Y149" s="29"/>
      <c r="Z149" s="16">
        <v>0</v>
      </c>
      <c r="AA149" s="17">
        <v>0</v>
      </c>
      <c r="AB149" s="17">
        <v>0</v>
      </c>
      <c r="AC149" s="29"/>
      <c r="AD149" s="16">
        <v>0</v>
      </c>
      <c r="AE149" s="17">
        <v>0</v>
      </c>
      <c r="AF149" s="17">
        <v>0</v>
      </c>
      <c r="AG149" s="29"/>
    </row>
    <row r="150" spans="1:33" x14ac:dyDescent="0.25">
      <c r="A150" s="14"/>
      <c r="B150" s="15"/>
      <c r="C150" s="22"/>
      <c r="D150" s="22"/>
      <c r="E150" s="17"/>
      <c r="F150" s="29"/>
      <c r="G150" s="17"/>
      <c r="H150" s="17"/>
      <c r="I150" s="13"/>
      <c r="J150" s="16"/>
      <c r="K150" s="17"/>
      <c r="L150" s="17"/>
      <c r="M150" s="134"/>
      <c r="N150" s="17"/>
      <c r="O150" s="17"/>
      <c r="P150" s="17"/>
      <c r="Q150" s="29"/>
      <c r="R150" s="17"/>
      <c r="S150" s="17"/>
      <c r="T150" s="17"/>
      <c r="U150" s="29"/>
      <c r="V150" s="17"/>
      <c r="W150" s="17"/>
      <c r="X150" s="17"/>
      <c r="Y150" s="29"/>
      <c r="Z150" s="17"/>
      <c r="AA150" s="17"/>
      <c r="AB150" s="17"/>
      <c r="AC150" s="29"/>
      <c r="AD150" s="17"/>
      <c r="AE150" s="17"/>
      <c r="AF150" s="17"/>
      <c r="AG150" s="29"/>
    </row>
    <row r="151" spans="1:33" x14ac:dyDescent="0.25">
      <c r="A151" s="14"/>
      <c r="B151" s="15" t="s">
        <v>133</v>
      </c>
      <c r="C151" s="17"/>
      <c r="D151" s="17">
        <f>D7</f>
        <v>11344635</v>
      </c>
      <c r="E151" s="17">
        <f>+D151</f>
        <v>11344635</v>
      </c>
      <c r="F151" s="29"/>
      <c r="G151" s="17">
        <v>0</v>
      </c>
      <c r="H151" s="17">
        <f>H7</f>
        <v>12286773</v>
      </c>
      <c r="I151" s="13">
        <f>E151+H151</f>
        <v>23631408</v>
      </c>
      <c r="J151" s="16">
        <v>0</v>
      </c>
      <c r="K151" s="17">
        <f>K7</f>
        <v>14156650</v>
      </c>
      <c r="L151" s="17">
        <f>I151+K151</f>
        <v>37788058</v>
      </c>
      <c r="M151" s="2"/>
      <c r="N151" s="17">
        <f>N7</f>
        <v>0</v>
      </c>
      <c r="O151" s="17">
        <f>O7</f>
        <v>15531100</v>
      </c>
      <c r="P151" s="17">
        <f>L151+O151</f>
        <v>53319158</v>
      </c>
      <c r="Q151" s="18"/>
      <c r="R151" s="17">
        <f>R7</f>
        <v>0</v>
      </c>
      <c r="S151" s="17">
        <f>S7</f>
        <v>14472469</v>
      </c>
      <c r="T151" s="17">
        <f>P151+S151</f>
        <v>67791627</v>
      </c>
      <c r="U151" s="29"/>
      <c r="V151" s="17">
        <f>V7</f>
        <v>0</v>
      </c>
      <c r="W151" s="17">
        <f>W7</f>
        <v>19253718</v>
      </c>
      <c r="X151" s="17">
        <f>T151+W151</f>
        <v>87045345</v>
      </c>
      <c r="Y151" s="29"/>
      <c r="Z151" s="17">
        <f>Z7</f>
        <v>0</v>
      </c>
      <c r="AA151" s="17">
        <f>AA7</f>
        <v>12791478</v>
      </c>
      <c r="AB151" s="17">
        <f>X151+AA151</f>
        <v>99836823</v>
      </c>
      <c r="AC151" s="29"/>
      <c r="AD151" s="17">
        <f>AD7</f>
        <v>0</v>
      </c>
      <c r="AE151" s="17">
        <f>AE7</f>
        <v>14702304</v>
      </c>
      <c r="AF151" s="17">
        <f>AB151+AE151</f>
        <v>114539127</v>
      </c>
      <c r="AG151" s="29"/>
    </row>
    <row r="152" spans="1:33" ht="32.25" customHeight="1" x14ac:dyDescent="0.25">
      <c r="A152" s="23"/>
      <c r="B152" s="15" t="s">
        <v>137</v>
      </c>
      <c r="C152" s="17"/>
      <c r="D152" s="17">
        <f>D151-D19</f>
        <v>9384035</v>
      </c>
      <c r="E152" s="17">
        <f t="shared" ref="E152" si="94">+D152</f>
        <v>9384035</v>
      </c>
      <c r="F152" s="29"/>
      <c r="G152" s="17"/>
      <c r="H152" s="17">
        <f>H151-H19</f>
        <v>10326173</v>
      </c>
      <c r="I152" s="13">
        <f>E152+H152</f>
        <v>19710208</v>
      </c>
      <c r="J152" s="16"/>
      <c r="K152" s="17">
        <f>K151-K19</f>
        <v>12196050</v>
      </c>
      <c r="L152" s="17">
        <f>I152+K152</f>
        <v>31906258</v>
      </c>
      <c r="M152" s="2"/>
      <c r="N152" s="16"/>
      <c r="O152" s="17">
        <f>O151-O19</f>
        <v>13570500</v>
      </c>
      <c r="P152" s="17">
        <f>L152+O152</f>
        <v>45476758</v>
      </c>
      <c r="Q152" s="18"/>
      <c r="R152" s="16"/>
      <c r="S152" s="17">
        <f>S151-S19</f>
        <v>12511869</v>
      </c>
      <c r="T152" s="17">
        <f>P152+S152</f>
        <v>57988627</v>
      </c>
      <c r="U152" s="29"/>
      <c r="V152" s="16"/>
      <c r="W152" s="17">
        <f>W151-W19</f>
        <v>17293118</v>
      </c>
      <c r="X152" s="17">
        <f>T152+W152</f>
        <v>75281745</v>
      </c>
      <c r="Y152" s="29"/>
      <c r="Z152" s="16"/>
      <c r="AA152" s="17">
        <f>AA151-AA19</f>
        <v>10830878</v>
      </c>
      <c r="AB152" s="17">
        <f>X152+AA152</f>
        <v>86112623</v>
      </c>
      <c r="AC152" s="29"/>
      <c r="AD152" s="16"/>
      <c r="AE152" s="17">
        <f>AE151-AE19</f>
        <v>12741704</v>
      </c>
      <c r="AF152" s="17">
        <f>AB152+AE152</f>
        <v>98854327</v>
      </c>
      <c r="AG152" s="29"/>
    </row>
    <row r="153" spans="1:33" ht="15.75" thickBot="1" x14ac:dyDescent="0.3">
      <c r="A153" s="3"/>
      <c r="B153" s="15" t="s">
        <v>134</v>
      </c>
      <c r="C153" s="17">
        <f>C27-C118</f>
        <v>9031235</v>
      </c>
      <c r="D153" s="17">
        <v>0</v>
      </c>
      <c r="E153" s="13">
        <f>+C153+E154</f>
        <v>9384035</v>
      </c>
      <c r="F153" s="29"/>
      <c r="G153" s="17">
        <f>G27-G118</f>
        <v>12420337</v>
      </c>
      <c r="H153" s="17">
        <v>0</v>
      </c>
      <c r="I153" s="13">
        <f>E153+I154</f>
        <v>7642671</v>
      </c>
      <c r="J153" s="17">
        <f>J27-J118</f>
        <v>13591375</v>
      </c>
      <c r="K153" s="17">
        <v>0</v>
      </c>
      <c r="L153" s="13">
        <f>I153+L154</f>
        <v>4505982</v>
      </c>
      <c r="M153" s="2"/>
      <c r="N153" s="17">
        <f>N27-N118</f>
        <v>17060981</v>
      </c>
      <c r="O153" s="17">
        <v>0</v>
      </c>
      <c r="P153" s="100">
        <f>L153+P154</f>
        <v>-2121188</v>
      </c>
      <c r="Q153" s="18"/>
      <c r="R153" s="17">
        <f>R27-R118</f>
        <v>11744516.633333333</v>
      </c>
      <c r="S153" s="17">
        <v>0</v>
      </c>
      <c r="T153" s="100">
        <f>P153+T154</f>
        <v>-7981005.6333333328</v>
      </c>
      <c r="U153" s="29"/>
      <c r="V153" s="17">
        <f>V27-V118</f>
        <v>12797380</v>
      </c>
      <c r="W153" s="17">
        <v>0</v>
      </c>
      <c r="X153" s="100">
        <f>T153+X154</f>
        <v>-9345085.2666666657</v>
      </c>
      <c r="Y153" s="29"/>
      <c r="Z153" s="17">
        <f>Z27-Z118</f>
        <v>13357892</v>
      </c>
      <c r="AA153" s="17">
        <v>0</v>
      </c>
      <c r="AB153" s="100">
        <f>X153+AB154</f>
        <v>-13236178.899999999</v>
      </c>
      <c r="AC153" s="29"/>
      <c r="AD153" s="17">
        <f>AD27-AD118</f>
        <v>12441445</v>
      </c>
      <c r="AE153" s="17">
        <v>0</v>
      </c>
      <c r="AF153" s="100">
        <f>AB153+AF154</f>
        <v>-16827013.533333331</v>
      </c>
      <c r="AG153" s="219"/>
    </row>
    <row r="154" spans="1:33" ht="66" customHeight="1" thickBot="1" x14ac:dyDescent="0.3">
      <c r="A154" s="4"/>
      <c r="B154" s="24" t="s">
        <v>138</v>
      </c>
      <c r="C154" s="25">
        <f>C153</f>
        <v>9031235</v>
      </c>
      <c r="D154" s="25">
        <f>+D152</f>
        <v>9384035</v>
      </c>
      <c r="E154" s="25">
        <f>+D154-C154</f>
        <v>352800</v>
      </c>
      <c r="F154" s="25"/>
      <c r="G154" s="25">
        <f>G153</f>
        <v>12420337</v>
      </c>
      <c r="H154" s="25">
        <f>+H152</f>
        <v>10326173</v>
      </c>
      <c r="I154" s="25">
        <f>+E154+H154-G154</f>
        <v>-1741364</v>
      </c>
      <c r="J154" s="25">
        <f>J27-J118</f>
        <v>13591375</v>
      </c>
      <c r="K154" s="25">
        <f>K152</f>
        <v>12196050</v>
      </c>
      <c r="L154" s="25">
        <f>+I154+K154-J154</f>
        <v>-3136689</v>
      </c>
      <c r="M154" s="25"/>
      <c r="N154" s="25">
        <f>N153</f>
        <v>17060981</v>
      </c>
      <c r="O154" s="25">
        <f>+O152</f>
        <v>13570500</v>
      </c>
      <c r="P154" s="102">
        <f>+L154+O154-N154</f>
        <v>-6627170</v>
      </c>
      <c r="Q154" s="101" t="s">
        <v>310</v>
      </c>
      <c r="R154" s="25">
        <f>R153</f>
        <v>11744516.633333333</v>
      </c>
      <c r="S154" s="25">
        <f>+S152</f>
        <v>12511869</v>
      </c>
      <c r="T154" s="102">
        <f>+P154+S154-R154</f>
        <v>-5859817.6333333328</v>
      </c>
      <c r="U154" s="101"/>
      <c r="V154" s="25">
        <f>V153</f>
        <v>12797380</v>
      </c>
      <c r="W154" s="25">
        <f>+W152</f>
        <v>17293118</v>
      </c>
      <c r="X154" s="102">
        <f>+T154+W154-V154</f>
        <v>-1364079.6333333328</v>
      </c>
      <c r="Y154" s="101"/>
      <c r="Z154" s="25">
        <f>Z153</f>
        <v>13357892</v>
      </c>
      <c r="AA154" s="25">
        <f>+AA152</f>
        <v>10830878</v>
      </c>
      <c r="AB154" s="102">
        <f>+X154+AA154-Z154</f>
        <v>-3891093.6333333328</v>
      </c>
      <c r="AC154" s="101"/>
      <c r="AD154" s="25">
        <f>AD153</f>
        <v>12441445</v>
      </c>
      <c r="AE154" s="25">
        <f>+AE152</f>
        <v>12741704</v>
      </c>
      <c r="AF154" s="102">
        <f>+AB154+AE154-AD154</f>
        <v>-3590834.6333333328</v>
      </c>
      <c r="AG154" s="101" t="s">
        <v>310</v>
      </c>
    </row>
    <row r="155" spans="1:33" x14ac:dyDescent="0.25">
      <c r="B155" s="146" t="s">
        <v>347</v>
      </c>
      <c r="C155" s="241" t="s">
        <v>348</v>
      </c>
      <c r="D155" s="241"/>
      <c r="E155" s="5">
        <f>+D154-C154</f>
        <v>352800</v>
      </c>
      <c r="G155" s="241" t="s">
        <v>185</v>
      </c>
      <c r="H155" s="241"/>
      <c r="I155" s="5">
        <f>+H154-G154</f>
        <v>-2094164</v>
      </c>
      <c r="J155" s="241" t="s">
        <v>349</v>
      </c>
      <c r="K155" s="241"/>
      <c r="L155" s="5">
        <f>+K154-J154</f>
        <v>-1395325</v>
      </c>
      <c r="N155" s="241" t="s">
        <v>187</v>
      </c>
      <c r="O155" s="241"/>
      <c r="P155" s="5">
        <f>+O154-N154</f>
        <v>-3490481</v>
      </c>
      <c r="R155" s="241" t="s">
        <v>381</v>
      </c>
      <c r="S155" s="241"/>
      <c r="T155" s="208">
        <f>+S154-R154</f>
        <v>767352.36666666716</v>
      </c>
      <c r="V155" s="241" t="s">
        <v>189</v>
      </c>
      <c r="W155" s="241"/>
      <c r="X155" s="5">
        <f>+W154-V154</f>
        <v>4495738</v>
      </c>
      <c r="Z155" s="241" t="s">
        <v>190</v>
      </c>
      <c r="AA155" s="241"/>
      <c r="AB155" s="205">
        <f>+AA154-Z154</f>
        <v>-2527014</v>
      </c>
      <c r="AD155" s="241" t="s">
        <v>191</v>
      </c>
      <c r="AE155" s="241"/>
      <c r="AF155" s="215">
        <f>+AE154-AD154</f>
        <v>300259</v>
      </c>
    </row>
    <row r="156" spans="1:33" x14ac:dyDescent="0.25">
      <c r="J156" s="6"/>
    </row>
    <row r="158" spans="1:33" x14ac:dyDescent="0.25">
      <c r="AF158" s="6"/>
    </row>
    <row r="159" spans="1:33" x14ac:dyDescent="0.25">
      <c r="AF159" s="6"/>
    </row>
  </sheetData>
  <mergeCells count="34">
    <mergeCell ref="R155:S155"/>
    <mergeCell ref="V155:W155"/>
    <mergeCell ref="Z155:AA155"/>
    <mergeCell ref="AD155:AE155"/>
    <mergeCell ref="C155:D155"/>
    <mergeCell ref="G155:H155"/>
    <mergeCell ref="J155:K155"/>
    <mergeCell ref="N155:O155"/>
    <mergeCell ref="P5:Q5"/>
    <mergeCell ref="L5:M5"/>
    <mergeCell ref="N5:O5"/>
    <mergeCell ref="A1:Q1"/>
    <mergeCell ref="A2:Q2"/>
    <mergeCell ref="C4:F4"/>
    <mergeCell ref="G4:I4"/>
    <mergeCell ref="J4:M4"/>
    <mergeCell ref="N4:Q4"/>
    <mergeCell ref="A5:B5"/>
    <mergeCell ref="C5:D5"/>
    <mergeCell ref="E5:F5"/>
    <mergeCell ref="G5:H5"/>
    <mergeCell ref="J5:K5"/>
    <mergeCell ref="R4:U4"/>
    <mergeCell ref="R5:S5"/>
    <mergeCell ref="T5:U5"/>
    <mergeCell ref="V4:Y4"/>
    <mergeCell ref="V5:W5"/>
    <mergeCell ref="X5:Y5"/>
    <mergeCell ref="Z4:AC4"/>
    <mergeCell ref="Z5:AA5"/>
    <mergeCell ref="AB5:AC5"/>
    <mergeCell ref="AD4:AG4"/>
    <mergeCell ref="AD5:AE5"/>
    <mergeCell ref="AF5:AG5"/>
  </mergeCells>
  <pageMargins left="0.70866141732283472" right="0.70866141732283472" top="0.74803149606299213" bottom="0.74803149606299213" header="0.31496062992125984" footer="0.31496062992125984"/>
  <pageSetup scale="29" orientation="portrait" horizontalDpi="360" verticalDpi="360" r:id="rId1"/>
  <rowBreaks count="1" manualBreakCount="1">
    <brk id="76" max="16383" man="1"/>
  </rowBreaks>
  <colBreaks count="2" manualBreakCount="2">
    <brk id="9" max="1048575" man="1"/>
    <brk id="34" max="15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4"/>
  <sheetViews>
    <sheetView view="pageBreakPreview" topLeftCell="G1" zoomScaleNormal="100" zoomScaleSheetLayoutView="100" workbookViewId="0">
      <selection activeCell="R10" sqref="R10:R13"/>
    </sheetView>
  </sheetViews>
  <sheetFormatPr baseColWidth="10" defaultRowHeight="12.75" x14ac:dyDescent="0.2"/>
  <cols>
    <col min="1" max="1" width="4.140625" style="1" customWidth="1"/>
    <col min="2" max="2" width="11.42578125" style="1"/>
    <col min="3" max="3" width="15.28515625" style="1" bestFit="1" customWidth="1"/>
    <col min="4" max="4" width="16.85546875" style="1" customWidth="1"/>
    <col min="5" max="7" width="22.5703125" style="1" bestFit="1" customWidth="1"/>
    <col min="8" max="8" width="14.28515625" style="1" customWidth="1"/>
    <col min="9" max="9" width="15.7109375" style="1" customWidth="1"/>
    <col min="10" max="10" width="15.42578125" style="1" customWidth="1"/>
    <col min="11" max="11" width="15.28515625" style="1" bestFit="1" customWidth="1"/>
    <col min="12" max="14" width="16.5703125" style="1" customWidth="1"/>
    <col min="15" max="15" width="13.85546875" style="1" customWidth="1"/>
    <col min="16" max="16" width="14.85546875" style="1" bestFit="1" customWidth="1"/>
    <col min="17" max="19" width="13.7109375" style="1" customWidth="1"/>
    <col min="20" max="20" width="17.5703125" style="1" customWidth="1"/>
    <col min="21" max="21" width="14.28515625" style="1" bestFit="1" customWidth="1"/>
    <col min="22" max="22" width="14.28515625" style="1" customWidth="1"/>
    <col min="23" max="16384" width="11.42578125" style="1"/>
  </cols>
  <sheetData>
    <row r="1" spans="1:32" x14ac:dyDescent="0.2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3"/>
    </row>
    <row r="2" spans="1:32" x14ac:dyDescent="0.2">
      <c r="A2" s="3"/>
      <c r="J2" s="86"/>
      <c r="K2" s="86"/>
      <c r="AF2" s="2"/>
    </row>
    <row r="3" spans="1:32" x14ac:dyDescent="0.2">
      <c r="A3" s="3"/>
      <c r="J3" s="86"/>
      <c r="L3" s="86"/>
      <c r="M3" s="86"/>
      <c r="N3" s="86"/>
      <c r="AF3" s="2"/>
    </row>
    <row r="4" spans="1:32" ht="13.5" thickBot="1" x14ac:dyDescent="0.25">
      <c r="A4" s="3"/>
      <c r="O4" s="86"/>
      <c r="AF4" s="2"/>
    </row>
    <row r="5" spans="1:32" ht="38.25" customHeight="1" thickBot="1" x14ac:dyDescent="0.25">
      <c r="A5" s="3"/>
      <c r="B5" s="44" t="s">
        <v>176</v>
      </c>
      <c r="C5" s="191" t="s">
        <v>371</v>
      </c>
      <c r="D5" s="174" t="s">
        <v>353</v>
      </c>
      <c r="E5" s="173" t="s">
        <v>199</v>
      </c>
      <c r="F5" s="78" t="s">
        <v>177</v>
      </c>
      <c r="G5" s="46" t="s">
        <v>178</v>
      </c>
      <c r="H5" s="189" t="s">
        <v>372</v>
      </c>
      <c r="I5" s="170" t="s">
        <v>354</v>
      </c>
      <c r="J5" s="175" t="s">
        <v>200</v>
      </c>
      <c r="K5" s="44" t="s">
        <v>179</v>
      </c>
      <c r="L5" s="46" t="s">
        <v>180</v>
      </c>
      <c r="M5" s="170" t="s">
        <v>373</v>
      </c>
      <c r="N5" s="170" t="s">
        <v>355</v>
      </c>
      <c r="O5" s="161" t="s">
        <v>201</v>
      </c>
      <c r="P5" s="45" t="s">
        <v>181</v>
      </c>
      <c r="Q5" s="46" t="s">
        <v>182</v>
      </c>
      <c r="R5" s="165" t="s">
        <v>374</v>
      </c>
      <c r="S5" s="165" t="s">
        <v>356</v>
      </c>
      <c r="T5" s="161" t="s">
        <v>336</v>
      </c>
      <c r="U5" s="45" t="s">
        <v>335</v>
      </c>
      <c r="V5" s="46" t="s">
        <v>198</v>
      </c>
      <c r="AF5" s="2"/>
    </row>
    <row r="6" spans="1:32" ht="15.75" x14ac:dyDescent="0.25">
      <c r="A6" s="3"/>
      <c r="B6" s="48" t="s">
        <v>184</v>
      </c>
      <c r="C6" s="162">
        <v>4088450</v>
      </c>
      <c r="D6" s="172">
        <v>9772741</v>
      </c>
      <c r="E6" s="162">
        <v>5232922</v>
      </c>
      <c r="F6" s="47">
        <v>20519674</v>
      </c>
      <c r="G6" s="47">
        <v>4068398</v>
      </c>
      <c r="H6" s="47">
        <v>5295548</v>
      </c>
      <c r="I6" s="177">
        <v>4656136</v>
      </c>
      <c r="J6" s="162">
        <v>7998115</v>
      </c>
      <c r="K6" s="47">
        <v>5489862</v>
      </c>
      <c r="L6" s="47">
        <v>3111549</v>
      </c>
      <c r="M6" s="47">
        <f>+'PYG '!C153</f>
        <v>9031235</v>
      </c>
      <c r="N6" s="171">
        <v>11183760</v>
      </c>
      <c r="O6" s="169">
        <v>8192569</v>
      </c>
      <c r="P6" s="47">
        <v>7055307</v>
      </c>
      <c r="Q6" s="47">
        <v>10452832</v>
      </c>
      <c r="R6" s="47">
        <v>352800</v>
      </c>
      <c r="S6" s="166">
        <v>3245117</v>
      </c>
      <c r="T6" s="162">
        <v>5038468</v>
      </c>
      <c r="U6" s="47">
        <v>18954229</v>
      </c>
      <c r="V6" s="47">
        <v>-3272885</v>
      </c>
      <c r="AF6" s="2"/>
    </row>
    <row r="7" spans="1:32" ht="15.75" x14ac:dyDescent="0.25">
      <c r="A7" s="3"/>
      <c r="B7" s="48" t="s">
        <v>185</v>
      </c>
      <c r="C7" s="162">
        <v>3444630</v>
      </c>
      <c r="D7" s="172">
        <v>8662267</v>
      </c>
      <c r="E7" s="162">
        <v>6735984</v>
      </c>
      <c r="F7" s="47">
        <v>347610</v>
      </c>
      <c r="G7" s="47">
        <v>3781685</v>
      </c>
      <c r="H7" s="47">
        <v>6881543</v>
      </c>
      <c r="I7" s="177">
        <v>7804429</v>
      </c>
      <c r="J7" s="162">
        <v>4974355</v>
      </c>
      <c r="K7" s="47">
        <v>7374328</v>
      </c>
      <c r="L7" s="47">
        <v>8157506</v>
      </c>
      <c r="M7" s="47">
        <f>+'PYG '!G153</f>
        <v>12420337</v>
      </c>
      <c r="N7" s="171">
        <v>13337610</v>
      </c>
      <c r="O7" s="169">
        <v>8084721</v>
      </c>
      <c r="P7" s="47">
        <v>8975623</v>
      </c>
      <c r="Q7" s="47">
        <v>8843670</v>
      </c>
      <c r="R7" s="47">
        <f t="shared" ref="R7:R13" si="0">+C7+H7-M7</f>
        <v>-2094164</v>
      </c>
      <c r="S7" s="166">
        <v>3129086</v>
      </c>
      <c r="T7" s="162">
        <v>3625618</v>
      </c>
      <c r="U7" s="47">
        <v>-1253685</v>
      </c>
      <c r="V7" s="47">
        <v>3095521</v>
      </c>
      <c r="AF7" s="2"/>
    </row>
    <row r="8" spans="1:32" ht="15.75" x14ac:dyDescent="0.25">
      <c r="A8" s="3"/>
      <c r="B8" s="48" t="s">
        <v>186</v>
      </c>
      <c r="C8" s="162">
        <v>4294490</v>
      </c>
      <c r="D8" s="172">
        <v>11213082</v>
      </c>
      <c r="E8" s="162">
        <v>4072345</v>
      </c>
      <c r="F8" s="47">
        <v>245528</v>
      </c>
      <c r="G8" s="47">
        <v>3264345</v>
      </c>
      <c r="H8" s="47">
        <v>7901560</v>
      </c>
      <c r="I8" s="177">
        <v>5900305</v>
      </c>
      <c r="J8" s="162">
        <v>7130437</v>
      </c>
      <c r="K8" s="47">
        <v>5439456</v>
      </c>
      <c r="L8" s="47">
        <v>5780617</v>
      </c>
      <c r="M8" s="47">
        <f>+'PYG '!J153</f>
        <v>13591375</v>
      </c>
      <c r="N8" s="171">
        <v>10865138</v>
      </c>
      <c r="O8" s="169">
        <v>8025783</v>
      </c>
      <c r="P8" s="47">
        <v>9788704</v>
      </c>
      <c r="Q8" s="47">
        <v>8621927</v>
      </c>
      <c r="R8" s="47">
        <f t="shared" si="0"/>
        <v>-1395325</v>
      </c>
      <c r="S8" s="166">
        <v>6248249</v>
      </c>
      <c r="T8" s="162">
        <v>3176999</v>
      </c>
      <c r="U8" s="47">
        <v>-4103720</v>
      </c>
      <c r="V8" s="47">
        <v>423035</v>
      </c>
      <c r="AF8" s="2"/>
    </row>
    <row r="9" spans="1:32" ht="15.75" x14ac:dyDescent="0.25">
      <c r="A9" s="3"/>
      <c r="B9" s="48" t="s">
        <v>187</v>
      </c>
      <c r="C9" s="162">
        <v>3094715</v>
      </c>
      <c r="D9" s="172">
        <v>109000</v>
      </c>
      <c r="E9" s="162">
        <v>8902568</v>
      </c>
      <c r="F9" s="47">
        <v>311788</v>
      </c>
      <c r="G9" s="47">
        <v>5714524</v>
      </c>
      <c r="H9" s="47">
        <v>10475785</v>
      </c>
      <c r="I9" s="177">
        <v>121014</v>
      </c>
      <c r="J9" s="162">
        <v>6001004</v>
      </c>
      <c r="K9" s="47">
        <v>7142915</v>
      </c>
      <c r="L9" s="47">
        <v>5636163</v>
      </c>
      <c r="M9" s="47">
        <f>+'PYG '!N153</f>
        <v>17060981</v>
      </c>
      <c r="N9" s="171">
        <v>8424882</v>
      </c>
      <c r="O9" s="169">
        <v>11161681</v>
      </c>
      <c r="P9" s="47">
        <v>9211395</v>
      </c>
      <c r="Q9" s="47">
        <v>6162384</v>
      </c>
      <c r="R9" s="47">
        <f t="shared" si="0"/>
        <v>-3490481</v>
      </c>
      <c r="S9" s="166">
        <v>-8194868</v>
      </c>
      <c r="T9" s="162">
        <v>3741891</v>
      </c>
      <c r="U9" s="47">
        <v>-1756692</v>
      </c>
      <c r="V9" s="47">
        <v>5188303</v>
      </c>
      <c r="AF9" s="2"/>
    </row>
    <row r="10" spans="1:32" ht="15.75" x14ac:dyDescent="0.25">
      <c r="A10" s="3"/>
      <c r="B10" s="48" t="s">
        <v>188</v>
      </c>
      <c r="C10" s="162">
        <f>+'PYG '!S9</f>
        <v>3036250</v>
      </c>
      <c r="D10" s="172"/>
      <c r="E10" s="162">
        <v>4831245</v>
      </c>
      <c r="F10" s="47">
        <v>2070588</v>
      </c>
      <c r="G10" s="47">
        <v>1563099</v>
      </c>
      <c r="H10" s="47">
        <v>9475619</v>
      </c>
      <c r="I10" s="177">
        <v>1804105</v>
      </c>
      <c r="J10" s="162">
        <v>7419178</v>
      </c>
      <c r="K10" s="47">
        <v>5721041</v>
      </c>
      <c r="L10" s="47">
        <v>13796936</v>
      </c>
      <c r="M10" s="47">
        <f>+'PYG '!R153</f>
        <v>11744516.633333333</v>
      </c>
      <c r="N10" s="171">
        <v>10909925</v>
      </c>
      <c r="O10" s="169">
        <v>10164486</v>
      </c>
      <c r="P10" s="47">
        <v>8014528</v>
      </c>
      <c r="Q10" s="47">
        <v>10155182</v>
      </c>
      <c r="R10" s="47">
        <f t="shared" si="0"/>
        <v>767352.36666666716</v>
      </c>
      <c r="S10" s="166">
        <v>-9105820</v>
      </c>
      <c r="T10" s="162">
        <v>2085937</v>
      </c>
      <c r="U10" s="47">
        <v>-222899</v>
      </c>
      <c r="V10" s="47">
        <v>5204853</v>
      </c>
      <c r="AF10" s="2"/>
    </row>
    <row r="11" spans="1:32" ht="15.75" x14ac:dyDescent="0.25">
      <c r="A11" s="3"/>
      <c r="B11" s="48" t="s">
        <v>189</v>
      </c>
      <c r="C11" s="162">
        <f>+'PYG '!W9</f>
        <v>3220640</v>
      </c>
      <c r="D11" s="172">
        <v>15088775</v>
      </c>
      <c r="E11" s="162">
        <v>2541098</v>
      </c>
      <c r="F11" s="47">
        <v>4186225</v>
      </c>
      <c r="G11" s="47">
        <v>2504537</v>
      </c>
      <c r="H11" s="47">
        <v>14072478</v>
      </c>
      <c r="I11" s="177">
        <v>5883300</v>
      </c>
      <c r="J11" s="162">
        <v>6384585</v>
      </c>
      <c r="K11" s="47">
        <v>4021740</v>
      </c>
      <c r="L11" s="47">
        <v>6565667</v>
      </c>
      <c r="M11" s="47">
        <f>+'PYG '!V154</f>
        <v>12797380</v>
      </c>
      <c r="N11" s="171">
        <v>12990071</v>
      </c>
      <c r="O11" s="169">
        <v>8433671</v>
      </c>
      <c r="P11" s="47">
        <v>7385244</v>
      </c>
      <c r="Q11" s="47">
        <v>14240736</v>
      </c>
      <c r="R11" s="47">
        <f t="shared" si="0"/>
        <v>4495738</v>
      </c>
      <c r="S11" s="166">
        <v>7982004</v>
      </c>
      <c r="T11" s="162">
        <v>492012</v>
      </c>
      <c r="U11" s="47">
        <v>822721</v>
      </c>
      <c r="V11" s="47">
        <v>-5170532</v>
      </c>
      <c r="AF11" s="2"/>
    </row>
    <row r="12" spans="1:32" ht="15.75" x14ac:dyDescent="0.25">
      <c r="A12" s="3"/>
      <c r="B12" s="48" t="s">
        <v>190</v>
      </c>
      <c r="C12" s="162">
        <f>+'PYG '!AA9</f>
        <v>2982171</v>
      </c>
      <c r="D12" s="172">
        <v>5107405</v>
      </c>
      <c r="E12" s="162">
        <v>2060928</v>
      </c>
      <c r="F12" s="47">
        <v>3502320</v>
      </c>
      <c r="G12" s="47">
        <v>14376812</v>
      </c>
      <c r="H12" s="47">
        <v>7847354</v>
      </c>
      <c r="I12" s="177">
        <v>9069381</v>
      </c>
      <c r="J12" s="162">
        <v>4374077</v>
      </c>
      <c r="K12" s="47">
        <v>1959742</v>
      </c>
      <c r="L12" s="47">
        <v>6138041</v>
      </c>
      <c r="M12" s="47">
        <f>+'PYG '!Z154</f>
        <v>13357892</v>
      </c>
      <c r="N12" s="171">
        <v>11530572</v>
      </c>
      <c r="O12" s="169">
        <v>8752682</v>
      </c>
      <c r="P12" s="47">
        <v>7676064</v>
      </c>
      <c r="Q12" s="47">
        <v>10531315</v>
      </c>
      <c r="R12" s="47">
        <v>-2527014</v>
      </c>
      <c r="S12" s="166">
        <v>2646214</v>
      </c>
      <c r="T12" s="162">
        <v>-2317677</v>
      </c>
      <c r="U12" s="47">
        <v>-2214002</v>
      </c>
      <c r="V12" s="47">
        <v>9983538</v>
      </c>
      <c r="AF12" s="2"/>
    </row>
    <row r="13" spans="1:32" ht="15.75" x14ac:dyDescent="0.25">
      <c r="A13" s="3"/>
      <c r="B13" s="48" t="s">
        <v>191</v>
      </c>
      <c r="C13" s="162">
        <f>+'PYG '!AE9</f>
        <v>2259634</v>
      </c>
      <c r="D13" s="172">
        <v>4348355</v>
      </c>
      <c r="E13" s="162">
        <v>722060</v>
      </c>
      <c r="F13" s="47">
        <v>13456626</v>
      </c>
      <c r="G13" s="47">
        <v>9843168</v>
      </c>
      <c r="H13" s="47">
        <v>10482068</v>
      </c>
      <c r="I13" s="177">
        <v>6862717</v>
      </c>
      <c r="J13" s="162">
        <v>8088583</v>
      </c>
      <c r="K13" s="47">
        <v>4820282</v>
      </c>
      <c r="L13" s="47">
        <v>5449400</v>
      </c>
      <c r="M13" s="47">
        <f>+'PYG '!AD154</f>
        <v>12441445</v>
      </c>
      <c r="N13" s="171">
        <v>11013798</v>
      </c>
      <c r="O13" s="169">
        <v>10250005</v>
      </c>
      <c r="P13" s="47">
        <v>9472439</v>
      </c>
      <c r="Q13" s="47">
        <v>10083753</v>
      </c>
      <c r="R13" s="47">
        <f t="shared" si="0"/>
        <v>300257</v>
      </c>
      <c r="S13" s="166">
        <v>197274</v>
      </c>
      <c r="T13" s="162">
        <v>-1439362</v>
      </c>
      <c r="U13" s="47">
        <v>8804469</v>
      </c>
      <c r="V13" s="47">
        <v>5208815</v>
      </c>
      <c r="AF13" s="2"/>
    </row>
    <row r="14" spans="1:32" ht="15.75" x14ac:dyDescent="0.25">
      <c r="A14" s="3"/>
      <c r="B14" s="48"/>
      <c r="C14" s="162"/>
      <c r="D14" s="172"/>
      <c r="E14" s="162"/>
      <c r="F14" s="47"/>
      <c r="G14" s="47"/>
      <c r="H14" s="47"/>
      <c r="I14" s="178"/>
      <c r="J14" s="162"/>
      <c r="K14" s="47"/>
      <c r="L14" s="47"/>
      <c r="M14" s="47"/>
      <c r="N14" s="171"/>
      <c r="O14" s="169"/>
      <c r="P14" s="47"/>
      <c r="Q14" s="47"/>
      <c r="R14" s="47"/>
      <c r="S14" s="166"/>
      <c r="T14" s="162"/>
      <c r="U14" s="47"/>
      <c r="V14" s="47"/>
      <c r="AF14" s="2"/>
    </row>
    <row r="15" spans="1:32" ht="15.75" x14ac:dyDescent="0.25">
      <c r="A15" s="3"/>
      <c r="B15" s="48"/>
      <c r="C15" s="162"/>
      <c r="D15" s="172"/>
      <c r="E15" s="162"/>
      <c r="F15" s="47"/>
      <c r="G15" s="47"/>
      <c r="H15" s="47"/>
      <c r="I15" s="177"/>
      <c r="J15" s="162"/>
      <c r="K15" s="47"/>
      <c r="L15" s="47"/>
      <c r="M15" s="47"/>
      <c r="N15" s="171"/>
      <c r="O15" s="169"/>
      <c r="P15" s="47"/>
      <c r="Q15" s="47"/>
      <c r="R15" s="47"/>
      <c r="S15" s="166"/>
      <c r="T15" s="162"/>
      <c r="U15" s="47"/>
      <c r="V15" s="47"/>
      <c r="AF15" s="2"/>
    </row>
    <row r="16" spans="1:32" ht="15.75" x14ac:dyDescent="0.25">
      <c r="A16" s="3"/>
      <c r="B16" s="48"/>
      <c r="C16" s="162"/>
      <c r="D16" s="172"/>
      <c r="E16" s="162"/>
      <c r="F16" s="47"/>
      <c r="G16" s="47"/>
      <c r="H16" s="47"/>
      <c r="I16" s="172"/>
      <c r="J16" s="162"/>
      <c r="K16" s="47"/>
      <c r="L16" s="47"/>
      <c r="M16" s="47"/>
      <c r="N16" s="171"/>
      <c r="O16" s="169"/>
      <c r="P16" s="47"/>
      <c r="Q16" s="47"/>
      <c r="R16" s="47"/>
      <c r="S16" s="166"/>
      <c r="T16" s="162"/>
      <c r="U16" s="47"/>
      <c r="V16" s="47"/>
      <c r="AF16" s="2"/>
    </row>
    <row r="17" spans="1:32" ht="15.75" x14ac:dyDescent="0.25">
      <c r="A17" s="3"/>
      <c r="B17" s="48"/>
      <c r="C17" s="162"/>
      <c r="D17" s="172"/>
      <c r="E17" s="162"/>
      <c r="F17" s="47"/>
      <c r="G17" s="50"/>
      <c r="H17" s="50"/>
      <c r="I17" s="188"/>
      <c r="J17" s="176"/>
      <c r="K17" s="47"/>
      <c r="L17" s="50"/>
      <c r="M17" s="50"/>
      <c r="N17" s="171"/>
      <c r="O17" s="169"/>
      <c r="P17" s="47"/>
      <c r="Q17" s="47"/>
      <c r="R17" s="47"/>
      <c r="S17" s="166"/>
      <c r="T17" s="162"/>
      <c r="U17" s="47"/>
      <c r="V17" s="47"/>
      <c r="AF17" s="2"/>
    </row>
    <row r="18" spans="1:32" ht="16.5" thickBot="1" x14ac:dyDescent="0.3">
      <c r="A18" s="3"/>
      <c r="B18" s="49"/>
      <c r="C18" s="162"/>
      <c r="D18" s="190"/>
      <c r="E18" s="162"/>
      <c r="F18" s="79"/>
      <c r="G18" s="47"/>
      <c r="H18" s="47"/>
      <c r="I18" s="47"/>
      <c r="J18" s="162"/>
      <c r="K18" s="47"/>
      <c r="L18" s="47"/>
      <c r="M18" s="47"/>
      <c r="N18" s="171"/>
      <c r="O18" s="162"/>
      <c r="P18" s="47"/>
      <c r="Q18" s="47"/>
      <c r="R18" s="184"/>
      <c r="S18" s="167"/>
      <c r="T18" s="163"/>
      <c r="U18" s="47"/>
      <c r="V18" s="47"/>
      <c r="AF18" s="2"/>
    </row>
    <row r="19" spans="1:32" ht="16.5" thickBot="1" x14ac:dyDescent="0.3">
      <c r="A19" s="3"/>
      <c r="B19" s="51" t="s">
        <v>183</v>
      </c>
      <c r="C19" s="79">
        <f t="shared" ref="C19:V19" si="1">SUM(C6:C18)</f>
        <v>26420980</v>
      </c>
      <c r="D19" s="79">
        <f t="shared" si="1"/>
        <v>54301625</v>
      </c>
      <c r="E19" s="79">
        <f>SUM(E6:E18)</f>
        <v>35099150</v>
      </c>
      <c r="F19" s="79">
        <f>SUM(F6:F18)</f>
        <v>44640359</v>
      </c>
      <c r="G19" s="79">
        <f t="shared" si="1"/>
        <v>45116568</v>
      </c>
      <c r="H19" s="79">
        <f t="shared" si="1"/>
        <v>72431955</v>
      </c>
      <c r="I19" s="79">
        <f t="shared" si="1"/>
        <v>42101387</v>
      </c>
      <c r="J19" s="79">
        <f t="shared" si="1"/>
        <v>52370334</v>
      </c>
      <c r="K19" s="79">
        <f t="shared" si="1"/>
        <v>41969366</v>
      </c>
      <c r="L19" s="79">
        <f t="shared" si="1"/>
        <v>54635879</v>
      </c>
      <c r="M19" s="79">
        <f t="shared" si="1"/>
        <v>102445161.63333333</v>
      </c>
      <c r="N19" s="172">
        <f t="shared" si="1"/>
        <v>90255756</v>
      </c>
      <c r="O19" s="79">
        <f t="shared" si="1"/>
        <v>73065598</v>
      </c>
      <c r="P19" s="79">
        <f t="shared" si="1"/>
        <v>67579304</v>
      </c>
      <c r="Q19" s="112">
        <f t="shared" si="1"/>
        <v>79091799</v>
      </c>
      <c r="R19" s="164">
        <f t="shared" si="1"/>
        <v>-3590836.6333333328</v>
      </c>
      <c r="S19" s="168">
        <f t="shared" si="1"/>
        <v>6147256</v>
      </c>
      <c r="T19" s="164">
        <f t="shared" si="1"/>
        <v>14403886</v>
      </c>
      <c r="U19" s="79">
        <f t="shared" si="1"/>
        <v>19030421</v>
      </c>
      <c r="V19" s="79">
        <f t="shared" si="1"/>
        <v>20660648</v>
      </c>
      <c r="AF19" s="2"/>
    </row>
    <row r="20" spans="1:32" x14ac:dyDescent="0.2">
      <c r="A20" s="3"/>
      <c r="E20" s="86"/>
      <c r="AF20" s="2"/>
    </row>
    <row r="21" spans="1:32" x14ac:dyDescent="0.2">
      <c r="A21" s="3"/>
      <c r="D21" s="86"/>
      <c r="E21" s="86"/>
      <c r="F21" s="86"/>
      <c r="G21" s="86"/>
      <c r="H21" s="86"/>
      <c r="I21" s="86"/>
      <c r="O21" s="86"/>
      <c r="AF21" s="2"/>
    </row>
    <row r="22" spans="1:32" ht="15" x14ac:dyDescent="0.25">
      <c r="A22" s="3"/>
      <c r="C22" s="86"/>
      <c r="E22" s="86"/>
      <c r="F22" s="52"/>
      <c r="G22" s="52"/>
      <c r="H22" s="52"/>
      <c r="I22" s="52"/>
      <c r="J22" s="52"/>
      <c r="M22" s="86"/>
      <c r="N22" s="86"/>
      <c r="O22" s="86"/>
      <c r="P22" s="86"/>
      <c r="R22" s="86"/>
      <c r="T22" s="86"/>
      <c r="AF22" s="2"/>
    </row>
    <row r="23" spans="1:32" ht="15.75" x14ac:dyDescent="0.25">
      <c r="A23" s="3"/>
      <c r="D23" s="86"/>
      <c r="E23" s="148"/>
      <c r="F23" s="52"/>
      <c r="G23" s="52"/>
      <c r="H23" s="52"/>
      <c r="I23" s="52"/>
      <c r="J23" s="52"/>
      <c r="AF23" s="2"/>
    </row>
    <row r="24" spans="1:32" ht="15.75" x14ac:dyDescent="0.25">
      <c r="A24" s="3"/>
      <c r="E24" s="148"/>
      <c r="F24" s="52"/>
      <c r="G24" s="52"/>
      <c r="H24" s="52"/>
      <c r="I24" s="52"/>
      <c r="J24" s="52"/>
      <c r="AF24" s="2"/>
    </row>
    <row r="25" spans="1:32" ht="15.75" x14ac:dyDescent="0.25">
      <c r="A25" s="3"/>
      <c r="E25" s="148"/>
      <c r="F25" s="52"/>
      <c r="G25" s="52"/>
      <c r="H25" s="52"/>
      <c r="I25" s="52"/>
      <c r="J25" s="52"/>
      <c r="AF25" s="2"/>
    </row>
    <row r="26" spans="1:32" ht="15.75" x14ac:dyDescent="0.25">
      <c r="A26" s="3"/>
      <c r="E26" s="148"/>
      <c r="AF26" s="2"/>
    </row>
    <row r="27" spans="1:32" ht="15.75" x14ac:dyDescent="0.25">
      <c r="A27" s="3"/>
      <c r="E27" s="148"/>
      <c r="AF27" s="2"/>
    </row>
    <row r="28" spans="1:32" ht="15.75" x14ac:dyDescent="0.25">
      <c r="A28" s="3"/>
      <c r="E28" s="148"/>
      <c r="AF28" s="2"/>
    </row>
    <row r="29" spans="1:32" ht="15.75" x14ac:dyDescent="0.25">
      <c r="A29" s="3"/>
      <c r="E29" s="148"/>
      <c r="AF29" s="2"/>
    </row>
    <row r="30" spans="1:32" ht="15.75" x14ac:dyDescent="0.25">
      <c r="A30" s="3"/>
      <c r="E30" s="148"/>
      <c r="AF30" s="2"/>
    </row>
    <row r="31" spans="1:32" ht="15.75" x14ac:dyDescent="0.25">
      <c r="A31" s="3"/>
      <c r="E31" s="148"/>
      <c r="AF31" s="2"/>
    </row>
    <row r="32" spans="1:32" ht="15.75" x14ac:dyDescent="0.25">
      <c r="A32" s="3"/>
      <c r="E32" s="148"/>
      <c r="AF32" s="2"/>
    </row>
    <row r="33" spans="1:32" x14ac:dyDescent="0.2">
      <c r="A33" s="3"/>
      <c r="AF33" s="2"/>
    </row>
    <row r="34" spans="1:32" x14ac:dyDescent="0.2">
      <c r="A34" s="3"/>
      <c r="AF34" s="2"/>
    </row>
    <row r="35" spans="1:32" x14ac:dyDescent="0.2">
      <c r="A35" s="3"/>
      <c r="AF35" s="2"/>
    </row>
    <row r="36" spans="1:32" x14ac:dyDescent="0.2">
      <c r="A36" s="3"/>
      <c r="AF36" s="2"/>
    </row>
    <row r="37" spans="1:32" x14ac:dyDescent="0.2">
      <c r="A37" s="3"/>
      <c r="AF37" s="2"/>
    </row>
    <row r="38" spans="1:32" x14ac:dyDescent="0.2">
      <c r="A38" s="3"/>
      <c r="AF38" s="2"/>
    </row>
    <row r="39" spans="1:32" x14ac:dyDescent="0.2">
      <c r="A39" s="3"/>
      <c r="AF39" s="2"/>
    </row>
    <row r="40" spans="1:32" ht="13.5" thickBot="1" x14ac:dyDescent="0.25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5"/>
    </row>
    <row r="43" spans="1:32" ht="13.5" thickBot="1" x14ac:dyDescent="0.25"/>
    <row r="44" spans="1:32" ht="21" x14ac:dyDescent="0.2">
      <c r="B44" s="56" t="s">
        <v>176</v>
      </c>
      <c r="C44" s="197" t="s">
        <v>371</v>
      </c>
      <c r="D44" s="197" t="s">
        <v>353</v>
      </c>
      <c r="E44" s="194" t="s">
        <v>199</v>
      </c>
      <c r="F44" s="57" t="s">
        <v>177</v>
      </c>
      <c r="G44" s="58" t="s">
        <v>178</v>
      </c>
      <c r="H44" s="80"/>
      <c r="I44" s="80"/>
      <c r="J44" s="80"/>
    </row>
    <row r="45" spans="1:32" ht="15.75" x14ac:dyDescent="0.25">
      <c r="B45" s="48" t="s">
        <v>184</v>
      </c>
      <c r="C45" s="162">
        <v>4088450</v>
      </c>
      <c r="D45" s="47">
        <v>9772741</v>
      </c>
      <c r="E45" s="195">
        <v>5232922</v>
      </c>
      <c r="F45" s="47">
        <v>20519674</v>
      </c>
      <c r="G45" s="47">
        <f>522963+299991+2769114+199640+276690</f>
        <v>4068398</v>
      </c>
      <c r="H45" s="148"/>
      <c r="I45" s="148"/>
      <c r="J45" s="81"/>
    </row>
    <row r="46" spans="1:32" ht="15.75" x14ac:dyDescent="0.25">
      <c r="B46" s="48" t="s">
        <v>185</v>
      </c>
      <c r="C46" s="162">
        <v>3444630</v>
      </c>
      <c r="D46" s="47">
        <v>8662267</v>
      </c>
      <c r="E46" s="195">
        <v>6735984</v>
      </c>
      <c r="F46" s="47">
        <v>347610</v>
      </c>
      <c r="G46" s="47">
        <f>34155+356641+30000+185495+199640+2769114+52440+124200+30000</f>
        <v>3781685</v>
      </c>
      <c r="H46" s="148"/>
      <c r="I46" s="148"/>
      <c r="J46" s="81"/>
    </row>
    <row r="47" spans="1:32" ht="15.75" x14ac:dyDescent="0.25">
      <c r="B47" s="48" t="s">
        <v>186</v>
      </c>
      <c r="C47" s="162">
        <v>4294490</v>
      </c>
      <c r="D47" s="47">
        <v>11213082</v>
      </c>
      <c r="E47" s="195">
        <v>4072345</v>
      </c>
      <c r="F47" s="47">
        <f>245268+260</f>
        <v>245528</v>
      </c>
      <c r="G47" s="47">
        <f>2501135+199640+393580+80730+29750+34510+25000</f>
        <v>3264345</v>
      </c>
      <c r="H47" s="148"/>
      <c r="I47" s="148"/>
      <c r="J47" s="81"/>
    </row>
    <row r="48" spans="1:32" ht="15.75" x14ac:dyDescent="0.25">
      <c r="B48" s="48" t="s">
        <v>187</v>
      </c>
      <c r="C48" s="162">
        <v>3094715</v>
      </c>
      <c r="D48" s="47">
        <v>109000</v>
      </c>
      <c r="E48" s="195">
        <v>8902568</v>
      </c>
      <c r="F48" s="47">
        <f>44268+102185+80587+29750+50000+4998</f>
        <v>311788</v>
      </c>
      <c r="G48" s="47">
        <f>2769114+199640+549053+161460+430560+90000+267950+437283+714714+17250+40000+37500</f>
        <v>5714524</v>
      </c>
      <c r="H48" s="148"/>
      <c r="I48" s="148"/>
      <c r="J48" s="81"/>
    </row>
    <row r="49" spans="2:10" ht="15.75" x14ac:dyDescent="0.25">
      <c r="B49" s="48" t="s">
        <v>188</v>
      </c>
      <c r="C49" s="162">
        <v>3036250</v>
      </c>
      <c r="D49" s="47"/>
      <c r="E49" s="195">
        <v>4831245</v>
      </c>
      <c r="F49" s="47">
        <v>2070588</v>
      </c>
      <c r="G49" s="47">
        <v>1563099</v>
      </c>
      <c r="H49" s="148"/>
      <c r="I49" s="148"/>
      <c r="J49" s="81"/>
    </row>
    <row r="50" spans="2:10" ht="15.75" x14ac:dyDescent="0.25">
      <c r="B50" s="48" t="s">
        <v>189</v>
      </c>
      <c r="C50" s="162">
        <v>3220640</v>
      </c>
      <c r="D50" s="47">
        <v>15088775</v>
      </c>
      <c r="E50" s="195">
        <v>2541098</v>
      </c>
      <c r="F50" s="47">
        <v>4186225</v>
      </c>
      <c r="G50" s="47">
        <v>2504537</v>
      </c>
      <c r="H50" s="148"/>
      <c r="I50" s="148"/>
      <c r="J50" s="81"/>
    </row>
    <row r="51" spans="2:10" ht="15.75" x14ac:dyDescent="0.25">
      <c r="B51" s="48" t="s">
        <v>190</v>
      </c>
      <c r="C51" s="162">
        <v>2982171</v>
      </c>
      <c r="D51" s="47">
        <v>5107405</v>
      </c>
      <c r="E51" s="195">
        <v>2060928</v>
      </c>
      <c r="F51" s="47">
        <v>3502320</v>
      </c>
      <c r="G51" s="47">
        <v>14376812</v>
      </c>
      <c r="H51" s="148"/>
      <c r="I51" s="148"/>
      <c r="J51" s="81"/>
    </row>
    <row r="52" spans="2:10" ht="15.75" x14ac:dyDescent="0.25">
      <c r="B52" s="48" t="s">
        <v>191</v>
      </c>
      <c r="C52" s="162">
        <v>2259634</v>
      </c>
      <c r="D52" s="47">
        <v>4348355</v>
      </c>
      <c r="E52" s="195">
        <v>722060</v>
      </c>
      <c r="F52" s="47">
        <v>13456626</v>
      </c>
      <c r="G52" s="47">
        <v>9843168</v>
      </c>
      <c r="H52" s="148"/>
      <c r="I52" s="148"/>
      <c r="J52" s="81"/>
    </row>
    <row r="53" spans="2:10" ht="21" x14ac:dyDescent="0.25">
      <c r="B53" s="48" t="s">
        <v>192</v>
      </c>
      <c r="C53" s="162"/>
      <c r="D53" s="47">
        <v>5343486</v>
      </c>
      <c r="E53" s="195">
        <v>1921510</v>
      </c>
      <c r="F53" s="47">
        <v>0</v>
      </c>
      <c r="G53" s="47">
        <v>6807513</v>
      </c>
      <c r="H53" s="148"/>
      <c r="I53" s="148"/>
      <c r="J53" s="81"/>
    </row>
    <row r="54" spans="2:10" ht="15.75" x14ac:dyDescent="0.25">
      <c r="B54" s="48" t="s">
        <v>193</v>
      </c>
      <c r="C54" s="75"/>
      <c r="D54" s="47">
        <v>5206920</v>
      </c>
      <c r="E54" s="195">
        <v>1940050</v>
      </c>
      <c r="F54" s="47">
        <f>+'[1]PYG '!AP47</f>
        <v>11000000</v>
      </c>
      <c r="G54" s="47">
        <v>3921439</v>
      </c>
      <c r="H54" s="148"/>
      <c r="I54" s="148"/>
      <c r="J54" s="81"/>
    </row>
    <row r="55" spans="2:10" ht="21" x14ac:dyDescent="0.25">
      <c r="B55" s="48" t="s">
        <v>194</v>
      </c>
      <c r="C55" s="75"/>
      <c r="D55" s="47">
        <v>4539945</v>
      </c>
      <c r="E55" s="195">
        <v>6096979</v>
      </c>
      <c r="F55" s="47">
        <f>+'[1]PYG '!AT47</f>
        <v>12000000</v>
      </c>
      <c r="G55" s="47">
        <v>2545390</v>
      </c>
      <c r="H55" s="148"/>
      <c r="I55" s="148"/>
      <c r="J55" s="81"/>
    </row>
    <row r="56" spans="2:10" ht="15.75" x14ac:dyDescent="0.25">
      <c r="B56" s="48" t="s">
        <v>195</v>
      </c>
      <c r="C56" s="75"/>
      <c r="D56" s="47">
        <v>5671900</v>
      </c>
      <c r="E56" s="195">
        <v>10802895</v>
      </c>
      <c r="F56" s="47">
        <f>+'[1]PYG '!AX47</f>
        <v>13000000</v>
      </c>
      <c r="G56" s="50">
        <v>68513641</v>
      </c>
      <c r="H56" s="149"/>
      <c r="I56" s="149"/>
      <c r="J56" s="81"/>
    </row>
    <row r="57" spans="2:10" ht="15" x14ac:dyDescent="0.25">
      <c r="B57" s="48"/>
      <c r="C57" s="75"/>
      <c r="D57" s="75"/>
      <c r="E57" s="183"/>
      <c r="F57" s="59"/>
      <c r="G57" s="60"/>
      <c r="H57" s="81"/>
      <c r="I57" s="81"/>
      <c r="J57" s="81"/>
    </row>
    <row r="58" spans="2:10" ht="13.5" thickBot="1" x14ac:dyDescent="0.25">
      <c r="B58" s="51" t="s">
        <v>183</v>
      </c>
      <c r="C58" s="198">
        <f>SUM(C45:C57)</f>
        <v>26420980</v>
      </c>
      <c r="D58" s="198">
        <f>SUM(D45:D57)</f>
        <v>75063876</v>
      </c>
      <c r="E58" s="196">
        <f>SUM(E45:E57)</f>
        <v>55860584</v>
      </c>
      <c r="F58" s="61">
        <f>SUM(F45:F57)</f>
        <v>80640359</v>
      </c>
      <c r="G58" s="62">
        <f>SUM(G45:G57)</f>
        <v>126904551</v>
      </c>
      <c r="H58" s="82"/>
      <c r="I58" s="82"/>
      <c r="J58" s="82"/>
    </row>
    <row r="61" spans="2:10" x14ac:dyDescent="0.2">
      <c r="C61" s="86">
        <f>SUM(C45:C48)</f>
        <v>14922285</v>
      </c>
      <c r="F61" s="86">
        <f>SUM(F45:F48)</f>
        <v>21424600</v>
      </c>
    </row>
    <row r="69" spans="2:15" ht="13.5" thickBot="1" x14ac:dyDescent="0.25"/>
    <row r="70" spans="2:15" ht="21" x14ac:dyDescent="0.2">
      <c r="B70" s="56" t="s">
        <v>176</v>
      </c>
      <c r="C70" s="56" t="s">
        <v>372</v>
      </c>
      <c r="D70" s="56" t="s">
        <v>354</v>
      </c>
      <c r="E70" s="56" t="s">
        <v>200</v>
      </c>
      <c r="F70" s="56" t="s">
        <v>179</v>
      </c>
      <c r="G70" s="58" t="s">
        <v>180</v>
      </c>
      <c r="H70" s="80"/>
      <c r="I70" s="80"/>
      <c r="J70" s="80"/>
      <c r="K70" s="63"/>
      <c r="L70" s="63"/>
      <c r="M70" s="63"/>
      <c r="N70" s="63"/>
      <c r="O70" s="63"/>
    </row>
    <row r="71" spans="2:15" ht="15.75" x14ac:dyDescent="0.25">
      <c r="B71" s="48" t="s">
        <v>184</v>
      </c>
      <c r="C71" s="47">
        <v>5295548</v>
      </c>
      <c r="D71" s="64">
        <v>4656136</v>
      </c>
      <c r="E71" s="64">
        <v>7998115</v>
      </c>
      <c r="F71" s="64">
        <v>5489862</v>
      </c>
      <c r="G71" s="64">
        <v>3111549</v>
      </c>
      <c r="H71" s="83"/>
      <c r="I71" s="83"/>
      <c r="J71" s="83"/>
      <c r="K71" s="65"/>
      <c r="L71" s="66"/>
      <c r="M71" s="66"/>
      <c r="N71" s="66"/>
      <c r="O71" s="66"/>
    </row>
    <row r="72" spans="2:15" ht="15.75" x14ac:dyDescent="0.25">
      <c r="B72" s="48" t="s">
        <v>185</v>
      </c>
      <c r="C72" s="47">
        <v>6881543</v>
      </c>
      <c r="D72" s="64">
        <v>7804429</v>
      </c>
      <c r="E72" s="64">
        <v>4974355</v>
      </c>
      <c r="F72" s="64">
        <v>7374328</v>
      </c>
      <c r="G72" s="64">
        <v>8157506</v>
      </c>
      <c r="H72" s="83"/>
      <c r="I72" s="83"/>
      <c r="J72" s="83"/>
      <c r="K72" s="65"/>
      <c r="L72" s="66"/>
      <c r="M72" s="66"/>
      <c r="N72" s="66"/>
      <c r="O72" s="66"/>
    </row>
    <row r="73" spans="2:15" ht="15.75" x14ac:dyDescent="0.25">
      <c r="B73" s="48" t="s">
        <v>186</v>
      </c>
      <c r="C73" s="47">
        <v>7901560</v>
      </c>
      <c r="D73" s="64">
        <v>5900305</v>
      </c>
      <c r="E73" s="64">
        <v>7130437</v>
      </c>
      <c r="F73" s="64">
        <v>5439456</v>
      </c>
      <c r="G73" s="64">
        <v>5780617</v>
      </c>
      <c r="H73" s="83"/>
      <c r="I73" s="83"/>
      <c r="J73" s="83"/>
      <c r="K73" s="65"/>
      <c r="L73" s="66"/>
      <c r="M73" s="66"/>
      <c r="N73" s="66"/>
      <c r="O73" s="66"/>
    </row>
    <row r="74" spans="2:15" ht="15.75" x14ac:dyDescent="0.25">
      <c r="B74" s="48" t="s">
        <v>187</v>
      </c>
      <c r="C74" s="47">
        <v>10475785</v>
      </c>
      <c r="D74" s="64">
        <v>121014</v>
      </c>
      <c r="E74" s="64">
        <v>6001004</v>
      </c>
      <c r="F74" s="64">
        <v>7142915</v>
      </c>
      <c r="G74" s="64">
        <v>5636163</v>
      </c>
      <c r="H74" s="83"/>
      <c r="I74" s="83"/>
      <c r="J74" s="83"/>
      <c r="K74" s="65"/>
      <c r="L74" s="66"/>
      <c r="M74" s="66"/>
      <c r="N74" s="66"/>
      <c r="O74" s="66"/>
    </row>
    <row r="75" spans="2:15" ht="15.75" x14ac:dyDescent="0.25">
      <c r="B75" s="48" t="s">
        <v>188</v>
      </c>
      <c r="C75" s="47">
        <v>9475619</v>
      </c>
      <c r="D75" s="64">
        <v>1804105</v>
      </c>
      <c r="E75" s="64">
        <v>7419178</v>
      </c>
      <c r="F75" s="64">
        <v>5721041</v>
      </c>
      <c r="G75" s="64">
        <v>13796936</v>
      </c>
      <c r="H75" s="83"/>
      <c r="I75" s="83"/>
      <c r="J75" s="83"/>
      <c r="K75" s="65"/>
      <c r="L75" s="66"/>
      <c r="M75" s="66"/>
      <c r="N75" s="66"/>
      <c r="O75" s="66"/>
    </row>
    <row r="76" spans="2:15" ht="15.75" x14ac:dyDescent="0.25">
      <c r="B76" s="48" t="s">
        <v>189</v>
      </c>
      <c r="C76" s="47">
        <v>14072478</v>
      </c>
      <c r="D76" s="64">
        <v>5883300</v>
      </c>
      <c r="E76" s="64">
        <v>6384585</v>
      </c>
      <c r="F76" s="64">
        <v>4021740</v>
      </c>
      <c r="G76" s="64">
        <v>6565667</v>
      </c>
      <c r="H76" s="83"/>
      <c r="I76" s="83"/>
      <c r="J76" s="83"/>
      <c r="K76" s="65"/>
      <c r="L76" s="66"/>
      <c r="M76" s="66"/>
      <c r="N76" s="66"/>
      <c r="O76" s="66"/>
    </row>
    <row r="77" spans="2:15" ht="15.75" x14ac:dyDescent="0.25">
      <c r="B77" s="48" t="s">
        <v>190</v>
      </c>
      <c r="C77" s="47">
        <v>7847354</v>
      </c>
      <c r="D77" s="64">
        <v>9069381</v>
      </c>
      <c r="E77" s="64">
        <v>4374077</v>
      </c>
      <c r="F77" s="64">
        <v>1959742</v>
      </c>
      <c r="G77" s="64">
        <v>6138041</v>
      </c>
      <c r="H77" s="83"/>
      <c r="I77" s="83"/>
      <c r="J77" s="83"/>
      <c r="K77" s="65"/>
      <c r="L77" s="66"/>
      <c r="M77" s="66"/>
      <c r="N77" s="66"/>
      <c r="O77" s="66"/>
    </row>
    <row r="78" spans="2:15" ht="15.75" x14ac:dyDescent="0.25">
      <c r="B78" s="48" t="s">
        <v>191</v>
      </c>
      <c r="C78" s="47">
        <v>10482068</v>
      </c>
      <c r="D78" s="64">
        <v>6862717</v>
      </c>
      <c r="E78" s="64">
        <v>8088583</v>
      </c>
      <c r="F78" s="64">
        <v>4820282</v>
      </c>
      <c r="G78" s="64">
        <v>5449400</v>
      </c>
      <c r="H78" s="83"/>
      <c r="I78" s="83"/>
      <c r="J78" s="83"/>
      <c r="K78" s="65"/>
      <c r="L78" s="66"/>
      <c r="M78" s="66"/>
      <c r="N78" s="66"/>
      <c r="O78" s="66"/>
    </row>
    <row r="79" spans="2:15" ht="21" x14ac:dyDescent="0.25">
      <c r="B79" s="49" t="s">
        <v>192</v>
      </c>
      <c r="C79" s="75"/>
      <c r="D79" s="64">
        <v>9114471</v>
      </c>
      <c r="E79" s="64">
        <v>5761435</v>
      </c>
      <c r="F79" s="67">
        <v>6035931</v>
      </c>
      <c r="G79" s="68">
        <v>6941815</v>
      </c>
      <c r="H79" s="83"/>
      <c r="I79" s="83"/>
      <c r="J79" s="83"/>
      <c r="K79" s="65"/>
      <c r="L79" s="66"/>
      <c r="M79" s="66"/>
      <c r="N79" s="66"/>
      <c r="O79" s="66"/>
    </row>
    <row r="80" spans="2:15" ht="15.75" x14ac:dyDescent="0.25">
      <c r="B80" s="49" t="s">
        <v>193</v>
      </c>
      <c r="C80" s="75"/>
      <c r="D80" s="64">
        <v>11912109.83</v>
      </c>
      <c r="E80" s="64">
        <v>5903667</v>
      </c>
      <c r="F80" s="67">
        <v>10697305</v>
      </c>
      <c r="G80" s="68">
        <v>5541550</v>
      </c>
      <c r="H80" s="83"/>
      <c r="I80" s="83"/>
      <c r="J80" s="83"/>
      <c r="K80" s="65"/>
      <c r="L80" s="66"/>
      <c r="M80" s="66"/>
      <c r="N80" s="66"/>
      <c r="O80" s="66"/>
    </row>
    <row r="81" spans="2:15" ht="21" x14ac:dyDescent="0.25">
      <c r="B81" s="49" t="s">
        <v>194</v>
      </c>
      <c r="C81" s="75"/>
      <c r="D81" s="64">
        <v>9403633</v>
      </c>
      <c r="E81" s="64">
        <v>6953987</v>
      </c>
      <c r="F81" s="67">
        <v>7259988</v>
      </c>
      <c r="G81" s="68">
        <v>6901480</v>
      </c>
      <c r="H81" s="83"/>
      <c r="I81" s="83"/>
      <c r="J81" s="83"/>
      <c r="K81" s="65"/>
      <c r="L81" s="66"/>
      <c r="M81" s="66"/>
      <c r="N81" s="66"/>
      <c r="O81" s="66"/>
    </row>
    <row r="82" spans="2:15" ht="15.75" x14ac:dyDescent="0.25">
      <c r="B82" s="49" t="s">
        <v>196</v>
      </c>
      <c r="C82" s="75"/>
      <c r="D82" s="64">
        <v>11129725</v>
      </c>
      <c r="E82" s="64">
        <v>3580427</v>
      </c>
      <c r="F82" s="69">
        <v>8230584</v>
      </c>
      <c r="G82" s="70">
        <v>7106144</v>
      </c>
      <c r="H82" s="83"/>
      <c r="I82" s="83"/>
      <c r="J82" s="83"/>
      <c r="K82" s="65"/>
      <c r="L82" s="66"/>
      <c r="M82" s="66"/>
      <c r="N82" s="66"/>
      <c r="O82" s="66"/>
    </row>
    <row r="83" spans="2:15" ht="13.5" thickBot="1" x14ac:dyDescent="0.25">
      <c r="B83" s="51" t="s">
        <v>183</v>
      </c>
      <c r="C83" s="71">
        <f>SUM(C71:C82)</f>
        <v>72431955</v>
      </c>
      <c r="D83" s="71">
        <f>SUM(D71:D82)</f>
        <v>83661325.829999998</v>
      </c>
      <c r="E83" s="71">
        <f>SUM(E71:E82)</f>
        <v>74569850</v>
      </c>
      <c r="F83" s="71">
        <f>SUM(F71:F82)</f>
        <v>74193174</v>
      </c>
      <c r="G83" s="71">
        <f>SUM(G71:G82)</f>
        <v>81126868</v>
      </c>
      <c r="H83" s="84"/>
      <c r="I83" s="84"/>
      <c r="J83" s="84"/>
      <c r="K83" s="72"/>
      <c r="L83" s="72"/>
      <c r="M83" s="72"/>
      <c r="N83" s="72"/>
      <c r="O83" s="72"/>
    </row>
    <row r="86" spans="2:15" x14ac:dyDescent="0.2">
      <c r="C86" s="86">
        <f>SUM(C71:C74)</f>
        <v>30554436</v>
      </c>
      <c r="F86" s="204">
        <f>SUM(F71:F74)</f>
        <v>25446561</v>
      </c>
    </row>
    <row r="101" spans="2:22" ht="13.5" thickBot="1" x14ac:dyDescent="0.25"/>
    <row r="102" spans="2:22" x14ac:dyDescent="0.2">
      <c r="B102" s="56" t="s">
        <v>176</v>
      </c>
      <c r="C102" s="57" t="s">
        <v>376</v>
      </c>
      <c r="D102" s="57" t="s">
        <v>357</v>
      </c>
      <c r="E102" s="57" t="s">
        <v>201</v>
      </c>
      <c r="F102" s="57" t="s">
        <v>181</v>
      </c>
      <c r="G102" s="58" t="s">
        <v>182</v>
      </c>
      <c r="H102" s="80"/>
      <c r="I102" s="80"/>
      <c r="J102" s="80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</row>
    <row r="103" spans="2:22" ht="15.75" x14ac:dyDescent="0.25">
      <c r="B103" s="48" t="s">
        <v>184</v>
      </c>
      <c r="C103" s="59">
        <v>9031235</v>
      </c>
      <c r="D103" s="59">
        <v>11183760</v>
      </c>
      <c r="E103" s="59">
        <v>8192569</v>
      </c>
      <c r="F103" s="73">
        <v>7055307</v>
      </c>
      <c r="G103" s="73">
        <v>10452832</v>
      </c>
      <c r="H103" s="74"/>
      <c r="I103" s="74"/>
      <c r="J103" s="74"/>
      <c r="K103" s="65"/>
      <c r="L103" s="66"/>
      <c r="M103" s="66"/>
      <c r="N103" s="66"/>
      <c r="O103" s="66"/>
      <c r="P103" s="7"/>
      <c r="Q103" s="7"/>
      <c r="R103" s="7"/>
      <c r="S103" s="7"/>
      <c r="T103" s="7"/>
      <c r="U103" s="7"/>
      <c r="V103" s="7"/>
    </row>
    <row r="104" spans="2:22" ht="15.75" x14ac:dyDescent="0.25">
      <c r="B104" s="48" t="s">
        <v>185</v>
      </c>
      <c r="C104" s="59">
        <v>12420337</v>
      </c>
      <c r="D104" s="59">
        <v>13337610</v>
      </c>
      <c r="E104" s="59">
        <v>8084721</v>
      </c>
      <c r="F104" s="73">
        <v>8975623</v>
      </c>
      <c r="G104" s="73">
        <v>8843670</v>
      </c>
      <c r="H104" s="74"/>
      <c r="I104" s="74"/>
      <c r="J104" s="74"/>
      <c r="K104" s="65"/>
      <c r="L104" s="66"/>
      <c r="M104" s="66"/>
      <c r="N104" s="66"/>
      <c r="O104" s="66"/>
      <c r="P104" s="7"/>
      <c r="Q104" s="7"/>
      <c r="R104" s="7"/>
      <c r="S104" s="7"/>
      <c r="T104" s="7"/>
      <c r="U104" s="7"/>
      <c r="V104" s="7"/>
    </row>
    <row r="105" spans="2:22" ht="15.75" x14ac:dyDescent="0.25">
      <c r="B105" s="48" t="s">
        <v>186</v>
      </c>
      <c r="C105" s="59">
        <v>13591375</v>
      </c>
      <c r="D105" s="59">
        <v>10865138</v>
      </c>
      <c r="E105" s="59">
        <v>8025783</v>
      </c>
      <c r="F105" s="73">
        <v>9788704</v>
      </c>
      <c r="G105" s="73">
        <v>8621927</v>
      </c>
      <c r="H105" s="74"/>
      <c r="I105" s="74"/>
      <c r="J105" s="74"/>
      <c r="K105" s="65"/>
      <c r="L105" s="66"/>
      <c r="M105" s="66"/>
      <c r="N105" s="66"/>
      <c r="O105" s="66"/>
      <c r="P105" s="7"/>
      <c r="Q105" s="7"/>
      <c r="R105" s="7"/>
      <c r="S105" s="7"/>
      <c r="T105" s="7"/>
      <c r="U105" s="7"/>
      <c r="V105" s="7"/>
    </row>
    <row r="106" spans="2:22" ht="15.75" x14ac:dyDescent="0.25">
      <c r="B106" s="48" t="s">
        <v>187</v>
      </c>
      <c r="C106" s="59">
        <v>17060981</v>
      </c>
      <c r="D106" s="59">
        <v>8424882</v>
      </c>
      <c r="E106" s="59">
        <v>11161681</v>
      </c>
      <c r="F106" s="59">
        <v>9211395</v>
      </c>
      <c r="G106" s="59">
        <v>6162384</v>
      </c>
      <c r="H106" s="81"/>
      <c r="I106" s="81"/>
      <c r="J106" s="74"/>
      <c r="K106" s="65"/>
      <c r="L106" s="66"/>
      <c r="M106" s="66"/>
      <c r="N106" s="66"/>
      <c r="O106" s="66"/>
      <c r="P106" s="7"/>
      <c r="Q106" s="7"/>
      <c r="R106" s="7"/>
      <c r="S106" s="7"/>
      <c r="T106" s="7"/>
      <c r="U106" s="7"/>
      <c r="V106" s="7"/>
    </row>
    <row r="107" spans="2:22" ht="15.75" x14ac:dyDescent="0.25">
      <c r="B107" s="48" t="s">
        <v>188</v>
      </c>
      <c r="C107" s="59">
        <v>11744516.633333333</v>
      </c>
      <c r="D107" s="59">
        <v>10909925</v>
      </c>
      <c r="E107" s="59">
        <v>10164486</v>
      </c>
      <c r="F107" s="59">
        <v>8014528</v>
      </c>
      <c r="G107" s="59">
        <v>10155182</v>
      </c>
      <c r="H107" s="81"/>
      <c r="I107" s="81"/>
      <c r="J107" s="74"/>
      <c r="K107" s="65"/>
      <c r="L107" s="66"/>
      <c r="M107" s="66"/>
      <c r="N107" s="66"/>
      <c r="O107" s="66"/>
      <c r="P107" s="7"/>
      <c r="Q107" s="7"/>
      <c r="R107" s="7"/>
      <c r="S107" s="7"/>
      <c r="T107" s="7"/>
      <c r="U107" s="7"/>
      <c r="V107" s="7"/>
    </row>
    <row r="108" spans="2:22" ht="15.75" x14ac:dyDescent="0.25">
      <c r="B108" s="48" t="s">
        <v>189</v>
      </c>
      <c r="C108" s="59">
        <v>12797380</v>
      </c>
      <c r="D108" s="59">
        <v>12990071</v>
      </c>
      <c r="E108" s="59">
        <v>8433671</v>
      </c>
      <c r="F108" s="59">
        <v>7385244</v>
      </c>
      <c r="G108" s="59">
        <v>14240736</v>
      </c>
      <c r="H108" s="81"/>
      <c r="I108" s="81"/>
      <c r="J108" s="74"/>
      <c r="K108" s="65"/>
      <c r="L108" s="66"/>
      <c r="M108" s="66"/>
      <c r="N108" s="66"/>
      <c r="O108" s="66"/>
      <c r="P108" s="7"/>
      <c r="Q108" s="7"/>
      <c r="R108" s="7"/>
      <c r="S108" s="7"/>
      <c r="T108" s="7"/>
      <c r="U108" s="7"/>
      <c r="V108" s="7"/>
    </row>
    <row r="109" spans="2:22" ht="15.75" x14ac:dyDescent="0.25">
      <c r="B109" s="48" t="s">
        <v>190</v>
      </c>
      <c r="C109" s="59">
        <v>13357892</v>
      </c>
      <c r="D109" s="59">
        <v>11530572</v>
      </c>
      <c r="E109" s="59">
        <v>8752682</v>
      </c>
      <c r="F109" s="59">
        <v>7676064</v>
      </c>
      <c r="G109" s="59">
        <v>10531315</v>
      </c>
      <c r="H109" s="81"/>
      <c r="I109" s="81"/>
      <c r="J109" s="74"/>
      <c r="K109" s="65"/>
      <c r="L109" s="66"/>
      <c r="M109" s="66"/>
      <c r="N109" s="66"/>
      <c r="O109" s="66"/>
      <c r="P109" s="7"/>
      <c r="Q109" s="7"/>
      <c r="R109" s="7"/>
      <c r="S109" s="7"/>
      <c r="T109" s="7"/>
      <c r="U109" s="7"/>
      <c r="V109" s="7"/>
    </row>
    <row r="110" spans="2:22" ht="15.75" x14ac:dyDescent="0.25">
      <c r="B110" s="48" t="s">
        <v>191</v>
      </c>
      <c r="C110" s="59">
        <v>12441445</v>
      </c>
      <c r="D110" s="59">
        <v>11013798</v>
      </c>
      <c r="E110" s="59">
        <v>10250005</v>
      </c>
      <c r="F110" s="59">
        <v>9472439</v>
      </c>
      <c r="G110" s="59">
        <v>10083753</v>
      </c>
      <c r="H110" s="81"/>
      <c r="I110" s="81"/>
      <c r="J110" s="74"/>
      <c r="K110" s="65"/>
      <c r="L110" s="66"/>
      <c r="M110" s="66"/>
      <c r="N110" s="66"/>
      <c r="O110" s="66"/>
      <c r="P110" s="7"/>
      <c r="Q110" s="7"/>
      <c r="R110" s="7"/>
      <c r="S110" s="7"/>
      <c r="T110" s="7"/>
      <c r="U110" s="7"/>
      <c r="V110" s="7"/>
    </row>
    <row r="111" spans="2:22" ht="21" x14ac:dyDescent="0.25">
      <c r="B111" s="49" t="s">
        <v>192</v>
      </c>
      <c r="C111" s="59"/>
      <c r="D111" s="59">
        <v>11098718</v>
      </c>
      <c r="E111" s="59">
        <v>12341540.75</v>
      </c>
      <c r="F111" s="59">
        <v>16476675</v>
      </c>
      <c r="G111" s="59">
        <v>13656658</v>
      </c>
      <c r="H111" s="81"/>
      <c r="I111" s="81"/>
      <c r="J111" s="74"/>
      <c r="K111" s="65"/>
      <c r="L111" s="66"/>
      <c r="M111" s="66"/>
      <c r="N111" s="66"/>
      <c r="O111" s="66"/>
      <c r="P111" s="7"/>
      <c r="Q111" s="7"/>
      <c r="R111" s="7"/>
      <c r="S111" s="7"/>
      <c r="T111" s="7"/>
      <c r="U111" s="7"/>
      <c r="V111" s="7"/>
    </row>
    <row r="112" spans="2:22" ht="15.75" x14ac:dyDescent="0.25">
      <c r="B112" s="49" t="s">
        <v>193</v>
      </c>
      <c r="C112" s="59"/>
      <c r="D112" s="59">
        <v>14559398</v>
      </c>
      <c r="E112" s="59">
        <v>13788360.75</v>
      </c>
      <c r="F112" s="59">
        <v>10699836</v>
      </c>
      <c r="G112" s="59">
        <v>12463405</v>
      </c>
      <c r="H112" s="81"/>
      <c r="I112" s="81"/>
      <c r="J112" s="74"/>
      <c r="K112" s="65"/>
      <c r="L112" s="66"/>
      <c r="M112" s="66"/>
      <c r="N112" s="66"/>
      <c r="O112" s="66"/>
      <c r="P112" s="7"/>
      <c r="Q112" s="7"/>
      <c r="R112" s="7"/>
      <c r="S112" s="7"/>
      <c r="T112" s="7"/>
      <c r="U112" s="7"/>
      <c r="V112" s="7"/>
    </row>
    <row r="113" spans="2:22" ht="21" x14ac:dyDescent="0.25">
      <c r="B113" s="75" t="s">
        <v>194</v>
      </c>
      <c r="C113" s="59"/>
      <c r="D113" s="59">
        <v>15548745</v>
      </c>
      <c r="E113" s="59">
        <v>12146150.75</v>
      </c>
      <c r="F113" s="59">
        <v>12696365</v>
      </c>
      <c r="G113" s="59">
        <v>13179987</v>
      </c>
      <c r="H113" s="81"/>
      <c r="I113" s="81"/>
      <c r="J113" s="74"/>
      <c r="K113" s="65"/>
      <c r="L113" s="66"/>
      <c r="M113" s="66"/>
      <c r="N113" s="66"/>
      <c r="O113" s="66"/>
      <c r="P113" s="7"/>
      <c r="Q113" s="7"/>
      <c r="R113" s="7"/>
      <c r="S113" s="7"/>
      <c r="T113" s="7"/>
      <c r="U113" s="7"/>
      <c r="V113" s="7"/>
    </row>
    <row r="114" spans="2:22" ht="15.75" x14ac:dyDescent="0.25">
      <c r="B114" s="75" t="s">
        <v>196</v>
      </c>
      <c r="C114" s="75"/>
      <c r="D114" s="59">
        <v>12796951</v>
      </c>
      <c r="E114" s="59">
        <v>9554095.75</v>
      </c>
      <c r="F114" s="59">
        <v>8852048</v>
      </c>
      <c r="G114" s="59">
        <v>27294325</v>
      </c>
      <c r="H114" s="81"/>
      <c r="I114" s="81"/>
      <c r="J114" s="85"/>
      <c r="K114" s="65"/>
      <c r="L114" s="66"/>
      <c r="M114" s="66"/>
      <c r="N114" s="66"/>
      <c r="O114" s="66"/>
      <c r="P114" s="7"/>
      <c r="Q114" s="7"/>
      <c r="R114" s="7"/>
      <c r="S114" s="7"/>
      <c r="T114" s="7"/>
      <c r="U114" s="7"/>
      <c r="V114" s="7"/>
    </row>
    <row r="115" spans="2:22" ht="16.5" thickBot="1" x14ac:dyDescent="0.3">
      <c r="B115" s="105"/>
      <c r="C115" s="105"/>
      <c r="D115" s="105"/>
      <c r="E115" s="105"/>
      <c r="F115" s="59"/>
      <c r="G115" s="103"/>
      <c r="H115" s="85"/>
      <c r="I115" s="85"/>
      <c r="J115" s="85"/>
      <c r="K115" s="65"/>
      <c r="L115" s="66"/>
      <c r="M115" s="66"/>
      <c r="N115" s="66"/>
      <c r="O115" s="66"/>
      <c r="P115" s="7"/>
      <c r="Q115" s="7"/>
      <c r="R115" s="7"/>
      <c r="S115" s="7"/>
      <c r="T115" s="7"/>
      <c r="U115" s="7"/>
      <c r="V115" s="7"/>
    </row>
    <row r="116" spans="2:22" ht="13.5" thickBot="1" x14ac:dyDescent="0.25">
      <c r="B116" s="106" t="s">
        <v>183</v>
      </c>
      <c r="C116" s="107">
        <f>SUM(C103:C115)</f>
        <v>102445161.63333333</v>
      </c>
      <c r="D116" s="107">
        <f>SUM(D103:D115)</f>
        <v>144259568</v>
      </c>
      <c r="E116" s="107">
        <f>SUM(E103:E115)</f>
        <v>120895746</v>
      </c>
      <c r="F116" s="107">
        <f>SUM(F103:F115)</f>
        <v>116304228</v>
      </c>
      <c r="G116" s="104">
        <f>SUM(G103:G115)</f>
        <v>145686174</v>
      </c>
      <c r="H116" s="84"/>
      <c r="I116" s="84"/>
      <c r="J116" s="84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</row>
    <row r="120" spans="2:22" x14ac:dyDescent="0.2">
      <c r="E120" s="77"/>
    </row>
    <row r="128" spans="2:22" ht="13.5" thickBot="1" x14ac:dyDescent="0.25"/>
    <row r="129" spans="2:10" x14ac:dyDescent="0.2">
      <c r="B129" s="56" t="s">
        <v>176</v>
      </c>
      <c r="C129" s="56" t="s">
        <v>374</v>
      </c>
      <c r="D129" s="57" t="s">
        <v>356</v>
      </c>
      <c r="E129" s="57" t="s">
        <v>202</v>
      </c>
      <c r="F129" s="57" t="s">
        <v>197</v>
      </c>
      <c r="G129" s="58" t="s">
        <v>198</v>
      </c>
      <c r="H129" s="80"/>
      <c r="I129" s="80"/>
      <c r="J129" s="80"/>
    </row>
    <row r="130" spans="2:10" x14ac:dyDescent="0.2">
      <c r="B130" s="48" t="s">
        <v>184</v>
      </c>
      <c r="C130" s="73">
        <v>352800</v>
      </c>
      <c r="D130" s="73">
        <v>3245117</v>
      </c>
      <c r="E130" s="73">
        <v>5038468</v>
      </c>
      <c r="F130" s="73">
        <v>18954229</v>
      </c>
      <c r="G130" s="108">
        <v>-3272885</v>
      </c>
      <c r="H130" s="74"/>
      <c r="I130" s="74"/>
      <c r="J130" s="74"/>
    </row>
    <row r="131" spans="2:10" x14ac:dyDescent="0.2">
      <c r="B131" s="48" t="s">
        <v>185</v>
      </c>
      <c r="C131" s="73">
        <v>-2094164</v>
      </c>
      <c r="D131" s="73">
        <v>3129086</v>
      </c>
      <c r="E131" s="73">
        <v>3625618</v>
      </c>
      <c r="F131" s="73">
        <v>-1253685</v>
      </c>
      <c r="G131" s="108">
        <v>3095521</v>
      </c>
      <c r="H131" s="74"/>
      <c r="I131" s="74"/>
      <c r="J131" s="74"/>
    </row>
    <row r="132" spans="2:10" x14ac:dyDescent="0.2">
      <c r="B132" s="48" t="s">
        <v>186</v>
      </c>
      <c r="C132" s="73">
        <v>-1395325</v>
      </c>
      <c r="D132" s="73">
        <v>6248249</v>
      </c>
      <c r="E132" s="73">
        <v>3176999</v>
      </c>
      <c r="F132" s="73">
        <v>-4103720</v>
      </c>
      <c r="G132" s="108">
        <v>423035</v>
      </c>
      <c r="H132" s="74"/>
      <c r="I132" s="74"/>
      <c r="J132" s="74"/>
    </row>
    <row r="133" spans="2:10" x14ac:dyDescent="0.2">
      <c r="B133" s="48" t="s">
        <v>187</v>
      </c>
      <c r="C133" s="73">
        <v>-3490481</v>
      </c>
      <c r="D133" s="73">
        <v>-8194868</v>
      </c>
      <c r="E133" s="73">
        <v>3741891</v>
      </c>
      <c r="F133" s="73">
        <v>-1756692</v>
      </c>
      <c r="G133" s="108">
        <v>5188303</v>
      </c>
      <c r="H133" s="74"/>
      <c r="I133" s="74"/>
      <c r="J133" s="74"/>
    </row>
    <row r="134" spans="2:10" x14ac:dyDescent="0.2">
      <c r="B134" s="48" t="s">
        <v>188</v>
      </c>
      <c r="C134" s="73">
        <v>767352.36666666716</v>
      </c>
      <c r="D134" s="73">
        <v>-9105820</v>
      </c>
      <c r="E134" s="73">
        <v>2085937</v>
      </c>
      <c r="F134" s="73">
        <v>-222899</v>
      </c>
      <c r="G134" s="108">
        <v>5204853</v>
      </c>
      <c r="H134" s="74"/>
      <c r="I134" s="74"/>
      <c r="J134" s="74"/>
    </row>
    <row r="135" spans="2:10" x14ac:dyDescent="0.2">
      <c r="B135" s="48" t="s">
        <v>189</v>
      </c>
      <c r="C135" s="73">
        <v>4495738</v>
      </c>
      <c r="D135" s="73">
        <v>7982004</v>
      </c>
      <c r="E135" s="73">
        <v>492012</v>
      </c>
      <c r="F135" s="73">
        <v>822721</v>
      </c>
      <c r="G135" s="108">
        <v>-5170532</v>
      </c>
      <c r="H135" s="74"/>
      <c r="I135" s="74"/>
      <c r="J135" s="74"/>
    </row>
    <row r="136" spans="2:10" x14ac:dyDescent="0.2">
      <c r="B136" s="48" t="s">
        <v>190</v>
      </c>
      <c r="C136" s="73">
        <v>-2527014</v>
      </c>
      <c r="D136" s="73">
        <v>2646214</v>
      </c>
      <c r="E136" s="73">
        <v>-2317677</v>
      </c>
      <c r="F136" s="73">
        <v>-2214002</v>
      </c>
      <c r="G136" s="108">
        <v>9983538</v>
      </c>
      <c r="H136" s="74"/>
      <c r="I136" s="74"/>
      <c r="J136" s="74"/>
    </row>
    <row r="137" spans="2:10" x14ac:dyDescent="0.2">
      <c r="B137" s="48" t="s">
        <v>191</v>
      </c>
      <c r="C137" s="73">
        <v>300257</v>
      </c>
      <c r="D137" s="73">
        <v>197274</v>
      </c>
      <c r="E137" s="73">
        <v>-1439362</v>
      </c>
      <c r="F137" s="73">
        <v>8804469</v>
      </c>
      <c r="G137" s="108">
        <v>5208815</v>
      </c>
      <c r="H137" s="74"/>
      <c r="I137" s="74"/>
      <c r="J137" s="74"/>
    </row>
    <row r="138" spans="2:10" ht="21" x14ac:dyDescent="0.2">
      <c r="B138" s="49" t="s">
        <v>192</v>
      </c>
      <c r="C138" s="75"/>
      <c r="D138" s="73">
        <v>3359239</v>
      </c>
      <c r="E138" s="73">
        <v>-4658595.75</v>
      </c>
      <c r="F138" s="73">
        <v>-10440744</v>
      </c>
      <c r="G138" s="108">
        <v>92670</v>
      </c>
      <c r="H138" s="74"/>
      <c r="I138" s="74"/>
      <c r="J138" s="74"/>
    </row>
    <row r="139" spans="2:10" x14ac:dyDescent="0.2">
      <c r="B139" s="49" t="s">
        <v>193</v>
      </c>
      <c r="C139" s="75"/>
      <c r="D139" s="73">
        <v>2559631.8299999982</v>
      </c>
      <c r="E139" s="73">
        <v>-5944643.75</v>
      </c>
      <c r="F139" s="73">
        <v>4755101</v>
      </c>
      <c r="G139" s="108">
        <v>-3000416</v>
      </c>
      <c r="H139" s="74"/>
      <c r="I139" s="74"/>
      <c r="J139" s="74"/>
    </row>
    <row r="140" spans="2:10" ht="21" x14ac:dyDescent="0.2">
      <c r="B140" s="49" t="s">
        <v>194</v>
      </c>
      <c r="C140" s="75"/>
      <c r="D140" s="73">
        <v>-1605167</v>
      </c>
      <c r="E140" s="73">
        <v>904815.25</v>
      </c>
      <c r="F140" s="73">
        <v>-380592</v>
      </c>
      <c r="G140" s="108">
        <v>-3733117</v>
      </c>
      <c r="H140" s="74"/>
      <c r="I140" s="74"/>
      <c r="J140" s="74"/>
    </row>
    <row r="141" spans="2:10" x14ac:dyDescent="0.2">
      <c r="B141" s="49" t="s">
        <v>196</v>
      </c>
      <c r="C141" s="75"/>
      <c r="D141" s="73">
        <f>+S17</f>
        <v>0</v>
      </c>
      <c r="E141" s="73">
        <v>4829226.25</v>
      </c>
      <c r="F141" s="73">
        <v>5224186</v>
      </c>
      <c r="G141" s="108">
        <v>48325460</v>
      </c>
      <c r="H141" s="74"/>
      <c r="I141" s="74"/>
      <c r="J141" s="74"/>
    </row>
    <row r="142" spans="2:10" x14ac:dyDescent="0.2">
      <c r="B142" s="48"/>
      <c r="C142" s="75"/>
      <c r="D142" s="73"/>
      <c r="E142" s="73"/>
      <c r="F142" s="73"/>
      <c r="G142" s="108"/>
      <c r="H142" s="74"/>
      <c r="I142" s="74"/>
      <c r="J142" s="74"/>
    </row>
    <row r="143" spans="2:10" x14ac:dyDescent="0.2">
      <c r="B143" s="48"/>
      <c r="C143" s="75"/>
      <c r="D143" s="73"/>
      <c r="E143" s="73"/>
      <c r="F143" s="76"/>
      <c r="G143" s="109"/>
      <c r="H143" s="85"/>
      <c r="I143" s="85"/>
      <c r="J143" s="85"/>
    </row>
    <row r="144" spans="2:10" ht="13.5" thickBot="1" x14ac:dyDescent="0.25">
      <c r="B144" s="110" t="s">
        <v>183</v>
      </c>
      <c r="C144" s="71">
        <f>SUM(C130:C143)</f>
        <v>-3590836.6333333328</v>
      </c>
      <c r="D144" s="71">
        <f>SUM(D130:D143)</f>
        <v>10460959.829999998</v>
      </c>
      <c r="E144" s="71">
        <f>SUM(E130:E143)</f>
        <v>9534688</v>
      </c>
      <c r="F144" s="71">
        <f>SUM(F130:F143)</f>
        <v>18188372</v>
      </c>
      <c r="G144" s="111">
        <f>SUM(G130:G143)</f>
        <v>62345245</v>
      </c>
      <c r="H144" s="84"/>
      <c r="I144" s="84"/>
      <c r="J144" s="84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3" verticalDpi="360" r:id="rId1"/>
  <rowBreaks count="1" manualBreakCount="1">
    <brk id="100" max="16383" man="1"/>
  </rowBreaks>
  <colBreaks count="1" manualBreakCount="1">
    <brk id="2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zoomScale="93" zoomScaleNormal="93" workbookViewId="0">
      <selection activeCell="E5" sqref="E5"/>
    </sheetView>
  </sheetViews>
  <sheetFormatPr baseColWidth="10" defaultRowHeight="12.75" x14ac:dyDescent="0.2"/>
  <cols>
    <col min="1" max="1" width="34.85546875" style="118" customWidth="1"/>
    <col min="2" max="2" width="37.140625" style="120" customWidth="1"/>
    <col min="3" max="3" width="15.85546875" style="118" bestFit="1" customWidth="1"/>
    <col min="4" max="256" width="11.42578125" style="118"/>
    <col min="257" max="257" width="38.42578125" style="118" bestFit="1" customWidth="1"/>
    <col min="258" max="258" width="43.28515625" style="118" customWidth="1"/>
    <col min="259" max="259" width="43.7109375" style="118" customWidth="1"/>
    <col min="260" max="512" width="11.42578125" style="118"/>
    <col min="513" max="513" width="38.42578125" style="118" bestFit="1" customWidth="1"/>
    <col min="514" max="514" width="43.28515625" style="118" customWidth="1"/>
    <col min="515" max="515" width="43.7109375" style="118" customWidth="1"/>
    <col min="516" max="768" width="11.42578125" style="118"/>
    <col min="769" max="769" width="38.42578125" style="118" bestFit="1" customWidth="1"/>
    <col min="770" max="770" width="43.28515625" style="118" customWidth="1"/>
    <col min="771" max="771" width="43.7109375" style="118" customWidth="1"/>
    <col min="772" max="1024" width="11.42578125" style="118"/>
    <col min="1025" max="1025" width="38.42578125" style="118" bestFit="1" customWidth="1"/>
    <col min="1026" max="1026" width="43.28515625" style="118" customWidth="1"/>
    <col min="1027" max="1027" width="43.7109375" style="118" customWidth="1"/>
    <col min="1028" max="1280" width="11.42578125" style="118"/>
    <col min="1281" max="1281" width="38.42578125" style="118" bestFit="1" customWidth="1"/>
    <col min="1282" max="1282" width="43.28515625" style="118" customWidth="1"/>
    <col min="1283" max="1283" width="43.7109375" style="118" customWidth="1"/>
    <col min="1284" max="1536" width="11.42578125" style="118"/>
    <col min="1537" max="1537" width="38.42578125" style="118" bestFit="1" customWidth="1"/>
    <col min="1538" max="1538" width="43.28515625" style="118" customWidth="1"/>
    <col min="1539" max="1539" width="43.7109375" style="118" customWidth="1"/>
    <col min="1540" max="1792" width="11.42578125" style="118"/>
    <col min="1793" max="1793" width="38.42578125" style="118" bestFit="1" customWidth="1"/>
    <col min="1794" max="1794" width="43.28515625" style="118" customWidth="1"/>
    <col min="1795" max="1795" width="43.7109375" style="118" customWidth="1"/>
    <col min="1796" max="2048" width="11.42578125" style="118"/>
    <col min="2049" max="2049" width="38.42578125" style="118" bestFit="1" customWidth="1"/>
    <col min="2050" max="2050" width="43.28515625" style="118" customWidth="1"/>
    <col min="2051" max="2051" width="43.7109375" style="118" customWidth="1"/>
    <col min="2052" max="2304" width="11.42578125" style="118"/>
    <col min="2305" max="2305" width="38.42578125" style="118" bestFit="1" customWidth="1"/>
    <col min="2306" max="2306" width="43.28515625" style="118" customWidth="1"/>
    <col min="2307" max="2307" width="43.7109375" style="118" customWidth="1"/>
    <col min="2308" max="2560" width="11.42578125" style="118"/>
    <col min="2561" max="2561" width="38.42578125" style="118" bestFit="1" customWidth="1"/>
    <col min="2562" max="2562" width="43.28515625" style="118" customWidth="1"/>
    <col min="2563" max="2563" width="43.7109375" style="118" customWidth="1"/>
    <col min="2564" max="2816" width="11.42578125" style="118"/>
    <col min="2817" max="2817" width="38.42578125" style="118" bestFit="1" customWidth="1"/>
    <col min="2818" max="2818" width="43.28515625" style="118" customWidth="1"/>
    <col min="2819" max="2819" width="43.7109375" style="118" customWidth="1"/>
    <col min="2820" max="3072" width="11.42578125" style="118"/>
    <col min="3073" max="3073" width="38.42578125" style="118" bestFit="1" customWidth="1"/>
    <col min="3074" max="3074" width="43.28515625" style="118" customWidth="1"/>
    <col min="3075" max="3075" width="43.7109375" style="118" customWidth="1"/>
    <col min="3076" max="3328" width="11.42578125" style="118"/>
    <col min="3329" max="3329" width="38.42578125" style="118" bestFit="1" customWidth="1"/>
    <col min="3330" max="3330" width="43.28515625" style="118" customWidth="1"/>
    <col min="3331" max="3331" width="43.7109375" style="118" customWidth="1"/>
    <col min="3332" max="3584" width="11.42578125" style="118"/>
    <col min="3585" max="3585" width="38.42578125" style="118" bestFit="1" customWidth="1"/>
    <col min="3586" max="3586" width="43.28515625" style="118" customWidth="1"/>
    <col min="3587" max="3587" width="43.7109375" style="118" customWidth="1"/>
    <col min="3588" max="3840" width="11.42578125" style="118"/>
    <col min="3841" max="3841" width="38.42578125" style="118" bestFit="1" customWidth="1"/>
    <col min="3842" max="3842" width="43.28515625" style="118" customWidth="1"/>
    <col min="3843" max="3843" width="43.7109375" style="118" customWidth="1"/>
    <col min="3844" max="4096" width="11.42578125" style="118"/>
    <col min="4097" max="4097" width="38.42578125" style="118" bestFit="1" customWidth="1"/>
    <col min="4098" max="4098" width="43.28515625" style="118" customWidth="1"/>
    <col min="4099" max="4099" width="43.7109375" style="118" customWidth="1"/>
    <col min="4100" max="4352" width="11.42578125" style="118"/>
    <col min="4353" max="4353" width="38.42578125" style="118" bestFit="1" customWidth="1"/>
    <col min="4354" max="4354" width="43.28515625" style="118" customWidth="1"/>
    <col min="4355" max="4355" width="43.7109375" style="118" customWidth="1"/>
    <col min="4356" max="4608" width="11.42578125" style="118"/>
    <col min="4609" max="4609" width="38.42578125" style="118" bestFit="1" customWidth="1"/>
    <col min="4610" max="4610" width="43.28515625" style="118" customWidth="1"/>
    <col min="4611" max="4611" width="43.7109375" style="118" customWidth="1"/>
    <col min="4612" max="4864" width="11.42578125" style="118"/>
    <col min="4865" max="4865" width="38.42578125" style="118" bestFit="1" customWidth="1"/>
    <col min="4866" max="4866" width="43.28515625" style="118" customWidth="1"/>
    <col min="4867" max="4867" width="43.7109375" style="118" customWidth="1"/>
    <col min="4868" max="5120" width="11.42578125" style="118"/>
    <col min="5121" max="5121" width="38.42578125" style="118" bestFit="1" customWidth="1"/>
    <col min="5122" max="5122" width="43.28515625" style="118" customWidth="1"/>
    <col min="5123" max="5123" width="43.7109375" style="118" customWidth="1"/>
    <col min="5124" max="5376" width="11.42578125" style="118"/>
    <col min="5377" max="5377" width="38.42578125" style="118" bestFit="1" customWidth="1"/>
    <col min="5378" max="5378" width="43.28515625" style="118" customWidth="1"/>
    <col min="5379" max="5379" width="43.7109375" style="118" customWidth="1"/>
    <col min="5380" max="5632" width="11.42578125" style="118"/>
    <col min="5633" max="5633" width="38.42578125" style="118" bestFit="1" customWidth="1"/>
    <col min="5634" max="5634" width="43.28515625" style="118" customWidth="1"/>
    <col min="5635" max="5635" width="43.7109375" style="118" customWidth="1"/>
    <col min="5636" max="5888" width="11.42578125" style="118"/>
    <col min="5889" max="5889" width="38.42578125" style="118" bestFit="1" customWidth="1"/>
    <col min="5890" max="5890" width="43.28515625" style="118" customWidth="1"/>
    <col min="5891" max="5891" width="43.7109375" style="118" customWidth="1"/>
    <col min="5892" max="6144" width="11.42578125" style="118"/>
    <col min="6145" max="6145" width="38.42578125" style="118" bestFit="1" customWidth="1"/>
    <col min="6146" max="6146" width="43.28515625" style="118" customWidth="1"/>
    <col min="6147" max="6147" width="43.7109375" style="118" customWidth="1"/>
    <col min="6148" max="6400" width="11.42578125" style="118"/>
    <col min="6401" max="6401" width="38.42578125" style="118" bestFit="1" customWidth="1"/>
    <col min="6402" max="6402" width="43.28515625" style="118" customWidth="1"/>
    <col min="6403" max="6403" width="43.7109375" style="118" customWidth="1"/>
    <col min="6404" max="6656" width="11.42578125" style="118"/>
    <col min="6657" max="6657" width="38.42578125" style="118" bestFit="1" customWidth="1"/>
    <col min="6658" max="6658" width="43.28515625" style="118" customWidth="1"/>
    <col min="6659" max="6659" width="43.7109375" style="118" customWidth="1"/>
    <col min="6660" max="6912" width="11.42578125" style="118"/>
    <col min="6913" max="6913" width="38.42578125" style="118" bestFit="1" customWidth="1"/>
    <col min="6914" max="6914" width="43.28515625" style="118" customWidth="1"/>
    <col min="6915" max="6915" width="43.7109375" style="118" customWidth="1"/>
    <col min="6916" max="7168" width="11.42578125" style="118"/>
    <col min="7169" max="7169" width="38.42578125" style="118" bestFit="1" customWidth="1"/>
    <col min="7170" max="7170" width="43.28515625" style="118" customWidth="1"/>
    <col min="7171" max="7171" width="43.7109375" style="118" customWidth="1"/>
    <col min="7172" max="7424" width="11.42578125" style="118"/>
    <col min="7425" max="7425" width="38.42578125" style="118" bestFit="1" customWidth="1"/>
    <col min="7426" max="7426" width="43.28515625" style="118" customWidth="1"/>
    <col min="7427" max="7427" width="43.7109375" style="118" customWidth="1"/>
    <col min="7428" max="7680" width="11.42578125" style="118"/>
    <col min="7681" max="7681" width="38.42578125" style="118" bestFit="1" customWidth="1"/>
    <col min="7682" max="7682" width="43.28515625" style="118" customWidth="1"/>
    <col min="7683" max="7683" width="43.7109375" style="118" customWidth="1"/>
    <col min="7684" max="7936" width="11.42578125" style="118"/>
    <col min="7937" max="7937" width="38.42578125" style="118" bestFit="1" customWidth="1"/>
    <col min="7938" max="7938" width="43.28515625" style="118" customWidth="1"/>
    <col min="7939" max="7939" width="43.7109375" style="118" customWidth="1"/>
    <col min="7940" max="8192" width="11.42578125" style="118"/>
    <col min="8193" max="8193" width="38.42578125" style="118" bestFit="1" customWidth="1"/>
    <col min="8194" max="8194" width="43.28515625" style="118" customWidth="1"/>
    <col min="8195" max="8195" width="43.7109375" style="118" customWidth="1"/>
    <col min="8196" max="8448" width="11.42578125" style="118"/>
    <col min="8449" max="8449" width="38.42578125" style="118" bestFit="1" customWidth="1"/>
    <col min="8450" max="8450" width="43.28515625" style="118" customWidth="1"/>
    <col min="8451" max="8451" width="43.7109375" style="118" customWidth="1"/>
    <col min="8452" max="8704" width="11.42578125" style="118"/>
    <col min="8705" max="8705" width="38.42578125" style="118" bestFit="1" customWidth="1"/>
    <col min="8706" max="8706" width="43.28515625" style="118" customWidth="1"/>
    <col min="8707" max="8707" width="43.7109375" style="118" customWidth="1"/>
    <col min="8708" max="8960" width="11.42578125" style="118"/>
    <col min="8961" max="8961" width="38.42578125" style="118" bestFit="1" customWidth="1"/>
    <col min="8962" max="8962" width="43.28515625" style="118" customWidth="1"/>
    <col min="8963" max="8963" width="43.7109375" style="118" customWidth="1"/>
    <col min="8964" max="9216" width="11.42578125" style="118"/>
    <col min="9217" max="9217" width="38.42578125" style="118" bestFit="1" customWidth="1"/>
    <col min="9218" max="9218" width="43.28515625" style="118" customWidth="1"/>
    <col min="9219" max="9219" width="43.7109375" style="118" customWidth="1"/>
    <col min="9220" max="9472" width="11.42578125" style="118"/>
    <col min="9473" max="9473" width="38.42578125" style="118" bestFit="1" customWidth="1"/>
    <col min="9474" max="9474" width="43.28515625" style="118" customWidth="1"/>
    <col min="9475" max="9475" width="43.7109375" style="118" customWidth="1"/>
    <col min="9476" max="9728" width="11.42578125" style="118"/>
    <col min="9729" max="9729" width="38.42578125" style="118" bestFit="1" customWidth="1"/>
    <col min="9730" max="9730" width="43.28515625" style="118" customWidth="1"/>
    <col min="9731" max="9731" width="43.7109375" style="118" customWidth="1"/>
    <col min="9732" max="9984" width="11.42578125" style="118"/>
    <col min="9985" max="9985" width="38.42578125" style="118" bestFit="1" customWidth="1"/>
    <col min="9986" max="9986" width="43.28515625" style="118" customWidth="1"/>
    <col min="9987" max="9987" width="43.7109375" style="118" customWidth="1"/>
    <col min="9988" max="10240" width="11.42578125" style="118"/>
    <col min="10241" max="10241" width="38.42578125" style="118" bestFit="1" customWidth="1"/>
    <col min="10242" max="10242" width="43.28515625" style="118" customWidth="1"/>
    <col min="10243" max="10243" width="43.7109375" style="118" customWidth="1"/>
    <col min="10244" max="10496" width="11.42578125" style="118"/>
    <col min="10497" max="10497" width="38.42578125" style="118" bestFit="1" customWidth="1"/>
    <col min="10498" max="10498" width="43.28515625" style="118" customWidth="1"/>
    <col min="10499" max="10499" width="43.7109375" style="118" customWidth="1"/>
    <col min="10500" max="10752" width="11.42578125" style="118"/>
    <col min="10753" max="10753" width="38.42578125" style="118" bestFit="1" customWidth="1"/>
    <col min="10754" max="10754" width="43.28515625" style="118" customWidth="1"/>
    <col min="10755" max="10755" width="43.7109375" style="118" customWidth="1"/>
    <col min="10756" max="11008" width="11.42578125" style="118"/>
    <col min="11009" max="11009" width="38.42578125" style="118" bestFit="1" customWidth="1"/>
    <col min="11010" max="11010" width="43.28515625" style="118" customWidth="1"/>
    <col min="11011" max="11011" width="43.7109375" style="118" customWidth="1"/>
    <col min="11012" max="11264" width="11.42578125" style="118"/>
    <col min="11265" max="11265" width="38.42578125" style="118" bestFit="1" customWidth="1"/>
    <col min="11266" max="11266" width="43.28515625" style="118" customWidth="1"/>
    <col min="11267" max="11267" width="43.7109375" style="118" customWidth="1"/>
    <col min="11268" max="11520" width="11.42578125" style="118"/>
    <col min="11521" max="11521" width="38.42578125" style="118" bestFit="1" customWidth="1"/>
    <col min="11522" max="11522" width="43.28515625" style="118" customWidth="1"/>
    <col min="11523" max="11523" width="43.7109375" style="118" customWidth="1"/>
    <col min="11524" max="11776" width="11.42578125" style="118"/>
    <col min="11777" max="11777" width="38.42578125" style="118" bestFit="1" customWidth="1"/>
    <col min="11778" max="11778" width="43.28515625" style="118" customWidth="1"/>
    <col min="11779" max="11779" width="43.7109375" style="118" customWidth="1"/>
    <col min="11780" max="12032" width="11.42578125" style="118"/>
    <col min="12033" max="12033" width="38.42578125" style="118" bestFit="1" customWidth="1"/>
    <col min="12034" max="12034" width="43.28515625" style="118" customWidth="1"/>
    <col min="12035" max="12035" width="43.7109375" style="118" customWidth="1"/>
    <col min="12036" max="12288" width="11.42578125" style="118"/>
    <col min="12289" max="12289" width="38.42578125" style="118" bestFit="1" customWidth="1"/>
    <col min="12290" max="12290" width="43.28515625" style="118" customWidth="1"/>
    <col min="12291" max="12291" width="43.7109375" style="118" customWidth="1"/>
    <col min="12292" max="12544" width="11.42578125" style="118"/>
    <col min="12545" max="12545" width="38.42578125" style="118" bestFit="1" customWidth="1"/>
    <col min="12546" max="12546" width="43.28515625" style="118" customWidth="1"/>
    <col min="12547" max="12547" width="43.7109375" style="118" customWidth="1"/>
    <col min="12548" max="12800" width="11.42578125" style="118"/>
    <col min="12801" max="12801" width="38.42578125" style="118" bestFit="1" customWidth="1"/>
    <col min="12802" max="12802" width="43.28515625" style="118" customWidth="1"/>
    <col min="12803" max="12803" width="43.7109375" style="118" customWidth="1"/>
    <col min="12804" max="13056" width="11.42578125" style="118"/>
    <col min="13057" max="13057" width="38.42578125" style="118" bestFit="1" customWidth="1"/>
    <col min="13058" max="13058" width="43.28515625" style="118" customWidth="1"/>
    <col min="13059" max="13059" width="43.7109375" style="118" customWidth="1"/>
    <col min="13060" max="13312" width="11.42578125" style="118"/>
    <col min="13313" max="13313" width="38.42578125" style="118" bestFit="1" customWidth="1"/>
    <col min="13314" max="13314" width="43.28515625" style="118" customWidth="1"/>
    <col min="13315" max="13315" width="43.7109375" style="118" customWidth="1"/>
    <col min="13316" max="13568" width="11.42578125" style="118"/>
    <col min="13569" max="13569" width="38.42578125" style="118" bestFit="1" customWidth="1"/>
    <col min="13570" max="13570" width="43.28515625" style="118" customWidth="1"/>
    <col min="13571" max="13571" width="43.7109375" style="118" customWidth="1"/>
    <col min="13572" max="13824" width="11.42578125" style="118"/>
    <col min="13825" max="13825" width="38.42578125" style="118" bestFit="1" customWidth="1"/>
    <col min="13826" max="13826" width="43.28515625" style="118" customWidth="1"/>
    <col min="13827" max="13827" width="43.7109375" style="118" customWidth="1"/>
    <col min="13828" max="14080" width="11.42578125" style="118"/>
    <col min="14081" max="14081" width="38.42578125" style="118" bestFit="1" customWidth="1"/>
    <col min="14082" max="14082" width="43.28515625" style="118" customWidth="1"/>
    <col min="14083" max="14083" width="43.7109375" style="118" customWidth="1"/>
    <col min="14084" max="14336" width="11.42578125" style="118"/>
    <col min="14337" max="14337" width="38.42578125" style="118" bestFit="1" customWidth="1"/>
    <col min="14338" max="14338" width="43.28515625" style="118" customWidth="1"/>
    <col min="14339" max="14339" width="43.7109375" style="118" customWidth="1"/>
    <col min="14340" max="14592" width="11.42578125" style="118"/>
    <col min="14593" max="14593" width="38.42578125" style="118" bestFit="1" customWidth="1"/>
    <col min="14594" max="14594" width="43.28515625" style="118" customWidth="1"/>
    <col min="14595" max="14595" width="43.7109375" style="118" customWidth="1"/>
    <col min="14596" max="14848" width="11.42578125" style="118"/>
    <col min="14849" max="14849" width="38.42578125" style="118" bestFit="1" customWidth="1"/>
    <col min="14850" max="14850" width="43.28515625" style="118" customWidth="1"/>
    <col min="14851" max="14851" width="43.7109375" style="118" customWidth="1"/>
    <col min="14852" max="15104" width="11.42578125" style="118"/>
    <col min="15105" max="15105" width="38.42578125" style="118" bestFit="1" customWidth="1"/>
    <col min="15106" max="15106" width="43.28515625" style="118" customWidth="1"/>
    <col min="15107" max="15107" width="43.7109375" style="118" customWidth="1"/>
    <col min="15108" max="15360" width="11.42578125" style="118"/>
    <col min="15361" max="15361" width="38.42578125" style="118" bestFit="1" customWidth="1"/>
    <col min="15362" max="15362" width="43.28515625" style="118" customWidth="1"/>
    <col min="15363" max="15363" width="43.7109375" style="118" customWidth="1"/>
    <col min="15364" max="15616" width="11.42578125" style="118"/>
    <col min="15617" max="15617" width="38.42578125" style="118" bestFit="1" customWidth="1"/>
    <col min="15618" max="15618" width="43.28515625" style="118" customWidth="1"/>
    <col min="15619" max="15619" width="43.7109375" style="118" customWidth="1"/>
    <col min="15620" max="15872" width="11.42578125" style="118"/>
    <col min="15873" max="15873" width="38.42578125" style="118" bestFit="1" customWidth="1"/>
    <col min="15874" max="15874" width="43.28515625" style="118" customWidth="1"/>
    <col min="15875" max="15875" width="43.7109375" style="118" customWidth="1"/>
    <col min="15876" max="16128" width="11.42578125" style="118"/>
    <col min="16129" max="16129" width="38.42578125" style="118" bestFit="1" customWidth="1"/>
    <col min="16130" max="16130" width="43.28515625" style="118" customWidth="1"/>
    <col min="16131" max="16131" width="43.7109375" style="118" customWidth="1"/>
    <col min="16132" max="16384" width="11.42578125" style="118"/>
  </cols>
  <sheetData>
    <row r="1" spans="1:5" ht="18" x14ac:dyDescent="0.25">
      <c r="A1" s="242" t="s">
        <v>326</v>
      </c>
      <c r="B1" s="242"/>
    </row>
    <row r="2" spans="1:5" ht="15" x14ac:dyDescent="0.35">
      <c r="A2" s="119" t="s">
        <v>319</v>
      </c>
    </row>
    <row r="4" spans="1:5" x14ac:dyDescent="0.2">
      <c r="A4" s="118" t="s">
        <v>319</v>
      </c>
      <c r="B4" s="121" t="s">
        <v>320</v>
      </c>
      <c r="C4" s="123">
        <f>+AGOSTO!E56</f>
        <v>576711378</v>
      </c>
      <c r="D4" s="118">
        <f>+C4/C5</f>
        <v>96.114990726178007</v>
      </c>
      <c r="E4" s="145" t="s">
        <v>388</v>
      </c>
    </row>
    <row r="5" spans="1:5" x14ac:dyDescent="0.2">
      <c r="B5" s="120" t="s">
        <v>321</v>
      </c>
      <c r="C5" s="122">
        <f>+AGOSTO!E93</f>
        <v>6000223</v>
      </c>
    </row>
    <row r="7" spans="1:5" x14ac:dyDescent="0.2">
      <c r="A7" s="118" t="s">
        <v>327</v>
      </c>
      <c r="B7" s="121" t="s">
        <v>328</v>
      </c>
      <c r="C7" s="123">
        <f>+AGOSTO!E56-AGOSTO!E35</f>
        <v>410225482</v>
      </c>
      <c r="D7" s="118">
        <f>+C7/C8</f>
        <v>68.368372642150135</v>
      </c>
      <c r="E7" s="145" t="s">
        <v>387</v>
      </c>
    </row>
    <row r="8" spans="1:5" x14ac:dyDescent="0.2">
      <c r="B8" s="120" t="s">
        <v>321</v>
      </c>
      <c r="C8" s="122">
        <f>+C5</f>
        <v>6000223</v>
      </c>
    </row>
    <row r="10" spans="1:5" ht="15" x14ac:dyDescent="0.35">
      <c r="A10" s="119" t="s">
        <v>329</v>
      </c>
    </row>
    <row r="12" spans="1:5" x14ac:dyDescent="0.2">
      <c r="A12" s="118" t="s">
        <v>330</v>
      </c>
      <c r="B12" s="121" t="s">
        <v>325</v>
      </c>
      <c r="C12" s="143">
        <v>136687592</v>
      </c>
      <c r="D12" s="118">
        <f>+C12/C13</f>
        <v>0.385639489407481</v>
      </c>
      <c r="E12" s="145" t="s">
        <v>377</v>
      </c>
    </row>
    <row r="13" spans="1:5" x14ac:dyDescent="0.2">
      <c r="B13" s="120" t="s">
        <v>331</v>
      </c>
      <c r="C13" s="144">
        <f>+AGOSTO!E39</f>
        <v>354443971</v>
      </c>
    </row>
    <row r="15" spans="1:5" x14ac:dyDescent="0.2">
      <c r="A15" s="118" t="s">
        <v>332</v>
      </c>
      <c r="B15" s="121" t="s">
        <v>325</v>
      </c>
      <c r="C15" s="143">
        <f>+C12</f>
        <v>136687592</v>
      </c>
      <c r="D15" s="118">
        <f>+C15/C16</f>
        <v>0.23701212983524664</v>
      </c>
      <c r="E15" s="145" t="s">
        <v>378</v>
      </c>
    </row>
    <row r="16" spans="1:5" x14ac:dyDescent="0.2">
      <c r="B16" s="120" t="s">
        <v>333</v>
      </c>
      <c r="C16" s="122">
        <f>+C4</f>
        <v>576711378</v>
      </c>
    </row>
    <row r="18" spans="1:5" ht="15" x14ac:dyDescent="0.35">
      <c r="A18" s="119" t="s">
        <v>334</v>
      </c>
    </row>
    <row r="20" spans="1:5" x14ac:dyDescent="0.2">
      <c r="A20" s="118" t="s">
        <v>322</v>
      </c>
      <c r="B20" s="121" t="s">
        <v>323</v>
      </c>
      <c r="C20" s="123">
        <f>+AGOSTO!E93</f>
        <v>6000223</v>
      </c>
      <c r="D20" s="118">
        <f>+C20/C21</f>
        <v>1.040420430200009E-2</v>
      </c>
      <c r="E20" s="145" t="s">
        <v>386</v>
      </c>
    </row>
    <row r="21" spans="1:5" x14ac:dyDescent="0.2">
      <c r="B21" s="120" t="s">
        <v>324</v>
      </c>
      <c r="C21" s="122">
        <f>+AGOSTO!E56</f>
        <v>576711378</v>
      </c>
    </row>
  </sheetData>
  <mergeCells count="1">
    <mergeCell ref="A1:B1"/>
  </mergeCells>
  <printOptions horizontalCentered="1" verticalCentered="1"/>
  <pageMargins left="0.52" right="0.46" top="0.54" bottom="0.51" header="0" footer="0"/>
  <pageSetup scale="82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B18" sqref="B18"/>
    </sheetView>
  </sheetViews>
  <sheetFormatPr baseColWidth="10" defaultRowHeight="15" x14ac:dyDescent="0.25"/>
  <cols>
    <col min="2" max="2" width="32.42578125" bestFit="1" customWidth="1"/>
  </cols>
  <sheetData>
    <row r="2" spans="2:6" ht="23.25" x14ac:dyDescent="0.25">
      <c r="D2" s="214" t="s">
        <v>383</v>
      </c>
      <c r="E2" s="214"/>
    </row>
    <row r="3" spans="2:6" x14ac:dyDescent="0.25">
      <c r="B3" s="206" t="s">
        <v>244</v>
      </c>
      <c r="C3" s="192">
        <f>+C4</f>
        <v>10126196</v>
      </c>
      <c r="D3" s="192"/>
      <c r="E3" s="192"/>
    </row>
    <row r="4" spans="2:6" x14ac:dyDescent="0.25">
      <c r="B4" s="207" t="s">
        <v>95</v>
      </c>
      <c r="C4" s="192">
        <v>10126196</v>
      </c>
      <c r="D4" s="192">
        <f>+C4/10</f>
        <v>1012619.6</v>
      </c>
      <c r="E4" s="192">
        <f>+D4/12</f>
        <v>84384.96666666666</v>
      </c>
    </row>
    <row r="5" spans="2:6" x14ac:dyDescent="0.25">
      <c r="B5" s="206" t="s">
        <v>69</v>
      </c>
      <c r="C5" s="192">
        <f>+C6+C7</f>
        <v>381000000</v>
      </c>
      <c r="D5" s="192"/>
      <c r="E5" s="192">
        <f t="shared" ref="E5:E13" si="0">+D5/12</f>
        <v>0</v>
      </c>
    </row>
    <row r="6" spans="2:6" x14ac:dyDescent="0.25">
      <c r="B6" s="207" t="s">
        <v>248</v>
      </c>
      <c r="C6" s="192">
        <v>91000000</v>
      </c>
      <c r="D6" s="192">
        <f>+C6/30</f>
        <v>3033333.3333333335</v>
      </c>
      <c r="E6" s="192">
        <f t="shared" si="0"/>
        <v>252777.77777777778</v>
      </c>
      <c r="F6" s="217">
        <f>+E6+E7</f>
        <v>1058333.3333333333</v>
      </c>
    </row>
    <row r="7" spans="2:6" x14ac:dyDescent="0.25">
      <c r="B7" s="207" t="s">
        <v>250</v>
      </c>
      <c r="C7" s="192">
        <v>290000000</v>
      </c>
      <c r="D7" s="192">
        <f>+C7/30</f>
        <v>9666666.666666666</v>
      </c>
      <c r="E7" s="192">
        <f t="shared" si="0"/>
        <v>805555.5555555555</v>
      </c>
    </row>
    <row r="8" spans="2:6" x14ac:dyDescent="0.25">
      <c r="B8" s="206" t="s">
        <v>95</v>
      </c>
      <c r="C8" s="192">
        <f>+C9</f>
        <v>1070000</v>
      </c>
      <c r="D8" s="192"/>
      <c r="E8" s="192">
        <f t="shared" si="0"/>
        <v>0</v>
      </c>
    </row>
    <row r="9" spans="2:6" x14ac:dyDescent="0.25">
      <c r="B9" s="207" t="s">
        <v>253</v>
      </c>
      <c r="C9" s="192">
        <v>1070000</v>
      </c>
      <c r="D9" s="192">
        <f>+C9/10</f>
        <v>107000</v>
      </c>
      <c r="E9" s="192">
        <f t="shared" si="0"/>
        <v>8916.6666666666661</v>
      </c>
    </row>
    <row r="10" spans="2:6" x14ac:dyDescent="0.25">
      <c r="B10" s="206" t="s">
        <v>143</v>
      </c>
      <c r="C10" s="192">
        <f>+C11</f>
        <v>3109000</v>
      </c>
      <c r="D10" s="192"/>
      <c r="E10" s="192">
        <f t="shared" si="0"/>
        <v>0</v>
      </c>
    </row>
    <row r="11" spans="2:6" x14ac:dyDescent="0.25">
      <c r="B11" s="207" t="s">
        <v>256</v>
      </c>
      <c r="C11" s="192">
        <v>3109000</v>
      </c>
      <c r="D11" s="192">
        <f>+C11/5</f>
        <v>621800</v>
      </c>
      <c r="E11" s="192">
        <f t="shared" si="0"/>
        <v>51816.666666666664</v>
      </c>
    </row>
    <row r="12" spans="2:6" x14ac:dyDescent="0.25">
      <c r="B12" s="206" t="s">
        <v>258</v>
      </c>
      <c r="C12" s="192">
        <v>34596000</v>
      </c>
      <c r="D12" s="192"/>
      <c r="E12" s="192">
        <f t="shared" si="0"/>
        <v>0</v>
      </c>
    </row>
    <row r="13" spans="2:6" x14ac:dyDescent="0.25">
      <c r="B13" s="207" t="s">
        <v>260</v>
      </c>
      <c r="C13" s="192">
        <v>34596000</v>
      </c>
      <c r="D13" s="192">
        <f>+C13/5</f>
        <v>6919200</v>
      </c>
      <c r="E13" s="192">
        <f t="shared" si="0"/>
        <v>576600</v>
      </c>
    </row>
    <row r="14" spans="2:6" x14ac:dyDescent="0.25">
      <c r="D14" s="192">
        <f>SUM(D3:D13)</f>
        <v>21360619.600000001</v>
      </c>
      <c r="E14" s="192">
        <f>SUM(E3:E13)</f>
        <v>1780051.6333333333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Q42"/>
  <sheetViews>
    <sheetView topLeftCell="A11" workbookViewId="0">
      <selection activeCell="I39" sqref="I39"/>
    </sheetView>
  </sheetViews>
  <sheetFormatPr baseColWidth="10" defaultRowHeight="15" x14ac:dyDescent="0.25"/>
  <cols>
    <col min="3" max="3" width="17.85546875" bestFit="1" customWidth="1"/>
    <col min="4" max="7" width="12.42578125" bestFit="1" customWidth="1"/>
  </cols>
  <sheetData>
    <row r="7" spans="2:7" ht="15.75" thickBot="1" x14ac:dyDescent="0.3"/>
    <row r="8" spans="2:7" ht="39" thickBot="1" x14ac:dyDescent="0.3">
      <c r="B8" s="246" t="s">
        <v>176</v>
      </c>
      <c r="C8" s="246" t="s">
        <v>371</v>
      </c>
      <c r="D8" s="246" t="s">
        <v>353</v>
      </c>
      <c r="E8" s="246" t="s">
        <v>199</v>
      </c>
      <c r="F8" s="246" t="s">
        <v>177</v>
      </c>
      <c r="G8" s="246" t="s">
        <v>178</v>
      </c>
    </row>
    <row r="9" spans="2:7" ht="16.5" thickTop="1" x14ac:dyDescent="0.25">
      <c r="B9" s="244" t="s">
        <v>188</v>
      </c>
      <c r="C9" s="162">
        <f>+'PYG '!S8</f>
        <v>3036250</v>
      </c>
      <c r="D9" s="162"/>
      <c r="E9" s="162">
        <v>4831245</v>
      </c>
      <c r="F9" s="162">
        <v>2070588</v>
      </c>
      <c r="G9" s="162">
        <v>1563099</v>
      </c>
    </row>
    <row r="10" spans="2:7" ht="15.75" x14ac:dyDescent="0.25">
      <c r="B10" s="244" t="s">
        <v>189</v>
      </c>
      <c r="C10" s="162">
        <f>+'PYG '!W8</f>
        <v>3220640</v>
      </c>
      <c r="D10" s="162">
        <v>15088775</v>
      </c>
      <c r="E10" s="162">
        <v>2541098</v>
      </c>
      <c r="F10" s="162">
        <v>4186225</v>
      </c>
      <c r="G10" s="162">
        <v>2504537</v>
      </c>
    </row>
    <row r="11" spans="2:7" ht="15.75" x14ac:dyDescent="0.25">
      <c r="B11" s="244" t="s">
        <v>190</v>
      </c>
      <c r="C11" s="162">
        <f>+'PYG '!AA8</f>
        <v>2982171</v>
      </c>
      <c r="D11" s="162">
        <v>5107405</v>
      </c>
      <c r="E11" s="162">
        <v>2060928</v>
      </c>
      <c r="F11" s="162">
        <v>3502320</v>
      </c>
      <c r="G11" s="162">
        <v>14376812</v>
      </c>
    </row>
    <row r="12" spans="2:7" ht="15.75" x14ac:dyDescent="0.25">
      <c r="B12" s="244" t="s">
        <v>191</v>
      </c>
      <c r="C12" s="162">
        <f>+'PYG '!AE8</f>
        <v>2259634</v>
      </c>
      <c r="D12" s="162">
        <v>4348355</v>
      </c>
      <c r="E12" s="162">
        <v>722060</v>
      </c>
      <c r="F12" s="162">
        <v>13456626</v>
      </c>
      <c r="G12" s="162">
        <v>9843168</v>
      </c>
    </row>
    <row r="13" spans="2:7" x14ac:dyDescent="0.25">
      <c r="B13" s="244" t="s">
        <v>389</v>
      </c>
      <c r="C13" s="245">
        <f>SUM(C9:C12)</f>
        <v>11498695</v>
      </c>
      <c r="D13" s="245">
        <f>SUM(D9:D12)</f>
        <v>24544535</v>
      </c>
      <c r="E13" s="245">
        <f t="shared" ref="D13:G13" si="0">SUM(E9:E12)</f>
        <v>10155331</v>
      </c>
      <c r="F13" s="245">
        <f t="shared" si="0"/>
        <v>23215759</v>
      </c>
      <c r="G13" s="245">
        <f t="shared" si="0"/>
        <v>28287616</v>
      </c>
    </row>
    <row r="14" spans="2:7" x14ac:dyDescent="0.25">
      <c r="B14" s="243"/>
      <c r="C14" s="248"/>
      <c r="D14" s="247"/>
      <c r="E14" s="247"/>
      <c r="F14" s="247"/>
      <c r="G14" s="247"/>
    </row>
    <row r="15" spans="2:7" x14ac:dyDescent="0.25">
      <c r="B15" s="243"/>
      <c r="C15" s="247"/>
      <c r="D15" s="247"/>
      <c r="E15" s="247"/>
      <c r="F15" s="247"/>
      <c r="G15" s="247"/>
    </row>
    <row r="16" spans="2:7" x14ac:dyDescent="0.25">
      <c r="B16" s="243"/>
      <c r="C16" s="247"/>
      <c r="D16" s="247"/>
      <c r="E16" s="247"/>
      <c r="F16" s="247"/>
      <c r="G16" s="247"/>
    </row>
    <row r="18" spans="2:17" ht="15.75" thickBot="1" x14ac:dyDescent="0.3"/>
    <row r="19" spans="2:17" ht="39" thickBot="1" x14ac:dyDescent="0.3">
      <c r="B19" s="246" t="s">
        <v>176</v>
      </c>
      <c r="C19" s="246" t="s">
        <v>372</v>
      </c>
      <c r="D19" s="246" t="s">
        <v>354</v>
      </c>
      <c r="E19" s="246" t="s">
        <v>200</v>
      </c>
      <c r="F19" s="246" t="s">
        <v>179</v>
      </c>
      <c r="G19" s="246" t="s">
        <v>180</v>
      </c>
      <c r="K19" s="246" t="s">
        <v>176</v>
      </c>
      <c r="L19" s="246" t="s">
        <v>394</v>
      </c>
      <c r="M19" s="246" t="s">
        <v>395</v>
      </c>
      <c r="N19" s="246" t="s">
        <v>396</v>
      </c>
      <c r="O19" s="246" t="s">
        <v>397</v>
      </c>
      <c r="P19" s="246" t="s">
        <v>398</v>
      </c>
    </row>
    <row r="20" spans="2:17" ht="16.5" thickTop="1" x14ac:dyDescent="0.25">
      <c r="B20" s="244" t="s">
        <v>188</v>
      </c>
      <c r="C20" s="162">
        <v>9475619</v>
      </c>
      <c r="D20" s="162">
        <v>1804105</v>
      </c>
      <c r="E20" s="162">
        <v>7419178</v>
      </c>
      <c r="F20" s="162">
        <v>5721041</v>
      </c>
      <c r="G20" s="162">
        <v>13796936</v>
      </c>
      <c r="K20" s="244" t="s">
        <v>188</v>
      </c>
      <c r="L20" s="162">
        <f>+C9+C20</f>
        <v>12511869</v>
      </c>
      <c r="M20" s="162">
        <f t="shared" ref="M20:O23" si="1">+D9+D20</f>
        <v>1804105</v>
      </c>
      <c r="N20" s="162">
        <f t="shared" si="1"/>
        <v>12250423</v>
      </c>
      <c r="O20" s="162">
        <f t="shared" si="1"/>
        <v>7791629</v>
      </c>
      <c r="P20" s="162">
        <f>+G9+G20</f>
        <v>15360035</v>
      </c>
    </row>
    <row r="21" spans="2:17" ht="15.75" x14ac:dyDescent="0.25">
      <c r="B21" s="244" t="s">
        <v>189</v>
      </c>
      <c r="C21" s="162">
        <v>14072478</v>
      </c>
      <c r="D21" s="162">
        <v>5883300</v>
      </c>
      <c r="E21" s="162">
        <v>6384585</v>
      </c>
      <c r="F21" s="162">
        <v>4021740</v>
      </c>
      <c r="G21" s="162">
        <v>6565667</v>
      </c>
      <c r="K21" s="244" t="s">
        <v>189</v>
      </c>
      <c r="L21" s="162">
        <f t="shared" ref="L21:L26" si="2">+C10+C21</f>
        <v>17293118</v>
      </c>
      <c r="M21" s="162">
        <f t="shared" si="1"/>
        <v>20972075</v>
      </c>
      <c r="N21" s="162">
        <f t="shared" si="1"/>
        <v>8925683</v>
      </c>
      <c r="O21" s="162">
        <f t="shared" si="1"/>
        <v>8207965</v>
      </c>
      <c r="P21" s="162">
        <f t="shared" ref="P21:P23" si="3">+G10+G21</f>
        <v>9070204</v>
      </c>
    </row>
    <row r="22" spans="2:17" ht="15.75" x14ac:dyDescent="0.25">
      <c r="B22" s="244" t="s">
        <v>190</v>
      </c>
      <c r="C22" s="162">
        <v>7847354</v>
      </c>
      <c r="D22" s="162">
        <v>9069381</v>
      </c>
      <c r="E22" s="162">
        <v>4374077</v>
      </c>
      <c r="F22" s="162">
        <v>1959742</v>
      </c>
      <c r="G22" s="162">
        <v>6138041</v>
      </c>
      <c r="K22" s="244" t="s">
        <v>190</v>
      </c>
      <c r="L22" s="162">
        <f t="shared" si="2"/>
        <v>10829525</v>
      </c>
      <c r="M22" s="162">
        <f t="shared" si="1"/>
        <v>14176786</v>
      </c>
      <c r="N22" s="162">
        <f t="shared" si="1"/>
        <v>6435005</v>
      </c>
      <c r="O22" s="162">
        <f t="shared" si="1"/>
        <v>5462062</v>
      </c>
      <c r="P22" s="162">
        <f t="shared" si="3"/>
        <v>20514853</v>
      </c>
    </row>
    <row r="23" spans="2:17" ht="15.75" x14ac:dyDescent="0.25">
      <c r="B23" s="244" t="s">
        <v>191</v>
      </c>
      <c r="C23" s="162">
        <v>10482068</v>
      </c>
      <c r="D23" s="162">
        <v>6862717</v>
      </c>
      <c r="E23" s="162">
        <v>8088583</v>
      </c>
      <c r="F23" s="162">
        <v>4820282</v>
      </c>
      <c r="G23" s="162">
        <v>5449400</v>
      </c>
      <c r="K23" s="244" t="s">
        <v>191</v>
      </c>
      <c r="L23" s="162">
        <f t="shared" si="2"/>
        <v>12741702</v>
      </c>
      <c r="M23" s="162">
        <f t="shared" si="1"/>
        <v>11211072</v>
      </c>
      <c r="N23" s="162">
        <f t="shared" si="1"/>
        <v>8810643</v>
      </c>
      <c r="O23" s="162">
        <f t="shared" si="1"/>
        <v>18276908</v>
      </c>
      <c r="P23" s="162">
        <f t="shared" si="3"/>
        <v>15292568</v>
      </c>
    </row>
    <row r="24" spans="2:17" ht="15.75" x14ac:dyDescent="0.25">
      <c r="B24" s="244" t="s">
        <v>389</v>
      </c>
      <c r="C24" s="245">
        <f>SUM(C20:C23)</f>
        <v>41877519</v>
      </c>
      <c r="D24" s="245">
        <f t="shared" ref="D24" si="4">SUM(D20:D23)</f>
        <v>23619503</v>
      </c>
      <c r="E24" s="245">
        <f t="shared" ref="E24" si="5">SUM(E20:E23)</f>
        <v>26266423</v>
      </c>
      <c r="F24" s="245">
        <f t="shared" ref="F24" si="6">SUM(F20:F23)</f>
        <v>16522805</v>
      </c>
      <c r="G24" s="245">
        <f t="shared" ref="G24" si="7">SUM(G20:G23)</f>
        <v>31950044</v>
      </c>
      <c r="K24" s="244" t="s">
        <v>389</v>
      </c>
      <c r="L24" s="162">
        <f t="shared" si="2"/>
        <v>53376214</v>
      </c>
      <c r="M24" s="245">
        <f t="shared" ref="M24:M25" si="8">SUM(M20:M23)</f>
        <v>48164038</v>
      </c>
      <c r="N24" s="245">
        <f t="shared" ref="N24:N25" si="9">SUM(N20:N23)</f>
        <v>36421754</v>
      </c>
      <c r="O24" s="245">
        <f t="shared" ref="O24:O25" si="10">SUM(O20:O23)</f>
        <v>39738564</v>
      </c>
      <c r="P24" s="245">
        <f t="shared" ref="P24:P25" si="11">SUM(P20:P23)</f>
        <v>60237660</v>
      </c>
    </row>
    <row r="25" spans="2:17" ht="15.75" x14ac:dyDescent="0.25">
      <c r="C25" s="250">
        <f>+C13+C24</f>
        <v>53376214</v>
      </c>
      <c r="D25" s="250">
        <f t="shared" ref="D25:G25" si="12">+D13+D24</f>
        <v>48164038</v>
      </c>
      <c r="E25" s="250">
        <f t="shared" si="12"/>
        <v>36421754</v>
      </c>
      <c r="F25" s="250">
        <f t="shared" si="12"/>
        <v>39738564</v>
      </c>
      <c r="G25" s="250">
        <f t="shared" si="12"/>
        <v>60237660</v>
      </c>
      <c r="L25" s="251"/>
      <c r="M25" s="252"/>
      <c r="N25" s="252"/>
      <c r="O25" s="252"/>
      <c r="P25" s="252"/>
      <c r="Q25" s="252"/>
    </row>
    <row r="26" spans="2:17" ht="16.5" thickBot="1" x14ac:dyDescent="0.3">
      <c r="L26" s="251"/>
      <c r="M26" s="251"/>
      <c r="N26" s="251"/>
      <c r="O26" s="251"/>
      <c r="P26" s="251"/>
      <c r="Q26" s="252"/>
    </row>
    <row r="27" spans="2:17" ht="26.25" thickBot="1" x14ac:dyDescent="0.3">
      <c r="B27" s="246" t="s">
        <v>176</v>
      </c>
      <c r="C27" s="246" t="s">
        <v>373</v>
      </c>
      <c r="D27" s="246" t="s">
        <v>355</v>
      </c>
      <c r="E27" s="246" t="s">
        <v>390</v>
      </c>
      <c r="F27" s="246" t="s">
        <v>391</v>
      </c>
      <c r="G27" s="246" t="s">
        <v>182</v>
      </c>
      <c r="L27" s="217"/>
    </row>
    <row r="28" spans="2:17" ht="16.5" thickTop="1" x14ac:dyDescent="0.25">
      <c r="B28" s="244" t="s">
        <v>188</v>
      </c>
      <c r="C28" s="162">
        <v>11744516.633333333</v>
      </c>
      <c r="D28" s="162">
        <v>10909925</v>
      </c>
      <c r="E28" s="162">
        <v>10164486</v>
      </c>
      <c r="F28" s="162">
        <v>8014528</v>
      </c>
      <c r="G28" s="162">
        <v>10155182</v>
      </c>
    </row>
    <row r="29" spans="2:17" ht="15.75" x14ac:dyDescent="0.25">
      <c r="B29" s="244" t="s">
        <v>189</v>
      </c>
      <c r="C29" s="162">
        <v>12797380</v>
      </c>
      <c r="D29" s="162">
        <v>12990071</v>
      </c>
      <c r="E29" s="162">
        <v>8433671</v>
      </c>
      <c r="F29" s="162">
        <v>7385244</v>
      </c>
      <c r="G29" s="162">
        <v>14240736</v>
      </c>
    </row>
    <row r="30" spans="2:17" ht="15.75" x14ac:dyDescent="0.25">
      <c r="B30" s="244" t="s">
        <v>190</v>
      </c>
      <c r="C30" s="162">
        <v>13357892</v>
      </c>
      <c r="D30" s="162">
        <v>11530572</v>
      </c>
      <c r="E30" s="162">
        <v>8752682</v>
      </c>
      <c r="F30" s="162">
        <v>7676064</v>
      </c>
      <c r="G30" s="162">
        <v>10531315</v>
      </c>
    </row>
    <row r="31" spans="2:17" ht="15.75" x14ac:dyDescent="0.25">
      <c r="B31" s="244" t="s">
        <v>191</v>
      </c>
      <c r="C31" s="162">
        <v>12441445</v>
      </c>
      <c r="D31" s="162">
        <v>11013798</v>
      </c>
      <c r="E31" s="162">
        <v>10250005</v>
      </c>
      <c r="F31" s="162">
        <v>9472439</v>
      </c>
      <c r="G31" s="162">
        <v>10083753</v>
      </c>
    </row>
    <row r="32" spans="2:17" x14ac:dyDescent="0.25">
      <c r="B32" s="244" t="s">
        <v>389</v>
      </c>
      <c r="C32" s="245">
        <f>SUM(C28:C31)</f>
        <v>50341233.633333333</v>
      </c>
      <c r="D32" s="245">
        <f t="shared" ref="D32" si="13">SUM(D28:D31)</f>
        <v>46444366</v>
      </c>
      <c r="E32" s="245">
        <f t="shared" ref="E32" si="14">SUM(E28:E31)</f>
        <v>37600844</v>
      </c>
      <c r="F32" s="245">
        <f t="shared" ref="F32" si="15">SUM(F28:F31)</f>
        <v>32548275</v>
      </c>
      <c r="G32" s="245">
        <f t="shared" ref="G32" si="16">SUM(G28:G31)</f>
        <v>45010986</v>
      </c>
    </row>
    <row r="33" spans="2:7" x14ac:dyDescent="0.25">
      <c r="C33" s="249">
        <v>0.08</v>
      </c>
    </row>
    <row r="34" spans="2:7" ht="15.75" thickBot="1" x14ac:dyDescent="0.3"/>
    <row r="35" spans="2:7" ht="26.25" thickBot="1" x14ac:dyDescent="0.3">
      <c r="B35" s="246" t="s">
        <v>176</v>
      </c>
      <c r="C35" s="246" t="s">
        <v>374</v>
      </c>
      <c r="D35" s="246" t="s">
        <v>356</v>
      </c>
      <c r="E35" s="246" t="s">
        <v>392</v>
      </c>
      <c r="F35" s="246" t="s">
        <v>197</v>
      </c>
      <c r="G35" s="246" t="s">
        <v>393</v>
      </c>
    </row>
    <row r="36" spans="2:7" ht="16.5" thickTop="1" x14ac:dyDescent="0.25">
      <c r="B36" s="244" t="s">
        <v>188</v>
      </c>
      <c r="C36" s="162">
        <v>767352.36666666716</v>
      </c>
      <c r="D36" s="162">
        <v>-9105820</v>
      </c>
      <c r="E36" s="162">
        <v>2085937</v>
      </c>
      <c r="F36" s="162">
        <v>-222899</v>
      </c>
      <c r="G36" s="162">
        <v>5204853</v>
      </c>
    </row>
    <row r="37" spans="2:7" ht="15.75" x14ac:dyDescent="0.25">
      <c r="B37" s="244" t="s">
        <v>189</v>
      </c>
      <c r="C37" s="162">
        <v>4495738</v>
      </c>
      <c r="D37" s="162">
        <v>7982004</v>
      </c>
      <c r="E37" s="162">
        <v>492012</v>
      </c>
      <c r="F37" s="162">
        <v>822721</v>
      </c>
      <c r="G37" s="162">
        <v>-5170532</v>
      </c>
    </row>
    <row r="38" spans="2:7" ht="15.75" x14ac:dyDescent="0.25">
      <c r="B38" s="244" t="s">
        <v>190</v>
      </c>
      <c r="C38" s="162">
        <v>-2527014</v>
      </c>
      <c r="D38" s="162">
        <v>2646214</v>
      </c>
      <c r="E38" s="162">
        <v>-2317677</v>
      </c>
      <c r="F38" s="162">
        <v>-2214002</v>
      </c>
      <c r="G38" s="162">
        <v>9983538</v>
      </c>
    </row>
    <row r="39" spans="2:7" ht="15.75" x14ac:dyDescent="0.25">
      <c r="B39" s="244" t="s">
        <v>191</v>
      </c>
      <c r="C39" s="162">
        <v>300257</v>
      </c>
      <c r="D39" s="162">
        <v>197274</v>
      </c>
      <c r="E39" s="162">
        <v>-1439362</v>
      </c>
      <c r="F39" s="162">
        <v>8804469</v>
      </c>
      <c r="G39" s="162">
        <v>5208815</v>
      </c>
    </row>
    <row r="40" spans="2:7" x14ac:dyDescent="0.25">
      <c r="B40" s="244" t="s">
        <v>389</v>
      </c>
      <c r="C40" s="245">
        <f>SUM(C36:C39)</f>
        <v>3036333.3666666672</v>
      </c>
      <c r="D40" s="245">
        <f t="shared" ref="D40" si="17">SUM(D36:D39)</f>
        <v>1719672</v>
      </c>
      <c r="E40" s="245">
        <f t="shared" ref="E40" si="18">SUM(E36:E39)</f>
        <v>-1179090</v>
      </c>
      <c r="F40" s="245">
        <f t="shared" ref="F40" si="19">SUM(F36:F39)</f>
        <v>7190289</v>
      </c>
      <c r="G40" s="245">
        <f t="shared" ref="G40" si="20">SUM(G36:G39)</f>
        <v>15226674</v>
      </c>
    </row>
    <row r="41" spans="2:7" x14ac:dyDescent="0.25">
      <c r="C41" s="249"/>
    </row>
    <row r="42" spans="2:7" x14ac:dyDescent="0.25">
      <c r="C42" s="217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AGOSTO</vt:lpstr>
      <vt:lpstr>PYG </vt:lpstr>
      <vt:lpstr>GRAFICAS PYG</vt:lpstr>
      <vt:lpstr>INDICADORES</vt:lpstr>
      <vt:lpstr>Hoja1</vt:lpstr>
      <vt:lpstr>TABLAS</vt:lpstr>
      <vt:lpstr>'PYG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louwhy2108@outlook.com</cp:lastModifiedBy>
  <cp:lastPrinted>2019-10-05T14:44:16Z</cp:lastPrinted>
  <dcterms:created xsi:type="dcterms:W3CDTF">2018-06-18T16:56:31Z</dcterms:created>
  <dcterms:modified xsi:type="dcterms:W3CDTF">2021-10-19T21:46:49Z</dcterms:modified>
</cp:coreProperties>
</file>
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IO\Desktop\"/>
    </mc:Choice>
  </mc:AlternateContent>
  <bookViews>
    <workbookView xWindow="0" yWindow="0" windowWidth="20490" windowHeight="7650"/>
  </bookViews>
  <sheets>
    <sheet name="PYG " sheetId="5" r:id="rId1"/>
    <sheet name="GRAFICAS PYG" sheetId="6" r:id="rId2"/>
    <sheet name="DICIEMBRE" sheetId="9" r:id="rId3"/>
    <sheet name="INDICADORES" sheetId="10" r:id="rId4"/>
    <sheet name="PRESUPUESTO" sheetId="15" r:id="rId5"/>
  </sheets>
  <externalReferences>
    <externalReference r:id="rId6"/>
    <externalReference r:id="rId7"/>
  </externalReferences>
  <definedNames>
    <definedName name="_xlnm.Print_Area" localSheetId="0">'PYG '!$A$1:$AW$152</definedName>
  </definedNames>
  <calcPr calcId="162913"/>
</workbook>
</file>

<file path=xl/calcChain.xml><?xml version="1.0" encoding="utf-8"?>
<calcChain xmlns="http://schemas.openxmlformats.org/spreadsheetml/2006/main">
  <c r="I17" i="6" l="1"/>
  <c r="AS49" i="5"/>
  <c r="AS28" i="5" s="1"/>
  <c r="AS27" i="5" s="1"/>
  <c r="AT150" i="5"/>
  <c r="AO28" i="5"/>
  <c r="AK28" i="5"/>
  <c r="AO27" i="5"/>
  <c r="AK27" i="5"/>
  <c r="AG28" i="5"/>
  <c r="AE151" i="5" l="1"/>
  <c r="AA151" i="5"/>
  <c r="X151" i="5"/>
  <c r="T151" i="5"/>
  <c r="P151" i="5"/>
  <c r="L151" i="5"/>
  <c r="I151" i="5"/>
  <c r="E151" i="5"/>
  <c r="AQ92" i="5"/>
  <c r="AQ94" i="5"/>
  <c r="AQ95" i="5"/>
  <c r="AQ96" i="5"/>
  <c r="AQ97" i="5"/>
  <c r="AQ98" i="5"/>
  <c r="AQ99" i="5"/>
  <c r="AQ100" i="5"/>
  <c r="AQ101" i="5"/>
  <c r="AM92" i="5"/>
  <c r="AM93" i="5"/>
  <c r="AQ93" i="5" s="1"/>
  <c r="AM94" i="5"/>
  <c r="AM95" i="5"/>
  <c r="AM96" i="5"/>
  <c r="AM97" i="5"/>
  <c r="AM98" i="5"/>
  <c r="AM99" i="5"/>
  <c r="AM100" i="5"/>
  <c r="AM101" i="5"/>
  <c r="AI91" i="5"/>
  <c r="AI92" i="5"/>
  <c r="AI93" i="5"/>
  <c r="AI94" i="5"/>
  <c r="AI95" i="5"/>
  <c r="AI96" i="5"/>
  <c r="AI97" i="5"/>
  <c r="AI98" i="5"/>
  <c r="AI99" i="5"/>
  <c r="AI100" i="5"/>
  <c r="AI101" i="5"/>
  <c r="AG93" i="5"/>
  <c r="AK93" i="5"/>
  <c r="AO93" i="5"/>
  <c r="E39" i="9" l="1"/>
  <c r="E31" i="9"/>
  <c r="AS143" i="5" l="1"/>
  <c r="AS136" i="5" s="1"/>
  <c r="AU145" i="5"/>
  <c r="E86" i="9"/>
  <c r="F7" i="6" l="1"/>
  <c r="F6" i="6"/>
  <c r="F8" i="6"/>
  <c r="F9" i="6"/>
  <c r="F11" i="6"/>
  <c r="F13" i="6"/>
  <c r="AS137" i="5"/>
  <c r="AO137" i="5"/>
  <c r="AK137" i="5"/>
  <c r="AG137" i="5"/>
  <c r="AC137" i="5"/>
  <c r="Y137" i="5"/>
  <c r="C31" i="15" l="1"/>
  <c r="B13" i="15"/>
  <c r="B17" i="15" s="1"/>
  <c r="E82" i="9"/>
  <c r="B18" i="15" l="1"/>
  <c r="D103" i="9"/>
  <c r="E16" i="9" l="1"/>
  <c r="D28" i="9" l="1"/>
  <c r="D24" i="9" l="1"/>
  <c r="E22" i="9" s="1"/>
  <c r="D37" i="9" l="1"/>
  <c r="D64" i="9" l="1"/>
  <c r="B64" i="15"/>
  <c r="C63" i="15"/>
  <c r="C61" i="15"/>
  <c r="C60" i="15"/>
  <c r="C59" i="15"/>
  <c r="C58" i="15"/>
  <c r="C57" i="15"/>
  <c r="C56" i="15"/>
  <c r="C55" i="15"/>
  <c r="B54" i="15"/>
  <c r="C52" i="15"/>
  <c r="C50" i="15"/>
  <c r="B49" i="15"/>
  <c r="C49" i="15" s="1"/>
  <c r="C48" i="15"/>
  <c r="B48" i="15"/>
  <c r="C47" i="15"/>
  <c r="B47" i="15"/>
  <c r="B46" i="15"/>
  <c r="C44" i="15"/>
  <c r="C43" i="15"/>
  <c r="B43" i="15"/>
  <c r="C40" i="15"/>
  <c r="B40" i="15"/>
  <c r="C38" i="15"/>
  <c r="C37" i="15"/>
  <c r="C36" i="15"/>
  <c r="C35" i="15"/>
  <c r="C34" i="15"/>
  <c r="C33" i="15"/>
  <c r="C30" i="15"/>
  <c r="C26" i="15"/>
  <c r="C24" i="15"/>
  <c r="C21" i="15"/>
  <c r="C20" i="15"/>
  <c r="C18" i="15"/>
  <c r="C17" i="15"/>
  <c r="B16" i="15"/>
  <c r="C16" i="15" s="1"/>
  <c r="C15" i="15"/>
  <c r="C14" i="15"/>
  <c r="B66" i="15"/>
  <c r="B9" i="15" s="1"/>
  <c r="D56" i="6"/>
  <c r="D55" i="6"/>
  <c r="D54" i="6"/>
  <c r="E48" i="6"/>
  <c r="D48" i="6"/>
  <c r="E47" i="6"/>
  <c r="D47" i="6"/>
  <c r="E46" i="6"/>
  <c r="E45" i="6"/>
  <c r="D17" i="6"/>
  <c r="D16" i="6"/>
  <c r="D15" i="6"/>
  <c r="E9" i="6"/>
  <c r="D9" i="6"/>
  <c r="E8" i="6"/>
  <c r="D8" i="6"/>
  <c r="E7" i="6"/>
  <c r="E6" i="6"/>
  <c r="C66" i="15" l="1"/>
  <c r="C9" i="15" s="1"/>
  <c r="C13" i="15"/>
  <c r="V137" i="5" l="1"/>
  <c r="R137" i="5"/>
  <c r="N137" i="5"/>
  <c r="J137" i="5"/>
  <c r="G137" i="5"/>
  <c r="C137" i="5"/>
  <c r="AC143" i="5" l="1"/>
  <c r="V143" i="5"/>
  <c r="N133" i="5" l="1"/>
  <c r="AC133" i="5"/>
  <c r="AG125" i="5"/>
  <c r="V124" i="5"/>
  <c r="Y65" i="5"/>
  <c r="AC65" i="5"/>
  <c r="AG65" i="5"/>
  <c r="AK65" i="5"/>
  <c r="AO65" i="5"/>
  <c r="AI129" i="5"/>
  <c r="X132" i="5"/>
  <c r="AA132" i="5" s="1"/>
  <c r="AE132" i="5" s="1"/>
  <c r="AI132" i="5" s="1"/>
  <c r="T126" i="5"/>
  <c r="L129" i="5"/>
  <c r="P129" i="5"/>
  <c r="T129" i="5" s="1"/>
  <c r="X129" i="5" s="1"/>
  <c r="AA129" i="5" s="1"/>
  <c r="N130" i="5"/>
  <c r="I131" i="5"/>
  <c r="L131" i="5" s="1"/>
  <c r="P131" i="5" s="1"/>
  <c r="T131" i="5" s="1"/>
  <c r="X131" i="5" s="1"/>
  <c r="AA131" i="5" s="1"/>
  <c r="G130" i="5"/>
  <c r="I130" i="5" s="1"/>
  <c r="L130" i="5" s="1"/>
  <c r="P130" i="5" s="1"/>
  <c r="T130" i="5" s="1"/>
  <c r="X130" i="5" s="1"/>
  <c r="AA130" i="5" s="1"/>
  <c r="AE130" i="5" s="1"/>
  <c r="Y127" i="5"/>
  <c r="N127" i="5"/>
  <c r="Y124" i="5"/>
  <c r="G55" i="5"/>
  <c r="AU93" i="5"/>
  <c r="AS93" i="5"/>
  <c r="AE131" i="5" l="1"/>
  <c r="AI131" i="5" s="1"/>
  <c r="AM131" i="5" s="1"/>
  <c r="AQ131" i="5" s="1"/>
  <c r="AU131" i="5" s="1"/>
  <c r="AI130" i="5"/>
  <c r="AM130" i="5" s="1"/>
  <c r="AQ130" i="5" s="1"/>
  <c r="AU130" i="5" s="1"/>
  <c r="AS75" i="5"/>
  <c r="AT24" i="5"/>
  <c r="AS133" i="5"/>
  <c r="AO133" i="5"/>
  <c r="AP24" i="5"/>
  <c r="AD24" i="5" l="1"/>
  <c r="AL24" i="5"/>
  <c r="AK143" i="5"/>
  <c r="AK125" i="5"/>
  <c r="AK75" i="5"/>
  <c r="AD25" i="5" l="1"/>
  <c r="AK136" i="5"/>
  <c r="AG133" i="5"/>
  <c r="AG143" i="5"/>
  <c r="AH24" i="5"/>
  <c r="AT9" i="5" l="1"/>
  <c r="AP9" i="5"/>
  <c r="AP8" i="5" s="1"/>
  <c r="C16" i="6" s="1"/>
  <c r="AL9" i="5"/>
  <c r="AL8" i="5" s="1"/>
  <c r="C15" i="6" s="1"/>
  <c r="AH9" i="5"/>
  <c r="AO8" i="5"/>
  <c r="AS8" i="5" s="1"/>
  <c r="AG9" i="5"/>
  <c r="AK9" i="5" s="1"/>
  <c r="AO9" i="5" s="1"/>
  <c r="AS9" i="5" s="1"/>
  <c r="AS127" i="5"/>
  <c r="AS125" i="5"/>
  <c r="AS121" i="5"/>
  <c r="AS118" i="5"/>
  <c r="AS101" i="5"/>
  <c r="AS87" i="5"/>
  <c r="AS81" i="5"/>
  <c r="AS65" i="5"/>
  <c r="AS62" i="5"/>
  <c r="AS55" i="5"/>
  <c r="AS44" i="5"/>
  <c r="AS29" i="5"/>
  <c r="AT22" i="5"/>
  <c r="AT20" i="5"/>
  <c r="AT15" i="5"/>
  <c r="AT8" i="5"/>
  <c r="C17" i="6" s="1"/>
  <c r="AO136" i="5"/>
  <c r="AO127" i="5"/>
  <c r="AO125" i="5"/>
  <c r="AO121" i="5"/>
  <c r="AO118" i="5"/>
  <c r="AO101" i="5"/>
  <c r="AO87" i="5"/>
  <c r="AO81" i="5"/>
  <c r="AO75" i="5"/>
  <c r="AO62" i="5"/>
  <c r="AO55" i="5"/>
  <c r="AO49" i="5"/>
  <c r="AO44" i="5"/>
  <c r="AO29" i="5"/>
  <c r="AP22" i="5"/>
  <c r="AP20" i="5"/>
  <c r="AP15" i="5"/>
  <c r="AP14" i="5" s="1"/>
  <c r="AK134" i="5"/>
  <c r="AK127" i="5"/>
  <c r="AK121" i="5"/>
  <c r="AK118" i="5"/>
  <c r="AK101" i="5"/>
  <c r="AK87" i="5"/>
  <c r="AK81" i="5"/>
  <c r="AK62" i="5"/>
  <c r="AK55" i="5"/>
  <c r="AK49" i="5"/>
  <c r="AK44" i="5"/>
  <c r="AK29" i="5"/>
  <c r="AL22" i="5"/>
  <c r="AL20" i="5"/>
  <c r="AL15" i="5"/>
  <c r="AL14" i="5" s="1"/>
  <c r="AK114" i="5" l="1"/>
  <c r="AS114" i="5"/>
  <c r="AO114" i="5"/>
  <c r="AT14" i="5"/>
  <c r="AT7" i="5" s="1"/>
  <c r="AT147" i="5" s="1"/>
  <c r="AT148" i="5" s="1"/>
  <c r="AP7" i="5"/>
  <c r="AP147" i="5" s="1"/>
  <c r="AS149" i="5"/>
  <c r="AS150" i="5" s="1"/>
  <c r="AL7" i="5"/>
  <c r="AG136" i="5"/>
  <c r="AG127" i="5"/>
  <c r="AG121" i="5"/>
  <c r="AG118" i="5"/>
  <c r="AG101" i="5"/>
  <c r="AG87" i="5"/>
  <c r="AG81" i="5"/>
  <c r="AG75" i="5"/>
  <c r="AG62" i="5"/>
  <c r="AG55" i="5"/>
  <c r="AG49" i="5"/>
  <c r="AG44" i="5"/>
  <c r="AG29" i="5"/>
  <c r="AH22" i="5"/>
  <c r="AH20" i="5"/>
  <c r="AH15" i="5"/>
  <c r="AH8" i="5"/>
  <c r="C14" i="6" s="1"/>
  <c r="AH14" i="5" l="1"/>
  <c r="AG114" i="5"/>
  <c r="L17" i="6"/>
  <c r="AP148" i="5"/>
  <c r="AL147" i="5"/>
  <c r="AK149" i="5"/>
  <c r="I15" i="6" s="1"/>
  <c r="L15" i="6" s="1"/>
  <c r="AG27" i="5" l="1"/>
  <c r="AG149" i="5" s="1"/>
  <c r="I14" i="6" s="1"/>
  <c r="L14" i="6" s="1"/>
  <c r="AH7" i="5"/>
  <c r="AH147" i="5" s="1"/>
  <c r="AU151" i="5"/>
  <c r="AP150" i="5"/>
  <c r="AO149" i="5"/>
  <c r="I16" i="6" s="1"/>
  <c r="L16" i="6" s="1"/>
  <c r="AK150" i="5"/>
  <c r="AM151" i="5" s="1"/>
  <c r="AL148" i="5"/>
  <c r="AO150" i="5" l="1"/>
  <c r="AQ151" i="5" s="1"/>
  <c r="AL150" i="5"/>
  <c r="AH148" i="5"/>
  <c r="AG150" i="5"/>
  <c r="AI151" i="5" s="1"/>
  <c r="E118" i="9"/>
  <c r="E108" i="9"/>
  <c r="E101" i="9"/>
  <c r="E94" i="9"/>
  <c r="E78" i="9"/>
  <c r="E71" i="9"/>
  <c r="E48" i="9"/>
  <c r="E42" i="9"/>
  <c r="E12" i="9"/>
  <c r="AH150" i="5" l="1"/>
  <c r="R75" i="5" l="1"/>
  <c r="R29" i="5"/>
  <c r="R44" i="5"/>
  <c r="E127" i="9"/>
  <c r="E90" i="9"/>
  <c r="D55" i="9"/>
  <c r="E52" i="9" s="1"/>
  <c r="C13" i="10" s="1"/>
  <c r="E9" i="9"/>
  <c r="E113" i="9" l="1"/>
  <c r="C20" i="10" s="1"/>
  <c r="E74" i="9"/>
  <c r="Y55" i="5"/>
  <c r="Y75" i="5"/>
  <c r="Y29" i="5"/>
  <c r="AD15" i="5"/>
  <c r="C5" i="10" l="1"/>
  <c r="C8" i="10" s="1"/>
  <c r="C21" i="10"/>
  <c r="D20" i="10" s="1"/>
  <c r="C7" i="10"/>
  <c r="C4" i="10"/>
  <c r="AC136" i="5"/>
  <c r="AC127" i="5"/>
  <c r="AC125" i="5"/>
  <c r="AC87" i="5"/>
  <c r="Y133" i="5"/>
  <c r="Z15" i="5"/>
  <c r="Z14" i="5" s="1"/>
  <c r="Z25" i="5"/>
  <c r="Z9" i="5"/>
  <c r="Z8" i="5" s="1"/>
  <c r="D9" i="5"/>
  <c r="D8" i="5" s="1"/>
  <c r="W9" i="5"/>
  <c r="W8" i="5" s="1"/>
  <c r="Z23" i="5"/>
  <c r="AA13" i="5"/>
  <c r="V136" i="5"/>
  <c r="R136" i="5"/>
  <c r="X126" i="5"/>
  <c r="AA126" i="5" s="1"/>
  <c r="AE126" i="5" s="1"/>
  <c r="V121" i="5"/>
  <c r="X17" i="5"/>
  <c r="AA17" i="5" s="1"/>
  <c r="AE17" i="5" s="1"/>
  <c r="AI17" i="5" s="1"/>
  <c r="AM17" i="5" s="1"/>
  <c r="AQ17" i="5" s="1"/>
  <c r="AU17" i="5" s="1"/>
  <c r="W22" i="5"/>
  <c r="W15" i="5"/>
  <c r="N147" i="5"/>
  <c r="R134" i="5"/>
  <c r="N124" i="5"/>
  <c r="P124" i="5" s="1"/>
  <c r="T124" i="5" s="1"/>
  <c r="R125" i="5"/>
  <c r="P125" i="5"/>
  <c r="L125" i="5"/>
  <c r="L124" i="5"/>
  <c r="I125" i="5"/>
  <c r="I124" i="5"/>
  <c r="E125" i="5"/>
  <c r="E124" i="5"/>
  <c r="T80" i="5"/>
  <c r="T86" i="5"/>
  <c r="T92" i="5"/>
  <c r="X113" i="5"/>
  <c r="AA113" i="5" s="1"/>
  <c r="T117" i="5"/>
  <c r="X117" i="5" s="1"/>
  <c r="AA117" i="5" s="1"/>
  <c r="T145" i="5"/>
  <c r="R55" i="5"/>
  <c r="R49" i="5"/>
  <c r="J49" i="5"/>
  <c r="T31" i="5"/>
  <c r="T47" i="5"/>
  <c r="X47" i="5" s="1"/>
  <c r="AA47" i="5" s="1"/>
  <c r="AE47" i="5" s="1"/>
  <c r="AI47" i="5" s="1"/>
  <c r="AM47" i="5" s="1"/>
  <c r="AQ47" i="5" s="1"/>
  <c r="AU47" i="5" s="1"/>
  <c r="T18" i="5"/>
  <c r="X18" i="5" s="1"/>
  <c r="AA18" i="5" s="1"/>
  <c r="AE18" i="5" s="1"/>
  <c r="AI18" i="5" s="1"/>
  <c r="AM18" i="5" s="1"/>
  <c r="AQ18" i="5" s="1"/>
  <c r="AU18" i="5" s="1"/>
  <c r="T21" i="5"/>
  <c r="X21" i="5" s="1"/>
  <c r="AA21" i="5" s="1"/>
  <c r="H9" i="5"/>
  <c r="K11" i="5"/>
  <c r="K20" i="5"/>
  <c r="AD20" i="5"/>
  <c r="Z20" i="5"/>
  <c r="W20" i="5"/>
  <c r="S20" i="5"/>
  <c r="S9" i="5"/>
  <c r="Y143" i="5"/>
  <c r="Y136" i="5" s="1"/>
  <c r="V133" i="5"/>
  <c r="AC121" i="5"/>
  <c r="Y121" i="5"/>
  <c r="R121" i="5"/>
  <c r="R114" i="5" s="1"/>
  <c r="AC118" i="5"/>
  <c r="Y118" i="5"/>
  <c r="V115" i="5"/>
  <c r="AC101" i="5"/>
  <c r="Y101" i="5"/>
  <c r="V101" i="5"/>
  <c r="R101" i="5"/>
  <c r="Y87" i="5"/>
  <c r="V87" i="5"/>
  <c r="AC81" i="5"/>
  <c r="Y81" i="5"/>
  <c r="V81" i="5"/>
  <c r="R81" i="5"/>
  <c r="AC75" i="5"/>
  <c r="V75" i="5"/>
  <c r="AE74" i="5"/>
  <c r="AI74" i="5" s="1"/>
  <c r="AM74" i="5" s="1"/>
  <c r="AQ74" i="5" s="1"/>
  <c r="AU74" i="5" s="1"/>
  <c r="V65" i="5"/>
  <c r="R65" i="5"/>
  <c r="T63" i="5"/>
  <c r="X63" i="5" s="1"/>
  <c r="AA63" i="5" s="1"/>
  <c r="AE63" i="5" s="1"/>
  <c r="AI63" i="5" s="1"/>
  <c r="AM63" i="5" s="1"/>
  <c r="AQ63" i="5" s="1"/>
  <c r="AU63" i="5" s="1"/>
  <c r="AC62" i="5"/>
  <c r="Y62" i="5"/>
  <c r="V62" i="5"/>
  <c r="R62" i="5"/>
  <c r="T62" i="5" s="1"/>
  <c r="Y59" i="5"/>
  <c r="R59" i="5"/>
  <c r="AA58" i="5"/>
  <c r="AC55" i="5"/>
  <c r="V55" i="5"/>
  <c r="AC49" i="5"/>
  <c r="V49" i="5"/>
  <c r="AC44" i="5"/>
  <c r="V44" i="5"/>
  <c r="AC29" i="5"/>
  <c r="V29" i="5"/>
  <c r="AD22" i="5"/>
  <c r="AD14" i="5" s="1"/>
  <c r="S22" i="5"/>
  <c r="S14" i="5" s="1"/>
  <c r="S16" i="5"/>
  <c r="T125" i="5" l="1"/>
  <c r="X62" i="5"/>
  <c r="AA62" i="5" s="1"/>
  <c r="AE62" i="5" s="1"/>
  <c r="AI62" i="5" s="1"/>
  <c r="AM62" i="5" s="1"/>
  <c r="AQ62" i="5" s="1"/>
  <c r="AU62" i="5" s="1"/>
  <c r="W14" i="5"/>
  <c r="W7" i="5" s="1"/>
  <c r="V114" i="5"/>
  <c r="D7" i="10"/>
  <c r="D4" i="10"/>
  <c r="C16" i="10"/>
  <c r="AC114" i="5"/>
  <c r="X124" i="5"/>
  <c r="AA124" i="5" s="1"/>
  <c r="AE124" i="5" s="1"/>
  <c r="X125" i="5"/>
  <c r="AA125" i="5" s="1"/>
  <c r="AC28" i="5"/>
  <c r="Y28" i="5"/>
  <c r="Y114" i="5"/>
  <c r="V28" i="5"/>
  <c r="S8" i="5"/>
  <c r="R28" i="5"/>
  <c r="AC27" i="5" l="1"/>
  <c r="AC149" i="5" s="1"/>
  <c r="AE125" i="5"/>
  <c r="AI124" i="5"/>
  <c r="AC150" i="5"/>
  <c r="I13" i="6"/>
  <c r="C29" i="10"/>
  <c r="Y27" i="5"/>
  <c r="Y150" i="5" s="1"/>
  <c r="W147" i="5"/>
  <c r="W148" i="5" s="1"/>
  <c r="W150" i="5" s="1"/>
  <c r="V27" i="5"/>
  <c r="V149" i="5" s="1"/>
  <c r="S7" i="5"/>
  <c r="S147" i="5" s="1"/>
  <c r="S148" i="5" s="1"/>
  <c r="R27" i="5"/>
  <c r="R149" i="5" s="1"/>
  <c r="R150" i="5" l="1"/>
  <c r="I10" i="6"/>
  <c r="L10" i="6" s="1"/>
  <c r="V150" i="5"/>
  <c r="I11" i="6"/>
  <c r="L11" i="6" s="1"/>
  <c r="AM124" i="5"/>
  <c r="AI125" i="5"/>
  <c r="Y149" i="5"/>
  <c r="I12" i="6" s="1"/>
  <c r="L12" i="6" s="1"/>
  <c r="S150" i="5"/>
  <c r="AM125" i="5" l="1"/>
  <c r="AQ124" i="5"/>
  <c r="D19" i="6"/>
  <c r="G19" i="6"/>
  <c r="H19" i="6"/>
  <c r="J19" i="6"/>
  <c r="K19" i="6"/>
  <c r="C144" i="6"/>
  <c r="D16" i="5"/>
  <c r="C116" i="6"/>
  <c r="E144" i="6"/>
  <c r="D144" i="6"/>
  <c r="D116" i="6"/>
  <c r="E116" i="6"/>
  <c r="D83" i="6"/>
  <c r="E83" i="6"/>
  <c r="D58" i="6"/>
  <c r="E19" i="6"/>
  <c r="AU124" i="5" l="1"/>
  <c r="AU125" i="5" s="1"/>
  <c r="AQ125" i="5"/>
  <c r="E58" i="6"/>
  <c r="C83" i="6"/>
  <c r="N19" i="6"/>
  <c r="M19" i="6"/>
  <c r="N49" i="5" l="1"/>
  <c r="N101" i="5"/>
  <c r="N81" i="5"/>
  <c r="N118" i="5"/>
  <c r="N65" i="5"/>
  <c r="P74" i="5"/>
  <c r="L58" i="5"/>
  <c r="J59" i="5"/>
  <c r="N55" i="5"/>
  <c r="J133" i="5"/>
  <c r="J118" i="5"/>
  <c r="L13" i="5"/>
  <c r="L18" i="5"/>
  <c r="L21" i="5"/>
  <c r="E113" i="5"/>
  <c r="I113" i="5" s="1"/>
  <c r="L113" i="5" s="1"/>
  <c r="E115" i="5"/>
  <c r="E116" i="5"/>
  <c r="I116" i="5" s="1"/>
  <c r="L116" i="5" s="1"/>
  <c r="P116" i="5" s="1"/>
  <c r="T116" i="5" s="1"/>
  <c r="X116" i="5" s="1"/>
  <c r="AA116" i="5" s="1"/>
  <c r="AE116" i="5" s="1"/>
  <c r="AI116" i="5" s="1"/>
  <c r="AM116" i="5" s="1"/>
  <c r="AQ116" i="5" s="1"/>
  <c r="AU116" i="5" s="1"/>
  <c r="E117" i="5"/>
  <c r="I117" i="5" s="1"/>
  <c r="L117" i="5" s="1"/>
  <c r="E118" i="5"/>
  <c r="E119" i="5"/>
  <c r="I119" i="5" s="1"/>
  <c r="L119" i="5" s="1"/>
  <c r="P119" i="5" s="1"/>
  <c r="T119" i="5" s="1"/>
  <c r="X119" i="5" s="1"/>
  <c r="AA119" i="5" s="1"/>
  <c r="AE119" i="5" s="1"/>
  <c r="AI119" i="5" s="1"/>
  <c r="AM119" i="5" s="1"/>
  <c r="AQ119" i="5" s="1"/>
  <c r="AU119" i="5" s="1"/>
  <c r="E120" i="5"/>
  <c r="I120" i="5" s="1"/>
  <c r="L120" i="5" s="1"/>
  <c r="P120" i="5" s="1"/>
  <c r="T120" i="5" s="1"/>
  <c r="X120" i="5" s="1"/>
  <c r="AA120" i="5" s="1"/>
  <c r="AE120" i="5" s="1"/>
  <c r="AI120" i="5" s="1"/>
  <c r="AM120" i="5" s="1"/>
  <c r="AQ120" i="5" s="1"/>
  <c r="AU120" i="5" s="1"/>
  <c r="E122" i="5"/>
  <c r="I122" i="5" s="1"/>
  <c r="L122" i="5" s="1"/>
  <c r="P122" i="5" s="1"/>
  <c r="T122" i="5" s="1"/>
  <c r="E123" i="5"/>
  <c r="I123" i="5" s="1"/>
  <c r="L123" i="5" s="1"/>
  <c r="P123" i="5" s="1"/>
  <c r="T123" i="5" s="1"/>
  <c r="E127" i="5"/>
  <c r="E128" i="5"/>
  <c r="I128" i="5" s="1"/>
  <c r="L128" i="5" s="1"/>
  <c r="E132" i="5"/>
  <c r="I132" i="5" s="1"/>
  <c r="L132" i="5" s="1"/>
  <c r="P132" i="5" s="1"/>
  <c r="E134" i="5"/>
  <c r="I134" i="5" s="1"/>
  <c r="L134" i="5" s="1"/>
  <c r="P134" i="5" s="1"/>
  <c r="E135" i="5"/>
  <c r="I135" i="5" s="1"/>
  <c r="L135" i="5" s="1"/>
  <c r="P135" i="5" s="1"/>
  <c r="E138" i="5"/>
  <c r="E139" i="5"/>
  <c r="E140" i="5"/>
  <c r="E141" i="5"/>
  <c r="E142" i="5"/>
  <c r="E143" i="5"/>
  <c r="E144" i="5"/>
  <c r="E63" i="5"/>
  <c r="I63" i="5" s="1"/>
  <c r="L63" i="5" s="1"/>
  <c r="P63" i="5" s="1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2" i="5"/>
  <c r="E83" i="5"/>
  <c r="E84" i="5"/>
  <c r="E85" i="5"/>
  <c r="E86" i="5"/>
  <c r="E88" i="5"/>
  <c r="E89" i="5"/>
  <c r="E90" i="5"/>
  <c r="E91" i="5"/>
  <c r="E92" i="5"/>
  <c r="E102" i="5"/>
  <c r="E103" i="5"/>
  <c r="E104" i="5"/>
  <c r="E105" i="5"/>
  <c r="I105" i="5" s="1"/>
  <c r="E106" i="5"/>
  <c r="I106" i="5" s="1"/>
  <c r="E107" i="5"/>
  <c r="I107" i="5" s="1"/>
  <c r="L107" i="5" s="1"/>
  <c r="E108" i="5"/>
  <c r="I108" i="5" s="1"/>
  <c r="L108" i="5" s="1"/>
  <c r="E109" i="5"/>
  <c r="I109" i="5" s="1"/>
  <c r="L109" i="5" s="1"/>
  <c r="E110" i="5"/>
  <c r="I110" i="5" s="1"/>
  <c r="L110" i="5" s="1"/>
  <c r="E111" i="5"/>
  <c r="I111" i="5" s="1"/>
  <c r="L111" i="5" s="1"/>
  <c r="E112" i="5"/>
  <c r="I112" i="5" s="1"/>
  <c r="L112" i="5" s="1"/>
  <c r="E30" i="5"/>
  <c r="E32" i="5"/>
  <c r="E33" i="5"/>
  <c r="E34" i="5"/>
  <c r="E35" i="5"/>
  <c r="E36" i="5"/>
  <c r="E37" i="5"/>
  <c r="E38" i="5"/>
  <c r="E39" i="5"/>
  <c r="E40" i="5"/>
  <c r="I40" i="5" s="1"/>
  <c r="L40" i="5" s="1"/>
  <c r="E41" i="5"/>
  <c r="I41" i="5" s="1"/>
  <c r="L41" i="5" s="1"/>
  <c r="P41" i="5" s="1"/>
  <c r="T41" i="5" s="1"/>
  <c r="X41" i="5" s="1"/>
  <c r="AA41" i="5" s="1"/>
  <c r="AE41" i="5" s="1"/>
  <c r="AI41" i="5" s="1"/>
  <c r="AM41" i="5" s="1"/>
  <c r="AQ41" i="5" s="1"/>
  <c r="AU41" i="5" s="1"/>
  <c r="E42" i="5"/>
  <c r="I42" i="5" s="1"/>
  <c r="E45" i="5"/>
  <c r="I45" i="5" s="1"/>
  <c r="L45" i="5" s="1"/>
  <c r="P45" i="5" s="1"/>
  <c r="T45" i="5" s="1"/>
  <c r="X45" i="5" s="1"/>
  <c r="AA45" i="5" s="1"/>
  <c r="AE45" i="5" s="1"/>
  <c r="AI45" i="5" s="1"/>
  <c r="AM45" i="5" s="1"/>
  <c r="AQ45" i="5" s="1"/>
  <c r="AU45" i="5" s="1"/>
  <c r="E46" i="5"/>
  <c r="I46" i="5" s="1"/>
  <c r="L46" i="5" s="1"/>
  <c r="P46" i="5" s="1"/>
  <c r="T46" i="5" s="1"/>
  <c r="E50" i="5"/>
  <c r="I50" i="5" s="1"/>
  <c r="L50" i="5" s="1"/>
  <c r="P50" i="5" s="1"/>
  <c r="T50" i="5" s="1"/>
  <c r="X50" i="5" s="1"/>
  <c r="AA50" i="5" s="1"/>
  <c r="AE50" i="5" s="1"/>
  <c r="AI50" i="5" s="1"/>
  <c r="AM50" i="5" s="1"/>
  <c r="AQ50" i="5" s="1"/>
  <c r="AU50" i="5" s="1"/>
  <c r="E51" i="5"/>
  <c r="I51" i="5" s="1"/>
  <c r="L51" i="5" s="1"/>
  <c r="P51" i="5" s="1"/>
  <c r="T51" i="5" s="1"/>
  <c r="X51" i="5" s="1"/>
  <c r="AA51" i="5" s="1"/>
  <c r="AE51" i="5" s="1"/>
  <c r="AI51" i="5" s="1"/>
  <c r="AM51" i="5" s="1"/>
  <c r="AQ51" i="5" s="1"/>
  <c r="AU51" i="5" s="1"/>
  <c r="E52" i="5"/>
  <c r="I52" i="5" s="1"/>
  <c r="L52" i="5" s="1"/>
  <c r="P52" i="5" s="1"/>
  <c r="T52" i="5" s="1"/>
  <c r="X52" i="5" s="1"/>
  <c r="AA52" i="5" s="1"/>
  <c r="AE52" i="5" s="1"/>
  <c r="AI52" i="5" s="1"/>
  <c r="AM52" i="5" s="1"/>
  <c r="AQ52" i="5" s="1"/>
  <c r="AU52" i="5" s="1"/>
  <c r="E53" i="5"/>
  <c r="I53" i="5" s="1"/>
  <c r="L53" i="5" s="1"/>
  <c r="P53" i="5" s="1"/>
  <c r="T53" i="5" s="1"/>
  <c r="X53" i="5" s="1"/>
  <c r="AA53" i="5" s="1"/>
  <c r="AE53" i="5" s="1"/>
  <c r="AI53" i="5" s="1"/>
  <c r="AM53" i="5" s="1"/>
  <c r="AQ53" i="5" s="1"/>
  <c r="AU53" i="5" s="1"/>
  <c r="E56" i="5"/>
  <c r="I56" i="5" s="1"/>
  <c r="L56" i="5" s="1"/>
  <c r="P56" i="5" s="1"/>
  <c r="T56" i="5" s="1"/>
  <c r="X56" i="5" s="1"/>
  <c r="AA56" i="5" s="1"/>
  <c r="AE56" i="5" s="1"/>
  <c r="AI56" i="5" s="1"/>
  <c r="AM56" i="5" s="1"/>
  <c r="AQ56" i="5" s="1"/>
  <c r="AU56" i="5" s="1"/>
  <c r="E57" i="5"/>
  <c r="I57" i="5" s="1"/>
  <c r="L57" i="5" s="1"/>
  <c r="P57" i="5" s="1"/>
  <c r="T57" i="5" s="1"/>
  <c r="X57" i="5" s="1"/>
  <c r="AA57" i="5" s="1"/>
  <c r="AE57" i="5" s="1"/>
  <c r="AI57" i="5" s="1"/>
  <c r="AM57" i="5" s="1"/>
  <c r="AQ57" i="5" s="1"/>
  <c r="AU57" i="5" s="1"/>
  <c r="E20" i="5"/>
  <c r="E23" i="5"/>
  <c r="E24" i="5"/>
  <c r="E25" i="5"/>
  <c r="E60" i="5"/>
  <c r="E59" i="5" s="1"/>
  <c r="I59" i="5" s="1"/>
  <c r="K16" i="5"/>
  <c r="K24" i="5"/>
  <c r="O24" i="5"/>
  <c r="O19" i="5"/>
  <c r="G101" i="5"/>
  <c r="G133" i="5"/>
  <c r="G127" i="5"/>
  <c r="G118" i="5"/>
  <c r="G121" i="5"/>
  <c r="G115" i="5"/>
  <c r="H24" i="5"/>
  <c r="H15" i="5"/>
  <c r="C133" i="5"/>
  <c r="E133" i="5" s="1"/>
  <c r="N121" i="5"/>
  <c r="J121" i="5"/>
  <c r="C121" i="5"/>
  <c r="C55" i="5"/>
  <c r="E55" i="5" s="1"/>
  <c r="C59" i="5"/>
  <c r="E145" i="5"/>
  <c r="E16" i="5"/>
  <c r="E15" i="5"/>
  <c r="E12" i="5"/>
  <c r="E11" i="5"/>
  <c r="E10" i="5"/>
  <c r="C65" i="5"/>
  <c r="E65" i="5" s="1"/>
  <c r="C87" i="5"/>
  <c r="E87" i="5" s="1"/>
  <c r="C62" i="5"/>
  <c r="E62" i="5" s="1"/>
  <c r="C29" i="5"/>
  <c r="E29" i="5" s="1"/>
  <c r="T135" i="5" l="1"/>
  <c r="X135" i="5" s="1"/>
  <c r="AA135" i="5" s="1"/>
  <c r="AE135" i="5" s="1"/>
  <c r="N114" i="5"/>
  <c r="G114" i="5"/>
  <c r="L59" i="5"/>
  <c r="P59" i="5" s="1"/>
  <c r="T59" i="5" s="1"/>
  <c r="X59" i="5" s="1"/>
  <c r="AA59" i="5" s="1"/>
  <c r="AE59" i="5" s="1"/>
  <c r="AI59" i="5" s="1"/>
  <c r="AM59" i="5" s="1"/>
  <c r="AQ59" i="5" s="1"/>
  <c r="AU59" i="5" s="1"/>
  <c r="P128" i="5"/>
  <c r="T128" i="5" s="1"/>
  <c r="X128" i="5" s="1"/>
  <c r="AA128" i="5" s="1"/>
  <c r="AE128" i="5" s="1"/>
  <c r="AI128" i="5" s="1"/>
  <c r="AM128" i="5" s="1"/>
  <c r="AQ128" i="5" s="1"/>
  <c r="AU128" i="5" s="1"/>
  <c r="T134" i="5"/>
  <c r="X134" i="5" s="1"/>
  <c r="AA134" i="5" s="1"/>
  <c r="AE134" i="5" s="1"/>
  <c r="AI134" i="5" s="1"/>
  <c r="AM134" i="5" s="1"/>
  <c r="AQ134" i="5" s="1"/>
  <c r="AU134" i="5" s="1"/>
  <c r="I118" i="5"/>
  <c r="L118" i="5" s="1"/>
  <c r="I133" i="5"/>
  <c r="L133" i="5" s="1"/>
  <c r="P133" i="5" s="1"/>
  <c r="T133" i="5" s="1"/>
  <c r="X133" i="5" s="1"/>
  <c r="AA133" i="5" s="1"/>
  <c r="AE133" i="5" s="1"/>
  <c r="AI133" i="5" s="1"/>
  <c r="AM133" i="5" s="1"/>
  <c r="AQ133" i="5" s="1"/>
  <c r="AU133" i="5" s="1"/>
  <c r="X123" i="5"/>
  <c r="AA123" i="5" s="1"/>
  <c r="AE123" i="5" s="1"/>
  <c r="AI123" i="5" s="1"/>
  <c r="AM123" i="5" s="1"/>
  <c r="AQ123" i="5" s="1"/>
  <c r="AU123" i="5" s="1"/>
  <c r="X122" i="5"/>
  <c r="AA122" i="5" s="1"/>
  <c r="AE122" i="5" s="1"/>
  <c r="AI122" i="5" s="1"/>
  <c r="AM122" i="5" s="1"/>
  <c r="AQ122" i="5" s="1"/>
  <c r="AU122" i="5" s="1"/>
  <c r="J114" i="5"/>
  <c r="I127" i="5"/>
  <c r="L127" i="5" s="1"/>
  <c r="P127" i="5" s="1"/>
  <c r="C114" i="5"/>
  <c r="E114" i="5" s="1"/>
  <c r="I114" i="5" s="1"/>
  <c r="X46" i="5"/>
  <c r="AA46" i="5" s="1"/>
  <c r="AE46" i="5" s="1"/>
  <c r="AI46" i="5" s="1"/>
  <c r="AM46" i="5" s="1"/>
  <c r="AQ46" i="5" s="1"/>
  <c r="AU46" i="5" s="1"/>
  <c r="T44" i="5"/>
  <c r="X44" i="5" s="1"/>
  <c r="AA44" i="5" s="1"/>
  <c r="AE44" i="5" s="1"/>
  <c r="AI44" i="5" s="1"/>
  <c r="AM44" i="5" s="1"/>
  <c r="AQ44" i="5" s="1"/>
  <c r="AU44" i="5" s="1"/>
  <c r="L42" i="5"/>
  <c r="P42" i="5" s="1"/>
  <c r="T42" i="5" s="1"/>
  <c r="X42" i="5" s="1"/>
  <c r="AA42" i="5" s="1"/>
  <c r="AE42" i="5" s="1"/>
  <c r="AI42" i="5" s="1"/>
  <c r="AM42" i="5" s="1"/>
  <c r="AQ42" i="5" s="1"/>
  <c r="AU42" i="5" s="1"/>
  <c r="I60" i="5"/>
  <c r="L60" i="5" s="1"/>
  <c r="P60" i="5" s="1"/>
  <c r="T60" i="5" s="1"/>
  <c r="X60" i="5" s="1"/>
  <c r="AA60" i="5" s="1"/>
  <c r="AE60" i="5" s="1"/>
  <c r="AI60" i="5" s="1"/>
  <c r="AM60" i="5" s="1"/>
  <c r="AQ60" i="5" s="1"/>
  <c r="AU60" i="5" s="1"/>
  <c r="E121" i="5"/>
  <c r="I121" i="5" s="1"/>
  <c r="L121" i="5" s="1"/>
  <c r="P121" i="5" s="1"/>
  <c r="T121" i="5" s="1"/>
  <c r="X121" i="5" s="1"/>
  <c r="AA121" i="5" s="1"/>
  <c r="AE121" i="5" s="1"/>
  <c r="AI121" i="5" s="1"/>
  <c r="AM121" i="5" s="1"/>
  <c r="AQ121" i="5" s="1"/>
  <c r="AU121" i="5" s="1"/>
  <c r="I115" i="5"/>
  <c r="L115" i="5" s="1"/>
  <c r="P115" i="5" s="1"/>
  <c r="T115" i="5" s="1"/>
  <c r="X115" i="5" s="1"/>
  <c r="AA115" i="5" s="1"/>
  <c r="AE115" i="5" s="1"/>
  <c r="AI115" i="5" s="1"/>
  <c r="AM115" i="5" s="1"/>
  <c r="AQ115" i="5" s="1"/>
  <c r="AU115" i="5" s="1"/>
  <c r="P40" i="5"/>
  <c r="T40" i="5" s="1"/>
  <c r="X40" i="5" s="1"/>
  <c r="AA40" i="5" s="1"/>
  <c r="AE40" i="5" s="1"/>
  <c r="AI40" i="5" s="1"/>
  <c r="AM40" i="5" s="1"/>
  <c r="AQ40" i="5" s="1"/>
  <c r="AU40" i="5" s="1"/>
  <c r="I11" i="5"/>
  <c r="AI135" i="5" l="1"/>
  <c r="AM135" i="5" s="1"/>
  <c r="AQ135" i="5" s="1"/>
  <c r="AU135" i="5" s="1"/>
  <c r="T127" i="5"/>
  <c r="X127" i="5" s="1"/>
  <c r="AA127" i="5" s="1"/>
  <c r="AE127" i="5" s="1"/>
  <c r="AI127" i="5" s="1"/>
  <c r="AM127" i="5" s="1"/>
  <c r="AQ127" i="5" s="1"/>
  <c r="AU127" i="5" s="1"/>
  <c r="L114" i="5"/>
  <c r="L11" i="5"/>
  <c r="P11" i="5" s="1"/>
  <c r="T11" i="5" s="1"/>
  <c r="X11" i="5" s="1"/>
  <c r="P112" i="5"/>
  <c r="T112" i="5" s="1"/>
  <c r="X112" i="5" s="1"/>
  <c r="AA112" i="5" s="1"/>
  <c r="AE112" i="5" s="1"/>
  <c r="AI112" i="5" s="1"/>
  <c r="AM112" i="5" s="1"/>
  <c r="AQ112" i="5" s="1"/>
  <c r="AU112" i="5" s="1"/>
  <c r="P114" i="5"/>
  <c r="P107" i="5"/>
  <c r="T107" i="5" s="1"/>
  <c r="X107" i="5" s="1"/>
  <c r="AA107" i="5" s="1"/>
  <c r="AE107" i="5" s="1"/>
  <c r="AI107" i="5" s="1"/>
  <c r="AM107" i="5" s="1"/>
  <c r="AQ107" i="5" s="1"/>
  <c r="AU107" i="5" s="1"/>
  <c r="I90" i="5"/>
  <c r="L90" i="5" s="1"/>
  <c r="P90" i="5" s="1"/>
  <c r="T90" i="5" s="1"/>
  <c r="X90" i="5" s="1"/>
  <c r="AA90" i="5" s="1"/>
  <c r="AE90" i="5" s="1"/>
  <c r="AI90" i="5" s="1"/>
  <c r="AM90" i="5" s="1"/>
  <c r="AQ90" i="5" s="1"/>
  <c r="AU90" i="5" s="1"/>
  <c r="I91" i="5"/>
  <c r="L91" i="5" s="1"/>
  <c r="P91" i="5" s="1"/>
  <c r="T91" i="5" s="1"/>
  <c r="X91" i="5" s="1"/>
  <c r="AA91" i="5" s="1"/>
  <c r="AE91" i="5" s="1"/>
  <c r="AM91" i="5" s="1"/>
  <c r="AQ91" i="5" s="1"/>
  <c r="AU91" i="5" s="1"/>
  <c r="I88" i="5"/>
  <c r="L88" i="5" s="1"/>
  <c r="P88" i="5" s="1"/>
  <c r="T88" i="5" s="1"/>
  <c r="X88" i="5" s="1"/>
  <c r="AA88" i="5" s="1"/>
  <c r="AE88" i="5" s="1"/>
  <c r="AI88" i="5" s="1"/>
  <c r="AM88" i="5" s="1"/>
  <c r="AQ88" i="5" s="1"/>
  <c r="AU88" i="5" s="1"/>
  <c r="I89" i="5"/>
  <c r="L89" i="5" s="1"/>
  <c r="P89" i="5" s="1"/>
  <c r="T89" i="5" s="1"/>
  <c r="X89" i="5" s="1"/>
  <c r="AA89" i="5" s="1"/>
  <c r="AE89" i="5" s="1"/>
  <c r="AI89" i="5" s="1"/>
  <c r="AM89" i="5" s="1"/>
  <c r="AQ89" i="5" s="1"/>
  <c r="AU89" i="5" s="1"/>
  <c r="I141" i="5"/>
  <c r="L141" i="5" s="1"/>
  <c r="P141" i="5" s="1"/>
  <c r="T141" i="5" s="1"/>
  <c r="X141" i="5" s="1"/>
  <c r="AA141" i="5" s="1"/>
  <c r="AE141" i="5" s="1"/>
  <c r="AI141" i="5" s="1"/>
  <c r="AM141" i="5" s="1"/>
  <c r="AQ141" i="5" s="1"/>
  <c r="AU141" i="5" s="1"/>
  <c r="I102" i="5"/>
  <c r="L102" i="5" s="1"/>
  <c r="P102" i="5" s="1"/>
  <c r="T102" i="5" s="1"/>
  <c r="X102" i="5" s="1"/>
  <c r="AA102" i="5" s="1"/>
  <c r="AE102" i="5" s="1"/>
  <c r="AI102" i="5" s="1"/>
  <c r="AM102" i="5" s="1"/>
  <c r="AQ102" i="5" s="1"/>
  <c r="AU102" i="5" s="1"/>
  <c r="P118" i="5"/>
  <c r="T118" i="5" s="1"/>
  <c r="X118" i="5" s="1"/>
  <c r="AA118" i="5" s="1"/>
  <c r="AE118" i="5" s="1"/>
  <c r="AI118" i="5" s="1"/>
  <c r="AM118" i="5" s="1"/>
  <c r="AQ118" i="5" s="1"/>
  <c r="AU118" i="5" s="1"/>
  <c r="I71" i="5"/>
  <c r="L71" i="5" s="1"/>
  <c r="P71" i="5" s="1"/>
  <c r="T71" i="5" s="1"/>
  <c r="X71" i="5" s="1"/>
  <c r="AA71" i="5" s="1"/>
  <c r="AE71" i="5" s="1"/>
  <c r="AI71" i="5" s="1"/>
  <c r="AM71" i="5" s="1"/>
  <c r="AQ71" i="5" s="1"/>
  <c r="AU71" i="5" s="1"/>
  <c r="I144" i="5"/>
  <c r="L144" i="5" s="1"/>
  <c r="P144" i="5" s="1"/>
  <c r="T144" i="5" s="1"/>
  <c r="X144" i="5" s="1"/>
  <c r="AA144" i="5" s="1"/>
  <c r="AE144" i="5" s="1"/>
  <c r="AI144" i="5" s="1"/>
  <c r="AM144" i="5" s="1"/>
  <c r="AQ144" i="5" s="1"/>
  <c r="AU144" i="5" s="1"/>
  <c r="N143" i="5"/>
  <c r="J143" i="5"/>
  <c r="J136" i="5" s="1"/>
  <c r="I143" i="5"/>
  <c r="I142" i="5"/>
  <c r="L142" i="5" s="1"/>
  <c r="P142" i="5" s="1"/>
  <c r="T142" i="5" s="1"/>
  <c r="X142" i="5" s="1"/>
  <c r="AA142" i="5" s="1"/>
  <c r="AE142" i="5" s="1"/>
  <c r="AI142" i="5" s="1"/>
  <c r="AM142" i="5" s="1"/>
  <c r="AQ142" i="5" s="1"/>
  <c r="AU142" i="5" s="1"/>
  <c r="I140" i="5"/>
  <c r="L140" i="5" s="1"/>
  <c r="P140" i="5" s="1"/>
  <c r="T140" i="5" s="1"/>
  <c r="X140" i="5" s="1"/>
  <c r="AA140" i="5" s="1"/>
  <c r="AE140" i="5" s="1"/>
  <c r="AI140" i="5" s="1"/>
  <c r="AM140" i="5" s="1"/>
  <c r="AQ140" i="5" s="1"/>
  <c r="AU140" i="5" s="1"/>
  <c r="I139" i="5"/>
  <c r="L139" i="5" s="1"/>
  <c r="P139" i="5" s="1"/>
  <c r="T139" i="5" s="1"/>
  <c r="X139" i="5" s="1"/>
  <c r="AA139" i="5" s="1"/>
  <c r="AE139" i="5" s="1"/>
  <c r="AI139" i="5" s="1"/>
  <c r="AM139" i="5" s="1"/>
  <c r="AQ139" i="5" s="1"/>
  <c r="AU139" i="5" s="1"/>
  <c r="I138" i="5"/>
  <c r="L138" i="5" s="1"/>
  <c r="P138" i="5" s="1"/>
  <c r="T138" i="5" s="1"/>
  <c r="X138" i="5" s="1"/>
  <c r="AA138" i="5" s="1"/>
  <c r="AE138" i="5" s="1"/>
  <c r="AI138" i="5" s="1"/>
  <c r="AM138" i="5" s="1"/>
  <c r="AQ138" i="5" s="1"/>
  <c r="AU138" i="5" s="1"/>
  <c r="G136" i="5"/>
  <c r="E137" i="5"/>
  <c r="L106" i="5"/>
  <c r="I104" i="5"/>
  <c r="L104" i="5" s="1"/>
  <c r="I103" i="5"/>
  <c r="L103" i="5" s="1"/>
  <c r="P103" i="5" s="1"/>
  <c r="T103" i="5" s="1"/>
  <c r="X103" i="5" s="1"/>
  <c r="AA103" i="5" s="1"/>
  <c r="AE103" i="5" s="1"/>
  <c r="AI103" i="5" s="1"/>
  <c r="AM103" i="5" s="1"/>
  <c r="AQ103" i="5" s="1"/>
  <c r="AU103" i="5" s="1"/>
  <c r="J101" i="5"/>
  <c r="C101" i="5"/>
  <c r="E101" i="5" s="1"/>
  <c r="N87" i="5"/>
  <c r="J87" i="5"/>
  <c r="G87" i="5"/>
  <c r="I85" i="5"/>
  <c r="L85" i="5" s="1"/>
  <c r="P85" i="5" s="1"/>
  <c r="T85" i="5" s="1"/>
  <c r="X85" i="5" s="1"/>
  <c r="AA85" i="5" s="1"/>
  <c r="AE85" i="5" s="1"/>
  <c r="AI85" i="5" s="1"/>
  <c r="AM85" i="5" s="1"/>
  <c r="AQ85" i="5" s="1"/>
  <c r="AU85" i="5" s="1"/>
  <c r="I84" i="5"/>
  <c r="L84" i="5" s="1"/>
  <c r="P84" i="5" s="1"/>
  <c r="T84" i="5" s="1"/>
  <c r="X84" i="5" s="1"/>
  <c r="AA84" i="5" s="1"/>
  <c r="AE84" i="5" s="1"/>
  <c r="AI84" i="5" s="1"/>
  <c r="AM84" i="5" s="1"/>
  <c r="AQ84" i="5" s="1"/>
  <c r="AU84" i="5" s="1"/>
  <c r="I82" i="5"/>
  <c r="L82" i="5" s="1"/>
  <c r="J81" i="5"/>
  <c r="G81" i="5"/>
  <c r="C81" i="5"/>
  <c r="E81" i="5" s="1"/>
  <c r="I79" i="5"/>
  <c r="L79" i="5" s="1"/>
  <c r="P79" i="5" s="1"/>
  <c r="T79" i="5" s="1"/>
  <c r="X79" i="5" s="1"/>
  <c r="AA79" i="5" s="1"/>
  <c r="AE79" i="5" s="1"/>
  <c r="AI79" i="5" s="1"/>
  <c r="AM79" i="5" s="1"/>
  <c r="AQ79" i="5" s="1"/>
  <c r="AU79" i="5" s="1"/>
  <c r="I78" i="5"/>
  <c r="L78" i="5" s="1"/>
  <c r="I77" i="5"/>
  <c r="L77" i="5" s="1"/>
  <c r="P77" i="5" s="1"/>
  <c r="T77" i="5" s="1"/>
  <c r="X77" i="5" s="1"/>
  <c r="AA77" i="5" s="1"/>
  <c r="AE77" i="5" s="1"/>
  <c r="AI77" i="5" s="1"/>
  <c r="AM77" i="5" s="1"/>
  <c r="AQ77" i="5" s="1"/>
  <c r="AU77" i="5" s="1"/>
  <c r="I76" i="5"/>
  <c r="L76" i="5" s="1"/>
  <c r="P76" i="5" s="1"/>
  <c r="T76" i="5" s="1"/>
  <c r="X76" i="5" s="1"/>
  <c r="AA76" i="5" s="1"/>
  <c r="AE76" i="5" s="1"/>
  <c r="AI76" i="5" s="1"/>
  <c r="AM76" i="5" s="1"/>
  <c r="AQ76" i="5" s="1"/>
  <c r="AU76" i="5" s="1"/>
  <c r="N75" i="5"/>
  <c r="G75" i="5"/>
  <c r="I73" i="5"/>
  <c r="L73" i="5" s="1"/>
  <c r="P73" i="5" s="1"/>
  <c r="T73" i="5" s="1"/>
  <c r="X73" i="5" s="1"/>
  <c r="AA73" i="5" s="1"/>
  <c r="AE73" i="5" s="1"/>
  <c r="AI73" i="5" s="1"/>
  <c r="AM73" i="5" s="1"/>
  <c r="AQ73" i="5" s="1"/>
  <c r="AU73" i="5" s="1"/>
  <c r="I72" i="5"/>
  <c r="L72" i="5" s="1"/>
  <c r="P72" i="5" s="1"/>
  <c r="T72" i="5" s="1"/>
  <c r="X72" i="5" s="1"/>
  <c r="AA72" i="5" s="1"/>
  <c r="AE72" i="5" s="1"/>
  <c r="AI72" i="5" s="1"/>
  <c r="AM72" i="5" s="1"/>
  <c r="AQ72" i="5" s="1"/>
  <c r="AU72" i="5" s="1"/>
  <c r="I70" i="5"/>
  <c r="L70" i="5" s="1"/>
  <c r="P70" i="5" s="1"/>
  <c r="T70" i="5" s="1"/>
  <c r="X70" i="5" s="1"/>
  <c r="AA70" i="5" s="1"/>
  <c r="AE70" i="5" s="1"/>
  <c r="AI70" i="5" s="1"/>
  <c r="AM70" i="5" s="1"/>
  <c r="AQ70" i="5" s="1"/>
  <c r="AU70" i="5" s="1"/>
  <c r="I69" i="5"/>
  <c r="L69" i="5" s="1"/>
  <c r="P69" i="5" s="1"/>
  <c r="T69" i="5" s="1"/>
  <c r="X69" i="5" s="1"/>
  <c r="AA69" i="5" s="1"/>
  <c r="AE69" i="5" s="1"/>
  <c r="AI69" i="5" s="1"/>
  <c r="AM69" i="5" s="1"/>
  <c r="AQ69" i="5" s="1"/>
  <c r="AU69" i="5" s="1"/>
  <c r="I68" i="5"/>
  <c r="L68" i="5" s="1"/>
  <c r="P68" i="5" s="1"/>
  <c r="T68" i="5" s="1"/>
  <c r="X68" i="5" s="1"/>
  <c r="AA68" i="5" s="1"/>
  <c r="AE68" i="5" s="1"/>
  <c r="AI68" i="5" s="1"/>
  <c r="AM68" i="5" s="1"/>
  <c r="AQ68" i="5" s="1"/>
  <c r="AU68" i="5" s="1"/>
  <c r="I67" i="5"/>
  <c r="L67" i="5" s="1"/>
  <c r="P67" i="5" s="1"/>
  <c r="T67" i="5" s="1"/>
  <c r="X67" i="5" s="1"/>
  <c r="AA67" i="5" s="1"/>
  <c r="AE67" i="5" s="1"/>
  <c r="AI67" i="5" s="1"/>
  <c r="AM67" i="5" s="1"/>
  <c r="AQ67" i="5" s="1"/>
  <c r="AU67" i="5" s="1"/>
  <c r="I66" i="5"/>
  <c r="L66" i="5" s="1"/>
  <c r="P66" i="5" s="1"/>
  <c r="T66" i="5" s="1"/>
  <c r="X66" i="5" s="1"/>
  <c r="AA66" i="5" s="1"/>
  <c r="AE66" i="5" s="1"/>
  <c r="AI66" i="5" s="1"/>
  <c r="AM66" i="5" s="1"/>
  <c r="AQ66" i="5" s="1"/>
  <c r="AU66" i="5" s="1"/>
  <c r="J65" i="5"/>
  <c r="G65" i="5"/>
  <c r="N62" i="5"/>
  <c r="J62" i="5"/>
  <c r="G62" i="5"/>
  <c r="I62" i="5" s="1"/>
  <c r="J55" i="5"/>
  <c r="I55" i="5"/>
  <c r="G49" i="5"/>
  <c r="C49" i="5"/>
  <c r="E49" i="5" s="1"/>
  <c r="N44" i="5"/>
  <c r="G44" i="5"/>
  <c r="C44" i="5"/>
  <c r="I39" i="5"/>
  <c r="I38" i="5"/>
  <c r="I37" i="5"/>
  <c r="I36" i="5"/>
  <c r="L36" i="5" s="1"/>
  <c r="I35" i="5"/>
  <c r="I34" i="5"/>
  <c r="L34" i="5" s="1"/>
  <c r="I33" i="5"/>
  <c r="I32" i="5"/>
  <c r="I30" i="5"/>
  <c r="N29" i="5"/>
  <c r="J29" i="5"/>
  <c r="G29" i="5"/>
  <c r="I25" i="5"/>
  <c r="I24" i="5"/>
  <c r="I23" i="5"/>
  <c r="O22" i="5"/>
  <c r="K22" i="5"/>
  <c r="H22" i="5"/>
  <c r="D22" i="5"/>
  <c r="E22" i="5" s="1"/>
  <c r="I20" i="5"/>
  <c r="H19" i="5"/>
  <c r="D19" i="5"/>
  <c r="E19" i="5" s="1"/>
  <c r="I16" i="5"/>
  <c r="O15" i="5"/>
  <c r="I12" i="5"/>
  <c r="I10" i="5"/>
  <c r="O9" i="5"/>
  <c r="O8" i="5" s="1"/>
  <c r="K9" i="5"/>
  <c r="K8" i="5" s="1"/>
  <c r="E9" i="5"/>
  <c r="E8" i="5" s="1"/>
  <c r="I49" i="5" l="1"/>
  <c r="L49" i="5" s="1"/>
  <c r="P49" i="5" s="1"/>
  <c r="T49" i="5" s="1"/>
  <c r="X49" i="5" s="1"/>
  <c r="AA49" i="5" s="1"/>
  <c r="AE49" i="5" s="1"/>
  <c r="AI49" i="5" s="1"/>
  <c r="AM49" i="5" s="1"/>
  <c r="AQ49" i="5" s="1"/>
  <c r="AU49" i="5" s="1"/>
  <c r="L55" i="5"/>
  <c r="P55" i="5" s="1"/>
  <c r="T55" i="5" s="1"/>
  <c r="X55" i="5" s="1"/>
  <c r="AA55" i="5" s="1"/>
  <c r="AE55" i="5" s="1"/>
  <c r="AI55" i="5" s="1"/>
  <c r="AM55" i="5" s="1"/>
  <c r="AQ55" i="5" s="1"/>
  <c r="AU55" i="5" s="1"/>
  <c r="O14" i="5"/>
  <c r="F19" i="6"/>
  <c r="N28" i="5"/>
  <c r="AA11" i="5"/>
  <c r="AE11" i="5" s="1"/>
  <c r="AI11" i="5" s="1"/>
  <c r="AM11" i="5" s="1"/>
  <c r="AQ11" i="5" s="1"/>
  <c r="AU11" i="5" s="1"/>
  <c r="O7" i="5"/>
  <c r="O147" i="5" s="1"/>
  <c r="T114" i="5"/>
  <c r="X114" i="5" s="1"/>
  <c r="AA114" i="5" s="1"/>
  <c r="AE114" i="5" s="1"/>
  <c r="AI114" i="5" s="1"/>
  <c r="AM114" i="5" s="1"/>
  <c r="AQ114" i="5" s="1"/>
  <c r="AU114" i="5" s="1"/>
  <c r="H8" i="5"/>
  <c r="L10" i="5"/>
  <c r="P10" i="5" s="1"/>
  <c r="T10" i="5" s="1"/>
  <c r="X10" i="5" s="1"/>
  <c r="AA10" i="5" s="1"/>
  <c r="L12" i="5"/>
  <c r="P12" i="5" s="1"/>
  <c r="T12" i="5" s="1"/>
  <c r="X12" i="5" s="1"/>
  <c r="L16" i="5"/>
  <c r="P16" i="5" s="1"/>
  <c r="T16" i="5" s="1"/>
  <c r="X16" i="5" s="1"/>
  <c r="L23" i="5"/>
  <c r="P23" i="5" s="1"/>
  <c r="T23" i="5" s="1"/>
  <c r="X23" i="5" s="1"/>
  <c r="AA23" i="5" s="1"/>
  <c r="AE23" i="5" s="1"/>
  <c r="AI23" i="5" s="1"/>
  <c r="AM23" i="5" s="1"/>
  <c r="AQ23" i="5" s="1"/>
  <c r="AU23" i="5" s="1"/>
  <c r="L25" i="5"/>
  <c r="P25" i="5" s="1"/>
  <c r="T25" i="5" s="1"/>
  <c r="X25" i="5" s="1"/>
  <c r="AA25" i="5" s="1"/>
  <c r="AE25" i="5" s="1"/>
  <c r="AI25" i="5" s="1"/>
  <c r="AM25" i="5" s="1"/>
  <c r="AQ25" i="5" s="1"/>
  <c r="AU25" i="5" s="1"/>
  <c r="L30" i="5"/>
  <c r="P30" i="5" s="1"/>
  <c r="T30" i="5" s="1"/>
  <c r="X30" i="5" s="1"/>
  <c r="AA30" i="5" s="1"/>
  <c r="AE30" i="5" s="1"/>
  <c r="AI30" i="5" s="1"/>
  <c r="AM30" i="5" s="1"/>
  <c r="AQ30" i="5" s="1"/>
  <c r="AU30" i="5" s="1"/>
  <c r="L33" i="5"/>
  <c r="P33" i="5" s="1"/>
  <c r="T33" i="5" s="1"/>
  <c r="X33" i="5" s="1"/>
  <c r="AA33" i="5" s="1"/>
  <c r="AE33" i="5" s="1"/>
  <c r="AI33" i="5" s="1"/>
  <c r="AM33" i="5" s="1"/>
  <c r="AQ33" i="5" s="1"/>
  <c r="AU33" i="5" s="1"/>
  <c r="L35" i="5"/>
  <c r="P35" i="5" s="1"/>
  <c r="T35" i="5" s="1"/>
  <c r="X35" i="5" s="1"/>
  <c r="AA35" i="5" s="1"/>
  <c r="AE35" i="5" s="1"/>
  <c r="AI35" i="5" s="1"/>
  <c r="AM35" i="5" s="1"/>
  <c r="AQ35" i="5" s="1"/>
  <c r="AU35" i="5" s="1"/>
  <c r="L37" i="5"/>
  <c r="P37" i="5" s="1"/>
  <c r="T37" i="5" s="1"/>
  <c r="X37" i="5" s="1"/>
  <c r="AA37" i="5" s="1"/>
  <c r="AE37" i="5" s="1"/>
  <c r="AI37" i="5" s="1"/>
  <c r="AM37" i="5" s="1"/>
  <c r="AQ37" i="5" s="1"/>
  <c r="AU37" i="5" s="1"/>
  <c r="L39" i="5"/>
  <c r="P39" i="5" s="1"/>
  <c r="T39" i="5" s="1"/>
  <c r="X39" i="5" s="1"/>
  <c r="AA39" i="5" s="1"/>
  <c r="AE39" i="5" s="1"/>
  <c r="AI39" i="5" s="1"/>
  <c r="AM39" i="5" s="1"/>
  <c r="AQ39" i="5" s="1"/>
  <c r="AU39" i="5" s="1"/>
  <c r="L20" i="5"/>
  <c r="P20" i="5" s="1"/>
  <c r="L24" i="5"/>
  <c r="P24" i="5" s="1"/>
  <c r="T24" i="5" s="1"/>
  <c r="X24" i="5" s="1"/>
  <c r="AA24" i="5" s="1"/>
  <c r="AE24" i="5" s="1"/>
  <c r="AI24" i="5" s="1"/>
  <c r="L32" i="5"/>
  <c r="P32" i="5" s="1"/>
  <c r="T32" i="5" s="1"/>
  <c r="X32" i="5" s="1"/>
  <c r="AA32" i="5" s="1"/>
  <c r="AE32" i="5" s="1"/>
  <c r="AI32" i="5" s="1"/>
  <c r="AM32" i="5" s="1"/>
  <c r="AQ32" i="5" s="1"/>
  <c r="AU32" i="5" s="1"/>
  <c r="L38" i="5"/>
  <c r="P38" i="5" s="1"/>
  <c r="T38" i="5" s="1"/>
  <c r="X38" i="5" s="1"/>
  <c r="AA38" i="5" s="1"/>
  <c r="AE38" i="5" s="1"/>
  <c r="AI38" i="5" s="1"/>
  <c r="AM38" i="5" s="1"/>
  <c r="AQ38" i="5" s="1"/>
  <c r="AU38" i="5" s="1"/>
  <c r="C28" i="5"/>
  <c r="E28" i="5" s="1"/>
  <c r="E44" i="5"/>
  <c r="I44" i="5" s="1"/>
  <c r="J28" i="5"/>
  <c r="J27" i="5" s="1"/>
  <c r="L62" i="5"/>
  <c r="P62" i="5" s="1"/>
  <c r="H14" i="5"/>
  <c r="I19" i="5"/>
  <c r="C136" i="5"/>
  <c r="E136" i="5" s="1"/>
  <c r="I136" i="5" s="1"/>
  <c r="L136" i="5" s="1"/>
  <c r="I15" i="5"/>
  <c r="I65" i="5"/>
  <c r="L65" i="5" s="1"/>
  <c r="P65" i="5" s="1"/>
  <c r="T65" i="5" s="1"/>
  <c r="X65" i="5" s="1"/>
  <c r="AA65" i="5" s="1"/>
  <c r="AE65" i="5" s="1"/>
  <c r="AI65" i="5" s="1"/>
  <c r="AM65" i="5" s="1"/>
  <c r="AQ65" i="5" s="1"/>
  <c r="AU65" i="5" s="1"/>
  <c r="I75" i="5"/>
  <c r="L75" i="5" s="1"/>
  <c r="P75" i="5" s="1"/>
  <c r="T75" i="5" s="1"/>
  <c r="X75" i="5" s="1"/>
  <c r="AA75" i="5" s="1"/>
  <c r="AE75" i="5" s="1"/>
  <c r="AI75" i="5" s="1"/>
  <c r="AM75" i="5" s="1"/>
  <c r="AQ75" i="5" s="1"/>
  <c r="AU75" i="5" s="1"/>
  <c r="I87" i="5"/>
  <c r="L87" i="5" s="1"/>
  <c r="P87" i="5" s="1"/>
  <c r="T87" i="5" s="1"/>
  <c r="X87" i="5" s="1"/>
  <c r="AA87" i="5" s="1"/>
  <c r="AE87" i="5" s="1"/>
  <c r="AI87" i="5" s="1"/>
  <c r="AM87" i="5" s="1"/>
  <c r="AQ87" i="5" s="1"/>
  <c r="AU87" i="5" s="1"/>
  <c r="K14" i="5"/>
  <c r="I81" i="5"/>
  <c r="L81" i="5" s="1"/>
  <c r="P81" i="5" s="1"/>
  <c r="T81" i="5" s="1"/>
  <c r="X81" i="5" s="1"/>
  <c r="AA81" i="5" s="1"/>
  <c r="AE81" i="5" s="1"/>
  <c r="AI81" i="5" s="1"/>
  <c r="AM81" i="5" s="1"/>
  <c r="AQ81" i="5" s="1"/>
  <c r="AU81" i="5" s="1"/>
  <c r="N136" i="5"/>
  <c r="D14" i="5"/>
  <c r="E14" i="5" s="1"/>
  <c r="E7" i="5" s="1"/>
  <c r="I22" i="5"/>
  <c r="P34" i="5"/>
  <c r="T34" i="5" s="1"/>
  <c r="X34" i="5" s="1"/>
  <c r="AA34" i="5" s="1"/>
  <c r="AE34" i="5" s="1"/>
  <c r="AI34" i="5" s="1"/>
  <c r="AM34" i="5" s="1"/>
  <c r="AQ34" i="5" s="1"/>
  <c r="AU34" i="5" s="1"/>
  <c r="P82" i="5"/>
  <c r="T82" i="5" s="1"/>
  <c r="X82" i="5" s="1"/>
  <c r="AA82" i="5" s="1"/>
  <c r="AE82" i="5" s="1"/>
  <c r="AI82" i="5" s="1"/>
  <c r="AM82" i="5" s="1"/>
  <c r="AQ82" i="5" s="1"/>
  <c r="AU82" i="5" s="1"/>
  <c r="P36" i="5"/>
  <c r="T36" i="5" s="1"/>
  <c r="X36" i="5" s="1"/>
  <c r="AA36" i="5" s="1"/>
  <c r="AE36" i="5" s="1"/>
  <c r="AI36" i="5" s="1"/>
  <c r="AM36" i="5" s="1"/>
  <c r="AQ36" i="5" s="1"/>
  <c r="AU36" i="5" s="1"/>
  <c r="I101" i="5"/>
  <c r="L101" i="5" s="1"/>
  <c r="P101" i="5" s="1"/>
  <c r="T101" i="5" s="1"/>
  <c r="X101" i="5" s="1"/>
  <c r="AA101" i="5" s="1"/>
  <c r="AE101" i="5" s="1"/>
  <c r="AU101" i="5" s="1"/>
  <c r="I137" i="5"/>
  <c r="L137" i="5" s="1"/>
  <c r="P137" i="5" s="1"/>
  <c r="P108" i="5"/>
  <c r="T108" i="5" s="1"/>
  <c r="X108" i="5" s="1"/>
  <c r="AA108" i="5" s="1"/>
  <c r="AE108" i="5" s="1"/>
  <c r="AI108" i="5" s="1"/>
  <c r="AM108" i="5" s="1"/>
  <c r="AQ108" i="5" s="1"/>
  <c r="AU108" i="5" s="1"/>
  <c r="L143" i="5"/>
  <c r="P143" i="5" s="1"/>
  <c r="T143" i="5" s="1"/>
  <c r="X143" i="5" s="1"/>
  <c r="AA143" i="5" s="1"/>
  <c r="AE143" i="5" s="1"/>
  <c r="AI143" i="5" s="1"/>
  <c r="AM143" i="5" s="1"/>
  <c r="AQ143" i="5" s="1"/>
  <c r="AU143" i="5" s="1"/>
  <c r="P111" i="5"/>
  <c r="T111" i="5" s="1"/>
  <c r="X111" i="5" s="1"/>
  <c r="AA111" i="5" s="1"/>
  <c r="AE111" i="5" s="1"/>
  <c r="AI111" i="5" s="1"/>
  <c r="AM111" i="5" s="1"/>
  <c r="AQ111" i="5" s="1"/>
  <c r="AU111" i="5" s="1"/>
  <c r="L105" i="5"/>
  <c r="P105" i="5" s="1"/>
  <c r="T105" i="5" s="1"/>
  <c r="X105" i="5" s="1"/>
  <c r="AA105" i="5" s="1"/>
  <c r="AE105" i="5" s="1"/>
  <c r="AI105" i="5" s="1"/>
  <c r="AM105" i="5" s="1"/>
  <c r="AQ105" i="5" s="1"/>
  <c r="AU105" i="5" s="1"/>
  <c r="I83" i="5"/>
  <c r="L83" i="5" s="1"/>
  <c r="P83" i="5" s="1"/>
  <c r="T83" i="5" s="1"/>
  <c r="X83" i="5" s="1"/>
  <c r="AE83" i="5" s="1"/>
  <c r="AI83" i="5" s="1"/>
  <c r="AM83" i="5" s="1"/>
  <c r="AQ83" i="5" s="1"/>
  <c r="AU83" i="5" s="1"/>
  <c r="P104" i="5"/>
  <c r="T104" i="5" s="1"/>
  <c r="X104" i="5" s="1"/>
  <c r="AA104" i="5" s="1"/>
  <c r="AE104" i="5" s="1"/>
  <c r="AI104" i="5" s="1"/>
  <c r="AM104" i="5" s="1"/>
  <c r="AQ104" i="5" s="1"/>
  <c r="AU104" i="5" s="1"/>
  <c r="P106" i="5"/>
  <c r="T106" i="5" s="1"/>
  <c r="X106" i="5" s="1"/>
  <c r="AA106" i="5" s="1"/>
  <c r="AE106" i="5" s="1"/>
  <c r="AI106" i="5" s="1"/>
  <c r="AM106" i="5" s="1"/>
  <c r="AQ106" i="5" s="1"/>
  <c r="AU106" i="5" s="1"/>
  <c r="P110" i="5"/>
  <c r="T110" i="5" s="1"/>
  <c r="X110" i="5" s="1"/>
  <c r="AA110" i="5" s="1"/>
  <c r="AE110" i="5" s="1"/>
  <c r="AI110" i="5" s="1"/>
  <c r="AM110" i="5" s="1"/>
  <c r="AQ110" i="5" s="1"/>
  <c r="AU110" i="5" s="1"/>
  <c r="P78" i="5"/>
  <c r="T78" i="5" s="1"/>
  <c r="X78" i="5" s="1"/>
  <c r="AA78" i="5" s="1"/>
  <c r="AE78" i="5" s="1"/>
  <c r="AI78" i="5" s="1"/>
  <c r="AM78" i="5" s="1"/>
  <c r="AQ78" i="5" s="1"/>
  <c r="AU78" i="5" s="1"/>
  <c r="P109" i="5"/>
  <c r="T109" i="5" s="1"/>
  <c r="X109" i="5" s="1"/>
  <c r="AA109" i="5" s="1"/>
  <c r="AE109" i="5" s="1"/>
  <c r="AI109" i="5" s="1"/>
  <c r="AM109" i="5" s="1"/>
  <c r="AQ109" i="5" s="1"/>
  <c r="AU109" i="5" s="1"/>
  <c r="I29" i="5"/>
  <c r="I9" i="5"/>
  <c r="G28" i="5"/>
  <c r="T137" i="5" l="1"/>
  <c r="X137" i="5" s="1"/>
  <c r="AA137" i="5" s="1"/>
  <c r="AE137" i="5" s="1"/>
  <c r="AI137" i="5" s="1"/>
  <c r="AM137" i="5" s="1"/>
  <c r="AQ137" i="5" s="1"/>
  <c r="AU137" i="5" s="1"/>
  <c r="AM24" i="5"/>
  <c r="AQ24" i="5" s="1"/>
  <c r="AU24" i="5" s="1"/>
  <c r="O148" i="5"/>
  <c r="O150" i="5" s="1"/>
  <c r="T20" i="5"/>
  <c r="X20" i="5" s="1"/>
  <c r="AA20" i="5" s="1"/>
  <c r="AE20" i="5" s="1"/>
  <c r="AI20" i="5" s="1"/>
  <c r="AM20" i="5" s="1"/>
  <c r="AQ20" i="5" s="1"/>
  <c r="AU20" i="5" s="1"/>
  <c r="AA12" i="5"/>
  <c r="AA9" i="5" s="1"/>
  <c r="H7" i="5"/>
  <c r="H147" i="5" s="1"/>
  <c r="H148" i="5" s="1"/>
  <c r="H150" i="5" s="1"/>
  <c r="I8" i="5"/>
  <c r="L8" i="5" s="1"/>
  <c r="P8" i="5" s="1"/>
  <c r="T8" i="5" s="1"/>
  <c r="X8" i="5" s="1"/>
  <c r="C58" i="6"/>
  <c r="L9" i="5"/>
  <c r="P9" i="5" s="1"/>
  <c r="L44" i="5"/>
  <c r="P44" i="5" s="1"/>
  <c r="L29" i="5"/>
  <c r="P29" i="5" s="1"/>
  <c r="T29" i="5" s="1"/>
  <c r="X29" i="5" s="1"/>
  <c r="AA29" i="5" s="1"/>
  <c r="AE29" i="5" s="1"/>
  <c r="AI29" i="5" s="1"/>
  <c r="AM29" i="5" s="1"/>
  <c r="AQ29" i="5" s="1"/>
  <c r="AU29" i="5" s="1"/>
  <c r="P136" i="5"/>
  <c r="T136" i="5" s="1"/>
  <c r="L15" i="5"/>
  <c r="P15" i="5" s="1"/>
  <c r="T15" i="5" s="1"/>
  <c r="X15" i="5" s="1"/>
  <c r="L19" i="5"/>
  <c r="P19" i="5" s="1"/>
  <c r="L22" i="5"/>
  <c r="P22" i="5" s="1"/>
  <c r="T22" i="5" s="1"/>
  <c r="X22" i="5" s="1"/>
  <c r="AA22" i="5" s="1"/>
  <c r="AE22" i="5" s="1"/>
  <c r="AI22" i="5" s="1"/>
  <c r="K7" i="5"/>
  <c r="K147" i="5" s="1"/>
  <c r="K148" i="5" s="1"/>
  <c r="N27" i="5"/>
  <c r="N149" i="5" s="1"/>
  <c r="I9" i="6" s="1"/>
  <c r="L9" i="6" s="1"/>
  <c r="J150" i="5"/>
  <c r="J149" i="5"/>
  <c r="I8" i="6" s="1"/>
  <c r="G27" i="5"/>
  <c r="G149" i="5" s="1"/>
  <c r="I7" i="6" s="1"/>
  <c r="L7" i="6" s="1"/>
  <c r="C27" i="5"/>
  <c r="I14" i="5"/>
  <c r="D7" i="5"/>
  <c r="I28" i="5"/>
  <c r="L28" i="5" s="1"/>
  <c r="AM22" i="5" l="1"/>
  <c r="AQ22" i="5" s="1"/>
  <c r="AU22" i="5" s="1"/>
  <c r="L8" i="6"/>
  <c r="T19" i="5"/>
  <c r="X19" i="5" s="1"/>
  <c r="AA19" i="5" s="1"/>
  <c r="AE19" i="5" s="1"/>
  <c r="AI19" i="5" s="1"/>
  <c r="AM19" i="5" s="1"/>
  <c r="AQ19" i="5" s="1"/>
  <c r="AU19" i="5" s="1"/>
  <c r="AE12" i="5"/>
  <c r="AI12" i="5" s="1"/>
  <c r="AM12" i="5" s="1"/>
  <c r="AQ12" i="5" s="1"/>
  <c r="AU12" i="5" s="1"/>
  <c r="AA8" i="5"/>
  <c r="X136" i="5"/>
  <c r="AA136" i="5" s="1"/>
  <c r="AE136" i="5" s="1"/>
  <c r="AI136" i="5" s="1"/>
  <c r="AM136" i="5" s="1"/>
  <c r="AQ136" i="5" s="1"/>
  <c r="AU136" i="5" s="1"/>
  <c r="N150" i="5"/>
  <c r="G150" i="5"/>
  <c r="T9" i="5"/>
  <c r="X9" i="5" s="1"/>
  <c r="C149" i="5"/>
  <c r="E27" i="5"/>
  <c r="I27" i="5" s="1"/>
  <c r="L27" i="5" s="1"/>
  <c r="P27" i="5" s="1"/>
  <c r="T27" i="5" s="1"/>
  <c r="X27" i="5" s="1"/>
  <c r="AA27" i="5" s="1"/>
  <c r="AE27" i="5" s="1"/>
  <c r="AI27" i="5" s="1"/>
  <c r="AM27" i="5" s="1"/>
  <c r="AQ27" i="5" s="1"/>
  <c r="AU27" i="5" s="1"/>
  <c r="L14" i="5"/>
  <c r="P14" i="5" s="1"/>
  <c r="T14" i="5" s="1"/>
  <c r="X14" i="5" s="1"/>
  <c r="P28" i="5"/>
  <c r="T28" i="5" s="1"/>
  <c r="X28" i="5" s="1"/>
  <c r="AA28" i="5" s="1"/>
  <c r="AE28" i="5" s="1"/>
  <c r="AI28" i="5" s="1"/>
  <c r="AM28" i="5" s="1"/>
  <c r="AQ28" i="5" s="1"/>
  <c r="AU28" i="5" s="1"/>
  <c r="I7" i="5"/>
  <c r="L7" i="5" s="1"/>
  <c r="P7" i="5" s="1"/>
  <c r="D147" i="5"/>
  <c r="E149" i="5" l="1"/>
  <c r="I149" i="5" s="1"/>
  <c r="L149" i="5" s="1"/>
  <c r="P149" i="5" s="1"/>
  <c r="T149" i="5" s="1"/>
  <c r="X149" i="5" s="1"/>
  <c r="I6" i="6"/>
  <c r="T7" i="5"/>
  <c r="X7" i="5" s="1"/>
  <c r="K150" i="5"/>
  <c r="D148" i="5"/>
  <c r="E147" i="5"/>
  <c r="I147" i="5" s="1"/>
  <c r="L147" i="5" s="1"/>
  <c r="P147" i="5" s="1"/>
  <c r="C150" i="5"/>
  <c r="L6" i="6" l="1"/>
  <c r="I19" i="6"/>
  <c r="AA149" i="5"/>
  <c r="AE149" i="5" s="1"/>
  <c r="AI149" i="5" s="1"/>
  <c r="AM149" i="5" s="1"/>
  <c r="AQ149" i="5" s="1"/>
  <c r="AU149" i="5" s="1"/>
  <c r="T147" i="5"/>
  <c r="X147" i="5" s="1"/>
  <c r="D150" i="5"/>
  <c r="E150" i="5" s="1"/>
  <c r="I150" i="5" s="1"/>
  <c r="L150" i="5" s="1"/>
  <c r="P150" i="5" s="1"/>
  <c r="T150" i="5" s="1"/>
  <c r="X150" i="5" s="1"/>
  <c r="E148" i="5"/>
  <c r="I148" i="5" l="1"/>
  <c r="L148" i="5" s="1"/>
  <c r="P148" i="5" s="1"/>
  <c r="T148" i="5" l="1"/>
  <c r="X148" i="5" s="1"/>
  <c r="AA15" i="5"/>
  <c r="AE15" i="5" s="1"/>
  <c r="AI15" i="5" s="1"/>
  <c r="AA16" i="5"/>
  <c r="AE16" i="5" s="1"/>
  <c r="AI16" i="5" s="1"/>
  <c r="AM16" i="5" s="1"/>
  <c r="AQ16" i="5" s="1"/>
  <c r="AU16" i="5" s="1"/>
  <c r="Z7" i="5"/>
  <c r="AM15" i="5" l="1"/>
  <c r="AQ15" i="5" s="1"/>
  <c r="AU15" i="5" s="1"/>
  <c r="AA14" i="5"/>
  <c r="AE14" i="5" s="1"/>
  <c r="AI14" i="5" s="1"/>
  <c r="AM14" i="5" s="1"/>
  <c r="AQ14" i="5" s="1"/>
  <c r="AU14" i="5" s="1"/>
  <c r="AA7" i="5"/>
  <c r="Z147" i="5"/>
  <c r="Z148" i="5" l="1"/>
  <c r="AA147" i="5"/>
  <c r="AA148" i="5" l="1"/>
  <c r="Z150" i="5"/>
  <c r="AA150" i="5" l="1"/>
  <c r="AE10" i="5"/>
  <c r="AI10" i="5" s="1"/>
  <c r="AM10" i="5" s="1"/>
  <c r="AQ10" i="5" s="1"/>
  <c r="AU10" i="5" s="1"/>
  <c r="AD9" i="5"/>
  <c r="AE9" i="5" s="1"/>
  <c r="AI9" i="5" s="1"/>
  <c r="AM9" i="5" s="1"/>
  <c r="AQ9" i="5" s="1"/>
  <c r="AU9" i="5" s="1"/>
  <c r="AD8" i="5" l="1"/>
  <c r="C19" i="6" l="1"/>
  <c r="L13" i="6"/>
  <c r="L19" i="6" s="1"/>
  <c r="AD7" i="5"/>
  <c r="AE8" i="5"/>
  <c r="AI8" i="5" s="1"/>
  <c r="AM8" i="5" s="1"/>
  <c r="AQ8" i="5" s="1"/>
  <c r="AU8" i="5" s="1"/>
  <c r="C26" i="10" s="1"/>
  <c r="AD147" i="5" l="1"/>
  <c r="AE7" i="5"/>
  <c r="AI7" i="5" l="1"/>
  <c r="AM7" i="5" s="1"/>
  <c r="AQ7" i="5" s="1"/>
  <c r="AU7" i="5" s="1"/>
  <c r="AD148" i="5"/>
  <c r="AE147" i="5"/>
  <c r="AI147" i="5" s="1"/>
  <c r="AM147" i="5" s="1"/>
  <c r="AQ147" i="5" s="1"/>
  <c r="AU147" i="5" s="1"/>
  <c r="D12" i="10" l="1"/>
  <c r="C15" i="10"/>
  <c r="D15" i="10" s="1"/>
  <c r="AE148" i="5"/>
  <c r="AI148" i="5" s="1"/>
  <c r="AM148" i="5" s="1"/>
  <c r="AQ148" i="5" s="1"/>
  <c r="AU148" i="5" s="1"/>
  <c r="AD150" i="5"/>
  <c r="AE150" i="5" l="1"/>
  <c r="AI150" i="5" l="1"/>
  <c r="AM150" i="5" s="1"/>
  <c r="AQ150" i="5" s="1"/>
  <c r="AU150" i="5" s="1"/>
  <c r="D125" i="9" l="1"/>
  <c r="C25" i="10"/>
  <c r="C28" i="10" s="1"/>
  <c r="D28" i="10" s="1"/>
  <c r="D124" i="9" l="1"/>
  <c r="E123" i="9" s="1"/>
  <c r="E130" i="9" s="1"/>
  <c r="D25" i="10"/>
  <c r="E134" i="9" l="1"/>
  <c r="E132" i="9"/>
</calcChain>
</file>

<file path=xl/comments1.xml><?xml version="1.0" encoding="utf-8"?>
<comments xmlns="http://schemas.openxmlformats.org/spreadsheetml/2006/main">
  <authors>
    <author>Cesar Paez</author>
  </authors>
  <commentList>
    <comment ref="Y29" authorId="0" shapeId="0">
      <text>
        <r>
          <rPr>
            <b/>
            <sz val="9"/>
            <color indexed="81"/>
            <rFont val="Tahoma"/>
            <family val="2"/>
          </rPr>
          <t>Cesar Paez:</t>
        </r>
        <r>
          <rPr>
            <sz val="9"/>
            <color indexed="81"/>
            <rFont val="Tahoma"/>
            <family val="2"/>
          </rPr>
          <t xml:space="preserve">
se compro dotacion</t>
        </r>
      </text>
    </comment>
    <comment ref="AC29" authorId="0" shapeId="0">
      <text>
        <r>
          <rPr>
            <b/>
            <sz val="9"/>
            <color indexed="81"/>
            <rFont val="Tahoma"/>
            <family val="2"/>
          </rPr>
          <t>Cesar Paez:</t>
        </r>
        <r>
          <rPr>
            <sz val="9"/>
            <color indexed="81"/>
            <rFont val="Tahoma"/>
            <family val="2"/>
          </rPr>
          <t xml:space="preserve">
se compro dotacion</t>
        </r>
      </text>
    </comment>
    <comment ref="AG29" authorId="0" shapeId="0">
      <text>
        <r>
          <rPr>
            <b/>
            <sz val="9"/>
            <color indexed="81"/>
            <rFont val="Tahoma"/>
            <family val="2"/>
          </rPr>
          <t>Cesar Paez:</t>
        </r>
        <r>
          <rPr>
            <sz val="9"/>
            <color indexed="81"/>
            <rFont val="Tahoma"/>
            <family val="2"/>
          </rPr>
          <t xml:space="preserve">
se compro dotacion</t>
        </r>
      </text>
    </comment>
    <comment ref="AK29" authorId="0" shapeId="0">
      <text>
        <r>
          <rPr>
            <b/>
            <sz val="9"/>
            <color indexed="81"/>
            <rFont val="Tahoma"/>
            <family val="2"/>
          </rPr>
          <t>Cesar Paez:</t>
        </r>
        <r>
          <rPr>
            <sz val="9"/>
            <color indexed="81"/>
            <rFont val="Tahoma"/>
            <family val="2"/>
          </rPr>
          <t xml:space="preserve">
se compro dotacion</t>
        </r>
      </text>
    </comment>
    <comment ref="AO29" authorId="0" shapeId="0">
      <text>
        <r>
          <rPr>
            <b/>
            <sz val="9"/>
            <color indexed="81"/>
            <rFont val="Tahoma"/>
            <family val="2"/>
          </rPr>
          <t>Cesar Paez:</t>
        </r>
        <r>
          <rPr>
            <sz val="9"/>
            <color indexed="81"/>
            <rFont val="Tahoma"/>
            <family val="2"/>
          </rPr>
          <t xml:space="preserve">
se compro dotacion</t>
        </r>
      </text>
    </comment>
    <comment ref="AS29" authorId="0" shapeId="0">
      <text>
        <r>
          <rPr>
            <b/>
            <sz val="9"/>
            <color indexed="81"/>
            <rFont val="Tahoma"/>
            <family val="2"/>
          </rPr>
          <t>Cesar Paez:</t>
        </r>
        <r>
          <rPr>
            <sz val="9"/>
            <color indexed="81"/>
            <rFont val="Tahoma"/>
            <family val="2"/>
          </rPr>
          <t xml:space="preserve">
se compro dotacion</t>
        </r>
      </text>
    </comment>
  </commentList>
</comments>
</file>

<file path=xl/comments2.xml><?xml version="1.0" encoding="utf-8"?>
<comments xmlns="http://schemas.openxmlformats.org/spreadsheetml/2006/main">
  <authors>
    <author>Cesar Paez</author>
  </authors>
  <commentList>
    <comment ref="D81" authorId="0" shapeId="0">
      <text>
        <r>
          <rPr>
            <b/>
            <sz val="9"/>
            <color indexed="81"/>
            <rFont val="Tahoma"/>
            <family val="2"/>
          </rPr>
          <t>Cesar Paez:</t>
        </r>
        <r>
          <rPr>
            <sz val="9"/>
            <color indexed="81"/>
            <rFont val="Tahoma"/>
            <family val="2"/>
          </rPr>
          <t xml:space="preserve">
v,vbf|</t>
        </r>
      </text>
    </comment>
  </commentList>
</comments>
</file>

<file path=xl/sharedStrings.xml><?xml version="1.0" encoding="utf-8"?>
<sst xmlns="http://schemas.openxmlformats.org/spreadsheetml/2006/main" count="621" uniqueCount="467">
  <si>
    <t>EQUIORIENTE LTDA</t>
  </si>
  <si>
    <t>Cuenta</t>
  </si>
  <si>
    <t>Cód.</t>
  </si>
  <si>
    <t>Nombre</t>
  </si>
  <si>
    <t xml:space="preserve">Débitos </t>
  </si>
  <si>
    <t xml:space="preserve">Créditos </t>
  </si>
  <si>
    <t xml:space="preserve">Saldo actual </t>
  </si>
  <si>
    <t>4</t>
  </si>
  <si>
    <t>INGRESOS</t>
  </si>
  <si>
    <t>41</t>
  </si>
  <si>
    <t>Operacionales</t>
  </si>
  <si>
    <t>4155</t>
  </si>
  <si>
    <t>Actividades inmobiliarias, empresariales y de alquiler</t>
  </si>
  <si>
    <t>415520</t>
  </si>
  <si>
    <t>Transporte</t>
  </si>
  <si>
    <t>42</t>
  </si>
  <si>
    <t>No operacionales</t>
  </si>
  <si>
    <t>4210</t>
  </si>
  <si>
    <t>Financieros</t>
  </si>
  <si>
    <t>421005</t>
  </si>
  <si>
    <t>Intereses</t>
  </si>
  <si>
    <t>4220</t>
  </si>
  <si>
    <t>ARRENDAMIENTOS APARTAMENTOS</t>
  </si>
  <si>
    <t>422010</t>
  </si>
  <si>
    <t>Apartamentos Arrendados</t>
  </si>
  <si>
    <t>4235</t>
  </si>
  <si>
    <t>Servicios</t>
  </si>
  <si>
    <t>423510</t>
  </si>
  <si>
    <t>VENTAS SIN IVA</t>
  </si>
  <si>
    <t>5</t>
  </si>
  <si>
    <t>GASTOS</t>
  </si>
  <si>
    <t>51</t>
  </si>
  <si>
    <t>Operacionales de administración</t>
  </si>
  <si>
    <t>5105</t>
  </si>
  <si>
    <t>Gastos de personal</t>
  </si>
  <si>
    <t>510506</t>
  </si>
  <si>
    <t>Sueldos</t>
  </si>
  <si>
    <t>510527</t>
  </si>
  <si>
    <t>Auxilio de transporte</t>
  </si>
  <si>
    <t>510530</t>
  </si>
  <si>
    <t>Cesantías</t>
  </si>
  <si>
    <t>510533</t>
  </si>
  <si>
    <t>Intereses sobre cesantías</t>
  </si>
  <si>
    <t>510536</t>
  </si>
  <si>
    <t>Prima de servicios</t>
  </si>
  <si>
    <t>510539</t>
  </si>
  <si>
    <t>Vacaciones</t>
  </si>
  <si>
    <t>510545</t>
  </si>
  <si>
    <t>Auxilios</t>
  </si>
  <si>
    <t>510551</t>
  </si>
  <si>
    <t>510568</t>
  </si>
  <si>
    <t>Aportes a administradoras de riesgos profesionales arp</t>
  </si>
  <si>
    <t>510569</t>
  </si>
  <si>
    <t>Aportes a entidades promotoras de salud eps</t>
  </si>
  <si>
    <t>510570</t>
  </si>
  <si>
    <t>Aportes a fondos de pensiones y/o cesantías</t>
  </si>
  <si>
    <t>510572</t>
  </si>
  <si>
    <t>Aportes cajas de compensación familiar</t>
  </si>
  <si>
    <t>5110</t>
  </si>
  <si>
    <t>Honorarios</t>
  </si>
  <si>
    <t>511030</t>
  </si>
  <si>
    <t>Asesoría financiera</t>
  </si>
  <si>
    <t>5115</t>
  </si>
  <si>
    <t>Impuestos</t>
  </si>
  <si>
    <t>511540</t>
  </si>
  <si>
    <t>De vehículos</t>
  </si>
  <si>
    <t>5120</t>
  </si>
  <si>
    <t>Arrendamientos</t>
  </si>
  <si>
    <t>512010</t>
  </si>
  <si>
    <t>Construcciones y edificaciones</t>
  </si>
  <si>
    <t>5130</t>
  </si>
  <si>
    <t>Seguros</t>
  </si>
  <si>
    <t>513095</t>
  </si>
  <si>
    <t>Otros</t>
  </si>
  <si>
    <t>5135</t>
  </si>
  <si>
    <t>513505</t>
  </si>
  <si>
    <t>Aseo y vigilancia</t>
  </si>
  <si>
    <t>513510</t>
  </si>
  <si>
    <t>Temporales</t>
  </si>
  <si>
    <t>513525</t>
  </si>
  <si>
    <t>Acueducto y alcantarillado</t>
  </si>
  <si>
    <t>513530</t>
  </si>
  <si>
    <t>Energía eléctrica</t>
  </si>
  <si>
    <t>513535</t>
  </si>
  <si>
    <t>5140</t>
  </si>
  <si>
    <t>Gastos legales</t>
  </si>
  <si>
    <t>514010</t>
  </si>
  <si>
    <t>Registro mercantil</t>
  </si>
  <si>
    <t>514015</t>
  </si>
  <si>
    <t>Trámites y licencias</t>
  </si>
  <si>
    <t>5145</t>
  </si>
  <si>
    <t>Mantenimiento y reparaciones</t>
  </si>
  <si>
    <t>514515</t>
  </si>
  <si>
    <t>Maquinaria y equipo</t>
  </si>
  <si>
    <t>514520</t>
  </si>
  <si>
    <t>Equipo de oficina</t>
  </si>
  <si>
    <t>514540</t>
  </si>
  <si>
    <t>Flota y equipo de transportes</t>
  </si>
  <si>
    <t>5150</t>
  </si>
  <si>
    <t>Adecuación e instalación</t>
  </si>
  <si>
    <t>515095</t>
  </si>
  <si>
    <t>5195</t>
  </si>
  <si>
    <t>Diversos</t>
  </si>
  <si>
    <t>519520</t>
  </si>
  <si>
    <t>Gastos de representación y relaciones públicas</t>
  </si>
  <si>
    <t>519525</t>
  </si>
  <si>
    <t>Elementos de aseo y cafetería</t>
  </si>
  <si>
    <t>519530</t>
  </si>
  <si>
    <t>Utiles, papelería y fotocopias</t>
  </si>
  <si>
    <t>519535</t>
  </si>
  <si>
    <t>Combustibles Turbo</t>
  </si>
  <si>
    <t>519545</t>
  </si>
  <si>
    <t>Taxis y buses</t>
  </si>
  <si>
    <t>519555</t>
  </si>
  <si>
    <t>Peajes</t>
  </si>
  <si>
    <t>519560</t>
  </si>
  <si>
    <t>Casino y restaurante</t>
  </si>
  <si>
    <t>519565</t>
  </si>
  <si>
    <t>Parqueaderos</t>
  </si>
  <si>
    <t>519595</t>
  </si>
  <si>
    <t>53</t>
  </si>
  <si>
    <t>5305</t>
  </si>
  <si>
    <t>530505</t>
  </si>
  <si>
    <t>Gastos bancarios</t>
  </si>
  <si>
    <t>530515</t>
  </si>
  <si>
    <t>Comisiones</t>
  </si>
  <si>
    <t>530525</t>
  </si>
  <si>
    <t>4 X MIL</t>
  </si>
  <si>
    <t>530540</t>
  </si>
  <si>
    <t>5315</t>
  </si>
  <si>
    <t>Gastos extraordinarios</t>
  </si>
  <si>
    <t>531520</t>
  </si>
  <si>
    <t>Impuestos asumidos</t>
  </si>
  <si>
    <t>Total Ingresos :</t>
  </si>
  <si>
    <t>Total Egresos :</t>
  </si>
  <si>
    <t>VENTA EQUIPO</t>
  </si>
  <si>
    <t>Alquiler IVA</t>
  </si>
  <si>
    <t>TOTAL INGRESOS OPERATIVOS(RESTANDO ARRIENDOS)</t>
  </si>
  <si>
    <t>UTILIDADES ACUMULADAS</t>
  </si>
  <si>
    <t>Teléfono fijo y moviles</t>
  </si>
  <si>
    <t>Dotación y elementos seguridad  trabajadores</t>
  </si>
  <si>
    <t>Transportes, fletes y acarreos</t>
  </si>
  <si>
    <t>Notariales</t>
  </si>
  <si>
    <t>Equipo de computación y comunicación</t>
  </si>
  <si>
    <t>Combustible Mantenimiento</t>
  </si>
  <si>
    <t>Operacionales de ventas</t>
  </si>
  <si>
    <t>Descuentos comerciales condicionados</t>
  </si>
  <si>
    <t xml:space="preserve">Ajuste al peso </t>
  </si>
  <si>
    <t>DIVERSOS</t>
  </si>
  <si>
    <t xml:space="preserve">Insdustria y Comercio </t>
  </si>
  <si>
    <t>514005</t>
  </si>
  <si>
    <t>514095</t>
  </si>
  <si>
    <t>514525</t>
  </si>
  <si>
    <t>519540</t>
  </si>
  <si>
    <t>52</t>
  </si>
  <si>
    <t>5215</t>
  </si>
  <si>
    <t>521595</t>
  </si>
  <si>
    <t>5220</t>
  </si>
  <si>
    <t>522015</t>
  </si>
  <si>
    <t>5245</t>
  </si>
  <si>
    <t>524510</t>
  </si>
  <si>
    <t>530535</t>
  </si>
  <si>
    <t>511505</t>
  </si>
  <si>
    <t xml:space="preserve">A la propiedad raiz </t>
  </si>
  <si>
    <t xml:space="preserve">Otros </t>
  </si>
  <si>
    <t xml:space="preserve">otros </t>
  </si>
  <si>
    <t xml:space="preserve">Instalaciones electricas </t>
  </si>
  <si>
    <t>Arreglos ornamentales</t>
  </si>
  <si>
    <t xml:space="preserve">Reparaciones locativas </t>
  </si>
  <si>
    <t xml:space="preserve">Asesoria Juridica </t>
  </si>
  <si>
    <t>Correo portes y telegrama</t>
  </si>
  <si>
    <t xml:space="preserve">Afiliaciones </t>
  </si>
  <si>
    <t>AFILIACIONES Y CONTRIBUCIONES</t>
  </si>
  <si>
    <t xml:space="preserve">DIVERSOS </t>
  </si>
  <si>
    <t>Comisiones inmobiliaria</t>
  </si>
  <si>
    <t xml:space="preserve">Maquinaria y equipo </t>
  </si>
  <si>
    <t>ENERO 2019</t>
  </si>
  <si>
    <t>MES</t>
  </si>
  <si>
    <t>VENTAS FISCALES 2018</t>
  </si>
  <si>
    <t>VENTAS FISCALES 2017</t>
  </si>
  <si>
    <t>VENTAS SIN IVA 2018</t>
  </si>
  <si>
    <t>VENTAS SIN IVA 2017</t>
  </si>
  <si>
    <t>GASTOS  2018</t>
  </si>
  <si>
    <t>GASTOS 2017</t>
  </si>
  <si>
    <t xml:space="preserve">TOTAL </t>
  </si>
  <si>
    <t xml:space="preserve">ENERO </t>
  </si>
  <si>
    <t xml:space="preserve">FEBRERO </t>
  </si>
  <si>
    <t>MARZO</t>
  </si>
  <si>
    <t xml:space="preserve">ABRIL </t>
  </si>
  <si>
    <t xml:space="preserve">MAYO </t>
  </si>
  <si>
    <t xml:space="preserve">JUNIO </t>
  </si>
  <si>
    <t>JULIO</t>
  </si>
  <si>
    <t>AGOSTO</t>
  </si>
  <si>
    <t>SEPTIEMBRE</t>
  </si>
  <si>
    <t xml:space="preserve">OCTUBRE </t>
  </si>
  <si>
    <t xml:space="preserve">NOVIEMBRE </t>
  </si>
  <si>
    <t xml:space="preserve">DICIEMBRE </t>
  </si>
  <si>
    <t>DICIEMBRE</t>
  </si>
  <si>
    <t>UTILIDAD 2018</t>
  </si>
  <si>
    <t>UTILIDAD  2017</t>
  </si>
  <si>
    <t>VENTAS FISCALES 2019</t>
  </si>
  <si>
    <t>VENTAS SIN IVA 2019</t>
  </si>
  <si>
    <t>GASTOS  2019</t>
  </si>
  <si>
    <t>UTILIDAD 2019</t>
  </si>
  <si>
    <t xml:space="preserve">SITUACION FINANCIERA </t>
  </si>
  <si>
    <t>1</t>
  </si>
  <si>
    <t>ACTIVO</t>
  </si>
  <si>
    <t>11</t>
  </si>
  <si>
    <t>Efectivo y equivalentes al efectivo</t>
  </si>
  <si>
    <t>1105</t>
  </si>
  <si>
    <t>Caja</t>
  </si>
  <si>
    <t>110505</t>
  </si>
  <si>
    <t>Caja general</t>
  </si>
  <si>
    <t>1120</t>
  </si>
  <si>
    <t>Cuentas de ahorro</t>
  </si>
  <si>
    <t>112005</t>
  </si>
  <si>
    <t>Bancos</t>
  </si>
  <si>
    <t>11200501</t>
  </si>
  <si>
    <t>BBVA</t>
  </si>
  <si>
    <t>Davivienda</t>
  </si>
  <si>
    <t>13</t>
  </si>
  <si>
    <t>Cuentas por cobrar (instrumentos financieros)</t>
  </si>
  <si>
    <t>1305</t>
  </si>
  <si>
    <t>Clientes</t>
  </si>
  <si>
    <t>130505</t>
  </si>
  <si>
    <t>Nacionales</t>
  </si>
  <si>
    <t>Aurbana</t>
  </si>
  <si>
    <t>Dinoxcol</t>
  </si>
  <si>
    <t xml:space="preserve">Fenix Constructores </t>
  </si>
  <si>
    <t>130515</t>
  </si>
  <si>
    <t>Deudores facturacion sin iva</t>
  </si>
  <si>
    <t xml:space="preserve">Miriam Serrano </t>
  </si>
  <si>
    <t>1355</t>
  </si>
  <si>
    <t>Anticipo de impuestos y contribuciones o saldos a favor</t>
  </si>
  <si>
    <t>135505</t>
  </si>
  <si>
    <t>Anticipo de impuestos de renta y complementarios</t>
  </si>
  <si>
    <t>135515</t>
  </si>
  <si>
    <t>Retención en la fuente</t>
  </si>
  <si>
    <t>135517</t>
  </si>
  <si>
    <t>Impuesto a las ventas retenido</t>
  </si>
  <si>
    <t>13559006</t>
  </si>
  <si>
    <t>14</t>
  </si>
  <si>
    <t>Inventarios</t>
  </si>
  <si>
    <t>1435</t>
  </si>
  <si>
    <t>Mercancías no fabricadas por la empresa</t>
  </si>
  <si>
    <t>15</t>
  </si>
  <si>
    <t>Propiedades planta y equipo</t>
  </si>
  <si>
    <t>1512</t>
  </si>
  <si>
    <t>Maquinaria y equipos en montaje</t>
  </si>
  <si>
    <t>151210</t>
  </si>
  <si>
    <t>1516</t>
  </si>
  <si>
    <t>151605</t>
  </si>
  <si>
    <t xml:space="preserve">Apto sion </t>
  </si>
  <si>
    <t>151610</t>
  </si>
  <si>
    <t>Apto tamara</t>
  </si>
  <si>
    <t>1524</t>
  </si>
  <si>
    <t>152410</t>
  </si>
  <si>
    <t>Equipos</t>
  </si>
  <si>
    <t>1528</t>
  </si>
  <si>
    <t>152805</t>
  </si>
  <si>
    <t>Equipo de procesamiento de datos</t>
  </si>
  <si>
    <t>1540</t>
  </si>
  <si>
    <t>Flota y equipo de transporte</t>
  </si>
  <si>
    <t>154008</t>
  </si>
  <si>
    <t>Camiones, volquetas y furgones</t>
  </si>
  <si>
    <t>1592</t>
  </si>
  <si>
    <t>Depreciación acumulada</t>
  </si>
  <si>
    <t>DEPRECIACION VEHICULO</t>
  </si>
  <si>
    <t>EQUIPO DE OFICINA</t>
  </si>
  <si>
    <t>EQUIPO DE CONSTRUCCION</t>
  </si>
  <si>
    <t>EQUIPO DE COMPUTO</t>
  </si>
  <si>
    <t>16</t>
  </si>
  <si>
    <t>Intangibles</t>
  </si>
  <si>
    <t>1635</t>
  </si>
  <si>
    <t>Licencias</t>
  </si>
  <si>
    <t xml:space="preserve">TOTAL ACTIVO </t>
  </si>
  <si>
    <t>2335</t>
  </si>
  <si>
    <t>Costos y gastos por pagar</t>
  </si>
  <si>
    <t>233525</t>
  </si>
  <si>
    <t>2365</t>
  </si>
  <si>
    <t>236525</t>
  </si>
  <si>
    <t>2370</t>
  </si>
  <si>
    <t>Retenciones y aportes de nómina</t>
  </si>
  <si>
    <t>237005</t>
  </si>
  <si>
    <t>Aportes a entidades promotoras de salud EPS</t>
  </si>
  <si>
    <t>237006</t>
  </si>
  <si>
    <t>237010</t>
  </si>
  <si>
    <t>Aportes al i.c.b.f, sena y cajas compensación</t>
  </si>
  <si>
    <t>2380</t>
  </si>
  <si>
    <t>Acreedores varios</t>
  </si>
  <si>
    <t>238030</t>
  </si>
  <si>
    <t>Fondos de cesantías y/o pensiones</t>
  </si>
  <si>
    <t>24</t>
  </si>
  <si>
    <t>Impuestos, gravámenes y tasas</t>
  </si>
  <si>
    <t>2408</t>
  </si>
  <si>
    <t>Impuesto sobre las ventas por pagar</t>
  </si>
  <si>
    <t>26</t>
  </si>
  <si>
    <t>Provisión de pasivos</t>
  </si>
  <si>
    <t>2610</t>
  </si>
  <si>
    <t>Para obligaciones laborales</t>
  </si>
  <si>
    <t>261005</t>
  </si>
  <si>
    <t>261010</t>
  </si>
  <si>
    <t>PROVEEDORES</t>
  </si>
  <si>
    <t>Proveedores por debajo</t>
  </si>
  <si>
    <t xml:space="preserve">TOTAL PASIVO </t>
  </si>
  <si>
    <t>3</t>
  </si>
  <si>
    <t>PATRIMONIO</t>
  </si>
  <si>
    <t>31</t>
  </si>
  <si>
    <t>Capital social</t>
  </si>
  <si>
    <t>3105</t>
  </si>
  <si>
    <t>Capital suscrito y pagado</t>
  </si>
  <si>
    <t>310505</t>
  </si>
  <si>
    <t>Capital autorizado</t>
  </si>
  <si>
    <t>36</t>
  </si>
  <si>
    <t>Resultados del ejercicio</t>
  </si>
  <si>
    <t>3605</t>
  </si>
  <si>
    <t>Utilidad del ejercicio</t>
  </si>
  <si>
    <t>360501</t>
  </si>
  <si>
    <t xml:space="preserve">UTILIDAD DEL EJERCICIO ANTERIORES </t>
  </si>
  <si>
    <t>Utilidad de ejercicios anteriores</t>
  </si>
  <si>
    <t xml:space="preserve">TOTAL PATRIMONIO </t>
  </si>
  <si>
    <t>TOTAL PATRIMONIO  Y PASIVO</t>
  </si>
  <si>
    <t>UTILIDAD ACUMULADA DEL CUATRIMESTRE</t>
  </si>
  <si>
    <t xml:space="preserve">industria y comercio </t>
  </si>
  <si>
    <t>Retención en la fuente vtas</t>
  </si>
  <si>
    <t>Autorretencion de renta</t>
  </si>
  <si>
    <t>MAYO 2019</t>
  </si>
  <si>
    <t>FEBRERO 2019</t>
  </si>
  <si>
    <t>MARZO 2019</t>
  </si>
  <si>
    <t>ABRIL 2019</t>
  </si>
  <si>
    <t>JUNIO 2019</t>
  </si>
  <si>
    <t>JULIO 2019</t>
  </si>
  <si>
    <t>AGOSTO 2019</t>
  </si>
  <si>
    <t>EXOGENA</t>
  </si>
  <si>
    <t xml:space="preserve">Horas extras </t>
  </si>
  <si>
    <t xml:space="preserve">servicios </t>
  </si>
  <si>
    <t>inmuebles</t>
  </si>
  <si>
    <t>intereses prestamos socios</t>
  </si>
  <si>
    <t xml:space="preserve"> </t>
  </si>
  <si>
    <t>Gonzales Bohoruqez</t>
  </si>
  <si>
    <t>leidy carolina saavedra</t>
  </si>
  <si>
    <t>Olga gomez (metalmartinez)</t>
  </si>
  <si>
    <t>Liquidez</t>
  </si>
  <si>
    <t>Activos Circulantes</t>
  </si>
  <si>
    <t>Pasivos Circulantes</t>
  </si>
  <si>
    <t>Razón de Endeudamiento</t>
  </si>
  <si>
    <t>Deudas Totales</t>
  </si>
  <si>
    <t>Activos totales</t>
  </si>
  <si>
    <t>Margen de utilidad</t>
  </si>
  <si>
    <t>Utilidad Neta</t>
  </si>
  <si>
    <t>Ventas</t>
  </si>
  <si>
    <t xml:space="preserve">Rendimiento sobre los activos totales (RAT) </t>
  </si>
  <si>
    <t>Razones Financieras</t>
  </si>
  <si>
    <t>Prueba Acida</t>
  </si>
  <si>
    <t>Activos Circulantes - Inventarios</t>
  </si>
  <si>
    <t>Administración de Activos</t>
  </si>
  <si>
    <t>Rotación Activos Fijos</t>
  </si>
  <si>
    <t>Activos Fijos Netos</t>
  </si>
  <si>
    <t>Rotación Activos Totales</t>
  </si>
  <si>
    <t>Activos Totales</t>
  </si>
  <si>
    <t>Administración de Deudas</t>
  </si>
  <si>
    <t>Rentabilidad</t>
  </si>
  <si>
    <t xml:space="preserve">UTILIDAD 2018 </t>
  </si>
  <si>
    <t xml:space="preserve">UTILIDAD 2019 </t>
  </si>
  <si>
    <t>la empresa de los activos debe el 0,01</t>
  </si>
  <si>
    <t>SEPTIEMBRE  2019</t>
  </si>
  <si>
    <t>Mov. 02/01/2019 a 31/01/2019</t>
  </si>
  <si>
    <t>Saldos a 31/01/2019</t>
  </si>
  <si>
    <t>Mov. 01/02/2019 a 28/02/2019</t>
  </si>
  <si>
    <t>Saldos a 28/02/2019</t>
  </si>
  <si>
    <t>Mov. 01/03/2019 a 31/03/2019</t>
  </si>
  <si>
    <t>Saldos a 31/03/2019</t>
  </si>
  <si>
    <t>Mov. 01/04/2019 a 30/04/2019</t>
  </si>
  <si>
    <t>Saldos a 30/04/2019</t>
  </si>
  <si>
    <t>Mov. 02/05/2019 a 31/05/2019</t>
  </si>
  <si>
    <t>Mov. 01/06/2019 a 30/06/2019</t>
  </si>
  <si>
    <t>Saldos a 28/06/2019</t>
  </si>
  <si>
    <t>Mov. 01/07/2019 a 31/07/2019</t>
  </si>
  <si>
    <t>Saldos a 31/07/2019</t>
  </si>
  <si>
    <t>Mov. 01/08/2019 a 30/08/2019</t>
  </si>
  <si>
    <t>Saldos a 30/08/2019</t>
  </si>
  <si>
    <t>OCTUBRE 2019</t>
  </si>
  <si>
    <t>NOVIEMBRE 2019</t>
  </si>
  <si>
    <t>DICIEMBRE 2019</t>
  </si>
  <si>
    <t>Depreciacion</t>
  </si>
  <si>
    <t>construcciones y edificaciones</t>
  </si>
  <si>
    <t>maquinaria y equipo</t>
  </si>
  <si>
    <t>equipo de oficina</t>
  </si>
  <si>
    <t>equipo de computacion</t>
  </si>
  <si>
    <t>flota y equipo de transporte</t>
  </si>
  <si>
    <t>ADECUACIONES E INSTALACIONES</t>
  </si>
  <si>
    <t>Reparaciones locativas</t>
  </si>
  <si>
    <t xml:space="preserve">EQUIORIENTE PRESUPUESTO </t>
  </si>
  <si>
    <t>INGRESO MENSUAL</t>
  </si>
  <si>
    <t xml:space="preserve">INGRESO ANUAL </t>
  </si>
  <si>
    <t xml:space="preserve">VENTAS CON IVA </t>
  </si>
  <si>
    <t xml:space="preserve">VENTAS SIN IVA </t>
  </si>
  <si>
    <t>total ingresos</t>
  </si>
  <si>
    <t>GASTO MENSUAL</t>
  </si>
  <si>
    <t xml:space="preserve">GASTO ANUAL </t>
  </si>
  <si>
    <t xml:space="preserve">Bono de alimentacion </t>
  </si>
  <si>
    <t xml:space="preserve">Dotacion </t>
  </si>
  <si>
    <t>Prestaciones Sociales</t>
  </si>
  <si>
    <t xml:space="preserve">Parafiscales </t>
  </si>
  <si>
    <t>HONORARIOS CONTADOR</t>
  </si>
  <si>
    <t xml:space="preserve">EXOGENA </t>
  </si>
  <si>
    <t xml:space="preserve">IMPUESTOS </t>
  </si>
  <si>
    <t xml:space="preserve">Vehiculos </t>
  </si>
  <si>
    <t xml:space="preserve">ARRENDAMIENTOS </t>
  </si>
  <si>
    <t>Bodega</t>
  </si>
  <si>
    <t xml:space="preserve">SEGURO </t>
  </si>
  <si>
    <t xml:space="preserve">Vehiculo </t>
  </si>
  <si>
    <t>SERVICIO GENERAL DE ASEO</t>
  </si>
  <si>
    <t xml:space="preserve">TEMPORALES </t>
  </si>
  <si>
    <t xml:space="preserve">ACUEDUCTO </t>
  </si>
  <si>
    <t>ELECTRIFICADORA DE SANTANDER</t>
  </si>
  <si>
    <t>TELEFONIA FIJA</t>
  </si>
  <si>
    <t xml:space="preserve">CELULAR </t>
  </si>
  <si>
    <t>TRANSPORTES Y FLETES</t>
  </si>
  <si>
    <t xml:space="preserve">AFILIACION A SERVICIO PUBLICO </t>
  </si>
  <si>
    <t xml:space="preserve">GASTOS LEGALES </t>
  </si>
  <si>
    <t xml:space="preserve">Registro mercantil </t>
  </si>
  <si>
    <t xml:space="preserve">Impuesto de industria y comercio </t>
  </si>
  <si>
    <t>MANTENIMIENTO</t>
  </si>
  <si>
    <t>PAPELERIA Y FOTOCOPIAS</t>
  </si>
  <si>
    <t xml:space="preserve">ELEMENTOS DE ASEO </t>
  </si>
  <si>
    <t>FLETES ENCOMIENDAS Y DEMAS</t>
  </si>
  <si>
    <t>COMBUSTIBLE</t>
  </si>
  <si>
    <t>TAXIS BUSES  Y DOMICILIOS</t>
  </si>
  <si>
    <t>COMBUSTIBLE MANTENIMIENTO</t>
  </si>
  <si>
    <t xml:space="preserve">ARRENDAMIENTO MAQUINARIA </t>
  </si>
  <si>
    <t xml:space="preserve">GASTOS FINANCIEROS </t>
  </si>
  <si>
    <t>TOTAL</t>
  </si>
  <si>
    <t>A 31 DE DICIEMBRE DE 2019</t>
  </si>
  <si>
    <t>CDT</t>
  </si>
  <si>
    <t>Cdt</t>
  </si>
  <si>
    <t>CUENTAS POR COBRAR A SOCIOS</t>
  </si>
  <si>
    <t>John Jaimes</t>
  </si>
  <si>
    <t xml:space="preserve">MAQUINARIA Y EQUIPO </t>
  </si>
  <si>
    <t xml:space="preserve">Cuentas por cobrar </t>
  </si>
  <si>
    <t xml:space="preserve">Inmboliaria ajc </t>
  </si>
  <si>
    <t>CONSTRUCASA</t>
  </si>
  <si>
    <t xml:space="preserve">Consorcio san Ignacio </t>
  </si>
  <si>
    <t>Autorretencion</t>
  </si>
  <si>
    <t xml:space="preserve">Tecnicomecanica </t>
  </si>
  <si>
    <t xml:space="preserve">Industria y comercio </t>
  </si>
  <si>
    <t>Mov. 01/09/2019 a 31/09/2019</t>
  </si>
  <si>
    <t>Saldos a 31/09/2019</t>
  </si>
  <si>
    <t>Mov. 01/10/2019 a 31/10/2019</t>
  </si>
  <si>
    <t>Saldos a 31/10/2019</t>
  </si>
  <si>
    <t>Mov. 01/11/2019 a 30/11/2019</t>
  </si>
  <si>
    <t>Saldos a 30/11/2019</t>
  </si>
  <si>
    <t>Mov. 01/12/2019 a 30/12/2019</t>
  </si>
  <si>
    <t>Saldos a 31/12/2019</t>
  </si>
  <si>
    <t>la empresa puede utilizarr el 2,57% de sus activos para generar ventas</t>
  </si>
  <si>
    <t>el margen de utilidad es del 11,7%</t>
  </si>
  <si>
    <t>la empresa roto su activo totales el 0,21</t>
  </si>
  <si>
    <t>la empresa roto su activo el 0,34</t>
  </si>
  <si>
    <t>con el activo que tenemos hay el 62,59% para pagar el pasivo</t>
  </si>
  <si>
    <t>La empresa cuenta con el 84% de respaldo de los activos</t>
  </si>
  <si>
    <t xml:space="preserve">UTILIDAD MENSUAL </t>
  </si>
  <si>
    <t>ENERO</t>
  </si>
  <si>
    <t xml:space="preserve">MARZO </t>
  </si>
  <si>
    <t xml:space="preserve">JULIO </t>
  </si>
  <si>
    <t>NOVIEMBRE</t>
  </si>
  <si>
    <t>OCTUBRE</t>
  </si>
  <si>
    <t>INFORMES FINAL AÑO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</si>
</sst>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5" formatCode="&quot;$&quot;\ #,##0;\-&quot;$&quot;\ #,##0"/>
    <numFmt numFmtId="7" formatCode="&quot;$&quot;\ #,##0.00;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&quot;$&quot;\ #,##0.00"/>
    <numFmt numFmtId="166" formatCode="_(&quot;$&quot;\ * #,##0_);_(&quot;$&quot;\ * \(#,##0\);_(&quot;$&quot;\ * &quot;-&quot;??_);_(@_)"/>
    <numFmt numFmtId="167" formatCode="_(* #,##0_);_(* \(#,##0\);_(* &quot;-&quot;??_);_(@_)"/>
    <numFmt numFmtId="168" formatCode="&quot;$&quot;#,##0.00;\-&quot;$&quot;#,##0.00"/>
    <numFmt numFmtId="169" formatCode="_ &quot;$&quot;\ * #,##0.00_ ;_ &quot;$&quot;\ * \-#,##0.00_ ;_ &quot;$&quot;\ * &quot;-&quot;??_ ;_ @_ 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MS Sans Serif"/>
      <family val="2"/>
    </font>
    <font>
      <b/>
      <sz val="8"/>
      <name val="MS Sans Serif"/>
      <family val="2"/>
    </font>
    <font>
      <b/>
      <sz val="10"/>
      <name val="Arial"/>
      <family val="2"/>
    </font>
    <font>
      <b/>
      <sz val="16"/>
      <name val="Arial"/>
      <family val="2"/>
    </font>
    <font>
      <sz val="8"/>
      <color theme="0"/>
      <name val="MS Sans Serif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indexed="10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sz val="12"/>
      <color indexed="8"/>
      <name val="Calibri"/>
      <family val="2"/>
    </font>
    <font>
      <b/>
      <sz val="12"/>
      <color indexed="8"/>
      <name val="Arial"/>
      <family val="2"/>
    </font>
    <font>
      <b/>
      <sz val="10"/>
      <name val="MS Sans Serif"/>
      <family val="2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u val="singleAccounting"/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1"/>
      </top>
      <bottom style="thin">
        <color indexed="61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1"/>
      </bottom>
      <diagonal/>
    </border>
    <border>
      <left style="medium">
        <color indexed="64"/>
      </left>
      <right style="thin">
        <color indexed="63"/>
      </right>
      <top style="medium">
        <color indexed="64"/>
      </top>
      <bottom style="thin">
        <color indexed="63"/>
      </bottom>
      <diagonal/>
    </border>
    <border>
      <left style="medium">
        <color indexed="64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4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thin">
        <color indexed="61"/>
      </top>
      <bottom style="thin">
        <color indexed="61"/>
      </bottom>
      <diagonal/>
    </border>
    <border>
      <left/>
      <right style="medium">
        <color indexed="64"/>
      </right>
      <top style="thin">
        <color indexed="61"/>
      </top>
      <bottom style="thin">
        <color indexed="61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1"/>
      </top>
      <bottom style="medium">
        <color indexed="64"/>
      </bottom>
      <diagonal/>
    </border>
    <border>
      <left/>
      <right/>
      <top style="thin">
        <color indexed="6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3"/>
      </right>
      <top style="medium">
        <color indexed="64"/>
      </top>
      <bottom style="thin">
        <color indexed="63"/>
      </bottom>
      <diagonal/>
    </border>
    <border>
      <left style="thin">
        <color indexed="63"/>
      </left>
      <right/>
      <top style="medium">
        <color indexed="64"/>
      </top>
      <bottom style="thin">
        <color indexed="63"/>
      </bottom>
      <diagonal/>
    </border>
    <border>
      <left/>
      <right style="medium">
        <color indexed="64"/>
      </right>
      <top style="medium">
        <color indexed="64"/>
      </top>
      <bottom style="thin">
        <color indexed="63"/>
      </bottom>
      <diagonal/>
    </border>
    <border>
      <left/>
      <right/>
      <top style="medium">
        <color indexed="64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3"/>
      </left>
      <right style="medium">
        <color indexed="64"/>
      </right>
      <top style="medium">
        <color indexed="64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4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9" fillId="0" borderId="0">
      <alignment vertical="top"/>
    </xf>
    <xf numFmtId="0" fontId="23" fillId="0" borderId="0"/>
    <xf numFmtId="169" fontId="23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09">
    <xf numFmtId="0" fontId="0" fillId="0" borderId="0" xfId="0"/>
    <xf numFmtId="0" fontId="1" fillId="0" borderId="0" xfId="1"/>
    <xf numFmtId="0" fontId="1" fillId="0" borderId="10" xfId="1" applyBorder="1"/>
    <xf numFmtId="0" fontId="1" fillId="0" borderId="12" xfId="1" applyBorder="1"/>
    <xf numFmtId="0" fontId="1" fillId="3" borderId="13" xfId="1" applyFill="1" applyBorder="1"/>
    <xf numFmtId="165" fontId="0" fillId="0" borderId="0" xfId="0" applyNumberFormat="1"/>
    <xf numFmtId="7" fontId="0" fillId="0" borderId="0" xfId="0" applyNumberFormat="1"/>
    <xf numFmtId="7" fontId="2" fillId="0" borderId="0" xfId="1" applyNumberFormat="1" applyFont="1" applyAlignment="1">
      <alignment horizontal="right" vertical="top" wrapText="1"/>
    </xf>
    <xf numFmtId="0" fontId="6" fillId="2" borderId="6" xfId="1" applyFont="1" applyFill="1" applyBorder="1" applyAlignment="1">
      <alignment horizontal="left" vertical="top" wrapText="1"/>
    </xf>
    <xf numFmtId="0" fontId="6" fillId="2" borderId="7" xfId="1" applyFont="1" applyFill="1" applyBorder="1" applyAlignment="1">
      <alignment horizontal="left" vertical="top" wrapText="1"/>
    </xf>
    <xf numFmtId="0" fontId="6" fillId="2" borderId="1" xfId="1" applyFont="1" applyFill="1" applyBorder="1" applyAlignment="1">
      <alignment horizontal="right" vertical="top" wrapText="1"/>
    </xf>
    <xf numFmtId="0" fontId="6" fillId="2" borderId="3" xfId="1" applyFont="1" applyFill="1" applyBorder="1" applyAlignment="1">
      <alignment horizontal="right" vertical="top" wrapText="1"/>
    </xf>
    <xf numFmtId="0" fontId="6" fillId="2" borderId="6" xfId="1" applyFont="1" applyFill="1" applyBorder="1" applyAlignment="1">
      <alignment horizontal="right" vertical="top" wrapText="1"/>
    </xf>
    <xf numFmtId="7" fontId="2" fillId="3" borderId="2" xfId="1" applyNumberFormat="1" applyFont="1" applyFill="1" applyBorder="1" applyAlignment="1">
      <alignment horizontal="right" vertical="top" wrapText="1"/>
    </xf>
    <xf numFmtId="0" fontId="2" fillId="0" borderId="8" xfId="1" applyFont="1" applyBorder="1" applyAlignment="1">
      <alignment horizontal="left" vertical="top" wrapText="1"/>
    </xf>
    <xf numFmtId="0" fontId="2" fillId="0" borderId="9" xfId="1" applyFont="1" applyBorder="1" applyAlignment="1">
      <alignment horizontal="left" vertical="top" wrapText="1"/>
    </xf>
    <xf numFmtId="7" fontId="2" fillId="0" borderId="8" xfId="1" applyNumberFormat="1" applyFont="1" applyBorder="1" applyAlignment="1">
      <alignment horizontal="right" vertical="top" wrapText="1"/>
    </xf>
    <xf numFmtId="7" fontId="2" fillId="0" borderId="2" xfId="1" applyNumberFormat="1" applyFont="1" applyBorder="1" applyAlignment="1">
      <alignment horizontal="right" vertical="top" wrapText="1"/>
    </xf>
    <xf numFmtId="7" fontId="2" fillId="4" borderId="2" xfId="1" applyNumberFormat="1" applyFont="1" applyFill="1" applyBorder="1" applyAlignment="1">
      <alignment horizontal="right" vertical="top" wrapText="1"/>
    </xf>
    <xf numFmtId="0" fontId="2" fillId="0" borderId="9" xfId="1" applyFont="1" applyBorder="1" applyAlignment="1">
      <alignment horizontal="center" vertical="top" wrapText="1"/>
    </xf>
    <xf numFmtId="0" fontId="2" fillId="4" borderId="8" xfId="1" applyFont="1" applyFill="1" applyBorder="1" applyAlignment="1">
      <alignment horizontal="left" vertical="top" wrapText="1"/>
    </xf>
    <xf numFmtId="0" fontId="3" fillId="0" borderId="9" xfId="1" applyFont="1" applyBorder="1" applyAlignment="1">
      <alignment horizontal="left" vertical="top" wrapText="1"/>
    </xf>
    <xf numFmtId="7" fontId="2" fillId="5" borderId="2" xfId="1" applyNumberFormat="1" applyFont="1" applyFill="1" applyBorder="1" applyAlignment="1">
      <alignment horizontal="right" vertical="top" wrapText="1"/>
    </xf>
    <xf numFmtId="7" fontId="2" fillId="6" borderId="8" xfId="1" applyNumberFormat="1" applyFont="1" applyFill="1" applyBorder="1" applyAlignment="1">
      <alignment horizontal="right" vertical="top" wrapText="1"/>
    </xf>
    <xf numFmtId="7" fontId="2" fillId="0" borderId="4" xfId="1" applyNumberFormat="1" applyFont="1" applyBorder="1" applyAlignment="1">
      <alignment horizontal="right" vertical="top" wrapText="1"/>
    </xf>
    <xf numFmtId="0" fontId="2" fillId="0" borderId="12" xfId="1" applyFont="1" applyBorder="1" applyAlignment="1">
      <alignment horizontal="left" vertical="top" wrapText="1"/>
    </xf>
    <xf numFmtId="0" fontId="2" fillId="3" borderId="14" xfId="1" applyFont="1" applyFill="1" applyBorder="1" applyAlignment="1">
      <alignment horizontal="left" vertical="top" wrapText="1"/>
    </xf>
    <xf numFmtId="7" fontId="2" fillId="3" borderId="15" xfId="1" applyNumberFormat="1" applyFont="1" applyFill="1" applyBorder="1" applyAlignment="1">
      <alignment horizontal="right" vertical="top" wrapText="1"/>
    </xf>
    <xf numFmtId="0" fontId="0" fillId="0" borderId="0" xfId="0" applyFill="1"/>
    <xf numFmtId="7" fontId="2" fillId="0" borderId="8" xfId="1" applyNumberFormat="1" applyFont="1" applyFill="1" applyBorder="1" applyAlignment="1">
      <alignment horizontal="right" vertical="top" wrapText="1"/>
    </xf>
    <xf numFmtId="7" fontId="2" fillId="0" borderId="2" xfId="1" applyNumberFormat="1" applyFont="1" applyFill="1" applyBorder="1" applyAlignment="1">
      <alignment horizontal="right" vertical="top" wrapText="1"/>
    </xf>
    <xf numFmtId="0" fontId="2" fillId="0" borderId="9" xfId="1" applyFont="1" applyBorder="1" applyAlignment="1">
      <alignment horizontal="center" vertical="top" wrapText="1"/>
    </xf>
    <xf numFmtId="0" fontId="6" fillId="2" borderId="18" xfId="1" applyFont="1" applyFill="1" applyBorder="1" applyAlignment="1">
      <alignment horizontal="center" vertical="top" wrapText="1"/>
    </xf>
    <xf numFmtId="0" fontId="2" fillId="0" borderId="8" xfId="1" applyFont="1" applyFill="1" applyBorder="1" applyAlignment="1">
      <alignment horizontal="left" vertical="top" wrapText="1"/>
    </xf>
    <xf numFmtId="0" fontId="2" fillId="0" borderId="9" xfId="1" applyFont="1" applyFill="1" applyBorder="1" applyAlignment="1">
      <alignment horizontal="left" vertical="top" wrapText="1"/>
    </xf>
    <xf numFmtId="0" fontId="2" fillId="0" borderId="9" xfId="1" applyFont="1" applyFill="1" applyBorder="1" applyAlignment="1">
      <alignment horizontal="center" vertical="top" wrapText="1"/>
    </xf>
    <xf numFmtId="0" fontId="3" fillId="0" borderId="9" xfId="1" applyFont="1" applyFill="1" applyBorder="1" applyAlignment="1">
      <alignment horizontal="left" vertical="top" wrapText="1"/>
    </xf>
    <xf numFmtId="0" fontId="2" fillId="7" borderId="8" xfId="1" applyFont="1" applyFill="1" applyBorder="1" applyAlignment="1">
      <alignment horizontal="left" vertical="top" wrapText="1"/>
    </xf>
    <xf numFmtId="0" fontId="2" fillId="7" borderId="9" xfId="1" applyFont="1" applyFill="1" applyBorder="1" applyAlignment="1">
      <alignment horizontal="left" vertical="top" wrapText="1"/>
    </xf>
    <xf numFmtId="7" fontId="2" fillId="7" borderId="2" xfId="1" applyNumberFormat="1" applyFont="1" applyFill="1" applyBorder="1" applyAlignment="1">
      <alignment horizontal="right" vertical="top" wrapText="1"/>
    </xf>
    <xf numFmtId="0" fontId="2" fillId="7" borderId="9" xfId="1" applyFont="1" applyFill="1" applyBorder="1" applyAlignment="1">
      <alignment horizontal="center" vertical="top" wrapText="1"/>
    </xf>
    <xf numFmtId="7" fontId="2" fillId="7" borderId="8" xfId="1" applyNumberFormat="1" applyFont="1" applyFill="1" applyBorder="1" applyAlignment="1">
      <alignment horizontal="right" vertical="top" wrapText="1"/>
    </xf>
    <xf numFmtId="7" fontId="2" fillId="8" borderId="2" xfId="1" applyNumberFormat="1" applyFont="1" applyFill="1" applyBorder="1" applyAlignment="1">
      <alignment horizontal="right" vertical="top" wrapText="1"/>
    </xf>
    <xf numFmtId="0" fontId="1" fillId="0" borderId="26" xfId="1" applyBorder="1"/>
    <xf numFmtId="0" fontId="1" fillId="0" borderId="25" xfId="1" applyBorder="1"/>
    <xf numFmtId="0" fontId="1" fillId="0" borderId="27" xfId="1" applyBorder="1"/>
    <xf numFmtId="3" fontId="3" fillId="0" borderId="16" xfId="1" applyNumberFormat="1" applyFont="1" applyBorder="1" applyAlignment="1">
      <alignment vertical="top" wrapText="1"/>
    </xf>
    <xf numFmtId="3" fontId="3" fillId="0" borderId="28" xfId="1" applyNumberFormat="1" applyFont="1" applyBorder="1" applyAlignment="1">
      <alignment vertical="top" wrapText="1"/>
    </xf>
    <xf numFmtId="3" fontId="3" fillId="0" borderId="29" xfId="1" applyNumberFormat="1" applyFont="1" applyBorder="1" applyAlignment="1">
      <alignment vertical="top" wrapText="1"/>
    </xf>
    <xf numFmtId="3" fontId="8" fillId="0" borderId="30" xfId="2" applyNumberFormat="1" applyFont="1" applyBorder="1"/>
    <xf numFmtId="3" fontId="3" fillId="0" borderId="31" xfId="1" applyNumberFormat="1" applyFont="1" applyBorder="1" applyAlignment="1">
      <alignment horizontal="center" vertical="top" wrapText="1"/>
    </xf>
    <xf numFmtId="3" fontId="3" fillId="0" borderId="32" xfId="1" applyNumberFormat="1" applyFont="1" applyBorder="1" applyAlignment="1">
      <alignment horizontal="center" vertical="top" wrapText="1"/>
    </xf>
    <xf numFmtId="166" fontId="8" fillId="0" borderId="30" xfId="4" applyNumberFormat="1" applyFont="1" applyBorder="1"/>
    <xf numFmtId="3" fontId="3" fillId="0" borderId="33" xfId="1" applyNumberFormat="1" applyFont="1" applyBorder="1" applyAlignment="1">
      <alignment horizontal="center" vertical="top" wrapText="1"/>
    </xf>
    <xf numFmtId="164" fontId="0" fillId="0" borderId="0" xfId="3" applyFont="1"/>
    <xf numFmtId="0" fontId="1" fillId="0" borderId="13" xfId="1" applyBorder="1"/>
    <xf numFmtId="0" fontId="1" fillId="0" borderId="34" xfId="1" applyBorder="1"/>
    <xf numFmtId="0" fontId="1" fillId="0" borderId="35" xfId="1" applyBorder="1"/>
    <xf numFmtId="3" fontId="3" fillId="0" borderId="36" xfId="1" applyNumberFormat="1" applyFont="1" applyBorder="1" applyAlignment="1">
      <alignment vertical="top" wrapText="1"/>
    </xf>
    <xf numFmtId="3" fontId="3" fillId="0" borderId="37" xfId="1" applyNumberFormat="1" applyFont="1" applyBorder="1" applyAlignment="1">
      <alignment vertical="top" wrapText="1"/>
    </xf>
    <xf numFmtId="3" fontId="3" fillId="0" borderId="38" xfId="1" applyNumberFormat="1" applyFont="1" applyBorder="1" applyAlignment="1">
      <alignment vertical="top" wrapText="1"/>
    </xf>
    <xf numFmtId="3" fontId="0" fillId="0" borderId="30" xfId="3" applyNumberFormat="1" applyFont="1" applyBorder="1"/>
    <xf numFmtId="3" fontId="0" fillId="0" borderId="39" xfId="3" applyNumberFormat="1" applyFont="1" applyBorder="1"/>
    <xf numFmtId="3" fontId="1" fillId="0" borderId="40" xfId="1" applyNumberFormat="1" applyBorder="1"/>
    <xf numFmtId="3" fontId="1" fillId="0" borderId="41" xfId="1" applyNumberFormat="1" applyBorder="1"/>
    <xf numFmtId="3" fontId="3" fillId="0" borderId="0" xfId="1" applyNumberFormat="1" applyFont="1" applyAlignment="1">
      <alignment vertical="top" wrapText="1"/>
    </xf>
    <xf numFmtId="167" fontId="8" fillId="0" borderId="30" xfId="2" applyNumberFormat="1" applyFont="1" applyBorder="1"/>
    <xf numFmtId="3" fontId="2" fillId="0" borderId="0" xfId="1" applyNumberFormat="1" applyFont="1" applyAlignment="1">
      <alignment horizontal="right" vertical="top" wrapText="1"/>
    </xf>
    <xf numFmtId="167" fontId="8" fillId="0" borderId="0" xfId="2" applyNumberFormat="1" applyFont="1"/>
    <xf numFmtId="167" fontId="8" fillId="0" borderId="42" xfId="2" applyNumberFormat="1" applyFont="1" applyBorder="1"/>
    <xf numFmtId="167" fontId="8" fillId="0" borderId="43" xfId="2" applyNumberFormat="1" applyFont="1" applyBorder="1"/>
    <xf numFmtId="3" fontId="2" fillId="0" borderId="42" xfId="1" applyNumberFormat="1" applyFont="1" applyBorder="1" applyAlignment="1">
      <alignment horizontal="right" vertical="top" wrapText="1"/>
    </xf>
    <xf numFmtId="167" fontId="8" fillId="0" borderId="44" xfId="2" applyNumberFormat="1" applyFont="1" applyBorder="1"/>
    <xf numFmtId="168" fontId="1" fillId="0" borderId="40" xfId="1" applyNumberFormat="1" applyBorder="1"/>
    <xf numFmtId="168" fontId="1" fillId="0" borderId="0" xfId="1" applyNumberFormat="1"/>
    <xf numFmtId="3" fontId="2" fillId="0" borderId="30" xfId="1" applyNumberFormat="1" applyFont="1" applyBorder="1" applyAlignment="1">
      <alignment horizontal="right" vertical="top" wrapText="1"/>
    </xf>
    <xf numFmtId="3" fontId="2" fillId="0" borderId="0" xfId="1" applyNumberFormat="1" applyFont="1" applyBorder="1" applyAlignment="1">
      <alignment horizontal="right" vertical="top" wrapText="1"/>
    </xf>
    <xf numFmtId="3" fontId="3" fillId="0" borderId="30" xfId="1" applyNumberFormat="1" applyFont="1" applyBorder="1" applyAlignment="1">
      <alignment horizontal="center" vertical="top" wrapText="1"/>
    </xf>
    <xf numFmtId="7" fontId="2" fillId="0" borderId="30" xfId="1" applyNumberFormat="1" applyFont="1" applyBorder="1" applyAlignment="1">
      <alignment horizontal="right" vertical="top" wrapText="1"/>
    </xf>
    <xf numFmtId="7" fontId="1" fillId="0" borderId="0" xfId="1" applyNumberFormat="1"/>
    <xf numFmtId="3" fontId="3" fillId="0" borderId="46" xfId="1" applyNumberFormat="1" applyFont="1" applyBorder="1" applyAlignment="1">
      <alignment vertical="top" wrapText="1"/>
    </xf>
    <xf numFmtId="3" fontId="8" fillId="0" borderId="45" xfId="2" applyNumberFormat="1" applyFont="1" applyBorder="1"/>
    <xf numFmtId="3" fontId="3" fillId="0" borderId="0" xfId="1" applyNumberFormat="1" applyFont="1" applyBorder="1" applyAlignment="1">
      <alignment vertical="top" wrapText="1"/>
    </xf>
    <xf numFmtId="3" fontId="0" fillId="0" borderId="0" xfId="3" applyNumberFormat="1" applyFont="1" applyBorder="1"/>
    <xf numFmtId="3" fontId="1" fillId="0" borderId="0" xfId="1" applyNumberFormat="1" applyBorder="1"/>
    <xf numFmtId="167" fontId="8" fillId="0" borderId="0" xfId="2" applyNumberFormat="1" applyFont="1" applyBorder="1"/>
    <xf numFmtId="168" fontId="1" fillId="0" borderId="0" xfId="1" applyNumberFormat="1" applyBorder="1"/>
    <xf numFmtId="7" fontId="2" fillId="0" borderId="0" xfId="1" applyNumberFormat="1" applyFont="1" applyBorder="1" applyAlignment="1">
      <alignment horizontal="right" vertical="top" wrapText="1"/>
    </xf>
    <xf numFmtId="3" fontId="1" fillId="0" borderId="0" xfId="1" applyNumberFormat="1"/>
    <xf numFmtId="0" fontId="9" fillId="0" borderId="0" xfId="5" applyProtection="1">
      <alignment vertical="top"/>
      <protection locked="0"/>
    </xf>
    <xf numFmtId="0" fontId="11" fillId="0" borderId="0" xfId="5" applyFont="1" applyAlignment="1">
      <alignment horizontal="center" vertical="top"/>
    </xf>
    <xf numFmtId="3" fontId="13" fillId="0" borderId="0" xfId="5" applyNumberFormat="1" applyFont="1" applyAlignment="1">
      <alignment horizontal="center" vertical="top"/>
    </xf>
    <xf numFmtId="3" fontId="14" fillId="0" borderId="0" xfId="5" applyNumberFormat="1" applyFont="1" applyFill="1" applyAlignment="1">
      <alignment horizontal="right" vertical="top"/>
    </xf>
    <xf numFmtId="0" fontId="9" fillId="0" borderId="0" xfId="5" applyFont="1" applyProtection="1">
      <alignment vertical="top"/>
      <protection locked="0"/>
    </xf>
    <xf numFmtId="0" fontId="14" fillId="0" borderId="0" xfId="5" applyFont="1" applyAlignment="1">
      <alignment horizontal="center" vertical="top"/>
    </xf>
    <xf numFmtId="7" fontId="14" fillId="0" borderId="0" xfId="5" applyNumberFormat="1" applyFont="1" applyAlignment="1">
      <alignment horizontal="center" vertical="top"/>
    </xf>
    <xf numFmtId="0" fontId="13" fillId="0" borderId="0" xfId="5" applyFont="1" applyAlignment="1">
      <alignment horizontal="center" vertical="top"/>
    </xf>
    <xf numFmtId="0" fontId="9" fillId="0" borderId="0" xfId="5" applyFont="1" applyAlignment="1" applyProtection="1">
      <alignment vertical="center" wrapText="1"/>
      <protection locked="0"/>
    </xf>
    <xf numFmtId="7" fontId="12" fillId="0" borderId="0" xfId="5" applyNumberFormat="1" applyFont="1" applyAlignment="1">
      <alignment horizontal="center" vertical="top"/>
    </xf>
    <xf numFmtId="3" fontId="15" fillId="9" borderId="48" xfId="5" applyNumberFormat="1" applyFont="1" applyFill="1" applyBorder="1" applyAlignment="1">
      <alignment horizontal="center" vertical="top"/>
    </xf>
    <xf numFmtId="3" fontId="14" fillId="0" borderId="0" xfId="5" applyNumberFormat="1" applyFont="1" applyAlignment="1">
      <alignment horizontal="center" vertical="top"/>
    </xf>
    <xf numFmtId="0" fontId="12" fillId="0" borderId="0" xfId="5" applyFont="1" applyAlignment="1">
      <alignment horizontal="center" vertical="top"/>
    </xf>
    <xf numFmtId="3" fontId="17" fillId="9" borderId="48" xfId="5" applyNumberFormat="1" applyFont="1" applyFill="1" applyBorder="1" applyAlignment="1">
      <alignment horizontal="center" vertical="top"/>
    </xf>
    <xf numFmtId="3" fontId="9" fillId="0" borderId="0" xfId="5" applyNumberFormat="1" applyAlignment="1" applyProtection="1">
      <alignment horizontal="center" vertical="top"/>
      <protection locked="0"/>
    </xf>
    <xf numFmtId="7" fontId="2" fillId="3" borderId="11" xfId="1" applyNumberFormat="1" applyFont="1" applyFill="1" applyBorder="1" applyAlignment="1">
      <alignment horizontal="right" vertical="top" wrapText="1"/>
    </xf>
    <xf numFmtId="7" fontId="3" fillId="10" borderId="15" xfId="1" applyNumberFormat="1" applyFont="1" applyFill="1" applyBorder="1" applyAlignment="1">
      <alignment horizontal="right" vertical="top" wrapText="1"/>
    </xf>
    <xf numFmtId="7" fontId="18" fillId="3" borderId="47" xfId="1" applyNumberFormat="1" applyFont="1" applyFill="1" applyBorder="1" applyAlignment="1">
      <alignment horizontal="right" vertical="top" wrapText="1"/>
    </xf>
    <xf numFmtId="7" fontId="2" fillId="0" borderId="42" xfId="1" applyNumberFormat="1" applyFont="1" applyBorder="1" applyAlignment="1">
      <alignment horizontal="right" vertical="top" wrapText="1"/>
    </xf>
    <xf numFmtId="168" fontId="1" fillId="0" borderId="47" xfId="1" applyNumberFormat="1" applyBorder="1"/>
    <xf numFmtId="3" fontId="3" fillId="0" borderId="42" xfId="1" applyNumberFormat="1" applyFont="1" applyBorder="1" applyAlignment="1">
      <alignment horizontal="center" vertical="top" wrapText="1"/>
    </xf>
    <xf numFmtId="3" fontId="3" fillId="0" borderId="16" xfId="1" applyNumberFormat="1" applyFont="1" applyBorder="1" applyAlignment="1">
      <alignment horizontal="center" vertical="top" wrapText="1"/>
    </xf>
    <xf numFmtId="168" fontId="1" fillId="0" borderId="16" xfId="1" applyNumberFormat="1" applyBorder="1"/>
    <xf numFmtId="3" fontId="2" fillId="0" borderId="39" xfId="1" applyNumberFormat="1" applyFont="1" applyBorder="1" applyAlignment="1">
      <alignment horizontal="right" vertical="top" wrapText="1"/>
    </xf>
    <xf numFmtId="3" fontId="3" fillId="0" borderId="49" xfId="1" applyNumberFormat="1" applyFont="1" applyBorder="1" applyAlignment="1">
      <alignment horizontal="center" vertical="top" wrapText="1"/>
    </xf>
    <xf numFmtId="7" fontId="2" fillId="0" borderId="39" xfId="1" applyNumberFormat="1" applyFont="1" applyBorder="1" applyAlignment="1">
      <alignment horizontal="right" vertical="top" wrapText="1"/>
    </xf>
    <xf numFmtId="3" fontId="3" fillId="0" borderId="50" xfId="1" applyNumberFormat="1" applyFont="1" applyBorder="1" applyAlignment="1">
      <alignment horizontal="center" vertical="top" wrapText="1"/>
    </xf>
    <xf numFmtId="168" fontId="1" fillId="0" borderId="41" xfId="1" applyNumberFormat="1" applyBorder="1"/>
    <xf numFmtId="3" fontId="3" fillId="11" borderId="47" xfId="1" applyNumberFormat="1" applyFont="1" applyFill="1" applyBorder="1" applyAlignment="1">
      <alignment vertical="top" wrapText="1"/>
    </xf>
    <xf numFmtId="3" fontId="8" fillId="11" borderId="30" xfId="2" applyNumberFormat="1" applyFont="1" applyFill="1" applyBorder="1"/>
    <xf numFmtId="3" fontId="3" fillId="11" borderId="16" xfId="1" applyNumberFormat="1" applyFont="1" applyFill="1" applyBorder="1" applyAlignment="1">
      <alignment vertical="top" wrapText="1"/>
    </xf>
    <xf numFmtId="166" fontId="8" fillId="11" borderId="30" xfId="4" applyNumberFormat="1" applyFont="1" applyFill="1" applyBorder="1"/>
    <xf numFmtId="3" fontId="3" fillId="11" borderId="28" xfId="1" applyNumberFormat="1" applyFont="1" applyFill="1" applyBorder="1" applyAlignment="1">
      <alignment vertical="top" wrapText="1"/>
    </xf>
    <xf numFmtId="3" fontId="8" fillId="0" borderId="51" xfId="2" applyNumberFormat="1" applyFont="1" applyBorder="1"/>
    <xf numFmtId="3" fontId="8" fillId="11" borderId="42" xfId="2" applyNumberFormat="1" applyFont="1" applyFill="1" applyBorder="1"/>
    <xf numFmtId="3" fontId="19" fillId="11" borderId="47" xfId="2" applyNumberFormat="1" applyFont="1" applyFill="1" applyBorder="1"/>
    <xf numFmtId="0" fontId="6" fillId="2" borderId="18" xfId="1" applyFont="1" applyFill="1" applyBorder="1" applyAlignment="1">
      <alignment horizontal="center" vertical="top" wrapText="1"/>
    </xf>
    <xf numFmtId="0" fontId="13" fillId="0" borderId="0" xfId="5" applyFont="1" applyAlignment="1">
      <alignment horizontal="left" vertical="top"/>
    </xf>
    <xf numFmtId="0" fontId="9" fillId="0" borderId="0" xfId="5" applyAlignment="1" applyProtection="1">
      <alignment horizontal="center" vertical="top"/>
      <protection locked="0"/>
    </xf>
    <xf numFmtId="0" fontId="11" fillId="0" borderId="0" xfId="5" applyFont="1" applyAlignment="1">
      <alignment horizontal="left" vertical="top"/>
    </xf>
    <xf numFmtId="0" fontId="12" fillId="0" borderId="0" xfId="5" applyFont="1" applyAlignment="1">
      <alignment horizontal="left" vertical="top"/>
    </xf>
    <xf numFmtId="0" fontId="14" fillId="0" borderId="0" xfId="5" applyFont="1" applyAlignment="1">
      <alignment horizontal="left" vertical="top"/>
    </xf>
    <xf numFmtId="0" fontId="23" fillId="0" borderId="0" xfId="6"/>
    <xf numFmtId="169" fontId="25" fillId="0" borderId="0" xfId="7" applyFont="1"/>
    <xf numFmtId="0" fontId="23" fillId="0" borderId="0" xfId="6" applyAlignment="1">
      <alignment horizontal="center"/>
    </xf>
    <xf numFmtId="0" fontId="22" fillId="0" borderId="0" xfId="6" applyFont="1" applyAlignment="1">
      <alignment horizontal="center"/>
    </xf>
    <xf numFmtId="3" fontId="23" fillId="0" borderId="0" xfId="6" applyNumberFormat="1"/>
    <xf numFmtId="3" fontId="23" fillId="0" borderId="52" xfId="6" applyNumberFormat="1" applyBorder="1"/>
    <xf numFmtId="7" fontId="2" fillId="12" borderId="8" xfId="1" applyNumberFormat="1" applyFont="1" applyFill="1" applyBorder="1" applyAlignment="1">
      <alignment horizontal="right" vertical="top" wrapText="1"/>
    </xf>
    <xf numFmtId="0" fontId="0" fillId="4" borderId="0" xfId="0" applyFill="1"/>
    <xf numFmtId="7" fontId="2" fillId="4" borderId="8" xfId="1" applyNumberFormat="1" applyFont="1" applyFill="1" applyBorder="1" applyAlignment="1">
      <alignment horizontal="right" vertical="top" wrapText="1"/>
    </xf>
    <xf numFmtId="7" fontId="2" fillId="4" borderId="15" xfId="1" applyNumberFormat="1" applyFont="1" applyFill="1" applyBorder="1" applyAlignment="1">
      <alignment horizontal="right" vertical="top" wrapText="1"/>
    </xf>
    <xf numFmtId="0" fontId="2" fillId="0" borderId="8" xfId="1" applyFont="1" applyBorder="1" applyAlignment="1">
      <alignment horizontal="left" wrapText="1"/>
    </xf>
    <xf numFmtId="0" fontId="2" fillId="0" borderId="9" xfId="1" applyFont="1" applyBorder="1" applyAlignment="1">
      <alignment horizontal="left" wrapText="1"/>
    </xf>
    <xf numFmtId="7" fontId="2" fillId="0" borderId="11" xfId="1" applyNumberFormat="1" applyFont="1" applyBorder="1" applyAlignment="1">
      <alignment horizontal="right" wrapText="1"/>
    </xf>
    <xf numFmtId="7" fontId="2" fillId="0" borderId="2" xfId="1" applyNumberFormat="1" applyFont="1" applyBorder="1" applyAlignment="1">
      <alignment horizontal="right" wrapText="1"/>
    </xf>
    <xf numFmtId="0" fontId="2" fillId="0" borderId="9" xfId="1" applyFont="1" applyBorder="1" applyAlignment="1">
      <alignment horizontal="center" wrapText="1"/>
    </xf>
    <xf numFmtId="7" fontId="2" fillId="3" borderId="2" xfId="1" applyNumberFormat="1" applyFont="1" applyFill="1" applyBorder="1" applyAlignment="1">
      <alignment horizontal="right" wrapText="1"/>
    </xf>
    <xf numFmtId="7" fontId="2" fillId="0" borderId="8" xfId="1" applyNumberFormat="1" applyFont="1" applyBorder="1" applyAlignment="1">
      <alignment horizontal="right" wrapText="1"/>
    </xf>
    <xf numFmtId="7" fontId="2" fillId="0" borderId="2" xfId="1" applyNumberFormat="1" applyFont="1" applyFill="1" applyBorder="1" applyAlignment="1">
      <alignment horizontal="right" wrapText="1"/>
    </xf>
    <xf numFmtId="7" fontId="2" fillId="4" borderId="8" xfId="1" applyNumberFormat="1" applyFont="1" applyFill="1" applyBorder="1" applyAlignment="1">
      <alignment horizontal="right" wrapText="1"/>
    </xf>
    <xf numFmtId="0" fontId="0" fillId="0" borderId="0" xfId="0" applyAlignment="1"/>
    <xf numFmtId="0" fontId="14" fillId="0" borderId="0" xfId="5" applyFont="1" applyAlignment="1">
      <alignment horizontal="left" vertical="top"/>
    </xf>
    <xf numFmtId="0" fontId="13" fillId="0" borderId="0" xfId="5" applyFont="1" applyAlignment="1">
      <alignment horizontal="left" vertical="top"/>
    </xf>
    <xf numFmtId="0" fontId="14" fillId="0" borderId="0" xfId="5" applyFont="1" applyAlignment="1">
      <alignment horizontal="left" vertical="top"/>
    </xf>
    <xf numFmtId="0" fontId="8" fillId="0" borderId="30" xfId="0" applyFont="1" applyBorder="1" applyAlignment="1">
      <alignment horizontal="center"/>
    </xf>
    <xf numFmtId="0" fontId="26" fillId="0" borderId="30" xfId="0" applyFont="1" applyBorder="1" applyAlignment="1">
      <alignment horizontal="left"/>
    </xf>
    <xf numFmtId="0" fontId="8" fillId="0" borderId="30" xfId="0" applyFont="1" applyBorder="1" applyAlignment="1">
      <alignment horizontal="left"/>
    </xf>
    <xf numFmtId="0" fontId="27" fillId="13" borderId="30" xfId="0" applyFont="1" applyFill="1" applyBorder="1"/>
    <xf numFmtId="167" fontId="27" fillId="13" borderId="30" xfId="0" applyNumberFormat="1" applyFont="1" applyFill="1" applyBorder="1"/>
    <xf numFmtId="0" fontId="8" fillId="0" borderId="0" xfId="0" applyFont="1"/>
    <xf numFmtId="0" fontId="28" fillId="3" borderId="13" xfId="0" applyFont="1" applyFill="1" applyBorder="1" applyAlignment="1">
      <alignment horizontal="left" vertical="center" wrapText="1"/>
    </xf>
    <xf numFmtId="167" fontId="19" fillId="3" borderId="53" xfId="8" applyNumberFormat="1" applyFont="1" applyFill="1" applyBorder="1" applyAlignment="1">
      <alignment horizontal="center" vertical="center" wrapText="1"/>
    </xf>
    <xf numFmtId="0" fontId="8" fillId="14" borderId="30" xfId="0" applyFont="1" applyFill="1" applyBorder="1"/>
    <xf numFmtId="167" fontId="8" fillId="13" borderId="54" xfId="8" applyNumberFormat="1" applyFont="1" applyFill="1" applyBorder="1"/>
    <xf numFmtId="0" fontId="8" fillId="9" borderId="30" xfId="0" applyFont="1" applyFill="1" applyBorder="1"/>
    <xf numFmtId="167" fontId="8" fillId="9" borderId="54" xfId="8" applyNumberFormat="1" applyFont="1" applyFill="1" applyBorder="1"/>
    <xf numFmtId="0" fontId="8" fillId="3" borderId="30" xfId="0" applyFont="1" applyFill="1" applyBorder="1"/>
    <xf numFmtId="0" fontId="19" fillId="3" borderId="30" xfId="0" applyFont="1" applyFill="1" applyBorder="1"/>
    <xf numFmtId="167" fontId="19" fillId="3" borderId="30" xfId="8" applyNumberFormat="1" applyFont="1" applyFill="1" applyBorder="1"/>
    <xf numFmtId="167" fontId="8" fillId="0" borderId="0" xfId="8" applyNumberFormat="1" applyFont="1"/>
    <xf numFmtId="0" fontId="2" fillId="0" borderId="10" xfId="1" applyFont="1" applyBorder="1" applyAlignment="1">
      <alignment horizontal="center" vertical="top" wrapText="1"/>
    </xf>
    <xf numFmtId="0" fontId="9" fillId="0" borderId="0" xfId="5" applyFill="1" applyProtection="1">
      <alignment vertical="top"/>
      <protection locked="0"/>
    </xf>
    <xf numFmtId="0" fontId="11" fillId="0" borderId="0" xfId="5" applyFont="1" applyFill="1" applyAlignment="1">
      <alignment horizontal="left" vertical="top"/>
    </xf>
    <xf numFmtId="0" fontId="12" fillId="0" borderId="0" xfId="5" applyFont="1" applyFill="1" applyAlignment="1">
      <alignment horizontal="right" vertical="top"/>
    </xf>
    <xf numFmtId="3" fontId="13" fillId="0" borderId="0" xfId="5" applyNumberFormat="1" applyFont="1" applyFill="1" applyAlignment="1">
      <alignment horizontal="right" vertical="top"/>
    </xf>
    <xf numFmtId="0" fontId="13" fillId="0" borderId="0" xfId="5" applyFont="1" applyFill="1" applyAlignment="1">
      <alignment horizontal="right" vertical="top"/>
    </xf>
    <xf numFmtId="0" fontId="12" fillId="0" borderId="0" xfId="5" applyFont="1" applyFill="1" applyAlignment="1">
      <alignment horizontal="left" vertical="top"/>
    </xf>
    <xf numFmtId="0" fontId="13" fillId="0" borderId="0" xfId="5" applyFont="1" applyFill="1" applyAlignment="1">
      <alignment horizontal="left" vertical="top"/>
    </xf>
    <xf numFmtId="0" fontId="14" fillId="0" borderId="0" xfId="5" applyFont="1" applyFill="1" applyAlignment="1">
      <alignment horizontal="left" vertical="top"/>
    </xf>
    <xf numFmtId="5" fontId="23" fillId="0" borderId="52" xfId="6" applyNumberFormat="1" applyBorder="1"/>
    <xf numFmtId="5" fontId="23" fillId="0" borderId="0" xfId="6" applyNumberFormat="1"/>
    <xf numFmtId="0" fontId="1" fillId="0" borderId="0" xfId="6" applyFont="1"/>
    <xf numFmtId="49" fontId="4" fillId="0" borderId="16" xfId="1" applyNumberFormat="1" applyFont="1" applyBorder="1" applyAlignment="1">
      <alignment horizontal="center"/>
    </xf>
    <xf numFmtId="49" fontId="4" fillId="0" borderId="21" xfId="1" applyNumberFormat="1" applyFont="1" applyBorder="1" applyAlignment="1">
      <alignment horizontal="center"/>
    </xf>
    <xf numFmtId="49" fontId="4" fillId="0" borderId="22" xfId="1" applyNumberFormat="1" applyFont="1" applyBorder="1" applyAlignment="1">
      <alignment horizontal="center"/>
    </xf>
    <xf numFmtId="0" fontId="6" fillId="2" borderId="24" xfId="1" applyFont="1" applyFill="1" applyBorder="1" applyAlignment="1">
      <alignment horizontal="center" vertical="top" wrapText="1"/>
    </xf>
    <xf numFmtId="0" fontId="6" fillId="2" borderId="23" xfId="1" applyFont="1" applyFill="1" applyBorder="1" applyAlignment="1">
      <alignment horizontal="center" vertical="top" wrapText="1"/>
    </xf>
    <xf numFmtId="0" fontId="6" fillId="2" borderId="5" xfId="1" applyFont="1" applyFill="1" applyBorder="1" applyAlignment="1">
      <alignment horizontal="center" vertical="top" wrapText="1"/>
    </xf>
    <xf numFmtId="0" fontId="6" fillId="2" borderId="20" xfId="1" applyFont="1" applyFill="1" applyBorder="1" applyAlignment="1">
      <alignment horizontal="center" vertical="top" wrapText="1"/>
    </xf>
    <xf numFmtId="0" fontId="6" fillId="2" borderId="17" xfId="1" applyFont="1" applyFill="1" applyBorder="1" applyAlignment="1">
      <alignment horizontal="center" vertical="top" wrapText="1"/>
    </xf>
    <xf numFmtId="0" fontId="6" fillId="2" borderId="18" xfId="1" applyFont="1" applyFill="1" applyBorder="1" applyAlignment="1">
      <alignment horizontal="center" vertical="top" wrapText="1"/>
    </xf>
    <xf numFmtId="0" fontId="6" fillId="2" borderId="19" xfId="1" applyFont="1" applyFill="1" applyBorder="1" applyAlignment="1">
      <alignment horizontal="center" vertical="top" wrapText="1"/>
    </xf>
    <xf numFmtId="0" fontId="5" fillId="0" borderId="0" xfId="1" applyFont="1" applyAlignment="1">
      <alignment horizontal="center"/>
    </xf>
    <xf numFmtId="0" fontId="14" fillId="0" borderId="0" xfId="5" applyFont="1" applyAlignment="1">
      <alignment horizontal="left" vertical="top"/>
    </xf>
    <xf numFmtId="0" fontId="16" fillId="9" borderId="48" xfId="5" applyFont="1" applyFill="1" applyBorder="1" applyAlignment="1" applyProtection="1">
      <alignment horizontal="center" vertical="top"/>
      <protection locked="0"/>
    </xf>
    <xf numFmtId="0" fontId="12" fillId="0" borderId="0" xfId="5" applyFont="1" applyAlignment="1">
      <alignment horizontal="left" vertical="top"/>
    </xf>
    <xf numFmtId="0" fontId="13" fillId="0" borderId="0" xfId="5" applyFont="1" applyAlignment="1">
      <alignment horizontal="left" vertical="top"/>
    </xf>
    <xf numFmtId="0" fontId="11" fillId="0" borderId="0" xfId="5" applyFont="1" applyAlignment="1">
      <alignment horizontal="left" vertical="top"/>
    </xf>
    <xf numFmtId="0" fontId="15" fillId="9" borderId="48" xfId="5" applyFont="1" applyFill="1" applyBorder="1" applyAlignment="1">
      <alignment horizontal="center" vertical="top"/>
    </xf>
    <xf numFmtId="0" fontId="10" fillId="0" borderId="0" xfId="5" applyFont="1" applyAlignment="1">
      <alignment horizontal="center" vertical="top" wrapText="1"/>
    </xf>
    <xf numFmtId="0" fontId="9" fillId="0" borderId="0" xfId="5" applyFont="1" applyAlignment="1" applyProtection="1">
      <alignment horizontal="center" vertical="top"/>
      <protection locked="0"/>
    </xf>
    <xf numFmtId="0" fontId="9" fillId="0" borderId="0" xfId="5" applyAlignment="1" applyProtection="1">
      <alignment horizontal="center" vertical="top"/>
      <protection locked="0"/>
    </xf>
    <xf numFmtId="0" fontId="24" fillId="0" borderId="0" xfId="6" applyFont="1" applyAlignment="1">
      <alignment horizontal="left"/>
    </xf>
    <xf numFmtId="0" fontId="0" fillId="0" borderId="0" xfId="0" applyAlignment="1">
      <alignment horizontal="center" wrapText="1"/>
    </xf>
    <xf numFmtId="0" fontId="0" fillId="0" borderId="25" xfId="0" applyFill="1" applyBorder="1" applyAlignment="1">
      <alignment horizontal="center"/>
    </xf>
    <xf numFmtId="0" fontId="0" fillId="0" borderId="25" xfId="0" applyFill="1" applyBorder="1" applyAlignment="1">
      <alignment wrapText="1"/>
    </xf>
    <xf numFmtId="7" fontId="2" fillId="4" borderId="11" xfId="1" applyNumberFormat="1" applyFont="1" applyFill="1" applyBorder="1" applyAlignment="1">
      <alignment horizontal="right" wrapText="1"/>
    </xf>
    <xf numFmtId="7" fontId="2" fillId="4" borderId="0" xfId="1" applyNumberFormat="1" applyFont="1" applyFill="1" applyAlignment="1">
      <alignment horizontal="right" vertical="top" wrapText="1"/>
    </xf>
    <xf numFmtId="7" fontId="2" fillId="4" borderId="4" xfId="1" applyNumberFormat="1" applyFont="1" applyFill="1" applyBorder="1" applyAlignment="1">
      <alignment horizontal="right" vertical="top" wrapText="1"/>
    </xf>
  </cellXfs>
  <cellStyles count="12">
    <cellStyle name="Millares" xfId="8" builtinId="3"/>
    <cellStyle name="Millares 2" xfId="2"/>
    <cellStyle name="Moneda" xfId="4" builtinId="4"/>
    <cellStyle name="Moneda [0] 2" xfId="2"/>
    <cellStyle name="Moneda 2" xfId="2"/>
    <cellStyle name="Moneda 3" xfId="3"/>
    <cellStyle name="Moneda 4" xfId="7"/>
    <cellStyle name="Normal" xfId="0" builtinId="0"/>
    <cellStyle name="Normal 2" xfId="1"/>
    <cellStyle name="Normal 3" xfId="5"/>
    <cellStyle name="Normal 4" xfId="6"/>
    <cellStyle name="Porcentaje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VENTAS SIN IVA</a:t>
            </a:r>
          </a:p>
        </c:rich>
      </c:tx>
      <c:layout>
        <c:manualLayout>
          <c:xMode val="edge"/>
          <c:yMode val="edge"/>
          <c:x val="0.31245822397200351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'GRAFICAS PYG'!$C$70</c:f>
              <c:strCache>
                <c:ptCount val="1"/>
                <c:pt idx="0">
                  <c:v>VENTAS SIN IVA 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PYG'!$B$71:$B$83</c:f>
              <c:strCache>
                <c:ptCount val="13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  <c:pt idx="12">
                  <c:v>TOTAL </c:v>
                </c:pt>
              </c:strCache>
            </c:strRef>
          </c:cat>
          <c:val>
            <c:numRef>
              <c:f>'GRAFICAS PYG'!$C$71:$C$83</c:f>
              <c:numCache>
                <c:formatCode>_(* #,##0_);_(* \(#,##0\);_(* "-"??_);_(@_)</c:formatCode>
                <c:ptCount val="13"/>
                <c:pt idx="0" formatCode="#,##0">
                  <c:v>7998115</c:v>
                </c:pt>
                <c:pt idx="1">
                  <c:v>4974355</c:v>
                </c:pt>
                <c:pt idx="2">
                  <c:v>7130437</c:v>
                </c:pt>
                <c:pt idx="3">
                  <c:v>6001004</c:v>
                </c:pt>
                <c:pt idx="4">
                  <c:v>7419178</c:v>
                </c:pt>
                <c:pt idx="5">
                  <c:v>6384585</c:v>
                </c:pt>
                <c:pt idx="6">
                  <c:v>4374077</c:v>
                </c:pt>
                <c:pt idx="7">
                  <c:v>8088583</c:v>
                </c:pt>
                <c:pt idx="8">
                  <c:v>5761435</c:v>
                </c:pt>
                <c:pt idx="9">
                  <c:v>5903667</c:v>
                </c:pt>
                <c:pt idx="10">
                  <c:v>6953987</c:v>
                </c:pt>
                <c:pt idx="11">
                  <c:v>3580427</c:v>
                </c:pt>
                <c:pt idx="12" formatCode="&quot;$&quot;#,##0.00;\-&quot;$&quot;#,##0.00">
                  <c:v>74569850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C-4B03-8A71-A0079F11E396}"/>
            </c:ext>
          </c:extLst>
        </c:ser>
        <c:ser>
          <c:idx val="1"/>
          <c:order val="1"/>
          <c:tx>
            <c:strRef>
              <c:f>'GRAFICAS PYG'!$D$70</c:f>
              <c:strCache>
                <c:ptCount val="1"/>
                <c:pt idx="0">
                  <c:v>VENTAS SIN IVA 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9114461439164446E-3"/>
                  <c:y val="-9.83750412892996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FCEC-4B03-8A71-A0079F11E396}"/>
                </c:ext>
              </c:extLst>
            </c:dLbl>
            <c:dLbl>
              <c:idx val="1"/>
              <c:layout>
                <c:manualLayout>
                  <c:x val="1.7278615359791111E-2"/>
                  <c:y val="-7.37812809669746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CEC-4B03-8A71-A0079F11E396}"/>
                </c:ext>
              </c:extLst>
            </c:dLbl>
            <c:dLbl>
              <c:idx val="2"/>
              <c:layout>
                <c:manualLayout>
                  <c:x val="6.9114461439164446E-3"/>
                  <c:y val="-7.02678866352140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FCEC-4B03-8A71-A0079F11E396}"/>
                </c:ext>
              </c:extLst>
            </c:dLbl>
            <c:dLbl>
              <c:idx val="3"/>
              <c:layout>
                <c:manualLayout>
                  <c:x val="2.0734338431749291E-2"/>
                  <c:y val="1.054018299528209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FCEC-4B03-8A71-A0079F11E396}"/>
                </c:ext>
              </c:extLst>
            </c:dLbl>
            <c:dLbl>
              <c:idx val="5"/>
              <c:layout>
                <c:manualLayout>
                  <c:x val="2.3038153813054814E-3"/>
                  <c:y val="-4.56741263128890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FCEC-4B03-8A71-A0079F11E396}"/>
                </c:ext>
              </c:extLst>
            </c:dLbl>
            <c:dLbl>
              <c:idx val="7"/>
              <c:layout>
                <c:manualLayout>
                  <c:x val="1.4974799978485545E-2"/>
                  <c:y val="-6.675449230345338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FCEC-4B03-8A71-A0079F11E3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PYG'!$B$71:$B$83</c:f>
              <c:strCache>
                <c:ptCount val="13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  <c:pt idx="12">
                  <c:v>TOTAL </c:v>
                </c:pt>
              </c:strCache>
            </c:strRef>
          </c:cat>
          <c:val>
            <c:numRef>
              <c:f>'GRAFICAS PYG'!$D$71:$D$83</c:f>
              <c:numCache>
                <c:formatCode>_(* #,##0_);_(* \(#,##0\);_(* "-"??_);_(@_)</c:formatCode>
                <c:ptCount val="13"/>
                <c:pt idx="0">
                  <c:v>5489862</c:v>
                </c:pt>
                <c:pt idx="1">
                  <c:v>7374328</c:v>
                </c:pt>
                <c:pt idx="2">
                  <c:v>5439456</c:v>
                </c:pt>
                <c:pt idx="3">
                  <c:v>7142915</c:v>
                </c:pt>
                <c:pt idx="4">
                  <c:v>5721041</c:v>
                </c:pt>
                <c:pt idx="5">
                  <c:v>4021740</c:v>
                </c:pt>
                <c:pt idx="6">
                  <c:v>1959742</c:v>
                </c:pt>
                <c:pt idx="7">
                  <c:v>4820282</c:v>
                </c:pt>
                <c:pt idx="8">
                  <c:v>6035931</c:v>
                </c:pt>
                <c:pt idx="9">
                  <c:v>10697305</c:v>
                </c:pt>
                <c:pt idx="10">
                  <c:v>7259988</c:v>
                </c:pt>
                <c:pt idx="11" formatCode="#,##0">
                  <c:v>8230584</c:v>
                </c:pt>
                <c:pt idx="12" formatCode="&quot;$&quot;#,##0.00;\-&quot;$&quot;#,##0.00">
                  <c:v>74193174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CEC-4B03-8A71-A0079F11E396}"/>
            </c:ext>
          </c:extLst>
        </c:ser>
        <c:ser>
          <c:idx val="2"/>
          <c:order val="2"/>
          <c:tx>
            <c:strRef>
              <c:f>'GRAFICAS PYG'!$E$70</c:f>
              <c:strCache>
                <c:ptCount val="1"/>
                <c:pt idx="0">
                  <c:v>VENTAS SIN IVA 2017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PYG'!$B$71:$B$83</c:f>
              <c:strCache>
                <c:ptCount val="13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  <c:pt idx="12">
                  <c:v>TOTAL </c:v>
                </c:pt>
              </c:strCache>
            </c:strRef>
          </c:cat>
          <c:val>
            <c:numRef>
              <c:f>'GRAFICAS PYG'!$E$71:$E$83</c:f>
              <c:numCache>
                <c:formatCode>_(* #,##0_);_(* \(#,##0\);_(* "-"??_);_(@_)</c:formatCode>
                <c:ptCount val="13"/>
                <c:pt idx="0">
                  <c:v>3111549</c:v>
                </c:pt>
                <c:pt idx="1">
                  <c:v>8157506</c:v>
                </c:pt>
                <c:pt idx="2">
                  <c:v>5780617</c:v>
                </c:pt>
                <c:pt idx="3">
                  <c:v>5636163</c:v>
                </c:pt>
                <c:pt idx="4">
                  <c:v>13796936</c:v>
                </c:pt>
                <c:pt idx="5">
                  <c:v>6565667</c:v>
                </c:pt>
                <c:pt idx="6">
                  <c:v>6138041</c:v>
                </c:pt>
                <c:pt idx="7">
                  <c:v>5449400</c:v>
                </c:pt>
                <c:pt idx="8">
                  <c:v>6941815</c:v>
                </c:pt>
                <c:pt idx="9">
                  <c:v>5541550</c:v>
                </c:pt>
                <c:pt idx="10">
                  <c:v>6901480</c:v>
                </c:pt>
                <c:pt idx="11">
                  <c:v>7106144</c:v>
                </c:pt>
                <c:pt idx="12" formatCode="&quot;$&quot;#,##0.00;\-&quot;$&quot;#,##0.00">
                  <c:v>81126868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EC-4B03-8A71-A0079F11E3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7488128"/>
        <c:axId val="147498112"/>
      </c:barChart>
      <c:catAx>
        <c:axId val="14748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498112"/>
        <c:crosses val="autoZero"/>
        <c:auto val="1"/>
        <c:lblAlgn val="ctr"/>
        <c:lblOffset val="100"/>
        <c:noMultiLvlLbl val="0"/>
      </c:catAx>
      <c:valAx>
        <c:axId val="14749811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748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DE 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1.2692916198859564E-2"/>
          <c:y val="0.20784553953493667"/>
          <c:w val="0.97461416760228092"/>
          <c:h val="0.711838833380566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'GRAFICAS PYG'!$C$102</c:f>
              <c:strCache>
                <c:ptCount val="1"/>
                <c:pt idx="0">
                  <c:v>GASTOS  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PYG'!$B$103:$B$116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  <c:pt idx="13">
                  <c:v>TOTAL </c:v>
                </c:pt>
              </c:strCache>
            </c:strRef>
          </c:cat>
          <c:val>
            <c:numRef>
              <c:f>'GRAFICAS PYG'!$C$103:$C$116</c:f>
              <c:numCache>
                <c:formatCode>#,##0</c:formatCode>
                <c:ptCount val="14"/>
                <c:pt idx="0">
                  <c:v>8192569</c:v>
                </c:pt>
                <c:pt idx="1">
                  <c:v>8084721</c:v>
                </c:pt>
                <c:pt idx="2">
                  <c:v>8025783</c:v>
                </c:pt>
                <c:pt idx="3">
                  <c:v>11161681</c:v>
                </c:pt>
                <c:pt idx="4">
                  <c:v>10164486</c:v>
                </c:pt>
                <c:pt idx="5">
                  <c:v>8433671</c:v>
                </c:pt>
                <c:pt idx="6">
                  <c:v>8752682</c:v>
                </c:pt>
                <c:pt idx="7">
                  <c:v>10250005</c:v>
                </c:pt>
                <c:pt idx="8">
                  <c:v>12341540.75</c:v>
                </c:pt>
                <c:pt idx="9">
                  <c:v>13788360.75</c:v>
                </c:pt>
                <c:pt idx="10">
                  <c:v>12146150.75</c:v>
                </c:pt>
                <c:pt idx="11">
                  <c:v>9554095.75</c:v>
                </c:pt>
                <c:pt idx="13" formatCode="&quot;$&quot;#,##0.00;\-&quot;$&quot;#,##0.00">
                  <c:v>120895746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A-464B-B0D5-144F23797C0A}"/>
            </c:ext>
          </c:extLst>
        </c:ser>
        <c:ser>
          <c:idx val="1"/>
          <c:order val="1"/>
          <c:tx>
            <c:strRef>
              <c:f>'GRAFICAS PYG'!$D$102</c:f>
              <c:strCache>
                <c:ptCount val="1"/>
                <c:pt idx="0">
                  <c:v>GASTOS  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7.22580547275516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72A-464B-B0D5-144F23797C0A}"/>
                </c:ext>
              </c:extLst>
            </c:dLbl>
            <c:dLbl>
              <c:idx val="1"/>
              <c:layout>
                <c:manualLayout>
                  <c:x val="-2.3078029452472146E-3"/>
                  <c:y val="-7.22580547275516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72A-464B-B0D5-144F23797C0A}"/>
                </c:ext>
              </c:extLst>
            </c:dLbl>
            <c:dLbl>
              <c:idx val="2"/>
              <c:layout>
                <c:manualLayout>
                  <c:x val="0"/>
                  <c:y val="-7.22580547275516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72A-464B-B0D5-144F23797C0A}"/>
                </c:ext>
              </c:extLst>
            </c:dLbl>
            <c:dLbl>
              <c:idx val="3"/>
              <c:layout>
                <c:manualLayout>
                  <c:x val="1.0385113253612329E-2"/>
                  <c:y val="-5.84946157318275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2766425174168708E-2"/>
                      <c:h val="5.08044296598859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972A-464B-B0D5-144F23797C0A}"/>
                </c:ext>
              </c:extLst>
            </c:dLbl>
            <c:dLbl>
              <c:idx val="4"/>
              <c:layout>
                <c:manualLayout>
                  <c:x val="6.9234088357415799E-3"/>
                  <c:y val="-5.16128962339654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972A-464B-B0D5-144F23797C0A}"/>
                </c:ext>
              </c:extLst>
            </c:dLbl>
            <c:dLbl>
              <c:idx val="6"/>
              <c:layout>
                <c:manualLayout>
                  <c:x val="8.0773103083651761E-3"/>
                  <c:y val="-3.44085974893103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972A-464B-B0D5-144F23797C0A}"/>
                </c:ext>
              </c:extLst>
            </c:dLbl>
            <c:dLbl>
              <c:idx val="7"/>
              <c:layout>
                <c:manualLayout>
                  <c:x val="1.038511325361237E-2"/>
                  <c:y val="-5.84946157318276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972A-464B-B0D5-144F23797C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PYG'!$B$103:$B$116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  <c:pt idx="13">
                  <c:v>TOTAL </c:v>
                </c:pt>
              </c:strCache>
            </c:strRef>
          </c:cat>
          <c:val>
            <c:numRef>
              <c:f>'GRAFICAS PYG'!$D$103:$D$116</c:f>
              <c:numCache>
                <c:formatCode>#,##0</c:formatCode>
                <c:ptCount val="14"/>
                <c:pt idx="0">
                  <c:v>7055307</c:v>
                </c:pt>
                <c:pt idx="1">
                  <c:v>8975623</c:v>
                </c:pt>
                <c:pt idx="2">
                  <c:v>9788704</c:v>
                </c:pt>
                <c:pt idx="3">
                  <c:v>9211395</c:v>
                </c:pt>
                <c:pt idx="4">
                  <c:v>8014528</c:v>
                </c:pt>
                <c:pt idx="5">
                  <c:v>7385244</c:v>
                </c:pt>
                <c:pt idx="6">
                  <c:v>7676064</c:v>
                </c:pt>
                <c:pt idx="7">
                  <c:v>9472439</c:v>
                </c:pt>
                <c:pt idx="8">
                  <c:v>16476675</c:v>
                </c:pt>
                <c:pt idx="9">
                  <c:v>10699836</c:v>
                </c:pt>
                <c:pt idx="10">
                  <c:v>12696365</c:v>
                </c:pt>
                <c:pt idx="11">
                  <c:v>8852048</c:v>
                </c:pt>
                <c:pt idx="13" formatCode="&quot;$&quot;#,##0.00;\-&quot;$&quot;#,##0.00">
                  <c:v>116304228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2A-464B-B0D5-144F23797C0A}"/>
            </c:ext>
          </c:extLst>
        </c:ser>
        <c:ser>
          <c:idx val="2"/>
          <c:order val="2"/>
          <c:tx>
            <c:strRef>
              <c:f>'GRAFICAS PYG'!$E$102</c:f>
              <c:strCache>
                <c:ptCount val="1"/>
                <c:pt idx="0">
                  <c:v>GASTOS 2017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PYG'!$B$103:$B$116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  <c:pt idx="13">
                  <c:v>TOTAL </c:v>
                </c:pt>
              </c:strCache>
            </c:strRef>
          </c:cat>
          <c:val>
            <c:numRef>
              <c:f>'GRAFICAS PYG'!$E$103:$E$116</c:f>
              <c:numCache>
                <c:formatCode>#,##0</c:formatCode>
                <c:ptCount val="14"/>
                <c:pt idx="0">
                  <c:v>10452832</c:v>
                </c:pt>
                <c:pt idx="1">
                  <c:v>8843670</c:v>
                </c:pt>
                <c:pt idx="2">
                  <c:v>8621927</c:v>
                </c:pt>
                <c:pt idx="3">
                  <c:v>6162384</c:v>
                </c:pt>
                <c:pt idx="4">
                  <c:v>10155182</c:v>
                </c:pt>
                <c:pt idx="5">
                  <c:v>14240736</c:v>
                </c:pt>
                <c:pt idx="6">
                  <c:v>10531315</c:v>
                </c:pt>
                <c:pt idx="7">
                  <c:v>10083753</c:v>
                </c:pt>
                <c:pt idx="8">
                  <c:v>13656658</c:v>
                </c:pt>
                <c:pt idx="9">
                  <c:v>12463405</c:v>
                </c:pt>
                <c:pt idx="10">
                  <c:v>13179987</c:v>
                </c:pt>
                <c:pt idx="11">
                  <c:v>27294325</c:v>
                </c:pt>
                <c:pt idx="13" formatCode="&quot;$&quot;#,##0.00;\-&quot;$&quot;#,##0.00">
                  <c:v>145686174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72A-464B-B0D5-144F23797C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7363712"/>
        <c:axId val="147365248"/>
      </c:barChart>
      <c:catAx>
        <c:axId val="14736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365248"/>
        <c:crosses val="autoZero"/>
        <c:auto val="1"/>
        <c:lblAlgn val="ctr"/>
        <c:lblOffset val="100"/>
        <c:noMultiLvlLbl val="0"/>
      </c:catAx>
      <c:valAx>
        <c:axId val="14736524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736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DE UTILIDAD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'GRAFICAS PYG'!$C$129</c:f>
              <c:strCache>
                <c:ptCount val="1"/>
                <c:pt idx="0">
                  <c:v>UTILIDAD 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-3.661327231121270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1516-400F-A472-EC183AFBC4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PYG'!$B$130:$B$144</c:f>
              <c:strCache>
                <c:ptCount val="15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  <c:pt idx="14">
                  <c:v>TOTAL </c:v>
                </c:pt>
              </c:strCache>
            </c:strRef>
          </c:cat>
          <c:val>
            <c:numRef>
              <c:f>'GRAFICAS PYG'!$C$130:$C$144</c:f>
              <c:numCache>
                <c:formatCode>#,##0</c:formatCode>
                <c:ptCount val="15"/>
                <c:pt idx="0">
                  <c:v>5038468</c:v>
                </c:pt>
                <c:pt idx="1">
                  <c:v>3625618</c:v>
                </c:pt>
                <c:pt idx="2">
                  <c:v>3176999</c:v>
                </c:pt>
                <c:pt idx="3">
                  <c:v>3741891</c:v>
                </c:pt>
                <c:pt idx="4">
                  <c:v>2085937</c:v>
                </c:pt>
                <c:pt idx="5">
                  <c:v>492012</c:v>
                </c:pt>
                <c:pt idx="6">
                  <c:v>-2317677</c:v>
                </c:pt>
                <c:pt idx="7">
                  <c:v>-1439362</c:v>
                </c:pt>
                <c:pt idx="8">
                  <c:v>-4658595.75</c:v>
                </c:pt>
                <c:pt idx="9">
                  <c:v>-5944643.75</c:v>
                </c:pt>
                <c:pt idx="10">
                  <c:v>904815.25</c:v>
                </c:pt>
                <c:pt idx="11">
                  <c:v>4829226.25</c:v>
                </c:pt>
                <c:pt idx="14" formatCode="&quot;$&quot;#,##0.00;\-&quot;$&quot;#,##0.00">
                  <c:v>9534688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16-400F-A472-EC183AFBC46D}"/>
            </c:ext>
          </c:extLst>
        </c:ser>
        <c:ser>
          <c:idx val="1"/>
          <c:order val="1"/>
          <c:tx>
            <c:strRef>
              <c:f>'GRAFICAS PYG'!$D$129</c:f>
              <c:strCache>
                <c:ptCount val="1"/>
                <c:pt idx="0">
                  <c:v>UTILIDAD 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7"/>
              <c:layout>
                <c:manualLayout>
                  <c:x val="3.7908492830168929E-2"/>
                  <c:y val="-3.051106025934513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1516-400F-A472-EC183AFBC4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PYG'!$B$130:$B$144</c:f>
              <c:strCache>
                <c:ptCount val="15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  <c:pt idx="14">
                  <c:v>TOTAL </c:v>
                </c:pt>
              </c:strCache>
            </c:strRef>
          </c:cat>
          <c:val>
            <c:numRef>
              <c:f>'GRAFICAS PYG'!$D$130:$D$144</c:f>
              <c:numCache>
                <c:formatCode>#,##0</c:formatCode>
                <c:ptCount val="15"/>
                <c:pt idx="0">
                  <c:v>18954229</c:v>
                </c:pt>
                <c:pt idx="1">
                  <c:v>-1253685</c:v>
                </c:pt>
                <c:pt idx="2">
                  <c:v>-4103720</c:v>
                </c:pt>
                <c:pt idx="3">
                  <c:v>-1756692</c:v>
                </c:pt>
                <c:pt idx="4">
                  <c:v>-222899</c:v>
                </c:pt>
                <c:pt idx="5">
                  <c:v>822721</c:v>
                </c:pt>
                <c:pt idx="6">
                  <c:v>-2214002</c:v>
                </c:pt>
                <c:pt idx="7">
                  <c:v>8804469</c:v>
                </c:pt>
                <c:pt idx="8">
                  <c:v>-10440744</c:v>
                </c:pt>
                <c:pt idx="9">
                  <c:v>4755101</c:v>
                </c:pt>
                <c:pt idx="10">
                  <c:v>-380592</c:v>
                </c:pt>
                <c:pt idx="11">
                  <c:v>5224186</c:v>
                </c:pt>
                <c:pt idx="14" formatCode="&quot;$&quot;#,##0.00;\-&quot;$&quot;#,##0.00">
                  <c:v>18188372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16-400F-A472-EC183AFBC46D}"/>
            </c:ext>
          </c:extLst>
        </c:ser>
        <c:ser>
          <c:idx val="2"/>
          <c:order val="2"/>
          <c:tx>
            <c:strRef>
              <c:f>'GRAFICAS PYG'!$E$129</c:f>
              <c:strCache>
                <c:ptCount val="1"/>
                <c:pt idx="0">
                  <c:v>UTILIDAD  2017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PYG'!$B$130:$B$144</c:f>
              <c:strCache>
                <c:ptCount val="15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</c:v>
                </c:pt>
                <c:pt idx="14">
                  <c:v>TOTAL </c:v>
                </c:pt>
              </c:strCache>
            </c:strRef>
          </c:cat>
          <c:val>
            <c:numRef>
              <c:f>'GRAFICAS PYG'!$E$130:$E$144</c:f>
              <c:numCache>
                <c:formatCode>#,##0</c:formatCode>
                <c:ptCount val="15"/>
                <c:pt idx="0">
                  <c:v>-3272885</c:v>
                </c:pt>
                <c:pt idx="1">
                  <c:v>3095521</c:v>
                </c:pt>
                <c:pt idx="2">
                  <c:v>423035</c:v>
                </c:pt>
                <c:pt idx="3">
                  <c:v>5188303</c:v>
                </c:pt>
                <c:pt idx="4">
                  <c:v>5204853</c:v>
                </c:pt>
                <c:pt idx="5">
                  <c:v>-5170532</c:v>
                </c:pt>
                <c:pt idx="6">
                  <c:v>9983538</c:v>
                </c:pt>
                <c:pt idx="7">
                  <c:v>5208815</c:v>
                </c:pt>
                <c:pt idx="8">
                  <c:v>92670</c:v>
                </c:pt>
                <c:pt idx="9">
                  <c:v>-3000416</c:v>
                </c:pt>
                <c:pt idx="10">
                  <c:v>-3733117</c:v>
                </c:pt>
                <c:pt idx="11">
                  <c:v>48325460</c:v>
                </c:pt>
                <c:pt idx="14" formatCode="&quot;$&quot;#,##0.00;\-&quot;$&quot;#,##0.00">
                  <c:v>62345245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16-400F-A472-EC183AFBC4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8691712"/>
        <c:axId val="158693248"/>
      </c:barChart>
      <c:catAx>
        <c:axId val="15869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8693248"/>
        <c:crosses val="autoZero"/>
        <c:auto val="1"/>
        <c:lblAlgn val="ctr"/>
        <c:lblOffset val="100"/>
        <c:noMultiLvlLbl val="0"/>
      </c:catAx>
      <c:valAx>
        <c:axId val="15869324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69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VENTAS FISCALES</a:t>
            </a:r>
          </a:p>
        </c:rich>
      </c:tx>
      <c:layout>
        <c:manualLayout>
          <c:xMode val="edge"/>
          <c:yMode val="edge"/>
          <c:x val="0.31245822397200351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804018815829839E-2"/>
          <c:y val="0.12443520748461513"/>
          <c:w val="0.92763080751269733"/>
          <c:h val="0.7453857610330225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'GRAFICAS PYG'!$C$44</c:f>
              <c:strCache>
                <c:ptCount val="1"/>
                <c:pt idx="0">
                  <c:v>VENTAS FISCALES 2019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PYG'!$B$45:$B$58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  <c:pt idx="13">
                  <c:v>TOTAL </c:v>
                </c:pt>
              </c:strCache>
            </c:strRef>
          </c:cat>
          <c:val>
            <c:numRef>
              <c:f>'GRAFICAS PYG'!$C$45:$C$58</c:f>
              <c:numCache>
                <c:formatCode>#,##0</c:formatCode>
                <c:ptCount val="14"/>
                <c:pt idx="0">
                  <c:v>5232922</c:v>
                </c:pt>
                <c:pt idx="1">
                  <c:v>6735984</c:v>
                </c:pt>
                <c:pt idx="2">
                  <c:v>4072345</c:v>
                </c:pt>
                <c:pt idx="3">
                  <c:v>8902568</c:v>
                </c:pt>
                <c:pt idx="4">
                  <c:v>4831245</c:v>
                </c:pt>
                <c:pt idx="5">
                  <c:v>2541098</c:v>
                </c:pt>
                <c:pt idx="6">
                  <c:v>2060928</c:v>
                </c:pt>
                <c:pt idx="7">
                  <c:v>722060</c:v>
                </c:pt>
                <c:pt idx="8">
                  <c:v>1921510</c:v>
                </c:pt>
                <c:pt idx="9">
                  <c:v>1940050</c:v>
                </c:pt>
                <c:pt idx="10">
                  <c:v>6096979</c:v>
                </c:pt>
                <c:pt idx="11">
                  <c:v>10802895</c:v>
                </c:pt>
                <c:pt idx="13">
                  <c:v>55860584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0-47EF-BF4E-1908CC7FABB1}"/>
            </c:ext>
          </c:extLst>
        </c:ser>
        <c:ser>
          <c:idx val="3"/>
          <c:order val="1"/>
          <c:tx>
            <c:strRef>
              <c:f>'GRAFICAS PYG'!$D$44</c:f>
              <c:strCache>
                <c:ptCount val="1"/>
                <c:pt idx="0">
                  <c:v>VENTAS FISCALES 2018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PYG'!$B$45:$B$58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  <c:pt idx="13">
                  <c:v>TOTAL </c:v>
                </c:pt>
              </c:strCache>
            </c:strRef>
          </c:cat>
          <c:val>
            <c:numRef>
              <c:f>'GRAFICAS PYG'!$D$45:$D$58</c:f>
              <c:numCache>
                <c:formatCode>#,##0</c:formatCode>
                <c:ptCount val="14"/>
                <c:pt idx="0">
                  <c:v>20519674</c:v>
                </c:pt>
                <c:pt idx="1">
                  <c:v>347610</c:v>
                </c:pt>
                <c:pt idx="2">
                  <c:v>245528</c:v>
                </c:pt>
                <c:pt idx="3">
                  <c:v>311788</c:v>
                </c:pt>
                <c:pt idx="4">
                  <c:v>2070588</c:v>
                </c:pt>
                <c:pt idx="5">
                  <c:v>4186225</c:v>
                </c:pt>
                <c:pt idx="6">
                  <c:v>3502320</c:v>
                </c:pt>
                <c:pt idx="7">
                  <c:v>13456626</c:v>
                </c:pt>
                <c:pt idx="8">
                  <c:v>0</c:v>
                </c:pt>
                <c:pt idx="9">
                  <c:v>11000000</c:v>
                </c:pt>
                <c:pt idx="10">
                  <c:v>12000000</c:v>
                </c:pt>
                <c:pt idx="11">
                  <c:v>13000000</c:v>
                </c:pt>
                <c:pt idx="13">
                  <c:v>80640359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00-47EF-BF4E-1908CC7FABB1}"/>
            </c:ext>
          </c:extLst>
        </c:ser>
        <c:ser>
          <c:idx val="0"/>
          <c:order val="2"/>
          <c:tx>
            <c:strRef>
              <c:f>'GRAFICAS PYG'!$E$44</c:f>
              <c:strCache>
                <c:ptCount val="1"/>
                <c:pt idx="0">
                  <c:v>VENTAS FISCALES 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'GRAFICAS PYG'!$B$45:$B$58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  <c:pt idx="13">
                  <c:v>TOTAL </c:v>
                </c:pt>
              </c:strCache>
            </c:strRef>
          </c:cat>
          <c:val>
            <c:numRef>
              <c:f>'GRAFICAS PYG'!$E$45:$E$58</c:f>
              <c:numCache>
                <c:formatCode>#,##0</c:formatCode>
                <c:ptCount val="14"/>
                <c:pt idx="0">
                  <c:v>4068398</c:v>
                </c:pt>
                <c:pt idx="1">
                  <c:v>3781685</c:v>
                </c:pt>
                <c:pt idx="2">
                  <c:v>3264345</c:v>
                </c:pt>
                <c:pt idx="3">
                  <c:v>5714524</c:v>
                </c:pt>
                <c:pt idx="4">
                  <c:v>1563099</c:v>
                </c:pt>
                <c:pt idx="5">
                  <c:v>2504537</c:v>
                </c:pt>
                <c:pt idx="6">
                  <c:v>14376812</c:v>
                </c:pt>
                <c:pt idx="7">
                  <c:v>9843168</c:v>
                </c:pt>
                <c:pt idx="8">
                  <c:v>6807513</c:v>
                </c:pt>
                <c:pt idx="9">
                  <c:v>3921439</c:v>
                </c:pt>
                <c:pt idx="10">
                  <c:v>2545390</c:v>
                </c:pt>
                <c:pt idx="11" formatCode="_(&quot;$&quot;\ * #,##0_);_(&quot;$&quot;\ * \(#,##0\);_(&quot;$&quot;\ * &quot;-&quot;??_);_(@_)">
                  <c:v>68513641</c:v>
                </c:pt>
                <c:pt idx="13">
                  <c:v>126904551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00-47EF-BF4E-1908CC7FAB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8500736"/>
        <c:axId val="158502272"/>
      </c:barChart>
      <c:catAx>
        <c:axId val="15850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8502272"/>
        <c:crosses val="autoZero"/>
        <c:auto val="1"/>
        <c:lblAlgn val="ctr"/>
        <c:lblOffset val="100"/>
        <c:noMultiLvlLbl val="0"/>
      </c:catAx>
      <c:valAx>
        <c:axId val="15850227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50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'GRAFICAS PYG'!$C$5</c:f>
              <c:strCache>
                <c:ptCount val="1"/>
                <c:pt idx="0">
                  <c:v>VENTAS FISCALES 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'GRAFICAS PYG'!$B$6:$B$19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  <c:pt idx="13">
                  <c:v>TOTAL </c:v>
                </c:pt>
              </c:strCache>
            </c:strRef>
          </c:cat>
          <c:val>
            <c:numRef>
              <c:f>'GRAFICAS PYG'!$C$6:$C$19</c:f>
              <c:numCache>
                <c:formatCode>#,##0</c:formatCode>
                <c:ptCount val="14"/>
                <c:pt idx="0">
                  <c:v>5232922</c:v>
                </c:pt>
                <c:pt idx="1">
                  <c:v>6735984</c:v>
                </c:pt>
                <c:pt idx="2">
                  <c:v>4072345</c:v>
                </c:pt>
                <c:pt idx="3">
                  <c:v>8902568</c:v>
                </c:pt>
                <c:pt idx="4">
                  <c:v>4831245</c:v>
                </c:pt>
                <c:pt idx="5">
                  <c:v>2541098</c:v>
                </c:pt>
                <c:pt idx="6">
                  <c:v>2060928</c:v>
                </c:pt>
                <c:pt idx="7">
                  <c:v>722060</c:v>
                </c:pt>
                <c:pt idx="8">
                  <c:v>1921510</c:v>
                </c:pt>
                <c:pt idx="9">
                  <c:v>1940050</c:v>
                </c:pt>
                <c:pt idx="10">
                  <c:v>6096979</c:v>
                </c:pt>
                <c:pt idx="11">
                  <c:v>10802895</c:v>
                </c:pt>
                <c:pt idx="13">
                  <c:v>55860584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3-4A67-AB7C-71508ABBD4EE}"/>
            </c:ext>
          </c:extLst>
        </c:ser>
        <c:ser>
          <c:idx val="1"/>
          <c:order val="1"/>
          <c:tx>
            <c:strRef>
              <c:f>'GRAFICAS PYG'!$D$5</c:f>
              <c:strCache>
                <c:ptCount val="1"/>
                <c:pt idx="0">
                  <c:v>VENTAS FISCALES 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'GRAFICAS PYG'!$B$6:$B$19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  <c:pt idx="13">
                  <c:v>TOTAL </c:v>
                </c:pt>
              </c:strCache>
            </c:strRef>
          </c:cat>
          <c:val>
            <c:numRef>
              <c:f>'GRAFICAS PYG'!$D$6:$D$19</c:f>
              <c:numCache>
                <c:formatCode>#,##0</c:formatCode>
                <c:ptCount val="14"/>
                <c:pt idx="0">
                  <c:v>20519674</c:v>
                </c:pt>
                <c:pt idx="1">
                  <c:v>347610</c:v>
                </c:pt>
                <c:pt idx="2">
                  <c:v>245528</c:v>
                </c:pt>
                <c:pt idx="3">
                  <c:v>311788</c:v>
                </c:pt>
                <c:pt idx="4">
                  <c:v>2070588</c:v>
                </c:pt>
                <c:pt idx="5">
                  <c:v>4186225</c:v>
                </c:pt>
                <c:pt idx="6">
                  <c:v>3502320</c:v>
                </c:pt>
                <c:pt idx="7">
                  <c:v>13456626</c:v>
                </c:pt>
                <c:pt idx="8">
                  <c:v>0</c:v>
                </c:pt>
                <c:pt idx="9">
                  <c:v>53036592</c:v>
                </c:pt>
                <c:pt idx="10">
                  <c:v>58092377</c:v>
                </c:pt>
                <c:pt idx="11">
                  <c:v>63938027</c:v>
                </c:pt>
                <c:pt idx="13">
                  <c:v>219707355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3-4A67-AB7C-71508ABBD4EE}"/>
            </c:ext>
          </c:extLst>
        </c:ser>
        <c:ser>
          <c:idx val="2"/>
          <c:order val="2"/>
          <c:tx>
            <c:strRef>
              <c:f>'GRAFICAS PYG'!$E$5</c:f>
              <c:strCache>
                <c:ptCount val="1"/>
                <c:pt idx="0">
                  <c:v>VENTAS FISCALES 2017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'GRAFICAS PYG'!$B$6:$B$19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  <c:pt idx="13">
                  <c:v>TOTAL </c:v>
                </c:pt>
              </c:strCache>
            </c:strRef>
          </c:cat>
          <c:val>
            <c:numRef>
              <c:f>'GRAFICAS PYG'!$E$6:$E$19</c:f>
              <c:numCache>
                <c:formatCode>#,##0</c:formatCode>
                <c:ptCount val="14"/>
                <c:pt idx="0">
                  <c:v>4068398</c:v>
                </c:pt>
                <c:pt idx="1">
                  <c:v>3781685</c:v>
                </c:pt>
                <c:pt idx="2">
                  <c:v>3264345</c:v>
                </c:pt>
                <c:pt idx="3">
                  <c:v>5714524</c:v>
                </c:pt>
                <c:pt idx="4">
                  <c:v>1563099</c:v>
                </c:pt>
                <c:pt idx="5">
                  <c:v>2504537</c:v>
                </c:pt>
                <c:pt idx="6">
                  <c:v>14376812</c:v>
                </c:pt>
                <c:pt idx="7">
                  <c:v>9843168</c:v>
                </c:pt>
                <c:pt idx="8">
                  <c:v>6807513</c:v>
                </c:pt>
                <c:pt idx="9">
                  <c:v>3921439</c:v>
                </c:pt>
                <c:pt idx="10">
                  <c:v>2545390</c:v>
                </c:pt>
                <c:pt idx="11" formatCode="_(&quot;$&quot;\ * #,##0_);_(&quot;$&quot;\ * \(#,##0\);_(&quot;$&quot;\ * &quot;-&quot;??_);_(@_)">
                  <c:v>68513641</c:v>
                </c:pt>
                <c:pt idx="13">
                  <c:v>126904551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83-4A67-AB7C-71508ABBD4EE}"/>
            </c:ext>
          </c:extLst>
        </c:ser>
        <c:ser>
          <c:idx val="3"/>
          <c:order val="3"/>
          <c:tx>
            <c:strRef>
              <c:f>'GRAFICAS PYG'!$F$5</c:f>
              <c:strCache>
                <c:ptCount val="1"/>
                <c:pt idx="0">
                  <c:v>VENTAS SIN IVA 2019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'GRAFICAS PYG'!$B$6:$B$19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  <c:pt idx="13">
                  <c:v>TOTAL </c:v>
                </c:pt>
              </c:strCache>
            </c:strRef>
          </c:cat>
          <c:val>
            <c:numRef>
              <c:f>'GRAFICAS PYG'!$F$6:$F$19</c:f>
              <c:numCache>
                <c:formatCode>#,##0</c:formatCode>
                <c:ptCount val="14"/>
                <c:pt idx="0">
                  <c:v>7998115</c:v>
                </c:pt>
                <c:pt idx="1">
                  <c:v>4974355</c:v>
                </c:pt>
                <c:pt idx="2">
                  <c:v>7130437</c:v>
                </c:pt>
                <c:pt idx="3">
                  <c:v>6001004</c:v>
                </c:pt>
                <c:pt idx="4">
                  <c:v>7419178</c:v>
                </c:pt>
                <c:pt idx="5">
                  <c:v>6384585</c:v>
                </c:pt>
                <c:pt idx="6">
                  <c:v>4374077</c:v>
                </c:pt>
                <c:pt idx="7">
                  <c:v>8088583</c:v>
                </c:pt>
                <c:pt idx="8">
                  <c:v>5761435</c:v>
                </c:pt>
                <c:pt idx="9">
                  <c:v>5903667</c:v>
                </c:pt>
                <c:pt idx="10">
                  <c:v>6953987</c:v>
                </c:pt>
                <c:pt idx="11" formatCode="_(&quot;$&quot;\ * #,##0_);_(&quot;$&quot;\ * \(#,##0\);_(&quot;$&quot;\ * &quot;-&quot;??_);_(@_)">
                  <c:v>3580427</c:v>
                </c:pt>
                <c:pt idx="13">
                  <c:v>74569850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83-4A67-AB7C-71508ABBD4EE}"/>
            </c:ext>
          </c:extLst>
        </c:ser>
        <c:ser>
          <c:idx val="4"/>
          <c:order val="4"/>
          <c:tx>
            <c:strRef>
              <c:f>'GRAFICAS PYG'!$G$5</c:f>
              <c:strCache>
                <c:ptCount val="1"/>
                <c:pt idx="0">
                  <c:v>VENTAS SIN IVA 2018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'GRAFICAS PYG'!$B$6:$B$19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  <c:pt idx="13">
                  <c:v>TOTAL </c:v>
                </c:pt>
              </c:strCache>
            </c:strRef>
          </c:cat>
          <c:val>
            <c:numRef>
              <c:f>'GRAFICAS PYG'!$G$6:$G$19</c:f>
              <c:numCache>
                <c:formatCode>#,##0</c:formatCode>
                <c:ptCount val="14"/>
                <c:pt idx="0">
                  <c:v>5489862</c:v>
                </c:pt>
                <c:pt idx="1">
                  <c:v>7374328</c:v>
                </c:pt>
                <c:pt idx="2">
                  <c:v>5439456</c:v>
                </c:pt>
                <c:pt idx="3">
                  <c:v>7142915</c:v>
                </c:pt>
                <c:pt idx="4">
                  <c:v>5721041</c:v>
                </c:pt>
                <c:pt idx="5">
                  <c:v>4021740</c:v>
                </c:pt>
                <c:pt idx="6">
                  <c:v>1959742</c:v>
                </c:pt>
                <c:pt idx="7">
                  <c:v>4820282</c:v>
                </c:pt>
                <c:pt idx="8">
                  <c:v>6035931</c:v>
                </c:pt>
                <c:pt idx="9">
                  <c:v>10697305</c:v>
                </c:pt>
                <c:pt idx="10">
                  <c:v>7259988</c:v>
                </c:pt>
                <c:pt idx="11">
                  <c:v>8230584</c:v>
                </c:pt>
                <c:pt idx="13">
                  <c:v>74193174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83-4A67-AB7C-71508ABBD4EE}"/>
            </c:ext>
          </c:extLst>
        </c:ser>
        <c:ser>
          <c:idx val="5"/>
          <c:order val="5"/>
          <c:tx>
            <c:strRef>
              <c:f>'GRAFICAS PYG'!$H$5</c:f>
              <c:strCache>
                <c:ptCount val="1"/>
                <c:pt idx="0">
                  <c:v>VENTAS SIN IVA 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'GRAFICAS PYG'!$B$6:$B$19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  <c:pt idx="13">
                  <c:v>TOTAL </c:v>
                </c:pt>
              </c:strCache>
            </c:strRef>
          </c:cat>
          <c:val>
            <c:numRef>
              <c:f>'GRAFICAS PYG'!$H$6:$H$19</c:f>
              <c:numCache>
                <c:formatCode>#,##0</c:formatCode>
                <c:ptCount val="14"/>
                <c:pt idx="0">
                  <c:v>3111549</c:v>
                </c:pt>
                <c:pt idx="1">
                  <c:v>8157506</c:v>
                </c:pt>
                <c:pt idx="2">
                  <c:v>5780617</c:v>
                </c:pt>
                <c:pt idx="3">
                  <c:v>5636163</c:v>
                </c:pt>
                <c:pt idx="4">
                  <c:v>13796936</c:v>
                </c:pt>
                <c:pt idx="5">
                  <c:v>6565667</c:v>
                </c:pt>
                <c:pt idx="6">
                  <c:v>6138041</c:v>
                </c:pt>
                <c:pt idx="7">
                  <c:v>5449400</c:v>
                </c:pt>
                <c:pt idx="8">
                  <c:v>6941815</c:v>
                </c:pt>
                <c:pt idx="9">
                  <c:v>5541550</c:v>
                </c:pt>
                <c:pt idx="10">
                  <c:v>6901480</c:v>
                </c:pt>
                <c:pt idx="11" formatCode="_(&quot;$&quot;\ * #,##0_);_(&quot;$&quot;\ * \(#,##0\);_(&quot;$&quot;\ * &quot;-&quot;??_);_(@_)">
                  <c:v>7106144</c:v>
                </c:pt>
                <c:pt idx="13">
                  <c:v>81126868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83-4A67-AB7C-71508ABBD4EE}"/>
            </c:ext>
          </c:extLst>
        </c:ser>
        <c:ser>
          <c:idx val="6"/>
          <c:order val="6"/>
          <c:tx>
            <c:strRef>
              <c:f>'GRAFICAS PYG'!$I$5</c:f>
              <c:strCache>
                <c:ptCount val="1"/>
                <c:pt idx="0">
                  <c:v>GASTOS  2019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'GRAFICAS PYG'!$B$6:$B$19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  <c:pt idx="13">
                  <c:v>TOTAL </c:v>
                </c:pt>
              </c:strCache>
            </c:strRef>
          </c:cat>
          <c:val>
            <c:numRef>
              <c:f>'GRAFICAS PYG'!$I$6:$I$19</c:f>
              <c:numCache>
                <c:formatCode>#,##0</c:formatCode>
                <c:ptCount val="14"/>
                <c:pt idx="0">
                  <c:v>8192569</c:v>
                </c:pt>
                <c:pt idx="1">
                  <c:v>8084721</c:v>
                </c:pt>
                <c:pt idx="2">
                  <c:v>8025783</c:v>
                </c:pt>
                <c:pt idx="3">
                  <c:v>11161681</c:v>
                </c:pt>
                <c:pt idx="4">
                  <c:v>10164486</c:v>
                </c:pt>
                <c:pt idx="5">
                  <c:v>8433671</c:v>
                </c:pt>
                <c:pt idx="6">
                  <c:v>8752682</c:v>
                </c:pt>
                <c:pt idx="7">
                  <c:v>10250005</c:v>
                </c:pt>
                <c:pt idx="8">
                  <c:v>12341540.75</c:v>
                </c:pt>
                <c:pt idx="9">
                  <c:v>13788360.75</c:v>
                </c:pt>
                <c:pt idx="10">
                  <c:v>12146150.75</c:v>
                </c:pt>
                <c:pt idx="11">
                  <c:v>9554095.75</c:v>
                </c:pt>
                <c:pt idx="13">
                  <c:v>120895746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83-4A67-AB7C-71508ABBD4EE}"/>
            </c:ext>
          </c:extLst>
        </c:ser>
        <c:ser>
          <c:idx val="7"/>
          <c:order val="7"/>
          <c:tx>
            <c:strRef>
              <c:f>'GRAFICAS PYG'!$J$5</c:f>
              <c:strCache>
                <c:ptCount val="1"/>
                <c:pt idx="0">
                  <c:v>GASTOS  2018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'GRAFICAS PYG'!$B$6:$B$19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  <c:pt idx="13">
                  <c:v>TOTAL </c:v>
                </c:pt>
              </c:strCache>
            </c:strRef>
          </c:cat>
          <c:val>
            <c:numRef>
              <c:f>'GRAFICAS PYG'!$J$6:$J$19</c:f>
              <c:numCache>
                <c:formatCode>#,##0</c:formatCode>
                <c:ptCount val="14"/>
                <c:pt idx="0">
                  <c:v>7055307</c:v>
                </c:pt>
                <c:pt idx="1">
                  <c:v>8975623</c:v>
                </c:pt>
                <c:pt idx="2">
                  <c:v>9788704</c:v>
                </c:pt>
                <c:pt idx="3">
                  <c:v>9211395</c:v>
                </c:pt>
                <c:pt idx="4">
                  <c:v>8014528</c:v>
                </c:pt>
                <c:pt idx="5">
                  <c:v>7385244</c:v>
                </c:pt>
                <c:pt idx="6">
                  <c:v>7676064</c:v>
                </c:pt>
                <c:pt idx="7">
                  <c:v>9472439</c:v>
                </c:pt>
                <c:pt idx="8">
                  <c:v>16476675</c:v>
                </c:pt>
                <c:pt idx="9">
                  <c:v>10699836</c:v>
                </c:pt>
                <c:pt idx="10">
                  <c:v>12696365</c:v>
                </c:pt>
                <c:pt idx="11">
                  <c:v>8852048</c:v>
                </c:pt>
                <c:pt idx="13">
                  <c:v>116304228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83-4A67-AB7C-71508ABBD4EE}"/>
            </c:ext>
          </c:extLst>
        </c:ser>
        <c:ser>
          <c:idx val="8"/>
          <c:order val="8"/>
          <c:tx>
            <c:strRef>
              <c:f>'GRAFICAS PYG'!$K$5</c:f>
              <c:strCache>
                <c:ptCount val="1"/>
                <c:pt idx="0">
                  <c:v>GASTOS 2017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'GRAFICAS PYG'!$B$6:$B$19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  <c:pt idx="13">
                  <c:v>TOTAL </c:v>
                </c:pt>
              </c:strCache>
            </c:strRef>
          </c:cat>
          <c:val>
            <c:numRef>
              <c:f>'GRAFICAS PYG'!$K$6:$K$19</c:f>
              <c:numCache>
                <c:formatCode>#,##0</c:formatCode>
                <c:ptCount val="14"/>
                <c:pt idx="0">
                  <c:v>10452832</c:v>
                </c:pt>
                <c:pt idx="1">
                  <c:v>8843670</c:v>
                </c:pt>
                <c:pt idx="2">
                  <c:v>8621927</c:v>
                </c:pt>
                <c:pt idx="3">
                  <c:v>6162384</c:v>
                </c:pt>
                <c:pt idx="4">
                  <c:v>10155182</c:v>
                </c:pt>
                <c:pt idx="5">
                  <c:v>14240736</c:v>
                </c:pt>
                <c:pt idx="6">
                  <c:v>10531315</c:v>
                </c:pt>
                <c:pt idx="7">
                  <c:v>10083753</c:v>
                </c:pt>
                <c:pt idx="8">
                  <c:v>13656658</c:v>
                </c:pt>
                <c:pt idx="9">
                  <c:v>12463405</c:v>
                </c:pt>
                <c:pt idx="10">
                  <c:v>13179987</c:v>
                </c:pt>
                <c:pt idx="11">
                  <c:v>27294325</c:v>
                </c:pt>
                <c:pt idx="13">
                  <c:v>145686174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83-4A67-AB7C-71508ABBD4EE}"/>
            </c:ext>
          </c:extLst>
        </c:ser>
        <c:ser>
          <c:idx val="9"/>
          <c:order val="9"/>
          <c:tx>
            <c:strRef>
              <c:f>'GRAFICAS PYG'!$L$5</c:f>
              <c:strCache>
                <c:ptCount val="1"/>
                <c:pt idx="0">
                  <c:v>UTILIDAD 2019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'GRAFICAS PYG'!$B$6:$B$19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  <c:pt idx="13">
                  <c:v>TOTAL </c:v>
                </c:pt>
              </c:strCache>
            </c:strRef>
          </c:cat>
          <c:val>
            <c:numRef>
              <c:f>'GRAFICAS PYG'!$L$6:$L$19</c:f>
              <c:numCache>
                <c:formatCode>#,##0</c:formatCode>
                <c:ptCount val="14"/>
                <c:pt idx="0">
                  <c:v>5038468</c:v>
                </c:pt>
                <c:pt idx="1">
                  <c:v>3625618</c:v>
                </c:pt>
                <c:pt idx="2">
                  <c:v>3176999</c:v>
                </c:pt>
                <c:pt idx="3">
                  <c:v>3741891</c:v>
                </c:pt>
                <c:pt idx="4">
                  <c:v>2085937</c:v>
                </c:pt>
                <c:pt idx="5">
                  <c:v>492012</c:v>
                </c:pt>
                <c:pt idx="6">
                  <c:v>-2317677</c:v>
                </c:pt>
                <c:pt idx="7">
                  <c:v>-1439362</c:v>
                </c:pt>
                <c:pt idx="8">
                  <c:v>-4658595.75</c:v>
                </c:pt>
                <c:pt idx="9">
                  <c:v>-5944643.75</c:v>
                </c:pt>
                <c:pt idx="10">
                  <c:v>904815.25</c:v>
                </c:pt>
                <c:pt idx="11">
                  <c:v>4829226.25</c:v>
                </c:pt>
                <c:pt idx="13">
                  <c:v>9534688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83-4A67-AB7C-71508ABBD4EE}"/>
            </c:ext>
          </c:extLst>
        </c:ser>
        <c:ser>
          <c:idx val="10"/>
          <c:order val="10"/>
          <c:tx>
            <c:strRef>
              <c:f>'GRAFICAS PYG'!$M$5</c:f>
              <c:strCache>
                <c:ptCount val="1"/>
                <c:pt idx="0">
                  <c:v>UTILIDAD 2018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'GRAFICAS PYG'!$B$6:$B$19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  <c:pt idx="13">
                  <c:v>TOTAL </c:v>
                </c:pt>
              </c:strCache>
            </c:strRef>
          </c:cat>
          <c:val>
            <c:numRef>
              <c:f>'GRAFICAS PYG'!$M$6:$M$19</c:f>
              <c:numCache>
                <c:formatCode>#,##0</c:formatCode>
                <c:ptCount val="14"/>
                <c:pt idx="0">
                  <c:v>18954229</c:v>
                </c:pt>
                <c:pt idx="1">
                  <c:v>-1253685</c:v>
                </c:pt>
                <c:pt idx="2">
                  <c:v>-4103720</c:v>
                </c:pt>
                <c:pt idx="3">
                  <c:v>-1756692</c:v>
                </c:pt>
                <c:pt idx="4">
                  <c:v>-222899</c:v>
                </c:pt>
                <c:pt idx="5">
                  <c:v>822721</c:v>
                </c:pt>
                <c:pt idx="6">
                  <c:v>-2214002</c:v>
                </c:pt>
                <c:pt idx="7">
                  <c:v>8804469</c:v>
                </c:pt>
                <c:pt idx="8">
                  <c:v>-10440744</c:v>
                </c:pt>
                <c:pt idx="9">
                  <c:v>4755101</c:v>
                </c:pt>
                <c:pt idx="10">
                  <c:v>-380592</c:v>
                </c:pt>
                <c:pt idx="11">
                  <c:v>5224186</c:v>
                </c:pt>
                <c:pt idx="13">
                  <c:v>18188372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83-4A67-AB7C-71508ABBD4EE}"/>
            </c:ext>
          </c:extLst>
        </c:ser>
        <c:ser>
          <c:idx val="11"/>
          <c:order val="11"/>
          <c:tx>
            <c:strRef>
              <c:f>'GRAFICAS PYG'!$N$5</c:f>
              <c:strCache>
                <c:ptCount val="1"/>
                <c:pt idx="0">
                  <c:v>UTILIDAD  2017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'GRAFICAS PYG'!$B$6:$B$19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  <c:pt idx="13">
                  <c:v>TOTAL </c:v>
                </c:pt>
              </c:strCache>
            </c:strRef>
          </c:cat>
          <c:val>
            <c:numRef>
              <c:f>'GRAFICAS PYG'!$N$6:$N$19</c:f>
              <c:numCache>
                <c:formatCode>#,##0</c:formatCode>
                <c:ptCount val="14"/>
                <c:pt idx="0">
                  <c:v>-3272885</c:v>
                </c:pt>
                <c:pt idx="1">
                  <c:v>3095521</c:v>
                </c:pt>
                <c:pt idx="2">
                  <c:v>423035</c:v>
                </c:pt>
                <c:pt idx="3">
                  <c:v>5188303</c:v>
                </c:pt>
                <c:pt idx="4">
                  <c:v>5204853</c:v>
                </c:pt>
                <c:pt idx="5">
                  <c:v>-5170532</c:v>
                </c:pt>
                <c:pt idx="6">
                  <c:v>9983538</c:v>
                </c:pt>
                <c:pt idx="7">
                  <c:v>5208815</c:v>
                </c:pt>
                <c:pt idx="8">
                  <c:v>92670</c:v>
                </c:pt>
                <c:pt idx="9">
                  <c:v>-3000416</c:v>
                </c:pt>
                <c:pt idx="10">
                  <c:v>-3733117</c:v>
                </c:pt>
                <c:pt idx="11">
                  <c:v>48325460</c:v>
                </c:pt>
                <c:pt idx="13">
                  <c:v>62345245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83-4A67-AB7C-71508ABBD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596480"/>
        <c:axId val="158405760"/>
      </c:barChart>
      <c:catAx>
        <c:axId val="15859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8405760"/>
        <c:crosses val="autoZero"/>
        <c:auto val="1"/>
        <c:lblAlgn val="ctr"/>
        <c:lblOffset val="100"/>
        <c:noMultiLvlLbl val="0"/>
      </c:catAx>
      <c:valAx>
        <c:axId val="15840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859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233361</xdr:colOff>
      <xdr:row>68</xdr:row>
      <xdr:rowOff>61912</xdr:rowOff>
    </xdr:from>
    <xdr:to>
      <xdr:col>21</xdr:col>
      <xdr:colOff>257175</xdr:colOff>
      <xdr:row>90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ABF788-7999-45D7-9708-4C54185CC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271461</xdr:colOff>
      <xdr:row>98</xdr:row>
      <xdr:rowOff>119062</xdr:rowOff>
    </xdr:from>
    <xdr:to>
      <xdr:col>21</xdr:col>
      <xdr:colOff>276225</xdr:colOff>
      <xdr:row>122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4B3AACD-DD72-461E-BD0B-E246C3886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257174</xdr:colOff>
      <xdr:row>125</xdr:row>
      <xdr:rowOff>47624</xdr:rowOff>
    </xdr:from>
    <xdr:to>
      <xdr:col>19</xdr:col>
      <xdr:colOff>495300</xdr:colOff>
      <xdr:row>155</xdr:row>
      <xdr:rowOff>152399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907D68-1B6F-4FCB-A2D2-01365FF75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304800</xdr:colOff>
      <xdr:row>40</xdr:row>
      <xdr:rowOff>47625</xdr:rowOff>
    </xdr:from>
    <xdr:to>
      <xdr:col>22</xdr:col>
      <xdr:colOff>276225</xdr:colOff>
      <xdr:row>63</xdr:row>
      <xdr:rowOff>157163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65C3B72-AEB7-4D91-9B4F-12ECEC83E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209551</xdr:colOff>
      <xdr:row>3</xdr:row>
      <xdr:rowOff>66675</xdr:rowOff>
    </xdr:from>
    <xdr:to>
      <xdr:col>23</xdr:col>
      <xdr:colOff>704851</xdr:colOff>
      <xdr:row>35</xdr:row>
      <xdr:rowOff>47624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GIO/AppData/Roaming/Microsoft/Excel/INFORME%202019%20ultima%20(version%201)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ublic/Documents/EQUIORIENTE/2019/deudores%20equioriente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YG "/>
      <sheetName val="GRAFICAS PYG"/>
      <sheetName val="PRESUPUESTO"/>
      <sheetName val="balance"/>
    </sheetNames>
    <sheetDataSet>
      <sheetData sheetId="0">
        <row r="8">
          <cell r="AP8">
            <v>53036592</v>
          </cell>
          <cell r="AT8">
            <v>58092377</v>
          </cell>
          <cell r="AX8">
            <v>63938027</v>
          </cell>
        </row>
        <row r="47">
          <cell r="AP47">
            <v>11000000</v>
          </cell>
          <cell r="AT47">
            <v>12000000</v>
          </cell>
          <cell r="AX47">
            <v>13000000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NOXCOL"/>
      <sheetName val=" AURBANA"/>
      <sheetName val="CONSTRUCASA"/>
      <sheetName val="GONSALEZ BOHORQUEZ"/>
      <sheetName val="FENIX CONSTRUCCIONES"/>
      <sheetName val="CONSORCIO SAN IGNACIO"/>
    </sheetNames>
    <sheetDataSet>
      <sheetData sheetId="0"/>
      <sheetData sheetId="1">
        <row r="24">
          <cell r="E24">
            <v>646807</v>
          </cell>
        </row>
      </sheetData>
      <sheetData sheetId="2">
        <row r="12">
          <cell r="E12">
            <v>11054406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V153"/>
  <sheetViews>
    <sheetView tabSelected="1" view="pageBreakPreview" zoomScale="112" zoomScaleNormal="82" zoomScaleSheetLayoutView="112" workbookViewId="0">
      <pane xSplit="1" topLeftCell="B1" activePane="topRight" state="frozen"/>
      <selection pane="topRight" activeCell="A3" sqref="A3"/>
    </sheetView>
  </sheetViews>
  <sheetFormatPr baseColWidth="10" defaultRowHeight="15" x14ac:dyDescent="0.25"/>
  <cols>
    <col min="2" max="2" width="47.7109375" customWidth="1"/>
    <col min="3" max="3" width="11.42578125" bestFit="1" customWidth="1"/>
    <col min="4" max="4" width="12.140625" bestFit="1" customWidth="1"/>
    <col min="5" max="5" width="13.7109375" bestFit="1" customWidth="1"/>
    <col min="6" max="6" width="8.5703125" customWidth="1"/>
    <col min="7" max="7" width="11.42578125" bestFit="1" customWidth="1"/>
    <col min="8" max="8" width="12.140625" bestFit="1" customWidth="1"/>
    <col min="9" max="9" width="15.5703125" bestFit="1" customWidth="1"/>
    <col min="10" max="10" width="11.28515625" bestFit="1" customWidth="1"/>
    <col min="11" max="11" width="12.140625" bestFit="1" customWidth="1"/>
    <col min="12" max="12" width="13.7109375" bestFit="1" customWidth="1"/>
    <col min="13" max="13" width="14.7109375" customWidth="1"/>
    <col min="14" max="15" width="12.140625" bestFit="1" customWidth="1"/>
    <col min="16" max="16" width="17.85546875" bestFit="1" customWidth="1"/>
    <col min="17" max="17" width="17.5703125" customWidth="1"/>
    <col min="18" max="18" width="12.140625" bestFit="1" customWidth="1"/>
    <col min="19" max="20" width="13.7109375" bestFit="1" customWidth="1"/>
    <col min="22" max="22" width="12.140625" bestFit="1" customWidth="1"/>
    <col min="23" max="23" width="14.42578125" bestFit="1" customWidth="1"/>
    <col min="24" max="24" width="17.85546875" bestFit="1" customWidth="1"/>
    <col min="26" max="26" width="14.42578125" bestFit="1" customWidth="1"/>
    <col min="27" max="27" width="14.42578125" style="28" bestFit="1" customWidth="1"/>
    <col min="29" max="29" width="12.140625" bestFit="1" customWidth="1"/>
    <col min="30" max="30" width="14.42578125" bestFit="1" customWidth="1"/>
    <col min="31" max="31" width="17.85546875" bestFit="1" customWidth="1"/>
    <col min="32" max="32" width="13.7109375" customWidth="1"/>
    <col min="33" max="33" width="12.140625" style="138" bestFit="1" customWidth="1"/>
    <col min="34" max="34" width="12.5703125" bestFit="1" customWidth="1"/>
    <col min="35" max="35" width="17.85546875" bestFit="1" customWidth="1"/>
    <col min="36" max="36" width="13" customWidth="1"/>
    <col min="37" max="37" width="14.7109375" customWidth="1"/>
    <col min="38" max="38" width="12.140625" bestFit="1" customWidth="1"/>
    <col min="39" max="39" width="17.42578125" customWidth="1"/>
    <col min="41" max="41" width="12.140625" bestFit="1" customWidth="1"/>
    <col min="42" max="42" width="14.85546875" customWidth="1"/>
    <col min="43" max="43" width="17.85546875" bestFit="1" customWidth="1"/>
    <col min="44" max="44" width="13.5703125" customWidth="1"/>
    <col min="45" max="46" width="12.140625" bestFit="1" customWidth="1"/>
    <col min="47" max="47" width="17.85546875" bestFit="1" customWidth="1"/>
  </cols>
  <sheetData>
    <row r="1" spans="1:48" ht="20.25" x14ac:dyDescent="0.3">
      <c r="A1" s="192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</row>
    <row r="2" spans="1:48" ht="20.25" x14ac:dyDescent="0.3">
      <c r="A2" s="192" t="s">
        <v>466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</row>
    <row r="3" spans="1:48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48" ht="15.75" customHeight="1" thickBot="1" x14ac:dyDescent="0.3">
      <c r="A4" s="1"/>
      <c r="B4" s="1"/>
      <c r="C4" s="182" t="s">
        <v>176</v>
      </c>
      <c r="D4" s="183"/>
      <c r="E4" s="183"/>
      <c r="F4" s="184"/>
      <c r="G4" s="182" t="s">
        <v>327</v>
      </c>
      <c r="H4" s="183"/>
      <c r="I4" s="183"/>
      <c r="J4" s="182" t="s">
        <v>328</v>
      </c>
      <c r="K4" s="183"/>
      <c r="L4" s="183"/>
      <c r="M4" s="184"/>
      <c r="N4" s="182" t="s">
        <v>329</v>
      </c>
      <c r="O4" s="183"/>
      <c r="P4" s="183"/>
      <c r="Q4" s="184"/>
      <c r="R4" s="182" t="s">
        <v>326</v>
      </c>
      <c r="S4" s="183"/>
      <c r="T4" s="183"/>
      <c r="U4" s="184"/>
      <c r="V4" s="182" t="s">
        <v>330</v>
      </c>
      <c r="W4" s="183"/>
      <c r="X4" s="183"/>
      <c r="Y4" s="182" t="s">
        <v>331</v>
      </c>
      <c r="Z4" s="183"/>
      <c r="AA4" s="183"/>
      <c r="AB4" s="184"/>
      <c r="AC4" s="182" t="s">
        <v>332</v>
      </c>
      <c r="AD4" s="183"/>
      <c r="AE4" s="183"/>
      <c r="AF4" s="184"/>
      <c r="AG4" s="182" t="s">
        <v>365</v>
      </c>
      <c r="AH4" s="183"/>
      <c r="AI4" s="183"/>
      <c r="AJ4" s="184"/>
      <c r="AK4" s="182" t="s">
        <v>381</v>
      </c>
      <c r="AL4" s="183"/>
      <c r="AM4" s="183"/>
      <c r="AN4" s="184"/>
      <c r="AO4" s="182" t="s">
        <v>382</v>
      </c>
      <c r="AP4" s="183"/>
      <c r="AQ4" s="183"/>
      <c r="AR4" s="184"/>
      <c r="AS4" s="182" t="s">
        <v>383</v>
      </c>
      <c r="AT4" s="183"/>
      <c r="AU4" s="183"/>
      <c r="AV4" s="184"/>
    </row>
    <row r="5" spans="1:48" ht="15" customHeight="1" x14ac:dyDescent="0.25">
      <c r="A5" s="187" t="s">
        <v>1</v>
      </c>
      <c r="B5" s="186"/>
      <c r="C5" s="185" t="s">
        <v>366</v>
      </c>
      <c r="D5" s="185"/>
      <c r="E5" s="185" t="s">
        <v>367</v>
      </c>
      <c r="F5" s="186"/>
      <c r="G5" s="188" t="s">
        <v>368</v>
      </c>
      <c r="H5" s="189"/>
      <c r="I5" s="32" t="s">
        <v>369</v>
      </c>
      <c r="J5" s="187" t="s">
        <v>370</v>
      </c>
      <c r="K5" s="185"/>
      <c r="L5" s="190" t="s">
        <v>371</v>
      </c>
      <c r="M5" s="191"/>
      <c r="N5" s="187" t="s">
        <v>372</v>
      </c>
      <c r="O5" s="185"/>
      <c r="P5" s="185" t="s">
        <v>373</v>
      </c>
      <c r="Q5" s="186"/>
      <c r="R5" s="185" t="s">
        <v>374</v>
      </c>
      <c r="S5" s="185"/>
      <c r="T5" s="185" t="s">
        <v>367</v>
      </c>
      <c r="U5" s="186"/>
      <c r="V5" s="188" t="s">
        <v>375</v>
      </c>
      <c r="W5" s="189"/>
      <c r="X5" s="125" t="s">
        <v>376</v>
      </c>
      <c r="Y5" s="187" t="s">
        <v>377</v>
      </c>
      <c r="Z5" s="185"/>
      <c r="AA5" s="190" t="s">
        <v>378</v>
      </c>
      <c r="AB5" s="191"/>
      <c r="AC5" s="187" t="s">
        <v>379</v>
      </c>
      <c r="AD5" s="185"/>
      <c r="AE5" s="185" t="s">
        <v>380</v>
      </c>
      <c r="AF5" s="186"/>
      <c r="AG5" s="187" t="s">
        <v>446</v>
      </c>
      <c r="AH5" s="185"/>
      <c r="AI5" s="185" t="s">
        <v>447</v>
      </c>
      <c r="AJ5" s="186"/>
      <c r="AK5" s="187" t="s">
        <v>448</v>
      </c>
      <c r="AL5" s="185"/>
      <c r="AM5" s="185" t="s">
        <v>449</v>
      </c>
      <c r="AN5" s="186"/>
      <c r="AO5" s="187" t="s">
        <v>450</v>
      </c>
      <c r="AP5" s="185"/>
      <c r="AQ5" s="185" t="s">
        <v>451</v>
      </c>
      <c r="AR5" s="186"/>
      <c r="AS5" s="187" t="s">
        <v>452</v>
      </c>
      <c r="AT5" s="185"/>
      <c r="AU5" s="185" t="s">
        <v>453</v>
      </c>
      <c r="AV5" s="186"/>
    </row>
    <row r="6" spans="1:48" ht="15" customHeight="1" x14ac:dyDescent="0.25">
      <c r="A6" s="8" t="s">
        <v>2</v>
      </c>
      <c r="B6" s="9" t="s">
        <v>3</v>
      </c>
      <c r="C6" s="10" t="s">
        <v>4</v>
      </c>
      <c r="D6" s="10" t="s">
        <v>5</v>
      </c>
      <c r="E6" s="10" t="s">
        <v>6</v>
      </c>
      <c r="F6" s="9"/>
      <c r="G6" s="11" t="s">
        <v>4</v>
      </c>
      <c r="H6" s="10" t="s">
        <v>5</v>
      </c>
      <c r="I6" s="10" t="s">
        <v>6</v>
      </c>
      <c r="J6" s="12" t="s">
        <v>4</v>
      </c>
      <c r="K6" s="10" t="s">
        <v>5</v>
      </c>
      <c r="L6" s="10" t="s">
        <v>6</v>
      </c>
      <c r="M6" s="9"/>
      <c r="N6" s="12" t="s">
        <v>4</v>
      </c>
      <c r="O6" s="10" t="s">
        <v>5</v>
      </c>
      <c r="P6" s="10" t="s">
        <v>6</v>
      </c>
      <c r="Q6" s="9"/>
      <c r="R6" s="10" t="s">
        <v>4</v>
      </c>
      <c r="S6" s="10" t="s">
        <v>5</v>
      </c>
      <c r="T6" s="10" t="s">
        <v>6</v>
      </c>
      <c r="U6" s="9"/>
      <c r="V6" s="11" t="s">
        <v>4</v>
      </c>
      <c r="W6" s="10" t="s">
        <v>5</v>
      </c>
      <c r="X6" s="10" t="s">
        <v>6</v>
      </c>
      <c r="Y6" s="12" t="s">
        <v>4</v>
      </c>
      <c r="Z6" s="10" t="s">
        <v>5</v>
      </c>
      <c r="AA6" s="10" t="s">
        <v>6</v>
      </c>
      <c r="AB6" s="9"/>
      <c r="AC6" s="12" t="s">
        <v>4</v>
      </c>
      <c r="AD6" s="10" t="s">
        <v>5</v>
      </c>
      <c r="AE6" s="10" t="s">
        <v>6</v>
      </c>
      <c r="AF6" s="9"/>
      <c r="AG6" s="9" t="s">
        <v>4</v>
      </c>
      <c r="AH6" s="10" t="s">
        <v>5</v>
      </c>
      <c r="AI6" s="10" t="s">
        <v>6</v>
      </c>
      <c r="AJ6" s="9"/>
      <c r="AK6" s="12" t="s">
        <v>4</v>
      </c>
      <c r="AL6" s="10" t="s">
        <v>5</v>
      </c>
      <c r="AM6" s="10" t="s">
        <v>6</v>
      </c>
      <c r="AN6" s="9"/>
      <c r="AO6" s="12" t="s">
        <v>4</v>
      </c>
      <c r="AP6" s="10" t="s">
        <v>5</v>
      </c>
      <c r="AQ6" s="10" t="s">
        <v>6</v>
      </c>
      <c r="AR6" s="9"/>
      <c r="AS6" s="12" t="s">
        <v>4</v>
      </c>
      <c r="AT6" s="10" t="s">
        <v>5</v>
      </c>
      <c r="AU6" s="10" t="s">
        <v>6</v>
      </c>
      <c r="AV6" s="9"/>
    </row>
    <row r="7" spans="1:48" x14ac:dyDescent="0.25">
      <c r="A7" s="37" t="s">
        <v>7</v>
      </c>
      <c r="B7" s="38" t="s">
        <v>8</v>
      </c>
      <c r="C7" s="39">
        <v>0</v>
      </c>
      <c r="D7" s="39">
        <f>D8+D14</f>
        <v>15080037</v>
      </c>
      <c r="E7" s="39">
        <f>E8+E14</f>
        <v>15080037</v>
      </c>
      <c r="F7" s="40"/>
      <c r="G7" s="39">
        <v>0</v>
      </c>
      <c r="H7" s="39">
        <f>H8+H14</f>
        <v>13559340</v>
      </c>
      <c r="I7" s="39">
        <f t="shared" ref="I7:I25" si="0">E7+H7</f>
        <v>28639377</v>
      </c>
      <c r="J7" s="41">
        <v>0</v>
      </c>
      <c r="K7" s="39">
        <f>K8+K14</f>
        <v>12451739</v>
      </c>
      <c r="L7" s="39">
        <f>I7+K7</f>
        <v>41091116</v>
      </c>
      <c r="M7" s="40"/>
      <c r="N7" s="41">
        <v>0</v>
      </c>
      <c r="O7" s="39">
        <f>O8+O14</f>
        <v>16172397</v>
      </c>
      <c r="P7" s="39">
        <f t="shared" ref="P7:P12" si="1">L7+O7</f>
        <v>57263513</v>
      </c>
      <c r="Q7" s="40"/>
      <c r="R7" s="18">
        <v>0</v>
      </c>
      <c r="S7" s="39">
        <f>S8+S14</f>
        <v>13539222</v>
      </c>
      <c r="T7" s="39">
        <f>+P7+S7</f>
        <v>70802735</v>
      </c>
      <c r="U7" s="40"/>
      <c r="V7" s="39">
        <v>0</v>
      </c>
      <c r="W7" s="39">
        <f>W8+W14</f>
        <v>10214483</v>
      </c>
      <c r="X7" s="39">
        <f>+T7+W7</f>
        <v>81017218</v>
      </c>
      <c r="Y7" s="41">
        <v>0</v>
      </c>
      <c r="Z7" s="39">
        <f>Z8+Z14</f>
        <v>7723804</v>
      </c>
      <c r="AA7" s="39">
        <f>+X7+Z7</f>
        <v>88741022</v>
      </c>
      <c r="AB7" s="40"/>
      <c r="AC7" s="41">
        <v>0</v>
      </c>
      <c r="AD7" s="39">
        <f>AD8+AD14</f>
        <v>10099562</v>
      </c>
      <c r="AE7" s="39">
        <f t="shared" ref="AE7:AG12" si="2">AA7+AD7</f>
        <v>98840584</v>
      </c>
      <c r="AF7" s="40"/>
      <c r="AG7" s="139">
        <v>0</v>
      </c>
      <c r="AH7" s="39">
        <f>AH8+AH14</f>
        <v>8971745</v>
      </c>
      <c r="AI7" s="39">
        <f t="shared" ref="AI7:AI12" si="3">AE7+AH7</f>
        <v>107812329</v>
      </c>
      <c r="AJ7" s="40"/>
      <c r="AK7" s="41">
        <v>0</v>
      </c>
      <c r="AL7" s="39">
        <f>AL8+AL14</f>
        <v>9132517</v>
      </c>
      <c r="AM7" s="39">
        <f t="shared" ref="AM7:AM12" si="4">AI7+AL7</f>
        <v>116944846</v>
      </c>
      <c r="AN7" s="40"/>
      <c r="AO7" s="41">
        <v>0</v>
      </c>
      <c r="AP7" s="39">
        <f>AP8+AP14</f>
        <v>14339766</v>
      </c>
      <c r="AQ7" s="39">
        <f t="shared" ref="AQ7:AQ12" si="5">AM7+AP7</f>
        <v>131284612</v>
      </c>
      <c r="AR7" s="40"/>
      <c r="AS7" s="41">
        <v>0</v>
      </c>
      <c r="AT7" s="39">
        <f>AT8+AT14</f>
        <v>15672122</v>
      </c>
      <c r="AU7" s="39">
        <f t="shared" ref="AU7:AU12" si="6">AQ7+AT7</f>
        <v>146956734</v>
      </c>
      <c r="AV7" s="40"/>
    </row>
    <row r="8" spans="1:48" ht="23.25" customHeight="1" x14ac:dyDescent="0.25">
      <c r="A8" s="14" t="s">
        <v>9</v>
      </c>
      <c r="B8" s="15" t="s">
        <v>10</v>
      </c>
      <c r="C8" s="17">
        <v>0</v>
      </c>
      <c r="D8" s="18">
        <f>D9</f>
        <v>5232922</v>
      </c>
      <c r="E8" s="18">
        <f>E9</f>
        <v>5232922</v>
      </c>
      <c r="F8" s="19"/>
      <c r="G8" s="17">
        <v>0</v>
      </c>
      <c r="H8" s="18">
        <f>H9</f>
        <v>6735984</v>
      </c>
      <c r="I8" s="17">
        <f t="shared" si="0"/>
        <v>11968906</v>
      </c>
      <c r="J8" s="16">
        <v>0</v>
      </c>
      <c r="K8" s="17">
        <f>K9</f>
        <v>4072345</v>
      </c>
      <c r="L8" s="13">
        <f>I8+K8</f>
        <v>16041251</v>
      </c>
      <c r="M8" s="19"/>
      <c r="N8" s="17">
        <v>0</v>
      </c>
      <c r="O8" s="17">
        <f>O9</f>
        <v>8902568</v>
      </c>
      <c r="P8" s="13">
        <f t="shared" si="1"/>
        <v>24943819</v>
      </c>
      <c r="Q8" s="19"/>
      <c r="R8" s="18">
        <v>0</v>
      </c>
      <c r="S8" s="18">
        <f>S9</f>
        <v>4831245</v>
      </c>
      <c r="T8" s="42">
        <f t="shared" ref="T8:T12" si="7">+P8+S8</f>
        <v>29775064</v>
      </c>
      <c r="U8" s="31"/>
      <c r="V8" s="17">
        <v>0</v>
      </c>
      <c r="W8" s="18">
        <f>W9</f>
        <v>2541098</v>
      </c>
      <c r="X8" s="17">
        <f t="shared" ref="X8:X12" si="8">T8+W8</f>
        <v>32316162</v>
      </c>
      <c r="Y8" s="16">
        <v>0</v>
      </c>
      <c r="Z8" s="17">
        <f>Z9</f>
        <v>2060928</v>
      </c>
      <c r="AA8" s="30">
        <f>+X8+Z8</f>
        <v>34377090</v>
      </c>
      <c r="AB8" s="31"/>
      <c r="AC8" s="17">
        <v>0</v>
      </c>
      <c r="AD8" s="17">
        <f>AD9</f>
        <v>722060</v>
      </c>
      <c r="AE8" s="13">
        <f t="shared" si="2"/>
        <v>35099150</v>
      </c>
      <c r="AF8" s="31"/>
      <c r="AG8" s="18">
        <v>0</v>
      </c>
      <c r="AH8" s="17">
        <f>AH9</f>
        <v>1921510</v>
      </c>
      <c r="AI8" s="13">
        <f t="shared" si="3"/>
        <v>37020660</v>
      </c>
      <c r="AJ8" s="31"/>
      <c r="AK8" s="30">
        <v>0</v>
      </c>
      <c r="AL8" s="17">
        <f>AL9</f>
        <v>1940050</v>
      </c>
      <c r="AM8" s="13">
        <f t="shared" si="4"/>
        <v>38960710</v>
      </c>
      <c r="AN8" s="31"/>
      <c r="AO8" s="30">
        <f t="shared" ref="AO8" si="9">AK8+AN8</f>
        <v>0</v>
      </c>
      <c r="AP8" s="17">
        <f>AP9</f>
        <v>6096979</v>
      </c>
      <c r="AQ8" s="13">
        <f t="shared" si="5"/>
        <v>45057689</v>
      </c>
      <c r="AR8" s="31"/>
      <c r="AS8" s="30">
        <f t="shared" ref="AS8" si="10">AO8+AR8</f>
        <v>0</v>
      </c>
      <c r="AT8" s="17">
        <f>AT9</f>
        <v>10802895</v>
      </c>
      <c r="AU8" s="13">
        <f t="shared" si="6"/>
        <v>55860584</v>
      </c>
      <c r="AV8" s="31"/>
    </row>
    <row r="9" spans="1:48" x14ac:dyDescent="0.25">
      <c r="A9" s="14" t="s">
        <v>11</v>
      </c>
      <c r="B9" s="15" t="s">
        <v>12</v>
      </c>
      <c r="C9" s="17">
        <v>0</v>
      </c>
      <c r="D9" s="17">
        <f>+D10+D11+D12</f>
        <v>5232922</v>
      </c>
      <c r="E9" s="17">
        <f>D9</f>
        <v>5232922</v>
      </c>
      <c r="F9" s="19"/>
      <c r="G9" s="17">
        <v>0</v>
      </c>
      <c r="H9" s="17">
        <f>+H10+H11+H12</f>
        <v>6735984</v>
      </c>
      <c r="I9" s="17">
        <f t="shared" si="0"/>
        <v>11968906</v>
      </c>
      <c r="J9" s="16">
        <v>0</v>
      </c>
      <c r="K9" s="17">
        <f>K10+K11+K12</f>
        <v>4072345</v>
      </c>
      <c r="L9" s="13">
        <f t="shared" ref="L9:L25" si="11">I9+K9</f>
        <v>16041251</v>
      </c>
      <c r="M9" s="19"/>
      <c r="N9" s="17">
        <v>0</v>
      </c>
      <c r="O9" s="17">
        <f>O10+O11+O12</f>
        <v>8902568</v>
      </c>
      <c r="P9" s="13">
        <f t="shared" si="1"/>
        <v>24943819</v>
      </c>
      <c r="Q9" s="19"/>
      <c r="R9" s="18">
        <v>0</v>
      </c>
      <c r="S9" s="17">
        <f>+S10+S11+S12</f>
        <v>4831245</v>
      </c>
      <c r="T9" s="42">
        <f>+P9+S9</f>
        <v>29775064</v>
      </c>
      <c r="U9" s="31"/>
      <c r="V9" s="17">
        <v>0</v>
      </c>
      <c r="W9" s="17">
        <f>+W10+W11+W12</f>
        <v>2541098</v>
      </c>
      <c r="X9" s="17">
        <f t="shared" si="8"/>
        <v>32316162</v>
      </c>
      <c r="Y9" s="16">
        <v>0</v>
      </c>
      <c r="Z9" s="17">
        <f>+Z10+Z12</f>
        <v>2060928</v>
      </c>
      <c r="AA9" s="30">
        <f>+AA10+AA11+AA12</f>
        <v>34377090</v>
      </c>
      <c r="AB9" s="31"/>
      <c r="AC9" s="17">
        <v>0</v>
      </c>
      <c r="AD9" s="17">
        <f>+AD10+AD11+AD12</f>
        <v>722060</v>
      </c>
      <c r="AE9" s="13">
        <f t="shared" si="2"/>
        <v>35099150</v>
      </c>
      <c r="AF9" s="31"/>
      <c r="AG9" s="18">
        <f t="shared" si="2"/>
        <v>0</v>
      </c>
      <c r="AH9" s="17">
        <f>+AH10+AH11+AH12</f>
        <v>1921510</v>
      </c>
      <c r="AI9" s="13">
        <f t="shared" si="3"/>
        <v>37020660</v>
      </c>
      <c r="AJ9" s="31"/>
      <c r="AK9" s="30">
        <f t="shared" ref="AK9" si="12">AG9+AJ9</f>
        <v>0</v>
      </c>
      <c r="AL9" s="17">
        <f>+AL10+AL11+AL12</f>
        <v>1940050</v>
      </c>
      <c r="AM9" s="13">
        <f t="shared" si="4"/>
        <v>38960710</v>
      </c>
      <c r="AN9" s="31"/>
      <c r="AO9" s="30">
        <f t="shared" ref="AO9" si="13">AK9+AN9</f>
        <v>0</v>
      </c>
      <c r="AP9" s="17">
        <f>+AP10+AP11+AP12</f>
        <v>6096979</v>
      </c>
      <c r="AQ9" s="13">
        <f t="shared" si="5"/>
        <v>45057689</v>
      </c>
      <c r="AR9" s="31"/>
      <c r="AS9" s="30">
        <f>AO9+AR9</f>
        <v>0</v>
      </c>
      <c r="AT9" s="17">
        <f>+AT10+AT11+AT12</f>
        <v>10802895</v>
      </c>
      <c r="AU9" s="13">
        <f t="shared" si="6"/>
        <v>55860584</v>
      </c>
      <c r="AV9" s="31"/>
    </row>
    <row r="10" spans="1:48" x14ac:dyDescent="0.25">
      <c r="A10" s="14" t="s">
        <v>13</v>
      </c>
      <c r="B10" s="15" t="s">
        <v>136</v>
      </c>
      <c r="C10" s="17">
        <v>0</v>
      </c>
      <c r="D10" s="42">
        <v>4907922</v>
      </c>
      <c r="E10" s="17">
        <f>+D10</f>
        <v>4907922</v>
      </c>
      <c r="F10" s="19"/>
      <c r="G10" s="17">
        <v>0</v>
      </c>
      <c r="H10" s="17">
        <v>6635984</v>
      </c>
      <c r="I10" s="17">
        <f t="shared" si="0"/>
        <v>11543906</v>
      </c>
      <c r="J10" s="16">
        <v>0</v>
      </c>
      <c r="K10" s="17">
        <v>4072345</v>
      </c>
      <c r="L10" s="13">
        <f t="shared" si="11"/>
        <v>15616251</v>
      </c>
      <c r="M10" s="19"/>
      <c r="N10" s="17">
        <v>0</v>
      </c>
      <c r="O10" s="17">
        <v>8155068</v>
      </c>
      <c r="P10" s="13">
        <f t="shared" si="1"/>
        <v>23771319</v>
      </c>
      <c r="Q10" s="19"/>
      <c r="R10" s="18">
        <v>0</v>
      </c>
      <c r="S10" s="42">
        <v>4596245</v>
      </c>
      <c r="T10" s="42">
        <f t="shared" si="7"/>
        <v>28367564</v>
      </c>
      <c r="U10" s="31"/>
      <c r="V10" s="17">
        <v>0</v>
      </c>
      <c r="W10" s="17">
        <v>2343598</v>
      </c>
      <c r="X10" s="17">
        <f t="shared" si="8"/>
        <v>30711162</v>
      </c>
      <c r="Y10" s="16">
        <v>0</v>
      </c>
      <c r="Z10" s="17">
        <v>1900928</v>
      </c>
      <c r="AA10" s="30">
        <f t="shared" ref="AA10:AA13" si="14">+X10+Z10</f>
        <v>32612090</v>
      </c>
      <c r="AB10" s="31"/>
      <c r="AC10" s="17">
        <v>0</v>
      </c>
      <c r="AD10" s="17">
        <v>497060</v>
      </c>
      <c r="AE10" s="13">
        <f t="shared" si="2"/>
        <v>33109150</v>
      </c>
      <c r="AF10" s="31"/>
      <c r="AG10" s="18">
        <v>0</v>
      </c>
      <c r="AH10" s="17">
        <v>1771510</v>
      </c>
      <c r="AI10" s="13">
        <f t="shared" si="3"/>
        <v>34880660</v>
      </c>
      <c r="AJ10" s="31"/>
      <c r="AK10" s="17">
        <v>0</v>
      </c>
      <c r="AL10" s="17">
        <v>1735050</v>
      </c>
      <c r="AM10" s="13">
        <f t="shared" si="4"/>
        <v>36615710</v>
      </c>
      <c r="AN10" s="31"/>
      <c r="AO10" s="17">
        <v>0</v>
      </c>
      <c r="AP10" s="17">
        <v>5463429</v>
      </c>
      <c r="AQ10" s="13">
        <f t="shared" si="5"/>
        <v>42079139</v>
      </c>
      <c r="AR10" s="31"/>
      <c r="AS10" s="17">
        <v>0</v>
      </c>
      <c r="AT10" s="17">
        <v>10412895</v>
      </c>
      <c r="AU10" s="13">
        <f t="shared" si="6"/>
        <v>52492034</v>
      </c>
      <c r="AV10" s="31"/>
    </row>
    <row r="11" spans="1:48" x14ac:dyDescent="0.25">
      <c r="A11" s="20">
        <v>415525</v>
      </c>
      <c r="B11" s="15" t="s">
        <v>135</v>
      </c>
      <c r="C11" s="17"/>
      <c r="D11" s="42">
        <v>0</v>
      </c>
      <c r="E11" s="17">
        <f>+D11</f>
        <v>0</v>
      </c>
      <c r="F11" s="19"/>
      <c r="G11" s="17">
        <v>0</v>
      </c>
      <c r="H11" s="17">
        <v>0</v>
      </c>
      <c r="I11" s="17">
        <f t="shared" si="0"/>
        <v>0</v>
      </c>
      <c r="J11" s="16"/>
      <c r="K11" s="17">
        <f>+K12</f>
        <v>0</v>
      </c>
      <c r="L11" s="13">
        <f t="shared" si="11"/>
        <v>0</v>
      </c>
      <c r="M11" s="19"/>
      <c r="N11" s="17"/>
      <c r="O11" s="17">
        <v>0</v>
      </c>
      <c r="P11" s="13">
        <f t="shared" si="1"/>
        <v>0</v>
      </c>
      <c r="Q11" s="19"/>
      <c r="R11" s="18"/>
      <c r="S11" s="42">
        <v>0</v>
      </c>
      <c r="T11" s="42">
        <f t="shared" si="7"/>
        <v>0</v>
      </c>
      <c r="U11" s="31"/>
      <c r="V11" s="17">
        <v>0</v>
      </c>
      <c r="W11" s="17">
        <v>0</v>
      </c>
      <c r="X11" s="17">
        <f t="shared" si="8"/>
        <v>0</v>
      </c>
      <c r="Y11" s="16">
        <v>0</v>
      </c>
      <c r="Z11" s="17">
        <v>0</v>
      </c>
      <c r="AA11" s="30">
        <f t="shared" si="14"/>
        <v>0</v>
      </c>
      <c r="AB11" s="31"/>
      <c r="AC11" s="17">
        <v>0</v>
      </c>
      <c r="AD11" s="17">
        <v>0</v>
      </c>
      <c r="AE11" s="13">
        <f t="shared" si="2"/>
        <v>0</v>
      </c>
      <c r="AF11" s="31"/>
      <c r="AG11" s="18">
        <v>0</v>
      </c>
      <c r="AH11" s="17">
        <v>0</v>
      </c>
      <c r="AI11" s="13">
        <f t="shared" si="3"/>
        <v>0</v>
      </c>
      <c r="AJ11" s="31"/>
      <c r="AK11" s="17">
        <v>0</v>
      </c>
      <c r="AL11" s="17">
        <v>0</v>
      </c>
      <c r="AM11" s="13">
        <f t="shared" si="4"/>
        <v>0</v>
      </c>
      <c r="AN11" s="31"/>
      <c r="AO11" s="17">
        <v>0</v>
      </c>
      <c r="AP11" s="17">
        <v>168550</v>
      </c>
      <c r="AQ11" s="13">
        <f t="shared" si="5"/>
        <v>168550</v>
      </c>
      <c r="AR11" s="31"/>
      <c r="AS11" s="17">
        <v>0</v>
      </c>
      <c r="AT11" s="17">
        <v>0</v>
      </c>
      <c r="AU11" s="13">
        <f t="shared" si="6"/>
        <v>168550</v>
      </c>
      <c r="AV11" s="31"/>
    </row>
    <row r="12" spans="1:48" x14ac:dyDescent="0.25">
      <c r="A12" s="14">
        <v>415515</v>
      </c>
      <c r="B12" s="15" t="s">
        <v>14</v>
      </c>
      <c r="C12" s="17">
        <v>0</v>
      </c>
      <c r="D12" s="42">
        <v>325000</v>
      </c>
      <c r="E12" s="17">
        <f>+D12</f>
        <v>325000</v>
      </c>
      <c r="F12" s="19"/>
      <c r="G12" s="17">
        <v>0</v>
      </c>
      <c r="H12" s="17">
        <v>100000</v>
      </c>
      <c r="I12" s="17">
        <f t="shared" si="0"/>
        <v>425000</v>
      </c>
      <c r="J12" s="16">
        <v>0</v>
      </c>
      <c r="K12" s="17">
        <v>0</v>
      </c>
      <c r="L12" s="13">
        <f t="shared" si="11"/>
        <v>425000</v>
      </c>
      <c r="M12" s="19"/>
      <c r="N12" s="17">
        <v>0</v>
      </c>
      <c r="O12" s="17">
        <v>747500</v>
      </c>
      <c r="P12" s="13">
        <f t="shared" si="1"/>
        <v>1172500</v>
      </c>
      <c r="Q12" s="19"/>
      <c r="R12" s="18">
        <v>0</v>
      </c>
      <c r="S12" s="42">
        <v>235000</v>
      </c>
      <c r="T12" s="42">
        <f t="shared" si="7"/>
        <v>1407500</v>
      </c>
      <c r="U12" s="31"/>
      <c r="V12" s="17">
        <v>0</v>
      </c>
      <c r="W12" s="17">
        <v>197500</v>
      </c>
      <c r="X12" s="17">
        <f t="shared" si="8"/>
        <v>1605000</v>
      </c>
      <c r="Y12" s="16">
        <v>0</v>
      </c>
      <c r="Z12" s="17">
        <v>160000</v>
      </c>
      <c r="AA12" s="30">
        <f t="shared" si="14"/>
        <v>1765000</v>
      </c>
      <c r="AB12" s="31"/>
      <c r="AC12" s="17">
        <v>0</v>
      </c>
      <c r="AD12" s="17">
        <v>225000</v>
      </c>
      <c r="AE12" s="13">
        <f t="shared" si="2"/>
        <v>1990000</v>
      </c>
      <c r="AF12" s="31"/>
      <c r="AG12" s="18">
        <v>0</v>
      </c>
      <c r="AH12" s="17">
        <v>150000</v>
      </c>
      <c r="AI12" s="13">
        <f t="shared" si="3"/>
        <v>2140000</v>
      </c>
      <c r="AJ12" s="31"/>
      <c r="AK12" s="17">
        <v>0</v>
      </c>
      <c r="AL12" s="17">
        <v>205000</v>
      </c>
      <c r="AM12" s="13">
        <f t="shared" si="4"/>
        <v>2345000</v>
      </c>
      <c r="AN12" s="31"/>
      <c r="AO12" s="17">
        <v>0</v>
      </c>
      <c r="AP12" s="17">
        <v>465000</v>
      </c>
      <c r="AQ12" s="13">
        <f t="shared" si="5"/>
        <v>2810000</v>
      </c>
      <c r="AR12" s="31"/>
      <c r="AS12" s="17">
        <v>0</v>
      </c>
      <c r="AT12" s="17">
        <v>390000</v>
      </c>
      <c r="AU12" s="13">
        <f t="shared" si="6"/>
        <v>3200000</v>
      </c>
      <c r="AV12" s="31"/>
    </row>
    <row r="13" spans="1:48" s="28" customFormat="1" x14ac:dyDescent="0.25">
      <c r="A13" s="33"/>
      <c r="B13" s="34"/>
      <c r="C13" s="30"/>
      <c r="D13" s="30"/>
      <c r="E13" s="30"/>
      <c r="F13" s="35"/>
      <c r="G13" s="30"/>
      <c r="H13" s="30"/>
      <c r="I13" s="30"/>
      <c r="J13" s="29"/>
      <c r="K13" s="30"/>
      <c r="L13" s="13">
        <f t="shared" si="11"/>
        <v>0</v>
      </c>
      <c r="M13" s="35"/>
      <c r="N13" s="29"/>
      <c r="O13" s="30"/>
      <c r="P13" s="30"/>
      <c r="Q13" s="35"/>
      <c r="R13" s="18"/>
      <c r="S13" s="30"/>
      <c r="T13" s="30"/>
      <c r="U13" s="35"/>
      <c r="V13" s="30"/>
      <c r="W13" s="30"/>
      <c r="X13" s="30"/>
      <c r="Y13" s="29"/>
      <c r="Z13" s="30"/>
      <c r="AA13" s="30">
        <f t="shared" si="14"/>
        <v>0</v>
      </c>
      <c r="AB13" s="35"/>
      <c r="AC13" s="29"/>
      <c r="AD13" s="30"/>
      <c r="AE13" s="30"/>
      <c r="AF13" s="35"/>
      <c r="AG13" s="139"/>
      <c r="AH13" s="30"/>
      <c r="AI13" s="30"/>
      <c r="AJ13" s="35"/>
      <c r="AK13" s="29"/>
      <c r="AL13" s="30"/>
      <c r="AM13" s="30"/>
      <c r="AN13" s="35"/>
      <c r="AO13" s="29"/>
      <c r="AP13" s="30"/>
      <c r="AQ13" s="30"/>
      <c r="AR13" s="35"/>
      <c r="AS13" s="29"/>
      <c r="AT13" s="30"/>
      <c r="AU13" s="30"/>
      <c r="AV13" s="35"/>
    </row>
    <row r="14" spans="1:48" x14ac:dyDescent="0.25">
      <c r="A14" s="37" t="s">
        <v>15</v>
      </c>
      <c r="B14" s="38" t="s">
        <v>16</v>
      </c>
      <c r="C14" s="39">
        <v>0</v>
      </c>
      <c r="D14" s="39">
        <f>D15+D19+D22</f>
        <v>9847115</v>
      </c>
      <c r="E14" s="39">
        <f>+D14</f>
        <v>9847115</v>
      </c>
      <c r="F14" s="40"/>
      <c r="G14" s="39">
        <v>0</v>
      </c>
      <c r="H14" s="39">
        <f>H15+H19+H22+H24</f>
        <v>6823356</v>
      </c>
      <c r="I14" s="39">
        <f t="shared" si="0"/>
        <v>16670471</v>
      </c>
      <c r="J14" s="41">
        <v>0</v>
      </c>
      <c r="K14" s="39">
        <f>K15+K19+K22</f>
        <v>8379394</v>
      </c>
      <c r="L14" s="39">
        <f t="shared" si="11"/>
        <v>25049865</v>
      </c>
      <c r="M14" s="40"/>
      <c r="N14" s="41">
        <v>0</v>
      </c>
      <c r="O14" s="39">
        <f>O15+O19+O22</f>
        <v>7269829</v>
      </c>
      <c r="P14" s="39">
        <f>L14+O14</f>
        <v>32319694</v>
      </c>
      <c r="Q14" s="40"/>
      <c r="R14" s="18">
        <v>0</v>
      </c>
      <c r="S14" s="39">
        <f>S15+S19+S22+S24</f>
        <v>8707977</v>
      </c>
      <c r="T14" s="39">
        <f>+P14+S14</f>
        <v>41027671</v>
      </c>
      <c r="U14" s="40"/>
      <c r="V14" s="39">
        <v>0</v>
      </c>
      <c r="W14" s="39">
        <f>+W15+W19+W22+W24</f>
        <v>7673385</v>
      </c>
      <c r="X14" s="39">
        <f>+T14+W14</f>
        <v>48701056</v>
      </c>
      <c r="Y14" s="41">
        <v>0</v>
      </c>
      <c r="Z14" s="39">
        <f>+Z15+Z19+Z22+Z24</f>
        <v>5662876</v>
      </c>
      <c r="AA14" s="39">
        <f>X14+Z14</f>
        <v>54363932</v>
      </c>
      <c r="AB14" s="40"/>
      <c r="AC14" s="41">
        <v>0</v>
      </c>
      <c r="AD14" s="39">
        <f>AD15+AD19+AD22+AD24</f>
        <v>9377502</v>
      </c>
      <c r="AE14" s="39">
        <f>AA14+AD14</f>
        <v>63741434</v>
      </c>
      <c r="AF14" s="40"/>
      <c r="AG14" s="139">
        <v>0</v>
      </c>
      <c r="AH14" s="39">
        <f>AH15+AH19+AH22+AH24</f>
        <v>7050235</v>
      </c>
      <c r="AI14" s="39">
        <f>AE14+AH14</f>
        <v>70791669</v>
      </c>
      <c r="AJ14" s="40"/>
      <c r="AK14" s="41">
        <v>0</v>
      </c>
      <c r="AL14" s="39">
        <f>AL15+AL19+AL22+AL24</f>
        <v>7192467</v>
      </c>
      <c r="AM14" s="39">
        <f>AI14+AL14</f>
        <v>77984136</v>
      </c>
      <c r="AN14" s="40"/>
      <c r="AO14" s="41">
        <v>0</v>
      </c>
      <c r="AP14" s="39">
        <f>AP15+AP19+AP22+AP24</f>
        <v>8242787</v>
      </c>
      <c r="AQ14" s="39">
        <f>AM14+AP14</f>
        <v>86226923</v>
      </c>
      <c r="AR14" s="40"/>
      <c r="AS14" s="41">
        <v>0</v>
      </c>
      <c r="AT14" s="39">
        <f>AT15+AT19+AT22+AT24</f>
        <v>4869227</v>
      </c>
      <c r="AU14" s="39">
        <f>AQ14+AT14</f>
        <v>91096150</v>
      </c>
      <c r="AV14" s="40"/>
    </row>
    <row r="15" spans="1:48" x14ac:dyDescent="0.25">
      <c r="A15" s="14" t="s">
        <v>17</v>
      </c>
      <c r="B15" s="15" t="s">
        <v>18</v>
      </c>
      <c r="C15" s="17">
        <v>0</v>
      </c>
      <c r="D15" s="17">
        <v>8491</v>
      </c>
      <c r="E15" s="17">
        <f>+D15</f>
        <v>8491</v>
      </c>
      <c r="F15" s="19"/>
      <c r="G15" s="17">
        <v>0</v>
      </c>
      <c r="H15" s="17">
        <f>+H16</f>
        <v>11670</v>
      </c>
      <c r="I15" s="17">
        <f t="shared" si="0"/>
        <v>20161</v>
      </c>
      <c r="J15" s="16">
        <v>0</v>
      </c>
      <c r="K15" s="17">
        <v>14542</v>
      </c>
      <c r="L15" s="13">
        <f t="shared" si="11"/>
        <v>34703</v>
      </c>
      <c r="M15" s="19"/>
      <c r="N15" s="16">
        <v>0</v>
      </c>
      <c r="O15" s="17">
        <f>O16</f>
        <v>16079</v>
      </c>
      <c r="P15" s="13">
        <f>L15+O15</f>
        <v>50782</v>
      </c>
      <c r="Q15" s="19"/>
      <c r="R15" s="18">
        <v>0</v>
      </c>
      <c r="S15" s="17">
        <v>12936</v>
      </c>
      <c r="T15" s="17">
        <f t="shared" ref="T15:T25" si="15">+P15+S15</f>
        <v>63718</v>
      </c>
      <c r="U15" s="31"/>
      <c r="V15" s="17">
        <v>0</v>
      </c>
      <c r="W15" s="17">
        <f>+W16+W17</f>
        <v>171494</v>
      </c>
      <c r="X15" s="17">
        <f>+T15+W15</f>
        <v>235212</v>
      </c>
      <c r="Y15" s="16">
        <v>0</v>
      </c>
      <c r="Z15" s="17">
        <f>+Z16+Z17</f>
        <v>76252</v>
      </c>
      <c r="AA15" s="30">
        <f>+X15+Z15</f>
        <v>311464</v>
      </c>
      <c r="AB15" s="31"/>
      <c r="AC15" s="16">
        <v>0</v>
      </c>
      <c r="AD15" s="17">
        <f>+AD16+AD17</f>
        <v>73730</v>
      </c>
      <c r="AE15" s="13">
        <f>AA15+AD15</f>
        <v>385194</v>
      </c>
      <c r="AF15" s="31"/>
      <c r="AG15" s="139">
        <v>0</v>
      </c>
      <c r="AH15" s="17">
        <f>+AH16+AH17</f>
        <v>69406</v>
      </c>
      <c r="AI15" s="13">
        <f>AE15+AH15</f>
        <v>454600</v>
      </c>
      <c r="AJ15" s="31"/>
      <c r="AK15" s="16">
        <v>0</v>
      </c>
      <c r="AL15" s="17">
        <f>+AL16+AL17</f>
        <v>64152</v>
      </c>
      <c r="AM15" s="13">
        <f>AI15+AL15</f>
        <v>518752</v>
      </c>
      <c r="AN15" s="31"/>
      <c r="AO15" s="16">
        <v>0</v>
      </c>
      <c r="AP15" s="17">
        <f>+AP16+AP17</f>
        <v>56845</v>
      </c>
      <c r="AQ15" s="13">
        <f>AM15+AP15</f>
        <v>575597</v>
      </c>
      <c r="AR15" s="31"/>
      <c r="AS15" s="16">
        <v>0</v>
      </c>
      <c r="AT15" s="17">
        <f>+AT16+AT17</f>
        <v>103419</v>
      </c>
      <c r="AU15" s="13">
        <f>AQ15+AT15</f>
        <v>679016</v>
      </c>
      <c r="AV15" s="31"/>
    </row>
    <row r="16" spans="1:48" x14ac:dyDescent="0.25">
      <c r="A16" s="14" t="s">
        <v>19</v>
      </c>
      <c r="B16" s="15" t="s">
        <v>20</v>
      </c>
      <c r="C16" s="17">
        <v>0</v>
      </c>
      <c r="D16" s="17">
        <f>+D15</f>
        <v>8491</v>
      </c>
      <c r="E16" s="17">
        <f>+D16</f>
        <v>8491</v>
      </c>
      <c r="F16" s="19"/>
      <c r="G16" s="17">
        <v>0</v>
      </c>
      <c r="H16" s="17">
        <v>11670</v>
      </c>
      <c r="I16" s="17">
        <f t="shared" si="0"/>
        <v>20161</v>
      </c>
      <c r="J16" s="16">
        <v>0</v>
      </c>
      <c r="K16" s="17">
        <f>+K15</f>
        <v>14542</v>
      </c>
      <c r="L16" s="13">
        <f t="shared" si="11"/>
        <v>34703</v>
      </c>
      <c r="M16" s="19"/>
      <c r="N16" s="16">
        <v>0</v>
      </c>
      <c r="O16" s="17">
        <v>16079</v>
      </c>
      <c r="P16" s="13">
        <f>L16+O16</f>
        <v>50782</v>
      </c>
      <c r="Q16" s="19"/>
      <c r="R16" s="18">
        <v>0</v>
      </c>
      <c r="S16" s="17">
        <f>+S15</f>
        <v>12936</v>
      </c>
      <c r="T16" s="17">
        <f t="shared" si="15"/>
        <v>63718</v>
      </c>
      <c r="U16" s="31"/>
      <c r="V16" s="17">
        <v>0</v>
      </c>
      <c r="W16" s="17">
        <v>104053</v>
      </c>
      <c r="X16" s="17">
        <f t="shared" ref="X16:X25" si="16">+T16+W16</f>
        <v>167771</v>
      </c>
      <c r="Y16" s="16">
        <v>0</v>
      </c>
      <c r="Z16" s="17">
        <v>11408</v>
      </c>
      <c r="AA16" s="30">
        <f t="shared" ref="AA16:AA25" si="17">+X16+Z16</f>
        <v>179179</v>
      </c>
      <c r="AB16" s="31"/>
      <c r="AC16" s="16">
        <v>0</v>
      </c>
      <c r="AD16" s="17">
        <v>11503</v>
      </c>
      <c r="AE16" s="13">
        <f>AA16+AD16</f>
        <v>190682</v>
      </c>
      <c r="AF16" s="31"/>
      <c r="AG16" s="139">
        <v>0</v>
      </c>
      <c r="AH16" s="17">
        <v>9812</v>
      </c>
      <c r="AI16" s="13">
        <f>AE16+AH16</f>
        <v>200494</v>
      </c>
      <c r="AJ16" s="31"/>
      <c r="AK16" s="16">
        <v>0</v>
      </c>
      <c r="AL16" s="17">
        <v>7209</v>
      </c>
      <c r="AM16" s="13">
        <f>AI16+AL16</f>
        <v>207703</v>
      </c>
      <c r="AN16" s="31"/>
      <c r="AO16" s="16">
        <v>0</v>
      </c>
      <c r="AP16" s="17">
        <v>2571</v>
      </c>
      <c r="AQ16" s="13">
        <f>AM16+AP16</f>
        <v>210274</v>
      </c>
      <c r="AR16" s="31"/>
      <c r="AS16" s="16">
        <v>0</v>
      </c>
      <c r="AT16" s="17">
        <v>245</v>
      </c>
      <c r="AU16" s="13">
        <f>AQ16+AT16</f>
        <v>210519</v>
      </c>
      <c r="AV16" s="31"/>
    </row>
    <row r="17" spans="1:48" x14ac:dyDescent="0.25">
      <c r="A17" s="14">
        <v>421095</v>
      </c>
      <c r="B17" s="15" t="s">
        <v>337</v>
      </c>
      <c r="C17" s="17"/>
      <c r="D17" s="17"/>
      <c r="E17" s="17"/>
      <c r="F17" s="31"/>
      <c r="G17" s="17"/>
      <c r="H17" s="17"/>
      <c r="I17" s="17"/>
      <c r="J17" s="16"/>
      <c r="K17" s="17"/>
      <c r="L17" s="13"/>
      <c r="M17" s="31"/>
      <c r="N17" s="16"/>
      <c r="O17" s="17"/>
      <c r="P17" s="13"/>
      <c r="Q17" s="31"/>
      <c r="R17" s="18"/>
      <c r="S17" s="17"/>
      <c r="T17" s="17"/>
      <c r="U17" s="31"/>
      <c r="V17" s="17"/>
      <c r="W17" s="17">
        <v>67441</v>
      </c>
      <c r="X17" s="17">
        <f t="shared" si="16"/>
        <v>67441</v>
      </c>
      <c r="Y17" s="16"/>
      <c r="Z17" s="17">
        <v>64844</v>
      </c>
      <c r="AA17" s="30">
        <f t="shared" si="17"/>
        <v>132285</v>
      </c>
      <c r="AB17" s="31"/>
      <c r="AC17" s="16"/>
      <c r="AD17" s="17">
        <v>62227</v>
      </c>
      <c r="AE17" s="13">
        <f t="shared" ref="AE17:AE18" si="18">AA17+AD17</f>
        <v>194512</v>
      </c>
      <c r="AF17" s="31"/>
      <c r="AG17" s="139"/>
      <c r="AH17" s="17">
        <v>59594</v>
      </c>
      <c r="AI17" s="13">
        <f t="shared" ref="AI17:AI18" si="19">AE17+AH17</f>
        <v>254106</v>
      </c>
      <c r="AJ17" s="31"/>
      <c r="AK17" s="16"/>
      <c r="AL17" s="17">
        <v>56943</v>
      </c>
      <c r="AM17" s="13">
        <f t="shared" ref="AM17:AM18" si="20">AI17+AL17</f>
        <v>311049</v>
      </c>
      <c r="AN17" s="31"/>
      <c r="AO17" s="16"/>
      <c r="AP17" s="17">
        <v>54274</v>
      </c>
      <c r="AQ17" s="13">
        <f t="shared" ref="AQ17:AQ18" si="21">AM17+AP17</f>
        <v>365323</v>
      </c>
      <c r="AR17" s="31"/>
      <c r="AS17" s="16"/>
      <c r="AT17" s="17">
        <v>103174</v>
      </c>
      <c r="AU17" s="13">
        <f t="shared" ref="AU17:AU18" si="22">AQ17+AT17</f>
        <v>468497</v>
      </c>
      <c r="AV17" s="31"/>
    </row>
    <row r="18" spans="1:48" x14ac:dyDescent="0.25">
      <c r="A18" s="14"/>
      <c r="B18" s="15"/>
      <c r="C18" s="17"/>
      <c r="D18" s="17"/>
      <c r="E18" s="17"/>
      <c r="F18" s="31"/>
      <c r="G18" s="17"/>
      <c r="H18" s="17"/>
      <c r="I18" s="17"/>
      <c r="J18" s="16"/>
      <c r="K18" s="17"/>
      <c r="L18" s="13">
        <f t="shared" si="11"/>
        <v>0</v>
      </c>
      <c r="M18" s="31"/>
      <c r="N18" s="16"/>
      <c r="O18" s="17"/>
      <c r="P18" s="13"/>
      <c r="Q18" s="31"/>
      <c r="R18" s="18"/>
      <c r="S18" s="17"/>
      <c r="T18" s="17">
        <f t="shared" si="15"/>
        <v>0</v>
      </c>
      <c r="U18" s="31"/>
      <c r="V18" s="17"/>
      <c r="W18" s="17"/>
      <c r="X18" s="17">
        <f t="shared" si="16"/>
        <v>0</v>
      </c>
      <c r="Y18" s="16"/>
      <c r="Z18" s="17"/>
      <c r="AA18" s="30">
        <f t="shared" si="17"/>
        <v>0</v>
      </c>
      <c r="AB18" s="31"/>
      <c r="AC18" s="16"/>
      <c r="AD18" s="17"/>
      <c r="AE18" s="13">
        <f t="shared" si="18"/>
        <v>0</v>
      </c>
      <c r="AF18" s="31"/>
      <c r="AG18" s="139"/>
      <c r="AH18" s="17"/>
      <c r="AI18" s="13">
        <f t="shared" si="19"/>
        <v>0</v>
      </c>
      <c r="AJ18" s="31"/>
      <c r="AK18" s="16"/>
      <c r="AL18" s="17"/>
      <c r="AM18" s="13">
        <f t="shared" si="20"/>
        <v>0</v>
      </c>
      <c r="AN18" s="31"/>
      <c r="AO18" s="16"/>
      <c r="AP18" s="17"/>
      <c r="AQ18" s="13">
        <f t="shared" si="21"/>
        <v>0</v>
      </c>
      <c r="AR18" s="31"/>
      <c r="AS18" s="16"/>
      <c r="AT18" s="17"/>
      <c r="AU18" s="13">
        <f t="shared" si="22"/>
        <v>0</v>
      </c>
      <c r="AV18" s="31"/>
    </row>
    <row r="19" spans="1:48" ht="21" customHeight="1" x14ac:dyDescent="0.25">
      <c r="A19" s="14" t="s">
        <v>21</v>
      </c>
      <c r="B19" s="21" t="s">
        <v>22</v>
      </c>
      <c r="C19" s="17">
        <v>0</v>
      </c>
      <c r="D19" s="17">
        <f>D20</f>
        <v>1849000</v>
      </c>
      <c r="E19" s="22">
        <f>+D19</f>
        <v>1849000</v>
      </c>
      <c r="F19" s="19"/>
      <c r="G19" s="17">
        <v>0</v>
      </c>
      <c r="H19" s="17">
        <f>H20</f>
        <v>1849000</v>
      </c>
      <c r="I19" s="22">
        <f t="shared" si="0"/>
        <v>3698000</v>
      </c>
      <c r="J19" s="16">
        <v>0</v>
      </c>
      <c r="K19" s="17">
        <v>1249000</v>
      </c>
      <c r="L19" s="13">
        <f t="shared" si="11"/>
        <v>4947000</v>
      </c>
      <c r="M19" s="19"/>
      <c r="N19" s="16">
        <v>0</v>
      </c>
      <c r="O19" s="17">
        <f>O20</f>
        <v>1268900</v>
      </c>
      <c r="P19" s="22">
        <f>L19+O19</f>
        <v>6215900</v>
      </c>
      <c r="Q19" s="19"/>
      <c r="R19" s="18">
        <v>0</v>
      </c>
      <c r="S19" s="17">
        <v>1288800</v>
      </c>
      <c r="T19" s="22">
        <f t="shared" si="15"/>
        <v>7504700</v>
      </c>
      <c r="U19" s="31"/>
      <c r="V19" s="17">
        <v>0</v>
      </c>
      <c r="W19" s="17">
        <v>1288800</v>
      </c>
      <c r="X19" s="22">
        <f t="shared" si="16"/>
        <v>8793500</v>
      </c>
      <c r="Y19" s="16">
        <v>0</v>
      </c>
      <c r="Z19" s="17">
        <v>1288800</v>
      </c>
      <c r="AA19" s="30">
        <f t="shared" si="17"/>
        <v>10082300</v>
      </c>
      <c r="AB19" s="31"/>
      <c r="AC19" s="16">
        <v>0</v>
      </c>
      <c r="AD19" s="17">
        <v>1288800</v>
      </c>
      <c r="AE19" s="22">
        <f>AA19+AD19</f>
        <v>11371100</v>
      </c>
      <c r="AF19" s="31"/>
      <c r="AG19" s="139">
        <v>0</v>
      </c>
      <c r="AH19" s="17">
        <v>1288800</v>
      </c>
      <c r="AI19" s="22">
        <f>AE19+AH19</f>
        <v>12659900</v>
      </c>
      <c r="AJ19" s="31"/>
      <c r="AK19" s="16">
        <v>0</v>
      </c>
      <c r="AL19" s="17">
        <v>1288800</v>
      </c>
      <c r="AM19" s="22">
        <f>AI19+AL19</f>
        <v>13948700</v>
      </c>
      <c r="AN19" s="31"/>
      <c r="AO19" s="16">
        <v>0</v>
      </c>
      <c r="AP19" s="17">
        <v>1288800</v>
      </c>
      <c r="AQ19" s="22">
        <f>AM19+AP19</f>
        <v>15237500</v>
      </c>
      <c r="AR19" s="31"/>
      <c r="AS19" s="16">
        <v>0</v>
      </c>
      <c r="AT19" s="17">
        <v>1288800</v>
      </c>
      <c r="AU19" s="22">
        <f>AQ19+AT19</f>
        <v>16526300</v>
      </c>
      <c r="AV19" s="31"/>
    </row>
    <row r="20" spans="1:48" x14ac:dyDescent="0.25">
      <c r="A20" s="14" t="s">
        <v>23</v>
      </c>
      <c r="B20" s="15" t="s">
        <v>24</v>
      </c>
      <c r="C20" s="17">
        <v>0</v>
      </c>
      <c r="D20" s="17">
        <v>1849000</v>
      </c>
      <c r="E20" s="17">
        <f>+D20</f>
        <v>1849000</v>
      </c>
      <c r="F20" s="19"/>
      <c r="G20" s="17">
        <v>0</v>
      </c>
      <c r="H20" s="17">
        <v>1849000</v>
      </c>
      <c r="I20" s="17">
        <f t="shared" si="0"/>
        <v>3698000</v>
      </c>
      <c r="J20" s="16">
        <v>0</v>
      </c>
      <c r="K20" s="17">
        <f>+K19</f>
        <v>1249000</v>
      </c>
      <c r="L20" s="13">
        <f t="shared" si="11"/>
        <v>4947000</v>
      </c>
      <c r="M20" s="19"/>
      <c r="N20" s="16">
        <v>0</v>
      </c>
      <c r="O20" s="17">
        <v>1268900</v>
      </c>
      <c r="P20" s="13">
        <f>L20+O20</f>
        <v>6215900</v>
      </c>
      <c r="Q20" s="19"/>
      <c r="R20" s="18">
        <v>0</v>
      </c>
      <c r="S20" s="17">
        <f>+S19</f>
        <v>1288800</v>
      </c>
      <c r="T20" s="17">
        <f t="shared" si="15"/>
        <v>7504700</v>
      </c>
      <c r="U20" s="31"/>
      <c r="V20" s="17">
        <v>0</v>
      </c>
      <c r="W20" s="17">
        <f>+W19</f>
        <v>1288800</v>
      </c>
      <c r="X20" s="17">
        <f t="shared" si="16"/>
        <v>8793500</v>
      </c>
      <c r="Y20" s="16">
        <v>0</v>
      </c>
      <c r="Z20" s="17">
        <f>+Z19</f>
        <v>1288800</v>
      </c>
      <c r="AA20" s="30">
        <f t="shared" si="17"/>
        <v>10082300</v>
      </c>
      <c r="AB20" s="31"/>
      <c r="AC20" s="16">
        <v>0</v>
      </c>
      <c r="AD20" s="17">
        <f>+AD19</f>
        <v>1288800</v>
      </c>
      <c r="AE20" s="13">
        <f>AA20+AD20</f>
        <v>11371100</v>
      </c>
      <c r="AF20" s="31"/>
      <c r="AG20" s="139">
        <v>0</v>
      </c>
      <c r="AH20" s="17">
        <f>+AH19</f>
        <v>1288800</v>
      </c>
      <c r="AI20" s="13">
        <f>AE20+AH20</f>
        <v>12659900</v>
      </c>
      <c r="AJ20" s="31"/>
      <c r="AK20" s="16">
        <v>0</v>
      </c>
      <c r="AL20" s="17">
        <f>+AL19</f>
        <v>1288800</v>
      </c>
      <c r="AM20" s="13">
        <f>AI20+AL20</f>
        <v>13948700</v>
      </c>
      <c r="AN20" s="31"/>
      <c r="AO20" s="16">
        <v>0</v>
      </c>
      <c r="AP20" s="17">
        <f>+AP19</f>
        <v>1288800</v>
      </c>
      <c r="AQ20" s="13">
        <f>AM20+AP20</f>
        <v>15237500</v>
      </c>
      <c r="AR20" s="31"/>
      <c r="AS20" s="16">
        <v>0</v>
      </c>
      <c r="AT20" s="17">
        <f>+AT19</f>
        <v>1288800</v>
      </c>
      <c r="AU20" s="13">
        <f>AQ20+AT20</f>
        <v>16526300</v>
      </c>
      <c r="AV20" s="31"/>
    </row>
    <row r="21" spans="1:48" x14ac:dyDescent="0.25">
      <c r="A21" s="14"/>
      <c r="B21" s="15"/>
      <c r="C21" s="17"/>
      <c r="D21" s="17"/>
      <c r="E21" s="17"/>
      <c r="F21" s="31"/>
      <c r="G21" s="17"/>
      <c r="H21" s="17"/>
      <c r="I21" s="17"/>
      <c r="J21" s="16"/>
      <c r="K21" s="42"/>
      <c r="L21" s="13">
        <f t="shared" si="11"/>
        <v>0</v>
      </c>
      <c r="M21" s="31"/>
      <c r="N21" s="16"/>
      <c r="O21" s="17"/>
      <c r="P21" s="13"/>
      <c r="Q21" s="31"/>
      <c r="R21" s="18"/>
      <c r="S21" s="17"/>
      <c r="T21" s="17">
        <f t="shared" si="15"/>
        <v>0</v>
      </c>
      <c r="U21" s="31"/>
      <c r="V21" s="17"/>
      <c r="W21" s="17"/>
      <c r="X21" s="17">
        <f t="shared" si="16"/>
        <v>0</v>
      </c>
      <c r="Y21" s="16"/>
      <c r="Z21" s="42"/>
      <c r="AA21" s="30">
        <f t="shared" si="17"/>
        <v>0</v>
      </c>
      <c r="AB21" s="31"/>
      <c r="AC21" s="16"/>
      <c r="AD21" s="17"/>
      <c r="AE21" s="13"/>
      <c r="AF21" s="31"/>
      <c r="AG21" s="139"/>
      <c r="AH21" s="17"/>
      <c r="AI21" s="13"/>
      <c r="AJ21" s="31"/>
      <c r="AK21" s="16"/>
      <c r="AL21" s="17"/>
      <c r="AM21" s="13"/>
      <c r="AN21" s="31"/>
      <c r="AO21" s="16"/>
      <c r="AP21" s="17"/>
      <c r="AQ21" s="13"/>
      <c r="AR21" s="31"/>
      <c r="AS21" s="16"/>
      <c r="AT21" s="17"/>
      <c r="AU21" s="13"/>
      <c r="AV21" s="31"/>
    </row>
    <row r="22" spans="1:48" x14ac:dyDescent="0.25">
      <c r="A22" s="14" t="s">
        <v>25</v>
      </c>
      <c r="B22" s="15" t="s">
        <v>26</v>
      </c>
      <c r="C22" s="17">
        <v>0</v>
      </c>
      <c r="D22" s="17">
        <f>D23</f>
        <v>7989624</v>
      </c>
      <c r="E22" s="17">
        <f>+D22</f>
        <v>7989624</v>
      </c>
      <c r="F22" s="19"/>
      <c r="G22" s="17">
        <v>0</v>
      </c>
      <c r="H22" s="17">
        <f>H23</f>
        <v>4962680</v>
      </c>
      <c r="I22" s="17">
        <f t="shared" si="0"/>
        <v>12952304</v>
      </c>
      <c r="J22" s="16">
        <v>0</v>
      </c>
      <c r="K22" s="42">
        <f>K23</f>
        <v>7115852</v>
      </c>
      <c r="L22" s="13">
        <f t="shared" si="11"/>
        <v>20068156</v>
      </c>
      <c r="M22" s="19"/>
      <c r="N22" s="16">
        <v>0</v>
      </c>
      <c r="O22" s="17">
        <f>O23</f>
        <v>5984850</v>
      </c>
      <c r="P22" s="13">
        <f>L22+O22</f>
        <v>26053006</v>
      </c>
      <c r="Q22" s="19"/>
      <c r="R22" s="18">
        <v>0</v>
      </c>
      <c r="S22" s="17">
        <f>S23</f>
        <v>7406240</v>
      </c>
      <c r="T22" s="17">
        <f t="shared" si="15"/>
        <v>33459246</v>
      </c>
      <c r="U22" s="31"/>
      <c r="V22" s="17">
        <v>0</v>
      </c>
      <c r="W22" s="17">
        <f>+W23</f>
        <v>6213000</v>
      </c>
      <c r="X22" s="17">
        <f t="shared" si="16"/>
        <v>39672246</v>
      </c>
      <c r="Y22" s="16">
        <v>0</v>
      </c>
      <c r="Z22" s="42">
        <v>4295391</v>
      </c>
      <c r="AA22" s="30">
        <f t="shared" si="17"/>
        <v>43967637</v>
      </c>
      <c r="AB22" s="31"/>
      <c r="AC22" s="16">
        <v>0</v>
      </c>
      <c r="AD22" s="17">
        <f>AD23</f>
        <v>8014677</v>
      </c>
      <c r="AE22" s="13">
        <f>AA22+AD22</f>
        <v>51982314</v>
      </c>
      <c r="AF22" s="31"/>
      <c r="AG22" s="139">
        <v>0</v>
      </c>
      <c r="AH22" s="17">
        <f>AH23</f>
        <v>5691827</v>
      </c>
      <c r="AI22" s="13">
        <f>AE22+AH22</f>
        <v>57674141</v>
      </c>
      <c r="AJ22" s="31"/>
      <c r="AK22" s="16">
        <v>0</v>
      </c>
      <c r="AL22" s="17">
        <f>AL23</f>
        <v>5839339</v>
      </c>
      <c r="AM22" s="13">
        <f>AI22+AL22</f>
        <v>63513480</v>
      </c>
      <c r="AN22" s="31"/>
      <c r="AO22" s="16">
        <v>0</v>
      </c>
      <c r="AP22" s="17">
        <f>AP23</f>
        <v>6896946</v>
      </c>
      <c r="AQ22" s="13">
        <f>AM22+AP22</f>
        <v>70410426</v>
      </c>
      <c r="AR22" s="31"/>
      <c r="AS22" s="16">
        <v>0</v>
      </c>
      <c r="AT22" s="17">
        <f>AT23</f>
        <v>3471702</v>
      </c>
      <c r="AU22" s="13">
        <f>AQ22+AT22</f>
        <v>73882128</v>
      </c>
      <c r="AV22" s="31"/>
    </row>
    <row r="23" spans="1:48" s="28" customFormat="1" x14ac:dyDescent="0.25">
      <c r="A23" s="33" t="s">
        <v>27</v>
      </c>
      <c r="B23" s="36" t="s">
        <v>28</v>
      </c>
      <c r="C23" s="30">
        <v>0</v>
      </c>
      <c r="D23" s="30">
        <v>7989624</v>
      </c>
      <c r="E23" s="30">
        <f t="shared" ref="E23:E25" si="23">+D23</f>
        <v>7989624</v>
      </c>
      <c r="F23" s="35"/>
      <c r="G23" s="30">
        <v>0</v>
      </c>
      <c r="H23" s="30">
        <v>4962680</v>
      </c>
      <c r="I23" s="30">
        <f t="shared" si="0"/>
        <v>12952304</v>
      </c>
      <c r="J23" s="29">
        <v>0</v>
      </c>
      <c r="K23" s="30">
        <v>7115852</v>
      </c>
      <c r="L23" s="30">
        <f t="shared" si="11"/>
        <v>20068156</v>
      </c>
      <c r="M23" s="35"/>
      <c r="N23" s="29">
        <v>0</v>
      </c>
      <c r="O23" s="30">
        <v>5984850</v>
      </c>
      <c r="P23" s="30">
        <f>L23+O23</f>
        <v>26053006</v>
      </c>
      <c r="Q23" s="35"/>
      <c r="R23" s="18">
        <v>0</v>
      </c>
      <c r="S23" s="30">
        <v>7406240</v>
      </c>
      <c r="T23" s="30">
        <f t="shared" si="15"/>
        <v>33459246</v>
      </c>
      <c r="U23" s="35"/>
      <c r="V23" s="30">
        <v>0</v>
      </c>
      <c r="W23" s="30">
        <v>6213000</v>
      </c>
      <c r="X23" s="30">
        <f t="shared" si="16"/>
        <v>39672246</v>
      </c>
      <c r="Y23" s="29">
        <v>0</v>
      </c>
      <c r="Z23" s="30">
        <f>+Z22</f>
        <v>4295391</v>
      </c>
      <c r="AA23" s="30">
        <f t="shared" si="17"/>
        <v>43967637</v>
      </c>
      <c r="AB23" s="35"/>
      <c r="AC23" s="29">
        <v>0</v>
      </c>
      <c r="AD23" s="30">
        <v>8014677</v>
      </c>
      <c r="AE23" s="30">
        <f>AA23+AD23</f>
        <v>51982314</v>
      </c>
      <c r="AF23" s="35"/>
      <c r="AG23" s="139">
        <v>0</v>
      </c>
      <c r="AH23" s="30">
        <v>5691827</v>
      </c>
      <c r="AI23" s="30">
        <f>AE23+AH23</f>
        <v>57674141</v>
      </c>
      <c r="AJ23" s="35"/>
      <c r="AK23" s="29">
        <v>0</v>
      </c>
      <c r="AL23" s="30">
        <v>5839339</v>
      </c>
      <c r="AM23" s="30">
        <f>AI23+AL23</f>
        <v>63513480</v>
      </c>
      <c r="AN23" s="35"/>
      <c r="AO23" s="29">
        <v>0</v>
      </c>
      <c r="AP23" s="30">
        <v>6896946</v>
      </c>
      <c r="AQ23" s="30">
        <f>AM23+AP23</f>
        <v>70410426</v>
      </c>
      <c r="AR23" s="35"/>
      <c r="AS23" s="29">
        <v>0</v>
      </c>
      <c r="AT23" s="30">
        <v>3471702</v>
      </c>
      <c r="AU23" s="30">
        <f>AQ23+AT23</f>
        <v>73882128</v>
      </c>
      <c r="AV23" s="35"/>
    </row>
    <row r="24" spans="1:48" x14ac:dyDescent="0.25">
      <c r="A24" s="14">
        <v>4295</v>
      </c>
      <c r="B24" s="15" t="s">
        <v>148</v>
      </c>
      <c r="C24" s="17">
        <v>0</v>
      </c>
      <c r="D24" s="30">
        <v>0</v>
      </c>
      <c r="E24" s="17">
        <f t="shared" si="23"/>
        <v>0</v>
      </c>
      <c r="F24" s="19"/>
      <c r="G24" s="17">
        <v>0</v>
      </c>
      <c r="H24" s="42">
        <f>+H25</f>
        <v>6</v>
      </c>
      <c r="I24" s="17">
        <f t="shared" si="0"/>
        <v>6</v>
      </c>
      <c r="J24" s="16">
        <v>0</v>
      </c>
      <c r="K24" s="42">
        <f>+K25</f>
        <v>43</v>
      </c>
      <c r="L24" s="13">
        <f t="shared" si="11"/>
        <v>49</v>
      </c>
      <c r="M24" s="19"/>
      <c r="N24" s="16">
        <v>0</v>
      </c>
      <c r="O24" s="17">
        <f>+O25</f>
        <v>75</v>
      </c>
      <c r="P24" s="13">
        <f>L24+O24</f>
        <v>124</v>
      </c>
      <c r="Q24" s="19"/>
      <c r="R24" s="18">
        <v>0</v>
      </c>
      <c r="S24" s="30">
        <v>1</v>
      </c>
      <c r="T24" s="17">
        <f t="shared" si="15"/>
        <v>125</v>
      </c>
      <c r="U24" s="31"/>
      <c r="V24" s="17">
        <v>0</v>
      </c>
      <c r="W24" s="42">
        <v>91</v>
      </c>
      <c r="X24" s="17">
        <f t="shared" si="16"/>
        <v>216</v>
      </c>
      <c r="Y24" s="16">
        <v>0</v>
      </c>
      <c r="Z24" s="42">
        <v>2433</v>
      </c>
      <c r="AA24" s="30">
        <f t="shared" si="17"/>
        <v>2649</v>
      </c>
      <c r="AB24" s="31"/>
      <c r="AC24" s="16">
        <v>0</v>
      </c>
      <c r="AD24" s="17">
        <f>175+120</f>
        <v>295</v>
      </c>
      <c r="AE24" s="13">
        <f>AA24+AD24</f>
        <v>2944</v>
      </c>
      <c r="AF24" s="31"/>
      <c r="AG24" s="139">
        <v>0</v>
      </c>
      <c r="AH24" s="17">
        <f>+AH25</f>
        <v>202</v>
      </c>
      <c r="AI24" s="13">
        <f>AE24+AH24</f>
        <v>3146</v>
      </c>
      <c r="AJ24" s="31"/>
      <c r="AK24" s="16">
        <v>0</v>
      </c>
      <c r="AL24" s="17">
        <f>+AL25</f>
        <v>176</v>
      </c>
      <c r="AM24" s="13">
        <f>AI24+AL24</f>
        <v>3322</v>
      </c>
      <c r="AN24" s="31"/>
      <c r="AO24" s="16">
        <v>0</v>
      </c>
      <c r="AP24" s="17">
        <f>+AP25</f>
        <v>196</v>
      </c>
      <c r="AQ24" s="13">
        <f>AM24+AP24</f>
        <v>3518</v>
      </c>
      <c r="AR24" s="31"/>
      <c r="AS24" s="16">
        <v>0</v>
      </c>
      <c r="AT24" s="17">
        <f>+AT25</f>
        <v>5306</v>
      </c>
      <c r="AU24" s="13">
        <f>AQ24+AT24</f>
        <v>8824</v>
      </c>
      <c r="AV24" s="31"/>
    </row>
    <row r="25" spans="1:48" x14ac:dyDescent="0.25">
      <c r="A25" s="14">
        <v>429581</v>
      </c>
      <c r="B25" s="15" t="s">
        <v>147</v>
      </c>
      <c r="C25" s="17">
        <v>0</v>
      </c>
      <c r="D25" s="30">
        <v>0</v>
      </c>
      <c r="E25" s="17">
        <f t="shared" si="23"/>
        <v>0</v>
      </c>
      <c r="F25" s="19"/>
      <c r="G25" s="17">
        <v>0</v>
      </c>
      <c r="H25" s="42">
        <v>6</v>
      </c>
      <c r="I25" s="17">
        <f t="shared" si="0"/>
        <v>6</v>
      </c>
      <c r="J25" s="16">
        <v>0</v>
      </c>
      <c r="K25" s="42">
        <v>43</v>
      </c>
      <c r="L25" s="13">
        <f t="shared" si="11"/>
        <v>49</v>
      </c>
      <c r="M25" s="19"/>
      <c r="N25" s="16">
        <v>0</v>
      </c>
      <c r="O25" s="17">
        <v>75</v>
      </c>
      <c r="P25" s="13">
        <f>L25+O25</f>
        <v>124</v>
      </c>
      <c r="Q25" s="19"/>
      <c r="R25" s="18">
        <v>0</v>
      </c>
      <c r="S25" s="30">
        <v>1</v>
      </c>
      <c r="T25" s="17">
        <f t="shared" si="15"/>
        <v>125</v>
      </c>
      <c r="U25" s="31"/>
      <c r="V25" s="17">
        <v>0</v>
      </c>
      <c r="W25" s="42">
        <v>91</v>
      </c>
      <c r="X25" s="17">
        <f t="shared" si="16"/>
        <v>216</v>
      </c>
      <c r="Y25" s="16">
        <v>0</v>
      </c>
      <c r="Z25" s="42">
        <f>+Z24</f>
        <v>2433</v>
      </c>
      <c r="AA25" s="30">
        <f t="shared" si="17"/>
        <v>2649</v>
      </c>
      <c r="AB25" s="31"/>
      <c r="AC25" s="16">
        <v>0</v>
      </c>
      <c r="AD25" s="17">
        <f>+AD24</f>
        <v>295</v>
      </c>
      <c r="AE25" s="13">
        <f>AA25+AD25</f>
        <v>2944</v>
      </c>
      <c r="AF25" s="31"/>
      <c r="AG25" s="139">
        <v>0</v>
      </c>
      <c r="AH25" s="17">
        <v>202</v>
      </c>
      <c r="AI25" s="13">
        <f>AE25+AH25</f>
        <v>3146</v>
      </c>
      <c r="AJ25" s="31"/>
      <c r="AK25" s="16">
        <v>0</v>
      </c>
      <c r="AL25" s="17">
        <v>176</v>
      </c>
      <c r="AM25" s="13">
        <f>AI25+AL25</f>
        <v>3322</v>
      </c>
      <c r="AN25" s="31"/>
      <c r="AO25" s="16">
        <v>0</v>
      </c>
      <c r="AP25" s="17">
        <v>196</v>
      </c>
      <c r="AQ25" s="13">
        <f>AM25+AP25</f>
        <v>3518</v>
      </c>
      <c r="AR25" s="31"/>
      <c r="AS25" s="16">
        <v>0</v>
      </c>
      <c r="AT25" s="17">
        <v>5306</v>
      </c>
      <c r="AU25" s="13">
        <f>AQ25+AT25</f>
        <v>8824</v>
      </c>
      <c r="AV25" s="31"/>
    </row>
    <row r="26" spans="1:48" x14ac:dyDescent="0.25">
      <c r="A26" s="14"/>
      <c r="B26" s="21"/>
      <c r="C26" s="17"/>
      <c r="D26" s="30"/>
      <c r="E26" s="17"/>
      <c r="F26" s="19"/>
      <c r="G26" s="17"/>
      <c r="H26" s="42"/>
      <c r="I26" s="17"/>
      <c r="J26" s="16"/>
      <c r="K26" s="42"/>
      <c r="L26" s="13"/>
      <c r="M26" s="19"/>
      <c r="N26" s="16"/>
      <c r="O26" s="17"/>
      <c r="P26" s="13"/>
      <c r="Q26" s="19"/>
      <c r="R26" s="18"/>
      <c r="S26" s="30"/>
      <c r="T26" s="17"/>
      <c r="U26" s="31"/>
      <c r="V26" s="17"/>
      <c r="W26" s="42"/>
      <c r="X26" s="17"/>
      <c r="Y26" s="16"/>
      <c r="Z26" s="42"/>
      <c r="AA26" s="30"/>
      <c r="AB26" s="31"/>
      <c r="AC26" s="16"/>
      <c r="AD26" s="17"/>
      <c r="AE26" s="13"/>
      <c r="AF26" s="31"/>
      <c r="AG26" s="139"/>
      <c r="AH26" s="17"/>
      <c r="AI26" s="13"/>
      <c r="AJ26" s="31"/>
      <c r="AK26" s="16"/>
      <c r="AL26" s="17"/>
      <c r="AM26" s="13"/>
      <c r="AN26" s="31"/>
      <c r="AO26" s="16"/>
      <c r="AP26" s="17"/>
      <c r="AQ26" s="13"/>
      <c r="AR26" s="31"/>
      <c r="AS26" s="16"/>
      <c r="AT26" s="17"/>
      <c r="AU26" s="13"/>
      <c r="AV26" s="31"/>
    </row>
    <row r="27" spans="1:48" x14ac:dyDescent="0.25">
      <c r="A27" s="37" t="s">
        <v>29</v>
      </c>
      <c r="B27" s="38" t="s">
        <v>30</v>
      </c>
      <c r="C27" s="39">
        <f>C28+C136+C114</f>
        <v>8400620</v>
      </c>
      <c r="D27" s="39">
        <v>0</v>
      </c>
      <c r="E27" s="39">
        <f>+C27</f>
        <v>8400620</v>
      </c>
      <c r="F27" s="40"/>
      <c r="G27" s="39">
        <f>G28+G136+G114</f>
        <v>9693071</v>
      </c>
      <c r="H27" s="39">
        <v>0</v>
      </c>
      <c r="I27" s="39">
        <f t="shared" ref="I27:I63" si="24">E27+G27</f>
        <v>18093691</v>
      </c>
      <c r="J27" s="39">
        <f>J28+J136+J114</f>
        <v>8371715</v>
      </c>
      <c r="K27" s="39">
        <v>0</v>
      </c>
      <c r="L27" s="39">
        <f>I27+J27</f>
        <v>26465406</v>
      </c>
      <c r="M27" s="40"/>
      <c r="N27" s="39">
        <f>N28+N136+N114</f>
        <v>12711829</v>
      </c>
      <c r="O27" s="39">
        <v>0</v>
      </c>
      <c r="P27" s="39">
        <f t="shared" ref="P27:P39" si="25">L27+N27</f>
        <v>39177235</v>
      </c>
      <c r="Q27" s="40"/>
      <c r="R27" s="18">
        <f>R28+R136+R114</f>
        <v>10565555</v>
      </c>
      <c r="S27" s="39">
        <v>0</v>
      </c>
      <c r="T27" s="39">
        <f>+P27+R27</f>
        <v>49742790</v>
      </c>
      <c r="U27" s="40"/>
      <c r="V27" s="39">
        <f>V28+V136+V114</f>
        <v>8819295</v>
      </c>
      <c r="W27" s="39">
        <v>0</v>
      </c>
      <c r="X27" s="39">
        <f t="shared" ref="X27:X42" si="26">T27+V27</f>
        <v>58562085</v>
      </c>
      <c r="Y27" s="39">
        <f>Y28+Y136+Y114</f>
        <v>9153751</v>
      </c>
      <c r="Z27" s="39">
        <v>0</v>
      </c>
      <c r="AA27" s="30">
        <f>X27+Y27</f>
        <v>67715836</v>
      </c>
      <c r="AB27" s="40"/>
      <c r="AC27" s="39">
        <f>AC28+AC136+AC114</f>
        <v>13697507</v>
      </c>
      <c r="AD27" s="39">
        <v>0</v>
      </c>
      <c r="AE27" s="39">
        <f t="shared" ref="AE27:AE42" si="27">AA27+AC27</f>
        <v>81413343</v>
      </c>
      <c r="AF27" s="40"/>
      <c r="AG27" s="39">
        <f>AG28+AG136+AG114</f>
        <v>12742609.75</v>
      </c>
      <c r="AH27" s="39">
        <v>0</v>
      </c>
      <c r="AI27" s="39">
        <f t="shared" ref="AI27:AI30" si="28">AE27+AG27</f>
        <v>94155952.75</v>
      </c>
      <c r="AJ27" s="40"/>
      <c r="AK27" s="39">
        <f>AK28+AK136+AK114</f>
        <v>14189429.75</v>
      </c>
      <c r="AL27" s="39">
        <v>0</v>
      </c>
      <c r="AM27" s="39">
        <f t="shared" ref="AM27:AM30" si="29">AI27+AK27</f>
        <v>108345382.5</v>
      </c>
      <c r="AN27" s="40"/>
      <c r="AO27" s="39">
        <f>AO28+AO136+AO114</f>
        <v>12547219.75</v>
      </c>
      <c r="AP27" s="39">
        <v>0</v>
      </c>
      <c r="AQ27" s="39">
        <f t="shared" ref="AQ27:AQ30" si="30">AM27+AO27</f>
        <v>120892602.25</v>
      </c>
      <c r="AR27" s="40"/>
      <c r="AS27" s="39">
        <f>AS28+AS136+AS114</f>
        <v>9955164.75</v>
      </c>
      <c r="AT27" s="39">
        <v>0</v>
      </c>
      <c r="AU27" s="39">
        <f t="shared" ref="AU27:AU30" si="31">AQ27+AS27</f>
        <v>130847767</v>
      </c>
      <c r="AV27" s="40"/>
    </row>
    <row r="28" spans="1:48" x14ac:dyDescent="0.25">
      <c r="A28" s="14" t="s">
        <v>31</v>
      </c>
      <c r="B28" s="15" t="s">
        <v>32</v>
      </c>
      <c r="C28" s="17">
        <f>C29+C44+C55+C49+C62+C65+C75+C81+C87+C101+C59</f>
        <v>8116046</v>
      </c>
      <c r="D28" s="17">
        <v>0</v>
      </c>
      <c r="E28" s="17">
        <f t="shared" ref="E28:E57" si="32">+C28</f>
        <v>8116046</v>
      </c>
      <c r="F28" s="19"/>
      <c r="G28" s="17">
        <f>G29+G44+G49+G55+G62+G65+G75+G81+G87+G101</f>
        <v>7966455</v>
      </c>
      <c r="H28" s="17">
        <v>0</v>
      </c>
      <c r="I28" s="13">
        <f t="shared" si="24"/>
        <v>16082501</v>
      </c>
      <c r="J28" s="17">
        <f>J29+J44+J49+J55+J62+J65+J75+J81+J87+J101</f>
        <v>7903971</v>
      </c>
      <c r="K28" s="17">
        <v>0</v>
      </c>
      <c r="L28" s="13">
        <f t="shared" ref="L28:L72" si="33">I28+J28</f>
        <v>23986472</v>
      </c>
      <c r="M28" s="19"/>
      <c r="N28" s="17">
        <f>N29+N44+N49+N55+N62+N65+N75+N81+N87+N101</f>
        <v>11049135</v>
      </c>
      <c r="O28" s="17">
        <v>0</v>
      </c>
      <c r="P28" s="13">
        <f t="shared" si="25"/>
        <v>35035607</v>
      </c>
      <c r="Q28" s="19"/>
      <c r="R28" s="18">
        <f>R29+R44+R55+R49+R62+R65+R75+R81+R87+R101+R59</f>
        <v>9890052</v>
      </c>
      <c r="S28" s="17">
        <v>0</v>
      </c>
      <c r="T28" s="17">
        <f>+P28+R28</f>
        <v>44925659</v>
      </c>
      <c r="U28" s="31"/>
      <c r="V28" s="17">
        <f>V29+V44+V49+V55+V62+V65+V75+V81+V87+V101</f>
        <v>8345602</v>
      </c>
      <c r="W28" s="17">
        <v>0</v>
      </c>
      <c r="X28" s="13">
        <f t="shared" si="26"/>
        <v>53271261</v>
      </c>
      <c r="Y28" s="17">
        <f>Y29+Y44+Y49+Y55+Y62+Y65+Y75+Y81+Y87+Y101</f>
        <v>8661808</v>
      </c>
      <c r="Z28" s="17">
        <v>0</v>
      </c>
      <c r="AA28" s="30">
        <f t="shared" ref="AA28:AA42" si="34">X28+Y28</f>
        <v>61933069</v>
      </c>
      <c r="AB28" s="31"/>
      <c r="AC28" s="17">
        <f>AC29+AC44+AC49+AC55+AC62+AC65+AC75+AC81+AC87+AC101</f>
        <v>10142788</v>
      </c>
      <c r="AD28" s="17">
        <v>0</v>
      </c>
      <c r="AE28" s="13">
        <f t="shared" si="27"/>
        <v>72075857</v>
      </c>
      <c r="AF28" s="31"/>
      <c r="AG28" s="18">
        <f>AG29+AG44+AG49+AG55+AG62+AG65+AG75+AG81+AG87+AG101+AG93</f>
        <v>12198218.75</v>
      </c>
      <c r="AH28" s="17">
        <v>0</v>
      </c>
      <c r="AI28" s="13">
        <f t="shared" si="28"/>
        <v>84274075.75</v>
      </c>
      <c r="AJ28" s="31"/>
      <c r="AK28" s="17">
        <f>AK29+AK44+AK49+AK55+AK62+AK65+AK75+AK81+AK87+AK101+AK93</f>
        <v>13649168.75</v>
      </c>
      <c r="AL28" s="17">
        <v>0</v>
      </c>
      <c r="AM28" s="13">
        <f t="shared" si="29"/>
        <v>97923244.5</v>
      </c>
      <c r="AN28" s="31"/>
      <c r="AO28" s="17">
        <f>AO29+AO44+AO49+AO55+AO62+AO65+AO75+AO81+AO87+AO101+AO93</f>
        <v>12035856.75</v>
      </c>
      <c r="AP28" s="17">
        <v>0</v>
      </c>
      <c r="AQ28" s="13">
        <f t="shared" si="30"/>
        <v>109959101.25</v>
      </c>
      <c r="AR28" s="31"/>
      <c r="AS28" s="17">
        <f>AS29+AS44+AS49+AS55+AS62+AS65+AS75+AS81+AS87+AS101+AS93</f>
        <v>9451620.75</v>
      </c>
      <c r="AT28" s="17">
        <v>0</v>
      </c>
      <c r="AU28" s="13">
        <f t="shared" si="31"/>
        <v>119410722</v>
      </c>
      <c r="AV28" s="31"/>
    </row>
    <row r="29" spans="1:48" x14ac:dyDescent="0.25">
      <c r="A29" s="14" t="s">
        <v>33</v>
      </c>
      <c r="B29" s="15" t="s">
        <v>34</v>
      </c>
      <c r="C29" s="17">
        <f>C30+C32+C33+C34+C35+C36+C37+C38+C39+C40+C41+C42</f>
        <v>1600392</v>
      </c>
      <c r="D29" s="17">
        <v>0</v>
      </c>
      <c r="E29" s="17">
        <f t="shared" si="32"/>
        <v>1600392</v>
      </c>
      <c r="F29" s="19"/>
      <c r="G29" s="17">
        <f>SUM(G30:G42)</f>
        <v>4130279</v>
      </c>
      <c r="H29" s="17">
        <v>0</v>
      </c>
      <c r="I29" s="13">
        <f t="shared" si="24"/>
        <v>5730671</v>
      </c>
      <c r="J29" s="17">
        <f>SUM(J30:J42)</f>
        <v>4439790</v>
      </c>
      <c r="K29" s="17">
        <v>0</v>
      </c>
      <c r="L29" s="13">
        <f t="shared" si="33"/>
        <v>10170461</v>
      </c>
      <c r="M29" s="19"/>
      <c r="N29" s="23">
        <f>N30+N32+N33+N34+N35+N36+N37+N38+N39+N40+N41+N42</f>
        <v>4419929</v>
      </c>
      <c r="O29" s="17">
        <v>0</v>
      </c>
      <c r="P29" s="13">
        <f t="shared" si="25"/>
        <v>14590390</v>
      </c>
      <c r="Q29" s="19"/>
      <c r="R29" s="139">
        <f>SUM(R30:R42)</f>
        <v>4484929</v>
      </c>
      <c r="S29" s="17">
        <v>0</v>
      </c>
      <c r="T29" s="17">
        <f t="shared" ref="T29:T47" si="35">+P29+R29</f>
        <v>19075319</v>
      </c>
      <c r="U29" s="31"/>
      <c r="V29" s="17">
        <f>SUM(V30:V42)</f>
        <v>4419929</v>
      </c>
      <c r="W29" s="17">
        <v>0</v>
      </c>
      <c r="X29" s="13">
        <f t="shared" si="26"/>
        <v>23495248</v>
      </c>
      <c r="Y29" s="17">
        <f>SUM(Y30:Y42)</f>
        <v>4836778</v>
      </c>
      <c r="Z29" s="17">
        <v>0</v>
      </c>
      <c r="AA29" s="30">
        <f t="shared" si="34"/>
        <v>28332026</v>
      </c>
      <c r="AB29" s="31"/>
      <c r="AC29" s="23">
        <f>AC30+AC32+AC33+AC34+AC35+AC36+AC37+AC38+AC39+AC40+AC41+AC42</f>
        <v>4599929</v>
      </c>
      <c r="AD29" s="17">
        <v>0</v>
      </c>
      <c r="AE29" s="13">
        <f t="shared" si="27"/>
        <v>32931955</v>
      </c>
      <c r="AF29" s="31"/>
      <c r="AG29" s="139">
        <f>AG30+AG32+AG33+AG34+AG35+AG36+AG37+AG38+AG39+AG40+AG41+AG42</f>
        <v>4419929</v>
      </c>
      <c r="AH29" s="17">
        <v>0</v>
      </c>
      <c r="AI29" s="13">
        <f t="shared" si="28"/>
        <v>37351884</v>
      </c>
      <c r="AJ29" s="31"/>
      <c r="AK29" s="23">
        <f>AK30+AK32+AK33+AK34+AK35+AK36+AK37+AK38+AK39+AK40+AK41+AK42</f>
        <v>4419929</v>
      </c>
      <c r="AL29" s="17">
        <v>0</v>
      </c>
      <c r="AM29" s="13">
        <f t="shared" si="29"/>
        <v>41771813</v>
      </c>
      <c r="AN29" s="31"/>
      <c r="AO29" s="23">
        <f>AO30+AO32+AO33+AO34+AO35+AO36+AO37+AO38+AO39+AO40+AO41+AO42</f>
        <v>4469929</v>
      </c>
      <c r="AP29" s="17">
        <v>0</v>
      </c>
      <c r="AQ29" s="13">
        <f t="shared" si="30"/>
        <v>46241742</v>
      </c>
      <c r="AR29" s="31"/>
      <c r="AS29" s="23">
        <f>AS30+AS32+AS33+AS34+AS35+AS36+AS37+AS38+AS39+AS40+AS41+AS42</f>
        <v>3285180</v>
      </c>
      <c r="AT29" s="17">
        <v>0</v>
      </c>
      <c r="AU29" s="13">
        <f t="shared" si="31"/>
        <v>49526922</v>
      </c>
      <c r="AV29" s="31"/>
    </row>
    <row r="30" spans="1:48" x14ac:dyDescent="0.25">
      <c r="A30" s="14" t="s">
        <v>35</v>
      </c>
      <c r="B30" s="15" t="s">
        <v>36</v>
      </c>
      <c r="C30" s="17">
        <v>929368</v>
      </c>
      <c r="D30" s="17">
        <v>0</v>
      </c>
      <c r="E30" s="17">
        <f t="shared" si="32"/>
        <v>929368</v>
      </c>
      <c r="F30" s="19"/>
      <c r="G30" s="17">
        <v>2643170</v>
      </c>
      <c r="H30" s="17">
        <v>0</v>
      </c>
      <c r="I30" s="13">
        <f t="shared" si="24"/>
        <v>3572538</v>
      </c>
      <c r="J30" s="16">
        <v>2841503</v>
      </c>
      <c r="K30" s="17">
        <v>0</v>
      </c>
      <c r="L30" s="13">
        <f t="shared" si="33"/>
        <v>6414041</v>
      </c>
      <c r="M30" s="19"/>
      <c r="N30" s="16">
        <v>2841503</v>
      </c>
      <c r="O30" s="17">
        <v>0</v>
      </c>
      <c r="P30" s="13">
        <f t="shared" si="25"/>
        <v>9255544</v>
      </c>
      <c r="Q30" s="19"/>
      <c r="R30" s="139">
        <v>2841503</v>
      </c>
      <c r="S30" s="17">
        <v>0</v>
      </c>
      <c r="T30" s="17">
        <f t="shared" si="35"/>
        <v>12097047</v>
      </c>
      <c r="U30" s="31"/>
      <c r="V30" s="16">
        <v>2841503</v>
      </c>
      <c r="W30" s="17">
        <v>0</v>
      </c>
      <c r="X30" s="13">
        <f t="shared" si="26"/>
        <v>14938550</v>
      </c>
      <c r="Y30" s="16">
        <v>2841503</v>
      </c>
      <c r="Z30" s="17">
        <v>0</v>
      </c>
      <c r="AA30" s="30">
        <f t="shared" si="34"/>
        <v>17780053</v>
      </c>
      <c r="AB30" s="31"/>
      <c r="AC30" s="16">
        <v>2841503</v>
      </c>
      <c r="AD30" s="17">
        <v>0</v>
      </c>
      <c r="AE30" s="13">
        <f t="shared" si="27"/>
        <v>20621556</v>
      </c>
      <c r="AF30" s="31"/>
      <c r="AG30" s="139">
        <v>2841503</v>
      </c>
      <c r="AH30" s="17">
        <v>0</v>
      </c>
      <c r="AI30" s="13">
        <f t="shared" si="28"/>
        <v>23463059</v>
      </c>
      <c r="AJ30" s="31"/>
      <c r="AK30" s="16">
        <v>2841503</v>
      </c>
      <c r="AL30" s="17">
        <v>0</v>
      </c>
      <c r="AM30" s="13">
        <f t="shared" si="29"/>
        <v>26304562</v>
      </c>
      <c r="AN30" s="31"/>
      <c r="AO30" s="16">
        <v>2841503</v>
      </c>
      <c r="AP30" s="17">
        <v>0</v>
      </c>
      <c r="AQ30" s="13">
        <f t="shared" si="30"/>
        <v>29146065</v>
      </c>
      <c r="AR30" s="31"/>
      <c r="AS30" s="16">
        <v>1989052</v>
      </c>
      <c r="AT30" s="17">
        <v>0</v>
      </c>
      <c r="AU30" s="13">
        <f t="shared" si="31"/>
        <v>31135117</v>
      </c>
      <c r="AV30" s="31"/>
    </row>
    <row r="31" spans="1:48" x14ac:dyDescent="0.25">
      <c r="A31" s="14">
        <v>5105</v>
      </c>
      <c r="B31" s="15" t="s">
        <v>334</v>
      </c>
      <c r="C31" s="17">
        <v>0</v>
      </c>
      <c r="D31" s="17">
        <v>0</v>
      </c>
      <c r="E31" s="17">
        <v>0</v>
      </c>
      <c r="F31" s="31"/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31"/>
      <c r="N31" s="17">
        <v>0</v>
      </c>
      <c r="O31" s="17">
        <v>0</v>
      </c>
      <c r="P31" s="17">
        <v>0</v>
      </c>
      <c r="Q31" s="31"/>
      <c r="R31" s="139">
        <v>5000</v>
      </c>
      <c r="S31" s="17"/>
      <c r="T31" s="17">
        <f t="shared" si="35"/>
        <v>5000</v>
      </c>
      <c r="U31" s="31"/>
      <c r="V31" s="16">
        <v>0</v>
      </c>
      <c r="W31" s="17"/>
      <c r="X31" s="13"/>
      <c r="Y31" s="16"/>
      <c r="Z31" s="17"/>
      <c r="AA31" s="30"/>
      <c r="AB31" s="31"/>
      <c r="AC31" s="16"/>
      <c r="AD31" s="17"/>
      <c r="AE31" s="13"/>
      <c r="AF31" s="31"/>
      <c r="AG31" s="139"/>
      <c r="AH31" s="17"/>
      <c r="AI31" s="13"/>
      <c r="AJ31" s="31"/>
      <c r="AK31" s="16"/>
      <c r="AL31" s="17"/>
      <c r="AM31" s="13"/>
      <c r="AN31" s="31"/>
      <c r="AO31" s="16"/>
      <c r="AP31" s="17"/>
      <c r="AQ31" s="13"/>
      <c r="AR31" s="31"/>
      <c r="AS31" s="16"/>
      <c r="AT31" s="17"/>
      <c r="AU31" s="13"/>
      <c r="AV31" s="31"/>
    </row>
    <row r="32" spans="1:48" x14ac:dyDescent="0.25">
      <c r="A32" s="14" t="s">
        <v>37</v>
      </c>
      <c r="B32" s="15" t="s">
        <v>38</v>
      </c>
      <c r="C32" s="17">
        <v>0</v>
      </c>
      <c r="D32" s="17">
        <v>0</v>
      </c>
      <c r="E32" s="17">
        <f t="shared" si="32"/>
        <v>0</v>
      </c>
      <c r="F32" s="19"/>
      <c r="G32" s="17">
        <v>74391</v>
      </c>
      <c r="H32" s="17">
        <v>0</v>
      </c>
      <c r="I32" s="13">
        <f t="shared" si="24"/>
        <v>74391</v>
      </c>
      <c r="J32" s="16">
        <v>97032</v>
      </c>
      <c r="K32" s="17">
        <v>0</v>
      </c>
      <c r="L32" s="13">
        <f t="shared" si="33"/>
        <v>171423</v>
      </c>
      <c r="M32" s="19"/>
      <c r="N32" s="16">
        <v>97032</v>
      </c>
      <c r="O32" s="17">
        <v>0</v>
      </c>
      <c r="P32" s="13">
        <f t="shared" si="25"/>
        <v>268455</v>
      </c>
      <c r="Q32" s="19"/>
      <c r="R32" s="139">
        <v>97032</v>
      </c>
      <c r="S32" s="17">
        <v>0</v>
      </c>
      <c r="T32" s="17">
        <f t="shared" si="35"/>
        <v>365487</v>
      </c>
      <c r="U32" s="31"/>
      <c r="V32" s="16">
        <v>97032</v>
      </c>
      <c r="W32" s="17">
        <v>0</v>
      </c>
      <c r="X32" s="13">
        <f t="shared" si="26"/>
        <v>462519</v>
      </c>
      <c r="Y32" s="16">
        <v>97032</v>
      </c>
      <c r="Z32" s="17">
        <v>0</v>
      </c>
      <c r="AA32" s="30">
        <f t="shared" si="34"/>
        <v>559551</v>
      </c>
      <c r="AB32" s="31"/>
      <c r="AC32" s="16">
        <v>97032</v>
      </c>
      <c r="AD32" s="17">
        <v>0</v>
      </c>
      <c r="AE32" s="13">
        <f t="shared" si="27"/>
        <v>656583</v>
      </c>
      <c r="AF32" s="31"/>
      <c r="AG32" s="139">
        <v>97032</v>
      </c>
      <c r="AH32" s="17">
        <v>0</v>
      </c>
      <c r="AI32" s="13">
        <f t="shared" ref="AI32:AI42" si="36">AE32+AG32</f>
        <v>753615</v>
      </c>
      <c r="AJ32" s="31"/>
      <c r="AK32" s="16">
        <v>97032</v>
      </c>
      <c r="AL32" s="17">
        <v>0</v>
      </c>
      <c r="AM32" s="13">
        <f t="shared" ref="AM32:AM42" si="37">AI32+AK32</f>
        <v>850647</v>
      </c>
      <c r="AN32" s="31"/>
      <c r="AO32" s="16">
        <v>97032</v>
      </c>
      <c r="AP32" s="17">
        <v>0</v>
      </c>
      <c r="AQ32" s="13">
        <f t="shared" ref="AQ32:AQ42" si="38">AM32+AO32</f>
        <v>947679</v>
      </c>
      <c r="AR32" s="31"/>
      <c r="AS32" s="16">
        <v>67922</v>
      </c>
      <c r="AT32" s="17">
        <v>0</v>
      </c>
      <c r="AU32" s="13">
        <f t="shared" ref="AU32:AU42" si="39">AQ32+AS32</f>
        <v>1015601</v>
      </c>
      <c r="AV32" s="31"/>
    </row>
    <row r="33" spans="1:48" x14ac:dyDescent="0.25">
      <c r="A33" s="14" t="s">
        <v>39</v>
      </c>
      <c r="B33" s="15" t="s">
        <v>40</v>
      </c>
      <c r="C33" s="17">
        <v>77416</v>
      </c>
      <c r="D33" s="17">
        <v>0</v>
      </c>
      <c r="E33" s="17">
        <f t="shared" si="32"/>
        <v>77416</v>
      </c>
      <c r="F33" s="19"/>
      <c r="G33" s="17">
        <v>226373</v>
      </c>
      <c r="H33" s="17">
        <v>0</v>
      </c>
      <c r="I33" s="13">
        <f t="shared" si="24"/>
        <v>303789</v>
      </c>
      <c r="J33" s="16">
        <v>244780</v>
      </c>
      <c r="K33" s="17">
        <v>0</v>
      </c>
      <c r="L33" s="13">
        <f t="shared" si="33"/>
        <v>548569</v>
      </c>
      <c r="M33" s="19"/>
      <c r="N33" s="16">
        <v>244780</v>
      </c>
      <c r="O33" s="17">
        <v>0</v>
      </c>
      <c r="P33" s="13">
        <f t="shared" si="25"/>
        <v>793349</v>
      </c>
      <c r="Q33" s="19"/>
      <c r="R33" s="139">
        <v>244780</v>
      </c>
      <c r="S33" s="17">
        <v>0</v>
      </c>
      <c r="T33" s="17">
        <f t="shared" si="35"/>
        <v>1038129</v>
      </c>
      <c r="U33" s="31"/>
      <c r="V33" s="16">
        <v>244780</v>
      </c>
      <c r="W33" s="17">
        <v>0</v>
      </c>
      <c r="X33" s="13">
        <f t="shared" si="26"/>
        <v>1282909</v>
      </c>
      <c r="Y33" s="16">
        <v>244780</v>
      </c>
      <c r="Z33" s="17">
        <v>0</v>
      </c>
      <c r="AA33" s="30">
        <f t="shared" si="34"/>
        <v>1527689</v>
      </c>
      <c r="AB33" s="31"/>
      <c r="AC33" s="16">
        <v>244780</v>
      </c>
      <c r="AD33" s="17">
        <v>0</v>
      </c>
      <c r="AE33" s="13">
        <f t="shared" si="27"/>
        <v>1772469</v>
      </c>
      <c r="AF33" s="31"/>
      <c r="AG33" s="139">
        <v>244780</v>
      </c>
      <c r="AH33" s="17">
        <v>0</v>
      </c>
      <c r="AI33" s="13">
        <f t="shared" si="36"/>
        <v>2017249</v>
      </c>
      <c r="AJ33" s="31"/>
      <c r="AK33" s="16">
        <v>244780</v>
      </c>
      <c r="AL33" s="17">
        <v>0</v>
      </c>
      <c r="AM33" s="13">
        <f t="shared" si="37"/>
        <v>2262029</v>
      </c>
      <c r="AN33" s="31"/>
      <c r="AO33" s="16">
        <v>244780</v>
      </c>
      <c r="AP33" s="17">
        <v>0</v>
      </c>
      <c r="AQ33" s="13">
        <f t="shared" si="38"/>
        <v>2506809</v>
      </c>
      <c r="AR33" s="31"/>
      <c r="AS33" s="16">
        <v>244780</v>
      </c>
      <c r="AT33" s="17">
        <v>0</v>
      </c>
      <c r="AU33" s="13">
        <f t="shared" si="39"/>
        <v>2751589</v>
      </c>
      <c r="AV33" s="31"/>
    </row>
    <row r="34" spans="1:48" x14ac:dyDescent="0.25">
      <c r="A34" s="14" t="s">
        <v>41</v>
      </c>
      <c r="B34" s="15" t="s">
        <v>42</v>
      </c>
      <c r="C34" s="17">
        <v>9289</v>
      </c>
      <c r="D34" s="17">
        <v>0</v>
      </c>
      <c r="E34" s="17">
        <f t="shared" si="32"/>
        <v>9289</v>
      </c>
      <c r="F34" s="19"/>
      <c r="G34" s="17">
        <v>27176</v>
      </c>
      <c r="H34" s="17">
        <v>0</v>
      </c>
      <c r="I34" s="13">
        <f t="shared" si="24"/>
        <v>36465</v>
      </c>
      <c r="J34" s="16">
        <v>29385</v>
      </c>
      <c r="K34" s="17">
        <v>0</v>
      </c>
      <c r="L34" s="13">
        <f t="shared" si="33"/>
        <v>65850</v>
      </c>
      <c r="M34" s="19"/>
      <c r="N34" s="16">
        <v>29385</v>
      </c>
      <c r="O34" s="17">
        <v>0</v>
      </c>
      <c r="P34" s="13">
        <f t="shared" si="25"/>
        <v>95235</v>
      </c>
      <c r="Q34" s="19"/>
      <c r="R34" s="139">
        <v>29385</v>
      </c>
      <c r="S34" s="17">
        <v>0</v>
      </c>
      <c r="T34" s="17">
        <f t="shared" si="35"/>
        <v>124620</v>
      </c>
      <c r="U34" s="31"/>
      <c r="V34" s="16">
        <v>29385</v>
      </c>
      <c r="W34" s="17">
        <v>0</v>
      </c>
      <c r="X34" s="13">
        <f t="shared" si="26"/>
        <v>154005</v>
      </c>
      <c r="Y34" s="16">
        <v>29385</v>
      </c>
      <c r="Z34" s="17">
        <v>0</v>
      </c>
      <c r="AA34" s="30">
        <f t="shared" si="34"/>
        <v>183390</v>
      </c>
      <c r="AB34" s="31"/>
      <c r="AC34" s="16">
        <v>29385</v>
      </c>
      <c r="AD34" s="17">
        <v>0</v>
      </c>
      <c r="AE34" s="13">
        <f t="shared" si="27"/>
        <v>212775</v>
      </c>
      <c r="AF34" s="31"/>
      <c r="AG34" s="139">
        <v>29385</v>
      </c>
      <c r="AH34" s="17">
        <v>0</v>
      </c>
      <c r="AI34" s="13">
        <f t="shared" si="36"/>
        <v>242160</v>
      </c>
      <c r="AJ34" s="31"/>
      <c r="AK34" s="16">
        <v>29385</v>
      </c>
      <c r="AL34" s="17">
        <v>0</v>
      </c>
      <c r="AM34" s="13">
        <f t="shared" si="37"/>
        <v>271545</v>
      </c>
      <c r="AN34" s="31"/>
      <c r="AO34" s="16">
        <v>29385</v>
      </c>
      <c r="AP34" s="17">
        <v>0</v>
      </c>
      <c r="AQ34" s="13">
        <f t="shared" si="38"/>
        <v>300930</v>
      </c>
      <c r="AR34" s="31"/>
      <c r="AS34" s="16">
        <v>29385</v>
      </c>
      <c r="AT34" s="17">
        <v>0</v>
      </c>
      <c r="AU34" s="13">
        <f t="shared" si="39"/>
        <v>330315</v>
      </c>
      <c r="AV34" s="31"/>
    </row>
    <row r="35" spans="1:48" x14ac:dyDescent="0.25">
      <c r="A35" s="14" t="s">
        <v>43</v>
      </c>
      <c r="B35" s="15" t="s">
        <v>44</v>
      </c>
      <c r="C35" s="17">
        <v>77416</v>
      </c>
      <c r="D35" s="17">
        <v>0</v>
      </c>
      <c r="E35" s="17">
        <f t="shared" si="32"/>
        <v>77416</v>
      </c>
      <c r="F35" s="19"/>
      <c r="G35" s="17">
        <v>110220</v>
      </c>
      <c r="H35" s="17">
        <v>0</v>
      </c>
      <c r="I35" s="13">
        <f t="shared" si="24"/>
        <v>187636</v>
      </c>
      <c r="J35" s="16">
        <v>118491</v>
      </c>
      <c r="K35" s="17">
        <v>0</v>
      </c>
      <c r="L35" s="13">
        <f t="shared" si="33"/>
        <v>306127</v>
      </c>
      <c r="M35" s="19"/>
      <c r="N35" s="16">
        <v>118491</v>
      </c>
      <c r="O35" s="17">
        <v>0</v>
      </c>
      <c r="P35" s="13">
        <f t="shared" si="25"/>
        <v>424618</v>
      </c>
      <c r="Q35" s="19"/>
      <c r="R35" s="139">
        <v>118491</v>
      </c>
      <c r="S35" s="17">
        <v>0</v>
      </c>
      <c r="T35" s="17">
        <f t="shared" si="35"/>
        <v>543109</v>
      </c>
      <c r="U35" s="31"/>
      <c r="V35" s="16">
        <v>118491</v>
      </c>
      <c r="W35" s="17">
        <v>0</v>
      </c>
      <c r="X35" s="13">
        <f t="shared" si="26"/>
        <v>661600</v>
      </c>
      <c r="Y35" s="16">
        <v>118491</v>
      </c>
      <c r="Z35" s="17">
        <v>0</v>
      </c>
      <c r="AA35" s="30">
        <f t="shared" si="34"/>
        <v>780091</v>
      </c>
      <c r="AB35" s="31"/>
      <c r="AC35" s="16">
        <v>118491</v>
      </c>
      <c r="AD35" s="17">
        <v>0</v>
      </c>
      <c r="AE35" s="13">
        <f t="shared" si="27"/>
        <v>898582</v>
      </c>
      <c r="AF35" s="31"/>
      <c r="AG35" s="139">
        <v>118491</v>
      </c>
      <c r="AH35" s="17">
        <v>0</v>
      </c>
      <c r="AI35" s="13">
        <f t="shared" si="36"/>
        <v>1017073</v>
      </c>
      <c r="AJ35" s="31"/>
      <c r="AK35" s="16">
        <v>118491</v>
      </c>
      <c r="AL35" s="17">
        <v>0</v>
      </c>
      <c r="AM35" s="13">
        <f t="shared" si="37"/>
        <v>1135564</v>
      </c>
      <c r="AN35" s="31"/>
      <c r="AO35" s="16">
        <v>118491</v>
      </c>
      <c r="AP35" s="17">
        <v>0</v>
      </c>
      <c r="AQ35" s="13">
        <f t="shared" si="38"/>
        <v>1254055</v>
      </c>
      <c r="AR35" s="31"/>
      <c r="AS35" s="16">
        <v>118491</v>
      </c>
      <c r="AT35" s="17">
        <v>0</v>
      </c>
      <c r="AU35" s="13">
        <f t="shared" si="39"/>
        <v>1372546</v>
      </c>
      <c r="AV35" s="31"/>
    </row>
    <row r="36" spans="1:48" x14ac:dyDescent="0.25">
      <c r="A36" s="14" t="s">
        <v>45</v>
      </c>
      <c r="B36" s="15" t="s">
        <v>46</v>
      </c>
      <c r="C36" s="17">
        <v>38755</v>
      </c>
      <c r="D36" s="17">
        <v>0</v>
      </c>
      <c r="E36" s="17">
        <f t="shared" si="32"/>
        <v>38755</v>
      </c>
      <c r="F36" s="19"/>
      <c r="G36" s="17">
        <v>226373</v>
      </c>
      <c r="H36" s="17">
        <v>0</v>
      </c>
      <c r="I36" s="13">
        <f t="shared" si="24"/>
        <v>265128</v>
      </c>
      <c r="J36" s="16">
        <v>244780</v>
      </c>
      <c r="K36" s="17">
        <v>0</v>
      </c>
      <c r="L36" s="13">
        <f t="shared" si="33"/>
        <v>509908</v>
      </c>
      <c r="M36" s="19"/>
      <c r="N36" s="16">
        <v>244780</v>
      </c>
      <c r="O36" s="17">
        <v>0</v>
      </c>
      <c r="P36" s="13">
        <f t="shared" si="25"/>
        <v>754688</v>
      </c>
      <c r="Q36" s="19"/>
      <c r="R36" s="139">
        <v>244780</v>
      </c>
      <c r="S36" s="17">
        <v>0</v>
      </c>
      <c r="T36" s="17">
        <f t="shared" si="35"/>
        <v>999468</v>
      </c>
      <c r="U36" s="31"/>
      <c r="V36" s="16">
        <v>244780</v>
      </c>
      <c r="W36" s="17">
        <v>0</v>
      </c>
      <c r="X36" s="13">
        <f t="shared" si="26"/>
        <v>1244248</v>
      </c>
      <c r="Y36" s="16">
        <v>244780</v>
      </c>
      <c r="Z36" s="17">
        <v>0</v>
      </c>
      <c r="AA36" s="30">
        <f t="shared" si="34"/>
        <v>1489028</v>
      </c>
      <c r="AB36" s="31"/>
      <c r="AC36" s="16">
        <v>244780</v>
      </c>
      <c r="AD36" s="17">
        <v>0</v>
      </c>
      <c r="AE36" s="13">
        <f t="shared" si="27"/>
        <v>1733808</v>
      </c>
      <c r="AF36" s="31"/>
      <c r="AG36" s="139">
        <v>244780</v>
      </c>
      <c r="AH36" s="17">
        <v>0</v>
      </c>
      <c r="AI36" s="13">
        <f t="shared" si="36"/>
        <v>1978588</v>
      </c>
      <c r="AJ36" s="31"/>
      <c r="AK36" s="16">
        <v>244780</v>
      </c>
      <c r="AL36" s="17">
        <v>0</v>
      </c>
      <c r="AM36" s="13">
        <f t="shared" si="37"/>
        <v>2223368</v>
      </c>
      <c r="AN36" s="31"/>
      <c r="AO36" s="16">
        <v>244780</v>
      </c>
      <c r="AP36" s="17">
        <v>0</v>
      </c>
      <c r="AQ36" s="13">
        <f t="shared" si="38"/>
        <v>2468148</v>
      </c>
      <c r="AR36" s="31"/>
      <c r="AS36" s="16">
        <v>244780</v>
      </c>
      <c r="AT36" s="17">
        <v>0</v>
      </c>
      <c r="AU36" s="13">
        <f t="shared" si="39"/>
        <v>2712928</v>
      </c>
      <c r="AV36" s="31"/>
    </row>
    <row r="37" spans="1:48" x14ac:dyDescent="0.25">
      <c r="A37" s="14" t="s">
        <v>47</v>
      </c>
      <c r="B37" s="15" t="s">
        <v>48</v>
      </c>
      <c r="C37" s="17">
        <v>149248</v>
      </c>
      <c r="D37" s="17">
        <v>0</v>
      </c>
      <c r="E37" s="17">
        <f t="shared" si="32"/>
        <v>149248</v>
      </c>
      <c r="F37" s="19"/>
      <c r="G37" s="17">
        <v>319818</v>
      </c>
      <c r="H37" s="17">
        <v>0</v>
      </c>
      <c r="I37" s="13">
        <f t="shared" si="24"/>
        <v>469066</v>
      </c>
      <c r="J37" s="16">
        <v>319818</v>
      </c>
      <c r="K37" s="17">
        <v>0</v>
      </c>
      <c r="L37" s="13">
        <f t="shared" si="33"/>
        <v>788884</v>
      </c>
      <c r="M37" s="19"/>
      <c r="N37" s="16">
        <v>319818</v>
      </c>
      <c r="O37" s="17">
        <v>0</v>
      </c>
      <c r="P37" s="13">
        <f t="shared" si="25"/>
        <v>1108702</v>
      </c>
      <c r="Q37" s="19"/>
      <c r="R37" s="139">
        <v>319818</v>
      </c>
      <c r="S37" s="17">
        <v>0</v>
      </c>
      <c r="T37" s="17">
        <f t="shared" si="35"/>
        <v>1428520</v>
      </c>
      <c r="U37" s="31"/>
      <c r="V37" s="16">
        <v>319818</v>
      </c>
      <c r="W37" s="17">
        <v>0</v>
      </c>
      <c r="X37" s="13">
        <f t="shared" si="26"/>
        <v>1748338</v>
      </c>
      <c r="Y37" s="16">
        <v>319818</v>
      </c>
      <c r="Z37" s="17">
        <v>0</v>
      </c>
      <c r="AA37" s="30">
        <f t="shared" si="34"/>
        <v>2068156</v>
      </c>
      <c r="AB37" s="31"/>
      <c r="AC37" s="16">
        <v>319818</v>
      </c>
      <c r="AD37" s="17">
        <v>0</v>
      </c>
      <c r="AE37" s="13">
        <f t="shared" si="27"/>
        <v>2387974</v>
      </c>
      <c r="AF37" s="31"/>
      <c r="AG37" s="139">
        <v>319818</v>
      </c>
      <c r="AH37" s="17">
        <v>0</v>
      </c>
      <c r="AI37" s="13">
        <f t="shared" si="36"/>
        <v>2707792</v>
      </c>
      <c r="AJ37" s="31"/>
      <c r="AK37" s="16">
        <v>319818</v>
      </c>
      <c r="AL37" s="17">
        <v>0</v>
      </c>
      <c r="AM37" s="13">
        <f t="shared" si="37"/>
        <v>3027610</v>
      </c>
      <c r="AN37" s="31"/>
      <c r="AO37" s="16">
        <v>319818</v>
      </c>
      <c r="AP37" s="17">
        <v>0</v>
      </c>
      <c r="AQ37" s="13">
        <f t="shared" si="38"/>
        <v>3347428</v>
      </c>
      <c r="AR37" s="31"/>
      <c r="AS37" s="16">
        <v>223873</v>
      </c>
      <c r="AT37" s="17">
        <v>0</v>
      </c>
      <c r="AU37" s="13">
        <f t="shared" si="39"/>
        <v>3571301</v>
      </c>
      <c r="AV37" s="31"/>
    </row>
    <row r="38" spans="1:48" ht="21" customHeight="1" x14ac:dyDescent="0.25">
      <c r="A38" s="14" t="s">
        <v>49</v>
      </c>
      <c r="B38" s="15" t="s">
        <v>140</v>
      </c>
      <c r="C38" s="17">
        <v>0</v>
      </c>
      <c r="D38" s="17">
        <v>0</v>
      </c>
      <c r="E38" s="17">
        <f t="shared" si="32"/>
        <v>0</v>
      </c>
      <c r="F38" s="19"/>
      <c r="G38" s="17"/>
      <c r="H38" s="17">
        <v>0</v>
      </c>
      <c r="I38" s="13">
        <f t="shared" si="24"/>
        <v>0</v>
      </c>
      <c r="J38" s="16">
        <v>19861</v>
      </c>
      <c r="K38" s="17">
        <v>0</v>
      </c>
      <c r="L38" s="13">
        <f t="shared" si="33"/>
        <v>19861</v>
      </c>
      <c r="M38" s="19"/>
      <c r="N38" s="16">
        <v>0</v>
      </c>
      <c r="O38" s="17">
        <v>0</v>
      </c>
      <c r="P38" s="13">
        <f t="shared" si="25"/>
        <v>19861</v>
      </c>
      <c r="Q38" s="19"/>
      <c r="R38" s="18">
        <v>60000</v>
      </c>
      <c r="S38" s="17">
        <v>0</v>
      </c>
      <c r="T38" s="17">
        <f t="shared" si="35"/>
        <v>79861</v>
      </c>
      <c r="U38" s="31"/>
      <c r="V38" s="17">
        <v>0</v>
      </c>
      <c r="W38" s="17">
        <v>0</v>
      </c>
      <c r="X38" s="13">
        <f t="shared" si="26"/>
        <v>79861</v>
      </c>
      <c r="Y38" s="137">
        <v>416849</v>
      </c>
      <c r="Z38" s="17">
        <v>0</v>
      </c>
      <c r="AA38" s="30">
        <f t="shared" si="34"/>
        <v>496710</v>
      </c>
      <c r="AB38" s="31"/>
      <c r="AC38" s="137">
        <v>180000</v>
      </c>
      <c r="AD38" s="17">
        <v>0</v>
      </c>
      <c r="AE38" s="13">
        <f t="shared" si="27"/>
        <v>676710</v>
      </c>
      <c r="AF38" s="31"/>
      <c r="AG38" s="139"/>
      <c r="AH38" s="17">
        <v>0</v>
      </c>
      <c r="AI38" s="13">
        <f t="shared" si="36"/>
        <v>676710</v>
      </c>
      <c r="AJ38" s="31"/>
      <c r="AK38" s="137">
        <v>0</v>
      </c>
      <c r="AL38" s="17">
        <v>0</v>
      </c>
      <c r="AM38" s="13">
        <f t="shared" si="37"/>
        <v>676710</v>
      </c>
      <c r="AN38" s="31"/>
      <c r="AO38" s="137">
        <v>50000</v>
      </c>
      <c r="AP38" s="17">
        <v>0</v>
      </c>
      <c r="AQ38" s="13">
        <f t="shared" si="38"/>
        <v>726710</v>
      </c>
      <c r="AR38" s="31"/>
      <c r="AS38" s="137">
        <v>0</v>
      </c>
      <c r="AT38" s="17">
        <v>0</v>
      </c>
      <c r="AU38" s="13">
        <f t="shared" si="39"/>
        <v>726710</v>
      </c>
      <c r="AV38" s="31"/>
    </row>
    <row r="39" spans="1:48" x14ac:dyDescent="0.25">
      <c r="A39" s="14" t="s">
        <v>50</v>
      </c>
      <c r="B39" s="15" t="s">
        <v>51</v>
      </c>
      <c r="C39" s="17">
        <v>9500</v>
      </c>
      <c r="D39" s="17">
        <v>0</v>
      </c>
      <c r="E39" s="17">
        <f t="shared" si="32"/>
        <v>9500</v>
      </c>
      <c r="F39" s="19"/>
      <c r="G39" s="17">
        <v>64500</v>
      </c>
      <c r="H39" s="17">
        <v>0</v>
      </c>
      <c r="I39" s="13">
        <f t="shared" si="24"/>
        <v>74000</v>
      </c>
      <c r="J39" s="16">
        <v>69400</v>
      </c>
      <c r="K39" s="17">
        <v>0</v>
      </c>
      <c r="L39" s="13">
        <f t="shared" si="33"/>
        <v>143400</v>
      </c>
      <c r="M39" s="19"/>
      <c r="N39" s="29">
        <v>69400</v>
      </c>
      <c r="O39" s="17">
        <v>0</v>
      </c>
      <c r="P39" s="13">
        <f t="shared" si="25"/>
        <v>212800</v>
      </c>
      <c r="Q39" s="19"/>
      <c r="R39" s="18">
        <v>69400</v>
      </c>
      <c r="S39" s="17">
        <v>0</v>
      </c>
      <c r="T39" s="17">
        <f t="shared" si="35"/>
        <v>282200</v>
      </c>
      <c r="U39" s="31"/>
      <c r="V39" s="17">
        <v>69400</v>
      </c>
      <c r="W39" s="17">
        <v>0</v>
      </c>
      <c r="X39" s="13">
        <f t="shared" si="26"/>
        <v>351600</v>
      </c>
      <c r="Y39" s="16">
        <v>69400</v>
      </c>
      <c r="Z39" s="17">
        <v>0</v>
      </c>
      <c r="AA39" s="30">
        <f t="shared" si="34"/>
        <v>421000</v>
      </c>
      <c r="AB39" s="31"/>
      <c r="AC39" s="16">
        <v>69400</v>
      </c>
      <c r="AD39" s="17">
        <v>0</v>
      </c>
      <c r="AE39" s="13">
        <f t="shared" si="27"/>
        <v>490400</v>
      </c>
      <c r="AF39" s="31"/>
      <c r="AG39" s="139">
        <v>69400</v>
      </c>
      <c r="AH39" s="17">
        <v>0</v>
      </c>
      <c r="AI39" s="13">
        <f t="shared" si="36"/>
        <v>559800</v>
      </c>
      <c r="AJ39" s="31"/>
      <c r="AK39" s="16">
        <v>69400</v>
      </c>
      <c r="AL39" s="17">
        <v>0</v>
      </c>
      <c r="AM39" s="13">
        <f t="shared" si="37"/>
        <v>629200</v>
      </c>
      <c r="AN39" s="31"/>
      <c r="AO39" s="16">
        <v>69400</v>
      </c>
      <c r="AP39" s="17">
        <v>0</v>
      </c>
      <c r="AQ39" s="13">
        <f t="shared" si="38"/>
        <v>698600</v>
      </c>
      <c r="AR39" s="31"/>
      <c r="AS39" s="16">
        <v>48579</v>
      </c>
      <c r="AT39" s="17">
        <v>0</v>
      </c>
      <c r="AU39" s="13">
        <f t="shared" si="39"/>
        <v>747179</v>
      </c>
      <c r="AV39" s="31"/>
    </row>
    <row r="40" spans="1:48" ht="21" customHeight="1" x14ac:dyDescent="0.25">
      <c r="A40" s="14" t="s">
        <v>52</v>
      </c>
      <c r="B40" s="15" t="s">
        <v>53</v>
      </c>
      <c r="C40" s="17">
        <v>0</v>
      </c>
      <c r="D40" s="17">
        <v>0</v>
      </c>
      <c r="E40" s="17">
        <f t="shared" si="32"/>
        <v>0</v>
      </c>
      <c r="F40" s="19"/>
      <c r="G40" s="17">
        <v>0</v>
      </c>
      <c r="H40" s="17">
        <v>0</v>
      </c>
      <c r="I40" s="13">
        <f t="shared" si="24"/>
        <v>0</v>
      </c>
      <c r="J40" s="16">
        <v>0</v>
      </c>
      <c r="K40" s="17">
        <v>0</v>
      </c>
      <c r="L40" s="13">
        <f t="shared" si="33"/>
        <v>0</v>
      </c>
      <c r="M40" s="19"/>
      <c r="N40" s="29">
        <v>0</v>
      </c>
      <c r="O40" s="17">
        <v>0</v>
      </c>
      <c r="P40" s="13">
        <f t="shared" ref="P40:P75" si="40">L40+N40</f>
        <v>0</v>
      </c>
      <c r="Q40" s="19"/>
      <c r="R40" s="18">
        <v>0</v>
      </c>
      <c r="S40" s="17">
        <v>0</v>
      </c>
      <c r="T40" s="17">
        <f t="shared" si="35"/>
        <v>0</v>
      </c>
      <c r="U40" s="31"/>
      <c r="V40" s="17">
        <v>0</v>
      </c>
      <c r="W40" s="17">
        <v>0</v>
      </c>
      <c r="X40" s="13">
        <f t="shared" si="26"/>
        <v>0</v>
      </c>
      <c r="Y40" s="16">
        <v>0</v>
      </c>
      <c r="Z40" s="17">
        <v>0</v>
      </c>
      <c r="AA40" s="30">
        <f t="shared" si="34"/>
        <v>0</v>
      </c>
      <c r="AB40" s="31"/>
      <c r="AC40" s="16">
        <v>0</v>
      </c>
      <c r="AD40" s="17">
        <v>0</v>
      </c>
      <c r="AE40" s="13">
        <f t="shared" si="27"/>
        <v>0</v>
      </c>
      <c r="AF40" s="31"/>
      <c r="AG40" s="139">
        <v>0</v>
      </c>
      <c r="AH40" s="17">
        <v>0</v>
      </c>
      <c r="AI40" s="13">
        <f t="shared" si="36"/>
        <v>0</v>
      </c>
      <c r="AJ40" s="31"/>
      <c r="AK40" s="16">
        <v>0</v>
      </c>
      <c r="AL40" s="17">
        <v>0</v>
      </c>
      <c r="AM40" s="13">
        <f t="shared" si="37"/>
        <v>0</v>
      </c>
      <c r="AN40" s="31"/>
      <c r="AO40" s="16">
        <v>0</v>
      </c>
      <c r="AP40" s="17">
        <v>0</v>
      </c>
      <c r="AQ40" s="13">
        <f t="shared" si="38"/>
        <v>0</v>
      </c>
      <c r="AR40" s="31"/>
      <c r="AS40" s="16">
        <v>0</v>
      </c>
      <c r="AT40" s="17">
        <v>0</v>
      </c>
      <c r="AU40" s="13">
        <f t="shared" si="39"/>
        <v>0</v>
      </c>
      <c r="AV40" s="31"/>
    </row>
    <row r="41" spans="1:48" ht="21" customHeight="1" x14ac:dyDescent="0.25">
      <c r="A41" s="14" t="s">
        <v>54</v>
      </c>
      <c r="B41" s="15" t="s">
        <v>55</v>
      </c>
      <c r="C41" s="17">
        <v>232000</v>
      </c>
      <c r="D41" s="17">
        <v>0</v>
      </c>
      <c r="E41" s="17">
        <f t="shared" si="32"/>
        <v>232000</v>
      </c>
      <c r="F41" s="19"/>
      <c r="G41" s="17">
        <v>332458</v>
      </c>
      <c r="H41" s="17">
        <v>0</v>
      </c>
      <c r="I41" s="13">
        <f t="shared" si="24"/>
        <v>564458</v>
      </c>
      <c r="J41" s="16">
        <v>341040</v>
      </c>
      <c r="K41" s="17">
        <v>0</v>
      </c>
      <c r="L41" s="13">
        <f t="shared" si="33"/>
        <v>905498</v>
      </c>
      <c r="M41" s="19"/>
      <c r="N41" s="29">
        <v>341040</v>
      </c>
      <c r="O41" s="17">
        <v>0</v>
      </c>
      <c r="P41" s="13">
        <f t="shared" si="40"/>
        <v>1246538</v>
      </c>
      <c r="Q41" s="19"/>
      <c r="R41" s="18">
        <v>341040</v>
      </c>
      <c r="S41" s="17">
        <v>0</v>
      </c>
      <c r="T41" s="17">
        <f t="shared" si="35"/>
        <v>1587578</v>
      </c>
      <c r="U41" s="31"/>
      <c r="V41" s="17">
        <v>341040</v>
      </c>
      <c r="W41" s="17">
        <v>0</v>
      </c>
      <c r="X41" s="13">
        <f t="shared" si="26"/>
        <v>1928618</v>
      </c>
      <c r="Y41" s="16">
        <v>341040</v>
      </c>
      <c r="Z41" s="17">
        <v>0</v>
      </c>
      <c r="AA41" s="30">
        <f t="shared" si="34"/>
        <v>2269658</v>
      </c>
      <c r="AB41" s="31"/>
      <c r="AC41" s="16">
        <v>341040</v>
      </c>
      <c r="AD41" s="17">
        <v>0</v>
      </c>
      <c r="AE41" s="13">
        <f t="shared" si="27"/>
        <v>2610698</v>
      </c>
      <c r="AF41" s="31"/>
      <c r="AG41" s="139">
        <v>341040</v>
      </c>
      <c r="AH41" s="17">
        <v>0</v>
      </c>
      <c r="AI41" s="13">
        <f t="shared" si="36"/>
        <v>2951738</v>
      </c>
      <c r="AJ41" s="31"/>
      <c r="AK41" s="16">
        <v>341040</v>
      </c>
      <c r="AL41" s="17">
        <v>0</v>
      </c>
      <c r="AM41" s="13">
        <f t="shared" si="37"/>
        <v>3292778</v>
      </c>
      <c r="AN41" s="31"/>
      <c r="AO41" s="16">
        <v>341040</v>
      </c>
      <c r="AP41" s="17">
        <v>0</v>
      </c>
      <c r="AQ41" s="13">
        <f t="shared" si="38"/>
        <v>3633818</v>
      </c>
      <c r="AR41" s="31"/>
      <c r="AS41" s="16">
        <v>238728</v>
      </c>
      <c r="AT41" s="17">
        <v>0</v>
      </c>
      <c r="AU41" s="13">
        <f t="shared" si="39"/>
        <v>3872546</v>
      </c>
      <c r="AV41" s="31"/>
    </row>
    <row r="42" spans="1:48" ht="21" customHeight="1" x14ac:dyDescent="0.25">
      <c r="A42" s="14" t="s">
        <v>56</v>
      </c>
      <c r="B42" s="15" t="s">
        <v>57</v>
      </c>
      <c r="C42" s="17">
        <v>77400</v>
      </c>
      <c r="D42" s="17">
        <v>0</v>
      </c>
      <c r="E42" s="17">
        <f t="shared" si="32"/>
        <v>77400</v>
      </c>
      <c r="F42" s="19"/>
      <c r="G42" s="17">
        <v>105800</v>
      </c>
      <c r="H42" s="17">
        <v>0</v>
      </c>
      <c r="I42" s="13">
        <f t="shared" si="24"/>
        <v>183200</v>
      </c>
      <c r="J42" s="16">
        <v>113700</v>
      </c>
      <c r="K42" s="17">
        <v>0</v>
      </c>
      <c r="L42" s="13">
        <f t="shared" si="33"/>
        <v>296900</v>
      </c>
      <c r="M42" s="19"/>
      <c r="N42" s="29">
        <v>113700</v>
      </c>
      <c r="O42" s="17">
        <v>0</v>
      </c>
      <c r="P42" s="13">
        <f t="shared" si="40"/>
        <v>410600</v>
      </c>
      <c r="Q42" s="19"/>
      <c r="R42" s="18">
        <v>113700</v>
      </c>
      <c r="S42" s="17">
        <v>0</v>
      </c>
      <c r="T42" s="17">
        <f t="shared" si="35"/>
        <v>524300</v>
      </c>
      <c r="U42" s="31"/>
      <c r="V42" s="17">
        <v>113700</v>
      </c>
      <c r="W42" s="17">
        <v>0</v>
      </c>
      <c r="X42" s="13">
        <f t="shared" si="26"/>
        <v>638000</v>
      </c>
      <c r="Y42" s="16">
        <v>113700</v>
      </c>
      <c r="Z42" s="17">
        <v>0</v>
      </c>
      <c r="AA42" s="30">
        <f t="shared" si="34"/>
        <v>751700</v>
      </c>
      <c r="AB42" s="31"/>
      <c r="AC42" s="16">
        <v>113700</v>
      </c>
      <c r="AD42" s="17">
        <v>0</v>
      </c>
      <c r="AE42" s="13">
        <f t="shared" si="27"/>
        <v>865400</v>
      </c>
      <c r="AF42" s="31"/>
      <c r="AG42" s="139">
        <v>113700</v>
      </c>
      <c r="AH42" s="17">
        <v>0</v>
      </c>
      <c r="AI42" s="13">
        <f t="shared" si="36"/>
        <v>979100</v>
      </c>
      <c r="AJ42" s="31"/>
      <c r="AK42" s="16">
        <v>113700</v>
      </c>
      <c r="AL42" s="17">
        <v>0</v>
      </c>
      <c r="AM42" s="13">
        <f t="shared" si="37"/>
        <v>1092800</v>
      </c>
      <c r="AN42" s="31"/>
      <c r="AO42" s="16">
        <v>113700</v>
      </c>
      <c r="AP42" s="17">
        <v>0</v>
      </c>
      <c r="AQ42" s="13">
        <f t="shared" si="38"/>
        <v>1206500</v>
      </c>
      <c r="AR42" s="31"/>
      <c r="AS42" s="16">
        <v>79590</v>
      </c>
      <c r="AT42" s="17">
        <v>0</v>
      </c>
      <c r="AU42" s="13">
        <f t="shared" si="39"/>
        <v>1286090</v>
      </c>
      <c r="AV42" s="31"/>
    </row>
    <row r="43" spans="1:48" ht="21" customHeight="1" x14ac:dyDescent="0.25">
      <c r="A43" s="14"/>
      <c r="B43" s="15"/>
      <c r="C43" s="17"/>
      <c r="D43" s="17"/>
      <c r="E43" s="17"/>
      <c r="F43" s="31"/>
      <c r="G43" s="17"/>
      <c r="H43" s="17"/>
      <c r="I43" s="13"/>
      <c r="J43" s="16"/>
      <c r="K43" s="17"/>
      <c r="L43" s="13"/>
      <c r="M43" s="31"/>
      <c r="N43" s="29"/>
      <c r="O43" s="17"/>
      <c r="P43" s="13"/>
      <c r="Q43" s="31"/>
      <c r="R43" s="18"/>
      <c r="S43" s="17"/>
      <c r="T43" s="17"/>
      <c r="U43" s="31"/>
      <c r="V43" s="17"/>
      <c r="W43" s="17"/>
      <c r="X43" s="13"/>
      <c r="Y43" s="16"/>
      <c r="Z43" s="17"/>
      <c r="AA43" s="30"/>
      <c r="AB43" s="31"/>
      <c r="AC43" s="29"/>
      <c r="AD43" s="17"/>
      <c r="AE43" s="13"/>
      <c r="AF43" s="31"/>
      <c r="AG43" s="139"/>
      <c r="AH43" s="17"/>
      <c r="AI43" s="13"/>
      <c r="AJ43" s="31"/>
      <c r="AK43" s="29"/>
      <c r="AL43" s="17"/>
      <c r="AM43" s="13"/>
      <c r="AN43" s="31"/>
      <c r="AO43" s="29"/>
      <c r="AP43" s="17"/>
      <c r="AQ43" s="13"/>
      <c r="AR43" s="31"/>
      <c r="AS43" s="29"/>
      <c r="AT43" s="17"/>
      <c r="AU43" s="13"/>
      <c r="AV43" s="31"/>
    </row>
    <row r="44" spans="1:48" x14ac:dyDescent="0.25">
      <c r="A44" s="14" t="s">
        <v>58</v>
      </c>
      <c r="B44" s="15" t="s">
        <v>59</v>
      </c>
      <c r="C44" s="17">
        <f>C46</f>
        <v>300000</v>
      </c>
      <c r="D44" s="17">
        <v>0</v>
      </c>
      <c r="E44" s="17">
        <f t="shared" si="32"/>
        <v>300000</v>
      </c>
      <c r="F44" s="19"/>
      <c r="G44" s="17">
        <f>G46</f>
        <v>300000</v>
      </c>
      <c r="H44" s="17">
        <v>0</v>
      </c>
      <c r="I44" s="13">
        <f t="shared" si="24"/>
        <v>600000</v>
      </c>
      <c r="J44" s="29">
        <v>300000</v>
      </c>
      <c r="K44" s="17">
        <v>0</v>
      </c>
      <c r="L44" s="13">
        <f t="shared" si="33"/>
        <v>900000</v>
      </c>
      <c r="M44" s="19"/>
      <c r="N44" s="29">
        <f>N46</f>
        <v>300000</v>
      </c>
      <c r="O44" s="17">
        <v>0</v>
      </c>
      <c r="P44" s="13">
        <f t="shared" si="40"/>
        <v>1200000</v>
      </c>
      <c r="Q44" s="19"/>
      <c r="R44" s="18">
        <f>+R46+R47</f>
        <v>500000</v>
      </c>
      <c r="S44" s="17">
        <v>0</v>
      </c>
      <c r="T44" s="17">
        <f>+T46+T47</f>
        <v>1700000</v>
      </c>
      <c r="U44" s="31"/>
      <c r="V44" s="17">
        <f>V46</f>
        <v>300000</v>
      </c>
      <c r="W44" s="17">
        <v>0</v>
      </c>
      <c r="X44" s="13">
        <f t="shared" ref="X44:X47" si="41">T44+V44</f>
        <v>2000000</v>
      </c>
      <c r="Y44" s="29">
        <v>300000</v>
      </c>
      <c r="Z44" s="17">
        <v>0</v>
      </c>
      <c r="AA44" s="30">
        <f t="shared" ref="AA44:AA47" si="42">X44+Y44</f>
        <v>2300000</v>
      </c>
      <c r="AB44" s="31"/>
      <c r="AC44" s="29">
        <f>AC46</f>
        <v>300000</v>
      </c>
      <c r="AD44" s="17">
        <v>0</v>
      </c>
      <c r="AE44" s="13">
        <f t="shared" ref="AE44:AE47" si="43">AA44+AC44</f>
        <v>2600000</v>
      </c>
      <c r="AF44" s="31"/>
      <c r="AG44" s="139">
        <f>AG46</f>
        <v>300000</v>
      </c>
      <c r="AH44" s="17">
        <v>0</v>
      </c>
      <c r="AI44" s="13">
        <f t="shared" ref="AI44:AI47" si="44">AE44+AG44</f>
        <v>2900000</v>
      </c>
      <c r="AJ44" s="31"/>
      <c r="AK44" s="29">
        <f>AK46</f>
        <v>300000</v>
      </c>
      <c r="AL44" s="17">
        <v>0</v>
      </c>
      <c r="AM44" s="13">
        <f t="shared" ref="AM44:AM47" si="45">AI44+AK44</f>
        <v>3200000</v>
      </c>
      <c r="AN44" s="31"/>
      <c r="AO44" s="29">
        <f>AO46</f>
        <v>300000</v>
      </c>
      <c r="AP44" s="17">
        <v>0</v>
      </c>
      <c r="AQ44" s="13">
        <f t="shared" ref="AQ44:AQ47" si="46">AM44+AO44</f>
        <v>3500000</v>
      </c>
      <c r="AR44" s="31"/>
      <c r="AS44" s="29">
        <f>AS46</f>
        <v>300000</v>
      </c>
      <c r="AT44" s="17">
        <v>0</v>
      </c>
      <c r="AU44" s="13">
        <f t="shared" ref="AU44:AU47" si="47">AQ44+AS44</f>
        <v>3800000</v>
      </c>
      <c r="AV44" s="31"/>
    </row>
    <row r="45" spans="1:48" x14ac:dyDescent="0.25">
      <c r="A45" s="14">
        <v>511025</v>
      </c>
      <c r="B45" s="15" t="s">
        <v>169</v>
      </c>
      <c r="C45" s="17">
        <v>0</v>
      </c>
      <c r="D45" s="17">
        <v>0</v>
      </c>
      <c r="E45" s="17">
        <f t="shared" si="32"/>
        <v>0</v>
      </c>
      <c r="F45" s="19"/>
      <c r="G45" s="17">
        <v>0</v>
      </c>
      <c r="H45" s="17">
        <v>0</v>
      </c>
      <c r="I45" s="13">
        <f t="shared" si="24"/>
        <v>0</v>
      </c>
      <c r="J45" s="29">
        <v>0</v>
      </c>
      <c r="K45" s="17">
        <v>0</v>
      </c>
      <c r="L45" s="13">
        <f t="shared" si="33"/>
        <v>0</v>
      </c>
      <c r="M45" s="19"/>
      <c r="N45" s="16">
        <v>0</v>
      </c>
      <c r="O45" s="17">
        <v>0</v>
      </c>
      <c r="P45" s="13">
        <f t="shared" si="40"/>
        <v>0</v>
      </c>
      <c r="Q45" s="19"/>
      <c r="R45" s="18">
        <v>0</v>
      </c>
      <c r="S45" s="17">
        <v>0</v>
      </c>
      <c r="T45" s="17">
        <f t="shared" si="35"/>
        <v>0</v>
      </c>
      <c r="U45" s="31"/>
      <c r="V45" s="17">
        <v>0</v>
      </c>
      <c r="W45" s="17">
        <v>0</v>
      </c>
      <c r="X45" s="13">
        <f t="shared" si="41"/>
        <v>0</v>
      </c>
      <c r="Y45" s="29">
        <v>0</v>
      </c>
      <c r="Z45" s="17">
        <v>0</v>
      </c>
      <c r="AA45" s="30">
        <f t="shared" si="42"/>
        <v>0</v>
      </c>
      <c r="AB45" s="31"/>
      <c r="AC45" s="16">
        <v>0</v>
      </c>
      <c r="AD45" s="17">
        <v>0</v>
      </c>
      <c r="AE45" s="13">
        <f t="shared" si="43"/>
        <v>0</v>
      </c>
      <c r="AF45" s="31"/>
      <c r="AG45" s="139">
        <v>0</v>
      </c>
      <c r="AH45" s="17">
        <v>0</v>
      </c>
      <c r="AI45" s="13">
        <f t="shared" si="44"/>
        <v>0</v>
      </c>
      <c r="AJ45" s="31"/>
      <c r="AK45" s="16">
        <v>0</v>
      </c>
      <c r="AL45" s="17">
        <v>0</v>
      </c>
      <c r="AM45" s="13">
        <f t="shared" si="45"/>
        <v>0</v>
      </c>
      <c r="AN45" s="31"/>
      <c r="AO45" s="16">
        <v>0</v>
      </c>
      <c r="AP45" s="17">
        <v>0</v>
      </c>
      <c r="AQ45" s="13">
        <f t="shared" si="46"/>
        <v>0</v>
      </c>
      <c r="AR45" s="31"/>
      <c r="AS45" s="16">
        <v>0</v>
      </c>
      <c r="AT45" s="17">
        <v>0</v>
      </c>
      <c r="AU45" s="13">
        <f t="shared" si="47"/>
        <v>0</v>
      </c>
      <c r="AV45" s="31"/>
    </row>
    <row r="46" spans="1:48" x14ac:dyDescent="0.25">
      <c r="A46" s="14" t="s">
        <v>60</v>
      </c>
      <c r="B46" s="15" t="s">
        <v>61</v>
      </c>
      <c r="C46" s="17">
        <v>300000</v>
      </c>
      <c r="D46" s="17">
        <v>0</v>
      </c>
      <c r="E46" s="17">
        <f t="shared" si="32"/>
        <v>300000</v>
      </c>
      <c r="F46" s="19"/>
      <c r="G46" s="17">
        <v>300000</v>
      </c>
      <c r="H46" s="17">
        <v>0</v>
      </c>
      <c r="I46" s="13">
        <f t="shared" si="24"/>
        <v>600000</v>
      </c>
      <c r="J46" s="16">
        <v>300000</v>
      </c>
      <c r="K46" s="17">
        <v>0</v>
      </c>
      <c r="L46" s="13">
        <f t="shared" si="33"/>
        <v>900000</v>
      </c>
      <c r="M46" s="19"/>
      <c r="N46" s="16">
        <v>300000</v>
      </c>
      <c r="O46" s="17">
        <v>0</v>
      </c>
      <c r="P46" s="13">
        <f t="shared" si="40"/>
        <v>1200000</v>
      </c>
      <c r="Q46" s="19"/>
      <c r="R46" s="18">
        <v>300000</v>
      </c>
      <c r="S46" s="17">
        <v>0</v>
      </c>
      <c r="T46" s="17">
        <f t="shared" si="35"/>
        <v>1500000</v>
      </c>
      <c r="U46" s="31"/>
      <c r="V46" s="17">
        <v>300000</v>
      </c>
      <c r="W46" s="17">
        <v>0</v>
      </c>
      <c r="X46" s="13">
        <f t="shared" si="41"/>
        <v>1800000</v>
      </c>
      <c r="Y46" s="16">
        <v>300000</v>
      </c>
      <c r="Z46" s="17">
        <v>0</v>
      </c>
      <c r="AA46" s="30">
        <f t="shared" si="42"/>
        <v>2100000</v>
      </c>
      <c r="AB46" s="31"/>
      <c r="AC46" s="16">
        <v>300000</v>
      </c>
      <c r="AD46" s="17">
        <v>0</v>
      </c>
      <c r="AE46" s="13">
        <f t="shared" si="43"/>
        <v>2400000</v>
      </c>
      <c r="AF46" s="31"/>
      <c r="AG46" s="139">
        <v>300000</v>
      </c>
      <c r="AH46" s="17">
        <v>0</v>
      </c>
      <c r="AI46" s="13">
        <f t="shared" si="44"/>
        <v>2700000</v>
      </c>
      <c r="AJ46" s="31"/>
      <c r="AK46" s="16">
        <v>300000</v>
      </c>
      <c r="AL46" s="17">
        <v>0</v>
      </c>
      <c r="AM46" s="13">
        <f t="shared" si="45"/>
        <v>3000000</v>
      </c>
      <c r="AN46" s="31"/>
      <c r="AO46" s="16">
        <v>300000</v>
      </c>
      <c r="AP46" s="17">
        <v>0</v>
      </c>
      <c r="AQ46" s="13">
        <f t="shared" si="46"/>
        <v>3300000</v>
      </c>
      <c r="AR46" s="31"/>
      <c r="AS46" s="16">
        <v>300000</v>
      </c>
      <c r="AT46" s="17">
        <v>0</v>
      </c>
      <c r="AU46" s="13">
        <f t="shared" si="47"/>
        <v>3600000</v>
      </c>
      <c r="AV46" s="31"/>
    </row>
    <row r="47" spans="1:48" x14ac:dyDescent="0.25">
      <c r="A47" s="14">
        <v>511095</v>
      </c>
      <c r="B47" s="15" t="s">
        <v>333</v>
      </c>
      <c r="C47" s="17"/>
      <c r="D47" s="17"/>
      <c r="E47" s="17"/>
      <c r="F47" s="31"/>
      <c r="G47" s="17"/>
      <c r="H47" s="17"/>
      <c r="I47" s="13"/>
      <c r="J47" s="16"/>
      <c r="K47" s="17"/>
      <c r="L47" s="13"/>
      <c r="M47" s="31"/>
      <c r="N47" s="16"/>
      <c r="O47" s="17"/>
      <c r="P47" s="13"/>
      <c r="Q47" s="31"/>
      <c r="R47" s="18">
        <v>200000</v>
      </c>
      <c r="S47" s="17"/>
      <c r="T47" s="17">
        <f t="shared" si="35"/>
        <v>200000</v>
      </c>
      <c r="U47" s="31"/>
      <c r="V47" s="17"/>
      <c r="W47" s="17"/>
      <c r="X47" s="13">
        <f t="shared" si="41"/>
        <v>200000</v>
      </c>
      <c r="Y47" s="16"/>
      <c r="Z47" s="17"/>
      <c r="AA47" s="30">
        <f t="shared" si="42"/>
        <v>200000</v>
      </c>
      <c r="AB47" s="31"/>
      <c r="AC47" s="16"/>
      <c r="AD47" s="17"/>
      <c r="AE47" s="13">
        <f t="shared" si="43"/>
        <v>200000</v>
      </c>
      <c r="AF47" s="31"/>
      <c r="AG47" s="139"/>
      <c r="AH47" s="17"/>
      <c r="AI47" s="13">
        <f t="shared" si="44"/>
        <v>200000</v>
      </c>
      <c r="AJ47" s="31"/>
      <c r="AK47" s="16"/>
      <c r="AL47" s="17"/>
      <c r="AM47" s="13">
        <f t="shared" si="45"/>
        <v>200000</v>
      </c>
      <c r="AN47" s="31"/>
      <c r="AO47" s="16"/>
      <c r="AP47" s="17"/>
      <c r="AQ47" s="13">
        <f t="shared" si="46"/>
        <v>200000</v>
      </c>
      <c r="AR47" s="31"/>
      <c r="AS47" s="16"/>
      <c r="AT47" s="17"/>
      <c r="AU47" s="13">
        <f t="shared" si="47"/>
        <v>200000</v>
      </c>
      <c r="AV47" s="31"/>
    </row>
    <row r="48" spans="1:48" x14ac:dyDescent="0.25">
      <c r="A48" s="14"/>
      <c r="B48" s="15"/>
      <c r="C48" s="17"/>
      <c r="D48" s="17"/>
      <c r="E48" s="17"/>
      <c r="F48" s="31"/>
      <c r="G48" s="17"/>
      <c r="H48" s="17"/>
      <c r="I48" s="13"/>
      <c r="J48" s="16"/>
      <c r="K48" s="17"/>
      <c r="L48" s="13"/>
      <c r="M48" s="31"/>
      <c r="N48" s="16"/>
      <c r="O48" s="17"/>
      <c r="P48" s="13"/>
      <c r="Q48" s="31"/>
      <c r="R48" s="18"/>
      <c r="S48" s="17"/>
      <c r="T48" s="17"/>
      <c r="U48" s="31"/>
      <c r="V48" s="17"/>
      <c r="W48" s="17"/>
      <c r="X48" s="13"/>
      <c r="Y48" s="16"/>
      <c r="Z48" s="17"/>
      <c r="AA48" s="30"/>
      <c r="AB48" s="31"/>
      <c r="AC48" s="16"/>
      <c r="AD48" s="17"/>
      <c r="AE48" s="13"/>
      <c r="AF48" s="31"/>
      <c r="AG48" s="139"/>
      <c r="AH48" s="17"/>
      <c r="AI48" s="13"/>
      <c r="AJ48" s="31"/>
      <c r="AK48" s="16"/>
      <c r="AL48" s="17"/>
      <c r="AM48" s="13"/>
      <c r="AN48" s="31"/>
      <c r="AO48" s="16"/>
      <c r="AP48" s="17"/>
      <c r="AQ48" s="13"/>
      <c r="AR48" s="31"/>
      <c r="AS48" s="16"/>
      <c r="AT48" s="17"/>
      <c r="AU48" s="13"/>
      <c r="AV48" s="31"/>
    </row>
    <row r="49" spans="1:48" x14ac:dyDescent="0.25">
      <c r="A49" s="14" t="s">
        <v>62</v>
      </c>
      <c r="B49" s="15" t="s">
        <v>63</v>
      </c>
      <c r="C49" s="17">
        <f>+C50+C51+C52</f>
        <v>2464000</v>
      </c>
      <c r="D49" s="17">
        <v>0</v>
      </c>
      <c r="E49" s="17">
        <f t="shared" si="32"/>
        <v>2464000</v>
      </c>
      <c r="F49" s="19"/>
      <c r="G49" s="17">
        <f>G52</f>
        <v>0</v>
      </c>
      <c r="H49" s="17">
        <v>0</v>
      </c>
      <c r="I49" s="13">
        <f t="shared" si="24"/>
        <v>2464000</v>
      </c>
      <c r="J49" s="16">
        <f>+J52</f>
        <v>50580</v>
      </c>
      <c r="K49" s="17">
        <v>0</v>
      </c>
      <c r="L49" s="13">
        <f t="shared" si="33"/>
        <v>2514580</v>
      </c>
      <c r="M49" s="19"/>
      <c r="N49" s="16">
        <f>+N53</f>
        <v>2000</v>
      </c>
      <c r="O49" s="17">
        <v>0</v>
      </c>
      <c r="P49" s="13">
        <f t="shared" si="40"/>
        <v>2516580</v>
      </c>
      <c r="Q49" s="19"/>
      <c r="R49" s="18">
        <f>+R50+R51+R52+R53</f>
        <v>136030</v>
      </c>
      <c r="S49" s="17">
        <v>0</v>
      </c>
      <c r="T49" s="17">
        <f>+P49+R49</f>
        <v>2652610</v>
      </c>
      <c r="U49" s="31"/>
      <c r="V49" s="17">
        <f>V52</f>
        <v>0</v>
      </c>
      <c r="W49" s="17">
        <v>0</v>
      </c>
      <c r="X49" s="13">
        <f t="shared" ref="X49:X53" si="48">T49+V49</f>
        <v>2652610</v>
      </c>
      <c r="Y49" s="16">
        <v>0</v>
      </c>
      <c r="Z49" s="17">
        <v>0</v>
      </c>
      <c r="AA49" s="30">
        <f t="shared" ref="AA49:AA53" si="49">X49+Y49</f>
        <v>2652610</v>
      </c>
      <c r="AB49" s="31"/>
      <c r="AC49" s="16">
        <f>+AC53</f>
        <v>0</v>
      </c>
      <c r="AD49" s="17">
        <v>0</v>
      </c>
      <c r="AE49" s="13">
        <f t="shared" ref="AE49:AE53" si="50">AA49+AC49</f>
        <v>2652610</v>
      </c>
      <c r="AF49" s="31"/>
      <c r="AG49" s="139">
        <f>+AG53</f>
        <v>0</v>
      </c>
      <c r="AH49" s="17">
        <v>0</v>
      </c>
      <c r="AI49" s="13">
        <f t="shared" ref="AI49:AI53" si="51">AE49+AG49</f>
        <v>2652610</v>
      </c>
      <c r="AJ49" s="31"/>
      <c r="AK49" s="16">
        <f>+AK53</f>
        <v>0</v>
      </c>
      <c r="AL49" s="17">
        <v>0</v>
      </c>
      <c r="AM49" s="13">
        <f t="shared" ref="AM49:AM53" si="52">AI49+AK49</f>
        <v>2652610</v>
      </c>
      <c r="AN49" s="31"/>
      <c r="AO49" s="16">
        <f>+AO53</f>
        <v>0</v>
      </c>
      <c r="AP49" s="17">
        <v>0</v>
      </c>
      <c r="AQ49" s="13">
        <f t="shared" ref="AQ49:AQ53" si="53">AM49+AO49</f>
        <v>2652610</v>
      </c>
      <c r="AR49" s="31"/>
      <c r="AS49" s="16">
        <f>+AS50</f>
        <v>315000</v>
      </c>
      <c r="AT49" s="17">
        <v>0</v>
      </c>
      <c r="AU49" s="13">
        <f t="shared" ref="AU49:AU53" si="54">AQ49+AS49</f>
        <v>2967610</v>
      </c>
      <c r="AV49" s="31"/>
    </row>
    <row r="50" spans="1:48" x14ac:dyDescent="0.25">
      <c r="A50" s="14" t="s">
        <v>162</v>
      </c>
      <c r="B50" s="15" t="s">
        <v>149</v>
      </c>
      <c r="C50" s="17">
        <v>0</v>
      </c>
      <c r="D50" s="17">
        <v>0</v>
      </c>
      <c r="E50" s="17">
        <f t="shared" si="32"/>
        <v>0</v>
      </c>
      <c r="F50" s="19"/>
      <c r="G50" s="17">
        <v>0</v>
      </c>
      <c r="H50" s="17">
        <v>0</v>
      </c>
      <c r="I50" s="13">
        <f t="shared" si="24"/>
        <v>0</v>
      </c>
      <c r="J50" s="16">
        <v>0</v>
      </c>
      <c r="K50" s="17">
        <v>0</v>
      </c>
      <c r="L50" s="13">
        <f t="shared" si="33"/>
        <v>0</v>
      </c>
      <c r="M50" s="19"/>
      <c r="N50" s="16">
        <v>0</v>
      </c>
      <c r="O50" s="17">
        <v>0</v>
      </c>
      <c r="P50" s="13">
        <f t="shared" si="40"/>
        <v>0</v>
      </c>
      <c r="Q50" s="19"/>
      <c r="R50" s="18">
        <v>136000</v>
      </c>
      <c r="S50" s="17">
        <v>0</v>
      </c>
      <c r="T50" s="17">
        <f t="shared" ref="T50:T53" si="55">+P50+R50</f>
        <v>136000</v>
      </c>
      <c r="U50" s="31"/>
      <c r="V50" s="17">
        <v>0</v>
      </c>
      <c r="W50" s="17">
        <v>0</v>
      </c>
      <c r="X50" s="13">
        <f t="shared" si="48"/>
        <v>136000</v>
      </c>
      <c r="Y50" s="16">
        <v>0</v>
      </c>
      <c r="Z50" s="17">
        <v>0</v>
      </c>
      <c r="AA50" s="30">
        <f t="shared" si="49"/>
        <v>136000</v>
      </c>
      <c r="AB50" s="31"/>
      <c r="AC50" s="16">
        <v>0</v>
      </c>
      <c r="AD50" s="17">
        <v>0</v>
      </c>
      <c r="AE50" s="13">
        <f t="shared" si="50"/>
        <v>136000</v>
      </c>
      <c r="AF50" s="31"/>
      <c r="AG50" s="139">
        <v>0</v>
      </c>
      <c r="AH50" s="17">
        <v>0</v>
      </c>
      <c r="AI50" s="13">
        <f t="shared" si="51"/>
        <v>136000</v>
      </c>
      <c r="AJ50" s="31"/>
      <c r="AK50" s="16">
        <v>0</v>
      </c>
      <c r="AL50" s="17">
        <v>0</v>
      </c>
      <c r="AM50" s="13">
        <f t="shared" si="52"/>
        <v>136000</v>
      </c>
      <c r="AN50" s="31"/>
      <c r="AO50" s="16">
        <v>0</v>
      </c>
      <c r="AP50" s="17">
        <v>0</v>
      </c>
      <c r="AQ50" s="13">
        <f t="shared" si="53"/>
        <v>136000</v>
      </c>
      <c r="AR50" s="31"/>
      <c r="AS50" s="16">
        <v>315000</v>
      </c>
      <c r="AT50" s="17">
        <v>0</v>
      </c>
      <c r="AU50" s="13">
        <f t="shared" si="54"/>
        <v>451000</v>
      </c>
      <c r="AV50" s="31"/>
    </row>
    <row r="51" spans="1:48" x14ac:dyDescent="0.25">
      <c r="A51" s="14">
        <v>511515</v>
      </c>
      <c r="B51" s="15" t="s">
        <v>163</v>
      </c>
      <c r="C51" s="17">
        <v>1832000</v>
      </c>
      <c r="D51" s="17">
        <v>0</v>
      </c>
      <c r="E51" s="17">
        <f t="shared" si="32"/>
        <v>1832000</v>
      </c>
      <c r="F51" s="19"/>
      <c r="G51" s="17">
        <v>0</v>
      </c>
      <c r="H51" s="17">
        <v>0</v>
      </c>
      <c r="I51" s="13">
        <f t="shared" si="24"/>
        <v>1832000</v>
      </c>
      <c r="J51" s="16">
        <v>0</v>
      </c>
      <c r="K51" s="17">
        <v>0</v>
      </c>
      <c r="L51" s="13">
        <f t="shared" si="33"/>
        <v>1832000</v>
      </c>
      <c r="M51" s="19"/>
      <c r="N51" s="16">
        <v>0</v>
      </c>
      <c r="O51" s="17">
        <v>0</v>
      </c>
      <c r="P51" s="13">
        <f t="shared" si="40"/>
        <v>1832000</v>
      </c>
      <c r="Q51" s="19"/>
      <c r="R51" s="18">
        <v>0</v>
      </c>
      <c r="S51" s="17">
        <v>0</v>
      </c>
      <c r="T51" s="17">
        <f t="shared" si="55"/>
        <v>1832000</v>
      </c>
      <c r="U51" s="31"/>
      <c r="V51" s="17">
        <v>0</v>
      </c>
      <c r="W51" s="17">
        <v>0</v>
      </c>
      <c r="X51" s="13">
        <f t="shared" si="48"/>
        <v>1832000</v>
      </c>
      <c r="Y51" s="16">
        <v>0</v>
      </c>
      <c r="Z51" s="17">
        <v>0</v>
      </c>
      <c r="AA51" s="30">
        <f t="shared" si="49"/>
        <v>1832000</v>
      </c>
      <c r="AB51" s="31"/>
      <c r="AC51" s="16">
        <v>0</v>
      </c>
      <c r="AD51" s="17">
        <v>0</v>
      </c>
      <c r="AE51" s="13">
        <f t="shared" si="50"/>
        <v>1832000</v>
      </c>
      <c r="AF51" s="31"/>
      <c r="AG51" s="139">
        <v>0</v>
      </c>
      <c r="AH51" s="17">
        <v>0</v>
      </c>
      <c r="AI51" s="13">
        <f t="shared" si="51"/>
        <v>1832000</v>
      </c>
      <c r="AJ51" s="31"/>
      <c r="AK51" s="16">
        <v>0</v>
      </c>
      <c r="AL51" s="17">
        <v>0</v>
      </c>
      <c r="AM51" s="13">
        <f t="shared" si="52"/>
        <v>1832000</v>
      </c>
      <c r="AN51" s="31"/>
      <c r="AO51" s="16">
        <v>0</v>
      </c>
      <c r="AP51" s="17">
        <v>0</v>
      </c>
      <c r="AQ51" s="13">
        <f t="shared" si="53"/>
        <v>1832000</v>
      </c>
      <c r="AR51" s="31"/>
      <c r="AS51" s="16">
        <v>0</v>
      </c>
      <c r="AT51" s="17">
        <v>0</v>
      </c>
      <c r="AU51" s="13">
        <f t="shared" si="54"/>
        <v>1832000</v>
      </c>
      <c r="AV51" s="31"/>
    </row>
    <row r="52" spans="1:48" x14ac:dyDescent="0.25">
      <c r="A52" s="14" t="s">
        <v>64</v>
      </c>
      <c r="B52" s="15" t="s">
        <v>65</v>
      </c>
      <c r="C52" s="17">
        <v>632000</v>
      </c>
      <c r="D52" s="17">
        <v>0</v>
      </c>
      <c r="E52" s="17">
        <f t="shared" si="32"/>
        <v>632000</v>
      </c>
      <c r="F52" s="19"/>
      <c r="G52" s="17">
        <v>0</v>
      </c>
      <c r="H52" s="17">
        <v>0</v>
      </c>
      <c r="I52" s="13">
        <f t="shared" si="24"/>
        <v>632000</v>
      </c>
      <c r="J52" s="16">
        <v>50580</v>
      </c>
      <c r="K52" s="17">
        <v>0</v>
      </c>
      <c r="L52" s="13">
        <f t="shared" si="33"/>
        <v>682580</v>
      </c>
      <c r="M52" s="19"/>
      <c r="N52" s="16">
        <v>0</v>
      </c>
      <c r="O52" s="17">
        <v>0</v>
      </c>
      <c r="P52" s="13">
        <f t="shared" si="40"/>
        <v>682580</v>
      </c>
      <c r="Q52" s="19"/>
      <c r="R52" s="18">
        <v>0</v>
      </c>
      <c r="S52" s="17">
        <v>0</v>
      </c>
      <c r="T52" s="17">
        <f t="shared" si="55"/>
        <v>682580</v>
      </c>
      <c r="U52" s="31"/>
      <c r="V52" s="17">
        <v>0</v>
      </c>
      <c r="W52" s="17">
        <v>0</v>
      </c>
      <c r="X52" s="13">
        <f t="shared" si="48"/>
        <v>682580</v>
      </c>
      <c r="Y52" s="16">
        <v>0</v>
      </c>
      <c r="Z52" s="17">
        <v>0</v>
      </c>
      <c r="AA52" s="30">
        <f t="shared" si="49"/>
        <v>682580</v>
      </c>
      <c r="AB52" s="31"/>
      <c r="AC52" s="16">
        <v>0</v>
      </c>
      <c r="AD52" s="17">
        <v>0</v>
      </c>
      <c r="AE52" s="13">
        <f t="shared" si="50"/>
        <v>682580</v>
      </c>
      <c r="AF52" s="31"/>
      <c r="AG52" s="139">
        <v>0</v>
      </c>
      <c r="AH52" s="17">
        <v>0</v>
      </c>
      <c r="AI52" s="13">
        <f t="shared" si="51"/>
        <v>682580</v>
      </c>
      <c r="AJ52" s="31"/>
      <c r="AK52" s="16">
        <v>0</v>
      </c>
      <c r="AL52" s="17">
        <v>0</v>
      </c>
      <c r="AM52" s="13">
        <f t="shared" si="52"/>
        <v>682580</v>
      </c>
      <c r="AN52" s="31"/>
      <c r="AO52" s="16">
        <v>0</v>
      </c>
      <c r="AP52" s="17">
        <v>0</v>
      </c>
      <c r="AQ52" s="13">
        <f t="shared" si="53"/>
        <v>682580</v>
      </c>
      <c r="AR52" s="31"/>
      <c r="AS52" s="16">
        <v>0</v>
      </c>
      <c r="AT52" s="17">
        <v>0</v>
      </c>
      <c r="AU52" s="13">
        <f t="shared" si="54"/>
        <v>682580</v>
      </c>
      <c r="AV52" s="31"/>
    </row>
    <row r="53" spans="1:48" x14ac:dyDescent="0.25">
      <c r="A53" s="14">
        <v>511595</v>
      </c>
      <c r="B53" s="15" t="s">
        <v>73</v>
      </c>
      <c r="C53" s="17">
        <v>0</v>
      </c>
      <c r="D53" s="17"/>
      <c r="E53" s="17">
        <f t="shared" si="32"/>
        <v>0</v>
      </c>
      <c r="F53" s="19"/>
      <c r="G53" s="17"/>
      <c r="H53" s="17"/>
      <c r="I53" s="13">
        <f t="shared" si="24"/>
        <v>0</v>
      </c>
      <c r="J53" s="16"/>
      <c r="K53" s="17"/>
      <c r="L53" s="13">
        <f t="shared" si="33"/>
        <v>0</v>
      </c>
      <c r="M53" s="19"/>
      <c r="N53" s="16">
        <v>2000</v>
      </c>
      <c r="O53" s="17"/>
      <c r="P53" s="13">
        <f t="shared" si="40"/>
        <v>2000</v>
      </c>
      <c r="Q53" s="19"/>
      <c r="R53" s="18">
        <v>30</v>
      </c>
      <c r="S53" s="17"/>
      <c r="T53" s="17">
        <f t="shared" si="55"/>
        <v>2030</v>
      </c>
      <c r="U53" s="31"/>
      <c r="V53" s="17"/>
      <c r="W53" s="17"/>
      <c r="X53" s="13">
        <f t="shared" si="48"/>
        <v>2030</v>
      </c>
      <c r="Y53" s="16"/>
      <c r="Z53" s="17"/>
      <c r="AA53" s="30">
        <f t="shared" si="49"/>
        <v>2030</v>
      </c>
      <c r="AB53" s="31"/>
      <c r="AC53" s="16">
        <v>0</v>
      </c>
      <c r="AD53" s="17"/>
      <c r="AE53" s="13">
        <f t="shared" si="50"/>
        <v>2030</v>
      </c>
      <c r="AF53" s="31"/>
      <c r="AG53" s="139">
        <v>0</v>
      </c>
      <c r="AH53" s="17"/>
      <c r="AI53" s="13">
        <f t="shared" si="51"/>
        <v>2030</v>
      </c>
      <c r="AJ53" s="31"/>
      <c r="AK53" s="16">
        <v>0</v>
      </c>
      <c r="AL53" s="17"/>
      <c r="AM53" s="13">
        <f t="shared" si="52"/>
        <v>2030</v>
      </c>
      <c r="AN53" s="31"/>
      <c r="AO53" s="16">
        <v>0</v>
      </c>
      <c r="AP53" s="17"/>
      <c r="AQ53" s="13">
        <f t="shared" si="53"/>
        <v>2030</v>
      </c>
      <c r="AR53" s="31"/>
      <c r="AS53" s="16">
        <v>0</v>
      </c>
      <c r="AT53" s="17"/>
      <c r="AU53" s="13">
        <f t="shared" si="54"/>
        <v>2030</v>
      </c>
      <c r="AV53" s="31"/>
    </row>
    <row r="54" spans="1:48" x14ac:dyDescent="0.25">
      <c r="A54" s="14"/>
      <c r="B54" s="15"/>
      <c r="C54" s="17"/>
      <c r="D54" s="17"/>
      <c r="E54" s="17"/>
      <c r="F54" s="31"/>
      <c r="G54" s="17"/>
      <c r="H54" s="17"/>
      <c r="I54" s="13"/>
      <c r="J54" s="16"/>
      <c r="K54" s="17"/>
      <c r="L54" s="13"/>
      <c r="M54" s="31"/>
      <c r="N54" s="16"/>
      <c r="O54" s="17"/>
      <c r="P54" s="13"/>
      <c r="Q54" s="31"/>
      <c r="R54" s="18"/>
      <c r="S54" s="17"/>
      <c r="T54" s="17"/>
      <c r="U54" s="31"/>
      <c r="V54" s="17"/>
      <c r="W54" s="17"/>
      <c r="X54" s="13"/>
      <c r="Y54" s="16"/>
      <c r="Z54" s="17"/>
      <c r="AA54" s="30"/>
      <c r="AB54" s="31"/>
      <c r="AC54" s="16"/>
      <c r="AD54" s="17"/>
      <c r="AE54" s="13"/>
      <c r="AF54" s="31"/>
      <c r="AG54" s="139"/>
      <c r="AH54" s="17"/>
      <c r="AI54" s="13"/>
      <c r="AJ54" s="31"/>
      <c r="AK54" s="16"/>
      <c r="AL54" s="17"/>
      <c r="AM54" s="13"/>
      <c r="AN54" s="31"/>
      <c r="AO54" s="16"/>
      <c r="AP54" s="17"/>
      <c r="AQ54" s="13"/>
      <c r="AR54" s="31"/>
      <c r="AS54" s="16"/>
      <c r="AT54" s="17"/>
      <c r="AU54" s="13"/>
      <c r="AV54" s="31"/>
    </row>
    <row r="55" spans="1:48" x14ac:dyDescent="0.25">
      <c r="A55" s="14" t="s">
        <v>66</v>
      </c>
      <c r="B55" s="15" t="s">
        <v>67</v>
      </c>
      <c r="C55" s="17">
        <f>+C56</f>
        <v>1000000</v>
      </c>
      <c r="D55" s="17">
        <v>0</v>
      </c>
      <c r="E55" s="17">
        <f t="shared" si="32"/>
        <v>1000000</v>
      </c>
      <c r="F55" s="19"/>
      <c r="G55" s="17">
        <f>+G56+G57</f>
        <v>1021000</v>
      </c>
      <c r="H55" s="17">
        <v>0</v>
      </c>
      <c r="I55" s="13">
        <f t="shared" si="24"/>
        <v>2021000</v>
      </c>
      <c r="J55" s="16">
        <f>+J56+J60</f>
        <v>1000000</v>
      </c>
      <c r="K55" s="17">
        <v>0</v>
      </c>
      <c r="L55" s="13">
        <f t="shared" si="33"/>
        <v>3021000</v>
      </c>
      <c r="M55" s="19"/>
      <c r="N55" s="16">
        <f>N56+N57</f>
        <v>1806723</v>
      </c>
      <c r="O55" s="17">
        <v>0</v>
      </c>
      <c r="P55" s="13">
        <f t="shared" si="40"/>
        <v>4827723</v>
      </c>
      <c r="Q55" s="19"/>
      <c r="R55" s="18">
        <f>+R56+R57</f>
        <v>2080000</v>
      </c>
      <c r="S55" s="17">
        <v>0</v>
      </c>
      <c r="T55" s="17">
        <f>+P55+R55</f>
        <v>6907723</v>
      </c>
      <c r="U55" s="31"/>
      <c r="V55" s="17">
        <f>V56</f>
        <v>1000000</v>
      </c>
      <c r="W55" s="17">
        <v>0</v>
      </c>
      <c r="X55" s="13">
        <f t="shared" ref="X55:X57" si="56">T55+V55</f>
        <v>7907723</v>
      </c>
      <c r="Y55" s="16">
        <f>+Y56+Y57</f>
        <v>1046100</v>
      </c>
      <c r="Z55" s="17">
        <v>0</v>
      </c>
      <c r="AA55" s="30">
        <f t="shared" ref="AA55:AA60" si="57">X55+Y55</f>
        <v>8953823</v>
      </c>
      <c r="AB55" s="31"/>
      <c r="AC55" s="16">
        <f>AC56+AC57</f>
        <v>1000000</v>
      </c>
      <c r="AD55" s="17">
        <v>0</v>
      </c>
      <c r="AE55" s="13">
        <f t="shared" ref="AE55:AE57" si="58">AA55+AC55</f>
        <v>9953823</v>
      </c>
      <c r="AF55" s="31"/>
      <c r="AG55" s="139">
        <f>AG56+AG57</f>
        <v>1000000</v>
      </c>
      <c r="AH55" s="17">
        <v>0</v>
      </c>
      <c r="AI55" s="13">
        <f t="shared" ref="AI55:AI57" si="59">AE55+AG55</f>
        <v>10953823</v>
      </c>
      <c r="AJ55" s="31"/>
      <c r="AK55" s="16">
        <f>AK56+AK57</f>
        <v>1000000</v>
      </c>
      <c r="AL55" s="17">
        <v>0</v>
      </c>
      <c r="AM55" s="13">
        <f t="shared" ref="AM55:AM57" si="60">AI55+AK55</f>
        <v>11953823</v>
      </c>
      <c r="AN55" s="31"/>
      <c r="AO55" s="16">
        <f>AO56+AO57</f>
        <v>1000000</v>
      </c>
      <c r="AP55" s="17">
        <v>0</v>
      </c>
      <c r="AQ55" s="13">
        <f t="shared" ref="AQ55:AQ57" si="61">AM55+AO55</f>
        <v>12953823</v>
      </c>
      <c r="AR55" s="31"/>
      <c r="AS55" s="16">
        <f>AS56+AS57</f>
        <v>1000000</v>
      </c>
      <c r="AT55" s="17">
        <v>0</v>
      </c>
      <c r="AU55" s="13">
        <f t="shared" ref="AU55:AU57" si="62">AQ55+AS55</f>
        <v>13953823</v>
      </c>
      <c r="AV55" s="31"/>
    </row>
    <row r="56" spans="1:48" ht="15.75" customHeight="1" x14ac:dyDescent="0.25">
      <c r="A56" s="14" t="s">
        <v>68</v>
      </c>
      <c r="B56" s="15" t="s">
        <v>69</v>
      </c>
      <c r="C56" s="17">
        <v>1000000</v>
      </c>
      <c r="D56" s="17">
        <v>0</v>
      </c>
      <c r="E56" s="17">
        <f t="shared" si="32"/>
        <v>1000000</v>
      </c>
      <c r="F56" s="19"/>
      <c r="G56" s="17">
        <v>1000000</v>
      </c>
      <c r="H56" s="17">
        <v>0</v>
      </c>
      <c r="I56" s="13">
        <f t="shared" si="24"/>
        <v>2000000</v>
      </c>
      <c r="J56" s="29">
        <v>1000000</v>
      </c>
      <c r="K56" s="17">
        <v>0</v>
      </c>
      <c r="L56" s="13">
        <f t="shared" si="33"/>
        <v>3000000</v>
      </c>
      <c r="M56" s="19"/>
      <c r="N56" s="16">
        <v>1000000</v>
      </c>
      <c r="O56" s="17">
        <v>0</v>
      </c>
      <c r="P56" s="13">
        <f t="shared" si="40"/>
        <v>4000000</v>
      </c>
      <c r="Q56" s="19"/>
      <c r="R56" s="18">
        <v>1000000</v>
      </c>
      <c r="S56" s="17">
        <v>0</v>
      </c>
      <c r="T56" s="17">
        <f>+P56+R56</f>
        <v>5000000</v>
      </c>
      <c r="U56" s="31"/>
      <c r="V56" s="17">
        <v>1000000</v>
      </c>
      <c r="W56" s="17">
        <v>0</v>
      </c>
      <c r="X56" s="13">
        <f t="shared" si="56"/>
        <v>6000000</v>
      </c>
      <c r="Y56" s="29">
        <v>1000000</v>
      </c>
      <c r="Z56" s="17">
        <v>0</v>
      </c>
      <c r="AA56" s="30">
        <f t="shared" si="57"/>
        <v>7000000</v>
      </c>
      <c r="AB56" s="31"/>
      <c r="AC56" s="16">
        <v>1000000</v>
      </c>
      <c r="AD56" s="17">
        <v>0</v>
      </c>
      <c r="AE56" s="13">
        <f t="shared" si="58"/>
        <v>8000000</v>
      </c>
      <c r="AF56" s="31"/>
      <c r="AG56" s="139">
        <v>1000000</v>
      </c>
      <c r="AH56" s="17">
        <v>0</v>
      </c>
      <c r="AI56" s="13">
        <f t="shared" si="59"/>
        <v>9000000</v>
      </c>
      <c r="AJ56" s="31"/>
      <c r="AK56" s="16">
        <v>1000000</v>
      </c>
      <c r="AL56" s="17">
        <v>0</v>
      </c>
      <c r="AM56" s="13">
        <f t="shared" si="60"/>
        <v>10000000</v>
      </c>
      <c r="AN56" s="31"/>
      <c r="AO56" s="16">
        <v>1000000</v>
      </c>
      <c r="AP56" s="17">
        <v>0</v>
      </c>
      <c r="AQ56" s="13">
        <f t="shared" si="61"/>
        <v>11000000</v>
      </c>
      <c r="AR56" s="31"/>
      <c r="AS56" s="16">
        <v>1000000</v>
      </c>
      <c r="AT56" s="17">
        <v>0</v>
      </c>
      <c r="AU56" s="13">
        <f t="shared" si="62"/>
        <v>12000000</v>
      </c>
      <c r="AV56" s="31"/>
    </row>
    <row r="57" spans="1:48" ht="15.75" customHeight="1" x14ac:dyDescent="0.25">
      <c r="A57" s="14">
        <v>512015</v>
      </c>
      <c r="B57" s="15" t="s">
        <v>175</v>
      </c>
      <c r="C57" s="17">
        <v>0</v>
      </c>
      <c r="D57" s="17">
        <v>0</v>
      </c>
      <c r="E57" s="17">
        <f t="shared" si="32"/>
        <v>0</v>
      </c>
      <c r="F57" s="31"/>
      <c r="G57" s="17">
        <v>21000</v>
      </c>
      <c r="H57" s="17"/>
      <c r="I57" s="13">
        <f t="shared" si="24"/>
        <v>21000</v>
      </c>
      <c r="J57" s="29">
        <v>0</v>
      </c>
      <c r="K57" s="17">
        <v>0</v>
      </c>
      <c r="L57" s="13">
        <f t="shared" si="33"/>
        <v>21000</v>
      </c>
      <c r="M57" s="31"/>
      <c r="N57" s="16">
        <v>806723</v>
      </c>
      <c r="O57" s="17"/>
      <c r="P57" s="13">
        <f t="shared" si="40"/>
        <v>827723</v>
      </c>
      <c r="Q57" s="31"/>
      <c r="R57" s="18">
        <v>1080000</v>
      </c>
      <c r="S57" s="17">
        <v>0</v>
      </c>
      <c r="T57" s="17">
        <f>+P57+R57</f>
        <v>1907723</v>
      </c>
      <c r="U57" s="31"/>
      <c r="V57" s="17">
        <v>0</v>
      </c>
      <c r="W57" s="17"/>
      <c r="X57" s="13">
        <f t="shared" si="56"/>
        <v>1907723</v>
      </c>
      <c r="Y57" s="29">
        <v>46100</v>
      </c>
      <c r="Z57" s="17">
        <v>0</v>
      </c>
      <c r="AA57" s="30">
        <f t="shared" si="57"/>
        <v>1953823</v>
      </c>
      <c r="AB57" s="31"/>
      <c r="AC57" s="16">
        <v>0</v>
      </c>
      <c r="AD57" s="17"/>
      <c r="AE57" s="13">
        <f t="shared" si="58"/>
        <v>1953823</v>
      </c>
      <c r="AF57" s="31"/>
      <c r="AG57" s="139">
        <v>0</v>
      </c>
      <c r="AH57" s="17"/>
      <c r="AI57" s="13">
        <f t="shared" si="59"/>
        <v>1953823</v>
      </c>
      <c r="AJ57" s="31"/>
      <c r="AK57" s="16">
        <v>0</v>
      </c>
      <c r="AL57" s="17"/>
      <c r="AM57" s="13">
        <f t="shared" si="60"/>
        <v>1953823</v>
      </c>
      <c r="AN57" s="31"/>
      <c r="AO57" s="16">
        <v>0</v>
      </c>
      <c r="AP57" s="17"/>
      <c r="AQ57" s="13">
        <f t="shared" si="61"/>
        <v>1953823</v>
      </c>
      <c r="AR57" s="31"/>
      <c r="AS57" s="16">
        <v>0</v>
      </c>
      <c r="AT57" s="17"/>
      <c r="AU57" s="13">
        <f t="shared" si="62"/>
        <v>1953823</v>
      </c>
      <c r="AV57" s="31"/>
    </row>
    <row r="58" spans="1:48" ht="15.75" customHeight="1" x14ac:dyDescent="0.25">
      <c r="A58" s="14"/>
      <c r="B58" s="15"/>
      <c r="C58" s="17"/>
      <c r="D58" s="17"/>
      <c r="E58" s="17"/>
      <c r="F58" s="31"/>
      <c r="G58" s="17"/>
      <c r="H58" s="17"/>
      <c r="I58" s="13"/>
      <c r="J58" s="29"/>
      <c r="K58" s="17"/>
      <c r="L58" s="13">
        <f t="shared" si="33"/>
        <v>0</v>
      </c>
      <c r="M58" s="31"/>
      <c r="N58" s="16"/>
      <c r="O58" s="17"/>
      <c r="P58" s="13"/>
      <c r="Q58" s="31"/>
      <c r="R58" s="18"/>
      <c r="S58" s="17"/>
      <c r="T58" s="17"/>
      <c r="U58" s="31"/>
      <c r="V58" s="17"/>
      <c r="W58" s="17"/>
      <c r="X58" s="13"/>
      <c r="Y58" s="29"/>
      <c r="Z58" s="17"/>
      <c r="AA58" s="30">
        <f t="shared" si="57"/>
        <v>0</v>
      </c>
      <c r="AB58" s="31"/>
      <c r="AC58" s="16"/>
      <c r="AD58" s="17"/>
      <c r="AE58" s="13"/>
      <c r="AF58" s="31"/>
      <c r="AG58" s="139"/>
      <c r="AH58" s="17"/>
      <c r="AI58" s="13"/>
      <c r="AJ58" s="31"/>
      <c r="AK58" s="16"/>
      <c r="AL58" s="17"/>
      <c r="AM58" s="13"/>
      <c r="AN58" s="31"/>
      <c r="AO58" s="16"/>
      <c r="AP58" s="17"/>
      <c r="AQ58" s="13"/>
      <c r="AR58" s="31"/>
      <c r="AS58" s="16"/>
      <c r="AT58" s="17"/>
      <c r="AU58" s="13"/>
      <c r="AV58" s="31"/>
    </row>
    <row r="59" spans="1:48" ht="15.75" customHeight="1" x14ac:dyDescent="0.25">
      <c r="A59" s="14">
        <v>5125</v>
      </c>
      <c r="B59" s="15" t="s">
        <v>172</v>
      </c>
      <c r="C59" s="17">
        <f>+C60</f>
        <v>130000</v>
      </c>
      <c r="D59" s="17"/>
      <c r="E59" s="17">
        <f>+E60</f>
        <v>130000</v>
      </c>
      <c r="F59" s="31"/>
      <c r="G59" s="17"/>
      <c r="H59" s="17"/>
      <c r="I59" s="13">
        <f t="shared" si="24"/>
        <v>130000</v>
      </c>
      <c r="J59" s="29">
        <f>+J60</f>
        <v>0</v>
      </c>
      <c r="K59" s="17"/>
      <c r="L59" s="13">
        <f t="shared" si="33"/>
        <v>130000</v>
      </c>
      <c r="M59" s="31"/>
      <c r="N59" s="16">
        <v>0</v>
      </c>
      <c r="O59" s="17"/>
      <c r="P59" s="13">
        <f t="shared" si="40"/>
        <v>130000</v>
      </c>
      <c r="Q59" s="31"/>
      <c r="R59" s="18">
        <f>+R60</f>
        <v>0</v>
      </c>
      <c r="S59" s="17"/>
      <c r="T59" s="17">
        <f>+P59+R59</f>
        <v>130000</v>
      </c>
      <c r="U59" s="31"/>
      <c r="V59" s="17"/>
      <c r="W59" s="17"/>
      <c r="X59" s="13">
        <f t="shared" ref="X59:X60" si="63">T59+V59</f>
        <v>130000</v>
      </c>
      <c r="Y59" s="29">
        <f>+Y60</f>
        <v>0</v>
      </c>
      <c r="Z59" s="17"/>
      <c r="AA59" s="30">
        <f t="shared" si="57"/>
        <v>130000</v>
      </c>
      <c r="AB59" s="31"/>
      <c r="AC59" s="16">
        <v>0</v>
      </c>
      <c r="AD59" s="17"/>
      <c r="AE59" s="13">
        <f t="shared" ref="AE59:AE60" si="64">AA59+AC59</f>
        <v>130000</v>
      </c>
      <c r="AF59" s="31"/>
      <c r="AG59" s="139">
        <v>0</v>
      </c>
      <c r="AH59" s="17"/>
      <c r="AI59" s="13">
        <f t="shared" ref="AI59:AI60" si="65">AE59+AG59</f>
        <v>130000</v>
      </c>
      <c r="AJ59" s="31"/>
      <c r="AK59" s="16">
        <v>0</v>
      </c>
      <c r="AL59" s="17"/>
      <c r="AM59" s="13">
        <f t="shared" ref="AM59:AM60" si="66">AI59+AK59</f>
        <v>130000</v>
      </c>
      <c r="AN59" s="31"/>
      <c r="AO59" s="16">
        <v>0</v>
      </c>
      <c r="AP59" s="17"/>
      <c r="AQ59" s="13">
        <f t="shared" ref="AQ59:AQ60" si="67">AM59+AO59</f>
        <v>130000</v>
      </c>
      <c r="AR59" s="31"/>
      <c r="AS59" s="16">
        <v>0</v>
      </c>
      <c r="AT59" s="17"/>
      <c r="AU59" s="13">
        <f t="shared" ref="AU59:AU60" si="68">AQ59+AS59</f>
        <v>130000</v>
      </c>
      <c r="AV59" s="31"/>
    </row>
    <row r="60" spans="1:48" x14ac:dyDescent="0.25">
      <c r="A60" s="14">
        <v>512510</v>
      </c>
      <c r="B60" s="15" t="s">
        <v>171</v>
      </c>
      <c r="C60" s="17">
        <v>130000</v>
      </c>
      <c r="D60" s="17">
        <v>0</v>
      </c>
      <c r="E60" s="17">
        <f>+C60</f>
        <v>130000</v>
      </c>
      <c r="F60" s="19"/>
      <c r="G60" s="17"/>
      <c r="H60" s="17"/>
      <c r="I60" s="13">
        <f t="shared" si="24"/>
        <v>130000</v>
      </c>
      <c r="J60" s="16">
        <v>0</v>
      </c>
      <c r="K60" s="17"/>
      <c r="L60" s="13">
        <f t="shared" si="33"/>
        <v>130000</v>
      </c>
      <c r="M60" s="19"/>
      <c r="N60" s="16">
        <v>0</v>
      </c>
      <c r="O60" s="17"/>
      <c r="P60" s="13">
        <f t="shared" si="40"/>
        <v>130000</v>
      </c>
      <c r="Q60" s="19"/>
      <c r="R60" s="18">
        <v>0</v>
      </c>
      <c r="S60" s="17">
        <v>0</v>
      </c>
      <c r="T60" s="17">
        <f>+P60+R60</f>
        <v>130000</v>
      </c>
      <c r="U60" s="31"/>
      <c r="V60" s="17"/>
      <c r="W60" s="17"/>
      <c r="X60" s="13">
        <f t="shared" si="63"/>
        <v>130000</v>
      </c>
      <c r="Y60" s="16">
        <v>0</v>
      </c>
      <c r="Z60" s="17"/>
      <c r="AA60" s="30">
        <f t="shared" si="57"/>
        <v>130000</v>
      </c>
      <c r="AB60" s="31"/>
      <c r="AC60" s="16">
        <v>0</v>
      </c>
      <c r="AD60" s="17"/>
      <c r="AE60" s="13">
        <f t="shared" si="64"/>
        <v>130000</v>
      </c>
      <c r="AF60" s="31"/>
      <c r="AG60" s="139">
        <v>0</v>
      </c>
      <c r="AH60" s="17"/>
      <c r="AI60" s="13">
        <f t="shared" si="65"/>
        <v>130000</v>
      </c>
      <c r="AJ60" s="31"/>
      <c r="AK60" s="16">
        <v>0</v>
      </c>
      <c r="AL60" s="17"/>
      <c r="AM60" s="13">
        <f t="shared" si="66"/>
        <v>130000</v>
      </c>
      <c r="AN60" s="31"/>
      <c r="AO60" s="16">
        <v>0</v>
      </c>
      <c r="AP60" s="17"/>
      <c r="AQ60" s="13">
        <f t="shared" si="67"/>
        <v>130000</v>
      </c>
      <c r="AR60" s="31"/>
      <c r="AS60" s="16">
        <v>0</v>
      </c>
      <c r="AT60" s="17"/>
      <c r="AU60" s="13">
        <f t="shared" si="68"/>
        <v>130000</v>
      </c>
      <c r="AV60" s="31"/>
    </row>
    <row r="61" spans="1:48" x14ac:dyDescent="0.25">
      <c r="A61" s="14"/>
      <c r="B61" s="15"/>
      <c r="C61" s="17"/>
      <c r="D61" s="17"/>
      <c r="E61" s="17"/>
      <c r="F61" s="31"/>
      <c r="G61" s="17"/>
      <c r="H61" s="17"/>
      <c r="I61" s="13"/>
      <c r="J61" s="16"/>
      <c r="K61" s="17"/>
      <c r="L61" s="13"/>
      <c r="M61" s="31"/>
      <c r="N61" s="16"/>
      <c r="O61" s="17"/>
      <c r="P61" s="13"/>
      <c r="Q61" s="31"/>
      <c r="R61" s="18"/>
      <c r="S61" s="17"/>
      <c r="T61" s="17"/>
      <c r="U61" s="31"/>
      <c r="V61" s="17"/>
      <c r="W61" s="17"/>
      <c r="X61" s="13"/>
      <c r="Y61" s="16"/>
      <c r="Z61" s="17"/>
      <c r="AA61" s="30"/>
      <c r="AB61" s="31"/>
      <c r="AC61" s="16"/>
      <c r="AD61" s="17"/>
      <c r="AE61" s="13"/>
      <c r="AF61" s="31"/>
      <c r="AG61" s="139"/>
      <c r="AH61" s="17"/>
      <c r="AI61" s="13"/>
      <c r="AJ61" s="31"/>
      <c r="AK61" s="16"/>
      <c r="AL61" s="17"/>
      <c r="AM61" s="13"/>
      <c r="AN61" s="31"/>
      <c r="AO61" s="16"/>
      <c r="AP61" s="17"/>
      <c r="AQ61" s="13"/>
      <c r="AR61" s="31"/>
      <c r="AS61" s="16"/>
      <c r="AT61" s="17"/>
      <c r="AU61" s="13"/>
      <c r="AV61" s="31"/>
    </row>
    <row r="62" spans="1:48" x14ac:dyDescent="0.25">
      <c r="A62" s="14" t="s">
        <v>70</v>
      </c>
      <c r="B62" s="15" t="s">
        <v>71</v>
      </c>
      <c r="C62" s="17">
        <f>+C63</f>
        <v>0</v>
      </c>
      <c r="D62" s="17">
        <v>0</v>
      </c>
      <c r="E62" s="17">
        <f t="shared" ref="E62:E138" si="69">+C62</f>
        <v>0</v>
      </c>
      <c r="F62" s="19"/>
      <c r="G62" s="17">
        <f>G63</f>
        <v>0</v>
      </c>
      <c r="H62" s="17">
        <v>0</v>
      </c>
      <c r="I62" s="13">
        <f t="shared" si="24"/>
        <v>0</v>
      </c>
      <c r="J62" s="16">
        <f>J63</f>
        <v>0</v>
      </c>
      <c r="K62" s="17">
        <v>0</v>
      </c>
      <c r="L62" s="13">
        <f t="shared" si="33"/>
        <v>0</v>
      </c>
      <c r="M62" s="19"/>
      <c r="N62" s="29">
        <f>N63</f>
        <v>0</v>
      </c>
      <c r="O62" s="17">
        <v>0</v>
      </c>
      <c r="P62" s="13">
        <f t="shared" si="40"/>
        <v>0</v>
      </c>
      <c r="Q62" s="19"/>
      <c r="R62" s="18">
        <f>+R63</f>
        <v>0</v>
      </c>
      <c r="S62" s="17">
        <v>0</v>
      </c>
      <c r="T62" s="17">
        <f t="shared" ref="T62:T63" si="70">+R62</f>
        <v>0</v>
      </c>
      <c r="U62" s="31"/>
      <c r="V62" s="17">
        <f>V63</f>
        <v>0</v>
      </c>
      <c r="W62" s="17">
        <v>0</v>
      </c>
      <c r="X62" s="13">
        <f t="shared" ref="X62:X63" si="71">T62+V62</f>
        <v>0</v>
      </c>
      <c r="Y62" s="16">
        <f>Y63</f>
        <v>0</v>
      </c>
      <c r="Z62" s="17">
        <v>0</v>
      </c>
      <c r="AA62" s="30">
        <f t="shared" ref="AA62:AA63" si="72">X62+Y62</f>
        <v>0</v>
      </c>
      <c r="AB62" s="31"/>
      <c r="AC62" s="29">
        <f>AC63</f>
        <v>0</v>
      </c>
      <c r="AD62" s="17">
        <v>0</v>
      </c>
      <c r="AE62" s="13">
        <f t="shared" ref="AE62:AE63" si="73">AA62+AC62</f>
        <v>0</v>
      </c>
      <c r="AF62" s="31"/>
      <c r="AG62" s="139">
        <f>AG63</f>
        <v>0</v>
      </c>
      <c r="AH62" s="17">
        <v>0</v>
      </c>
      <c r="AI62" s="13">
        <f t="shared" ref="AI62:AI63" si="74">AE62+AG62</f>
        <v>0</v>
      </c>
      <c r="AJ62" s="31"/>
      <c r="AK62" s="29">
        <f>AK63</f>
        <v>0</v>
      </c>
      <c r="AL62" s="17">
        <v>0</v>
      </c>
      <c r="AM62" s="13">
        <f t="shared" ref="AM62:AM63" si="75">AI62+AK62</f>
        <v>0</v>
      </c>
      <c r="AN62" s="31"/>
      <c r="AO62" s="29">
        <f>AO63</f>
        <v>0</v>
      </c>
      <c r="AP62" s="17">
        <v>0</v>
      </c>
      <c r="AQ62" s="13">
        <f t="shared" ref="AQ62:AQ63" si="76">AM62+AO62</f>
        <v>0</v>
      </c>
      <c r="AR62" s="31"/>
      <c r="AS62" s="29">
        <f>AS63</f>
        <v>0</v>
      </c>
      <c r="AT62" s="17">
        <v>0</v>
      </c>
      <c r="AU62" s="13">
        <f t="shared" ref="AU62:AU63" si="77">AQ62+AS62</f>
        <v>0</v>
      </c>
      <c r="AV62" s="31"/>
    </row>
    <row r="63" spans="1:48" x14ac:dyDescent="0.25">
      <c r="A63" s="14" t="s">
        <v>72</v>
      </c>
      <c r="B63" s="15" t="s">
        <v>73</v>
      </c>
      <c r="C63" s="17">
        <v>0</v>
      </c>
      <c r="D63" s="17">
        <v>0</v>
      </c>
      <c r="E63" s="17">
        <f t="shared" si="69"/>
        <v>0</v>
      </c>
      <c r="F63" s="19"/>
      <c r="G63" s="17">
        <v>0</v>
      </c>
      <c r="H63" s="17">
        <v>0</v>
      </c>
      <c r="I63" s="13">
        <f t="shared" si="24"/>
        <v>0</v>
      </c>
      <c r="J63" s="16">
        <v>0</v>
      </c>
      <c r="K63" s="17">
        <v>0</v>
      </c>
      <c r="L63" s="13">
        <f t="shared" si="33"/>
        <v>0</v>
      </c>
      <c r="M63" s="19"/>
      <c r="N63" s="29">
        <v>0</v>
      </c>
      <c r="O63" s="17">
        <v>0</v>
      </c>
      <c r="P63" s="13">
        <f t="shared" si="40"/>
        <v>0</v>
      </c>
      <c r="Q63" s="19"/>
      <c r="R63" s="18">
        <v>0</v>
      </c>
      <c r="S63" s="17">
        <v>0</v>
      </c>
      <c r="T63" s="17">
        <f t="shared" si="70"/>
        <v>0</v>
      </c>
      <c r="U63" s="31"/>
      <c r="V63" s="17">
        <v>0</v>
      </c>
      <c r="W63" s="17">
        <v>0</v>
      </c>
      <c r="X63" s="13">
        <f t="shared" si="71"/>
        <v>0</v>
      </c>
      <c r="Y63" s="16">
        <v>0</v>
      </c>
      <c r="Z63" s="17">
        <v>0</v>
      </c>
      <c r="AA63" s="30">
        <f t="shared" si="72"/>
        <v>0</v>
      </c>
      <c r="AB63" s="31"/>
      <c r="AC63" s="29">
        <v>0</v>
      </c>
      <c r="AD63" s="17">
        <v>0</v>
      </c>
      <c r="AE63" s="13">
        <f t="shared" si="73"/>
        <v>0</v>
      </c>
      <c r="AF63" s="31"/>
      <c r="AG63" s="139">
        <v>0</v>
      </c>
      <c r="AH63" s="17">
        <v>0</v>
      </c>
      <c r="AI63" s="13">
        <f t="shared" si="74"/>
        <v>0</v>
      </c>
      <c r="AJ63" s="31"/>
      <c r="AK63" s="29">
        <v>0</v>
      </c>
      <c r="AL63" s="17">
        <v>0</v>
      </c>
      <c r="AM63" s="13">
        <f t="shared" si="75"/>
        <v>0</v>
      </c>
      <c r="AN63" s="31"/>
      <c r="AO63" s="29">
        <v>0</v>
      </c>
      <c r="AP63" s="17">
        <v>0</v>
      </c>
      <c r="AQ63" s="13">
        <f t="shared" si="76"/>
        <v>0</v>
      </c>
      <c r="AR63" s="31"/>
      <c r="AS63" s="29">
        <v>0</v>
      </c>
      <c r="AT63" s="17">
        <v>0</v>
      </c>
      <c r="AU63" s="13">
        <f t="shared" si="77"/>
        <v>0</v>
      </c>
      <c r="AV63" s="31"/>
    </row>
    <row r="64" spans="1:48" x14ac:dyDescent="0.25">
      <c r="A64" s="14"/>
      <c r="B64" s="15"/>
      <c r="C64" s="17"/>
      <c r="D64" s="17"/>
      <c r="E64" s="17"/>
      <c r="F64" s="31"/>
      <c r="G64" s="17"/>
      <c r="H64" s="17"/>
      <c r="I64" s="13"/>
      <c r="J64" s="16"/>
      <c r="K64" s="17"/>
      <c r="L64" s="13"/>
      <c r="M64" s="31"/>
      <c r="N64" s="29"/>
      <c r="O64" s="17"/>
      <c r="P64" s="13"/>
      <c r="Q64" s="31"/>
      <c r="R64" s="18"/>
      <c r="S64" s="17"/>
      <c r="T64" s="17"/>
      <c r="U64" s="31"/>
      <c r="V64" s="17"/>
      <c r="W64" s="17"/>
      <c r="X64" s="13"/>
      <c r="Y64" s="16"/>
      <c r="Z64" s="17"/>
      <c r="AA64" s="30"/>
      <c r="AB64" s="31"/>
      <c r="AC64" s="29"/>
      <c r="AD64" s="17"/>
      <c r="AE64" s="13"/>
      <c r="AF64" s="31"/>
      <c r="AG64" s="139"/>
      <c r="AH64" s="17"/>
      <c r="AI64" s="13"/>
      <c r="AJ64" s="31"/>
      <c r="AK64" s="29"/>
      <c r="AL64" s="17"/>
      <c r="AM64" s="13"/>
      <c r="AN64" s="31"/>
      <c r="AO64" s="29"/>
      <c r="AP64" s="17"/>
      <c r="AQ64" s="13"/>
      <c r="AR64" s="31"/>
      <c r="AS64" s="29"/>
      <c r="AT64" s="17"/>
      <c r="AU64" s="13"/>
      <c r="AV64" s="31"/>
    </row>
    <row r="65" spans="1:48" x14ac:dyDescent="0.25">
      <c r="A65" s="14" t="s">
        <v>74</v>
      </c>
      <c r="B65" s="15" t="s">
        <v>26</v>
      </c>
      <c r="C65" s="17">
        <f>C66+C67+C68+C69+C70+C72+C71</f>
        <v>1729670</v>
      </c>
      <c r="D65" s="17">
        <v>0</v>
      </c>
      <c r="E65" s="17">
        <f t="shared" si="69"/>
        <v>1729670</v>
      </c>
      <c r="F65" s="19"/>
      <c r="G65" s="17">
        <f>G66+G67+G68+G69+G70+G73</f>
        <v>1574494</v>
      </c>
      <c r="H65" s="17">
        <v>0</v>
      </c>
      <c r="I65" s="13">
        <f t="shared" ref="I65:I144" si="78">E65+G65</f>
        <v>3304164</v>
      </c>
      <c r="J65" s="16">
        <f>J66+J67+J68+J69+J70</f>
        <v>1593698</v>
      </c>
      <c r="K65" s="17">
        <v>0</v>
      </c>
      <c r="L65" s="13">
        <f t="shared" si="33"/>
        <v>4897862</v>
      </c>
      <c r="M65" s="19"/>
      <c r="N65" s="29">
        <f>SUM(N66:N73)</f>
        <v>1221247</v>
      </c>
      <c r="O65" s="17">
        <v>0</v>
      </c>
      <c r="P65" s="13">
        <f t="shared" si="40"/>
        <v>6119109</v>
      </c>
      <c r="Q65" s="19"/>
      <c r="R65" s="18">
        <f>R66+R67+R68+R69+R70+R72+R71</f>
        <v>1986125</v>
      </c>
      <c r="S65" s="17">
        <v>0</v>
      </c>
      <c r="T65" s="17">
        <f>+P65+R65</f>
        <v>8105234</v>
      </c>
      <c r="U65" s="31"/>
      <c r="V65" s="17">
        <f>V66+V67+V68+V69+V70+V73</f>
        <v>1898251</v>
      </c>
      <c r="W65" s="17">
        <v>0</v>
      </c>
      <c r="X65" s="13">
        <f t="shared" ref="X65:X73" si="79">T65+V65</f>
        <v>10003485</v>
      </c>
      <c r="Y65" s="16">
        <f>SUM(Y66:Y73)</f>
        <v>1813459</v>
      </c>
      <c r="Z65" s="17">
        <v>0</v>
      </c>
      <c r="AA65" s="30">
        <f t="shared" ref="AA65:AA72" si="80">X65+Y65</f>
        <v>11816944</v>
      </c>
      <c r="AB65" s="31"/>
      <c r="AC65" s="29">
        <f>SUM(AC66:AC73)</f>
        <v>1730830</v>
      </c>
      <c r="AD65" s="17">
        <v>0</v>
      </c>
      <c r="AE65" s="13">
        <f t="shared" ref="AE65:AE75" si="81">AA65+AC65</f>
        <v>13547774</v>
      </c>
      <c r="AF65" s="31"/>
      <c r="AG65" s="139">
        <f>SUM(AG66:AG73)</f>
        <v>1661657</v>
      </c>
      <c r="AH65" s="17">
        <v>0</v>
      </c>
      <c r="AI65" s="13">
        <f t="shared" ref="AI65:AI75" si="82">AE65+AG65</f>
        <v>15209431</v>
      </c>
      <c r="AJ65" s="31"/>
      <c r="AK65" s="29">
        <f>SUM(AK66:AK73)</f>
        <v>2747607</v>
      </c>
      <c r="AL65" s="17">
        <v>0</v>
      </c>
      <c r="AM65" s="13">
        <f t="shared" ref="AM65:AM75" si="83">AI65+AK65</f>
        <v>17957038</v>
      </c>
      <c r="AN65" s="31"/>
      <c r="AO65" s="29">
        <f>SUM(AO66:AO73)</f>
        <v>2532985</v>
      </c>
      <c r="AP65" s="17">
        <v>0</v>
      </c>
      <c r="AQ65" s="13">
        <f t="shared" ref="AQ65:AQ75" si="84">AM65+AO65</f>
        <v>20490023</v>
      </c>
      <c r="AR65" s="31"/>
      <c r="AS65" s="29">
        <f>SUM(AS66:AS73)</f>
        <v>863540</v>
      </c>
      <c r="AT65" s="17">
        <v>0</v>
      </c>
      <c r="AU65" s="13">
        <f t="shared" ref="AU65:AU75" si="85">AQ65+AS65</f>
        <v>21353563</v>
      </c>
      <c r="AV65" s="31"/>
    </row>
    <row r="66" spans="1:48" x14ac:dyDescent="0.25">
      <c r="A66" s="14" t="s">
        <v>75</v>
      </c>
      <c r="B66" s="15" t="s">
        <v>76</v>
      </c>
      <c r="C66" s="17">
        <v>30000</v>
      </c>
      <c r="D66" s="17">
        <v>0</v>
      </c>
      <c r="E66" s="17">
        <f t="shared" si="69"/>
        <v>30000</v>
      </c>
      <c r="F66" s="19"/>
      <c r="G66" s="17">
        <v>30000</v>
      </c>
      <c r="H66" s="17">
        <v>0</v>
      </c>
      <c r="I66" s="13">
        <f t="shared" si="78"/>
        <v>60000</v>
      </c>
      <c r="J66" s="16">
        <v>0</v>
      </c>
      <c r="K66" s="17">
        <v>0</v>
      </c>
      <c r="L66" s="13">
        <f t="shared" si="33"/>
        <v>60000</v>
      </c>
      <c r="M66" s="19"/>
      <c r="N66" s="29">
        <v>30000</v>
      </c>
      <c r="O66" s="17">
        <v>0</v>
      </c>
      <c r="P66" s="13">
        <f t="shared" si="40"/>
        <v>90000</v>
      </c>
      <c r="Q66" s="19"/>
      <c r="R66" s="18">
        <v>0</v>
      </c>
      <c r="S66" s="17">
        <v>0</v>
      </c>
      <c r="T66" s="17">
        <f t="shared" ref="T66:T143" si="86">+P66+R66</f>
        <v>90000</v>
      </c>
      <c r="U66" s="31"/>
      <c r="V66" s="17">
        <v>35000</v>
      </c>
      <c r="W66" s="17">
        <v>0</v>
      </c>
      <c r="X66" s="13">
        <f t="shared" si="79"/>
        <v>125000</v>
      </c>
      <c r="Y66" s="16">
        <v>30000</v>
      </c>
      <c r="Z66" s="17">
        <v>0</v>
      </c>
      <c r="AA66" s="30">
        <f t="shared" si="80"/>
        <v>155000</v>
      </c>
      <c r="AB66" s="31"/>
      <c r="AC66" s="29">
        <v>30000</v>
      </c>
      <c r="AD66" s="17">
        <v>0</v>
      </c>
      <c r="AE66" s="13">
        <f t="shared" si="81"/>
        <v>185000</v>
      </c>
      <c r="AF66" s="31"/>
      <c r="AG66" s="139">
        <v>50000</v>
      </c>
      <c r="AH66" s="17">
        <v>0</v>
      </c>
      <c r="AI66" s="13">
        <f t="shared" si="82"/>
        <v>235000</v>
      </c>
      <c r="AJ66" s="31"/>
      <c r="AK66" s="29">
        <v>30000</v>
      </c>
      <c r="AL66" s="17">
        <v>0</v>
      </c>
      <c r="AM66" s="13">
        <f t="shared" si="83"/>
        <v>265000</v>
      </c>
      <c r="AN66" s="31"/>
      <c r="AO66" s="29">
        <v>0</v>
      </c>
      <c r="AP66" s="17">
        <v>0</v>
      </c>
      <c r="AQ66" s="13">
        <f t="shared" si="84"/>
        <v>265000</v>
      </c>
      <c r="AR66" s="31"/>
      <c r="AS66" s="29">
        <v>30000</v>
      </c>
      <c r="AT66" s="17">
        <v>0</v>
      </c>
      <c r="AU66" s="13">
        <f t="shared" si="85"/>
        <v>295000</v>
      </c>
      <c r="AV66" s="31"/>
    </row>
    <row r="67" spans="1:48" x14ac:dyDescent="0.25">
      <c r="A67" s="14" t="s">
        <v>77</v>
      </c>
      <c r="B67" s="15" t="s">
        <v>78</v>
      </c>
      <c r="C67" s="17">
        <v>1307000</v>
      </c>
      <c r="D67" s="17">
        <v>0</v>
      </c>
      <c r="E67" s="17">
        <f t="shared" si="69"/>
        <v>1307000</v>
      </c>
      <c r="F67" s="19"/>
      <c r="G67" s="17">
        <v>705000</v>
      </c>
      <c r="H67" s="17">
        <v>0</v>
      </c>
      <c r="I67" s="13">
        <f t="shared" si="78"/>
        <v>2012000</v>
      </c>
      <c r="J67" s="16">
        <v>925000</v>
      </c>
      <c r="K67" s="17">
        <v>0</v>
      </c>
      <c r="L67" s="13">
        <f t="shared" si="33"/>
        <v>2937000</v>
      </c>
      <c r="M67" s="19"/>
      <c r="N67" s="29">
        <v>537000</v>
      </c>
      <c r="O67" s="17">
        <v>0</v>
      </c>
      <c r="P67" s="13">
        <f t="shared" si="40"/>
        <v>3474000</v>
      </c>
      <c r="Q67" s="19"/>
      <c r="R67" s="18">
        <v>1520000</v>
      </c>
      <c r="S67" s="17">
        <v>0</v>
      </c>
      <c r="T67" s="17">
        <f t="shared" si="86"/>
        <v>4994000</v>
      </c>
      <c r="U67" s="31"/>
      <c r="V67" s="17">
        <v>1312000</v>
      </c>
      <c r="W67" s="17">
        <v>0</v>
      </c>
      <c r="X67" s="13">
        <f t="shared" si="79"/>
        <v>6306000</v>
      </c>
      <c r="Y67" s="16">
        <v>1150000</v>
      </c>
      <c r="Z67" s="17">
        <v>0</v>
      </c>
      <c r="AA67" s="30">
        <f t="shared" si="80"/>
        <v>7456000</v>
      </c>
      <c r="AB67" s="31"/>
      <c r="AC67" s="29">
        <v>1235000</v>
      </c>
      <c r="AD67" s="17">
        <v>0</v>
      </c>
      <c r="AE67" s="13">
        <f t="shared" si="81"/>
        <v>8691000</v>
      </c>
      <c r="AF67" s="31"/>
      <c r="AG67" s="139">
        <v>1155000</v>
      </c>
      <c r="AH67" s="17">
        <v>0</v>
      </c>
      <c r="AI67" s="13">
        <f t="shared" si="82"/>
        <v>9846000</v>
      </c>
      <c r="AJ67" s="31"/>
      <c r="AK67" s="29">
        <v>1827500</v>
      </c>
      <c r="AL67" s="17">
        <v>0</v>
      </c>
      <c r="AM67" s="13">
        <f t="shared" si="83"/>
        <v>11673500</v>
      </c>
      <c r="AN67" s="31"/>
      <c r="AO67" s="29">
        <v>1635000</v>
      </c>
      <c r="AP67" s="17">
        <v>0</v>
      </c>
      <c r="AQ67" s="13">
        <f t="shared" si="84"/>
        <v>13308500</v>
      </c>
      <c r="AR67" s="31"/>
      <c r="AS67" s="29">
        <v>655000</v>
      </c>
      <c r="AT67" s="17">
        <v>0</v>
      </c>
      <c r="AU67" s="13">
        <f t="shared" si="85"/>
        <v>13963500</v>
      </c>
      <c r="AV67" s="31"/>
    </row>
    <row r="68" spans="1:48" x14ac:dyDescent="0.25">
      <c r="A68" s="14" t="s">
        <v>79</v>
      </c>
      <c r="B68" s="15" t="s">
        <v>80</v>
      </c>
      <c r="C68" s="17">
        <v>47820</v>
      </c>
      <c r="D68" s="17">
        <v>0</v>
      </c>
      <c r="E68" s="17">
        <f t="shared" si="69"/>
        <v>47820</v>
      </c>
      <c r="F68" s="19"/>
      <c r="G68" s="17">
        <v>51390</v>
      </c>
      <c r="H68" s="17">
        <v>0</v>
      </c>
      <c r="I68" s="13">
        <f t="shared" si="78"/>
        <v>99210</v>
      </c>
      <c r="J68" s="16">
        <v>51770</v>
      </c>
      <c r="K68" s="17">
        <v>0</v>
      </c>
      <c r="L68" s="13">
        <f t="shared" si="33"/>
        <v>150980</v>
      </c>
      <c r="M68" s="19"/>
      <c r="N68" s="29">
        <v>46090</v>
      </c>
      <c r="O68" s="17">
        <v>0</v>
      </c>
      <c r="P68" s="13">
        <f t="shared" si="40"/>
        <v>197070</v>
      </c>
      <c r="Q68" s="19"/>
      <c r="R68" s="18">
        <v>46070</v>
      </c>
      <c r="S68" s="17">
        <v>0</v>
      </c>
      <c r="T68" s="17">
        <f t="shared" si="86"/>
        <v>243140</v>
      </c>
      <c r="U68" s="31"/>
      <c r="V68" s="17">
        <v>57670</v>
      </c>
      <c r="W68" s="17">
        <v>0</v>
      </c>
      <c r="X68" s="13">
        <f t="shared" si="79"/>
        <v>300810</v>
      </c>
      <c r="Y68" s="16">
        <v>58770</v>
      </c>
      <c r="Z68" s="17">
        <v>0</v>
      </c>
      <c r="AA68" s="30">
        <f t="shared" si="80"/>
        <v>359580</v>
      </c>
      <c r="AB68" s="31"/>
      <c r="AC68" s="29">
        <v>58840</v>
      </c>
      <c r="AD68" s="17">
        <v>0</v>
      </c>
      <c r="AE68" s="13">
        <f t="shared" si="81"/>
        <v>418420</v>
      </c>
      <c r="AF68" s="31"/>
      <c r="AG68" s="139">
        <v>59020</v>
      </c>
      <c r="AH68" s="17">
        <v>0</v>
      </c>
      <c r="AI68" s="13">
        <f t="shared" si="82"/>
        <v>477440</v>
      </c>
      <c r="AJ68" s="31"/>
      <c r="AK68" s="29">
        <v>60570</v>
      </c>
      <c r="AL68" s="17">
        <v>0</v>
      </c>
      <c r="AM68" s="13">
        <f t="shared" si="83"/>
        <v>538010</v>
      </c>
      <c r="AN68" s="31"/>
      <c r="AO68" s="29">
        <v>61320</v>
      </c>
      <c r="AP68" s="17">
        <v>0</v>
      </c>
      <c r="AQ68" s="13">
        <f t="shared" si="84"/>
        <v>599330</v>
      </c>
      <c r="AR68" s="31"/>
      <c r="AS68" s="29">
        <v>61850</v>
      </c>
      <c r="AT68" s="17">
        <v>0</v>
      </c>
      <c r="AU68" s="13">
        <f t="shared" si="85"/>
        <v>661180</v>
      </c>
      <c r="AV68" s="31"/>
    </row>
    <row r="69" spans="1:48" x14ac:dyDescent="0.25">
      <c r="A69" s="14" t="s">
        <v>81</v>
      </c>
      <c r="B69" s="15" t="s">
        <v>82</v>
      </c>
      <c r="C69" s="17">
        <v>66500</v>
      </c>
      <c r="D69" s="17">
        <v>0</v>
      </c>
      <c r="E69" s="17">
        <f t="shared" si="69"/>
        <v>66500</v>
      </c>
      <c r="F69" s="19"/>
      <c r="G69" s="17">
        <v>68500</v>
      </c>
      <c r="H69" s="17">
        <v>0</v>
      </c>
      <c r="I69" s="13">
        <f t="shared" si="78"/>
        <v>135000</v>
      </c>
      <c r="J69" s="16">
        <v>89091</v>
      </c>
      <c r="K69" s="17">
        <v>0</v>
      </c>
      <c r="L69" s="13">
        <f t="shared" si="33"/>
        <v>224091</v>
      </c>
      <c r="M69" s="19"/>
      <c r="N69" s="29">
        <v>68513</v>
      </c>
      <c r="O69" s="17">
        <v>0</v>
      </c>
      <c r="P69" s="13">
        <f t="shared" si="40"/>
        <v>292604</v>
      </c>
      <c r="Q69" s="19"/>
      <c r="R69" s="18">
        <v>70858</v>
      </c>
      <c r="S69" s="17">
        <v>0</v>
      </c>
      <c r="T69" s="17">
        <f t="shared" si="86"/>
        <v>363462</v>
      </c>
      <c r="U69" s="31"/>
      <c r="V69" s="17">
        <v>86600</v>
      </c>
      <c r="W69" s="17">
        <v>0</v>
      </c>
      <c r="X69" s="13">
        <f t="shared" si="79"/>
        <v>450062</v>
      </c>
      <c r="Y69" s="16">
        <v>82806</v>
      </c>
      <c r="Z69" s="17">
        <v>0</v>
      </c>
      <c r="AA69" s="30">
        <f t="shared" si="80"/>
        <v>532868</v>
      </c>
      <c r="AB69" s="31"/>
      <c r="AC69" s="29">
        <v>93107</v>
      </c>
      <c r="AD69" s="17">
        <v>0</v>
      </c>
      <c r="AE69" s="13">
        <f t="shared" si="81"/>
        <v>625975</v>
      </c>
      <c r="AF69" s="31"/>
      <c r="AG69" s="139">
        <v>90374</v>
      </c>
      <c r="AH69" s="17">
        <v>0</v>
      </c>
      <c r="AI69" s="13">
        <f t="shared" si="82"/>
        <v>716349</v>
      </c>
      <c r="AJ69" s="31"/>
      <c r="AK69" s="29">
        <v>90918</v>
      </c>
      <c r="AL69" s="17">
        <v>0</v>
      </c>
      <c r="AM69" s="13">
        <f t="shared" si="83"/>
        <v>807267</v>
      </c>
      <c r="AN69" s="31"/>
      <c r="AO69" s="29">
        <v>104676</v>
      </c>
      <c r="AP69" s="17">
        <v>0</v>
      </c>
      <c r="AQ69" s="13">
        <f t="shared" si="84"/>
        <v>911943</v>
      </c>
      <c r="AR69" s="31"/>
      <c r="AS69" s="29">
        <v>116690</v>
      </c>
      <c r="AT69" s="17">
        <v>0</v>
      </c>
      <c r="AU69" s="13">
        <f t="shared" si="85"/>
        <v>1028633</v>
      </c>
      <c r="AV69" s="31"/>
    </row>
    <row r="70" spans="1:48" x14ac:dyDescent="0.25">
      <c r="A70" s="14" t="s">
        <v>83</v>
      </c>
      <c r="B70" s="15" t="s">
        <v>139</v>
      </c>
      <c r="C70" s="17">
        <v>268350</v>
      </c>
      <c r="D70" s="17">
        <v>0</v>
      </c>
      <c r="E70" s="17">
        <f t="shared" si="69"/>
        <v>268350</v>
      </c>
      <c r="F70" s="19"/>
      <c r="G70" s="17">
        <v>719604</v>
      </c>
      <c r="H70" s="17">
        <v>0</v>
      </c>
      <c r="I70" s="13">
        <f t="shared" si="78"/>
        <v>987954</v>
      </c>
      <c r="J70" s="16">
        <v>527837</v>
      </c>
      <c r="K70" s="17">
        <v>0</v>
      </c>
      <c r="L70" s="13">
        <f t="shared" si="33"/>
        <v>1515791</v>
      </c>
      <c r="M70" s="19"/>
      <c r="N70" s="29">
        <v>317644</v>
      </c>
      <c r="O70" s="17">
        <v>0</v>
      </c>
      <c r="P70" s="13">
        <f t="shared" si="40"/>
        <v>1833435</v>
      </c>
      <c r="Q70" s="19"/>
      <c r="R70" s="18">
        <v>349197</v>
      </c>
      <c r="S70" s="17">
        <v>0</v>
      </c>
      <c r="T70" s="17">
        <f t="shared" si="86"/>
        <v>2182632</v>
      </c>
      <c r="U70" s="31"/>
      <c r="V70" s="17">
        <v>326981</v>
      </c>
      <c r="W70" s="17">
        <v>0</v>
      </c>
      <c r="X70" s="13">
        <f t="shared" si="79"/>
        <v>2509613</v>
      </c>
      <c r="Y70" s="16">
        <v>311883</v>
      </c>
      <c r="Z70" s="17">
        <v>0</v>
      </c>
      <c r="AA70" s="30">
        <f t="shared" si="80"/>
        <v>2821496</v>
      </c>
      <c r="AB70" s="31"/>
      <c r="AC70" s="29">
        <v>313883</v>
      </c>
      <c r="AD70" s="17">
        <v>0</v>
      </c>
      <c r="AE70" s="13">
        <f t="shared" si="81"/>
        <v>3135379</v>
      </c>
      <c r="AF70" s="31"/>
      <c r="AG70" s="139">
        <v>307263</v>
      </c>
      <c r="AH70" s="17">
        <v>0</v>
      </c>
      <c r="AI70" s="13">
        <f t="shared" si="82"/>
        <v>3442642</v>
      </c>
      <c r="AJ70" s="31"/>
      <c r="AK70" s="29">
        <v>338619</v>
      </c>
      <c r="AL70" s="17">
        <v>0</v>
      </c>
      <c r="AM70" s="13">
        <f t="shared" si="83"/>
        <v>3781261</v>
      </c>
      <c r="AN70" s="31"/>
      <c r="AO70" s="29">
        <v>415989</v>
      </c>
      <c r="AP70" s="17">
        <v>0</v>
      </c>
      <c r="AQ70" s="13">
        <f t="shared" si="84"/>
        <v>4197250</v>
      </c>
      <c r="AR70" s="31"/>
      <c r="AS70" s="29">
        <v>0</v>
      </c>
      <c r="AT70" s="17">
        <v>0</v>
      </c>
      <c r="AU70" s="13">
        <f t="shared" si="85"/>
        <v>4197250</v>
      </c>
      <c r="AV70" s="31"/>
    </row>
    <row r="71" spans="1:48" x14ac:dyDescent="0.25">
      <c r="A71" s="14">
        <v>513540</v>
      </c>
      <c r="B71" s="15" t="s">
        <v>170</v>
      </c>
      <c r="C71" s="17">
        <v>10000</v>
      </c>
      <c r="D71" s="17">
        <v>0</v>
      </c>
      <c r="E71" s="17">
        <f t="shared" si="69"/>
        <v>10000</v>
      </c>
      <c r="F71" s="19"/>
      <c r="G71" s="17">
        <v>0</v>
      </c>
      <c r="H71" s="17">
        <v>0</v>
      </c>
      <c r="I71" s="13">
        <f t="shared" si="78"/>
        <v>10000</v>
      </c>
      <c r="J71" s="16">
        <v>0</v>
      </c>
      <c r="K71" s="17">
        <v>0</v>
      </c>
      <c r="L71" s="13">
        <f t="shared" si="33"/>
        <v>10000</v>
      </c>
      <c r="M71" s="19"/>
      <c r="N71" s="29">
        <v>0</v>
      </c>
      <c r="O71" s="17">
        <v>0</v>
      </c>
      <c r="P71" s="13">
        <f t="shared" si="40"/>
        <v>10000</v>
      </c>
      <c r="Q71" s="19"/>
      <c r="R71" s="18">
        <v>0</v>
      </c>
      <c r="S71" s="17">
        <v>0</v>
      </c>
      <c r="T71" s="17">
        <f t="shared" si="86"/>
        <v>10000</v>
      </c>
      <c r="U71" s="31"/>
      <c r="V71" s="17">
        <v>0</v>
      </c>
      <c r="W71" s="17">
        <v>0</v>
      </c>
      <c r="X71" s="13">
        <f t="shared" si="79"/>
        <v>10000</v>
      </c>
      <c r="Y71" s="16">
        <v>0</v>
      </c>
      <c r="Z71" s="17">
        <v>0</v>
      </c>
      <c r="AA71" s="30">
        <f t="shared" si="80"/>
        <v>10000</v>
      </c>
      <c r="AB71" s="31"/>
      <c r="AC71" s="29">
        <v>0</v>
      </c>
      <c r="AD71" s="17">
        <v>0</v>
      </c>
      <c r="AE71" s="13">
        <f t="shared" si="81"/>
        <v>10000</v>
      </c>
      <c r="AF71" s="31"/>
      <c r="AG71" s="139">
        <v>0</v>
      </c>
      <c r="AH71" s="17">
        <v>0</v>
      </c>
      <c r="AI71" s="13">
        <f t="shared" si="82"/>
        <v>10000</v>
      </c>
      <c r="AJ71" s="31"/>
      <c r="AK71" s="29">
        <v>0</v>
      </c>
      <c r="AL71" s="17">
        <v>0</v>
      </c>
      <c r="AM71" s="13">
        <f t="shared" si="83"/>
        <v>10000</v>
      </c>
      <c r="AN71" s="31"/>
      <c r="AO71" s="29">
        <v>0</v>
      </c>
      <c r="AP71" s="17">
        <v>0</v>
      </c>
      <c r="AQ71" s="13">
        <f t="shared" si="84"/>
        <v>10000</v>
      </c>
      <c r="AR71" s="31"/>
      <c r="AS71" s="29">
        <v>0</v>
      </c>
      <c r="AT71" s="17">
        <v>0</v>
      </c>
      <c r="AU71" s="13">
        <f t="shared" si="85"/>
        <v>10000</v>
      </c>
      <c r="AV71" s="31"/>
    </row>
    <row r="72" spans="1:48" x14ac:dyDescent="0.25">
      <c r="A72" s="14">
        <v>513595</v>
      </c>
      <c r="B72" s="15" t="s">
        <v>164</v>
      </c>
      <c r="C72" s="17">
        <v>0</v>
      </c>
      <c r="D72" s="17">
        <v>0</v>
      </c>
      <c r="E72" s="17">
        <f t="shared" si="69"/>
        <v>0</v>
      </c>
      <c r="F72" s="19"/>
      <c r="G72" s="17">
        <v>0</v>
      </c>
      <c r="H72" s="17">
        <v>0</v>
      </c>
      <c r="I72" s="13">
        <f t="shared" si="78"/>
        <v>0</v>
      </c>
      <c r="J72" s="16">
        <v>0</v>
      </c>
      <c r="K72" s="17">
        <v>0</v>
      </c>
      <c r="L72" s="13">
        <f t="shared" si="33"/>
        <v>0</v>
      </c>
      <c r="M72" s="19"/>
      <c r="N72" s="29">
        <v>0</v>
      </c>
      <c r="O72" s="17">
        <v>0</v>
      </c>
      <c r="P72" s="13">
        <f t="shared" si="40"/>
        <v>0</v>
      </c>
      <c r="Q72" s="19"/>
      <c r="R72" s="18">
        <v>0</v>
      </c>
      <c r="S72" s="17">
        <v>0</v>
      </c>
      <c r="T72" s="17">
        <f t="shared" si="86"/>
        <v>0</v>
      </c>
      <c r="U72" s="31"/>
      <c r="V72" s="17">
        <v>0</v>
      </c>
      <c r="W72" s="17">
        <v>0</v>
      </c>
      <c r="X72" s="13">
        <f t="shared" si="79"/>
        <v>0</v>
      </c>
      <c r="Y72" s="16">
        <v>0</v>
      </c>
      <c r="Z72" s="17">
        <v>0</v>
      </c>
      <c r="AA72" s="30">
        <f t="shared" si="80"/>
        <v>0</v>
      </c>
      <c r="AB72" s="31"/>
      <c r="AC72" s="29">
        <v>0</v>
      </c>
      <c r="AD72" s="17">
        <v>0</v>
      </c>
      <c r="AE72" s="13">
        <f t="shared" si="81"/>
        <v>0</v>
      </c>
      <c r="AF72" s="31"/>
      <c r="AG72" s="139">
        <v>0</v>
      </c>
      <c r="AH72" s="17">
        <v>0</v>
      </c>
      <c r="AI72" s="13">
        <f t="shared" si="82"/>
        <v>0</v>
      </c>
      <c r="AJ72" s="31"/>
      <c r="AK72" s="29">
        <v>0</v>
      </c>
      <c r="AL72" s="17">
        <v>0</v>
      </c>
      <c r="AM72" s="13">
        <f t="shared" si="83"/>
        <v>0</v>
      </c>
      <c r="AN72" s="31"/>
      <c r="AO72" s="29">
        <v>0</v>
      </c>
      <c r="AP72" s="17">
        <v>0</v>
      </c>
      <c r="AQ72" s="13">
        <f t="shared" si="84"/>
        <v>0</v>
      </c>
      <c r="AR72" s="31"/>
      <c r="AS72" s="29">
        <v>0</v>
      </c>
      <c r="AT72" s="17">
        <v>0</v>
      </c>
      <c r="AU72" s="13">
        <f t="shared" si="85"/>
        <v>0</v>
      </c>
      <c r="AV72" s="31"/>
    </row>
    <row r="73" spans="1:48" x14ac:dyDescent="0.25">
      <c r="A73" s="14">
        <v>513550</v>
      </c>
      <c r="B73" s="15" t="s">
        <v>141</v>
      </c>
      <c r="C73" s="17">
        <v>0</v>
      </c>
      <c r="D73" s="17">
        <v>0</v>
      </c>
      <c r="E73" s="17">
        <f t="shared" si="69"/>
        <v>0</v>
      </c>
      <c r="F73" s="19"/>
      <c r="G73" s="17">
        <v>0</v>
      </c>
      <c r="H73" s="17">
        <v>0</v>
      </c>
      <c r="I73" s="13">
        <f t="shared" si="78"/>
        <v>0</v>
      </c>
      <c r="J73" s="16">
        <v>0</v>
      </c>
      <c r="K73" s="17">
        <v>0</v>
      </c>
      <c r="L73" s="13">
        <f>I73+J73</f>
        <v>0</v>
      </c>
      <c r="M73" s="19"/>
      <c r="N73" s="29">
        <v>222000</v>
      </c>
      <c r="O73" s="17">
        <v>0</v>
      </c>
      <c r="P73" s="13">
        <f t="shared" si="40"/>
        <v>222000</v>
      </c>
      <c r="Q73" s="19"/>
      <c r="R73" s="18">
        <v>0</v>
      </c>
      <c r="S73" s="17">
        <v>0</v>
      </c>
      <c r="T73" s="17">
        <f t="shared" si="86"/>
        <v>222000</v>
      </c>
      <c r="U73" s="31"/>
      <c r="V73" s="17">
        <v>80000</v>
      </c>
      <c r="W73" s="17">
        <v>0</v>
      </c>
      <c r="X73" s="13">
        <f t="shared" si="79"/>
        <v>302000</v>
      </c>
      <c r="Y73" s="16">
        <v>180000</v>
      </c>
      <c r="Z73" s="17">
        <v>0</v>
      </c>
      <c r="AA73" s="30">
        <f>X73+Y73</f>
        <v>482000</v>
      </c>
      <c r="AB73" s="31"/>
      <c r="AC73" s="29">
        <v>0</v>
      </c>
      <c r="AD73" s="17">
        <v>0</v>
      </c>
      <c r="AE73" s="13">
        <f t="shared" si="81"/>
        <v>482000</v>
      </c>
      <c r="AF73" s="31"/>
      <c r="AG73" s="139">
        <v>0</v>
      </c>
      <c r="AH73" s="17">
        <v>0</v>
      </c>
      <c r="AI73" s="13">
        <f t="shared" si="82"/>
        <v>482000</v>
      </c>
      <c r="AJ73" s="31"/>
      <c r="AK73" s="29">
        <v>400000</v>
      </c>
      <c r="AL73" s="17">
        <v>0</v>
      </c>
      <c r="AM73" s="13">
        <f t="shared" si="83"/>
        <v>882000</v>
      </c>
      <c r="AN73" s="31"/>
      <c r="AO73" s="29">
        <v>316000</v>
      </c>
      <c r="AP73" s="17">
        <v>0</v>
      </c>
      <c r="AQ73" s="13">
        <f t="shared" si="84"/>
        <v>1198000</v>
      </c>
      <c r="AR73" s="31"/>
      <c r="AS73" s="29">
        <v>0</v>
      </c>
      <c r="AT73" s="17">
        <v>0</v>
      </c>
      <c r="AU73" s="13">
        <f t="shared" si="85"/>
        <v>1198000</v>
      </c>
      <c r="AV73" s="31"/>
    </row>
    <row r="74" spans="1:48" x14ac:dyDescent="0.25">
      <c r="A74" s="14"/>
      <c r="B74" s="15"/>
      <c r="C74" s="17"/>
      <c r="D74" s="17"/>
      <c r="E74" s="17">
        <f t="shared" si="69"/>
        <v>0</v>
      </c>
      <c r="F74" s="31"/>
      <c r="G74" s="17"/>
      <c r="H74" s="17"/>
      <c r="I74" s="13"/>
      <c r="J74" s="16"/>
      <c r="K74" s="17"/>
      <c r="L74" s="13"/>
      <c r="M74" s="31"/>
      <c r="N74" s="16"/>
      <c r="O74" s="17"/>
      <c r="P74" s="13">
        <f t="shared" si="40"/>
        <v>0</v>
      </c>
      <c r="Q74" s="31"/>
      <c r="R74" s="18"/>
      <c r="S74" s="17"/>
      <c r="T74" s="17"/>
      <c r="U74" s="31"/>
      <c r="V74" s="17"/>
      <c r="W74" s="17"/>
      <c r="X74" s="13"/>
      <c r="Y74" s="16"/>
      <c r="Z74" s="17"/>
      <c r="AA74" s="30"/>
      <c r="AB74" s="31"/>
      <c r="AC74" s="16"/>
      <c r="AD74" s="17"/>
      <c r="AE74" s="13">
        <f t="shared" si="81"/>
        <v>0</v>
      </c>
      <c r="AF74" s="31"/>
      <c r="AG74" s="139"/>
      <c r="AH74" s="17"/>
      <c r="AI74" s="13">
        <f t="shared" si="82"/>
        <v>0</v>
      </c>
      <c r="AJ74" s="31"/>
      <c r="AK74" s="16"/>
      <c r="AL74" s="17"/>
      <c r="AM74" s="13">
        <f t="shared" si="83"/>
        <v>0</v>
      </c>
      <c r="AN74" s="31"/>
      <c r="AO74" s="16"/>
      <c r="AP74" s="17"/>
      <c r="AQ74" s="13">
        <f t="shared" si="84"/>
        <v>0</v>
      </c>
      <c r="AR74" s="31"/>
      <c r="AS74" s="16"/>
      <c r="AT74" s="17"/>
      <c r="AU74" s="13">
        <f t="shared" si="85"/>
        <v>0</v>
      </c>
      <c r="AV74" s="31"/>
    </row>
    <row r="75" spans="1:48" x14ac:dyDescent="0.25">
      <c r="A75" s="14" t="s">
        <v>84</v>
      </c>
      <c r="B75" s="15" t="s">
        <v>85</v>
      </c>
      <c r="C75" s="17">
        <v>0</v>
      </c>
      <c r="D75" s="17">
        <v>0</v>
      </c>
      <c r="E75" s="17">
        <f t="shared" si="69"/>
        <v>0</v>
      </c>
      <c r="F75" s="19"/>
      <c r="G75" s="17">
        <f>G77+G78</f>
        <v>5800</v>
      </c>
      <c r="H75" s="17">
        <v>0</v>
      </c>
      <c r="I75" s="13">
        <f t="shared" si="78"/>
        <v>5800</v>
      </c>
      <c r="J75" s="16">
        <v>0</v>
      </c>
      <c r="K75" s="17">
        <v>0</v>
      </c>
      <c r="L75" s="13">
        <f>I75+J75</f>
        <v>5800</v>
      </c>
      <c r="M75" s="19"/>
      <c r="N75" s="16">
        <f>N77+N78</f>
        <v>1600136</v>
      </c>
      <c r="O75" s="17">
        <v>0</v>
      </c>
      <c r="P75" s="13">
        <f t="shared" si="40"/>
        <v>1605936</v>
      </c>
      <c r="Q75" s="19"/>
      <c r="R75" s="18">
        <f>+R77</f>
        <v>5800</v>
      </c>
      <c r="S75" s="17">
        <v>0</v>
      </c>
      <c r="T75" s="17">
        <f t="shared" si="86"/>
        <v>1611736</v>
      </c>
      <c r="U75" s="31"/>
      <c r="V75" s="17">
        <f>V77+V78</f>
        <v>0</v>
      </c>
      <c r="W75" s="17">
        <v>0</v>
      </c>
      <c r="X75" s="13">
        <f t="shared" ref="X75:X79" si="87">T75+V75</f>
        <v>1611736</v>
      </c>
      <c r="Y75" s="16">
        <f>+Y77</f>
        <v>5800</v>
      </c>
      <c r="Z75" s="17">
        <v>0</v>
      </c>
      <c r="AA75" s="30">
        <f>X75+Y75</f>
        <v>1617536</v>
      </c>
      <c r="AB75" s="31"/>
      <c r="AC75" s="16">
        <f>AC77+AC78</f>
        <v>5800</v>
      </c>
      <c r="AD75" s="17">
        <v>0</v>
      </c>
      <c r="AE75" s="13">
        <f t="shared" si="81"/>
        <v>1623336</v>
      </c>
      <c r="AF75" s="31"/>
      <c r="AG75" s="139">
        <f>AG77+AG78</f>
        <v>5800</v>
      </c>
      <c r="AH75" s="17">
        <v>0</v>
      </c>
      <c r="AI75" s="13">
        <f t="shared" si="82"/>
        <v>1629136</v>
      </c>
      <c r="AJ75" s="31"/>
      <c r="AK75" s="16">
        <f>+AK77+AK79</f>
        <v>22600</v>
      </c>
      <c r="AL75" s="17">
        <v>0</v>
      </c>
      <c r="AM75" s="13">
        <f t="shared" si="83"/>
        <v>1651736</v>
      </c>
      <c r="AN75" s="31"/>
      <c r="AO75" s="16">
        <f>AO77+AO78</f>
        <v>0</v>
      </c>
      <c r="AP75" s="17">
        <v>0</v>
      </c>
      <c r="AQ75" s="13">
        <f t="shared" si="84"/>
        <v>1651736</v>
      </c>
      <c r="AR75" s="31"/>
      <c r="AS75" s="16">
        <f>AS77+AS78</f>
        <v>0</v>
      </c>
      <c r="AT75" s="17">
        <v>0</v>
      </c>
      <c r="AU75" s="13">
        <f t="shared" si="85"/>
        <v>1651736</v>
      </c>
      <c r="AV75" s="31"/>
    </row>
    <row r="76" spans="1:48" x14ac:dyDescent="0.25">
      <c r="A76" s="14" t="s">
        <v>150</v>
      </c>
      <c r="B76" s="15" t="s">
        <v>142</v>
      </c>
      <c r="C76" s="17">
        <v>0</v>
      </c>
      <c r="D76" s="17">
        <v>0</v>
      </c>
      <c r="E76" s="17">
        <f t="shared" si="69"/>
        <v>0</v>
      </c>
      <c r="F76" s="19"/>
      <c r="G76" s="17">
        <v>0</v>
      </c>
      <c r="H76" s="17">
        <v>0</v>
      </c>
      <c r="I76" s="13">
        <f t="shared" si="78"/>
        <v>0</v>
      </c>
      <c r="J76" s="16">
        <v>0</v>
      </c>
      <c r="K76" s="17">
        <v>0</v>
      </c>
      <c r="L76" s="13">
        <f>I76+J76</f>
        <v>0</v>
      </c>
      <c r="M76" s="19"/>
      <c r="N76" s="16">
        <v>0</v>
      </c>
      <c r="O76" s="17">
        <v>0</v>
      </c>
      <c r="P76" s="13">
        <f>L76+N76</f>
        <v>0</v>
      </c>
      <c r="Q76" s="19"/>
      <c r="R76" s="18"/>
      <c r="S76" s="17">
        <v>0</v>
      </c>
      <c r="T76" s="17">
        <f t="shared" si="86"/>
        <v>0</v>
      </c>
      <c r="U76" s="31"/>
      <c r="V76" s="17">
        <v>0</v>
      </c>
      <c r="W76" s="17">
        <v>0</v>
      </c>
      <c r="X76" s="13">
        <f t="shared" si="87"/>
        <v>0</v>
      </c>
      <c r="Y76" s="16">
        <v>0</v>
      </c>
      <c r="Z76" s="17">
        <v>0</v>
      </c>
      <c r="AA76" s="30">
        <f>X76+Y76</f>
        <v>0</v>
      </c>
      <c r="AB76" s="31"/>
      <c r="AC76" s="16">
        <v>0</v>
      </c>
      <c r="AD76" s="17">
        <v>0</v>
      </c>
      <c r="AE76" s="13">
        <f>AA76+AC76</f>
        <v>0</v>
      </c>
      <c r="AF76" s="31"/>
      <c r="AG76" s="139">
        <v>0</v>
      </c>
      <c r="AH76" s="17">
        <v>0</v>
      </c>
      <c r="AI76" s="13">
        <f>AE76+AG76</f>
        <v>0</v>
      </c>
      <c r="AJ76" s="31"/>
      <c r="AK76" s="16">
        <v>0</v>
      </c>
      <c r="AL76" s="17">
        <v>0</v>
      </c>
      <c r="AM76" s="13">
        <f>AI76+AK76</f>
        <v>0</v>
      </c>
      <c r="AN76" s="31"/>
      <c r="AO76" s="16">
        <v>0</v>
      </c>
      <c r="AP76" s="17">
        <v>0</v>
      </c>
      <c r="AQ76" s="13">
        <f>AM76+AO76</f>
        <v>0</v>
      </c>
      <c r="AR76" s="31"/>
      <c r="AS76" s="16">
        <v>0</v>
      </c>
      <c r="AT76" s="17">
        <v>0</v>
      </c>
      <c r="AU76" s="13">
        <f>AQ76+AS76</f>
        <v>0</v>
      </c>
      <c r="AV76" s="31"/>
    </row>
    <row r="77" spans="1:48" x14ac:dyDescent="0.25">
      <c r="A77" s="14" t="s">
        <v>86</v>
      </c>
      <c r="B77" s="15" t="s">
        <v>87</v>
      </c>
      <c r="C77" s="17">
        <v>0</v>
      </c>
      <c r="D77" s="17">
        <v>0</v>
      </c>
      <c r="E77" s="17">
        <f t="shared" si="69"/>
        <v>0</v>
      </c>
      <c r="F77" s="19"/>
      <c r="G77" s="17">
        <v>5800</v>
      </c>
      <c r="H77" s="17">
        <v>0</v>
      </c>
      <c r="I77" s="13">
        <f t="shared" si="78"/>
        <v>5800</v>
      </c>
      <c r="J77" s="16">
        <v>0</v>
      </c>
      <c r="K77" s="17">
        <v>0</v>
      </c>
      <c r="L77" s="13">
        <f>I77+J77</f>
        <v>5800</v>
      </c>
      <c r="M77" s="19"/>
      <c r="N77" s="16">
        <v>1600136</v>
      </c>
      <c r="O77" s="17">
        <v>0</v>
      </c>
      <c r="P77" s="13">
        <f>L77+N77</f>
        <v>1605936</v>
      </c>
      <c r="Q77" s="19"/>
      <c r="R77" s="18">
        <v>5800</v>
      </c>
      <c r="S77" s="17">
        <v>0</v>
      </c>
      <c r="T77" s="17">
        <f t="shared" si="86"/>
        <v>1611736</v>
      </c>
      <c r="U77" s="31"/>
      <c r="V77" s="17">
        <v>0</v>
      </c>
      <c r="W77" s="17">
        <v>0</v>
      </c>
      <c r="X77" s="13">
        <f t="shared" si="87"/>
        <v>1611736</v>
      </c>
      <c r="Y77" s="16">
        <v>5800</v>
      </c>
      <c r="Z77" s="17">
        <v>0</v>
      </c>
      <c r="AA77" s="30">
        <f>X77+Y77</f>
        <v>1617536</v>
      </c>
      <c r="AB77" s="31"/>
      <c r="AC77" s="16">
        <v>5800</v>
      </c>
      <c r="AD77" s="17">
        <v>0</v>
      </c>
      <c r="AE77" s="13">
        <f>AA77+AC77</f>
        <v>1623336</v>
      </c>
      <c r="AF77" s="31"/>
      <c r="AG77" s="139">
        <v>5800</v>
      </c>
      <c r="AH77" s="17">
        <v>0</v>
      </c>
      <c r="AI77" s="13">
        <f>AE77+AG77</f>
        <v>1629136</v>
      </c>
      <c r="AJ77" s="31"/>
      <c r="AK77" s="16">
        <v>5800</v>
      </c>
      <c r="AL77" s="17">
        <v>0</v>
      </c>
      <c r="AM77" s="13">
        <f>AI77+AK77</f>
        <v>1634936</v>
      </c>
      <c r="AN77" s="31"/>
      <c r="AO77" s="16">
        <v>0</v>
      </c>
      <c r="AP77" s="17">
        <v>0</v>
      </c>
      <c r="AQ77" s="13">
        <f>AM77+AO77</f>
        <v>1634936</v>
      </c>
      <c r="AR77" s="31"/>
      <c r="AS77" s="16">
        <v>0</v>
      </c>
      <c r="AT77" s="17">
        <v>0</v>
      </c>
      <c r="AU77" s="13">
        <f>AQ77+AS77</f>
        <v>1634936</v>
      </c>
      <c r="AV77" s="31"/>
    </row>
    <row r="78" spans="1:48" x14ac:dyDescent="0.25">
      <c r="A78" s="14" t="s">
        <v>88</v>
      </c>
      <c r="B78" s="15" t="s">
        <v>89</v>
      </c>
      <c r="C78" s="17">
        <v>0</v>
      </c>
      <c r="D78" s="17">
        <v>0</v>
      </c>
      <c r="E78" s="17">
        <f t="shared" si="69"/>
        <v>0</v>
      </c>
      <c r="F78" s="19"/>
      <c r="G78" s="17">
        <v>0</v>
      </c>
      <c r="H78" s="17">
        <v>0</v>
      </c>
      <c r="I78" s="13">
        <f t="shared" si="78"/>
        <v>0</v>
      </c>
      <c r="J78" s="16">
        <v>0</v>
      </c>
      <c r="K78" s="17">
        <v>0</v>
      </c>
      <c r="L78" s="13">
        <f>I78+J78</f>
        <v>0</v>
      </c>
      <c r="M78" s="19"/>
      <c r="N78" s="16">
        <v>0</v>
      </c>
      <c r="O78" s="17">
        <v>0</v>
      </c>
      <c r="P78" s="13">
        <f>L78+N78</f>
        <v>0</v>
      </c>
      <c r="Q78" s="19"/>
      <c r="R78" s="18">
        <v>0</v>
      </c>
      <c r="S78" s="17">
        <v>0</v>
      </c>
      <c r="T78" s="17">
        <f t="shared" si="86"/>
        <v>0</v>
      </c>
      <c r="U78" s="31"/>
      <c r="V78" s="17">
        <v>0</v>
      </c>
      <c r="W78" s="17">
        <v>0</v>
      </c>
      <c r="X78" s="13">
        <f t="shared" si="87"/>
        <v>0</v>
      </c>
      <c r="Y78" s="16">
        <v>0</v>
      </c>
      <c r="Z78" s="17">
        <v>0</v>
      </c>
      <c r="AA78" s="30">
        <f>X78+Y78</f>
        <v>0</v>
      </c>
      <c r="AB78" s="31"/>
      <c r="AC78" s="16">
        <v>0</v>
      </c>
      <c r="AD78" s="17">
        <v>0</v>
      </c>
      <c r="AE78" s="13">
        <f>AA78+AC78</f>
        <v>0</v>
      </c>
      <c r="AF78" s="31"/>
      <c r="AG78" s="139">
        <v>0</v>
      </c>
      <c r="AH78" s="17">
        <v>0</v>
      </c>
      <c r="AI78" s="13">
        <f>AE78+AG78</f>
        <v>0</v>
      </c>
      <c r="AJ78" s="31"/>
      <c r="AK78" s="16">
        <v>0</v>
      </c>
      <c r="AL78" s="17">
        <v>0</v>
      </c>
      <c r="AM78" s="13">
        <f>AI78+AK78</f>
        <v>0</v>
      </c>
      <c r="AN78" s="31"/>
      <c r="AO78" s="16">
        <v>0</v>
      </c>
      <c r="AP78" s="17">
        <v>0</v>
      </c>
      <c r="AQ78" s="13">
        <f>AM78+AO78</f>
        <v>0</v>
      </c>
      <c r="AR78" s="31"/>
      <c r="AS78" s="16">
        <v>0</v>
      </c>
      <c r="AT78" s="17">
        <v>0</v>
      </c>
      <c r="AU78" s="13">
        <f>AQ78+AS78</f>
        <v>0</v>
      </c>
      <c r="AV78" s="31"/>
    </row>
    <row r="79" spans="1:48" x14ac:dyDescent="0.25">
      <c r="A79" s="14" t="s">
        <v>151</v>
      </c>
      <c r="B79" s="15" t="s">
        <v>73</v>
      </c>
      <c r="C79" s="17">
        <v>0</v>
      </c>
      <c r="D79" s="17">
        <v>0</v>
      </c>
      <c r="E79" s="17">
        <f t="shared" si="69"/>
        <v>0</v>
      </c>
      <c r="F79" s="19"/>
      <c r="G79" s="17">
        <v>0</v>
      </c>
      <c r="H79" s="17">
        <v>0</v>
      </c>
      <c r="I79" s="13">
        <f t="shared" si="78"/>
        <v>0</v>
      </c>
      <c r="J79" s="16">
        <v>0</v>
      </c>
      <c r="K79" s="17">
        <v>0</v>
      </c>
      <c r="L79" s="13">
        <f>I79+J79</f>
        <v>0</v>
      </c>
      <c r="M79" s="19"/>
      <c r="N79" s="16">
        <v>0</v>
      </c>
      <c r="O79" s="17">
        <v>0</v>
      </c>
      <c r="P79" s="13">
        <f>L79+N79</f>
        <v>0</v>
      </c>
      <c r="Q79" s="19"/>
      <c r="R79" s="18">
        <v>0</v>
      </c>
      <c r="S79" s="17">
        <v>0</v>
      </c>
      <c r="T79" s="17">
        <f t="shared" si="86"/>
        <v>0</v>
      </c>
      <c r="U79" s="31"/>
      <c r="V79" s="17">
        <v>0</v>
      </c>
      <c r="W79" s="17">
        <v>0</v>
      </c>
      <c r="X79" s="13">
        <f t="shared" si="87"/>
        <v>0</v>
      </c>
      <c r="Y79" s="16">
        <v>0</v>
      </c>
      <c r="Z79" s="17">
        <v>0</v>
      </c>
      <c r="AA79" s="30">
        <f>X79+Y79</f>
        <v>0</v>
      </c>
      <c r="AB79" s="31"/>
      <c r="AC79" s="16">
        <v>0</v>
      </c>
      <c r="AD79" s="17">
        <v>0</v>
      </c>
      <c r="AE79" s="13">
        <f>AA79+AC79</f>
        <v>0</v>
      </c>
      <c r="AF79" s="31"/>
      <c r="AG79" s="139">
        <v>0</v>
      </c>
      <c r="AH79" s="17">
        <v>0</v>
      </c>
      <c r="AI79" s="13">
        <f>AE79+AG79</f>
        <v>0</v>
      </c>
      <c r="AJ79" s="31"/>
      <c r="AK79" s="16">
        <v>16800</v>
      </c>
      <c r="AL79" s="17">
        <v>0</v>
      </c>
      <c r="AM79" s="13">
        <f>AI79+AK79</f>
        <v>16800</v>
      </c>
      <c r="AN79" s="31"/>
      <c r="AO79" s="16">
        <v>0</v>
      </c>
      <c r="AP79" s="17">
        <v>0</v>
      </c>
      <c r="AQ79" s="13">
        <f>AM79+AO79</f>
        <v>16800</v>
      </c>
      <c r="AR79" s="31"/>
      <c r="AS79" s="16">
        <v>0</v>
      </c>
      <c r="AT79" s="17">
        <v>0</v>
      </c>
      <c r="AU79" s="13">
        <f>AQ79+AS79</f>
        <v>16800</v>
      </c>
      <c r="AV79" s="31"/>
    </row>
    <row r="80" spans="1:48" x14ac:dyDescent="0.25">
      <c r="A80" s="14"/>
      <c r="B80" s="15"/>
      <c r="C80" s="17"/>
      <c r="D80" s="17"/>
      <c r="E80" s="17">
        <f t="shared" si="69"/>
        <v>0</v>
      </c>
      <c r="F80" s="31"/>
      <c r="G80" s="17"/>
      <c r="H80" s="17"/>
      <c r="I80" s="13"/>
      <c r="J80" s="16"/>
      <c r="K80" s="17"/>
      <c r="L80" s="13"/>
      <c r="M80" s="31"/>
      <c r="N80" s="16"/>
      <c r="O80" s="17"/>
      <c r="P80" s="13"/>
      <c r="Q80" s="31"/>
      <c r="R80" s="18"/>
      <c r="S80" s="17"/>
      <c r="T80" s="17">
        <f t="shared" si="86"/>
        <v>0</v>
      </c>
      <c r="U80" s="31"/>
      <c r="V80" s="17"/>
      <c r="W80" s="17"/>
      <c r="X80" s="13"/>
      <c r="Y80" s="16"/>
      <c r="Z80" s="17"/>
      <c r="AA80" s="30"/>
      <c r="AB80" s="31"/>
      <c r="AC80" s="16"/>
      <c r="AD80" s="17"/>
      <c r="AE80" s="13"/>
      <c r="AF80" s="31"/>
      <c r="AG80" s="139"/>
      <c r="AH80" s="17"/>
      <c r="AI80" s="13"/>
      <c r="AJ80" s="31"/>
      <c r="AK80" s="16"/>
      <c r="AL80" s="17"/>
      <c r="AM80" s="13"/>
      <c r="AN80" s="31"/>
      <c r="AO80" s="16"/>
      <c r="AP80" s="17"/>
      <c r="AQ80" s="13"/>
      <c r="AR80" s="31"/>
      <c r="AS80" s="16"/>
      <c r="AT80" s="17"/>
      <c r="AU80" s="13"/>
      <c r="AV80" s="31"/>
    </row>
    <row r="81" spans="1:48" x14ac:dyDescent="0.25">
      <c r="A81" s="14" t="s">
        <v>90</v>
      </c>
      <c r="B81" s="15" t="s">
        <v>91</v>
      </c>
      <c r="C81" s="17">
        <f>+C82+C83+C84+C85</f>
        <v>283680</v>
      </c>
      <c r="D81" s="17">
        <v>0</v>
      </c>
      <c r="E81" s="17">
        <f t="shared" si="69"/>
        <v>283680</v>
      </c>
      <c r="F81" s="19"/>
      <c r="G81" s="17">
        <f>G82+G83+G85</f>
        <v>506400</v>
      </c>
      <c r="H81" s="17">
        <v>0</v>
      </c>
      <c r="I81" s="13">
        <f t="shared" si="78"/>
        <v>790080</v>
      </c>
      <c r="J81" s="16">
        <f>+J82+J83+J84+J85</f>
        <v>160403</v>
      </c>
      <c r="K81" s="17">
        <v>0</v>
      </c>
      <c r="L81" s="13">
        <f>I81+J81</f>
        <v>950483</v>
      </c>
      <c r="M81" s="19"/>
      <c r="N81" s="16">
        <f>+N82+N83+N84+N85</f>
        <v>929362</v>
      </c>
      <c r="O81" s="17">
        <v>0</v>
      </c>
      <c r="P81" s="13">
        <f>L81+N81</f>
        <v>1879845</v>
      </c>
      <c r="Q81" s="19"/>
      <c r="R81" s="18">
        <f>+R82+R83+R84+R85</f>
        <v>244500</v>
      </c>
      <c r="S81" s="17">
        <v>0</v>
      </c>
      <c r="T81" s="17">
        <f t="shared" si="86"/>
        <v>2124345</v>
      </c>
      <c r="U81" s="31"/>
      <c r="V81" s="17">
        <f>V82+V83+V85</f>
        <v>120000</v>
      </c>
      <c r="W81" s="17">
        <v>0</v>
      </c>
      <c r="X81" s="13">
        <f t="shared" ref="X81:X85" si="88">T81+V81</f>
        <v>2244345</v>
      </c>
      <c r="Y81" s="16">
        <f>+Y82+Y83+Y84+Y85</f>
        <v>263626</v>
      </c>
      <c r="Z81" s="17">
        <v>0</v>
      </c>
      <c r="AA81" s="30">
        <f>X81+Y81</f>
        <v>2507971</v>
      </c>
      <c r="AB81" s="31"/>
      <c r="AC81" s="16">
        <f>+AC82+AC83+AC84+AC85</f>
        <v>1332622</v>
      </c>
      <c r="AD81" s="17">
        <v>0</v>
      </c>
      <c r="AE81" s="13">
        <f>AA81+AC81</f>
        <v>3840593</v>
      </c>
      <c r="AF81" s="31"/>
      <c r="AG81" s="139">
        <f>+AG82+AG83+AG84+AG85</f>
        <v>1005135</v>
      </c>
      <c r="AH81" s="17">
        <v>0</v>
      </c>
      <c r="AI81" s="13">
        <f>AE81+AG81</f>
        <v>4845728</v>
      </c>
      <c r="AJ81" s="31"/>
      <c r="AK81" s="16">
        <f>+AK82+AK83+AK84+AK85</f>
        <v>1377272</v>
      </c>
      <c r="AL81" s="17">
        <v>0</v>
      </c>
      <c r="AM81" s="13">
        <f>AI81+AK81</f>
        <v>6223000</v>
      </c>
      <c r="AN81" s="31"/>
      <c r="AO81" s="16">
        <f>+AO82+AO83+AO84+AO85</f>
        <v>198886</v>
      </c>
      <c r="AP81" s="17">
        <v>0</v>
      </c>
      <c r="AQ81" s="13">
        <f>AM81+AO81</f>
        <v>6421886</v>
      </c>
      <c r="AR81" s="31"/>
      <c r="AS81" s="16">
        <f>+AS82+AS83+AS84+AS85</f>
        <v>82142</v>
      </c>
      <c r="AT81" s="17">
        <v>0</v>
      </c>
      <c r="AU81" s="13">
        <f>AQ81+AS81</f>
        <v>6504028</v>
      </c>
      <c r="AV81" s="31"/>
    </row>
    <row r="82" spans="1:48" x14ac:dyDescent="0.25">
      <c r="A82" s="14" t="s">
        <v>92</v>
      </c>
      <c r="B82" s="15" t="s">
        <v>93</v>
      </c>
      <c r="C82" s="17">
        <v>208680</v>
      </c>
      <c r="D82" s="17">
        <v>0</v>
      </c>
      <c r="E82" s="17">
        <f t="shared" si="69"/>
        <v>208680</v>
      </c>
      <c r="F82" s="19"/>
      <c r="G82" s="17">
        <v>506400</v>
      </c>
      <c r="H82" s="17">
        <v>0</v>
      </c>
      <c r="I82" s="13">
        <f t="shared" si="78"/>
        <v>715080</v>
      </c>
      <c r="J82" s="16">
        <v>1600</v>
      </c>
      <c r="K82" s="17">
        <v>0</v>
      </c>
      <c r="L82" s="13">
        <f>I82+J82</f>
        <v>716680</v>
      </c>
      <c r="M82" s="19"/>
      <c r="N82" s="16">
        <v>214118</v>
      </c>
      <c r="O82" s="17">
        <v>0</v>
      </c>
      <c r="P82" s="13">
        <f>L82+N82</f>
        <v>930798</v>
      </c>
      <c r="Q82" s="19"/>
      <c r="R82" s="18">
        <v>184500</v>
      </c>
      <c r="S82" s="17">
        <v>0</v>
      </c>
      <c r="T82" s="17">
        <f t="shared" si="86"/>
        <v>1115298</v>
      </c>
      <c r="U82" s="31"/>
      <c r="V82" s="17">
        <v>120000</v>
      </c>
      <c r="W82" s="17">
        <v>0</v>
      </c>
      <c r="X82" s="13">
        <f t="shared" si="88"/>
        <v>1235298</v>
      </c>
      <c r="Y82" s="16">
        <v>263626</v>
      </c>
      <c r="Z82" s="17">
        <v>0</v>
      </c>
      <c r="AA82" s="30">
        <f>X82+Y82</f>
        <v>1498924</v>
      </c>
      <c r="AB82" s="31"/>
      <c r="AC82" s="16">
        <v>1124622</v>
      </c>
      <c r="AD82" s="17">
        <v>0</v>
      </c>
      <c r="AE82" s="13">
        <f>AA82+AC82</f>
        <v>2623546</v>
      </c>
      <c r="AF82" s="31"/>
      <c r="AG82" s="139">
        <v>3500</v>
      </c>
      <c r="AH82" s="17">
        <v>0</v>
      </c>
      <c r="AI82" s="13">
        <f>AE82+AG82</f>
        <v>2627046</v>
      </c>
      <c r="AJ82" s="31"/>
      <c r="AK82" s="16">
        <v>1113491</v>
      </c>
      <c r="AL82" s="17">
        <v>0</v>
      </c>
      <c r="AM82" s="13">
        <f>AI82+AK82</f>
        <v>3740537</v>
      </c>
      <c r="AN82" s="31"/>
      <c r="AO82" s="16">
        <v>183886</v>
      </c>
      <c r="AP82" s="17">
        <v>0</v>
      </c>
      <c r="AQ82" s="13">
        <f>AM82+AO82</f>
        <v>3924423</v>
      </c>
      <c r="AR82" s="31"/>
      <c r="AS82" s="16">
        <v>82142</v>
      </c>
      <c r="AT82" s="17">
        <v>0</v>
      </c>
      <c r="AU82" s="13">
        <f>AQ82+AS82</f>
        <v>4006565</v>
      </c>
      <c r="AV82" s="31"/>
    </row>
    <row r="83" spans="1:48" x14ac:dyDescent="0.25">
      <c r="A83" s="14" t="s">
        <v>94</v>
      </c>
      <c r="B83" s="15" t="s">
        <v>95</v>
      </c>
      <c r="C83" s="17">
        <v>0</v>
      </c>
      <c r="D83" s="17">
        <v>0</v>
      </c>
      <c r="E83" s="17">
        <f t="shared" si="69"/>
        <v>0</v>
      </c>
      <c r="F83" s="19"/>
      <c r="G83" s="17">
        <v>0</v>
      </c>
      <c r="H83" s="17">
        <v>0</v>
      </c>
      <c r="I83" s="13">
        <f t="shared" si="78"/>
        <v>0</v>
      </c>
      <c r="J83" s="16">
        <v>120190</v>
      </c>
      <c r="K83" s="17">
        <v>0</v>
      </c>
      <c r="L83" s="13">
        <f>I83+J83</f>
        <v>120190</v>
      </c>
      <c r="M83" s="19"/>
      <c r="N83" s="16">
        <v>0</v>
      </c>
      <c r="O83" s="17">
        <v>0</v>
      </c>
      <c r="P83" s="13">
        <f>L83+N83</f>
        <v>120190</v>
      </c>
      <c r="Q83" s="19"/>
      <c r="R83" s="18">
        <v>0</v>
      </c>
      <c r="S83" s="17">
        <v>0</v>
      </c>
      <c r="T83" s="17">
        <f t="shared" si="86"/>
        <v>120190</v>
      </c>
      <c r="U83" s="31"/>
      <c r="V83" s="17">
        <v>0</v>
      </c>
      <c r="W83" s="17">
        <v>0</v>
      </c>
      <c r="X83" s="13">
        <f t="shared" si="88"/>
        <v>120190</v>
      </c>
      <c r="Y83" s="16">
        <v>0</v>
      </c>
      <c r="Z83" s="17">
        <v>0</v>
      </c>
      <c r="AA83" s="30">
        <v>120180</v>
      </c>
      <c r="AB83" s="31"/>
      <c r="AC83" s="16">
        <v>0</v>
      </c>
      <c r="AD83" s="17">
        <v>0</v>
      </c>
      <c r="AE83" s="13">
        <f>AA83+AC83</f>
        <v>120180</v>
      </c>
      <c r="AF83" s="31"/>
      <c r="AG83" s="139">
        <v>0</v>
      </c>
      <c r="AH83" s="17">
        <v>0</v>
      </c>
      <c r="AI83" s="13">
        <f>AE83+AG83</f>
        <v>120180</v>
      </c>
      <c r="AJ83" s="31"/>
      <c r="AK83" s="16">
        <v>35714</v>
      </c>
      <c r="AL83" s="17">
        <v>0</v>
      </c>
      <c r="AM83" s="13">
        <f>AI83+AK83</f>
        <v>155894</v>
      </c>
      <c r="AN83" s="31"/>
      <c r="AO83" s="16">
        <v>0</v>
      </c>
      <c r="AP83" s="17">
        <v>0</v>
      </c>
      <c r="AQ83" s="13">
        <f>AM83+AO83</f>
        <v>155894</v>
      </c>
      <c r="AR83" s="31"/>
      <c r="AS83" s="16">
        <v>0</v>
      </c>
      <c r="AT83" s="17">
        <v>0</v>
      </c>
      <c r="AU83" s="13">
        <f>AQ83+AS83</f>
        <v>155894</v>
      </c>
      <c r="AV83" s="31"/>
    </row>
    <row r="84" spans="1:48" ht="21" customHeight="1" x14ac:dyDescent="0.25">
      <c r="A84" s="14" t="s">
        <v>152</v>
      </c>
      <c r="B84" s="15" t="s">
        <v>143</v>
      </c>
      <c r="C84" s="17">
        <v>0</v>
      </c>
      <c r="D84" s="17">
        <v>0</v>
      </c>
      <c r="E84" s="17">
        <f t="shared" si="69"/>
        <v>0</v>
      </c>
      <c r="F84" s="19"/>
      <c r="G84" s="17">
        <v>0</v>
      </c>
      <c r="H84" s="17">
        <v>0</v>
      </c>
      <c r="I84" s="13">
        <f t="shared" si="78"/>
        <v>0</v>
      </c>
      <c r="J84" s="16">
        <v>0</v>
      </c>
      <c r="K84" s="17">
        <v>0</v>
      </c>
      <c r="L84" s="13">
        <f>I84+J84</f>
        <v>0</v>
      </c>
      <c r="M84" s="19"/>
      <c r="N84" s="16">
        <v>0</v>
      </c>
      <c r="O84" s="17">
        <v>0</v>
      </c>
      <c r="P84" s="13">
        <f>L84+N84</f>
        <v>0</v>
      </c>
      <c r="Q84" s="19"/>
      <c r="R84" s="18">
        <v>60000</v>
      </c>
      <c r="S84" s="17">
        <v>0</v>
      </c>
      <c r="T84" s="17">
        <f t="shared" si="86"/>
        <v>60000</v>
      </c>
      <c r="U84" s="31"/>
      <c r="V84" s="17">
        <v>0</v>
      </c>
      <c r="W84" s="17">
        <v>0</v>
      </c>
      <c r="X84" s="13">
        <f t="shared" si="88"/>
        <v>60000</v>
      </c>
      <c r="Y84" s="16">
        <v>0</v>
      </c>
      <c r="Z84" s="17">
        <v>0</v>
      </c>
      <c r="AA84" s="30">
        <f>X84+Y84</f>
        <v>60000</v>
      </c>
      <c r="AB84" s="31"/>
      <c r="AC84" s="16">
        <v>0</v>
      </c>
      <c r="AD84" s="17">
        <v>0</v>
      </c>
      <c r="AE84" s="13">
        <f>AA84+AC84</f>
        <v>60000</v>
      </c>
      <c r="AF84" s="31"/>
      <c r="AG84" s="139">
        <v>332521</v>
      </c>
      <c r="AH84" s="17">
        <v>0</v>
      </c>
      <c r="AI84" s="13">
        <f>AE84+AG84</f>
        <v>392521</v>
      </c>
      <c r="AJ84" s="31"/>
      <c r="AK84" s="16">
        <v>50000</v>
      </c>
      <c r="AL84" s="17">
        <v>0</v>
      </c>
      <c r="AM84" s="13">
        <f>AI84+AK84</f>
        <v>442521</v>
      </c>
      <c r="AN84" s="31"/>
      <c r="AO84" s="16">
        <v>0</v>
      </c>
      <c r="AP84" s="17">
        <v>0</v>
      </c>
      <c r="AQ84" s="13">
        <f>AM84+AO84</f>
        <v>442521</v>
      </c>
      <c r="AR84" s="31"/>
      <c r="AS84" s="16">
        <v>0</v>
      </c>
      <c r="AT84" s="17">
        <v>0</v>
      </c>
      <c r="AU84" s="13">
        <f>AQ84+AS84</f>
        <v>442521</v>
      </c>
      <c r="AV84" s="31"/>
    </row>
    <row r="85" spans="1:48" x14ac:dyDescent="0.25">
      <c r="A85" s="14" t="s">
        <v>96</v>
      </c>
      <c r="B85" s="15" t="s">
        <v>97</v>
      </c>
      <c r="C85" s="17">
        <v>75000</v>
      </c>
      <c r="D85" s="17">
        <v>0</v>
      </c>
      <c r="E85" s="17">
        <f t="shared" si="69"/>
        <v>75000</v>
      </c>
      <c r="F85" s="19"/>
      <c r="G85" s="17">
        <v>0</v>
      </c>
      <c r="H85" s="17">
        <v>0</v>
      </c>
      <c r="I85" s="13">
        <f t="shared" si="78"/>
        <v>75000</v>
      </c>
      <c r="J85" s="16">
        <v>38613</v>
      </c>
      <c r="K85" s="17">
        <v>0</v>
      </c>
      <c r="L85" s="13">
        <f>I85+J85</f>
        <v>113613</v>
      </c>
      <c r="M85" s="19"/>
      <c r="N85" s="16">
        <v>715244</v>
      </c>
      <c r="O85" s="17">
        <v>0</v>
      </c>
      <c r="P85" s="13">
        <f>L85+N85</f>
        <v>828857</v>
      </c>
      <c r="Q85" s="19"/>
      <c r="R85" s="18">
        <v>0</v>
      </c>
      <c r="S85" s="17">
        <v>0</v>
      </c>
      <c r="T85" s="17">
        <f t="shared" si="86"/>
        <v>828857</v>
      </c>
      <c r="U85" s="31"/>
      <c r="V85" s="17">
        <v>0</v>
      </c>
      <c r="W85" s="17">
        <v>0</v>
      </c>
      <c r="X85" s="13">
        <f t="shared" si="88"/>
        <v>828857</v>
      </c>
      <c r="Y85" s="16">
        <v>0</v>
      </c>
      <c r="Z85" s="17">
        <v>0</v>
      </c>
      <c r="AA85" s="30">
        <f>X85+Y85</f>
        <v>828857</v>
      </c>
      <c r="AB85" s="31"/>
      <c r="AC85" s="16">
        <v>208000</v>
      </c>
      <c r="AD85" s="17">
        <v>0</v>
      </c>
      <c r="AE85" s="13">
        <f>AA85+AC85</f>
        <v>1036857</v>
      </c>
      <c r="AF85" s="31"/>
      <c r="AG85" s="139">
        <v>669114</v>
      </c>
      <c r="AH85" s="17">
        <v>0</v>
      </c>
      <c r="AI85" s="13">
        <f>AE85+AG85</f>
        <v>1705971</v>
      </c>
      <c r="AJ85" s="31"/>
      <c r="AK85" s="16">
        <v>178067</v>
      </c>
      <c r="AL85" s="17">
        <v>0</v>
      </c>
      <c r="AM85" s="13">
        <f>AI85+AK85</f>
        <v>1884038</v>
      </c>
      <c r="AN85" s="31"/>
      <c r="AO85" s="16">
        <v>15000</v>
      </c>
      <c r="AP85" s="17">
        <v>0</v>
      </c>
      <c r="AQ85" s="13">
        <f>AM85+AO85</f>
        <v>1899038</v>
      </c>
      <c r="AR85" s="31"/>
      <c r="AS85" s="16">
        <v>0</v>
      </c>
      <c r="AT85" s="17">
        <v>0</v>
      </c>
      <c r="AU85" s="13">
        <f>AQ85+AS85</f>
        <v>1899038</v>
      </c>
      <c r="AV85" s="31"/>
    </row>
    <row r="86" spans="1:48" x14ac:dyDescent="0.25">
      <c r="E86" s="17">
        <f t="shared" si="69"/>
        <v>0</v>
      </c>
      <c r="R86" s="138"/>
      <c r="T86" s="17">
        <f t="shared" si="86"/>
        <v>0</v>
      </c>
    </row>
    <row r="87" spans="1:48" x14ac:dyDescent="0.25">
      <c r="A87" s="14" t="s">
        <v>98</v>
      </c>
      <c r="B87" s="15" t="s">
        <v>99</v>
      </c>
      <c r="C87" s="17">
        <f>+C88+C89+C90+C91</f>
        <v>12000</v>
      </c>
      <c r="D87" s="17">
        <v>0</v>
      </c>
      <c r="E87" s="17">
        <f t="shared" si="69"/>
        <v>12000</v>
      </c>
      <c r="F87" s="19"/>
      <c r="G87" s="17">
        <f>+G88+G89+G90+G91</f>
        <v>9600</v>
      </c>
      <c r="H87" s="17">
        <v>0</v>
      </c>
      <c r="I87" s="13">
        <f t="shared" si="78"/>
        <v>21600</v>
      </c>
      <c r="J87" s="16">
        <f>+J88+J89+J90</f>
        <v>12400</v>
      </c>
      <c r="K87" s="17">
        <v>0</v>
      </c>
      <c r="L87" s="13">
        <f>I87+J87</f>
        <v>34000</v>
      </c>
      <c r="M87" s="19"/>
      <c r="N87" s="16">
        <f>N91</f>
        <v>0</v>
      </c>
      <c r="O87" s="17">
        <v>0</v>
      </c>
      <c r="P87" s="13">
        <f>L87+N87</f>
        <v>34000</v>
      </c>
      <c r="Q87" s="19"/>
      <c r="R87" s="18">
        <v>0</v>
      </c>
      <c r="S87" s="17">
        <v>0</v>
      </c>
      <c r="T87" s="17">
        <f t="shared" si="86"/>
        <v>34000</v>
      </c>
      <c r="U87" s="31"/>
      <c r="V87" s="17">
        <f>+V88+V89+V90+V91</f>
        <v>62200</v>
      </c>
      <c r="W87" s="17">
        <v>0</v>
      </c>
      <c r="X87" s="13">
        <f t="shared" ref="X87:X91" si="89">T87+V87</f>
        <v>96200</v>
      </c>
      <c r="Y87" s="16">
        <f>+Y88+Y89+Y90</f>
        <v>0</v>
      </c>
      <c r="Z87" s="17">
        <v>0</v>
      </c>
      <c r="AA87" s="30">
        <f>X87+Y87</f>
        <v>96200</v>
      </c>
      <c r="AB87" s="31"/>
      <c r="AC87" s="16">
        <f>+AC88+AC89+AC90+AC91</f>
        <v>25000</v>
      </c>
      <c r="AD87" s="17">
        <v>0</v>
      </c>
      <c r="AE87" s="13">
        <f>AA87+AC87</f>
        <v>121200</v>
      </c>
      <c r="AF87" s="31"/>
      <c r="AG87" s="139">
        <f>+AG88+AG89+AG90+AG91</f>
        <v>241765</v>
      </c>
      <c r="AH87" s="17">
        <v>0</v>
      </c>
      <c r="AI87" s="13">
        <f>AE87+AG87</f>
        <v>362965</v>
      </c>
      <c r="AJ87" s="31"/>
      <c r="AK87" s="16">
        <f>+AK88+AK89+AK90+AK91</f>
        <v>0</v>
      </c>
      <c r="AL87" s="17">
        <v>0</v>
      </c>
      <c r="AM87" s="13">
        <f>AI87+AK87</f>
        <v>362965</v>
      </c>
      <c r="AN87" s="31"/>
      <c r="AO87" s="16">
        <f>+AO88+AO89+AO90+AO91</f>
        <v>71009</v>
      </c>
      <c r="AP87" s="17">
        <v>0</v>
      </c>
      <c r="AQ87" s="13">
        <f>AM87+AO87</f>
        <v>433974</v>
      </c>
      <c r="AR87" s="31"/>
      <c r="AS87" s="16">
        <f>+AS88+AS89+AS90+AS91</f>
        <v>176143</v>
      </c>
      <c r="AT87" s="17">
        <v>0</v>
      </c>
      <c r="AU87" s="13">
        <f>AQ87+AS87</f>
        <v>610117</v>
      </c>
      <c r="AV87" s="31"/>
    </row>
    <row r="88" spans="1:48" x14ac:dyDescent="0.25">
      <c r="A88" s="14">
        <v>515005</v>
      </c>
      <c r="B88" s="15" t="s">
        <v>166</v>
      </c>
      <c r="C88" s="17">
        <v>0</v>
      </c>
      <c r="D88" s="17">
        <v>0</v>
      </c>
      <c r="E88" s="17">
        <f t="shared" si="69"/>
        <v>0</v>
      </c>
      <c r="F88" s="19"/>
      <c r="G88" s="17">
        <v>0</v>
      </c>
      <c r="H88" s="17">
        <v>0</v>
      </c>
      <c r="I88" s="13">
        <f t="shared" si="78"/>
        <v>0</v>
      </c>
      <c r="J88" s="16">
        <v>0</v>
      </c>
      <c r="K88" s="17">
        <v>0</v>
      </c>
      <c r="L88" s="13">
        <f>I88+J88</f>
        <v>0</v>
      </c>
      <c r="M88" s="19"/>
      <c r="N88" s="16">
        <v>0</v>
      </c>
      <c r="O88" s="17">
        <v>0</v>
      </c>
      <c r="P88" s="13">
        <f>L88+N88</f>
        <v>0</v>
      </c>
      <c r="Q88" s="19"/>
      <c r="R88" s="18">
        <v>0</v>
      </c>
      <c r="S88" s="17">
        <v>0</v>
      </c>
      <c r="T88" s="17">
        <f t="shared" si="86"/>
        <v>0</v>
      </c>
      <c r="U88" s="31"/>
      <c r="V88" s="17">
        <v>0</v>
      </c>
      <c r="W88" s="17">
        <v>0</v>
      </c>
      <c r="X88" s="13">
        <f t="shared" si="89"/>
        <v>0</v>
      </c>
      <c r="Y88" s="16">
        <v>0</v>
      </c>
      <c r="Z88" s="17">
        <v>0</v>
      </c>
      <c r="AA88" s="30">
        <f>X88+Y88</f>
        <v>0</v>
      </c>
      <c r="AB88" s="31"/>
      <c r="AC88" s="16">
        <v>0</v>
      </c>
      <c r="AD88" s="17">
        <v>0</v>
      </c>
      <c r="AE88" s="13">
        <f>AA88+AC88</f>
        <v>0</v>
      </c>
      <c r="AF88" s="31"/>
      <c r="AG88" s="139">
        <v>0</v>
      </c>
      <c r="AH88" s="17">
        <v>0</v>
      </c>
      <c r="AI88" s="13">
        <f>AE88+AG88</f>
        <v>0</v>
      </c>
      <c r="AJ88" s="31"/>
      <c r="AK88" s="16">
        <v>0</v>
      </c>
      <c r="AL88" s="17">
        <v>0</v>
      </c>
      <c r="AM88" s="13">
        <f>AI88+AK88</f>
        <v>0</v>
      </c>
      <c r="AN88" s="31"/>
      <c r="AO88" s="16">
        <v>0</v>
      </c>
      <c r="AP88" s="17">
        <v>0</v>
      </c>
      <c r="AQ88" s="13">
        <f>AM88+AO88</f>
        <v>0</v>
      </c>
      <c r="AR88" s="31"/>
      <c r="AS88" s="16">
        <v>0</v>
      </c>
      <c r="AT88" s="17">
        <v>0</v>
      </c>
      <c r="AU88" s="13">
        <f>AQ88+AS88</f>
        <v>0</v>
      </c>
      <c r="AV88" s="31"/>
    </row>
    <row r="89" spans="1:48" x14ac:dyDescent="0.25">
      <c r="A89" s="14">
        <v>515010</v>
      </c>
      <c r="B89" s="15" t="s">
        <v>167</v>
      </c>
      <c r="C89" s="17">
        <v>0</v>
      </c>
      <c r="D89" s="17">
        <v>0</v>
      </c>
      <c r="E89" s="17">
        <f t="shared" si="69"/>
        <v>0</v>
      </c>
      <c r="F89" s="19"/>
      <c r="G89" s="17">
        <v>0</v>
      </c>
      <c r="H89" s="17">
        <v>0</v>
      </c>
      <c r="I89" s="13">
        <f t="shared" si="78"/>
        <v>0</v>
      </c>
      <c r="J89" s="16">
        <v>0</v>
      </c>
      <c r="K89" s="17">
        <v>0</v>
      </c>
      <c r="L89" s="13">
        <f>I89+J89</f>
        <v>0</v>
      </c>
      <c r="M89" s="19"/>
      <c r="N89" s="16">
        <v>0</v>
      </c>
      <c r="O89" s="17">
        <v>0</v>
      </c>
      <c r="P89" s="13">
        <f>L89+N89</f>
        <v>0</v>
      </c>
      <c r="Q89" s="19"/>
      <c r="R89" s="18">
        <v>0</v>
      </c>
      <c r="S89" s="17">
        <v>0</v>
      </c>
      <c r="T89" s="17">
        <f t="shared" si="86"/>
        <v>0</v>
      </c>
      <c r="U89" s="31"/>
      <c r="V89" s="17">
        <v>0</v>
      </c>
      <c r="W89" s="17">
        <v>0</v>
      </c>
      <c r="X89" s="13">
        <f t="shared" si="89"/>
        <v>0</v>
      </c>
      <c r="Y89" s="16">
        <v>0</v>
      </c>
      <c r="Z89" s="17">
        <v>0</v>
      </c>
      <c r="AA89" s="30">
        <f>X89+Y89</f>
        <v>0</v>
      </c>
      <c r="AB89" s="31"/>
      <c r="AC89" s="16">
        <v>0</v>
      </c>
      <c r="AD89" s="17">
        <v>0</v>
      </c>
      <c r="AE89" s="13">
        <f>AA89+AC89</f>
        <v>0</v>
      </c>
      <c r="AF89" s="31"/>
      <c r="AG89" s="139">
        <v>0</v>
      </c>
      <c r="AH89" s="17">
        <v>0</v>
      </c>
      <c r="AI89" s="13">
        <f>AE89+AG89</f>
        <v>0</v>
      </c>
      <c r="AJ89" s="31"/>
      <c r="AK89" s="16">
        <v>0</v>
      </c>
      <c r="AL89" s="17">
        <v>0</v>
      </c>
      <c r="AM89" s="13">
        <f>AI89+AK89</f>
        <v>0</v>
      </c>
      <c r="AN89" s="31"/>
      <c r="AO89" s="16">
        <v>0</v>
      </c>
      <c r="AP89" s="17">
        <v>0</v>
      </c>
      <c r="AQ89" s="13">
        <f>AM89+AO89</f>
        <v>0</v>
      </c>
      <c r="AR89" s="31"/>
      <c r="AS89" s="16">
        <v>0</v>
      </c>
      <c r="AT89" s="17">
        <v>0</v>
      </c>
      <c r="AU89" s="13">
        <f>AQ89+AS89</f>
        <v>0</v>
      </c>
      <c r="AV89" s="31"/>
    </row>
    <row r="90" spans="1:48" x14ac:dyDescent="0.25">
      <c r="A90" s="14">
        <v>515015</v>
      </c>
      <c r="B90" s="15" t="s">
        <v>168</v>
      </c>
      <c r="C90" s="17">
        <v>12000</v>
      </c>
      <c r="D90" s="17">
        <v>0</v>
      </c>
      <c r="E90" s="17">
        <f t="shared" si="69"/>
        <v>12000</v>
      </c>
      <c r="F90" s="19"/>
      <c r="G90" s="17">
        <v>9600</v>
      </c>
      <c r="H90" s="17">
        <v>0</v>
      </c>
      <c r="I90" s="13">
        <f t="shared" si="78"/>
        <v>21600</v>
      </c>
      <c r="J90" s="16">
        <v>12400</v>
      </c>
      <c r="K90" s="17">
        <v>0</v>
      </c>
      <c r="L90" s="13">
        <f>I90+J90</f>
        <v>34000</v>
      </c>
      <c r="M90" s="19"/>
      <c r="N90" s="16">
        <v>0</v>
      </c>
      <c r="O90" s="17">
        <v>0</v>
      </c>
      <c r="P90" s="13">
        <f>L90+N90</f>
        <v>34000</v>
      </c>
      <c r="Q90" s="19"/>
      <c r="R90" s="18">
        <v>0</v>
      </c>
      <c r="S90" s="17">
        <v>0</v>
      </c>
      <c r="T90" s="17">
        <f t="shared" si="86"/>
        <v>34000</v>
      </c>
      <c r="U90" s="31"/>
      <c r="V90" s="17">
        <v>62200</v>
      </c>
      <c r="W90" s="17">
        <v>0</v>
      </c>
      <c r="X90" s="13">
        <f t="shared" si="89"/>
        <v>96200</v>
      </c>
      <c r="Y90" s="16">
        <v>0</v>
      </c>
      <c r="Z90" s="17">
        <v>0</v>
      </c>
      <c r="AA90" s="30">
        <f>X90+Y90</f>
        <v>96200</v>
      </c>
      <c r="AB90" s="31"/>
      <c r="AC90" s="16">
        <v>25000</v>
      </c>
      <c r="AD90" s="17">
        <v>0</v>
      </c>
      <c r="AE90" s="13">
        <f>AA90+AC90</f>
        <v>121200</v>
      </c>
      <c r="AF90" s="31"/>
      <c r="AG90" s="139">
        <v>241765</v>
      </c>
      <c r="AH90" s="17">
        <v>0</v>
      </c>
      <c r="AI90" s="13">
        <f>AE90+AG90</f>
        <v>362965</v>
      </c>
      <c r="AJ90" s="31"/>
      <c r="AK90" s="16">
        <v>0</v>
      </c>
      <c r="AL90" s="17">
        <v>0</v>
      </c>
      <c r="AM90" s="13">
        <f>AI90+AK90</f>
        <v>362965</v>
      </c>
      <c r="AN90" s="31"/>
      <c r="AO90" s="16">
        <v>71009</v>
      </c>
      <c r="AP90" s="17">
        <v>0</v>
      </c>
      <c r="AQ90" s="13">
        <f>AM90+AO90</f>
        <v>433974</v>
      </c>
      <c r="AR90" s="31"/>
      <c r="AS90" s="16">
        <v>176143</v>
      </c>
      <c r="AT90" s="17">
        <v>0</v>
      </c>
      <c r="AU90" s="13">
        <f>AQ90+AS90</f>
        <v>610117</v>
      </c>
      <c r="AV90" s="31"/>
    </row>
    <row r="91" spans="1:48" x14ac:dyDescent="0.25">
      <c r="A91" s="14" t="s">
        <v>100</v>
      </c>
      <c r="B91" s="15" t="s">
        <v>73</v>
      </c>
      <c r="C91" s="17">
        <v>0</v>
      </c>
      <c r="D91" s="17">
        <v>0</v>
      </c>
      <c r="E91" s="17">
        <f t="shared" si="69"/>
        <v>0</v>
      </c>
      <c r="F91" s="19"/>
      <c r="G91" s="17">
        <v>0</v>
      </c>
      <c r="H91" s="17">
        <v>0</v>
      </c>
      <c r="I91" s="13">
        <f t="shared" si="78"/>
        <v>0</v>
      </c>
      <c r="J91" s="16">
        <v>0</v>
      </c>
      <c r="K91" s="17">
        <v>0</v>
      </c>
      <c r="L91" s="13">
        <f>I91+J91</f>
        <v>0</v>
      </c>
      <c r="M91" s="19"/>
      <c r="N91" s="16">
        <v>0</v>
      </c>
      <c r="O91" s="17">
        <v>0</v>
      </c>
      <c r="P91" s="13">
        <f>L91+N91</f>
        <v>0</v>
      </c>
      <c r="Q91" s="19"/>
      <c r="R91" s="18">
        <v>0</v>
      </c>
      <c r="S91" s="17">
        <v>0</v>
      </c>
      <c r="T91" s="17">
        <f t="shared" si="86"/>
        <v>0</v>
      </c>
      <c r="U91" s="31"/>
      <c r="V91" s="17">
        <v>0</v>
      </c>
      <c r="W91" s="17">
        <v>0</v>
      </c>
      <c r="X91" s="13">
        <f t="shared" si="89"/>
        <v>0</v>
      </c>
      <c r="Y91" s="16">
        <v>0</v>
      </c>
      <c r="Z91" s="17">
        <v>0</v>
      </c>
      <c r="AA91" s="30">
        <f>X91+Y91</f>
        <v>0</v>
      </c>
      <c r="AB91" s="31"/>
      <c r="AC91" s="16">
        <v>0</v>
      </c>
      <c r="AD91" s="17">
        <v>0</v>
      </c>
      <c r="AE91" s="13">
        <f>AA91+AC91</f>
        <v>0</v>
      </c>
      <c r="AF91" s="31"/>
      <c r="AG91" s="139">
        <v>0</v>
      </c>
      <c r="AH91" s="17">
        <v>0</v>
      </c>
      <c r="AI91" s="13">
        <f t="shared" ref="AI91:AI101" si="90">AE91+AG91</f>
        <v>0</v>
      </c>
      <c r="AJ91" s="31"/>
      <c r="AK91" s="16">
        <v>0</v>
      </c>
      <c r="AL91" s="17">
        <v>0</v>
      </c>
      <c r="AM91" s="13">
        <f>AI91+AK91</f>
        <v>0</v>
      </c>
      <c r="AN91" s="31"/>
      <c r="AO91" s="16">
        <v>0</v>
      </c>
      <c r="AP91" s="17">
        <v>0</v>
      </c>
      <c r="AQ91" s="13">
        <f>AM91+AO91</f>
        <v>0</v>
      </c>
      <c r="AR91" s="31"/>
      <c r="AS91" s="16">
        <v>0</v>
      </c>
      <c r="AT91" s="17">
        <v>0</v>
      </c>
      <c r="AU91" s="13">
        <f>AQ91+AS91</f>
        <v>0</v>
      </c>
      <c r="AV91" s="31"/>
    </row>
    <row r="92" spans="1:48" x14ac:dyDescent="0.25">
      <c r="A92" s="14"/>
      <c r="B92" s="15"/>
      <c r="C92" s="17"/>
      <c r="D92" s="17"/>
      <c r="E92" s="17">
        <f t="shared" si="69"/>
        <v>0</v>
      </c>
      <c r="F92" s="31"/>
      <c r="G92" s="17"/>
      <c r="H92" s="17"/>
      <c r="I92" s="13"/>
      <c r="J92" s="16"/>
      <c r="K92" s="17"/>
      <c r="L92" s="13"/>
      <c r="M92" s="31"/>
      <c r="N92" s="16"/>
      <c r="O92" s="17"/>
      <c r="P92" s="13"/>
      <c r="Q92" s="31"/>
      <c r="R92" s="18"/>
      <c r="S92" s="17"/>
      <c r="T92" s="17">
        <f t="shared" si="86"/>
        <v>0</v>
      </c>
      <c r="U92" s="31"/>
      <c r="V92" s="17"/>
      <c r="W92" s="17"/>
      <c r="X92" s="13"/>
      <c r="Y92" s="16"/>
      <c r="Z92" s="17"/>
      <c r="AA92" s="30"/>
      <c r="AB92" s="31"/>
      <c r="AC92" s="16"/>
      <c r="AD92" s="17"/>
      <c r="AE92" s="13"/>
      <c r="AF92" s="31"/>
      <c r="AG92" s="139"/>
      <c r="AH92" s="17"/>
      <c r="AI92" s="13">
        <f t="shared" si="90"/>
        <v>0</v>
      </c>
      <c r="AJ92" s="31"/>
      <c r="AK92" s="16"/>
      <c r="AL92" s="17"/>
      <c r="AM92" s="13">
        <f t="shared" ref="AM92:AM101" si="91">AI92+AK92</f>
        <v>0</v>
      </c>
      <c r="AN92" s="31"/>
      <c r="AO92" s="16"/>
      <c r="AP92" s="17"/>
      <c r="AQ92" s="13">
        <f t="shared" ref="AQ92:AQ101" si="92">AM92+AO92</f>
        <v>0</v>
      </c>
      <c r="AR92" s="31"/>
      <c r="AS92" s="16"/>
      <c r="AT92" s="17"/>
      <c r="AU92" s="13"/>
      <c r="AV92" s="31"/>
    </row>
    <row r="93" spans="1:48" x14ac:dyDescent="0.25">
      <c r="A93" s="14">
        <v>5160</v>
      </c>
      <c r="B93" s="15" t="s">
        <v>384</v>
      </c>
      <c r="C93" s="17"/>
      <c r="D93" s="17"/>
      <c r="E93" s="17"/>
      <c r="F93" s="31"/>
      <c r="G93" s="17"/>
      <c r="H93" s="17"/>
      <c r="I93" s="13"/>
      <c r="J93" s="16"/>
      <c r="K93" s="17"/>
      <c r="L93" s="13"/>
      <c r="M93" s="31"/>
      <c r="N93" s="16"/>
      <c r="O93" s="17"/>
      <c r="P93" s="13"/>
      <c r="Q93" s="31"/>
      <c r="R93" s="18"/>
      <c r="S93" s="17"/>
      <c r="T93" s="17"/>
      <c r="U93" s="31"/>
      <c r="V93" s="17"/>
      <c r="W93" s="17"/>
      <c r="X93" s="13"/>
      <c r="Y93" s="16"/>
      <c r="Z93" s="17"/>
      <c r="AA93" s="30"/>
      <c r="AB93" s="31"/>
      <c r="AC93" s="16"/>
      <c r="AD93" s="17"/>
      <c r="AE93" s="13"/>
      <c r="AF93" s="31"/>
      <c r="AG93" s="139">
        <f>SUM(AG94:AG98)</f>
        <v>3083714.75</v>
      </c>
      <c r="AH93" s="17"/>
      <c r="AI93" s="13">
        <f t="shared" si="90"/>
        <v>3083714.75</v>
      </c>
      <c r="AJ93" s="31"/>
      <c r="AK93" s="16">
        <f>SUM(AK94:AK98)</f>
        <v>3083714.75</v>
      </c>
      <c r="AL93" s="17"/>
      <c r="AM93" s="13">
        <f t="shared" si="91"/>
        <v>6167429.5</v>
      </c>
      <c r="AN93" s="31"/>
      <c r="AO93" s="16">
        <f>SUM(AO94:AO98)</f>
        <v>3083714.75</v>
      </c>
      <c r="AP93" s="17"/>
      <c r="AQ93" s="13">
        <f t="shared" si="92"/>
        <v>9251144.25</v>
      </c>
      <c r="AR93" s="31"/>
      <c r="AS93" s="16">
        <f>SUM(AS94:AS98)</f>
        <v>3083714.75</v>
      </c>
      <c r="AT93" s="17"/>
      <c r="AU93" s="13">
        <f>SUM(AU94:AU98)</f>
        <v>12334859</v>
      </c>
      <c r="AV93" s="31"/>
    </row>
    <row r="94" spans="1:48" x14ac:dyDescent="0.25">
      <c r="A94" s="14">
        <v>516005</v>
      </c>
      <c r="B94" s="15" t="s">
        <v>385</v>
      </c>
      <c r="C94" s="17"/>
      <c r="D94" s="17"/>
      <c r="E94" s="17"/>
      <c r="F94" s="31"/>
      <c r="G94" s="17"/>
      <c r="H94" s="17"/>
      <c r="I94" s="13"/>
      <c r="J94" s="16"/>
      <c r="K94" s="17"/>
      <c r="L94" s="13"/>
      <c r="M94" s="31"/>
      <c r="N94" s="16"/>
      <c r="O94" s="17"/>
      <c r="P94" s="13"/>
      <c r="Q94" s="31"/>
      <c r="R94" s="18"/>
      <c r="S94" s="17"/>
      <c r="T94" s="17"/>
      <c r="U94" s="31"/>
      <c r="V94" s="17"/>
      <c r="W94" s="17"/>
      <c r="X94" s="13"/>
      <c r="Y94" s="16"/>
      <c r="Z94" s="17"/>
      <c r="AA94" s="30"/>
      <c r="AB94" s="31"/>
      <c r="AC94" s="16"/>
      <c r="AD94" s="17"/>
      <c r="AE94" s="13"/>
      <c r="AF94" s="31"/>
      <c r="AG94" s="139">
        <v>2116666.75</v>
      </c>
      <c r="AH94" s="17"/>
      <c r="AI94" s="13">
        <f t="shared" si="90"/>
        <v>2116666.75</v>
      </c>
      <c r="AJ94" s="31"/>
      <c r="AK94" s="29">
        <v>2116666.75</v>
      </c>
      <c r="AL94" s="17"/>
      <c r="AM94" s="13">
        <f t="shared" si="91"/>
        <v>4233333.5</v>
      </c>
      <c r="AN94" s="31"/>
      <c r="AO94" s="29">
        <v>2116666.75</v>
      </c>
      <c r="AP94" s="17"/>
      <c r="AQ94" s="13">
        <f t="shared" si="92"/>
        <v>6350000.25</v>
      </c>
      <c r="AR94" s="31"/>
      <c r="AS94" s="29">
        <v>2116666.75</v>
      </c>
      <c r="AT94" s="17"/>
      <c r="AU94" s="13">
        <v>8466667</v>
      </c>
      <c r="AV94" s="31"/>
    </row>
    <row r="95" spans="1:48" x14ac:dyDescent="0.25">
      <c r="A95" s="14">
        <v>516010</v>
      </c>
      <c r="B95" s="15" t="s">
        <v>386</v>
      </c>
      <c r="C95" s="17"/>
      <c r="D95" s="17"/>
      <c r="E95" s="17"/>
      <c r="F95" s="31"/>
      <c r="G95" s="17"/>
      <c r="H95" s="17"/>
      <c r="I95" s="13"/>
      <c r="J95" s="16"/>
      <c r="K95" s="17"/>
      <c r="L95" s="13"/>
      <c r="M95" s="31"/>
      <c r="N95" s="16"/>
      <c r="O95" s="17"/>
      <c r="P95" s="13"/>
      <c r="Q95" s="31"/>
      <c r="R95" s="18"/>
      <c r="S95" s="17"/>
      <c r="T95" s="17"/>
      <c r="U95" s="31"/>
      <c r="V95" s="17"/>
      <c r="W95" s="17"/>
      <c r="X95" s="13"/>
      <c r="Y95" s="16"/>
      <c r="Z95" s="17"/>
      <c r="AA95" s="30"/>
      <c r="AB95" s="31"/>
      <c r="AC95" s="16"/>
      <c r="AD95" s="17"/>
      <c r="AE95" s="13"/>
      <c r="AF95" s="31"/>
      <c r="AG95" s="139">
        <v>11198</v>
      </c>
      <c r="AH95" s="17"/>
      <c r="AI95" s="13">
        <f t="shared" si="90"/>
        <v>11198</v>
      </c>
      <c r="AJ95" s="31"/>
      <c r="AK95" s="29">
        <v>11198</v>
      </c>
      <c r="AL95" s="17"/>
      <c r="AM95" s="13">
        <f t="shared" si="91"/>
        <v>22396</v>
      </c>
      <c r="AN95" s="31"/>
      <c r="AO95" s="29">
        <v>11198</v>
      </c>
      <c r="AP95" s="17"/>
      <c r="AQ95" s="13">
        <f t="shared" si="92"/>
        <v>33594</v>
      </c>
      <c r="AR95" s="31"/>
      <c r="AS95" s="29">
        <v>11198</v>
      </c>
      <c r="AT95" s="17"/>
      <c r="AU95" s="13">
        <v>44792</v>
      </c>
      <c r="AV95" s="31"/>
    </row>
    <row r="96" spans="1:48" x14ac:dyDescent="0.25">
      <c r="A96" s="14">
        <v>516015</v>
      </c>
      <c r="B96" s="15" t="s">
        <v>387</v>
      </c>
      <c r="C96" s="17"/>
      <c r="D96" s="17"/>
      <c r="E96" s="17"/>
      <c r="F96" s="31"/>
      <c r="G96" s="17"/>
      <c r="H96" s="17"/>
      <c r="I96" s="13"/>
      <c r="J96" s="16"/>
      <c r="K96" s="17"/>
      <c r="L96" s="13"/>
      <c r="M96" s="31"/>
      <c r="N96" s="16"/>
      <c r="O96" s="17"/>
      <c r="P96" s="13"/>
      <c r="Q96" s="31"/>
      <c r="R96" s="18"/>
      <c r="S96" s="17"/>
      <c r="T96" s="17"/>
      <c r="U96" s="31"/>
      <c r="V96" s="17"/>
      <c r="W96" s="17"/>
      <c r="X96" s="13"/>
      <c r="Y96" s="16"/>
      <c r="Z96" s="17"/>
      <c r="AA96" s="30"/>
      <c r="AB96" s="31"/>
      <c r="AC96" s="16"/>
      <c r="AD96" s="17"/>
      <c r="AE96" s="13"/>
      <c r="AF96" s="31"/>
      <c r="AG96" s="139">
        <v>23000</v>
      </c>
      <c r="AH96" s="17"/>
      <c r="AI96" s="13">
        <f t="shared" si="90"/>
        <v>23000</v>
      </c>
      <c r="AJ96" s="31"/>
      <c r="AK96" s="29">
        <v>23000</v>
      </c>
      <c r="AL96" s="17"/>
      <c r="AM96" s="13">
        <f t="shared" si="91"/>
        <v>46000</v>
      </c>
      <c r="AN96" s="31"/>
      <c r="AO96" s="29">
        <v>23000</v>
      </c>
      <c r="AP96" s="17"/>
      <c r="AQ96" s="13">
        <f t="shared" si="92"/>
        <v>69000</v>
      </c>
      <c r="AR96" s="31"/>
      <c r="AS96" s="29">
        <v>23000</v>
      </c>
      <c r="AT96" s="17"/>
      <c r="AU96" s="13">
        <v>92000</v>
      </c>
      <c r="AV96" s="31"/>
    </row>
    <row r="97" spans="1:48" x14ac:dyDescent="0.25">
      <c r="A97" s="14">
        <v>516020</v>
      </c>
      <c r="B97" s="15" t="s">
        <v>388</v>
      </c>
      <c r="C97" s="17"/>
      <c r="D97" s="17"/>
      <c r="E97" s="17"/>
      <c r="F97" s="31"/>
      <c r="G97" s="17"/>
      <c r="H97" s="17"/>
      <c r="I97" s="13"/>
      <c r="J97" s="16"/>
      <c r="K97" s="17"/>
      <c r="L97" s="13"/>
      <c r="M97" s="31"/>
      <c r="N97" s="16"/>
      <c r="O97" s="17"/>
      <c r="P97" s="13"/>
      <c r="Q97" s="31"/>
      <c r="R97" s="18"/>
      <c r="S97" s="17"/>
      <c r="T97" s="17"/>
      <c r="U97" s="31"/>
      <c r="V97" s="17"/>
      <c r="W97" s="17"/>
      <c r="X97" s="13"/>
      <c r="Y97" s="16"/>
      <c r="Z97" s="17"/>
      <c r="AA97" s="30"/>
      <c r="AB97" s="31"/>
      <c r="AC97" s="16"/>
      <c r="AD97" s="17"/>
      <c r="AE97" s="13"/>
      <c r="AF97" s="31"/>
      <c r="AG97" s="139">
        <v>67950</v>
      </c>
      <c r="AH97" s="17"/>
      <c r="AI97" s="13">
        <f t="shared" si="90"/>
        <v>67950</v>
      </c>
      <c r="AJ97" s="31"/>
      <c r="AK97" s="29">
        <v>67950</v>
      </c>
      <c r="AL97" s="17"/>
      <c r="AM97" s="13">
        <f t="shared" si="91"/>
        <v>135900</v>
      </c>
      <c r="AN97" s="31"/>
      <c r="AO97" s="29">
        <v>67950</v>
      </c>
      <c r="AP97" s="17"/>
      <c r="AQ97" s="13">
        <f t="shared" si="92"/>
        <v>203850</v>
      </c>
      <c r="AR97" s="31"/>
      <c r="AS97" s="29">
        <v>67950</v>
      </c>
      <c r="AT97" s="17"/>
      <c r="AU97" s="13">
        <v>271800</v>
      </c>
      <c r="AV97" s="31"/>
    </row>
    <row r="98" spans="1:48" x14ac:dyDescent="0.25">
      <c r="A98" s="14">
        <v>516035</v>
      </c>
      <c r="B98" s="15" t="s">
        <v>389</v>
      </c>
      <c r="C98" s="17"/>
      <c r="D98" s="17"/>
      <c r="E98" s="17"/>
      <c r="F98" s="31"/>
      <c r="G98" s="17"/>
      <c r="H98" s="17"/>
      <c r="I98" s="13"/>
      <c r="J98" s="16"/>
      <c r="K98" s="17"/>
      <c r="L98" s="13"/>
      <c r="M98" s="31"/>
      <c r="N98" s="16"/>
      <c r="O98" s="17"/>
      <c r="P98" s="13"/>
      <c r="Q98" s="31"/>
      <c r="R98" s="18"/>
      <c r="S98" s="17"/>
      <c r="T98" s="17"/>
      <c r="U98" s="31"/>
      <c r="V98" s="17"/>
      <c r="W98" s="17"/>
      <c r="X98" s="13"/>
      <c r="Y98" s="16"/>
      <c r="Z98" s="17"/>
      <c r="AA98" s="30"/>
      <c r="AB98" s="31"/>
      <c r="AC98" s="16"/>
      <c r="AD98" s="17"/>
      <c r="AE98" s="13"/>
      <c r="AF98" s="31"/>
      <c r="AG98" s="139">
        <v>864900</v>
      </c>
      <c r="AH98" s="17"/>
      <c r="AI98" s="13">
        <f t="shared" si="90"/>
        <v>864900</v>
      </c>
      <c r="AJ98" s="31"/>
      <c r="AK98" s="29">
        <v>864900</v>
      </c>
      <c r="AL98" s="17"/>
      <c r="AM98" s="13">
        <f t="shared" si="91"/>
        <v>1729800</v>
      </c>
      <c r="AN98" s="31"/>
      <c r="AO98" s="29">
        <v>864900</v>
      </c>
      <c r="AP98" s="17"/>
      <c r="AQ98" s="13">
        <f t="shared" si="92"/>
        <v>2594700</v>
      </c>
      <c r="AR98" s="31"/>
      <c r="AS98" s="29">
        <v>864900</v>
      </c>
      <c r="AT98" s="17"/>
      <c r="AU98" s="13">
        <v>3459600</v>
      </c>
      <c r="AV98" s="31"/>
    </row>
    <row r="99" spans="1:48" x14ac:dyDescent="0.25">
      <c r="A99" s="14"/>
      <c r="B99" s="15"/>
      <c r="C99" s="17"/>
      <c r="D99" s="17"/>
      <c r="E99" s="17"/>
      <c r="F99" s="31"/>
      <c r="G99" s="17"/>
      <c r="H99" s="17"/>
      <c r="I99" s="13"/>
      <c r="J99" s="16"/>
      <c r="K99" s="17"/>
      <c r="L99" s="13"/>
      <c r="M99" s="31"/>
      <c r="N99" s="16"/>
      <c r="O99" s="17"/>
      <c r="P99" s="13"/>
      <c r="Q99" s="31"/>
      <c r="R99" s="18"/>
      <c r="S99" s="17"/>
      <c r="T99" s="17"/>
      <c r="U99" s="31"/>
      <c r="V99" s="17"/>
      <c r="W99" s="17"/>
      <c r="X99" s="13"/>
      <c r="Y99" s="16"/>
      <c r="Z99" s="17"/>
      <c r="AA99" s="30"/>
      <c r="AB99" s="31"/>
      <c r="AC99" s="16"/>
      <c r="AD99" s="17"/>
      <c r="AE99" s="13"/>
      <c r="AF99" s="31"/>
      <c r="AG99" s="139"/>
      <c r="AH99" s="17"/>
      <c r="AI99" s="13">
        <f t="shared" si="90"/>
        <v>0</v>
      </c>
      <c r="AJ99" s="31"/>
      <c r="AK99" s="16"/>
      <c r="AL99" s="17"/>
      <c r="AM99" s="13">
        <f t="shared" si="91"/>
        <v>0</v>
      </c>
      <c r="AN99" s="31"/>
      <c r="AO99" s="16"/>
      <c r="AP99" s="17"/>
      <c r="AQ99" s="13">
        <f t="shared" si="92"/>
        <v>0</v>
      </c>
      <c r="AR99" s="31"/>
      <c r="AS99" s="16"/>
      <c r="AT99" s="17"/>
      <c r="AU99" s="13"/>
      <c r="AV99" s="31"/>
    </row>
    <row r="100" spans="1:48" x14ac:dyDescent="0.25">
      <c r="A100" s="14"/>
      <c r="B100" s="15"/>
      <c r="C100" s="17"/>
      <c r="D100" s="17"/>
      <c r="E100" s="17"/>
      <c r="F100" s="31"/>
      <c r="G100" s="17"/>
      <c r="H100" s="17"/>
      <c r="I100" s="13"/>
      <c r="J100" s="16"/>
      <c r="K100" s="17"/>
      <c r="L100" s="13"/>
      <c r="M100" s="31"/>
      <c r="N100" s="16"/>
      <c r="O100" s="17"/>
      <c r="P100" s="13"/>
      <c r="Q100" s="31"/>
      <c r="R100" s="18"/>
      <c r="S100" s="17"/>
      <c r="T100" s="17"/>
      <c r="U100" s="31"/>
      <c r="V100" s="17"/>
      <c r="W100" s="17"/>
      <c r="X100" s="13"/>
      <c r="Y100" s="16"/>
      <c r="Z100" s="17"/>
      <c r="AA100" s="30"/>
      <c r="AB100" s="31"/>
      <c r="AC100" s="16"/>
      <c r="AD100" s="17"/>
      <c r="AE100" s="13"/>
      <c r="AF100" s="31"/>
      <c r="AG100" s="139"/>
      <c r="AH100" s="17"/>
      <c r="AI100" s="13">
        <f t="shared" si="90"/>
        <v>0</v>
      </c>
      <c r="AJ100" s="31"/>
      <c r="AK100" s="16"/>
      <c r="AL100" s="17"/>
      <c r="AM100" s="13">
        <f t="shared" si="91"/>
        <v>0</v>
      </c>
      <c r="AN100" s="31"/>
      <c r="AO100" s="16"/>
      <c r="AP100" s="17"/>
      <c r="AQ100" s="13">
        <f t="shared" si="92"/>
        <v>0</v>
      </c>
      <c r="AR100" s="31"/>
      <c r="AS100" s="16"/>
      <c r="AT100" s="17"/>
      <c r="AU100" s="13"/>
      <c r="AV100" s="31"/>
    </row>
    <row r="101" spans="1:48" x14ac:dyDescent="0.25">
      <c r="A101" s="14" t="s">
        <v>101</v>
      </c>
      <c r="B101" s="15" t="s">
        <v>102</v>
      </c>
      <c r="C101" s="17">
        <f>SUM(C103:C112)</f>
        <v>596304</v>
      </c>
      <c r="D101" s="17">
        <v>0</v>
      </c>
      <c r="E101" s="17">
        <f t="shared" si="69"/>
        <v>596304</v>
      </c>
      <c r="F101" s="19"/>
      <c r="G101" s="17">
        <f>G103+G104+G105+G106+G108+G109+G110+G111+G112+G107</f>
        <v>418882</v>
      </c>
      <c r="H101" s="17">
        <v>0</v>
      </c>
      <c r="I101" s="13">
        <f t="shared" si="78"/>
        <v>1015186</v>
      </c>
      <c r="J101" s="16">
        <f>SUM(J103:J112)</f>
        <v>347100</v>
      </c>
      <c r="K101" s="17">
        <v>0</v>
      </c>
      <c r="L101" s="13">
        <f t="shared" ref="L101:L106" si="93">I101+J101</f>
        <v>1362286</v>
      </c>
      <c r="M101" s="19"/>
      <c r="N101" s="16">
        <f>SUM(N102:N112)</f>
        <v>769738</v>
      </c>
      <c r="O101" s="17">
        <v>0</v>
      </c>
      <c r="P101" s="13">
        <f t="shared" ref="P101:P112" si="94">L101+N101</f>
        <v>2132024</v>
      </c>
      <c r="Q101" s="19"/>
      <c r="R101" s="18">
        <f>SUM(R103:R112)</f>
        <v>452668</v>
      </c>
      <c r="S101" s="17">
        <v>0</v>
      </c>
      <c r="T101" s="17">
        <f>+P101+R101</f>
        <v>2584692</v>
      </c>
      <c r="U101" s="31"/>
      <c r="V101" s="17">
        <f>V103+V104+V105+V106+V108+V109+V110+V111+V112+V107</f>
        <v>545222</v>
      </c>
      <c r="W101" s="17">
        <v>0</v>
      </c>
      <c r="X101" s="13">
        <f t="shared" ref="X101:X144" si="95">T101+V101</f>
        <v>3129914</v>
      </c>
      <c r="Y101" s="16">
        <f>SUM(Y103:Y112)</f>
        <v>396045</v>
      </c>
      <c r="Z101" s="17">
        <v>0</v>
      </c>
      <c r="AA101" s="30">
        <f t="shared" ref="AA101:AA139" si="96">X101+Y101</f>
        <v>3525959</v>
      </c>
      <c r="AB101" s="31"/>
      <c r="AC101" s="16">
        <f>SUM(AC102:AC112)</f>
        <v>1148607</v>
      </c>
      <c r="AD101" s="17">
        <v>0</v>
      </c>
      <c r="AE101" s="13">
        <f t="shared" ref="AE101:AE112" si="97">AA101+AC101</f>
        <v>4674566</v>
      </c>
      <c r="AF101" s="31"/>
      <c r="AG101" s="139">
        <f>SUM(AG102:AG112)</f>
        <v>480218</v>
      </c>
      <c r="AH101" s="17">
        <v>0</v>
      </c>
      <c r="AI101" s="13">
        <f t="shared" si="90"/>
        <v>5154784</v>
      </c>
      <c r="AJ101" s="31"/>
      <c r="AK101" s="16">
        <f>SUM(AK102:AK112)</f>
        <v>698046</v>
      </c>
      <c r="AL101" s="17">
        <v>0</v>
      </c>
      <c r="AM101" s="13">
        <f t="shared" si="91"/>
        <v>5852830</v>
      </c>
      <c r="AN101" s="31"/>
      <c r="AO101" s="16">
        <f>SUM(AO102:AO112)</f>
        <v>379333</v>
      </c>
      <c r="AP101" s="17">
        <v>0</v>
      </c>
      <c r="AQ101" s="13">
        <f t="shared" si="92"/>
        <v>6232163</v>
      </c>
      <c r="AR101" s="31"/>
      <c r="AS101" s="16">
        <f>SUM(AS102:AS112)</f>
        <v>345901</v>
      </c>
      <c r="AT101" s="17">
        <v>0</v>
      </c>
      <c r="AU101" s="13">
        <f t="shared" ref="AU101:AU112" si="98">AQ101+AS101</f>
        <v>6578064</v>
      </c>
      <c r="AV101" s="31"/>
    </row>
    <row r="102" spans="1:48" x14ac:dyDescent="0.25">
      <c r="A102" s="14">
        <v>519505</v>
      </c>
      <c r="B102" s="15" t="s">
        <v>125</v>
      </c>
      <c r="C102" s="17">
        <v>0</v>
      </c>
      <c r="D102" s="17">
        <v>0</v>
      </c>
      <c r="E102" s="17">
        <f t="shared" si="69"/>
        <v>0</v>
      </c>
      <c r="F102" s="19"/>
      <c r="G102" s="17">
        <v>0</v>
      </c>
      <c r="H102" s="17">
        <v>0</v>
      </c>
      <c r="I102" s="13">
        <f t="shared" si="78"/>
        <v>0</v>
      </c>
      <c r="J102" s="16">
        <v>0</v>
      </c>
      <c r="K102" s="17">
        <v>0</v>
      </c>
      <c r="L102" s="13">
        <f t="shared" si="93"/>
        <v>0</v>
      </c>
      <c r="M102" s="19"/>
      <c r="N102" s="16">
        <v>0</v>
      </c>
      <c r="O102" s="17">
        <v>0</v>
      </c>
      <c r="P102" s="13">
        <f t="shared" si="94"/>
        <v>0</v>
      </c>
      <c r="Q102" s="19"/>
      <c r="R102" s="18">
        <v>0</v>
      </c>
      <c r="S102" s="17">
        <v>0</v>
      </c>
      <c r="T102" s="17">
        <f t="shared" ref="T102:T112" si="99">+P102+R102</f>
        <v>0</v>
      </c>
      <c r="U102" s="31"/>
      <c r="V102" s="17">
        <v>0</v>
      </c>
      <c r="W102" s="17">
        <v>0</v>
      </c>
      <c r="X102" s="13">
        <f t="shared" si="95"/>
        <v>0</v>
      </c>
      <c r="Y102" s="16">
        <v>0</v>
      </c>
      <c r="Z102" s="17">
        <v>0</v>
      </c>
      <c r="AA102" s="30">
        <f t="shared" si="96"/>
        <v>0</v>
      </c>
      <c r="AB102" s="31"/>
      <c r="AC102" s="16">
        <v>0</v>
      </c>
      <c r="AD102" s="17">
        <v>0</v>
      </c>
      <c r="AE102" s="13">
        <f t="shared" si="97"/>
        <v>0</v>
      </c>
      <c r="AF102" s="31"/>
      <c r="AG102" s="139">
        <v>0</v>
      </c>
      <c r="AH102" s="17">
        <v>0</v>
      </c>
      <c r="AI102" s="13">
        <f t="shared" ref="AI101:AI112" si="100">AE102+AG102</f>
        <v>0</v>
      </c>
      <c r="AJ102" s="31"/>
      <c r="AK102" s="16">
        <v>0</v>
      </c>
      <c r="AL102" s="17">
        <v>0</v>
      </c>
      <c r="AM102" s="13">
        <f t="shared" ref="AM101:AM112" si="101">AI102+AK102</f>
        <v>0</v>
      </c>
      <c r="AN102" s="31"/>
      <c r="AO102" s="16">
        <v>0</v>
      </c>
      <c r="AP102" s="17">
        <v>0</v>
      </c>
      <c r="AQ102" s="13">
        <f t="shared" ref="AQ101:AQ112" si="102">AM102+AO102</f>
        <v>0</v>
      </c>
      <c r="AR102" s="31"/>
      <c r="AS102" s="16">
        <v>0</v>
      </c>
      <c r="AT102" s="17">
        <v>0</v>
      </c>
      <c r="AU102" s="13">
        <f t="shared" si="98"/>
        <v>0</v>
      </c>
      <c r="AV102" s="31"/>
    </row>
    <row r="103" spans="1:48" ht="21" customHeight="1" x14ac:dyDescent="0.25">
      <c r="A103" s="14" t="s">
        <v>103</v>
      </c>
      <c r="B103" s="15" t="s">
        <v>104</v>
      </c>
      <c r="C103" s="17">
        <v>0</v>
      </c>
      <c r="D103" s="17">
        <v>0</v>
      </c>
      <c r="E103" s="17">
        <f t="shared" si="69"/>
        <v>0</v>
      </c>
      <c r="F103" s="19"/>
      <c r="G103" s="17">
        <v>0</v>
      </c>
      <c r="H103" s="17">
        <v>0</v>
      </c>
      <c r="I103" s="13">
        <f t="shared" si="78"/>
        <v>0</v>
      </c>
      <c r="J103" s="16">
        <v>0</v>
      </c>
      <c r="K103" s="17">
        <v>0</v>
      </c>
      <c r="L103" s="13">
        <f t="shared" si="93"/>
        <v>0</v>
      </c>
      <c r="M103" s="19"/>
      <c r="N103" s="16">
        <v>0</v>
      </c>
      <c r="O103" s="17">
        <v>0</v>
      </c>
      <c r="P103" s="13">
        <f t="shared" si="94"/>
        <v>0</v>
      </c>
      <c r="Q103" s="19"/>
      <c r="R103" s="18">
        <v>0</v>
      </c>
      <c r="S103" s="17">
        <v>0</v>
      </c>
      <c r="T103" s="17">
        <f t="shared" si="99"/>
        <v>0</v>
      </c>
      <c r="U103" s="31"/>
      <c r="V103" s="17">
        <v>0</v>
      </c>
      <c r="W103" s="17">
        <v>0</v>
      </c>
      <c r="X103" s="13">
        <f t="shared" si="95"/>
        <v>0</v>
      </c>
      <c r="Y103" s="16">
        <v>0</v>
      </c>
      <c r="Z103" s="17">
        <v>0</v>
      </c>
      <c r="AA103" s="30">
        <f t="shared" si="96"/>
        <v>0</v>
      </c>
      <c r="AB103" s="31"/>
      <c r="AC103" s="16">
        <v>0</v>
      </c>
      <c r="AD103" s="17">
        <v>0</v>
      </c>
      <c r="AE103" s="13">
        <f t="shared" si="97"/>
        <v>0</v>
      </c>
      <c r="AF103" s="31"/>
      <c r="AG103" s="139">
        <v>0</v>
      </c>
      <c r="AH103" s="17">
        <v>0</v>
      </c>
      <c r="AI103" s="13">
        <f t="shared" si="100"/>
        <v>0</v>
      </c>
      <c r="AJ103" s="31"/>
      <c r="AK103" s="16">
        <v>0</v>
      </c>
      <c r="AL103" s="17">
        <v>0</v>
      </c>
      <c r="AM103" s="13">
        <f t="shared" si="101"/>
        <v>0</v>
      </c>
      <c r="AN103" s="31"/>
      <c r="AO103" s="16">
        <v>0</v>
      </c>
      <c r="AP103" s="17">
        <v>0</v>
      </c>
      <c r="AQ103" s="13">
        <f t="shared" si="102"/>
        <v>0</v>
      </c>
      <c r="AR103" s="31"/>
      <c r="AS103" s="16">
        <v>117941</v>
      </c>
      <c r="AT103" s="17">
        <v>0</v>
      </c>
      <c r="AU103" s="13">
        <f t="shared" si="98"/>
        <v>117941</v>
      </c>
      <c r="AV103" s="31"/>
    </row>
    <row r="104" spans="1:48" x14ac:dyDescent="0.25">
      <c r="A104" s="14" t="s">
        <v>105</v>
      </c>
      <c r="B104" s="15" t="s">
        <v>106</v>
      </c>
      <c r="C104" s="17">
        <v>18400</v>
      </c>
      <c r="D104" s="17">
        <v>0</v>
      </c>
      <c r="E104" s="17">
        <f t="shared" si="69"/>
        <v>18400</v>
      </c>
      <c r="F104" s="19"/>
      <c r="G104" s="17">
        <v>63400</v>
      </c>
      <c r="H104" s="17">
        <v>0</v>
      </c>
      <c r="I104" s="13">
        <f t="shared" si="78"/>
        <v>81800</v>
      </c>
      <c r="J104" s="16">
        <v>28400</v>
      </c>
      <c r="K104" s="17">
        <v>0</v>
      </c>
      <c r="L104" s="13">
        <f t="shared" si="93"/>
        <v>110200</v>
      </c>
      <c r="M104" s="19"/>
      <c r="N104" s="16">
        <v>23900</v>
      </c>
      <c r="O104" s="17">
        <v>0</v>
      </c>
      <c r="P104" s="13">
        <f t="shared" si="94"/>
        <v>134100</v>
      </c>
      <c r="Q104" s="19"/>
      <c r="R104" s="18">
        <v>36800</v>
      </c>
      <c r="S104" s="17">
        <v>0</v>
      </c>
      <c r="T104" s="17">
        <f t="shared" si="99"/>
        <v>170900</v>
      </c>
      <c r="U104" s="31"/>
      <c r="V104" s="17">
        <v>4600</v>
      </c>
      <c r="W104" s="17">
        <v>0</v>
      </c>
      <c r="X104" s="13">
        <f t="shared" si="95"/>
        <v>175500</v>
      </c>
      <c r="Y104" s="16">
        <v>36800</v>
      </c>
      <c r="Z104" s="17">
        <v>0</v>
      </c>
      <c r="AA104" s="30">
        <f t="shared" si="96"/>
        <v>212300</v>
      </c>
      <c r="AB104" s="31"/>
      <c r="AC104" s="16">
        <v>0</v>
      </c>
      <c r="AD104" s="17">
        <v>0</v>
      </c>
      <c r="AE104" s="13">
        <f t="shared" si="97"/>
        <v>212300</v>
      </c>
      <c r="AF104" s="31"/>
      <c r="AG104" s="139">
        <v>55496</v>
      </c>
      <c r="AH104" s="17">
        <v>0</v>
      </c>
      <c r="AI104" s="13">
        <f t="shared" si="100"/>
        <v>267796</v>
      </c>
      <c r="AJ104" s="31"/>
      <c r="AK104" s="16">
        <v>89665</v>
      </c>
      <c r="AL104" s="17">
        <v>0</v>
      </c>
      <c r="AM104" s="13">
        <f t="shared" si="101"/>
        <v>357461</v>
      </c>
      <c r="AN104" s="31"/>
      <c r="AO104" s="16">
        <v>94033</v>
      </c>
      <c r="AP104" s="17">
        <v>0</v>
      </c>
      <c r="AQ104" s="13">
        <f t="shared" si="102"/>
        <v>451494</v>
      </c>
      <c r="AR104" s="31"/>
      <c r="AS104" s="16">
        <v>0</v>
      </c>
      <c r="AT104" s="17">
        <v>0</v>
      </c>
      <c r="AU104" s="13">
        <f t="shared" si="98"/>
        <v>451494</v>
      </c>
      <c r="AV104" s="31"/>
    </row>
    <row r="105" spans="1:48" x14ac:dyDescent="0.25">
      <c r="A105" s="14" t="s">
        <v>107</v>
      </c>
      <c r="B105" s="15" t="s">
        <v>108</v>
      </c>
      <c r="C105" s="17">
        <v>32400</v>
      </c>
      <c r="D105" s="17">
        <v>0</v>
      </c>
      <c r="E105" s="17">
        <f t="shared" si="69"/>
        <v>32400</v>
      </c>
      <c r="F105" s="19"/>
      <c r="G105" s="17">
        <v>0</v>
      </c>
      <c r="H105" s="17">
        <v>0</v>
      </c>
      <c r="I105" s="13">
        <f t="shared" si="78"/>
        <v>32400</v>
      </c>
      <c r="J105" s="16">
        <v>15000</v>
      </c>
      <c r="K105" s="17">
        <v>0</v>
      </c>
      <c r="L105" s="13">
        <f t="shared" si="93"/>
        <v>47400</v>
      </c>
      <c r="M105" s="19"/>
      <c r="N105" s="16">
        <v>0</v>
      </c>
      <c r="O105" s="17">
        <v>0</v>
      </c>
      <c r="P105" s="13">
        <f t="shared" si="94"/>
        <v>47400</v>
      </c>
      <c r="Q105" s="19"/>
      <c r="R105" s="18">
        <v>47173</v>
      </c>
      <c r="S105" s="17">
        <v>0</v>
      </c>
      <c r="T105" s="17">
        <f t="shared" si="99"/>
        <v>94573</v>
      </c>
      <c r="U105" s="31"/>
      <c r="V105" s="17">
        <v>0</v>
      </c>
      <c r="W105" s="17">
        <v>0</v>
      </c>
      <c r="X105" s="13">
        <f t="shared" si="95"/>
        <v>94573</v>
      </c>
      <c r="Y105" s="16">
        <v>33445</v>
      </c>
      <c r="Z105" s="17">
        <v>0</v>
      </c>
      <c r="AA105" s="30">
        <f t="shared" si="96"/>
        <v>128018</v>
      </c>
      <c r="AB105" s="31"/>
      <c r="AC105" s="16">
        <v>158151</v>
      </c>
      <c r="AD105" s="17">
        <v>0</v>
      </c>
      <c r="AE105" s="13">
        <f t="shared" si="97"/>
        <v>286169</v>
      </c>
      <c r="AF105" s="31"/>
      <c r="AG105" s="139">
        <v>171974</v>
      </c>
      <c r="AH105" s="17">
        <v>0</v>
      </c>
      <c r="AI105" s="13">
        <f t="shared" si="100"/>
        <v>458143</v>
      </c>
      <c r="AJ105" s="31"/>
      <c r="AK105" s="16">
        <v>75335</v>
      </c>
      <c r="AL105" s="17">
        <v>0</v>
      </c>
      <c r="AM105" s="13">
        <f t="shared" si="101"/>
        <v>533478</v>
      </c>
      <c r="AN105" s="31"/>
      <c r="AO105" s="16">
        <v>14500</v>
      </c>
      <c r="AP105" s="17">
        <v>0</v>
      </c>
      <c r="AQ105" s="13">
        <f t="shared" si="102"/>
        <v>547978</v>
      </c>
      <c r="AR105" s="31"/>
      <c r="AS105" s="16">
        <v>1260</v>
      </c>
      <c r="AT105" s="17">
        <v>0</v>
      </c>
      <c r="AU105" s="13">
        <f t="shared" si="98"/>
        <v>549238</v>
      </c>
      <c r="AV105" s="31"/>
    </row>
    <row r="106" spans="1:48" x14ac:dyDescent="0.25">
      <c r="A106" s="14" t="s">
        <v>109</v>
      </c>
      <c r="B106" s="15" t="s">
        <v>110</v>
      </c>
      <c r="C106" s="17">
        <v>5000</v>
      </c>
      <c r="D106" s="17">
        <v>0</v>
      </c>
      <c r="E106" s="17">
        <f t="shared" si="69"/>
        <v>5000</v>
      </c>
      <c r="F106" s="19"/>
      <c r="G106" s="17">
        <v>194282</v>
      </c>
      <c r="H106" s="17">
        <v>0</v>
      </c>
      <c r="I106" s="13">
        <f t="shared" si="78"/>
        <v>199282</v>
      </c>
      <c r="J106" s="16">
        <v>100000</v>
      </c>
      <c r="K106" s="17">
        <v>0</v>
      </c>
      <c r="L106" s="13">
        <f t="shared" si="93"/>
        <v>299282</v>
      </c>
      <c r="M106" s="19"/>
      <c r="N106" s="16">
        <v>200000</v>
      </c>
      <c r="O106" s="17">
        <v>0</v>
      </c>
      <c r="P106" s="13">
        <f t="shared" si="94"/>
        <v>499282</v>
      </c>
      <c r="Q106" s="19"/>
      <c r="R106" s="18">
        <v>300000</v>
      </c>
      <c r="S106" s="17">
        <v>0</v>
      </c>
      <c r="T106" s="17">
        <f t="shared" si="99"/>
        <v>799282</v>
      </c>
      <c r="U106" s="31"/>
      <c r="V106" s="17">
        <v>357968</v>
      </c>
      <c r="W106" s="17">
        <v>0</v>
      </c>
      <c r="X106" s="13">
        <f t="shared" si="95"/>
        <v>1157250</v>
      </c>
      <c r="Y106" s="16">
        <v>300000</v>
      </c>
      <c r="Z106" s="17">
        <v>0</v>
      </c>
      <c r="AA106" s="30">
        <f t="shared" si="96"/>
        <v>1457250</v>
      </c>
      <c r="AB106" s="31"/>
      <c r="AC106" s="16">
        <v>466229</v>
      </c>
      <c r="AD106" s="17">
        <v>0</v>
      </c>
      <c r="AE106" s="13">
        <f t="shared" si="97"/>
        <v>1923479</v>
      </c>
      <c r="AF106" s="31"/>
      <c r="AG106" s="139">
        <v>246948</v>
      </c>
      <c r="AH106" s="17">
        <v>0</v>
      </c>
      <c r="AI106" s="13">
        <f t="shared" si="100"/>
        <v>2170427</v>
      </c>
      <c r="AJ106" s="31"/>
      <c r="AK106" s="16">
        <v>492725</v>
      </c>
      <c r="AL106" s="17">
        <v>0</v>
      </c>
      <c r="AM106" s="13">
        <f t="shared" si="101"/>
        <v>2663152</v>
      </c>
      <c r="AN106" s="31"/>
      <c r="AO106" s="16">
        <v>0</v>
      </c>
      <c r="AP106" s="17">
        <v>0</v>
      </c>
      <c r="AQ106" s="13">
        <f t="shared" si="102"/>
        <v>2663152</v>
      </c>
      <c r="AR106" s="31"/>
      <c r="AS106" s="16">
        <v>100000</v>
      </c>
      <c r="AT106" s="17">
        <v>0</v>
      </c>
      <c r="AU106" s="13">
        <f t="shared" si="98"/>
        <v>2763152</v>
      </c>
      <c r="AV106" s="31"/>
    </row>
    <row r="107" spans="1:48" x14ac:dyDescent="0.25">
      <c r="A107" s="14" t="s">
        <v>153</v>
      </c>
      <c r="B107" s="15" t="s">
        <v>144</v>
      </c>
      <c r="C107" s="17">
        <v>295000</v>
      </c>
      <c r="D107" s="17">
        <v>0</v>
      </c>
      <c r="E107" s="17">
        <f t="shared" si="69"/>
        <v>295000</v>
      </c>
      <c r="F107" s="19"/>
      <c r="G107" s="17">
        <v>120000</v>
      </c>
      <c r="H107" s="17">
        <v>0</v>
      </c>
      <c r="I107" s="13">
        <f t="shared" si="78"/>
        <v>415000</v>
      </c>
      <c r="J107" s="16">
        <v>100000</v>
      </c>
      <c r="K107" s="17">
        <v>0</v>
      </c>
      <c r="L107" s="13">
        <f t="shared" ref="L107:L139" si="103">I107+J107</f>
        <v>515000</v>
      </c>
      <c r="M107" s="19"/>
      <c r="N107" s="16">
        <v>106500</v>
      </c>
      <c r="O107" s="17">
        <v>0</v>
      </c>
      <c r="P107" s="13">
        <f t="shared" si="94"/>
        <v>621500</v>
      </c>
      <c r="Q107" s="19"/>
      <c r="R107" s="18">
        <v>60000</v>
      </c>
      <c r="S107" s="17">
        <v>0</v>
      </c>
      <c r="T107" s="17">
        <f t="shared" si="99"/>
        <v>681500</v>
      </c>
      <c r="U107" s="31"/>
      <c r="V107" s="17">
        <v>40000</v>
      </c>
      <c r="W107" s="17">
        <v>0</v>
      </c>
      <c r="X107" s="13">
        <f t="shared" si="95"/>
        <v>721500</v>
      </c>
      <c r="Y107" s="16">
        <v>0</v>
      </c>
      <c r="Z107" s="17">
        <v>0</v>
      </c>
      <c r="AA107" s="30">
        <f t="shared" si="96"/>
        <v>721500</v>
      </c>
      <c r="AB107" s="31"/>
      <c r="AC107" s="16">
        <v>160000</v>
      </c>
      <c r="AD107" s="17">
        <v>0</v>
      </c>
      <c r="AE107" s="13">
        <f t="shared" si="97"/>
        <v>881500</v>
      </c>
      <c r="AF107" s="31"/>
      <c r="AG107" s="139">
        <v>0</v>
      </c>
      <c r="AH107" s="17">
        <v>0</v>
      </c>
      <c r="AI107" s="13">
        <f t="shared" si="100"/>
        <v>881500</v>
      </c>
      <c r="AJ107" s="31"/>
      <c r="AK107" s="16">
        <v>0</v>
      </c>
      <c r="AL107" s="17">
        <v>0</v>
      </c>
      <c r="AM107" s="13">
        <f t="shared" si="101"/>
        <v>881500</v>
      </c>
      <c r="AN107" s="31"/>
      <c r="AO107" s="16">
        <v>250000</v>
      </c>
      <c r="AP107" s="17">
        <v>0</v>
      </c>
      <c r="AQ107" s="13">
        <f t="shared" si="102"/>
        <v>1131500</v>
      </c>
      <c r="AR107" s="31"/>
      <c r="AS107" s="16">
        <v>0</v>
      </c>
      <c r="AT107" s="17">
        <v>0</v>
      </c>
      <c r="AU107" s="13">
        <f t="shared" si="98"/>
        <v>1131500</v>
      </c>
      <c r="AV107" s="31"/>
    </row>
    <row r="108" spans="1:48" x14ac:dyDescent="0.25">
      <c r="A108" s="14" t="s">
        <v>111</v>
      </c>
      <c r="B108" s="15" t="s">
        <v>112</v>
      </c>
      <c r="C108" s="17">
        <v>0</v>
      </c>
      <c r="D108" s="17">
        <v>0</v>
      </c>
      <c r="E108" s="17">
        <f t="shared" si="69"/>
        <v>0</v>
      </c>
      <c r="F108" s="19"/>
      <c r="G108" s="17">
        <v>34300</v>
      </c>
      <c r="H108" s="17">
        <v>0</v>
      </c>
      <c r="I108" s="13">
        <f t="shared" si="78"/>
        <v>34300</v>
      </c>
      <c r="J108" s="16">
        <v>20000</v>
      </c>
      <c r="K108" s="17">
        <v>0</v>
      </c>
      <c r="L108" s="13">
        <f t="shared" si="103"/>
        <v>54300</v>
      </c>
      <c r="M108" s="19"/>
      <c r="N108" s="16">
        <v>0</v>
      </c>
      <c r="O108" s="17">
        <v>0</v>
      </c>
      <c r="P108" s="13">
        <f t="shared" si="94"/>
        <v>54300</v>
      </c>
      <c r="Q108" s="19"/>
      <c r="R108" s="18">
        <v>0</v>
      </c>
      <c r="S108" s="17">
        <v>0</v>
      </c>
      <c r="T108" s="17">
        <f t="shared" si="99"/>
        <v>54300</v>
      </c>
      <c r="U108" s="31"/>
      <c r="V108" s="17">
        <v>62154</v>
      </c>
      <c r="W108" s="17">
        <v>0</v>
      </c>
      <c r="X108" s="13">
        <f t="shared" si="95"/>
        <v>116454</v>
      </c>
      <c r="Y108" s="16">
        <v>0</v>
      </c>
      <c r="Z108" s="17">
        <v>0</v>
      </c>
      <c r="AA108" s="30">
        <f t="shared" si="96"/>
        <v>116454</v>
      </c>
      <c r="AB108" s="31"/>
      <c r="AC108" s="16">
        <v>0</v>
      </c>
      <c r="AD108" s="17">
        <v>0</v>
      </c>
      <c r="AE108" s="13">
        <f t="shared" si="97"/>
        <v>116454</v>
      </c>
      <c r="AF108" s="31"/>
      <c r="AG108" s="139">
        <v>0</v>
      </c>
      <c r="AH108" s="17">
        <v>0</v>
      </c>
      <c r="AI108" s="13">
        <f t="shared" si="100"/>
        <v>116454</v>
      </c>
      <c r="AJ108" s="31"/>
      <c r="AK108" s="16">
        <v>24000</v>
      </c>
      <c r="AL108" s="17">
        <v>0</v>
      </c>
      <c r="AM108" s="13">
        <f t="shared" si="101"/>
        <v>140454</v>
      </c>
      <c r="AN108" s="31"/>
      <c r="AO108" s="16">
        <v>0</v>
      </c>
      <c r="AP108" s="17">
        <v>0</v>
      </c>
      <c r="AQ108" s="13">
        <f t="shared" si="102"/>
        <v>140454</v>
      </c>
      <c r="AR108" s="31"/>
      <c r="AS108" s="16">
        <v>24500</v>
      </c>
      <c r="AT108" s="17">
        <v>0</v>
      </c>
      <c r="AU108" s="13">
        <f t="shared" si="98"/>
        <v>164954</v>
      </c>
      <c r="AV108" s="31"/>
    </row>
    <row r="109" spans="1:48" x14ac:dyDescent="0.25">
      <c r="A109" s="14" t="s">
        <v>113</v>
      </c>
      <c r="B109" s="15" t="s">
        <v>114</v>
      </c>
      <c r="C109" s="17">
        <v>0</v>
      </c>
      <c r="D109" s="17">
        <v>0</v>
      </c>
      <c r="E109" s="17">
        <f t="shared" si="69"/>
        <v>0</v>
      </c>
      <c r="F109" s="19"/>
      <c r="G109" s="17">
        <v>0</v>
      </c>
      <c r="H109" s="17">
        <v>0</v>
      </c>
      <c r="I109" s="13">
        <f t="shared" si="78"/>
        <v>0</v>
      </c>
      <c r="J109" s="16">
        <v>0</v>
      </c>
      <c r="K109" s="17">
        <v>0</v>
      </c>
      <c r="L109" s="13">
        <f t="shared" si="103"/>
        <v>0</v>
      </c>
      <c r="M109" s="19"/>
      <c r="N109" s="16">
        <v>0</v>
      </c>
      <c r="O109" s="17">
        <v>0</v>
      </c>
      <c r="P109" s="13">
        <f t="shared" si="94"/>
        <v>0</v>
      </c>
      <c r="Q109" s="19"/>
      <c r="R109" s="18">
        <v>0</v>
      </c>
      <c r="S109" s="17">
        <v>0</v>
      </c>
      <c r="T109" s="17">
        <f t="shared" si="99"/>
        <v>0</v>
      </c>
      <c r="U109" s="31"/>
      <c r="V109" s="17">
        <v>0</v>
      </c>
      <c r="W109" s="17">
        <v>0</v>
      </c>
      <c r="X109" s="13">
        <f t="shared" si="95"/>
        <v>0</v>
      </c>
      <c r="Y109" s="16">
        <v>0</v>
      </c>
      <c r="Z109" s="17">
        <v>0</v>
      </c>
      <c r="AA109" s="30">
        <f t="shared" si="96"/>
        <v>0</v>
      </c>
      <c r="AB109" s="31"/>
      <c r="AC109" s="16">
        <v>0</v>
      </c>
      <c r="AD109" s="17">
        <v>0</v>
      </c>
      <c r="AE109" s="13">
        <f t="shared" si="97"/>
        <v>0</v>
      </c>
      <c r="AF109" s="31"/>
      <c r="AG109" s="139">
        <v>0</v>
      </c>
      <c r="AH109" s="17">
        <v>0</v>
      </c>
      <c r="AI109" s="13">
        <f t="shared" si="100"/>
        <v>0</v>
      </c>
      <c r="AJ109" s="31"/>
      <c r="AK109" s="16">
        <v>0</v>
      </c>
      <c r="AL109" s="17">
        <v>0</v>
      </c>
      <c r="AM109" s="13">
        <f t="shared" si="101"/>
        <v>0</v>
      </c>
      <c r="AN109" s="31"/>
      <c r="AO109" s="16">
        <v>14800</v>
      </c>
      <c r="AP109" s="17">
        <v>0</v>
      </c>
      <c r="AQ109" s="13">
        <f t="shared" si="102"/>
        <v>14800</v>
      </c>
      <c r="AR109" s="31"/>
      <c r="AS109" s="16">
        <v>0</v>
      </c>
      <c r="AT109" s="17">
        <v>0</v>
      </c>
      <c r="AU109" s="13">
        <f t="shared" si="98"/>
        <v>14800</v>
      </c>
      <c r="AV109" s="31"/>
    </row>
    <row r="110" spans="1:48" x14ac:dyDescent="0.25">
      <c r="A110" s="14" t="s">
        <v>115</v>
      </c>
      <c r="B110" s="15" t="s">
        <v>116</v>
      </c>
      <c r="C110" s="17">
        <v>0</v>
      </c>
      <c r="D110" s="17">
        <v>0</v>
      </c>
      <c r="E110" s="17">
        <f t="shared" si="69"/>
        <v>0</v>
      </c>
      <c r="F110" s="19"/>
      <c r="G110" s="17">
        <v>0</v>
      </c>
      <c r="H110" s="17">
        <v>0</v>
      </c>
      <c r="I110" s="13">
        <f t="shared" si="78"/>
        <v>0</v>
      </c>
      <c r="J110" s="16">
        <v>0</v>
      </c>
      <c r="K110" s="17">
        <v>0</v>
      </c>
      <c r="L110" s="13">
        <f t="shared" si="103"/>
        <v>0</v>
      </c>
      <c r="M110" s="19"/>
      <c r="N110" s="16">
        <v>29500</v>
      </c>
      <c r="O110" s="17">
        <v>0</v>
      </c>
      <c r="P110" s="13">
        <f t="shared" si="94"/>
        <v>29500</v>
      </c>
      <c r="Q110" s="19"/>
      <c r="R110" s="18">
        <v>0</v>
      </c>
      <c r="S110" s="17">
        <v>0</v>
      </c>
      <c r="T110" s="17">
        <f t="shared" si="99"/>
        <v>29500</v>
      </c>
      <c r="U110" s="31"/>
      <c r="V110" s="17">
        <v>28000</v>
      </c>
      <c r="W110" s="17">
        <v>0</v>
      </c>
      <c r="X110" s="13">
        <f t="shared" si="95"/>
        <v>57500</v>
      </c>
      <c r="Y110" s="16">
        <v>0</v>
      </c>
      <c r="Z110" s="17">
        <v>0</v>
      </c>
      <c r="AA110" s="30">
        <f t="shared" si="96"/>
        <v>57500</v>
      </c>
      <c r="AB110" s="31"/>
      <c r="AC110" s="16">
        <v>0</v>
      </c>
      <c r="AD110" s="17">
        <v>0</v>
      </c>
      <c r="AE110" s="13">
        <f t="shared" si="97"/>
        <v>57500</v>
      </c>
      <c r="AF110" s="31"/>
      <c r="AG110" s="139">
        <v>0</v>
      </c>
      <c r="AH110" s="17">
        <v>0</v>
      </c>
      <c r="AI110" s="13">
        <f t="shared" si="100"/>
        <v>57500</v>
      </c>
      <c r="AJ110" s="31"/>
      <c r="AK110" s="16">
        <v>0</v>
      </c>
      <c r="AL110" s="17">
        <v>0</v>
      </c>
      <c r="AM110" s="13">
        <f t="shared" si="101"/>
        <v>57500</v>
      </c>
      <c r="AN110" s="31"/>
      <c r="AO110" s="16">
        <v>0</v>
      </c>
      <c r="AP110" s="17">
        <v>0</v>
      </c>
      <c r="AQ110" s="13">
        <f t="shared" si="102"/>
        <v>57500</v>
      </c>
      <c r="AR110" s="31"/>
      <c r="AS110" s="16">
        <v>0</v>
      </c>
      <c r="AT110" s="17">
        <v>0</v>
      </c>
      <c r="AU110" s="13">
        <f t="shared" si="98"/>
        <v>57500</v>
      </c>
      <c r="AV110" s="31"/>
    </row>
    <row r="111" spans="1:48" x14ac:dyDescent="0.25">
      <c r="A111" s="14" t="s">
        <v>117</v>
      </c>
      <c r="B111" s="15" t="s">
        <v>118</v>
      </c>
      <c r="C111" s="17">
        <v>5221</v>
      </c>
      <c r="D111" s="17">
        <v>0</v>
      </c>
      <c r="E111" s="17">
        <f t="shared" si="69"/>
        <v>5221</v>
      </c>
      <c r="F111" s="19"/>
      <c r="G111" s="17">
        <v>6900</v>
      </c>
      <c r="H111" s="17">
        <v>0</v>
      </c>
      <c r="I111" s="13">
        <f t="shared" si="78"/>
        <v>12121</v>
      </c>
      <c r="J111" s="16">
        <v>8700</v>
      </c>
      <c r="K111" s="17">
        <v>0</v>
      </c>
      <c r="L111" s="13">
        <f t="shared" si="103"/>
        <v>20821</v>
      </c>
      <c r="M111" s="19"/>
      <c r="N111" s="16">
        <v>9361</v>
      </c>
      <c r="O111" s="17">
        <v>0</v>
      </c>
      <c r="P111" s="13">
        <f t="shared" si="94"/>
        <v>30182</v>
      </c>
      <c r="Q111" s="19"/>
      <c r="R111" s="18">
        <v>7400</v>
      </c>
      <c r="S111" s="17">
        <v>0</v>
      </c>
      <c r="T111" s="17">
        <f t="shared" si="99"/>
        <v>37582</v>
      </c>
      <c r="U111" s="31"/>
      <c r="V111" s="17">
        <v>5500</v>
      </c>
      <c r="W111" s="17">
        <v>0</v>
      </c>
      <c r="X111" s="13">
        <f t="shared" si="95"/>
        <v>43082</v>
      </c>
      <c r="Y111" s="16">
        <v>25800</v>
      </c>
      <c r="Z111" s="17">
        <v>0</v>
      </c>
      <c r="AA111" s="30">
        <f t="shared" si="96"/>
        <v>68882</v>
      </c>
      <c r="AB111" s="31"/>
      <c r="AC111" s="16">
        <v>10400</v>
      </c>
      <c r="AD111" s="17">
        <v>0</v>
      </c>
      <c r="AE111" s="13">
        <f t="shared" si="97"/>
        <v>79282</v>
      </c>
      <c r="AF111" s="31"/>
      <c r="AG111" s="139">
        <v>5800</v>
      </c>
      <c r="AH111" s="17">
        <v>0</v>
      </c>
      <c r="AI111" s="13">
        <f t="shared" si="100"/>
        <v>85082</v>
      </c>
      <c r="AJ111" s="31"/>
      <c r="AK111" s="16">
        <v>16321</v>
      </c>
      <c r="AL111" s="17">
        <v>0</v>
      </c>
      <c r="AM111" s="13">
        <f t="shared" si="101"/>
        <v>101403</v>
      </c>
      <c r="AN111" s="31"/>
      <c r="AO111" s="16">
        <v>3000</v>
      </c>
      <c r="AP111" s="17">
        <v>0</v>
      </c>
      <c r="AQ111" s="13">
        <f t="shared" si="102"/>
        <v>104403</v>
      </c>
      <c r="AR111" s="31"/>
      <c r="AS111" s="16">
        <v>2200</v>
      </c>
      <c r="AT111" s="17">
        <v>0</v>
      </c>
      <c r="AU111" s="13">
        <f t="shared" si="98"/>
        <v>106603</v>
      </c>
      <c r="AV111" s="31"/>
    </row>
    <row r="112" spans="1:48" x14ac:dyDescent="0.25">
      <c r="A112" s="14" t="s">
        <v>119</v>
      </c>
      <c r="B112" s="15" t="s">
        <v>73</v>
      </c>
      <c r="C112" s="17">
        <v>240283</v>
      </c>
      <c r="D112" s="17">
        <v>0</v>
      </c>
      <c r="E112" s="17">
        <f t="shared" si="69"/>
        <v>240283</v>
      </c>
      <c r="F112" s="19"/>
      <c r="G112" s="17">
        <v>0</v>
      </c>
      <c r="H112" s="17">
        <v>0</v>
      </c>
      <c r="I112" s="13">
        <f t="shared" si="78"/>
        <v>240283</v>
      </c>
      <c r="J112" s="16">
        <v>75000</v>
      </c>
      <c r="K112" s="17">
        <v>0</v>
      </c>
      <c r="L112" s="13">
        <f t="shared" si="103"/>
        <v>315283</v>
      </c>
      <c r="M112" s="19"/>
      <c r="N112" s="16">
        <v>400477</v>
      </c>
      <c r="O112" s="17">
        <v>0</v>
      </c>
      <c r="P112" s="13">
        <f t="shared" si="94"/>
        <v>715760</v>
      </c>
      <c r="Q112" s="19"/>
      <c r="R112" s="18">
        <v>1295</v>
      </c>
      <c r="S112" s="17">
        <v>0</v>
      </c>
      <c r="T112" s="17">
        <f t="shared" si="99"/>
        <v>717055</v>
      </c>
      <c r="U112" s="31"/>
      <c r="V112" s="17">
        <v>47000</v>
      </c>
      <c r="W112" s="17">
        <v>0</v>
      </c>
      <c r="X112" s="13">
        <f t="shared" si="95"/>
        <v>764055</v>
      </c>
      <c r="Y112" s="16">
        <v>0</v>
      </c>
      <c r="Z112" s="17">
        <v>0</v>
      </c>
      <c r="AA112" s="30">
        <f t="shared" si="96"/>
        <v>764055</v>
      </c>
      <c r="AB112" s="31"/>
      <c r="AC112" s="137">
        <v>353827</v>
      </c>
      <c r="AD112" s="17">
        <v>0</v>
      </c>
      <c r="AE112" s="13">
        <f t="shared" si="97"/>
        <v>1117882</v>
      </c>
      <c r="AF112" s="31"/>
      <c r="AG112" s="139">
        <v>0</v>
      </c>
      <c r="AH112" s="17">
        <v>0</v>
      </c>
      <c r="AI112" s="13">
        <f t="shared" si="100"/>
        <v>1117882</v>
      </c>
      <c r="AJ112" s="31"/>
      <c r="AK112" s="137">
        <v>0</v>
      </c>
      <c r="AL112" s="17">
        <v>0</v>
      </c>
      <c r="AM112" s="13">
        <f t="shared" si="101"/>
        <v>1117882</v>
      </c>
      <c r="AN112" s="31"/>
      <c r="AO112" s="137">
        <v>3000</v>
      </c>
      <c r="AP112" s="17">
        <v>0</v>
      </c>
      <c r="AQ112" s="13">
        <f t="shared" si="102"/>
        <v>1120882</v>
      </c>
      <c r="AR112" s="31"/>
      <c r="AS112" s="137">
        <v>100000</v>
      </c>
      <c r="AT112" s="17">
        <v>0</v>
      </c>
      <c r="AU112" s="13">
        <f t="shared" si="98"/>
        <v>1220882</v>
      </c>
      <c r="AV112" s="31"/>
    </row>
    <row r="113" spans="1:48" x14ac:dyDescent="0.25">
      <c r="A113" s="14"/>
      <c r="B113" s="15"/>
      <c r="C113" s="17"/>
      <c r="D113" s="17"/>
      <c r="E113" s="17">
        <f t="shared" si="69"/>
        <v>0</v>
      </c>
      <c r="F113" s="31"/>
      <c r="G113" s="17"/>
      <c r="H113" s="17"/>
      <c r="I113" s="13">
        <f t="shared" si="78"/>
        <v>0</v>
      </c>
      <c r="J113" s="17"/>
      <c r="K113" s="17"/>
      <c r="L113" s="13">
        <f t="shared" si="103"/>
        <v>0</v>
      </c>
      <c r="M113" s="31"/>
      <c r="N113" s="17"/>
      <c r="O113" s="17"/>
      <c r="P113" s="13"/>
      <c r="Q113" s="31"/>
      <c r="R113" s="18"/>
      <c r="S113" s="17"/>
      <c r="T113" s="17"/>
      <c r="U113" s="31"/>
      <c r="V113" s="17"/>
      <c r="W113" s="17"/>
      <c r="X113" s="13">
        <f t="shared" si="95"/>
        <v>0</v>
      </c>
      <c r="Y113" s="17"/>
      <c r="Z113" s="17"/>
      <c r="AA113" s="30">
        <f t="shared" si="96"/>
        <v>0</v>
      </c>
      <c r="AB113" s="31"/>
      <c r="AC113" s="17"/>
      <c r="AD113" s="17"/>
      <c r="AE113" s="13"/>
      <c r="AF113" s="31"/>
      <c r="AG113" s="18"/>
      <c r="AH113" s="17"/>
      <c r="AI113" s="13"/>
      <c r="AJ113" s="31"/>
      <c r="AK113" s="17"/>
      <c r="AL113" s="17"/>
      <c r="AM113" s="13"/>
      <c r="AN113" s="31"/>
      <c r="AO113" s="17"/>
      <c r="AP113" s="17"/>
      <c r="AQ113" s="13"/>
      <c r="AR113" s="31"/>
      <c r="AS113" s="17"/>
      <c r="AT113" s="17"/>
      <c r="AU113" s="13"/>
      <c r="AV113" s="31"/>
    </row>
    <row r="114" spans="1:48" x14ac:dyDescent="0.25">
      <c r="A114" s="14" t="s">
        <v>154</v>
      </c>
      <c r="B114" s="15" t="s">
        <v>145</v>
      </c>
      <c r="C114" s="17">
        <f>+C115+C118+C121+C127+C133</f>
        <v>208051</v>
      </c>
      <c r="D114" s="17">
        <v>0</v>
      </c>
      <c r="E114" s="17">
        <f t="shared" si="69"/>
        <v>208051</v>
      </c>
      <c r="F114" s="19"/>
      <c r="G114" s="17">
        <f>+G115+G118+G121+G127+G133+G130</f>
        <v>1608350</v>
      </c>
      <c r="H114" s="17">
        <v>0</v>
      </c>
      <c r="I114" s="13">
        <f t="shared" si="78"/>
        <v>1816401</v>
      </c>
      <c r="J114" s="17">
        <f>+J115+J118+J121+J127+J133</f>
        <v>345932</v>
      </c>
      <c r="K114" s="17">
        <v>0</v>
      </c>
      <c r="L114" s="13">
        <f t="shared" si="103"/>
        <v>2162333</v>
      </c>
      <c r="M114" s="19"/>
      <c r="N114" s="17">
        <f>+N115+N118+N121+N127+N133+N124+N130</f>
        <v>1550148</v>
      </c>
      <c r="O114" s="17">
        <v>0</v>
      </c>
      <c r="P114" s="13">
        <f>L114+N114</f>
        <v>3712481</v>
      </c>
      <c r="Q114" s="19"/>
      <c r="R114" s="18">
        <f>+R115+R118+R121+R127+R133+R124</f>
        <v>401069</v>
      </c>
      <c r="S114" s="17">
        <v>0</v>
      </c>
      <c r="T114" s="17">
        <f>+P114+R114</f>
        <v>4113550</v>
      </c>
      <c r="U114" s="31"/>
      <c r="V114" s="17">
        <f>+V115+V118+V121+V127+V133+V124</f>
        <v>385624</v>
      </c>
      <c r="W114" s="17">
        <v>0</v>
      </c>
      <c r="X114" s="13">
        <f t="shared" si="95"/>
        <v>4499174</v>
      </c>
      <c r="Y114" s="17">
        <f>+Y115+Y118+Y121+Y127+Y133+Y124</f>
        <v>401069</v>
      </c>
      <c r="Z114" s="17">
        <v>0</v>
      </c>
      <c r="AA114" s="30">
        <f>+X114+Y114</f>
        <v>4900243</v>
      </c>
      <c r="AB114" s="31"/>
      <c r="AC114" s="17">
        <f>+AC115+AC118+AC121+AC127+AC133+AC124</f>
        <v>3447502</v>
      </c>
      <c r="AD114" s="17">
        <v>0</v>
      </c>
      <c r="AE114" s="13">
        <f>AA114+AC114</f>
        <v>8347745</v>
      </c>
      <c r="AF114" s="31"/>
      <c r="AG114" s="18">
        <f>+AG115+AG118+AG121+AG127+AG133+AG124</f>
        <v>401069</v>
      </c>
      <c r="AH114" s="17">
        <v>0</v>
      </c>
      <c r="AI114" s="13">
        <f>AE114+AG114</f>
        <v>8748814</v>
      </c>
      <c r="AJ114" s="31"/>
      <c r="AK114" s="17">
        <f>+AK115+AK118+AK121+AK127+AK133+AK124</f>
        <v>401069</v>
      </c>
      <c r="AL114" s="17">
        <v>0</v>
      </c>
      <c r="AM114" s="13">
        <f>AI114+AK114</f>
        <v>9149883</v>
      </c>
      <c r="AN114" s="31"/>
      <c r="AO114" s="17">
        <f>+AO115+AO118+AO121+AO127+AO133+AO124</f>
        <v>401069</v>
      </c>
      <c r="AP114" s="17">
        <v>0</v>
      </c>
      <c r="AQ114" s="13">
        <f>AM114+AO114</f>
        <v>9550952</v>
      </c>
      <c r="AR114" s="31"/>
      <c r="AS114" s="17">
        <f>+AS115+AS118+AS121+AS127+AS133+AS124</f>
        <v>401069</v>
      </c>
      <c r="AT114" s="17">
        <v>0</v>
      </c>
      <c r="AU114" s="13">
        <f>AQ114+AS114</f>
        <v>9952021</v>
      </c>
      <c r="AV114" s="31"/>
    </row>
    <row r="115" spans="1:48" x14ac:dyDescent="0.25">
      <c r="A115" s="14" t="s">
        <v>155</v>
      </c>
      <c r="B115" s="15" t="s">
        <v>63</v>
      </c>
      <c r="C115" s="17">
        <v>0</v>
      </c>
      <c r="D115" s="17">
        <v>0</v>
      </c>
      <c r="E115" s="17">
        <f t="shared" si="69"/>
        <v>0</v>
      </c>
      <c r="F115" s="19"/>
      <c r="G115" s="17">
        <f>+G116</f>
        <v>0</v>
      </c>
      <c r="H115" s="17">
        <v>0</v>
      </c>
      <c r="I115" s="13">
        <f t="shared" si="78"/>
        <v>0</v>
      </c>
      <c r="J115" s="17">
        <v>0</v>
      </c>
      <c r="K115" s="17">
        <v>0</v>
      </c>
      <c r="L115" s="13">
        <f t="shared" si="103"/>
        <v>0</v>
      </c>
      <c r="M115" s="19"/>
      <c r="N115" s="17">
        <v>0</v>
      </c>
      <c r="O115" s="17">
        <v>0</v>
      </c>
      <c r="P115" s="13">
        <f t="shared" ref="P115:P116" si="104">L115+N115</f>
        <v>0</v>
      </c>
      <c r="Q115" s="19"/>
      <c r="R115" s="18">
        <v>0</v>
      </c>
      <c r="S115" s="17">
        <v>0</v>
      </c>
      <c r="T115" s="17">
        <f t="shared" si="86"/>
        <v>0</v>
      </c>
      <c r="U115" s="31"/>
      <c r="V115" s="17">
        <f>+V116</f>
        <v>0</v>
      </c>
      <c r="W115" s="17">
        <v>0</v>
      </c>
      <c r="X115" s="13">
        <f t="shared" si="95"/>
        <v>0</v>
      </c>
      <c r="Y115" s="17">
        <v>0</v>
      </c>
      <c r="Z115" s="17">
        <v>0</v>
      </c>
      <c r="AA115" s="30">
        <f t="shared" si="96"/>
        <v>0</v>
      </c>
      <c r="AB115" s="31"/>
      <c r="AC115" s="17">
        <v>0</v>
      </c>
      <c r="AD115" s="17">
        <v>0</v>
      </c>
      <c r="AE115" s="13">
        <f t="shared" ref="AE115:AE116" si="105">AA115+AC115</f>
        <v>0</v>
      </c>
      <c r="AF115" s="31"/>
      <c r="AG115" s="18">
        <v>0</v>
      </c>
      <c r="AH115" s="17">
        <v>0</v>
      </c>
      <c r="AI115" s="13">
        <f t="shared" ref="AI115:AI116" si="106">AE115+AG115</f>
        <v>0</v>
      </c>
      <c r="AJ115" s="31"/>
      <c r="AK115" s="17">
        <v>0</v>
      </c>
      <c r="AL115" s="17">
        <v>0</v>
      </c>
      <c r="AM115" s="13">
        <f t="shared" ref="AM115:AM116" si="107">AI115+AK115</f>
        <v>0</v>
      </c>
      <c r="AN115" s="31"/>
      <c r="AO115" s="17">
        <v>0</v>
      </c>
      <c r="AP115" s="17">
        <v>0</v>
      </c>
      <c r="AQ115" s="13">
        <f t="shared" ref="AQ115:AQ116" si="108">AM115+AO115</f>
        <v>0</v>
      </c>
      <c r="AR115" s="31"/>
      <c r="AS115" s="17">
        <v>0</v>
      </c>
      <c r="AT115" s="17">
        <v>0</v>
      </c>
      <c r="AU115" s="13">
        <f t="shared" ref="AU115:AU116" si="109">AQ115+AS115</f>
        <v>0</v>
      </c>
      <c r="AV115" s="31"/>
    </row>
    <row r="116" spans="1:48" x14ac:dyDescent="0.25">
      <c r="A116" s="14" t="s">
        <v>156</v>
      </c>
      <c r="B116" s="15" t="s">
        <v>73</v>
      </c>
      <c r="C116" s="17">
        <v>0</v>
      </c>
      <c r="D116" s="17">
        <v>0</v>
      </c>
      <c r="E116" s="17">
        <f t="shared" si="69"/>
        <v>0</v>
      </c>
      <c r="F116" s="19"/>
      <c r="G116" s="17">
        <v>0</v>
      </c>
      <c r="H116" s="17">
        <v>0</v>
      </c>
      <c r="I116" s="13">
        <f t="shared" si="78"/>
        <v>0</v>
      </c>
      <c r="J116" s="17">
        <v>0</v>
      </c>
      <c r="K116" s="17">
        <v>0</v>
      </c>
      <c r="L116" s="13">
        <f t="shared" si="103"/>
        <v>0</v>
      </c>
      <c r="M116" s="19"/>
      <c r="N116" s="17">
        <v>0</v>
      </c>
      <c r="O116" s="17">
        <v>0</v>
      </c>
      <c r="P116" s="13">
        <f t="shared" si="104"/>
        <v>0</v>
      </c>
      <c r="Q116" s="19"/>
      <c r="R116" s="18">
        <v>0</v>
      </c>
      <c r="S116" s="17">
        <v>0</v>
      </c>
      <c r="T116" s="17">
        <f t="shared" si="86"/>
        <v>0</v>
      </c>
      <c r="U116" s="31"/>
      <c r="V116" s="17">
        <v>0</v>
      </c>
      <c r="W116" s="17">
        <v>0</v>
      </c>
      <c r="X116" s="13">
        <f t="shared" si="95"/>
        <v>0</v>
      </c>
      <c r="Y116" s="17">
        <v>0</v>
      </c>
      <c r="Z116" s="17">
        <v>0</v>
      </c>
      <c r="AA116" s="30">
        <f t="shared" si="96"/>
        <v>0</v>
      </c>
      <c r="AB116" s="31"/>
      <c r="AC116" s="17">
        <v>0</v>
      </c>
      <c r="AD116" s="17">
        <v>0</v>
      </c>
      <c r="AE116" s="13">
        <f t="shared" si="105"/>
        <v>0</v>
      </c>
      <c r="AF116" s="31"/>
      <c r="AG116" s="18">
        <v>0</v>
      </c>
      <c r="AH116" s="17">
        <v>0</v>
      </c>
      <c r="AI116" s="13">
        <f t="shared" si="106"/>
        <v>0</v>
      </c>
      <c r="AJ116" s="31"/>
      <c r="AK116" s="17">
        <v>0</v>
      </c>
      <c r="AL116" s="17">
        <v>0</v>
      </c>
      <c r="AM116" s="13">
        <f t="shared" si="107"/>
        <v>0</v>
      </c>
      <c r="AN116" s="31"/>
      <c r="AO116" s="17">
        <v>0</v>
      </c>
      <c r="AP116" s="17">
        <v>0</v>
      </c>
      <c r="AQ116" s="13">
        <f t="shared" si="108"/>
        <v>0</v>
      </c>
      <c r="AR116" s="31"/>
      <c r="AS116" s="17">
        <v>0</v>
      </c>
      <c r="AT116" s="17">
        <v>0</v>
      </c>
      <c r="AU116" s="13">
        <f t="shared" si="109"/>
        <v>0</v>
      </c>
      <c r="AV116" s="31"/>
    </row>
    <row r="117" spans="1:48" x14ac:dyDescent="0.25">
      <c r="A117" s="14"/>
      <c r="B117" s="15"/>
      <c r="C117" s="17"/>
      <c r="D117" s="17"/>
      <c r="E117" s="17">
        <f t="shared" si="69"/>
        <v>0</v>
      </c>
      <c r="F117" s="31"/>
      <c r="G117" s="17"/>
      <c r="H117" s="17"/>
      <c r="I117" s="13">
        <f t="shared" si="78"/>
        <v>0</v>
      </c>
      <c r="J117" s="17"/>
      <c r="K117" s="17"/>
      <c r="L117" s="13">
        <f t="shared" si="103"/>
        <v>0</v>
      </c>
      <c r="M117" s="31"/>
      <c r="N117" s="17"/>
      <c r="O117" s="17"/>
      <c r="P117" s="13"/>
      <c r="Q117" s="31"/>
      <c r="R117" s="18"/>
      <c r="S117" s="17"/>
      <c r="T117" s="17">
        <f t="shared" si="86"/>
        <v>0</v>
      </c>
      <c r="U117" s="31"/>
      <c r="V117" s="17"/>
      <c r="W117" s="17"/>
      <c r="X117" s="13">
        <f t="shared" si="95"/>
        <v>0</v>
      </c>
      <c r="Y117" s="17"/>
      <c r="Z117" s="17"/>
      <c r="AA117" s="30">
        <f t="shared" si="96"/>
        <v>0</v>
      </c>
      <c r="AB117" s="31"/>
      <c r="AC117" s="17"/>
      <c r="AD117" s="17"/>
      <c r="AE117" s="13"/>
      <c r="AF117" s="31"/>
      <c r="AG117" s="18"/>
      <c r="AH117" s="17"/>
      <c r="AI117" s="13"/>
      <c r="AJ117" s="31"/>
      <c r="AK117" s="17"/>
      <c r="AL117" s="17"/>
      <c r="AM117" s="13"/>
      <c r="AN117" s="31"/>
      <c r="AO117" s="17"/>
      <c r="AP117" s="17"/>
      <c r="AQ117" s="13"/>
      <c r="AR117" s="31"/>
      <c r="AS117" s="17"/>
      <c r="AT117" s="17"/>
      <c r="AU117" s="13"/>
      <c r="AV117" s="31"/>
    </row>
    <row r="118" spans="1:48" x14ac:dyDescent="0.25">
      <c r="A118" s="14" t="s">
        <v>157</v>
      </c>
      <c r="B118" s="15" t="s">
        <v>67</v>
      </c>
      <c r="C118" s="17">
        <v>0</v>
      </c>
      <c r="D118" s="17">
        <v>0</v>
      </c>
      <c r="E118" s="17">
        <f t="shared" si="69"/>
        <v>0</v>
      </c>
      <c r="F118" s="19"/>
      <c r="G118" s="17">
        <f>+G119</f>
        <v>0</v>
      </c>
      <c r="H118" s="17">
        <v>0</v>
      </c>
      <c r="I118" s="13">
        <f t="shared" si="78"/>
        <v>0</v>
      </c>
      <c r="J118" s="17">
        <f>+J119</f>
        <v>205100</v>
      </c>
      <c r="K118" s="17">
        <v>0</v>
      </c>
      <c r="L118" s="13">
        <f t="shared" si="103"/>
        <v>205100</v>
      </c>
      <c r="M118" s="19"/>
      <c r="N118" s="17">
        <f>+N119</f>
        <v>205100</v>
      </c>
      <c r="O118" s="17">
        <v>0</v>
      </c>
      <c r="P118" s="13">
        <f>L118+N118</f>
        <v>410200</v>
      </c>
      <c r="Q118" s="19"/>
      <c r="R118" s="18">
        <v>205100</v>
      </c>
      <c r="S118" s="17">
        <v>0</v>
      </c>
      <c r="T118" s="17">
        <f t="shared" si="86"/>
        <v>615300</v>
      </c>
      <c r="U118" s="31"/>
      <c r="V118" s="17">
        <v>205100</v>
      </c>
      <c r="W118" s="17">
        <v>0</v>
      </c>
      <c r="X118" s="13">
        <f t="shared" si="95"/>
        <v>820400</v>
      </c>
      <c r="Y118" s="17">
        <f>+Y119</f>
        <v>205100</v>
      </c>
      <c r="Z118" s="17">
        <v>0</v>
      </c>
      <c r="AA118" s="30">
        <f t="shared" si="96"/>
        <v>1025500</v>
      </c>
      <c r="AB118" s="31"/>
      <c r="AC118" s="17">
        <f>+AC119</f>
        <v>205100</v>
      </c>
      <c r="AD118" s="17">
        <v>0</v>
      </c>
      <c r="AE118" s="13">
        <f>AA118+AC118</f>
        <v>1230600</v>
      </c>
      <c r="AF118" s="31"/>
      <c r="AG118" s="18">
        <f>+AG119</f>
        <v>205100</v>
      </c>
      <c r="AH118" s="17">
        <v>0</v>
      </c>
      <c r="AI118" s="13">
        <f>AE118+AG118</f>
        <v>1435700</v>
      </c>
      <c r="AJ118" s="31"/>
      <c r="AK118" s="17">
        <f>+AK119</f>
        <v>205100</v>
      </c>
      <c r="AL118" s="17">
        <v>0</v>
      </c>
      <c r="AM118" s="13">
        <f>AI118+AK118</f>
        <v>1640800</v>
      </c>
      <c r="AN118" s="31"/>
      <c r="AO118" s="17">
        <f>+AO119</f>
        <v>205100</v>
      </c>
      <c r="AP118" s="17">
        <v>0</v>
      </c>
      <c r="AQ118" s="13">
        <f>AM118+AO118</f>
        <v>1845900</v>
      </c>
      <c r="AR118" s="31"/>
      <c r="AS118" s="17">
        <f>+AS119</f>
        <v>205100</v>
      </c>
      <c r="AT118" s="17">
        <v>0</v>
      </c>
      <c r="AU118" s="13">
        <f>AQ118+AS118</f>
        <v>2051000</v>
      </c>
      <c r="AV118" s="31"/>
    </row>
    <row r="119" spans="1:48" x14ac:dyDescent="0.25">
      <c r="A119" s="14" t="s">
        <v>158</v>
      </c>
      <c r="B119" s="15" t="s">
        <v>93</v>
      </c>
      <c r="C119" s="17">
        <v>0</v>
      </c>
      <c r="D119" s="17">
        <v>0</v>
      </c>
      <c r="E119" s="17">
        <f t="shared" si="69"/>
        <v>0</v>
      </c>
      <c r="F119" s="19"/>
      <c r="G119" s="17"/>
      <c r="H119" s="17">
        <v>0</v>
      </c>
      <c r="I119" s="13">
        <f t="shared" si="78"/>
        <v>0</v>
      </c>
      <c r="J119" s="17">
        <v>205100</v>
      </c>
      <c r="K119" s="17">
        <v>0</v>
      </c>
      <c r="L119" s="13">
        <f t="shared" si="103"/>
        <v>205100</v>
      </c>
      <c r="M119" s="19"/>
      <c r="N119" s="17">
        <v>205100</v>
      </c>
      <c r="O119" s="17">
        <v>0</v>
      </c>
      <c r="P119" s="13">
        <f t="shared" ref="P119:P142" si="110">L119+N119</f>
        <v>410200</v>
      </c>
      <c r="Q119" s="19"/>
      <c r="R119" s="18">
        <v>205100</v>
      </c>
      <c r="S119" s="17">
        <v>0</v>
      </c>
      <c r="T119" s="17">
        <f t="shared" si="86"/>
        <v>615300</v>
      </c>
      <c r="U119" s="31"/>
      <c r="V119" s="17">
        <v>205100</v>
      </c>
      <c r="W119" s="17">
        <v>0</v>
      </c>
      <c r="X119" s="13">
        <f t="shared" si="95"/>
        <v>820400</v>
      </c>
      <c r="Y119" s="17">
        <v>205100</v>
      </c>
      <c r="Z119" s="17">
        <v>0</v>
      </c>
      <c r="AA119" s="30">
        <f t="shared" si="96"/>
        <v>1025500</v>
      </c>
      <c r="AB119" s="31"/>
      <c r="AC119" s="17">
        <v>205100</v>
      </c>
      <c r="AD119" s="17">
        <v>0</v>
      </c>
      <c r="AE119" s="13">
        <f t="shared" ref="AE119:AE142" si="111">AA119+AC119</f>
        <v>1230600</v>
      </c>
      <c r="AF119" s="31"/>
      <c r="AG119" s="18">
        <v>205100</v>
      </c>
      <c r="AH119" s="17">
        <v>0</v>
      </c>
      <c r="AI119" s="13">
        <f t="shared" ref="AI119:AI124" si="112">AE119+AG119</f>
        <v>1435700</v>
      </c>
      <c r="AJ119" s="31"/>
      <c r="AK119" s="17">
        <v>205100</v>
      </c>
      <c r="AL119" s="17">
        <v>0</v>
      </c>
      <c r="AM119" s="13">
        <f t="shared" ref="AM119:AM124" si="113">AI119+AK119</f>
        <v>1640800</v>
      </c>
      <c r="AN119" s="31"/>
      <c r="AO119" s="17">
        <v>205100</v>
      </c>
      <c r="AP119" s="17">
        <v>0</v>
      </c>
      <c r="AQ119" s="13">
        <f t="shared" ref="AQ119:AQ124" si="114">AM119+AO119</f>
        <v>1845900</v>
      </c>
      <c r="AR119" s="31"/>
      <c r="AS119" s="17">
        <v>205100</v>
      </c>
      <c r="AT119" s="17">
        <v>0</v>
      </c>
      <c r="AU119" s="13">
        <f t="shared" ref="AU119:AU124" si="115">AQ119+AS119</f>
        <v>2051000</v>
      </c>
      <c r="AV119" s="31"/>
    </row>
    <row r="120" spans="1:48" x14ac:dyDescent="0.25">
      <c r="A120" s="14"/>
      <c r="B120" s="15"/>
      <c r="C120" s="17"/>
      <c r="D120" s="17"/>
      <c r="E120" s="17">
        <f t="shared" si="69"/>
        <v>0</v>
      </c>
      <c r="F120" s="31"/>
      <c r="G120" s="17"/>
      <c r="H120" s="17"/>
      <c r="I120" s="13">
        <f t="shared" si="78"/>
        <v>0</v>
      </c>
      <c r="J120" s="17"/>
      <c r="K120" s="17"/>
      <c r="L120" s="13">
        <f t="shared" si="103"/>
        <v>0</v>
      </c>
      <c r="M120" s="31"/>
      <c r="N120" s="17"/>
      <c r="O120" s="17"/>
      <c r="P120" s="13">
        <f t="shared" si="110"/>
        <v>0</v>
      </c>
      <c r="Q120" s="31"/>
      <c r="R120" s="18"/>
      <c r="S120" s="17"/>
      <c r="T120" s="17">
        <f t="shared" si="86"/>
        <v>0</v>
      </c>
      <c r="U120" s="31"/>
      <c r="V120" s="17"/>
      <c r="W120" s="17"/>
      <c r="X120" s="13">
        <f t="shared" si="95"/>
        <v>0</v>
      </c>
      <c r="Y120" s="17"/>
      <c r="Z120" s="17"/>
      <c r="AA120" s="30">
        <f t="shared" si="96"/>
        <v>0</v>
      </c>
      <c r="AB120" s="31"/>
      <c r="AC120" s="17"/>
      <c r="AD120" s="17"/>
      <c r="AE120" s="13">
        <f t="shared" si="111"/>
        <v>0</v>
      </c>
      <c r="AF120" s="31"/>
      <c r="AG120" s="18"/>
      <c r="AH120" s="17"/>
      <c r="AI120" s="13">
        <f t="shared" si="112"/>
        <v>0</v>
      </c>
      <c r="AJ120" s="31"/>
      <c r="AK120" s="17"/>
      <c r="AL120" s="17"/>
      <c r="AM120" s="13">
        <f t="shared" si="113"/>
        <v>0</v>
      </c>
      <c r="AN120" s="31"/>
      <c r="AO120" s="17"/>
      <c r="AP120" s="17"/>
      <c r="AQ120" s="13">
        <f t="shared" si="114"/>
        <v>0</v>
      </c>
      <c r="AR120" s="31"/>
      <c r="AS120" s="17"/>
      <c r="AT120" s="17"/>
      <c r="AU120" s="13">
        <f t="shared" si="115"/>
        <v>0</v>
      </c>
      <c r="AV120" s="31"/>
    </row>
    <row r="121" spans="1:48" x14ac:dyDescent="0.25">
      <c r="A121" s="14">
        <v>5230</v>
      </c>
      <c r="B121" s="15" t="s">
        <v>71</v>
      </c>
      <c r="C121" s="17">
        <f>+C122</f>
        <v>60131</v>
      </c>
      <c r="D121" s="17">
        <v>0</v>
      </c>
      <c r="E121" s="17">
        <f t="shared" si="69"/>
        <v>60131</v>
      </c>
      <c r="F121" s="31"/>
      <c r="G121" s="17">
        <f>+G122</f>
        <v>60430</v>
      </c>
      <c r="H121" s="17">
        <v>0</v>
      </c>
      <c r="I121" s="13">
        <f t="shared" si="78"/>
        <v>120561</v>
      </c>
      <c r="J121" s="16">
        <f>J122</f>
        <v>40912</v>
      </c>
      <c r="K121" s="17">
        <v>0</v>
      </c>
      <c r="L121" s="13">
        <f t="shared" si="103"/>
        <v>161473</v>
      </c>
      <c r="M121" s="31"/>
      <c r="N121" s="16">
        <f>N122</f>
        <v>41386</v>
      </c>
      <c r="O121" s="17">
        <v>0</v>
      </c>
      <c r="P121" s="13">
        <f t="shared" si="110"/>
        <v>202859</v>
      </c>
      <c r="Q121" s="31"/>
      <c r="R121" s="18">
        <f>+R122</f>
        <v>41860</v>
      </c>
      <c r="S121" s="17">
        <v>0</v>
      </c>
      <c r="T121" s="17">
        <f t="shared" si="86"/>
        <v>244719</v>
      </c>
      <c r="U121" s="31"/>
      <c r="V121" s="17">
        <f>+V122</f>
        <v>41860</v>
      </c>
      <c r="W121" s="17">
        <v>0</v>
      </c>
      <c r="X121" s="13">
        <f t="shared" si="95"/>
        <v>286579</v>
      </c>
      <c r="Y121" s="16">
        <f>Y122</f>
        <v>41860</v>
      </c>
      <c r="Z121" s="17">
        <v>0</v>
      </c>
      <c r="AA121" s="30">
        <f t="shared" si="96"/>
        <v>328439</v>
      </c>
      <c r="AB121" s="31"/>
      <c r="AC121" s="16">
        <f>AC122</f>
        <v>41860</v>
      </c>
      <c r="AD121" s="17">
        <v>0</v>
      </c>
      <c r="AE121" s="13">
        <f t="shared" si="111"/>
        <v>370299</v>
      </c>
      <c r="AF121" s="31"/>
      <c r="AG121" s="139">
        <f>AG122</f>
        <v>41860</v>
      </c>
      <c r="AH121" s="17">
        <v>0</v>
      </c>
      <c r="AI121" s="13">
        <f t="shared" si="112"/>
        <v>412159</v>
      </c>
      <c r="AJ121" s="31"/>
      <c r="AK121" s="16">
        <f>AK122</f>
        <v>41860</v>
      </c>
      <c r="AL121" s="17">
        <v>0</v>
      </c>
      <c r="AM121" s="13">
        <f t="shared" si="113"/>
        <v>454019</v>
      </c>
      <c r="AN121" s="31"/>
      <c r="AO121" s="16">
        <f>AO122</f>
        <v>41860</v>
      </c>
      <c r="AP121" s="17">
        <v>0</v>
      </c>
      <c r="AQ121" s="13">
        <f t="shared" si="114"/>
        <v>495879</v>
      </c>
      <c r="AR121" s="31"/>
      <c r="AS121" s="16">
        <f>AS122</f>
        <v>41860</v>
      </c>
      <c r="AT121" s="17">
        <v>0</v>
      </c>
      <c r="AU121" s="13">
        <f t="shared" si="115"/>
        <v>537739</v>
      </c>
      <c r="AV121" s="31"/>
    </row>
    <row r="122" spans="1:48" x14ac:dyDescent="0.25">
      <c r="A122" s="14">
        <v>523095</v>
      </c>
      <c r="B122" s="15" t="s">
        <v>73</v>
      </c>
      <c r="C122" s="17">
        <v>60131</v>
      </c>
      <c r="D122" s="17">
        <v>0</v>
      </c>
      <c r="E122" s="17">
        <f t="shared" si="69"/>
        <v>60131</v>
      </c>
      <c r="F122" s="31"/>
      <c r="G122" s="17">
        <v>60430</v>
      </c>
      <c r="H122" s="17">
        <v>0</v>
      </c>
      <c r="I122" s="13">
        <f t="shared" si="78"/>
        <v>120561</v>
      </c>
      <c r="J122" s="16">
        <v>40912</v>
      </c>
      <c r="K122" s="17">
        <v>0</v>
      </c>
      <c r="L122" s="13">
        <f t="shared" si="103"/>
        <v>161473</v>
      </c>
      <c r="M122" s="31"/>
      <c r="N122" s="16">
        <v>41386</v>
      </c>
      <c r="O122" s="17">
        <v>0</v>
      </c>
      <c r="P122" s="13">
        <f t="shared" si="110"/>
        <v>202859</v>
      </c>
      <c r="Q122" s="31"/>
      <c r="R122" s="18">
        <v>41860</v>
      </c>
      <c r="S122" s="17">
        <v>0</v>
      </c>
      <c r="T122" s="17">
        <f t="shared" si="86"/>
        <v>244719</v>
      </c>
      <c r="U122" s="31"/>
      <c r="V122" s="17">
        <v>41860</v>
      </c>
      <c r="W122" s="17">
        <v>0</v>
      </c>
      <c r="X122" s="13">
        <f>T122+V122</f>
        <v>286579</v>
      </c>
      <c r="Y122" s="16">
        <v>41860</v>
      </c>
      <c r="Z122" s="17">
        <v>0</v>
      </c>
      <c r="AA122" s="30">
        <f t="shared" si="96"/>
        <v>328439</v>
      </c>
      <c r="AB122" s="31"/>
      <c r="AC122" s="16">
        <v>41860</v>
      </c>
      <c r="AD122" s="17">
        <v>0</v>
      </c>
      <c r="AE122" s="13">
        <f t="shared" si="111"/>
        <v>370299</v>
      </c>
      <c r="AF122" s="31"/>
      <c r="AG122" s="139">
        <v>41860</v>
      </c>
      <c r="AH122" s="17">
        <v>0</v>
      </c>
      <c r="AI122" s="13">
        <f t="shared" si="112"/>
        <v>412159</v>
      </c>
      <c r="AJ122" s="31"/>
      <c r="AK122" s="16">
        <v>41860</v>
      </c>
      <c r="AL122" s="17">
        <v>0</v>
      </c>
      <c r="AM122" s="13">
        <f t="shared" si="113"/>
        <v>454019</v>
      </c>
      <c r="AN122" s="31"/>
      <c r="AO122" s="16">
        <v>41860</v>
      </c>
      <c r="AP122" s="17">
        <v>0</v>
      </c>
      <c r="AQ122" s="13">
        <f t="shared" si="114"/>
        <v>495879</v>
      </c>
      <c r="AR122" s="31"/>
      <c r="AS122" s="16">
        <v>41860</v>
      </c>
      <c r="AT122" s="17">
        <v>0</v>
      </c>
      <c r="AU122" s="13">
        <f t="shared" si="115"/>
        <v>537739</v>
      </c>
      <c r="AV122" s="31"/>
    </row>
    <row r="123" spans="1:48" x14ac:dyDescent="0.25">
      <c r="A123" s="14"/>
      <c r="B123" s="15"/>
      <c r="C123" s="17"/>
      <c r="D123" s="17"/>
      <c r="E123" s="17">
        <f t="shared" si="69"/>
        <v>0</v>
      </c>
      <c r="F123" s="31"/>
      <c r="G123" s="17"/>
      <c r="H123" s="17"/>
      <c r="I123" s="13">
        <f t="shared" si="78"/>
        <v>0</v>
      </c>
      <c r="J123" s="17"/>
      <c r="K123" s="17"/>
      <c r="L123" s="13">
        <f t="shared" si="103"/>
        <v>0</v>
      </c>
      <c r="M123" s="31"/>
      <c r="N123" s="17"/>
      <c r="O123" s="17"/>
      <c r="P123" s="13">
        <f t="shared" si="110"/>
        <v>0</v>
      </c>
      <c r="Q123" s="31"/>
      <c r="R123" s="18"/>
      <c r="S123" s="17"/>
      <c r="T123" s="17">
        <f t="shared" si="86"/>
        <v>0</v>
      </c>
      <c r="U123" s="31"/>
      <c r="V123" s="17"/>
      <c r="W123" s="17"/>
      <c r="X123" s="13">
        <f t="shared" ref="X123:X134" si="116">T123+V123</f>
        <v>0</v>
      </c>
      <c r="Y123" s="17"/>
      <c r="Z123" s="17"/>
      <c r="AA123" s="30">
        <f t="shared" si="96"/>
        <v>0</v>
      </c>
      <c r="AB123" s="31"/>
      <c r="AC123" s="17"/>
      <c r="AD123" s="17"/>
      <c r="AE123" s="13">
        <f t="shared" si="111"/>
        <v>0</v>
      </c>
      <c r="AF123" s="31"/>
      <c r="AG123" s="18"/>
      <c r="AH123" s="17"/>
      <c r="AI123" s="13">
        <f t="shared" si="112"/>
        <v>0</v>
      </c>
      <c r="AJ123" s="31"/>
      <c r="AK123" s="17"/>
      <c r="AL123" s="17"/>
      <c r="AM123" s="13">
        <f t="shared" si="113"/>
        <v>0</v>
      </c>
      <c r="AN123" s="31"/>
      <c r="AO123" s="17"/>
      <c r="AP123" s="17"/>
      <c r="AQ123" s="13">
        <f t="shared" si="114"/>
        <v>0</v>
      </c>
      <c r="AR123" s="31"/>
      <c r="AS123" s="17"/>
      <c r="AT123" s="17"/>
      <c r="AU123" s="13">
        <f t="shared" si="115"/>
        <v>0</v>
      </c>
      <c r="AV123" s="31"/>
    </row>
    <row r="124" spans="1:48" x14ac:dyDescent="0.25">
      <c r="A124" s="14">
        <v>5235</v>
      </c>
      <c r="B124" s="15" t="s">
        <v>335</v>
      </c>
      <c r="C124" s="17">
        <v>0</v>
      </c>
      <c r="D124" s="17">
        <v>0</v>
      </c>
      <c r="E124" s="17">
        <f t="shared" ref="E124" si="117">+C124</f>
        <v>0</v>
      </c>
      <c r="F124" s="31"/>
      <c r="G124" s="17">
        <v>0</v>
      </c>
      <c r="H124" s="17">
        <v>0</v>
      </c>
      <c r="I124" s="13">
        <f t="shared" ref="I124:I125" si="118">+G124</f>
        <v>0</v>
      </c>
      <c r="J124" s="17">
        <v>0</v>
      </c>
      <c r="K124" s="17">
        <v>0</v>
      </c>
      <c r="L124" s="17">
        <f t="shared" ref="L124:L125" si="119">+J124</f>
        <v>0</v>
      </c>
      <c r="M124" s="31"/>
      <c r="N124" s="17">
        <f>+N125</f>
        <v>2150</v>
      </c>
      <c r="O124" s="17">
        <v>0</v>
      </c>
      <c r="P124" s="17">
        <f t="shared" ref="P124:P125" si="120">+N124</f>
        <v>2150</v>
      </c>
      <c r="Q124" s="31"/>
      <c r="R124" s="18">
        <v>51005</v>
      </c>
      <c r="S124" s="17">
        <v>0</v>
      </c>
      <c r="T124" s="17">
        <f t="shared" si="86"/>
        <v>53155</v>
      </c>
      <c r="U124" s="31"/>
      <c r="V124" s="17">
        <f>+V125</f>
        <v>35560</v>
      </c>
      <c r="W124" s="17"/>
      <c r="X124" s="13">
        <f t="shared" si="116"/>
        <v>88715</v>
      </c>
      <c r="Y124" s="17">
        <f>+Y125</f>
        <v>51005</v>
      </c>
      <c r="Z124" s="17"/>
      <c r="AA124" s="30">
        <f>+X124+Y124</f>
        <v>139720</v>
      </c>
      <c r="AB124" s="31"/>
      <c r="AC124" s="17">
        <v>51005</v>
      </c>
      <c r="AD124" s="17"/>
      <c r="AE124" s="13">
        <f t="shared" si="111"/>
        <v>190725</v>
      </c>
      <c r="AF124" s="31"/>
      <c r="AG124" s="18">
        <v>51005</v>
      </c>
      <c r="AH124" s="17"/>
      <c r="AI124" s="13">
        <f t="shared" si="112"/>
        <v>241730</v>
      </c>
      <c r="AJ124" s="31"/>
      <c r="AK124" s="17">
        <v>51005</v>
      </c>
      <c r="AL124" s="17"/>
      <c r="AM124" s="13">
        <f t="shared" si="113"/>
        <v>292735</v>
      </c>
      <c r="AN124" s="31"/>
      <c r="AO124" s="17">
        <v>51005</v>
      </c>
      <c r="AP124" s="17"/>
      <c r="AQ124" s="13">
        <f t="shared" si="114"/>
        <v>343740</v>
      </c>
      <c r="AR124" s="31"/>
      <c r="AS124" s="17">
        <v>51005</v>
      </c>
      <c r="AT124" s="17"/>
      <c r="AU124" s="13">
        <f t="shared" si="115"/>
        <v>394745</v>
      </c>
      <c r="AV124" s="31"/>
    </row>
    <row r="125" spans="1:48" x14ac:dyDescent="0.25">
      <c r="A125" s="14">
        <v>5235</v>
      </c>
      <c r="B125" s="15" t="s">
        <v>336</v>
      </c>
      <c r="C125" s="17">
        <v>0</v>
      </c>
      <c r="D125" s="17">
        <v>0</v>
      </c>
      <c r="E125" s="17">
        <f t="shared" ref="E125" si="121">+C125</f>
        <v>0</v>
      </c>
      <c r="F125" s="31"/>
      <c r="G125" s="17">
        <v>0</v>
      </c>
      <c r="H125" s="17">
        <v>0</v>
      </c>
      <c r="I125" s="13">
        <f t="shared" si="118"/>
        <v>0</v>
      </c>
      <c r="J125" s="17">
        <v>0</v>
      </c>
      <c r="K125" s="17">
        <v>0</v>
      </c>
      <c r="L125" s="17">
        <f t="shared" si="119"/>
        <v>0</v>
      </c>
      <c r="M125" s="31"/>
      <c r="N125" s="17">
        <v>2150</v>
      </c>
      <c r="O125" s="17">
        <v>0</v>
      </c>
      <c r="P125" s="17">
        <f t="shared" si="120"/>
        <v>2150</v>
      </c>
      <c r="Q125" s="31"/>
      <c r="R125" s="18">
        <f>+R124</f>
        <v>51005</v>
      </c>
      <c r="S125" s="17">
        <v>0</v>
      </c>
      <c r="T125" s="17">
        <f t="shared" si="86"/>
        <v>53155</v>
      </c>
      <c r="U125" s="31"/>
      <c r="V125" s="17">
        <v>35560</v>
      </c>
      <c r="W125" s="17"/>
      <c r="X125" s="13">
        <f t="shared" si="116"/>
        <v>88715</v>
      </c>
      <c r="Y125" s="17">
        <v>51005</v>
      </c>
      <c r="Z125" s="17"/>
      <c r="AA125" s="30">
        <f t="shared" ref="AA125:AA133" si="122">+X125+Y125</f>
        <v>139720</v>
      </c>
      <c r="AB125" s="31"/>
      <c r="AC125" s="17">
        <f>+AC124</f>
        <v>51005</v>
      </c>
      <c r="AD125" s="17"/>
      <c r="AE125" s="13">
        <f>+AE124</f>
        <v>190725</v>
      </c>
      <c r="AF125" s="31"/>
      <c r="AG125" s="18">
        <f>+AG124</f>
        <v>51005</v>
      </c>
      <c r="AH125" s="17"/>
      <c r="AI125" s="13">
        <f>+AI124</f>
        <v>241730</v>
      </c>
      <c r="AJ125" s="31"/>
      <c r="AK125" s="17">
        <f>+AK124</f>
        <v>51005</v>
      </c>
      <c r="AL125" s="17"/>
      <c r="AM125" s="13">
        <f>+AM124</f>
        <v>292735</v>
      </c>
      <c r="AN125" s="31"/>
      <c r="AO125" s="17">
        <f>+AO124</f>
        <v>51005</v>
      </c>
      <c r="AP125" s="17"/>
      <c r="AQ125" s="13">
        <f>+AQ124</f>
        <v>343740</v>
      </c>
      <c r="AR125" s="31"/>
      <c r="AS125" s="17">
        <f>+AS124</f>
        <v>51005</v>
      </c>
      <c r="AT125" s="17"/>
      <c r="AU125" s="13">
        <f>+AU124</f>
        <v>394745</v>
      </c>
      <c r="AV125" s="31"/>
    </row>
    <row r="126" spans="1:48" x14ac:dyDescent="0.25">
      <c r="A126" s="14"/>
      <c r="B126" s="15"/>
      <c r="C126" s="17"/>
      <c r="D126" s="17"/>
      <c r="E126" s="17"/>
      <c r="F126" s="31"/>
      <c r="G126" s="17"/>
      <c r="H126" s="17"/>
      <c r="I126" s="13"/>
      <c r="J126" s="17"/>
      <c r="K126" s="17"/>
      <c r="L126" s="13"/>
      <c r="M126" s="31"/>
      <c r="N126" s="17"/>
      <c r="O126" s="17"/>
      <c r="P126" s="13"/>
      <c r="Q126" s="31"/>
      <c r="R126" s="18"/>
      <c r="S126" s="17"/>
      <c r="T126" s="17">
        <f t="shared" si="86"/>
        <v>0</v>
      </c>
      <c r="U126" s="31"/>
      <c r="V126" s="17"/>
      <c r="W126" s="17"/>
      <c r="X126" s="13">
        <f t="shared" si="116"/>
        <v>0</v>
      </c>
      <c r="Y126" s="17"/>
      <c r="Z126" s="17"/>
      <c r="AA126" s="30">
        <f t="shared" si="122"/>
        <v>0</v>
      </c>
      <c r="AB126" s="31"/>
      <c r="AC126" s="17"/>
      <c r="AD126" s="17"/>
      <c r="AE126" s="13">
        <f t="shared" si="111"/>
        <v>0</v>
      </c>
      <c r="AF126" s="31"/>
      <c r="AG126" s="18"/>
      <c r="AH126" s="17"/>
      <c r="AI126" s="13"/>
      <c r="AJ126" s="31"/>
      <c r="AK126" s="17"/>
      <c r="AL126" s="17"/>
      <c r="AM126" s="13"/>
      <c r="AN126" s="31"/>
      <c r="AO126" s="17"/>
      <c r="AP126" s="17"/>
      <c r="AQ126" s="13"/>
      <c r="AR126" s="31"/>
      <c r="AS126" s="17"/>
      <c r="AT126" s="17"/>
      <c r="AU126" s="13"/>
      <c r="AV126" s="31"/>
    </row>
    <row r="127" spans="1:48" x14ac:dyDescent="0.25">
      <c r="A127" s="14" t="s">
        <v>159</v>
      </c>
      <c r="B127" s="15" t="s">
        <v>91</v>
      </c>
      <c r="C127" s="17">
        <v>0</v>
      </c>
      <c r="D127" s="17">
        <v>0</v>
      </c>
      <c r="E127" s="17">
        <f t="shared" si="69"/>
        <v>0</v>
      </c>
      <c r="F127" s="19"/>
      <c r="G127" s="17">
        <f>+G128</f>
        <v>0</v>
      </c>
      <c r="H127" s="17">
        <v>0</v>
      </c>
      <c r="I127" s="13">
        <f t="shared" si="78"/>
        <v>0</v>
      </c>
      <c r="J127" s="17">
        <v>0</v>
      </c>
      <c r="K127" s="17">
        <v>0</v>
      </c>
      <c r="L127" s="13">
        <f t="shared" si="103"/>
        <v>0</v>
      </c>
      <c r="M127" s="19"/>
      <c r="N127" s="17">
        <f>+N128</f>
        <v>0</v>
      </c>
      <c r="O127" s="17">
        <v>0</v>
      </c>
      <c r="P127" s="13">
        <f t="shared" si="110"/>
        <v>0</v>
      </c>
      <c r="Q127" s="19"/>
      <c r="R127" s="18">
        <v>0</v>
      </c>
      <c r="S127" s="17">
        <v>0</v>
      </c>
      <c r="T127" s="17">
        <f t="shared" si="86"/>
        <v>0</v>
      </c>
      <c r="U127" s="31"/>
      <c r="V127" s="17">
        <v>0</v>
      </c>
      <c r="W127" s="17">
        <v>0</v>
      </c>
      <c r="X127" s="13">
        <f t="shared" si="116"/>
        <v>0</v>
      </c>
      <c r="Y127" s="17">
        <f>+Y128</f>
        <v>0</v>
      </c>
      <c r="Z127" s="17">
        <v>0</v>
      </c>
      <c r="AA127" s="30">
        <f t="shared" si="122"/>
        <v>0</v>
      </c>
      <c r="AB127" s="31"/>
      <c r="AC127" s="17">
        <f>+AC128</f>
        <v>3046433</v>
      </c>
      <c r="AD127" s="17">
        <v>0</v>
      </c>
      <c r="AE127" s="13">
        <f>+AA127+AC127</f>
        <v>3046433</v>
      </c>
      <c r="AF127" s="31"/>
      <c r="AG127" s="18">
        <f>+AG128</f>
        <v>0</v>
      </c>
      <c r="AH127" s="17">
        <v>0</v>
      </c>
      <c r="AI127" s="13">
        <f t="shared" ref="AI127:AI142" si="123">AE127+AG127</f>
        <v>3046433</v>
      </c>
      <c r="AJ127" s="31"/>
      <c r="AK127" s="17">
        <f>+AK128</f>
        <v>0</v>
      </c>
      <c r="AL127" s="17">
        <v>0</v>
      </c>
      <c r="AM127" s="13">
        <f t="shared" ref="AM127:AM142" si="124">AI127+AK127</f>
        <v>3046433</v>
      </c>
      <c r="AN127" s="31"/>
      <c r="AO127" s="17">
        <f>+AO128</f>
        <v>0</v>
      </c>
      <c r="AP127" s="17">
        <v>0</v>
      </c>
      <c r="AQ127" s="13">
        <f t="shared" ref="AQ127:AQ142" si="125">AM127+AO127</f>
        <v>3046433</v>
      </c>
      <c r="AR127" s="31"/>
      <c r="AS127" s="17">
        <f>+AS128</f>
        <v>0</v>
      </c>
      <c r="AT127" s="17">
        <v>0</v>
      </c>
      <c r="AU127" s="13">
        <f t="shared" ref="AU127:AU142" si="126">AQ127+AS127</f>
        <v>3046433</v>
      </c>
      <c r="AV127" s="31"/>
    </row>
    <row r="128" spans="1:48" x14ac:dyDescent="0.25">
      <c r="A128" s="14" t="s">
        <v>160</v>
      </c>
      <c r="B128" s="15" t="s">
        <v>69</v>
      </c>
      <c r="C128" s="17">
        <v>0</v>
      </c>
      <c r="D128" s="17">
        <v>0</v>
      </c>
      <c r="E128" s="17">
        <f t="shared" si="69"/>
        <v>0</v>
      </c>
      <c r="F128" s="19"/>
      <c r="G128" s="17">
        <v>0</v>
      </c>
      <c r="H128" s="17">
        <v>0</v>
      </c>
      <c r="I128" s="13">
        <f t="shared" si="78"/>
        <v>0</v>
      </c>
      <c r="J128" s="17">
        <v>0</v>
      </c>
      <c r="K128" s="17">
        <v>0</v>
      </c>
      <c r="L128" s="13">
        <f t="shared" si="103"/>
        <v>0</v>
      </c>
      <c r="M128" s="19"/>
      <c r="N128" s="17">
        <v>0</v>
      </c>
      <c r="O128" s="17">
        <v>0</v>
      </c>
      <c r="P128" s="13">
        <f t="shared" si="110"/>
        <v>0</v>
      </c>
      <c r="Q128" s="19"/>
      <c r="R128" s="18">
        <v>0</v>
      </c>
      <c r="S128" s="17">
        <v>0</v>
      </c>
      <c r="T128" s="17">
        <f t="shared" si="86"/>
        <v>0</v>
      </c>
      <c r="U128" s="31"/>
      <c r="V128" s="17">
        <v>0</v>
      </c>
      <c r="W128" s="17">
        <v>0</v>
      </c>
      <c r="X128" s="13">
        <f t="shared" si="116"/>
        <v>0</v>
      </c>
      <c r="Y128" s="17">
        <v>0</v>
      </c>
      <c r="Z128" s="17">
        <v>0</v>
      </c>
      <c r="AA128" s="30">
        <f t="shared" si="122"/>
        <v>0</v>
      </c>
      <c r="AB128" s="31"/>
      <c r="AC128" s="17">
        <v>3046433</v>
      </c>
      <c r="AD128" s="17">
        <v>0</v>
      </c>
      <c r="AE128" s="13">
        <f t="shared" si="111"/>
        <v>3046433</v>
      </c>
      <c r="AF128" s="31"/>
      <c r="AG128" s="18">
        <v>0</v>
      </c>
      <c r="AH128" s="17">
        <v>0</v>
      </c>
      <c r="AI128" s="13">
        <f t="shared" si="123"/>
        <v>3046433</v>
      </c>
      <c r="AJ128" s="31"/>
      <c r="AK128" s="17">
        <v>0</v>
      </c>
      <c r="AL128" s="17">
        <v>0</v>
      </c>
      <c r="AM128" s="13">
        <f t="shared" si="124"/>
        <v>3046433</v>
      </c>
      <c r="AN128" s="31"/>
      <c r="AO128" s="17">
        <v>0</v>
      </c>
      <c r="AP128" s="17">
        <v>0</v>
      </c>
      <c r="AQ128" s="13">
        <f t="shared" si="125"/>
        <v>3046433</v>
      </c>
      <c r="AR128" s="31"/>
      <c r="AS128" s="17">
        <v>0</v>
      </c>
      <c r="AT128" s="17">
        <v>0</v>
      </c>
      <c r="AU128" s="13">
        <f t="shared" si="126"/>
        <v>3046433</v>
      </c>
      <c r="AV128" s="31"/>
    </row>
    <row r="129" spans="1:48" x14ac:dyDescent="0.25">
      <c r="A129" s="14"/>
      <c r="B129" s="15"/>
      <c r="C129" s="17"/>
      <c r="D129" s="17"/>
      <c r="E129" s="17"/>
      <c r="F129" s="31"/>
      <c r="G129" s="17"/>
      <c r="H129" s="17"/>
      <c r="I129" s="13"/>
      <c r="J129" s="17"/>
      <c r="K129" s="17"/>
      <c r="L129" s="13">
        <f t="shared" si="103"/>
        <v>0</v>
      </c>
      <c r="M129" s="31"/>
      <c r="N129" s="17"/>
      <c r="O129" s="17"/>
      <c r="P129" s="13">
        <f t="shared" si="110"/>
        <v>0</v>
      </c>
      <c r="Q129" s="31"/>
      <c r="R129" s="18"/>
      <c r="S129" s="17"/>
      <c r="T129" s="17">
        <f t="shared" si="86"/>
        <v>0</v>
      </c>
      <c r="U129" s="31"/>
      <c r="V129" s="17"/>
      <c r="W129" s="17"/>
      <c r="X129" s="13">
        <f t="shared" si="116"/>
        <v>0</v>
      </c>
      <c r="Y129" s="17"/>
      <c r="Z129" s="17"/>
      <c r="AA129" s="30">
        <f t="shared" si="122"/>
        <v>0</v>
      </c>
      <c r="AB129" s="31"/>
      <c r="AC129" s="17"/>
      <c r="AD129" s="17"/>
      <c r="AE129" s="13"/>
      <c r="AF129" s="31"/>
      <c r="AG129" s="18"/>
      <c r="AH129" s="17"/>
      <c r="AI129" s="13">
        <f t="shared" si="123"/>
        <v>0</v>
      </c>
      <c r="AJ129" s="31"/>
      <c r="AK129" s="17"/>
      <c r="AL129" s="17"/>
      <c r="AM129" s="13"/>
      <c r="AN129" s="31"/>
      <c r="AO129" s="17"/>
      <c r="AP129" s="17"/>
      <c r="AQ129" s="13"/>
      <c r="AR129" s="31"/>
      <c r="AS129" s="17"/>
      <c r="AT129" s="17"/>
      <c r="AU129" s="13"/>
      <c r="AV129" s="31"/>
    </row>
    <row r="130" spans="1:48" x14ac:dyDescent="0.25">
      <c r="A130" s="14">
        <v>5250</v>
      </c>
      <c r="B130" s="15" t="s">
        <v>390</v>
      </c>
      <c r="C130" s="17"/>
      <c r="D130" s="17"/>
      <c r="E130" s="17"/>
      <c r="F130" s="31"/>
      <c r="G130" s="17">
        <f>+G131</f>
        <v>1400000</v>
      </c>
      <c r="H130" s="17"/>
      <c r="I130" s="13">
        <f>+G130</f>
        <v>1400000</v>
      </c>
      <c r="J130" s="17"/>
      <c r="K130" s="17"/>
      <c r="L130" s="13">
        <f t="shared" si="103"/>
        <v>1400000</v>
      </c>
      <c r="M130" s="31"/>
      <c r="N130" s="17">
        <f>+N131</f>
        <v>1200000</v>
      </c>
      <c r="O130" s="17"/>
      <c r="P130" s="13">
        <f t="shared" si="110"/>
        <v>2600000</v>
      </c>
      <c r="Q130" s="31"/>
      <c r="R130" s="18"/>
      <c r="S130" s="17"/>
      <c r="T130" s="17">
        <f t="shared" si="86"/>
        <v>2600000</v>
      </c>
      <c r="U130" s="31"/>
      <c r="V130" s="17"/>
      <c r="W130" s="17"/>
      <c r="X130" s="13">
        <f t="shared" si="116"/>
        <v>2600000</v>
      </c>
      <c r="Y130" s="17"/>
      <c r="Z130" s="17"/>
      <c r="AA130" s="30">
        <f t="shared" si="122"/>
        <v>2600000</v>
      </c>
      <c r="AB130" s="31"/>
      <c r="AC130" s="17"/>
      <c r="AD130" s="17"/>
      <c r="AE130" s="13">
        <f t="shared" si="111"/>
        <v>2600000</v>
      </c>
      <c r="AF130" s="31"/>
      <c r="AG130" s="18"/>
      <c r="AH130" s="17"/>
      <c r="AI130" s="13">
        <f t="shared" si="123"/>
        <v>2600000</v>
      </c>
      <c r="AJ130" s="31"/>
      <c r="AK130" s="17"/>
      <c r="AL130" s="17"/>
      <c r="AM130" s="13">
        <f t="shared" si="124"/>
        <v>2600000</v>
      </c>
      <c r="AN130" s="31"/>
      <c r="AO130" s="17"/>
      <c r="AP130" s="17"/>
      <c r="AQ130" s="13">
        <f t="shared" si="125"/>
        <v>2600000</v>
      </c>
      <c r="AR130" s="31"/>
      <c r="AS130" s="17"/>
      <c r="AT130" s="17"/>
      <c r="AU130" s="13">
        <f t="shared" si="126"/>
        <v>2600000</v>
      </c>
      <c r="AV130" s="31"/>
    </row>
    <row r="131" spans="1:48" x14ac:dyDescent="0.25">
      <c r="A131" s="14">
        <v>525015</v>
      </c>
      <c r="B131" s="15" t="s">
        <v>391</v>
      </c>
      <c r="C131" s="17"/>
      <c r="D131" s="17"/>
      <c r="E131" s="17"/>
      <c r="F131" s="31"/>
      <c r="G131" s="17">
        <v>1400000</v>
      </c>
      <c r="H131" s="17"/>
      <c r="I131" s="13">
        <f>+G131</f>
        <v>1400000</v>
      </c>
      <c r="J131" s="17"/>
      <c r="K131" s="17"/>
      <c r="L131" s="13">
        <f t="shared" si="103"/>
        <v>1400000</v>
      </c>
      <c r="M131" s="31"/>
      <c r="N131" s="17">
        <v>1200000</v>
      </c>
      <c r="O131" s="17"/>
      <c r="P131" s="13">
        <f t="shared" si="110"/>
        <v>2600000</v>
      </c>
      <c r="Q131" s="31"/>
      <c r="R131" s="18"/>
      <c r="S131" s="17"/>
      <c r="T131" s="17">
        <f t="shared" si="86"/>
        <v>2600000</v>
      </c>
      <c r="U131" s="31"/>
      <c r="V131" s="17"/>
      <c r="W131" s="17"/>
      <c r="X131" s="13">
        <f t="shared" si="116"/>
        <v>2600000</v>
      </c>
      <c r="Y131" s="17"/>
      <c r="Z131" s="17"/>
      <c r="AA131" s="30">
        <f t="shared" si="122"/>
        <v>2600000</v>
      </c>
      <c r="AB131" s="31"/>
      <c r="AC131" s="17"/>
      <c r="AD131" s="17"/>
      <c r="AE131" s="13">
        <f t="shared" ref="AE131" si="127">+AE130</f>
        <v>2600000</v>
      </c>
      <c r="AF131" s="31"/>
      <c r="AG131" s="18"/>
      <c r="AH131" s="17"/>
      <c r="AI131" s="13">
        <f t="shared" si="123"/>
        <v>2600000</v>
      </c>
      <c r="AJ131" s="31"/>
      <c r="AK131" s="17"/>
      <c r="AL131" s="17"/>
      <c r="AM131" s="13">
        <f t="shared" si="124"/>
        <v>2600000</v>
      </c>
      <c r="AN131" s="31"/>
      <c r="AO131" s="17"/>
      <c r="AP131" s="17"/>
      <c r="AQ131" s="13">
        <f t="shared" si="125"/>
        <v>2600000</v>
      </c>
      <c r="AR131" s="31"/>
      <c r="AS131" s="17"/>
      <c r="AT131" s="17"/>
      <c r="AU131" s="13">
        <f t="shared" si="126"/>
        <v>2600000</v>
      </c>
      <c r="AV131" s="31"/>
    </row>
    <row r="132" spans="1:48" x14ac:dyDescent="0.25">
      <c r="A132" s="14"/>
      <c r="B132" s="15"/>
      <c r="C132" s="17"/>
      <c r="D132" s="17"/>
      <c r="E132" s="17">
        <f t="shared" si="69"/>
        <v>0</v>
      </c>
      <c r="F132" s="31"/>
      <c r="G132" s="17"/>
      <c r="H132" s="17"/>
      <c r="I132" s="13">
        <f t="shared" si="78"/>
        <v>0</v>
      </c>
      <c r="J132" s="17"/>
      <c r="K132" s="17"/>
      <c r="L132" s="13">
        <f t="shared" si="103"/>
        <v>0</v>
      </c>
      <c r="M132" s="31"/>
      <c r="N132" s="17"/>
      <c r="O132" s="17"/>
      <c r="P132" s="13">
        <f t="shared" si="110"/>
        <v>0</v>
      </c>
      <c r="Q132" s="31"/>
      <c r="R132" s="18" t="s">
        <v>338</v>
      </c>
      <c r="S132" s="17"/>
      <c r="T132" s="17"/>
      <c r="U132" s="31"/>
      <c r="V132" s="17"/>
      <c r="W132" s="17"/>
      <c r="X132" s="13">
        <f t="shared" si="116"/>
        <v>0</v>
      </c>
      <c r="Y132" s="17"/>
      <c r="Z132" s="17"/>
      <c r="AA132" s="30">
        <f t="shared" si="122"/>
        <v>0</v>
      </c>
      <c r="AB132" s="31"/>
      <c r="AC132" s="17"/>
      <c r="AD132" s="17"/>
      <c r="AE132" s="13">
        <f t="shared" si="111"/>
        <v>0</v>
      </c>
      <c r="AF132" s="31"/>
      <c r="AG132" s="18"/>
      <c r="AH132" s="17"/>
      <c r="AI132" s="13">
        <f t="shared" si="123"/>
        <v>0</v>
      </c>
      <c r="AJ132" s="31"/>
      <c r="AK132" s="17"/>
      <c r="AL132" s="17"/>
      <c r="AM132" s="13"/>
      <c r="AN132" s="31"/>
      <c r="AO132" s="17"/>
      <c r="AP132" s="17"/>
      <c r="AQ132" s="13"/>
      <c r="AR132" s="31"/>
      <c r="AS132" s="17"/>
      <c r="AT132" s="17"/>
      <c r="AU132" s="13"/>
      <c r="AV132" s="31"/>
    </row>
    <row r="133" spans="1:48" x14ac:dyDescent="0.25">
      <c r="A133" s="14">
        <v>5295</v>
      </c>
      <c r="B133" s="15" t="s">
        <v>173</v>
      </c>
      <c r="C133" s="17">
        <f>+C134</f>
        <v>147920</v>
      </c>
      <c r="D133" s="17"/>
      <c r="E133" s="17">
        <f t="shared" si="69"/>
        <v>147920</v>
      </c>
      <c r="F133" s="31"/>
      <c r="G133" s="17">
        <f>+G134</f>
        <v>147920</v>
      </c>
      <c r="H133" s="17"/>
      <c r="I133" s="13">
        <f t="shared" si="78"/>
        <v>295840</v>
      </c>
      <c r="J133" s="17">
        <f>+J134</f>
        <v>99920</v>
      </c>
      <c r="K133" s="17"/>
      <c r="L133" s="13">
        <f t="shared" si="103"/>
        <v>395760</v>
      </c>
      <c r="M133" s="31"/>
      <c r="N133" s="17">
        <f>+N134</f>
        <v>101512</v>
      </c>
      <c r="O133" s="17"/>
      <c r="P133" s="13">
        <f t="shared" si="110"/>
        <v>497272</v>
      </c>
      <c r="Q133" s="31"/>
      <c r="R133" s="18">
        <v>103104</v>
      </c>
      <c r="S133" s="17"/>
      <c r="T133" s="17">
        <f t="shared" si="86"/>
        <v>600376</v>
      </c>
      <c r="U133" s="31"/>
      <c r="V133" s="17">
        <f>+V134</f>
        <v>103104</v>
      </c>
      <c r="W133" s="17"/>
      <c r="X133" s="13">
        <f t="shared" si="116"/>
        <v>703480</v>
      </c>
      <c r="Y133" s="17">
        <f>+Y134</f>
        <v>103104</v>
      </c>
      <c r="Z133" s="17"/>
      <c r="AA133" s="30">
        <f t="shared" si="122"/>
        <v>806584</v>
      </c>
      <c r="AB133" s="31"/>
      <c r="AC133" s="17">
        <f>+AC134</f>
        <v>103104</v>
      </c>
      <c r="AD133" s="17"/>
      <c r="AE133" s="13">
        <f>+AA133+AC133</f>
        <v>909688</v>
      </c>
      <c r="AF133" s="31"/>
      <c r="AG133" s="18">
        <f>+AG134</f>
        <v>103104</v>
      </c>
      <c r="AH133" s="17"/>
      <c r="AI133" s="13">
        <f t="shared" si="123"/>
        <v>1012792</v>
      </c>
      <c r="AJ133" s="31"/>
      <c r="AK133" s="17">
        <v>103104</v>
      </c>
      <c r="AL133" s="17"/>
      <c r="AM133" s="13">
        <f t="shared" si="124"/>
        <v>1115896</v>
      </c>
      <c r="AN133" s="31"/>
      <c r="AO133" s="17">
        <f>+AO134</f>
        <v>103104</v>
      </c>
      <c r="AP133" s="17"/>
      <c r="AQ133" s="13">
        <f t="shared" si="125"/>
        <v>1219000</v>
      </c>
      <c r="AR133" s="31"/>
      <c r="AS133" s="17">
        <f>+AS134</f>
        <v>103104</v>
      </c>
      <c r="AT133" s="17"/>
      <c r="AU133" s="13">
        <f t="shared" si="126"/>
        <v>1322104</v>
      </c>
      <c r="AV133" s="31"/>
    </row>
    <row r="134" spans="1:48" x14ac:dyDescent="0.25">
      <c r="A134" s="14">
        <v>529510</v>
      </c>
      <c r="B134" s="15" t="s">
        <v>174</v>
      </c>
      <c r="C134" s="17">
        <v>147920</v>
      </c>
      <c r="D134" s="17"/>
      <c r="E134" s="17">
        <f t="shared" si="69"/>
        <v>147920</v>
      </c>
      <c r="F134" s="31"/>
      <c r="G134" s="17">
        <v>147920</v>
      </c>
      <c r="H134" s="17"/>
      <c r="I134" s="13">
        <f t="shared" si="78"/>
        <v>295840</v>
      </c>
      <c r="J134" s="17">
        <v>99920</v>
      </c>
      <c r="K134" s="17"/>
      <c r="L134" s="13">
        <f t="shared" si="103"/>
        <v>395760</v>
      </c>
      <c r="M134" s="31"/>
      <c r="N134" s="17">
        <v>101512</v>
      </c>
      <c r="O134" s="17"/>
      <c r="P134" s="13">
        <f t="shared" si="110"/>
        <v>497272</v>
      </c>
      <c r="Q134" s="31"/>
      <c r="R134" s="18">
        <f>+R133</f>
        <v>103104</v>
      </c>
      <c r="S134" s="17"/>
      <c r="T134" s="17">
        <f t="shared" si="86"/>
        <v>600376</v>
      </c>
      <c r="U134" s="31"/>
      <c r="V134" s="17">
        <v>103104</v>
      </c>
      <c r="W134" s="17"/>
      <c r="X134" s="13">
        <f t="shared" si="116"/>
        <v>703480</v>
      </c>
      <c r="Y134" s="17">
        <v>103104</v>
      </c>
      <c r="Z134" s="17"/>
      <c r="AA134" s="30">
        <f t="shared" si="96"/>
        <v>806584</v>
      </c>
      <c r="AB134" s="31"/>
      <c r="AC134" s="17">
        <v>103104</v>
      </c>
      <c r="AD134" s="17"/>
      <c r="AE134" s="13">
        <f t="shared" si="111"/>
        <v>909688</v>
      </c>
      <c r="AF134" s="31"/>
      <c r="AG134" s="18">
        <v>103104</v>
      </c>
      <c r="AH134" s="17"/>
      <c r="AI134" s="13">
        <f t="shared" si="123"/>
        <v>1012792</v>
      </c>
      <c r="AJ134" s="31"/>
      <c r="AK134" s="17">
        <f>+AK133</f>
        <v>103104</v>
      </c>
      <c r="AL134" s="17"/>
      <c r="AM134" s="13">
        <f t="shared" si="124"/>
        <v>1115896</v>
      </c>
      <c r="AN134" s="31"/>
      <c r="AO134" s="17">
        <v>103104</v>
      </c>
      <c r="AP134" s="17"/>
      <c r="AQ134" s="13">
        <f t="shared" si="125"/>
        <v>1219000</v>
      </c>
      <c r="AR134" s="31"/>
      <c r="AS134" s="17">
        <v>103104</v>
      </c>
      <c r="AT134" s="17"/>
      <c r="AU134" s="13">
        <f t="shared" si="126"/>
        <v>1322104</v>
      </c>
      <c r="AV134" s="31"/>
    </row>
    <row r="135" spans="1:48" x14ac:dyDescent="0.25">
      <c r="A135" s="14"/>
      <c r="B135" s="15"/>
      <c r="C135" s="17"/>
      <c r="D135" s="17"/>
      <c r="E135" s="17">
        <f t="shared" si="69"/>
        <v>0</v>
      </c>
      <c r="F135" s="31"/>
      <c r="G135" s="17"/>
      <c r="H135" s="17"/>
      <c r="I135" s="13">
        <f t="shared" si="78"/>
        <v>0</v>
      </c>
      <c r="J135" s="17"/>
      <c r="K135" s="17"/>
      <c r="L135" s="13">
        <f t="shared" si="103"/>
        <v>0</v>
      </c>
      <c r="M135" s="31"/>
      <c r="N135" s="17"/>
      <c r="O135" s="17"/>
      <c r="P135" s="13">
        <f t="shared" si="110"/>
        <v>0</v>
      </c>
      <c r="Q135" s="31"/>
      <c r="R135" s="18"/>
      <c r="S135" s="17"/>
      <c r="T135" s="17">
        <f t="shared" si="86"/>
        <v>0</v>
      </c>
      <c r="U135" s="31"/>
      <c r="V135" s="17"/>
      <c r="W135" s="17"/>
      <c r="X135" s="13">
        <f t="shared" si="95"/>
        <v>0</v>
      </c>
      <c r="Y135" s="17"/>
      <c r="Z135" s="17"/>
      <c r="AA135" s="30">
        <f t="shared" si="96"/>
        <v>0</v>
      </c>
      <c r="AB135" s="31"/>
      <c r="AC135" s="17"/>
      <c r="AD135" s="17"/>
      <c r="AE135" s="13">
        <f t="shared" si="111"/>
        <v>0</v>
      </c>
      <c r="AF135" s="31"/>
      <c r="AG135" s="18"/>
      <c r="AH135" s="17"/>
      <c r="AI135" s="13">
        <f t="shared" si="123"/>
        <v>0</v>
      </c>
      <c r="AJ135" s="31"/>
      <c r="AK135" s="17"/>
      <c r="AL135" s="17"/>
      <c r="AM135" s="13">
        <f t="shared" si="124"/>
        <v>0</v>
      </c>
      <c r="AN135" s="31"/>
      <c r="AO135" s="17"/>
      <c r="AP135" s="17"/>
      <c r="AQ135" s="13">
        <f t="shared" si="125"/>
        <v>0</v>
      </c>
      <c r="AR135" s="31"/>
      <c r="AS135" s="17"/>
      <c r="AT135" s="17"/>
      <c r="AU135" s="13">
        <f t="shared" si="126"/>
        <v>0</v>
      </c>
      <c r="AV135" s="31"/>
    </row>
    <row r="136" spans="1:48" x14ac:dyDescent="0.25">
      <c r="A136" s="14" t="s">
        <v>120</v>
      </c>
      <c r="B136" s="15" t="s">
        <v>16</v>
      </c>
      <c r="C136" s="17">
        <f>C137+C143</f>
        <v>76523</v>
      </c>
      <c r="D136" s="17">
        <v>0</v>
      </c>
      <c r="E136" s="17">
        <f t="shared" si="69"/>
        <v>76523</v>
      </c>
      <c r="F136" s="19"/>
      <c r="G136" s="17">
        <f>G137+G143</f>
        <v>118266</v>
      </c>
      <c r="H136" s="17">
        <v>0</v>
      </c>
      <c r="I136" s="13">
        <f t="shared" si="78"/>
        <v>194789</v>
      </c>
      <c r="J136" s="16">
        <f>J137+J143</f>
        <v>121812</v>
      </c>
      <c r="K136" s="17">
        <v>0</v>
      </c>
      <c r="L136" s="13">
        <f t="shared" si="103"/>
        <v>316601</v>
      </c>
      <c r="M136" s="19"/>
      <c r="N136" s="16">
        <f>N137+N143</f>
        <v>112546</v>
      </c>
      <c r="O136" s="17">
        <v>0</v>
      </c>
      <c r="P136" s="13">
        <f t="shared" si="110"/>
        <v>429147</v>
      </c>
      <c r="Q136" s="19"/>
      <c r="R136" s="18">
        <f>R137+R143</f>
        <v>274434</v>
      </c>
      <c r="S136" s="17">
        <v>0</v>
      </c>
      <c r="T136" s="17">
        <f t="shared" si="86"/>
        <v>703581</v>
      </c>
      <c r="U136" s="31"/>
      <c r="V136" s="17">
        <f>V137+V143</f>
        <v>88069</v>
      </c>
      <c r="W136" s="17">
        <v>0</v>
      </c>
      <c r="X136" s="13">
        <f t="shared" si="95"/>
        <v>791650</v>
      </c>
      <c r="Y136" s="16">
        <f>Y137+Y143</f>
        <v>90874</v>
      </c>
      <c r="Z136" s="17">
        <v>0</v>
      </c>
      <c r="AA136" s="30">
        <f t="shared" si="96"/>
        <v>882524</v>
      </c>
      <c r="AB136" s="31"/>
      <c r="AC136" s="16">
        <f>AC137+AC143</f>
        <v>107217</v>
      </c>
      <c r="AD136" s="17">
        <v>0</v>
      </c>
      <c r="AE136" s="13">
        <f t="shared" si="111"/>
        <v>989741</v>
      </c>
      <c r="AF136" s="31"/>
      <c r="AG136" s="139">
        <f>AG137+AG143</f>
        <v>143322</v>
      </c>
      <c r="AH136" s="17">
        <v>0</v>
      </c>
      <c r="AI136" s="13">
        <f t="shared" si="123"/>
        <v>1133063</v>
      </c>
      <c r="AJ136" s="31"/>
      <c r="AK136" s="16">
        <f>AK137+AK143</f>
        <v>139192</v>
      </c>
      <c r="AL136" s="17">
        <v>0</v>
      </c>
      <c r="AM136" s="13">
        <f t="shared" si="124"/>
        <v>1272255</v>
      </c>
      <c r="AN136" s="31"/>
      <c r="AO136" s="16">
        <f>AO137+AO143</f>
        <v>110294</v>
      </c>
      <c r="AP136" s="17">
        <v>0</v>
      </c>
      <c r="AQ136" s="13">
        <f t="shared" si="125"/>
        <v>1382549</v>
      </c>
      <c r="AR136" s="31"/>
      <c r="AS136" s="16">
        <f>AS137+AS143</f>
        <v>102475</v>
      </c>
      <c r="AT136" s="17">
        <v>0</v>
      </c>
      <c r="AU136" s="13">
        <f t="shared" si="126"/>
        <v>1485024</v>
      </c>
      <c r="AV136" s="31"/>
    </row>
    <row r="137" spans="1:48" x14ac:dyDescent="0.25">
      <c r="A137" s="14" t="s">
        <v>121</v>
      </c>
      <c r="B137" s="15" t="s">
        <v>18</v>
      </c>
      <c r="C137" s="17">
        <f>SUM(C138:C142)</f>
        <v>76523</v>
      </c>
      <c r="D137" s="17">
        <v>0</v>
      </c>
      <c r="E137" s="17">
        <f t="shared" si="69"/>
        <v>76523</v>
      </c>
      <c r="F137" s="19"/>
      <c r="G137" s="17">
        <f>SUM(G138:G142)</f>
        <v>118266</v>
      </c>
      <c r="H137" s="17">
        <v>0</v>
      </c>
      <c r="I137" s="13">
        <f t="shared" si="78"/>
        <v>194789</v>
      </c>
      <c r="J137" s="17">
        <f>SUM(J138:J142)</f>
        <v>121790</v>
      </c>
      <c r="K137" s="17">
        <v>0</v>
      </c>
      <c r="L137" s="13">
        <f t="shared" si="103"/>
        <v>316579</v>
      </c>
      <c r="M137" s="19"/>
      <c r="N137" s="17">
        <f>SUM(N138:N142)</f>
        <v>112546</v>
      </c>
      <c r="O137" s="17">
        <v>0</v>
      </c>
      <c r="P137" s="13">
        <f t="shared" si="110"/>
        <v>429125</v>
      </c>
      <c r="Q137" s="19"/>
      <c r="R137" s="18">
        <f>SUM(R138:R142)</f>
        <v>274434</v>
      </c>
      <c r="S137" s="17">
        <v>0</v>
      </c>
      <c r="T137" s="17">
        <f t="shared" si="86"/>
        <v>703559</v>
      </c>
      <c r="U137" s="31"/>
      <c r="V137" s="17">
        <f>SUM(V138:V142)</f>
        <v>87970</v>
      </c>
      <c r="W137" s="17">
        <v>0</v>
      </c>
      <c r="X137" s="13">
        <f t="shared" si="95"/>
        <v>791529</v>
      </c>
      <c r="Y137" s="17">
        <f>SUM(Y138:Y142)</f>
        <v>90674</v>
      </c>
      <c r="Z137" s="17">
        <v>0</v>
      </c>
      <c r="AA137" s="30">
        <f t="shared" si="96"/>
        <v>882203</v>
      </c>
      <c r="AB137" s="31"/>
      <c r="AC137" s="16">
        <f>AC138+AC139+AC140+AC142</f>
        <v>106752</v>
      </c>
      <c r="AD137" s="17">
        <v>0</v>
      </c>
      <c r="AE137" s="13">
        <f t="shared" si="111"/>
        <v>988955</v>
      </c>
      <c r="AF137" s="31"/>
      <c r="AG137" s="139">
        <f>AG138+AG139+AG140+AG142</f>
        <v>143077</v>
      </c>
      <c r="AH137" s="17">
        <v>0</v>
      </c>
      <c r="AI137" s="13">
        <f t="shared" si="123"/>
        <v>1132032</v>
      </c>
      <c r="AJ137" s="31"/>
      <c r="AK137" s="16">
        <f>SUM(AK138:AK142)</f>
        <v>138618</v>
      </c>
      <c r="AL137" s="17">
        <v>0</v>
      </c>
      <c r="AM137" s="13">
        <f t="shared" si="124"/>
        <v>1270650</v>
      </c>
      <c r="AN137" s="31"/>
      <c r="AO137" s="16">
        <f>SUM(AO138:AO142)</f>
        <v>110294</v>
      </c>
      <c r="AP137" s="17">
        <v>0</v>
      </c>
      <c r="AQ137" s="13">
        <f t="shared" si="125"/>
        <v>1380944</v>
      </c>
      <c r="AR137" s="31"/>
      <c r="AS137" s="16">
        <f>SUM(AS138:AS142)</f>
        <v>101985</v>
      </c>
      <c r="AT137" s="17">
        <v>0</v>
      </c>
      <c r="AU137" s="13">
        <f>AQ137+AS137</f>
        <v>1482929</v>
      </c>
      <c r="AV137" s="31"/>
    </row>
    <row r="138" spans="1:48" x14ac:dyDescent="0.25">
      <c r="A138" s="14" t="s">
        <v>122</v>
      </c>
      <c r="B138" s="15" t="s">
        <v>123</v>
      </c>
      <c r="C138" s="17">
        <v>6800</v>
      </c>
      <c r="D138" s="17">
        <v>0</v>
      </c>
      <c r="E138" s="17">
        <f t="shared" si="69"/>
        <v>6800</v>
      </c>
      <c r="F138" s="19"/>
      <c r="G138" s="17">
        <v>6800</v>
      </c>
      <c r="H138" s="17">
        <v>0</v>
      </c>
      <c r="I138" s="13">
        <f t="shared" si="78"/>
        <v>13600</v>
      </c>
      <c r="J138" s="16">
        <v>6800</v>
      </c>
      <c r="K138" s="17">
        <v>0</v>
      </c>
      <c r="L138" s="13">
        <f t="shared" si="103"/>
        <v>20400</v>
      </c>
      <c r="M138" s="19"/>
      <c r="N138" s="16">
        <v>6800</v>
      </c>
      <c r="O138" s="17">
        <v>0</v>
      </c>
      <c r="P138" s="13">
        <f t="shared" si="110"/>
        <v>27200</v>
      </c>
      <c r="Q138" s="19"/>
      <c r="R138" s="18">
        <v>6800</v>
      </c>
      <c r="S138" s="17">
        <v>0</v>
      </c>
      <c r="T138" s="17">
        <f t="shared" si="86"/>
        <v>34000</v>
      </c>
      <c r="U138" s="31"/>
      <c r="V138" s="17">
        <v>6800</v>
      </c>
      <c r="W138" s="17">
        <v>0</v>
      </c>
      <c r="X138" s="13">
        <f t="shared" si="95"/>
        <v>40800</v>
      </c>
      <c r="Y138" s="16">
        <v>0</v>
      </c>
      <c r="Z138" s="17">
        <v>0</v>
      </c>
      <c r="AA138" s="30">
        <f t="shared" si="96"/>
        <v>40800</v>
      </c>
      <c r="AB138" s="31"/>
      <c r="AC138" s="16">
        <v>0</v>
      </c>
      <c r="AD138" s="17">
        <v>0</v>
      </c>
      <c r="AE138" s="13">
        <f t="shared" si="111"/>
        <v>40800</v>
      </c>
      <c r="AF138" s="31"/>
      <c r="AG138" s="139">
        <v>12467</v>
      </c>
      <c r="AH138" s="17">
        <v>0</v>
      </c>
      <c r="AI138" s="13">
        <f t="shared" si="123"/>
        <v>53267</v>
      </c>
      <c r="AJ138" s="31"/>
      <c r="AK138" s="16">
        <v>6800</v>
      </c>
      <c r="AL138" s="17">
        <v>0</v>
      </c>
      <c r="AM138" s="13">
        <f t="shared" si="124"/>
        <v>60067</v>
      </c>
      <c r="AN138" s="31"/>
      <c r="AO138" s="16">
        <v>6800</v>
      </c>
      <c r="AP138" s="17">
        <v>0</v>
      </c>
      <c r="AQ138" s="13">
        <f t="shared" si="125"/>
        <v>66867</v>
      </c>
      <c r="AR138" s="31"/>
      <c r="AS138" s="16">
        <v>6800</v>
      </c>
      <c r="AT138" s="17">
        <v>0</v>
      </c>
      <c r="AU138" s="13">
        <f t="shared" si="126"/>
        <v>73667</v>
      </c>
      <c r="AV138" s="31"/>
    </row>
    <row r="139" spans="1:48" x14ac:dyDescent="0.25">
      <c r="A139" s="14" t="s">
        <v>124</v>
      </c>
      <c r="B139" s="15" t="s">
        <v>125</v>
      </c>
      <c r="C139" s="17">
        <v>61999</v>
      </c>
      <c r="D139" s="17">
        <v>0</v>
      </c>
      <c r="E139" s="17">
        <f t="shared" ref="E139:E144" si="128">+C139</f>
        <v>61999</v>
      </c>
      <c r="F139" s="31"/>
      <c r="G139" s="17">
        <v>79970</v>
      </c>
      <c r="H139" s="17">
        <v>0</v>
      </c>
      <c r="I139" s="13">
        <f t="shared" si="78"/>
        <v>141969</v>
      </c>
      <c r="J139" s="16">
        <v>81920</v>
      </c>
      <c r="K139" s="17">
        <v>0</v>
      </c>
      <c r="L139" s="13">
        <f t="shared" si="103"/>
        <v>223889</v>
      </c>
      <c r="M139" s="19"/>
      <c r="N139" s="16">
        <v>77600</v>
      </c>
      <c r="O139" s="17">
        <v>0</v>
      </c>
      <c r="P139" s="13">
        <f t="shared" si="110"/>
        <v>301489</v>
      </c>
      <c r="Q139" s="19"/>
      <c r="R139" s="18">
        <v>98850</v>
      </c>
      <c r="S139" s="17">
        <v>0</v>
      </c>
      <c r="T139" s="17">
        <f t="shared" si="86"/>
        <v>400339</v>
      </c>
      <c r="U139" s="31"/>
      <c r="V139" s="17">
        <v>63950</v>
      </c>
      <c r="W139" s="17">
        <v>0</v>
      </c>
      <c r="X139" s="13">
        <f t="shared" si="95"/>
        <v>464289</v>
      </c>
      <c r="Y139" s="16">
        <v>70470</v>
      </c>
      <c r="Z139" s="17">
        <v>0</v>
      </c>
      <c r="AA139" s="30">
        <f t="shared" si="96"/>
        <v>534759</v>
      </c>
      <c r="AB139" s="31"/>
      <c r="AC139" s="16">
        <v>76730</v>
      </c>
      <c r="AD139" s="17">
        <v>0</v>
      </c>
      <c r="AE139" s="13">
        <f t="shared" si="111"/>
        <v>611489</v>
      </c>
      <c r="AF139" s="31"/>
      <c r="AG139" s="139">
        <v>95500</v>
      </c>
      <c r="AH139" s="17">
        <v>0</v>
      </c>
      <c r="AI139" s="13">
        <f t="shared" si="123"/>
        <v>706989</v>
      </c>
      <c r="AJ139" s="31"/>
      <c r="AK139" s="16">
        <v>104390</v>
      </c>
      <c r="AL139" s="17">
        <v>0</v>
      </c>
      <c r="AM139" s="13">
        <f t="shared" si="124"/>
        <v>811379</v>
      </c>
      <c r="AN139" s="31"/>
      <c r="AO139" s="16">
        <v>76050</v>
      </c>
      <c r="AP139" s="17">
        <v>0</v>
      </c>
      <c r="AQ139" s="13">
        <f t="shared" si="125"/>
        <v>887429</v>
      </c>
      <c r="AR139" s="31"/>
      <c r="AS139" s="16">
        <v>67950</v>
      </c>
      <c r="AT139" s="17">
        <v>0</v>
      </c>
      <c r="AU139" s="13">
        <f t="shared" si="126"/>
        <v>955379</v>
      </c>
      <c r="AV139" s="31"/>
    </row>
    <row r="140" spans="1:48" x14ac:dyDescent="0.25">
      <c r="A140" s="14" t="s">
        <v>126</v>
      </c>
      <c r="B140" s="15" t="s">
        <v>127</v>
      </c>
      <c r="C140" s="17">
        <v>7724</v>
      </c>
      <c r="D140" s="17">
        <v>0</v>
      </c>
      <c r="E140" s="17">
        <f t="shared" si="128"/>
        <v>7724</v>
      </c>
      <c r="F140" s="31"/>
      <c r="G140" s="17">
        <v>31351</v>
      </c>
      <c r="H140" s="17">
        <v>0</v>
      </c>
      <c r="I140" s="13">
        <f t="shared" si="78"/>
        <v>39075</v>
      </c>
      <c r="J140" s="16">
        <v>33070</v>
      </c>
      <c r="K140" s="17">
        <v>0</v>
      </c>
      <c r="L140" s="13">
        <f>I140+J140</f>
        <v>72145</v>
      </c>
      <c r="M140" s="19"/>
      <c r="N140" s="16">
        <v>28146</v>
      </c>
      <c r="O140" s="17">
        <v>0</v>
      </c>
      <c r="P140" s="13">
        <f t="shared" si="110"/>
        <v>100291</v>
      </c>
      <c r="Q140" s="19"/>
      <c r="R140" s="18">
        <v>61784</v>
      </c>
      <c r="S140" s="17">
        <v>0</v>
      </c>
      <c r="T140" s="17">
        <f t="shared" si="86"/>
        <v>162075</v>
      </c>
      <c r="U140" s="31"/>
      <c r="V140" s="17">
        <v>17220</v>
      </c>
      <c r="W140" s="17">
        <v>0</v>
      </c>
      <c r="X140" s="13">
        <f t="shared" si="95"/>
        <v>179295</v>
      </c>
      <c r="Y140" s="16">
        <v>17604</v>
      </c>
      <c r="Z140" s="17">
        <v>0</v>
      </c>
      <c r="AA140" s="30">
        <f>X140+Y140</f>
        <v>196899</v>
      </c>
      <c r="AB140" s="31"/>
      <c r="AC140" s="16">
        <v>30022</v>
      </c>
      <c r="AD140" s="17">
        <v>0</v>
      </c>
      <c r="AE140" s="13">
        <f t="shared" si="111"/>
        <v>226921</v>
      </c>
      <c r="AF140" s="31"/>
      <c r="AG140" s="139">
        <v>35110</v>
      </c>
      <c r="AH140" s="17">
        <v>0</v>
      </c>
      <c r="AI140" s="13">
        <f t="shared" si="123"/>
        <v>262031</v>
      </c>
      <c r="AJ140" s="31"/>
      <c r="AK140" s="16">
        <v>25628</v>
      </c>
      <c r="AL140" s="17">
        <v>0</v>
      </c>
      <c r="AM140" s="13">
        <f t="shared" si="124"/>
        <v>287659</v>
      </c>
      <c r="AN140" s="31"/>
      <c r="AO140" s="16">
        <v>26644</v>
      </c>
      <c r="AP140" s="17">
        <v>0</v>
      </c>
      <c r="AQ140" s="13">
        <f t="shared" si="125"/>
        <v>314303</v>
      </c>
      <c r="AR140" s="31"/>
      <c r="AS140" s="16">
        <v>24235</v>
      </c>
      <c r="AT140" s="17">
        <v>0</v>
      </c>
      <c r="AU140" s="13">
        <f t="shared" si="126"/>
        <v>338538</v>
      </c>
      <c r="AV140" s="31"/>
    </row>
    <row r="141" spans="1:48" ht="21" customHeight="1" x14ac:dyDescent="0.25">
      <c r="A141" s="14" t="s">
        <v>161</v>
      </c>
      <c r="B141" s="15" t="s">
        <v>146</v>
      </c>
      <c r="C141" s="17">
        <v>0</v>
      </c>
      <c r="D141" s="17">
        <v>0</v>
      </c>
      <c r="E141" s="17">
        <f t="shared" si="128"/>
        <v>0</v>
      </c>
      <c r="F141" s="31"/>
      <c r="G141" s="17">
        <v>145</v>
      </c>
      <c r="H141" s="17">
        <v>0</v>
      </c>
      <c r="I141" s="13">
        <f t="shared" si="78"/>
        <v>145</v>
      </c>
      <c r="J141" s="16">
        <v>0</v>
      </c>
      <c r="K141" s="17">
        <v>0</v>
      </c>
      <c r="L141" s="13">
        <f>I141+J141</f>
        <v>145</v>
      </c>
      <c r="M141" s="19"/>
      <c r="N141" s="16">
        <v>0</v>
      </c>
      <c r="O141" s="17">
        <v>0</v>
      </c>
      <c r="P141" s="13">
        <f t="shared" si="110"/>
        <v>145</v>
      </c>
      <c r="Q141" s="19"/>
      <c r="R141" s="18">
        <v>5000</v>
      </c>
      <c r="S141" s="17">
        <v>0</v>
      </c>
      <c r="T141" s="17">
        <f t="shared" si="86"/>
        <v>5145</v>
      </c>
      <c r="U141" s="31"/>
      <c r="V141" s="17"/>
      <c r="W141" s="17">
        <v>0</v>
      </c>
      <c r="X141" s="13">
        <f t="shared" si="95"/>
        <v>5145</v>
      </c>
      <c r="Y141" s="16">
        <v>0</v>
      </c>
      <c r="Z141" s="17">
        <v>0</v>
      </c>
      <c r="AA141" s="30">
        <f>X141+Y141</f>
        <v>5145</v>
      </c>
      <c r="AB141" s="31"/>
      <c r="AC141" s="16">
        <v>0</v>
      </c>
      <c r="AD141" s="17">
        <v>0</v>
      </c>
      <c r="AE141" s="13">
        <f t="shared" si="111"/>
        <v>5145</v>
      </c>
      <c r="AF141" s="31"/>
      <c r="AG141" s="139">
        <v>0</v>
      </c>
      <c r="AH141" s="17">
        <v>0</v>
      </c>
      <c r="AI141" s="13">
        <f t="shared" si="123"/>
        <v>5145</v>
      </c>
      <c r="AJ141" s="31"/>
      <c r="AK141" s="16"/>
      <c r="AL141" s="17">
        <v>0</v>
      </c>
      <c r="AM141" s="13">
        <f t="shared" si="124"/>
        <v>5145</v>
      </c>
      <c r="AN141" s="31"/>
      <c r="AO141" s="16">
        <v>0</v>
      </c>
      <c r="AP141" s="17">
        <v>0</v>
      </c>
      <c r="AQ141" s="13">
        <f t="shared" si="125"/>
        <v>5145</v>
      </c>
      <c r="AR141" s="31"/>
      <c r="AS141" s="16">
        <v>0</v>
      </c>
      <c r="AT141" s="17">
        <v>0</v>
      </c>
      <c r="AU141" s="13">
        <f t="shared" si="126"/>
        <v>5145</v>
      </c>
      <c r="AV141" s="31"/>
    </row>
    <row r="142" spans="1:48" x14ac:dyDescent="0.25">
      <c r="A142" s="14" t="s">
        <v>128</v>
      </c>
      <c r="B142" s="15" t="s">
        <v>165</v>
      </c>
      <c r="C142" s="17">
        <v>0</v>
      </c>
      <c r="D142" s="17">
        <v>0</v>
      </c>
      <c r="E142" s="17">
        <f t="shared" si="128"/>
        <v>0</v>
      </c>
      <c r="F142" s="31"/>
      <c r="G142" s="17">
        <v>0</v>
      </c>
      <c r="H142" s="17">
        <v>0</v>
      </c>
      <c r="I142" s="13">
        <f t="shared" si="78"/>
        <v>0</v>
      </c>
      <c r="J142" s="16">
        <v>0</v>
      </c>
      <c r="K142" s="17">
        <v>0</v>
      </c>
      <c r="L142" s="13">
        <f>I142+J142</f>
        <v>0</v>
      </c>
      <c r="M142" s="19"/>
      <c r="N142" s="16">
        <v>0</v>
      </c>
      <c r="O142" s="17">
        <v>0</v>
      </c>
      <c r="P142" s="13">
        <f t="shared" si="110"/>
        <v>0</v>
      </c>
      <c r="Q142" s="19"/>
      <c r="R142" s="18">
        <v>102000</v>
      </c>
      <c r="S142" s="17">
        <v>0</v>
      </c>
      <c r="T142" s="17">
        <f t="shared" si="86"/>
        <v>102000</v>
      </c>
      <c r="U142" s="31"/>
      <c r="V142" s="17">
        <v>0</v>
      </c>
      <c r="W142" s="17">
        <v>0</v>
      </c>
      <c r="X142" s="13">
        <f t="shared" si="95"/>
        <v>102000</v>
      </c>
      <c r="Y142" s="16">
        <v>2600</v>
      </c>
      <c r="Z142" s="17">
        <v>0</v>
      </c>
      <c r="AA142" s="30">
        <f>X142+Y142</f>
        <v>104600</v>
      </c>
      <c r="AB142" s="31"/>
      <c r="AC142" s="16">
        <v>0</v>
      </c>
      <c r="AD142" s="17">
        <v>0</v>
      </c>
      <c r="AE142" s="13">
        <f t="shared" si="111"/>
        <v>104600</v>
      </c>
      <c r="AF142" s="31"/>
      <c r="AG142" s="139">
        <v>0</v>
      </c>
      <c r="AH142" s="17">
        <v>0</v>
      </c>
      <c r="AI142" s="13">
        <f t="shared" si="123"/>
        <v>104600</v>
      </c>
      <c r="AJ142" s="31"/>
      <c r="AK142" s="16">
        <v>1800</v>
      </c>
      <c r="AL142" s="17">
        <v>0</v>
      </c>
      <c r="AM142" s="13">
        <f t="shared" si="124"/>
        <v>106400</v>
      </c>
      <c r="AN142" s="31"/>
      <c r="AO142" s="16">
        <v>800</v>
      </c>
      <c r="AP142" s="17">
        <v>0</v>
      </c>
      <c r="AQ142" s="13">
        <f t="shared" si="125"/>
        <v>107200</v>
      </c>
      <c r="AR142" s="31"/>
      <c r="AS142" s="16">
        <v>3000</v>
      </c>
      <c r="AT142" s="17">
        <v>0</v>
      </c>
      <c r="AU142" s="13">
        <f t="shared" si="126"/>
        <v>110200</v>
      </c>
      <c r="AV142" s="31"/>
    </row>
    <row r="143" spans="1:48" s="150" customFormat="1" ht="30.75" customHeight="1" x14ac:dyDescent="0.25">
      <c r="A143" s="141" t="s">
        <v>129</v>
      </c>
      <c r="B143" s="142" t="s">
        <v>130</v>
      </c>
      <c r="C143" s="143">
        <v>0</v>
      </c>
      <c r="D143" s="143">
        <v>0</v>
      </c>
      <c r="E143" s="144">
        <f t="shared" si="128"/>
        <v>0</v>
      </c>
      <c r="F143" s="145"/>
      <c r="G143" s="144">
        <v>0</v>
      </c>
      <c r="H143" s="144">
        <v>0</v>
      </c>
      <c r="I143" s="146">
        <f t="shared" si="78"/>
        <v>0</v>
      </c>
      <c r="J143" s="147">
        <f>J144</f>
        <v>22</v>
      </c>
      <c r="K143" s="144">
        <v>0</v>
      </c>
      <c r="L143" s="146">
        <f>I143+J143</f>
        <v>22</v>
      </c>
      <c r="M143" s="145"/>
      <c r="N143" s="147">
        <f>N144</f>
        <v>0</v>
      </c>
      <c r="O143" s="144">
        <v>0</v>
      </c>
      <c r="P143" s="146">
        <f>L143+N143</f>
        <v>22</v>
      </c>
      <c r="Q143" s="145"/>
      <c r="R143" s="206"/>
      <c r="S143" s="143">
        <v>0</v>
      </c>
      <c r="T143" s="144">
        <f t="shared" si="86"/>
        <v>22</v>
      </c>
      <c r="U143" s="145"/>
      <c r="V143" s="144">
        <f>+V144</f>
        <v>99</v>
      </c>
      <c r="W143" s="144">
        <v>0</v>
      </c>
      <c r="X143" s="146">
        <f t="shared" si="95"/>
        <v>121</v>
      </c>
      <c r="Y143" s="147">
        <f>Y144</f>
        <v>200</v>
      </c>
      <c r="Z143" s="144">
        <v>0</v>
      </c>
      <c r="AA143" s="148">
        <f>X143+Y143</f>
        <v>321</v>
      </c>
      <c r="AB143" s="145"/>
      <c r="AC143" s="147">
        <f>+AC144</f>
        <v>465</v>
      </c>
      <c r="AD143" s="144">
        <v>0</v>
      </c>
      <c r="AE143" s="146">
        <f>AA143+AC143</f>
        <v>786</v>
      </c>
      <c r="AF143" s="145"/>
      <c r="AG143" s="149">
        <f>+AG144</f>
        <v>245</v>
      </c>
      <c r="AH143" s="144">
        <v>0</v>
      </c>
      <c r="AI143" s="146">
        <f>AE143+AG143</f>
        <v>1031</v>
      </c>
      <c r="AJ143" s="145"/>
      <c r="AK143" s="147">
        <f>+AK144</f>
        <v>574</v>
      </c>
      <c r="AL143" s="144">
        <v>0</v>
      </c>
      <c r="AM143" s="146">
        <f>AI143+AK143</f>
        <v>1605</v>
      </c>
      <c r="AN143" s="145"/>
      <c r="AO143" s="147">
        <v>0</v>
      </c>
      <c r="AP143" s="144">
        <v>0</v>
      </c>
      <c r="AQ143" s="146">
        <f>AM143+AO143</f>
        <v>1605</v>
      </c>
      <c r="AR143" s="145"/>
      <c r="AS143" s="147">
        <f>+AS144+AS145</f>
        <v>490</v>
      </c>
      <c r="AT143" s="144">
        <v>0</v>
      </c>
      <c r="AU143" s="146">
        <f>AQ143+AS143</f>
        <v>2095</v>
      </c>
      <c r="AV143" s="145"/>
    </row>
    <row r="144" spans="1:48" x14ac:dyDescent="0.25">
      <c r="A144" s="14" t="s">
        <v>131</v>
      </c>
      <c r="B144" s="15" t="s">
        <v>132</v>
      </c>
      <c r="C144" s="7">
        <v>0</v>
      </c>
      <c r="D144" s="7">
        <v>0</v>
      </c>
      <c r="E144" s="17">
        <f t="shared" si="128"/>
        <v>0</v>
      </c>
      <c r="F144" s="31"/>
      <c r="G144" s="17">
        <v>0</v>
      </c>
      <c r="H144" s="17">
        <v>0</v>
      </c>
      <c r="I144" s="13">
        <f t="shared" si="78"/>
        <v>0</v>
      </c>
      <c r="J144" s="16">
        <v>22</v>
      </c>
      <c r="K144" s="17">
        <v>0</v>
      </c>
      <c r="L144" s="13">
        <f>I144+J144</f>
        <v>22</v>
      </c>
      <c r="M144" s="19"/>
      <c r="N144" s="16">
        <v>0</v>
      </c>
      <c r="O144" s="17">
        <v>0</v>
      </c>
      <c r="P144" s="13">
        <f>L144+N144</f>
        <v>22</v>
      </c>
      <c r="Q144" s="19"/>
      <c r="R144" s="207"/>
      <c r="S144" s="7">
        <v>0</v>
      </c>
      <c r="T144" s="17">
        <f t="shared" ref="T144:T145" si="129">+P144+R144</f>
        <v>22</v>
      </c>
      <c r="U144" s="31"/>
      <c r="V144" s="17">
        <v>99</v>
      </c>
      <c r="W144" s="17">
        <v>0</v>
      </c>
      <c r="X144" s="13">
        <f t="shared" si="95"/>
        <v>121</v>
      </c>
      <c r="Y144" s="16">
        <v>200</v>
      </c>
      <c r="Z144" s="17">
        <v>0</v>
      </c>
      <c r="AA144" s="30">
        <f>X144+Y144</f>
        <v>321</v>
      </c>
      <c r="AB144" s="31"/>
      <c r="AC144" s="16">
        <v>465</v>
      </c>
      <c r="AD144" s="17">
        <v>0</v>
      </c>
      <c r="AE144" s="13">
        <f>AA144+AC144</f>
        <v>786</v>
      </c>
      <c r="AF144" s="31"/>
      <c r="AG144" s="139">
        <v>245</v>
      </c>
      <c r="AH144" s="17">
        <v>0</v>
      </c>
      <c r="AI144" s="13">
        <f>AE144+AG144</f>
        <v>1031</v>
      </c>
      <c r="AJ144" s="31"/>
      <c r="AK144" s="16">
        <v>574</v>
      </c>
      <c r="AL144" s="17">
        <v>0</v>
      </c>
      <c r="AM144" s="13">
        <f>AI144+AK144</f>
        <v>1605</v>
      </c>
      <c r="AN144" s="31"/>
      <c r="AO144" s="16">
        <v>0</v>
      </c>
      <c r="AP144" s="17">
        <v>0</v>
      </c>
      <c r="AQ144" s="13">
        <f>AM144+AO144</f>
        <v>1605</v>
      </c>
      <c r="AR144" s="31"/>
      <c r="AS144" s="16">
        <v>490</v>
      </c>
      <c r="AT144" s="17">
        <v>0</v>
      </c>
      <c r="AU144" s="13">
        <f>AQ144+AS144</f>
        <v>2095</v>
      </c>
      <c r="AV144" s="31"/>
    </row>
    <row r="145" spans="1:48" x14ac:dyDescent="0.25">
      <c r="A145" s="14">
        <v>531525</v>
      </c>
      <c r="B145" s="15" t="s">
        <v>445</v>
      </c>
      <c r="C145" s="24"/>
      <c r="D145" s="24"/>
      <c r="E145" s="17">
        <f t="shared" ref="E145" si="130">+D145</f>
        <v>0</v>
      </c>
      <c r="F145" s="31"/>
      <c r="G145" s="17">
        <v>0</v>
      </c>
      <c r="H145" s="17">
        <v>0</v>
      </c>
      <c r="I145" s="13">
        <v>0</v>
      </c>
      <c r="J145" s="16">
        <v>0</v>
      </c>
      <c r="K145" s="17">
        <v>0</v>
      </c>
      <c r="L145" s="17">
        <v>0</v>
      </c>
      <c r="M145" s="19"/>
      <c r="N145" s="16">
        <v>0</v>
      </c>
      <c r="O145" s="17">
        <v>0</v>
      </c>
      <c r="P145" s="17">
        <v>0</v>
      </c>
      <c r="Q145" s="19"/>
      <c r="R145" s="208"/>
      <c r="S145" s="24"/>
      <c r="T145" s="17">
        <f t="shared" si="129"/>
        <v>0</v>
      </c>
      <c r="U145" s="31"/>
      <c r="V145" s="17">
        <v>0</v>
      </c>
      <c r="W145" s="17">
        <v>0</v>
      </c>
      <c r="X145" s="13">
        <v>0</v>
      </c>
      <c r="Y145" s="16">
        <v>0</v>
      </c>
      <c r="Z145" s="17">
        <v>0</v>
      </c>
      <c r="AA145" s="30">
        <v>0</v>
      </c>
      <c r="AB145" s="31"/>
      <c r="AC145" s="16"/>
      <c r="AD145" s="17">
        <v>0</v>
      </c>
      <c r="AE145" s="17">
        <v>0</v>
      </c>
      <c r="AF145" s="31"/>
      <c r="AG145" s="139">
        <v>0</v>
      </c>
      <c r="AH145" s="17">
        <v>0</v>
      </c>
      <c r="AI145" s="17">
        <v>0</v>
      </c>
      <c r="AJ145" s="31"/>
      <c r="AK145" s="16">
        <v>0</v>
      </c>
      <c r="AL145" s="17">
        <v>0</v>
      </c>
      <c r="AM145" s="17">
        <v>0</v>
      </c>
      <c r="AN145" s="31"/>
      <c r="AO145" s="16">
        <v>0</v>
      </c>
      <c r="AP145" s="17">
        <v>0</v>
      </c>
      <c r="AQ145" s="17">
        <v>0</v>
      </c>
      <c r="AR145" s="31"/>
      <c r="AS145" s="16"/>
      <c r="AT145" s="17">
        <v>0</v>
      </c>
      <c r="AU145" s="13">
        <f>AQ145+AS145</f>
        <v>0</v>
      </c>
      <c r="AV145" s="31"/>
    </row>
    <row r="146" spans="1:48" x14ac:dyDescent="0.25">
      <c r="A146" s="14"/>
      <c r="B146" s="15"/>
      <c r="C146" s="24"/>
      <c r="D146" s="24"/>
      <c r="E146" s="17"/>
      <c r="F146" s="31"/>
      <c r="G146" s="17"/>
      <c r="H146" s="17"/>
      <c r="I146" s="13"/>
      <c r="J146" s="16"/>
      <c r="K146" s="17"/>
      <c r="L146" s="17"/>
      <c r="M146" s="170"/>
      <c r="N146" s="17"/>
      <c r="O146" s="17"/>
      <c r="P146" s="17"/>
      <c r="Q146" s="31"/>
      <c r="R146" s="208"/>
      <c r="S146" s="24"/>
      <c r="T146" s="17"/>
      <c r="U146" s="31"/>
      <c r="V146" s="17"/>
      <c r="W146" s="17"/>
      <c r="X146" s="13"/>
      <c r="Y146" s="16"/>
      <c r="Z146" s="17"/>
      <c r="AA146" s="30"/>
      <c r="AB146" s="170"/>
      <c r="AC146" s="16"/>
      <c r="AD146" s="17"/>
      <c r="AE146" s="17"/>
      <c r="AF146" s="31"/>
      <c r="AG146" s="139"/>
      <c r="AH146" s="17"/>
      <c r="AI146" s="17"/>
      <c r="AJ146" s="31"/>
      <c r="AK146" s="16"/>
      <c r="AL146" s="17"/>
      <c r="AM146" s="17"/>
      <c r="AN146" s="31"/>
      <c r="AO146" s="16"/>
      <c r="AP146" s="17"/>
      <c r="AQ146" s="17"/>
      <c r="AR146" s="31"/>
      <c r="AS146" s="16"/>
      <c r="AT146" s="17"/>
      <c r="AU146" s="17"/>
      <c r="AV146" s="31"/>
    </row>
    <row r="147" spans="1:48" x14ac:dyDescent="0.25">
      <c r="A147" s="14"/>
      <c r="B147" s="15" t="s">
        <v>133</v>
      </c>
      <c r="C147" s="17"/>
      <c r="D147" s="17">
        <f>D7</f>
        <v>15080037</v>
      </c>
      <c r="E147" s="17">
        <f>+D147</f>
        <v>15080037</v>
      </c>
      <c r="F147" s="31"/>
      <c r="G147" s="17">
        <v>0</v>
      </c>
      <c r="H147" s="17">
        <f>H7</f>
        <v>13559340</v>
      </c>
      <c r="I147" s="13">
        <f>E147+H147</f>
        <v>28639377</v>
      </c>
      <c r="J147" s="16">
        <v>0</v>
      </c>
      <c r="K147" s="17">
        <f>K7</f>
        <v>12451739</v>
      </c>
      <c r="L147" s="17">
        <f>I147+K147</f>
        <v>41091116</v>
      </c>
      <c r="M147" s="2"/>
      <c r="N147" s="17">
        <f>N7</f>
        <v>0</v>
      </c>
      <c r="O147" s="17">
        <f>O7</f>
        <v>16172397</v>
      </c>
      <c r="P147" s="17">
        <f>L147+O147</f>
        <v>57263513</v>
      </c>
      <c r="Q147" s="19"/>
      <c r="R147" s="18"/>
      <c r="S147" s="17">
        <f>S7</f>
        <v>13539222</v>
      </c>
      <c r="T147" s="17">
        <f>+P147+S147</f>
        <v>70802735</v>
      </c>
      <c r="U147" s="31"/>
      <c r="V147" s="17">
        <v>0</v>
      </c>
      <c r="W147" s="17">
        <f>W7</f>
        <v>10214483</v>
      </c>
      <c r="X147" s="13">
        <f>T147+W147</f>
        <v>81017218</v>
      </c>
      <c r="Y147" s="16">
        <v>0</v>
      </c>
      <c r="Z147" s="17">
        <f>Z7</f>
        <v>7723804</v>
      </c>
      <c r="AA147" s="30">
        <f>X147+Z147</f>
        <v>88741022</v>
      </c>
      <c r="AB147" s="2"/>
      <c r="AC147" s="16">
        <v>0</v>
      </c>
      <c r="AD147" s="17">
        <f>AD7</f>
        <v>10099562</v>
      </c>
      <c r="AE147" s="17">
        <f>AA147+AD147</f>
        <v>98840584</v>
      </c>
      <c r="AF147" s="31"/>
      <c r="AG147" s="139">
        <v>0</v>
      </c>
      <c r="AH147" s="17">
        <f>AH7</f>
        <v>8971745</v>
      </c>
      <c r="AI147" s="17">
        <f>AE147+AH147</f>
        <v>107812329</v>
      </c>
      <c r="AJ147" s="31"/>
      <c r="AK147" s="16">
        <v>0</v>
      </c>
      <c r="AL147" s="17">
        <f>AL7</f>
        <v>9132517</v>
      </c>
      <c r="AM147" s="17">
        <f>AI147+AL147</f>
        <v>116944846</v>
      </c>
      <c r="AN147" s="31"/>
      <c r="AO147" s="16">
        <v>0</v>
      </c>
      <c r="AP147" s="17">
        <f>AP7</f>
        <v>14339766</v>
      </c>
      <c r="AQ147" s="17">
        <f>AM147+AP147</f>
        <v>131284612</v>
      </c>
      <c r="AR147" s="31"/>
      <c r="AS147" s="16">
        <v>0</v>
      </c>
      <c r="AT147" s="17">
        <f>AT7</f>
        <v>15672122</v>
      </c>
      <c r="AU147" s="17">
        <f>AQ147+AT147</f>
        <v>146956734</v>
      </c>
      <c r="AV147" s="31"/>
    </row>
    <row r="148" spans="1:48" ht="32.25" customHeight="1" x14ac:dyDescent="0.25">
      <c r="A148" s="25"/>
      <c r="B148" s="15" t="s">
        <v>137</v>
      </c>
      <c r="C148" s="17"/>
      <c r="D148" s="17">
        <f>D147-D19</f>
        <v>13231037</v>
      </c>
      <c r="E148" s="17">
        <f t="shared" ref="E148" si="131">+D148</f>
        <v>13231037</v>
      </c>
      <c r="F148" s="31"/>
      <c r="G148" s="17"/>
      <c r="H148" s="17">
        <f>H147-H19</f>
        <v>11710340</v>
      </c>
      <c r="I148" s="13">
        <f>E148+H148</f>
        <v>24941377</v>
      </c>
      <c r="J148" s="16"/>
      <c r="K148" s="17">
        <f>K147-K19</f>
        <v>11202739</v>
      </c>
      <c r="L148" s="17">
        <f>I148+K148</f>
        <v>36144116</v>
      </c>
      <c r="M148" s="2"/>
      <c r="N148" s="16"/>
      <c r="O148" s="17">
        <f>O147-O19</f>
        <v>14903497</v>
      </c>
      <c r="P148" s="17">
        <f>L148+O148</f>
        <v>51047613</v>
      </c>
      <c r="Q148" s="19"/>
      <c r="R148" s="18"/>
      <c r="S148" s="17">
        <f>S147-S19</f>
        <v>12250422</v>
      </c>
      <c r="T148" s="17">
        <f>+P148+S148</f>
        <v>63298035</v>
      </c>
      <c r="U148" s="31"/>
      <c r="V148" s="17"/>
      <c r="W148" s="17">
        <f>W147-W19</f>
        <v>8925683</v>
      </c>
      <c r="X148" s="13">
        <f>T148+W148</f>
        <v>72223718</v>
      </c>
      <c r="Y148" s="16"/>
      <c r="Z148" s="17">
        <f>Z147-Z19</f>
        <v>6435004</v>
      </c>
      <c r="AA148" s="30">
        <f>X148+Z148</f>
        <v>78658722</v>
      </c>
      <c r="AB148" s="2"/>
      <c r="AC148" s="16"/>
      <c r="AD148" s="17">
        <f>AD147-AD19</f>
        <v>8810762</v>
      </c>
      <c r="AE148" s="17">
        <f>AA148+AD148</f>
        <v>87469484</v>
      </c>
      <c r="AF148" s="31"/>
      <c r="AG148" s="139"/>
      <c r="AH148" s="17">
        <f>AH147-AH19</f>
        <v>7682945</v>
      </c>
      <c r="AI148" s="17">
        <f>AE148+AH148</f>
        <v>95152429</v>
      </c>
      <c r="AJ148" s="31"/>
      <c r="AK148" s="16"/>
      <c r="AL148" s="17">
        <f>AL147-AL19</f>
        <v>7843717</v>
      </c>
      <c r="AM148" s="17">
        <f>AI148+AL148</f>
        <v>102996146</v>
      </c>
      <c r="AN148" s="31"/>
      <c r="AO148" s="16"/>
      <c r="AP148" s="17">
        <f>AP147-AP19</f>
        <v>13050966</v>
      </c>
      <c r="AQ148" s="17">
        <f>AM148+AP148</f>
        <v>116047112</v>
      </c>
      <c r="AR148" s="31"/>
      <c r="AS148" s="16"/>
      <c r="AT148" s="17">
        <f>AT147-AT19</f>
        <v>14383322</v>
      </c>
      <c r="AU148" s="17">
        <f>AQ148+AT148</f>
        <v>130430434</v>
      </c>
      <c r="AV148" s="31"/>
    </row>
    <row r="149" spans="1:48" ht="15.75" thickBot="1" x14ac:dyDescent="0.3">
      <c r="A149" s="3"/>
      <c r="B149" s="15" t="s">
        <v>134</v>
      </c>
      <c r="C149" s="17">
        <f>C27-C114</f>
        <v>8192569</v>
      </c>
      <c r="D149" s="17">
        <v>0</v>
      </c>
      <c r="E149" s="13">
        <f>+C149</f>
        <v>8192569</v>
      </c>
      <c r="F149" s="31"/>
      <c r="G149" s="17">
        <f>G27-G114</f>
        <v>8084721</v>
      </c>
      <c r="H149" s="17">
        <v>0</v>
      </c>
      <c r="I149" s="13">
        <f>+E149+G149</f>
        <v>16277290</v>
      </c>
      <c r="J149" s="17">
        <f>J27-J114</f>
        <v>8025783</v>
      </c>
      <c r="K149" s="17">
        <v>0</v>
      </c>
      <c r="L149" s="13">
        <f>+I149+J149</f>
        <v>24303073</v>
      </c>
      <c r="M149" s="2"/>
      <c r="N149" s="17">
        <f>N27-N114</f>
        <v>11161681</v>
      </c>
      <c r="O149" s="17">
        <v>0</v>
      </c>
      <c r="P149" s="104">
        <f>+L149+N149</f>
        <v>35464754</v>
      </c>
      <c r="Q149" s="19"/>
      <c r="R149" s="18">
        <f>R27-R114</f>
        <v>10164486</v>
      </c>
      <c r="S149" s="17">
        <v>0</v>
      </c>
      <c r="T149" s="17">
        <f>+P149+R149</f>
        <v>45629240</v>
      </c>
      <c r="U149" s="31"/>
      <c r="V149" s="17">
        <f>V27-V114</f>
        <v>8433671</v>
      </c>
      <c r="W149" s="17">
        <v>0</v>
      </c>
      <c r="X149" s="13">
        <f>+T149+V149</f>
        <v>54062911</v>
      </c>
      <c r="Y149" s="17">
        <f>Y27-Y114</f>
        <v>8752682</v>
      </c>
      <c r="Z149" s="17">
        <v>0</v>
      </c>
      <c r="AA149" s="30">
        <f>+X149+Y149</f>
        <v>62815593</v>
      </c>
      <c r="AB149" s="2"/>
      <c r="AC149" s="17">
        <f>AC27-AC114</f>
        <v>10250005</v>
      </c>
      <c r="AD149" s="17">
        <v>0</v>
      </c>
      <c r="AE149" s="104">
        <f>+AA149+AC149</f>
        <v>73065598</v>
      </c>
      <c r="AF149" s="31"/>
      <c r="AG149" s="18">
        <f>AG27-AG114</f>
        <v>12341540.75</v>
      </c>
      <c r="AH149" s="17">
        <v>0</v>
      </c>
      <c r="AI149" s="104">
        <f>+AE149+AG149</f>
        <v>85407138.75</v>
      </c>
      <c r="AJ149" s="31"/>
      <c r="AK149" s="17">
        <f>AK27-AK114</f>
        <v>13788360.75</v>
      </c>
      <c r="AL149" s="17">
        <v>0</v>
      </c>
      <c r="AM149" s="104">
        <f>+AI149+AK149</f>
        <v>99195499.5</v>
      </c>
      <c r="AN149" s="31"/>
      <c r="AO149" s="17">
        <f>AO27-AO114</f>
        <v>12146150.75</v>
      </c>
      <c r="AP149" s="17">
        <v>0</v>
      </c>
      <c r="AQ149" s="104">
        <f>+AM149+AO149</f>
        <v>111341650.25</v>
      </c>
      <c r="AR149" s="31"/>
      <c r="AS149" s="17">
        <f>AS27-AS114</f>
        <v>9554095.75</v>
      </c>
      <c r="AT149" s="17">
        <v>0</v>
      </c>
      <c r="AU149" s="104">
        <f>+AQ149+AS149</f>
        <v>120895746</v>
      </c>
      <c r="AV149" s="31"/>
    </row>
    <row r="150" spans="1:48" ht="66" customHeight="1" thickBot="1" x14ac:dyDescent="0.3">
      <c r="A150" s="4"/>
      <c r="B150" s="26" t="s">
        <v>138</v>
      </c>
      <c r="C150" s="27">
        <f>C149</f>
        <v>8192569</v>
      </c>
      <c r="D150" s="27">
        <f>+D148</f>
        <v>13231037</v>
      </c>
      <c r="E150" s="27">
        <f>+D150-C150</f>
        <v>5038468</v>
      </c>
      <c r="F150" s="27"/>
      <c r="G150" s="27">
        <f>G149</f>
        <v>8084721</v>
      </c>
      <c r="H150" s="27">
        <f>+H148</f>
        <v>11710340</v>
      </c>
      <c r="I150" s="27">
        <f>+E150+H150-G150</f>
        <v>8664087</v>
      </c>
      <c r="J150" s="27">
        <f>J27-J114</f>
        <v>8025783</v>
      </c>
      <c r="K150" s="27">
        <f>K148</f>
        <v>11202739</v>
      </c>
      <c r="L150" s="27">
        <f>+I150+K150-J150</f>
        <v>11841043</v>
      </c>
      <c r="M150" s="27"/>
      <c r="N150" s="27">
        <f>N149</f>
        <v>11161681</v>
      </c>
      <c r="O150" s="27">
        <f>+O148</f>
        <v>14903497</v>
      </c>
      <c r="P150" s="106">
        <f>+L150+O150-N150</f>
        <v>15582859</v>
      </c>
      <c r="Q150" s="105" t="s">
        <v>322</v>
      </c>
      <c r="R150" s="140">
        <f>R149</f>
        <v>10164486</v>
      </c>
      <c r="S150" s="27">
        <f>+S148</f>
        <v>12250422</v>
      </c>
      <c r="T150" s="27">
        <f>+P150+S150-R150</f>
        <v>17668795</v>
      </c>
      <c r="U150" s="27"/>
      <c r="V150" s="27">
        <f>V149</f>
        <v>8433671</v>
      </c>
      <c r="W150" s="27">
        <f>+W148</f>
        <v>8925683</v>
      </c>
      <c r="X150" s="106">
        <f>+T150+W150-V150</f>
        <v>18160807</v>
      </c>
      <c r="Y150" s="27">
        <f>Y27-Y114</f>
        <v>8752682</v>
      </c>
      <c r="Z150" s="27">
        <f>Z148</f>
        <v>6435004</v>
      </c>
      <c r="AA150" s="27">
        <f>+X150+Z150-Y150</f>
        <v>15843129</v>
      </c>
      <c r="AB150" s="27"/>
      <c r="AC150" s="27">
        <f>AC149</f>
        <v>10250005</v>
      </c>
      <c r="AD150" s="27">
        <f>+AD148</f>
        <v>8810762</v>
      </c>
      <c r="AE150" s="106">
        <f>+AA150+AD150-AC150</f>
        <v>14403886</v>
      </c>
      <c r="AF150" s="105" t="s">
        <v>322</v>
      </c>
      <c r="AG150" s="140">
        <f>AG149</f>
        <v>12341540.75</v>
      </c>
      <c r="AH150" s="27">
        <f>+AH148</f>
        <v>7682945</v>
      </c>
      <c r="AI150" s="106">
        <f>+AE150+AH150-AG150</f>
        <v>9745290.25</v>
      </c>
      <c r="AJ150" s="4"/>
      <c r="AK150" s="27">
        <f>AK149</f>
        <v>13788360.75</v>
      </c>
      <c r="AL150" s="27">
        <f>+AL148</f>
        <v>7843717</v>
      </c>
      <c r="AM150" s="106">
        <f>+AI150+AL150-AK150</f>
        <v>3800646.5</v>
      </c>
      <c r="AN150" s="4"/>
      <c r="AO150" s="27">
        <f>AO149</f>
        <v>12146150.75</v>
      </c>
      <c r="AP150" s="27">
        <f>+AP148</f>
        <v>13050966</v>
      </c>
      <c r="AQ150" s="106">
        <f>+AM150+AP150-AO150</f>
        <v>4705461.75</v>
      </c>
      <c r="AR150" s="4"/>
      <c r="AS150" s="27">
        <f>AS149</f>
        <v>9554095.75</v>
      </c>
      <c r="AT150" s="27">
        <f>+AT148</f>
        <v>14383322</v>
      </c>
      <c r="AU150" s="106">
        <f>+AQ150+AT150-AS150</f>
        <v>9534688</v>
      </c>
      <c r="AV150" s="105" t="s">
        <v>322</v>
      </c>
    </row>
    <row r="151" spans="1:48" x14ac:dyDescent="0.25">
      <c r="B151" s="205" t="s">
        <v>460</v>
      </c>
      <c r="C151" s="204" t="s">
        <v>461</v>
      </c>
      <c r="D151" s="204"/>
      <c r="E151" s="5">
        <f>+D150-C150</f>
        <v>5038468</v>
      </c>
      <c r="G151" s="204" t="s">
        <v>186</v>
      </c>
      <c r="H151" s="204"/>
      <c r="I151" s="5">
        <f>+H150-G150</f>
        <v>3625619</v>
      </c>
      <c r="J151" s="204" t="s">
        <v>462</v>
      </c>
      <c r="K151" s="204"/>
      <c r="L151" s="5">
        <f>+K150-J150</f>
        <v>3176956</v>
      </c>
      <c r="N151" s="204" t="s">
        <v>188</v>
      </c>
      <c r="O151" s="204"/>
      <c r="P151" s="5">
        <f>+O150-N150</f>
        <v>3741816</v>
      </c>
      <c r="R151" s="204" t="s">
        <v>189</v>
      </c>
      <c r="S151" s="204"/>
      <c r="T151" s="5">
        <f>+S150-R150</f>
        <v>2085936</v>
      </c>
      <c r="V151" s="204" t="s">
        <v>190</v>
      </c>
      <c r="W151" s="204"/>
      <c r="X151" s="5">
        <f>+W150-V150</f>
        <v>492012</v>
      </c>
      <c r="Y151" s="204" t="s">
        <v>463</v>
      </c>
      <c r="Z151" s="204"/>
      <c r="AA151" s="5">
        <f>+Z150-Y150</f>
        <v>-2317678</v>
      </c>
      <c r="AC151" s="204" t="s">
        <v>192</v>
      </c>
      <c r="AD151" s="204"/>
      <c r="AE151" s="5">
        <f>+AD150-AC150</f>
        <v>-1439243</v>
      </c>
      <c r="AG151" s="204" t="s">
        <v>193</v>
      </c>
      <c r="AH151" s="204"/>
      <c r="AI151" s="5">
        <f>+AH150-AG150</f>
        <v>-4658595.75</v>
      </c>
      <c r="AK151" s="204" t="s">
        <v>465</v>
      </c>
      <c r="AL151" s="204"/>
      <c r="AM151" s="5">
        <f>+AL150-AK150</f>
        <v>-5944643.75</v>
      </c>
      <c r="AO151" s="204" t="s">
        <v>464</v>
      </c>
      <c r="AP151" s="204"/>
      <c r="AQ151" s="5">
        <f>+AP150-AO150</f>
        <v>904815.25</v>
      </c>
      <c r="AS151" s="204" t="s">
        <v>197</v>
      </c>
      <c r="AT151" s="204"/>
      <c r="AU151" s="5">
        <f>+AT150-AS150</f>
        <v>4829226.25</v>
      </c>
    </row>
    <row r="152" spans="1:48" x14ac:dyDescent="0.25">
      <c r="J152" s="6"/>
      <c r="AU152" s="5"/>
    </row>
    <row r="153" spans="1:48" x14ac:dyDescent="0.25">
      <c r="C153" s="5"/>
      <c r="G153" s="6"/>
    </row>
  </sheetData>
  <mergeCells count="49">
    <mergeCell ref="AO151:AP151"/>
    <mergeCell ref="AS151:AT151"/>
    <mergeCell ref="V151:W151"/>
    <mergeCell ref="Y151:Z151"/>
    <mergeCell ref="AC151:AD151"/>
    <mergeCell ref="AG151:AH151"/>
    <mergeCell ref="AK151:AL151"/>
    <mergeCell ref="C151:D151"/>
    <mergeCell ref="G151:H151"/>
    <mergeCell ref="J151:K151"/>
    <mergeCell ref="N151:O151"/>
    <mergeCell ref="R151:S151"/>
    <mergeCell ref="AO4:AR4"/>
    <mergeCell ref="AO5:AP5"/>
    <mergeCell ref="AQ5:AR5"/>
    <mergeCell ref="AS4:AV4"/>
    <mergeCell ref="AS5:AT5"/>
    <mergeCell ref="AU5:AV5"/>
    <mergeCell ref="Y5:Z5"/>
    <mergeCell ref="AA5:AB5"/>
    <mergeCell ref="AC5:AD5"/>
    <mergeCell ref="AE5:AF5"/>
    <mergeCell ref="AK4:AN4"/>
    <mergeCell ref="AK5:AL5"/>
    <mergeCell ref="AM5:AN5"/>
    <mergeCell ref="AG5:AH5"/>
    <mergeCell ref="AI5:AJ5"/>
    <mergeCell ref="AG4:AJ4"/>
    <mergeCell ref="A1:Q1"/>
    <mergeCell ref="A2:Q2"/>
    <mergeCell ref="C4:F4"/>
    <mergeCell ref="G4:I4"/>
    <mergeCell ref="J4:M4"/>
    <mergeCell ref="N4:Q4"/>
    <mergeCell ref="R4:U4"/>
    <mergeCell ref="V4:X4"/>
    <mergeCell ref="Y4:AB4"/>
    <mergeCell ref="AC4:AF4"/>
    <mergeCell ref="P5:Q5"/>
    <mergeCell ref="A5:B5"/>
    <mergeCell ref="C5:D5"/>
    <mergeCell ref="E5:F5"/>
    <mergeCell ref="G5:H5"/>
    <mergeCell ref="J5:K5"/>
    <mergeCell ref="L5:M5"/>
    <mergeCell ref="N5:O5"/>
    <mergeCell ref="R5:S5"/>
    <mergeCell ref="T5:U5"/>
    <mergeCell ref="V5:W5"/>
  </mergeCells>
  <pageMargins left="0.70866141732283472" right="0.70866141732283472" top="0.74803149606299213" bottom="0.74803149606299213" header="0.31496062992125984" footer="0.31496062992125984"/>
  <pageSetup scale="36" orientation="portrait" horizontalDpi="360" verticalDpi="360" r:id="rId1"/>
  <rowBreaks count="1" manualBreakCount="1">
    <brk id="74" max="16383" man="1"/>
  </rowBreaks>
  <colBreaks count="3" manualBreakCount="3">
    <brk id="9" max="1048575" man="1"/>
    <brk id="21" max="1048575" man="1"/>
    <brk id="32" max="13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4"/>
  <sheetViews>
    <sheetView view="pageBreakPreview" topLeftCell="A127" zoomScale="91" zoomScaleNormal="100" zoomScaleSheetLayoutView="91" workbookViewId="0">
      <selection activeCell="E148" sqref="E148"/>
    </sheetView>
  </sheetViews>
  <sheetFormatPr baseColWidth="10" defaultRowHeight="12.75" x14ac:dyDescent="0.2"/>
  <cols>
    <col min="1" max="1" width="4.140625" style="1" customWidth="1"/>
    <col min="2" max="2" width="11.42578125" style="1"/>
    <col min="3" max="4" width="22.5703125" style="1" bestFit="1" customWidth="1"/>
    <col min="5" max="5" width="15.7109375" style="1" customWidth="1"/>
    <col min="6" max="6" width="15.42578125" style="1" customWidth="1"/>
    <col min="7" max="7" width="15.28515625" style="1" bestFit="1" customWidth="1"/>
    <col min="8" max="8" width="16.5703125" style="1" customWidth="1"/>
    <col min="9" max="9" width="13.85546875" style="1" customWidth="1"/>
    <col min="10" max="10" width="14.85546875" style="1" bestFit="1" customWidth="1"/>
    <col min="11" max="12" width="13.7109375" style="1" customWidth="1"/>
    <col min="13" max="13" width="14.28515625" style="1" bestFit="1" customWidth="1"/>
    <col min="14" max="14" width="14.28515625" style="1" customWidth="1"/>
    <col min="15" max="16384" width="11.42578125" style="1"/>
  </cols>
  <sheetData>
    <row r="1" spans="1:24" x14ac:dyDescent="0.2">
      <c r="A1" s="43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5"/>
    </row>
    <row r="2" spans="1:24" x14ac:dyDescent="0.2">
      <c r="A2" s="3"/>
      <c r="F2" s="88"/>
      <c r="G2" s="88"/>
      <c r="X2" s="2"/>
    </row>
    <row r="3" spans="1:24" x14ac:dyDescent="0.2">
      <c r="A3" s="3"/>
      <c r="F3" s="88"/>
      <c r="H3" s="88"/>
      <c r="X3" s="2"/>
    </row>
    <row r="4" spans="1:24" ht="13.5" thickBot="1" x14ac:dyDescent="0.25">
      <c r="A4" s="3"/>
      <c r="I4" s="88"/>
      <c r="X4" s="2"/>
    </row>
    <row r="5" spans="1:24" ht="38.25" customHeight="1" thickBot="1" x14ac:dyDescent="0.25">
      <c r="A5" s="3"/>
      <c r="B5" s="46" t="s">
        <v>177</v>
      </c>
      <c r="C5" s="117" t="s">
        <v>200</v>
      </c>
      <c r="D5" s="80" t="s">
        <v>178</v>
      </c>
      <c r="E5" s="48" t="s">
        <v>179</v>
      </c>
      <c r="F5" s="119" t="s">
        <v>201</v>
      </c>
      <c r="G5" s="46" t="s">
        <v>180</v>
      </c>
      <c r="H5" s="48" t="s">
        <v>181</v>
      </c>
      <c r="I5" s="121" t="s">
        <v>202</v>
      </c>
      <c r="J5" s="47" t="s">
        <v>182</v>
      </c>
      <c r="K5" s="48" t="s">
        <v>183</v>
      </c>
      <c r="L5" s="121" t="s">
        <v>363</v>
      </c>
      <c r="M5" s="47" t="s">
        <v>362</v>
      </c>
      <c r="N5" s="48" t="s">
        <v>199</v>
      </c>
      <c r="X5" s="2"/>
    </row>
    <row r="6" spans="1:24" ht="15.75" x14ac:dyDescent="0.25">
      <c r="A6" s="3"/>
      <c r="B6" s="50" t="s">
        <v>185</v>
      </c>
      <c r="C6" s="118">
        <v>5232922</v>
      </c>
      <c r="D6" s="49">
        <v>20519674</v>
      </c>
      <c r="E6" s="49">
        <f>522963+299991+2769114+199640+276690</f>
        <v>4068398</v>
      </c>
      <c r="F6" s="118">
        <f>7998115</f>
        <v>7998115</v>
      </c>
      <c r="G6" s="49">
        <v>5489862</v>
      </c>
      <c r="H6" s="49">
        <v>3111549</v>
      </c>
      <c r="I6" s="118">
        <f>+'PYG '!C149</f>
        <v>8192569</v>
      </c>
      <c r="J6" s="49">
        <v>7055307</v>
      </c>
      <c r="K6" s="49">
        <v>10452832</v>
      </c>
      <c r="L6" s="118">
        <f>+C6+F6-I6</f>
        <v>5038468</v>
      </c>
      <c r="M6" s="49">
        <v>18954229</v>
      </c>
      <c r="N6" s="49">
        <v>-3272885</v>
      </c>
      <c r="X6" s="2"/>
    </row>
    <row r="7" spans="1:24" ht="15.75" x14ac:dyDescent="0.25">
      <c r="A7" s="3"/>
      <c r="B7" s="50" t="s">
        <v>186</v>
      </c>
      <c r="C7" s="118">
        <v>6735984</v>
      </c>
      <c r="D7" s="49">
        <v>347610</v>
      </c>
      <c r="E7" s="49">
        <f>34155+356641+30000+185495+199640+2769114+52440+124200+30000</f>
        <v>3781685</v>
      </c>
      <c r="F7" s="118">
        <f>4974356-1</f>
        <v>4974355</v>
      </c>
      <c r="G7" s="49">
        <v>7374328</v>
      </c>
      <c r="H7" s="49">
        <v>8157506</v>
      </c>
      <c r="I7" s="118">
        <f>+'PYG '!G149</f>
        <v>8084721</v>
      </c>
      <c r="J7" s="49">
        <v>8975623</v>
      </c>
      <c r="K7" s="49">
        <v>8843670</v>
      </c>
      <c r="L7" s="118">
        <f t="shared" ref="L7:L17" si="0">+C7+F7-I7</f>
        <v>3625618</v>
      </c>
      <c r="M7" s="49">
        <v>-1253685</v>
      </c>
      <c r="N7" s="49">
        <v>3095521</v>
      </c>
      <c r="X7" s="2"/>
    </row>
    <row r="8" spans="1:24" ht="15.75" x14ac:dyDescent="0.25">
      <c r="A8" s="3"/>
      <c r="B8" s="50" t="s">
        <v>187</v>
      </c>
      <c r="C8" s="118">
        <v>4072345</v>
      </c>
      <c r="D8" s="49">
        <f>245268+260</f>
        <v>245528</v>
      </c>
      <c r="E8" s="49">
        <f>2501135+199640+393580+80730+29750+34510+25000</f>
        <v>3264345</v>
      </c>
      <c r="F8" s="118">
        <f>7130394+43</f>
        <v>7130437</v>
      </c>
      <c r="G8" s="49">
        <v>5439456</v>
      </c>
      <c r="H8" s="49">
        <v>5780617</v>
      </c>
      <c r="I8" s="118">
        <f>+'PYG '!J149</f>
        <v>8025783</v>
      </c>
      <c r="J8" s="49">
        <v>9788704</v>
      </c>
      <c r="K8" s="49">
        <v>8621927</v>
      </c>
      <c r="L8" s="118">
        <f t="shared" si="0"/>
        <v>3176999</v>
      </c>
      <c r="M8" s="49">
        <v>-4103720</v>
      </c>
      <c r="N8" s="49">
        <v>423035</v>
      </c>
      <c r="X8" s="2"/>
    </row>
    <row r="9" spans="1:24" ht="15.75" x14ac:dyDescent="0.25">
      <c r="A9" s="3"/>
      <c r="B9" s="50" t="s">
        <v>188</v>
      </c>
      <c r="C9" s="118">
        <v>8902568</v>
      </c>
      <c r="D9" s="49">
        <f>44268+102185+80587+29750+50000+4998</f>
        <v>311788</v>
      </c>
      <c r="E9" s="49">
        <f>2769114+199640+549053+161460+430560+90000+267950+437283+714714+17250+40000+37500</f>
        <v>5714524</v>
      </c>
      <c r="F9" s="118">
        <f>6000929+75</f>
        <v>6001004</v>
      </c>
      <c r="G9" s="49">
        <v>7142915</v>
      </c>
      <c r="H9" s="49">
        <v>5636163</v>
      </c>
      <c r="I9" s="118">
        <f>+'PYG '!N149</f>
        <v>11161681</v>
      </c>
      <c r="J9" s="49">
        <v>9211395</v>
      </c>
      <c r="K9" s="49">
        <v>6162384</v>
      </c>
      <c r="L9" s="118">
        <f t="shared" si="0"/>
        <v>3741891</v>
      </c>
      <c r="M9" s="49">
        <v>-1756692</v>
      </c>
      <c r="N9" s="49">
        <v>5188303</v>
      </c>
      <c r="X9" s="2"/>
    </row>
    <row r="10" spans="1:24" ht="15.75" x14ac:dyDescent="0.25">
      <c r="A10" s="3"/>
      <c r="B10" s="50" t="s">
        <v>189</v>
      </c>
      <c r="C10" s="118">
        <v>4831245</v>
      </c>
      <c r="D10" s="49">
        <v>2070588</v>
      </c>
      <c r="E10" s="49">
        <v>1563099</v>
      </c>
      <c r="F10" s="118">
        <v>7419178</v>
      </c>
      <c r="G10" s="49">
        <v>5721041</v>
      </c>
      <c r="H10" s="49">
        <v>13796936</v>
      </c>
      <c r="I10" s="118">
        <f>+'PYG '!R149</f>
        <v>10164486</v>
      </c>
      <c r="J10" s="49">
        <v>8014528</v>
      </c>
      <c r="K10" s="49">
        <v>10155182</v>
      </c>
      <c r="L10" s="118">
        <f t="shared" si="0"/>
        <v>2085937</v>
      </c>
      <c r="M10" s="49">
        <v>-222899</v>
      </c>
      <c r="N10" s="49">
        <v>5204853</v>
      </c>
      <c r="X10" s="2"/>
    </row>
    <row r="11" spans="1:24" ht="15.75" x14ac:dyDescent="0.25">
      <c r="A11" s="3"/>
      <c r="B11" s="50" t="s">
        <v>190</v>
      </c>
      <c r="C11" s="118">
        <v>2541098</v>
      </c>
      <c r="D11" s="49">
        <v>4186225</v>
      </c>
      <c r="E11" s="49">
        <v>2504537</v>
      </c>
      <c r="F11" s="118">
        <f>6384494+91</f>
        <v>6384585</v>
      </c>
      <c r="G11" s="49">
        <v>4021740</v>
      </c>
      <c r="H11" s="49">
        <v>6565667</v>
      </c>
      <c r="I11" s="118">
        <f>+'PYG '!V149</f>
        <v>8433671</v>
      </c>
      <c r="J11" s="49">
        <v>7385244</v>
      </c>
      <c r="K11" s="49">
        <v>14240736</v>
      </c>
      <c r="L11" s="118">
        <f t="shared" si="0"/>
        <v>492012</v>
      </c>
      <c r="M11" s="49">
        <v>822721</v>
      </c>
      <c r="N11" s="49">
        <v>-5170532</v>
      </c>
      <c r="X11" s="2"/>
    </row>
    <row r="12" spans="1:24" ht="15.75" x14ac:dyDescent="0.25">
      <c r="A12" s="3"/>
      <c r="B12" s="50" t="s">
        <v>191</v>
      </c>
      <c r="C12" s="118">
        <v>2060928</v>
      </c>
      <c r="D12" s="49">
        <v>3502320</v>
      </c>
      <c r="E12" s="49">
        <v>14376812</v>
      </c>
      <c r="F12" s="118">
        <v>4374077</v>
      </c>
      <c r="G12" s="49">
        <v>1959742</v>
      </c>
      <c r="H12" s="49">
        <v>6138041</v>
      </c>
      <c r="I12" s="118">
        <f>+'PYG '!Y149</f>
        <v>8752682</v>
      </c>
      <c r="J12" s="49">
        <v>7676064</v>
      </c>
      <c r="K12" s="49">
        <v>10531315</v>
      </c>
      <c r="L12" s="118">
        <f t="shared" si="0"/>
        <v>-2317677</v>
      </c>
      <c r="M12" s="49">
        <v>-2214002</v>
      </c>
      <c r="N12" s="49">
        <v>9983538</v>
      </c>
      <c r="X12" s="2"/>
    </row>
    <row r="13" spans="1:24" ht="15.75" x14ac:dyDescent="0.25">
      <c r="A13" s="3"/>
      <c r="B13" s="50" t="s">
        <v>192</v>
      </c>
      <c r="C13" s="118">
        <v>722060</v>
      </c>
      <c r="D13" s="49">
        <v>13456626</v>
      </c>
      <c r="E13" s="49">
        <v>9843168</v>
      </c>
      <c r="F13" s="118">
        <f>8088407+176</f>
        <v>8088583</v>
      </c>
      <c r="G13" s="49">
        <v>4820282</v>
      </c>
      <c r="H13" s="49">
        <v>5449400</v>
      </c>
      <c r="I13" s="118">
        <f>+'PYG '!AC149</f>
        <v>10250005</v>
      </c>
      <c r="J13" s="49">
        <v>9472439</v>
      </c>
      <c r="K13" s="49">
        <v>10083753</v>
      </c>
      <c r="L13" s="118">
        <f t="shared" si="0"/>
        <v>-1439362</v>
      </c>
      <c r="M13" s="49">
        <v>8804469</v>
      </c>
      <c r="N13" s="49">
        <v>5208815</v>
      </c>
      <c r="X13" s="2"/>
    </row>
    <row r="14" spans="1:24" ht="21" x14ac:dyDescent="0.25">
      <c r="A14" s="3"/>
      <c r="B14" s="50" t="s">
        <v>193</v>
      </c>
      <c r="C14" s="118">
        <f>+'PYG '!AH8</f>
        <v>1921510</v>
      </c>
      <c r="D14" s="49">
        <v>0</v>
      </c>
      <c r="E14" s="49">
        <v>6807513</v>
      </c>
      <c r="F14" s="118">
        <v>5761435</v>
      </c>
      <c r="G14" s="49">
        <v>6035931</v>
      </c>
      <c r="H14" s="49">
        <v>6941815</v>
      </c>
      <c r="I14" s="118">
        <f>+'PYG '!AG149</f>
        <v>12341540.75</v>
      </c>
      <c r="J14" s="49">
        <v>16476675</v>
      </c>
      <c r="K14" s="49">
        <v>13656658</v>
      </c>
      <c r="L14" s="118">
        <f t="shared" si="0"/>
        <v>-4658595.75</v>
      </c>
      <c r="M14" s="49">
        <v>-10440744</v>
      </c>
      <c r="N14" s="49">
        <v>92670</v>
      </c>
      <c r="X14" s="2"/>
    </row>
    <row r="15" spans="1:24" ht="15.75" x14ac:dyDescent="0.25">
      <c r="A15" s="3"/>
      <c r="B15" s="50" t="s">
        <v>194</v>
      </c>
      <c r="C15" s="118">
        <f>+'PYG '!AL8</f>
        <v>1940050</v>
      </c>
      <c r="D15" s="49">
        <f>+'[1]PYG '!AP8</f>
        <v>53036592</v>
      </c>
      <c r="E15" s="49">
        <v>3921439</v>
      </c>
      <c r="F15" s="118">
        <v>5903667</v>
      </c>
      <c r="G15" s="49">
        <v>10697305</v>
      </c>
      <c r="H15" s="49">
        <v>5541550</v>
      </c>
      <c r="I15" s="118">
        <f>+'PYG '!AK149</f>
        <v>13788360.75</v>
      </c>
      <c r="J15" s="49">
        <v>10699836</v>
      </c>
      <c r="K15" s="49">
        <v>12463405</v>
      </c>
      <c r="L15" s="118">
        <f t="shared" si="0"/>
        <v>-5944643.75</v>
      </c>
      <c r="M15" s="49">
        <v>4755101</v>
      </c>
      <c r="N15" s="49">
        <v>-3000416</v>
      </c>
      <c r="X15" s="2"/>
    </row>
    <row r="16" spans="1:24" ht="21" x14ac:dyDescent="0.25">
      <c r="A16" s="3"/>
      <c r="B16" s="50" t="s">
        <v>195</v>
      </c>
      <c r="C16" s="118">
        <f>+'PYG '!AP8</f>
        <v>6096979</v>
      </c>
      <c r="D16" s="49">
        <f>+'[1]PYG '!AT8</f>
        <v>58092377</v>
      </c>
      <c r="E16" s="49">
        <v>2545390</v>
      </c>
      <c r="F16" s="118">
        <v>6953987</v>
      </c>
      <c r="G16" s="49">
        <v>7259988</v>
      </c>
      <c r="H16" s="49">
        <v>6901480</v>
      </c>
      <c r="I16" s="118">
        <f>+'PYG '!AO149</f>
        <v>12146150.75</v>
      </c>
      <c r="J16" s="49">
        <v>12696365</v>
      </c>
      <c r="K16" s="49">
        <v>13179987</v>
      </c>
      <c r="L16" s="118">
        <f t="shared" si="0"/>
        <v>904815.25</v>
      </c>
      <c r="M16" s="49">
        <v>-380592</v>
      </c>
      <c r="N16" s="49">
        <v>-3733117</v>
      </c>
      <c r="X16" s="2"/>
    </row>
    <row r="17" spans="1:24" ht="15.75" x14ac:dyDescent="0.25">
      <c r="A17" s="3"/>
      <c r="B17" s="50" t="s">
        <v>196</v>
      </c>
      <c r="C17" s="118">
        <f>+'PYG '!AT8</f>
        <v>10802895</v>
      </c>
      <c r="D17" s="49">
        <f>+'[1]PYG '!AX8</f>
        <v>63938027</v>
      </c>
      <c r="E17" s="52">
        <v>68513641</v>
      </c>
      <c r="F17" s="120">
        <v>3580427</v>
      </c>
      <c r="G17" s="49">
        <v>8230584</v>
      </c>
      <c r="H17" s="52">
        <v>7106144</v>
      </c>
      <c r="I17" s="118">
        <f>+'PYG '!AS149</f>
        <v>9554095.75</v>
      </c>
      <c r="J17" s="49">
        <v>8852048</v>
      </c>
      <c r="K17" s="49">
        <v>27294325</v>
      </c>
      <c r="L17" s="118">
        <f t="shared" si="0"/>
        <v>4829226.25</v>
      </c>
      <c r="M17" s="49">
        <v>5224186</v>
      </c>
      <c r="N17" s="49">
        <v>48325460</v>
      </c>
      <c r="X17" s="2"/>
    </row>
    <row r="18" spans="1:24" ht="16.5" thickBot="1" x14ac:dyDescent="0.3">
      <c r="A18" s="3"/>
      <c r="B18" s="51"/>
      <c r="C18" s="118"/>
      <c r="D18" s="81"/>
      <c r="E18" s="49"/>
      <c r="F18" s="118"/>
      <c r="G18" s="49"/>
      <c r="H18" s="49"/>
      <c r="I18" s="118"/>
      <c r="J18" s="49"/>
      <c r="K18" s="49"/>
      <c r="L18" s="123"/>
      <c r="M18" s="49"/>
      <c r="N18" s="49"/>
      <c r="X18" s="2"/>
    </row>
    <row r="19" spans="1:24" ht="16.5" thickBot="1" x14ac:dyDescent="0.3">
      <c r="A19" s="3"/>
      <c r="B19" s="53" t="s">
        <v>184</v>
      </c>
      <c r="C19" s="81">
        <f>SUM(C6:C18)</f>
        <v>55860584</v>
      </c>
      <c r="D19" s="81">
        <f t="shared" ref="D19:N19" si="1">SUM(D6:D18)</f>
        <v>219707355</v>
      </c>
      <c r="E19" s="81">
        <f t="shared" si="1"/>
        <v>126904551</v>
      </c>
      <c r="F19" s="81">
        <f t="shared" si="1"/>
        <v>74569850</v>
      </c>
      <c r="G19" s="81">
        <f t="shared" si="1"/>
        <v>74193174</v>
      </c>
      <c r="H19" s="81">
        <f t="shared" si="1"/>
        <v>81126868</v>
      </c>
      <c r="I19" s="81">
        <f t="shared" si="1"/>
        <v>120895746</v>
      </c>
      <c r="J19" s="81">
        <f t="shared" si="1"/>
        <v>116304228</v>
      </c>
      <c r="K19" s="122">
        <f t="shared" si="1"/>
        <v>145686174</v>
      </c>
      <c r="L19" s="124">
        <f t="shared" si="1"/>
        <v>9534688</v>
      </c>
      <c r="M19" s="81">
        <f t="shared" si="1"/>
        <v>18188372</v>
      </c>
      <c r="N19" s="81">
        <f t="shared" si="1"/>
        <v>62345245</v>
      </c>
      <c r="X19" s="2"/>
    </row>
    <row r="20" spans="1:24" x14ac:dyDescent="0.2">
      <c r="A20" s="3"/>
      <c r="C20" s="88"/>
      <c r="X20" s="2"/>
    </row>
    <row r="21" spans="1:24" x14ac:dyDescent="0.2">
      <c r="A21" s="3"/>
      <c r="C21" s="88"/>
      <c r="D21" s="88"/>
      <c r="E21" s="88"/>
      <c r="I21" s="88"/>
      <c r="X21" s="2"/>
    </row>
    <row r="22" spans="1:24" ht="15" x14ac:dyDescent="0.25">
      <c r="A22" s="3"/>
      <c r="C22" s="88"/>
      <c r="D22" s="54"/>
      <c r="E22" s="54"/>
      <c r="F22" s="54"/>
      <c r="L22" s="88"/>
      <c r="X22" s="2"/>
    </row>
    <row r="23" spans="1:24" ht="15" x14ac:dyDescent="0.25">
      <c r="A23" s="3"/>
      <c r="D23" s="54"/>
      <c r="E23" s="54"/>
      <c r="F23" s="54"/>
      <c r="X23" s="2"/>
    </row>
    <row r="24" spans="1:24" ht="15" x14ac:dyDescent="0.25">
      <c r="A24" s="3"/>
      <c r="D24" s="54"/>
      <c r="E24" s="54"/>
      <c r="F24" s="54"/>
      <c r="X24" s="2"/>
    </row>
    <row r="25" spans="1:24" ht="15" x14ac:dyDescent="0.25">
      <c r="A25" s="3"/>
      <c r="D25" s="54"/>
      <c r="E25" s="54"/>
      <c r="F25" s="54"/>
      <c r="X25" s="2"/>
    </row>
    <row r="26" spans="1:24" x14ac:dyDescent="0.2">
      <c r="A26" s="3"/>
      <c r="X26" s="2"/>
    </row>
    <row r="27" spans="1:24" x14ac:dyDescent="0.2">
      <c r="A27" s="3"/>
      <c r="X27" s="2"/>
    </row>
    <row r="28" spans="1:24" x14ac:dyDescent="0.2">
      <c r="A28" s="3"/>
      <c r="X28" s="2"/>
    </row>
    <row r="29" spans="1:24" x14ac:dyDescent="0.2">
      <c r="A29" s="3"/>
      <c r="X29" s="2"/>
    </row>
    <row r="30" spans="1:24" x14ac:dyDescent="0.2">
      <c r="A30" s="3"/>
      <c r="X30" s="2"/>
    </row>
    <row r="31" spans="1:24" x14ac:dyDescent="0.2">
      <c r="A31" s="3"/>
      <c r="X31" s="2"/>
    </row>
    <row r="32" spans="1:24" x14ac:dyDescent="0.2">
      <c r="A32" s="3"/>
      <c r="X32" s="2"/>
    </row>
    <row r="33" spans="1:24" x14ac:dyDescent="0.2">
      <c r="A33" s="3"/>
      <c r="X33" s="2"/>
    </row>
    <row r="34" spans="1:24" x14ac:dyDescent="0.2">
      <c r="A34" s="3"/>
      <c r="X34" s="2"/>
    </row>
    <row r="35" spans="1:24" x14ac:dyDescent="0.2">
      <c r="A35" s="3"/>
      <c r="X35" s="2"/>
    </row>
    <row r="36" spans="1:24" x14ac:dyDescent="0.2">
      <c r="A36" s="3"/>
      <c r="X36" s="2"/>
    </row>
    <row r="37" spans="1:24" x14ac:dyDescent="0.2">
      <c r="A37" s="3"/>
      <c r="X37" s="2"/>
    </row>
    <row r="38" spans="1:24" x14ac:dyDescent="0.2">
      <c r="A38" s="3"/>
      <c r="X38" s="2"/>
    </row>
    <row r="39" spans="1:24" x14ac:dyDescent="0.2">
      <c r="A39" s="3"/>
      <c r="X39" s="2"/>
    </row>
    <row r="40" spans="1:24" ht="13.5" thickBot="1" x14ac:dyDescent="0.25">
      <c r="A40" s="55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7"/>
    </row>
    <row r="43" spans="1:24" ht="13.5" thickBot="1" x14ac:dyDescent="0.25"/>
    <row r="44" spans="1:24" ht="21" x14ac:dyDescent="0.2">
      <c r="B44" s="58" t="s">
        <v>177</v>
      </c>
      <c r="C44" s="59" t="s">
        <v>200</v>
      </c>
      <c r="D44" s="59" t="s">
        <v>178</v>
      </c>
      <c r="E44" s="60" t="s">
        <v>179</v>
      </c>
      <c r="F44" s="82"/>
    </row>
    <row r="45" spans="1:24" ht="15.75" x14ac:dyDescent="0.25">
      <c r="B45" s="50" t="s">
        <v>185</v>
      </c>
      <c r="C45" s="61">
        <v>5232922</v>
      </c>
      <c r="D45" s="49">
        <v>20519674</v>
      </c>
      <c r="E45" s="49">
        <f>522963+299991+2769114+199640+276690</f>
        <v>4068398</v>
      </c>
      <c r="F45" s="83"/>
    </row>
    <row r="46" spans="1:24" ht="15.75" x14ac:dyDescent="0.25">
      <c r="B46" s="50" t="s">
        <v>186</v>
      </c>
      <c r="C46" s="61">
        <v>6735984</v>
      </c>
      <c r="D46" s="49">
        <v>347610</v>
      </c>
      <c r="E46" s="49">
        <f>34155+356641+30000+185495+199640+2769114+52440+124200+30000</f>
        <v>3781685</v>
      </c>
      <c r="F46" s="83"/>
    </row>
    <row r="47" spans="1:24" ht="15.75" x14ac:dyDescent="0.25">
      <c r="B47" s="50" t="s">
        <v>187</v>
      </c>
      <c r="C47" s="61">
        <v>4072345</v>
      </c>
      <c r="D47" s="49">
        <f>245268+260</f>
        <v>245528</v>
      </c>
      <c r="E47" s="49">
        <f>2501135+199640+393580+80730+29750+34510+25000</f>
        <v>3264345</v>
      </c>
      <c r="F47" s="83"/>
    </row>
    <row r="48" spans="1:24" ht="15.75" x14ac:dyDescent="0.25">
      <c r="B48" s="50" t="s">
        <v>188</v>
      </c>
      <c r="C48" s="61">
        <v>8902568</v>
      </c>
      <c r="D48" s="49">
        <f>44268+102185+80587+29750+50000+4998</f>
        <v>311788</v>
      </c>
      <c r="E48" s="49">
        <f>2769114+199640+549053+161460+430560+90000+267950+437283+714714+17250+40000+37500</f>
        <v>5714524</v>
      </c>
      <c r="F48" s="83"/>
    </row>
    <row r="49" spans="2:6" ht="15.75" x14ac:dyDescent="0.25">
      <c r="B49" s="50" t="s">
        <v>189</v>
      </c>
      <c r="C49" s="61">
        <v>4831245</v>
      </c>
      <c r="D49" s="49">
        <v>2070588</v>
      </c>
      <c r="E49" s="49">
        <v>1563099</v>
      </c>
      <c r="F49" s="83"/>
    </row>
    <row r="50" spans="2:6" ht="15.75" x14ac:dyDescent="0.25">
      <c r="B50" s="50" t="s">
        <v>190</v>
      </c>
      <c r="C50" s="61">
        <v>2541098</v>
      </c>
      <c r="D50" s="49">
        <v>4186225</v>
      </c>
      <c r="E50" s="49">
        <v>2504537</v>
      </c>
      <c r="F50" s="83"/>
    </row>
    <row r="51" spans="2:6" ht="15.75" x14ac:dyDescent="0.25">
      <c r="B51" s="50" t="s">
        <v>191</v>
      </c>
      <c r="C51" s="61">
        <v>2060928</v>
      </c>
      <c r="D51" s="49">
        <v>3502320</v>
      </c>
      <c r="E51" s="49">
        <v>14376812</v>
      </c>
      <c r="F51" s="83"/>
    </row>
    <row r="52" spans="2:6" ht="15.75" x14ac:dyDescent="0.25">
      <c r="B52" s="50" t="s">
        <v>192</v>
      </c>
      <c r="C52" s="61">
        <v>722060</v>
      </c>
      <c r="D52" s="49">
        <v>13456626</v>
      </c>
      <c r="E52" s="49">
        <v>9843168</v>
      </c>
      <c r="F52" s="83"/>
    </row>
    <row r="53" spans="2:6" ht="21" x14ac:dyDescent="0.25">
      <c r="B53" s="50" t="s">
        <v>193</v>
      </c>
      <c r="C53" s="61">
        <v>1921510</v>
      </c>
      <c r="D53" s="49">
        <v>0</v>
      </c>
      <c r="E53" s="49">
        <v>6807513</v>
      </c>
      <c r="F53" s="83"/>
    </row>
    <row r="54" spans="2:6" ht="15.75" x14ac:dyDescent="0.25">
      <c r="B54" s="50" t="s">
        <v>194</v>
      </c>
      <c r="C54" s="61">
        <v>1940050</v>
      </c>
      <c r="D54" s="49">
        <f>+'[1]PYG '!AP47</f>
        <v>11000000</v>
      </c>
      <c r="E54" s="49">
        <v>3921439</v>
      </c>
      <c r="F54" s="83"/>
    </row>
    <row r="55" spans="2:6" ht="21" x14ac:dyDescent="0.25">
      <c r="B55" s="50" t="s">
        <v>195</v>
      </c>
      <c r="C55" s="61">
        <v>6096979</v>
      </c>
      <c r="D55" s="49">
        <f>+'[1]PYG '!AT47</f>
        <v>12000000</v>
      </c>
      <c r="E55" s="49">
        <v>2545390</v>
      </c>
      <c r="F55" s="83"/>
    </row>
    <row r="56" spans="2:6" ht="15.75" x14ac:dyDescent="0.25">
      <c r="B56" s="50" t="s">
        <v>196</v>
      </c>
      <c r="C56" s="61">
        <v>10802895</v>
      </c>
      <c r="D56" s="49">
        <f>+'[1]PYG '!AX47</f>
        <v>13000000</v>
      </c>
      <c r="E56" s="52">
        <v>68513641</v>
      </c>
      <c r="F56" s="83"/>
    </row>
    <row r="57" spans="2:6" ht="15" x14ac:dyDescent="0.25">
      <c r="B57" s="50"/>
      <c r="C57" s="77"/>
      <c r="D57" s="61"/>
      <c r="E57" s="62"/>
      <c r="F57" s="83"/>
    </row>
    <row r="58" spans="2:6" ht="13.5" thickBot="1" x14ac:dyDescent="0.25">
      <c r="B58" s="53" t="s">
        <v>184</v>
      </c>
      <c r="C58" s="63">
        <f>SUM(C45:C57)</f>
        <v>55860584</v>
      </c>
      <c r="D58" s="63">
        <f>SUM(D45:D57)</f>
        <v>80640359</v>
      </c>
      <c r="E58" s="64">
        <f>SUM(E45:E57)</f>
        <v>126904551</v>
      </c>
      <c r="F58" s="84"/>
    </row>
    <row r="69" spans="2:9" ht="13.5" thickBot="1" x14ac:dyDescent="0.25"/>
    <row r="70" spans="2:9" ht="21" x14ac:dyDescent="0.2">
      <c r="B70" s="58" t="s">
        <v>177</v>
      </c>
      <c r="C70" s="58" t="s">
        <v>201</v>
      </c>
      <c r="D70" s="58" t="s">
        <v>180</v>
      </c>
      <c r="E70" s="60" t="s">
        <v>181</v>
      </c>
      <c r="F70" s="82"/>
      <c r="G70" s="65"/>
      <c r="H70" s="65"/>
      <c r="I70" s="65"/>
    </row>
    <row r="71" spans="2:9" ht="15.75" x14ac:dyDescent="0.25">
      <c r="B71" s="50" t="s">
        <v>185</v>
      </c>
      <c r="C71" s="61">
        <v>7998115</v>
      </c>
      <c r="D71" s="66">
        <v>5489862</v>
      </c>
      <c r="E71" s="66">
        <v>3111549</v>
      </c>
      <c r="F71" s="85"/>
      <c r="G71" s="67"/>
      <c r="H71" s="68"/>
      <c r="I71" s="68"/>
    </row>
    <row r="72" spans="2:9" ht="15.75" x14ac:dyDescent="0.25">
      <c r="B72" s="50" t="s">
        <v>186</v>
      </c>
      <c r="C72" s="66">
        <v>4974355</v>
      </c>
      <c r="D72" s="66">
        <v>7374328</v>
      </c>
      <c r="E72" s="66">
        <v>8157506</v>
      </c>
      <c r="F72" s="85"/>
      <c r="G72" s="67"/>
      <c r="H72" s="68"/>
      <c r="I72" s="68"/>
    </row>
    <row r="73" spans="2:9" ht="15.75" x14ac:dyDescent="0.25">
      <c r="B73" s="50" t="s">
        <v>187</v>
      </c>
      <c r="C73" s="66">
        <v>7130437</v>
      </c>
      <c r="D73" s="66">
        <v>5439456</v>
      </c>
      <c r="E73" s="66">
        <v>5780617</v>
      </c>
      <c r="F73" s="85"/>
      <c r="G73" s="67"/>
      <c r="H73" s="68"/>
      <c r="I73" s="68"/>
    </row>
    <row r="74" spans="2:9" ht="15.75" x14ac:dyDescent="0.25">
      <c r="B74" s="50" t="s">
        <v>188</v>
      </c>
      <c r="C74" s="66">
        <v>6001004</v>
      </c>
      <c r="D74" s="66">
        <v>7142915</v>
      </c>
      <c r="E74" s="66">
        <v>5636163</v>
      </c>
      <c r="F74" s="85"/>
      <c r="G74" s="67"/>
      <c r="H74" s="68"/>
      <c r="I74" s="68"/>
    </row>
    <row r="75" spans="2:9" ht="15.75" x14ac:dyDescent="0.25">
      <c r="B75" s="50" t="s">
        <v>189</v>
      </c>
      <c r="C75" s="66">
        <v>7419178</v>
      </c>
      <c r="D75" s="66">
        <v>5721041</v>
      </c>
      <c r="E75" s="66">
        <v>13796936</v>
      </c>
      <c r="F75" s="85"/>
      <c r="G75" s="67"/>
      <c r="H75" s="68"/>
      <c r="I75" s="68"/>
    </row>
    <row r="76" spans="2:9" ht="15.75" x14ac:dyDescent="0.25">
      <c r="B76" s="50" t="s">
        <v>190</v>
      </c>
      <c r="C76" s="66">
        <v>6384585</v>
      </c>
      <c r="D76" s="66">
        <v>4021740</v>
      </c>
      <c r="E76" s="66">
        <v>6565667</v>
      </c>
      <c r="F76" s="85"/>
      <c r="G76" s="67"/>
      <c r="H76" s="68"/>
      <c r="I76" s="68"/>
    </row>
    <row r="77" spans="2:9" ht="15.75" x14ac:dyDescent="0.25">
      <c r="B77" s="50" t="s">
        <v>191</v>
      </c>
      <c r="C77" s="66">
        <v>4374077</v>
      </c>
      <c r="D77" s="66">
        <v>1959742</v>
      </c>
      <c r="E77" s="66">
        <v>6138041</v>
      </c>
      <c r="F77" s="85"/>
      <c r="G77" s="67"/>
      <c r="H77" s="68"/>
      <c r="I77" s="68"/>
    </row>
    <row r="78" spans="2:9" ht="15.75" x14ac:dyDescent="0.25">
      <c r="B78" s="50" t="s">
        <v>192</v>
      </c>
      <c r="C78" s="66">
        <v>8088583</v>
      </c>
      <c r="D78" s="66">
        <v>4820282</v>
      </c>
      <c r="E78" s="66">
        <v>5449400</v>
      </c>
      <c r="F78" s="85"/>
      <c r="G78" s="67"/>
      <c r="H78" s="68"/>
      <c r="I78" s="68"/>
    </row>
    <row r="79" spans="2:9" ht="21" x14ac:dyDescent="0.25">
      <c r="B79" s="51" t="s">
        <v>193</v>
      </c>
      <c r="C79" s="66">
        <v>5761435</v>
      </c>
      <c r="D79" s="69">
        <v>6035931</v>
      </c>
      <c r="E79" s="70">
        <v>6941815</v>
      </c>
      <c r="F79" s="85"/>
      <c r="G79" s="67"/>
      <c r="H79" s="68"/>
      <c r="I79" s="68"/>
    </row>
    <row r="80" spans="2:9" ht="15.75" x14ac:dyDescent="0.25">
      <c r="B80" s="51" t="s">
        <v>194</v>
      </c>
      <c r="C80" s="66">
        <v>5903667</v>
      </c>
      <c r="D80" s="69">
        <v>10697305</v>
      </c>
      <c r="E80" s="70">
        <v>5541550</v>
      </c>
      <c r="F80" s="85"/>
      <c r="G80" s="67"/>
      <c r="H80" s="68"/>
      <c r="I80" s="68"/>
    </row>
    <row r="81" spans="2:9" ht="21" x14ac:dyDescent="0.25">
      <c r="B81" s="51" t="s">
        <v>195</v>
      </c>
      <c r="C81" s="66">
        <v>6953987</v>
      </c>
      <c r="D81" s="69">
        <v>7259988</v>
      </c>
      <c r="E81" s="70">
        <v>6901480</v>
      </c>
      <c r="F81" s="85"/>
      <c r="G81" s="67"/>
      <c r="H81" s="68"/>
      <c r="I81" s="68"/>
    </row>
    <row r="82" spans="2:9" ht="15.75" x14ac:dyDescent="0.25">
      <c r="B82" s="51" t="s">
        <v>197</v>
      </c>
      <c r="C82" s="66">
        <v>3580427</v>
      </c>
      <c r="D82" s="71">
        <v>8230584</v>
      </c>
      <c r="E82" s="72">
        <v>7106144</v>
      </c>
      <c r="F82" s="85"/>
      <c r="G82" s="67"/>
      <c r="H82" s="68"/>
      <c r="I82" s="68"/>
    </row>
    <row r="83" spans="2:9" ht="13.5" thickBot="1" x14ac:dyDescent="0.25">
      <c r="B83" s="53" t="s">
        <v>184</v>
      </c>
      <c r="C83" s="73">
        <f>SUM(C71:C82)</f>
        <v>74569850</v>
      </c>
      <c r="D83" s="73">
        <f>SUM(D71:D82)</f>
        <v>74193174</v>
      </c>
      <c r="E83" s="73">
        <f>SUM(E71:E82)</f>
        <v>81126868</v>
      </c>
      <c r="F83" s="86"/>
      <c r="G83" s="74"/>
      <c r="H83" s="74"/>
      <c r="I83" s="74"/>
    </row>
    <row r="101" spans="2:14" ht="13.5" thickBot="1" x14ac:dyDescent="0.25"/>
    <row r="102" spans="2:14" x14ac:dyDescent="0.2">
      <c r="B102" s="58" t="s">
        <v>177</v>
      </c>
      <c r="C102" s="59" t="s">
        <v>202</v>
      </c>
      <c r="D102" s="59" t="s">
        <v>182</v>
      </c>
      <c r="E102" s="60" t="s">
        <v>183</v>
      </c>
      <c r="F102" s="82"/>
      <c r="G102" s="65"/>
      <c r="H102" s="65"/>
      <c r="I102" s="65"/>
      <c r="J102" s="65"/>
      <c r="K102" s="65"/>
      <c r="L102" s="65"/>
      <c r="M102" s="65"/>
      <c r="N102" s="65"/>
    </row>
    <row r="103" spans="2:14" ht="15.75" x14ac:dyDescent="0.25">
      <c r="B103" s="50" t="s">
        <v>185</v>
      </c>
      <c r="C103" s="61">
        <v>8192569</v>
      </c>
      <c r="D103" s="75">
        <v>7055307</v>
      </c>
      <c r="E103" s="75">
        <v>10452832</v>
      </c>
      <c r="F103" s="76"/>
      <c r="G103" s="67"/>
      <c r="H103" s="68"/>
      <c r="I103" s="68"/>
      <c r="J103" s="7"/>
      <c r="K103" s="7"/>
      <c r="L103" s="7"/>
      <c r="M103" s="7"/>
      <c r="N103" s="7"/>
    </row>
    <row r="104" spans="2:14" ht="15.75" x14ac:dyDescent="0.25">
      <c r="B104" s="50" t="s">
        <v>186</v>
      </c>
      <c r="C104" s="61">
        <v>8084721</v>
      </c>
      <c r="D104" s="75">
        <v>8975623</v>
      </c>
      <c r="E104" s="75">
        <v>8843670</v>
      </c>
      <c r="F104" s="76"/>
      <c r="G104" s="67"/>
      <c r="H104" s="68"/>
      <c r="I104" s="68"/>
      <c r="J104" s="7"/>
      <c r="K104" s="7"/>
      <c r="L104" s="7"/>
      <c r="M104" s="7"/>
      <c r="N104" s="7"/>
    </row>
    <row r="105" spans="2:14" ht="15.75" x14ac:dyDescent="0.25">
      <c r="B105" s="50" t="s">
        <v>187</v>
      </c>
      <c r="C105" s="61">
        <v>8025783</v>
      </c>
      <c r="D105" s="75">
        <v>9788704</v>
      </c>
      <c r="E105" s="75">
        <v>8621927</v>
      </c>
      <c r="F105" s="76"/>
      <c r="G105" s="67"/>
      <c r="H105" s="68"/>
      <c r="I105" s="68"/>
      <c r="J105" s="7"/>
      <c r="K105" s="7"/>
      <c r="L105" s="7"/>
      <c r="M105" s="7"/>
      <c r="N105" s="7"/>
    </row>
    <row r="106" spans="2:14" ht="15.75" x14ac:dyDescent="0.25">
      <c r="B106" s="50" t="s">
        <v>188</v>
      </c>
      <c r="C106" s="61">
        <v>11161681</v>
      </c>
      <c r="D106" s="61">
        <v>9211395</v>
      </c>
      <c r="E106" s="61">
        <v>6162384</v>
      </c>
      <c r="F106" s="76"/>
      <c r="G106" s="67"/>
      <c r="H106" s="68"/>
      <c r="I106" s="68"/>
      <c r="J106" s="7"/>
      <c r="K106" s="7"/>
      <c r="L106" s="7"/>
      <c r="M106" s="7"/>
      <c r="N106" s="7"/>
    </row>
    <row r="107" spans="2:14" ht="15.75" x14ac:dyDescent="0.25">
      <c r="B107" s="50" t="s">
        <v>189</v>
      </c>
      <c r="C107" s="61">
        <v>10164486</v>
      </c>
      <c r="D107" s="61">
        <v>8014528</v>
      </c>
      <c r="E107" s="61">
        <v>10155182</v>
      </c>
      <c r="F107" s="76"/>
      <c r="G107" s="67"/>
      <c r="H107" s="68"/>
      <c r="I107" s="68"/>
      <c r="J107" s="7"/>
      <c r="K107" s="7"/>
      <c r="L107" s="7"/>
      <c r="M107" s="7"/>
      <c r="N107" s="7"/>
    </row>
    <row r="108" spans="2:14" ht="15.75" x14ac:dyDescent="0.25">
      <c r="B108" s="50" t="s">
        <v>190</v>
      </c>
      <c r="C108" s="61">
        <v>8433671</v>
      </c>
      <c r="D108" s="61">
        <v>7385244</v>
      </c>
      <c r="E108" s="61">
        <v>14240736</v>
      </c>
      <c r="F108" s="76"/>
      <c r="G108" s="67"/>
      <c r="H108" s="68"/>
      <c r="I108" s="68"/>
      <c r="J108" s="7"/>
      <c r="K108" s="7"/>
      <c r="L108" s="7"/>
      <c r="M108" s="7"/>
      <c r="N108" s="7"/>
    </row>
    <row r="109" spans="2:14" ht="15.75" x14ac:dyDescent="0.25">
      <c r="B109" s="50" t="s">
        <v>191</v>
      </c>
      <c r="C109" s="61">
        <v>8752682</v>
      </c>
      <c r="D109" s="61">
        <v>7676064</v>
      </c>
      <c r="E109" s="61">
        <v>10531315</v>
      </c>
      <c r="F109" s="76"/>
      <c r="G109" s="67"/>
      <c r="H109" s="68"/>
      <c r="I109" s="68"/>
      <c r="J109" s="7"/>
      <c r="K109" s="7"/>
      <c r="L109" s="7"/>
      <c r="M109" s="7"/>
      <c r="N109" s="7"/>
    </row>
    <row r="110" spans="2:14" ht="15.75" x14ac:dyDescent="0.25">
      <c r="B110" s="50" t="s">
        <v>192</v>
      </c>
      <c r="C110" s="61">
        <v>10250005</v>
      </c>
      <c r="D110" s="61">
        <v>9472439</v>
      </c>
      <c r="E110" s="61">
        <v>10083753</v>
      </c>
      <c r="F110" s="76"/>
      <c r="G110" s="67"/>
      <c r="H110" s="68"/>
      <c r="I110" s="68"/>
      <c r="J110" s="7"/>
      <c r="K110" s="7"/>
      <c r="L110" s="7"/>
      <c r="M110" s="7"/>
      <c r="N110" s="7"/>
    </row>
    <row r="111" spans="2:14" ht="21" x14ac:dyDescent="0.25">
      <c r="B111" s="51" t="s">
        <v>193</v>
      </c>
      <c r="C111" s="61">
        <v>12341540.75</v>
      </c>
      <c r="D111" s="61">
        <v>16476675</v>
      </c>
      <c r="E111" s="61">
        <v>13656658</v>
      </c>
      <c r="F111" s="76"/>
      <c r="G111" s="67"/>
      <c r="H111" s="68"/>
      <c r="I111" s="68"/>
      <c r="J111" s="7"/>
      <c r="K111" s="7"/>
      <c r="L111" s="7"/>
      <c r="M111" s="7"/>
      <c r="N111" s="7"/>
    </row>
    <row r="112" spans="2:14" ht="15.75" x14ac:dyDescent="0.25">
      <c r="B112" s="51" t="s">
        <v>194</v>
      </c>
      <c r="C112" s="61">
        <v>13788360.75</v>
      </c>
      <c r="D112" s="61">
        <v>10699836</v>
      </c>
      <c r="E112" s="61">
        <v>12463405</v>
      </c>
      <c r="F112" s="76"/>
      <c r="G112" s="67"/>
      <c r="H112" s="68"/>
      <c r="I112" s="68"/>
      <c r="J112" s="7"/>
      <c r="K112" s="7"/>
      <c r="L112" s="7"/>
      <c r="M112" s="7"/>
      <c r="N112" s="7"/>
    </row>
    <row r="113" spans="2:14" ht="21" x14ac:dyDescent="0.25">
      <c r="B113" s="77" t="s">
        <v>195</v>
      </c>
      <c r="C113" s="61">
        <v>12146150.75</v>
      </c>
      <c r="D113" s="61">
        <v>12696365</v>
      </c>
      <c r="E113" s="61">
        <v>13179987</v>
      </c>
      <c r="F113" s="76"/>
      <c r="G113" s="67"/>
      <c r="H113" s="68"/>
      <c r="I113" s="68"/>
      <c r="J113" s="7"/>
      <c r="K113" s="7"/>
      <c r="L113" s="7"/>
      <c r="M113" s="7"/>
      <c r="N113" s="7"/>
    </row>
    <row r="114" spans="2:14" ht="15.75" x14ac:dyDescent="0.25">
      <c r="B114" s="77" t="s">
        <v>197</v>
      </c>
      <c r="C114" s="61">
        <v>9554095.75</v>
      </c>
      <c r="D114" s="61">
        <v>8852048</v>
      </c>
      <c r="E114" s="61">
        <v>27294325</v>
      </c>
      <c r="F114" s="87"/>
      <c r="G114" s="67"/>
      <c r="H114" s="68"/>
      <c r="I114" s="68"/>
      <c r="J114" s="7"/>
      <c r="K114" s="7"/>
      <c r="L114" s="7"/>
      <c r="M114" s="7"/>
      <c r="N114" s="7"/>
    </row>
    <row r="115" spans="2:14" ht="16.5" thickBot="1" x14ac:dyDescent="0.3">
      <c r="B115" s="109"/>
      <c r="C115" s="109"/>
      <c r="D115" s="61"/>
      <c r="E115" s="107"/>
      <c r="F115" s="87"/>
      <c r="G115" s="67"/>
      <c r="H115" s="68"/>
      <c r="I115" s="68"/>
      <c r="J115" s="7"/>
      <c r="K115" s="7"/>
      <c r="L115" s="7"/>
      <c r="M115" s="7"/>
      <c r="N115" s="7"/>
    </row>
    <row r="116" spans="2:14" ht="13.5" thickBot="1" x14ac:dyDescent="0.25">
      <c r="B116" s="110" t="s">
        <v>184</v>
      </c>
      <c r="C116" s="111">
        <f>SUM(C103:C115)</f>
        <v>120895746</v>
      </c>
      <c r="D116" s="111">
        <f>SUM(D103:D115)</f>
        <v>116304228</v>
      </c>
      <c r="E116" s="108">
        <f>SUM(E103:E115)</f>
        <v>145686174</v>
      </c>
      <c r="F116" s="86"/>
      <c r="G116" s="74"/>
      <c r="H116" s="74"/>
      <c r="I116" s="74"/>
      <c r="J116" s="74"/>
      <c r="K116" s="74"/>
      <c r="L116" s="74"/>
      <c r="M116" s="74"/>
      <c r="N116" s="74"/>
    </row>
    <row r="120" spans="2:14" x14ac:dyDescent="0.2">
      <c r="C120" s="79"/>
    </row>
    <row r="128" spans="2:14" ht="13.5" thickBot="1" x14ac:dyDescent="0.25"/>
    <row r="129" spans="2:6" x14ac:dyDescent="0.2">
      <c r="B129" s="58" t="s">
        <v>177</v>
      </c>
      <c r="C129" s="59" t="s">
        <v>203</v>
      </c>
      <c r="D129" s="59" t="s">
        <v>198</v>
      </c>
      <c r="E129" s="60" t="s">
        <v>199</v>
      </c>
      <c r="F129" s="82"/>
    </row>
    <row r="130" spans="2:6" x14ac:dyDescent="0.2">
      <c r="B130" s="50" t="s">
        <v>185</v>
      </c>
      <c r="C130" s="75">
        <v>5038468</v>
      </c>
      <c r="D130" s="75">
        <v>18954229</v>
      </c>
      <c r="E130" s="112">
        <v>-3272885</v>
      </c>
      <c r="F130" s="76"/>
    </row>
    <row r="131" spans="2:6" x14ac:dyDescent="0.2">
      <c r="B131" s="50" t="s">
        <v>186</v>
      </c>
      <c r="C131" s="75">
        <v>3625618</v>
      </c>
      <c r="D131" s="75">
        <v>-1253685</v>
      </c>
      <c r="E131" s="112">
        <v>3095521</v>
      </c>
      <c r="F131" s="76"/>
    </row>
    <row r="132" spans="2:6" x14ac:dyDescent="0.2">
      <c r="B132" s="50" t="s">
        <v>187</v>
      </c>
      <c r="C132" s="75">
        <v>3176999</v>
      </c>
      <c r="D132" s="75">
        <v>-4103720</v>
      </c>
      <c r="E132" s="112">
        <v>423035</v>
      </c>
      <c r="F132" s="76"/>
    </row>
    <row r="133" spans="2:6" x14ac:dyDescent="0.2">
      <c r="B133" s="50" t="s">
        <v>188</v>
      </c>
      <c r="C133" s="75">
        <v>3741891</v>
      </c>
      <c r="D133" s="75">
        <v>-1756692</v>
      </c>
      <c r="E133" s="112">
        <v>5188303</v>
      </c>
      <c r="F133" s="76"/>
    </row>
    <row r="134" spans="2:6" x14ac:dyDescent="0.2">
      <c r="B134" s="50" t="s">
        <v>189</v>
      </c>
      <c r="C134" s="75">
        <v>2085937</v>
      </c>
      <c r="D134" s="75">
        <v>-222899</v>
      </c>
      <c r="E134" s="112">
        <v>5204853</v>
      </c>
      <c r="F134" s="76"/>
    </row>
    <row r="135" spans="2:6" x14ac:dyDescent="0.2">
      <c r="B135" s="50" t="s">
        <v>190</v>
      </c>
      <c r="C135" s="75">
        <v>492012</v>
      </c>
      <c r="D135" s="75">
        <v>822721</v>
      </c>
      <c r="E135" s="112">
        <v>-5170532</v>
      </c>
      <c r="F135" s="76"/>
    </row>
    <row r="136" spans="2:6" x14ac:dyDescent="0.2">
      <c r="B136" s="50" t="s">
        <v>191</v>
      </c>
      <c r="C136" s="75">
        <v>-2317677</v>
      </c>
      <c r="D136" s="75">
        <v>-2214002</v>
      </c>
      <c r="E136" s="112">
        <v>9983538</v>
      </c>
      <c r="F136" s="76"/>
    </row>
    <row r="137" spans="2:6" x14ac:dyDescent="0.2">
      <c r="B137" s="50" t="s">
        <v>192</v>
      </c>
      <c r="C137" s="75">
        <v>-1439362</v>
      </c>
      <c r="D137" s="75">
        <v>8804469</v>
      </c>
      <c r="E137" s="112">
        <v>5208815</v>
      </c>
      <c r="F137" s="76"/>
    </row>
    <row r="138" spans="2:6" ht="21" x14ac:dyDescent="0.2">
      <c r="B138" s="51" t="s">
        <v>193</v>
      </c>
      <c r="C138" s="75">
        <v>-4658595.75</v>
      </c>
      <c r="D138" s="75">
        <v>-10440744</v>
      </c>
      <c r="E138" s="112">
        <v>92670</v>
      </c>
      <c r="F138" s="76"/>
    </row>
    <row r="139" spans="2:6" x14ac:dyDescent="0.2">
      <c r="B139" s="51" t="s">
        <v>194</v>
      </c>
      <c r="C139" s="75">
        <v>-5944643.75</v>
      </c>
      <c r="D139" s="75">
        <v>4755101</v>
      </c>
      <c r="E139" s="112">
        <v>-3000416</v>
      </c>
      <c r="F139" s="76"/>
    </row>
    <row r="140" spans="2:6" ht="21" x14ac:dyDescent="0.2">
      <c r="B140" s="51" t="s">
        <v>195</v>
      </c>
      <c r="C140" s="75">
        <v>904815.25</v>
      </c>
      <c r="D140" s="75">
        <v>-380592</v>
      </c>
      <c r="E140" s="112">
        <v>-3733117</v>
      </c>
      <c r="F140" s="76"/>
    </row>
    <row r="141" spans="2:6" x14ac:dyDescent="0.2">
      <c r="B141" s="51" t="s">
        <v>197</v>
      </c>
      <c r="C141" s="75">
        <v>4829226.25</v>
      </c>
      <c r="D141" s="75">
        <v>5224186</v>
      </c>
      <c r="E141" s="112">
        <v>48325460</v>
      </c>
      <c r="F141" s="76"/>
    </row>
    <row r="142" spans="2:6" x14ac:dyDescent="0.2">
      <c r="B142" s="50"/>
      <c r="C142" s="75"/>
      <c r="D142" s="75"/>
      <c r="E142" s="112"/>
      <c r="F142" s="76"/>
    </row>
    <row r="143" spans="2:6" x14ac:dyDescent="0.2">
      <c r="B143" s="113"/>
      <c r="C143" s="75"/>
      <c r="D143" s="78"/>
      <c r="E143" s="114"/>
      <c r="F143" s="87"/>
    </row>
    <row r="144" spans="2:6" ht="13.5" thickBot="1" x14ac:dyDescent="0.25">
      <c r="B144" s="115" t="s">
        <v>184</v>
      </c>
      <c r="C144" s="73">
        <f>SUM(C130:C143)</f>
        <v>9534688</v>
      </c>
      <c r="D144" s="73">
        <f>SUM(D130:D143)</f>
        <v>18188372</v>
      </c>
      <c r="E144" s="116">
        <f>SUM(E130:E143)</f>
        <v>62345245</v>
      </c>
      <c r="F144" s="86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5" orientation="landscape" horizontalDpi="4294967293" verticalDpi="360" r:id="rId1"/>
  <colBreaks count="1" manualBreakCount="1">
    <brk id="14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34"/>
  <sheetViews>
    <sheetView showOutlineSymbols="0" workbookViewId="0">
      <selection activeCell="E134" sqref="E134"/>
    </sheetView>
  </sheetViews>
  <sheetFormatPr baseColWidth="10" defaultColWidth="6.85546875" defaultRowHeight="15" x14ac:dyDescent="0.25"/>
  <cols>
    <col min="1" max="1" width="7.7109375" style="89" customWidth="1"/>
    <col min="2" max="2" width="6" style="89" customWidth="1"/>
    <col min="3" max="3" width="38.140625" style="89" customWidth="1"/>
    <col min="4" max="4" width="15" style="171" customWidth="1"/>
    <col min="5" max="5" width="18.140625" style="127" customWidth="1"/>
    <col min="6" max="256" width="6.85546875" style="89"/>
    <col min="257" max="258" width="6" style="89" customWidth="1"/>
    <col min="259" max="259" width="38.140625" style="89" customWidth="1"/>
    <col min="260" max="260" width="15" style="89" customWidth="1"/>
    <col min="261" max="261" width="18.140625" style="89" customWidth="1"/>
    <col min="262" max="512" width="6.85546875" style="89"/>
    <col min="513" max="514" width="6" style="89" customWidth="1"/>
    <col min="515" max="515" width="38.140625" style="89" customWidth="1"/>
    <col min="516" max="516" width="15" style="89" customWidth="1"/>
    <col min="517" max="517" width="18.140625" style="89" customWidth="1"/>
    <col min="518" max="768" width="6.85546875" style="89"/>
    <col min="769" max="770" width="6" style="89" customWidth="1"/>
    <col min="771" max="771" width="38.140625" style="89" customWidth="1"/>
    <col min="772" max="772" width="15" style="89" customWidth="1"/>
    <col min="773" max="773" width="18.140625" style="89" customWidth="1"/>
    <col min="774" max="1024" width="6.85546875" style="89"/>
    <col min="1025" max="1026" width="6" style="89" customWidth="1"/>
    <col min="1027" max="1027" width="38.140625" style="89" customWidth="1"/>
    <col min="1028" max="1028" width="15" style="89" customWidth="1"/>
    <col min="1029" max="1029" width="18.140625" style="89" customWidth="1"/>
    <col min="1030" max="1280" width="6.85546875" style="89"/>
    <col min="1281" max="1282" width="6" style="89" customWidth="1"/>
    <col min="1283" max="1283" width="38.140625" style="89" customWidth="1"/>
    <col min="1284" max="1284" width="15" style="89" customWidth="1"/>
    <col min="1285" max="1285" width="18.140625" style="89" customWidth="1"/>
    <col min="1286" max="1536" width="6.85546875" style="89"/>
    <col min="1537" max="1538" width="6" style="89" customWidth="1"/>
    <col min="1539" max="1539" width="38.140625" style="89" customWidth="1"/>
    <col min="1540" max="1540" width="15" style="89" customWidth="1"/>
    <col min="1541" max="1541" width="18.140625" style="89" customWidth="1"/>
    <col min="1542" max="1792" width="6.85546875" style="89"/>
    <col min="1793" max="1794" width="6" style="89" customWidth="1"/>
    <col min="1795" max="1795" width="38.140625" style="89" customWidth="1"/>
    <col min="1796" max="1796" width="15" style="89" customWidth="1"/>
    <col min="1797" max="1797" width="18.140625" style="89" customWidth="1"/>
    <col min="1798" max="2048" width="6.85546875" style="89"/>
    <col min="2049" max="2050" width="6" style="89" customWidth="1"/>
    <col min="2051" max="2051" width="38.140625" style="89" customWidth="1"/>
    <col min="2052" max="2052" width="15" style="89" customWidth="1"/>
    <col min="2053" max="2053" width="18.140625" style="89" customWidth="1"/>
    <col min="2054" max="2304" width="6.85546875" style="89"/>
    <col min="2305" max="2306" width="6" style="89" customWidth="1"/>
    <col min="2307" max="2307" width="38.140625" style="89" customWidth="1"/>
    <col min="2308" max="2308" width="15" style="89" customWidth="1"/>
    <col min="2309" max="2309" width="18.140625" style="89" customWidth="1"/>
    <col min="2310" max="2560" width="6.85546875" style="89"/>
    <col min="2561" max="2562" width="6" style="89" customWidth="1"/>
    <col min="2563" max="2563" width="38.140625" style="89" customWidth="1"/>
    <col min="2564" max="2564" width="15" style="89" customWidth="1"/>
    <col min="2565" max="2565" width="18.140625" style="89" customWidth="1"/>
    <col min="2566" max="2816" width="6.85546875" style="89"/>
    <col min="2817" max="2818" width="6" style="89" customWidth="1"/>
    <col min="2819" max="2819" width="38.140625" style="89" customWidth="1"/>
    <col min="2820" max="2820" width="15" style="89" customWidth="1"/>
    <col min="2821" max="2821" width="18.140625" style="89" customWidth="1"/>
    <col min="2822" max="3072" width="6.85546875" style="89"/>
    <col min="3073" max="3074" width="6" style="89" customWidth="1"/>
    <col min="3075" max="3075" width="38.140625" style="89" customWidth="1"/>
    <col min="3076" max="3076" width="15" style="89" customWidth="1"/>
    <col min="3077" max="3077" width="18.140625" style="89" customWidth="1"/>
    <col min="3078" max="3328" width="6.85546875" style="89"/>
    <col min="3329" max="3330" width="6" style="89" customWidth="1"/>
    <col min="3331" max="3331" width="38.140625" style="89" customWidth="1"/>
    <col min="3332" max="3332" width="15" style="89" customWidth="1"/>
    <col min="3333" max="3333" width="18.140625" style="89" customWidth="1"/>
    <col min="3334" max="3584" width="6.85546875" style="89"/>
    <col min="3585" max="3586" width="6" style="89" customWidth="1"/>
    <col min="3587" max="3587" width="38.140625" style="89" customWidth="1"/>
    <col min="3588" max="3588" width="15" style="89" customWidth="1"/>
    <col min="3589" max="3589" width="18.140625" style="89" customWidth="1"/>
    <col min="3590" max="3840" width="6.85546875" style="89"/>
    <col min="3841" max="3842" width="6" style="89" customWidth="1"/>
    <col min="3843" max="3843" width="38.140625" style="89" customWidth="1"/>
    <col min="3844" max="3844" width="15" style="89" customWidth="1"/>
    <col min="3845" max="3845" width="18.140625" style="89" customWidth="1"/>
    <col min="3846" max="4096" width="6.85546875" style="89"/>
    <col min="4097" max="4098" width="6" style="89" customWidth="1"/>
    <col min="4099" max="4099" width="38.140625" style="89" customWidth="1"/>
    <col min="4100" max="4100" width="15" style="89" customWidth="1"/>
    <col min="4101" max="4101" width="18.140625" style="89" customWidth="1"/>
    <col min="4102" max="4352" width="6.85546875" style="89"/>
    <col min="4353" max="4354" width="6" style="89" customWidth="1"/>
    <col min="4355" max="4355" width="38.140625" style="89" customWidth="1"/>
    <col min="4356" max="4356" width="15" style="89" customWidth="1"/>
    <col min="4357" max="4357" width="18.140625" style="89" customWidth="1"/>
    <col min="4358" max="4608" width="6.85546875" style="89"/>
    <col min="4609" max="4610" width="6" style="89" customWidth="1"/>
    <col min="4611" max="4611" width="38.140625" style="89" customWidth="1"/>
    <col min="4612" max="4612" width="15" style="89" customWidth="1"/>
    <col min="4613" max="4613" width="18.140625" style="89" customWidth="1"/>
    <col min="4614" max="4864" width="6.85546875" style="89"/>
    <col min="4865" max="4866" width="6" style="89" customWidth="1"/>
    <col min="4867" max="4867" width="38.140625" style="89" customWidth="1"/>
    <col min="4868" max="4868" width="15" style="89" customWidth="1"/>
    <col min="4869" max="4869" width="18.140625" style="89" customWidth="1"/>
    <col min="4870" max="5120" width="6.85546875" style="89"/>
    <col min="5121" max="5122" width="6" style="89" customWidth="1"/>
    <col min="5123" max="5123" width="38.140625" style="89" customWidth="1"/>
    <col min="5124" max="5124" width="15" style="89" customWidth="1"/>
    <col min="5125" max="5125" width="18.140625" style="89" customWidth="1"/>
    <col min="5126" max="5376" width="6.85546875" style="89"/>
    <col min="5377" max="5378" width="6" style="89" customWidth="1"/>
    <col min="5379" max="5379" width="38.140625" style="89" customWidth="1"/>
    <col min="5380" max="5380" width="15" style="89" customWidth="1"/>
    <col min="5381" max="5381" width="18.140625" style="89" customWidth="1"/>
    <col min="5382" max="5632" width="6.85546875" style="89"/>
    <col min="5633" max="5634" width="6" style="89" customWidth="1"/>
    <col min="5635" max="5635" width="38.140625" style="89" customWidth="1"/>
    <col min="5636" max="5636" width="15" style="89" customWidth="1"/>
    <col min="5637" max="5637" width="18.140625" style="89" customWidth="1"/>
    <col min="5638" max="5888" width="6.85546875" style="89"/>
    <col min="5889" max="5890" width="6" style="89" customWidth="1"/>
    <col min="5891" max="5891" width="38.140625" style="89" customWidth="1"/>
    <col min="5892" max="5892" width="15" style="89" customWidth="1"/>
    <col min="5893" max="5893" width="18.140625" style="89" customWidth="1"/>
    <col min="5894" max="6144" width="6.85546875" style="89"/>
    <col min="6145" max="6146" width="6" style="89" customWidth="1"/>
    <col min="6147" max="6147" width="38.140625" style="89" customWidth="1"/>
    <col min="6148" max="6148" width="15" style="89" customWidth="1"/>
    <col min="6149" max="6149" width="18.140625" style="89" customWidth="1"/>
    <col min="6150" max="6400" width="6.85546875" style="89"/>
    <col min="6401" max="6402" width="6" style="89" customWidth="1"/>
    <col min="6403" max="6403" width="38.140625" style="89" customWidth="1"/>
    <col min="6404" max="6404" width="15" style="89" customWidth="1"/>
    <col min="6405" max="6405" width="18.140625" style="89" customWidth="1"/>
    <col min="6406" max="6656" width="6.85546875" style="89"/>
    <col min="6657" max="6658" width="6" style="89" customWidth="1"/>
    <col min="6659" max="6659" width="38.140625" style="89" customWidth="1"/>
    <col min="6660" max="6660" width="15" style="89" customWidth="1"/>
    <col min="6661" max="6661" width="18.140625" style="89" customWidth="1"/>
    <col min="6662" max="6912" width="6.85546875" style="89"/>
    <col min="6913" max="6914" width="6" style="89" customWidth="1"/>
    <col min="6915" max="6915" width="38.140625" style="89" customWidth="1"/>
    <col min="6916" max="6916" width="15" style="89" customWidth="1"/>
    <col min="6917" max="6917" width="18.140625" style="89" customWidth="1"/>
    <col min="6918" max="7168" width="6.85546875" style="89"/>
    <col min="7169" max="7170" width="6" style="89" customWidth="1"/>
    <col min="7171" max="7171" width="38.140625" style="89" customWidth="1"/>
    <col min="7172" max="7172" width="15" style="89" customWidth="1"/>
    <col min="7173" max="7173" width="18.140625" style="89" customWidth="1"/>
    <col min="7174" max="7424" width="6.85546875" style="89"/>
    <col min="7425" max="7426" width="6" style="89" customWidth="1"/>
    <col min="7427" max="7427" width="38.140625" style="89" customWidth="1"/>
    <col min="7428" max="7428" width="15" style="89" customWidth="1"/>
    <col min="7429" max="7429" width="18.140625" style="89" customWidth="1"/>
    <col min="7430" max="7680" width="6.85546875" style="89"/>
    <col min="7681" max="7682" width="6" style="89" customWidth="1"/>
    <col min="7683" max="7683" width="38.140625" style="89" customWidth="1"/>
    <col min="7684" max="7684" width="15" style="89" customWidth="1"/>
    <col min="7685" max="7685" width="18.140625" style="89" customWidth="1"/>
    <col min="7686" max="7936" width="6.85546875" style="89"/>
    <col min="7937" max="7938" width="6" style="89" customWidth="1"/>
    <col min="7939" max="7939" width="38.140625" style="89" customWidth="1"/>
    <col min="7940" max="7940" width="15" style="89" customWidth="1"/>
    <col min="7941" max="7941" width="18.140625" style="89" customWidth="1"/>
    <col min="7942" max="8192" width="6.85546875" style="89"/>
    <col min="8193" max="8194" width="6" style="89" customWidth="1"/>
    <col min="8195" max="8195" width="38.140625" style="89" customWidth="1"/>
    <col min="8196" max="8196" width="15" style="89" customWidth="1"/>
    <col min="8197" max="8197" width="18.140625" style="89" customWidth="1"/>
    <col min="8198" max="8448" width="6.85546875" style="89"/>
    <col min="8449" max="8450" width="6" style="89" customWidth="1"/>
    <col min="8451" max="8451" width="38.140625" style="89" customWidth="1"/>
    <col min="8452" max="8452" width="15" style="89" customWidth="1"/>
    <col min="8453" max="8453" width="18.140625" style="89" customWidth="1"/>
    <col min="8454" max="8704" width="6.85546875" style="89"/>
    <col min="8705" max="8706" width="6" style="89" customWidth="1"/>
    <col min="8707" max="8707" width="38.140625" style="89" customWidth="1"/>
    <col min="8708" max="8708" width="15" style="89" customWidth="1"/>
    <col min="8709" max="8709" width="18.140625" style="89" customWidth="1"/>
    <col min="8710" max="8960" width="6.85546875" style="89"/>
    <col min="8961" max="8962" width="6" style="89" customWidth="1"/>
    <col min="8963" max="8963" width="38.140625" style="89" customWidth="1"/>
    <col min="8964" max="8964" width="15" style="89" customWidth="1"/>
    <col min="8965" max="8965" width="18.140625" style="89" customWidth="1"/>
    <col min="8966" max="9216" width="6.85546875" style="89"/>
    <col min="9217" max="9218" width="6" style="89" customWidth="1"/>
    <col min="9219" max="9219" width="38.140625" style="89" customWidth="1"/>
    <col min="9220" max="9220" width="15" style="89" customWidth="1"/>
    <col min="9221" max="9221" width="18.140625" style="89" customWidth="1"/>
    <col min="9222" max="9472" width="6.85546875" style="89"/>
    <col min="9473" max="9474" width="6" style="89" customWidth="1"/>
    <col min="9475" max="9475" width="38.140625" style="89" customWidth="1"/>
    <col min="9476" max="9476" width="15" style="89" customWidth="1"/>
    <col min="9477" max="9477" width="18.140625" style="89" customWidth="1"/>
    <col min="9478" max="9728" width="6.85546875" style="89"/>
    <col min="9729" max="9730" width="6" style="89" customWidth="1"/>
    <col min="9731" max="9731" width="38.140625" style="89" customWidth="1"/>
    <col min="9732" max="9732" width="15" style="89" customWidth="1"/>
    <col min="9733" max="9733" width="18.140625" style="89" customWidth="1"/>
    <col min="9734" max="9984" width="6.85546875" style="89"/>
    <col min="9985" max="9986" width="6" style="89" customWidth="1"/>
    <col min="9987" max="9987" width="38.140625" style="89" customWidth="1"/>
    <col min="9988" max="9988" width="15" style="89" customWidth="1"/>
    <col min="9989" max="9989" width="18.140625" style="89" customWidth="1"/>
    <col min="9990" max="10240" width="6.85546875" style="89"/>
    <col min="10241" max="10242" width="6" style="89" customWidth="1"/>
    <col min="10243" max="10243" width="38.140625" style="89" customWidth="1"/>
    <col min="10244" max="10244" width="15" style="89" customWidth="1"/>
    <col min="10245" max="10245" width="18.140625" style="89" customWidth="1"/>
    <col min="10246" max="10496" width="6.85546875" style="89"/>
    <col min="10497" max="10498" width="6" style="89" customWidth="1"/>
    <col min="10499" max="10499" width="38.140625" style="89" customWidth="1"/>
    <col min="10500" max="10500" width="15" style="89" customWidth="1"/>
    <col min="10501" max="10501" width="18.140625" style="89" customWidth="1"/>
    <col min="10502" max="10752" width="6.85546875" style="89"/>
    <col min="10753" max="10754" width="6" style="89" customWidth="1"/>
    <col min="10755" max="10755" width="38.140625" style="89" customWidth="1"/>
    <col min="10756" max="10756" width="15" style="89" customWidth="1"/>
    <col min="10757" max="10757" width="18.140625" style="89" customWidth="1"/>
    <col min="10758" max="11008" width="6.85546875" style="89"/>
    <col min="11009" max="11010" width="6" style="89" customWidth="1"/>
    <col min="11011" max="11011" width="38.140625" style="89" customWidth="1"/>
    <col min="11012" max="11012" width="15" style="89" customWidth="1"/>
    <col min="11013" max="11013" width="18.140625" style="89" customWidth="1"/>
    <col min="11014" max="11264" width="6.85546875" style="89"/>
    <col min="11265" max="11266" width="6" style="89" customWidth="1"/>
    <col min="11267" max="11267" width="38.140625" style="89" customWidth="1"/>
    <col min="11268" max="11268" width="15" style="89" customWidth="1"/>
    <col min="11269" max="11269" width="18.140625" style="89" customWidth="1"/>
    <col min="11270" max="11520" width="6.85546875" style="89"/>
    <col min="11521" max="11522" width="6" style="89" customWidth="1"/>
    <col min="11523" max="11523" width="38.140625" style="89" customWidth="1"/>
    <col min="11524" max="11524" width="15" style="89" customWidth="1"/>
    <col min="11525" max="11525" width="18.140625" style="89" customWidth="1"/>
    <col min="11526" max="11776" width="6.85546875" style="89"/>
    <col min="11777" max="11778" width="6" style="89" customWidth="1"/>
    <col min="11779" max="11779" width="38.140625" style="89" customWidth="1"/>
    <col min="11780" max="11780" width="15" style="89" customWidth="1"/>
    <col min="11781" max="11781" width="18.140625" style="89" customWidth="1"/>
    <col min="11782" max="12032" width="6.85546875" style="89"/>
    <col min="12033" max="12034" width="6" style="89" customWidth="1"/>
    <col min="12035" max="12035" width="38.140625" style="89" customWidth="1"/>
    <col min="12036" max="12036" width="15" style="89" customWidth="1"/>
    <col min="12037" max="12037" width="18.140625" style="89" customWidth="1"/>
    <col min="12038" max="12288" width="6.85546875" style="89"/>
    <col min="12289" max="12290" width="6" style="89" customWidth="1"/>
    <col min="12291" max="12291" width="38.140625" style="89" customWidth="1"/>
    <col min="12292" max="12292" width="15" style="89" customWidth="1"/>
    <col min="12293" max="12293" width="18.140625" style="89" customWidth="1"/>
    <col min="12294" max="12544" width="6.85546875" style="89"/>
    <col min="12545" max="12546" width="6" style="89" customWidth="1"/>
    <col min="12547" max="12547" width="38.140625" style="89" customWidth="1"/>
    <col min="12548" max="12548" width="15" style="89" customWidth="1"/>
    <col min="12549" max="12549" width="18.140625" style="89" customWidth="1"/>
    <col min="12550" max="12800" width="6.85546875" style="89"/>
    <col min="12801" max="12802" width="6" style="89" customWidth="1"/>
    <col min="12803" max="12803" width="38.140625" style="89" customWidth="1"/>
    <col min="12804" max="12804" width="15" style="89" customWidth="1"/>
    <col min="12805" max="12805" width="18.140625" style="89" customWidth="1"/>
    <col min="12806" max="13056" width="6.85546875" style="89"/>
    <col min="13057" max="13058" width="6" style="89" customWidth="1"/>
    <col min="13059" max="13059" width="38.140625" style="89" customWidth="1"/>
    <col min="13060" max="13060" width="15" style="89" customWidth="1"/>
    <col min="13061" max="13061" width="18.140625" style="89" customWidth="1"/>
    <col min="13062" max="13312" width="6.85546875" style="89"/>
    <col min="13313" max="13314" width="6" style="89" customWidth="1"/>
    <col min="13315" max="13315" width="38.140625" style="89" customWidth="1"/>
    <col min="13316" max="13316" width="15" style="89" customWidth="1"/>
    <col min="13317" max="13317" width="18.140625" style="89" customWidth="1"/>
    <col min="13318" max="13568" width="6.85546875" style="89"/>
    <col min="13569" max="13570" width="6" style="89" customWidth="1"/>
    <col min="13571" max="13571" width="38.140625" style="89" customWidth="1"/>
    <col min="13572" max="13572" width="15" style="89" customWidth="1"/>
    <col min="13573" max="13573" width="18.140625" style="89" customWidth="1"/>
    <col min="13574" max="13824" width="6.85546875" style="89"/>
    <col min="13825" max="13826" width="6" style="89" customWidth="1"/>
    <col min="13827" max="13827" width="38.140625" style="89" customWidth="1"/>
    <col min="13828" max="13828" width="15" style="89" customWidth="1"/>
    <col min="13829" max="13829" width="18.140625" style="89" customWidth="1"/>
    <col min="13830" max="14080" width="6.85546875" style="89"/>
    <col min="14081" max="14082" width="6" style="89" customWidth="1"/>
    <col min="14083" max="14083" width="38.140625" style="89" customWidth="1"/>
    <col min="14084" max="14084" width="15" style="89" customWidth="1"/>
    <col min="14085" max="14085" width="18.140625" style="89" customWidth="1"/>
    <col min="14086" max="14336" width="6.85546875" style="89"/>
    <col min="14337" max="14338" width="6" style="89" customWidth="1"/>
    <col min="14339" max="14339" width="38.140625" style="89" customWidth="1"/>
    <col min="14340" max="14340" width="15" style="89" customWidth="1"/>
    <col min="14341" max="14341" width="18.140625" style="89" customWidth="1"/>
    <col min="14342" max="14592" width="6.85546875" style="89"/>
    <col min="14593" max="14594" width="6" style="89" customWidth="1"/>
    <col min="14595" max="14595" width="38.140625" style="89" customWidth="1"/>
    <col min="14596" max="14596" width="15" style="89" customWidth="1"/>
    <col min="14597" max="14597" width="18.140625" style="89" customWidth="1"/>
    <col min="14598" max="14848" width="6.85546875" style="89"/>
    <col min="14849" max="14850" width="6" style="89" customWidth="1"/>
    <col min="14851" max="14851" width="38.140625" style="89" customWidth="1"/>
    <col min="14852" max="14852" width="15" style="89" customWidth="1"/>
    <col min="14853" max="14853" width="18.140625" style="89" customWidth="1"/>
    <col min="14854" max="15104" width="6.85546875" style="89"/>
    <col min="15105" max="15106" width="6" style="89" customWidth="1"/>
    <col min="15107" max="15107" width="38.140625" style="89" customWidth="1"/>
    <col min="15108" max="15108" width="15" style="89" customWidth="1"/>
    <col min="15109" max="15109" width="18.140625" style="89" customWidth="1"/>
    <col min="15110" max="15360" width="6.85546875" style="89"/>
    <col min="15361" max="15362" width="6" style="89" customWidth="1"/>
    <col min="15363" max="15363" width="38.140625" style="89" customWidth="1"/>
    <col min="15364" max="15364" width="15" style="89" customWidth="1"/>
    <col min="15365" max="15365" width="18.140625" style="89" customWidth="1"/>
    <col min="15366" max="15616" width="6.85546875" style="89"/>
    <col min="15617" max="15618" width="6" style="89" customWidth="1"/>
    <col min="15619" max="15619" width="38.140625" style="89" customWidth="1"/>
    <col min="15620" max="15620" width="15" style="89" customWidth="1"/>
    <col min="15621" max="15621" width="18.140625" style="89" customWidth="1"/>
    <col min="15622" max="15872" width="6.85546875" style="89"/>
    <col min="15873" max="15874" width="6" style="89" customWidth="1"/>
    <col min="15875" max="15875" width="38.140625" style="89" customWidth="1"/>
    <col min="15876" max="15876" width="15" style="89" customWidth="1"/>
    <col min="15877" max="15877" width="18.140625" style="89" customWidth="1"/>
    <col min="15878" max="16128" width="6.85546875" style="89"/>
    <col min="16129" max="16130" width="6" style="89" customWidth="1"/>
    <col min="16131" max="16131" width="38.140625" style="89" customWidth="1"/>
    <col min="16132" max="16132" width="15" style="89" customWidth="1"/>
    <col min="16133" max="16133" width="18.140625" style="89" customWidth="1"/>
    <col min="16134" max="16384" width="6.85546875" style="89"/>
  </cols>
  <sheetData>
    <row r="1" spans="1:5" ht="16.5" customHeight="1" x14ac:dyDescent="0.25">
      <c r="A1" s="199" t="s">
        <v>0</v>
      </c>
      <c r="B1" s="199"/>
      <c r="C1" s="199"/>
      <c r="D1" s="199"/>
      <c r="E1" s="199"/>
    </row>
    <row r="2" spans="1:5" ht="13.5" customHeight="1" x14ac:dyDescent="0.25">
      <c r="A2" s="200" t="s">
        <v>204</v>
      </c>
      <c r="B2" s="201"/>
      <c r="C2" s="201"/>
      <c r="D2" s="201"/>
      <c r="E2" s="201"/>
    </row>
    <row r="3" spans="1:5" ht="20.25" customHeight="1" x14ac:dyDescent="0.25">
      <c r="A3" s="200" t="s">
        <v>433</v>
      </c>
      <c r="B3" s="201"/>
      <c r="C3" s="201"/>
      <c r="D3" s="201"/>
      <c r="E3" s="201"/>
    </row>
    <row r="4" spans="1:5" ht="9.75" customHeight="1" x14ac:dyDescent="0.25"/>
    <row r="5" spans="1:5" ht="7.5" customHeight="1" x14ac:dyDescent="0.25"/>
    <row r="6" spans="1:5" ht="12.75" customHeight="1" x14ac:dyDescent="0.25">
      <c r="A6" s="197" t="s">
        <v>205</v>
      </c>
      <c r="B6" s="197"/>
      <c r="C6" s="128" t="s">
        <v>206</v>
      </c>
      <c r="D6" s="172"/>
      <c r="E6" s="90"/>
    </row>
    <row r="7" spans="1:5" ht="9.9499999999999993" customHeight="1" x14ac:dyDescent="0.25"/>
    <row r="8" spans="1:5" ht="18.600000000000001" customHeight="1" x14ac:dyDescent="0.25">
      <c r="A8" s="195" t="s">
        <v>207</v>
      </c>
      <c r="B8" s="195"/>
      <c r="C8" s="129" t="s">
        <v>208</v>
      </c>
      <c r="D8" s="173"/>
      <c r="E8" s="91"/>
    </row>
    <row r="9" spans="1:5" ht="14.85" customHeight="1" x14ac:dyDescent="0.25">
      <c r="A9" s="196" t="s">
        <v>209</v>
      </c>
      <c r="B9" s="196"/>
      <c r="C9" s="126" t="s">
        <v>210</v>
      </c>
      <c r="D9" s="174"/>
      <c r="E9" s="91">
        <f>+D10</f>
        <v>2895707</v>
      </c>
    </row>
    <row r="10" spans="1:5" ht="17.649999999999999" customHeight="1" x14ac:dyDescent="0.25">
      <c r="A10" s="193" t="s">
        <v>211</v>
      </c>
      <c r="B10" s="193"/>
      <c r="C10" s="130" t="s">
        <v>212</v>
      </c>
      <c r="D10" s="92">
        <v>2895707</v>
      </c>
      <c r="E10" s="91"/>
    </row>
    <row r="11" spans="1:5" ht="14.85" customHeight="1" x14ac:dyDescent="0.25">
      <c r="A11" s="196" t="s">
        <v>213</v>
      </c>
      <c r="B11" s="196"/>
      <c r="C11" s="126" t="s">
        <v>214</v>
      </c>
      <c r="D11" s="175"/>
      <c r="E11" s="91"/>
    </row>
    <row r="12" spans="1:5" ht="12" customHeight="1" x14ac:dyDescent="0.25">
      <c r="A12" s="193" t="s">
        <v>215</v>
      </c>
      <c r="B12" s="193"/>
      <c r="C12" s="130" t="s">
        <v>216</v>
      </c>
      <c r="D12" s="92"/>
      <c r="E12" s="91">
        <f>+D13+D14</f>
        <v>9512760</v>
      </c>
    </row>
    <row r="13" spans="1:5" ht="14.85" customHeight="1" x14ac:dyDescent="0.25">
      <c r="A13" s="193" t="s">
        <v>217</v>
      </c>
      <c r="B13" s="193"/>
      <c r="C13" s="130" t="s">
        <v>218</v>
      </c>
      <c r="D13" s="92">
        <v>5639481</v>
      </c>
      <c r="E13" s="91"/>
    </row>
    <row r="14" spans="1:5" ht="14.85" customHeight="1" x14ac:dyDescent="0.25">
      <c r="A14" s="130">
        <v>11200502</v>
      </c>
      <c r="B14" s="130"/>
      <c r="C14" s="130" t="s">
        <v>219</v>
      </c>
      <c r="D14" s="92">
        <v>3873279</v>
      </c>
      <c r="E14" s="91"/>
    </row>
    <row r="15" spans="1:5" ht="10.15" customHeight="1" x14ac:dyDescent="0.25">
      <c r="D15" s="92"/>
      <c r="E15" s="91"/>
    </row>
    <row r="16" spans="1:5" ht="13.5" customHeight="1" x14ac:dyDescent="0.25">
      <c r="A16" s="196" t="s">
        <v>213</v>
      </c>
      <c r="B16" s="196"/>
      <c r="C16" s="89" t="s">
        <v>434</v>
      </c>
      <c r="D16" s="92"/>
      <c r="E16" s="91">
        <f>+D17</f>
        <v>15000652</v>
      </c>
    </row>
    <row r="17" spans="1:5" ht="12" customHeight="1" x14ac:dyDescent="0.25">
      <c r="A17" s="193" t="s">
        <v>215</v>
      </c>
      <c r="B17" s="193"/>
      <c r="C17" s="89" t="s">
        <v>435</v>
      </c>
      <c r="D17" s="92">
        <v>15000652</v>
      </c>
      <c r="E17" s="91"/>
    </row>
    <row r="18" spans="1:5" ht="10.15" customHeight="1" x14ac:dyDescent="0.25">
      <c r="A18" s="193"/>
      <c r="B18" s="193"/>
      <c r="D18" s="92"/>
      <c r="E18" s="91"/>
    </row>
    <row r="19" spans="1:5" ht="10.15" customHeight="1" x14ac:dyDescent="0.25">
      <c r="D19" s="92"/>
      <c r="E19" s="91"/>
    </row>
    <row r="20" spans="1:5" ht="10.15" customHeight="1" x14ac:dyDescent="0.25">
      <c r="D20" s="92"/>
      <c r="E20" s="91"/>
    </row>
    <row r="21" spans="1:5" ht="18.600000000000001" customHeight="1" x14ac:dyDescent="0.25">
      <c r="A21" s="195" t="s">
        <v>220</v>
      </c>
      <c r="B21" s="195"/>
      <c r="C21" s="129" t="s">
        <v>221</v>
      </c>
      <c r="D21" s="92"/>
      <c r="E21" s="91"/>
    </row>
    <row r="22" spans="1:5" ht="14.85" customHeight="1" x14ac:dyDescent="0.25">
      <c r="A22" s="196" t="s">
        <v>222</v>
      </c>
      <c r="B22" s="196"/>
      <c r="C22" s="126" t="s">
        <v>223</v>
      </c>
      <c r="D22" s="92"/>
      <c r="E22" s="91">
        <f>SUM(D24:D29)</f>
        <v>24838150.950000003</v>
      </c>
    </row>
    <row r="23" spans="1:5" ht="12" customHeight="1" x14ac:dyDescent="0.25">
      <c r="A23" s="193" t="s">
        <v>224</v>
      </c>
      <c r="B23" s="193"/>
      <c r="C23" s="130" t="s">
        <v>225</v>
      </c>
      <c r="D23" s="92"/>
      <c r="E23" s="91"/>
    </row>
    <row r="24" spans="1:5" ht="12" customHeight="1" x14ac:dyDescent="0.25">
      <c r="A24" s="130"/>
      <c r="B24" s="130"/>
      <c r="C24" s="130" t="s">
        <v>226</v>
      </c>
      <c r="D24" s="92">
        <f>+'[2] AURBANA'!$E$24</f>
        <v>646807</v>
      </c>
      <c r="E24" s="91"/>
    </row>
    <row r="25" spans="1:5" ht="12" customHeight="1" x14ac:dyDescent="0.25">
      <c r="A25" s="130"/>
      <c r="B25" s="130"/>
      <c r="C25" s="130" t="s">
        <v>227</v>
      </c>
      <c r="D25" s="92">
        <v>1076700</v>
      </c>
      <c r="E25" s="91"/>
    </row>
    <row r="26" spans="1:5" ht="12" customHeight="1" x14ac:dyDescent="0.25">
      <c r="A26" s="130"/>
      <c r="B26" s="130"/>
      <c r="C26" s="130" t="s">
        <v>228</v>
      </c>
      <c r="D26" s="92">
        <v>9176469.9500000011</v>
      </c>
      <c r="E26" s="91"/>
    </row>
    <row r="27" spans="1:5" ht="12" customHeight="1" x14ac:dyDescent="0.25">
      <c r="A27" s="130"/>
      <c r="B27" s="130"/>
      <c r="C27" s="130" t="s">
        <v>339</v>
      </c>
      <c r="D27" s="92">
        <v>565344</v>
      </c>
      <c r="E27" s="91"/>
    </row>
    <row r="28" spans="1:5" ht="12" customHeight="1" x14ac:dyDescent="0.25">
      <c r="A28" s="130"/>
      <c r="B28" s="130"/>
      <c r="C28" s="130" t="s">
        <v>441</v>
      </c>
      <c r="D28" s="92">
        <f>+[2]CONSTRUCASA!$E$12</f>
        <v>11054406</v>
      </c>
      <c r="E28" s="91"/>
    </row>
    <row r="29" spans="1:5" ht="12" customHeight="1" x14ac:dyDescent="0.25">
      <c r="A29" s="153"/>
      <c r="B29" s="153"/>
      <c r="C29" s="153" t="s">
        <v>442</v>
      </c>
      <c r="D29" s="92">
        <v>2318424</v>
      </c>
      <c r="E29" s="91"/>
    </row>
    <row r="30" spans="1:5" ht="12" customHeight="1" x14ac:dyDescent="0.25">
      <c r="A30" s="130"/>
      <c r="B30" s="130"/>
      <c r="C30" s="130"/>
      <c r="D30" s="92"/>
      <c r="E30" s="91"/>
    </row>
    <row r="31" spans="1:5" ht="17.649999999999999" customHeight="1" x14ac:dyDescent="0.25">
      <c r="A31" s="193" t="s">
        <v>229</v>
      </c>
      <c r="B31" s="193"/>
      <c r="C31" s="130" t="s">
        <v>230</v>
      </c>
      <c r="D31" s="92"/>
      <c r="E31" s="91">
        <f>+D32+D33</f>
        <v>6829806</v>
      </c>
    </row>
    <row r="32" spans="1:5" ht="17.649999999999999" customHeight="1" x14ac:dyDescent="0.25">
      <c r="A32" s="130"/>
      <c r="B32" s="130"/>
      <c r="C32" s="130" t="s">
        <v>231</v>
      </c>
      <c r="D32" s="92">
        <v>6743406</v>
      </c>
      <c r="E32" s="91"/>
    </row>
    <row r="33" spans="1:6" ht="17.649999999999999" customHeight="1" x14ac:dyDescent="0.25">
      <c r="A33" s="130"/>
      <c r="B33" s="130"/>
      <c r="C33" s="130" t="s">
        <v>340</v>
      </c>
      <c r="D33" s="92">
        <v>86400</v>
      </c>
      <c r="E33" s="91"/>
    </row>
    <row r="34" spans="1:6" ht="17.649999999999999" customHeight="1" x14ac:dyDescent="0.25">
      <c r="A34" s="151"/>
      <c r="B34" s="151"/>
      <c r="C34" s="151"/>
      <c r="D34" s="92"/>
      <c r="E34" s="91"/>
    </row>
    <row r="35" spans="1:6" ht="17.649999999999999" customHeight="1" x14ac:dyDescent="0.25">
      <c r="A35" s="153"/>
      <c r="B35" s="153"/>
      <c r="C35" s="153"/>
      <c r="D35" s="92"/>
      <c r="E35" s="91"/>
    </row>
    <row r="36" spans="1:6" ht="17.649999999999999" customHeight="1" x14ac:dyDescent="0.25">
      <c r="A36" s="196">
        <v>1310</v>
      </c>
      <c r="B36" s="196"/>
      <c r="C36" s="89" t="s">
        <v>436</v>
      </c>
      <c r="D36" s="92"/>
      <c r="E36" s="91">
        <v>6968498</v>
      </c>
    </row>
    <row r="37" spans="1:6" ht="17.649999999999999" customHeight="1" x14ac:dyDescent="0.25">
      <c r="A37" s="193" t="s">
        <v>215</v>
      </c>
      <c r="B37" s="193"/>
      <c r="C37" s="89" t="s">
        <v>437</v>
      </c>
      <c r="D37" s="92">
        <f>+E36</f>
        <v>6968498</v>
      </c>
      <c r="E37" s="91"/>
    </row>
    <row r="38" spans="1:6" ht="17.649999999999999" customHeight="1" x14ac:dyDescent="0.25">
      <c r="A38" s="153"/>
      <c r="B38" s="153"/>
      <c r="D38" s="92"/>
      <c r="E38" s="91"/>
    </row>
    <row r="39" spans="1:6" ht="17.649999999999999" customHeight="1" x14ac:dyDescent="0.25">
      <c r="A39" s="153">
        <v>1395</v>
      </c>
      <c r="B39" s="153"/>
      <c r="C39" s="89" t="s">
        <v>439</v>
      </c>
      <c r="D39" s="92"/>
      <c r="E39" s="91">
        <f>+D40</f>
        <v>1314587</v>
      </c>
    </row>
    <row r="40" spans="1:6" ht="17.649999999999999" customHeight="1" x14ac:dyDescent="0.25">
      <c r="A40" s="130"/>
      <c r="B40" s="130"/>
      <c r="C40" s="130" t="s">
        <v>440</v>
      </c>
      <c r="D40" s="92">
        <v>1314587</v>
      </c>
      <c r="E40" s="91"/>
    </row>
    <row r="41" spans="1:6" ht="17.649999999999999" customHeight="1" x14ac:dyDescent="0.25">
      <c r="A41" s="130"/>
      <c r="B41" s="130"/>
      <c r="C41" s="130"/>
      <c r="D41" s="92"/>
      <c r="E41" s="91"/>
    </row>
    <row r="42" spans="1:6" ht="14.85" customHeight="1" x14ac:dyDescent="0.25">
      <c r="A42" s="196" t="s">
        <v>232</v>
      </c>
      <c r="B42" s="196"/>
      <c r="C42" s="126" t="s">
        <v>233</v>
      </c>
      <c r="D42" s="92"/>
      <c r="E42" s="91">
        <f>SUM(D43:D46)</f>
        <v>3094161</v>
      </c>
    </row>
    <row r="43" spans="1:6" ht="12" customHeight="1" x14ac:dyDescent="0.25">
      <c r="A43" s="193" t="s">
        <v>234</v>
      </c>
      <c r="B43" s="193"/>
      <c r="C43" s="130" t="s">
        <v>235</v>
      </c>
      <c r="D43" s="92">
        <v>1080000</v>
      </c>
      <c r="E43" s="91"/>
    </row>
    <row r="44" spans="1:6" ht="12" customHeight="1" x14ac:dyDescent="0.25">
      <c r="A44" s="193" t="s">
        <v>236</v>
      </c>
      <c r="B44" s="193"/>
      <c r="C44" s="130" t="s">
        <v>324</v>
      </c>
      <c r="D44" s="92">
        <v>1548161</v>
      </c>
      <c r="E44" s="91"/>
    </row>
    <row r="45" spans="1:6" ht="12" customHeight="1" x14ac:dyDescent="0.25">
      <c r="A45" s="193" t="s">
        <v>238</v>
      </c>
      <c r="B45" s="193"/>
      <c r="C45" s="130" t="s">
        <v>239</v>
      </c>
      <c r="D45" s="92">
        <v>185000</v>
      </c>
      <c r="E45" s="91"/>
    </row>
    <row r="46" spans="1:6" ht="10.5" customHeight="1" x14ac:dyDescent="0.25">
      <c r="A46" s="193" t="s">
        <v>240</v>
      </c>
      <c r="B46" s="193"/>
      <c r="C46" s="130" t="s">
        <v>325</v>
      </c>
      <c r="D46" s="92">
        <v>281000</v>
      </c>
      <c r="E46" s="91"/>
    </row>
    <row r="47" spans="1:6" ht="10.15" customHeight="1" x14ac:dyDescent="0.25">
      <c r="D47" s="92"/>
      <c r="E47" s="91"/>
    </row>
    <row r="48" spans="1:6" ht="18.600000000000001" customHeight="1" x14ac:dyDescent="0.25">
      <c r="A48" s="195" t="s">
        <v>241</v>
      </c>
      <c r="B48" s="195"/>
      <c r="C48" s="129" t="s">
        <v>242</v>
      </c>
      <c r="D48" s="92"/>
      <c r="E48" s="91">
        <f>+D49</f>
        <v>149182534</v>
      </c>
      <c r="F48" s="93"/>
    </row>
    <row r="49" spans="1:5" ht="14.85" customHeight="1" x14ac:dyDescent="0.25">
      <c r="A49" s="196" t="s">
        <v>243</v>
      </c>
      <c r="B49" s="196"/>
      <c r="C49" s="126" t="s">
        <v>244</v>
      </c>
      <c r="D49" s="92">
        <v>149182534</v>
      </c>
      <c r="E49" s="91"/>
    </row>
    <row r="50" spans="1:5" ht="10.5" customHeight="1" x14ac:dyDescent="0.25">
      <c r="A50" s="193"/>
      <c r="B50" s="193"/>
      <c r="C50" s="130"/>
      <c r="D50" s="92"/>
      <c r="E50" s="94"/>
    </row>
    <row r="51" spans="1:5" ht="10.15" customHeight="1" x14ac:dyDescent="0.25">
      <c r="D51" s="92"/>
    </row>
    <row r="52" spans="1:5" ht="18.600000000000001" customHeight="1" x14ac:dyDescent="0.25">
      <c r="A52" s="195" t="s">
        <v>245</v>
      </c>
      <c r="B52" s="195"/>
      <c r="C52" s="129" t="s">
        <v>246</v>
      </c>
      <c r="D52" s="92"/>
      <c r="E52" s="95">
        <f>+D53+D55+D58+D60+D62+D64</f>
        <v>397051240</v>
      </c>
    </row>
    <row r="53" spans="1:5" ht="14.85" customHeight="1" x14ac:dyDescent="0.25">
      <c r="A53" s="196" t="s">
        <v>247</v>
      </c>
      <c r="B53" s="196"/>
      <c r="C53" s="126" t="s">
        <v>248</v>
      </c>
      <c r="D53" s="92">
        <v>447920</v>
      </c>
      <c r="E53" s="96"/>
    </row>
    <row r="54" spans="1:5" ht="17.649999999999999" customHeight="1" x14ac:dyDescent="0.25">
      <c r="A54" s="193" t="s">
        <v>249</v>
      </c>
      <c r="B54" s="193"/>
      <c r="C54" s="130" t="s">
        <v>95</v>
      </c>
      <c r="D54" s="92">
        <v>447920</v>
      </c>
      <c r="E54" s="94"/>
    </row>
    <row r="55" spans="1:5" ht="14.85" customHeight="1" x14ac:dyDescent="0.25">
      <c r="A55" s="196" t="s">
        <v>250</v>
      </c>
      <c r="B55" s="196"/>
      <c r="C55" s="126" t="s">
        <v>69</v>
      </c>
      <c r="D55" s="92">
        <f>+D56+D57</f>
        <v>381000000</v>
      </c>
      <c r="E55" s="96"/>
    </row>
    <row r="56" spans="1:5" ht="12" customHeight="1" x14ac:dyDescent="0.25">
      <c r="A56" s="193" t="s">
        <v>251</v>
      </c>
      <c r="B56" s="193"/>
      <c r="C56" s="130" t="s">
        <v>252</v>
      </c>
      <c r="D56" s="92">
        <v>91000000</v>
      </c>
      <c r="E56" s="94"/>
    </row>
    <row r="57" spans="1:5" ht="17.649999999999999" customHeight="1" x14ac:dyDescent="0.25">
      <c r="A57" s="193" t="s">
        <v>253</v>
      </c>
      <c r="B57" s="193"/>
      <c r="C57" s="130" t="s">
        <v>254</v>
      </c>
      <c r="D57" s="92">
        <v>290000000</v>
      </c>
      <c r="E57" s="94"/>
    </row>
    <row r="58" spans="1:5" ht="14.85" customHeight="1" x14ac:dyDescent="0.25">
      <c r="A58" s="196" t="s">
        <v>255</v>
      </c>
      <c r="B58" s="196"/>
      <c r="C58" s="126" t="s">
        <v>95</v>
      </c>
      <c r="D58" s="92">
        <v>920000</v>
      </c>
      <c r="E58" s="96"/>
    </row>
    <row r="59" spans="1:5" ht="17.649999999999999" customHeight="1" x14ac:dyDescent="0.25">
      <c r="A59" s="193" t="s">
        <v>256</v>
      </c>
      <c r="B59" s="193"/>
      <c r="C59" s="130" t="s">
        <v>257</v>
      </c>
      <c r="D59" s="92">
        <v>920000</v>
      </c>
      <c r="E59" s="94"/>
    </row>
    <row r="60" spans="1:5" ht="14.85" customHeight="1" x14ac:dyDescent="0.25">
      <c r="A60" s="196" t="s">
        <v>258</v>
      </c>
      <c r="B60" s="196"/>
      <c r="C60" s="126" t="s">
        <v>143</v>
      </c>
      <c r="D60" s="92">
        <v>1359000</v>
      </c>
      <c r="E60" s="96"/>
    </row>
    <row r="61" spans="1:5" ht="17.649999999999999" customHeight="1" x14ac:dyDescent="0.25">
      <c r="A61" s="193" t="s">
        <v>259</v>
      </c>
      <c r="B61" s="193"/>
      <c r="C61" s="130" t="s">
        <v>260</v>
      </c>
      <c r="D61" s="92">
        <v>1359000</v>
      </c>
      <c r="E61" s="94"/>
    </row>
    <row r="62" spans="1:5" ht="14.85" customHeight="1" x14ac:dyDescent="0.25">
      <c r="A62" s="196" t="s">
        <v>261</v>
      </c>
      <c r="B62" s="196"/>
      <c r="C62" s="126" t="s">
        <v>262</v>
      </c>
      <c r="D62" s="92">
        <v>34596000</v>
      </c>
      <c r="E62" s="96"/>
    </row>
    <row r="63" spans="1:5" ht="10.5" customHeight="1" x14ac:dyDescent="0.25">
      <c r="A63" s="193" t="s">
        <v>263</v>
      </c>
      <c r="B63" s="193"/>
      <c r="C63" s="130" t="s">
        <v>264</v>
      </c>
      <c r="D63" s="92">
        <v>34596000</v>
      </c>
      <c r="E63" s="94"/>
    </row>
    <row r="64" spans="1:5" ht="14.85" customHeight="1" x14ac:dyDescent="0.25">
      <c r="A64" s="196" t="s">
        <v>265</v>
      </c>
      <c r="B64" s="196"/>
      <c r="C64" s="126" t="s">
        <v>266</v>
      </c>
      <c r="D64" s="92">
        <f>SUM(D65:D69)</f>
        <v>-21271680</v>
      </c>
      <c r="E64" s="96"/>
    </row>
    <row r="65" spans="1:5" ht="14.85" customHeight="1" x14ac:dyDescent="0.25">
      <c r="A65" s="126"/>
      <c r="B65" s="126"/>
      <c r="C65" s="97" t="s">
        <v>267</v>
      </c>
      <c r="D65" s="92">
        <v>-7495800</v>
      </c>
      <c r="E65" s="96"/>
    </row>
    <row r="66" spans="1:5" ht="14.85" customHeight="1" x14ac:dyDescent="0.25">
      <c r="A66" s="152"/>
      <c r="B66" s="152"/>
      <c r="C66" s="97" t="s">
        <v>438</v>
      </c>
      <c r="D66" s="92">
        <v>-44792</v>
      </c>
      <c r="E66" s="96"/>
    </row>
    <row r="67" spans="1:5" ht="14.85" customHeight="1" x14ac:dyDescent="0.25">
      <c r="A67" s="152"/>
      <c r="B67" s="152"/>
      <c r="C67" s="97" t="s">
        <v>269</v>
      </c>
      <c r="D67" s="92">
        <v>-12265522</v>
      </c>
      <c r="E67" s="96"/>
    </row>
    <row r="68" spans="1:5" ht="14.85" customHeight="1" x14ac:dyDescent="0.25">
      <c r="A68" s="126"/>
      <c r="B68" s="126"/>
      <c r="C68" s="97" t="s">
        <v>268</v>
      </c>
      <c r="D68" s="92">
        <v>-536666</v>
      </c>
      <c r="E68" s="96"/>
    </row>
    <row r="69" spans="1:5" ht="10.5" customHeight="1" x14ac:dyDescent="0.25">
      <c r="A69" s="193"/>
      <c r="B69" s="193"/>
      <c r="C69" s="97" t="s">
        <v>270</v>
      </c>
      <c r="D69" s="92">
        <v>-928900</v>
      </c>
      <c r="E69" s="94"/>
    </row>
    <row r="70" spans="1:5" ht="10.15" customHeight="1" x14ac:dyDescent="0.25">
      <c r="D70" s="92"/>
    </row>
    <row r="71" spans="1:5" ht="18.600000000000001" customHeight="1" x14ac:dyDescent="0.25">
      <c r="A71" s="195" t="s">
        <v>271</v>
      </c>
      <c r="B71" s="195"/>
      <c r="C71" s="129" t="s">
        <v>272</v>
      </c>
      <c r="D71" s="92"/>
      <c r="E71" s="98">
        <f>+D72</f>
        <v>2548980</v>
      </c>
    </row>
    <row r="72" spans="1:5" ht="14.85" customHeight="1" x14ac:dyDescent="0.25">
      <c r="A72" s="196" t="s">
        <v>273</v>
      </c>
      <c r="B72" s="196"/>
      <c r="C72" s="126" t="s">
        <v>274</v>
      </c>
      <c r="D72" s="92">
        <v>2548980</v>
      </c>
      <c r="E72" s="96"/>
    </row>
    <row r="73" spans="1:5" ht="14.85" customHeight="1" x14ac:dyDescent="0.25">
      <c r="A73" s="126"/>
      <c r="B73" s="126"/>
      <c r="C73" s="126"/>
      <c r="D73" s="92"/>
      <c r="E73" s="96"/>
    </row>
    <row r="74" spans="1:5" ht="31.5" customHeight="1" thickBot="1" x14ac:dyDescent="0.3">
      <c r="A74" s="198" t="s">
        <v>275</v>
      </c>
      <c r="B74" s="198"/>
      <c r="C74" s="198"/>
      <c r="D74" s="99"/>
      <c r="E74" s="99">
        <f>SUM(E9:E72)</f>
        <v>619237075.95000005</v>
      </c>
    </row>
    <row r="75" spans="1:5" ht="14.85" customHeight="1" thickTop="1" x14ac:dyDescent="0.25">
      <c r="A75" s="126"/>
      <c r="B75" s="126"/>
      <c r="C75" s="126"/>
      <c r="D75" s="92"/>
      <c r="E75" s="96"/>
    </row>
    <row r="76" spans="1:5" ht="14.85" customHeight="1" x14ac:dyDescent="0.25">
      <c r="A76" s="126"/>
      <c r="B76" s="126"/>
      <c r="C76" s="126"/>
      <c r="D76" s="92"/>
      <c r="E76" s="96"/>
    </row>
    <row r="77" spans="1:5" ht="17.649999999999999" customHeight="1" x14ac:dyDescent="0.25">
      <c r="A77" s="130"/>
      <c r="B77" s="130"/>
      <c r="C77" s="130"/>
      <c r="D77" s="92"/>
      <c r="E77" s="94"/>
    </row>
    <row r="78" spans="1:5" ht="14.85" customHeight="1" x14ac:dyDescent="0.25">
      <c r="A78" s="196" t="s">
        <v>276</v>
      </c>
      <c r="B78" s="196"/>
      <c r="C78" s="126" t="s">
        <v>277</v>
      </c>
      <c r="D78" s="92"/>
      <c r="E78" s="91">
        <f>+D79+D80</f>
        <v>300000</v>
      </c>
    </row>
    <row r="79" spans="1:5" ht="12" customHeight="1" x14ac:dyDescent="0.25">
      <c r="A79" s="193" t="s">
        <v>278</v>
      </c>
      <c r="B79" s="193"/>
      <c r="C79" s="130" t="s">
        <v>59</v>
      </c>
      <c r="D79" s="92">
        <v>300000</v>
      </c>
      <c r="E79" s="94"/>
    </row>
    <row r="80" spans="1:5" ht="12" customHeight="1" x14ac:dyDescent="0.25">
      <c r="A80" s="130"/>
      <c r="B80" s="130"/>
      <c r="C80" s="130"/>
      <c r="D80" s="92"/>
      <c r="E80" s="94"/>
    </row>
    <row r="81" spans="1:6" ht="17.649999999999999" customHeight="1" x14ac:dyDescent="0.25">
      <c r="A81" s="193"/>
      <c r="B81" s="193"/>
      <c r="C81" s="130"/>
      <c r="D81" s="92"/>
      <c r="E81" s="94"/>
      <c r="F81" s="93"/>
    </row>
    <row r="82" spans="1:6" ht="14.85" customHeight="1" x14ac:dyDescent="0.25">
      <c r="A82" s="196" t="s">
        <v>279</v>
      </c>
      <c r="B82" s="196"/>
      <c r="C82" s="126" t="s">
        <v>237</v>
      </c>
      <c r="D82" s="92"/>
      <c r="E82" s="91">
        <f>+D83+D84</f>
        <v>206000</v>
      </c>
    </row>
    <row r="83" spans="1:6" ht="12" customHeight="1" x14ac:dyDescent="0.25">
      <c r="A83" s="193" t="s">
        <v>280</v>
      </c>
      <c r="B83" s="193"/>
      <c r="C83" s="130" t="s">
        <v>237</v>
      </c>
      <c r="D83" s="92">
        <v>120000</v>
      </c>
      <c r="E83" s="94"/>
    </row>
    <row r="84" spans="1:6" ht="12" customHeight="1" x14ac:dyDescent="0.25">
      <c r="A84" s="153">
        <v>236706</v>
      </c>
      <c r="B84" s="153"/>
      <c r="C84" s="153" t="s">
        <v>443</v>
      </c>
      <c r="D84" s="92">
        <v>86000</v>
      </c>
      <c r="E84" s="94"/>
    </row>
    <row r="85" spans="1:6" ht="17.649999999999999" customHeight="1" x14ac:dyDescent="0.25">
      <c r="A85" s="193"/>
      <c r="B85" s="193"/>
      <c r="C85" s="130"/>
      <c r="D85" s="92"/>
      <c r="E85" s="94"/>
    </row>
    <row r="86" spans="1:6" ht="14.85" customHeight="1" x14ac:dyDescent="0.25">
      <c r="A86" s="196" t="s">
        <v>281</v>
      </c>
      <c r="B86" s="196"/>
      <c r="C86" s="126" t="s">
        <v>282</v>
      </c>
      <c r="D86" s="92"/>
      <c r="E86" s="91">
        <f>+D87+D88+D89</f>
        <v>275500</v>
      </c>
    </row>
    <row r="87" spans="1:6" ht="12" customHeight="1" x14ac:dyDescent="0.25">
      <c r="A87" s="193" t="s">
        <v>283</v>
      </c>
      <c r="B87" s="193"/>
      <c r="C87" s="130" t="s">
        <v>284</v>
      </c>
      <c r="D87" s="92">
        <v>105100</v>
      </c>
      <c r="E87" s="94"/>
    </row>
    <row r="88" spans="1:6" ht="12" customHeight="1" x14ac:dyDescent="0.25">
      <c r="A88" s="193" t="s">
        <v>285</v>
      </c>
      <c r="B88" s="193"/>
      <c r="C88" s="130" t="s">
        <v>51</v>
      </c>
      <c r="D88" s="92">
        <v>50900</v>
      </c>
      <c r="E88" s="94"/>
    </row>
    <row r="89" spans="1:6" ht="17.649999999999999" customHeight="1" x14ac:dyDescent="0.25">
      <c r="A89" s="193" t="s">
        <v>286</v>
      </c>
      <c r="B89" s="193"/>
      <c r="C89" s="130" t="s">
        <v>287</v>
      </c>
      <c r="D89" s="92">
        <v>119500</v>
      </c>
      <c r="E89" s="94"/>
    </row>
    <row r="90" spans="1:6" ht="14.85" customHeight="1" x14ac:dyDescent="0.25">
      <c r="A90" s="196" t="s">
        <v>288</v>
      </c>
      <c r="B90" s="196"/>
      <c r="C90" s="126" t="s">
        <v>289</v>
      </c>
      <c r="D90" s="92"/>
      <c r="E90" s="91">
        <f>+D91</f>
        <v>419200</v>
      </c>
    </row>
    <row r="91" spans="1:6" ht="12" customHeight="1" x14ac:dyDescent="0.25">
      <c r="A91" s="193" t="s">
        <v>290</v>
      </c>
      <c r="B91" s="193"/>
      <c r="C91" s="130" t="s">
        <v>291</v>
      </c>
      <c r="D91" s="92">
        <v>419200</v>
      </c>
      <c r="E91" s="94"/>
    </row>
    <row r="92" spans="1:6" ht="10.5" customHeight="1" x14ac:dyDescent="0.25">
      <c r="A92" s="193"/>
      <c r="B92" s="193"/>
      <c r="C92" s="130"/>
      <c r="D92" s="92"/>
      <c r="E92" s="94"/>
    </row>
    <row r="93" spans="1:6" ht="10.15" customHeight="1" x14ac:dyDescent="0.25">
      <c r="D93" s="92"/>
    </row>
    <row r="94" spans="1:6" ht="18.600000000000001" customHeight="1" x14ac:dyDescent="0.25">
      <c r="A94" s="195" t="s">
        <v>292</v>
      </c>
      <c r="B94" s="195"/>
      <c r="C94" s="129" t="s">
        <v>293</v>
      </c>
      <c r="D94" s="92"/>
      <c r="E94" s="100">
        <f>+D95+D96</f>
        <v>1594000</v>
      </c>
    </row>
    <row r="95" spans="1:6" ht="14.85" customHeight="1" x14ac:dyDescent="0.25">
      <c r="A95" s="196" t="s">
        <v>294</v>
      </c>
      <c r="B95" s="196"/>
      <c r="C95" s="126" t="s">
        <v>295</v>
      </c>
      <c r="D95" s="92">
        <v>1301000</v>
      </c>
      <c r="E95" s="100"/>
      <c r="F95" s="93"/>
    </row>
    <row r="96" spans="1:6" ht="14.85" customHeight="1" x14ac:dyDescent="0.25">
      <c r="A96" s="126">
        <v>2412</v>
      </c>
      <c r="B96" s="126"/>
      <c r="C96" s="126" t="s">
        <v>323</v>
      </c>
      <c r="D96" s="92">
        <v>293000</v>
      </c>
      <c r="E96" s="100"/>
      <c r="F96" s="93"/>
    </row>
    <row r="97" spans="1:6" ht="14.85" customHeight="1" x14ac:dyDescent="0.25">
      <c r="A97" s="126"/>
      <c r="B97" s="126"/>
      <c r="C97" s="126"/>
      <c r="D97" s="92"/>
      <c r="E97" s="100"/>
      <c r="F97" s="93"/>
    </row>
    <row r="98" spans="1:6" ht="10.15" customHeight="1" x14ac:dyDescent="0.25">
      <c r="D98" s="92"/>
      <c r="E98" s="100"/>
    </row>
    <row r="99" spans="1:6" ht="10.15" customHeight="1" x14ac:dyDescent="0.25"/>
    <row r="100" spans="1:6" ht="18.600000000000001" customHeight="1" x14ac:dyDescent="0.25">
      <c r="A100" s="195" t="s">
        <v>296</v>
      </c>
      <c r="B100" s="195"/>
      <c r="C100" s="129" t="s">
        <v>297</v>
      </c>
      <c r="D100" s="176"/>
      <c r="E100" s="101"/>
    </row>
    <row r="101" spans="1:6" ht="14.85" customHeight="1" x14ac:dyDescent="0.25">
      <c r="A101" s="196" t="s">
        <v>298</v>
      </c>
      <c r="B101" s="196"/>
      <c r="C101" s="126" t="s">
        <v>299</v>
      </c>
      <c r="D101" s="177"/>
      <c r="E101" s="91">
        <f>SUM(D102:D105)</f>
        <v>2230483.36</v>
      </c>
    </row>
    <row r="102" spans="1:6" ht="12" customHeight="1" x14ac:dyDescent="0.25">
      <c r="A102" s="193" t="s">
        <v>300</v>
      </c>
      <c r="B102" s="193"/>
      <c r="C102" s="130" t="s">
        <v>40</v>
      </c>
      <c r="D102" s="92">
        <v>1991503</v>
      </c>
      <c r="E102" s="94"/>
    </row>
    <row r="103" spans="1:6" ht="12" customHeight="1" x14ac:dyDescent="0.25">
      <c r="A103" s="193" t="s">
        <v>301</v>
      </c>
      <c r="B103" s="193"/>
      <c r="C103" s="130" t="s">
        <v>42</v>
      </c>
      <c r="D103" s="92">
        <f>+D102*12%</f>
        <v>238980.36</v>
      </c>
      <c r="E103" s="94"/>
    </row>
    <row r="104" spans="1:6" ht="12" customHeight="1" x14ac:dyDescent="0.25">
      <c r="A104" s="193"/>
      <c r="B104" s="193"/>
      <c r="C104" s="130"/>
      <c r="D104" s="92"/>
      <c r="E104" s="94"/>
    </row>
    <row r="105" spans="1:6" ht="10.5" customHeight="1" x14ac:dyDescent="0.25">
      <c r="A105" s="193"/>
      <c r="B105" s="193"/>
      <c r="C105" s="130"/>
      <c r="D105" s="92"/>
      <c r="E105" s="94"/>
    </row>
    <row r="106" spans="1:6" ht="10.5" customHeight="1" x14ac:dyDescent="0.25">
      <c r="A106" s="130"/>
      <c r="B106" s="130"/>
      <c r="C106" s="130"/>
      <c r="D106" s="92"/>
      <c r="E106" s="94"/>
    </row>
    <row r="107" spans="1:6" ht="18.600000000000001" customHeight="1" x14ac:dyDescent="0.25">
      <c r="A107" s="195">
        <v>22</v>
      </c>
      <c r="B107" s="195"/>
      <c r="C107" s="129" t="s">
        <v>302</v>
      </c>
      <c r="D107" s="92"/>
      <c r="E107" s="101"/>
    </row>
    <row r="108" spans="1:6" ht="14.85" customHeight="1" x14ac:dyDescent="0.25">
      <c r="A108" s="196">
        <v>2205</v>
      </c>
      <c r="B108" s="196"/>
      <c r="C108" s="126" t="s">
        <v>225</v>
      </c>
      <c r="D108" s="177"/>
      <c r="E108" s="91">
        <f>+D110+D111</f>
        <v>2375215</v>
      </c>
    </row>
    <row r="109" spans="1:6" ht="10.5" customHeight="1" x14ac:dyDescent="0.25">
      <c r="A109" s="193">
        <v>221005</v>
      </c>
      <c r="B109" s="193"/>
      <c r="C109" s="130" t="s">
        <v>303</v>
      </c>
      <c r="D109" s="92"/>
      <c r="E109" s="94"/>
    </row>
    <row r="110" spans="1:6" ht="10.5" customHeight="1" x14ac:dyDescent="0.25">
      <c r="A110" s="130"/>
      <c r="B110" s="130"/>
      <c r="C110" s="130" t="s">
        <v>341</v>
      </c>
      <c r="D110" s="92">
        <v>2375215</v>
      </c>
      <c r="E110" s="94"/>
    </row>
    <row r="111" spans="1:6" ht="10.5" customHeight="1" x14ac:dyDescent="0.25">
      <c r="A111" s="130"/>
      <c r="B111" s="130"/>
      <c r="C111" s="130"/>
      <c r="D111" s="92"/>
      <c r="E111" s="94"/>
    </row>
    <row r="112" spans="1:6" ht="12.95" customHeight="1" x14ac:dyDescent="0.25"/>
    <row r="113" spans="1:5" ht="25.5" customHeight="1" thickBot="1" x14ac:dyDescent="0.3">
      <c r="A113" s="194" t="s">
        <v>304</v>
      </c>
      <c r="B113" s="194"/>
      <c r="C113" s="194"/>
      <c r="D113" s="194"/>
      <c r="E113" s="102">
        <f>SUM(E77:E112)</f>
        <v>7400398.3599999994</v>
      </c>
    </row>
    <row r="114" spans="1:5" ht="12.95" customHeight="1" thickTop="1" x14ac:dyDescent="0.25"/>
    <row r="115" spans="1:5" ht="12.95" customHeight="1" x14ac:dyDescent="0.25"/>
    <row r="116" spans="1:5" ht="12.75" customHeight="1" x14ac:dyDescent="0.25">
      <c r="A116" s="197" t="s">
        <v>305</v>
      </c>
      <c r="B116" s="197"/>
      <c r="C116" s="128" t="s">
        <v>306</v>
      </c>
      <c r="D116" s="172"/>
      <c r="E116" s="90"/>
    </row>
    <row r="117" spans="1:5" ht="9.9499999999999993" customHeight="1" x14ac:dyDescent="0.25">
      <c r="E117" s="91"/>
    </row>
    <row r="118" spans="1:5" ht="18.600000000000001" customHeight="1" x14ac:dyDescent="0.25">
      <c r="A118" s="195" t="s">
        <v>307</v>
      </c>
      <c r="B118" s="195"/>
      <c r="C118" s="129" t="s">
        <v>308</v>
      </c>
      <c r="D118" s="92"/>
      <c r="E118" s="91">
        <f>+D119</f>
        <v>574301990</v>
      </c>
    </row>
    <row r="119" spans="1:5" ht="14.85" customHeight="1" x14ac:dyDescent="0.25">
      <c r="A119" s="196" t="s">
        <v>309</v>
      </c>
      <c r="B119" s="196"/>
      <c r="C119" s="126" t="s">
        <v>310</v>
      </c>
      <c r="D119" s="92">
        <v>574301990</v>
      </c>
      <c r="E119" s="91"/>
    </row>
    <row r="120" spans="1:5" ht="10.5" customHeight="1" x14ac:dyDescent="0.25">
      <c r="A120" s="193" t="s">
        <v>311</v>
      </c>
      <c r="B120" s="193"/>
      <c r="C120" s="130" t="s">
        <v>312</v>
      </c>
      <c r="D120" s="92"/>
      <c r="E120" s="91"/>
    </row>
    <row r="121" spans="1:5" ht="10.5" customHeight="1" x14ac:dyDescent="0.25">
      <c r="A121" s="130"/>
      <c r="B121" s="130"/>
      <c r="C121" s="130"/>
      <c r="D121" s="92"/>
      <c r="E121" s="91"/>
    </row>
    <row r="122" spans="1:5" ht="10.15" customHeight="1" x14ac:dyDescent="0.25">
      <c r="D122" s="92"/>
      <c r="E122" s="91"/>
    </row>
    <row r="123" spans="1:5" ht="18.600000000000001" customHeight="1" x14ac:dyDescent="0.25">
      <c r="A123" s="195" t="s">
        <v>313</v>
      </c>
      <c r="B123" s="195"/>
      <c r="C123" s="129" t="s">
        <v>314</v>
      </c>
      <c r="D123" s="92"/>
      <c r="E123" s="91">
        <f>+D124</f>
        <v>9534688</v>
      </c>
    </row>
    <row r="124" spans="1:5" ht="14.85" customHeight="1" x14ac:dyDescent="0.25">
      <c r="A124" s="196" t="s">
        <v>315</v>
      </c>
      <c r="B124" s="196"/>
      <c r="C124" s="126" t="s">
        <v>316</v>
      </c>
      <c r="D124" s="92">
        <f>+D125</f>
        <v>9534688</v>
      </c>
      <c r="E124" s="96"/>
    </row>
    <row r="125" spans="1:5" ht="17.649999999999999" customHeight="1" x14ac:dyDescent="0.25">
      <c r="A125" s="193" t="s">
        <v>317</v>
      </c>
      <c r="B125" s="193"/>
      <c r="C125" s="130" t="s">
        <v>316</v>
      </c>
      <c r="D125" s="92">
        <f>+'PYG '!AU150</f>
        <v>9534688</v>
      </c>
      <c r="E125" s="94"/>
    </row>
    <row r="126" spans="1:5" ht="17.649999999999999" customHeight="1" x14ac:dyDescent="0.25">
      <c r="A126" s="130"/>
      <c r="B126" s="130"/>
      <c r="C126" s="130"/>
      <c r="D126" s="92"/>
      <c r="E126" s="94"/>
    </row>
    <row r="127" spans="1:5" ht="17.649999999999999" customHeight="1" x14ac:dyDescent="0.25">
      <c r="A127" s="130">
        <v>37</v>
      </c>
      <c r="B127" s="130"/>
      <c r="C127" s="130" t="s">
        <v>318</v>
      </c>
      <c r="D127" s="92"/>
      <c r="E127" s="100">
        <f>+D128</f>
        <v>28000000</v>
      </c>
    </row>
    <row r="128" spans="1:5" ht="17.649999999999999" customHeight="1" x14ac:dyDescent="0.25">
      <c r="A128" s="130">
        <v>37</v>
      </c>
      <c r="B128" s="130"/>
      <c r="C128" s="130" t="s">
        <v>319</v>
      </c>
      <c r="D128" s="92">
        <v>28000000</v>
      </c>
      <c r="E128" s="94"/>
    </row>
    <row r="129" spans="1:5" ht="12" customHeight="1" x14ac:dyDescent="0.25">
      <c r="A129" s="193"/>
      <c r="B129" s="193"/>
      <c r="C129" s="130"/>
      <c r="D129" s="178"/>
      <c r="E129" s="94"/>
    </row>
    <row r="130" spans="1:5" ht="16.5" thickBot="1" x14ac:dyDescent="0.3">
      <c r="A130" s="194" t="s">
        <v>320</v>
      </c>
      <c r="B130" s="194"/>
      <c r="C130" s="194"/>
      <c r="D130" s="194"/>
      <c r="E130" s="102">
        <f>+E118+E123+E127</f>
        <v>611836678</v>
      </c>
    </row>
    <row r="131" spans="1:5" ht="15.75" thickTop="1" x14ac:dyDescent="0.25"/>
    <row r="132" spans="1:5" ht="16.5" thickBot="1" x14ac:dyDescent="0.3">
      <c r="A132" s="194" t="s">
        <v>321</v>
      </c>
      <c r="B132" s="194"/>
      <c r="C132" s="194"/>
      <c r="D132" s="194"/>
      <c r="E132" s="99">
        <f>+E130+E113</f>
        <v>619237076.36000001</v>
      </c>
    </row>
    <row r="133" spans="1:5" ht="15.75" thickTop="1" x14ac:dyDescent="0.25"/>
    <row r="134" spans="1:5" x14ac:dyDescent="0.25">
      <c r="E134" s="103">
        <f>+E74-E113-E130</f>
        <v>-0.40999996662139893</v>
      </c>
    </row>
  </sheetData>
  <mergeCells count="79">
    <mergeCell ref="A37:B37"/>
    <mergeCell ref="A9:B9"/>
    <mergeCell ref="A1:E1"/>
    <mergeCell ref="A2:E2"/>
    <mergeCell ref="A3:E3"/>
    <mergeCell ref="A6:B6"/>
    <mergeCell ref="A8:B8"/>
    <mergeCell ref="A45:B45"/>
    <mergeCell ref="A10:B10"/>
    <mergeCell ref="A11:B11"/>
    <mergeCell ref="A12:B12"/>
    <mergeCell ref="A13:B13"/>
    <mergeCell ref="A21:B21"/>
    <mergeCell ref="A22:B22"/>
    <mergeCell ref="A23:B23"/>
    <mergeCell ref="A31:B31"/>
    <mergeCell ref="A42:B42"/>
    <mergeCell ref="A43:B43"/>
    <mergeCell ref="A44:B44"/>
    <mergeCell ref="A16:B16"/>
    <mergeCell ref="A17:B17"/>
    <mergeCell ref="A18:B18"/>
    <mergeCell ref="A36:B36"/>
    <mergeCell ref="A58:B58"/>
    <mergeCell ref="A46:B46"/>
    <mergeCell ref="A48:B48"/>
    <mergeCell ref="A49:B49"/>
    <mergeCell ref="A50:B50"/>
    <mergeCell ref="A52:B52"/>
    <mergeCell ref="A53:B53"/>
    <mergeCell ref="A54:B54"/>
    <mergeCell ref="A55:B55"/>
    <mergeCell ref="A56:B56"/>
    <mergeCell ref="A57:B57"/>
    <mergeCell ref="A79:B79"/>
    <mergeCell ref="A59:B59"/>
    <mergeCell ref="A60:B60"/>
    <mergeCell ref="A61:B61"/>
    <mergeCell ref="A62:B62"/>
    <mergeCell ref="A63:B63"/>
    <mergeCell ref="A64:B64"/>
    <mergeCell ref="A69:B69"/>
    <mergeCell ref="A71:B71"/>
    <mergeCell ref="A72:B72"/>
    <mergeCell ref="A74:C74"/>
    <mergeCell ref="A78:B78"/>
    <mergeCell ref="A94:B94"/>
    <mergeCell ref="A81:B81"/>
    <mergeCell ref="A82:B82"/>
    <mergeCell ref="A83:B83"/>
    <mergeCell ref="A85:B85"/>
    <mergeCell ref="A86:B86"/>
    <mergeCell ref="A87:B87"/>
    <mergeCell ref="A88:B88"/>
    <mergeCell ref="A89:B89"/>
    <mergeCell ref="A90:B90"/>
    <mergeCell ref="A91:B91"/>
    <mergeCell ref="A92:B92"/>
    <mergeCell ref="A116:B116"/>
    <mergeCell ref="A95:B95"/>
    <mergeCell ref="A100:B100"/>
    <mergeCell ref="A101:B101"/>
    <mergeCell ref="A102:B102"/>
    <mergeCell ref="A103:B103"/>
    <mergeCell ref="A104:B104"/>
    <mergeCell ref="A105:B105"/>
    <mergeCell ref="A107:B107"/>
    <mergeCell ref="A108:B108"/>
    <mergeCell ref="A109:B109"/>
    <mergeCell ref="A113:D113"/>
    <mergeCell ref="A129:B129"/>
    <mergeCell ref="A130:D130"/>
    <mergeCell ref="A132:D132"/>
    <mergeCell ref="A118:B118"/>
    <mergeCell ref="A119:B119"/>
    <mergeCell ref="A120:B120"/>
    <mergeCell ref="A123:B123"/>
    <mergeCell ref="A124:B124"/>
    <mergeCell ref="A125:B125"/>
  </mergeCells>
  <pageMargins left="0.55119997262954712" right="0" top="0.2362000048160553" bottom="0.2362000048160553" header="0" footer="0"/>
  <pageSetup firstPageNumber="0" fitToHeight="0" orientation="portrait" horizontalDpi="360" verticalDpi="36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9"/>
  <sheetViews>
    <sheetView zoomScale="93" zoomScaleNormal="93" workbookViewId="0">
      <selection activeCell="C28" sqref="C28"/>
    </sheetView>
  </sheetViews>
  <sheetFormatPr baseColWidth="10" defaultRowHeight="12.75" x14ac:dyDescent="0.2"/>
  <cols>
    <col min="1" max="1" width="34.85546875" style="131" customWidth="1"/>
    <col min="2" max="2" width="37.140625" style="133" customWidth="1"/>
    <col min="3" max="3" width="15.85546875" style="131" bestFit="1" customWidth="1"/>
    <col min="4" max="256" width="11.42578125" style="131"/>
    <col min="257" max="257" width="38.42578125" style="131" bestFit="1" customWidth="1"/>
    <col min="258" max="258" width="43.28515625" style="131" customWidth="1"/>
    <col min="259" max="259" width="43.7109375" style="131" customWidth="1"/>
    <col min="260" max="512" width="11.42578125" style="131"/>
    <col min="513" max="513" width="38.42578125" style="131" bestFit="1" customWidth="1"/>
    <col min="514" max="514" width="43.28515625" style="131" customWidth="1"/>
    <col min="515" max="515" width="43.7109375" style="131" customWidth="1"/>
    <col min="516" max="768" width="11.42578125" style="131"/>
    <col min="769" max="769" width="38.42578125" style="131" bestFit="1" customWidth="1"/>
    <col min="770" max="770" width="43.28515625" style="131" customWidth="1"/>
    <col min="771" max="771" width="43.7109375" style="131" customWidth="1"/>
    <col min="772" max="1024" width="11.42578125" style="131"/>
    <col min="1025" max="1025" width="38.42578125" style="131" bestFit="1" customWidth="1"/>
    <col min="1026" max="1026" width="43.28515625" style="131" customWidth="1"/>
    <col min="1027" max="1027" width="43.7109375" style="131" customWidth="1"/>
    <col min="1028" max="1280" width="11.42578125" style="131"/>
    <col min="1281" max="1281" width="38.42578125" style="131" bestFit="1" customWidth="1"/>
    <col min="1282" max="1282" width="43.28515625" style="131" customWidth="1"/>
    <col min="1283" max="1283" width="43.7109375" style="131" customWidth="1"/>
    <col min="1284" max="1536" width="11.42578125" style="131"/>
    <col min="1537" max="1537" width="38.42578125" style="131" bestFit="1" customWidth="1"/>
    <col min="1538" max="1538" width="43.28515625" style="131" customWidth="1"/>
    <col min="1539" max="1539" width="43.7109375" style="131" customWidth="1"/>
    <col min="1540" max="1792" width="11.42578125" style="131"/>
    <col min="1793" max="1793" width="38.42578125" style="131" bestFit="1" customWidth="1"/>
    <col min="1794" max="1794" width="43.28515625" style="131" customWidth="1"/>
    <col min="1795" max="1795" width="43.7109375" style="131" customWidth="1"/>
    <col min="1796" max="2048" width="11.42578125" style="131"/>
    <col min="2049" max="2049" width="38.42578125" style="131" bestFit="1" customWidth="1"/>
    <col min="2050" max="2050" width="43.28515625" style="131" customWidth="1"/>
    <col min="2051" max="2051" width="43.7109375" style="131" customWidth="1"/>
    <col min="2052" max="2304" width="11.42578125" style="131"/>
    <col min="2305" max="2305" width="38.42578125" style="131" bestFit="1" customWidth="1"/>
    <col min="2306" max="2306" width="43.28515625" style="131" customWidth="1"/>
    <col min="2307" max="2307" width="43.7109375" style="131" customWidth="1"/>
    <col min="2308" max="2560" width="11.42578125" style="131"/>
    <col min="2561" max="2561" width="38.42578125" style="131" bestFit="1" customWidth="1"/>
    <col min="2562" max="2562" width="43.28515625" style="131" customWidth="1"/>
    <col min="2563" max="2563" width="43.7109375" style="131" customWidth="1"/>
    <col min="2564" max="2816" width="11.42578125" style="131"/>
    <col min="2817" max="2817" width="38.42578125" style="131" bestFit="1" customWidth="1"/>
    <col min="2818" max="2818" width="43.28515625" style="131" customWidth="1"/>
    <col min="2819" max="2819" width="43.7109375" style="131" customWidth="1"/>
    <col min="2820" max="3072" width="11.42578125" style="131"/>
    <col min="3073" max="3073" width="38.42578125" style="131" bestFit="1" customWidth="1"/>
    <col min="3074" max="3074" width="43.28515625" style="131" customWidth="1"/>
    <col min="3075" max="3075" width="43.7109375" style="131" customWidth="1"/>
    <col min="3076" max="3328" width="11.42578125" style="131"/>
    <col min="3329" max="3329" width="38.42578125" style="131" bestFit="1" customWidth="1"/>
    <col min="3330" max="3330" width="43.28515625" style="131" customWidth="1"/>
    <col min="3331" max="3331" width="43.7109375" style="131" customWidth="1"/>
    <col min="3332" max="3584" width="11.42578125" style="131"/>
    <col min="3585" max="3585" width="38.42578125" style="131" bestFit="1" customWidth="1"/>
    <col min="3586" max="3586" width="43.28515625" style="131" customWidth="1"/>
    <col min="3587" max="3587" width="43.7109375" style="131" customWidth="1"/>
    <col min="3588" max="3840" width="11.42578125" style="131"/>
    <col min="3841" max="3841" width="38.42578125" style="131" bestFit="1" customWidth="1"/>
    <col min="3842" max="3842" width="43.28515625" style="131" customWidth="1"/>
    <col min="3843" max="3843" width="43.7109375" style="131" customWidth="1"/>
    <col min="3844" max="4096" width="11.42578125" style="131"/>
    <col min="4097" max="4097" width="38.42578125" style="131" bestFit="1" customWidth="1"/>
    <col min="4098" max="4098" width="43.28515625" style="131" customWidth="1"/>
    <col min="4099" max="4099" width="43.7109375" style="131" customWidth="1"/>
    <col min="4100" max="4352" width="11.42578125" style="131"/>
    <col min="4353" max="4353" width="38.42578125" style="131" bestFit="1" customWidth="1"/>
    <col min="4354" max="4354" width="43.28515625" style="131" customWidth="1"/>
    <col min="4355" max="4355" width="43.7109375" style="131" customWidth="1"/>
    <col min="4356" max="4608" width="11.42578125" style="131"/>
    <col min="4609" max="4609" width="38.42578125" style="131" bestFit="1" customWidth="1"/>
    <col min="4610" max="4610" width="43.28515625" style="131" customWidth="1"/>
    <col min="4611" max="4611" width="43.7109375" style="131" customWidth="1"/>
    <col min="4612" max="4864" width="11.42578125" style="131"/>
    <col min="4865" max="4865" width="38.42578125" style="131" bestFit="1" customWidth="1"/>
    <col min="4866" max="4866" width="43.28515625" style="131" customWidth="1"/>
    <col min="4867" max="4867" width="43.7109375" style="131" customWidth="1"/>
    <col min="4868" max="5120" width="11.42578125" style="131"/>
    <col min="5121" max="5121" width="38.42578125" style="131" bestFit="1" customWidth="1"/>
    <col min="5122" max="5122" width="43.28515625" style="131" customWidth="1"/>
    <col min="5123" max="5123" width="43.7109375" style="131" customWidth="1"/>
    <col min="5124" max="5376" width="11.42578125" style="131"/>
    <col min="5377" max="5377" width="38.42578125" style="131" bestFit="1" customWidth="1"/>
    <col min="5378" max="5378" width="43.28515625" style="131" customWidth="1"/>
    <col min="5379" max="5379" width="43.7109375" style="131" customWidth="1"/>
    <col min="5380" max="5632" width="11.42578125" style="131"/>
    <col min="5633" max="5633" width="38.42578125" style="131" bestFit="1" customWidth="1"/>
    <col min="5634" max="5634" width="43.28515625" style="131" customWidth="1"/>
    <col min="5635" max="5635" width="43.7109375" style="131" customWidth="1"/>
    <col min="5636" max="5888" width="11.42578125" style="131"/>
    <col min="5889" max="5889" width="38.42578125" style="131" bestFit="1" customWidth="1"/>
    <col min="5890" max="5890" width="43.28515625" style="131" customWidth="1"/>
    <col min="5891" max="5891" width="43.7109375" style="131" customWidth="1"/>
    <col min="5892" max="6144" width="11.42578125" style="131"/>
    <col min="6145" max="6145" width="38.42578125" style="131" bestFit="1" customWidth="1"/>
    <col min="6146" max="6146" width="43.28515625" style="131" customWidth="1"/>
    <col min="6147" max="6147" width="43.7109375" style="131" customWidth="1"/>
    <col min="6148" max="6400" width="11.42578125" style="131"/>
    <col min="6401" max="6401" width="38.42578125" style="131" bestFit="1" customWidth="1"/>
    <col min="6402" max="6402" width="43.28515625" style="131" customWidth="1"/>
    <col min="6403" max="6403" width="43.7109375" style="131" customWidth="1"/>
    <col min="6404" max="6656" width="11.42578125" style="131"/>
    <col min="6657" max="6657" width="38.42578125" style="131" bestFit="1" customWidth="1"/>
    <col min="6658" max="6658" width="43.28515625" style="131" customWidth="1"/>
    <col min="6659" max="6659" width="43.7109375" style="131" customWidth="1"/>
    <col min="6660" max="6912" width="11.42578125" style="131"/>
    <col min="6913" max="6913" width="38.42578125" style="131" bestFit="1" customWidth="1"/>
    <col min="6914" max="6914" width="43.28515625" style="131" customWidth="1"/>
    <col min="6915" max="6915" width="43.7109375" style="131" customWidth="1"/>
    <col min="6916" max="7168" width="11.42578125" style="131"/>
    <col min="7169" max="7169" width="38.42578125" style="131" bestFit="1" customWidth="1"/>
    <col min="7170" max="7170" width="43.28515625" style="131" customWidth="1"/>
    <col min="7171" max="7171" width="43.7109375" style="131" customWidth="1"/>
    <col min="7172" max="7424" width="11.42578125" style="131"/>
    <col min="7425" max="7425" width="38.42578125" style="131" bestFit="1" customWidth="1"/>
    <col min="7426" max="7426" width="43.28515625" style="131" customWidth="1"/>
    <col min="7427" max="7427" width="43.7109375" style="131" customWidth="1"/>
    <col min="7428" max="7680" width="11.42578125" style="131"/>
    <col min="7681" max="7681" width="38.42578125" style="131" bestFit="1" customWidth="1"/>
    <col min="7682" max="7682" width="43.28515625" style="131" customWidth="1"/>
    <col min="7683" max="7683" width="43.7109375" style="131" customWidth="1"/>
    <col min="7684" max="7936" width="11.42578125" style="131"/>
    <col min="7937" max="7937" width="38.42578125" style="131" bestFit="1" customWidth="1"/>
    <col min="7938" max="7938" width="43.28515625" style="131" customWidth="1"/>
    <col min="7939" max="7939" width="43.7109375" style="131" customWidth="1"/>
    <col min="7940" max="8192" width="11.42578125" style="131"/>
    <col min="8193" max="8193" width="38.42578125" style="131" bestFit="1" customWidth="1"/>
    <col min="8194" max="8194" width="43.28515625" style="131" customWidth="1"/>
    <col min="8195" max="8195" width="43.7109375" style="131" customWidth="1"/>
    <col min="8196" max="8448" width="11.42578125" style="131"/>
    <col min="8449" max="8449" width="38.42578125" style="131" bestFit="1" customWidth="1"/>
    <col min="8450" max="8450" width="43.28515625" style="131" customWidth="1"/>
    <col min="8451" max="8451" width="43.7109375" style="131" customWidth="1"/>
    <col min="8452" max="8704" width="11.42578125" style="131"/>
    <col min="8705" max="8705" width="38.42578125" style="131" bestFit="1" customWidth="1"/>
    <col min="8706" max="8706" width="43.28515625" style="131" customWidth="1"/>
    <col min="8707" max="8707" width="43.7109375" style="131" customWidth="1"/>
    <col min="8708" max="8960" width="11.42578125" style="131"/>
    <col min="8961" max="8961" width="38.42578125" style="131" bestFit="1" customWidth="1"/>
    <col min="8962" max="8962" width="43.28515625" style="131" customWidth="1"/>
    <col min="8963" max="8963" width="43.7109375" style="131" customWidth="1"/>
    <col min="8964" max="9216" width="11.42578125" style="131"/>
    <col min="9217" max="9217" width="38.42578125" style="131" bestFit="1" customWidth="1"/>
    <col min="9218" max="9218" width="43.28515625" style="131" customWidth="1"/>
    <col min="9219" max="9219" width="43.7109375" style="131" customWidth="1"/>
    <col min="9220" max="9472" width="11.42578125" style="131"/>
    <col min="9473" max="9473" width="38.42578125" style="131" bestFit="1" customWidth="1"/>
    <col min="9474" max="9474" width="43.28515625" style="131" customWidth="1"/>
    <col min="9475" max="9475" width="43.7109375" style="131" customWidth="1"/>
    <col min="9476" max="9728" width="11.42578125" style="131"/>
    <col min="9729" max="9729" width="38.42578125" style="131" bestFit="1" customWidth="1"/>
    <col min="9730" max="9730" width="43.28515625" style="131" customWidth="1"/>
    <col min="9731" max="9731" width="43.7109375" style="131" customWidth="1"/>
    <col min="9732" max="9984" width="11.42578125" style="131"/>
    <col min="9985" max="9985" width="38.42578125" style="131" bestFit="1" customWidth="1"/>
    <col min="9986" max="9986" width="43.28515625" style="131" customWidth="1"/>
    <col min="9987" max="9987" width="43.7109375" style="131" customWidth="1"/>
    <col min="9988" max="10240" width="11.42578125" style="131"/>
    <col min="10241" max="10241" width="38.42578125" style="131" bestFit="1" customWidth="1"/>
    <col min="10242" max="10242" width="43.28515625" style="131" customWidth="1"/>
    <col min="10243" max="10243" width="43.7109375" style="131" customWidth="1"/>
    <col min="10244" max="10496" width="11.42578125" style="131"/>
    <col min="10497" max="10497" width="38.42578125" style="131" bestFit="1" customWidth="1"/>
    <col min="10498" max="10498" width="43.28515625" style="131" customWidth="1"/>
    <col min="10499" max="10499" width="43.7109375" style="131" customWidth="1"/>
    <col min="10500" max="10752" width="11.42578125" style="131"/>
    <col min="10753" max="10753" width="38.42578125" style="131" bestFit="1" customWidth="1"/>
    <col min="10754" max="10754" width="43.28515625" style="131" customWidth="1"/>
    <col min="10755" max="10755" width="43.7109375" style="131" customWidth="1"/>
    <col min="10756" max="11008" width="11.42578125" style="131"/>
    <col min="11009" max="11009" width="38.42578125" style="131" bestFit="1" customWidth="1"/>
    <col min="11010" max="11010" width="43.28515625" style="131" customWidth="1"/>
    <col min="11011" max="11011" width="43.7109375" style="131" customWidth="1"/>
    <col min="11012" max="11264" width="11.42578125" style="131"/>
    <col min="11265" max="11265" width="38.42578125" style="131" bestFit="1" customWidth="1"/>
    <col min="11266" max="11266" width="43.28515625" style="131" customWidth="1"/>
    <col min="11267" max="11267" width="43.7109375" style="131" customWidth="1"/>
    <col min="11268" max="11520" width="11.42578125" style="131"/>
    <col min="11521" max="11521" width="38.42578125" style="131" bestFit="1" customWidth="1"/>
    <col min="11522" max="11522" width="43.28515625" style="131" customWidth="1"/>
    <col min="11523" max="11523" width="43.7109375" style="131" customWidth="1"/>
    <col min="11524" max="11776" width="11.42578125" style="131"/>
    <col min="11777" max="11777" width="38.42578125" style="131" bestFit="1" customWidth="1"/>
    <col min="11778" max="11778" width="43.28515625" style="131" customWidth="1"/>
    <col min="11779" max="11779" width="43.7109375" style="131" customWidth="1"/>
    <col min="11780" max="12032" width="11.42578125" style="131"/>
    <col min="12033" max="12033" width="38.42578125" style="131" bestFit="1" customWidth="1"/>
    <col min="12034" max="12034" width="43.28515625" style="131" customWidth="1"/>
    <col min="12035" max="12035" width="43.7109375" style="131" customWidth="1"/>
    <col min="12036" max="12288" width="11.42578125" style="131"/>
    <col min="12289" max="12289" width="38.42578125" style="131" bestFit="1" customWidth="1"/>
    <col min="12290" max="12290" width="43.28515625" style="131" customWidth="1"/>
    <col min="12291" max="12291" width="43.7109375" style="131" customWidth="1"/>
    <col min="12292" max="12544" width="11.42578125" style="131"/>
    <col min="12545" max="12545" width="38.42578125" style="131" bestFit="1" customWidth="1"/>
    <col min="12546" max="12546" width="43.28515625" style="131" customWidth="1"/>
    <col min="12547" max="12547" width="43.7109375" style="131" customWidth="1"/>
    <col min="12548" max="12800" width="11.42578125" style="131"/>
    <col min="12801" max="12801" width="38.42578125" style="131" bestFit="1" customWidth="1"/>
    <col min="12802" max="12802" width="43.28515625" style="131" customWidth="1"/>
    <col min="12803" max="12803" width="43.7109375" style="131" customWidth="1"/>
    <col min="12804" max="13056" width="11.42578125" style="131"/>
    <col min="13057" max="13057" width="38.42578125" style="131" bestFit="1" customWidth="1"/>
    <col min="13058" max="13058" width="43.28515625" style="131" customWidth="1"/>
    <col min="13059" max="13059" width="43.7109375" style="131" customWidth="1"/>
    <col min="13060" max="13312" width="11.42578125" style="131"/>
    <col min="13313" max="13313" width="38.42578125" style="131" bestFit="1" customWidth="1"/>
    <col min="13314" max="13314" width="43.28515625" style="131" customWidth="1"/>
    <col min="13315" max="13315" width="43.7109375" style="131" customWidth="1"/>
    <col min="13316" max="13568" width="11.42578125" style="131"/>
    <col min="13569" max="13569" width="38.42578125" style="131" bestFit="1" customWidth="1"/>
    <col min="13570" max="13570" width="43.28515625" style="131" customWidth="1"/>
    <col min="13571" max="13571" width="43.7109375" style="131" customWidth="1"/>
    <col min="13572" max="13824" width="11.42578125" style="131"/>
    <col min="13825" max="13825" width="38.42578125" style="131" bestFit="1" customWidth="1"/>
    <col min="13826" max="13826" width="43.28515625" style="131" customWidth="1"/>
    <col min="13827" max="13827" width="43.7109375" style="131" customWidth="1"/>
    <col min="13828" max="14080" width="11.42578125" style="131"/>
    <col min="14081" max="14081" width="38.42578125" style="131" bestFit="1" customWidth="1"/>
    <col min="14082" max="14082" width="43.28515625" style="131" customWidth="1"/>
    <col min="14083" max="14083" width="43.7109375" style="131" customWidth="1"/>
    <col min="14084" max="14336" width="11.42578125" style="131"/>
    <col min="14337" max="14337" width="38.42578125" style="131" bestFit="1" customWidth="1"/>
    <col min="14338" max="14338" width="43.28515625" style="131" customWidth="1"/>
    <col min="14339" max="14339" width="43.7109375" style="131" customWidth="1"/>
    <col min="14340" max="14592" width="11.42578125" style="131"/>
    <col min="14593" max="14593" width="38.42578125" style="131" bestFit="1" customWidth="1"/>
    <col min="14594" max="14594" width="43.28515625" style="131" customWidth="1"/>
    <col min="14595" max="14595" width="43.7109375" style="131" customWidth="1"/>
    <col min="14596" max="14848" width="11.42578125" style="131"/>
    <col min="14849" max="14849" width="38.42578125" style="131" bestFit="1" customWidth="1"/>
    <col min="14850" max="14850" width="43.28515625" style="131" customWidth="1"/>
    <col min="14851" max="14851" width="43.7109375" style="131" customWidth="1"/>
    <col min="14852" max="15104" width="11.42578125" style="131"/>
    <col min="15105" max="15105" width="38.42578125" style="131" bestFit="1" customWidth="1"/>
    <col min="15106" max="15106" width="43.28515625" style="131" customWidth="1"/>
    <col min="15107" max="15107" width="43.7109375" style="131" customWidth="1"/>
    <col min="15108" max="15360" width="11.42578125" style="131"/>
    <col min="15361" max="15361" width="38.42578125" style="131" bestFit="1" customWidth="1"/>
    <col min="15362" max="15362" width="43.28515625" style="131" customWidth="1"/>
    <col min="15363" max="15363" width="43.7109375" style="131" customWidth="1"/>
    <col min="15364" max="15616" width="11.42578125" style="131"/>
    <col min="15617" max="15617" width="38.42578125" style="131" bestFit="1" customWidth="1"/>
    <col min="15618" max="15618" width="43.28515625" style="131" customWidth="1"/>
    <col min="15619" max="15619" width="43.7109375" style="131" customWidth="1"/>
    <col min="15620" max="15872" width="11.42578125" style="131"/>
    <col min="15873" max="15873" width="38.42578125" style="131" bestFit="1" customWidth="1"/>
    <col min="15874" max="15874" width="43.28515625" style="131" customWidth="1"/>
    <col min="15875" max="15875" width="43.7109375" style="131" customWidth="1"/>
    <col min="15876" max="16128" width="11.42578125" style="131"/>
    <col min="16129" max="16129" width="38.42578125" style="131" bestFit="1" customWidth="1"/>
    <col min="16130" max="16130" width="43.28515625" style="131" customWidth="1"/>
    <col min="16131" max="16131" width="43.7109375" style="131" customWidth="1"/>
    <col min="16132" max="16384" width="11.42578125" style="131"/>
  </cols>
  <sheetData>
    <row r="1" spans="1:5" ht="18" x14ac:dyDescent="0.25">
      <c r="A1" s="202" t="s">
        <v>352</v>
      </c>
      <c r="B1" s="202"/>
    </row>
    <row r="2" spans="1:5" ht="15" x14ac:dyDescent="0.35">
      <c r="A2" s="132" t="s">
        <v>342</v>
      </c>
    </row>
    <row r="4" spans="1:5" x14ac:dyDescent="0.2">
      <c r="A4" s="131" t="s">
        <v>342</v>
      </c>
      <c r="B4" s="134" t="s">
        <v>343</v>
      </c>
      <c r="C4" s="136">
        <f>+DICIEMBRE!E74</f>
        <v>619237075.95000005</v>
      </c>
      <c r="D4" s="131">
        <f>+C4/C5</f>
        <v>83.676181446805259</v>
      </c>
      <c r="E4" s="181" t="s">
        <v>459</v>
      </c>
    </row>
    <row r="5" spans="1:5" x14ac:dyDescent="0.2">
      <c r="B5" s="133" t="s">
        <v>344</v>
      </c>
      <c r="C5" s="135">
        <f>+DICIEMBRE!E113</f>
        <v>7400398.3599999994</v>
      </c>
    </row>
    <row r="7" spans="1:5" x14ac:dyDescent="0.2">
      <c r="A7" s="131" t="s">
        <v>353</v>
      </c>
      <c r="B7" s="134" t="s">
        <v>354</v>
      </c>
      <c r="C7" s="136">
        <f>+DICIEMBRE!E74-DICIEMBRE!E48</f>
        <v>470054541.95000005</v>
      </c>
      <c r="D7" s="131">
        <f>+C7/C8</f>
        <v>63.517464747668001</v>
      </c>
      <c r="E7" s="181" t="s">
        <v>458</v>
      </c>
    </row>
    <row r="8" spans="1:5" x14ac:dyDescent="0.2">
      <c r="B8" s="133" t="s">
        <v>344</v>
      </c>
      <c r="C8" s="135">
        <f>+C5</f>
        <v>7400398.3599999994</v>
      </c>
    </row>
    <row r="10" spans="1:5" ht="15" x14ac:dyDescent="0.35">
      <c r="A10" s="132" t="s">
        <v>355</v>
      </c>
    </row>
    <row r="12" spans="1:5" x14ac:dyDescent="0.2">
      <c r="A12" s="131" t="s">
        <v>356</v>
      </c>
      <c r="B12" s="134" t="s">
        <v>350</v>
      </c>
      <c r="C12" s="179">
        <v>136687592</v>
      </c>
      <c r="D12" s="131">
        <f>+C12/C13</f>
        <v>0.34425680675370768</v>
      </c>
      <c r="E12" s="181" t="s">
        <v>457</v>
      </c>
    </row>
    <row r="13" spans="1:5" x14ac:dyDescent="0.2">
      <c r="B13" s="133" t="s">
        <v>357</v>
      </c>
      <c r="C13" s="180">
        <f>+DICIEMBRE!E52</f>
        <v>397051240</v>
      </c>
    </row>
    <row r="15" spans="1:5" x14ac:dyDescent="0.2">
      <c r="A15" s="131" t="s">
        <v>358</v>
      </c>
      <c r="B15" s="134" t="s">
        <v>350</v>
      </c>
      <c r="C15" s="179">
        <f>+C12</f>
        <v>136687592</v>
      </c>
      <c r="D15" s="131">
        <f>+C15/C16</f>
        <v>0.22073547807243499</v>
      </c>
      <c r="E15" s="181" t="s">
        <v>456</v>
      </c>
    </row>
    <row r="16" spans="1:5" x14ac:dyDescent="0.2">
      <c r="B16" s="133" t="s">
        <v>359</v>
      </c>
      <c r="C16" s="135">
        <f>+C4</f>
        <v>619237075.95000005</v>
      </c>
    </row>
    <row r="18" spans="1:5" ht="15" x14ac:dyDescent="0.35">
      <c r="A18" s="132" t="s">
        <v>360</v>
      </c>
    </row>
    <row r="20" spans="1:5" x14ac:dyDescent="0.2">
      <c r="A20" s="131" t="s">
        <v>345</v>
      </c>
      <c r="B20" s="134" t="s">
        <v>346</v>
      </c>
      <c r="C20" s="136">
        <f>+DICIEMBRE!E113</f>
        <v>7400398.3599999994</v>
      </c>
      <c r="D20" s="131">
        <f>+C20/C21</f>
        <v>1.1950832156887099E-2</v>
      </c>
      <c r="E20" s="131" t="s">
        <v>364</v>
      </c>
    </row>
    <row r="21" spans="1:5" x14ac:dyDescent="0.2">
      <c r="B21" s="133" t="s">
        <v>347</v>
      </c>
      <c r="C21" s="135">
        <f>+DICIEMBRE!E74</f>
        <v>619237075.95000005</v>
      </c>
    </row>
    <row r="23" spans="1:5" ht="15" x14ac:dyDescent="0.35">
      <c r="A23" s="132" t="s">
        <v>361</v>
      </c>
    </row>
    <row r="25" spans="1:5" x14ac:dyDescent="0.2">
      <c r="A25" s="131" t="s">
        <v>348</v>
      </c>
      <c r="B25" s="134" t="s">
        <v>349</v>
      </c>
      <c r="C25" s="136">
        <f>+'PYG '!AU150</f>
        <v>9534688</v>
      </c>
      <c r="D25" s="131">
        <f>+C25/C26*100</f>
        <v>7.3106591564252241</v>
      </c>
      <c r="E25" s="181" t="s">
        <v>455</v>
      </c>
    </row>
    <row r="26" spans="1:5" x14ac:dyDescent="0.2">
      <c r="B26" s="133" t="s">
        <v>350</v>
      </c>
      <c r="C26" s="135">
        <f>+'PYG '!AU8+'PYG '!AU15+'PYG '!AU22</f>
        <v>130421728</v>
      </c>
    </row>
    <row r="28" spans="1:5" x14ac:dyDescent="0.2">
      <c r="A28" s="131" t="s">
        <v>351</v>
      </c>
      <c r="B28" s="134" t="s">
        <v>349</v>
      </c>
      <c r="C28" s="136">
        <f>+C25</f>
        <v>9534688</v>
      </c>
      <c r="D28" s="131">
        <f>+C28/C29*100</f>
        <v>1.5397475975372432</v>
      </c>
      <c r="E28" s="181" t="s">
        <v>454</v>
      </c>
    </row>
    <row r="29" spans="1:5" x14ac:dyDescent="0.2">
      <c r="B29" s="133" t="s">
        <v>347</v>
      </c>
      <c r="C29" s="135">
        <f>+C16</f>
        <v>619237075.95000005</v>
      </c>
    </row>
  </sheetData>
  <mergeCells count="1">
    <mergeCell ref="A1:B1"/>
  </mergeCells>
  <printOptions horizontalCentered="1" verticalCentered="1"/>
  <pageMargins left="0.52" right="0.46" top="0.54" bottom="0.51" header="0" footer="0"/>
  <pageSetup scale="82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topLeftCell="A49" workbookViewId="0">
      <selection activeCell="D67" sqref="D67"/>
    </sheetView>
  </sheetViews>
  <sheetFormatPr baseColWidth="10" defaultRowHeight="15.75" x14ac:dyDescent="0.25"/>
  <cols>
    <col min="1" max="1" width="76.7109375" style="159" bestFit="1" customWidth="1"/>
    <col min="2" max="2" width="20.5703125" style="169" bestFit="1" customWidth="1"/>
    <col min="3" max="3" width="20.42578125" style="169" customWidth="1"/>
  </cols>
  <sheetData>
    <row r="1" spans="1:3" ht="15" x14ac:dyDescent="0.25">
      <c r="A1" s="203" t="s">
        <v>392</v>
      </c>
      <c r="B1" s="203"/>
      <c r="C1" s="203"/>
    </row>
    <row r="2" spans="1:3" ht="15" x14ac:dyDescent="0.25">
      <c r="A2"/>
      <c r="B2"/>
      <c r="C2"/>
    </row>
    <row r="3" spans="1:3" x14ac:dyDescent="0.25">
      <c r="A3" s="154"/>
      <c r="B3" s="154"/>
      <c r="C3" s="154"/>
    </row>
    <row r="4" spans="1:3" ht="21" x14ac:dyDescent="0.35">
      <c r="A4" s="155" t="s">
        <v>8</v>
      </c>
      <c r="B4" s="154" t="s">
        <v>393</v>
      </c>
      <c r="C4" s="154" t="s">
        <v>394</v>
      </c>
    </row>
    <row r="5" spans="1:3" x14ac:dyDescent="0.25">
      <c r="A5" s="156" t="s">
        <v>395</v>
      </c>
      <c r="B5" s="154"/>
      <c r="C5" s="154"/>
    </row>
    <row r="6" spans="1:3" x14ac:dyDescent="0.25">
      <c r="A6" s="156"/>
      <c r="B6" s="154"/>
      <c r="C6" s="154"/>
    </row>
    <row r="7" spans="1:3" x14ac:dyDescent="0.25">
      <c r="A7" s="156" t="s">
        <v>396</v>
      </c>
      <c r="B7" s="154"/>
      <c r="C7" s="154"/>
    </row>
    <row r="8" spans="1:3" x14ac:dyDescent="0.25">
      <c r="A8" s="156"/>
      <c r="B8" s="154"/>
      <c r="C8" s="154"/>
    </row>
    <row r="9" spans="1:3" ht="18.75" x14ac:dyDescent="0.3">
      <c r="A9" s="157" t="s">
        <v>397</v>
      </c>
      <c r="B9" s="158">
        <f>+B66</f>
        <v>9294206.1433333345</v>
      </c>
      <c r="C9" s="158">
        <f>+C66</f>
        <v>53487580</v>
      </c>
    </row>
    <row r="10" spans="1:3" x14ac:dyDescent="0.25">
      <c r="B10" s="159"/>
      <c r="C10" s="159"/>
    </row>
    <row r="11" spans="1:3" ht="24" thickBot="1" x14ac:dyDescent="0.3">
      <c r="A11" s="160" t="s">
        <v>30</v>
      </c>
      <c r="B11" s="161" t="s">
        <v>398</v>
      </c>
      <c r="C11" s="161" t="s">
        <v>399</v>
      </c>
    </row>
    <row r="12" spans="1:3" x14ac:dyDescent="0.25">
      <c r="A12" s="162"/>
      <c r="B12" s="163"/>
      <c r="C12" s="163"/>
    </row>
    <row r="13" spans="1:3" x14ac:dyDescent="0.25">
      <c r="A13" s="162" t="s">
        <v>36</v>
      </c>
      <c r="B13" s="163">
        <f>2110993+900000</f>
        <v>3010993</v>
      </c>
      <c r="C13" s="163">
        <f t="shared" ref="C13:C18" si="0">+B13*12</f>
        <v>36131916</v>
      </c>
    </row>
    <row r="14" spans="1:3" x14ac:dyDescent="0.25">
      <c r="A14" s="162" t="s">
        <v>38</v>
      </c>
      <c r="B14" s="163">
        <v>102854</v>
      </c>
      <c r="C14" s="163">
        <f t="shared" si="0"/>
        <v>1234248</v>
      </c>
    </row>
    <row r="15" spans="1:3" x14ac:dyDescent="0.25">
      <c r="A15" s="162" t="s">
        <v>400</v>
      </c>
      <c r="B15" s="163">
        <v>339007</v>
      </c>
      <c r="C15" s="163">
        <f t="shared" si="0"/>
        <v>4068084</v>
      </c>
    </row>
    <row r="16" spans="1:3" x14ac:dyDescent="0.25">
      <c r="A16" s="162" t="s">
        <v>401</v>
      </c>
      <c r="B16" s="163">
        <f>480000/12</f>
        <v>40000</v>
      </c>
      <c r="C16" s="163">
        <f t="shared" si="0"/>
        <v>480000</v>
      </c>
    </row>
    <row r="17" spans="1:3" x14ac:dyDescent="0.25">
      <c r="A17" s="162" t="s">
        <v>402</v>
      </c>
      <c r="B17" s="163">
        <f>+(B13+B14)*21.83%</f>
        <v>679752.80009999999</v>
      </c>
      <c r="C17" s="163">
        <f t="shared" si="0"/>
        <v>8157033.6011999995</v>
      </c>
    </row>
    <row r="18" spans="1:3" x14ac:dyDescent="0.25">
      <c r="A18" s="162" t="s">
        <v>403</v>
      </c>
      <c r="B18" s="163">
        <f>+B13*18.43%</f>
        <v>554926.00989999995</v>
      </c>
      <c r="C18" s="163">
        <f t="shared" si="0"/>
        <v>6659112.1187999994</v>
      </c>
    </row>
    <row r="19" spans="1:3" x14ac:dyDescent="0.25">
      <c r="A19" s="162"/>
      <c r="B19" s="163"/>
      <c r="C19" s="163"/>
    </row>
    <row r="20" spans="1:3" x14ac:dyDescent="0.25">
      <c r="A20" s="162" t="s">
        <v>404</v>
      </c>
      <c r="B20" s="163">
        <v>320000</v>
      </c>
      <c r="C20" s="163">
        <f>+B20*12</f>
        <v>3840000</v>
      </c>
    </row>
    <row r="21" spans="1:3" x14ac:dyDescent="0.25">
      <c r="A21" s="162" t="s">
        <v>405</v>
      </c>
      <c r="B21" s="163">
        <v>20000</v>
      </c>
      <c r="C21" s="163">
        <f>+B21*12</f>
        <v>240000</v>
      </c>
    </row>
    <row r="22" spans="1:3" x14ac:dyDescent="0.25">
      <c r="A22" s="162"/>
      <c r="B22" s="163"/>
      <c r="C22" s="163"/>
    </row>
    <row r="23" spans="1:3" x14ac:dyDescent="0.25">
      <c r="A23" s="162" t="s">
        <v>406</v>
      </c>
      <c r="B23" s="163"/>
      <c r="C23" s="163"/>
    </row>
    <row r="24" spans="1:3" x14ac:dyDescent="0.25">
      <c r="A24" s="162" t="s">
        <v>407</v>
      </c>
      <c r="B24" s="163">
        <v>61000</v>
      </c>
      <c r="C24" s="163">
        <f>+B24*12</f>
        <v>732000</v>
      </c>
    </row>
    <row r="25" spans="1:3" x14ac:dyDescent="0.25">
      <c r="A25" s="162"/>
      <c r="B25" s="163"/>
      <c r="C25" s="163"/>
    </row>
    <row r="26" spans="1:3" x14ac:dyDescent="0.25">
      <c r="A26" s="162" t="s">
        <v>408</v>
      </c>
      <c r="B26" s="163">
        <v>1060000</v>
      </c>
      <c r="C26" s="163">
        <f>+B26*12</f>
        <v>12720000</v>
      </c>
    </row>
    <row r="27" spans="1:3" x14ac:dyDescent="0.25">
      <c r="A27" s="162" t="s">
        <v>409</v>
      </c>
      <c r="B27" s="163"/>
      <c r="C27" s="163"/>
    </row>
    <row r="28" spans="1:3" x14ac:dyDescent="0.25">
      <c r="A28" s="162"/>
      <c r="B28" s="163"/>
      <c r="C28" s="163"/>
    </row>
    <row r="29" spans="1:3" x14ac:dyDescent="0.25">
      <c r="A29" s="162" t="s">
        <v>410</v>
      </c>
      <c r="B29" s="163"/>
      <c r="C29" s="163"/>
    </row>
    <row r="30" spans="1:3" x14ac:dyDescent="0.25">
      <c r="A30" s="162" t="s">
        <v>411</v>
      </c>
      <c r="B30" s="163">
        <v>55340</v>
      </c>
      <c r="C30" s="163">
        <f>+B30*12</f>
        <v>664080</v>
      </c>
    </row>
    <row r="31" spans="1:3" x14ac:dyDescent="0.25">
      <c r="A31" s="162" t="s">
        <v>444</v>
      </c>
      <c r="B31" s="163">
        <v>17000</v>
      </c>
      <c r="C31" s="163">
        <f>+B31*12</f>
        <v>204000</v>
      </c>
    </row>
    <row r="32" spans="1:3" x14ac:dyDescent="0.25">
      <c r="A32" s="162"/>
      <c r="B32" s="163"/>
      <c r="C32" s="163"/>
    </row>
    <row r="33" spans="1:3" x14ac:dyDescent="0.25">
      <c r="A33" s="162" t="s">
        <v>412</v>
      </c>
      <c r="B33" s="163">
        <v>30000</v>
      </c>
      <c r="C33" s="163">
        <f t="shared" ref="C33:C38" si="1">+B33*12</f>
        <v>360000</v>
      </c>
    </row>
    <row r="34" spans="1:3" x14ac:dyDescent="0.25">
      <c r="A34" s="164" t="s">
        <v>413</v>
      </c>
      <c r="B34" s="165">
        <v>1200000</v>
      </c>
      <c r="C34" s="165">
        <f t="shared" si="1"/>
        <v>14400000</v>
      </c>
    </row>
    <row r="35" spans="1:3" x14ac:dyDescent="0.25">
      <c r="A35" s="164" t="s">
        <v>414</v>
      </c>
      <c r="B35" s="165">
        <v>60000</v>
      </c>
      <c r="C35" s="165">
        <f t="shared" si="1"/>
        <v>720000</v>
      </c>
    </row>
    <row r="36" spans="1:3" x14ac:dyDescent="0.25">
      <c r="A36" s="162" t="s">
        <v>415</v>
      </c>
      <c r="B36" s="163">
        <v>90000</v>
      </c>
      <c r="C36" s="163">
        <f t="shared" si="1"/>
        <v>1080000</v>
      </c>
    </row>
    <row r="37" spans="1:3" x14ac:dyDescent="0.25">
      <c r="A37" s="162" t="s">
        <v>416</v>
      </c>
      <c r="B37" s="163">
        <v>87000</v>
      </c>
      <c r="C37" s="163">
        <f t="shared" si="1"/>
        <v>1044000</v>
      </c>
    </row>
    <row r="38" spans="1:3" x14ac:dyDescent="0.25">
      <c r="A38" s="162" t="s">
        <v>417</v>
      </c>
      <c r="B38" s="163">
        <v>173000</v>
      </c>
      <c r="C38" s="163">
        <f t="shared" si="1"/>
        <v>2076000</v>
      </c>
    </row>
    <row r="39" spans="1:3" x14ac:dyDescent="0.25">
      <c r="A39" s="164" t="s">
        <v>418</v>
      </c>
      <c r="B39" s="165">
        <v>100000</v>
      </c>
      <c r="C39" s="165">
        <v>300000</v>
      </c>
    </row>
    <row r="40" spans="1:3" x14ac:dyDescent="0.25">
      <c r="A40" s="164" t="s">
        <v>419</v>
      </c>
      <c r="B40" s="165">
        <f>130000/12</f>
        <v>10833.333333333334</v>
      </c>
      <c r="C40" s="165">
        <f>+B40*12</f>
        <v>130000</v>
      </c>
    </row>
    <row r="41" spans="1:3" x14ac:dyDescent="0.25">
      <c r="A41" s="162"/>
      <c r="B41" s="163"/>
      <c r="C41" s="163"/>
    </row>
    <row r="42" spans="1:3" x14ac:dyDescent="0.25">
      <c r="A42" s="162" t="s">
        <v>420</v>
      </c>
      <c r="B42" s="163"/>
      <c r="C42" s="163"/>
    </row>
    <row r="43" spans="1:3" x14ac:dyDescent="0.25">
      <c r="A43" s="162" t="s">
        <v>421</v>
      </c>
      <c r="B43" s="163">
        <f>1000000/12</f>
        <v>83333.333333333328</v>
      </c>
      <c r="C43" s="163">
        <f>+B43*12</f>
        <v>1000000</v>
      </c>
    </row>
    <row r="44" spans="1:3" x14ac:dyDescent="0.25">
      <c r="A44" s="162" t="s">
        <v>422</v>
      </c>
      <c r="B44" s="163">
        <v>25000</v>
      </c>
      <c r="C44" s="163">
        <f>+B44*12</f>
        <v>300000</v>
      </c>
    </row>
    <row r="45" spans="1:3" x14ac:dyDescent="0.25">
      <c r="A45" s="162"/>
      <c r="B45" s="163"/>
      <c r="C45" s="163"/>
    </row>
    <row r="46" spans="1:3" x14ac:dyDescent="0.25">
      <c r="A46" s="164" t="s">
        <v>423</v>
      </c>
      <c r="B46" s="165">
        <f>+C46/12</f>
        <v>0</v>
      </c>
      <c r="C46" s="165"/>
    </row>
    <row r="47" spans="1:3" x14ac:dyDescent="0.25">
      <c r="A47" s="162" t="s">
        <v>93</v>
      </c>
      <c r="B47" s="163">
        <f>680000/12</f>
        <v>56666.666666666664</v>
      </c>
      <c r="C47" s="163">
        <f>+B47*12</f>
        <v>680000</v>
      </c>
    </row>
    <row r="48" spans="1:3" x14ac:dyDescent="0.25">
      <c r="A48" s="162" t="s">
        <v>95</v>
      </c>
      <c r="B48" s="163">
        <f>150000/12</f>
        <v>12500</v>
      </c>
      <c r="C48" s="163">
        <f>+B48</f>
        <v>12500</v>
      </c>
    </row>
    <row r="49" spans="1:3" x14ac:dyDescent="0.25">
      <c r="A49" s="162" t="s">
        <v>143</v>
      </c>
      <c r="B49" s="163">
        <f>300000/12</f>
        <v>25000</v>
      </c>
      <c r="C49" s="163">
        <f>+B49</f>
        <v>25000</v>
      </c>
    </row>
    <row r="50" spans="1:3" x14ac:dyDescent="0.25">
      <c r="A50" s="162" t="s">
        <v>97</v>
      </c>
      <c r="B50" s="163">
        <v>100000</v>
      </c>
      <c r="C50" s="163">
        <f>+B50*12</f>
        <v>1200000</v>
      </c>
    </row>
    <row r="51" spans="1:3" x14ac:dyDescent="0.25">
      <c r="A51" s="162"/>
      <c r="B51" s="163"/>
      <c r="C51" s="163"/>
    </row>
    <row r="52" spans="1:3" x14ac:dyDescent="0.25">
      <c r="A52" s="162" t="s">
        <v>168</v>
      </c>
      <c r="B52" s="163">
        <v>40000</v>
      </c>
      <c r="C52" s="163">
        <f>+B52*12</f>
        <v>480000</v>
      </c>
    </row>
    <row r="53" spans="1:3" x14ac:dyDescent="0.25">
      <c r="A53" s="162"/>
      <c r="B53" s="163"/>
      <c r="C53" s="163"/>
    </row>
    <row r="54" spans="1:3" x14ac:dyDescent="0.25">
      <c r="A54" s="166"/>
      <c r="B54" s="165">
        <f>+C54/12</f>
        <v>0</v>
      </c>
      <c r="C54" s="165"/>
    </row>
    <row r="55" spans="1:3" x14ac:dyDescent="0.25">
      <c r="A55" s="162" t="s">
        <v>424</v>
      </c>
      <c r="B55" s="163">
        <v>60000</v>
      </c>
      <c r="C55" s="163">
        <f t="shared" ref="C55:C61" si="2">+B55*12</f>
        <v>720000</v>
      </c>
    </row>
    <row r="56" spans="1:3" x14ac:dyDescent="0.25">
      <c r="A56" s="162" t="s">
        <v>425</v>
      </c>
      <c r="B56" s="163">
        <v>50000</v>
      </c>
      <c r="C56" s="163">
        <f t="shared" si="2"/>
        <v>600000</v>
      </c>
    </row>
    <row r="57" spans="1:3" x14ac:dyDescent="0.25">
      <c r="A57" s="162" t="s">
        <v>426</v>
      </c>
      <c r="B57" s="163">
        <v>5000</v>
      </c>
      <c r="C57" s="163">
        <f t="shared" si="2"/>
        <v>60000</v>
      </c>
    </row>
    <row r="58" spans="1:3" x14ac:dyDescent="0.25">
      <c r="A58" s="162" t="s">
        <v>427</v>
      </c>
      <c r="B58" s="163">
        <v>200000</v>
      </c>
      <c r="C58" s="163">
        <f t="shared" si="2"/>
        <v>2400000</v>
      </c>
    </row>
    <row r="59" spans="1:3" x14ac:dyDescent="0.25">
      <c r="A59" s="162" t="s">
        <v>428</v>
      </c>
      <c r="B59" s="163">
        <v>25000</v>
      </c>
      <c r="C59" s="163">
        <f t="shared" si="2"/>
        <v>300000</v>
      </c>
    </row>
    <row r="60" spans="1:3" x14ac:dyDescent="0.25">
      <c r="A60" s="162" t="s">
        <v>429</v>
      </c>
      <c r="B60" s="163">
        <v>50000</v>
      </c>
      <c r="C60" s="163">
        <f t="shared" si="2"/>
        <v>600000</v>
      </c>
    </row>
    <row r="61" spans="1:3" x14ac:dyDescent="0.25">
      <c r="A61" s="162" t="s">
        <v>430</v>
      </c>
      <c r="B61" s="163">
        <v>265000</v>
      </c>
      <c r="C61" s="163">
        <f t="shared" si="2"/>
        <v>3180000</v>
      </c>
    </row>
    <row r="62" spans="1:3" x14ac:dyDescent="0.25">
      <c r="A62" s="162"/>
      <c r="B62" s="163"/>
      <c r="C62" s="163"/>
    </row>
    <row r="63" spans="1:3" x14ac:dyDescent="0.25">
      <c r="A63" s="162" t="s">
        <v>431</v>
      </c>
      <c r="B63" s="163">
        <v>285000</v>
      </c>
      <c r="C63" s="163">
        <f>+B63*12</f>
        <v>3420000</v>
      </c>
    </row>
    <row r="64" spans="1:3" x14ac:dyDescent="0.25">
      <c r="A64" s="162"/>
      <c r="B64" s="163">
        <f>+C64/12</f>
        <v>0</v>
      </c>
      <c r="C64" s="163"/>
    </row>
    <row r="65" spans="1:3" x14ac:dyDescent="0.25">
      <c r="A65" s="162"/>
      <c r="B65" s="163"/>
      <c r="C65" s="163"/>
    </row>
    <row r="66" spans="1:3" x14ac:dyDescent="0.25">
      <c r="A66" s="167" t="s">
        <v>432</v>
      </c>
      <c r="B66" s="168">
        <f>SUM(B12:B65)</f>
        <v>9294206.1433333345</v>
      </c>
      <c r="C66" s="168">
        <f>SUM(C20:C64)</f>
        <v>53487580</v>
      </c>
    </row>
    <row r="67" spans="1:3" x14ac:dyDescent="0.25">
      <c r="A67" s="167"/>
      <c r="B67" s="168"/>
      <c r="C67" s="168"/>
    </row>
    <row r="82" ht="15" customHeight="1" x14ac:dyDescent="0.25"/>
  </sheetData>
  <mergeCells count="1">
    <mergeCell ref="A1:C1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PYG </vt:lpstr>
      <vt:lpstr>GRAFICAS PYG</vt:lpstr>
      <vt:lpstr>DICIEMBRE</vt:lpstr>
      <vt:lpstr>INDICADORES</vt:lpstr>
      <vt:lpstr>PRESUPUESTO</vt:lpstr>
      <vt:lpstr>'PYG '!Área_de_impresión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Cesar Paez</cp:lastModifiedBy>
  <cp:lastPrinted>2019-10-05T14:44:16Z</cp:lastPrinted>
  <dcterms:created xsi:type="dcterms:W3CDTF">2018-06-18T16:56:31Z</dcterms:created>
  <dcterms:modified xsi:type="dcterms:W3CDTF">2020-02-26T01:36:13Z</dcterms:modified>
</cp:coreProperties>
</file>
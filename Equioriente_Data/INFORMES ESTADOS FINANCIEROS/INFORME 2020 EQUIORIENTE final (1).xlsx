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BD8291F-88A6-422F-A4BE-DBA4F0F54F1D}" xr6:coauthVersionLast="47" xr6:coauthVersionMax="47" xr10:uidLastSave="{00000000-0000-0000-0000-000000000000}"/>
  <bookViews>
    <workbookView xWindow="10245" yWindow="495" windowWidth="10245" windowHeight="10425" firstSheet="1" activeTab="1" xr2:uid="{00000000-000D-0000-FFFF-FFFF00000000}"/>
  </bookViews>
  <sheets>
    <sheet name="DICIEMBRE" sheetId="9" r:id="rId1"/>
    <sheet name="PYG " sheetId="5" r:id="rId2"/>
    <sheet name="GRAFICAS PYG" sheetId="6" r:id="rId3"/>
    <sheet name="INDICADORES" sheetId="10" r:id="rId4"/>
  </sheets>
  <externalReferences>
    <externalReference r:id="rId5"/>
  </externalReferences>
  <definedNames>
    <definedName name="_xlnm.Print_Area" localSheetId="1">'PYG '!$A$1:$AW$156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4" i="5" l="1"/>
  <c r="I111" i="9"/>
  <c r="D35" i="9"/>
  <c r="E12" i="9"/>
  <c r="E76" i="9"/>
  <c r="D32" i="9"/>
  <c r="D20" i="9"/>
  <c r="E17" i="9" s="1"/>
  <c r="E23" i="9" l="1"/>
  <c r="C83" i="6" l="1"/>
  <c r="AU31" i="5"/>
  <c r="AU43" i="5"/>
  <c r="AU44" i="5"/>
  <c r="AU49" i="5"/>
  <c r="AU55" i="5"/>
  <c r="AU59" i="5"/>
  <c r="AU62" i="5"/>
  <c r="AU65" i="5"/>
  <c r="AU82" i="5"/>
  <c r="AU89" i="5"/>
  <c r="AU117" i="5"/>
  <c r="AU121" i="5"/>
  <c r="AU130" i="5"/>
  <c r="AU133" i="5"/>
  <c r="AU136" i="5"/>
  <c r="AU149" i="5"/>
  <c r="AC116" i="5"/>
  <c r="AG83" i="5"/>
  <c r="AI84" i="5"/>
  <c r="AM84" i="5" s="1"/>
  <c r="AQ84" i="5" s="1"/>
  <c r="AU84" i="5" s="1"/>
  <c r="AE69" i="5"/>
  <c r="AI69" i="5" s="1"/>
  <c r="AM69" i="5" s="1"/>
  <c r="AQ69" i="5" s="1"/>
  <c r="AU69" i="5" s="1"/>
  <c r="AS35" i="5"/>
  <c r="AG35" i="5"/>
  <c r="AC35" i="5"/>
  <c r="N33" i="5"/>
  <c r="N35" i="5" s="1"/>
  <c r="AO147" i="5" l="1"/>
  <c r="AO125" i="5"/>
  <c r="E68" i="9" l="1"/>
  <c r="E72" i="9"/>
  <c r="E83" i="9"/>
  <c r="E92" i="9"/>
  <c r="E111" i="9" l="1"/>
  <c r="C58" i="6"/>
  <c r="C19" i="6"/>
  <c r="D44" i="9" l="1"/>
  <c r="D46" i="9"/>
  <c r="D39" i="9"/>
  <c r="D50" i="9"/>
  <c r="S24" i="5" l="1"/>
  <c r="D15" i="5"/>
  <c r="D24" i="5"/>
  <c r="E17" i="5"/>
  <c r="I17" i="5" s="1"/>
  <c r="L17" i="5" s="1"/>
  <c r="P17" i="5" s="1"/>
  <c r="C77" i="5"/>
  <c r="C66" i="5"/>
  <c r="C147" i="5"/>
  <c r="C131" i="5"/>
  <c r="E115" i="5"/>
  <c r="I115" i="5" s="1"/>
  <c r="L115" i="5" s="1"/>
  <c r="P115" i="5" s="1"/>
  <c r="T115" i="5" s="1"/>
  <c r="X115" i="5" s="1"/>
  <c r="AA115" i="5" s="1"/>
  <c r="AE115" i="5" s="1"/>
  <c r="AI115" i="5" s="1"/>
  <c r="AM115" i="5" s="1"/>
  <c r="AQ115" i="5" s="1"/>
  <c r="AU115" i="5" s="1"/>
  <c r="C29" i="5"/>
  <c r="G147" i="5"/>
  <c r="G104" i="5"/>
  <c r="G83" i="5"/>
  <c r="K15" i="5"/>
  <c r="H15" i="5"/>
  <c r="H9" i="5"/>
  <c r="G66" i="5"/>
  <c r="J66" i="5"/>
  <c r="J50" i="5"/>
  <c r="N90" i="5"/>
  <c r="O15" i="5"/>
  <c r="R138" i="5"/>
  <c r="R66" i="5"/>
  <c r="R29" i="5"/>
  <c r="R147" i="5"/>
  <c r="R128" i="5"/>
  <c r="R122" i="5"/>
  <c r="R116" i="5"/>
  <c r="S19" i="5"/>
  <c r="S15" i="5"/>
  <c r="V122" i="5"/>
  <c r="W24" i="5"/>
  <c r="W19" i="5"/>
  <c r="Z19" i="5"/>
  <c r="Z22" i="5"/>
  <c r="Z24" i="5"/>
  <c r="Y141" i="5"/>
  <c r="AC141" i="5"/>
  <c r="AC147" i="5"/>
  <c r="AC140" i="5" s="1"/>
  <c r="AC128" i="5"/>
  <c r="AC96" i="5"/>
  <c r="AD19" i="5"/>
  <c r="AD24" i="5"/>
  <c r="AG128" i="5"/>
  <c r="AG66" i="5"/>
  <c r="AG50" i="5"/>
  <c r="AH19" i="5"/>
  <c r="AK66" i="5"/>
  <c r="T103" i="5"/>
  <c r="P102" i="5"/>
  <c r="T102" i="5" s="1"/>
  <c r="X102" i="5" s="1"/>
  <c r="E94" i="5"/>
  <c r="I94" i="5" s="1"/>
  <c r="E95" i="5"/>
  <c r="I95" i="5" s="1"/>
  <c r="L95" i="5" s="1"/>
  <c r="P95" i="5" s="1"/>
  <c r="T95" i="5" s="1"/>
  <c r="X95" i="5" s="1"/>
  <c r="AA95" i="5" s="1"/>
  <c r="AE95" i="5" s="1"/>
  <c r="E97" i="5"/>
  <c r="I97" i="5" s="1"/>
  <c r="L97" i="5" s="1"/>
  <c r="P97" i="5" s="1"/>
  <c r="T97" i="5" s="1"/>
  <c r="X97" i="5" s="1"/>
  <c r="AA97" i="5" s="1"/>
  <c r="AE97" i="5" s="1"/>
  <c r="E98" i="5"/>
  <c r="I98" i="5" s="1"/>
  <c r="L98" i="5" s="1"/>
  <c r="P98" i="5" s="1"/>
  <c r="T98" i="5" s="1"/>
  <c r="X98" i="5" s="1"/>
  <c r="AA98" i="5" s="1"/>
  <c r="AE98" i="5" s="1"/>
  <c r="E99" i="5"/>
  <c r="I99" i="5" s="1"/>
  <c r="L99" i="5" s="1"/>
  <c r="P99" i="5" s="1"/>
  <c r="T99" i="5" s="1"/>
  <c r="X99" i="5" s="1"/>
  <c r="AA99" i="5" s="1"/>
  <c r="AE99" i="5" s="1"/>
  <c r="E100" i="5"/>
  <c r="I100" i="5" s="1"/>
  <c r="L100" i="5" s="1"/>
  <c r="P100" i="5" s="1"/>
  <c r="T100" i="5" s="1"/>
  <c r="X100" i="5" s="1"/>
  <c r="AA100" i="5" s="1"/>
  <c r="AE100" i="5" s="1"/>
  <c r="E101" i="5"/>
  <c r="I101" i="5" s="1"/>
  <c r="L101" i="5" s="1"/>
  <c r="P101" i="5" s="1"/>
  <c r="T101" i="5" s="1"/>
  <c r="X101" i="5" s="1"/>
  <c r="AA101" i="5" s="1"/>
  <c r="AE101" i="5" s="1"/>
  <c r="Y96" i="5"/>
  <c r="R96" i="5"/>
  <c r="V96" i="5"/>
  <c r="N96" i="5"/>
  <c r="J96" i="5"/>
  <c r="G96" i="5"/>
  <c r="C96" i="5"/>
  <c r="E96" i="5" s="1"/>
  <c r="AK29" i="5"/>
  <c r="T31" i="5"/>
  <c r="AL9" i="5"/>
  <c r="AL8" i="5" s="1"/>
  <c r="AK137" i="5"/>
  <c r="AS128" i="5"/>
  <c r="AO128" i="5"/>
  <c r="AK128" i="5"/>
  <c r="AP19" i="5"/>
  <c r="AP24" i="5"/>
  <c r="AP9" i="5"/>
  <c r="AP8" i="5" s="1"/>
  <c r="AL19" i="5"/>
  <c r="AO8" i="5"/>
  <c r="I96" i="5" l="1"/>
  <c r="L96" i="5" s="1"/>
  <c r="P96" i="5" s="1"/>
  <c r="T96" i="5" s="1"/>
  <c r="X96" i="5" s="1"/>
  <c r="AA96" i="5" s="1"/>
  <c r="AE96" i="5" s="1"/>
  <c r="AS50" i="5"/>
  <c r="AI95" i="5" l="1"/>
  <c r="AM95" i="5" s="1"/>
  <c r="AQ95" i="5" s="1"/>
  <c r="AU95" i="5" s="1"/>
  <c r="AI97" i="5"/>
  <c r="AM97" i="5" s="1"/>
  <c r="AQ97" i="5" s="1"/>
  <c r="AU97" i="5" s="1"/>
  <c r="AI98" i="5"/>
  <c r="AM98" i="5" s="1"/>
  <c r="AQ98" i="5" s="1"/>
  <c r="AU98" i="5" s="1"/>
  <c r="AI99" i="5"/>
  <c r="AM99" i="5" s="1"/>
  <c r="AQ99" i="5" s="1"/>
  <c r="AU99" i="5" s="1"/>
  <c r="AI100" i="5"/>
  <c r="AM100" i="5" s="1"/>
  <c r="AQ100" i="5" s="1"/>
  <c r="AU100" i="5" s="1"/>
  <c r="AI101" i="5"/>
  <c r="AM101" i="5" s="1"/>
  <c r="AQ101" i="5" s="1"/>
  <c r="AU101" i="5" s="1"/>
  <c r="AI102" i="5"/>
  <c r="AM102" i="5" s="1"/>
  <c r="AQ102" i="5" s="1"/>
  <c r="AU102" i="5" s="1"/>
  <c r="AI103" i="5"/>
  <c r="AM103" i="5" s="1"/>
  <c r="AQ103" i="5" s="1"/>
  <c r="AU103" i="5" s="1"/>
  <c r="AG96" i="5"/>
  <c r="AI96" i="5" s="1"/>
  <c r="AK96" i="5"/>
  <c r="AO96" i="5"/>
  <c r="AM96" i="5" l="1"/>
  <c r="AQ96" i="5" s="1"/>
  <c r="AS147" i="5" l="1"/>
  <c r="H7" i="6" l="1"/>
  <c r="H6" i="6"/>
  <c r="H8" i="6"/>
  <c r="H9" i="6"/>
  <c r="H11" i="6"/>
  <c r="H13" i="6"/>
  <c r="AS141" i="5"/>
  <c r="AS140" i="5" s="1"/>
  <c r="AO141" i="5"/>
  <c r="AK141" i="5"/>
  <c r="AG141" i="5"/>
  <c r="E64" i="9" l="1"/>
  <c r="E56" i="6" l="1"/>
  <c r="E55" i="6"/>
  <c r="E54" i="6"/>
  <c r="F48" i="6"/>
  <c r="E48" i="6"/>
  <c r="F47" i="6"/>
  <c r="E47" i="6"/>
  <c r="F46" i="6"/>
  <c r="F45" i="6"/>
  <c r="E17" i="6"/>
  <c r="E16" i="6"/>
  <c r="E15" i="6"/>
  <c r="F9" i="6"/>
  <c r="E9" i="6"/>
  <c r="F8" i="6"/>
  <c r="E8" i="6"/>
  <c r="F7" i="6"/>
  <c r="F6" i="6"/>
  <c r="V141" i="5" l="1"/>
  <c r="R141" i="5"/>
  <c r="R140" i="5" s="1"/>
  <c r="N141" i="5"/>
  <c r="J141" i="5"/>
  <c r="G141" i="5"/>
  <c r="C141" i="5"/>
  <c r="V147" i="5" l="1"/>
  <c r="N137" i="5" l="1"/>
  <c r="AC137" i="5"/>
  <c r="V128" i="5"/>
  <c r="Y66" i="5"/>
  <c r="AC66" i="5"/>
  <c r="AO66" i="5"/>
  <c r="AI133" i="5"/>
  <c r="X136" i="5"/>
  <c r="AA136" i="5" s="1"/>
  <c r="AE136" i="5" s="1"/>
  <c r="AI136" i="5" s="1"/>
  <c r="T130" i="5"/>
  <c r="L133" i="5"/>
  <c r="P133" i="5" s="1"/>
  <c r="T133" i="5" s="1"/>
  <c r="X133" i="5" s="1"/>
  <c r="AA133" i="5" s="1"/>
  <c r="N134" i="5"/>
  <c r="I135" i="5"/>
  <c r="L135" i="5" s="1"/>
  <c r="P135" i="5" s="1"/>
  <c r="T135" i="5" s="1"/>
  <c r="X135" i="5" s="1"/>
  <c r="AA135" i="5" s="1"/>
  <c r="G134" i="5"/>
  <c r="I134" i="5" s="1"/>
  <c r="L134" i="5" s="1"/>
  <c r="Y131" i="5"/>
  <c r="N131" i="5"/>
  <c r="Y128" i="5"/>
  <c r="G56" i="5"/>
  <c r="AS96" i="5"/>
  <c r="AU96" i="5" s="1"/>
  <c r="P134" i="5" l="1"/>
  <c r="T134" i="5" s="1"/>
  <c r="X134" i="5" s="1"/>
  <c r="AA134" i="5" s="1"/>
  <c r="AE134" i="5" s="1"/>
  <c r="AE135" i="5" s="1"/>
  <c r="AI135" i="5" s="1"/>
  <c r="AM135" i="5" s="1"/>
  <c r="AQ135" i="5" s="1"/>
  <c r="AU135" i="5" s="1"/>
  <c r="AS77" i="5"/>
  <c r="AS137" i="5"/>
  <c r="AO137" i="5"/>
  <c r="AI134" i="5" l="1"/>
  <c r="AM134" i="5" s="1"/>
  <c r="AQ134" i="5" s="1"/>
  <c r="AU134" i="5" s="1"/>
  <c r="AL24" i="5"/>
  <c r="AK147" i="5"/>
  <c r="AK77" i="5"/>
  <c r="AK140" i="5" l="1"/>
  <c r="AG137" i="5"/>
  <c r="AG147" i="5"/>
  <c r="AH24" i="5"/>
  <c r="AT9" i="5" l="1"/>
  <c r="AT8" i="5" s="1"/>
  <c r="AH9" i="5"/>
  <c r="AS8" i="5"/>
  <c r="AG9" i="5"/>
  <c r="AS131" i="5"/>
  <c r="AS125" i="5"/>
  <c r="AS122" i="5"/>
  <c r="AS104" i="5"/>
  <c r="AS90" i="5"/>
  <c r="AS83" i="5"/>
  <c r="AS66" i="5"/>
  <c r="AS63" i="5"/>
  <c r="AS56" i="5"/>
  <c r="AS29" i="5"/>
  <c r="AT22" i="5"/>
  <c r="AT15" i="5"/>
  <c r="AO140" i="5"/>
  <c r="AO131" i="5"/>
  <c r="AO122" i="5"/>
  <c r="AO104" i="5"/>
  <c r="AO90" i="5"/>
  <c r="AO83" i="5"/>
  <c r="AO77" i="5"/>
  <c r="AO63" i="5"/>
  <c r="AO56" i="5"/>
  <c r="AO50" i="5"/>
  <c r="AO45" i="5"/>
  <c r="AO29" i="5"/>
  <c r="AP22" i="5"/>
  <c r="G16" i="6" s="1"/>
  <c r="AP15" i="5"/>
  <c r="AK131" i="5"/>
  <c r="AK125" i="5"/>
  <c r="AK122" i="5"/>
  <c r="AK104" i="5"/>
  <c r="AK90" i="5"/>
  <c r="AK83" i="5"/>
  <c r="AK63" i="5"/>
  <c r="AK56" i="5"/>
  <c r="AK50" i="5"/>
  <c r="AK45" i="5"/>
  <c r="AL22" i="5"/>
  <c r="AL15" i="5"/>
  <c r="G17" i="6" l="1"/>
  <c r="AL14" i="5"/>
  <c r="G15" i="6" s="1"/>
  <c r="AK28" i="5"/>
  <c r="AK9" i="5"/>
  <c r="AO9" i="5" s="1"/>
  <c r="AS9" i="5" s="1"/>
  <c r="AP14" i="5"/>
  <c r="AP7" i="5" s="1"/>
  <c r="AP151" i="5" s="1"/>
  <c r="AS28" i="5"/>
  <c r="AO28" i="5"/>
  <c r="AK118" i="5"/>
  <c r="AS118" i="5"/>
  <c r="AO118" i="5"/>
  <c r="AL7" i="5"/>
  <c r="AG140" i="5"/>
  <c r="AG131" i="5"/>
  <c r="AG125" i="5"/>
  <c r="AG122" i="5"/>
  <c r="AG104" i="5"/>
  <c r="AG90" i="5"/>
  <c r="AG77" i="5"/>
  <c r="AG63" i="5"/>
  <c r="AG56" i="5"/>
  <c r="AG45" i="5"/>
  <c r="AG29" i="5"/>
  <c r="AH22" i="5"/>
  <c r="AH15" i="5"/>
  <c r="AH8" i="5"/>
  <c r="AH14" i="5" l="1"/>
  <c r="G14" i="6" s="1"/>
  <c r="AS27" i="5"/>
  <c r="AS153" i="5" s="1"/>
  <c r="P17" i="6" s="1"/>
  <c r="AO27" i="5"/>
  <c r="AG28" i="5"/>
  <c r="AK27" i="5"/>
  <c r="AK153" i="5" s="1"/>
  <c r="AG118" i="5"/>
  <c r="AP152" i="5"/>
  <c r="AL151" i="5"/>
  <c r="AS154" i="5" l="1"/>
  <c r="P15" i="6"/>
  <c r="AG27" i="5"/>
  <c r="AG153" i="5" s="1"/>
  <c r="AH7" i="5"/>
  <c r="AH151" i="5" s="1"/>
  <c r="AP154" i="5"/>
  <c r="AO153" i="5"/>
  <c r="P16" i="6" s="1"/>
  <c r="AK154" i="5"/>
  <c r="K15" i="6" s="1"/>
  <c r="O15" i="6" s="1"/>
  <c r="AL152" i="5"/>
  <c r="K17" i="6" l="1"/>
  <c r="O17" i="6" s="1"/>
  <c r="C114" i="6"/>
  <c r="C116" i="6" s="1"/>
  <c r="P14" i="6"/>
  <c r="AO154" i="5"/>
  <c r="AL154" i="5"/>
  <c r="AM155" i="5" s="1"/>
  <c r="AH152" i="5"/>
  <c r="AG154" i="5"/>
  <c r="K14" i="6" s="1"/>
  <c r="O14" i="6" s="1"/>
  <c r="E102" i="9"/>
  <c r="E57" i="9"/>
  <c r="E34" i="9"/>
  <c r="E27" i="9"/>
  <c r="AQ155" i="5" l="1"/>
  <c r="K16" i="6"/>
  <c r="O16" i="6" s="1"/>
  <c r="AH154" i="5"/>
  <c r="AI155" i="5" s="1"/>
  <c r="R77" i="5" l="1"/>
  <c r="R45" i="5"/>
  <c r="D41" i="9"/>
  <c r="E38" i="9" s="1"/>
  <c r="C13" i="10" s="1"/>
  <c r="E9" i="9"/>
  <c r="E97" i="9" l="1"/>
  <c r="C20" i="10" s="1"/>
  <c r="E60" i="9"/>
  <c r="Y56" i="5"/>
  <c r="Y77" i="5"/>
  <c r="Y29" i="5"/>
  <c r="AD15" i="5"/>
  <c r="C5" i="10" l="1"/>
  <c r="C8" i="10" s="1"/>
  <c r="C21" i="10"/>
  <c r="D20" i="10" s="1"/>
  <c r="C7" i="10"/>
  <c r="C4" i="10"/>
  <c r="AC131" i="5"/>
  <c r="AC90" i="5"/>
  <c r="Y137" i="5"/>
  <c r="Z15" i="5"/>
  <c r="Z14" i="5" s="1"/>
  <c r="G12" i="6" s="1"/>
  <c r="Z9" i="5"/>
  <c r="Z8" i="5" s="1"/>
  <c r="D9" i="5"/>
  <c r="D8" i="5" s="1"/>
  <c r="W9" i="5"/>
  <c r="W8" i="5" s="1"/>
  <c r="AA13" i="5"/>
  <c r="V140" i="5"/>
  <c r="X130" i="5"/>
  <c r="AA130" i="5" s="1"/>
  <c r="AE130" i="5" s="1"/>
  <c r="V125" i="5"/>
  <c r="X17" i="5"/>
  <c r="AA17" i="5" s="1"/>
  <c r="AE17" i="5" s="1"/>
  <c r="AI17" i="5" s="1"/>
  <c r="AM17" i="5" s="1"/>
  <c r="AQ17" i="5" s="1"/>
  <c r="AU17" i="5" s="1"/>
  <c r="W22" i="5"/>
  <c r="W15" i="5"/>
  <c r="W14" i="5" s="1"/>
  <c r="G11" i="6" s="1"/>
  <c r="N151" i="5"/>
  <c r="N128" i="5"/>
  <c r="P128" i="5" s="1"/>
  <c r="T128" i="5" s="1"/>
  <c r="P129" i="5"/>
  <c r="L129" i="5"/>
  <c r="L128" i="5"/>
  <c r="I129" i="5"/>
  <c r="I128" i="5"/>
  <c r="E129" i="5"/>
  <c r="E128" i="5"/>
  <c r="T82" i="5"/>
  <c r="T89" i="5"/>
  <c r="X117" i="5"/>
  <c r="AA117" i="5" s="1"/>
  <c r="T121" i="5"/>
  <c r="X121" i="5" s="1"/>
  <c r="AA121" i="5" s="1"/>
  <c r="T149" i="5"/>
  <c r="R56" i="5"/>
  <c r="R50" i="5"/>
  <c r="T48" i="5"/>
  <c r="X48" i="5" s="1"/>
  <c r="AA48" i="5" s="1"/>
  <c r="AE48" i="5" s="1"/>
  <c r="AI48" i="5" s="1"/>
  <c r="AM48" i="5" s="1"/>
  <c r="AQ48" i="5" s="1"/>
  <c r="AU48" i="5" s="1"/>
  <c r="T18" i="5"/>
  <c r="X18" i="5" s="1"/>
  <c r="AA18" i="5" s="1"/>
  <c r="AE18" i="5" s="1"/>
  <c r="AI18" i="5" s="1"/>
  <c r="AM18" i="5" s="1"/>
  <c r="AQ18" i="5" s="1"/>
  <c r="AU18" i="5" s="1"/>
  <c r="T21" i="5"/>
  <c r="X21" i="5" s="1"/>
  <c r="AA21" i="5" s="1"/>
  <c r="K20" i="5"/>
  <c r="H20" i="5" s="1"/>
  <c r="H19" i="5" s="1"/>
  <c r="S9" i="5"/>
  <c r="Y147" i="5"/>
  <c r="Y140" i="5" s="1"/>
  <c r="V137" i="5"/>
  <c r="AC125" i="5"/>
  <c r="Y125" i="5"/>
  <c r="R125" i="5"/>
  <c r="R118" i="5" s="1"/>
  <c r="AC122" i="5"/>
  <c r="Y122" i="5"/>
  <c r="V119" i="5"/>
  <c r="AC104" i="5"/>
  <c r="Y104" i="5"/>
  <c r="V104" i="5"/>
  <c r="R104" i="5"/>
  <c r="Y90" i="5"/>
  <c r="V90" i="5"/>
  <c r="AC83" i="5"/>
  <c r="Y83" i="5"/>
  <c r="V83" i="5"/>
  <c r="R83" i="5"/>
  <c r="AC77" i="5"/>
  <c r="V77" i="5"/>
  <c r="AE76" i="5"/>
  <c r="AI76" i="5" s="1"/>
  <c r="AM76" i="5" s="1"/>
  <c r="AQ76" i="5" s="1"/>
  <c r="AU76" i="5" s="1"/>
  <c r="V66" i="5"/>
  <c r="AC63" i="5"/>
  <c r="Y63" i="5"/>
  <c r="V63" i="5"/>
  <c r="R63" i="5"/>
  <c r="Y60" i="5"/>
  <c r="R60" i="5"/>
  <c r="AA59" i="5"/>
  <c r="AC56" i="5"/>
  <c r="V56" i="5"/>
  <c r="AC50" i="5"/>
  <c r="V50" i="5"/>
  <c r="AC45" i="5"/>
  <c r="V45" i="5"/>
  <c r="AC29" i="5"/>
  <c r="V29" i="5"/>
  <c r="AD22" i="5"/>
  <c r="AD14" i="5" s="1"/>
  <c r="G13" i="6" s="1"/>
  <c r="S22" i="5"/>
  <c r="S14" i="5" s="1"/>
  <c r="G10" i="6" s="1"/>
  <c r="D4" i="10" l="1"/>
  <c r="R28" i="5"/>
  <c r="V28" i="5"/>
  <c r="AC28" i="5"/>
  <c r="Y28" i="5"/>
  <c r="T129" i="5"/>
  <c r="X129" i="5" s="1"/>
  <c r="AA129" i="5" s="1"/>
  <c r="W7" i="5"/>
  <c r="V118" i="5"/>
  <c r="D7" i="10"/>
  <c r="C16" i="10"/>
  <c r="AC118" i="5"/>
  <c r="X128" i="5"/>
  <c r="AA128" i="5" s="1"/>
  <c r="AE128" i="5" s="1"/>
  <c r="Y118" i="5"/>
  <c r="S8" i="5"/>
  <c r="AC27" i="5" l="1"/>
  <c r="AC153" i="5" s="1"/>
  <c r="AE129" i="5"/>
  <c r="AI128" i="5"/>
  <c r="C29" i="10"/>
  <c r="Y27" i="5"/>
  <c r="Y154" i="5" s="1"/>
  <c r="K12" i="6" s="1"/>
  <c r="O12" i="6" s="1"/>
  <c r="W151" i="5"/>
  <c r="W152" i="5" s="1"/>
  <c r="W154" i="5" s="1"/>
  <c r="V27" i="5"/>
  <c r="V153" i="5" s="1"/>
  <c r="S7" i="5"/>
  <c r="S151" i="5" s="1"/>
  <c r="S152" i="5" s="1"/>
  <c r="R27" i="5"/>
  <c r="R153" i="5" s="1"/>
  <c r="AC154" i="5" l="1"/>
  <c r="K13" i="6" s="1"/>
  <c r="O13" i="6" s="1"/>
  <c r="R154" i="5"/>
  <c r="K10" i="6" s="1"/>
  <c r="O10" i="6" s="1"/>
  <c r="P10" i="6"/>
  <c r="V154" i="5"/>
  <c r="P11" i="6"/>
  <c r="AM128" i="5"/>
  <c r="AI129" i="5"/>
  <c r="Y153" i="5"/>
  <c r="S154" i="5"/>
  <c r="X155" i="5" l="1"/>
  <c r="K11" i="6"/>
  <c r="O11" i="6" s="1"/>
  <c r="P12" i="6"/>
  <c r="T155" i="5"/>
  <c r="AM129" i="5"/>
  <c r="AQ128" i="5"/>
  <c r="AU128" i="5" s="1"/>
  <c r="E19" i="6"/>
  <c r="I19" i="6"/>
  <c r="J19" i="6"/>
  <c r="M19" i="6"/>
  <c r="N19" i="6"/>
  <c r="D144" i="6"/>
  <c r="D116" i="6"/>
  <c r="F144" i="6"/>
  <c r="E144" i="6"/>
  <c r="E116" i="6"/>
  <c r="F116" i="6"/>
  <c r="E83" i="6"/>
  <c r="F83" i="6"/>
  <c r="E58" i="6"/>
  <c r="F19" i="6"/>
  <c r="AQ129" i="5" l="1"/>
  <c r="AU129" i="5" s="1"/>
  <c r="F58" i="6"/>
  <c r="D83" i="6"/>
  <c r="R19" i="6"/>
  <c r="Q19" i="6"/>
  <c r="N50" i="5" l="1"/>
  <c r="N104" i="5"/>
  <c r="N83" i="5"/>
  <c r="N122" i="5"/>
  <c r="N66" i="5"/>
  <c r="P76" i="5"/>
  <c r="L59" i="5"/>
  <c r="J60" i="5"/>
  <c r="N56" i="5"/>
  <c r="J137" i="5"/>
  <c r="J122" i="5"/>
  <c r="L13" i="5"/>
  <c r="L18" i="5"/>
  <c r="L21" i="5"/>
  <c r="E117" i="5"/>
  <c r="I117" i="5" s="1"/>
  <c r="L117" i="5" s="1"/>
  <c r="E119" i="5"/>
  <c r="E120" i="5"/>
  <c r="I120" i="5" s="1"/>
  <c r="L120" i="5" s="1"/>
  <c r="P120" i="5" s="1"/>
  <c r="T120" i="5" s="1"/>
  <c r="X120" i="5" s="1"/>
  <c r="AA120" i="5" s="1"/>
  <c r="AE120" i="5" s="1"/>
  <c r="AI120" i="5" s="1"/>
  <c r="AM120" i="5" s="1"/>
  <c r="AQ120" i="5" s="1"/>
  <c r="AU120" i="5" s="1"/>
  <c r="E121" i="5"/>
  <c r="I121" i="5" s="1"/>
  <c r="L121" i="5" s="1"/>
  <c r="E122" i="5"/>
  <c r="E123" i="5"/>
  <c r="I123" i="5" s="1"/>
  <c r="L123" i="5" s="1"/>
  <c r="P123" i="5" s="1"/>
  <c r="T123" i="5" s="1"/>
  <c r="X123" i="5" s="1"/>
  <c r="AA123" i="5" s="1"/>
  <c r="AE123" i="5" s="1"/>
  <c r="AI123" i="5" s="1"/>
  <c r="AM123" i="5" s="1"/>
  <c r="AQ123" i="5" s="1"/>
  <c r="AU123" i="5" s="1"/>
  <c r="E124" i="5"/>
  <c r="I124" i="5" s="1"/>
  <c r="L124" i="5" s="1"/>
  <c r="P124" i="5" s="1"/>
  <c r="T124" i="5" s="1"/>
  <c r="X124" i="5" s="1"/>
  <c r="AA124" i="5" s="1"/>
  <c r="AE124" i="5" s="1"/>
  <c r="AI124" i="5" s="1"/>
  <c r="AM124" i="5" s="1"/>
  <c r="AQ124" i="5" s="1"/>
  <c r="AU124" i="5" s="1"/>
  <c r="E126" i="5"/>
  <c r="I126" i="5" s="1"/>
  <c r="L126" i="5" s="1"/>
  <c r="P126" i="5" s="1"/>
  <c r="T126" i="5" s="1"/>
  <c r="E127" i="5"/>
  <c r="I127" i="5" s="1"/>
  <c r="L127" i="5" s="1"/>
  <c r="P127" i="5" s="1"/>
  <c r="T127" i="5" s="1"/>
  <c r="E131" i="5"/>
  <c r="E132" i="5"/>
  <c r="I132" i="5" s="1"/>
  <c r="L132" i="5" s="1"/>
  <c r="E136" i="5"/>
  <c r="I136" i="5" s="1"/>
  <c r="L136" i="5" s="1"/>
  <c r="P136" i="5" s="1"/>
  <c r="E138" i="5"/>
  <c r="I138" i="5" s="1"/>
  <c r="L138" i="5" s="1"/>
  <c r="P138" i="5" s="1"/>
  <c r="E139" i="5"/>
  <c r="I139" i="5" s="1"/>
  <c r="L139" i="5" s="1"/>
  <c r="P139" i="5" s="1"/>
  <c r="E142" i="5"/>
  <c r="E143" i="5"/>
  <c r="E144" i="5"/>
  <c r="E145" i="5"/>
  <c r="E146" i="5"/>
  <c r="E147" i="5"/>
  <c r="E148" i="5"/>
  <c r="E64" i="5"/>
  <c r="I64" i="5" s="1"/>
  <c r="L64" i="5" s="1"/>
  <c r="P64" i="5" s="1"/>
  <c r="T64" i="5" s="1"/>
  <c r="X64" i="5" s="1"/>
  <c r="AA64" i="5" s="1"/>
  <c r="AE64" i="5" s="1"/>
  <c r="AI64" i="5" s="1"/>
  <c r="AM64" i="5" s="1"/>
  <c r="AQ64" i="5" s="1"/>
  <c r="AU64" i="5" s="1"/>
  <c r="E67" i="5"/>
  <c r="E68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5" i="5"/>
  <c r="E86" i="5"/>
  <c r="E87" i="5"/>
  <c r="E88" i="5"/>
  <c r="E89" i="5"/>
  <c r="E91" i="5"/>
  <c r="E92" i="5"/>
  <c r="E93" i="5"/>
  <c r="E105" i="5"/>
  <c r="E106" i="5"/>
  <c r="E107" i="5"/>
  <c r="E108" i="5"/>
  <c r="I108" i="5" s="1"/>
  <c r="E109" i="5"/>
  <c r="I109" i="5" s="1"/>
  <c r="E110" i="5"/>
  <c r="I110" i="5" s="1"/>
  <c r="L110" i="5" s="1"/>
  <c r="E111" i="5"/>
  <c r="I111" i="5" s="1"/>
  <c r="L111" i="5" s="1"/>
  <c r="E112" i="5"/>
  <c r="I112" i="5" s="1"/>
  <c r="L112" i="5" s="1"/>
  <c r="E113" i="5"/>
  <c r="I113" i="5" s="1"/>
  <c r="L113" i="5" s="1"/>
  <c r="E114" i="5"/>
  <c r="I114" i="5" s="1"/>
  <c r="L114" i="5" s="1"/>
  <c r="E116" i="5"/>
  <c r="I116" i="5" s="1"/>
  <c r="L116" i="5" s="1"/>
  <c r="E30" i="5"/>
  <c r="E32" i="5"/>
  <c r="E33" i="5"/>
  <c r="E34" i="5"/>
  <c r="E35" i="5"/>
  <c r="E36" i="5"/>
  <c r="E37" i="5"/>
  <c r="E38" i="5"/>
  <c r="E39" i="5"/>
  <c r="E40" i="5"/>
  <c r="I40" i="5" s="1"/>
  <c r="L40" i="5" s="1"/>
  <c r="E41" i="5"/>
  <c r="I41" i="5" s="1"/>
  <c r="L41" i="5" s="1"/>
  <c r="P41" i="5" s="1"/>
  <c r="T41" i="5" s="1"/>
  <c r="X41" i="5" s="1"/>
  <c r="AA41" i="5" s="1"/>
  <c r="AE41" i="5" s="1"/>
  <c r="AI41" i="5" s="1"/>
  <c r="AM41" i="5" s="1"/>
  <c r="AQ41" i="5" s="1"/>
  <c r="AU41" i="5" s="1"/>
  <c r="E42" i="5"/>
  <c r="I42" i="5" s="1"/>
  <c r="E46" i="5"/>
  <c r="I46" i="5" s="1"/>
  <c r="L46" i="5" s="1"/>
  <c r="P46" i="5" s="1"/>
  <c r="T46" i="5" s="1"/>
  <c r="X46" i="5" s="1"/>
  <c r="AA46" i="5" s="1"/>
  <c r="AE46" i="5" s="1"/>
  <c r="AI46" i="5" s="1"/>
  <c r="AM46" i="5" s="1"/>
  <c r="AQ46" i="5" s="1"/>
  <c r="AU46" i="5" s="1"/>
  <c r="E47" i="5"/>
  <c r="I47" i="5" s="1"/>
  <c r="L47" i="5" s="1"/>
  <c r="P47" i="5" s="1"/>
  <c r="T47" i="5" s="1"/>
  <c r="E51" i="5"/>
  <c r="I51" i="5" s="1"/>
  <c r="L51" i="5" s="1"/>
  <c r="P51" i="5" s="1"/>
  <c r="T51" i="5" s="1"/>
  <c r="X51" i="5" s="1"/>
  <c r="AA51" i="5" s="1"/>
  <c r="AE51" i="5" s="1"/>
  <c r="AI51" i="5" s="1"/>
  <c r="AM51" i="5" s="1"/>
  <c r="AQ51" i="5" s="1"/>
  <c r="AU51" i="5" s="1"/>
  <c r="E52" i="5"/>
  <c r="I52" i="5" s="1"/>
  <c r="L52" i="5" s="1"/>
  <c r="P52" i="5" s="1"/>
  <c r="T52" i="5" s="1"/>
  <c r="X52" i="5" s="1"/>
  <c r="AA52" i="5" s="1"/>
  <c r="AE52" i="5" s="1"/>
  <c r="AI52" i="5" s="1"/>
  <c r="AM52" i="5" s="1"/>
  <c r="AQ52" i="5" s="1"/>
  <c r="AU52" i="5" s="1"/>
  <c r="E53" i="5"/>
  <c r="I53" i="5" s="1"/>
  <c r="L53" i="5" s="1"/>
  <c r="P53" i="5" s="1"/>
  <c r="T53" i="5" s="1"/>
  <c r="X53" i="5" s="1"/>
  <c r="AA53" i="5" s="1"/>
  <c r="AE53" i="5" s="1"/>
  <c r="AI53" i="5" s="1"/>
  <c r="AM53" i="5" s="1"/>
  <c r="AQ53" i="5" s="1"/>
  <c r="AU53" i="5" s="1"/>
  <c r="E54" i="5"/>
  <c r="I54" i="5" s="1"/>
  <c r="L54" i="5" s="1"/>
  <c r="P54" i="5" s="1"/>
  <c r="T54" i="5" s="1"/>
  <c r="X54" i="5" s="1"/>
  <c r="AA54" i="5" s="1"/>
  <c r="AE54" i="5" s="1"/>
  <c r="AI54" i="5" s="1"/>
  <c r="AM54" i="5" s="1"/>
  <c r="AQ54" i="5" s="1"/>
  <c r="AU54" i="5" s="1"/>
  <c r="E57" i="5"/>
  <c r="I57" i="5" s="1"/>
  <c r="L57" i="5" s="1"/>
  <c r="P57" i="5" s="1"/>
  <c r="T57" i="5" s="1"/>
  <c r="X57" i="5" s="1"/>
  <c r="AA57" i="5" s="1"/>
  <c r="AE57" i="5" s="1"/>
  <c r="AI57" i="5" s="1"/>
  <c r="AM57" i="5" s="1"/>
  <c r="AQ57" i="5" s="1"/>
  <c r="AU57" i="5" s="1"/>
  <c r="E58" i="5"/>
  <c r="I58" i="5" s="1"/>
  <c r="L58" i="5" s="1"/>
  <c r="P58" i="5" s="1"/>
  <c r="T58" i="5" s="1"/>
  <c r="X58" i="5" s="1"/>
  <c r="AA58" i="5" s="1"/>
  <c r="AE58" i="5" s="1"/>
  <c r="AI58" i="5" s="1"/>
  <c r="AM58" i="5" s="1"/>
  <c r="AQ58" i="5" s="1"/>
  <c r="AU58" i="5" s="1"/>
  <c r="E20" i="5"/>
  <c r="E23" i="5"/>
  <c r="E24" i="5"/>
  <c r="E25" i="5"/>
  <c r="E61" i="5"/>
  <c r="E60" i="5" s="1"/>
  <c r="I60" i="5" s="1"/>
  <c r="K24" i="5"/>
  <c r="O24" i="5"/>
  <c r="O19" i="5"/>
  <c r="G137" i="5"/>
  <c r="G131" i="5"/>
  <c r="G122" i="5"/>
  <c r="G125" i="5"/>
  <c r="G119" i="5"/>
  <c r="H24" i="5"/>
  <c r="C137" i="5"/>
  <c r="E137" i="5" s="1"/>
  <c r="N125" i="5"/>
  <c r="J125" i="5"/>
  <c r="C125" i="5"/>
  <c r="C56" i="5"/>
  <c r="E56" i="5" s="1"/>
  <c r="C60" i="5"/>
  <c r="E149" i="5"/>
  <c r="E16" i="5"/>
  <c r="E15" i="5"/>
  <c r="E12" i="5"/>
  <c r="E11" i="5"/>
  <c r="E10" i="5"/>
  <c r="E66" i="5"/>
  <c r="C90" i="5"/>
  <c r="E90" i="5" s="1"/>
  <c r="C63" i="5"/>
  <c r="E63" i="5" s="1"/>
  <c r="E29" i="5"/>
  <c r="T139" i="5" l="1"/>
  <c r="X139" i="5" s="1"/>
  <c r="AA139" i="5" s="1"/>
  <c r="AE139" i="5" s="1"/>
  <c r="N118" i="5"/>
  <c r="G118" i="5"/>
  <c r="L60" i="5"/>
  <c r="P60" i="5" s="1"/>
  <c r="T60" i="5" s="1"/>
  <c r="X60" i="5" s="1"/>
  <c r="AA60" i="5" s="1"/>
  <c r="AE60" i="5" s="1"/>
  <c r="AI60" i="5" s="1"/>
  <c r="AM60" i="5" s="1"/>
  <c r="AQ60" i="5" s="1"/>
  <c r="AU60" i="5" s="1"/>
  <c r="P132" i="5"/>
  <c r="T132" i="5" s="1"/>
  <c r="X132" i="5" s="1"/>
  <c r="AA132" i="5" s="1"/>
  <c r="AE132" i="5" s="1"/>
  <c r="AI132" i="5" s="1"/>
  <c r="AM132" i="5" s="1"/>
  <c r="AQ132" i="5" s="1"/>
  <c r="AU132" i="5" s="1"/>
  <c r="T138" i="5"/>
  <c r="X138" i="5" s="1"/>
  <c r="AA138" i="5" s="1"/>
  <c r="AE138" i="5" s="1"/>
  <c r="AI138" i="5" s="1"/>
  <c r="AM138" i="5" s="1"/>
  <c r="AQ138" i="5" s="1"/>
  <c r="AU138" i="5" s="1"/>
  <c r="I122" i="5"/>
  <c r="L122" i="5" s="1"/>
  <c r="I137" i="5"/>
  <c r="L137" i="5" s="1"/>
  <c r="P137" i="5" s="1"/>
  <c r="T137" i="5" s="1"/>
  <c r="X137" i="5" s="1"/>
  <c r="AA137" i="5" s="1"/>
  <c r="AE137" i="5" s="1"/>
  <c r="AI137" i="5" s="1"/>
  <c r="AM137" i="5" s="1"/>
  <c r="AQ137" i="5" s="1"/>
  <c r="AU137" i="5" s="1"/>
  <c r="X127" i="5"/>
  <c r="AA127" i="5" s="1"/>
  <c r="AE127" i="5" s="1"/>
  <c r="AI127" i="5" s="1"/>
  <c r="AM127" i="5" s="1"/>
  <c r="AQ127" i="5" s="1"/>
  <c r="AU127" i="5" s="1"/>
  <c r="X126" i="5"/>
  <c r="AA126" i="5" s="1"/>
  <c r="AE126" i="5" s="1"/>
  <c r="AI126" i="5" s="1"/>
  <c r="AM126" i="5" s="1"/>
  <c r="AQ126" i="5" s="1"/>
  <c r="AU126" i="5" s="1"/>
  <c r="J118" i="5"/>
  <c r="I131" i="5"/>
  <c r="L131" i="5" s="1"/>
  <c r="P131" i="5" s="1"/>
  <c r="C118" i="5"/>
  <c r="E118" i="5" s="1"/>
  <c r="I118" i="5" s="1"/>
  <c r="X47" i="5"/>
  <c r="AA47" i="5" s="1"/>
  <c r="AE47" i="5" s="1"/>
  <c r="AI47" i="5" s="1"/>
  <c r="AM47" i="5" s="1"/>
  <c r="AQ47" i="5" s="1"/>
  <c r="AU47" i="5" s="1"/>
  <c r="T45" i="5"/>
  <c r="X45" i="5" s="1"/>
  <c r="AA45" i="5" s="1"/>
  <c r="AE45" i="5" s="1"/>
  <c r="AI45" i="5" s="1"/>
  <c r="AM45" i="5" s="1"/>
  <c r="AQ45" i="5" s="1"/>
  <c r="AU45" i="5" s="1"/>
  <c r="L42" i="5"/>
  <c r="P42" i="5" s="1"/>
  <c r="T42" i="5" s="1"/>
  <c r="X42" i="5" s="1"/>
  <c r="AA42" i="5" s="1"/>
  <c r="AE42" i="5" s="1"/>
  <c r="AI42" i="5" s="1"/>
  <c r="AM42" i="5" s="1"/>
  <c r="AQ42" i="5" s="1"/>
  <c r="AU42" i="5" s="1"/>
  <c r="I61" i="5"/>
  <c r="L61" i="5" s="1"/>
  <c r="P61" i="5" s="1"/>
  <c r="T61" i="5" s="1"/>
  <c r="X61" i="5" s="1"/>
  <c r="AA61" i="5" s="1"/>
  <c r="AE61" i="5" s="1"/>
  <c r="AI61" i="5" s="1"/>
  <c r="AM61" i="5" s="1"/>
  <c r="AQ61" i="5" s="1"/>
  <c r="AU61" i="5" s="1"/>
  <c r="E125" i="5"/>
  <c r="I125" i="5" s="1"/>
  <c r="L125" i="5" s="1"/>
  <c r="P125" i="5" s="1"/>
  <c r="T125" i="5" s="1"/>
  <c r="X125" i="5" s="1"/>
  <c r="AA125" i="5" s="1"/>
  <c r="AE125" i="5" s="1"/>
  <c r="AI125" i="5" s="1"/>
  <c r="AM125" i="5" s="1"/>
  <c r="AQ125" i="5" s="1"/>
  <c r="AU125" i="5" s="1"/>
  <c r="I119" i="5"/>
  <c r="L119" i="5" s="1"/>
  <c r="P119" i="5" s="1"/>
  <c r="T119" i="5" s="1"/>
  <c r="X119" i="5" s="1"/>
  <c r="AA119" i="5" s="1"/>
  <c r="AE119" i="5" s="1"/>
  <c r="AI119" i="5" s="1"/>
  <c r="AM119" i="5" s="1"/>
  <c r="AQ119" i="5" s="1"/>
  <c r="AU119" i="5" s="1"/>
  <c r="P40" i="5"/>
  <c r="T40" i="5" s="1"/>
  <c r="X40" i="5" s="1"/>
  <c r="AA40" i="5" s="1"/>
  <c r="AE40" i="5" s="1"/>
  <c r="AI40" i="5" s="1"/>
  <c r="AM40" i="5" s="1"/>
  <c r="AQ40" i="5" s="1"/>
  <c r="AU40" i="5" s="1"/>
  <c r="I11" i="5"/>
  <c r="AI139" i="5" l="1"/>
  <c r="AM139" i="5" s="1"/>
  <c r="AQ139" i="5" s="1"/>
  <c r="AU139" i="5" s="1"/>
  <c r="T131" i="5"/>
  <c r="X131" i="5" s="1"/>
  <c r="AA131" i="5" s="1"/>
  <c r="AE131" i="5" s="1"/>
  <c r="AI131" i="5" s="1"/>
  <c r="AM131" i="5" s="1"/>
  <c r="AQ131" i="5" s="1"/>
  <c r="AU131" i="5" s="1"/>
  <c r="L118" i="5"/>
  <c r="P118" i="5" s="1"/>
  <c r="L11" i="5"/>
  <c r="P11" i="5" s="1"/>
  <c r="T11" i="5" s="1"/>
  <c r="X11" i="5" s="1"/>
  <c r="P116" i="5"/>
  <c r="T116" i="5" s="1"/>
  <c r="X116" i="5" s="1"/>
  <c r="P110" i="5"/>
  <c r="T110" i="5" s="1"/>
  <c r="X110" i="5" s="1"/>
  <c r="AA110" i="5" s="1"/>
  <c r="AE110" i="5" s="1"/>
  <c r="AI110" i="5" s="1"/>
  <c r="AM110" i="5" s="1"/>
  <c r="AQ110" i="5" s="1"/>
  <c r="AU110" i="5" s="1"/>
  <c r="I93" i="5"/>
  <c r="L93" i="5" s="1"/>
  <c r="P93" i="5" s="1"/>
  <c r="T93" i="5" s="1"/>
  <c r="L94" i="5"/>
  <c r="P94" i="5" s="1"/>
  <c r="T94" i="5" s="1"/>
  <c r="X94" i="5" s="1"/>
  <c r="AA94" i="5" s="1"/>
  <c r="AE94" i="5" s="1"/>
  <c r="I91" i="5"/>
  <c r="L91" i="5" s="1"/>
  <c r="P91" i="5" s="1"/>
  <c r="T91" i="5" s="1"/>
  <c r="X91" i="5" s="1"/>
  <c r="AA91" i="5" s="1"/>
  <c r="AE91" i="5" s="1"/>
  <c r="AI91" i="5" s="1"/>
  <c r="AM91" i="5" s="1"/>
  <c r="AQ91" i="5" s="1"/>
  <c r="AU91" i="5" s="1"/>
  <c r="I92" i="5"/>
  <c r="L92" i="5" s="1"/>
  <c r="P92" i="5" s="1"/>
  <c r="T92" i="5" s="1"/>
  <c r="X92" i="5" s="1"/>
  <c r="AA92" i="5" s="1"/>
  <c r="AE92" i="5" s="1"/>
  <c r="AI92" i="5" s="1"/>
  <c r="AM92" i="5" s="1"/>
  <c r="AQ92" i="5" s="1"/>
  <c r="AU92" i="5" s="1"/>
  <c r="I145" i="5"/>
  <c r="L145" i="5" s="1"/>
  <c r="P145" i="5" s="1"/>
  <c r="T145" i="5" s="1"/>
  <c r="X145" i="5" s="1"/>
  <c r="AA145" i="5" s="1"/>
  <c r="AE145" i="5" s="1"/>
  <c r="AI145" i="5" s="1"/>
  <c r="AM145" i="5" s="1"/>
  <c r="AQ145" i="5" s="1"/>
  <c r="AU145" i="5" s="1"/>
  <c r="I105" i="5"/>
  <c r="L105" i="5" s="1"/>
  <c r="P105" i="5" s="1"/>
  <c r="T105" i="5" s="1"/>
  <c r="X105" i="5" s="1"/>
  <c r="AA105" i="5" s="1"/>
  <c r="AE105" i="5" s="1"/>
  <c r="AI105" i="5" s="1"/>
  <c r="AM105" i="5" s="1"/>
  <c r="AQ105" i="5" s="1"/>
  <c r="AU105" i="5" s="1"/>
  <c r="P122" i="5"/>
  <c r="T122" i="5" s="1"/>
  <c r="X122" i="5" s="1"/>
  <c r="AA122" i="5" s="1"/>
  <c r="AE122" i="5" s="1"/>
  <c r="AI122" i="5" s="1"/>
  <c r="AM122" i="5" s="1"/>
  <c r="AQ122" i="5" s="1"/>
  <c r="AU122" i="5" s="1"/>
  <c r="I73" i="5"/>
  <c r="L73" i="5" s="1"/>
  <c r="P73" i="5" s="1"/>
  <c r="T73" i="5" s="1"/>
  <c r="X73" i="5" s="1"/>
  <c r="AA73" i="5" s="1"/>
  <c r="AE73" i="5" s="1"/>
  <c r="AI73" i="5" s="1"/>
  <c r="AM73" i="5" s="1"/>
  <c r="AQ73" i="5" s="1"/>
  <c r="AU73" i="5" s="1"/>
  <c r="I148" i="5"/>
  <c r="L148" i="5" s="1"/>
  <c r="P148" i="5" s="1"/>
  <c r="T148" i="5" s="1"/>
  <c r="X148" i="5" s="1"/>
  <c r="AA148" i="5" s="1"/>
  <c r="AE148" i="5" s="1"/>
  <c r="AI148" i="5" s="1"/>
  <c r="AM148" i="5" s="1"/>
  <c r="AQ148" i="5" s="1"/>
  <c r="AU148" i="5" s="1"/>
  <c r="N147" i="5"/>
  <c r="J147" i="5"/>
  <c r="J140" i="5" s="1"/>
  <c r="I147" i="5"/>
  <c r="I146" i="5"/>
  <c r="L146" i="5" s="1"/>
  <c r="P146" i="5" s="1"/>
  <c r="T146" i="5" s="1"/>
  <c r="X146" i="5" s="1"/>
  <c r="AA146" i="5" s="1"/>
  <c r="AE146" i="5" s="1"/>
  <c r="AI146" i="5" s="1"/>
  <c r="AM146" i="5" s="1"/>
  <c r="AQ146" i="5" s="1"/>
  <c r="AU146" i="5" s="1"/>
  <c r="I144" i="5"/>
  <c r="L144" i="5" s="1"/>
  <c r="P144" i="5" s="1"/>
  <c r="T144" i="5" s="1"/>
  <c r="X144" i="5" s="1"/>
  <c r="AA144" i="5" s="1"/>
  <c r="AE144" i="5" s="1"/>
  <c r="AI144" i="5" s="1"/>
  <c r="AM144" i="5" s="1"/>
  <c r="AQ144" i="5" s="1"/>
  <c r="AU144" i="5" s="1"/>
  <c r="I143" i="5"/>
  <c r="L143" i="5" s="1"/>
  <c r="P143" i="5" s="1"/>
  <c r="T143" i="5" s="1"/>
  <c r="X143" i="5" s="1"/>
  <c r="AA143" i="5" s="1"/>
  <c r="AE143" i="5" s="1"/>
  <c r="AI143" i="5" s="1"/>
  <c r="AM143" i="5" s="1"/>
  <c r="AQ143" i="5" s="1"/>
  <c r="AU143" i="5" s="1"/>
  <c r="I142" i="5"/>
  <c r="L142" i="5" s="1"/>
  <c r="P142" i="5" s="1"/>
  <c r="T142" i="5" s="1"/>
  <c r="X142" i="5" s="1"/>
  <c r="AA142" i="5" s="1"/>
  <c r="AE142" i="5" s="1"/>
  <c r="AI142" i="5" s="1"/>
  <c r="AM142" i="5" s="1"/>
  <c r="AQ142" i="5" s="1"/>
  <c r="AU142" i="5" s="1"/>
  <c r="G140" i="5"/>
  <c r="E141" i="5"/>
  <c r="L109" i="5"/>
  <c r="I107" i="5"/>
  <c r="L107" i="5" s="1"/>
  <c r="I106" i="5"/>
  <c r="L106" i="5" s="1"/>
  <c r="P106" i="5" s="1"/>
  <c r="T106" i="5" s="1"/>
  <c r="X106" i="5" s="1"/>
  <c r="AA106" i="5" s="1"/>
  <c r="AE106" i="5" s="1"/>
  <c r="AI106" i="5" s="1"/>
  <c r="AM106" i="5" s="1"/>
  <c r="AQ106" i="5" s="1"/>
  <c r="AU106" i="5" s="1"/>
  <c r="J104" i="5"/>
  <c r="C104" i="5"/>
  <c r="E104" i="5" s="1"/>
  <c r="J90" i="5"/>
  <c r="G90" i="5"/>
  <c r="I88" i="5"/>
  <c r="L88" i="5" s="1"/>
  <c r="P88" i="5" s="1"/>
  <c r="T88" i="5" s="1"/>
  <c r="X88" i="5" s="1"/>
  <c r="I87" i="5"/>
  <c r="L87" i="5" s="1"/>
  <c r="P87" i="5" s="1"/>
  <c r="T87" i="5" s="1"/>
  <c r="X87" i="5" s="1"/>
  <c r="I85" i="5"/>
  <c r="L85" i="5" s="1"/>
  <c r="J83" i="5"/>
  <c r="C83" i="5"/>
  <c r="E83" i="5" s="1"/>
  <c r="I81" i="5"/>
  <c r="L81" i="5" s="1"/>
  <c r="P81" i="5" s="1"/>
  <c r="T81" i="5" s="1"/>
  <c r="X81" i="5" s="1"/>
  <c r="AA81" i="5" s="1"/>
  <c r="AE81" i="5" s="1"/>
  <c r="AI81" i="5" s="1"/>
  <c r="AM81" i="5" s="1"/>
  <c r="AQ81" i="5" s="1"/>
  <c r="AU81" i="5" s="1"/>
  <c r="I80" i="5"/>
  <c r="L80" i="5" s="1"/>
  <c r="I79" i="5"/>
  <c r="L79" i="5" s="1"/>
  <c r="P79" i="5" s="1"/>
  <c r="T79" i="5" s="1"/>
  <c r="X79" i="5" s="1"/>
  <c r="AA79" i="5" s="1"/>
  <c r="AE79" i="5" s="1"/>
  <c r="AI79" i="5" s="1"/>
  <c r="AM79" i="5" s="1"/>
  <c r="AQ79" i="5" s="1"/>
  <c r="AU79" i="5" s="1"/>
  <c r="I78" i="5"/>
  <c r="L78" i="5" s="1"/>
  <c r="P78" i="5" s="1"/>
  <c r="T78" i="5" s="1"/>
  <c r="X78" i="5" s="1"/>
  <c r="AA78" i="5" s="1"/>
  <c r="AE78" i="5" s="1"/>
  <c r="AI78" i="5" s="1"/>
  <c r="AM78" i="5" s="1"/>
  <c r="AQ78" i="5" s="1"/>
  <c r="AU78" i="5" s="1"/>
  <c r="N77" i="5"/>
  <c r="G77" i="5"/>
  <c r="I75" i="5"/>
  <c r="L75" i="5" s="1"/>
  <c r="P75" i="5" s="1"/>
  <c r="T75" i="5" s="1"/>
  <c r="X75" i="5" s="1"/>
  <c r="AA75" i="5" s="1"/>
  <c r="AE75" i="5" s="1"/>
  <c r="AI75" i="5" s="1"/>
  <c r="AM75" i="5" s="1"/>
  <c r="AQ75" i="5" s="1"/>
  <c r="AU75" i="5" s="1"/>
  <c r="I74" i="5"/>
  <c r="L74" i="5" s="1"/>
  <c r="P74" i="5" s="1"/>
  <c r="T74" i="5" s="1"/>
  <c r="X74" i="5" s="1"/>
  <c r="AA74" i="5" s="1"/>
  <c r="AE74" i="5" s="1"/>
  <c r="AI74" i="5" s="1"/>
  <c r="AM74" i="5" s="1"/>
  <c r="AQ74" i="5" s="1"/>
  <c r="AU74" i="5" s="1"/>
  <c r="I72" i="5"/>
  <c r="L72" i="5" s="1"/>
  <c r="P72" i="5" s="1"/>
  <c r="T72" i="5" s="1"/>
  <c r="X72" i="5" s="1"/>
  <c r="AA72" i="5" s="1"/>
  <c r="AE72" i="5" s="1"/>
  <c r="AI72" i="5" s="1"/>
  <c r="AM72" i="5" s="1"/>
  <c r="AQ72" i="5" s="1"/>
  <c r="AU72" i="5" s="1"/>
  <c r="I71" i="5"/>
  <c r="L71" i="5" s="1"/>
  <c r="P71" i="5" s="1"/>
  <c r="T71" i="5" s="1"/>
  <c r="X71" i="5" s="1"/>
  <c r="AA71" i="5" s="1"/>
  <c r="I70" i="5"/>
  <c r="L70" i="5" s="1"/>
  <c r="P70" i="5" s="1"/>
  <c r="T70" i="5" s="1"/>
  <c r="X70" i="5" s="1"/>
  <c r="AA70" i="5" s="1"/>
  <c r="I68" i="5"/>
  <c r="L68" i="5" s="1"/>
  <c r="P68" i="5" s="1"/>
  <c r="T68" i="5" s="1"/>
  <c r="X68" i="5" s="1"/>
  <c r="AA68" i="5" s="1"/>
  <c r="I67" i="5"/>
  <c r="L67" i="5" s="1"/>
  <c r="P67" i="5" s="1"/>
  <c r="T67" i="5" s="1"/>
  <c r="X67" i="5" s="1"/>
  <c r="AA67" i="5" s="1"/>
  <c r="AE67" i="5" s="1"/>
  <c r="AI67" i="5" s="1"/>
  <c r="AM67" i="5" s="1"/>
  <c r="AQ67" i="5" s="1"/>
  <c r="AU67" i="5" s="1"/>
  <c r="N63" i="5"/>
  <c r="J63" i="5"/>
  <c r="G63" i="5"/>
  <c r="I63" i="5" s="1"/>
  <c r="J56" i="5"/>
  <c r="I56" i="5"/>
  <c r="G50" i="5"/>
  <c r="C50" i="5"/>
  <c r="E50" i="5" s="1"/>
  <c r="N45" i="5"/>
  <c r="G45" i="5"/>
  <c r="C45" i="5"/>
  <c r="I39" i="5"/>
  <c r="I38" i="5"/>
  <c r="I37" i="5"/>
  <c r="I36" i="5"/>
  <c r="L36" i="5" s="1"/>
  <c r="I35" i="5"/>
  <c r="I34" i="5"/>
  <c r="L34" i="5" s="1"/>
  <c r="I33" i="5"/>
  <c r="I32" i="5"/>
  <c r="I30" i="5"/>
  <c r="N29" i="5"/>
  <c r="J29" i="5"/>
  <c r="G29" i="5"/>
  <c r="I25" i="5"/>
  <c r="I24" i="5"/>
  <c r="I23" i="5"/>
  <c r="O22" i="5"/>
  <c r="O14" i="5" s="1"/>
  <c r="G9" i="6" s="1"/>
  <c r="K22" i="5"/>
  <c r="K14" i="5" s="1"/>
  <c r="G8" i="6" s="1"/>
  <c r="H22" i="5"/>
  <c r="H14" i="5" s="1"/>
  <c r="G7" i="6" s="1"/>
  <c r="D22" i="5"/>
  <c r="E22" i="5" s="1"/>
  <c r="D19" i="5"/>
  <c r="I16" i="5"/>
  <c r="I12" i="5"/>
  <c r="I10" i="5"/>
  <c r="O9" i="5"/>
  <c r="O8" i="5" s="1"/>
  <c r="K9" i="5"/>
  <c r="K8" i="5" s="1"/>
  <c r="E9" i="5"/>
  <c r="E8" i="5" s="1"/>
  <c r="AE88" i="5" l="1"/>
  <c r="AI88" i="5" s="1"/>
  <c r="AM88" i="5" s="1"/>
  <c r="AQ88" i="5" s="1"/>
  <c r="AU88" i="5" s="1"/>
  <c r="AA88" i="5"/>
  <c r="AA87" i="5"/>
  <c r="AE87" i="5" s="1"/>
  <c r="AI87" i="5" s="1"/>
  <c r="AM87" i="5" s="1"/>
  <c r="AQ87" i="5" s="1"/>
  <c r="AU87" i="5" s="1"/>
  <c r="AE68" i="5"/>
  <c r="AI68" i="5" s="1"/>
  <c r="AM68" i="5" s="1"/>
  <c r="AQ68" i="5" s="1"/>
  <c r="AU68" i="5" s="1"/>
  <c r="AE71" i="5"/>
  <c r="AI71" i="5" s="1"/>
  <c r="AM71" i="5" s="1"/>
  <c r="AQ71" i="5" s="1"/>
  <c r="AU71" i="5" s="1"/>
  <c r="G28" i="5"/>
  <c r="G27" i="5" s="1"/>
  <c r="C28" i="5"/>
  <c r="AE70" i="5"/>
  <c r="AI70" i="5" s="1"/>
  <c r="AM70" i="5" s="1"/>
  <c r="AQ70" i="5" s="1"/>
  <c r="AU70" i="5" s="1"/>
  <c r="AA116" i="5"/>
  <c r="AE116" i="5" s="1"/>
  <c r="AI116" i="5" s="1"/>
  <c r="AM116" i="5" s="1"/>
  <c r="AQ116" i="5" s="1"/>
  <c r="AU116" i="5" s="1"/>
  <c r="E19" i="5"/>
  <c r="D14" i="5"/>
  <c r="J28" i="5"/>
  <c r="J27" i="5" s="1"/>
  <c r="N28" i="5"/>
  <c r="X93" i="5"/>
  <c r="AA93" i="5" s="1"/>
  <c r="AE93" i="5" s="1"/>
  <c r="AI93" i="5" s="1"/>
  <c r="AM93" i="5" s="1"/>
  <c r="AQ93" i="5" s="1"/>
  <c r="AU93" i="5" s="1"/>
  <c r="AI94" i="5"/>
  <c r="AM94" i="5" s="1"/>
  <c r="AQ94" i="5" s="1"/>
  <c r="AU94" i="5" s="1"/>
  <c r="I50" i="5"/>
  <c r="L50" i="5" s="1"/>
  <c r="P50" i="5" s="1"/>
  <c r="T50" i="5" s="1"/>
  <c r="X50" i="5" s="1"/>
  <c r="AA50" i="5" s="1"/>
  <c r="AE50" i="5" s="1"/>
  <c r="AI50" i="5" s="1"/>
  <c r="AM50" i="5" s="1"/>
  <c r="AQ50" i="5" s="1"/>
  <c r="AU50" i="5" s="1"/>
  <c r="L56" i="5"/>
  <c r="P56" i="5" s="1"/>
  <c r="T56" i="5" s="1"/>
  <c r="X56" i="5" s="1"/>
  <c r="AA56" i="5" s="1"/>
  <c r="AE56" i="5" s="1"/>
  <c r="AI56" i="5" s="1"/>
  <c r="AM56" i="5" s="1"/>
  <c r="AQ56" i="5" s="1"/>
  <c r="AU56" i="5" s="1"/>
  <c r="H19" i="6"/>
  <c r="AA11" i="5"/>
  <c r="AE11" i="5" s="1"/>
  <c r="AI11" i="5" s="1"/>
  <c r="AM11" i="5" s="1"/>
  <c r="AQ11" i="5" s="1"/>
  <c r="AU11" i="5" s="1"/>
  <c r="O7" i="5"/>
  <c r="O151" i="5" s="1"/>
  <c r="T118" i="5"/>
  <c r="X118" i="5" s="1"/>
  <c r="AA118" i="5" s="1"/>
  <c r="AE118" i="5" s="1"/>
  <c r="AI118" i="5" s="1"/>
  <c r="AM118" i="5" s="1"/>
  <c r="AQ118" i="5" s="1"/>
  <c r="AU118" i="5" s="1"/>
  <c r="H8" i="5"/>
  <c r="L10" i="5"/>
  <c r="P10" i="5" s="1"/>
  <c r="T10" i="5" s="1"/>
  <c r="X10" i="5" s="1"/>
  <c r="AA10" i="5" s="1"/>
  <c r="L12" i="5"/>
  <c r="P12" i="5" s="1"/>
  <c r="T12" i="5" s="1"/>
  <c r="X12" i="5" s="1"/>
  <c r="L16" i="5"/>
  <c r="P16" i="5" s="1"/>
  <c r="T16" i="5" s="1"/>
  <c r="X16" i="5" s="1"/>
  <c r="L23" i="5"/>
  <c r="P23" i="5" s="1"/>
  <c r="T23" i="5" s="1"/>
  <c r="X23" i="5" s="1"/>
  <c r="AA23" i="5" s="1"/>
  <c r="AE23" i="5" s="1"/>
  <c r="AI23" i="5" s="1"/>
  <c r="AM23" i="5" s="1"/>
  <c r="AQ23" i="5" s="1"/>
  <c r="AU23" i="5" s="1"/>
  <c r="L25" i="5"/>
  <c r="P25" i="5" s="1"/>
  <c r="T25" i="5" s="1"/>
  <c r="X25" i="5" s="1"/>
  <c r="AA25" i="5" s="1"/>
  <c r="AE25" i="5" s="1"/>
  <c r="AI25" i="5" s="1"/>
  <c r="AM25" i="5" s="1"/>
  <c r="AQ25" i="5" s="1"/>
  <c r="AU25" i="5" s="1"/>
  <c r="L30" i="5"/>
  <c r="P30" i="5" s="1"/>
  <c r="T30" i="5" s="1"/>
  <c r="X30" i="5" s="1"/>
  <c r="AA30" i="5" s="1"/>
  <c r="AE30" i="5" s="1"/>
  <c r="AI30" i="5" s="1"/>
  <c r="AM30" i="5" s="1"/>
  <c r="AQ30" i="5" s="1"/>
  <c r="AU30" i="5" s="1"/>
  <c r="L33" i="5"/>
  <c r="P33" i="5" s="1"/>
  <c r="T33" i="5" s="1"/>
  <c r="X33" i="5" s="1"/>
  <c r="AA33" i="5" s="1"/>
  <c r="AE33" i="5" s="1"/>
  <c r="AI33" i="5" s="1"/>
  <c r="AM33" i="5" s="1"/>
  <c r="AQ33" i="5" s="1"/>
  <c r="AU33" i="5" s="1"/>
  <c r="L35" i="5"/>
  <c r="P35" i="5" s="1"/>
  <c r="T35" i="5" s="1"/>
  <c r="X35" i="5" s="1"/>
  <c r="AA35" i="5" s="1"/>
  <c r="AE35" i="5" s="1"/>
  <c r="AI35" i="5" s="1"/>
  <c r="AM35" i="5" s="1"/>
  <c r="AQ35" i="5" s="1"/>
  <c r="AU35" i="5" s="1"/>
  <c r="L37" i="5"/>
  <c r="P37" i="5" s="1"/>
  <c r="T37" i="5" s="1"/>
  <c r="X37" i="5" s="1"/>
  <c r="AA37" i="5" s="1"/>
  <c r="AE37" i="5" s="1"/>
  <c r="AI37" i="5" s="1"/>
  <c r="AM37" i="5" s="1"/>
  <c r="AQ37" i="5" s="1"/>
  <c r="AU37" i="5" s="1"/>
  <c r="L39" i="5"/>
  <c r="P39" i="5" s="1"/>
  <c r="T39" i="5" s="1"/>
  <c r="X39" i="5" s="1"/>
  <c r="AA39" i="5" s="1"/>
  <c r="AE39" i="5" s="1"/>
  <c r="AI39" i="5" s="1"/>
  <c r="AM39" i="5" s="1"/>
  <c r="AQ39" i="5" s="1"/>
  <c r="AU39" i="5" s="1"/>
  <c r="L24" i="5"/>
  <c r="P24" i="5" s="1"/>
  <c r="T24" i="5" s="1"/>
  <c r="X24" i="5" s="1"/>
  <c r="AA24" i="5" s="1"/>
  <c r="AE24" i="5" s="1"/>
  <c r="AI24" i="5" s="1"/>
  <c r="L32" i="5"/>
  <c r="P32" i="5" s="1"/>
  <c r="T32" i="5" s="1"/>
  <c r="X32" i="5" s="1"/>
  <c r="AA32" i="5" s="1"/>
  <c r="AE32" i="5" s="1"/>
  <c r="AI32" i="5" s="1"/>
  <c r="AM32" i="5" s="1"/>
  <c r="AQ32" i="5" s="1"/>
  <c r="AU32" i="5" s="1"/>
  <c r="L38" i="5"/>
  <c r="P38" i="5" s="1"/>
  <c r="T38" i="5" s="1"/>
  <c r="X38" i="5" s="1"/>
  <c r="AA38" i="5" s="1"/>
  <c r="AE38" i="5" s="1"/>
  <c r="AI38" i="5" s="1"/>
  <c r="AM38" i="5" s="1"/>
  <c r="AQ38" i="5" s="1"/>
  <c r="AU38" i="5" s="1"/>
  <c r="E28" i="5"/>
  <c r="E45" i="5"/>
  <c r="I45" i="5" s="1"/>
  <c r="L63" i="5"/>
  <c r="P63" i="5" s="1"/>
  <c r="T63" i="5" s="1"/>
  <c r="X63" i="5" s="1"/>
  <c r="AA63" i="5" s="1"/>
  <c r="AE63" i="5" s="1"/>
  <c r="AI63" i="5" s="1"/>
  <c r="AM63" i="5" s="1"/>
  <c r="AQ63" i="5" s="1"/>
  <c r="AU63" i="5" s="1"/>
  <c r="C140" i="5"/>
  <c r="E140" i="5" s="1"/>
  <c r="I140" i="5" s="1"/>
  <c r="L140" i="5" s="1"/>
  <c r="I15" i="5"/>
  <c r="I66" i="5"/>
  <c r="L66" i="5" s="1"/>
  <c r="P66" i="5" s="1"/>
  <c r="T66" i="5" s="1"/>
  <c r="X66" i="5" s="1"/>
  <c r="AA66" i="5" s="1"/>
  <c r="AE66" i="5" s="1"/>
  <c r="AI66" i="5" s="1"/>
  <c r="AM66" i="5" s="1"/>
  <c r="AQ66" i="5" s="1"/>
  <c r="AU66" i="5" s="1"/>
  <c r="I77" i="5"/>
  <c r="L77" i="5" s="1"/>
  <c r="P77" i="5" s="1"/>
  <c r="T77" i="5" s="1"/>
  <c r="X77" i="5" s="1"/>
  <c r="AA77" i="5" s="1"/>
  <c r="AE77" i="5" s="1"/>
  <c r="AI77" i="5" s="1"/>
  <c r="AM77" i="5" s="1"/>
  <c r="AQ77" i="5" s="1"/>
  <c r="AU77" i="5" s="1"/>
  <c r="I90" i="5"/>
  <c r="L90" i="5" s="1"/>
  <c r="P90" i="5" s="1"/>
  <c r="T90" i="5" s="1"/>
  <c r="X90" i="5" s="1"/>
  <c r="AA90" i="5" s="1"/>
  <c r="AE90" i="5" s="1"/>
  <c r="AI90" i="5" s="1"/>
  <c r="AM90" i="5" s="1"/>
  <c r="AQ90" i="5" s="1"/>
  <c r="AU90" i="5" s="1"/>
  <c r="I83" i="5"/>
  <c r="L83" i="5" s="1"/>
  <c r="P83" i="5" s="1"/>
  <c r="T83" i="5" s="1"/>
  <c r="X83" i="5" s="1"/>
  <c r="AA83" i="5" s="1"/>
  <c r="AE83" i="5" s="1"/>
  <c r="AI83" i="5" s="1"/>
  <c r="AM83" i="5" s="1"/>
  <c r="AQ83" i="5" s="1"/>
  <c r="AU83" i="5" s="1"/>
  <c r="N140" i="5"/>
  <c r="E14" i="5"/>
  <c r="E7" i="5" s="1"/>
  <c r="I22" i="5"/>
  <c r="P34" i="5"/>
  <c r="T34" i="5" s="1"/>
  <c r="X34" i="5" s="1"/>
  <c r="AA34" i="5" s="1"/>
  <c r="AE34" i="5" s="1"/>
  <c r="AI34" i="5" s="1"/>
  <c r="AM34" i="5" s="1"/>
  <c r="AQ34" i="5" s="1"/>
  <c r="AU34" i="5" s="1"/>
  <c r="P85" i="5"/>
  <c r="T85" i="5" s="1"/>
  <c r="X85" i="5" s="1"/>
  <c r="AA85" i="5" s="1"/>
  <c r="AE85" i="5" s="1"/>
  <c r="P36" i="5"/>
  <c r="T36" i="5" s="1"/>
  <c r="X36" i="5" s="1"/>
  <c r="AA36" i="5" s="1"/>
  <c r="AE36" i="5" s="1"/>
  <c r="AI36" i="5" s="1"/>
  <c r="AM36" i="5" s="1"/>
  <c r="AQ36" i="5" s="1"/>
  <c r="AU36" i="5" s="1"/>
  <c r="I104" i="5"/>
  <c r="L104" i="5" s="1"/>
  <c r="P104" i="5" s="1"/>
  <c r="I141" i="5"/>
  <c r="L141" i="5" s="1"/>
  <c r="P141" i="5" s="1"/>
  <c r="P111" i="5"/>
  <c r="T111" i="5" s="1"/>
  <c r="X111" i="5" s="1"/>
  <c r="AA111" i="5" s="1"/>
  <c r="AE111" i="5" s="1"/>
  <c r="AI111" i="5" s="1"/>
  <c r="AM111" i="5" s="1"/>
  <c r="AQ111" i="5" s="1"/>
  <c r="AU111" i="5" s="1"/>
  <c r="L147" i="5"/>
  <c r="P147" i="5" s="1"/>
  <c r="T147" i="5" s="1"/>
  <c r="X147" i="5" s="1"/>
  <c r="AA147" i="5" s="1"/>
  <c r="AE147" i="5" s="1"/>
  <c r="AI147" i="5" s="1"/>
  <c r="AM147" i="5" s="1"/>
  <c r="AQ147" i="5" s="1"/>
  <c r="AU147" i="5" s="1"/>
  <c r="P114" i="5"/>
  <c r="T114" i="5" s="1"/>
  <c r="L108" i="5"/>
  <c r="P108" i="5" s="1"/>
  <c r="T108" i="5" s="1"/>
  <c r="X108" i="5" s="1"/>
  <c r="AA108" i="5" s="1"/>
  <c r="AE108" i="5" s="1"/>
  <c r="AI108" i="5" s="1"/>
  <c r="AM108" i="5" s="1"/>
  <c r="AQ108" i="5" s="1"/>
  <c r="AU108" i="5" s="1"/>
  <c r="I86" i="5"/>
  <c r="L86" i="5" s="1"/>
  <c r="P86" i="5" s="1"/>
  <c r="T86" i="5" s="1"/>
  <c r="X86" i="5" s="1"/>
  <c r="P107" i="5"/>
  <c r="T107" i="5" s="1"/>
  <c r="X107" i="5" s="1"/>
  <c r="AA107" i="5" s="1"/>
  <c r="AE107" i="5" s="1"/>
  <c r="AI107" i="5" s="1"/>
  <c r="AM107" i="5" s="1"/>
  <c r="AQ107" i="5" s="1"/>
  <c r="AU107" i="5" s="1"/>
  <c r="P109" i="5"/>
  <c r="T109" i="5" s="1"/>
  <c r="X109" i="5" s="1"/>
  <c r="AA109" i="5" s="1"/>
  <c r="AE109" i="5" s="1"/>
  <c r="AI109" i="5" s="1"/>
  <c r="AM109" i="5" s="1"/>
  <c r="AQ109" i="5" s="1"/>
  <c r="AU109" i="5" s="1"/>
  <c r="P113" i="5"/>
  <c r="T113" i="5" s="1"/>
  <c r="X113" i="5" s="1"/>
  <c r="AA113" i="5" s="1"/>
  <c r="AE113" i="5" s="1"/>
  <c r="AI113" i="5" s="1"/>
  <c r="AM113" i="5" s="1"/>
  <c r="AQ113" i="5" s="1"/>
  <c r="AU113" i="5" s="1"/>
  <c r="P80" i="5"/>
  <c r="T80" i="5" s="1"/>
  <c r="X80" i="5" s="1"/>
  <c r="AA80" i="5" s="1"/>
  <c r="AE80" i="5" s="1"/>
  <c r="AI80" i="5" s="1"/>
  <c r="AM80" i="5" s="1"/>
  <c r="AQ80" i="5" s="1"/>
  <c r="AU80" i="5" s="1"/>
  <c r="P112" i="5"/>
  <c r="T112" i="5" s="1"/>
  <c r="X112" i="5" s="1"/>
  <c r="AA112" i="5" s="1"/>
  <c r="AE112" i="5" s="1"/>
  <c r="AI112" i="5" s="1"/>
  <c r="AM112" i="5" s="1"/>
  <c r="AQ112" i="5" s="1"/>
  <c r="AU112" i="5" s="1"/>
  <c r="I29" i="5"/>
  <c r="I9" i="5"/>
  <c r="AE86" i="5" l="1"/>
  <c r="AI86" i="5" s="1"/>
  <c r="AM86" i="5" s="1"/>
  <c r="AQ86" i="5" s="1"/>
  <c r="AU86" i="5" s="1"/>
  <c r="AA86" i="5"/>
  <c r="AI85" i="5"/>
  <c r="AM85" i="5" s="1"/>
  <c r="AQ85" i="5" s="1"/>
  <c r="AU85" i="5" s="1"/>
  <c r="X114" i="5"/>
  <c r="AA114" i="5" s="1"/>
  <c r="AE114" i="5" s="1"/>
  <c r="AI114" i="5" s="1"/>
  <c r="AM114" i="5" s="1"/>
  <c r="AQ114" i="5" s="1"/>
  <c r="AU114" i="5" s="1"/>
  <c r="D7" i="5"/>
  <c r="G6" i="6"/>
  <c r="T104" i="5"/>
  <c r="X104" i="5" s="1"/>
  <c r="AA104" i="5" s="1"/>
  <c r="AE104" i="5" s="1"/>
  <c r="AI104" i="5" s="1"/>
  <c r="AM104" i="5" s="1"/>
  <c r="AQ104" i="5" s="1"/>
  <c r="AU104" i="5" s="1"/>
  <c r="T141" i="5"/>
  <c r="X141" i="5" s="1"/>
  <c r="AA141" i="5" s="1"/>
  <c r="AE141" i="5" s="1"/>
  <c r="AI141" i="5" s="1"/>
  <c r="AM141" i="5" s="1"/>
  <c r="AQ141" i="5" s="1"/>
  <c r="AU141" i="5" s="1"/>
  <c r="AM24" i="5"/>
  <c r="AQ24" i="5" s="1"/>
  <c r="AU24" i="5" s="1"/>
  <c r="O152" i="5"/>
  <c r="O154" i="5" s="1"/>
  <c r="AA12" i="5"/>
  <c r="AA9" i="5" s="1"/>
  <c r="I8" i="5"/>
  <c r="L8" i="5" s="1"/>
  <c r="P8" i="5" s="1"/>
  <c r="T8" i="5" s="1"/>
  <c r="X8" i="5" s="1"/>
  <c r="D58" i="6"/>
  <c r="L9" i="5"/>
  <c r="P9" i="5" s="1"/>
  <c r="L45" i="5"/>
  <c r="P45" i="5" s="1"/>
  <c r="L29" i="5"/>
  <c r="P29" i="5" s="1"/>
  <c r="T29" i="5" s="1"/>
  <c r="X29" i="5" s="1"/>
  <c r="AA29" i="5" s="1"/>
  <c r="AE29" i="5" s="1"/>
  <c r="AI29" i="5" s="1"/>
  <c r="AM29" i="5" s="1"/>
  <c r="AQ29" i="5" s="1"/>
  <c r="AU29" i="5" s="1"/>
  <c r="P140" i="5"/>
  <c r="T140" i="5" s="1"/>
  <c r="L15" i="5"/>
  <c r="P15" i="5" s="1"/>
  <c r="T15" i="5" s="1"/>
  <c r="X15" i="5" s="1"/>
  <c r="L22" i="5"/>
  <c r="P22" i="5" s="1"/>
  <c r="T22" i="5" s="1"/>
  <c r="X22" i="5" s="1"/>
  <c r="AA22" i="5" s="1"/>
  <c r="AE22" i="5" s="1"/>
  <c r="AI22" i="5" s="1"/>
  <c r="K7" i="5"/>
  <c r="K151" i="5" s="1"/>
  <c r="K152" i="5" s="1"/>
  <c r="N27" i="5"/>
  <c r="N153" i="5" s="1"/>
  <c r="J154" i="5"/>
  <c r="J153" i="5"/>
  <c r="K8" i="6" s="1"/>
  <c r="O8" i="6" s="1"/>
  <c r="G153" i="5"/>
  <c r="K7" i="6" s="1"/>
  <c r="O7" i="6" s="1"/>
  <c r="C27" i="5"/>
  <c r="I28" i="5"/>
  <c r="L28" i="5" s="1"/>
  <c r="G19" i="6" l="1"/>
  <c r="P7" i="6"/>
  <c r="P9" i="6"/>
  <c r="P8" i="6"/>
  <c r="AM22" i="5"/>
  <c r="AQ22" i="5" s="1"/>
  <c r="AU22" i="5" s="1"/>
  <c r="AE12" i="5"/>
  <c r="AI12" i="5" s="1"/>
  <c r="AM12" i="5" s="1"/>
  <c r="AQ12" i="5" s="1"/>
  <c r="AU12" i="5" s="1"/>
  <c r="AA8" i="5"/>
  <c r="X140" i="5"/>
  <c r="AA140" i="5" s="1"/>
  <c r="AE140" i="5" s="1"/>
  <c r="AI140" i="5" s="1"/>
  <c r="AM140" i="5" s="1"/>
  <c r="AQ140" i="5" s="1"/>
  <c r="AU140" i="5" s="1"/>
  <c r="N154" i="5"/>
  <c r="G154" i="5"/>
  <c r="T9" i="5"/>
  <c r="X9" i="5" s="1"/>
  <c r="C153" i="5"/>
  <c r="K6" i="6" s="1"/>
  <c r="O6" i="6" s="1"/>
  <c r="E27" i="5"/>
  <c r="I27" i="5" s="1"/>
  <c r="L27" i="5" s="1"/>
  <c r="P27" i="5" s="1"/>
  <c r="T27" i="5" s="1"/>
  <c r="X27" i="5" s="1"/>
  <c r="AA27" i="5" s="1"/>
  <c r="AE27" i="5" s="1"/>
  <c r="AI27" i="5" s="1"/>
  <c r="AM27" i="5" s="1"/>
  <c r="AQ27" i="5" s="1"/>
  <c r="AU27" i="5" s="1"/>
  <c r="P28" i="5"/>
  <c r="T28" i="5" s="1"/>
  <c r="X28" i="5" s="1"/>
  <c r="AA28" i="5" s="1"/>
  <c r="AE28" i="5" s="1"/>
  <c r="AI28" i="5" s="1"/>
  <c r="AM28" i="5" s="1"/>
  <c r="AQ28" i="5" s="1"/>
  <c r="AU28" i="5" s="1"/>
  <c r="D151" i="5"/>
  <c r="P155" i="5" l="1"/>
  <c r="K9" i="6"/>
  <c r="O9" i="6" s="1"/>
  <c r="O19" i="6" s="1"/>
  <c r="E153" i="5"/>
  <c r="K154" i="5"/>
  <c r="L155" i="5" s="1"/>
  <c r="D152" i="5"/>
  <c r="E151" i="5"/>
  <c r="C154" i="5"/>
  <c r="I153" i="5" l="1"/>
  <c r="L153" i="5" s="1"/>
  <c r="P153" i="5" s="1"/>
  <c r="T153" i="5" s="1"/>
  <c r="X153" i="5" s="1"/>
  <c r="K19" i="6"/>
  <c r="P6" i="6"/>
  <c r="L19" i="6"/>
  <c r="AA153" i="5"/>
  <c r="AE153" i="5" s="1"/>
  <c r="AI153" i="5" s="1"/>
  <c r="AM153" i="5" s="1"/>
  <c r="AQ153" i="5" s="1"/>
  <c r="AU153" i="5" s="1"/>
  <c r="E152" i="5"/>
  <c r="E154" i="5" l="1"/>
  <c r="E155" i="5"/>
  <c r="AA15" i="5" l="1"/>
  <c r="AE15" i="5" s="1"/>
  <c r="AI15" i="5" s="1"/>
  <c r="AA16" i="5"/>
  <c r="AE16" i="5" s="1"/>
  <c r="AI16" i="5" s="1"/>
  <c r="AM16" i="5" s="1"/>
  <c r="AQ16" i="5" s="1"/>
  <c r="AU16" i="5" s="1"/>
  <c r="Z7" i="5"/>
  <c r="AM15" i="5" l="1"/>
  <c r="AQ15" i="5" s="1"/>
  <c r="AU15" i="5" s="1"/>
  <c r="Z151" i="5"/>
  <c r="Z152" i="5" l="1"/>
  <c r="Z154" i="5" l="1"/>
  <c r="AA155" i="5" s="1"/>
  <c r="AE10" i="5" l="1"/>
  <c r="AI10" i="5" s="1"/>
  <c r="AM10" i="5" s="1"/>
  <c r="AQ10" i="5" s="1"/>
  <c r="AU10" i="5" s="1"/>
  <c r="AD9" i="5"/>
  <c r="AE9" i="5" s="1"/>
  <c r="AI9" i="5" s="1"/>
  <c r="AM9" i="5" s="1"/>
  <c r="AQ9" i="5" s="1"/>
  <c r="AU9" i="5" s="1"/>
  <c r="AD8" i="5" l="1"/>
  <c r="D19" i="6" l="1"/>
  <c r="P13" i="6"/>
  <c r="P19" i="6" s="1"/>
  <c r="AD7" i="5"/>
  <c r="AE8" i="5"/>
  <c r="AI8" i="5" s="1"/>
  <c r="AM8" i="5" s="1"/>
  <c r="AQ8" i="5" s="1"/>
  <c r="AU8" i="5" s="1"/>
  <c r="C26" i="10" s="1"/>
  <c r="AD151" i="5" l="1"/>
  <c r="AD152" i="5" l="1"/>
  <c r="D12" i="10" l="1"/>
  <c r="C15" i="10"/>
  <c r="D15" i="10" s="1"/>
  <c r="AD154" i="5"/>
  <c r="AE155" i="5" s="1"/>
  <c r="AT19" i="5" l="1"/>
  <c r="AT14" i="5" s="1"/>
  <c r="AT7" i="5" l="1"/>
  <c r="AT151" i="5" l="1"/>
  <c r="AT152" i="5" l="1"/>
  <c r="AT154" i="5" l="1"/>
  <c r="AU155" i="5" l="1"/>
  <c r="C141" i="6" s="1"/>
  <c r="I19" i="5"/>
  <c r="L19" i="5" s="1"/>
  <c r="P19" i="5" s="1"/>
  <c r="T19" i="5" s="1"/>
  <c r="X19" i="5" s="1"/>
  <c r="AA19" i="5" s="1"/>
  <c r="AE19" i="5" s="1"/>
  <c r="AI19" i="5" s="1"/>
  <c r="AM19" i="5" s="1"/>
  <c r="AQ19" i="5" s="1"/>
  <c r="AU19" i="5" s="1"/>
  <c r="I20" i="5"/>
  <c r="L20" i="5" s="1"/>
  <c r="P20" i="5" s="1"/>
  <c r="T20" i="5" s="1"/>
  <c r="X20" i="5" s="1"/>
  <c r="AA20" i="5" s="1"/>
  <c r="AE20" i="5" s="1"/>
  <c r="AI20" i="5" s="1"/>
  <c r="AM20" i="5" s="1"/>
  <c r="AQ20" i="5" s="1"/>
  <c r="AU20" i="5" s="1"/>
  <c r="I14" i="5"/>
  <c r="L14" i="5" s="1"/>
  <c r="P14" i="5" s="1"/>
  <c r="T14" i="5" s="1"/>
  <c r="X14" i="5" s="1"/>
  <c r="AA14" i="5" s="1"/>
  <c r="AE14" i="5" s="1"/>
  <c r="AI14" i="5" s="1"/>
  <c r="AM14" i="5" s="1"/>
  <c r="AQ14" i="5" s="1"/>
  <c r="AU14" i="5" s="1"/>
  <c r="H7" i="5" l="1"/>
  <c r="H151" i="5" l="1"/>
  <c r="I7" i="5"/>
  <c r="L7" i="5" s="1"/>
  <c r="P7" i="5" s="1"/>
  <c r="T7" i="5" s="1"/>
  <c r="X7" i="5" s="1"/>
  <c r="AA7" i="5" s="1"/>
  <c r="AE7" i="5" s="1"/>
  <c r="AI7" i="5" s="1"/>
  <c r="AM7" i="5" s="1"/>
  <c r="AQ7" i="5" s="1"/>
  <c r="AU7" i="5" s="1"/>
  <c r="I151" i="5" l="1"/>
  <c r="L151" i="5" s="1"/>
  <c r="P151" i="5" s="1"/>
  <c r="T151" i="5" s="1"/>
  <c r="X151" i="5" s="1"/>
  <c r="AA151" i="5" s="1"/>
  <c r="AE151" i="5" s="1"/>
  <c r="AI151" i="5" s="1"/>
  <c r="AM151" i="5" s="1"/>
  <c r="AQ151" i="5" s="1"/>
  <c r="AU151" i="5" s="1"/>
  <c r="H152" i="5"/>
  <c r="I152" i="5" l="1"/>
  <c r="L152" i="5" s="1"/>
  <c r="P152" i="5" s="1"/>
  <c r="T152" i="5" s="1"/>
  <c r="X152" i="5" s="1"/>
  <c r="AA152" i="5" s="1"/>
  <c r="AE152" i="5" s="1"/>
  <c r="AI152" i="5" s="1"/>
  <c r="AM152" i="5" s="1"/>
  <c r="AQ152" i="5" s="1"/>
  <c r="AU152" i="5" s="1"/>
  <c r="H154" i="5"/>
  <c r="I154" i="5" l="1"/>
  <c r="L154" i="5" s="1"/>
  <c r="P154" i="5" s="1"/>
  <c r="T154" i="5" s="1"/>
  <c r="X154" i="5" s="1"/>
  <c r="AA154" i="5" s="1"/>
  <c r="AE154" i="5" s="1"/>
  <c r="AI154" i="5" s="1"/>
  <c r="AM154" i="5" s="1"/>
  <c r="AQ154" i="5" s="1"/>
  <c r="AU154" i="5" s="1"/>
  <c r="D109" i="9" s="1"/>
  <c r="I155" i="5"/>
  <c r="AM158" i="5" l="1"/>
  <c r="C144" i="6"/>
  <c r="D108" i="9"/>
  <c r="E107" i="9" s="1"/>
  <c r="E115" i="9" s="1"/>
  <c r="E120" i="9" s="1"/>
  <c r="C25" i="10"/>
  <c r="D25" i="10" l="1"/>
  <c r="C28" i="10"/>
  <c r="D28" i="10" s="1"/>
  <c r="E11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Johana Villamizar Ochoa</author>
  </authors>
  <commentList>
    <comment ref="D14" authorId="0" shapeId="0" xr:uid="{3A50E9C4-7BB7-4A32-8254-BC19FAF1FA2C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ESTE VALOR NO VA SUMADO EN EL BALANCE
</t>
        </r>
      </text>
    </comment>
    <comment ref="D21" authorId="0" shapeId="0" xr:uid="{24F0EB1D-9384-406F-A1B5-4B2F9819D82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ESTE SALDO NO VA SUMADO EN EL BALANCE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Paez</author>
  </authors>
  <commentList>
    <comment ref="Y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G2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O2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S2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</commentList>
</comments>
</file>

<file path=xl/sharedStrings.xml><?xml version="1.0" encoding="utf-8"?>
<sst xmlns="http://schemas.openxmlformats.org/spreadsheetml/2006/main" count="556" uniqueCount="409">
  <si>
    <t>EQUIORIENTE LTDA</t>
  </si>
  <si>
    <t>Cuenta</t>
  </si>
  <si>
    <t>Cód.</t>
  </si>
  <si>
    <t>Nombre</t>
  </si>
  <si>
    <t xml:space="preserve">Débitos </t>
  </si>
  <si>
    <t xml:space="preserve">Créditos </t>
  </si>
  <si>
    <t xml:space="preserve">Saldo actual </t>
  </si>
  <si>
    <t>4</t>
  </si>
  <si>
    <t>INGRESOS</t>
  </si>
  <si>
    <t>41</t>
  </si>
  <si>
    <t>Operacionales</t>
  </si>
  <si>
    <t>4155</t>
  </si>
  <si>
    <t>Actividades inmobiliarias, empresariales y de alquiler</t>
  </si>
  <si>
    <t>415520</t>
  </si>
  <si>
    <t>Transporte</t>
  </si>
  <si>
    <t>42</t>
  </si>
  <si>
    <t>No operacionales</t>
  </si>
  <si>
    <t>4210</t>
  </si>
  <si>
    <t>Financieros</t>
  </si>
  <si>
    <t>421005</t>
  </si>
  <si>
    <t>Intereses</t>
  </si>
  <si>
    <t>4220</t>
  </si>
  <si>
    <t>ARRENDAMIENTOS APARTAMENTOS</t>
  </si>
  <si>
    <t>422010</t>
  </si>
  <si>
    <t>Apartamentos Arrendados</t>
  </si>
  <si>
    <t>4235</t>
  </si>
  <si>
    <t>Servicios</t>
  </si>
  <si>
    <t>423510</t>
  </si>
  <si>
    <t>VENTAS SIN IVA</t>
  </si>
  <si>
    <t>5</t>
  </si>
  <si>
    <t>GASTOS</t>
  </si>
  <si>
    <t>51</t>
  </si>
  <si>
    <t>Operacionales de administración</t>
  </si>
  <si>
    <t>5105</t>
  </si>
  <si>
    <t>Gastos de personal</t>
  </si>
  <si>
    <t>510506</t>
  </si>
  <si>
    <t>Sueldos</t>
  </si>
  <si>
    <t>510527</t>
  </si>
  <si>
    <t>Auxilio de transporte</t>
  </si>
  <si>
    <t>510530</t>
  </si>
  <si>
    <t>Cesantías</t>
  </si>
  <si>
    <t>510533</t>
  </si>
  <si>
    <t>Intereses sobre cesantías</t>
  </si>
  <si>
    <t>510536</t>
  </si>
  <si>
    <t>Prima de servicios</t>
  </si>
  <si>
    <t>510539</t>
  </si>
  <si>
    <t>Vacaciones</t>
  </si>
  <si>
    <t>510545</t>
  </si>
  <si>
    <t>Auxilios</t>
  </si>
  <si>
    <t>510551</t>
  </si>
  <si>
    <t>510568</t>
  </si>
  <si>
    <t>Aportes a administradoras de riesgos profesionales arp</t>
  </si>
  <si>
    <t>510569</t>
  </si>
  <si>
    <t>Aportes a entidades promotoras de salud eps</t>
  </si>
  <si>
    <t>510570</t>
  </si>
  <si>
    <t>Aportes a fondos de pensiones y/o cesantías</t>
  </si>
  <si>
    <t>510572</t>
  </si>
  <si>
    <t>Aportes cajas de compensación familiar</t>
  </si>
  <si>
    <t>5110</t>
  </si>
  <si>
    <t>Honorarios</t>
  </si>
  <si>
    <t>511030</t>
  </si>
  <si>
    <t>Asesoría financiera</t>
  </si>
  <si>
    <t>5115</t>
  </si>
  <si>
    <t>Impuestos</t>
  </si>
  <si>
    <t>511540</t>
  </si>
  <si>
    <t>De vehículos</t>
  </si>
  <si>
    <t>5120</t>
  </si>
  <si>
    <t>Arrendamientos</t>
  </si>
  <si>
    <t>512010</t>
  </si>
  <si>
    <t>Construcciones y edificaciones</t>
  </si>
  <si>
    <t>5130</t>
  </si>
  <si>
    <t>Seguros</t>
  </si>
  <si>
    <t>513095</t>
  </si>
  <si>
    <t>Otros</t>
  </si>
  <si>
    <t>5135</t>
  </si>
  <si>
    <t>513505</t>
  </si>
  <si>
    <t>Aseo y vigilancia</t>
  </si>
  <si>
    <t>513510</t>
  </si>
  <si>
    <t>Temporales</t>
  </si>
  <si>
    <t>513525</t>
  </si>
  <si>
    <t>Acueducto y alcantarillado</t>
  </si>
  <si>
    <t>513530</t>
  </si>
  <si>
    <t>Energía eléctrica</t>
  </si>
  <si>
    <t>513535</t>
  </si>
  <si>
    <t>5140</t>
  </si>
  <si>
    <t>Gastos legales</t>
  </si>
  <si>
    <t>514010</t>
  </si>
  <si>
    <t>Registro mercantil</t>
  </si>
  <si>
    <t>514015</t>
  </si>
  <si>
    <t>Trámites y licencias</t>
  </si>
  <si>
    <t>5145</t>
  </si>
  <si>
    <t>Mantenimiento y reparaciones</t>
  </si>
  <si>
    <t>514515</t>
  </si>
  <si>
    <t>Maquinaria y equipo</t>
  </si>
  <si>
    <t>514520</t>
  </si>
  <si>
    <t>Equipo de oficina</t>
  </si>
  <si>
    <t>514540</t>
  </si>
  <si>
    <t>Flota y equipo de transportes</t>
  </si>
  <si>
    <t>5150</t>
  </si>
  <si>
    <t>Adecuación e instalación</t>
  </si>
  <si>
    <t>515095</t>
  </si>
  <si>
    <t>5195</t>
  </si>
  <si>
    <t>Diversos</t>
  </si>
  <si>
    <t>519520</t>
  </si>
  <si>
    <t>Gastos de representación y relaciones públicas</t>
  </si>
  <si>
    <t>519525</t>
  </si>
  <si>
    <t>Elementos de aseo y cafetería</t>
  </si>
  <si>
    <t>519530</t>
  </si>
  <si>
    <t>Utiles, papelería y fotocopias</t>
  </si>
  <si>
    <t>519535</t>
  </si>
  <si>
    <t>Combustibles Turbo</t>
  </si>
  <si>
    <t>519545</t>
  </si>
  <si>
    <t>Taxis y buses</t>
  </si>
  <si>
    <t>519555</t>
  </si>
  <si>
    <t>Peajes</t>
  </si>
  <si>
    <t>519560</t>
  </si>
  <si>
    <t>Casino y restaurante</t>
  </si>
  <si>
    <t>519565</t>
  </si>
  <si>
    <t>Parqueaderos</t>
  </si>
  <si>
    <t>519595</t>
  </si>
  <si>
    <t>53</t>
  </si>
  <si>
    <t>5305</t>
  </si>
  <si>
    <t>530505</t>
  </si>
  <si>
    <t>Gastos bancarios</t>
  </si>
  <si>
    <t>530515</t>
  </si>
  <si>
    <t>Comisiones</t>
  </si>
  <si>
    <t>530525</t>
  </si>
  <si>
    <t>4 X MIL</t>
  </si>
  <si>
    <t>530540</t>
  </si>
  <si>
    <t>5315</t>
  </si>
  <si>
    <t>Gastos extraordinarios</t>
  </si>
  <si>
    <t>531520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</si>
  <si>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</si>
  <si>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</si>
  <si>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</si>
  <si>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</si>
  <si>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</si>
  <si>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</si>
  <si>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</si>
  <si>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</si>
  <si>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</si>
  <si>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</si>
  <si>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</si>
  <si>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</si>
  <si>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</si>
  <si>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</si>
  <si>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</si>
  <si>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</si>
  <si>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</si>
  <si>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</si>
  <si>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>514005</t>
  </si>
  <si>
    <t>514095</t>
  </si>
  <si>
    <t>514525</t>
  </si>
  <si>
    <t>519540</t>
  </si>
  <si>
    <t>52</t>
  </si>
  <si>
    <t>5215</t>
  </si>
  <si>
    <t>521595</t>
  </si>
  <si>
    <t>5220</t>
  </si>
  <si>
    <t>522015</t>
  </si>
  <si>
    <t>5245</t>
  </si>
  <si>
    <t>524510</t>
  </si>
  <si>
    <t>530535</t>
  </si>
  <si>
    <t>511505</t>
  </si>
  <si>
    <t xml:space="preserve">A la propiedad raiz </t>
  </si>
  <si>
    <t xml:space="preserve">Otros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</si>
  <si>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</si>
  <si>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</si>
  <si>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</si>
  <si>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</si>
  <si>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</si>
  <si>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</si>
  <si>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</si>
  <si>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>AFILIACIONES Y CONTRIBUCIONES</t>
  </si>
  <si>
    <t xml:space="preserve">DIVERSOS </t>
  </si>
  <si>
    <t>Comisiones inmobiliaria</t>
  </si>
  <si>
    <t xml:space="preserve">Maquinaria y equipo </t>
  </si>
  <si>
    <t>MES</t>
  </si>
  <si>
    <t>VENTAS FISCALES 2018</t>
  </si>
  <si>
    <t>VENTAS FISCALES 2017</t>
  </si>
  <si>
    <t>VENTAS SIN IVA 2018</t>
  </si>
  <si>
    <t>VENTAS SIN IVA 2017</t>
  </si>
  <si>
    <t>GASTOS  2018</t>
  </si>
  <si>
    <t>GASTOS 2017</t>
  </si>
  <si>
    <t xml:space="preserve">TOTAL </t>
  </si>
  <si>
    <t xml:space="preserve">ENERO </t>
  </si>
  <si>
    <t xml:space="preserve">FEBRERO </t>
  </si>
  <si>
    <t>MARZO</t>
  </si>
  <si>
    <t xml:space="preserve">ABRIL </t>
  </si>
  <si>
    <t xml:space="preserve">MAYO </t>
  </si>
  <si>
    <t xml:space="preserve">JUNIO </t>
  </si>
  <si>
    <t>JULIO</t>
  </si>
  <si>
    <t>AGOSTO</t>
  </si>
  <si>
    <t>SEPTIEMBRE</t>
  </si>
  <si>
    <t xml:space="preserve">OCTUBRE </t>
  </si>
  <si>
    <t xml:space="preserve">NOVIEMBRE </t>
  </si>
  <si>
    <t xml:space="preserve">DICIEMBRE </t>
  </si>
  <si>
    <t>DICIEMBRE</t>
  </si>
  <si>
    <t>UTILIDAD 2018</t>
  </si>
  <si>
    <t>UTILIDAD  2017</t>
  </si>
  <si>
    <t>VENTAS FISCALES 2019</t>
  </si>
  <si>
    <t>VENTAS SIN IVA 2019</t>
  </si>
  <si>
    <t>GASTOS  2019</t>
  </si>
  <si>
    <t>UTILIDAD 2019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</si>
  <si>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</si>
  <si>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</si>
  <si>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</si>
  <si>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</si>
  <si>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</si>
  <si>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</si>
  <si>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</si>
  <si>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</si>
  <si>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</si>
  <si>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</si>
  <si>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</si>
  <si>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</si>
  <si>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</si>
  <si>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</si>
  <si>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</si>
  <si>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13</t>
  </si>
  <si>
    <t>Cuentas por cobrar (instrumentos financieros)</t>
  </si>
  <si>
    <t>1305</t>
  </si>
  <si>
    <t>Clientes</t>
  </si>
  <si>
    <t>130505</t>
  </si>
  <si>
    <t>Nacionales</t>
  </si>
  <si>
    <t xml:space="preserve">Fenix Constructores </t>
  </si>
  <si>
    <t>130515</t>
  </si>
  <si>
    <t>Deudores facturacion sin iva</t>
  </si>
  <si>
    <t xml:space="preserve">Miriam Serrano 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</si>
  <si>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</si>
  <si>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</si>
  <si>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</si>
  <si>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</si>
  <si>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</si>
  <si>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</si>
  <si>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135517</t>
  </si>
  <si>
    <t>Impuesto a las ventas retenido</t>
  </si>
  <si>
    <t>13559006</t>
  </si>
  <si>
    <t>14</t>
  </si>
  <si>
    <t>Inventarios</t>
  </si>
  <si>
    <t>1435</t>
  </si>
  <si>
    <t>Mercancías no fabricadas por la empresa</t>
  </si>
  <si>
    <t>15</t>
  </si>
  <si>
    <t>Propiedades planta y equipo</t>
  </si>
  <si>
    <t>1512</t>
  </si>
  <si>
    <t>Maquinaria y equipos en montaje</t>
  </si>
  <si>
    <t>151210</t>
  </si>
  <si>
    <t>1516</t>
  </si>
  <si>
    <t>151605</t>
  </si>
  <si>
    <t xml:space="preserve">Apto sion </t>
  </si>
  <si>
    <t>151610</t>
  </si>
  <si>
    <t>Apto tamara</t>
  </si>
  <si>
    <t>1524</t>
  </si>
  <si>
    <t>152410</t>
  </si>
  <si>
    <t>Equipos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</si>
  <si>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</si>
  <si>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</si>
  <si>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</si>
  <si>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</si>
  <si>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</si>
  <si>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</si>
  <si>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</si>
  <si>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</si>
  <si>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</si>
  <si>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EQUIPO DE OFICINA</t>
  </si>
  <si>
    <t>EQUIPO DE CONSTRUCCION</t>
  </si>
  <si>
    <t>EQUIPO DE COMPUTO</t>
  </si>
  <si>
    <t>16</t>
  </si>
  <si>
    <t>Intangibles</t>
  </si>
  <si>
    <t>1635</t>
  </si>
  <si>
    <t>Licencias</t>
  </si>
  <si>
    <t xml:space="preserve">TOTAL ACTIVO </t>
  </si>
  <si>
    <t>2365</t>
  </si>
  <si>
    <t>236525</t>
  </si>
  <si>
    <t>2370</t>
  </si>
  <si>
    <t>Retenciones y aportes de nómina</t>
  </si>
  <si>
    <t>237005</t>
  </si>
  <si>
    <t>Aportes a entidades promotoras de salud EPS</t>
  </si>
  <si>
    <t>237006</t>
  </si>
  <si>
    <t>237010</t>
  </si>
  <si>
    <t>Aportes al i.c.b.f, sena y cajas compensación</t>
  </si>
  <si>
    <t>2380</t>
  </si>
  <si>
    <t>Acreedores varios</t>
  </si>
  <si>
    <t>238030</t>
  </si>
  <si>
    <t>Fondos de cesantías y/o pensiones</t>
  </si>
  <si>
    <t>24</t>
  </si>
  <si>
    <t>Impuestos, gravámenes y tasas</t>
  </si>
  <si>
    <t>2408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</si>
  <si>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</si>
  <si>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</si>
  <si>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</si>
  <si>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</si>
  <si>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</si>
  <si>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</si>
  <si>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</si>
  <si>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>PROVEEDORES</t>
  </si>
  <si>
    <t>Proveedores por debajo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</si>
  <si>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</si>
  <si>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</si>
  <si>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</si>
  <si>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</si>
  <si>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</si>
  <si>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</si>
  <si>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</si>
  <si>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</si>
  <si>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Capital autorizado</t>
  </si>
  <si>
    <t>36</t>
  </si>
  <si>
    <t>Resultados del ejercicio</t>
  </si>
  <si>
    <t>3605</t>
  </si>
  <si>
    <t>Utilidad del ejercicio</t>
  </si>
  <si>
    <t>360501</t>
  </si>
  <si>
    <t xml:space="preserve">UTILIDAD DEL EJERCICIO ANTERIORES </t>
  </si>
  <si>
    <t>Utilidad de ejercicios anteriores</t>
  </si>
  <si>
    <t xml:space="preserve">TOTAL PATRIMONIO </t>
  </si>
  <si>
    <t>TOTAL PATRIMONIO  Y PASIVO</t>
  </si>
  <si>
    <t>UTILIDAD ACUMULADA DEL CUATRIMESTRE</t>
  </si>
  <si>
    <t xml:space="preserve">industria y comercio </t>
  </si>
  <si>
    <t>Autorretencion de renta</t>
  </si>
  <si>
    <t>EXOGENA</t>
  </si>
  <si>
    <t xml:space="preserve">Horas extras </t>
  </si>
  <si>
    <t xml:space="preserve">servicios </t>
  </si>
  <si>
    <t>inmuebles</t>
  </si>
  <si>
    <t>intereses prestamos socios</t>
  </si>
  <si>
    <t xml:space="preserve"> </t>
  </si>
  <si>
    <t>Olga gomez (metalmartinez)</t>
  </si>
  <si>
    <t>Liquidez</t>
  </si>
  <si>
    <t>Activos Circulantes</t>
  </si>
  <si>
    <t>Pasivos Circulantes</t>
  </si>
  <si>
    <t>Razón de Endeudamiento</t>
  </si>
  <si>
    <t>Deudas Totales</t>
  </si>
  <si>
    <t>Activos totales</t>
  </si>
  <si>
    <t>Margen de utilidad</t>
  </si>
  <si>
    <t>Utilidad Neta</t>
  </si>
  <si>
    <t>Ventas</t>
  </si>
  <si>
    <t xml:space="preserve">Rendimiento sobre los activos totales (RAT) </t>
  </si>
  <si>
    <t>Razones Financieras</t>
  </si>
  <si>
    <t>Prueba Acida</t>
  </si>
  <si>
    <t>Activos Circulantes - Inventarios</t>
  </si>
  <si>
    <t>Administración de Activos</t>
  </si>
  <si>
    <t>Rotación Activos Fijos</t>
  </si>
  <si>
    <t>Activos Fijos Netos</t>
  </si>
  <si>
    <t>Rotación Activos Totales</t>
  </si>
  <si>
    <t>Activos Totales</t>
  </si>
  <si>
    <t>Administración de Deudas</t>
  </si>
  <si>
    <t>Rentabilidad</t>
  </si>
  <si>
    <t xml:space="preserve">UTILIDAD 2018 </t>
  </si>
  <si>
    <t xml:space="preserve">UTILIDAD 2019 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</si>
  <si>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</si>
  <si>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</si>
  <si>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</si>
  <si>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</si>
  <si>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</si>
  <si>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</si>
  <si>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</si>
  <si>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</si>
  <si>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 xml:space="preserve">MAQUINARIA Y EQUIPO </t>
  </si>
  <si>
    <t>Autorretencion</t>
  </si>
  <si>
    <t xml:space="preserve">Industria y comercio </t>
  </si>
  <si>
    <t>la empresa roto su activo totales el 0,21</t>
  </si>
  <si>
    <t xml:space="preserve">UTILIDAD MENSUAL </t>
  </si>
  <si>
    <t>ENERO</t>
  </si>
  <si>
    <t xml:space="preserve">MARZO </t>
  </si>
  <si>
    <t xml:space="preserve">JULIO </t>
  </si>
  <si>
    <t>NOVIEMBRE</t>
  </si>
  <si>
    <t>OCTUBRE</t>
  </si>
  <si>
    <t>INFORMES AÑO 2020</t>
  </si>
  <si>
    <t>Mov. 02/01/2020 a 31/01/2020</t>
  </si>
  <si>
    <t>Saldos a 31/01/2020</t>
  </si>
  <si>
    <t>Mov. 01/02/2020 a 28/02/2020</t>
  </si>
  <si>
    <t>Saldos a 28/02/2020</t>
  </si>
  <si>
    <t>Mov. 01/03/2020 a 31/03/2020</t>
  </si>
  <si>
    <t>Saldos a 31/03/2020</t>
  </si>
  <si>
    <t>Mov. 01/04/2020 a 30/04/2020</t>
  </si>
  <si>
    <t>Saldos a 30/04/2020</t>
  </si>
  <si>
    <t>Mov. 02/05/2020 a 31/05/2020</t>
  </si>
  <si>
    <t>Mov. 01/06/2020 a 30/06/2020</t>
  </si>
  <si>
    <t>Saldos a 28/06/2020</t>
  </si>
  <si>
    <t>Mov. 01/07/2020 a 31/07/2020</t>
  </si>
  <si>
    <t>Saldos a 31/07/2020</t>
  </si>
  <si>
    <t>Mov. 01/08/2020 a 30/08/2020</t>
  </si>
  <si>
    <t>Saldos a 30/08/2020</t>
  </si>
  <si>
    <t>Mov. 01/09/2020 a 31/09/2020</t>
  </si>
  <si>
    <t>Saldos a 31/09/2020</t>
  </si>
  <si>
    <t>Mov. 01/10/2020 a 31/10/2020</t>
  </si>
  <si>
    <t>Saldos a 31/10/2020</t>
  </si>
  <si>
    <t>Mov. 01/11/2020 a 30/11/2020</t>
  </si>
  <si>
    <t>Saldos a 30/11/2020</t>
  </si>
  <si>
    <t>Mov. 01/12/2020 a 30/12/2020</t>
  </si>
  <si>
    <t>Saldos a 31/12/2020</t>
  </si>
  <si>
    <t>Drogas y medicamentos</t>
  </si>
  <si>
    <t xml:space="preserve">Clientes varios </t>
  </si>
  <si>
    <t xml:space="preserve">Prima </t>
  </si>
  <si>
    <t>VENTAS FISCALES 2020</t>
  </si>
  <si>
    <t>VENTAS SIN IVA 2020</t>
  </si>
  <si>
    <t>GASTOS 2020</t>
  </si>
  <si>
    <t>UTILIDAD 2020</t>
  </si>
  <si>
    <t>GASTOS  2020</t>
  </si>
  <si>
    <t>FUMIGACION</t>
  </si>
  <si>
    <t>Gonzalez Bohorques</t>
  </si>
  <si>
    <t xml:space="preserve">Retención en la fuente </t>
  </si>
  <si>
    <t xml:space="preserve">Reteica </t>
  </si>
  <si>
    <t>A 31 DE DICIEMBRE  DE 2020</t>
  </si>
  <si>
    <t>Davivienda</t>
  </si>
  <si>
    <t>Ajc Inmobiliaria</t>
  </si>
  <si>
    <t>la empresa roto su activo el 0,36</t>
  </si>
  <si>
    <t>La empresa cuenta con el 99% de respaldo de los activos</t>
  </si>
  <si>
    <t>con el activo que tenemos hay el 73,07% para pagar el pasivo</t>
  </si>
  <si>
    <t>la empresa de los activos debe el 0,010</t>
  </si>
  <si>
    <t>el margen de utilidad es del 9,19%</t>
  </si>
  <si>
    <t>la empresa puede utilizarr el 2,32% de sus activos para generar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</si>
</sst>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\ #,##0;\-&quot;$&quot;\ #,##0"/>
    <numFmt numFmtId="7" formatCode="&quot;$&quot;\ #,##0.00;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b/>
      <sz val="10"/>
      <name val="MS Sans Serif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 val="singleAccounting"/>
      <sz val="10"/>
      <name val="Arial"/>
      <family val="2"/>
    </font>
    <font>
      <sz val="8"/>
      <color theme="3"/>
      <name val="MS Sans Serif"/>
      <family val="2"/>
    </font>
    <font>
      <sz val="8"/>
      <color rgb="FF0070C0"/>
      <name val="MS Sans Serif"/>
      <family val="2"/>
    </font>
    <font>
      <sz val="8"/>
      <name val="MS Sans Serif"/>
      <charset val="1"/>
    </font>
    <font>
      <sz val="8"/>
      <name val="MS Sans Serif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1"/>
      </top>
      <bottom style="medium">
        <color indexed="64"/>
      </bottom>
      <diagonal/>
    </border>
    <border>
      <left/>
      <right/>
      <top style="thin">
        <color indexed="6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>
      <alignment vertical="top"/>
    </xf>
    <xf numFmtId="0" fontId="23" fillId="0" borderId="0"/>
    <xf numFmtId="169" fontId="23" fillId="0" borderId="0" applyFont="0" applyFill="0" applyBorder="0" applyAlignment="0" applyProtection="0"/>
  </cellStyleXfs>
  <cellXfs count="228">
    <xf numFmtId="0" fontId="0" fillId="0" borderId="0" xfId="0"/>
    <xf numFmtId="0" fontId="1" fillId="0" borderId="0" xfId="1"/>
    <xf numFmtId="0" fontId="1" fillId="0" borderId="10" xfId="1" applyBorder="1"/>
    <xf numFmtId="0" fontId="1" fillId="0" borderId="12" xfId="1" applyBorder="1"/>
    <xf numFmtId="0" fontId="1" fillId="3" borderId="13" xfId="1" applyFill="1" applyBorder="1"/>
    <xf numFmtId="165" fontId="0" fillId="0" borderId="0" xfId="0" applyNumberFormat="1"/>
    <xf numFmtId="7" fontId="0" fillId="0" borderId="0" xfId="0" applyNumberFormat="1"/>
    <xf numFmtId="7" fontId="2" fillId="0" borderId="0" xfId="1" applyNumberFormat="1" applyFont="1" applyAlignment="1">
      <alignment horizontal="righ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7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right" vertical="top" wrapText="1"/>
    </xf>
    <xf numFmtId="0" fontId="6" fillId="2" borderId="3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right" vertical="top" wrapText="1"/>
    </xf>
    <xf numFmtId="7" fontId="2" fillId="3" borderId="2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7" fontId="2" fillId="0" borderId="8" xfId="1" applyNumberFormat="1" applyFont="1" applyBorder="1" applyAlignment="1">
      <alignment horizontal="right" vertical="top" wrapText="1"/>
    </xf>
    <xf numFmtId="7" fontId="2" fillId="0" borderId="2" xfId="1" applyNumberFormat="1" applyFont="1" applyBorder="1" applyAlignment="1">
      <alignment horizontal="right" vertical="top" wrapText="1"/>
    </xf>
    <xf numFmtId="7" fontId="2" fillId="4" borderId="2" xfId="1" applyNumberFormat="1" applyFont="1" applyFill="1" applyBorder="1" applyAlignment="1">
      <alignment horizontal="right" vertical="top" wrapText="1"/>
    </xf>
    <xf numFmtId="0" fontId="2" fillId="0" borderId="9" xfId="1" applyFont="1" applyBorder="1" applyAlignment="1">
      <alignment horizontal="center" vertical="top" wrapText="1"/>
    </xf>
    <xf numFmtId="0" fontId="3" fillId="0" borderId="9" xfId="1" applyFont="1" applyBorder="1" applyAlignment="1">
      <alignment horizontal="left" vertical="top" wrapText="1"/>
    </xf>
    <xf numFmtId="7" fontId="2" fillId="5" borderId="2" xfId="1" applyNumberFormat="1" applyFont="1" applyFill="1" applyBorder="1" applyAlignment="1">
      <alignment horizontal="right" vertical="top" wrapText="1"/>
    </xf>
    <xf numFmtId="7" fontId="2" fillId="6" borderId="8" xfId="1" applyNumberFormat="1" applyFont="1" applyFill="1" applyBorder="1" applyAlignment="1">
      <alignment horizontal="right" vertical="top" wrapText="1"/>
    </xf>
    <xf numFmtId="7" fontId="2" fillId="0" borderId="4" xfId="1" applyNumberFormat="1" applyFont="1" applyBorder="1" applyAlignment="1">
      <alignment horizontal="right" vertical="top" wrapText="1"/>
    </xf>
    <xf numFmtId="0" fontId="2" fillId="0" borderId="12" xfId="1" applyFont="1" applyBorder="1" applyAlignment="1">
      <alignment horizontal="left" vertical="top" wrapText="1"/>
    </xf>
    <xf numFmtId="0" fontId="2" fillId="3" borderId="14" xfId="1" applyFont="1" applyFill="1" applyBorder="1" applyAlignment="1">
      <alignment horizontal="left" vertical="top" wrapText="1"/>
    </xf>
    <xf numFmtId="7" fontId="2" fillId="3" borderId="15" xfId="1" applyNumberFormat="1" applyFont="1" applyFill="1" applyBorder="1" applyAlignment="1">
      <alignment horizontal="right" vertical="top" wrapText="1"/>
    </xf>
    <xf numFmtId="0" fontId="0" fillId="0" borderId="0" xfId="0" applyFill="1"/>
    <xf numFmtId="7" fontId="2" fillId="0" borderId="8" xfId="1" applyNumberFormat="1" applyFont="1" applyFill="1" applyBorder="1" applyAlignment="1">
      <alignment horizontal="right" vertical="top" wrapText="1"/>
    </xf>
    <xf numFmtId="7" fontId="2" fillId="0" borderId="2" xfId="1" applyNumberFormat="1" applyFont="1" applyFill="1" applyBorder="1" applyAlignment="1">
      <alignment horizontal="right" vertical="top" wrapText="1"/>
    </xf>
    <xf numFmtId="0" fontId="2" fillId="0" borderId="9" xfId="1" applyFont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  <xf numFmtId="0" fontId="2" fillId="0" borderId="8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center" vertical="top" wrapText="1"/>
    </xf>
    <xf numFmtId="0" fontId="3" fillId="0" borderId="9" xfId="1" applyFont="1" applyFill="1" applyBorder="1" applyAlignment="1">
      <alignment horizontal="left" vertical="top" wrapText="1"/>
    </xf>
    <xf numFmtId="0" fontId="2" fillId="7" borderId="8" xfId="1" applyFont="1" applyFill="1" applyBorder="1" applyAlignment="1">
      <alignment horizontal="left" vertical="top" wrapText="1"/>
    </xf>
    <xf numFmtId="0" fontId="2" fillId="7" borderId="9" xfId="1" applyFont="1" applyFill="1" applyBorder="1" applyAlignment="1">
      <alignment horizontal="left" vertical="top" wrapText="1"/>
    </xf>
    <xf numFmtId="7" fontId="2" fillId="7" borderId="2" xfId="1" applyNumberFormat="1" applyFont="1" applyFill="1" applyBorder="1" applyAlignment="1">
      <alignment horizontal="right" vertical="top" wrapText="1"/>
    </xf>
    <xf numFmtId="0" fontId="2" fillId="7" borderId="9" xfId="1" applyFont="1" applyFill="1" applyBorder="1" applyAlignment="1">
      <alignment horizontal="center" vertical="top" wrapText="1"/>
    </xf>
    <xf numFmtId="7" fontId="2" fillId="7" borderId="8" xfId="1" applyNumberFormat="1" applyFont="1" applyFill="1" applyBorder="1" applyAlignment="1">
      <alignment horizontal="right" vertical="top" wrapText="1"/>
    </xf>
    <xf numFmtId="7" fontId="2" fillId="8" borderId="2" xfId="1" applyNumberFormat="1" applyFont="1" applyFill="1" applyBorder="1" applyAlignment="1">
      <alignment horizontal="right" vertical="top" wrapText="1"/>
    </xf>
    <xf numFmtId="0" fontId="1" fillId="0" borderId="26" xfId="1" applyBorder="1"/>
    <xf numFmtId="0" fontId="1" fillId="0" borderId="25" xfId="1" applyBorder="1"/>
    <xf numFmtId="0" fontId="1" fillId="0" borderId="27" xfId="1" applyBorder="1"/>
    <xf numFmtId="3" fontId="3" fillId="0" borderId="16" xfId="1" applyNumberFormat="1" applyFont="1" applyBorder="1" applyAlignment="1">
      <alignment vertical="top" wrapText="1"/>
    </xf>
    <xf numFmtId="3" fontId="3" fillId="0" borderId="28" xfId="1" applyNumberFormat="1" applyFont="1" applyBorder="1" applyAlignment="1">
      <alignment vertical="top" wrapText="1"/>
    </xf>
    <xf numFmtId="3" fontId="3" fillId="0" borderId="29" xfId="1" applyNumberFormat="1" applyFont="1" applyBorder="1" applyAlignment="1">
      <alignment vertical="top" wrapText="1"/>
    </xf>
    <xf numFmtId="3" fontId="8" fillId="0" borderId="30" xfId="2" applyNumberFormat="1" applyFont="1" applyBorder="1"/>
    <xf numFmtId="3" fontId="3" fillId="0" borderId="31" xfId="1" applyNumberFormat="1" applyFont="1" applyBorder="1" applyAlignment="1">
      <alignment horizontal="center" vertical="top" wrapText="1"/>
    </xf>
    <xf numFmtId="3" fontId="3" fillId="0" borderId="32" xfId="1" applyNumberFormat="1" applyFont="1" applyBorder="1" applyAlignment="1">
      <alignment horizontal="center" vertical="top" wrapText="1"/>
    </xf>
    <xf numFmtId="166" fontId="8" fillId="0" borderId="30" xfId="4" applyNumberFormat="1" applyFont="1" applyBorder="1"/>
    <xf numFmtId="3" fontId="3" fillId="0" borderId="33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13" xfId="1" applyBorder="1"/>
    <xf numFmtId="0" fontId="1" fillId="0" borderId="34" xfId="1" applyBorder="1"/>
    <xf numFmtId="0" fontId="1" fillId="0" borderId="35" xfId="1" applyBorder="1"/>
    <xf numFmtId="3" fontId="3" fillId="0" borderId="36" xfId="1" applyNumberFormat="1" applyFont="1" applyBorder="1" applyAlignment="1">
      <alignment vertical="top" wrapText="1"/>
    </xf>
    <xf numFmtId="3" fontId="3" fillId="0" borderId="37" xfId="1" applyNumberFormat="1" applyFont="1" applyBorder="1" applyAlignment="1">
      <alignment vertical="top" wrapText="1"/>
    </xf>
    <xf numFmtId="3" fontId="3" fillId="0" borderId="38" xfId="1" applyNumberFormat="1" applyFont="1" applyBorder="1" applyAlignment="1">
      <alignment vertical="top" wrapText="1"/>
    </xf>
    <xf numFmtId="3" fontId="0" fillId="0" borderId="30" xfId="3" applyNumberFormat="1" applyFont="1" applyBorder="1"/>
    <xf numFmtId="3" fontId="0" fillId="0" borderId="39" xfId="3" applyNumberFormat="1" applyFont="1" applyBorder="1"/>
    <xf numFmtId="3" fontId="1" fillId="0" borderId="40" xfId="1" applyNumberFormat="1" applyBorder="1"/>
    <xf numFmtId="3" fontId="1" fillId="0" borderId="41" xfId="1" applyNumberFormat="1" applyBorder="1"/>
    <xf numFmtId="3" fontId="3" fillId="0" borderId="0" xfId="1" applyNumberFormat="1" applyFont="1" applyAlignment="1">
      <alignment vertical="top" wrapText="1"/>
    </xf>
    <xf numFmtId="167" fontId="8" fillId="0" borderId="30" xfId="2" applyNumberFormat="1" applyFont="1" applyBorder="1"/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42" xfId="2" applyNumberFormat="1" applyFont="1" applyBorder="1"/>
    <xf numFmtId="167" fontId="8" fillId="0" borderId="43" xfId="2" applyNumberFormat="1" applyFont="1" applyBorder="1"/>
    <xf numFmtId="3" fontId="2" fillId="0" borderId="42" xfId="1" applyNumberFormat="1" applyFont="1" applyBorder="1" applyAlignment="1">
      <alignment horizontal="right" vertical="top" wrapText="1"/>
    </xf>
    <xf numFmtId="167" fontId="8" fillId="0" borderId="44" xfId="2" applyNumberFormat="1" applyFont="1" applyBorder="1"/>
    <xf numFmtId="168" fontId="1" fillId="0" borderId="40" xfId="1" applyNumberFormat="1" applyBorder="1"/>
    <xf numFmtId="168" fontId="1" fillId="0" borderId="0" xfId="1" applyNumberFormat="1"/>
    <xf numFmtId="3" fontId="2" fillId="0" borderId="30" xfId="1" applyNumberFormat="1" applyFont="1" applyBorder="1" applyAlignment="1">
      <alignment horizontal="right" vertical="top" wrapText="1"/>
    </xf>
    <xf numFmtId="3" fontId="2" fillId="0" borderId="0" xfId="1" applyNumberFormat="1" applyFont="1" applyBorder="1" applyAlignment="1">
      <alignment horizontal="right" vertical="top" wrapText="1"/>
    </xf>
    <xf numFmtId="3" fontId="3" fillId="0" borderId="30" xfId="1" applyNumberFormat="1" applyFont="1" applyBorder="1" applyAlignment="1">
      <alignment horizontal="center" vertical="top" wrapText="1"/>
    </xf>
    <xf numFmtId="7" fontId="2" fillId="0" borderId="30" xfId="1" applyNumberFormat="1" applyFont="1" applyBorder="1" applyAlignment="1">
      <alignment horizontal="right" vertical="top" wrapText="1"/>
    </xf>
    <xf numFmtId="7" fontId="1" fillId="0" borderId="0" xfId="1" applyNumberFormat="1"/>
    <xf numFmtId="3" fontId="3" fillId="0" borderId="46" xfId="1" applyNumberFormat="1" applyFont="1" applyBorder="1" applyAlignment="1">
      <alignment vertical="top" wrapText="1"/>
    </xf>
    <xf numFmtId="3" fontId="8" fillId="0" borderId="45" xfId="2" applyNumberFormat="1" applyFont="1" applyBorder="1"/>
    <xf numFmtId="3" fontId="3" fillId="0" borderId="0" xfId="1" applyNumberFormat="1" applyFont="1" applyBorder="1" applyAlignment="1">
      <alignment vertical="top" wrapText="1"/>
    </xf>
    <xf numFmtId="3" fontId="0" fillId="0" borderId="0" xfId="3" applyNumberFormat="1" applyFont="1" applyBorder="1"/>
    <xf numFmtId="3" fontId="1" fillId="0" borderId="0" xfId="1" applyNumberFormat="1" applyBorder="1"/>
    <xf numFmtId="167" fontId="8" fillId="0" borderId="0" xfId="2" applyNumberFormat="1" applyFont="1" applyBorder="1"/>
    <xf numFmtId="168" fontId="1" fillId="0" borderId="0" xfId="1" applyNumberFormat="1" applyBorder="1"/>
    <xf numFmtId="7" fontId="2" fillId="0" borderId="0" xfId="1" applyNumberFormat="1" applyFont="1" applyBorder="1" applyAlignment="1">
      <alignment horizontal="right" vertical="top" wrapText="1"/>
    </xf>
    <xf numFmtId="3" fontId="1" fillId="0" borderId="0" xfId="1" applyNumberFormat="1"/>
    <xf numFmtId="0" fontId="9" fillId="0" borderId="0" xfId="5" applyProtection="1">
      <alignment vertical="top"/>
      <protection locked="0"/>
    </xf>
    <xf numFmtId="0" fontId="11" fillId="0" borderId="0" xfId="5" applyFont="1" applyAlignment="1">
      <alignment horizontal="center" vertical="top"/>
    </xf>
    <xf numFmtId="3" fontId="13" fillId="0" borderId="0" xfId="5" applyNumberFormat="1" applyFont="1" applyAlignment="1">
      <alignment horizontal="center" vertical="top"/>
    </xf>
    <xf numFmtId="3" fontId="14" fillId="0" borderId="0" xfId="5" applyNumberFormat="1" applyFont="1" applyFill="1" applyAlignment="1">
      <alignment horizontal="right" vertical="top"/>
    </xf>
    <xf numFmtId="0" fontId="9" fillId="0" borderId="0" xfId="5" applyFont="1" applyProtection="1">
      <alignment vertical="top"/>
      <protection locked="0"/>
    </xf>
    <xf numFmtId="0" fontId="14" fillId="0" borderId="0" xfId="5" applyFont="1" applyAlignment="1">
      <alignment horizontal="center" vertical="top"/>
    </xf>
    <xf numFmtId="7" fontId="14" fillId="0" borderId="0" xfId="5" applyNumberFormat="1" applyFont="1" applyAlignment="1">
      <alignment horizontal="center" vertical="top"/>
    </xf>
    <xf numFmtId="0" fontId="13" fillId="0" borderId="0" xfId="5" applyFont="1" applyAlignment="1">
      <alignment horizontal="center" vertical="top"/>
    </xf>
    <xf numFmtId="7" fontId="12" fillId="0" borderId="0" xfId="5" applyNumberFormat="1" applyFont="1" applyAlignment="1">
      <alignment horizontal="center" vertical="top"/>
    </xf>
    <xf numFmtId="3" fontId="15" fillId="9" borderId="48" xfId="5" applyNumberFormat="1" applyFont="1" applyFill="1" applyBorder="1" applyAlignment="1">
      <alignment horizontal="center" vertical="top"/>
    </xf>
    <xf numFmtId="3" fontId="14" fillId="0" borderId="0" xfId="5" applyNumberFormat="1" applyFont="1" applyAlignment="1">
      <alignment horizontal="center" vertical="top"/>
    </xf>
    <xf numFmtId="0" fontId="12" fillId="0" borderId="0" xfId="5" applyFont="1" applyAlignment="1">
      <alignment horizontal="center" vertical="top"/>
    </xf>
    <xf numFmtId="3" fontId="17" fillId="9" borderId="48" xfId="5" applyNumberFormat="1" applyFont="1" applyFill="1" applyBorder="1" applyAlignment="1">
      <alignment horizontal="center" vertical="top"/>
    </xf>
    <xf numFmtId="7" fontId="2" fillId="3" borderId="11" xfId="1" applyNumberFormat="1" applyFont="1" applyFill="1" applyBorder="1" applyAlignment="1">
      <alignment horizontal="right" vertical="top" wrapText="1"/>
    </xf>
    <xf numFmtId="7" fontId="3" fillId="10" borderId="15" xfId="1" applyNumberFormat="1" applyFont="1" applyFill="1" applyBorder="1" applyAlignment="1">
      <alignment horizontal="right" vertical="top" wrapText="1"/>
    </xf>
    <xf numFmtId="7" fontId="18" fillId="3" borderId="47" xfId="1" applyNumberFormat="1" applyFont="1" applyFill="1" applyBorder="1" applyAlignment="1">
      <alignment horizontal="right" vertical="top" wrapText="1"/>
    </xf>
    <xf numFmtId="7" fontId="2" fillId="0" borderId="42" xfId="1" applyNumberFormat="1" applyFont="1" applyBorder="1" applyAlignment="1">
      <alignment horizontal="right" vertical="top" wrapText="1"/>
    </xf>
    <xf numFmtId="168" fontId="1" fillId="0" borderId="47" xfId="1" applyNumberFormat="1" applyBorder="1"/>
    <xf numFmtId="3" fontId="3" fillId="0" borderId="42" xfId="1" applyNumberFormat="1" applyFont="1" applyBorder="1" applyAlignment="1">
      <alignment horizontal="center" vertical="top" wrapText="1"/>
    </xf>
    <xf numFmtId="3" fontId="3" fillId="0" borderId="16" xfId="1" applyNumberFormat="1" applyFont="1" applyBorder="1" applyAlignment="1">
      <alignment horizontal="center" vertical="top" wrapText="1"/>
    </xf>
    <xf numFmtId="168" fontId="1" fillId="0" borderId="16" xfId="1" applyNumberFormat="1" applyBorder="1"/>
    <xf numFmtId="3" fontId="2" fillId="0" borderId="39" xfId="1" applyNumberFormat="1" applyFont="1" applyBorder="1" applyAlignment="1">
      <alignment horizontal="right" vertical="top" wrapText="1"/>
    </xf>
    <xf numFmtId="3" fontId="3" fillId="0" borderId="49" xfId="1" applyNumberFormat="1" applyFont="1" applyBorder="1" applyAlignment="1">
      <alignment horizontal="center" vertical="top" wrapText="1"/>
    </xf>
    <xf numFmtId="7" fontId="2" fillId="0" borderId="39" xfId="1" applyNumberFormat="1" applyFont="1" applyBorder="1" applyAlignment="1">
      <alignment horizontal="right" vertical="top" wrapText="1"/>
    </xf>
    <xf numFmtId="3" fontId="3" fillId="0" borderId="50" xfId="1" applyNumberFormat="1" applyFont="1" applyBorder="1" applyAlignment="1">
      <alignment horizontal="center" vertical="top" wrapText="1"/>
    </xf>
    <xf numFmtId="168" fontId="1" fillId="0" borderId="41" xfId="1" applyNumberFormat="1" applyBorder="1"/>
    <xf numFmtId="3" fontId="8" fillId="0" borderId="51" xfId="2" applyNumberFormat="1" applyFont="1" applyBorder="1"/>
    <xf numFmtId="0" fontId="6" fillId="2" borderId="18" xfId="1" applyFont="1" applyFill="1" applyBorder="1" applyAlignment="1">
      <alignment horizontal="center" vertical="top" wrapText="1"/>
    </xf>
    <xf numFmtId="0" fontId="13" fillId="0" borderId="0" xfId="5" applyFont="1" applyAlignment="1">
      <alignment horizontal="left" vertical="top"/>
    </xf>
    <xf numFmtId="0" fontId="9" fillId="0" borderId="0" xfId="5" applyAlignment="1" applyProtection="1">
      <alignment horizontal="center" vertical="top"/>
      <protection locked="0"/>
    </xf>
    <xf numFmtId="0" fontId="11" fillId="0" borderId="0" xfId="5" applyFont="1" applyAlignment="1">
      <alignment horizontal="left" vertical="top"/>
    </xf>
    <xf numFmtId="0" fontId="12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23" fillId="0" borderId="0" xfId="6"/>
    <xf numFmtId="169" fontId="25" fillId="0" borderId="0" xfId="7" applyFont="1"/>
    <xf numFmtId="0" fontId="23" fillId="0" borderId="0" xfId="6" applyAlignment="1">
      <alignment horizontal="center"/>
    </xf>
    <xf numFmtId="0" fontId="22" fillId="0" borderId="0" xfId="6" applyFont="1" applyAlignment="1">
      <alignment horizontal="center"/>
    </xf>
    <xf numFmtId="3" fontId="23" fillId="0" borderId="0" xfId="6" applyNumberFormat="1"/>
    <xf numFmtId="3" fontId="23" fillId="0" borderId="52" xfId="6" applyNumberFormat="1" applyBorder="1"/>
    <xf numFmtId="7" fontId="2" fillId="11" borderId="8" xfId="1" applyNumberFormat="1" applyFont="1" applyFill="1" applyBorder="1" applyAlignment="1">
      <alignment horizontal="right" vertical="top" wrapText="1"/>
    </xf>
    <xf numFmtId="0" fontId="0" fillId="4" borderId="0" xfId="0" applyFill="1"/>
    <xf numFmtId="7" fontId="2" fillId="4" borderId="8" xfId="1" applyNumberFormat="1" applyFont="1" applyFill="1" applyBorder="1" applyAlignment="1">
      <alignment horizontal="right" vertical="top" wrapText="1"/>
    </xf>
    <xf numFmtId="7" fontId="2" fillId="4" borderId="15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wrapText="1"/>
    </xf>
    <xf numFmtId="0" fontId="2" fillId="0" borderId="9" xfId="1" applyFont="1" applyBorder="1" applyAlignment="1">
      <alignment horizontal="left" wrapText="1"/>
    </xf>
    <xf numFmtId="7" fontId="2" fillId="0" borderId="11" xfId="1" applyNumberFormat="1" applyFont="1" applyBorder="1" applyAlignment="1">
      <alignment horizontal="right" wrapText="1"/>
    </xf>
    <xf numFmtId="7" fontId="2" fillId="0" borderId="2" xfId="1" applyNumberFormat="1" applyFont="1" applyBorder="1" applyAlignment="1">
      <alignment horizontal="right" wrapText="1"/>
    </xf>
    <xf numFmtId="0" fontId="2" fillId="0" borderId="9" xfId="1" applyFont="1" applyBorder="1" applyAlignment="1">
      <alignment horizontal="center" wrapText="1"/>
    </xf>
    <xf numFmtId="7" fontId="2" fillId="3" borderId="2" xfId="1" applyNumberFormat="1" applyFont="1" applyFill="1" applyBorder="1" applyAlignment="1">
      <alignment horizontal="right" wrapText="1"/>
    </xf>
    <xf numFmtId="7" fontId="2" fillId="0" borderId="8" xfId="1" applyNumberFormat="1" applyFont="1" applyBorder="1" applyAlignment="1">
      <alignment horizontal="right" wrapText="1"/>
    </xf>
    <xf numFmtId="7" fontId="2" fillId="0" borderId="2" xfId="1" applyNumberFormat="1" applyFont="1" applyFill="1" applyBorder="1" applyAlignment="1">
      <alignment horizontal="right" wrapText="1"/>
    </xf>
    <xf numFmtId="7" fontId="2" fillId="4" borderId="8" xfId="1" applyNumberFormat="1" applyFont="1" applyFill="1" applyBorder="1" applyAlignment="1">
      <alignment horizontal="right" wrapText="1"/>
    </xf>
    <xf numFmtId="0" fontId="0" fillId="0" borderId="0" xfId="0" applyAlignment="1"/>
    <xf numFmtId="0" fontId="14" fillId="0" borderId="0" xfId="5" applyFont="1" applyAlignment="1">
      <alignment horizontal="left" vertical="top"/>
    </xf>
    <xf numFmtId="0" fontId="13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2" fillId="0" borderId="10" xfId="1" applyFont="1" applyBorder="1" applyAlignment="1">
      <alignment horizontal="center" vertical="top" wrapText="1"/>
    </xf>
    <xf numFmtId="0" fontId="9" fillId="0" borderId="0" xfId="5" applyFill="1" applyProtection="1">
      <alignment vertical="top"/>
      <protection locked="0"/>
    </xf>
    <xf numFmtId="0" fontId="11" fillId="0" borderId="0" xfId="5" applyFont="1" applyFill="1" applyAlignment="1">
      <alignment horizontal="left" vertical="top"/>
    </xf>
    <xf numFmtId="0" fontId="12" fillId="0" borderId="0" xfId="5" applyFont="1" applyFill="1" applyAlignment="1">
      <alignment horizontal="right" vertical="top"/>
    </xf>
    <xf numFmtId="3" fontId="13" fillId="0" borderId="0" xfId="5" applyNumberFormat="1" applyFont="1" applyFill="1" applyAlignment="1">
      <alignment horizontal="right" vertical="top"/>
    </xf>
    <xf numFmtId="0" fontId="13" fillId="0" borderId="0" xfId="5" applyFont="1" applyFill="1" applyAlignment="1">
      <alignment horizontal="right" vertical="top"/>
    </xf>
    <xf numFmtId="0" fontId="12" fillId="0" borderId="0" xfId="5" applyFont="1" applyFill="1" applyAlignment="1">
      <alignment horizontal="left" vertical="top"/>
    </xf>
    <xf numFmtId="0" fontId="13" fillId="0" borderId="0" xfId="5" applyFont="1" applyFill="1" applyAlignment="1">
      <alignment horizontal="left" vertical="top"/>
    </xf>
    <xf numFmtId="0" fontId="14" fillId="0" borderId="0" xfId="5" applyFont="1" applyFill="1" applyAlignment="1">
      <alignment horizontal="left" vertical="top"/>
    </xf>
    <xf numFmtId="5" fontId="23" fillId="0" borderId="52" xfId="6" applyNumberFormat="1" applyBorder="1"/>
    <xf numFmtId="5" fontId="23" fillId="0" borderId="0" xfId="6" applyNumberFormat="1"/>
    <xf numFmtId="0" fontId="1" fillId="0" borderId="0" xfId="6" applyFont="1"/>
    <xf numFmtId="0" fontId="0" fillId="0" borderId="25" xfId="0" applyFill="1" applyBorder="1" applyAlignment="1">
      <alignment wrapText="1"/>
    </xf>
    <xf numFmtId="7" fontId="2" fillId="4" borderId="11" xfId="1" applyNumberFormat="1" applyFont="1" applyFill="1" applyBorder="1" applyAlignment="1">
      <alignment horizontal="right" wrapText="1"/>
    </xf>
    <xf numFmtId="7" fontId="2" fillId="4" borderId="0" xfId="1" applyNumberFormat="1" applyFont="1" applyFill="1" applyAlignment="1">
      <alignment horizontal="right" vertical="top" wrapText="1"/>
    </xf>
    <xf numFmtId="7" fontId="2" fillId="4" borderId="4" xfId="1" applyNumberFormat="1" applyFont="1" applyFill="1" applyBorder="1" applyAlignment="1">
      <alignment horizontal="right" vertical="top" wrapText="1"/>
    </xf>
    <xf numFmtId="0" fontId="14" fillId="0" borderId="0" xfId="5" applyFont="1" applyAlignment="1">
      <alignment horizontal="left" vertical="top"/>
    </xf>
    <xf numFmtId="7" fontId="26" fillId="0" borderId="2" xfId="1" applyNumberFormat="1" applyFont="1" applyFill="1" applyBorder="1" applyAlignment="1">
      <alignment horizontal="right" vertical="top" wrapText="1"/>
    </xf>
    <xf numFmtId="7" fontId="27" fillId="0" borderId="2" xfId="1" applyNumberFormat="1" applyFont="1" applyBorder="1" applyAlignment="1">
      <alignment horizontal="right" vertical="top" wrapText="1"/>
    </xf>
    <xf numFmtId="7" fontId="27" fillId="0" borderId="8" xfId="1" applyNumberFormat="1" applyFont="1" applyBorder="1" applyAlignment="1">
      <alignment horizontal="right" vertical="top" wrapText="1"/>
    </xf>
    <xf numFmtId="3" fontId="3" fillId="0" borderId="51" xfId="1" applyNumberFormat="1" applyFont="1" applyBorder="1" applyAlignment="1">
      <alignment horizontal="center" vertical="top" wrapText="1"/>
    </xf>
    <xf numFmtId="3" fontId="8" fillId="0" borderId="0" xfId="2" applyNumberFormat="1" applyFont="1" applyBorder="1"/>
    <xf numFmtId="166" fontId="8" fillId="0" borderId="0" xfId="4" applyNumberFormat="1" applyFont="1" applyBorder="1"/>
    <xf numFmtId="7" fontId="29" fillId="0" borderId="8" xfId="1" applyNumberFormat="1" applyFont="1" applyFill="1" applyBorder="1" applyAlignment="1">
      <alignment horizontal="right" vertical="top" wrapText="1"/>
    </xf>
    <xf numFmtId="7" fontId="29" fillId="0" borderId="2" xfId="1" applyNumberFormat="1" applyFont="1" applyBorder="1" applyAlignment="1">
      <alignment horizontal="right" vertical="top" wrapText="1"/>
    </xf>
    <xf numFmtId="0" fontId="29" fillId="0" borderId="9" xfId="1" applyFont="1" applyBorder="1" applyAlignment="1">
      <alignment horizontal="center" vertical="top" wrapText="1"/>
    </xf>
    <xf numFmtId="7" fontId="29" fillId="3" borderId="2" xfId="1" applyNumberFormat="1" applyFont="1" applyFill="1" applyBorder="1" applyAlignment="1">
      <alignment horizontal="right" vertical="top" wrapText="1"/>
    </xf>
    <xf numFmtId="7" fontId="29" fillId="0" borderId="2" xfId="1" applyNumberFormat="1" applyFont="1" applyFill="1" applyBorder="1" applyAlignment="1">
      <alignment horizontal="right" vertical="top" wrapText="1"/>
    </xf>
    <xf numFmtId="7" fontId="29" fillId="0" borderId="2" xfId="0" applyNumberFormat="1" applyFont="1" applyBorder="1" applyAlignment="1">
      <alignment horizontal="right" vertical="top" wrapText="1"/>
    </xf>
    <xf numFmtId="7" fontId="29" fillId="0" borderId="8" xfId="1" applyNumberFormat="1" applyFont="1" applyBorder="1" applyAlignment="1">
      <alignment horizontal="right" vertical="top" wrapText="1"/>
    </xf>
    <xf numFmtId="7" fontId="29" fillId="4" borderId="8" xfId="1" applyNumberFormat="1" applyFont="1" applyFill="1" applyBorder="1" applyAlignment="1">
      <alignment horizontal="right" vertical="top" wrapText="1"/>
    </xf>
    <xf numFmtId="3" fontId="15" fillId="12" borderId="48" xfId="5" applyNumberFormat="1" applyFont="1" applyFill="1" applyBorder="1" applyAlignment="1">
      <alignment horizontal="center" vertical="top"/>
    </xf>
    <xf numFmtId="3" fontId="17" fillId="12" borderId="48" xfId="5" applyNumberFormat="1" applyFont="1" applyFill="1" applyBorder="1" applyAlignment="1">
      <alignment horizontal="center" vertical="top"/>
    </xf>
    <xf numFmtId="3" fontId="30" fillId="6" borderId="0" xfId="5" applyNumberFormat="1" applyFont="1" applyFill="1" applyAlignment="1" applyProtection="1">
      <alignment horizontal="center" vertical="top"/>
      <protection locked="0"/>
    </xf>
    <xf numFmtId="3" fontId="9" fillId="0" borderId="0" xfId="5" applyNumberFormat="1" applyAlignment="1" applyProtection="1">
      <alignment horizontal="center" vertical="top"/>
      <protection locked="0"/>
    </xf>
    <xf numFmtId="0" fontId="14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3" fontId="3" fillId="0" borderId="28" xfId="1" applyNumberFormat="1" applyFont="1" applyFill="1" applyBorder="1" applyAlignment="1">
      <alignment vertical="top" wrapText="1"/>
    </xf>
    <xf numFmtId="3" fontId="8" fillId="0" borderId="30" xfId="2" applyNumberFormat="1" applyFont="1" applyFill="1" applyBorder="1"/>
    <xf numFmtId="3" fontId="8" fillId="0" borderId="42" xfId="2" applyNumberFormat="1" applyFont="1" applyFill="1" applyBorder="1"/>
    <xf numFmtId="3" fontId="19" fillId="0" borderId="47" xfId="2" applyNumberFormat="1" applyFont="1" applyFill="1" applyBorder="1"/>
    <xf numFmtId="3" fontId="3" fillId="13" borderId="28" xfId="1" applyNumberFormat="1" applyFont="1" applyFill="1" applyBorder="1" applyAlignment="1">
      <alignment vertical="top" wrapText="1"/>
    </xf>
    <xf numFmtId="3" fontId="8" fillId="13" borderId="30" xfId="2" applyNumberFormat="1" applyFont="1" applyFill="1" applyBorder="1"/>
    <xf numFmtId="3" fontId="8" fillId="13" borderId="42" xfId="2" applyNumberFormat="1" applyFont="1" applyFill="1" applyBorder="1"/>
    <xf numFmtId="3" fontId="8" fillId="13" borderId="51" xfId="2" applyNumberFormat="1" applyFont="1" applyFill="1" applyBorder="1"/>
    <xf numFmtId="3" fontId="0" fillId="0" borderId="30" xfId="3" applyNumberFormat="1" applyFont="1" applyFill="1" applyBorder="1"/>
    <xf numFmtId="3" fontId="3" fillId="14" borderId="21" xfId="1" applyNumberFormat="1" applyFont="1" applyFill="1" applyBorder="1" applyAlignment="1">
      <alignment vertical="top" wrapText="1"/>
    </xf>
    <xf numFmtId="3" fontId="8" fillId="14" borderId="30" xfId="2" applyNumberFormat="1" applyFont="1" applyFill="1" applyBorder="1"/>
    <xf numFmtId="3" fontId="8" fillId="14" borderId="45" xfId="2" applyNumberFormat="1" applyFont="1" applyFill="1" applyBorder="1"/>
    <xf numFmtId="3" fontId="3" fillId="0" borderId="47" xfId="1" applyNumberFormat="1" applyFont="1" applyFill="1" applyBorder="1" applyAlignment="1">
      <alignment vertical="top" wrapText="1"/>
    </xf>
    <xf numFmtId="3" fontId="3" fillId="14" borderId="47" xfId="1" applyNumberFormat="1" applyFont="1" applyFill="1" applyBorder="1" applyAlignment="1">
      <alignment vertical="top" wrapText="1"/>
    </xf>
    <xf numFmtId="3" fontId="3" fillId="0" borderId="16" xfId="1" applyNumberFormat="1" applyFont="1" applyFill="1" applyBorder="1" applyAlignment="1">
      <alignment vertical="top" wrapText="1"/>
    </xf>
    <xf numFmtId="166" fontId="8" fillId="0" borderId="30" xfId="4" applyNumberFormat="1" applyFont="1" applyFill="1" applyBorder="1"/>
    <xf numFmtId="7" fontId="2" fillId="14" borderId="2" xfId="1" applyNumberFormat="1" applyFont="1" applyFill="1" applyBorder="1" applyAlignment="1">
      <alignment horizontal="right" vertical="top" wrapText="1"/>
    </xf>
    <xf numFmtId="7" fontId="28" fillId="14" borderId="2" xfId="0" applyNumberFormat="1" applyFont="1" applyFill="1" applyBorder="1" applyAlignment="1">
      <alignment horizontal="right" vertical="top" wrapText="1"/>
    </xf>
    <xf numFmtId="166" fontId="8" fillId="14" borderId="30" xfId="4" applyNumberFormat="1" applyFont="1" applyFill="1" applyBorder="1"/>
    <xf numFmtId="0" fontId="14" fillId="0" borderId="0" xfId="5" applyFont="1" applyFill="1" applyAlignment="1">
      <alignment horizontal="center" vertical="top"/>
    </xf>
    <xf numFmtId="3" fontId="13" fillId="0" borderId="0" xfId="5" applyNumberFormat="1" applyFont="1" applyFill="1" applyAlignment="1">
      <alignment horizontal="center" vertical="top"/>
    </xf>
    <xf numFmtId="0" fontId="9" fillId="0" borderId="0" xfId="5" applyFill="1" applyAlignment="1" applyProtection="1">
      <alignment horizontal="center" vertical="top"/>
      <protection locked="0"/>
    </xf>
    <xf numFmtId="3" fontId="14" fillId="0" borderId="0" xfId="5" applyNumberFormat="1" applyFont="1" applyFill="1" applyAlignment="1">
      <alignment horizontal="center" vertical="top"/>
    </xf>
    <xf numFmtId="3" fontId="30" fillId="0" borderId="0" xfId="5" applyNumberFormat="1" applyFont="1" applyFill="1" applyAlignment="1" applyProtection="1">
      <alignment horizontal="center" vertical="top"/>
      <protection locked="0"/>
    </xf>
    <xf numFmtId="0" fontId="13" fillId="0" borderId="0" xfId="5" applyFont="1" applyAlignment="1">
      <alignment horizontal="left" vertical="top"/>
    </xf>
    <xf numFmtId="0" fontId="10" fillId="0" borderId="0" xfId="5" applyFont="1" applyAlignment="1">
      <alignment horizontal="center" vertical="top" wrapText="1"/>
    </xf>
    <xf numFmtId="0" fontId="9" fillId="0" borderId="0" xfId="5" applyFont="1" applyAlignment="1" applyProtection="1">
      <alignment horizontal="center" vertical="top"/>
      <protection locked="0"/>
    </xf>
    <xf numFmtId="0" fontId="9" fillId="0" borderId="0" xfId="5" applyAlignment="1" applyProtection="1">
      <alignment horizontal="center" vertical="top"/>
      <protection locked="0"/>
    </xf>
    <xf numFmtId="0" fontId="11" fillId="0" borderId="0" xfId="5" applyFont="1" applyAlignment="1">
      <alignment horizontal="left" vertical="top"/>
    </xf>
    <xf numFmtId="0" fontId="12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15" fillId="12" borderId="48" xfId="5" applyFont="1" applyFill="1" applyBorder="1" applyAlignment="1">
      <alignment horizontal="center" vertical="top"/>
    </xf>
    <xf numFmtId="0" fontId="16" fillId="12" borderId="48" xfId="5" applyFont="1" applyFill="1" applyBorder="1" applyAlignment="1" applyProtection="1">
      <alignment horizontal="center" vertical="top"/>
      <protection locked="0"/>
    </xf>
    <xf numFmtId="0" fontId="16" fillId="9" borderId="48" xfId="5" applyFont="1" applyFill="1" applyBorder="1" applyAlignment="1" applyProtection="1">
      <alignment horizontal="center" vertical="top"/>
      <protection locked="0"/>
    </xf>
    <xf numFmtId="0" fontId="0" fillId="0" borderId="25" xfId="0" applyFill="1" applyBorder="1" applyAlignment="1">
      <alignment horizontal="center"/>
    </xf>
    <xf numFmtId="17" fontId="4" fillId="0" borderId="16" xfId="1" applyNumberFormat="1" applyFont="1" applyBorder="1" applyAlignment="1">
      <alignment horizontal="center"/>
    </xf>
    <xf numFmtId="49" fontId="4" fillId="0" borderId="21" xfId="1" applyNumberFormat="1" applyFont="1" applyBorder="1" applyAlignment="1">
      <alignment horizontal="center"/>
    </xf>
    <xf numFmtId="49" fontId="4" fillId="0" borderId="22" xfId="1" applyNumberFormat="1" applyFont="1" applyBorder="1" applyAlignment="1">
      <alignment horizontal="center"/>
    </xf>
    <xf numFmtId="0" fontId="6" fillId="2" borderId="5" xfId="1" applyFont="1" applyFill="1" applyBorder="1" applyAlignment="1">
      <alignment horizontal="center" vertical="top" wrapText="1"/>
    </xf>
    <xf numFmtId="0" fontId="6" fillId="2" borderId="24" xfId="1" applyFont="1" applyFill="1" applyBorder="1" applyAlignment="1">
      <alignment horizontal="center" vertical="top" wrapText="1"/>
    </xf>
    <xf numFmtId="0" fontId="6" fillId="2" borderId="23" xfId="1" applyFont="1" applyFill="1" applyBorder="1" applyAlignment="1">
      <alignment horizontal="center" vertical="top" wrapText="1"/>
    </xf>
    <xf numFmtId="0" fontId="5" fillId="0" borderId="0" xfId="1" applyFont="1" applyAlignment="1">
      <alignment horizontal="center"/>
    </xf>
    <xf numFmtId="0" fontId="6" fillId="2" borderId="18" xfId="1" applyFont="1" applyFill="1" applyBorder="1" applyAlignment="1">
      <alignment horizontal="center" vertical="top" wrapText="1"/>
    </xf>
    <xf numFmtId="0" fontId="6" fillId="2" borderId="19" xfId="1" applyFont="1" applyFill="1" applyBorder="1" applyAlignment="1">
      <alignment horizontal="center" vertical="top" wrapText="1"/>
    </xf>
    <xf numFmtId="0" fontId="6" fillId="2" borderId="20" xfId="1" applyFont="1" applyFill="1" applyBorder="1" applyAlignment="1">
      <alignment horizontal="center" vertical="top" wrapText="1"/>
    </xf>
    <xf numFmtId="0" fontId="6" fillId="2" borderId="17" xfId="1" applyFont="1" applyFill="1" applyBorder="1" applyAlignment="1">
      <alignment horizontal="center" vertical="top" wrapText="1"/>
    </xf>
    <xf numFmtId="0" fontId="24" fillId="0" borderId="0" xfId="6" applyFont="1" applyAlignment="1">
      <alignment horizontal="left"/>
    </xf>
  </cellXfs>
  <cellStyles count="11">
    <cellStyle name="Millares 2" xfId="2" xr:uid="{00000000-0005-0000-0000-000001000000}"/>
    <cellStyle name="Moneda" xfId="4" builtinId="4"/>
    <cellStyle name="Moneda [0] 2" xfId="2" xr:uid="{00000000-0005-0000-0000-000003000000}"/>
    <cellStyle name="Moneda 2" xfId="2" xr:uid="{00000000-0005-0000-0000-000004000000}"/>
    <cellStyle name="Moneda 3" xfId="3" xr:uid="{00000000-0005-0000-0000-000005000000}"/>
    <cellStyle name="Moneda 4" xfId="7" xr:uid="{00000000-0005-0000-0000-000006000000}"/>
    <cellStyle name="Normal" xfId="0" builtinId="0"/>
    <cellStyle name="Normal 2" xfId="1" xr:uid="{00000000-0005-0000-0000-000008000000}"/>
    <cellStyle name="Normal 3" xfId="5" xr:uid="{00000000-0005-0000-0000-000009000000}"/>
    <cellStyle name="Normal 4" xfId="6" xr:uid="{00000000-0005-0000-0000-00000A000000}"/>
    <cellStyle name="Porcentaje 2" xfId="2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PYG'!$C$70</c:f>
              <c:strCache>
                <c:ptCount val="1"/>
                <c:pt idx="0">
                  <c:v>VENTAS SIN IVA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PYG'!$C$71:$C$82</c:f>
              <c:numCache>
                <c:formatCode>_(* #,##0_);_(* \(#,##0\);_(* "-"??_);_(@_)</c:formatCode>
                <c:ptCount val="12"/>
                <c:pt idx="0">
                  <c:v>4656136</c:v>
                </c:pt>
                <c:pt idx="1">
                  <c:v>7804429</c:v>
                </c:pt>
                <c:pt idx="2">
                  <c:v>5900305</c:v>
                </c:pt>
                <c:pt idx="3">
                  <c:v>121014</c:v>
                </c:pt>
                <c:pt idx="4">
                  <c:v>1804105</c:v>
                </c:pt>
                <c:pt idx="5">
                  <c:v>5883300</c:v>
                </c:pt>
                <c:pt idx="6">
                  <c:v>9069381</c:v>
                </c:pt>
                <c:pt idx="7">
                  <c:v>6862717</c:v>
                </c:pt>
                <c:pt idx="8">
                  <c:v>9114471</c:v>
                </c:pt>
                <c:pt idx="9">
                  <c:v>11912109.83</c:v>
                </c:pt>
                <c:pt idx="10">
                  <c:v>9403633</c:v>
                </c:pt>
                <c:pt idx="11">
                  <c:v>11129725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C-4B03-8A71-A0079F11E396}"/>
            </c:ext>
          </c:extLst>
        </c:ser>
        <c:ser>
          <c:idx val="1"/>
          <c:order val="1"/>
          <c:tx>
            <c:strRef>
              <c:f>'GRAFICAS PYG'!$D$70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EC-4B03-8A71-A0079F11E396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EC-4B03-8A71-A0079F11E396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EC-4B03-8A71-A0079F11E396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EC-4B03-8A71-A0079F11E396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EC-4B03-8A71-A0079F11E396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EC-4B03-8A71-A0079F1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PYG'!$D$71:$D$82</c:f>
              <c:numCache>
                <c:formatCode>_(* #,##0_);_(* \(#,##0\);_(* "-"??_);_(@_)</c:formatCode>
                <c:ptCount val="12"/>
                <c:pt idx="0" formatCode="#,##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  <c:pt idx="4">
                  <c:v>7419178</c:v>
                </c:pt>
                <c:pt idx="5">
                  <c:v>6384585</c:v>
                </c:pt>
                <c:pt idx="6">
                  <c:v>4374077</c:v>
                </c:pt>
                <c:pt idx="7">
                  <c:v>8088583</c:v>
                </c:pt>
                <c:pt idx="8">
                  <c:v>5761435</c:v>
                </c:pt>
                <c:pt idx="9">
                  <c:v>5903667</c:v>
                </c:pt>
                <c:pt idx="10">
                  <c:v>6953987</c:v>
                </c:pt>
                <c:pt idx="11">
                  <c:v>3580427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EC-4B03-8A71-A0079F11E396}"/>
            </c:ext>
          </c:extLst>
        </c:ser>
        <c:ser>
          <c:idx val="2"/>
          <c:order val="2"/>
          <c:tx>
            <c:strRef>
              <c:f>'GRAFICAS PYG'!$E$70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PYG'!$E$71:$E$82</c:f>
              <c:numCache>
                <c:formatCode>_(* #,##0_);_(* \(#,##0\);_(* "-"??_);_(@_)</c:formatCode>
                <c:ptCount val="12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  <c:pt idx="4">
                  <c:v>5721041</c:v>
                </c:pt>
                <c:pt idx="5">
                  <c:v>4021740</c:v>
                </c:pt>
                <c:pt idx="6">
                  <c:v>1959742</c:v>
                </c:pt>
                <c:pt idx="7">
                  <c:v>4820282</c:v>
                </c:pt>
                <c:pt idx="8">
                  <c:v>6035931</c:v>
                </c:pt>
                <c:pt idx="9">
                  <c:v>10697305</c:v>
                </c:pt>
                <c:pt idx="10">
                  <c:v>7259988</c:v>
                </c:pt>
                <c:pt idx="11" formatCode="#,##0">
                  <c:v>8230584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EC-4B03-8A71-A0079F11E396}"/>
            </c:ext>
          </c:extLst>
        </c:ser>
        <c:ser>
          <c:idx val="3"/>
          <c:order val="3"/>
          <c:tx>
            <c:strRef>
              <c:f>'GRAFICAS PYG'!$F$70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PYG'!$F$71:$F$82</c:f>
              <c:numCache>
                <c:formatCode>_(* #,##0_);_(* \(#,##0\);_(* "-"??_);_(@_)</c:formatCode>
                <c:ptCount val="12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  <c:pt idx="4">
                  <c:v>13796936</c:v>
                </c:pt>
                <c:pt idx="5">
                  <c:v>6565667</c:v>
                </c:pt>
                <c:pt idx="6">
                  <c:v>6138041</c:v>
                </c:pt>
                <c:pt idx="7">
                  <c:v>5449400</c:v>
                </c:pt>
                <c:pt idx="8">
                  <c:v>6941815</c:v>
                </c:pt>
                <c:pt idx="9">
                  <c:v>5541550</c:v>
                </c:pt>
                <c:pt idx="10">
                  <c:v>6901480</c:v>
                </c:pt>
                <c:pt idx="11">
                  <c:v>7106144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A-4D6E-9142-940998BEF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PYG'!$C$102</c:f>
              <c:strCache>
                <c:ptCount val="1"/>
                <c:pt idx="0">
                  <c:v>GASTOS 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PYG'!$C$103:$C$115</c:f>
              <c:numCache>
                <c:formatCode>#,##0</c:formatCode>
                <c:ptCount val="13"/>
                <c:pt idx="0">
                  <c:v>11183760</c:v>
                </c:pt>
                <c:pt idx="1">
                  <c:v>13337610</c:v>
                </c:pt>
                <c:pt idx="2">
                  <c:v>10865138</c:v>
                </c:pt>
                <c:pt idx="3">
                  <c:v>8424882</c:v>
                </c:pt>
                <c:pt idx="4">
                  <c:v>10909925</c:v>
                </c:pt>
                <c:pt idx="5">
                  <c:v>12990071</c:v>
                </c:pt>
                <c:pt idx="6">
                  <c:v>11530572</c:v>
                </c:pt>
                <c:pt idx="7">
                  <c:v>11013798</c:v>
                </c:pt>
                <c:pt idx="8">
                  <c:v>11098718</c:v>
                </c:pt>
                <c:pt idx="9">
                  <c:v>14559398</c:v>
                </c:pt>
                <c:pt idx="10">
                  <c:v>15548745</c:v>
                </c:pt>
                <c:pt idx="11">
                  <c:v>12796951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64B-B0D5-144F23797C0A}"/>
            </c:ext>
          </c:extLst>
        </c:ser>
        <c:ser>
          <c:idx val="1"/>
          <c:order val="1"/>
          <c:tx>
            <c:strRef>
              <c:f>'GRAFICAS PYG'!$D$102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883236384347181E-4"/>
                  <c:y val="-0.1538198475831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2A-464B-B0D5-144F23797C0A}"/>
                </c:ext>
              </c:extLst>
            </c:dLbl>
            <c:dLbl>
              <c:idx val="1"/>
              <c:layout>
                <c:manualLayout>
                  <c:x val="3.5640467994483105E-3"/>
                  <c:y val="-0.165471528383999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2A-464B-B0D5-144F23797C0A}"/>
                </c:ext>
              </c:extLst>
            </c:dLbl>
            <c:dLbl>
              <c:idx val="2"/>
              <c:layout>
                <c:manualLayout>
                  <c:x val="-2.5164970915304151E-3"/>
                  <c:y val="-0.142168166782342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2A-464B-B0D5-144F23797C0A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72A-464B-B0D5-144F23797C0A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2A-464B-B0D5-144F23797C0A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2A-464B-B0D5-144F23797C0A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2A-464B-B0D5-144F23797C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PYG'!$D$103:$D$115</c:f>
              <c:numCache>
                <c:formatCode>#,##0</c:formatCode>
                <c:ptCount val="13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  <c:pt idx="4">
                  <c:v>10164486</c:v>
                </c:pt>
                <c:pt idx="5">
                  <c:v>8433671</c:v>
                </c:pt>
                <c:pt idx="6">
                  <c:v>8752682</c:v>
                </c:pt>
                <c:pt idx="7">
                  <c:v>10250005</c:v>
                </c:pt>
                <c:pt idx="8">
                  <c:v>12341540.75</c:v>
                </c:pt>
                <c:pt idx="9">
                  <c:v>13788360.75</c:v>
                </c:pt>
                <c:pt idx="10">
                  <c:v>12146150.75</c:v>
                </c:pt>
                <c:pt idx="11">
                  <c:v>9554095.75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2A-464B-B0D5-144F23797C0A}"/>
            </c:ext>
          </c:extLst>
        </c:ser>
        <c:ser>
          <c:idx val="2"/>
          <c:order val="2"/>
          <c:tx>
            <c:strRef>
              <c:f>'GRAFICAS PYG'!$E$102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PYG'!$E$103:$E$115</c:f>
              <c:numCache>
                <c:formatCode>#,##0</c:formatCode>
                <c:ptCount val="13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  <c:pt idx="4">
                  <c:v>8014528</c:v>
                </c:pt>
                <c:pt idx="5">
                  <c:v>7385244</c:v>
                </c:pt>
                <c:pt idx="6">
                  <c:v>7676064</c:v>
                </c:pt>
                <c:pt idx="7">
                  <c:v>9472439</c:v>
                </c:pt>
                <c:pt idx="8">
                  <c:v>16476675</c:v>
                </c:pt>
                <c:pt idx="9">
                  <c:v>10699836</c:v>
                </c:pt>
                <c:pt idx="10">
                  <c:v>12696365</c:v>
                </c:pt>
                <c:pt idx="11">
                  <c:v>8852048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2A-464B-B0D5-144F23797C0A}"/>
            </c:ext>
          </c:extLst>
        </c:ser>
        <c:ser>
          <c:idx val="3"/>
          <c:order val="3"/>
          <c:tx>
            <c:strRef>
              <c:f>'GRAFICAS PYG'!$F$102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</c:strCache>
            </c:strRef>
          </c:cat>
          <c:val>
            <c:numRef>
              <c:f>'GRAFICAS PYG'!$F$103:$F$115</c:f>
              <c:numCache>
                <c:formatCode>#,##0</c:formatCode>
                <c:ptCount val="13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  <c:pt idx="4">
                  <c:v>10155182</c:v>
                </c:pt>
                <c:pt idx="5">
                  <c:v>14240736</c:v>
                </c:pt>
                <c:pt idx="6">
                  <c:v>10531315</c:v>
                </c:pt>
                <c:pt idx="7">
                  <c:v>10083753</c:v>
                </c:pt>
                <c:pt idx="8">
                  <c:v>13656658</c:v>
                </c:pt>
                <c:pt idx="9">
                  <c:v>12463405</c:v>
                </c:pt>
                <c:pt idx="10">
                  <c:v>13179987</c:v>
                </c:pt>
                <c:pt idx="11">
                  <c:v>27294325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F-405A-8428-DA0221AECD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PYG'!$C$129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PYG'!$C$130:$C$144</c:f>
              <c:numCache>
                <c:formatCode>#,##0</c:formatCode>
                <c:ptCount val="15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  <c:pt idx="4">
                  <c:v>-9105820</c:v>
                </c:pt>
                <c:pt idx="5">
                  <c:v>7982004</c:v>
                </c:pt>
                <c:pt idx="6">
                  <c:v>2646214</c:v>
                </c:pt>
                <c:pt idx="7">
                  <c:v>197274</c:v>
                </c:pt>
                <c:pt idx="8">
                  <c:v>3359239</c:v>
                </c:pt>
                <c:pt idx="9">
                  <c:v>2559631.8299999982</c:v>
                </c:pt>
                <c:pt idx="10">
                  <c:v>-1605167</c:v>
                </c:pt>
                <c:pt idx="11">
                  <c:v>4004674</c:v>
                </c:pt>
                <c:pt idx="14" formatCode="&quot;$&quot;#,##0.00;\-&quot;$&quot;#,##0.00">
                  <c:v>14465633.829999998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6-400F-A472-EC183AFBC46D}"/>
            </c:ext>
          </c:extLst>
        </c:ser>
        <c:ser>
          <c:idx val="1"/>
          <c:order val="1"/>
          <c:tx>
            <c:strRef>
              <c:f>'GRAFICAS PYG'!$D$129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PYG'!$D$130:$D$144</c:f>
              <c:numCache>
                <c:formatCode>#,##0</c:formatCode>
                <c:ptCount val="15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8">
                  <c:v>-4658595.75</c:v>
                </c:pt>
                <c:pt idx="9">
                  <c:v>-5944643.75</c:v>
                </c:pt>
                <c:pt idx="10">
                  <c:v>904815.25</c:v>
                </c:pt>
                <c:pt idx="11">
                  <c:v>4829226.25</c:v>
                </c:pt>
                <c:pt idx="14" formatCode="&quot;$&quot;#,##0.00;\-&quot;$&quot;#,##0.00">
                  <c:v>9534688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16-400F-A472-EC183AFBC46D}"/>
            </c:ext>
          </c:extLst>
        </c:ser>
        <c:ser>
          <c:idx val="2"/>
          <c:order val="2"/>
          <c:tx>
            <c:strRef>
              <c:f>'GRAFICAS PYG'!$E$129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PYG'!$E$130:$E$144</c:f>
              <c:numCache>
                <c:formatCode>#,##0</c:formatCode>
                <c:ptCount val="15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8">
                  <c:v>-10440744</c:v>
                </c:pt>
                <c:pt idx="9">
                  <c:v>4755101</c:v>
                </c:pt>
                <c:pt idx="10">
                  <c:v>-380592</c:v>
                </c:pt>
                <c:pt idx="11">
                  <c:v>5224186</c:v>
                </c:pt>
                <c:pt idx="14" formatCode="&quot;$&quot;#,##0.00;\-&quot;$&quot;#,##0.00">
                  <c:v>18188372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16-400F-A472-EC183AFBC46D}"/>
            </c:ext>
          </c:extLst>
        </c:ser>
        <c:ser>
          <c:idx val="3"/>
          <c:order val="3"/>
          <c:tx>
            <c:strRef>
              <c:f>'GRAFICAS PYG'!$F$129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PYG'!$F$130:$F$144</c:f>
              <c:numCache>
                <c:formatCode>#,##0</c:formatCode>
                <c:ptCount val="15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  <c:pt idx="4">
                  <c:v>5204853</c:v>
                </c:pt>
                <c:pt idx="5">
                  <c:v>-5170532</c:v>
                </c:pt>
                <c:pt idx="6">
                  <c:v>9983538</c:v>
                </c:pt>
                <c:pt idx="7">
                  <c:v>5208815</c:v>
                </c:pt>
                <c:pt idx="8">
                  <c:v>92670</c:v>
                </c:pt>
                <c:pt idx="9">
                  <c:v>-3000416</c:v>
                </c:pt>
                <c:pt idx="10">
                  <c:v>-3733117</c:v>
                </c:pt>
                <c:pt idx="11">
                  <c:v>48325460</c:v>
                </c:pt>
                <c:pt idx="14" formatCode="&quot;$&quot;#,##0.00;\-&quot;$&quot;#,##0.00">
                  <c:v>62345245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7-4BC4-AF1F-7F8996A3B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'GRAFICAS PYG'!$C$44</c:f>
              <c:strCache>
                <c:ptCount val="1"/>
                <c:pt idx="0">
                  <c:v>VENTAS FISCALES 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PYG'!$C$45:$C$58</c:f>
              <c:numCache>
                <c:formatCode>#,##0</c:formatCode>
                <c:ptCount val="14"/>
                <c:pt idx="0">
                  <c:v>9772741</c:v>
                </c:pt>
                <c:pt idx="1">
                  <c:v>8662267</c:v>
                </c:pt>
                <c:pt idx="2">
                  <c:v>11213082</c:v>
                </c:pt>
                <c:pt idx="3">
                  <c:v>109000</c:v>
                </c:pt>
                <c:pt idx="5">
                  <c:v>15088775</c:v>
                </c:pt>
                <c:pt idx="6">
                  <c:v>5107405</c:v>
                </c:pt>
                <c:pt idx="7">
                  <c:v>4348355</c:v>
                </c:pt>
                <c:pt idx="8">
                  <c:v>5343486</c:v>
                </c:pt>
                <c:pt idx="9">
                  <c:v>5206920</c:v>
                </c:pt>
                <c:pt idx="10">
                  <c:v>4539945</c:v>
                </c:pt>
                <c:pt idx="11">
                  <c:v>5671900</c:v>
                </c:pt>
                <c:pt idx="13">
                  <c:v>75063876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0-47EF-BF4E-1908CC7FABB1}"/>
            </c:ext>
          </c:extLst>
        </c:ser>
        <c:ser>
          <c:idx val="3"/>
          <c:order val="1"/>
          <c:tx>
            <c:strRef>
              <c:f>'GRAFICAS PYG'!$D$44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PYG'!$D$45:$D$58</c:f>
              <c:numCache>
                <c:formatCode>#,##0</c:formatCode>
                <c:ptCount val="14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  <c:pt idx="4">
                  <c:v>4831245</c:v>
                </c:pt>
                <c:pt idx="5">
                  <c:v>2541098</c:v>
                </c:pt>
                <c:pt idx="6">
                  <c:v>2060928</c:v>
                </c:pt>
                <c:pt idx="7">
                  <c:v>722060</c:v>
                </c:pt>
                <c:pt idx="8">
                  <c:v>1921510</c:v>
                </c:pt>
                <c:pt idx="9">
                  <c:v>1940050</c:v>
                </c:pt>
                <c:pt idx="10">
                  <c:v>6096979</c:v>
                </c:pt>
                <c:pt idx="11">
                  <c:v>10802895</c:v>
                </c:pt>
                <c:pt idx="13">
                  <c:v>55860584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0-47EF-BF4E-1908CC7FABB1}"/>
            </c:ext>
          </c:extLst>
        </c:ser>
        <c:ser>
          <c:idx val="0"/>
          <c:order val="2"/>
          <c:tx>
            <c:strRef>
              <c:f>'GRAFICAS PYG'!$E$44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PYG'!$E$45:$E$58</c:f>
              <c:numCache>
                <c:formatCode>#,##0</c:formatCode>
                <c:ptCount val="14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  <c:pt idx="4">
                  <c:v>2070588</c:v>
                </c:pt>
                <c:pt idx="5">
                  <c:v>4186225</c:v>
                </c:pt>
                <c:pt idx="6">
                  <c:v>3502320</c:v>
                </c:pt>
                <c:pt idx="7">
                  <c:v>13456626</c:v>
                </c:pt>
                <c:pt idx="8">
                  <c:v>0</c:v>
                </c:pt>
                <c:pt idx="9">
                  <c:v>11000000</c:v>
                </c:pt>
                <c:pt idx="10">
                  <c:v>12000000</c:v>
                </c:pt>
                <c:pt idx="11">
                  <c:v>13000000</c:v>
                </c:pt>
                <c:pt idx="13">
                  <c:v>80640359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0-47EF-BF4E-1908CC7FABB1}"/>
            </c:ext>
          </c:extLst>
        </c:ser>
        <c:ser>
          <c:idx val="1"/>
          <c:order val="3"/>
          <c:tx>
            <c:strRef>
              <c:f>'GRAFICAS PYG'!$F$44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PYG'!$F$45:$F$58</c:f>
              <c:numCache>
                <c:formatCode>#,##0</c:formatCode>
                <c:ptCount val="14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  <c:pt idx="4">
                  <c:v>1563099</c:v>
                </c:pt>
                <c:pt idx="5">
                  <c:v>2504537</c:v>
                </c:pt>
                <c:pt idx="6">
                  <c:v>14376812</c:v>
                </c:pt>
                <c:pt idx="7">
                  <c:v>9843168</c:v>
                </c:pt>
                <c:pt idx="8">
                  <c:v>6807513</c:v>
                </c:pt>
                <c:pt idx="9">
                  <c:v>3921439</c:v>
                </c:pt>
                <c:pt idx="10">
                  <c:v>2545390</c:v>
                </c:pt>
                <c:pt idx="11" formatCode="_(&quot;$&quot;\ * #,##0_);_(&quot;$&quot;\ * \(#,##0\);_(&quot;$&quot;\ * &quot;-&quot;??_);_(@_)">
                  <c:v>68513641</c:v>
                </c:pt>
                <c:pt idx="13">
                  <c:v>126904551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6-4297-9DDB-FCD563997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233361</xdr:colOff>
      <xdr:row>68</xdr:row>
      <xdr:rowOff>61912</xdr:rowOff>
    </xdr:from>
    <xdr:to>
      <xdr:col>25</xdr:col>
      <xdr:colOff>257175</xdr:colOff>
      <xdr:row>90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271461</xdr:colOff>
      <xdr:row>98</xdr:row>
      <xdr:rowOff>119062</xdr:rowOff>
    </xdr:from>
    <xdr:to>
      <xdr:col>25</xdr:col>
      <xdr:colOff>276225</xdr:colOff>
      <xdr:row>122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257174</xdr:colOff>
      <xdr:row>125</xdr:row>
      <xdr:rowOff>47624</xdr:rowOff>
    </xdr:from>
    <xdr:to>
      <xdr:col>23</xdr:col>
      <xdr:colOff>495300</xdr:colOff>
      <xdr:row>155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40</xdr:row>
      <xdr:rowOff>47625</xdr:rowOff>
    </xdr:from>
    <xdr:to>
      <xdr:col>26</xdr:col>
      <xdr:colOff>276225</xdr:colOff>
      <xdr:row>63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RGIO\AppData\Roaming\Microsoft\Excel\INFORME%202019%20ultima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G "/>
      <sheetName val="GRAFICAS PYG"/>
      <sheetName val="PRESUPUESTO"/>
      <sheetName val="balance"/>
    </sheetNames>
    <sheetDataSet>
      <sheetData sheetId="0" refreshError="1">
        <row r="8">
          <cell r="AP8">
            <v>53036592</v>
          </cell>
          <cell r="AT8">
            <v>58092377</v>
          </cell>
          <cell r="AX8">
            <v>63938027</v>
          </cell>
        </row>
        <row r="47">
          <cell r="AP47">
            <v>11000000</v>
          </cell>
          <cell r="AT47">
            <v>12000000</v>
          </cell>
          <cell r="AX47">
            <v>13000000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"/>
  <sheetViews>
    <sheetView showOutlineSymbols="0" topLeftCell="A106" workbookViewId="0">
      <selection activeCell="E120" sqref="E120"/>
    </sheetView>
  </sheetViews>
  <sheetFormatPr baseColWidth="10" defaultColWidth="6.85546875" defaultRowHeight="15" x14ac:dyDescent="0.25"/>
  <cols>
    <col min="1" max="1" width="7.7109375" style="88" customWidth="1"/>
    <col min="2" max="2" width="6" style="88" customWidth="1"/>
    <col min="3" max="3" width="38.140625" style="88" customWidth="1"/>
    <col min="4" max="4" width="15" style="145" customWidth="1"/>
    <col min="5" max="5" width="18.140625" style="117" customWidth="1"/>
    <col min="6" max="8" width="6.85546875" style="88"/>
    <col min="9" max="9" width="8" style="88" bestFit="1" customWidth="1"/>
    <col min="10" max="256" width="6.85546875" style="88"/>
    <col min="257" max="258" width="6" style="88" customWidth="1"/>
    <col min="259" max="259" width="38.140625" style="88" customWidth="1"/>
    <col min="260" max="260" width="15" style="88" customWidth="1"/>
    <col min="261" max="261" width="18.140625" style="88" customWidth="1"/>
    <col min="262" max="512" width="6.85546875" style="88"/>
    <col min="513" max="514" width="6" style="88" customWidth="1"/>
    <col min="515" max="515" width="38.140625" style="88" customWidth="1"/>
    <col min="516" max="516" width="15" style="88" customWidth="1"/>
    <col min="517" max="517" width="18.140625" style="88" customWidth="1"/>
    <col min="518" max="768" width="6.85546875" style="88"/>
    <col min="769" max="770" width="6" style="88" customWidth="1"/>
    <col min="771" max="771" width="38.140625" style="88" customWidth="1"/>
    <col min="772" max="772" width="15" style="88" customWidth="1"/>
    <col min="773" max="773" width="18.140625" style="88" customWidth="1"/>
    <col min="774" max="1024" width="6.85546875" style="88"/>
    <col min="1025" max="1026" width="6" style="88" customWidth="1"/>
    <col min="1027" max="1027" width="38.140625" style="88" customWidth="1"/>
    <col min="1028" max="1028" width="15" style="88" customWidth="1"/>
    <col min="1029" max="1029" width="18.140625" style="88" customWidth="1"/>
    <col min="1030" max="1280" width="6.85546875" style="88"/>
    <col min="1281" max="1282" width="6" style="88" customWidth="1"/>
    <col min="1283" max="1283" width="38.140625" style="88" customWidth="1"/>
    <col min="1284" max="1284" width="15" style="88" customWidth="1"/>
    <col min="1285" max="1285" width="18.140625" style="88" customWidth="1"/>
    <col min="1286" max="1536" width="6.85546875" style="88"/>
    <col min="1537" max="1538" width="6" style="88" customWidth="1"/>
    <col min="1539" max="1539" width="38.140625" style="88" customWidth="1"/>
    <col min="1540" max="1540" width="15" style="88" customWidth="1"/>
    <col min="1541" max="1541" width="18.140625" style="88" customWidth="1"/>
    <col min="1542" max="1792" width="6.85546875" style="88"/>
    <col min="1793" max="1794" width="6" style="88" customWidth="1"/>
    <col min="1795" max="1795" width="38.140625" style="88" customWidth="1"/>
    <col min="1796" max="1796" width="15" style="88" customWidth="1"/>
    <col min="1797" max="1797" width="18.140625" style="88" customWidth="1"/>
    <col min="1798" max="2048" width="6.85546875" style="88"/>
    <col min="2049" max="2050" width="6" style="88" customWidth="1"/>
    <col min="2051" max="2051" width="38.140625" style="88" customWidth="1"/>
    <col min="2052" max="2052" width="15" style="88" customWidth="1"/>
    <col min="2053" max="2053" width="18.140625" style="88" customWidth="1"/>
    <col min="2054" max="2304" width="6.85546875" style="88"/>
    <col min="2305" max="2306" width="6" style="88" customWidth="1"/>
    <col min="2307" max="2307" width="38.140625" style="88" customWidth="1"/>
    <col min="2308" max="2308" width="15" style="88" customWidth="1"/>
    <col min="2309" max="2309" width="18.140625" style="88" customWidth="1"/>
    <col min="2310" max="2560" width="6.85546875" style="88"/>
    <col min="2561" max="2562" width="6" style="88" customWidth="1"/>
    <col min="2563" max="2563" width="38.140625" style="88" customWidth="1"/>
    <col min="2564" max="2564" width="15" style="88" customWidth="1"/>
    <col min="2565" max="2565" width="18.140625" style="88" customWidth="1"/>
    <col min="2566" max="2816" width="6.85546875" style="88"/>
    <col min="2817" max="2818" width="6" style="88" customWidth="1"/>
    <col min="2819" max="2819" width="38.140625" style="88" customWidth="1"/>
    <col min="2820" max="2820" width="15" style="88" customWidth="1"/>
    <col min="2821" max="2821" width="18.140625" style="88" customWidth="1"/>
    <col min="2822" max="3072" width="6.85546875" style="88"/>
    <col min="3073" max="3074" width="6" style="88" customWidth="1"/>
    <col min="3075" max="3075" width="38.140625" style="88" customWidth="1"/>
    <col min="3076" max="3076" width="15" style="88" customWidth="1"/>
    <col min="3077" max="3077" width="18.140625" style="88" customWidth="1"/>
    <col min="3078" max="3328" width="6.85546875" style="88"/>
    <col min="3329" max="3330" width="6" style="88" customWidth="1"/>
    <col min="3331" max="3331" width="38.140625" style="88" customWidth="1"/>
    <col min="3332" max="3332" width="15" style="88" customWidth="1"/>
    <col min="3333" max="3333" width="18.140625" style="88" customWidth="1"/>
    <col min="3334" max="3584" width="6.85546875" style="88"/>
    <col min="3585" max="3586" width="6" style="88" customWidth="1"/>
    <col min="3587" max="3587" width="38.140625" style="88" customWidth="1"/>
    <col min="3588" max="3588" width="15" style="88" customWidth="1"/>
    <col min="3589" max="3589" width="18.140625" style="88" customWidth="1"/>
    <col min="3590" max="3840" width="6.85546875" style="88"/>
    <col min="3841" max="3842" width="6" style="88" customWidth="1"/>
    <col min="3843" max="3843" width="38.140625" style="88" customWidth="1"/>
    <col min="3844" max="3844" width="15" style="88" customWidth="1"/>
    <col min="3845" max="3845" width="18.140625" style="88" customWidth="1"/>
    <col min="3846" max="4096" width="6.85546875" style="88"/>
    <col min="4097" max="4098" width="6" style="88" customWidth="1"/>
    <col min="4099" max="4099" width="38.140625" style="88" customWidth="1"/>
    <col min="4100" max="4100" width="15" style="88" customWidth="1"/>
    <col min="4101" max="4101" width="18.140625" style="88" customWidth="1"/>
    <col min="4102" max="4352" width="6.85546875" style="88"/>
    <col min="4353" max="4354" width="6" style="88" customWidth="1"/>
    <col min="4355" max="4355" width="38.140625" style="88" customWidth="1"/>
    <col min="4356" max="4356" width="15" style="88" customWidth="1"/>
    <col min="4357" max="4357" width="18.140625" style="88" customWidth="1"/>
    <col min="4358" max="4608" width="6.85546875" style="88"/>
    <col min="4609" max="4610" width="6" style="88" customWidth="1"/>
    <col min="4611" max="4611" width="38.140625" style="88" customWidth="1"/>
    <col min="4612" max="4612" width="15" style="88" customWidth="1"/>
    <col min="4613" max="4613" width="18.140625" style="88" customWidth="1"/>
    <col min="4614" max="4864" width="6.85546875" style="88"/>
    <col min="4865" max="4866" width="6" style="88" customWidth="1"/>
    <col min="4867" max="4867" width="38.140625" style="88" customWidth="1"/>
    <col min="4868" max="4868" width="15" style="88" customWidth="1"/>
    <col min="4869" max="4869" width="18.140625" style="88" customWidth="1"/>
    <col min="4870" max="5120" width="6.85546875" style="88"/>
    <col min="5121" max="5122" width="6" style="88" customWidth="1"/>
    <col min="5123" max="5123" width="38.140625" style="88" customWidth="1"/>
    <col min="5124" max="5124" width="15" style="88" customWidth="1"/>
    <col min="5125" max="5125" width="18.140625" style="88" customWidth="1"/>
    <col min="5126" max="5376" width="6.85546875" style="88"/>
    <col min="5377" max="5378" width="6" style="88" customWidth="1"/>
    <col min="5379" max="5379" width="38.140625" style="88" customWidth="1"/>
    <col min="5380" max="5380" width="15" style="88" customWidth="1"/>
    <col min="5381" max="5381" width="18.140625" style="88" customWidth="1"/>
    <col min="5382" max="5632" width="6.85546875" style="88"/>
    <col min="5633" max="5634" width="6" style="88" customWidth="1"/>
    <col min="5635" max="5635" width="38.140625" style="88" customWidth="1"/>
    <col min="5636" max="5636" width="15" style="88" customWidth="1"/>
    <col min="5637" max="5637" width="18.140625" style="88" customWidth="1"/>
    <col min="5638" max="5888" width="6.85546875" style="88"/>
    <col min="5889" max="5890" width="6" style="88" customWidth="1"/>
    <col min="5891" max="5891" width="38.140625" style="88" customWidth="1"/>
    <col min="5892" max="5892" width="15" style="88" customWidth="1"/>
    <col min="5893" max="5893" width="18.140625" style="88" customWidth="1"/>
    <col min="5894" max="6144" width="6.85546875" style="88"/>
    <col min="6145" max="6146" width="6" style="88" customWidth="1"/>
    <col min="6147" max="6147" width="38.140625" style="88" customWidth="1"/>
    <col min="6148" max="6148" width="15" style="88" customWidth="1"/>
    <col min="6149" max="6149" width="18.140625" style="88" customWidth="1"/>
    <col min="6150" max="6400" width="6.85546875" style="88"/>
    <col min="6401" max="6402" width="6" style="88" customWidth="1"/>
    <col min="6403" max="6403" width="38.140625" style="88" customWidth="1"/>
    <col min="6404" max="6404" width="15" style="88" customWidth="1"/>
    <col min="6405" max="6405" width="18.140625" style="88" customWidth="1"/>
    <col min="6406" max="6656" width="6.85546875" style="88"/>
    <col min="6657" max="6658" width="6" style="88" customWidth="1"/>
    <col min="6659" max="6659" width="38.140625" style="88" customWidth="1"/>
    <col min="6660" max="6660" width="15" style="88" customWidth="1"/>
    <col min="6661" max="6661" width="18.140625" style="88" customWidth="1"/>
    <col min="6662" max="6912" width="6.85546875" style="88"/>
    <col min="6913" max="6914" width="6" style="88" customWidth="1"/>
    <col min="6915" max="6915" width="38.140625" style="88" customWidth="1"/>
    <col min="6916" max="6916" width="15" style="88" customWidth="1"/>
    <col min="6917" max="6917" width="18.140625" style="88" customWidth="1"/>
    <col min="6918" max="7168" width="6.85546875" style="88"/>
    <col min="7169" max="7170" width="6" style="88" customWidth="1"/>
    <col min="7171" max="7171" width="38.140625" style="88" customWidth="1"/>
    <col min="7172" max="7172" width="15" style="88" customWidth="1"/>
    <col min="7173" max="7173" width="18.140625" style="88" customWidth="1"/>
    <col min="7174" max="7424" width="6.85546875" style="88"/>
    <col min="7425" max="7426" width="6" style="88" customWidth="1"/>
    <col min="7427" max="7427" width="38.140625" style="88" customWidth="1"/>
    <col min="7428" max="7428" width="15" style="88" customWidth="1"/>
    <col min="7429" max="7429" width="18.140625" style="88" customWidth="1"/>
    <col min="7430" max="7680" width="6.85546875" style="88"/>
    <col min="7681" max="7682" width="6" style="88" customWidth="1"/>
    <col min="7683" max="7683" width="38.140625" style="88" customWidth="1"/>
    <col min="7684" max="7684" width="15" style="88" customWidth="1"/>
    <col min="7685" max="7685" width="18.140625" style="88" customWidth="1"/>
    <col min="7686" max="7936" width="6.85546875" style="88"/>
    <col min="7937" max="7938" width="6" style="88" customWidth="1"/>
    <col min="7939" max="7939" width="38.140625" style="88" customWidth="1"/>
    <col min="7940" max="7940" width="15" style="88" customWidth="1"/>
    <col min="7941" max="7941" width="18.140625" style="88" customWidth="1"/>
    <col min="7942" max="8192" width="6.85546875" style="88"/>
    <col min="8193" max="8194" width="6" style="88" customWidth="1"/>
    <col min="8195" max="8195" width="38.140625" style="88" customWidth="1"/>
    <col min="8196" max="8196" width="15" style="88" customWidth="1"/>
    <col min="8197" max="8197" width="18.140625" style="88" customWidth="1"/>
    <col min="8198" max="8448" width="6.85546875" style="88"/>
    <col min="8449" max="8450" width="6" style="88" customWidth="1"/>
    <col min="8451" max="8451" width="38.140625" style="88" customWidth="1"/>
    <col min="8452" max="8452" width="15" style="88" customWidth="1"/>
    <col min="8453" max="8453" width="18.140625" style="88" customWidth="1"/>
    <col min="8454" max="8704" width="6.85546875" style="88"/>
    <col min="8705" max="8706" width="6" style="88" customWidth="1"/>
    <col min="8707" max="8707" width="38.140625" style="88" customWidth="1"/>
    <col min="8708" max="8708" width="15" style="88" customWidth="1"/>
    <col min="8709" max="8709" width="18.140625" style="88" customWidth="1"/>
    <col min="8710" max="8960" width="6.85546875" style="88"/>
    <col min="8961" max="8962" width="6" style="88" customWidth="1"/>
    <col min="8963" max="8963" width="38.140625" style="88" customWidth="1"/>
    <col min="8964" max="8964" width="15" style="88" customWidth="1"/>
    <col min="8965" max="8965" width="18.140625" style="88" customWidth="1"/>
    <col min="8966" max="9216" width="6.85546875" style="88"/>
    <col min="9217" max="9218" width="6" style="88" customWidth="1"/>
    <col min="9219" max="9219" width="38.140625" style="88" customWidth="1"/>
    <col min="9220" max="9220" width="15" style="88" customWidth="1"/>
    <col min="9221" max="9221" width="18.140625" style="88" customWidth="1"/>
    <col min="9222" max="9472" width="6.85546875" style="88"/>
    <col min="9473" max="9474" width="6" style="88" customWidth="1"/>
    <col min="9475" max="9475" width="38.140625" style="88" customWidth="1"/>
    <col min="9476" max="9476" width="15" style="88" customWidth="1"/>
    <col min="9477" max="9477" width="18.140625" style="88" customWidth="1"/>
    <col min="9478" max="9728" width="6.85546875" style="88"/>
    <col min="9729" max="9730" width="6" style="88" customWidth="1"/>
    <col min="9731" max="9731" width="38.140625" style="88" customWidth="1"/>
    <col min="9732" max="9732" width="15" style="88" customWidth="1"/>
    <col min="9733" max="9733" width="18.140625" style="88" customWidth="1"/>
    <col min="9734" max="9984" width="6.85546875" style="88"/>
    <col min="9985" max="9986" width="6" style="88" customWidth="1"/>
    <col min="9987" max="9987" width="38.140625" style="88" customWidth="1"/>
    <col min="9988" max="9988" width="15" style="88" customWidth="1"/>
    <col min="9989" max="9989" width="18.140625" style="88" customWidth="1"/>
    <col min="9990" max="10240" width="6.85546875" style="88"/>
    <col min="10241" max="10242" width="6" style="88" customWidth="1"/>
    <col min="10243" max="10243" width="38.140625" style="88" customWidth="1"/>
    <col min="10244" max="10244" width="15" style="88" customWidth="1"/>
    <col min="10245" max="10245" width="18.140625" style="88" customWidth="1"/>
    <col min="10246" max="10496" width="6.85546875" style="88"/>
    <col min="10497" max="10498" width="6" style="88" customWidth="1"/>
    <col min="10499" max="10499" width="38.140625" style="88" customWidth="1"/>
    <col min="10500" max="10500" width="15" style="88" customWidth="1"/>
    <col min="10501" max="10501" width="18.140625" style="88" customWidth="1"/>
    <col min="10502" max="10752" width="6.85546875" style="88"/>
    <col min="10753" max="10754" width="6" style="88" customWidth="1"/>
    <col min="10755" max="10755" width="38.140625" style="88" customWidth="1"/>
    <col min="10756" max="10756" width="15" style="88" customWidth="1"/>
    <col min="10757" max="10757" width="18.140625" style="88" customWidth="1"/>
    <col min="10758" max="11008" width="6.85546875" style="88"/>
    <col min="11009" max="11010" width="6" style="88" customWidth="1"/>
    <col min="11011" max="11011" width="38.140625" style="88" customWidth="1"/>
    <col min="11012" max="11012" width="15" style="88" customWidth="1"/>
    <col min="11013" max="11013" width="18.140625" style="88" customWidth="1"/>
    <col min="11014" max="11264" width="6.85546875" style="88"/>
    <col min="11265" max="11266" width="6" style="88" customWidth="1"/>
    <col min="11267" max="11267" width="38.140625" style="88" customWidth="1"/>
    <col min="11268" max="11268" width="15" style="88" customWidth="1"/>
    <col min="11269" max="11269" width="18.140625" style="88" customWidth="1"/>
    <col min="11270" max="11520" width="6.85546875" style="88"/>
    <col min="11521" max="11522" width="6" style="88" customWidth="1"/>
    <col min="11523" max="11523" width="38.140625" style="88" customWidth="1"/>
    <col min="11524" max="11524" width="15" style="88" customWidth="1"/>
    <col min="11525" max="11525" width="18.140625" style="88" customWidth="1"/>
    <col min="11526" max="11776" width="6.85546875" style="88"/>
    <col min="11777" max="11778" width="6" style="88" customWidth="1"/>
    <col min="11779" max="11779" width="38.140625" style="88" customWidth="1"/>
    <col min="11780" max="11780" width="15" style="88" customWidth="1"/>
    <col min="11781" max="11781" width="18.140625" style="88" customWidth="1"/>
    <col min="11782" max="12032" width="6.85546875" style="88"/>
    <col min="12033" max="12034" width="6" style="88" customWidth="1"/>
    <col min="12035" max="12035" width="38.140625" style="88" customWidth="1"/>
    <col min="12036" max="12036" width="15" style="88" customWidth="1"/>
    <col min="12037" max="12037" width="18.140625" style="88" customWidth="1"/>
    <col min="12038" max="12288" width="6.85546875" style="88"/>
    <col min="12289" max="12290" width="6" style="88" customWidth="1"/>
    <col min="12291" max="12291" width="38.140625" style="88" customWidth="1"/>
    <col min="12292" max="12292" width="15" style="88" customWidth="1"/>
    <col min="12293" max="12293" width="18.140625" style="88" customWidth="1"/>
    <col min="12294" max="12544" width="6.85546875" style="88"/>
    <col min="12545" max="12546" width="6" style="88" customWidth="1"/>
    <col min="12547" max="12547" width="38.140625" style="88" customWidth="1"/>
    <col min="12548" max="12548" width="15" style="88" customWidth="1"/>
    <col min="12549" max="12549" width="18.140625" style="88" customWidth="1"/>
    <col min="12550" max="12800" width="6.85546875" style="88"/>
    <col min="12801" max="12802" width="6" style="88" customWidth="1"/>
    <col min="12803" max="12803" width="38.140625" style="88" customWidth="1"/>
    <col min="12804" max="12804" width="15" style="88" customWidth="1"/>
    <col min="12805" max="12805" width="18.140625" style="88" customWidth="1"/>
    <col min="12806" max="13056" width="6.85546875" style="88"/>
    <col min="13057" max="13058" width="6" style="88" customWidth="1"/>
    <col min="13059" max="13059" width="38.140625" style="88" customWidth="1"/>
    <col min="13060" max="13060" width="15" style="88" customWidth="1"/>
    <col min="13061" max="13061" width="18.140625" style="88" customWidth="1"/>
    <col min="13062" max="13312" width="6.85546875" style="88"/>
    <col min="13313" max="13314" width="6" style="88" customWidth="1"/>
    <col min="13315" max="13315" width="38.140625" style="88" customWidth="1"/>
    <col min="13316" max="13316" width="15" style="88" customWidth="1"/>
    <col min="13317" max="13317" width="18.140625" style="88" customWidth="1"/>
    <col min="13318" max="13568" width="6.85546875" style="88"/>
    <col min="13569" max="13570" width="6" style="88" customWidth="1"/>
    <col min="13571" max="13571" width="38.140625" style="88" customWidth="1"/>
    <col min="13572" max="13572" width="15" style="88" customWidth="1"/>
    <col min="13573" max="13573" width="18.140625" style="88" customWidth="1"/>
    <col min="13574" max="13824" width="6.85546875" style="88"/>
    <col min="13825" max="13826" width="6" style="88" customWidth="1"/>
    <col min="13827" max="13827" width="38.140625" style="88" customWidth="1"/>
    <col min="13828" max="13828" width="15" style="88" customWidth="1"/>
    <col min="13829" max="13829" width="18.140625" style="88" customWidth="1"/>
    <col min="13830" max="14080" width="6.85546875" style="88"/>
    <col min="14081" max="14082" width="6" style="88" customWidth="1"/>
    <col min="14083" max="14083" width="38.140625" style="88" customWidth="1"/>
    <col min="14084" max="14084" width="15" style="88" customWidth="1"/>
    <col min="14085" max="14085" width="18.140625" style="88" customWidth="1"/>
    <col min="14086" max="14336" width="6.85546875" style="88"/>
    <col min="14337" max="14338" width="6" style="88" customWidth="1"/>
    <col min="14339" max="14339" width="38.140625" style="88" customWidth="1"/>
    <col min="14340" max="14340" width="15" style="88" customWidth="1"/>
    <col min="14341" max="14341" width="18.140625" style="88" customWidth="1"/>
    <col min="14342" max="14592" width="6.85546875" style="88"/>
    <col min="14593" max="14594" width="6" style="88" customWidth="1"/>
    <col min="14595" max="14595" width="38.140625" style="88" customWidth="1"/>
    <col min="14596" max="14596" width="15" style="88" customWidth="1"/>
    <col min="14597" max="14597" width="18.140625" style="88" customWidth="1"/>
    <col min="14598" max="14848" width="6.85546875" style="88"/>
    <col min="14849" max="14850" width="6" style="88" customWidth="1"/>
    <col min="14851" max="14851" width="38.140625" style="88" customWidth="1"/>
    <col min="14852" max="14852" width="15" style="88" customWidth="1"/>
    <col min="14853" max="14853" width="18.140625" style="88" customWidth="1"/>
    <col min="14854" max="15104" width="6.85546875" style="88"/>
    <col min="15105" max="15106" width="6" style="88" customWidth="1"/>
    <col min="15107" max="15107" width="38.140625" style="88" customWidth="1"/>
    <col min="15108" max="15108" width="15" style="88" customWidth="1"/>
    <col min="15109" max="15109" width="18.140625" style="88" customWidth="1"/>
    <col min="15110" max="15360" width="6.85546875" style="88"/>
    <col min="15361" max="15362" width="6" style="88" customWidth="1"/>
    <col min="15363" max="15363" width="38.140625" style="88" customWidth="1"/>
    <col min="15364" max="15364" width="15" style="88" customWidth="1"/>
    <col min="15365" max="15365" width="18.140625" style="88" customWidth="1"/>
    <col min="15366" max="15616" width="6.85546875" style="88"/>
    <col min="15617" max="15618" width="6" style="88" customWidth="1"/>
    <col min="15619" max="15619" width="38.140625" style="88" customWidth="1"/>
    <col min="15620" max="15620" width="15" style="88" customWidth="1"/>
    <col min="15621" max="15621" width="18.140625" style="88" customWidth="1"/>
    <col min="15622" max="15872" width="6.85546875" style="88"/>
    <col min="15873" max="15874" width="6" style="88" customWidth="1"/>
    <col min="15875" max="15875" width="38.140625" style="88" customWidth="1"/>
    <col min="15876" max="15876" width="15" style="88" customWidth="1"/>
    <col min="15877" max="15877" width="18.140625" style="88" customWidth="1"/>
    <col min="15878" max="16128" width="6.85546875" style="88"/>
    <col min="16129" max="16130" width="6" style="88" customWidth="1"/>
    <col min="16131" max="16131" width="38.140625" style="88" customWidth="1"/>
    <col min="16132" max="16132" width="15" style="88" customWidth="1"/>
    <col min="16133" max="16133" width="18.140625" style="88" customWidth="1"/>
    <col min="16134" max="16384" width="6.85546875" style="88"/>
  </cols>
  <sheetData>
    <row r="1" spans="1:5" ht="16.5" customHeight="1" x14ac:dyDescent="0.25">
      <c r="A1" s="206" t="s">
        <v>0</v>
      </c>
      <c r="B1" s="206"/>
      <c r="C1" s="206"/>
      <c r="D1" s="206"/>
      <c r="E1" s="206"/>
    </row>
    <row r="2" spans="1:5" ht="13.5" customHeight="1" x14ac:dyDescent="0.25">
      <c r="A2" s="207" t="s">
        <v>203</v>
      </c>
      <c r="B2" s="208"/>
      <c r="C2" s="208"/>
      <c r="D2" s="208"/>
      <c r="E2" s="208"/>
    </row>
    <row r="3" spans="1:5" ht="20.25" customHeight="1" x14ac:dyDescent="0.25">
      <c r="A3" s="207" t="s">
        <v>400</v>
      </c>
      <c r="B3" s="208"/>
      <c r="C3" s="208"/>
      <c r="D3" s="208"/>
      <c r="E3" s="208"/>
    </row>
    <row r="4" spans="1:5" ht="9.75" customHeight="1" x14ac:dyDescent="0.25"/>
    <row r="5" spans="1:5" ht="7.5" customHeight="1" x14ac:dyDescent="0.25"/>
    <row r="6" spans="1:5" ht="12.75" customHeight="1" x14ac:dyDescent="0.25">
      <c r="A6" s="209" t="s">
        <v>204</v>
      </c>
      <c r="B6" s="209"/>
      <c r="C6" s="118" t="s">
        <v>205</v>
      </c>
      <c r="D6" s="146"/>
      <c r="E6" s="89"/>
    </row>
    <row r="7" spans="1:5" ht="9.9499999999999993" customHeight="1" x14ac:dyDescent="0.25"/>
    <row r="8" spans="1:5" ht="18.600000000000001" customHeight="1" x14ac:dyDescent="0.25">
      <c r="A8" s="210" t="s">
        <v>206</v>
      </c>
      <c r="B8" s="210"/>
      <c r="C8" s="119" t="s">
        <v>207</v>
      </c>
      <c r="D8" s="147"/>
      <c r="E8" s="90"/>
    </row>
    <row r="9" spans="1:5" ht="14.85" customHeight="1" x14ac:dyDescent="0.25">
      <c r="A9" s="205" t="s">
        <v>208</v>
      </c>
      <c r="B9" s="205"/>
      <c r="C9" s="116" t="s">
        <v>209</v>
      </c>
      <c r="D9" s="148"/>
      <c r="E9" s="90">
        <f>+D10</f>
        <v>18368749</v>
      </c>
    </row>
    <row r="10" spans="1:5" ht="17.649999999999999" customHeight="1" x14ac:dyDescent="0.25">
      <c r="A10" s="211" t="s">
        <v>210</v>
      </c>
      <c r="B10" s="211"/>
      <c r="C10" s="120" t="s">
        <v>211</v>
      </c>
      <c r="D10" s="91">
        <v>18368749</v>
      </c>
      <c r="E10" s="90"/>
    </row>
    <row r="11" spans="1:5" ht="14.85" customHeight="1" x14ac:dyDescent="0.25">
      <c r="A11" s="205" t="s">
        <v>212</v>
      </c>
      <c r="B11" s="205"/>
      <c r="C11" s="116" t="s">
        <v>213</v>
      </c>
      <c r="D11" s="149"/>
      <c r="E11" s="90"/>
    </row>
    <row r="12" spans="1:5" ht="12" customHeight="1" x14ac:dyDescent="0.25">
      <c r="A12" s="211" t="s">
        <v>214</v>
      </c>
      <c r="B12" s="211"/>
      <c r="C12" s="120" t="s">
        <v>215</v>
      </c>
      <c r="D12" s="91"/>
      <c r="E12" s="90">
        <f>+D13</f>
        <v>43071060</v>
      </c>
    </row>
    <row r="13" spans="1:5" ht="14.85" customHeight="1" x14ac:dyDescent="0.25">
      <c r="A13" s="211" t="s">
        <v>216</v>
      </c>
      <c r="B13" s="211"/>
      <c r="C13" s="120" t="s">
        <v>217</v>
      </c>
      <c r="D13" s="91">
        <v>43071060</v>
      </c>
      <c r="E13" s="90"/>
    </row>
    <row r="14" spans="1:5" ht="10.15" customHeight="1" x14ac:dyDescent="0.25">
      <c r="A14" s="88">
        <v>11200502</v>
      </c>
      <c r="C14" s="180" t="s">
        <v>401</v>
      </c>
      <c r="D14" s="91">
        <v>1289007</v>
      </c>
      <c r="E14" s="90"/>
    </row>
    <row r="15" spans="1:5" ht="10.15" customHeight="1" x14ac:dyDescent="0.25">
      <c r="D15" s="91"/>
      <c r="E15" s="90"/>
    </row>
    <row r="16" spans="1:5" ht="18.600000000000001" customHeight="1" x14ac:dyDescent="0.25">
      <c r="A16" s="210" t="s">
        <v>218</v>
      </c>
      <c r="B16" s="210"/>
      <c r="C16" s="119" t="s">
        <v>219</v>
      </c>
      <c r="D16" s="91"/>
      <c r="E16" s="90"/>
    </row>
    <row r="17" spans="1:5" ht="14.85" customHeight="1" x14ac:dyDescent="0.25">
      <c r="A17" s="205" t="s">
        <v>220</v>
      </c>
      <c r="B17" s="205"/>
      <c r="C17" s="116" t="s">
        <v>221</v>
      </c>
      <c r="D17" s="91"/>
      <c r="E17" s="90">
        <f>SUM(D19:D20)</f>
        <v>6075013.7450000001</v>
      </c>
    </row>
    <row r="18" spans="1:5" ht="12" customHeight="1" x14ac:dyDescent="0.25">
      <c r="A18" s="211" t="s">
        <v>222</v>
      </c>
      <c r="B18" s="211"/>
      <c r="C18" s="120" t="s">
        <v>223</v>
      </c>
      <c r="D18" s="91"/>
      <c r="E18" s="90"/>
    </row>
    <row r="19" spans="1:5" ht="12" customHeight="1" x14ac:dyDescent="0.25">
      <c r="A19" s="120"/>
      <c r="B19" s="120"/>
      <c r="C19" s="120" t="s">
        <v>224</v>
      </c>
      <c r="D19" s="91">
        <v>5655681.7450000001</v>
      </c>
      <c r="E19" s="90"/>
    </row>
    <row r="20" spans="1:5" ht="11.25" customHeight="1" x14ac:dyDescent="0.25">
      <c r="A20" s="179"/>
      <c r="B20" s="179"/>
      <c r="C20" s="179" t="s">
        <v>397</v>
      </c>
      <c r="D20" s="91">
        <f>193113+226219</f>
        <v>419332</v>
      </c>
      <c r="E20" s="90"/>
    </row>
    <row r="21" spans="1:5" ht="11.25" customHeight="1" x14ac:dyDescent="0.25">
      <c r="A21" s="180"/>
      <c r="B21" s="180"/>
      <c r="C21" s="180" t="s">
        <v>402</v>
      </c>
      <c r="D21" s="91">
        <v>1314587</v>
      </c>
      <c r="E21" s="90"/>
    </row>
    <row r="22" spans="1:5" ht="12" customHeight="1" x14ac:dyDescent="0.25">
      <c r="A22" s="120"/>
      <c r="B22" s="120"/>
      <c r="C22" s="120"/>
      <c r="D22" s="91"/>
      <c r="E22" s="90"/>
    </row>
    <row r="23" spans="1:5" ht="17.649999999999999" customHeight="1" x14ac:dyDescent="0.25">
      <c r="A23" s="211" t="s">
        <v>225</v>
      </c>
      <c r="B23" s="211"/>
      <c r="C23" s="120" t="s">
        <v>226</v>
      </c>
      <c r="D23" s="91"/>
      <c r="E23" s="90">
        <f>+D24+D25</f>
        <v>12177061</v>
      </c>
    </row>
    <row r="24" spans="1:5" ht="17.649999999999999" customHeight="1" x14ac:dyDescent="0.25">
      <c r="A24" s="120"/>
      <c r="B24" s="120"/>
      <c r="C24" s="120" t="s">
        <v>227</v>
      </c>
      <c r="D24" s="91">
        <v>6423723</v>
      </c>
      <c r="E24" s="90"/>
    </row>
    <row r="25" spans="1:5" ht="17.649999999999999" customHeight="1" x14ac:dyDescent="0.25">
      <c r="A25" s="141"/>
      <c r="B25" s="141"/>
      <c r="C25" s="141" t="s">
        <v>389</v>
      </c>
      <c r="D25" s="91">
        <v>5753338</v>
      </c>
      <c r="E25" s="90"/>
    </row>
    <row r="26" spans="1:5" ht="17.649999999999999" customHeight="1" x14ac:dyDescent="0.25">
      <c r="A26" s="120"/>
      <c r="B26" s="120"/>
      <c r="C26" s="120"/>
      <c r="D26" s="91"/>
      <c r="E26" s="90"/>
    </row>
    <row r="27" spans="1:5" ht="14.85" customHeight="1" x14ac:dyDescent="0.25">
      <c r="A27" s="205" t="s">
        <v>228</v>
      </c>
      <c r="B27" s="205"/>
      <c r="C27" s="116" t="s">
        <v>229</v>
      </c>
      <c r="D27" s="91"/>
      <c r="E27" s="90">
        <f>SUM(D28:D32)</f>
        <v>4253045</v>
      </c>
    </row>
    <row r="28" spans="1:5" ht="12" customHeight="1" x14ac:dyDescent="0.25">
      <c r="A28" s="211" t="s">
        <v>230</v>
      </c>
      <c r="B28" s="211"/>
      <c r="C28" s="120" t="s">
        <v>231</v>
      </c>
      <c r="D28" s="91">
        <v>413000</v>
      </c>
      <c r="E28" s="90"/>
    </row>
    <row r="29" spans="1:5" ht="12" customHeight="1" x14ac:dyDescent="0.25">
      <c r="A29" s="179">
        <v>135518</v>
      </c>
      <c r="B29" s="179"/>
      <c r="C29" s="179" t="s">
        <v>399</v>
      </c>
      <c r="D29" s="91">
        <v>326615</v>
      </c>
      <c r="E29" s="90"/>
    </row>
    <row r="30" spans="1:5" ht="12" customHeight="1" x14ac:dyDescent="0.25">
      <c r="A30" s="211" t="s">
        <v>232</v>
      </c>
      <c r="B30" s="211"/>
      <c r="C30" s="120" t="s">
        <v>398</v>
      </c>
      <c r="D30" s="91">
        <v>3006385</v>
      </c>
      <c r="E30" s="90"/>
    </row>
    <row r="31" spans="1:5" ht="12" customHeight="1" x14ac:dyDescent="0.25">
      <c r="A31" s="211" t="s">
        <v>234</v>
      </c>
      <c r="B31" s="211"/>
      <c r="C31" s="120" t="s">
        <v>235</v>
      </c>
      <c r="D31" s="91">
        <v>153045</v>
      </c>
      <c r="E31" s="90"/>
    </row>
    <row r="32" spans="1:5" ht="10.5" customHeight="1" x14ac:dyDescent="0.25">
      <c r="A32" s="211" t="s">
        <v>236</v>
      </c>
      <c r="B32" s="211"/>
      <c r="C32" s="120" t="s">
        <v>316</v>
      </c>
      <c r="D32" s="91">
        <f>43000+41000+121000+2000+69000+78000</f>
        <v>354000</v>
      </c>
      <c r="E32" s="90"/>
    </row>
    <row r="33" spans="1:6" ht="10.15" customHeight="1" x14ac:dyDescent="0.25">
      <c r="D33" s="91"/>
      <c r="E33" s="90"/>
    </row>
    <row r="34" spans="1:6" ht="18.600000000000001" customHeight="1" x14ac:dyDescent="0.25">
      <c r="A34" s="210" t="s">
        <v>237</v>
      </c>
      <c r="B34" s="210"/>
      <c r="C34" s="119" t="s">
        <v>238</v>
      </c>
      <c r="D34" s="91"/>
      <c r="E34" s="90">
        <f>+D35</f>
        <v>163235452</v>
      </c>
      <c r="F34" s="92"/>
    </row>
    <row r="35" spans="1:6" ht="14.85" customHeight="1" x14ac:dyDescent="0.25">
      <c r="A35" s="205" t="s">
        <v>239</v>
      </c>
      <c r="B35" s="205"/>
      <c r="C35" s="116" t="s">
        <v>240</v>
      </c>
      <c r="D35" s="91">
        <f>163654784-419332</f>
        <v>163235452</v>
      </c>
      <c r="E35" s="90"/>
    </row>
    <row r="36" spans="1:6" ht="10.5" customHeight="1" x14ac:dyDescent="0.25">
      <c r="A36" s="211"/>
      <c r="B36" s="211"/>
      <c r="C36" s="120"/>
      <c r="D36" s="91"/>
      <c r="E36" s="93"/>
    </row>
    <row r="37" spans="1:6" ht="10.15" customHeight="1" x14ac:dyDescent="0.25">
      <c r="D37" s="91"/>
    </row>
    <row r="38" spans="1:6" ht="18.600000000000001" customHeight="1" x14ac:dyDescent="0.25">
      <c r="A38" s="210" t="s">
        <v>241</v>
      </c>
      <c r="B38" s="210"/>
      <c r="C38" s="119" t="s">
        <v>242</v>
      </c>
      <c r="D38" s="91"/>
      <c r="E38" s="94">
        <f>+D39+D41+D44+D46+D48+D50</f>
        <v>373330511</v>
      </c>
    </row>
    <row r="39" spans="1:6" ht="14.85" customHeight="1" x14ac:dyDescent="0.25">
      <c r="A39" s="205" t="s">
        <v>243</v>
      </c>
      <c r="B39" s="205"/>
      <c r="C39" s="116" t="s">
        <v>244</v>
      </c>
      <c r="D39" s="91">
        <f>+D40</f>
        <v>10126196</v>
      </c>
      <c r="E39" s="95"/>
    </row>
    <row r="40" spans="1:6" ht="17.649999999999999" customHeight="1" x14ac:dyDescent="0.25">
      <c r="A40" s="211" t="s">
        <v>245</v>
      </c>
      <c r="B40" s="211"/>
      <c r="C40" s="120" t="s">
        <v>95</v>
      </c>
      <c r="D40" s="91">
        <v>10126196</v>
      </c>
      <c r="E40" s="93"/>
    </row>
    <row r="41" spans="1:6" ht="14.85" customHeight="1" x14ac:dyDescent="0.25">
      <c r="A41" s="205" t="s">
        <v>246</v>
      </c>
      <c r="B41" s="205"/>
      <c r="C41" s="116" t="s">
        <v>69</v>
      </c>
      <c r="D41" s="91">
        <f>+D42+D43</f>
        <v>381000000</v>
      </c>
      <c r="E41" s="95"/>
    </row>
    <row r="42" spans="1:6" ht="12" customHeight="1" x14ac:dyDescent="0.25">
      <c r="A42" s="211" t="s">
        <v>247</v>
      </c>
      <c r="B42" s="211"/>
      <c r="C42" s="120" t="s">
        <v>248</v>
      </c>
      <c r="D42" s="91">
        <v>91000000</v>
      </c>
      <c r="E42" s="93"/>
    </row>
    <row r="43" spans="1:6" ht="17.649999999999999" customHeight="1" x14ac:dyDescent="0.25">
      <c r="A43" s="211" t="s">
        <v>249</v>
      </c>
      <c r="B43" s="211"/>
      <c r="C43" s="120" t="s">
        <v>250</v>
      </c>
      <c r="D43" s="91">
        <v>290000000</v>
      </c>
      <c r="E43" s="93"/>
    </row>
    <row r="44" spans="1:6" ht="14.85" customHeight="1" x14ac:dyDescent="0.25">
      <c r="A44" s="205" t="s">
        <v>251</v>
      </c>
      <c r="B44" s="205"/>
      <c r="C44" s="116" t="s">
        <v>95</v>
      </c>
      <c r="D44" s="91">
        <f>+D45</f>
        <v>1070000</v>
      </c>
      <c r="E44" s="95"/>
    </row>
    <row r="45" spans="1:6" ht="17.649999999999999" customHeight="1" x14ac:dyDescent="0.25">
      <c r="A45" s="211" t="s">
        <v>252</v>
      </c>
      <c r="B45" s="211"/>
      <c r="C45" s="120" t="s">
        <v>253</v>
      </c>
      <c r="D45" s="91">
        <v>1070000</v>
      </c>
      <c r="E45" s="93"/>
    </row>
    <row r="46" spans="1:6" ht="14.85" customHeight="1" x14ac:dyDescent="0.25">
      <c r="A46" s="205" t="s">
        <v>254</v>
      </c>
      <c r="B46" s="205"/>
      <c r="C46" s="116" t="s">
        <v>143</v>
      </c>
      <c r="D46" s="91">
        <f>+D47</f>
        <v>3109000</v>
      </c>
      <c r="E46" s="95"/>
    </row>
    <row r="47" spans="1:6" ht="17.649999999999999" customHeight="1" x14ac:dyDescent="0.25">
      <c r="A47" s="211" t="s">
        <v>255</v>
      </c>
      <c r="B47" s="211"/>
      <c r="C47" s="120" t="s">
        <v>256</v>
      </c>
      <c r="D47" s="91">
        <v>3109000</v>
      </c>
      <c r="E47" s="93"/>
    </row>
    <row r="48" spans="1:6" ht="14.85" customHeight="1" x14ac:dyDescent="0.25">
      <c r="A48" s="205" t="s">
        <v>257</v>
      </c>
      <c r="B48" s="205"/>
      <c r="C48" s="116" t="s">
        <v>258</v>
      </c>
      <c r="D48" s="91">
        <v>34596000</v>
      </c>
      <c r="E48" s="95"/>
    </row>
    <row r="49" spans="1:5" ht="10.5" customHeight="1" x14ac:dyDescent="0.25">
      <c r="A49" s="211" t="s">
        <v>259</v>
      </c>
      <c r="B49" s="211"/>
      <c r="C49" s="120" t="s">
        <v>260</v>
      </c>
      <c r="D49" s="91">
        <v>34596000</v>
      </c>
      <c r="E49" s="93"/>
    </row>
    <row r="50" spans="1:5" ht="14.85" customHeight="1" x14ac:dyDescent="0.25">
      <c r="A50" s="205" t="s">
        <v>261</v>
      </c>
      <c r="B50" s="205"/>
      <c r="C50" s="116" t="s">
        <v>262</v>
      </c>
      <c r="D50" s="91">
        <f>SUM(D51:D55)</f>
        <v>-56570685</v>
      </c>
      <c r="E50" s="95"/>
    </row>
    <row r="51" spans="1:5" ht="14.85" customHeight="1" x14ac:dyDescent="0.25">
      <c r="A51" s="142"/>
      <c r="B51" s="142"/>
      <c r="C51" s="160" t="s">
        <v>354</v>
      </c>
      <c r="D51" s="91">
        <v>-9040688</v>
      </c>
      <c r="E51" s="95"/>
    </row>
    <row r="52" spans="1:5" ht="14.85" customHeight="1" x14ac:dyDescent="0.25">
      <c r="A52" s="142"/>
      <c r="B52" s="142"/>
      <c r="C52" s="160" t="s">
        <v>264</v>
      </c>
      <c r="D52" s="91">
        <v>-36470801</v>
      </c>
      <c r="E52" s="95"/>
    </row>
    <row r="53" spans="1:5" ht="14.85" customHeight="1" x14ac:dyDescent="0.25">
      <c r="A53" s="116"/>
      <c r="B53" s="116"/>
      <c r="C53" s="160" t="s">
        <v>263</v>
      </c>
      <c r="D53" s="91">
        <v>-136796</v>
      </c>
      <c r="E53" s="95"/>
    </row>
    <row r="54" spans="1:5" ht="10.5" customHeight="1" x14ac:dyDescent="0.25">
      <c r="A54" s="211"/>
      <c r="B54" s="211"/>
      <c r="C54" s="160" t="s">
        <v>265</v>
      </c>
      <c r="D54" s="91">
        <v>-543600</v>
      </c>
      <c r="E54" s="93"/>
    </row>
    <row r="55" spans="1:5" ht="10.5" customHeight="1" x14ac:dyDescent="0.25">
      <c r="A55" s="160"/>
      <c r="B55" s="160"/>
      <c r="C55" s="160" t="s">
        <v>258</v>
      </c>
      <c r="D55" s="91">
        <v>-10378800</v>
      </c>
      <c r="E55" s="93"/>
    </row>
    <row r="56" spans="1:5" ht="10.15" customHeight="1" x14ac:dyDescent="0.25">
      <c r="D56" s="91"/>
    </row>
    <row r="57" spans="1:5" ht="18.600000000000001" customHeight="1" x14ac:dyDescent="0.25">
      <c r="A57" s="210" t="s">
        <v>266</v>
      </c>
      <c r="B57" s="210"/>
      <c r="C57" s="119" t="s">
        <v>267</v>
      </c>
      <c r="D57" s="91"/>
      <c r="E57" s="96">
        <f>+D58</f>
        <v>2548980</v>
      </c>
    </row>
    <row r="58" spans="1:5" ht="14.85" customHeight="1" x14ac:dyDescent="0.25">
      <c r="A58" s="205" t="s">
        <v>268</v>
      </c>
      <c r="B58" s="205"/>
      <c r="C58" s="116" t="s">
        <v>269</v>
      </c>
      <c r="D58" s="91">
        <v>2548980</v>
      </c>
      <c r="E58" s="95"/>
    </row>
    <row r="59" spans="1:5" ht="14.85" customHeight="1" x14ac:dyDescent="0.25">
      <c r="A59" s="116"/>
      <c r="B59" s="116"/>
      <c r="C59" s="116"/>
      <c r="D59" s="91"/>
      <c r="E59" s="95"/>
    </row>
    <row r="60" spans="1:5" ht="31.5" customHeight="1" thickBot="1" x14ac:dyDescent="0.3">
      <c r="A60" s="212" t="s">
        <v>270</v>
      </c>
      <c r="B60" s="212"/>
      <c r="C60" s="212"/>
      <c r="D60" s="175"/>
      <c r="E60" s="175">
        <f>SUM(E9:E58)</f>
        <v>623059871.745</v>
      </c>
    </row>
    <row r="61" spans="1:5" ht="14.85" customHeight="1" thickTop="1" x14ac:dyDescent="0.25">
      <c r="A61" s="116"/>
      <c r="B61" s="116"/>
      <c r="C61" s="116"/>
      <c r="D61" s="91"/>
      <c r="E61" s="95"/>
    </row>
    <row r="62" spans="1:5" ht="14.85" customHeight="1" x14ac:dyDescent="0.25">
      <c r="A62" s="116"/>
      <c r="B62" s="116"/>
      <c r="C62" s="116"/>
      <c r="D62" s="91"/>
      <c r="E62" s="95"/>
    </row>
    <row r="63" spans="1:5" ht="17.649999999999999" customHeight="1" x14ac:dyDescent="0.25">
      <c r="A63" s="120"/>
      <c r="B63" s="120"/>
      <c r="C63" s="120"/>
      <c r="D63" s="91"/>
      <c r="E63" s="200"/>
    </row>
    <row r="64" spans="1:5" ht="14.85" customHeight="1" x14ac:dyDescent="0.25">
      <c r="A64" s="205" t="s">
        <v>271</v>
      </c>
      <c r="B64" s="205"/>
      <c r="C64" s="116" t="s">
        <v>233</v>
      </c>
      <c r="D64" s="91"/>
      <c r="E64" s="201">
        <f>+D65+D66</f>
        <v>400000</v>
      </c>
    </row>
    <row r="65" spans="1:6" ht="12" customHeight="1" x14ac:dyDescent="0.25">
      <c r="A65" s="211" t="s">
        <v>272</v>
      </c>
      <c r="B65" s="211"/>
      <c r="C65" s="120" t="s">
        <v>233</v>
      </c>
      <c r="D65" s="91">
        <v>374000</v>
      </c>
      <c r="E65" s="200"/>
    </row>
    <row r="66" spans="1:6" ht="12" customHeight="1" x14ac:dyDescent="0.25">
      <c r="A66" s="143">
        <v>236706</v>
      </c>
      <c r="B66" s="143"/>
      <c r="C66" s="143" t="s">
        <v>355</v>
      </c>
      <c r="D66" s="91">
        <v>26000</v>
      </c>
      <c r="E66" s="200"/>
    </row>
    <row r="67" spans="1:6" ht="17.649999999999999" customHeight="1" x14ac:dyDescent="0.25">
      <c r="A67" s="211"/>
      <c r="B67" s="211"/>
      <c r="C67" s="120"/>
      <c r="D67" s="91"/>
      <c r="E67" s="200"/>
    </row>
    <row r="68" spans="1:6" ht="14.85" customHeight="1" x14ac:dyDescent="0.25">
      <c r="A68" s="205" t="s">
        <v>273</v>
      </c>
      <c r="B68" s="205"/>
      <c r="C68" s="116" t="s">
        <v>274</v>
      </c>
      <c r="D68" s="91"/>
      <c r="E68" s="201">
        <f>+D69+D70+D71</f>
        <v>336200</v>
      </c>
    </row>
    <row r="69" spans="1:6" ht="12" customHeight="1" x14ac:dyDescent="0.25">
      <c r="A69" s="211" t="s">
        <v>275</v>
      </c>
      <c r="B69" s="211"/>
      <c r="C69" s="120" t="s">
        <v>276</v>
      </c>
      <c r="D69" s="91">
        <v>107700</v>
      </c>
      <c r="E69" s="200"/>
    </row>
    <row r="70" spans="1:6" ht="12" customHeight="1" x14ac:dyDescent="0.25">
      <c r="A70" s="211" t="s">
        <v>277</v>
      </c>
      <c r="B70" s="211"/>
      <c r="C70" s="120" t="s">
        <v>51</v>
      </c>
      <c r="D70" s="91">
        <v>65600</v>
      </c>
      <c r="E70" s="200"/>
    </row>
    <row r="71" spans="1:6" ht="17.649999999999999" customHeight="1" x14ac:dyDescent="0.25">
      <c r="A71" s="211" t="s">
        <v>278</v>
      </c>
      <c r="B71" s="211"/>
      <c r="C71" s="120" t="s">
        <v>279</v>
      </c>
      <c r="D71" s="91">
        <v>162900</v>
      </c>
      <c r="E71" s="200"/>
    </row>
    <row r="72" spans="1:6" ht="14.85" customHeight="1" x14ac:dyDescent="0.25">
      <c r="A72" s="205" t="s">
        <v>280</v>
      </c>
      <c r="B72" s="205"/>
      <c r="C72" s="116" t="s">
        <v>281</v>
      </c>
      <c r="D72" s="91"/>
      <c r="E72" s="201">
        <f>+D73</f>
        <v>430500</v>
      </c>
    </row>
    <row r="73" spans="1:6" ht="12" customHeight="1" x14ac:dyDescent="0.25">
      <c r="A73" s="211" t="s">
        <v>282</v>
      </c>
      <c r="B73" s="211"/>
      <c r="C73" s="120" t="s">
        <v>283</v>
      </c>
      <c r="D73" s="91">
        <v>430500</v>
      </c>
      <c r="E73" s="200"/>
    </row>
    <row r="74" spans="1:6" ht="10.5" customHeight="1" x14ac:dyDescent="0.25">
      <c r="A74" s="211"/>
      <c r="B74" s="211"/>
      <c r="C74" s="120"/>
      <c r="D74" s="91"/>
      <c r="E74" s="200"/>
    </row>
    <row r="75" spans="1:6" ht="10.15" customHeight="1" x14ac:dyDescent="0.25">
      <c r="D75" s="91"/>
      <c r="E75" s="202"/>
    </row>
    <row r="76" spans="1:6" ht="18.600000000000001" customHeight="1" x14ac:dyDescent="0.25">
      <c r="A76" s="210" t="s">
        <v>284</v>
      </c>
      <c r="B76" s="210"/>
      <c r="C76" s="119" t="s">
        <v>285</v>
      </c>
      <c r="D76" s="91"/>
      <c r="E76" s="201">
        <f>+D77+D78</f>
        <v>1073000</v>
      </c>
    </row>
    <row r="77" spans="1:6" ht="14.85" customHeight="1" x14ac:dyDescent="0.25">
      <c r="A77" s="205" t="s">
        <v>286</v>
      </c>
      <c r="B77" s="205"/>
      <c r="C77" s="116" t="s">
        <v>287</v>
      </c>
      <c r="D77" s="91">
        <v>637000</v>
      </c>
      <c r="E77" s="203"/>
      <c r="F77" s="92"/>
    </row>
    <row r="78" spans="1:6" ht="14.85" customHeight="1" x14ac:dyDescent="0.25">
      <c r="A78" s="116">
        <v>2412</v>
      </c>
      <c r="B78" s="116"/>
      <c r="C78" s="116" t="s">
        <v>315</v>
      </c>
      <c r="D78" s="91">
        <v>436000</v>
      </c>
      <c r="E78" s="203"/>
      <c r="F78" s="92"/>
    </row>
    <row r="79" spans="1:6" ht="14.85" customHeight="1" x14ac:dyDescent="0.25">
      <c r="A79" s="116"/>
      <c r="B79" s="116"/>
      <c r="C79" s="116"/>
      <c r="D79" s="91"/>
      <c r="E79" s="98"/>
      <c r="F79" s="92"/>
    </row>
    <row r="80" spans="1:6" ht="10.15" customHeight="1" x14ac:dyDescent="0.25">
      <c r="D80" s="91"/>
      <c r="E80" s="98"/>
    </row>
    <row r="81" spans="1:5" ht="10.15" customHeight="1" x14ac:dyDescent="0.25"/>
    <row r="82" spans="1:5" ht="18.600000000000001" customHeight="1" x14ac:dyDescent="0.25">
      <c r="A82" s="210" t="s">
        <v>288</v>
      </c>
      <c r="B82" s="210"/>
      <c r="C82" s="119" t="s">
        <v>289</v>
      </c>
      <c r="D82" s="150"/>
      <c r="E82" s="99"/>
    </row>
    <row r="83" spans="1:5" ht="14.85" customHeight="1" x14ac:dyDescent="0.25">
      <c r="A83" s="205" t="s">
        <v>290</v>
      </c>
      <c r="B83" s="205"/>
      <c r="C83" s="116" t="s">
        <v>291</v>
      </c>
      <c r="D83" s="151"/>
      <c r="E83" s="90">
        <f>SUM(D84:D89)</f>
        <v>0</v>
      </c>
    </row>
    <row r="84" spans="1:5" ht="12" customHeight="1" x14ac:dyDescent="0.25">
      <c r="A84" s="211" t="s">
        <v>292</v>
      </c>
      <c r="B84" s="211"/>
      <c r="C84" s="120" t="s">
        <v>40</v>
      </c>
      <c r="D84" s="91">
        <v>0</v>
      </c>
      <c r="E84" s="93"/>
    </row>
    <row r="85" spans="1:5" ht="12" customHeight="1" x14ac:dyDescent="0.25">
      <c r="A85" s="211" t="s">
        <v>293</v>
      </c>
      <c r="B85" s="211"/>
      <c r="C85" s="120" t="s">
        <v>42</v>
      </c>
      <c r="D85" s="91">
        <v>0</v>
      </c>
      <c r="E85" s="93"/>
    </row>
    <row r="86" spans="1:5" ht="12" customHeight="1" x14ac:dyDescent="0.25">
      <c r="A86" s="160">
        <v>261015</v>
      </c>
      <c r="B86" s="160"/>
      <c r="C86" s="160" t="s">
        <v>46</v>
      </c>
      <c r="D86" s="91">
        <v>0</v>
      </c>
      <c r="E86" s="93"/>
    </row>
    <row r="87" spans="1:5" ht="12" customHeight="1" x14ac:dyDescent="0.25">
      <c r="A87" s="160">
        <v>261020</v>
      </c>
      <c r="B87" s="160"/>
      <c r="C87" s="160" t="s">
        <v>390</v>
      </c>
      <c r="D87" s="91">
        <v>0</v>
      </c>
      <c r="E87" s="93"/>
    </row>
    <row r="88" spans="1:5" ht="12" customHeight="1" x14ac:dyDescent="0.25">
      <c r="A88" s="211"/>
      <c r="B88" s="211"/>
      <c r="C88" s="120"/>
      <c r="D88" s="91"/>
      <c r="E88" s="93"/>
    </row>
    <row r="89" spans="1:5" ht="10.5" customHeight="1" x14ac:dyDescent="0.25">
      <c r="A89" s="211"/>
      <c r="B89" s="211"/>
      <c r="C89" s="120"/>
      <c r="D89" s="91"/>
      <c r="E89" s="93"/>
    </row>
    <row r="90" spans="1:5" ht="10.5" customHeight="1" x14ac:dyDescent="0.25">
      <c r="A90" s="120"/>
      <c r="B90" s="120"/>
      <c r="C90" s="120"/>
      <c r="D90" s="91"/>
      <c r="E90" s="93"/>
    </row>
    <row r="91" spans="1:5" ht="18.600000000000001" customHeight="1" x14ac:dyDescent="0.25">
      <c r="A91" s="210">
        <v>22</v>
      </c>
      <c r="B91" s="210"/>
      <c r="C91" s="119" t="s">
        <v>294</v>
      </c>
      <c r="D91" s="91"/>
      <c r="E91" s="99"/>
    </row>
    <row r="92" spans="1:5" ht="14.85" customHeight="1" x14ac:dyDescent="0.25">
      <c r="A92" s="205">
        <v>2205</v>
      </c>
      <c r="B92" s="205"/>
      <c r="C92" s="116" t="s">
        <v>223</v>
      </c>
      <c r="D92" s="151"/>
      <c r="E92" s="90">
        <f>+D94+D95</f>
        <v>4052548</v>
      </c>
    </row>
    <row r="93" spans="1:5" ht="10.5" customHeight="1" x14ac:dyDescent="0.25">
      <c r="A93" s="211">
        <v>221005</v>
      </c>
      <c r="B93" s="211"/>
      <c r="C93" s="120" t="s">
        <v>295</v>
      </c>
      <c r="D93" s="91"/>
      <c r="E93" s="93"/>
    </row>
    <row r="94" spans="1:5" ht="10.5" customHeight="1" x14ac:dyDescent="0.25">
      <c r="A94" s="120"/>
      <c r="B94" s="120"/>
      <c r="C94" s="120" t="s">
        <v>323</v>
      </c>
      <c r="D94" s="91">
        <v>4052548</v>
      </c>
      <c r="E94" s="93"/>
    </row>
    <row r="95" spans="1:5" ht="10.5" customHeight="1" x14ac:dyDescent="0.25">
      <c r="A95" s="120"/>
      <c r="B95" s="120"/>
      <c r="C95" s="120"/>
      <c r="D95" s="91"/>
      <c r="E95" s="93"/>
    </row>
    <row r="96" spans="1:5" ht="12.95" customHeight="1" x14ac:dyDescent="0.25"/>
    <row r="97" spans="1:9" ht="25.5" customHeight="1" thickBot="1" x14ac:dyDescent="0.3">
      <c r="A97" s="213" t="s">
        <v>296</v>
      </c>
      <c r="B97" s="213"/>
      <c r="C97" s="213"/>
      <c r="D97" s="213"/>
      <c r="E97" s="176">
        <f>SUM(E63:E96)</f>
        <v>6292248</v>
      </c>
    </row>
    <row r="98" spans="1:9" ht="12.95" customHeight="1" thickTop="1" x14ac:dyDescent="0.25"/>
    <row r="99" spans="1:9" ht="12.95" customHeight="1" x14ac:dyDescent="0.25"/>
    <row r="100" spans="1:9" ht="12.75" customHeight="1" x14ac:dyDescent="0.25">
      <c r="A100" s="209" t="s">
        <v>297</v>
      </c>
      <c r="B100" s="209"/>
      <c r="C100" s="118" t="s">
        <v>298</v>
      </c>
      <c r="D100" s="146"/>
      <c r="E100" s="89"/>
    </row>
    <row r="101" spans="1:9" ht="9.9499999999999993" customHeight="1" x14ac:dyDescent="0.25">
      <c r="E101" s="90"/>
    </row>
    <row r="102" spans="1:9" ht="18.600000000000001" customHeight="1" x14ac:dyDescent="0.25">
      <c r="A102" s="210" t="s">
        <v>299</v>
      </c>
      <c r="B102" s="210"/>
      <c r="C102" s="119" t="s">
        <v>300</v>
      </c>
      <c r="D102" s="91"/>
      <c r="E102" s="90">
        <f>+D103</f>
        <v>574301990</v>
      </c>
    </row>
    <row r="103" spans="1:9" ht="14.85" customHeight="1" x14ac:dyDescent="0.25">
      <c r="A103" s="205" t="s">
        <v>301</v>
      </c>
      <c r="B103" s="205"/>
      <c r="C103" s="116" t="s">
        <v>302</v>
      </c>
      <c r="D103" s="91">
        <v>574301990</v>
      </c>
      <c r="E103" s="90"/>
    </row>
    <row r="104" spans="1:9" ht="10.5" customHeight="1" x14ac:dyDescent="0.25">
      <c r="A104" s="211" t="s">
        <v>303</v>
      </c>
      <c r="B104" s="211"/>
      <c r="C104" s="120" t="s">
        <v>304</v>
      </c>
      <c r="D104" s="91"/>
      <c r="E104" s="90"/>
    </row>
    <row r="105" spans="1:9" ht="10.5" customHeight="1" x14ac:dyDescent="0.25">
      <c r="A105" s="120"/>
      <c r="B105" s="120"/>
      <c r="C105" s="120"/>
      <c r="D105" s="91"/>
      <c r="E105" s="90"/>
    </row>
    <row r="106" spans="1:9" ht="10.15" customHeight="1" x14ac:dyDescent="0.25">
      <c r="D106" s="91"/>
      <c r="E106" s="90"/>
    </row>
    <row r="107" spans="1:9" ht="18.600000000000001" customHeight="1" x14ac:dyDescent="0.25">
      <c r="A107" s="210" t="s">
        <v>305</v>
      </c>
      <c r="B107" s="210"/>
      <c r="C107" s="119" t="s">
        <v>306</v>
      </c>
      <c r="D107" s="91"/>
      <c r="E107" s="90">
        <f>+D108</f>
        <v>14465633.829999998</v>
      </c>
    </row>
    <row r="108" spans="1:9" ht="14.85" customHeight="1" x14ac:dyDescent="0.25">
      <c r="A108" s="205" t="s">
        <v>307</v>
      </c>
      <c r="B108" s="205"/>
      <c r="C108" s="116" t="s">
        <v>308</v>
      </c>
      <c r="D108" s="91">
        <f>+D109</f>
        <v>14465633.829999998</v>
      </c>
      <c r="E108" s="95"/>
    </row>
    <row r="109" spans="1:9" ht="17.649999999999999" customHeight="1" x14ac:dyDescent="0.25">
      <c r="A109" s="211" t="s">
        <v>309</v>
      </c>
      <c r="B109" s="211"/>
      <c r="C109" s="120" t="s">
        <v>308</v>
      </c>
      <c r="D109" s="91">
        <f>+'PYG '!AU154</f>
        <v>14465633.829999998</v>
      </c>
      <c r="E109" s="93"/>
    </row>
    <row r="110" spans="1:9" ht="17.649999999999999" customHeight="1" x14ac:dyDescent="0.25">
      <c r="A110" s="120"/>
      <c r="B110" s="120"/>
      <c r="C110" s="120"/>
      <c r="D110" s="91"/>
      <c r="E110" s="93"/>
    </row>
    <row r="111" spans="1:9" ht="17.649999999999999" customHeight="1" x14ac:dyDescent="0.25">
      <c r="A111" s="120">
        <v>37</v>
      </c>
      <c r="B111" s="120"/>
      <c r="C111" s="120" t="s">
        <v>310</v>
      </c>
      <c r="D111" s="91"/>
      <c r="E111" s="98">
        <f>+D112+D113</f>
        <v>28000000</v>
      </c>
      <c r="I111" s="88">
        <f>E111*19%</f>
        <v>5320000</v>
      </c>
    </row>
    <row r="112" spans="1:9" ht="17.649999999999999" customHeight="1" x14ac:dyDescent="0.25">
      <c r="A112" s="120">
        <v>37</v>
      </c>
      <c r="B112" s="120"/>
      <c r="C112" s="120" t="s">
        <v>311</v>
      </c>
      <c r="D112" s="91">
        <v>28000000</v>
      </c>
      <c r="E112" s="93"/>
    </row>
    <row r="113" spans="1:5" ht="17.649999999999999" customHeight="1" x14ac:dyDescent="0.25">
      <c r="A113" s="160"/>
      <c r="B113" s="160"/>
      <c r="C113" s="160"/>
      <c r="D113" s="91"/>
      <c r="E113" s="93"/>
    </row>
    <row r="114" spans="1:5" ht="12" customHeight="1" x14ac:dyDescent="0.25">
      <c r="A114" s="211"/>
      <c r="B114" s="211"/>
      <c r="C114" s="120"/>
      <c r="D114" s="152"/>
      <c r="E114" s="93"/>
    </row>
    <row r="115" spans="1:5" ht="16.5" thickBot="1" x14ac:dyDescent="0.3">
      <c r="A115" s="214" t="s">
        <v>312</v>
      </c>
      <c r="B115" s="214"/>
      <c r="C115" s="214"/>
      <c r="D115" s="214"/>
      <c r="E115" s="100">
        <f>+E102+E107+E111</f>
        <v>616767623.83000004</v>
      </c>
    </row>
    <row r="116" spans="1:5" ht="15.75" thickTop="1" x14ac:dyDescent="0.25"/>
    <row r="117" spans="1:5" ht="16.5" thickBot="1" x14ac:dyDescent="0.3">
      <c r="A117" s="214" t="s">
        <v>313</v>
      </c>
      <c r="B117" s="214"/>
      <c r="C117" s="214"/>
      <c r="D117" s="214"/>
      <c r="E117" s="97">
        <f>+E115+E97</f>
        <v>623059871.83000004</v>
      </c>
    </row>
    <row r="118" spans="1:5" ht="15.75" thickTop="1" x14ac:dyDescent="0.25"/>
    <row r="119" spans="1:5" x14ac:dyDescent="0.25">
      <c r="E119" s="177">
        <v>0</v>
      </c>
    </row>
    <row r="120" spans="1:5" x14ac:dyDescent="0.25">
      <c r="E120" s="204">
        <f>+E60-E97-E115</f>
        <v>-8.5000038146972656E-2</v>
      </c>
    </row>
    <row r="121" spans="1:5" x14ac:dyDescent="0.25">
      <c r="E121" s="178"/>
    </row>
  </sheetData>
  <mergeCells count="71">
    <mergeCell ref="A114:B114"/>
    <mergeCell ref="A115:D115"/>
    <mergeCell ref="A117:D117"/>
    <mergeCell ref="A102:B102"/>
    <mergeCell ref="A103:B103"/>
    <mergeCell ref="A104:B104"/>
    <mergeCell ref="A107:B107"/>
    <mergeCell ref="A108:B108"/>
    <mergeCell ref="A109:B109"/>
    <mergeCell ref="A100:B100"/>
    <mergeCell ref="A77:B77"/>
    <mergeCell ref="A82:B82"/>
    <mergeCell ref="A83:B83"/>
    <mergeCell ref="A84:B84"/>
    <mergeCell ref="A85:B85"/>
    <mergeCell ref="A88:B88"/>
    <mergeCell ref="A89:B89"/>
    <mergeCell ref="A91:B91"/>
    <mergeCell ref="A92:B92"/>
    <mergeCell ref="A93:B93"/>
    <mergeCell ref="A97:D97"/>
    <mergeCell ref="A76:B76"/>
    <mergeCell ref="A64:B64"/>
    <mergeCell ref="A65:B65"/>
    <mergeCell ref="A67:B67"/>
    <mergeCell ref="A68:B68"/>
    <mergeCell ref="A69:B69"/>
    <mergeCell ref="A70:B70"/>
    <mergeCell ref="A71:B71"/>
    <mergeCell ref="A72:B72"/>
    <mergeCell ref="A73:B73"/>
    <mergeCell ref="A74:B74"/>
    <mergeCell ref="A45:B45"/>
    <mergeCell ref="A46:B46"/>
    <mergeCell ref="A47:B47"/>
    <mergeCell ref="A48:B48"/>
    <mergeCell ref="A49:B49"/>
    <mergeCell ref="A50:B50"/>
    <mergeCell ref="A54:B54"/>
    <mergeCell ref="A57:B57"/>
    <mergeCell ref="A58:B58"/>
    <mergeCell ref="A60:C60"/>
    <mergeCell ref="A44:B44"/>
    <mergeCell ref="A32:B32"/>
    <mergeCell ref="A34:B34"/>
    <mergeCell ref="A35:B35"/>
    <mergeCell ref="A36:B36"/>
    <mergeCell ref="A38:B38"/>
    <mergeCell ref="A39:B39"/>
    <mergeCell ref="A40:B40"/>
    <mergeCell ref="A41:B41"/>
    <mergeCell ref="A42:B42"/>
    <mergeCell ref="A43:B43"/>
    <mergeCell ref="A31:B31"/>
    <mergeCell ref="A10:B10"/>
    <mergeCell ref="A11:B11"/>
    <mergeCell ref="A12:B12"/>
    <mergeCell ref="A13:B13"/>
    <mergeCell ref="A16:B16"/>
    <mergeCell ref="A17:B17"/>
    <mergeCell ref="A18:B18"/>
    <mergeCell ref="A23:B23"/>
    <mergeCell ref="A27:B27"/>
    <mergeCell ref="A28:B28"/>
    <mergeCell ref="A30:B30"/>
    <mergeCell ref="A9:B9"/>
    <mergeCell ref="A1:E1"/>
    <mergeCell ref="A2:E2"/>
    <mergeCell ref="A3:E3"/>
    <mergeCell ref="A6:B6"/>
    <mergeCell ref="A8:B8"/>
  </mergeCells>
  <pageMargins left="0.55119997262954712" right="0" top="0.2362000048160553" bottom="0.2362000048160553" header="0" footer="0"/>
  <pageSetup firstPageNumber="0" fitToHeight="0" orientation="portrait" horizontalDpi="360" verticalDpi="360" r:id="rId1"/>
  <headerFooter alignWithMargins="0"/>
  <ignoredErrors>
    <ignoredError sqref="E120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8"/>
  <sheetViews>
    <sheetView tabSelected="1" view="pageBreakPreview" topLeftCell="A13" zoomScale="82" zoomScaleNormal="82" zoomScaleSheetLayoutView="82" workbookViewId="0">
      <pane xSplit="1" topLeftCell="AR1" activePane="topRight" state="frozen"/>
      <selection pane="topRight" activeCell="BH155" sqref="BH155"/>
    </sheetView>
  </sheetViews>
  <sheetFormatPr baseColWidth="10" defaultRowHeight="15" x14ac:dyDescent="0.25"/>
  <cols>
    <col min="2" max="2" width="47.7109375" customWidth="1"/>
    <col min="3" max="3" width="12.42578125" customWidth="1"/>
    <col min="4" max="4" width="12.28515625" bestFit="1" customWidth="1"/>
    <col min="5" max="5" width="14.5703125" bestFit="1" customWidth="1"/>
    <col min="6" max="6" width="8.5703125" customWidth="1"/>
    <col min="7" max="8" width="12.28515625" bestFit="1" customWidth="1"/>
    <col min="9" max="9" width="15.7109375" bestFit="1" customWidth="1"/>
    <col min="10" max="11" width="12.28515625" bestFit="1" customWidth="1"/>
    <col min="12" max="12" width="13.85546875" bestFit="1" customWidth="1"/>
    <col min="13" max="13" width="14.7109375" customWidth="1"/>
    <col min="14" max="15" width="12.28515625" bestFit="1" customWidth="1"/>
    <col min="16" max="16" width="18" bestFit="1" customWidth="1"/>
    <col min="17" max="17" width="17.5703125" customWidth="1"/>
    <col min="18" max="18" width="12.28515625" bestFit="1" customWidth="1"/>
    <col min="19" max="19" width="13.85546875" bestFit="1" customWidth="1"/>
    <col min="20" max="20" width="14.5703125" bestFit="1" customWidth="1"/>
    <col min="22" max="22" width="12.28515625" bestFit="1" customWidth="1"/>
    <col min="23" max="23" width="14.5703125" bestFit="1" customWidth="1"/>
    <col min="24" max="24" width="18" bestFit="1" customWidth="1"/>
    <col min="25" max="25" width="12.140625" bestFit="1" customWidth="1"/>
    <col min="26" max="26" width="14.5703125" bestFit="1" customWidth="1"/>
    <col min="27" max="27" width="14.5703125" style="27" bestFit="1" customWidth="1"/>
    <col min="29" max="29" width="12.28515625" bestFit="1" customWidth="1"/>
    <col min="30" max="30" width="14.5703125" bestFit="1" customWidth="1"/>
    <col min="31" max="31" width="18" bestFit="1" customWidth="1"/>
    <col min="32" max="32" width="13.7109375" customWidth="1"/>
    <col min="33" max="33" width="12.28515625" style="128" bestFit="1" customWidth="1"/>
    <col min="34" max="34" width="12.7109375" bestFit="1" customWidth="1"/>
    <col min="35" max="35" width="18" bestFit="1" customWidth="1"/>
    <col min="36" max="36" width="13" customWidth="1"/>
    <col min="37" max="37" width="14.7109375" customWidth="1"/>
    <col min="38" max="38" width="12.28515625" bestFit="1" customWidth="1"/>
    <col min="39" max="39" width="17.42578125" customWidth="1"/>
    <col min="41" max="41" width="12.28515625" bestFit="1" customWidth="1"/>
    <col min="42" max="42" width="14.85546875" customWidth="1"/>
    <col min="43" max="43" width="18" bestFit="1" customWidth="1"/>
    <col min="44" max="44" width="13.5703125" customWidth="1"/>
    <col min="45" max="46" width="12.140625" bestFit="1" customWidth="1"/>
    <col min="47" max="47" width="17.85546875" bestFit="1" customWidth="1"/>
  </cols>
  <sheetData>
    <row r="1" spans="1:48" ht="20.25" x14ac:dyDescent="0.3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</row>
    <row r="2" spans="1:48" ht="20.25" x14ac:dyDescent="0.3">
      <c r="A2" s="222" t="s">
        <v>364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</row>
    <row r="3" spans="1:48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48" ht="15.75" customHeight="1" thickBot="1" x14ac:dyDescent="0.3">
      <c r="A4" s="1"/>
      <c r="B4" s="1"/>
      <c r="C4" s="216">
        <v>43831</v>
      </c>
      <c r="D4" s="217"/>
      <c r="E4" s="217"/>
      <c r="F4" s="218"/>
      <c r="G4" s="216">
        <v>43862</v>
      </c>
      <c r="H4" s="217"/>
      <c r="I4" s="217"/>
      <c r="J4" s="216">
        <v>43891</v>
      </c>
      <c r="K4" s="217"/>
      <c r="L4" s="217"/>
      <c r="M4" s="218"/>
      <c r="N4" s="216">
        <v>43922</v>
      </c>
      <c r="O4" s="217"/>
      <c r="P4" s="217"/>
      <c r="Q4" s="218"/>
      <c r="R4" s="216">
        <v>43952</v>
      </c>
      <c r="S4" s="217"/>
      <c r="T4" s="217"/>
      <c r="U4" s="218"/>
      <c r="V4" s="216">
        <v>43983</v>
      </c>
      <c r="W4" s="217"/>
      <c r="X4" s="217"/>
      <c r="Y4" s="216">
        <v>44013</v>
      </c>
      <c r="Z4" s="217"/>
      <c r="AA4" s="217"/>
      <c r="AB4" s="218"/>
      <c r="AC4" s="216">
        <v>44044</v>
      </c>
      <c r="AD4" s="217"/>
      <c r="AE4" s="217"/>
      <c r="AF4" s="218"/>
      <c r="AG4" s="216">
        <v>44075</v>
      </c>
      <c r="AH4" s="217"/>
      <c r="AI4" s="217"/>
      <c r="AJ4" s="218"/>
      <c r="AK4" s="216">
        <v>44105</v>
      </c>
      <c r="AL4" s="217"/>
      <c r="AM4" s="217"/>
      <c r="AN4" s="218"/>
      <c r="AO4" s="216">
        <v>44136</v>
      </c>
      <c r="AP4" s="217"/>
      <c r="AQ4" s="217"/>
      <c r="AR4" s="218"/>
      <c r="AS4" s="216">
        <v>44166</v>
      </c>
      <c r="AT4" s="217"/>
      <c r="AU4" s="217"/>
      <c r="AV4" s="218"/>
    </row>
    <row r="5" spans="1:48" ht="15" customHeight="1" x14ac:dyDescent="0.25">
      <c r="A5" s="219" t="s">
        <v>1</v>
      </c>
      <c r="B5" s="221"/>
      <c r="C5" s="220" t="s">
        <v>365</v>
      </c>
      <c r="D5" s="220"/>
      <c r="E5" s="220" t="s">
        <v>366</v>
      </c>
      <c r="F5" s="221"/>
      <c r="G5" s="225" t="s">
        <v>367</v>
      </c>
      <c r="H5" s="226"/>
      <c r="I5" s="31" t="s">
        <v>368</v>
      </c>
      <c r="J5" s="219" t="s">
        <v>369</v>
      </c>
      <c r="K5" s="220"/>
      <c r="L5" s="223" t="s">
        <v>370</v>
      </c>
      <c r="M5" s="224"/>
      <c r="N5" s="219" t="s">
        <v>371</v>
      </c>
      <c r="O5" s="220"/>
      <c r="P5" s="220" t="s">
        <v>372</v>
      </c>
      <c r="Q5" s="221"/>
      <c r="R5" s="220" t="s">
        <v>373</v>
      </c>
      <c r="S5" s="220"/>
      <c r="T5" s="220" t="s">
        <v>366</v>
      </c>
      <c r="U5" s="221"/>
      <c r="V5" s="225" t="s">
        <v>374</v>
      </c>
      <c r="W5" s="226"/>
      <c r="X5" s="115" t="s">
        <v>375</v>
      </c>
      <c r="Y5" s="219" t="s">
        <v>376</v>
      </c>
      <c r="Z5" s="220"/>
      <c r="AA5" s="223" t="s">
        <v>377</v>
      </c>
      <c r="AB5" s="224"/>
      <c r="AC5" s="219" t="s">
        <v>378</v>
      </c>
      <c r="AD5" s="220"/>
      <c r="AE5" s="220" t="s">
        <v>379</v>
      </c>
      <c r="AF5" s="221"/>
      <c r="AG5" s="219" t="s">
        <v>380</v>
      </c>
      <c r="AH5" s="220"/>
      <c r="AI5" s="220" t="s">
        <v>381</v>
      </c>
      <c r="AJ5" s="221"/>
      <c r="AK5" s="219" t="s">
        <v>382</v>
      </c>
      <c r="AL5" s="220"/>
      <c r="AM5" s="220" t="s">
        <v>383</v>
      </c>
      <c r="AN5" s="221"/>
      <c r="AO5" s="219" t="s">
        <v>384</v>
      </c>
      <c r="AP5" s="220"/>
      <c r="AQ5" s="220" t="s">
        <v>385</v>
      </c>
      <c r="AR5" s="221"/>
      <c r="AS5" s="219" t="s">
        <v>386</v>
      </c>
      <c r="AT5" s="220"/>
      <c r="AU5" s="220" t="s">
        <v>387</v>
      </c>
      <c r="AV5" s="221"/>
    </row>
    <row r="6" spans="1:48" ht="15" customHeight="1" x14ac:dyDescent="0.25">
      <c r="A6" s="8" t="s">
        <v>2</v>
      </c>
      <c r="B6" s="9" t="s">
        <v>3</v>
      </c>
      <c r="C6" s="10" t="s">
        <v>4</v>
      </c>
      <c r="D6" s="10" t="s">
        <v>5</v>
      </c>
      <c r="E6" s="10" t="s">
        <v>6</v>
      </c>
      <c r="F6" s="9"/>
      <c r="G6" s="11" t="s">
        <v>4</v>
      </c>
      <c r="H6" s="10" t="s">
        <v>5</v>
      </c>
      <c r="I6" s="10" t="s">
        <v>6</v>
      </c>
      <c r="J6" s="12" t="s">
        <v>4</v>
      </c>
      <c r="K6" s="10" t="s">
        <v>5</v>
      </c>
      <c r="L6" s="10" t="s">
        <v>6</v>
      </c>
      <c r="M6" s="9"/>
      <c r="N6" s="12" t="s">
        <v>4</v>
      </c>
      <c r="O6" s="10" t="s">
        <v>5</v>
      </c>
      <c r="P6" s="10" t="s">
        <v>6</v>
      </c>
      <c r="Q6" s="9"/>
      <c r="R6" s="10" t="s">
        <v>4</v>
      </c>
      <c r="S6" s="10" t="s">
        <v>5</v>
      </c>
      <c r="T6" s="10" t="s">
        <v>6</v>
      </c>
      <c r="U6" s="9"/>
      <c r="V6" s="11" t="s">
        <v>4</v>
      </c>
      <c r="W6" s="10" t="s">
        <v>5</v>
      </c>
      <c r="X6" s="10" t="s">
        <v>6</v>
      </c>
      <c r="Y6" s="12" t="s">
        <v>4</v>
      </c>
      <c r="Z6" s="10" t="s">
        <v>5</v>
      </c>
      <c r="AA6" s="10" t="s">
        <v>6</v>
      </c>
      <c r="AB6" s="9"/>
      <c r="AC6" s="12" t="s">
        <v>4</v>
      </c>
      <c r="AD6" s="10" t="s">
        <v>5</v>
      </c>
      <c r="AE6" s="10" t="s">
        <v>6</v>
      </c>
      <c r="AF6" s="9"/>
      <c r="AG6" s="9" t="s">
        <v>4</v>
      </c>
      <c r="AH6" s="10" t="s">
        <v>5</v>
      </c>
      <c r="AI6" s="10" t="s">
        <v>6</v>
      </c>
      <c r="AJ6" s="9"/>
      <c r="AK6" s="12" t="s">
        <v>4</v>
      </c>
      <c r="AL6" s="10" t="s">
        <v>5</v>
      </c>
      <c r="AM6" s="10" t="s">
        <v>6</v>
      </c>
      <c r="AN6" s="9"/>
      <c r="AO6" s="12" t="s">
        <v>4</v>
      </c>
      <c r="AP6" s="10" t="s">
        <v>5</v>
      </c>
      <c r="AQ6" s="10" t="s">
        <v>6</v>
      </c>
      <c r="AR6" s="9"/>
      <c r="AS6" s="12" t="s">
        <v>4</v>
      </c>
      <c r="AT6" s="10" t="s">
        <v>5</v>
      </c>
      <c r="AU6" s="10" t="s">
        <v>6</v>
      </c>
      <c r="AV6" s="9"/>
    </row>
    <row r="7" spans="1:48" x14ac:dyDescent="0.25">
      <c r="A7" s="36" t="s">
        <v>7</v>
      </c>
      <c r="B7" s="37" t="s">
        <v>8</v>
      </c>
      <c r="C7" s="38">
        <v>0</v>
      </c>
      <c r="D7" s="38">
        <f>D8+D14</f>
        <v>16317677</v>
      </c>
      <c r="E7" s="38">
        <f>E8+E14</f>
        <v>16317677</v>
      </c>
      <c r="F7" s="39"/>
      <c r="G7" s="38">
        <v>0</v>
      </c>
      <c r="H7" s="38">
        <f>H8+H14</f>
        <v>18355496</v>
      </c>
      <c r="I7" s="38">
        <f t="shared" ref="I7:I25" si="0">E7+H7</f>
        <v>34673173</v>
      </c>
      <c r="J7" s="40">
        <v>0</v>
      </c>
      <c r="K7" s="38">
        <f>K8+K14</f>
        <v>19002187</v>
      </c>
      <c r="L7" s="38">
        <f>I7+K7</f>
        <v>53675360</v>
      </c>
      <c r="M7" s="39"/>
      <c r="N7" s="40">
        <v>0</v>
      </c>
      <c r="O7" s="38">
        <f>O8+O14</f>
        <v>2118814</v>
      </c>
      <c r="P7" s="38">
        <f t="shared" ref="P7:P12" si="1">L7+O7</f>
        <v>55794174</v>
      </c>
      <c r="Q7" s="39"/>
      <c r="R7" s="18">
        <v>0</v>
      </c>
      <c r="S7" s="38">
        <f>S8+S14</f>
        <v>3692905</v>
      </c>
      <c r="T7" s="38">
        <f>+P7+S7</f>
        <v>59487079</v>
      </c>
      <c r="U7" s="39"/>
      <c r="V7" s="38">
        <v>0</v>
      </c>
      <c r="W7" s="38">
        <f>W8+W14</f>
        <v>22654975</v>
      </c>
      <c r="X7" s="38">
        <f>+T7+W7</f>
        <v>82142054</v>
      </c>
      <c r="Y7" s="40">
        <v>0</v>
      </c>
      <c r="Z7" s="38">
        <f>Z8+Z14</f>
        <v>15859686</v>
      </c>
      <c r="AA7" s="38">
        <f>+X7+Z7</f>
        <v>98001740</v>
      </c>
      <c r="AB7" s="39"/>
      <c r="AC7" s="40">
        <v>0</v>
      </c>
      <c r="AD7" s="38">
        <f>AD8+AD14</f>
        <v>13147172</v>
      </c>
      <c r="AE7" s="38">
        <f t="shared" ref="AE7:AG12" si="2">AA7+AD7</f>
        <v>111148912</v>
      </c>
      <c r="AF7" s="39"/>
      <c r="AG7" s="129">
        <v>0</v>
      </c>
      <c r="AH7" s="38">
        <f>AH8+AH14</f>
        <v>16313657</v>
      </c>
      <c r="AI7" s="38">
        <f t="shared" ref="AI7:AI12" si="3">AE7+AH7</f>
        <v>127462569</v>
      </c>
      <c r="AJ7" s="39"/>
      <c r="AK7" s="40">
        <v>0</v>
      </c>
      <c r="AL7" s="38">
        <f>AL8+AL14</f>
        <v>19079629.829999998</v>
      </c>
      <c r="AM7" s="38">
        <f t="shared" ref="AM7:AM12" si="4">AI7+AL7</f>
        <v>146542198.82999998</v>
      </c>
      <c r="AN7" s="39"/>
      <c r="AO7" s="40">
        <v>0</v>
      </c>
      <c r="AP7" s="38">
        <f>AP8+AP14</f>
        <v>15904178</v>
      </c>
      <c r="AQ7" s="38">
        <f t="shared" ref="AQ7:AQ12" si="5">AM7+AP7</f>
        <v>162446376.82999998</v>
      </c>
      <c r="AR7" s="39"/>
      <c r="AS7" s="40">
        <v>0</v>
      </c>
      <c r="AT7" s="38">
        <f>AT8+AT14</f>
        <v>18762225</v>
      </c>
      <c r="AU7" s="38">
        <f t="shared" ref="AU7:AU12" si="6">AQ7+AT7</f>
        <v>181208601.82999998</v>
      </c>
      <c r="AV7" s="39"/>
    </row>
    <row r="8" spans="1:48" ht="23.25" customHeight="1" x14ac:dyDescent="0.25">
      <c r="A8" s="14" t="s">
        <v>9</v>
      </c>
      <c r="B8" s="15" t="s">
        <v>10</v>
      </c>
      <c r="C8" s="17">
        <v>0</v>
      </c>
      <c r="D8" s="29">
        <f>D9</f>
        <v>9772741</v>
      </c>
      <c r="E8" s="29">
        <f>E9</f>
        <v>9772741</v>
      </c>
      <c r="F8" s="19"/>
      <c r="G8" s="17">
        <v>0</v>
      </c>
      <c r="H8" s="29">
        <f>H9</f>
        <v>8662267</v>
      </c>
      <c r="I8" s="17">
        <f t="shared" si="0"/>
        <v>18435008</v>
      </c>
      <c r="J8" s="16">
        <v>0</v>
      </c>
      <c r="K8" s="17">
        <f>K9</f>
        <v>11213082</v>
      </c>
      <c r="L8" s="13">
        <f>I8+K8</f>
        <v>29648090</v>
      </c>
      <c r="M8" s="19"/>
      <c r="N8" s="17">
        <v>0</v>
      </c>
      <c r="O8" s="17">
        <f>O9</f>
        <v>109000</v>
      </c>
      <c r="P8" s="13">
        <f t="shared" si="1"/>
        <v>29757090</v>
      </c>
      <c r="Q8" s="19"/>
      <c r="R8" s="18">
        <v>0</v>
      </c>
      <c r="S8" s="18">
        <f>S9</f>
        <v>0</v>
      </c>
      <c r="T8" s="41">
        <f t="shared" ref="T8:T12" si="7">+P8+S8</f>
        <v>29757090</v>
      </c>
      <c r="U8" s="30"/>
      <c r="V8" s="17">
        <v>0</v>
      </c>
      <c r="W8" s="18">
        <f>W9</f>
        <v>15088775</v>
      </c>
      <c r="X8" s="17">
        <f t="shared" ref="X8:X12" si="8">T8+W8</f>
        <v>44845865</v>
      </c>
      <c r="Y8" s="16">
        <v>0</v>
      </c>
      <c r="Z8" s="17">
        <f>Z9</f>
        <v>5107405</v>
      </c>
      <c r="AA8" s="29">
        <f>+X8+Z8</f>
        <v>49953270</v>
      </c>
      <c r="AB8" s="30"/>
      <c r="AC8" s="17">
        <v>0</v>
      </c>
      <c r="AD8" s="17">
        <f>AD9</f>
        <v>4348355</v>
      </c>
      <c r="AE8" s="13">
        <f t="shared" si="2"/>
        <v>54301625</v>
      </c>
      <c r="AF8" s="30"/>
      <c r="AG8" s="18">
        <v>0</v>
      </c>
      <c r="AH8" s="17">
        <f>AH9</f>
        <v>5343486</v>
      </c>
      <c r="AI8" s="13">
        <f t="shared" si="3"/>
        <v>59645111</v>
      </c>
      <c r="AJ8" s="30"/>
      <c r="AK8" s="29">
        <v>0</v>
      </c>
      <c r="AL8" s="17">
        <f>AL9</f>
        <v>5206920</v>
      </c>
      <c r="AM8" s="13">
        <f t="shared" si="4"/>
        <v>64852031</v>
      </c>
      <c r="AN8" s="30"/>
      <c r="AO8" s="29">
        <f t="shared" ref="AO8" si="9">AK8+AN8</f>
        <v>0</v>
      </c>
      <c r="AP8" s="17">
        <f>AP9</f>
        <v>4539945</v>
      </c>
      <c r="AQ8" s="13">
        <f t="shared" si="5"/>
        <v>69391976</v>
      </c>
      <c r="AR8" s="30"/>
      <c r="AS8" s="29">
        <f t="shared" ref="AS8" si="10">AO8+AR8</f>
        <v>0</v>
      </c>
      <c r="AT8" s="17">
        <f>AT9</f>
        <v>5671900</v>
      </c>
      <c r="AU8" s="13">
        <f t="shared" si="6"/>
        <v>75063876</v>
      </c>
      <c r="AV8" s="30"/>
    </row>
    <row r="9" spans="1:48" x14ac:dyDescent="0.25">
      <c r="A9" s="14" t="s">
        <v>11</v>
      </c>
      <c r="B9" s="15" t="s">
        <v>12</v>
      </c>
      <c r="C9" s="17">
        <v>0</v>
      </c>
      <c r="D9" s="29">
        <f>+D10+D11+D12</f>
        <v>9772741</v>
      </c>
      <c r="E9" s="29">
        <f>D9</f>
        <v>9772741</v>
      </c>
      <c r="F9" s="19"/>
      <c r="G9" s="17">
        <v>0</v>
      </c>
      <c r="H9" s="17">
        <f>H10+H11+H12</f>
        <v>8662267</v>
      </c>
      <c r="I9" s="17">
        <f t="shared" si="0"/>
        <v>18435008</v>
      </c>
      <c r="J9" s="16">
        <v>0</v>
      </c>
      <c r="K9" s="17">
        <f>K10+K11+K12</f>
        <v>11213082</v>
      </c>
      <c r="L9" s="13">
        <f t="shared" ref="L9:L25" si="11">I9+K9</f>
        <v>29648090</v>
      </c>
      <c r="M9" s="19"/>
      <c r="N9" s="17">
        <v>0</v>
      </c>
      <c r="O9" s="17">
        <f>O10+O11+O12</f>
        <v>109000</v>
      </c>
      <c r="P9" s="13">
        <f t="shared" si="1"/>
        <v>29757090</v>
      </c>
      <c r="Q9" s="19"/>
      <c r="R9" s="18">
        <v>0</v>
      </c>
      <c r="S9" s="17">
        <f>+S10+S11+S12</f>
        <v>0</v>
      </c>
      <c r="T9" s="41">
        <f>+P9+S9</f>
        <v>29757090</v>
      </c>
      <c r="U9" s="30"/>
      <c r="V9" s="17">
        <v>0</v>
      </c>
      <c r="W9" s="17">
        <f>+W10+W11+W12</f>
        <v>15088775</v>
      </c>
      <c r="X9" s="17">
        <f t="shared" si="8"/>
        <v>44845865</v>
      </c>
      <c r="Y9" s="16">
        <v>0</v>
      </c>
      <c r="Z9" s="17">
        <f>+Z10+Z12</f>
        <v>5107405</v>
      </c>
      <c r="AA9" s="29">
        <f>+AA10+AA11+AA12</f>
        <v>49953270</v>
      </c>
      <c r="AB9" s="30"/>
      <c r="AC9" s="17">
        <v>0</v>
      </c>
      <c r="AD9" s="17">
        <f>+AD10+AD11+AD12</f>
        <v>4348355</v>
      </c>
      <c r="AE9" s="13">
        <f t="shared" si="2"/>
        <v>54301625</v>
      </c>
      <c r="AF9" s="30"/>
      <c r="AG9" s="18">
        <f t="shared" si="2"/>
        <v>0</v>
      </c>
      <c r="AH9" s="17">
        <f>+AH10+AH11+AH12</f>
        <v>5343486</v>
      </c>
      <c r="AI9" s="13">
        <f t="shared" si="3"/>
        <v>59645111</v>
      </c>
      <c r="AJ9" s="30"/>
      <c r="AK9" s="161">
        <f t="shared" ref="AK9" si="12">AG9+AJ9</f>
        <v>0</v>
      </c>
      <c r="AL9" s="17">
        <f>+AL10+AL11+AL12</f>
        <v>5206920</v>
      </c>
      <c r="AM9" s="13">
        <f t="shared" si="4"/>
        <v>64852031</v>
      </c>
      <c r="AN9" s="30"/>
      <c r="AO9" s="29">
        <f t="shared" ref="AO9" si="13">AK9+AN9</f>
        <v>0</v>
      </c>
      <c r="AP9" s="17">
        <f>+AP10+AP11+AP12</f>
        <v>4539945</v>
      </c>
      <c r="AQ9" s="13">
        <f t="shared" si="5"/>
        <v>69391976</v>
      </c>
      <c r="AR9" s="30"/>
      <c r="AS9" s="29">
        <f>AO9+AR9</f>
        <v>0</v>
      </c>
      <c r="AT9" s="17">
        <f>+AT10+AT11+AT12</f>
        <v>5671900</v>
      </c>
      <c r="AU9" s="13">
        <f t="shared" si="6"/>
        <v>75063876</v>
      </c>
      <c r="AV9" s="30"/>
    </row>
    <row r="10" spans="1:48" x14ac:dyDescent="0.25">
      <c r="A10" s="14" t="s">
        <v>13</v>
      </c>
      <c r="B10" s="15" t="s">
        <v>136</v>
      </c>
      <c r="C10" s="17">
        <v>0</v>
      </c>
      <c r="D10" s="29">
        <v>9455741</v>
      </c>
      <c r="E10" s="29">
        <f>+D10</f>
        <v>9455741</v>
      </c>
      <c r="F10" s="19"/>
      <c r="G10" s="17">
        <v>0</v>
      </c>
      <c r="H10" s="17">
        <v>8079667</v>
      </c>
      <c r="I10" s="17">
        <f t="shared" si="0"/>
        <v>17535408</v>
      </c>
      <c r="J10" s="16">
        <v>0</v>
      </c>
      <c r="K10" s="17">
        <v>10928082</v>
      </c>
      <c r="L10" s="13">
        <f t="shared" si="11"/>
        <v>28463490</v>
      </c>
      <c r="M10" s="19"/>
      <c r="N10" s="17">
        <v>0</v>
      </c>
      <c r="O10" s="17">
        <v>84000</v>
      </c>
      <c r="P10" s="13">
        <f t="shared" si="1"/>
        <v>28547490</v>
      </c>
      <c r="Q10" s="19"/>
      <c r="R10" s="18">
        <v>0</v>
      </c>
      <c r="S10" s="41">
        <v>0</v>
      </c>
      <c r="T10" s="41">
        <f t="shared" si="7"/>
        <v>28547490</v>
      </c>
      <c r="U10" s="30"/>
      <c r="V10" s="17">
        <v>0</v>
      </c>
      <c r="W10" s="17">
        <v>13738340</v>
      </c>
      <c r="X10" s="17">
        <f t="shared" si="8"/>
        <v>42285830</v>
      </c>
      <c r="Y10" s="16">
        <v>0</v>
      </c>
      <c r="Z10" s="17">
        <v>4717405</v>
      </c>
      <c r="AA10" s="29">
        <f t="shared" ref="AA10:AA13" si="14">+X10+Z10</f>
        <v>47003235</v>
      </c>
      <c r="AB10" s="30"/>
      <c r="AC10" s="17">
        <v>0</v>
      </c>
      <c r="AD10" s="17">
        <v>4228355</v>
      </c>
      <c r="AE10" s="13">
        <f t="shared" si="2"/>
        <v>51231590</v>
      </c>
      <c r="AF10" s="30"/>
      <c r="AG10" s="18">
        <v>0</v>
      </c>
      <c r="AH10" s="17">
        <v>5253486</v>
      </c>
      <c r="AI10" s="13">
        <f t="shared" si="3"/>
        <v>56485076</v>
      </c>
      <c r="AJ10" s="30"/>
      <c r="AK10" s="162"/>
      <c r="AL10" s="17">
        <v>5206920</v>
      </c>
      <c r="AM10" s="13">
        <f t="shared" si="4"/>
        <v>61691996</v>
      </c>
      <c r="AN10" s="30"/>
      <c r="AO10" s="17">
        <v>0</v>
      </c>
      <c r="AP10" s="17">
        <v>4539945</v>
      </c>
      <c r="AQ10" s="13">
        <f t="shared" si="5"/>
        <v>66231941</v>
      </c>
      <c r="AR10" s="30"/>
      <c r="AS10" s="17">
        <v>0</v>
      </c>
      <c r="AT10" s="17">
        <v>5531900</v>
      </c>
      <c r="AU10" s="13">
        <f t="shared" si="6"/>
        <v>71763841</v>
      </c>
      <c r="AV10" s="30"/>
    </row>
    <row r="11" spans="1:48" x14ac:dyDescent="0.25">
      <c r="A11" s="32">
        <v>415525</v>
      </c>
      <c r="B11" s="15" t="s">
        <v>135</v>
      </c>
      <c r="C11" s="17"/>
      <c r="D11" s="29">
        <v>0</v>
      </c>
      <c r="E11" s="29">
        <f>+D11</f>
        <v>0</v>
      </c>
      <c r="F11" s="19"/>
      <c r="G11" s="17">
        <v>0</v>
      </c>
      <c r="H11" s="17">
        <v>0</v>
      </c>
      <c r="I11" s="17">
        <f t="shared" si="0"/>
        <v>0</v>
      </c>
      <c r="J11" s="16"/>
      <c r="K11" s="17">
        <v>0</v>
      </c>
      <c r="L11" s="13">
        <f t="shared" si="11"/>
        <v>0</v>
      </c>
      <c r="M11" s="19"/>
      <c r="N11" s="17"/>
      <c r="O11" s="17">
        <v>0</v>
      </c>
      <c r="P11" s="13">
        <f t="shared" si="1"/>
        <v>0</v>
      </c>
      <c r="Q11" s="19"/>
      <c r="R11" s="18"/>
      <c r="S11" s="41">
        <v>0</v>
      </c>
      <c r="T11" s="41">
        <f t="shared" si="7"/>
        <v>0</v>
      </c>
      <c r="U11" s="30"/>
      <c r="V11" s="17">
        <v>0</v>
      </c>
      <c r="W11" s="17">
        <v>0</v>
      </c>
      <c r="X11" s="17">
        <f t="shared" si="8"/>
        <v>0</v>
      </c>
      <c r="Y11" s="16">
        <v>0</v>
      </c>
      <c r="Z11" s="17">
        <v>0</v>
      </c>
      <c r="AA11" s="29">
        <f t="shared" si="14"/>
        <v>0</v>
      </c>
      <c r="AB11" s="30"/>
      <c r="AC11" s="17">
        <v>0</v>
      </c>
      <c r="AD11" s="17">
        <v>0</v>
      </c>
      <c r="AE11" s="13">
        <f t="shared" si="2"/>
        <v>0</v>
      </c>
      <c r="AF11" s="30"/>
      <c r="AG11" s="18">
        <v>0</v>
      </c>
      <c r="AH11" s="17"/>
      <c r="AI11" s="13">
        <f t="shared" si="3"/>
        <v>0</v>
      </c>
      <c r="AJ11" s="30"/>
      <c r="AK11" s="17">
        <v>0</v>
      </c>
      <c r="AL11" s="17">
        <v>0</v>
      </c>
      <c r="AM11" s="13">
        <f t="shared" si="4"/>
        <v>0</v>
      </c>
      <c r="AN11" s="30"/>
      <c r="AO11" s="17">
        <v>0</v>
      </c>
      <c r="AP11" s="17">
        <v>0</v>
      </c>
      <c r="AQ11" s="13">
        <f t="shared" si="5"/>
        <v>0</v>
      </c>
      <c r="AR11" s="30"/>
      <c r="AS11" s="17">
        <v>0</v>
      </c>
      <c r="AT11" s="17">
        <v>0</v>
      </c>
      <c r="AU11" s="13">
        <f t="shared" si="6"/>
        <v>0</v>
      </c>
      <c r="AV11" s="30"/>
    </row>
    <row r="12" spans="1:48" x14ac:dyDescent="0.25">
      <c r="A12" s="14">
        <v>415515</v>
      </c>
      <c r="B12" s="15" t="s">
        <v>14</v>
      </c>
      <c r="C12" s="17">
        <v>0</v>
      </c>
      <c r="D12" s="41">
        <v>317000</v>
      </c>
      <c r="E12" s="17">
        <f>+D12</f>
        <v>317000</v>
      </c>
      <c r="F12" s="19"/>
      <c r="G12" s="17">
        <v>0</v>
      </c>
      <c r="H12" s="17">
        <v>582600</v>
      </c>
      <c r="I12" s="17">
        <f t="shared" si="0"/>
        <v>899600</v>
      </c>
      <c r="J12" s="16">
        <v>0</v>
      </c>
      <c r="K12" s="17">
        <v>285000</v>
      </c>
      <c r="L12" s="13">
        <f t="shared" si="11"/>
        <v>1184600</v>
      </c>
      <c r="M12" s="19"/>
      <c r="N12" s="17">
        <v>0</v>
      </c>
      <c r="O12" s="17">
        <v>25000</v>
      </c>
      <c r="P12" s="13">
        <f t="shared" si="1"/>
        <v>1209600</v>
      </c>
      <c r="Q12" s="19"/>
      <c r="R12" s="18">
        <v>0</v>
      </c>
      <c r="S12" s="41">
        <v>0</v>
      </c>
      <c r="T12" s="41">
        <f t="shared" si="7"/>
        <v>1209600</v>
      </c>
      <c r="U12" s="30"/>
      <c r="V12" s="17">
        <v>0</v>
      </c>
      <c r="W12" s="17">
        <v>1350435</v>
      </c>
      <c r="X12" s="17">
        <f t="shared" si="8"/>
        <v>2560035</v>
      </c>
      <c r="Y12" s="16">
        <v>0</v>
      </c>
      <c r="Z12" s="17">
        <v>390000</v>
      </c>
      <c r="AA12" s="29">
        <f t="shared" si="14"/>
        <v>2950035</v>
      </c>
      <c r="AB12" s="30"/>
      <c r="AC12" s="17">
        <v>0</v>
      </c>
      <c r="AD12" s="17">
        <v>120000</v>
      </c>
      <c r="AE12" s="13">
        <f t="shared" si="2"/>
        <v>3070035</v>
      </c>
      <c r="AF12" s="30"/>
      <c r="AG12" s="18">
        <v>0</v>
      </c>
      <c r="AH12" s="17">
        <v>90000</v>
      </c>
      <c r="AI12" s="13">
        <f t="shared" si="3"/>
        <v>3160035</v>
      </c>
      <c r="AJ12" s="30"/>
      <c r="AK12" s="17">
        <v>0</v>
      </c>
      <c r="AL12" s="17">
        <v>0</v>
      </c>
      <c r="AM12" s="13">
        <f t="shared" si="4"/>
        <v>3160035</v>
      </c>
      <c r="AN12" s="30"/>
      <c r="AO12" s="17">
        <v>0</v>
      </c>
      <c r="AP12" s="17">
        <v>0</v>
      </c>
      <c r="AQ12" s="13">
        <f t="shared" si="5"/>
        <v>3160035</v>
      </c>
      <c r="AR12" s="30"/>
      <c r="AS12" s="17">
        <v>0</v>
      </c>
      <c r="AT12" s="17">
        <v>140000</v>
      </c>
      <c r="AU12" s="13">
        <f t="shared" si="6"/>
        <v>3300035</v>
      </c>
      <c r="AV12" s="30"/>
    </row>
    <row r="13" spans="1:48" s="27" customFormat="1" x14ac:dyDescent="0.25">
      <c r="A13" s="32"/>
      <c r="B13" s="33"/>
      <c r="C13" s="29"/>
      <c r="D13" s="29"/>
      <c r="E13" s="29"/>
      <c r="F13" s="34"/>
      <c r="G13" s="29"/>
      <c r="H13" s="29"/>
      <c r="I13" s="29"/>
      <c r="J13" s="28"/>
      <c r="K13" s="29"/>
      <c r="L13" s="13">
        <f t="shared" si="11"/>
        <v>0</v>
      </c>
      <c r="M13" s="34"/>
      <c r="N13" s="28"/>
      <c r="O13" s="29"/>
      <c r="P13" s="29"/>
      <c r="Q13" s="34"/>
      <c r="R13" s="18"/>
      <c r="S13" s="29"/>
      <c r="T13" s="29"/>
      <c r="U13" s="34"/>
      <c r="V13" s="29"/>
      <c r="W13" s="29"/>
      <c r="X13" s="29"/>
      <c r="Y13" s="28"/>
      <c r="Z13" s="29"/>
      <c r="AA13" s="29">
        <f t="shared" si="14"/>
        <v>0</v>
      </c>
      <c r="AB13" s="34"/>
      <c r="AC13" s="28"/>
      <c r="AD13" s="29"/>
      <c r="AE13" s="29"/>
      <c r="AF13" s="34"/>
      <c r="AG13" s="129"/>
      <c r="AH13" s="29"/>
      <c r="AI13" s="29"/>
      <c r="AJ13" s="34"/>
      <c r="AK13" s="28"/>
      <c r="AL13" s="29"/>
      <c r="AM13" s="29"/>
      <c r="AN13" s="34"/>
      <c r="AO13" s="28"/>
      <c r="AP13" s="29"/>
      <c r="AQ13" s="29"/>
      <c r="AR13" s="34"/>
      <c r="AS13" s="28"/>
      <c r="AT13" s="29"/>
      <c r="AU13" s="29"/>
      <c r="AV13" s="34"/>
    </row>
    <row r="14" spans="1:48" x14ac:dyDescent="0.25">
      <c r="A14" s="36" t="s">
        <v>15</v>
      </c>
      <c r="B14" s="37" t="s">
        <v>16</v>
      </c>
      <c r="C14" s="38">
        <v>0</v>
      </c>
      <c r="D14" s="38">
        <f>D15+D19+D22+D24</f>
        <v>6544936</v>
      </c>
      <c r="E14" s="38">
        <f>+D14</f>
        <v>6544936</v>
      </c>
      <c r="F14" s="39"/>
      <c r="G14" s="38">
        <v>0</v>
      </c>
      <c r="H14" s="38">
        <f>H15+H19+H22+H24</f>
        <v>9693229</v>
      </c>
      <c r="I14" s="38">
        <f t="shared" si="0"/>
        <v>16238165</v>
      </c>
      <c r="J14" s="40">
        <v>0</v>
      </c>
      <c r="K14" s="38">
        <f>K15+K19+K22+K24</f>
        <v>7789105</v>
      </c>
      <c r="L14" s="38">
        <f t="shared" si="11"/>
        <v>24027270</v>
      </c>
      <c r="M14" s="39"/>
      <c r="N14" s="40">
        <v>0</v>
      </c>
      <c r="O14" s="38">
        <f>O15+O19+O22+O24</f>
        <v>2009814</v>
      </c>
      <c r="P14" s="38">
        <f>L14+O14</f>
        <v>26037084</v>
      </c>
      <c r="Q14" s="39"/>
      <c r="R14" s="18">
        <v>0</v>
      </c>
      <c r="S14" s="38">
        <f>S15+S19+S22+S24</f>
        <v>3692905</v>
      </c>
      <c r="T14" s="38">
        <f>+P14+S14</f>
        <v>29729989</v>
      </c>
      <c r="U14" s="39"/>
      <c r="V14" s="38">
        <v>0</v>
      </c>
      <c r="W14" s="38">
        <f>W15+W19+W22+W24</f>
        <v>7566200</v>
      </c>
      <c r="X14" s="38">
        <f>+T14+W14</f>
        <v>37296189</v>
      </c>
      <c r="Y14" s="40">
        <v>0</v>
      </c>
      <c r="Z14" s="38">
        <f>Z15+Z19+Z22+Z24</f>
        <v>10752281</v>
      </c>
      <c r="AA14" s="38">
        <f>X14+Z14</f>
        <v>48048470</v>
      </c>
      <c r="AB14" s="39"/>
      <c r="AC14" s="40">
        <v>0</v>
      </c>
      <c r="AD14" s="38">
        <f>AD15+AD19+AD22+AD24</f>
        <v>8798817</v>
      </c>
      <c r="AE14" s="38">
        <f>AA14+AD14</f>
        <v>56847287</v>
      </c>
      <c r="AF14" s="39"/>
      <c r="AG14" s="129">
        <v>0</v>
      </c>
      <c r="AH14" s="38">
        <f>AH15+AH19+AH22+AH24</f>
        <v>10970171</v>
      </c>
      <c r="AI14" s="38">
        <f>AE14+AH14</f>
        <v>67817458</v>
      </c>
      <c r="AJ14" s="39"/>
      <c r="AK14" s="40">
        <v>0</v>
      </c>
      <c r="AL14" s="38">
        <f>AL15+AL19+AL22+AL24</f>
        <v>13872709.83</v>
      </c>
      <c r="AM14" s="38">
        <f>AI14+AL14</f>
        <v>81690167.829999998</v>
      </c>
      <c r="AN14" s="39"/>
      <c r="AO14" s="40">
        <v>0</v>
      </c>
      <c r="AP14" s="38">
        <f>AP15+AP19+AP22+AP24</f>
        <v>11364233</v>
      </c>
      <c r="AQ14" s="38">
        <f>AM14+AP14</f>
        <v>93054400.829999998</v>
      </c>
      <c r="AR14" s="39"/>
      <c r="AS14" s="40">
        <v>0</v>
      </c>
      <c r="AT14" s="38">
        <f>AT15+AT19+AT22+AT24</f>
        <v>13090325</v>
      </c>
      <c r="AU14" s="38">
        <f>AQ14+AT14</f>
        <v>106144725.83</v>
      </c>
      <c r="AV14" s="39"/>
    </row>
    <row r="15" spans="1:48" x14ac:dyDescent="0.25">
      <c r="A15" s="14" t="s">
        <v>17</v>
      </c>
      <c r="B15" s="15" t="s">
        <v>18</v>
      </c>
      <c r="C15" s="17">
        <v>0</v>
      </c>
      <c r="D15" s="17">
        <f>+D16+D17</f>
        <v>98461</v>
      </c>
      <c r="E15" s="17">
        <f>+D15</f>
        <v>98461</v>
      </c>
      <c r="F15" s="19"/>
      <c r="G15" s="17">
        <v>0</v>
      </c>
      <c r="H15" s="17">
        <f>+H16+H17</f>
        <v>119593</v>
      </c>
      <c r="I15" s="17">
        <f t="shared" si="0"/>
        <v>218054</v>
      </c>
      <c r="J15" s="16">
        <v>0</v>
      </c>
      <c r="K15" s="17">
        <f>+K16+K17</f>
        <v>116227</v>
      </c>
      <c r="L15" s="13">
        <f t="shared" si="11"/>
        <v>334281</v>
      </c>
      <c r="M15" s="19"/>
      <c r="N15" s="16">
        <v>0</v>
      </c>
      <c r="O15" s="17">
        <f>+O16+O17</f>
        <v>120723</v>
      </c>
      <c r="P15" s="13">
        <f>L15+O15</f>
        <v>455004</v>
      </c>
      <c r="Q15" s="19"/>
      <c r="R15" s="18">
        <v>0</v>
      </c>
      <c r="S15" s="17">
        <f>+S16</f>
        <v>7961</v>
      </c>
      <c r="T15" s="17">
        <f t="shared" ref="T15:T25" si="15">+P15+S15</f>
        <v>462965</v>
      </c>
      <c r="U15" s="30"/>
      <c r="V15" s="17">
        <v>0</v>
      </c>
      <c r="W15" s="17">
        <f>+W16+W17</f>
        <v>9258</v>
      </c>
      <c r="X15" s="17">
        <f>+T15+W15</f>
        <v>472223</v>
      </c>
      <c r="Y15" s="16">
        <v>0</v>
      </c>
      <c r="Z15" s="17">
        <f>+Z16+Z17</f>
        <v>5860</v>
      </c>
      <c r="AA15" s="29">
        <f>+X15+Z15</f>
        <v>478083</v>
      </c>
      <c r="AB15" s="30"/>
      <c r="AC15" s="16">
        <v>0</v>
      </c>
      <c r="AD15" s="17">
        <f>+AD16+AD17</f>
        <v>6465</v>
      </c>
      <c r="AE15" s="13">
        <f>AA15+AD15</f>
        <v>484548</v>
      </c>
      <c r="AF15" s="30"/>
      <c r="AG15" s="129">
        <v>0</v>
      </c>
      <c r="AH15" s="17">
        <f>+AH16+AH17</f>
        <v>6863</v>
      </c>
      <c r="AI15" s="13">
        <f>AE15+AH15</f>
        <v>491411</v>
      </c>
      <c r="AJ15" s="30"/>
      <c r="AK15" s="16">
        <v>0</v>
      </c>
      <c r="AL15" s="17">
        <f>+AL16+AL17</f>
        <v>7468</v>
      </c>
      <c r="AM15" s="13">
        <f>AI15+AL15</f>
        <v>498879</v>
      </c>
      <c r="AN15" s="30"/>
      <c r="AO15" s="16">
        <v>0</v>
      </c>
      <c r="AP15" s="17">
        <f>+AP16+AP17</f>
        <v>3771</v>
      </c>
      <c r="AQ15" s="13">
        <f>AM15+AP15</f>
        <v>502650</v>
      </c>
      <c r="AR15" s="30"/>
      <c r="AS15" s="16">
        <v>0</v>
      </c>
      <c r="AT15" s="17">
        <f>+AT16+AT17</f>
        <v>3436</v>
      </c>
      <c r="AU15" s="13">
        <f>AQ15+AT15</f>
        <v>506086</v>
      </c>
      <c r="AV15" s="30"/>
    </row>
    <row r="16" spans="1:48" x14ac:dyDescent="0.25">
      <c r="A16" s="14" t="s">
        <v>19</v>
      </c>
      <c r="B16" s="15" t="s">
        <v>20</v>
      </c>
      <c r="C16" s="17">
        <v>0</v>
      </c>
      <c r="D16" s="17">
        <v>389</v>
      </c>
      <c r="E16" s="17">
        <f>+D16</f>
        <v>389</v>
      </c>
      <c r="F16" s="19"/>
      <c r="G16" s="17">
        <v>0</v>
      </c>
      <c r="H16" s="17">
        <v>8163</v>
      </c>
      <c r="I16" s="17">
        <f t="shared" si="0"/>
        <v>8552</v>
      </c>
      <c r="J16" s="16">
        <v>0</v>
      </c>
      <c r="K16" s="17">
        <v>4797</v>
      </c>
      <c r="L16" s="13">
        <f t="shared" si="11"/>
        <v>13349</v>
      </c>
      <c r="M16" s="19"/>
      <c r="N16" s="16">
        <v>0</v>
      </c>
      <c r="O16" s="17">
        <v>9293</v>
      </c>
      <c r="P16" s="13">
        <f>L16+O16</f>
        <v>22642</v>
      </c>
      <c r="Q16" s="19"/>
      <c r="R16" s="18">
        <v>0</v>
      </c>
      <c r="S16" s="17">
        <v>7961</v>
      </c>
      <c r="T16" s="17">
        <f t="shared" si="15"/>
        <v>30603</v>
      </c>
      <c r="U16" s="30"/>
      <c r="V16" s="17">
        <v>0</v>
      </c>
      <c r="W16" s="17">
        <v>9258</v>
      </c>
      <c r="X16" s="17">
        <f t="shared" ref="X16:X25" si="16">+T16+W16</f>
        <v>39861</v>
      </c>
      <c r="Y16" s="16">
        <v>0</v>
      </c>
      <c r="Z16" s="17">
        <v>5860</v>
      </c>
      <c r="AA16" s="29">
        <f t="shared" ref="AA16:AA25" si="17">+X16+Z16</f>
        <v>45721</v>
      </c>
      <c r="AB16" s="30"/>
      <c r="AC16" s="16">
        <v>0</v>
      </c>
      <c r="AD16" s="17">
        <v>6465</v>
      </c>
      <c r="AE16" s="13">
        <f>AA16+AD16</f>
        <v>52186</v>
      </c>
      <c r="AF16" s="30"/>
      <c r="AG16" s="129">
        <v>0</v>
      </c>
      <c r="AH16" s="17">
        <v>6863</v>
      </c>
      <c r="AI16" s="13">
        <f>AE16+AH16</f>
        <v>59049</v>
      </c>
      <c r="AJ16" s="30"/>
      <c r="AK16" s="16">
        <v>0</v>
      </c>
      <c r="AL16" s="17">
        <v>7468</v>
      </c>
      <c r="AM16" s="13">
        <f>AI16+AL16</f>
        <v>66517</v>
      </c>
      <c r="AN16" s="30"/>
      <c r="AO16" s="16">
        <v>0</v>
      </c>
      <c r="AP16" s="17">
        <v>3771</v>
      </c>
      <c r="AQ16" s="13">
        <f>AM16+AP16</f>
        <v>70288</v>
      </c>
      <c r="AR16" s="30"/>
      <c r="AS16" s="16">
        <v>0</v>
      </c>
      <c r="AT16" s="17">
        <v>3436</v>
      </c>
      <c r="AU16" s="13">
        <f>AQ16+AT16</f>
        <v>73724</v>
      </c>
      <c r="AV16" s="30"/>
    </row>
    <row r="17" spans="1:48" x14ac:dyDescent="0.25">
      <c r="A17" s="14">
        <v>421095</v>
      </c>
      <c r="B17" s="33" t="s">
        <v>321</v>
      </c>
      <c r="C17" s="17"/>
      <c r="D17" s="17">
        <v>98072</v>
      </c>
      <c r="E17" s="17">
        <f>+D17</f>
        <v>98072</v>
      </c>
      <c r="F17" s="30"/>
      <c r="G17" s="17"/>
      <c r="H17" s="17">
        <v>111430</v>
      </c>
      <c r="I17" s="17">
        <f t="shared" si="0"/>
        <v>209502</v>
      </c>
      <c r="J17" s="16"/>
      <c r="K17" s="17">
        <v>111430</v>
      </c>
      <c r="L17" s="13">
        <f t="shared" si="11"/>
        <v>320932</v>
      </c>
      <c r="M17" s="30"/>
      <c r="N17" s="16"/>
      <c r="O17" s="17">
        <v>111430</v>
      </c>
      <c r="P17" s="13">
        <f>L17+O17</f>
        <v>432362</v>
      </c>
      <c r="Q17" s="30"/>
      <c r="R17" s="18"/>
      <c r="S17" s="17"/>
      <c r="T17" s="17"/>
      <c r="U17" s="30"/>
      <c r="V17" s="17"/>
      <c r="W17" s="17"/>
      <c r="X17" s="17">
        <f t="shared" si="16"/>
        <v>0</v>
      </c>
      <c r="Y17" s="16"/>
      <c r="Z17" s="17">
        <v>0</v>
      </c>
      <c r="AA17" s="29">
        <f t="shared" si="17"/>
        <v>0</v>
      </c>
      <c r="AB17" s="30"/>
      <c r="AC17" s="16"/>
      <c r="AD17" s="17">
        <v>0</v>
      </c>
      <c r="AE17" s="13">
        <f t="shared" ref="AE17:AE18" si="18">AA17+AD17</f>
        <v>0</v>
      </c>
      <c r="AF17" s="30"/>
      <c r="AG17" s="129"/>
      <c r="AH17" s="17"/>
      <c r="AI17" s="13">
        <f t="shared" ref="AI17:AI18" si="19">AE17+AH17</f>
        <v>0</v>
      </c>
      <c r="AJ17" s="30"/>
      <c r="AK17" s="16"/>
      <c r="AL17" s="17">
        <v>0</v>
      </c>
      <c r="AM17" s="13">
        <f t="shared" ref="AM17:AM18" si="20">AI17+AL17</f>
        <v>0</v>
      </c>
      <c r="AN17" s="30"/>
      <c r="AO17" s="16"/>
      <c r="AP17" s="17"/>
      <c r="AQ17" s="13">
        <f t="shared" ref="AQ17:AQ18" si="21">AM17+AP17</f>
        <v>0</v>
      </c>
      <c r="AR17" s="30"/>
      <c r="AS17" s="16"/>
      <c r="AT17" s="17"/>
      <c r="AU17" s="13">
        <f t="shared" ref="AU17:AU18" si="22">AQ17+AT17</f>
        <v>0</v>
      </c>
      <c r="AV17" s="30"/>
    </row>
    <row r="18" spans="1:48" x14ac:dyDescent="0.25">
      <c r="A18" s="14"/>
      <c r="B18" s="15"/>
      <c r="C18" s="17"/>
      <c r="D18" s="17"/>
      <c r="E18" s="17"/>
      <c r="F18" s="30"/>
      <c r="G18" s="17"/>
      <c r="H18" s="17"/>
      <c r="I18" s="17"/>
      <c r="J18" s="16"/>
      <c r="K18" s="17"/>
      <c r="L18" s="13">
        <f t="shared" si="11"/>
        <v>0</v>
      </c>
      <c r="M18" s="30"/>
      <c r="N18" s="16"/>
      <c r="O18" s="17"/>
      <c r="P18" s="13"/>
      <c r="Q18" s="30"/>
      <c r="R18" s="18"/>
      <c r="S18" s="17"/>
      <c r="T18" s="17">
        <f t="shared" si="15"/>
        <v>0</v>
      </c>
      <c r="U18" s="30"/>
      <c r="V18" s="17"/>
      <c r="W18" s="17"/>
      <c r="X18" s="17">
        <f t="shared" si="16"/>
        <v>0</v>
      </c>
      <c r="Y18" s="16"/>
      <c r="Z18" s="17"/>
      <c r="AA18" s="29">
        <f t="shared" si="17"/>
        <v>0</v>
      </c>
      <c r="AB18" s="30"/>
      <c r="AC18" s="16"/>
      <c r="AD18" s="17"/>
      <c r="AE18" s="13">
        <f t="shared" si="18"/>
        <v>0</v>
      </c>
      <c r="AF18" s="30"/>
      <c r="AG18" s="129"/>
      <c r="AH18" s="17"/>
      <c r="AI18" s="13">
        <f t="shared" si="19"/>
        <v>0</v>
      </c>
      <c r="AJ18" s="30"/>
      <c r="AK18" s="16"/>
      <c r="AL18" s="17"/>
      <c r="AM18" s="13">
        <f t="shared" si="20"/>
        <v>0</v>
      </c>
      <c r="AN18" s="30"/>
      <c r="AO18" s="16"/>
      <c r="AP18" s="17"/>
      <c r="AQ18" s="13">
        <f t="shared" si="21"/>
        <v>0</v>
      </c>
      <c r="AR18" s="30"/>
      <c r="AS18" s="16"/>
      <c r="AT18" s="17"/>
      <c r="AU18" s="13">
        <f t="shared" si="22"/>
        <v>0</v>
      </c>
      <c r="AV18" s="30"/>
    </row>
    <row r="19" spans="1:48" ht="21" customHeight="1" x14ac:dyDescent="0.25">
      <c r="A19" s="14" t="s">
        <v>21</v>
      </c>
      <c r="B19" s="20" t="s">
        <v>22</v>
      </c>
      <c r="C19" s="17">
        <v>0</v>
      </c>
      <c r="D19" s="17">
        <f>D20</f>
        <v>1888800</v>
      </c>
      <c r="E19" s="21">
        <f>+D19</f>
        <v>1888800</v>
      </c>
      <c r="F19" s="19"/>
      <c r="G19" s="17">
        <v>0</v>
      </c>
      <c r="H19" s="17">
        <f>+H20</f>
        <v>1888800</v>
      </c>
      <c r="I19" s="21">
        <f t="shared" si="0"/>
        <v>3777600</v>
      </c>
      <c r="J19" s="16">
        <v>0</v>
      </c>
      <c r="K19" s="17">
        <v>1888800</v>
      </c>
      <c r="L19" s="13">
        <f t="shared" si="11"/>
        <v>5666400</v>
      </c>
      <c r="M19" s="19"/>
      <c r="N19" s="16">
        <v>0</v>
      </c>
      <c r="O19" s="17">
        <f>O20</f>
        <v>1888800</v>
      </c>
      <c r="P19" s="21">
        <f>L19+O19</f>
        <v>7555200</v>
      </c>
      <c r="Q19" s="19"/>
      <c r="R19" s="18">
        <v>0</v>
      </c>
      <c r="S19" s="17">
        <f>+S20</f>
        <v>1888800</v>
      </c>
      <c r="T19" s="21">
        <f t="shared" si="15"/>
        <v>9444000</v>
      </c>
      <c r="U19" s="30"/>
      <c r="V19" s="17">
        <v>0</v>
      </c>
      <c r="W19" s="17">
        <f>+W20</f>
        <v>1682900</v>
      </c>
      <c r="X19" s="21">
        <f t="shared" si="16"/>
        <v>11126900</v>
      </c>
      <c r="Y19" s="16">
        <v>0</v>
      </c>
      <c r="Z19" s="17">
        <f>+Z20</f>
        <v>1682900</v>
      </c>
      <c r="AA19" s="29">
        <f t="shared" si="17"/>
        <v>12809800</v>
      </c>
      <c r="AB19" s="30"/>
      <c r="AC19" s="16">
        <v>0</v>
      </c>
      <c r="AD19" s="17">
        <f>+AD20</f>
        <v>1936100</v>
      </c>
      <c r="AE19" s="21">
        <f>AA19+AD19</f>
        <v>14745900</v>
      </c>
      <c r="AF19" s="30"/>
      <c r="AG19" s="129">
        <v>0</v>
      </c>
      <c r="AH19" s="17">
        <f>+AH20</f>
        <v>1855700</v>
      </c>
      <c r="AI19" s="21">
        <f>AE19+AH19</f>
        <v>16601600</v>
      </c>
      <c r="AJ19" s="30"/>
      <c r="AK19" s="16">
        <v>0</v>
      </c>
      <c r="AL19" s="17">
        <f>+AL20</f>
        <v>1960600</v>
      </c>
      <c r="AM19" s="21">
        <f>AI19+AL19</f>
        <v>18562200</v>
      </c>
      <c r="AN19" s="30"/>
      <c r="AO19" s="16">
        <v>0</v>
      </c>
      <c r="AP19" s="17">
        <f>+AP20</f>
        <v>1960600</v>
      </c>
      <c r="AQ19" s="21">
        <f>AM19+AP19</f>
        <v>20522800</v>
      </c>
      <c r="AR19" s="30"/>
      <c r="AS19" s="16">
        <v>0</v>
      </c>
      <c r="AT19" s="17">
        <f>+AT20</f>
        <v>1960600</v>
      </c>
      <c r="AU19" s="21">
        <f>AQ19+AT19</f>
        <v>22483400</v>
      </c>
      <c r="AV19" s="30"/>
    </row>
    <row r="20" spans="1:48" x14ac:dyDescent="0.25">
      <c r="A20" s="14" t="s">
        <v>23</v>
      </c>
      <c r="B20" s="15" t="s">
        <v>24</v>
      </c>
      <c r="C20" s="17">
        <v>0</v>
      </c>
      <c r="D20" s="17">
        <v>1888800</v>
      </c>
      <c r="E20" s="17">
        <f>+D20</f>
        <v>1888800</v>
      </c>
      <c r="F20" s="19"/>
      <c r="G20" s="17">
        <v>0</v>
      </c>
      <c r="H20" s="17">
        <f>+K20</f>
        <v>1888800</v>
      </c>
      <c r="I20" s="17">
        <f t="shared" si="0"/>
        <v>3777600</v>
      </c>
      <c r="J20" s="16">
        <v>0</v>
      </c>
      <c r="K20" s="17">
        <f>+K19</f>
        <v>1888800</v>
      </c>
      <c r="L20" s="13">
        <f t="shared" si="11"/>
        <v>5666400</v>
      </c>
      <c r="M20" s="19"/>
      <c r="N20" s="16">
        <v>0</v>
      </c>
      <c r="O20" s="17">
        <v>1888800</v>
      </c>
      <c r="P20" s="13">
        <f>L20+O20</f>
        <v>7555200</v>
      </c>
      <c r="Q20" s="19"/>
      <c r="R20" s="18">
        <v>0</v>
      </c>
      <c r="S20" s="17">
        <v>1888800</v>
      </c>
      <c r="T20" s="17">
        <f t="shared" si="15"/>
        <v>9444000</v>
      </c>
      <c r="U20" s="30"/>
      <c r="V20" s="17">
        <v>0</v>
      </c>
      <c r="W20" s="17">
        <v>1682900</v>
      </c>
      <c r="X20" s="17">
        <f t="shared" si="16"/>
        <v>11126900</v>
      </c>
      <c r="Y20" s="16">
        <v>0</v>
      </c>
      <c r="Z20" s="17">
        <v>1682900</v>
      </c>
      <c r="AA20" s="29">
        <f t="shared" si="17"/>
        <v>12809800</v>
      </c>
      <c r="AB20" s="30"/>
      <c r="AC20" s="16">
        <v>0</v>
      </c>
      <c r="AD20" s="17">
        <v>1936100</v>
      </c>
      <c r="AE20" s="13">
        <f>AA20+AD20</f>
        <v>14745900</v>
      </c>
      <c r="AF20" s="30"/>
      <c r="AG20" s="129">
        <v>0</v>
      </c>
      <c r="AH20" s="17">
        <v>1855700</v>
      </c>
      <c r="AI20" s="13">
        <f>AE20+AH20</f>
        <v>16601600</v>
      </c>
      <c r="AJ20" s="30"/>
      <c r="AK20" s="16">
        <v>0</v>
      </c>
      <c r="AL20" s="17">
        <v>1960600</v>
      </c>
      <c r="AM20" s="13">
        <f>AI20+AL20</f>
        <v>18562200</v>
      </c>
      <c r="AN20" s="30"/>
      <c r="AO20" s="16">
        <v>0</v>
      </c>
      <c r="AP20" s="17">
        <v>1960600</v>
      </c>
      <c r="AQ20" s="13">
        <f>AM20+AP20</f>
        <v>20522800</v>
      </c>
      <c r="AR20" s="30"/>
      <c r="AS20" s="16">
        <v>0</v>
      </c>
      <c r="AT20" s="17">
        <v>1960600</v>
      </c>
      <c r="AU20" s="13">
        <f>AQ20+AT20</f>
        <v>22483400</v>
      </c>
      <c r="AV20" s="30"/>
    </row>
    <row r="21" spans="1:48" x14ac:dyDescent="0.25">
      <c r="A21" s="14"/>
      <c r="B21" s="15"/>
      <c r="C21" s="17"/>
      <c r="D21" s="17"/>
      <c r="E21" s="17"/>
      <c r="F21" s="30"/>
      <c r="G21" s="17"/>
      <c r="H21" s="17"/>
      <c r="I21" s="17"/>
      <c r="J21" s="16"/>
      <c r="K21" s="41"/>
      <c r="L21" s="13">
        <f t="shared" si="11"/>
        <v>0</v>
      </c>
      <c r="M21" s="30"/>
      <c r="N21" s="16"/>
      <c r="O21" s="17"/>
      <c r="P21" s="13"/>
      <c r="Q21" s="30"/>
      <c r="R21" s="18"/>
      <c r="S21" s="17"/>
      <c r="T21" s="17">
        <f t="shared" si="15"/>
        <v>0</v>
      </c>
      <c r="U21" s="30"/>
      <c r="V21" s="17"/>
      <c r="W21" s="17"/>
      <c r="X21" s="17">
        <f t="shared" si="16"/>
        <v>0</v>
      </c>
      <c r="Y21" s="16"/>
      <c r="Z21" s="41"/>
      <c r="AA21" s="29">
        <f t="shared" si="17"/>
        <v>0</v>
      </c>
      <c r="AB21" s="30"/>
      <c r="AC21" s="16"/>
      <c r="AD21" s="17"/>
      <c r="AE21" s="13"/>
      <c r="AF21" s="30"/>
      <c r="AG21" s="129"/>
      <c r="AH21" s="17"/>
      <c r="AI21" s="13"/>
      <c r="AJ21" s="30"/>
      <c r="AK21" s="16"/>
      <c r="AL21" s="17"/>
      <c r="AM21" s="13"/>
      <c r="AN21" s="30"/>
      <c r="AO21" s="16"/>
      <c r="AP21" s="17"/>
      <c r="AQ21" s="13"/>
      <c r="AR21" s="30"/>
      <c r="AS21" s="16"/>
      <c r="AT21" s="17"/>
      <c r="AU21" s="13"/>
      <c r="AV21" s="30"/>
    </row>
    <row r="22" spans="1:48" x14ac:dyDescent="0.25">
      <c r="A22" s="14" t="s">
        <v>25</v>
      </c>
      <c r="B22" s="15" t="s">
        <v>26</v>
      </c>
      <c r="C22" s="17">
        <v>0</v>
      </c>
      <c r="D22" s="17">
        <f>D23</f>
        <v>4555634</v>
      </c>
      <c r="E22" s="17">
        <f>+D22</f>
        <v>4555634</v>
      </c>
      <c r="F22" s="19"/>
      <c r="G22" s="17">
        <v>0</v>
      </c>
      <c r="H22" s="17">
        <f>H23</f>
        <v>7684835</v>
      </c>
      <c r="I22" s="17">
        <f t="shared" si="0"/>
        <v>12240469</v>
      </c>
      <c r="J22" s="16">
        <v>0</v>
      </c>
      <c r="K22" s="41">
        <f>K23</f>
        <v>5784014</v>
      </c>
      <c r="L22" s="13">
        <f t="shared" si="11"/>
        <v>18024483</v>
      </c>
      <c r="M22" s="19"/>
      <c r="N22" s="16">
        <v>0</v>
      </c>
      <c r="O22" s="17">
        <f>O23</f>
        <v>0</v>
      </c>
      <c r="P22" s="13">
        <f>L22+O22</f>
        <v>18024483</v>
      </c>
      <c r="Q22" s="19"/>
      <c r="R22" s="18">
        <v>0</v>
      </c>
      <c r="S22" s="17">
        <f>S23</f>
        <v>1735600</v>
      </c>
      <c r="T22" s="17">
        <f t="shared" si="15"/>
        <v>19760083</v>
      </c>
      <c r="U22" s="30"/>
      <c r="V22" s="17">
        <v>0</v>
      </c>
      <c r="W22" s="17">
        <f>+W23</f>
        <v>5171840</v>
      </c>
      <c r="X22" s="17">
        <f t="shared" si="16"/>
        <v>24931923</v>
      </c>
      <c r="Y22" s="16">
        <v>0</v>
      </c>
      <c r="Z22" s="41">
        <f>+Z23</f>
        <v>8361192</v>
      </c>
      <c r="AA22" s="29">
        <f t="shared" si="17"/>
        <v>33293115</v>
      </c>
      <c r="AB22" s="30"/>
      <c r="AC22" s="16">
        <v>0</v>
      </c>
      <c r="AD22" s="17">
        <f>AD23</f>
        <v>6855832</v>
      </c>
      <c r="AE22" s="13">
        <f>AA22+AD22</f>
        <v>40148947</v>
      </c>
      <c r="AF22" s="30"/>
      <c r="AG22" s="129">
        <v>0</v>
      </c>
      <c r="AH22" s="17">
        <f>AH23</f>
        <v>9106991</v>
      </c>
      <c r="AI22" s="13">
        <f>AE22+AH22</f>
        <v>49255938</v>
      </c>
      <c r="AJ22" s="30"/>
      <c r="AK22" s="16">
        <v>0</v>
      </c>
      <c r="AL22" s="17">
        <f>AL23</f>
        <v>11904424</v>
      </c>
      <c r="AM22" s="13">
        <f>AI22+AL22</f>
        <v>61160362</v>
      </c>
      <c r="AN22" s="30"/>
      <c r="AO22" s="16">
        <v>0</v>
      </c>
      <c r="AP22" s="17">
        <f>AP23</f>
        <v>9399435</v>
      </c>
      <c r="AQ22" s="13">
        <f>AM22+AP22</f>
        <v>70559797</v>
      </c>
      <c r="AR22" s="30"/>
      <c r="AS22" s="16">
        <v>0</v>
      </c>
      <c r="AT22" s="17">
        <f>AT23</f>
        <v>11126088</v>
      </c>
      <c r="AU22" s="13">
        <f>AQ22+AT22</f>
        <v>81685885</v>
      </c>
      <c r="AV22" s="30"/>
    </row>
    <row r="23" spans="1:48" s="27" customFormat="1" x14ac:dyDescent="0.25">
      <c r="A23" s="32" t="s">
        <v>27</v>
      </c>
      <c r="B23" s="35" t="s">
        <v>28</v>
      </c>
      <c r="C23" s="29">
        <v>0</v>
      </c>
      <c r="D23" s="29">
        <v>4555634</v>
      </c>
      <c r="E23" s="29">
        <f t="shared" ref="E23:E25" si="23">+D23</f>
        <v>4555634</v>
      </c>
      <c r="F23" s="34"/>
      <c r="G23" s="29">
        <v>0</v>
      </c>
      <c r="H23" s="29">
        <v>7684835</v>
      </c>
      <c r="I23" s="29">
        <f t="shared" si="0"/>
        <v>12240469</v>
      </c>
      <c r="J23" s="28">
        <v>0</v>
      </c>
      <c r="K23" s="29">
        <v>5784014</v>
      </c>
      <c r="L23" s="29">
        <f t="shared" si="11"/>
        <v>18024483</v>
      </c>
      <c r="M23" s="34"/>
      <c r="N23" s="28">
        <v>0</v>
      </c>
      <c r="O23" s="29">
        <v>0</v>
      </c>
      <c r="P23" s="29">
        <f>L23+O23</f>
        <v>18024483</v>
      </c>
      <c r="Q23" s="34"/>
      <c r="R23" s="18">
        <v>0</v>
      </c>
      <c r="S23" s="29">
        <v>1735600</v>
      </c>
      <c r="T23" s="29">
        <f t="shared" si="15"/>
        <v>19760083</v>
      </c>
      <c r="U23" s="34"/>
      <c r="V23" s="29">
        <v>0</v>
      </c>
      <c r="W23" s="29">
        <v>5171840</v>
      </c>
      <c r="X23" s="29">
        <f t="shared" si="16"/>
        <v>24931923</v>
      </c>
      <c r="Y23" s="28">
        <v>0</v>
      </c>
      <c r="Z23" s="29">
        <v>8361192</v>
      </c>
      <c r="AA23" s="29">
        <f t="shared" si="17"/>
        <v>33293115</v>
      </c>
      <c r="AB23" s="34"/>
      <c r="AC23" s="28">
        <v>0</v>
      </c>
      <c r="AD23" s="17">
        <v>6855832</v>
      </c>
      <c r="AE23" s="29">
        <f>AA23+AD23</f>
        <v>40148947</v>
      </c>
      <c r="AF23" s="34"/>
      <c r="AG23" s="129">
        <v>0</v>
      </c>
      <c r="AH23" s="17">
        <v>9106991</v>
      </c>
      <c r="AI23" s="29">
        <f>AE23+AH23</f>
        <v>49255938</v>
      </c>
      <c r="AJ23" s="34"/>
      <c r="AK23" s="28">
        <v>0</v>
      </c>
      <c r="AL23" s="17">
        <v>11904424</v>
      </c>
      <c r="AM23" s="29">
        <f>AI23+AL23</f>
        <v>61160362</v>
      </c>
      <c r="AN23" s="34"/>
      <c r="AO23" s="28">
        <v>0</v>
      </c>
      <c r="AP23" s="29">
        <v>9399435</v>
      </c>
      <c r="AQ23" s="29">
        <f>AM23+AP23</f>
        <v>70559797</v>
      </c>
      <c r="AR23" s="34"/>
      <c r="AS23" s="28">
        <v>0</v>
      </c>
      <c r="AT23" s="29">
        <v>11126088</v>
      </c>
      <c r="AU23" s="29">
        <f>AQ23+AT23</f>
        <v>81685885</v>
      </c>
      <c r="AV23" s="34"/>
    </row>
    <row r="24" spans="1:48" x14ac:dyDescent="0.25">
      <c r="A24" s="14">
        <v>4295</v>
      </c>
      <c r="B24" s="15" t="s">
        <v>148</v>
      </c>
      <c r="C24" s="17">
        <v>0</v>
      </c>
      <c r="D24" s="29">
        <f>+D25</f>
        <v>2041</v>
      </c>
      <c r="E24" s="17">
        <f t="shared" si="23"/>
        <v>2041</v>
      </c>
      <c r="F24" s="19"/>
      <c r="G24" s="17">
        <v>0</v>
      </c>
      <c r="H24" s="41">
        <f>+H25</f>
        <v>1</v>
      </c>
      <c r="I24" s="17">
        <f t="shared" si="0"/>
        <v>2042</v>
      </c>
      <c r="J24" s="16">
        <v>0</v>
      </c>
      <c r="K24" s="41">
        <f>+K25</f>
        <v>64</v>
      </c>
      <c r="L24" s="13">
        <f t="shared" si="11"/>
        <v>2106</v>
      </c>
      <c r="M24" s="19"/>
      <c r="N24" s="16">
        <v>0</v>
      </c>
      <c r="O24" s="17">
        <f>+O25</f>
        <v>291</v>
      </c>
      <c r="P24" s="13">
        <f>L24+O24</f>
        <v>2397</v>
      </c>
      <c r="Q24" s="19"/>
      <c r="R24" s="18">
        <v>0</v>
      </c>
      <c r="S24" s="29">
        <f>+S25</f>
        <v>60544</v>
      </c>
      <c r="T24" s="17">
        <f t="shared" si="15"/>
        <v>62941</v>
      </c>
      <c r="U24" s="30"/>
      <c r="V24" s="17">
        <v>0</v>
      </c>
      <c r="W24" s="41">
        <f>+W25</f>
        <v>702202</v>
      </c>
      <c r="X24" s="17">
        <f t="shared" si="16"/>
        <v>765143</v>
      </c>
      <c r="Y24" s="16">
        <v>0</v>
      </c>
      <c r="Z24" s="41">
        <f>+Z25</f>
        <v>702329</v>
      </c>
      <c r="AA24" s="29">
        <f t="shared" si="17"/>
        <v>1467472</v>
      </c>
      <c r="AB24" s="30"/>
      <c r="AC24" s="16">
        <v>0</v>
      </c>
      <c r="AD24" s="17">
        <f>+AD25</f>
        <v>420</v>
      </c>
      <c r="AE24" s="13">
        <f>AA24+AD24</f>
        <v>1467892</v>
      </c>
      <c r="AF24" s="30"/>
      <c r="AG24" s="129">
        <v>0</v>
      </c>
      <c r="AH24" s="17">
        <f>+AH25</f>
        <v>617</v>
      </c>
      <c r="AI24" s="13">
        <f>AE24+AH24</f>
        <v>1468509</v>
      </c>
      <c r="AJ24" s="30"/>
      <c r="AK24" s="16">
        <v>0</v>
      </c>
      <c r="AL24" s="17">
        <f>+AL25</f>
        <v>217.83</v>
      </c>
      <c r="AM24" s="13">
        <f>AI24+AL24</f>
        <v>1468726.83</v>
      </c>
      <c r="AN24" s="30"/>
      <c r="AO24" s="16">
        <v>0</v>
      </c>
      <c r="AP24" s="17">
        <f>+AP25</f>
        <v>427</v>
      </c>
      <c r="AQ24" s="13">
        <f>AM24+AP24</f>
        <v>1469153.83</v>
      </c>
      <c r="AR24" s="30"/>
      <c r="AS24" s="16">
        <v>0</v>
      </c>
      <c r="AT24" s="17">
        <v>201</v>
      </c>
      <c r="AU24" s="13">
        <f>AQ24+AT24</f>
        <v>1469354.83</v>
      </c>
      <c r="AV24" s="30"/>
    </row>
    <row r="25" spans="1:48" x14ac:dyDescent="0.25">
      <c r="A25" s="14">
        <v>429581</v>
      </c>
      <c r="B25" s="15" t="s">
        <v>147</v>
      </c>
      <c r="C25" s="17">
        <v>0</v>
      </c>
      <c r="D25" s="29">
        <v>2041</v>
      </c>
      <c r="E25" s="17">
        <f t="shared" si="23"/>
        <v>2041</v>
      </c>
      <c r="F25" s="19"/>
      <c r="G25" s="17">
        <v>0</v>
      </c>
      <c r="H25" s="41">
        <v>1</v>
      </c>
      <c r="I25" s="17">
        <f t="shared" si="0"/>
        <v>2042</v>
      </c>
      <c r="J25" s="16">
        <v>0</v>
      </c>
      <c r="K25" s="41">
        <v>64</v>
      </c>
      <c r="L25" s="13">
        <f t="shared" si="11"/>
        <v>2106</v>
      </c>
      <c r="M25" s="19"/>
      <c r="N25" s="16">
        <v>0</v>
      </c>
      <c r="O25" s="17">
        <v>291</v>
      </c>
      <c r="P25" s="13">
        <f>L25+O25</f>
        <v>2397</v>
      </c>
      <c r="Q25" s="19"/>
      <c r="R25" s="18">
        <v>0</v>
      </c>
      <c r="S25" s="29">
        <v>60544</v>
      </c>
      <c r="T25" s="17">
        <f t="shared" si="15"/>
        <v>62941</v>
      </c>
      <c r="U25" s="30"/>
      <c r="V25" s="17">
        <v>0</v>
      </c>
      <c r="W25" s="41">
        <v>702202</v>
      </c>
      <c r="X25" s="17">
        <f t="shared" si="16"/>
        <v>765143</v>
      </c>
      <c r="Y25" s="16">
        <v>0</v>
      </c>
      <c r="Z25" s="41">
        <v>702329</v>
      </c>
      <c r="AA25" s="29">
        <f t="shared" si="17"/>
        <v>1467472</v>
      </c>
      <c r="AB25" s="30"/>
      <c r="AC25" s="16">
        <v>0</v>
      </c>
      <c r="AD25" s="17">
        <v>420</v>
      </c>
      <c r="AE25" s="13">
        <f>AA25+AD25</f>
        <v>1467892</v>
      </c>
      <c r="AF25" s="30"/>
      <c r="AG25" s="129">
        <v>0</v>
      </c>
      <c r="AH25" s="17">
        <v>617</v>
      </c>
      <c r="AI25" s="13">
        <f>AE25+AH25</f>
        <v>1468509</v>
      </c>
      <c r="AJ25" s="30"/>
      <c r="AK25" s="16">
        <v>0</v>
      </c>
      <c r="AL25" s="17">
        <v>217.83</v>
      </c>
      <c r="AM25" s="13">
        <f>AI25+AL25</f>
        <v>1468726.83</v>
      </c>
      <c r="AN25" s="30"/>
      <c r="AO25" s="16">
        <v>0</v>
      </c>
      <c r="AP25" s="17">
        <v>427</v>
      </c>
      <c r="AQ25" s="13">
        <f>AM25+AP25</f>
        <v>1469153.83</v>
      </c>
      <c r="AR25" s="30"/>
      <c r="AS25" s="16">
        <v>0</v>
      </c>
      <c r="AT25" s="17">
        <v>201</v>
      </c>
      <c r="AU25" s="13">
        <f>AQ25+AT25</f>
        <v>1469354.83</v>
      </c>
      <c r="AV25" s="30"/>
    </row>
    <row r="26" spans="1:48" x14ac:dyDescent="0.25">
      <c r="A26" s="14"/>
      <c r="B26" s="20"/>
      <c r="C26" s="17"/>
      <c r="D26" s="29"/>
      <c r="E26" s="17"/>
      <c r="F26" s="19"/>
      <c r="G26" s="17"/>
      <c r="H26" s="41"/>
      <c r="I26" s="17"/>
      <c r="J26" s="16"/>
      <c r="K26" s="41"/>
      <c r="L26" s="13"/>
      <c r="M26" s="19"/>
      <c r="N26" s="16"/>
      <c r="O26" s="17"/>
      <c r="P26" s="13"/>
      <c r="Q26" s="19"/>
      <c r="R26" s="18"/>
      <c r="S26" s="29"/>
      <c r="T26" s="17"/>
      <c r="U26" s="30"/>
      <c r="V26" s="17"/>
      <c r="W26" s="41"/>
      <c r="X26" s="17"/>
      <c r="Y26" s="16"/>
      <c r="Z26" s="41"/>
      <c r="AA26" s="29"/>
      <c r="AB26" s="30"/>
      <c r="AC26" s="16"/>
      <c r="AD26" s="17"/>
      <c r="AE26" s="13"/>
      <c r="AF26" s="30"/>
      <c r="AG26" s="129"/>
      <c r="AH26" s="17"/>
      <c r="AI26" s="13"/>
      <c r="AJ26" s="30"/>
      <c r="AK26" s="16"/>
      <c r="AL26" s="17"/>
      <c r="AM26" s="13"/>
      <c r="AN26" s="30"/>
      <c r="AO26" s="16"/>
      <c r="AP26" s="17"/>
      <c r="AQ26" s="13"/>
      <c r="AR26" s="30"/>
      <c r="AS26" s="16"/>
      <c r="AT26" s="17"/>
      <c r="AU26" s="13"/>
      <c r="AV26" s="30"/>
    </row>
    <row r="27" spans="1:48" x14ac:dyDescent="0.25">
      <c r="A27" s="36" t="s">
        <v>29</v>
      </c>
      <c r="B27" s="37" t="s">
        <v>30</v>
      </c>
      <c r="C27" s="38">
        <f>C28+C140+C118</f>
        <v>11744572</v>
      </c>
      <c r="D27" s="38">
        <v>0</v>
      </c>
      <c r="E27" s="38">
        <f>+C27</f>
        <v>11744572</v>
      </c>
      <c r="F27" s="39"/>
      <c r="G27" s="38">
        <f>G28+G140+G118</f>
        <v>13567384</v>
      </c>
      <c r="H27" s="38">
        <v>0</v>
      </c>
      <c r="I27" s="38">
        <f t="shared" ref="I27:I64" si="24">E27+G27</f>
        <v>25311956</v>
      </c>
      <c r="J27" s="38">
        <f>J28+J140+J118</f>
        <v>11094912</v>
      </c>
      <c r="K27" s="38">
        <v>0</v>
      </c>
      <c r="L27" s="38">
        <f>I27+J27</f>
        <v>36406868</v>
      </c>
      <c r="M27" s="39"/>
      <c r="N27" s="38">
        <f>N28+N140+N118</f>
        <v>8654656</v>
      </c>
      <c r="O27" s="38">
        <v>0</v>
      </c>
      <c r="P27" s="38">
        <f t="shared" ref="P27:P39" si="25">L27+N27</f>
        <v>45061524</v>
      </c>
      <c r="Q27" s="39"/>
      <c r="R27" s="18">
        <f>R28+R140+R118</f>
        <v>11139699</v>
      </c>
      <c r="S27" s="38">
        <v>0</v>
      </c>
      <c r="T27" s="38">
        <f>+P27+R27</f>
        <v>56201223</v>
      </c>
      <c r="U27" s="39"/>
      <c r="V27" s="38">
        <f>V28+V140+V118</f>
        <v>13198472</v>
      </c>
      <c r="W27" s="38">
        <v>0</v>
      </c>
      <c r="X27" s="38">
        <f t="shared" ref="X27:X42" si="26">T27+V27</f>
        <v>69399695</v>
      </c>
      <c r="Y27" s="38">
        <f>Y28+Y140+Y118</f>
        <v>11738973</v>
      </c>
      <c r="Z27" s="38">
        <v>0</v>
      </c>
      <c r="AA27" s="29">
        <f>X27+Y27</f>
        <v>81138668</v>
      </c>
      <c r="AB27" s="39"/>
      <c r="AC27" s="38">
        <f>AC28+AC140+AC118</f>
        <v>11240136</v>
      </c>
      <c r="AD27" s="38">
        <v>0</v>
      </c>
      <c r="AE27" s="38">
        <f t="shared" ref="AE27:AE42" si="27">AA27+AC27</f>
        <v>92378804</v>
      </c>
      <c r="AF27" s="39"/>
      <c r="AG27" s="129">
        <f>AG28+AG140+AG118</f>
        <v>11325056</v>
      </c>
      <c r="AH27" s="38">
        <v>0</v>
      </c>
      <c r="AI27" s="38">
        <f t="shared" ref="AI27:AI30" si="28">AE27+AG27</f>
        <v>103703860</v>
      </c>
      <c r="AJ27" s="39"/>
      <c r="AK27" s="38">
        <f>AK28+AK140+AK118</f>
        <v>14796625</v>
      </c>
      <c r="AL27" s="38">
        <v>0</v>
      </c>
      <c r="AM27" s="38">
        <f t="shared" ref="AM27:AM30" si="29">AI27+AK27</f>
        <v>118500485</v>
      </c>
      <c r="AN27" s="39"/>
      <c r="AO27" s="38">
        <f>AO28+AO140+AO118</f>
        <v>15785972</v>
      </c>
      <c r="AP27" s="38">
        <v>0</v>
      </c>
      <c r="AQ27" s="38">
        <f t="shared" ref="AQ27:AQ30" si="30">AM27+AO27</f>
        <v>134286457</v>
      </c>
      <c r="AR27" s="39"/>
      <c r="AS27" s="38">
        <f>AS28+AS140+AS118</f>
        <v>13034178</v>
      </c>
      <c r="AT27" s="38">
        <v>0</v>
      </c>
      <c r="AU27" s="38">
        <f t="shared" ref="AU27:AU90" si="31">AQ27+AS27</f>
        <v>147320635</v>
      </c>
      <c r="AV27" s="39"/>
    </row>
    <row r="28" spans="1:48" x14ac:dyDescent="0.25">
      <c r="A28" s="14" t="s">
        <v>31</v>
      </c>
      <c r="B28" s="15" t="s">
        <v>32</v>
      </c>
      <c r="C28" s="17">
        <f>C29+C45+C56+C50+C63+C66+C77+C83+C90+C104+C60+C96</f>
        <v>11085668</v>
      </c>
      <c r="D28" s="17">
        <v>0</v>
      </c>
      <c r="E28" s="17">
        <f t="shared" ref="E28:E58" si="32">+C28</f>
        <v>11085668</v>
      </c>
      <c r="F28" s="30"/>
      <c r="G28" s="17">
        <f>G29+G45+G56+G50+G63+G66+G77+G83+G90+G104+G60+G96</f>
        <v>13257332</v>
      </c>
      <c r="H28" s="17">
        <v>0</v>
      </c>
      <c r="I28" s="13">
        <f t="shared" si="24"/>
        <v>24343000</v>
      </c>
      <c r="J28" s="17">
        <f>J29+J45+J56+J50+J63+J66+J77+J83+J90+J104+J60+J96</f>
        <v>10689110</v>
      </c>
      <c r="K28" s="17">
        <v>0</v>
      </c>
      <c r="L28" s="13">
        <f t="shared" ref="L28:L74" si="33">I28+J28</f>
        <v>35032110</v>
      </c>
      <c r="M28" s="30"/>
      <c r="N28" s="17">
        <f>N29+N45+N56+N50+N63+N66+N77+N83+N90+N104+N60+N96</f>
        <v>8333942</v>
      </c>
      <c r="O28" s="17">
        <v>0</v>
      </c>
      <c r="P28" s="13">
        <f t="shared" si="25"/>
        <v>43366052</v>
      </c>
      <c r="Q28" s="30"/>
      <c r="R28" s="18">
        <f>R29+R45+R56+R50+R63+R66+R77+R83+R90+R104+R60+R96</f>
        <v>10779740</v>
      </c>
      <c r="S28" s="17">
        <v>0</v>
      </c>
      <c r="T28" s="17">
        <f>+P28+R28</f>
        <v>54145792</v>
      </c>
      <c r="U28" s="30"/>
      <c r="V28" s="17">
        <f>V29+V45+V50+V56+V63+V66+V77+V83+V90+V104+V96</f>
        <v>12830518</v>
      </c>
      <c r="W28" s="17">
        <v>0</v>
      </c>
      <c r="X28" s="13">
        <f t="shared" si="26"/>
        <v>66976310</v>
      </c>
      <c r="Y28" s="17">
        <f>Y29+Y45+Y50+Y56+Y63+Y66+Y77+Y83+Y90+Y104+Y96</f>
        <v>11399718</v>
      </c>
      <c r="Z28" s="17">
        <v>0</v>
      </c>
      <c r="AA28" s="29">
        <f t="shared" ref="AA28:AA42" si="34">X28+Y28</f>
        <v>78376028</v>
      </c>
      <c r="AB28" s="30"/>
      <c r="AC28" s="17">
        <f>AC29+AC45+AC50+AC56+AC63+AC66+AC77+AC83+AC90+AC104+AC96</f>
        <v>10811171</v>
      </c>
      <c r="AD28" s="17">
        <v>0</v>
      </c>
      <c r="AE28" s="13">
        <f t="shared" si="27"/>
        <v>89187199</v>
      </c>
      <c r="AF28" s="30"/>
      <c r="AG28" s="129">
        <f>AG29+AG45+AG50+AG56+AG63+AG66+AG77+AG83+AG90+AG104+AG96</f>
        <v>11022465</v>
      </c>
      <c r="AH28" s="17">
        <v>0</v>
      </c>
      <c r="AI28" s="13">
        <f t="shared" si="28"/>
        <v>100209664</v>
      </c>
      <c r="AJ28" s="30"/>
      <c r="AK28" s="17">
        <f>AK29+AK45+AK50+AK56+AK63+AK66+AK77+AK83+AK90+AK104+AK96</f>
        <v>14479282</v>
      </c>
      <c r="AL28" s="17">
        <v>0</v>
      </c>
      <c r="AM28" s="13">
        <f t="shared" si="29"/>
        <v>114688946</v>
      </c>
      <c r="AN28" s="30"/>
      <c r="AO28" s="17">
        <f>AO29+AO45+AO50+AO56+AO63+AO66+AO77+AO83+AO90+AO104+AO96</f>
        <v>15438511</v>
      </c>
      <c r="AP28" s="17">
        <v>0</v>
      </c>
      <c r="AQ28" s="13">
        <f t="shared" si="30"/>
        <v>130127457</v>
      </c>
      <c r="AR28" s="30"/>
      <c r="AS28" s="17">
        <f>AS29+AS45+AS50+AS56+AS63+AS66+AS77+AS83+AS90+AS104+AS96</f>
        <v>12665615</v>
      </c>
      <c r="AT28" s="17">
        <v>0</v>
      </c>
      <c r="AU28" s="13">
        <f t="shared" si="31"/>
        <v>142793072</v>
      </c>
      <c r="AV28" s="30"/>
    </row>
    <row r="29" spans="1:48" x14ac:dyDescent="0.25">
      <c r="A29" s="14" t="s">
        <v>33</v>
      </c>
      <c r="B29" s="15" t="s">
        <v>34</v>
      </c>
      <c r="C29" s="17">
        <f>C30+C32+C33+C34+C35+C36+C37+C38+C39+C40+C41+C42</f>
        <v>2240070</v>
      </c>
      <c r="D29" s="17">
        <v>0</v>
      </c>
      <c r="E29" s="17">
        <f t="shared" si="32"/>
        <v>2240070</v>
      </c>
      <c r="F29" s="30"/>
      <c r="G29" s="17">
        <f>SUM(G30:G42)</f>
        <v>4589258</v>
      </c>
      <c r="H29" s="17">
        <v>0</v>
      </c>
      <c r="I29" s="13">
        <f t="shared" si="24"/>
        <v>6829328</v>
      </c>
      <c r="J29" s="17">
        <f>SUM(J30:J42)</f>
        <v>3812340</v>
      </c>
      <c r="K29" s="17">
        <v>0</v>
      </c>
      <c r="L29" s="13">
        <f t="shared" si="33"/>
        <v>10641668</v>
      </c>
      <c r="M29" s="30"/>
      <c r="N29" s="22">
        <f>N30+N32+N33+N34+N35+N36+N37+N38+N39+N40+N41+N42</f>
        <v>2438298</v>
      </c>
      <c r="O29" s="17">
        <v>0</v>
      </c>
      <c r="P29" s="13">
        <f t="shared" si="25"/>
        <v>13079966</v>
      </c>
      <c r="Q29" s="30"/>
      <c r="R29" s="18">
        <f>SUM(R30:R42)</f>
        <v>4265577</v>
      </c>
      <c r="S29" s="17">
        <v>0</v>
      </c>
      <c r="T29" s="17">
        <f t="shared" ref="T29:T48" si="35">+P29+R29</f>
        <v>17345543</v>
      </c>
      <c r="U29" s="30"/>
      <c r="V29" s="17">
        <f>SUM(V30:V42)</f>
        <v>4726603</v>
      </c>
      <c r="W29" s="17">
        <v>0</v>
      </c>
      <c r="X29" s="13">
        <f t="shared" si="26"/>
        <v>22072146</v>
      </c>
      <c r="Y29" s="17">
        <f>SUM(Y30:Y42)</f>
        <v>4759971</v>
      </c>
      <c r="Z29" s="17">
        <v>0</v>
      </c>
      <c r="AA29" s="29">
        <f t="shared" si="34"/>
        <v>26832117</v>
      </c>
      <c r="AB29" s="30"/>
      <c r="AC29" s="22">
        <f>AC30+AC32+AC33+AC34+AC35+AC36+AC37+AC38+AC39+AC40+AC41+AC42</f>
        <v>4463934</v>
      </c>
      <c r="AD29" s="17">
        <v>0</v>
      </c>
      <c r="AE29" s="13">
        <f t="shared" si="27"/>
        <v>31296051</v>
      </c>
      <c r="AF29" s="30"/>
      <c r="AG29" s="129">
        <f>AG30+AG32+AG33+AG34+AG35+AG36+AG37+AG38+AG39+AG40+AG41+AG42</f>
        <v>4682010</v>
      </c>
      <c r="AH29" s="17">
        <v>0</v>
      </c>
      <c r="AI29" s="13">
        <f t="shared" si="28"/>
        <v>35978061</v>
      </c>
      <c r="AJ29" s="30"/>
      <c r="AK29" s="22">
        <f>AK30+AK32+AK33+AK34+AK35+AK36+AK37+AK38+AK39+AK40+AK41+AK42+AK43</f>
        <v>4764290</v>
      </c>
      <c r="AL29" s="17">
        <v>0</v>
      </c>
      <c r="AM29" s="13">
        <f t="shared" si="29"/>
        <v>40742351</v>
      </c>
      <c r="AN29" s="30"/>
      <c r="AO29" s="22">
        <f>AO30+AO32+AO33+AO34+AO35+AO36+AO37+AO38+AO39+AO40+AO41+AO42</f>
        <v>4766659</v>
      </c>
      <c r="AP29" s="17">
        <v>0</v>
      </c>
      <c r="AQ29" s="13">
        <f t="shared" si="30"/>
        <v>45509010</v>
      </c>
      <c r="AR29" s="30"/>
      <c r="AS29" s="22">
        <f>AS30+AS32+AS33+AS34+AS35+AS36+AS37+AS38+AS39+AS40+AS41+AS42</f>
        <v>4185647</v>
      </c>
      <c r="AT29" s="17">
        <v>0</v>
      </c>
      <c r="AU29" s="13">
        <f t="shared" si="31"/>
        <v>49694657</v>
      </c>
      <c r="AV29" s="30"/>
    </row>
    <row r="30" spans="1:48" x14ac:dyDescent="0.25">
      <c r="A30" s="14" t="s">
        <v>35</v>
      </c>
      <c r="B30" s="15" t="s">
        <v>36</v>
      </c>
      <c r="C30" s="17">
        <v>1266596</v>
      </c>
      <c r="D30" s="17">
        <v>0</v>
      </c>
      <c r="E30" s="17">
        <f t="shared" si="32"/>
        <v>1266596</v>
      </c>
      <c r="F30" s="30"/>
      <c r="G30" s="16">
        <v>2860993</v>
      </c>
      <c r="H30" s="17">
        <v>0</v>
      </c>
      <c r="I30" s="13">
        <f t="shared" si="24"/>
        <v>4127589</v>
      </c>
      <c r="J30" s="16">
        <v>2308429</v>
      </c>
      <c r="K30" s="17">
        <v>0</v>
      </c>
      <c r="L30" s="13">
        <f t="shared" si="33"/>
        <v>6436018</v>
      </c>
      <c r="M30" s="30"/>
      <c r="N30" s="16">
        <v>1806596</v>
      </c>
      <c r="O30" s="17">
        <v>0</v>
      </c>
      <c r="P30" s="13">
        <f t="shared" si="25"/>
        <v>8242614</v>
      </c>
      <c r="Q30" s="30"/>
      <c r="R30" s="18">
        <v>2890994</v>
      </c>
      <c r="S30" s="17">
        <v>0</v>
      </c>
      <c r="T30" s="17">
        <f t="shared" si="35"/>
        <v>11133608</v>
      </c>
      <c r="U30" s="30"/>
      <c r="V30" s="16">
        <v>2980994</v>
      </c>
      <c r="W30" s="17">
        <v>0</v>
      </c>
      <c r="X30" s="13">
        <f t="shared" si="26"/>
        <v>14114602</v>
      </c>
      <c r="Y30" s="17">
        <v>3010994</v>
      </c>
      <c r="Z30" s="17">
        <v>0</v>
      </c>
      <c r="AA30" s="29">
        <f t="shared" si="34"/>
        <v>17125596</v>
      </c>
      <c r="AB30" s="30"/>
      <c r="AC30" s="28">
        <v>2810261</v>
      </c>
      <c r="AD30" s="17">
        <v>0</v>
      </c>
      <c r="AE30" s="13">
        <f t="shared" si="27"/>
        <v>19935857</v>
      </c>
      <c r="AF30" s="30"/>
      <c r="AG30" s="129">
        <v>3010994</v>
      </c>
      <c r="AH30" s="17">
        <v>0</v>
      </c>
      <c r="AI30" s="13">
        <f t="shared" si="28"/>
        <v>22946851</v>
      </c>
      <c r="AJ30" s="30"/>
      <c r="AK30" s="16">
        <v>3010994</v>
      </c>
      <c r="AL30" s="17">
        <v>0</v>
      </c>
      <c r="AM30" s="13">
        <f t="shared" si="29"/>
        <v>25957845</v>
      </c>
      <c r="AN30" s="30"/>
      <c r="AO30" s="16">
        <v>3010994</v>
      </c>
      <c r="AP30" s="17">
        <v>0</v>
      </c>
      <c r="AQ30" s="13">
        <f t="shared" si="30"/>
        <v>28968839</v>
      </c>
      <c r="AR30" s="30"/>
      <c r="AS30" s="16">
        <v>2690261</v>
      </c>
      <c r="AT30" s="17">
        <v>0</v>
      </c>
      <c r="AU30" s="13">
        <f t="shared" si="31"/>
        <v>31659100</v>
      </c>
      <c r="AV30" s="30"/>
    </row>
    <row r="31" spans="1:48" x14ac:dyDescent="0.25">
      <c r="A31" s="14">
        <v>5105</v>
      </c>
      <c r="B31" s="15" t="s">
        <v>318</v>
      </c>
      <c r="C31" s="17">
        <v>0</v>
      </c>
      <c r="D31" s="17">
        <v>0</v>
      </c>
      <c r="E31" s="17">
        <v>0</v>
      </c>
      <c r="F31" s="30"/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30"/>
      <c r="N31" s="17">
        <v>0</v>
      </c>
      <c r="O31" s="17">
        <v>0</v>
      </c>
      <c r="P31" s="17">
        <v>0</v>
      </c>
      <c r="Q31" s="30"/>
      <c r="R31" s="18"/>
      <c r="S31" s="17"/>
      <c r="T31" s="17">
        <f t="shared" si="35"/>
        <v>0</v>
      </c>
      <c r="U31" s="30"/>
      <c r="V31" s="16">
        <v>0</v>
      </c>
      <c r="W31" s="17"/>
      <c r="X31" s="13"/>
      <c r="Y31" s="17"/>
      <c r="Z31" s="17"/>
      <c r="AA31" s="29"/>
      <c r="AB31" s="30"/>
      <c r="AC31" s="22"/>
      <c r="AD31" s="17"/>
      <c r="AE31" s="13"/>
      <c r="AF31" s="30"/>
      <c r="AG31" s="129"/>
      <c r="AH31" s="17"/>
      <c r="AI31" s="13"/>
      <c r="AJ31" s="30"/>
      <c r="AK31" s="16"/>
      <c r="AL31" s="17"/>
      <c r="AM31" s="13"/>
      <c r="AN31" s="30"/>
      <c r="AO31" s="16"/>
      <c r="AP31" s="17"/>
      <c r="AQ31" s="13"/>
      <c r="AR31" s="30"/>
      <c r="AS31" s="16"/>
      <c r="AT31" s="17"/>
      <c r="AU31" s="13">
        <f t="shared" si="31"/>
        <v>0</v>
      </c>
      <c r="AV31" s="30"/>
    </row>
    <row r="32" spans="1:48" x14ac:dyDescent="0.25">
      <c r="A32" s="14" t="s">
        <v>37</v>
      </c>
      <c r="B32" s="15" t="s">
        <v>38</v>
      </c>
      <c r="C32" s="17">
        <v>0</v>
      </c>
      <c r="D32" s="17">
        <v>0</v>
      </c>
      <c r="E32" s="17">
        <f t="shared" si="32"/>
        <v>0</v>
      </c>
      <c r="F32" s="30"/>
      <c r="G32" s="16">
        <v>85712</v>
      </c>
      <c r="H32" s="17">
        <v>0</v>
      </c>
      <c r="I32" s="13">
        <f t="shared" si="24"/>
        <v>85712</v>
      </c>
      <c r="J32" s="16">
        <v>78855</v>
      </c>
      <c r="K32" s="17">
        <v>0</v>
      </c>
      <c r="L32" s="13">
        <f t="shared" si="33"/>
        <v>164567</v>
      </c>
      <c r="M32" s="30"/>
      <c r="N32" s="16">
        <v>0</v>
      </c>
      <c r="O32" s="17">
        <v>0</v>
      </c>
      <c r="P32" s="13">
        <f t="shared" si="25"/>
        <v>164567</v>
      </c>
      <c r="Q32" s="30"/>
      <c r="R32" s="18">
        <v>89140</v>
      </c>
      <c r="S32" s="17">
        <v>0</v>
      </c>
      <c r="T32" s="17">
        <f t="shared" si="35"/>
        <v>253707</v>
      </c>
      <c r="U32" s="30"/>
      <c r="V32" s="16">
        <v>99426</v>
      </c>
      <c r="W32" s="17">
        <v>0</v>
      </c>
      <c r="X32" s="13">
        <f t="shared" si="26"/>
        <v>353133</v>
      </c>
      <c r="Y32" s="17">
        <v>102854</v>
      </c>
      <c r="Z32" s="17">
        <v>0</v>
      </c>
      <c r="AA32" s="29">
        <f t="shared" si="34"/>
        <v>455987</v>
      </c>
      <c r="AB32" s="30"/>
      <c r="AC32" s="22">
        <v>95997</v>
      </c>
      <c r="AD32" s="17">
        <v>0</v>
      </c>
      <c r="AE32" s="13">
        <f t="shared" si="27"/>
        <v>551984</v>
      </c>
      <c r="AF32" s="30"/>
      <c r="AG32" s="129">
        <v>102854</v>
      </c>
      <c r="AH32" s="17">
        <v>0</v>
      </c>
      <c r="AI32" s="13">
        <f t="shared" ref="AI32:AI42" si="36">AE32+AG32</f>
        <v>654838</v>
      </c>
      <c r="AJ32" s="30"/>
      <c r="AK32" s="16">
        <v>102854</v>
      </c>
      <c r="AL32" s="17">
        <v>0</v>
      </c>
      <c r="AM32" s="13">
        <f t="shared" ref="AM32:AM42" si="37">AI32+AK32</f>
        <v>757692</v>
      </c>
      <c r="AN32" s="30"/>
      <c r="AO32" s="16">
        <v>102854</v>
      </c>
      <c r="AP32" s="17">
        <v>0</v>
      </c>
      <c r="AQ32" s="13">
        <f t="shared" ref="AQ32:AQ42" si="38">AM32+AO32</f>
        <v>860546</v>
      </c>
      <c r="AR32" s="30"/>
      <c r="AS32" s="16">
        <v>82283</v>
      </c>
      <c r="AT32" s="17">
        <v>0</v>
      </c>
      <c r="AU32" s="13">
        <f t="shared" si="31"/>
        <v>942829</v>
      </c>
      <c r="AV32" s="30"/>
    </row>
    <row r="33" spans="1:48" x14ac:dyDescent="0.25">
      <c r="A33" s="14" t="s">
        <v>39</v>
      </c>
      <c r="B33" s="15" t="s">
        <v>40</v>
      </c>
      <c r="C33" s="17">
        <v>105507</v>
      </c>
      <c r="D33" s="17">
        <v>0</v>
      </c>
      <c r="E33" s="17">
        <f t="shared" si="32"/>
        <v>105507</v>
      </c>
      <c r="F33" s="30"/>
      <c r="G33" s="22">
        <v>298275</v>
      </c>
      <c r="H33" s="17">
        <v>0</v>
      </c>
      <c r="I33" s="13">
        <f t="shared" si="24"/>
        <v>403782</v>
      </c>
      <c r="J33" s="22">
        <v>298275</v>
      </c>
      <c r="K33" s="17">
        <v>0</v>
      </c>
      <c r="L33" s="13">
        <f t="shared" si="33"/>
        <v>702057</v>
      </c>
      <c r="M33" s="30"/>
      <c r="N33" s="22">
        <f>150489-13022</f>
        <v>137467</v>
      </c>
      <c r="O33" s="17">
        <v>0</v>
      </c>
      <c r="P33" s="13">
        <f t="shared" si="25"/>
        <v>839524</v>
      </c>
      <c r="Q33" s="30"/>
      <c r="R33" s="129">
        <v>298275</v>
      </c>
      <c r="S33" s="17">
        <v>0</v>
      </c>
      <c r="T33" s="17">
        <f t="shared" si="35"/>
        <v>1137799</v>
      </c>
      <c r="U33" s="30"/>
      <c r="V33" s="22">
        <v>298275</v>
      </c>
      <c r="W33" s="17">
        <v>0</v>
      </c>
      <c r="X33" s="13">
        <f t="shared" si="26"/>
        <v>1436074</v>
      </c>
      <c r="Y33" s="22">
        <v>298275</v>
      </c>
      <c r="Z33" s="17">
        <v>0</v>
      </c>
      <c r="AA33" s="29">
        <f t="shared" si="34"/>
        <v>1734349</v>
      </c>
      <c r="AB33" s="30"/>
      <c r="AC33" s="22">
        <v>259384</v>
      </c>
      <c r="AD33" s="17">
        <v>0</v>
      </c>
      <c r="AE33" s="13">
        <f t="shared" si="27"/>
        <v>1993733</v>
      </c>
      <c r="AF33" s="30"/>
      <c r="AG33" s="129">
        <v>259384</v>
      </c>
      <c r="AH33" s="17">
        <v>0</v>
      </c>
      <c r="AI33" s="13">
        <f t="shared" si="36"/>
        <v>2253117</v>
      </c>
      <c r="AJ33" s="30"/>
      <c r="AK33" s="22">
        <v>259384</v>
      </c>
      <c r="AL33" s="17">
        <v>0</v>
      </c>
      <c r="AM33" s="13">
        <f t="shared" si="37"/>
        <v>2512501</v>
      </c>
      <c r="AN33" s="30"/>
      <c r="AO33" s="16">
        <v>259384</v>
      </c>
      <c r="AP33" s="17">
        <v>0</v>
      </c>
      <c r="AQ33" s="13">
        <f t="shared" si="38"/>
        <v>2771885</v>
      </c>
      <c r="AR33" s="30"/>
      <c r="AS33" s="28">
        <v>50063</v>
      </c>
      <c r="AT33" s="17">
        <v>0</v>
      </c>
      <c r="AU33" s="13">
        <f t="shared" si="31"/>
        <v>2821948</v>
      </c>
      <c r="AV33" s="30"/>
    </row>
    <row r="34" spans="1:48" x14ac:dyDescent="0.25">
      <c r="A34" s="14" t="s">
        <v>41</v>
      </c>
      <c r="B34" s="15" t="s">
        <v>42</v>
      </c>
      <c r="C34" s="17">
        <v>12666</v>
      </c>
      <c r="D34" s="17">
        <v>0</v>
      </c>
      <c r="E34" s="17">
        <f t="shared" si="32"/>
        <v>12666</v>
      </c>
      <c r="F34" s="30"/>
      <c r="G34" s="22">
        <v>29467</v>
      </c>
      <c r="H34" s="17">
        <v>0</v>
      </c>
      <c r="I34" s="13">
        <f t="shared" si="24"/>
        <v>42133</v>
      </c>
      <c r="J34" s="22">
        <v>23872</v>
      </c>
      <c r="K34" s="17">
        <v>0</v>
      </c>
      <c r="L34" s="13">
        <f t="shared" si="33"/>
        <v>66005</v>
      </c>
      <c r="M34" s="30"/>
      <c r="N34" s="22">
        <v>28218</v>
      </c>
      <c r="O34" s="17">
        <v>0</v>
      </c>
      <c r="P34" s="13">
        <f t="shared" si="25"/>
        <v>94223</v>
      </c>
      <c r="Q34" s="30"/>
      <c r="R34" s="129">
        <v>37981</v>
      </c>
      <c r="S34" s="17">
        <v>0</v>
      </c>
      <c r="T34" s="17">
        <f t="shared" si="35"/>
        <v>132204</v>
      </c>
      <c r="U34" s="30"/>
      <c r="V34" s="22">
        <v>28217</v>
      </c>
      <c r="W34" s="17">
        <v>0</v>
      </c>
      <c r="X34" s="13">
        <f t="shared" si="26"/>
        <v>160421</v>
      </c>
      <c r="Y34" s="22">
        <v>28217</v>
      </c>
      <c r="Z34" s="17">
        <v>0</v>
      </c>
      <c r="AA34" s="29">
        <f t="shared" si="34"/>
        <v>188638</v>
      </c>
      <c r="AB34" s="30"/>
      <c r="AC34" s="22">
        <v>20823</v>
      </c>
      <c r="AD34" s="17">
        <v>0</v>
      </c>
      <c r="AE34" s="13">
        <f t="shared" si="27"/>
        <v>209461</v>
      </c>
      <c r="AF34" s="30"/>
      <c r="AG34" s="129">
        <v>28218</v>
      </c>
      <c r="AH34" s="17">
        <v>0</v>
      </c>
      <c r="AI34" s="13">
        <f t="shared" si="36"/>
        <v>237679</v>
      </c>
      <c r="AJ34" s="30"/>
      <c r="AK34" s="22">
        <v>28218</v>
      </c>
      <c r="AL34" s="17">
        <v>0</v>
      </c>
      <c r="AM34" s="13">
        <f t="shared" si="37"/>
        <v>265897</v>
      </c>
      <c r="AN34" s="30"/>
      <c r="AO34" s="22">
        <v>28218</v>
      </c>
      <c r="AP34" s="17">
        <v>0</v>
      </c>
      <c r="AQ34" s="13">
        <f t="shared" si="38"/>
        <v>294115</v>
      </c>
      <c r="AR34" s="30"/>
      <c r="AS34" s="28">
        <v>14475</v>
      </c>
      <c r="AT34" s="17">
        <v>0</v>
      </c>
      <c r="AU34" s="13">
        <f t="shared" si="31"/>
        <v>308590</v>
      </c>
      <c r="AV34" s="30"/>
    </row>
    <row r="35" spans="1:48" x14ac:dyDescent="0.25">
      <c r="A35" s="14" t="s">
        <v>43</v>
      </c>
      <c r="B35" s="15" t="s">
        <v>44</v>
      </c>
      <c r="C35" s="17">
        <v>105507</v>
      </c>
      <c r="D35" s="17">
        <v>0</v>
      </c>
      <c r="E35" s="17">
        <f t="shared" si="32"/>
        <v>105507</v>
      </c>
      <c r="F35" s="30"/>
      <c r="G35" s="22">
        <v>298275</v>
      </c>
      <c r="H35" s="17">
        <v>0</v>
      </c>
      <c r="I35" s="13">
        <f t="shared" si="24"/>
        <v>403782</v>
      </c>
      <c r="J35" s="22">
        <v>298275</v>
      </c>
      <c r="K35" s="17">
        <v>0</v>
      </c>
      <c r="L35" s="13">
        <f t="shared" si="33"/>
        <v>702057</v>
      </c>
      <c r="M35" s="30"/>
      <c r="N35" s="22">
        <f>+N33</f>
        <v>137467</v>
      </c>
      <c r="O35" s="17">
        <v>0</v>
      </c>
      <c r="P35" s="13">
        <f t="shared" si="25"/>
        <v>839524</v>
      </c>
      <c r="Q35" s="30"/>
      <c r="R35" s="129">
        <v>298275</v>
      </c>
      <c r="S35" s="17">
        <v>0</v>
      </c>
      <c r="T35" s="17">
        <f t="shared" si="35"/>
        <v>1137799</v>
      </c>
      <c r="U35" s="30"/>
      <c r="V35" s="22">
        <v>298275</v>
      </c>
      <c r="W35" s="17">
        <v>0</v>
      </c>
      <c r="X35" s="13">
        <f t="shared" si="26"/>
        <v>1436074</v>
      </c>
      <c r="Y35" s="22">
        <v>298275</v>
      </c>
      <c r="Z35" s="17">
        <v>0</v>
      </c>
      <c r="AA35" s="29">
        <f t="shared" si="34"/>
        <v>1734349</v>
      </c>
      <c r="AB35" s="30"/>
      <c r="AC35" s="22">
        <f>+AC33</f>
        <v>259384</v>
      </c>
      <c r="AD35" s="17">
        <v>0</v>
      </c>
      <c r="AE35" s="13">
        <f t="shared" si="27"/>
        <v>1993733</v>
      </c>
      <c r="AF35" s="30"/>
      <c r="AG35" s="129">
        <f>+AG33</f>
        <v>259384</v>
      </c>
      <c r="AH35" s="17">
        <v>0</v>
      </c>
      <c r="AI35" s="13">
        <f t="shared" si="36"/>
        <v>2253117</v>
      </c>
      <c r="AJ35" s="30"/>
      <c r="AK35" s="22">
        <v>259384</v>
      </c>
      <c r="AL35" s="17">
        <v>0</v>
      </c>
      <c r="AM35" s="13">
        <f t="shared" si="37"/>
        <v>2512501</v>
      </c>
      <c r="AN35" s="30"/>
      <c r="AO35" s="22">
        <v>259384</v>
      </c>
      <c r="AP35" s="17">
        <v>0</v>
      </c>
      <c r="AQ35" s="13">
        <f t="shared" si="38"/>
        <v>2771885</v>
      </c>
      <c r="AR35" s="30"/>
      <c r="AS35" s="28">
        <f>+AS33</f>
        <v>50063</v>
      </c>
      <c r="AT35" s="17">
        <v>0</v>
      </c>
      <c r="AU35" s="13">
        <f t="shared" si="31"/>
        <v>2821948</v>
      </c>
      <c r="AV35" s="30"/>
    </row>
    <row r="36" spans="1:48" x14ac:dyDescent="0.25">
      <c r="A36" s="14" t="s">
        <v>45</v>
      </c>
      <c r="B36" s="15" t="s">
        <v>46</v>
      </c>
      <c r="C36" s="17">
        <v>52817</v>
      </c>
      <c r="D36" s="17">
        <v>0</v>
      </c>
      <c r="E36" s="17">
        <f t="shared" si="32"/>
        <v>52817</v>
      </c>
      <c r="F36" s="30"/>
      <c r="G36" s="22">
        <v>126868</v>
      </c>
      <c r="H36" s="17">
        <v>0</v>
      </c>
      <c r="I36" s="13">
        <f t="shared" si="24"/>
        <v>179685</v>
      </c>
      <c r="J36" s="22">
        <v>126868</v>
      </c>
      <c r="K36" s="17">
        <v>0</v>
      </c>
      <c r="L36" s="13">
        <f t="shared" si="33"/>
        <v>306553</v>
      </c>
      <c r="M36" s="30"/>
      <c r="N36" s="22">
        <v>75335</v>
      </c>
      <c r="O36" s="17">
        <v>0</v>
      </c>
      <c r="P36" s="13">
        <f t="shared" si="25"/>
        <v>381888</v>
      </c>
      <c r="Q36" s="30"/>
      <c r="R36" s="129">
        <v>126868</v>
      </c>
      <c r="S36" s="17">
        <v>0</v>
      </c>
      <c r="T36" s="17">
        <f t="shared" si="35"/>
        <v>508756</v>
      </c>
      <c r="U36" s="30"/>
      <c r="V36" s="22">
        <v>126868</v>
      </c>
      <c r="W36" s="17">
        <v>0</v>
      </c>
      <c r="X36" s="13">
        <f t="shared" si="26"/>
        <v>635624</v>
      </c>
      <c r="Y36" s="22">
        <v>126868</v>
      </c>
      <c r="Z36" s="17">
        <v>0</v>
      </c>
      <c r="AA36" s="29">
        <f t="shared" si="34"/>
        <v>762492</v>
      </c>
      <c r="AB36" s="30"/>
      <c r="AC36" s="22">
        <v>126868</v>
      </c>
      <c r="AD36" s="17">
        <v>0</v>
      </c>
      <c r="AE36" s="13">
        <f t="shared" si="27"/>
        <v>889360</v>
      </c>
      <c r="AF36" s="30"/>
      <c r="AG36" s="129">
        <v>126868</v>
      </c>
      <c r="AH36" s="17">
        <v>0</v>
      </c>
      <c r="AI36" s="13">
        <f t="shared" si="36"/>
        <v>1016228</v>
      </c>
      <c r="AJ36" s="30"/>
      <c r="AK36" s="22">
        <v>126868</v>
      </c>
      <c r="AL36" s="17">
        <v>0</v>
      </c>
      <c r="AM36" s="13">
        <f t="shared" si="37"/>
        <v>1143096</v>
      </c>
      <c r="AN36" s="30"/>
      <c r="AO36" s="22">
        <v>126868</v>
      </c>
      <c r="AP36" s="17">
        <v>0</v>
      </c>
      <c r="AQ36" s="13">
        <f t="shared" si="38"/>
        <v>1269964</v>
      </c>
      <c r="AR36" s="30"/>
      <c r="AS36" s="28">
        <v>141010</v>
      </c>
      <c r="AT36" s="17">
        <v>0</v>
      </c>
      <c r="AU36" s="13">
        <f t="shared" si="31"/>
        <v>1410974</v>
      </c>
      <c r="AV36" s="30"/>
    </row>
    <row r="37" spans="1:48" x14ac:dyDescent="0.25">
      <c r="A37" s="14" t="s">
        <v>47</v>
      </c>
      <c r="B37" s="15" t="s">
        <v>48</v>
      </c>
      <c r="C37" s="17">
        <v>203405</v>
      </c>
      <c r="D37" s="17">
        <v>0</v>
      </c>
      <c r="E37" s="17">
        <f t="shared" si="32"/>
        <v>203405</v>
      </c>
      <c r="F37" s="30"/>
      <c r="G37" s="16">
        <v>339008</v>
      </c>
      <c r="H37" s="17">
        <v>0</v>
      </c>
      <c r="I37" s="13">
        <f t="shared" si="24"/>
        <v>542413</v>
      </c>
      <c r="J37" s="16">
        <v>259906</v>
      </c>
      <c r="K37" s="17">
        <v>0</v>
      </c>
      <c r="L37" s="13">
        <f t="shared" si="33"/>
        <v>802319</v>
      </c>
      <c r="M37" s="30"/>
      <c r="N37" s="16">
        <v>0</v>
      </c>
      <c r="O37" s="17">
        <v>0</v>
      </c>
      <c r="P37" s="13">
        <f t="shared" si="25"/>
        <v>802319</v>
      </c>
      <c r="Q37" s="30"/>
      <c r="R37" s="18">
        <v>169504</v>
      </c>
      <c r="S37" s="17">
        <v>0</v>
      </c>
      <c r="T37" s="17">
        <f t="shared" si="35"/>
        <v>971823</v>
      </c>
      <c r="U37" s="30"/>
      <c r="V37" s="16">
        <v>339008</v>
      </c>
      <c r="W37" s="17">
        <v>0</v>
      </c>
      <c r="X37" s="13">
        <f t="shared" si="26"/>
        <v>1310831</v>
      </c>
      <c r="Y37" s="17">
        <v>339008</v>
      </c>
      <c r="Z37" s="17">
        <v>0</v>
      </c>
      <c r="AA37" s="29">
        <f t="shared" si="34"/>
        <v>1649839</v>
      </c>
      <c r="AB37" s="30"/>
      <c r="AC37" s="22">
        <v>327708</v>
      </c>
      <c r="AD37" s="17">
        <v>0</v>
      </c>
      <c r="AE37" s="13">
        <f t="shared" si="27"/>
        <v>1977547</v>
      </c>
      <c r="AF37" s="30"/>
      <c r="AG37" s="129">
        <v>339008</v>
      </c>
      <c r="AH37" s="17">
        <v>0</v>
      </c>
      <c r="AI37" s="13">
        <f t="shared" si="36"/>
        <v>2316555</v>
      </c>
      <c r="AJ37" s="30"/>
      <c r="AK37" s="22">
        <v>339008</v>
      </c>
      <c r="AL37" s="17">
        <v>0</v>
      </c>
      <c r="AM37" s="13">
        <f t="shared" si="37"/>
        <v>2655563</v>
      </c>
      <c r="AN37" s="30"/>
      <c r="AO37" s="22">
        <v>339008</v>
      </c>
      <c r="AP37" s="17">
        <v>0</v>
      </c>
      <c r="AQ37" s="13">
        <f t="shared" si="38"/>
        <v>2994571</v>
      </c>
      <c r="AR37" s="30"/>
      <c r="AS37" s="28">
        <v>316407</v>
      </c>
      <c r="AT37" s="17">
        <v>0</v>
      </c>
      <c r="AU37" s="13">
        <f t="shared" si="31"/>
        <v>3310978</v>
      </c>
      <c r="AV37" s="30"/>
    </row>
    <row r="38" spans="1:48" ht="21" customHeight="1" x14ac:dyDescent="0.25">
      <c r="A38" s="14" t="s">
        <v>49</v>
      </c>
      <c r="B38" s="15" t="s">
        <v>140</v>
      </c>
      <c r="C38" s="17">
        <v>103000</v>
      </c>
      <c r="D38" s="17">
        <v>0</v>
      </c>
      <c r="E38" s="17">
        <f t="shared" si="32"/>
        <v>103000</v>
      </c>
      <c r="F38" s="30"/>
      <c r="G38" s="17"/>
      <c r="H38" s="17">
        <v>0</v>
      </c>
      <c r="I38" s="13">
        <f t="shared" si="24"/>
        <v>103000</v>
      </c>
      <c r="J38" s="16">
        <v>0</v>
      </c>
      <c r="K38" s="17">
        <v>0</v>
      </c>
      <c r="L38" s="13">
        <f t="shared" si="33"/>
        <v>103000</v>
      </c>
      <c r="M38" s="30"/>
      <c r="N38" s="16">
        <v>22269</v>
      </c>
      <c r="O38" s="17">
        <v>0</v>
      </c>
      <c r="P38" s="13">
        <f t="shared" si="25"/>
        <v>125269</v>
      </c>
      <c r="Q38" s="30"/>
      <c r="R38" s="18">
        <v>0</v>
      </c>
      <c r="S38" s="17">
        <v>0</v>
      </c>
      <c r="T38" s="17">
        <f t="shared" si="35"/>
        <v>125269</v>
      </c>
      <c r="U38" s="30"/>
      <c r="V38" s="17">
        <v>0</v>
      </c>
      <c r="W38" s="17">
        <v>0</v>
      </c>
      <c r="X38" s="13">
        <f t="shared" si="26"/>
        <v>125269</v>
      </c>
      <c r="Y38" s="17">
        <v>0</v>
      </c>
      <c r="Z38" s="17">
        <v>0</v>
      </c>
      <c r="AA38" s="29">
        <f t="shared" si="34"/>
        <v>125269</v>
      </c>
      <c r="AB38" s="30"/>
      <c r="AC38" s="22">
        <v>0</v>
      </c>
      <c r="AD38" s="17">
        <v>0</v>
      </c>
      <c r="AE38" s="13">
        <f t="shared" si="27"/>
        <v>125269</v>
      </c>
      <c r="AF38" s="30"/>
      <c r="AG38" s="129">
        <v>0</v>
      </c>
      <c r="AH38" s="17">
        <v>0</v>
      </c>
      <c r="AI38" s="13">
        <f t="shared" si="36"/>
        <v>125269</v>
      </c>
      <c r="AJ38" s="30"/>
      <c r="AK38" s="22">
        <v>24000</v>
      </c>
      <c r="AL38" s="17">
        <v>0</v>
      </c>
      <c r="AM38" s="13">
        <f t="shared" si="37"/>
        <v>149269</v>
      </c>
      <c r="AN38" s="30"/>
      <c r="AO38" s="22">
        <v>8403</v>
      </c>
      <c r="AP38" s="17">
        <v>0</v>
      </c>
      <c r="AQ38" s="13">
        <f t="shared" si="38"/>
        <v>157672</v>
      </c>
      <c r="AR38" s="30"/>
      <c r="AS38" s="28"/>
      <c r="AT38" s="17">
        <v>0</v>
      </c>
      <c r="AU38" s="13">
        <f t="shared" si="31"/>
        <v>157672</v>
      </c>
      <c r="AV38" s="30"/>
    </row>
    <row r="39" spans="1:48" x14ac:dyDescent="0.25">
      <c r="A39" s="14" t="s">
        <v>50</v>
      </c>
      <c r="B39" s="15" t="s">
        <v>51</v>
      </c>
      <c r="C39" s="17">
        <v>29400</v>
      </c>
      <c r="D39" s="17">
        <v>0</v>
      </c>
      <c r="E39" s="17">
        <f t="shared" si="32"/>
        <v>29400</v>
      </c>
      <c r="F39" s="30"/>
      <c r="G39" s="16">
        <v>71900</v>
      </c>
      <c r="H39" s="17">
        <v>0</v>
      </c>
      <c r="I39" s="13">
        <f t="shared" si="24"/>
        <v>101300</v>
      </c>
      <c r="J39" s="16">
        <v>56400</v>
      </c>
      <c r="K39" s="17">
        <v>0</v>
      </c>
      <c r="L39" s="13">
        <f t="shared" si="33"/>
        <v>157700</v>
      </c>
      <c r="M39" s="30"/>
      <c r="N39" s="28">
        <v>44100</v>
      </c>
      <c r="O39" s="17">
        <v>0</v>
      </c>
      <c r="P39" s="13">
        <f t="shared" si="25"/>
        <v>201800</v>
      </c>
      <c r="Q39" s="30"/>
      <c r="R39" s="18">
        <v>73500</v>
      </c>
      <c r="S39" s="17">
        <v>0</v>
      </c>
      <c r="T39" s="17">
        <f t="shared" si="35"/>
        <v>275300</v>
      </c>
      <c r="U39" s="30"/>
      <c r="V39" s="17">
        <v>73500</v>
      </c>
      <c r="W39" s="17">
        <v>0</v>
      </c>
      <c r="X39" s="13">
        <f t="shared" si="26"/>
        <v>348800</v>
      </c>
      <c r="Y39" s="17">
        <v>73500</v>
      </c>
      <c r="Z39" s="17">
        <v>0</v>
      </c>
      <c r="AA39" s="29">
        <f t="shared" si="34"/>
        <v>422300</v>
      </c>
      <c r="AB39" s="30"/>
      <c r="AC39" s="22">
        <v>73500</v>
      </c>
      <c r="AD39" s="17">
        <v>0</v>
      </c>
      <c r="AE39" s="13">
        <f t="shared" si="27"/>
        <v>495800</v>
      </c>
      <c r="AF39" s="30"/>
      <c r="AG39" s="129">
        <v>73500</v>
      </c>
      <c r="AH39" s="17">
        <v>0</v>
      </c>
      <c r="AI39" s="13">
        <f t="shared" si="36"/>
        <v>569300</v>
      </c>
      <c r="AJ39" s="30"/>
      <c r="AK39" s="22">
        <v>73500</v>
      </c>
      <c r="AL39" s="17">
        <v>0</v>
      </c>
      <c r="AM39" s="13">
        <f t="shared" si="37"/>
        <v>642800</v>
      </c>
      <c r="AN39" s="30"/>
      <c r="AO39" s="22">
        <v>73500</v>
      </c>
      <c r="AP39" s="17">
        <v>0</v>
      </c>
      <c r="AQ39" s="13">
        <f t="shared" si="38"/>
        <v>716300</v>
      </c>
      <c r="AR39" s="30"/>
      <c r="AS39" s="28">
        <v>63300</v>
      </c>
      <c r="AT39" s="17">
        <v>0</v>
      </c>
      <c r="AU39" s="13">
        <f t="shared" si="31"/>
        <v>779600</v>
      </c>
      <c r="AV39" s="30"/>
    </row>
    <row r="40" spans="1:48" ht="21" customHeight="1" x14ac:dyDescent="0.25">
      <c r="A40" s="14" t="s">
        <v>52</v>
      </c>
      <c r="B40" s="15" t="s">
        <v>53</v>
      </c>
      <c r="C40" s="17">
        <v>32336</v>
      </c>
      <c r="D40" s="17">
        <v>0</v>
      </c>
      <c r="E40" s="17">
        <f t="shared" si="32"/>
        <v>32336</v>
      </c>
      <c r="F40" s="30"/>
      <c r="G40" s="16">
        <v>3600</v>
      </c>
      <c r="H40" s="17">
        <v>0</v>
      </c>
      <c r="I40" s="13">
        <f t="shared" si="24"/>
        <v>35936</v>
      </c>
      <c r="J40" s="16">
        <v>0</v>
      </c>
      <c r="K40" s="17">
        <v>0</v>
      </c>
      <c r="L40" s="13">
        <f t="shared" si="33"/>
        <v>35936</v>
      </c>
      <c r="M40" s="30"/>
      <c r="N40" s="28">
        <v>48206</v>
      </c>
      <c r="O40" s="17">
        <v>0</v>
      </c>
      <c r="P40" s="13">
        <f t="shared" ref="P40:P77" si="39">L40+N40</f>
        <v>84142</v>
      </c>
      <c r="Q40" s="30"/>
      <c r="R40" s="18">
        <v>5060</v>
      </c>
      <c r="S40" s="17">
        <v>0</v>
      </c>
      <c r="T40" s="17">
        <f t="shared" si="35"/>
        <v>89202</v>
      </c>
      <c r="U40" s="30"/>
      <c r="V40" s="17">
        <v>0</v>
      </c>
      <c r="W40" s="17">
        <v>0</v>
      </c>
      <c r="X40" s="13">
        <f t="shared" si="26"/>
        <v>89202</v>
      </c>
      <c r="Y40" s="17">
        <v>0</v>
      </c>
      <c r="Z40" s="17">
        <v>0</v>
      </c>
      <c r="AA40" s="29">
        <f t="shared" si="34"/>
        <v>89202</v>
      </c>
      <c r="AB40" s="30"/>
      <c r="AC40" s="22">
        <v>0</v>
      </c>
      <c r="AD40" s="17">
        <v>0</v>
      </c>
      <c r="AE40" s="13">
        <f t="shared" si="27"/>
        <v>89202</v>
      </c>
      <c r="AF40" s="30"/>
      <c r="AG40" s="129">
        <v>0</v>
      </c>
      <c r="AH40" s="17">
        <v>0</v>
      </c>
      <c r="AI40" s="13">
        <f t="shared" si="36"/>
        <v>89202</v>
      </c>
      <c r="AJ40" s="30"/>
      <c r="AK40" s="22"/>
      <c r="AL40" s="17">
        <v>0</v>
      </c>
      <c r="AM40" s="13">
        <f t="shared" si="37"/>
        <v>89202</v>
      </c>
      <c r="AN40" s="30"/>
      <c r="AO40" s="16"/>
      <c r="AP40" s="17">
        <v>0</v>
      </c>
      <c r="AQ40" s="13">
        <f t="shared" si="38"/>
        <v>89202</v>
      </c>
      <c r="AR40" s="30"/>
      <c r="AS40" s="28"/>
      <c r="AT40" s="17">
        <v>0</v>
      </c>
      <c r="AU40" s="13">
        <f t="shared" si="31"/>
        <v>89202</v>
      </c>
      <c r="AV40" s="30"/>
    </row>
    <row r="41" spans="1:48" ht="21" customHeight="1" x14ac:dyDescent="0.25">
      <c r="A41" s="14" t="s">
        <v>54</v>
      </c>
      <c r="B41" s="15" t="s">
        <v>55</v>
      </c>
      <c r="C41" s="17">
        <v>280636</v>
      </c>
      <c r="D41" s="17">
        <v>0</v>
      </c>
      <c r="E41" s="17">
        <f t="shared" si="32"/>
        <v>280636</v>
      </c>
      <c r="F41" s="30"/>
      <c r="G41" s="16">
        <v>357160</v>
      </c>
      <c r="H41" s="17">
        <v>0</v>
      </c>
      <c r="I41" s="13">
        <f t="shared" si="24"/>
        <v>637796</v>
      </c>
      <c r="J41" s="16">
        <v>361460</v>
      </c>
      <c r="K41" s="17">
        <v>0</v>
      </c>
      <c r="L41" s="13">
        <f t="shared" si="33"/>
        <v>999256</v>
      </c>
      <c r="M41" s="30"/>
      <c r="N41" s="28">
        <v>18140</v>
      </c>
      <c r="O41" s="17">
        <v>0</v>
      </c>
      <c r="P41" s="13">
        <f t="shared" si="39"/>
        <v>1017396</v>
      </c>
      <c r="Q41" s="30"/>
      <c r="R41" s="18">
        <v>34980</v>
      </c>
      <c r="S41" s="17">
        <v>0</v>
      </c>
      <c r="T41" s="17">
        <f t="shared" si="35"/>
        <v>1052376</v>
      </c>
      <c r="U41" s="30"/>
      <c r="V41" s="17">
        <v>361540</v>
      </c>
      <c r="W41" s="17">
        <v>0</v>
      </c>
      <c r="X41" s="13">
        <f t="shared" si="26"/>
        <v>1413916</v>
      </c>
      <c r="Y41" s="17">
        <v>361540</v>
      </c>
      <c r="Z41" s="17">
        <v>0</v>
      </c>
      <c r="AA41" s="29">
        <f t="shared" si="34"/>
        <v>1775456</v>
      </c>
      <c r="AB41" s="30"/>
      <c r="AC41" s="22">
        <v>369569</v>
      </c>
      <c r="AD41" s="17">
        <v>0</v>
      </c>
      <c r="AE41" s="13">
        <f t="shared" si="27"/>
        <v>2145025</v>
      </c>
      <c r="AF41" s="30"/>
      <c r="AG41" s="129">
        <v>361360</v>
      </c>
      <c r="AH41" s="17">
        <v>0</v>
      </c>
      <c r="AI41" s="13">
        <f t="shared" si="36"/>
        <v>2506385</v>
      </c>
      <c r="AJ41" s="30"/>
      <c r="AK41" s="16">
        <v>361360</v>
      </c>
      <c r="AL41" s="17">
        <v>0</v>
      </c>
      <c r="AM41" s="13">
        <f t="shared" si="37"/>
        <v>2867745</v>
      </c>
      <c r="AN41" s="30"/>
      <c r="AO41" s="16">
        <v>437606</v>
      </c>
      <c r="AP41" s="17">
        <v>0</v>
      </c>
      <c r="AQ41" s="13">
        <f t="shared" si="38"/>
        <v>3305351</v>
      </c>
      <c r="AR41" s="30"/>
      <c r="AS41" s="16">
        <v>618285</v>
      </c>
      <c r="AT41" s="17">
        <v>0</v>
      </c>
      <c r="AU41" s="13">
        <f t="shared" si="31"/>
        <v>3923636</v>
      </c>
      <c r="AV41" s="30"/>
    </row>
    <row r="42" spans="1:48" ht="21" customHeight="1" x14ac:dyDescent="0.25">
      <c r="A42" s="14" t="s">
        <v>56</v>
      </c>
      <c r="B42" s="15" t="s">
        <v>57</v>
      </c>
      <c r="C42" s="17">
        <v>48200</v>
      </c>
      <c r="D42" s="17">
        <v>0</v>
      </c>
      <c r="E42" s="17">
        <f t="shared" si="32"/>
        <v>48200</v>
      </c>
      <c r="F42" s="30"/>
      <c r="G42" s="17">
        <v>118000</v>
      </c>
      <c r="H42" s="17">
        <v>0</v>
      </c>
      <c r="I42" s="13">
        <f t="shared" si="24"/>
        <v>166200</v>
      </c>
      <c r="J42" s="28"/>
      <c r="K42" s="17">
        <v>0</v>
      </c>
      <c r="L42" s="13">
        <f t="shared" si="33"/>
        <v>166200</v>
      </c>
      <c r="M42" s="30"/>
      <c r="N42" s="28">
        <v>120500</v>
      </c>
      <c r="O42" s="17">
        <v>0</v>
      </c>
      <c r="P42" s="13">
        <f t="shared" si="39"/>
        <v>286700</v>
      </c>
      <c r="Q42" s="30"/>
      <c r="R42" s="18">
        <v>241000</v>
      </c>
      <c r="S42" s="17">
        <v>0</v>
      </c>
      <c r="T42" s="17">
        <f t="shared" si="35"/>
        <v>527700</v>
      </c>
      <c r="U42" s="30"/>
      <c r="V42" s="17">
        <v>120500</v>
      </c>
      <c r="W42" s="17">
        <v>0</v>
      </c>
      <c r="X42" s="13">
        <f t="shared" si="26"/>
        <v>648200</v>
      </c>
      <c r="Y42" s="17">
        <v>120440</v>
      </c>
      <c r="Z42" s="17">
        <v>0</v>
      </c>
      <c r="AA42" s="29">
        <f t="shared" si="34"/>
        <v>768640</v>
      </c>
      <c r="AB42" s="30"/>
      <c r="AC42" s="22">
        <v>120440</v>
      </c>
      <c r="AD42" s="17">
        <v>0</v>
      </c>
      <c r="AE42" s="13">
        <f t="shared" si="27"/>
        <v>889080</v>
      </c>
      <c r="AF42" s="30"/>
      <c r="AG42" s="129">
        <v>120440</v>
      </c>
      <c r="AH42" s="17">
        <v>0</v>
      </c>
      <c r="AI42" s="13">
        <f t="shared" si="36"/>
        <v>1009520</v>
      </c>
      <c r="AJ42" s="30"/>
      <c r="AK42" s="16">
        <v>120440</v>
      </c>
      <c r="AL42" s="17">
        <v>0</v>
      </c>
      <c r="AM42" s="13">
        <f t="shared" si="37"/>
        <v>1129960</v>
      </c>
      <c r="AN42" s="30"/>
      <c r="AO42" s="16">
        <v>120440</v>
      </c>
      <c r="AP42" s="17">
        <v>0</v>
      </c>
      <c r="AQ42" s="13">
        <f t="shared" si="38"/>
        <v>1250400</v>
      </c>
      <c r="AR42" s="30"/>
      <c r="AS42" s="16">
        <v>159500</v>
      </c>
      <c r="AT42" s="17">
        <v>0</v>
      </c>
      <c r="AU42" s="13">
        <f t="shared" si="31"/>
        <v>1409900</v>
      </c>
      <c r="AV42" s="30"/>
    </row>
    <row r="43" spans="1:48" ht="21" customHeight="1" x14ac:dyDescent="0.25">
      <c r="A43" s="14">
        <v>510584</v>
      </c>
      <c r="B43" s="15" t="s">
        <v>388</v>
      </c>
      <c r="C43" s="17"/>
      <c r="D43" s="17"/>
      <c r="E43" s="17"/>
      <c r="F43" s="30"/>
      <c r="G43" s="17"/>
      <c r="H43" s="17"/>
      <c r="I43" s="13"/>
      <c r="J43" s="16"/>
      <c r="K43" s="17"/>
      <c r="L43" s="13"/>
      <c r="M43" s="30"/>
      <c r="N43" s="28"/>
      <c r="O43" s="17"/>
      <c r="P43" s="13"/>
      <c r="Q43" s="30"/>
      <c r="R43" s="18"/>
      <c r="S43" s="17"/>
      <c r="T43" s="17"/>
      <c r="U43" s="30"/>
      <c r="V43" s="17"/>
      <c r="W43" s="17"/>
      <c r="X43" s="13"/>
      <c r="Y43" s="17"/>
      <c r="Z43" s="17"/>
      <c r="AA43" s="29"/>
      <c r="AB43" s="30"/>
      <c r="AC43" s="16"/>
      <c r="AD43" s="17"/>
      <c r="AE43" s="13"/>
      <c r="AF43" s="30"/>
      <c r="AG43" s="129"/>
      <c r="AH43" s="17"/>
      <c r="AI43" s="13"/>
      <c r="AJ43" s="30"/>
      <c r="AK43" s="16">
        <v>58280</v>
      </c>
      <c r="AL43" s="17"/>
      <c r="AM43" s="13"/>
      <c r="AN43" s="30"/>
      <c r="AO43" s="16"/>
      <c r="AP43" s="17"/>
      <c r="AQ43" s="13"/>
      <c r="AR43" s="30"/>
      <c r="AS43" s="16"/>
      <c r="AT43" s="17"/>
      <c r="AU43" s="13">
        <f t="shared" si="31"/>
        <v>0</v>
      </c>
      <c r="AV43" s="30"/>
    </row>
    <row r="44" spans="1:48" ht="21" customHeight="1" x14ac:dyDescent="0.25">
      <c r="A44" s="14"/>
      <c r="B44" s="15"/>
      <c r="C44" s="17"/>
      <c r="D44" s="17"/>
      <c r="E44" s="17"/>
      <c r="F44" s="30"/>
      <c r="G44" s="17"/>
      <c r="H44" s="17"/>
      <c r="I44" s="13"/>
      <c r="J44" s="16"/>
      <c r="K44" s="17"/>
      <c r="L44" s="13"/>
      <c r="M44" s="30"/>
      <c r="N44" s="28"/>
      <c r="O44" s="17"/>
      <c r="P44" s="13"/>
      <c r="Q44" s="30"/>
      <c r="R44" s="18"/>
      <c r="S44" s="17"/>
      <c r="T44" s="17"/>
      <c r="U44" s="30"/>
      <c r="V44" s="17"/>
      <c r="W44" s="17"/>
      <c r="X44" s="13"/>
      <c r="Y44" s="16"/>
      <c r="Z44" s="17"/>
      <c r="AA44" s="29"/>
      <c r="AB44" s="30"/>
      <c r="AC44" s="28"/>
      <c r="AD44" s="17"/>
      <c r="AE44" s="13"/>
      <c r="AF44" s="30"/>
      <c r="AG44" s="129"/>
      <c r="AH44" s="17"/>
      <c r="AI44" s="13"/>
      <c r="AJ44" s="30"/>
      <c r="AK44" s="28"/>
      <c r="AL44" s="17"/>
      <c r="AM44" s="13"/>
      <c r="AN44" s="30"/>
      <c r="AO44" s="28"/>
      <c r="AP44" s="17"/>
      <c r="AQ44" s="13"/>
      <c r="AR44" s="30"/>
      <c r="AS44" s="28"/>
      <c r="AT44" s="17"/>
      <c r="AU44" s="13">
        <f t="shared" si="31"/>
        <v>0</v>
      </c>
      <c r="AV44" s="30"/>
    </row>
    <row r="45" spans="1:48" x14ac:dyDescent="0.25">
      <c r="A45" s="14" t="s">
        <v>58</v>
      </c>
      <c r="B45" s="15" t="s">
        <v>59</v>
      </c>
      <c r="C45" s="17">
        <f>C47</f>
        <v>300000</v>
      </c>
      <c r="D45" s="17">
        <v>0</v>
      </c>
      <c r="E45" s="17">
        <f t="shared" si="32"/>
        <v>300000</v>
      </c>
      <c r="F45" s="19"/>
      <c r="G45" s="17">
        <f>G47</f>
        <v>300000</v>
      </c>
      <c r="H45" s="17">
        <v>0</v>
      </c>
      <c r="I45" s="13">
        <f t="shared" si="24"/>
        <v>600000</v>
      </c>
      <c r="J45" s="28">
        <v>300000</v>
      </c>
      <c r="K45" s="17">
        <v>0</v>
      </c>
      <c r="L45" s="13">
        <f t="shared" si="33"/>
        <v>900000</v>
      </c>
      <c r="M45" s="19"/>
      <c r="N45" s="28">
        <f>N47</f>
        <v>300000</v>
      </c>
      <c r="O45" s="17">
        <v>0</v>
      </c>
      <c r="P45" s="13">
        <f t="shared" si="39"/>
        <v>1200000</v>
      </c>
      <c r="Q45" s="19"/>
      <c r="R45" s="18">
        <f>+R47+R48</f>
        <v>300000</v>
      </c>
      <c r="S45" s="17">
        <v>0</v>
      </c>
      <c r="T45" s="17">
        <f>+T47+T48</f>
        <v>1500000</v>
      </c>
      <c r="U45" s="30"/>
      <c r="V45" s="17">
        <f>V47</f>
        <v>300000</v>
      </c>
      <c r="W45" s="17">
        <v>0</v>
      </c>
      <c r="X45" s="13">
        <f t="shared" ref="X45:X48" si="40">T45+V45</f>
        <v>1800000</v>
      </c>
      <c r="Y45" s="28">
        <v>300000</v>
      </c>
      <c r="Z45" s="17">
        <v>0</v>
      </c>
      <c r="AA45" s="29">
        <f t="shared" ref="AA45:AA48" si="41">X45+Y45</f>
        <v>2100000</v>
      </c>
      <c r="AB45" s="30"/>
      <c r="AC45" s="28">
        <f>AC47</f>
        <v>300000</v>
      </c>
      <c r="AD45" s="17">
        <v>0</v>
      </c>
      <c r="AE45" s="13">
        <f t="shared" ref="AE45:AE48" si="42">AA45+AC45</f>
        <v>2400000</v>
      </c>
      <c r="AF45" s="30"/>
      <c r="AG45" s="129">
        <f>AG47</f>
        <v>300000</v>
      </c>
      <c r="AH45" s="17">
        <v>0</v>
      </c>
      <c r="AI45" s="13">
        <f t="shared" ref="AI45:AI48" si="43">AE45+AG45</f>
        <v>2700000</v>
      </c>
      <c r="AJ45" s="30"/>
      <c r="AK45" s="28">
        <f>AK47</f>
        <v>300000</v>
      </c>
      <c r="AL45" s="17">
        <v>0</v>
      </c>
      <c r="AM45" s="13">
        <f t="shared" ref="AM45:AM48" si="44">AI45+AK45</f>
        <v>3000000</v>
      </c>
      <c r="AN45" s="30"/>
      <c r="AO45" s="28">
        <f>AO47</f>
        <v>300000</v>
      </c>
      <c r="AP45" s="17">
        <v>0</v>
      </c>
      <c r="AQ45" s="13">
        <f t="shared" ref="AQ45:AQ48" si="45">AM45+AO45</f>
        <v>3300000</v>
      </c>
      <c r="AR45" s="30"/>
      <c r="AS45" s="28">
        <v>300000</v>
      </c>
      <c r="AT45" s="17">
        <v>0</v>
      </c>
      <c r="AU45" s="13">
        <f t="shared" si="31"/>
        <v>3600000</v>
      </c>
      <c r="AV45" s="30"/>
    </row>
    <row r="46" spans="1:48" x14ac:dyDescent="0.25">
      <c r="A46" s="14">
        <v>511025</v>
      </c>
      <c r="B46" s="15" t="s">
        <v>169</v>
      </c>
      <c r="C46" s="17">
        <v>0</v>
      </c>
      <c r="D46" s="17">
        <v>0</v>
      </c>
      <c r="E46" s="17">
        <f t="shared" si="32"/>
        <v>0</v>
      </c>
      <c r="F46" s="19"/>
      <c r="G46" s="17">
        <v>0</v>
      </c>
      <c r="H46" s="17">
        <v>0</v>
      </c>
      <c r="I46" s="13">
        <f t="shared" si="24"/>
        <v>0</v>
      </c>
      <c r="J46" s="28">
        <v>0</v>
      </c>
      <c r="K46" s="17">
        <v>0</v>
      </c>
      <c r="L46" s="13">
        <f t="shared" si="33"/>
        <v>0</v>
      </c>
      <c r="M46" s="19"/>
      <c r="N46" s="16">
        <v>0</v>
      </c>
      <c r="O46" s="17">
        <v>0</v>
      </c>
      <c r="P46" s="13">
        <f t="shared" si="39"/>
        <v>0</v>
      </c>
      <c r="Q46" s="19"/>
      <c r="R46" s="18">
        <v>0</v>
      </c>
      <c r="S46" s="17">
        <v>0</v>
      </c>
      <c r="T46" s="17">
        <f t="shared" si="35"/>
        <v>0</v>
      </c>
      <c r="U46" s="30"/>
      <c r="V46" s="17">
        <v>0</v>
      </c>
      <c r="W46" s="17">
        <v>0</v>
      </c>
      <c r="X46" s="13">
        <f t="shared" si="40"/>
        <v>0</v>
      </c>
      <c r="Y46" s="28">
        <v>0</v>
      </c>
      <c r="Z46" s="17">
        <v>0</v>
      </c>
      <c r="AA46" s="29">
        <f t="shared" si="41"/>
        <v>0</v>
      </c>
      <c r="AB46" s="30"/>
      <c r="AC46" s="16">
        <v>0</v>
      </c>
      <c r="AD46" s="17">
        <v>0</v>
      </c>
      <c r="AE46" s="13">
        <f t="shared" si="42"/>
        <v>0</v>
      </c>
      <c r="AF46" s="30"/>
      <c r="AG46" s="129">
        <v>0</v>
      </c>
      <c r="AH46" s="17">
        <v>0</v>
      </c>
      <c r="AI46" s="13">
        <f t="shared" si="43"/>
        <v>0</v>
      </c>
      <c r="AJ46" s="30"/>
      <c r="AK46" s="16">
        <v>0</v>
      </c>
      <c r="AL46" s="17">
        <v>0</v>
      </c>
      <c r="AM46" s="13">
        <f t="shared" si="44"/>
        <v>0</v>
      </c>
      <c r="AN46" s="30"/>
      <c r="AO46" s="16">
        <v>0</v>
      </c>
      <c r="AP46" s="17">
        <v>0</v>
      </c>
      <c r="AQ46" s="13">
        <f t="shared" si="45"/>
        <v>0</v>
      </c>
      <c r="AR46" s="30"/>
      <c r="AS46" s="16">
        <v>0</v>
      </c>
      <c r="AT46" s="17">
        <v>0</v>
      </c>
      <c r="AU46" s="13">
        <f t="shared" si="31"/>
        <v>0</v>
      </c>
      <c r="AV46" s="30"/>
    </row>
    <row r="47" spans="1:48" x14ac:dyDescent="0.25">
      <c r="A47" s="14" t="s">
        <v>60</v>
      </c>
      <c r="B47" s="15" t="s">
        <v>61</v>
      </c>
      <c r="C47" s="17">
        <v>300000</v>
      </c>
      <c r="D47" s="17">
        <v>0</v>
      </c>
      <c r="E47" s="17">
        <f t="shared" si="32"/>
        <v>300000</v>
      </c>
      <c r="F47" s="19"/>
      <c r="G47" s="17">
        <v>300000</v>
      </c>
      <c r="H47" s="17">
        <v>0</v>
      </c>
      <c r="I47" s="13">
        <f t="shared" si="24"/>
        <v>600000</v>
      </c>
      <c r="J47" s="16">
        <v>300000</v>
      </c>
      <c r="K47" s="17">
        <v>0</v>
      </c>
      <c r="L47" s="13">
        <f t="shared" si="33"/>
        <v>900000</v>
      </c>
      <c r="M47" s="19"/>
      <c r="N47" s="16">
        <v>300000</v>
      </c>
      <c r="O47" s="17">
        <v>0</v>
      </c>
      <c r="P47" s="13">
        <f t="shared" si="39"/>
        <v>1200000</v>
      </c>
      <c r="Q47" s="19"/>
      <c r="R47" s="18">
        <v>300000</v>
      </c>
      <c r="S47" s="17">
        <v>0</v>
      </c>
      <c r="T47" s="17">
        <f t="shared" si="35"/>
        <v>1500000</v>
      </c>
      <c r="U47" s="30"/>
      <c r="V47" s="17">
        <v>300000</v>
      </c>
      <c r="W47" s="17">
        <v>0</v>
      </c>
      <c r="X47" s="13">
        <f t="shared" si="40"/>
        <v>1800000</v>
      </c>
      <c r="Y47" s="16">
        <v>300000</v>
      </c>
      <c r="Z47" s="17">
        <v>0</v>
      </c>
      <c r="AA47" s="29">
        <f t="shared" si="41"/>
        <v>2100000</v>
      </c>
      <c r="AB47" s="30"/>
      <c r="AC47" s="16">
        <v>300000</v>
      </c>
      <c r="AD47" s="17">
        <v>0</v>
      </c>
      <c r="AE47" s="13">
        <f t="shared" si="42"/>
        <v>2400000</v>
      </c>
      <c r="AF47" s="30"/>
      <c r="AG47" s="129">
        <v>300000</v>
      </c>
      <c r="AH47" s="17">
        <v>0</v>
      </c>
      <c r="AI47" s="13">
        <f t="shared" si="43"/>
        <v>2700000</v>
      </c>
      <c r="AJ47" s="30"/>
      <c r="AK47" s="16">
        <v>300000</v>
      </c>
      <c r="AL47" s="17">
        <v>0</v>
      </c>
      <c r="AM47" s="13">
        <f t="shared" si="44"/>
        <v>3000000</v>
      </c>
      <c r="AN47" s="30"/>
      <c r="AO47" s="16">
        <v>300000</v>
      </c>
      <c r="AP47" s="17">
        <v>0</v>
      </c>
      <c r="AQ47" s="13">
        <f t="shared" si="45"/>
        <v>3300000</v>
      </c>
      <c r="AR47" s="30"/>
      <c r="AS47" s="16">
        <v>300000</v>
      </c>
      <c r="AT47" s="17">
        <v>0</v>
      </c>
      <c r="AU47" s="13">
        <f t="shared" si="31"/>
        <v>3600000</v>
      </c>
      <c r="AV47" s="30"/>
    </row>
    <row r="48" spans="1:48" x14ac:dyDescent="0.25">
      <c r="A48" s="14">
        <v>511095</v>
      </c>
      <c r="B48" s="15" t="s">
        <v>317</v>
      </c>
      <c r="C48" s="17"/>
      <c r="D48" s="17"/>
      <c r="E48" s="17"/>
      <c r="F48" s="30"/>
      <c r="G48" s="17"/>
      <c r="H48" s="17"/>
      <c r="I48" s="13"/>
      <c r="J48" s="16"/>
      <c r="K48" s="17"/>
      <c r="L48" s="13"/>
      <c r="M48" s="30"/>
      <c r="N48" s="16"/>
      <c r="O48" s="17"/>
      <c r="P48" s="13"/>
      <c r="Q48" s="30"/>
      <c r="R48" s="18">
        <v>0</v>
      </c>
      <c r="S48" s="17"/>
      <c r="T48" s="17">
        <f t="shared" si="35"/>
        <v>0</v>
      </c>
      <c r="U48" s="30"/>
      <c r="V48" s="17"/>
      <c r="W48" s="17"/>
      <c r="X48" s="13">
        <f t="shared" si="40"/>
        <v>0</v>
      </c>
      <c r="Y48" s="16"/>
      <c r="Z48" s="17"/>
      <c r="AA48" s="29">
        <f t="shared" si="41"/>
        <v>0</v>
      </c>
      <c r="AB48" s="30"/>
      <c r="AC48" s="16"/>
      <c r="AD48" s="17"/>
      <c r="AE48" s="13">
        <f t="shared" si="42"/>
        <v>0</v>
      </c>
      <c r="AF48" s="30"/>
      <c r="AG48" s="129"/>
      <c r="AH48" s="17"/>
      <c r="AI48" s="13">
        <f t="shared" si="43"/>
        <v>0</v>
      </c>
      <c r="AJ48" s="30"/>
      <c r="AK48" s="16"/>
      <c r="AL48" s="17"/>
      <c r="AM48" s="13">
        <f t="shared" si="44"/>
        <v>0</v>
      </c>
      <c r="AN48" s="30"/>
      <c r="AO48" s="16"/>
      <c r="AP48" s="17"/>
      <c r="AQ48" s="13">
        <f t="shared" si="45"/>
        <v>0</v>
      </c>
      <c r="AR48" s="30"/>
      <c r="AS48" s="16"/>
      <c r="AT48" s="17"/>
      <c r="AU48" s="13">
        <f t="shared" si="31"/>
        <v>0</v>
      </c>
      <c r="AV48" s="30"/>
    </row>
    <row r="49" spans="1:48" x14ac:dyDescent="0.25">
      <c r="A49" s="14"/>
      <c r="B49" s="15"/>
      <c r="C49" s="17"/>
      <c r="D49" s="17"/>
      <c r="E49" s="17"/>
      <c r="F49" s="30"/>
      <c r="G49" s="17"/>
      <c r="H49" s="17"/>
      <c r="I49" s="13"/>
      <c r="J49" s="16"/>
      <c r="K49" s="17"/>
      <c r="L49" s="13"/>
      <c r="M49" s="30"/>
      <c r="N49" s="16"/>
      <c r="O49" s="17"/>
      <c r="P49" s="13"/>
      <c r="Q49" s="30"/>
      <c r="R49" s="18"/>
      <c r="S49" s="17"/>
      <c r="T49" s="17"/>
      <c r="U49" s="30"/>
      <c r="V49" s="17"/>
      <c r="W49" s="17"/>
      <c r="X49" s="13"/>
      <c r="Y49" s="16"/>
      <c r="Z49" s="17"/>
      <c r="AA49" s="29"/>
      <c r="AB49" s="30"/>
      <c r="AC49" s="16"/>
      <c r="AD49" s="17"/>
      <c r="AE49" s="13"/>
      <c r="AF49" s="30"/>
      <c r="AG49" s="129"/>
      <c r="AH49" s="17"/>
      <c r="AI49" s="13"/>
      <c r="AJ49" s="30"/>
      <c r="AK49" s="16"/>
      <c r="AL49" s="17"/>
      <c r="AM49" s="13"/>
      <c r="AN49" s="30"/>
      <c r="AO49" s="16"/>
      <c r="AP49" s="17"/>
      <c r="AQ49" s="13"/>
      <c r="AR49" s="30"/>
      <c r="AS49" s="16"/>
      <c r="AT49" s="17"/>
      <c r="AU49" s="13">
        <f t="shared" si="31"/>
        <v>0</v>
      </c>
      <c r="AV49" s="30"/>
    </row>
    <row r="50" spans="1:48" x14ac:dyDescent="0.25">
      <c r="A50" s="14" t="s">
        <v>62</v>
      </c>
      <c r="B50" s="15" t="s">
        <v>63</v>
      </c>
      <c r="C50" s="17">
        <f>+C51+C52+C53</f>
        <v>0</v>
      </c>
      <c r="D50" s="17">
        <v>0</v>
      </c>
      <c r="E50" s="17">
        <f t="shared" si="32"/>
        <v>0</v>
      </c>
      <c r="F50" s="19"/>
      <c r="G50" s="17">
        <f>G53</f>
        <v>0</v>
      </c>
      <c r="H50" s="17">
        <v>0</v>
      </c>
      <c r="I50" s="13">
        <f t="shared" si="24"/>
        <v>0</v>
      </c>
      <c r="J50" s="16">
        <f>+J52</f>
        <v>0</v>
      </c>
      <c r="K50" s="17">
        <v>0</v>
      </c>
      <c r="L50" s="13">
        <f t="shared" si="33"/>
        <v>0</v>
      </c>
      <c r="M50" s="19"/>
      <c r="N50" s="16">
        <f>+N54</f>
        <v>0</v>
      </c>
      <c r="O50" s="17">
        <v>0</v>
      </c>
      <c r="P50" s="13">
        <f t="shared" si="39"/>
        <v>0</v>
      </c>
      <c r="Q50" s="19"/>
      <c r="R50" s="18">
        <f>+R51+R52+R53+R54</f>
        <v>0</v>
      </c>
      <c r="S50" s="17">
        <v>0</v>
      </c>
      <c r="T50" s="17">
        <f>+P50+R50</f>
        <v>0</v>
      </c>
      <c r="U50" s="30"/>
      <c r="V50" s="17">
        <f>V53</f>
        <v>0</v>
      </c>
      <c r="W50" s="17">
        <v>0</v>
      </c>
      <c r="X50" s="13">
        <f t="shared" ref="X50:X54" si="46">T50+V50</f>
        <v>0</v>
      </c>
      <c r="Y50" s="16">
        <v>0</v>
      </c>
      <c r="Z50" s="17">
        <v>0</v>
      </c>
      <c r="AA50" s="29">
        <f t="shared" ref="AA50:AA54" si="47">X50+Y50</f>
        <v>0</v>
      </c>
      <c r="AB50" s="30"/>
      <c r="AC50" s="16">
        <f>+AC54</f>
        <v>0</v>
      </c>
      <c r="AD50" s="17">
        <v>0</v>
      </c>
      <c r="AE50" s="13">
        <f t="shared" ref="AE50:AE54" si="48">AA50+AC50</f>
        <v>0</v>
      </c>
      <c r="AF50" s="30"/>
      <c r="AG50" s="129">
        <f>+AG51+AG52+AG53+AG54</f>
        <v>59100</v>
      </c>
      <c r="AH50" s="17">
        <v>0</v>
      </c>
      <c r="AI50" s="13">
        <f t="shared" ref="AI50:AI54" si="49">AE50+AG50</f>
        <v>59100</v>
      </c>
      <c r="AJ50" s="30"/>
      <c r="AK50" s="16">
        <f>+AK54</f>
        <v>0</v>
      </c>
      <c r="AL50" s="17">
        <v>0</v>
      </c>
      <c r="AM50" s="13">
        <f t="shared" ref="AM50:AM54" si="50">AI50+AK50</f>
        <v>59100</v>
      </c>
      <c r="AN50" s="30"/>
      <c r="AO50" s="16">
        <f>+AO54</f>
        <v>0</v>
      </c>
      <c r="AP50" s="17">
        <v>0</v>
      </c>
      <c r="AQ50" s="13">
        <f t="shared" ref="AQ50:AQ54" si="51">AM50+AO50</f>
        <v>59100</v>
      </c>
      <c r="AR50" s="30"/>
      <c r="AS50" s="16">
        <f>+AS51</f>
        <v>436000</v>
      </c>
      <c r="AT50" s="17">
        <v>0</v>
      </c>
      <c r="AU50" s="13">
        <f>AQ50+AS50</f>
        <v>495100</v>
      </c>
      <c r="AV50" s="30"/>
    </row>
    <row r="51" spans="1:48" x14ac:dyDescent="0.25">
      <c r="A51" s="14" t="s">
        <v>162</v>
      </c>
      <c r="B51" s="15" t="s">
        <v>149</v>
      </c>
      <c r="C51" s="17">
        <v>0</v>
      </c>
      <c r="D51" s="17">
        <v>0</v>
      </c>
      <c r="E51" s="17">
        <f t="shared" si="32"/>
        <v>0</v>
      </c>
      <c r="F51" s="19"/>
      <c r="G51" s="17">
        <v>0</v>
      </c>
      <c r="H51" s="17">
        <v>0</v>
      </c>
      <c r="I51" s="13">
        <f t="shared" si="24"/>
        <v>0</v>
      </c>
      <c r="J51" s="16">
        <v>0</v>
      </c>
      <c r="K51" s="17">
        <v>0</v>
      </c>
      <c r="L51" s="13">
        <f t="shared" si="33"/>
        <v>0</v>
      </c>
      <c r="M51" s="19"/>
      <c r="N51" s="16">
        <v>0</v>
      </c>
      <c r="O51" s="17">
        <v>0</v>
      </c>
      <c r="P51" s="13">
        <f t="shared" si="39"/>
        <v>0</v>
      </c>
      <c r="Q51" s="19"/>
      <c r="R51" s="18">
        <v>0</v>
      </c>
      <c r="S51" s="17">
        <v>0</v>
      </c>
      <c r="T51" s="17">
        <f t="shared" ref="T51:T54" si="52">+P51+R51</f>
        <v>0</v>
      </c>
      <c r="U51" s="30"/>
      <c r="V51" s="17">
        <v>0</v>
      </c>
      <c r="W51" s="17">
        <v>0</v>
      </c>
      <c r="X51" s="13">
        <f t="shared" si="46"/>
        <v>0</v>
      </c>
      <c r="Y51" s="16">
        <v>0</v>
      </c>
      <c r="Z51" s="17">
        <v>0</v>
      </c>
      <c r="AA51" s="29">
        <f t="shared" si="47"/>
        <v>0</v>
      </c>
      <c r="AB51" s="30"/>
      <c r="AC51" s="16">
        <v>0</v>
      </c>
      <c r="AD51" s="17">
        <v>0</v>
      </c>
      <c r="AE51" s="13">
        <f t="shared" si="48"/>
        <v>0</v>
      </c>
      <c r="AF51" s="30"/>
      <c r="AG51" s="129">
        <v>0</v>
      </c>
      <c r="AH51" s="17">
        <v>0</v>
      </c>
      <c r="AI51" s="13">
        <f t="shared" si="49"/>
        <v>0</v>
      </c>
      <c r="AJ51" s="30"/>
      <c r="AK51" s="16">
        <v>0</v>
      </c>
      <c r="AL51" s="17">
        <v>0</v>
      </c>
      <c r="AM51" s="13">
        <f t="shared" si="50"/>
        <v>0</v>
      </c>
      <c r="AN51" s="30"/>
      <c r="AO51" s="16">
        <v>0</v>
      </c>
      <c r="AP51" s="17">
        <v>0</v>
      </c>
      <c r="AQ51" s="13">
        <f t="shared" si="51"/>
        <v>0</v>
      </c>
      <c r="AR51" s="30"/>
      <c r="AS51" s="16">
        <v>436000</v>
      </c>
      <c r="AT51" s="17">
        <v>0</v>
      </c>
      <c r="AU51" s="13">
        <f t="shared" si="31"/>
        <v>436000</v>
      </c>
      <c r="AV51" s="30"/>
    </row>
    <row r="52" spans="1:48" x14ac:dyDescent="0.25">
      <c r="A52" s="14">
        <v>511515</v>
      </c>
      <c r="B52" s="15" t="s">
        <v>163</v>
      </c>
      <c r="C52" s="17">
        <v>0</v>
      </c>
      <c r="D52" s="17">
        <v>0</v>
      </c>
      <c r="E52" s="17">
        <f t="shared" si="32"/>
        <v>0</v>
      </c>
      <c r="F52" s="19"/>
      <c r="G52" s="17">
        <v>0</v>
      </c>
      <c r="H52" s="17">
        <v>0</v>
      </c>
      <c r="I52" s="13">
        <f t="shared" si="24"/>
        <v>0</v>
      </c>
      <c r="J52" s="16">
        <v>0</v>
      </c>
      <c r="K52" s="17">
        <v>0</v>
      </c>
      <c r="L52" s="13">
        <f t="shared" si="33"/>
        <v>0</v>
      </c>
      <c r="M52" s="19"/>
      <c r="N52" s="16">
        <v>0</v>
      </c>
      <c r="O52" s="17">
        <v>0</v>
      </c>
      <c r="P52" s="13">
        <f t="shared" si="39"/>
        <v>0</v>
      </c>
      <c r="Q52" s="19"/>
      <c r="R52" s="18">
        <v>0</v>
      </c>
      <c r="S52" s="17">
        <v>0</v>
      </c>
      <c r="T52" s="17">
        <f t="shared" si="52"/>
        <v>0</v>
      </c>
      <c r="U52" s="30"/>
      <c r="V52" s="17">
        <v>0</v>
      </c>
      <c r="W52" s="17">
        <v>0</v>
      </c>
      <c r="X52" s="13">
        <f t="shared" si="46"/>
        <v>0</v>
      </c>
      <c r="Y52" s="16">
        <v>0</v>
      </c>
      <c r="Z52" s="17">
        <v>0</v>
      </c>
      <c r="AA52" s="29">
        <f t="shared" si="47"/>
        <v>0</v>
      </c>
      <c r="AB52" s="30"/>
      <c r="AC52" s="16">
        <v>0</v>
      </c>
      <c r="AD52" s="17">
        <v>0</v>
      </c>
      <c r="AE52" s="13">
        <f t="shared" si="48"/>
        <v>0</v>
      </c>
      <c r="AF52" s="30"/>
      <c r="AG52" s="129">
        <v>0</v>
      </c>
      <c r="AH52" s="17">
        <v>0</v>
      </c>
      <c r="AI52" s="13">
        <f t="shared" si="49"/>
        <v>0</v>
      </c>
      <c r="AJ52" s="30"/>
      <c r="AK52" s="16">
        <v>0</v>
      </c>
      <c r="AL52" s="17">
        <v>0</v>
      </c>
      <c r="AM52" s="13">
        <f t="shared" si="50"/>
        <v>0</v>
      </c>
      <c r="AN52" s="30"/>
      <c r="AO52" s="16">
        <v>0</v>
      </c>
      <c r="AP52" s="17">
        <v>0</v>
      </c>
      <c r="AQ52" s="13">
        <f t="shared" si="51"/>
        <v>0</v>
      </c>
      <c r="AR52" s="30"/>
      <c r="AS52" s="16">
        <v>0</v>
      </c>
      <c r="AT52" s="17">
        <v>0</v>
      </c>
      <c r="AU52" s="13">
        <f t="shared" si="31"/>
        <v>0</v>
      </c>
      <c r="AV52" s="30"/>
    </row>
    <row r="53" spans="1:48" x14ac:dyDescent="0.25">
      <c r="A53" s="14" t="s">
        <v>64</v>
      </c>
      <c r="B53" s="15" t="s">
        <v>65</v>
      </c>
      <c r="C53" s="17">
        <v>0</v>
      </c>
      <c r="D53" s="17">
        <v>0</v>
      </c>
      <c r="E53" s="17">
        <f t="shared" si="32"/>
        <v>0</v>
      </c>
      <c r="F53" s="19"/>
      <c r="G53" s="17">
        <v>0</v>
      </c>
      <c r="H53" s="17">
        <v>0</v>
      </c>
      <c r="I53" s="13">
        <f t="shared" si="24"/>
        <v>0</v>
      </c>
      <c r="J53" s="16"/>
      <c r="K53" s="17">
        <v>0</v>
      </c>
      <c r="L53" s="13">
        <f t="shared" si="33"/>
        <v>0</v>
      </c>
      <c r="M53" s="19"/>
      <c r="N53" s="16">
        <v>0</v>
      </c>
      <c r="O53" s="17">
        <v>0</v>
      </c>
      <c r="P53" s="13">
        <f t="shared" si="39"/>
        <v>0</v>
      </c>
      <c r="Q53" s="19"/>
      <c r="R53" s="18">
        <v>0</v>
      </c>
      <c r="S53" s="17">
        <v>0</v>
      </c>
      <c r="T53" s="17">
        <f t="shared" si="52"/>
        <v>0</v>
      </c>
      <c r="U53" s="30"/>
      <c r="V53" s="17">
        <v>0</v>
      </c>
      <c r="W53" s="17">
        <v>0</v>
      </c>
      <c r="X53" s="13">
        <f t="shared" si="46"/>
        <v>0</v>
      </c>
      <c r="Y53" s="16">
        <v>0</v>
      </c>
      <c r="Z53" s="17">
        <v>0</v>
      </c>
      <c r="AA53" s="29">
        <f t="shared" si="47"/>
        <v>0</v>
      </c>
      <c r="AB53" s="30"/>
      <c r="AC53" s="16">
        <v>0</v>
      </c>
      <c r="AD53" s="17">
        <v>0</v>
      </c>
      <c r="AE53" s="13">
        <f t="shared" si="48"/>
        <v>0</v>
      </c>
      <c r="AF53" s="30"/>
      <c r="AG53" s="129">
        <v>59100</v>
      </c>
      <c r="AH53" s="17">
        <v>0</v>
      </c>
      <c r="AI53" s="13">
        <f t="shared" si="49"/>
        <v>59100</v>
      </c>
      <c r="AJ53" s="30"/>
      <c r="AK53" s="16">
        <v>0</v>
      </c>
      <c r="AL53" s="17">
        <v>0</v>
      </c>
      <c r="AM53" s="13">
        <f t="shared" si="50"/>
        <v>59100</v>
      </c>
      <c r="AN53" s="30"/>
      <c r="AO53" s="16">
        <v>0</v>
      </c>
      <c r="AP53" s="17">
        <v>0</v>
      </c>
      <c r="AQ53" s="13">
        <f t="shared" si="51"/>
        <v>59100</v>
      </c>
      <c r="AR53" s="30"/>
      <c r="AS53" s="16">
        <v>0</v>
      </c>
      <c r="AT53" s="17">
        <v>0</v>
      </c>
      <c r="AU53" s="13">
        <f t="shared" si="31"/>
        <v>59100</v>
      </c>
      <c r="AV53" s="30"/>
    </row>
    <row r="54" spans="1:48" x14ac:dyDescent="0.25">
      <c r="A54" s="14">
        <v>511595</v>
      </c>
      <c r="B54" s="15" t="s">
        <v>73</v>
      </c>
      <c r="C54" s="17">
        <v>0</v>
      </c>
      <c r="D54" s="17"/>
      <c r="E54" s="17">
        <f t="shared" si="32"/>
        <v>0</v>
      </c>
      <c r="F54" s="19"/>
      <c r="G54" s="17"/>
      <c r="H54" s="17"/>
      <c r="I54" s="13">
        <f t="shared" si="24"/>
        <v>0</v>
      </c>
      <c r="J54" s="16"/>
      <c r="K54" s="17"/>
      <c r="L54" s="13">
        <f t="shared" si="33"/>
        <v>0</v>
      </c>
      <c r="M54" s="19"/>
      <c r="N54" s="16">
        <v>0</v>
      </c>
      <c r="O54" s="17"/>
      <c r="P54" s="13">
        <f t="shared" si="39"/>
        <v>0</v>
      </c>
      <c r="Q54" s="19"/>
      <c r="R54" s="18">
        <v>0</v>
      </c>
      <c r="S54" s="17"/>
      <c r="T54" s="17">
        <f t="shared" si="52"/>
        <v>0</v>
      </c>
      <c r="U54" s="30"/>
      <c r="V54" s="17"/>
      <c r="W54" s="17"/>
      <c r="X54" s="13">
        <f t="shared" si="46"/>
        <v>0</v>
      </c>
      <c r="Y54" s="16"/>
      <c r="Z54" s="17"/>
      <c r="AA54" s="29">
        <f t="shared" si="47"/>
        <v>0</v>
      </c>
      <c r="AB54" s="30"/>
      <c r="AC54" s="16">
        <v>0</v>
      </c>
      <c r="AD54" s="17"/>
      <c r="AE54" s="13">
        <f t="shared" si="48"/>
        <v>0</v>
      </c>
      <c r="AF54" s="30"/>
      <c r="AG54" s="129">
        <v>0</v>
      </c>
      <c r="AH54" s="17"/>
      <c r="AI54" s="13">
        <f t="shared" si="49"/>
        <v>0</v>
      </c>
      <c r="AJ54" s="30"/>
      <c r="AK54" s="16">
        <v>0</v>
      </c>
      <c r="AL54" s="17"/>
      <c r="AM54" s="13">
        <f t="shared" si="50"/>
        <v>0</v>
      </c>
      <c r="AN54" s="30"/>
      <c r="AO54" s="16">
        <v>0</v>
      </c>
      <c r="AP54" s="17"/>
      <c r="AQ54" s="13">
        <f t="shared" si="51"/>
        <v>0</v>
      </c>
      <c r="AR54" s="30"/>
      <c r="AS54" s="16">
        <v>0</v>
      </c>
      <c r="AT54" s="17"/>
      <c r="AU54" s="13">
        <f t="shared" si="31"/>
        <v>0</v>
      </c>
      <c r="AV54" s="30"/>
    </row>
    <row r="55" spans="1:48" x14ac:dyDescent="0.25">
      <c r="A55" s="14"/>
      <c r="B55" s="15"/>
      <c r="C55" s="17"/>
      <c r="D55" s="17"/>
      <c r="E55" s="17"/>
      <c r="F55" s="30"/>
      <c r="G55" s="17"/>
      <c r="H55" s="17"/>
      <c r="I55" s="13"/>
      <c r="J55" s="16"/>
      <c r="K55" s="17"/>
      <c r="L55" s="13"/>
      <c r="M55" s="30"/>
      <c r="N55" s="16"/>
      <c r="O55" s="17"/>
      <c r="P55" s="13"/>
      <c r="Q55" s="30"/>
      <c r="R55" s="18"/>
      <c r="S55" s="17"/>
      <c r="T55" s="17"/>
      <c r="U55" s="30"/>
      <c r="V55" s="17"/>
      <c r="W55" s="17"/>
      <c r="X55" s="13"/>
      <c r="Y55" s="16"/>
      <c r="Z55" s="17"/>
      <c r="AA55" s="29"/>
      <c r="AB55" s="30"/>
      <c r="AC55" s="16"/>
      <c r="AD55" s="17"/>
      <c r="AE55" s="13"/>
      <c r="AF55" s="30"/>
      <c r="AG55" s="129"/>
      <c r="AH55" s="17"/>
      <c r="AI55" s="13"/>
      <c r="AJ55" s="30"/>
      <c r="AK55" s="16"/>
      <c r="AL55" s="17"/>
      <c r="AM55" s="13"/>
      <c r="AN55" s="30"/>
      <c r="AO55" s="16"/>
      <c r="AP55" s="17"/>
      <c r="AQ55" s="13"/>
      <c r="AR55" s="30"/>
      <c r="AS55" s="16"/>
      <c r="AT55" s="17"/>
      <c r="AU55" s="13">
        <f t="shared" si="31"/>
        <v>0</v>
      </c>
      <c r="AV55" s="30"/>
    </row>
    <row r="56" spans="1:48" x14ac:dyDescent="0.25">
      <c r="A56" s="14" t="s">
        <v>66</v>
      </c>
      <c r="B56" s="15" t="s">
        <v>67</v>
      </c>
      <c r="C56" s="17">
        <f>+C57</f>
        <v>1000000</v>
      </c>
      <c r="D56" s="17">
        <v>0</v>
      </c>
      <c r="E56" s="17">
        <f t="shared" si="32"/>
        <v>1000000</v>
      </c>
      <c r="F56" s="19"/>
      <c r="G56" s="17">
        <f>+G57+G58</f>
        <v>1000000</v>
      </c>
      <c r="H56" s="17">
        <v>0</v>
      </c>
      <c r="I56" s="13">
        <f t="shared" si="24"/>
        <v>2000000</v>
      </c>
      <c r="J56" s="16">
        <f>+J57+J61</f>
        <v>1000000</v>
      </c>
      <c r="K56" s="17">
        <v>0</v>
      </c>
      <c r="L56" s="13">
        <f t="shared" si="33"/>
        <v>3000000</v>
      </c>
      <c r="M56" s="19"/>
      <c r="N56" s="16">
        <f>N57+N58</f>
        <v>1000000</v>
      </c>
      <c r="O56" s="17">
        <v>0</v>
      </c>
      <c r="P56" s="13">
        <f t="shared" si="39"/>
        <v>4000000</v>
      </c>
      <c r="Q56" s="19"/>
      <c r="R56" s="18">
        <f>+R57+R58</f>
        <v>1000000</v>
      </c>
      <c r="S56" s="17">
        <v>0</v>
      </c>
      <c r="T56" s="17">
        <f>+P56+R56</f>
        <v>5000000</v>
      </c>
      <c r="U56" s="30"/>
      <c r="V56" s="17">
        <f>V57</f>
        <v>1000000</v>
      </c>
      <c r="W56" s="17">
        <v>0</v>
      </c>
      <c r="X56" s="13">
        <f t="shared" ref="X56:X58" si="53">T56+V56</f>
        <v>6000000</v>
      </c>
      <c r="Y56" s="16">
        <f>+Y57+Y58</f>
        <v>1000000</v>
      </c>
      <c r="Z56" s="17">
        <v>0</v>
      </c>
      <c r="AA56" s="29">
        <f t="shared" ref="AA56:AA61" si="54">X56+Y56</f>
        <v>7000000</v>
      </c>
      <c r="AB56" s="30"/>
      <c r="AC56" s="16">
        <f>AC57+AC58</f>
        <v>1000000</v>
      </c>
      <c r="AD56" s="17">
        <v>0</v>
      </c>
      <c r="AE56" s="13">
        <f t="shared" ref="AE56:AE58" si="55">AA56+AC56</f>
        <v>8000000</v>
      </c>
      <c r="AF56" s="30"/>
      <c r="AG56" s="129">
        <f>AG57+AG58</f>
        <v>1000000</v>
      </c>
      <c r="AH56" s="17">
        <v>0</v>
      </c>
      <c r="AI56" s="13">
        <f t="shared" ref="AI56:AI58" si="56">AE56+AG56</f>
        <v>9000000</v>
      </c>
      <c r="AJ56" s="30"/>
      <c r="AK56" s="16">
        <f>AK57+AK58</f>
        <v>2116500</v>
      </c>
      <c r="AL56" s="17">
        <v>0</v>
      </c>
      <c r="AM56" s="13">
        <f t="shared" ref="AM56:AM58" si="57">AI56+AK56</f>
        <v>11116500</v>
      </c>
      <c r="AN56" s="30"/>
      <c r="AO56" s="16">
        <f>AO57+AO58</f>
        <v>1033300</v>
      </c>
      <c r="AP56" s="17">
        <v>0</v>
      </c>
      <c r="AQ56" s="13">
        <f t="shared" ref="AQ56:AQ58" si="58">AM56+AO56</f>
        <v>12149800</v>
      </c>
      <c r="AR56" s="30"/>
      <c r="AS56" s="16">
        <f>AS57+AS58</f>
        <v>1134520</v>
      </c>
      <c r="AT56" s="17">
        <v>0</v>
      </c>
      <c r="AU56" s="13">
        <f t="shared" si="31"/>
        <v>13284320</v>
      </c>
      <c r="AV56" s="30"/>
    </row>
    <row r="57" spans="1:48" ht="15.75" customHeight="1" x14ac:dyDescent="0.25">
      <c r="A57" s="14" t="s">
        <v>68</v>
      </c>
      <c r="B57" s="15" t="s">
        <v>69</v>
      </c>
      <c r="C57" s="17">
        <v>1000000</v>
      </c>
      <c r="D57" s="17">
        <v>0</v>
      </c>
      <c r="E57" s="17">
        <f t="shared" si="32"/>
        <v>1000000</v>
      </c>
      <c r="F57" s="19"/>
      <c r="G57" s="17">
        <v>1000000</v>
      </c>
      <c r="H57" s="17">
        <v>0</v>
      </c>
      <c r="I57" s="13">
        <f t="shared" si="24"/>
        <v>2000000</v>
      </c>
      <c r="J57" s="28">
        <v>1000000</v>
      </c>
      <c r="K57" s="17">
        <v>0</v>
      </c>
      <c r="L57" s="13">
        <f t="shared" si="33"/>
        <v>3000000</v>
      </c>
      <c r="M57" s="19"/>
      <c r="N57" s="16">
        <v>1000000</v>
      </c>
      <c r="O57" s="17">
        <v>0</v>
      </c>
      <c r="P57" s="13">
        <f t="shared" si="39"/>
        <v>4000000</v>
      </c>
      <c r="Q57" s="19"/>
      <c r="R57" s="18">
        <v>1000000</v>
      </c>
      <c r="S57" s="17">
        <v>0</v>
      </c>
      <c r="T57" s="17">
        <f>+P57+R57</f>
        <v>5000000</v>
      </c>
      <c r="U57" s="30"/>
      <c r="V57" s="17">
        <v>1000000</v>
      </c>
      <c r="W57" s="17">
        <v>0</v>
      </c>
      <c r="X57" s="13">
        <f t="shared" si="53"/>
        <v>6000000</v>
      </c>
      <c r="Y57" s="28">
        <v>1000000</v>
      </c>
      <c r="Z57" s="17">
        <v>0</v>
      </c>
      <c r="AA57" s="29">
        <f t="shared" si="54"/>
        <v>7000000</v>
      </c>
      <c r="AB57" s="30"/>
      <c r="AC57" s="16">
        <v>1000000</v>
      </c>
      <c r="AD57" s="17">
        <v>0</v>
      </c>
      <c r="AE57" s="13">
        <f t="shared" si="55"/>
        <v>8000000</v>
      </c>
      <c r="AF57" s="30"/>
      <c r="AG57" s="129">
        <v>1000000</v>
      </c>
      <c r="AH57" s="17">
        <v>0</v>
      </c>
      <c r="AI57" s="13">
        <f t="shared" si="56"/>
        <v>9000000</v>
      </c>
      <c r="AJ57" s="30"/>
      <c r="AK57" s="16">
        <v>1000000</v>
      </c>
      <c r="AL57" s="17">
        <v>0</v>
      </c>
      <c r="AM57" s="13">
        <f t="shared" si="57"/>
        <v>10000000</v>
      </c>
      <c r="AN57" s="30"/>
      <c r="AO57" s="16">
        <v>1000000</v>
      </c>
      <c r="AP57" s="17">
        <v>0</v>
      </c>
      <c r="AQ57" s="13">
        <f t="shared" si="58"/>
        <v>11000000</v>
      </c>
      <c r="AR57" s="30"/>
      <c r="AS57" s="16">
        <v>1000000</v>
      </c>
      <c r="AT57" s="17">
        <v>0</v>
      </c>
      <c r="AU57" s="13">
        <f t="shared" si="31"/>
        <v>12000000</v>
      </c>
      <c r="AV57" s="30"/>
    </row>
    <row r="58" spans="1:48" ht="15.75" customHeight="1" x14ac:dyDescent="0.25">
      <c r="A58" s="14">
        <v>512015</v>
      </c>
      <c r="B58" s="15" t="s">
        <v>175</v>
      </c>
      <c r="C58" s="17">
        <v>0</v>
      </c>
      <c r="D58" s="17">
        <v>0</v>
      </c>
      <c r="E58" s="17">
        <f t="shared" si="32"/>
        <v>0</v>
      </c>
      <c r="F58" s="30"/>
      <c r="G58" s="17">
        <v>0</v>
      </c>
      <c r="H58" s="17"/>
      <c r="I58" s="13">
        <f t="shared" si="24"/>
        <v>0</v>
      </c>
      <c r="J58" s="28">
        <v>0</v>
      </c>
      <c r="K58" s="17">
        <v>0</v>
      </c>
      <c r="L58" s="13">
        <f t="shared" si="33"/>
        <v>0</v>
      </c>
      <c r="M58" s="30"/>
      <c r="N58" s="16">
        <v>0</v>
      </c>
      <c r="O58" s="17"/>
      <c r="P58" s="13">
        <f t="shared" si="39"/>
        <v>0</v>
      </c>
      <c r="Q58" s="30"/>
      <c r="R58" s="18"/>
      <c r="S58" s="17">
        <v>0</v>
      </c>
      <c r="T58" s="17">
        <f>+P58+R58</f>
        <v>0</v>
      </c>
      <c r="U58" s="30"/>
      <c r="V58" s="17">
        <v>0</v>
      </c>
      <c r="W58" s="17"/>
      <c r="X58" s="13">
        <f t="shared" si="53"/>
        <v>0</v>
      </c>
      <c r="Y58" s="28">
        <v>0</v>
      </c>
      <c r="Z58" s="17">
        <v>0</v>
      </c>
      <c r="AA58" s="29">
        <f t="shared" si="54"/>
        <v>0</v>
      </c>
      <c r="AB58" s="30"/>
      <c r="AC58" s="16">
        <v>0</v>
      </c>
      <c r="AD58" s="17"/>
      <c r="AE58" s="13">
        <f t="shared" si="55"/>
        <v>0</v>
      </c>
      <c r="AF58" s="30"/>
      <c r="AG58" s="129">
        <v>0</v>
      </c>
      <c r="AH58" s="17"/>
      <c r="AI58" s="13">
        <f t="shared" si="56"/>
        <v>0</v>
      </c>
      <c r="AJ58" s="30"/>
      <c r="AK58" s="16">
        <v>1116500</v>
      </c>
      <c r="AL58" s="17"/>
      <c r="AM58" s="13">
        <f t="shared" si="57"/>
        <v>1116500</v>
      </c>
      <c r="AN58" s="30"/>
      <c r="AO58" s="16">
        <v>33300</v>
      </c>
      <c r="AP58" s="17"/>
      <c r="AQ58" s="13">
        <f t="shared" si="58"/>
        <v>1149800</v>
      </c>
      <c r="AR58" s="30"/>
      <c r="AS58" s="16">
        <v>134520</v>
      </c>
      <c r="AT58" s="17"/>
      <c r="AU58" s="13">
        <f t="shared" si="31"/>
        <v>1284320</v>
      </c>
      <c r="AV58" s="30"/>
    </row>
    <row r="59" spans="1:48" ht="15.75" customHeight="1" x14ac:dyDescent="0.25">
      <c r="A59" s="14"/>
      <c r="B59" s="15"/>
      <c r="C59" s="17"/>
      <c r="D59" s="17"/>
      <c r="E59" s="17"/>
      <c r="F59" s="30"/>
      <c r="G59" s="17"/>
      <c r="H59" s="17"/>
      <c r="I59" s="13"/>
      <c r="J59" s="28"/>
      <c r="K59" s="17"/>
      <c r="L59" s="13">
        <f t="shared" si="33"/>
        <v>0</v>
      </c>
      <c r="M59" s="30"/>
      <c r="N59" s="16"/>
      <c r="O59" s="17"/>
      <c r="P59" s="13"/>
      <c r="Q59" s="30"/>
      <c r="R59" s="18"/>
      <c r="S59" s="17"/>
      <c r="T59" s="17"/>
      <c r="U59" s="30"/>
      <c r="V59" s="17"/>
      <c r="W59" s="17"/>
      <c r="X59" s="13"/>
      <c r="Y59" s="28"/>
      <c r="Z59" s="17"/>
      <c r="AA59" s="29">
        <f t="shared" si="54"/>
        <v>0</v>
      </c>
      <c r="AB59" s="30"/>
      <c r="AC59" s="16"/>
      <c r="AD59" s="17"/>
      <c r="AE59" s="13"/>
      <c r="AF59" s="30"/>
      <c r="AG59" s="129"/>
      <c r="AH59" s="17"/>
      <c r="AI59" s="13"/>
      <c r="AJ59" s="30"/>
      <c r="AK59" s="16"/>
      <c r="AL59" s="17"/>
      <c r="AM59" s="13"/>
      <c r="AN59" s="30"/>
      <c r="AO59" s="16"/>
      <c r="AP59" s="17"/>
      <c r="AQ59" s="13"/>
      <c r="AR59" s="30"/>
      <c r="AS59" s="16"/>
      <c r="AT59" s="17"/>
      <c r="AU59" s="13">
        <f t="shared" si="31"/>
        <v>0</v>
      </c>
      <c r="AV59" s="30"/>
    </row>
    <row r="60" spans="1:48" ht="15.75" customHeight="1" x14ac:dyDescent="0.25">
      <c r="A60" s="14">
        <v>5125</v>
      </c>
      <c r="B60" s="15" t="s">
        <v>172</v>
      </c>
      <c r="C60" s="17">
        <f>+C61</f>
        <v>130000</v>
      </c>
      <c r="D60" s="17"/>
      <c r="E60" s="17">
        <f>+E61</f>
        <v>130000</v>
      </c>
      <c r="F60" s="30"/>
      <c r="G60" s="17">
        <v>0</v>
      </c>
      <c r="H60" s="17"/>
      <c r="I60" s="13">
        <f t="shared" si="24"/>
        <v>130000</v>
      </c>
      <c r="J60" s="28">
        <f>+J61</f>
        <v>0</v>
      </c>
      <c r="K60" s="17"/>
      <c r="L60" s="13">
        <f t="shared" si="33"/>
        <v>130000</v>
      </c>
      <c r="M60" s="30"/>
      <c r="N60" s="16">
        <v>0</v>
      </c>
      <c r="O60" s="17"/>
      <c r="P60" s="13">
        <f t="shared" si="39"/>
        <v>130000</v>
      </c>
      <c r="Q60" s="30"/>
      <c r="R60" s="18">
        <f>+R61</f>
        <v>0</v>
      </c>
      <c r="S60" s="17"/>
      <c r="T60" s="17">
        <f>+P60+R60</f>
        <v>130000</v>
      </c>
      <c r="U60" s="30"/>
      <c r="V60" s="17"/>
      <c r="W60" s="17"/>
      <c r="X60" s="13">
        <f t="shared" ref="X60:X61" si="59">T60+V60</f>
        <v>130000</v>
      </c>
      <c r="Y60" s="28">
        <f>+Y61</f>
        <v>0</v>
      </c>
      <c r="Z60" s="17"/>
      <c r="AA60" s="29">
        <f t="shared" si="54"/>
        <v>130000</v>
      </c>
      <c r="AB60" s="30"/>
      <c r="AC60" s="16">
        <v>0</v>
      </c>
      <c r="AD60" s="17"/>
      <c r="AE60" s="13">
        <f t="shared" ref="AE60:AE61" si="60">AA60+AC60</f>
        <v>130000</v>
      </c>
      <c r="AF60" s="30"/>
      <c r="AG60" s="129">
        <v>0</v>
      </c>
      <c r="AH60" s="17"/>
      <c r="AI60" s="13">
        <f t="shared" ref="AI60:AI61" si="61">AE60+AG60</f>
        <v>130000</v>
      </c>
      <c r="AJ60" s="30"/>
      <c r="AK60" s="16">
        <v>0</v>
      </c>
      <c r="AL60" s="17"/>
      <c r="AM60" s="13">
        <f t="shared" ref="AM60:AM61" si="62">AI60+AK60</f>
        <v>130000</v>
      </c>
      <c r="AN60" s="30"/>
      <c r="AO60" s="16">
        <v>0</v>
      </c>
      <c r="AP60" s="17"/>
      <c r="AQ60" s="13">
        <f t="shared" ref="AQ60:AQ61" si="63">AM60+AO60</f>
        <v>130000</v>
      </c>
      <c r="AR60" s="30"/>
      <c r="AS60" s="16">
        <v>0</v>
      </c>
      <c r="AT60" s="17"/>
      <c r="AU60" s="13">
        <f t="shared" si="31"/>
        <v>130000</v>
      </c>
      <c r="AV60" s="30"/>
    </row>
    <row r="61" spans="1:48" x14ac:dyDescent="0.25">
      <c r="A61" s="14">
        <v>512510</v>
      </c>
      <c r="B61" s="15" t="s">
        <v>171</v>
      </c>
      <c r="C61" s="17">
        <v>130000</v>
      </c>
      <c r="D61" s="17">
        <v>0</v>
      </c>
      <c r="E61" s="17">
        <f>+C61</f>
        <v>130000</v>
      </c>
      <c r="F61" s="19"/>
      <c r="G61" s="17">
        <v>0</v>
      </c>
      <c r="H61" s="17"/>
      <c r="I61" s="13">
        <f t="shared" si="24"/>
        <v>130000</v>
      </c>
      <c r="J61" s="16">
        <v>0</v>
      </c>
      <c r="K61" s="17"/>
      <c r="L61" s="13">
        <f t="shared" si="33"/>
        <v>130000</v>
      </c>
      <c r="M61" s="19"/>
      <c r="N61" s="16">
        <v>0</v>
      </c>
      <c r="O61" s="17"/>
      <c r="P61" s="13">
        <f t="shared" si="39"/>
        <v>130000</v>
      </c>
      <c r="Q61" s="19"/>
      <c r="R61" s="18">
        <v>0</v>
      </c>
      <c r="S61" s="17">
        <v>0</v>
      </c>
      <c r="T61" s="17">
        <f>+P61+R61</f>
        <v>130000</v>
      </c>
      <c r="U61" s="30"/>
      <c r="V61" s="17"/>
      <c r="W61" s="17"/>
      <c r="X61" s="13">
        <f t="shared" si="59"/>
        <v>130000</v>
      </c>
      <c r="Y61" s="16">
        <v>0</v>
      </c>
      <c r="Z61" s="17"/>
      <c r="AA61" s="29">
        <f t="shared" si="54"/>
        <v>130000</v>
      </c>
      <c r="AB61" s="30"/>
      <c r="AC61" s="16">
        <v>0</v>
      </c>
      <c r="AD61" s="17"/>
      <c r="AE61" s="13">
        <f t="shared" si="60"/>
        <v>130000</v>
      </c>
      <c r="AF61" s="30"/>
      <c r="AG61" s="129">
        <v>0</v>
      </c>
      <c r="AH61" s="17"/>
      <c r="AI61" s="13">
        <f t="shared" si="61"/>
        <v>130000</v>
      </c>
      <c r="AJ61" s="30"/>
      <c r="AK61" s="16">
        <v>0</v>
      </c>
      <c r="AL61" s="17"/>
      <c r="AM61" s="13">
        <f t="shared" si="62"/>
        <v>130000</v>
      </c>
      <c r="AN61" s="30"/>
      <c r="AO61" s="16">
        <v>0</v>
      </c>
      <c r="AP61" s="17"/>
      <c r="AQ61" s="13">
        <f t="shared" si="63"/>
        <v>130000</v>
      </c>
      <c r="AR61" s="30"/>
      <c r="AS61" s="16">
        <v>0</v>
      </c>
      <c r="AT61" s="17"/>
      <c r="AU61" s="13">
        <f t="shared" si="31"/>
        <v>130000</v>
      </c>
      <c r="AV61" s="30"/>
    </row>
    <row r="62" spans="1:48" x14ac:dyDescent="0.25">
      <c r="A62" s="14"/>
      <c r="B62" s="15"/>
      <c r="C62" s="17"/>
      <c r="D62" s="17"/>
      <c r="E62" s="17"/>
      <c r="F62" s="30"/>
      <c r="G62" s="17"/>
      <c r="H62" s="17"/>
      <c r="I62" s="13"/>
      <c r="J62" s="16"/>
      <c r="K62" s="17"/>
      <c r="L62" s="13"/>
      <c r="M62" s="30"/>
      <c r="N62" s="16"/>
      <c r="O62" s="17"/>
      <c r="P62" s="13"/>
      <c r="Q62" s="30"/>
      <c r="R62" s="18"/>
      <c r="S62" s="17"/>
      <c r="T62" s="17"/>
      <c r="U62" s="30"/>
      <c r="V62" s="17"/>
      <c r="W62" s="17"/>
      <c r="X62" s="13"/>
      <c r="Y62" s="16"/>
      <c r="Z62" s="17"/>
      <c r="AA62" s="29"/>
      <c r="AB62" s="30"/>
      <c r="AC62" s="16"/>
      <c r="AD62" s="17"/>
      <c r="AE62" s="13"/>
      <c r="AF62" s="30"/>
      <c r="AG62" s="129"/>
      <c r="AH62" s="17"/>
      <c r="AI62" s="13"/>
      <c r="AJ62" s="30"/>
      <c r="AK62" s="16"/>
      <c r="AL62" s="17"/>
      <c r="AM62" s="13"/>
      <c r="AN62" s="30"/>
      <c r="AO62" s="16"/>
      <c r="AP62" s="17"/>
      <c r="AQ62" s="13"/>
      <c r="AR62" s="30"/>
      <c r="AS62" s="16"/>
      <c r="AT62" s="17"/>
      <c r="AU62" s="13">
        <f t="shared" si="31"/>
        <v>0</v>
      </c>
      <c r="AV62" s="30"/>
    </row>
    <row r="63" spans="1:48" x14ac:dyDescent="0.25">
      <c r="A63" s="14" t="s">
        <v>70</v>
      </c>
      <c r="B63" s="15" t="s">
        <v>71</v>
      </c>
      <c r="C63" s="17">
        <f>+C64</f>
        <v>636650</v>
      </c>
      <c r="D63" s="17">
        <v>0</v>
      </c>
      <c r="E63" s="17">
        <f t="shared" ref="E63:E142" si="64">+C63</f>
        <v>636650</v>
      </c>
      <c r="F63" s="19"/>
      <c r="G63" s="17">
        <f>G64</f>
        <v>0</v>
      </c>
      <c r="H63" s="17">
        <v>0</v>
      </c>
      <c r="I63" s="13">
        <f t="shared" si="24"/>
        <v>636650</v>
      </c>
      <c r="J63" s="16">
        <f>J64</f>
        <v>0</v>
      </c>
      <c r="K63" s="17">
        <v>0</v>
      </c>
      <c r="L63" s="13">
        <f t="shared" si="33"/>
        <v>636650</v>
      </c>
      <c r="M63" s="19"/>
      <c r="N63" s="28">
        <f>N64</f>
        <v>0</v>
      </c>
      <c r="O63" s="17">
        <v>0</v>
      </c>
      <c r="P63" s="13">
        <f t="shared" si="39"/>
        <v>636650</v>
      </c>
      <c r="Q63" s="19"/>
      <c r="R63" s="18">
        <f>+R64</f>
        <v>0</v>
      </c>
      <c r="S63" s="17">
        <v>0</v>
      </c>
      <c r="T63" s="17">
        <f t="shared" ref="T63:T64" si="65">+P63+R63</f>
        <v>636650</v>
      </c>
      <c r="U63" s="30"/>
      <c r="V63" s="17">
        <f>V64</f>
        <v>0</v>
      </c>
      <c r="W63" s="17">
        <v>0</v>
      </c>
      <c r="X63" s="13">
        <f t="shared" ref="X63:X64" si="66">T63+V63</f>
        <v>636650</v>
      </c>
      <c r="Y63" s="16">
        <f>Y64</f>
        <v>0</v>
      </c>
      <c r="Z63" s="17">
        <v>0</v>
      </c>
      <c r="AA63" s="29">
        <f t="shared" ref="AA63:AA64" si="67">X63+Y63</f>
        <v>636650</v>
      </c>
      <c r="AB63" s="30"/>
      <c r="AC63" s="28">
        <f>AC64</f>
        <v>0</v>
      </c>
      <c r="AD63" s="17">
        <v>0</v>
      </c>
      <c r="AE63" s="13">
        <f t="shared" ref="AE63:AE64" si="68">AA63+AC63</f>
        <v>636650</v>
      </c>
      <c r="AF63" s="30"/>
      <c r="AG63" s="129">
        <f>AG64</f>
        <v>0</v>
      </c>
      <c r="AH63" s="17">
        <v>0</v>
      </c>
      <c r="AI63" s="13">
        <f t="shared" ref="AI63:AI64" si="69">AE63+AG63</f>
        <v>636650</v>
      </c>
      <c r="AJ63" s="30"/>
      <c r="AK63" s="28">
        <f>AK64</f>
        <v>0</v>
      </c>
      <c r="AL63" s="17">
        <v>0</v>
      </c>
      <c r="AM63" s="13">
        <f t="shared" ref="AM63:AM64" si="70">AI63+AK63</f>
        <v>636650</v>
      </c>
      <c r="AN63" s="30"/>
      <c r="AO63" s="28">
        <f>AO64</f>
        <v>0</v>
      </c>
      <c r="AP63" s="17">
        <v>0</v>
      </c>
      <c r="AQ63" s="13">
        <f t="shared" ref="AQ63:AQ64" si="71">AM63+AO63</f>
        <v>636650</v>
      </c>
      <c r="AR63" s="30"/>
      <c r="AS63" s="28">
        <f>AS64</f>
        <v>0</v>
      </c>
      <c r="AT63" s="17">
        <v>0</v>
      </c>
      <c r="AU63" s="13">
        <f t="shared" si="31"/>
        <v>636650</v>
      </c>
      <c r="AV63" s="30"/>
    </row>
    <row r="64" spans="1:48" x14ac:dyDescent="0.25">
      <c r="A64" s="14" t="s">
        <v>72</v>
      </c>
      <c r="B64" s="15" t="s">
        <v>73</v>
      </c>
      <c r="C64" s="17">
        <v>636650</v>
      </c>
      <c r="D64" s="17">
        <v>0</v>
      </c>
      <c r="E64" s="17">
        <f t="shared" si="64"/>
        <v>636650</v>
      </c>
      <c r="F64" s="19"/>
      <c r="G64" s="17">
        <v>0</v>
      </c>
      <c r="H64" s="17">
        <v>0</v>
      </c>
      <c r="I64" s="13">
        <f t="shared" si="24"/>
        <v>636650</v>
      </c>
      <c r="J64" s="16">
        <v>0</v>
      </c>
      <c r="K64" s="17">
        <v>0</v>
      </c>
      <c r="L64" s="13">
        <f t="shared" si="33"/>
        <v>636650</v>
      </c>
      <c r="M64" s="19"/>
      <c r="N64" s="28">
        <v>0</v>
      </c>
      <c r="O64" s="17">
        <v>0</v>
      </c>
      <c r="P64" s="13">
        <f t="shared" si="39"/>
        <v>636650</v>
      </c>
      <c r="Q64" s="19"/>
      <c r="R64" s="18">
        <v>0</v>
      </c>
      <c r="S64" s="17">
        <v>0</v>
      </c>
      <c r="T64" s="17">
        <f t="shared" si="65"/>
        <v>636650</v>
      </c>
      <c r="U64" s="30"/>
      <c r="V64" s="17">
        <v>0</v>
      </c>
      <c r="W64" s="17">
        <v>0</v>
      </c>
      <c r="X64" s="13">
        <f t="shared" si="66"/>
        <v>636650</v>
      </c>
      <c r="Y64" s="16">
        <v>0</v>
      </c>
      <c r="Z64" s="17">
        <v>0</v>
      </c>
      <c r="AA64" s="29">
        <f t="shared" si="67"/>
        <v>636650</v>
      </c>
      <c r="AB64" s="30"/>
      <c r="AC64" s="28">
        <v>0</v>
      </c>
      <c r="AD64" s="17">
        <v>0</v>
      </c>
      <c r="AE64" s="13">
        <f t="shared" si="68"/>
        <v>636650</v>
      </c>
      <c r="AF64" s="30"/>
      <c r="AG64" s="129">
        <v>0</v>
      </c>
      <c r="AH64" s="17">
        <v>0</v>
      </c>
      <c r="AI64" s="13">
        <f t="shared" si="69"/>
        <v>636650</v>
      </c>
      <c r="AJ64" s="30"/>
      <c r="AK64" s="28">
        <v>0</v>
      </c>
      <c r="AL64" s="17">
        <v>0</v>
      </c>
      <c r="AM64" s="13">
        <f t="shared" si="70"/>
        <v>636650</v>
      </c>
      <c r="AN64" s="30"/>
      <c r="AO64" s="28">
        <v>0</v>
      </c>
      <c r="AP64" s="17">
        <v>0</v>
      </c>
      <c r="AQ64" s="13">
        <f t="shared" si="71"/>
        <v>636650</v>
      </c>
      <c r="AR64" s="30"/>
      <c r="AS64" s="28">
        <v>0</v>
      </c>
      <c r="AT64" s="17">
        <v>0</v>
      </c>
      <c r="AU64" s="13">
        <f t="shared" si="31"/>
        <v>636650</v>
      </c>
      <c r="AV64" s="30"/>
    </row>
    <row r="65" spans="1:48" x14ac:dyDescent="0.25">
      <c r="A65" s="14"/>
      <c r="B65" s="15"/>
      <c r="C65" s="17"/>
      <c r="D65" s="17"/>
      <c r="E65" s="17"/>
      <c r="F65" s="30"/>
      <c r="G65" s="17"/>
      <c r="H65" s="17"/>
      <c r="I65" s="13"/>
      <c r="J65" s="16"/>
      <c r="K65" s="17"/>
      <c r="L65" s="13"/>
      <c r="M65" s="30"/>
      <c r="N65" s="28"/>
      <c r="O65" s="17"/>
      <c r="P65" s="13"/>
      <c r="Q65" s="30"/>
      <c r="R65" s="18"/>
      <c r="S65" s="17"/>
      <c r="T65" s="17"/>
      <c r="U65" s="30"/>
      <c r="V65" s="17"/>
      <c r="W65" s="17"/>
      <c r="X65" s="13"/>
      <c r="Y65" s="16"/>
      <c r="Z65" s="17"/>
      <c r="AA65" s="29"/>
      <c r="AB65" s="30"/>
      <c r="AC65" s="28"/>
      <c r="AD65" s="17"/>
      <c r="AE65" s="13"/>
      <c r="AF65" s="30"/>
      <c r="AG65" s="129"/>
      <c r="AH65" s="17"/>
      <c r="AI65" s="13"/>
      <c r="AJ65" s="30"/>
      <c r="AK65" s="28"/>
      <c r="AL65" s="17"/>
      <c r="AM65" s="13"/>
      <c r="AN65" s="30"/>
      <c r="AO65" s="28"/>
      <c r="AP65" s="17"/>
      <c r="AQ65" s="13"/>
      <c r="AR65" s="30"/>
      <c r="AS65" s="28"/>
      <c r="AT65" s="17"/>
      <c r="AU65" s="13">
        <f t="shared" si="31"/>
        <v>0</v>
      </c>
      <c r="AV65" s="30"/>
    </row>
    <row r="66" spans="1:48" x14ac:dyDescent="0.25">
      <c r="A66" s="14" t="s">
        <v>74</v>
      </c>
      <c r="B66" s="15" t="s">
        <v>26</v>
      </c>
      <c r="C66" s="17">
        <f>C67+C68+C70+C71+C72+C74+C73+C75</f>
        <v>2295686</v>
      </c>
      <c r="D66" s="17">
        <v>0</v>
      </c>
      <c r="E66" s="17">
        <f t="shared" si="64"/>
        <v>2295686</v>
      </c>
      <c r="F66" s="19"/>
      <c r="G66" s="16">
        <f>G67+G68+G70+G71+G72+G75</f>
        <v>2052254</v>
      </c>
      <c r="H66" s="17">
        <v>0</v>
      </c>
      <c r="I66" s="13">
        <f t="shared" ref="I66:I148" si="72">E66+G66</f>
        <v>4347940</v>
      </c>
      <c r="J66" s="16">
        <f>J67+J68+J70+J71+J72+J75</f>
        <v>1581294</v>
      </c>
      <c r="K66" s="17">
        <v>0</v>
      </c>
      <c r="L66" s="13">
        <f t="shared" si="33"/>
        <v>5929234</v>
      </c>
      <c r="M66" s="19"/>
      <c r="N66" s="28">
        <f>SUM(N67:N75)</f>
        <v>536847</v>
      </c>
      <c r="O66" s="17">
        <v>0</v>
      </c>
      <c r="P66" s="13">
        <f t="shared" si="39"/>
        <v>6466081</v>
      </c>
      <c r="Q66" s="19"/>
      <c r="R66" s="18">
        <f>R67+R68+R70+R71+R72+R74+R73+R75</f>
        <v>920025</v>
      </c>
      <c r="S66" s="17">
        <v>0</v>
      </c>
      <c r="T66" s="17">
        <f>+P66+R66</f>
        <v>7386106</v>
      </c>
      <c r="U66" s="30"/>
      <c r="V66" s="17">
        <f>V67+V68+V70+V71+V72+V75</f>
        <v>1266455</v>
      </c>
      <c r="W66" s="17">
        <v>0</v>
      </c>
      <c r="X66" s="13">
        <f t="shared" ref="X66:X75" si="73">T66+V66</f>
        <v>8652561</v>
      </c>
      <c r="Y66" s="16">
        <f>SUM(Y67:Y75)</f>
        <v>1458360</v>
      </c>
      <c r="Z66" s="17">
        <v>0</v>
      </c>
      <c r="AA66" s="29">
        <f t="shared" ref="AA66:AA74" si="74">X66+Y66</f>
        <v>10110921</v>
      </c>
      <c r="AB66" s="30"/>
      <c r="AC66" s="28">
        <f>SUM(AC67:AC75)</f>
        <v>1063327</v>
      </c>
      <c r="AD66" s="17">
        <v>0</v>
      </c>
      <c r="AE66" s="13">
        <f t="shared" ref="AE66:AE77" si="75">AA66+AC66</f>
        <v>11174248</v>
      </c>
      <c r="AF66" s="30"/>
      <c r="AG66" s="129">
        <f>SUM(AG67:AG75)</f>
        <v>1148861</v>
      </c>
      <c r="AH66" s="17">
        <v>0</v>
      </c>
      <c r="AI66" s="13">
        <f t="shared" ref="AI66:AI77" si="76">AE66+AG66</f>
        <v>12323109</v>
      </c>
      <c r="AJ66" s="30"/>
      <c r="AK66" s="28">
        <f>SUM(AK67:AK75)</f>
        <v>3382709</v>
      </c>
      <c r="AL66" s="17">
        <v>0</v>
      </c>
      <c r="AM66" s="13">
        <f t="shared" ref="AM66:AM77" si="77">AI66+AK66</f>
        <v>15705818</v>
      </c>
      <c r="AN66" s="30"/>
      <c r="AO66" s="28">
        <f>SUM(AO67:AO75)</f>
        <v>1713768</v>
      </c>
      <c r="AP66" s="17">
        <v>0</v>
      </c>
      <c r="AQ66" s="13">
        <f t="shared" ref="AQ66:AQ77" si="78">AM66+AO66</f>
        <v>17419586</v>
      </c>
      <c r="AR66" s="30"/>
      <c r="AS66" s="28">
        <f>SUM(AS67:AS75)</f>
        <v>1969094</v>
      </c>
      <c r="AT66" s="17">
        <v>0</v>
      </c>
      <c r="AU66" s="13">
        <f t="shared" si="31"/>
        <v>19388680</v>
      </c>
      <c r="AV66" s="30"/>
    </row>
    <row r="67" spans="1:48" x14ac:dyDescent="0.25">
      <c r="A67" s="14" t="s">
        <v>75</v>
      </c>
      <c r="B67" s="15" t="s">
        <v>76</v>
      </c>
      <c r="C67" s="17">
        <v>30000</v>
      </c>
      <c r="D67" s="17">
        <v>0</v>
      </c>
      <c r="E67" s="17">
        <f t="shared" si="64"/>
        <v>30000</v>
      </c>
      <c r="F67" s="19"/>
      <c r="G67" s="17">
        <v>90000</v>
      </c>
      <c r="H67" s="17">
        <v>0</v>
      </c>
      <c r="I67" s="13">
        <f t="shared" si="72"/>
        <v>120000</v>
      </c>
      <c r="J67" s="16">
        <v>0</v>
      </c>
      <c r="K67" s="17">
        <v>0</v>
      </c>
      <c r="L67" s="13">
        <f t="shared" si="33"/>
        <v>120000</v>
      </c>
      <c r="M67" s="19"/>
      <c r="N67" s="28">
        <v>0</v>
      </c>
      <c r="O67" s="17">
        <v>0</v>
      </c>
      <c r="P67" s="13">
        <f t="shared" si="39"/>
        <v>120000</v>
      </c>
      <c r="Q67" s="19"/>
      <c r="R67" s="18">
        <v>0</v>
      </c>
      <c r="S67" s="17">
        <v>0</v>
      </c>
      <c r="T67" s="17">
        <f t="shared" ref="T67:T147" si="79">+P67+R67</f>
        <v>120000</v>
      </c>
      <c r="U67" s="30"/>
      <c r="V67" s="17">
        <v>0</v>
      </c>
      <c r="W67" s="17">
        <v>0</v>
      </c>
      <c r="X67" s="13">
        <f t="shared" si="73"/>
        <v>120000</v>
      </c>
      <c r="Y67" s="16">
        <v>0</v>
      </c>
      <c r="Z67" s="17">
        <v>0</v>
      </c>
      <c r="AA67" s="29">
        <f t="shared" si="74"/>
        <v>120000</v>
      </c>
      <c r="AB67" s="30"/>
      <c r="AC67" s="28">
        <v>0</v>
      </c>
      <c r="AD67" s="17">
        <v>0</v>
      </c>
      <c r="AE67" s="13">
        <f t="shared" si="75"/>
        <v>120000</v>
      </c>
      <c r="AF67" s="30"/>
      <c r="AG67" s="129">
        <v>25000</v>
      </c>
      <c r="AH67" s="17">
        <v>0</v>
      </c>
      <c r="AI67" s="13">
        <f t="shared" si="76"/>
        <v>145000</v>
      </c>
      <c r="AJ67" s="30"/>
      <c r="AK67" s="28">
        <v>0</v>
      </c>
      <c r="AL67" s="17">
        <v>0</v>
      </c>
      <c r="AM67" s="13">
        <f t="shared" si="77"/>
        <v>145000</v>
      </c>
      <c r="AN67" s="30"/>
      <c r="AO67" s="28">
        <v>0</v>
      </c>
      <c r="AP67" s="17">
        <v>0</v>
      </c>
      <c r="AQ67" s="13">
        <f t="shared" si="78"/>
        <v>145000</v>
      </c>
      <c r="AR67" s="30"/>
      <c r="AS67" s="28"/>
      <c r="AT67" s="17">
        <v>0</v>
      </c>
      <c r="AU67" s="13">
        <f t="shared" si="31"/>
        <v>145000</v>
      </c>
      <c r="AV67" s="30"/>
    </row>
    <row r="68" spans="1:48" x14ac:dyDescent="0.25">
      <c r="A68" s="14" t="s">
        <v>77</v>
      </c>
      <c r="B68" s="15" t="s">
        <v>78</v>
      </c>
      <c r="C68" s="17">
        <v>1455000</v>
      </c>
      <c r="D68" s="17">
        <v>0</v>
      </c>
      <c r="E68" s="17">
        <f t="shared" si="64"/>
        <v>1455000</v>
      </c>
      <c r="F68" s="19"/>
      <c r="G68" s="17">
        <v>1820000</v>
      </c>
      <c r="H68" s="17">
        <v>0</v>
      </c>
      <c r="I68" s="13">
        <f t="shared" si="72"/>
        <v>3275000</v>
      </c>
      <c r="J68" s="16">
        <v>1210000</v>
      </c>
      <c r="K68" s="17">
        <v>0</v>
      </c>
      <c r="L68" s="13">
        <f t="shared" si="33"/>
        <v>4485000</v>
      </c>
      <c r="M68" s="19"/>
      <c r="N68" s="28">
        <v>0</v>
      </c>
      <c r="O68" s="17">
        <v>0</v>
      </c>
      <c r="P68" s="13">
        <f t="shared" si="39"/>
        <v>4485000</v>
      </c>
      <c r="Q68" s="19"/>
      <c r="R68" s="18">
        <v>578000</v>
      </c>
      <c r="S68" s="17">
        <v>0</v>
      </c>
      <c r="T68" s="17">
        <f t="shared" si="79"/>
        <v>5063000</v>
      </c>
      <c r="U68" s="30"/>
      <c r="V68" s="17">
        <v>665000</v>
      </c>
      <c r="W68" s="17">
        <v>0</v>
      </c>
      <c r="X68" s="13">
        <f t="shared" si="73"/>
        <v>5728000</v>
      </c>
      <c r="Y68" s="16">
        <v>885000</v>
      </c>
      <c r="Z68" s="17">
        <v>0</v>
      </c>
      <c r="AA68" s="29">
        <f t="shared" si="74"/>
        <v>6613000</v>
      </c>
      <c r="AB68" s="30"/>
      <c r="AC68" s="28">
        <v>529000</v>
      </c>
      <c r="AD68" s="17">
        <v>0</v>
      </c>
      <c r="AE68" s="13">
        <f t="shared" si="75"/>
        <v>7142000</v>
      </c>
      <c r="AF68" s="30"/>
      <c r="AG68" s="129">
        <v>662500</v>
      </c>
      <c r="AH68" s="17">
        <v>0</v>
      </c>
      <c r="AI68" s="13">
        <f t="shared" si="76"/>
        <v>7804500</v>
      </c>
      <c r="AJ68" s="30"/>
      <c r="AK68" s="28">
        <v>2080000</v>
      </c>
      <c r="AL68" s="17">
        <v>0</v>
      </c>
      <c r="AM68" s="13">
        <f t="shared" si="77"/>
        <v>9884500</v>
      </c>
      <c r="AN68" s="30"/>
      <c r="AO68" s="28">
        <v>1284000</v>
      </c>
      <c r="AP68" s="17">
        <v>0</v>
      </c>
      <c r="AQ68" s="13">
        <f t="shared" si="78"/>
        <v>11168500</v>
      </c>
      <c r="AR68" s="30"/>
      <c r="AS68" s="28">
        <v>1567000</v>
      </c>
      <c r="AT68" s="17">
        <v>0</v>
      </c>
      <c r="AU68" s="13">
        <f t="shared" si="31"/>
        <v>12735500</v>
      </c>
      <c r="AV68" s="30"/>
    </row>
    <row r="69" spans="1:48" x14ac:dyDescent="0.25">
      <c r="A69" s="14">
        <v>513520</v>
      </c>
      <c r="B69" s="15"/>
      <c r="C69" s="17"/>
      <c r="D69" s="17"/>
      <c r="E69" s="17"/>
      <c r="F69" s="30"/>
      <c r="G69" s="17"/>
      <c r="H69" s="17"/>
      <c r="I69" s="13"/>
      <c r="J69" s="16"/>
      <c r="K69" s="17"/>
      <c r="L69" s="13"/>
      <c r="M69" s="30"/>
      <c r="N69" s="28">
        <v>0</v>
      </c>
      <c r="O69" s="17"/>
      <c r="P69" s="13"/>
      <c r="Q69" s="30"/>
      <c r="R69" s="18"/>
      <c r="S69" s="17"/>
      <c r="T69" s="17"/>
      <c r="U69" s="30"/>
      <c r="V69" s="17"/>
      <c r="W69" s="17"/>
      <c r="X69" s="13"/>
      <c r="Y69" s="16"/>
      <c r="Z69" s="17"/>
      <c r="AA69" s="29"/>
      <c r="AB69" s="30"/>
      <c r="AC69" s="28">
        <v>50000</v>
      </c>
      <c r="AD69" s="17"/>
      <c r="AE69" s="13">
        <f t="shared" si="75"/>
        <v>50000</v>
      </c>
      <c r="AF69" s="30"/>
      <c r="AG69" s="129"/>
      <c r="AH69" s="17"/>
      <c r="AI69" s="13">
        <f t="shared" si="76"/>
        <v>50000</v>
      </c>
      <c r="AJ69" s="30"/>
      <c r="AK69" s="28"/>
      <c r="AL69" s="17"/>
      <c r="AM69" s="13">
        <f t="shared" si="77"/>
        <v>50000</v>
      </c>
      <c r="AN69" s="30"/>
      <c r="AO69" s="28"/>
      <c r="AP69" s="17"/>
      <c r="AQ69" s="13">
        <f t="shared" si="78"/>
        <v>50000</v>
      </c>
      <c r="AR69" s="30"/>
      <c r="AS69" s="28"/>
      <c r="AT69" s="17"/>
      <c r="AU69" s="13">
        <f t="shared" si="31"/>
        <v>50000</v>
      </c>
      <c r="AV69" s="30"/>
    </row>
    <row r="70" spans="1:48" x14ac:dyDescent="0.25">
      <c r="A70" s="14" t="s">
        <v>79</v>
      </c>
      <c r="B70" s="15" t="s">
        <v>80</v>
      </c>
      <c r="C70" s="17">
        <v>60930</v>
      </c>
      <c r="D70" s="17">
        <v>0</v>
      </c>
      <c r="E70" s="17">
        <f t="shared" si="64"/>
        <v>60930</v>
      </c>
      <c r="F70" s="19"/>
      <c r="G70" s="17">
        <v>54760</v>
      </c>
      <c r="H70" s="17">
        <v>0</v>
      </c>
      <c r="I70" s="13">
        <f t="shared" si="72"/>
        <v>115690</v>
      </c>
      <c r="J70" s="16">
        <v>0</v>
      </c>
      <c r="K70" s="17">
        <v>0</v>
      </c>
      <c r="L70" s="13">
        <f t="shared" si="33"/>
        <v>115690</v>
      </c>
      <c r="M70" s="19"/>
      <c r="N70" s="28">
        <v>116430</v>
      </c>
      <c r="O70" s="17">
        <v>0</v>
      </c>
      <c r="P70" s="13">
        <f t="shared" si="39"/>
        <v>232120</v>
      </c>
      <c r="Q70" s="19"/>
      <c r="R70" s="18">
        <v>60710</v>
      </c>
      <c r="S70" s="17">
        <v>0</v>
      </c>
      <c r="T70" s="17">
        <f t="shared" si="79"/>
        <v>292830</v>
      </c>
      <c r="U70" s="30"/>
      <c r="V70" s="17">
        <v>72750</v>
      </c>
      <c r="W70" s="17">
        <v>0</v>
      </c>
      <c r="X70" s="13">
        <f t="shared" si="73"/>
        <v>365580</v>
      </c>
      <c r="Y70" s="16">
        <v>72740</v>
      </c>
      <c r="Z70" s="17">
        <v>0</v>
      </c>
      <c r="AA70" s="29">
        <f t="shared" si="74"/>
        <v>438320</v>
      </c>
      <c r="AB70" s="30"/>
      <c r="AC70" s="28">
        <v>96770</v>
      </c>
      <c r="AD70" s="17">
        <v>0</v>
      </c>
      <c r="AE70" s="13">
        <f t="shared" si="75"/>
        <v>535090</v>
      </c>
      <c r="AF70" s="30"/>
      <c r="AG70" s="129">
        <v>95720</v>
      </c>
      <c r="AH70" s="17">
        <v>0</v>
      </c>
      <c r="AI70" s="13">
        <f t="shared" si="76"/>
        <v>630810</v>
      </c>
      <c r="AJ70" s="30"/>
      <c r="AK70" s="28">
        <v>71670</v>
      </c>
      <c r="AL70" s="17">
        <v>0</v>
      </c>
      <c r="AM70" s="13">
        <f t="shared" si="77"/>
        <v>702480</v>
      </c>
      <c r="AN70" s="30"/>
      <c r="AO70" s="28">
        <v>71670</v>
      </c>
      <c r="AP70" s="17">
        <v>0</v>
      </c>
      <c r="AQ70" s="13">
        <f t="shared" si="78"/>
        <v>774150</v>
      </c>
      <c r="AR70" s="30"/>
      <c r="AS70" s="28">
        <v>59630</v>
      </c>
      <c r="AT70" s="17">
        <v>0</v>
      </c>
      <c r="AU70" s="13">
        <f t="shared" si="31"/>
        <v>833780</v>
      </c>
      <c r="AV70" s="30"/>
    </row>
    <row r="71" spans="1:48" x14ac:dyDescent="0.25">
      <c r="A71" s="14" t="s">
        <v>81</v>
      </c>
      <c r="B71" s="15" t="s">
        <v>82</v>
      </c>
      <c r="C71" s="17">
        <v>95209</v>
      </c>
      <c r="D71" s="17">
        <v>0</v>
      </c>
      <c r="E71" s="17">
        <f t="shared" si="64"/>
        <v>95209</v>
      </c>
      <c r="F71" s="19"/>
      <c r="G71" s="17">
        <v>0</v>
      </c>
      <c r="H71" s="17">
        <v>0</v>
      </c>
      <c r="I71" s="13">
        <f t="shared" si="72"/>
        <v>95209</v>
      </c>
      <c r="J71" s="16">
        <v>213096</v>
      </c>
      <c r="K71" s="17">
        <v>0</v>
      </c>
      <c r="L71" s="13">
        <f t="shared" si="33"/>
        <v>308305</v>
      </c>
      <c r="M71" s="19"/>
      <c r="N71" s="28">
        <v>100070</v>
      </c>
      <c r="O71" s="17">
        <v>0</v>
      </c>
      <c r="P71" s="13">
        <f t="shared" si="39"/>
        <v>408375</v>
      </c>
      <c r="Q71" s="19"/>
      <c r="R71" s="18">
        <v>48190</v>
      </c>
      <c r="S71" s="17">
        <v>0</v>
      </c>
      <c r="T71" s="17">
        <f t="shared" si="79"/>
        <v>456565</v>
      </c>
      <c r="U71" s="30"/>
      <c r="V71" s="17">
        <v>113030</v>
      </c>
      <c r="W71" s="17">
        <v>0</v>
      </c>
      <c r="X71" s="13">
        <f t="shared" si="73"/>
        <v>569595</v>
      </c>
      <c r="Y71" s="16">
        <v>152664</v>
      </c>
      <c r="Z71" s="17">
        <v>0</v>
      </c>
      <c r="AA71" s="29">
        <f t="shared" si="74"/>
        <v>722259</v>
      </c>
      <c r="AB71" s="30"/>
      <c r="AC71" s="28">
        <v>132848</v>
      </c>
      <c r="AD71" s="17">
        <v>0</v>
      </c>
      <c r="AE71" s="13">
        <f t="shared" si="75"/>
        <v>855107</v>
      </c>
      <c r="AF71" s="30"/>
      <c r="AG71" s="129">
        <v>96883</v>
      </c>
      <c r="AH71" s="17">
        <v>0</v>
      </c>
      <c r="AI71" s="13">
        <f t="shared" si="76"/>
        <v>951990</v>
      </c>
      <c r="AJ71" s="30"/>
      <c r="AK71" s="28">
        <v>102755</v>
      </c>
      <c r="AL71" s="17">
        <v>0</v>
      </c>
      <c r="AM71" s="13">
        <f t="shared" si="77"/>
        <v>1054745</v>
      </c>
      <c r="AN71" s="30"/>
      <c r="AO71" s="28">
        <v>106425</v>
      </c>
      <c r="AP71" s="17">
        <v>0</v>
      </c>
      <c r="AQ71" s="13">
        <f t="shared" si="78"/>
        <v>1161170</v>
      </c>
      <c r="AR71" s="30"/>
      <c r="AS71" s="28">
        <v>111563</v>
      </c>
      <c r="AT71" s="17">
        <v>0</v>
      </c>
      <c r="AU71" s="13">
        <f t="shared" si="31"/>
        <v>1272733</v>
      </c>
      <c r="AV71" s="30"/>
    </row>
    <row r="72" spans="1:48" x14ac:dyDescent="0.25">
      <c r="A72" s="14" t="s">
        <v>83</v>
      </c>
      <c r="B72" s="15" t="s">
        <v>139</v>
      </c>
      <c r="C72" s="17">
        <v>539247</v>
      </c>
      <c r="D72" s="17">
        <v>0</v>
      </c>
      <c r="E72" s="17">
        <f t="shared" si="64"/>
        <v>539247</v>
      </c>
      <c r="F72" s="19"/>
      <c r="G72" s="17">
        <v>87494</v>
      </c>
      <c r="H72" s="17">
        <v>0</v>
      </c>
      <c r="I72" s="13">
        <f t="shared" si="72"/>
        <v>626741</v>
      </c>
      <c r="J72" s="16">
        <v>132698</v>
      </c>
      <c r="K72" s="17">
        <v>0</v>
      </c>
      <c r="L72" s="13">
        <f t="shared" si="33"/>
        <v>759439</v>
      </c>
      <c r="M72" s="19"/>
      <c r="N72" s="28">
        <v>320347</v>
      </c>
      <c r="O72" s="17">
        <v>0</v>
      </c>
      <c r="P72" s="13">
        <f t="shared" si="39"/>
        <v>1079786</v>
      </c>
      <c r="Q72" s="19"/>
      <c r="R72" s="18">
        <v>225125</v>
      </c>
      <c r="S72" s="17">
        <v>0</v>
      </c>
      <c r="T72" s="17">
        <f t="shared" si="79"/>
        <v>1304911</v>
      </c>
      <c r="U72" s="30"/>
      <c r="V72" s="17">
        <v>415675</v>
      </c>
      <c r="W72" s="17">
        <v>0</v>
      </c>
      <c r="X72" s="13">
        <f t="shared" si="73"/>
        <v>1720586</v>
      </c>
      <c r="Y72" s="16">
        <v>347956</v>
      </c>
      <c r="Z72" s="17">
        <v>0</v>
      </c>
      <c r="AA72" s="29">
        <f t="shared" si="74"/>
        <v>2068542</v>
      </c>
      <c r="AB72" s="30"/>
      <c r="AC72" s="28">
        <v>254709</v>
      </c>
      <c r="AD72" s="17">
        <v>0</v>
      </c>
      <c r="AE72" s="13">
        <f t="shared" si="75"/>
        <v>2323251</v>
      </c>
      <c r="AF72" s="30"/>
      <c r="AG72" s="129">
        <v>163758</v>
      </c>
      <c r="AH72" s="17">
        <v>0</v>
      </c>
      <c r="AI72" s="13">
        <f t="shared" si="76"/>
        <v>2487009</v>
      </c>
      <c r="AJ72" s="30"/>
      <c r="AK72" s="28">
        <v>363284</v>
      </c>
      <c r="AL72" s="17">
        <v>0</v>
      </c>
      <c r="AM72" s="13">
        <f t="shared" si="77"/>
        <v>2850293</v>
      </c>
      <c r="AN72" s="30"/>
      <c r="AO72" s="28">
        <v>251673</v>
      </c>
      <c r="AP72" s="17">
        <v>0</v>
      </c>
      <c r="AQ72" s="13">
        <f t="shared" si="78"/>
        <v>3101966</v>
      </c>
      <c r="AR72" s="30"/>
      <c r="AS72" s="28">
        <v>230901</v>
      </c>
      <c r="AT72" s="17">
        <v>0</v>
      </c>
      <c r="AU72" s="13">
        <f t="shared" si="31"/>
        <v>3332867</v>
      </c>
      <c r="AV72" s="30"/>
    </row>
    <row r="73" spans="1:48" x14ac:dyDescent="0.25">
      <c r="A73" s="14">
        <v>513540</v>
      </c>
      <c r="B73" s="15" t="s">
        <v>170</v>
      </c>
      <c r="C73" s="17">
        <v>0</v>
      </c>
      <c r="D73" s="17">
        <v>0</v>
      </c>
      <c r="E73" s="17">
        <f t="shared" si="64"/>
        <v>0</v>
      </c>
      <c r="F73" s="19"/>
      <c r="G73" s="17">
        <v>0</v>
      </c>
      <c r="H73" s="17">
        <v>0</v>
      </c>
      <c r="I73" s="13">
        <f t="shared" si="72"/>
        <v>0</v>
      </c>
      <c r="J73" s="16">
        <v>0</v>
      </c>
      <c r="K73" s="17">
        <v>0</v>
      </c>
      <c r="L73" s="13">
        <f t="shared" si="33"/>
        <v>0</v>
      </c>
      <c r="M73" s="19"/>
      <c r="N73" s="28">
        <v>0</v>
      </c>
      <c r="O73" s="17">
        <v>0</v>
      </c>
      <c r="P73" s="13">
        <f t="shared" si="39"/>
        <v>0</v>
      </c>
      <c r="Q73" s="19"/>
      <c r="R73" s="18">
        <v>0</v>
      </c>
      <c r="S73" s="17">
        <v>0</v>
      </c>
      <c r="T73" s="17">
        <f t="shared" si="79"/>
        <v>0</v>
      </c>
      <c r="U73" s="30"/>
      <c r="V73" s="17">
        <v>0</v>
      </c>
      <c r="W73" s="17">
        <v>0</v>
      </c>
      <c r="X73" s="13">
        <f t="shared" si="73"/>
        <v>0</v>
      </c>
      <c r="Y73" s="16">
        <v>0</v>
      </c>
      <c r="Z73" s="17">
        <v>0</v>
      </c>
      <c r="AA73" s="29">
        <f t="shared" si="74"/>
        <v>0</v>
      </c>
      <c r="AB73" s="30"/>
      <c r="AC73" s="28">
        <v>0</v>
      </c>
      <c r="AD73" s="17">
        <v>0</v>
      </c>
      <c r="AE73" s="13">
        <f t="shared" si="75"/>
        <v>0</v>
      </c>
      <c r="AF73" s="30"/>
      <c r="AG73" s="129"/>
      <c r="AH73" s="17">
        <v>0</v>
      </c>
      <c r="AI73" s="13">
        <f t="shared" si="76"/>
        <v>0</v>
      </c>
      <c r="AJ73" s="30"/>
      <c r="AK73" s="28">
        <v>0</v>
      </c>
      <c r="AL73" s="17">
        <v>0</v>
      </c>
      <c r="AM73" s="13">
        <f t="shared" si="77"/>
        <v>0</v>
      </c>
      <c r="AN73" s="30"/>
      <c r="AO73" s="28">
        <v>0</v>
      </c>
      <c r="AP73" s="17">
        <v>0</v>
      </c>
      <c r="AQ73" s="13">
        <f t="shared" si="78"/>
        <v>0</v>
      </c>
      <c r="AR73" s="30"/>
      <c r="AS73" s="28">
        <v>0</v>
      </c>
      <c r="AT73" s="17">
        <v>0</v>
      </c>
      <c r="AU73" s="13">
        <f t="shared" si="31"/>
        <v>0</v>
      </c>
      <c r="AV73" s="30"/>
    </row>
    <row r="74" spans="1:48" x14ac:dyDescent="0.25">
      <c r="A74" s="14">
        <v>513595</v>
      </c>
      <c r="B74" s="15" t="s">
        <v>164</v>
      </c>
      <c r="C74" s="17">
        <v>0</v>
      </c>
      <c r="D74" s="17">
        <v>0</v>
      </c>
      <c r="E74" s="17">
        <f t="shared" si="64"/>
        <v>0</v>
      </c>
      <c r="F74" s="19"/>
      <c r="G74" s="17">
        <v>0</v>
      </c>
      <c r="H74" s="17">
        <v>0</v>
      </c>
      <c r="I74" s="13">
        <f t="shared" si="72"/>
        <v>0</v>
      </c>
      <c r="J74" s="16">
        <v>0</v>
      </c>
      <c r="K74" s="17">
        <v>0</v>
      </c>
      <c r="L74" s="13">
        <f t="shared" si="33"/>
        <v>0</v>
      </c>
      <c r="M74" s="19"/>
      <c r="N74" s="28">
        <v>0</v>
      </c>
      <c r="O74" s="17">
        <v>0</v>
      </c>
      <c r="P74" s="13">
        <f t="shared" si="39"/>
        <v>0</v>
      </c>
      <c r="Q74" s="19"/>
      <c r="R74" s="18">
        <v>0</v>
      </c>
      <c r="S74" s="17">
        <v>0</v>
      </c>
      <c r="T74" s="17">
        <f t="shared" si="79"/>
        <v>0</v>
      </c>
      <c r="U74" s="30"/>
      <c r="V74" s="17">
        <v>0</v>
      </c>
      <c r="W74" s="17">
        <v>0</v>
      </c>
      <c r="X74" s="13">
        <f t="shared" si="73"/>
        <v>0</v>
      </c>
      <c r="Y74" s="16">
        <v>0</v>
      </c>
      <c r="Z74" s="17">
        <v>0</v>
      </c>
      <c r="AA74" s="29">
        <f t="shared" si="74"/>
        <v>0</v>
      </c>
      <c r="AB74" s="30"/>
      <c r="AC74" s="28">
        <v>0</v>
      </c>
      <c r="AD74" s="17">
        <v>0</v>
      </c>
      <c r="AE74" s="13">
        <f t="shared" si="75"/>
        <v>0</v>
      </c>
      <c r="AF74" s="30"/>
      <c r="AG74" s="129">
        <v>90000</v>
      </c>
      <c r="AH74" s="17">
        <v>0</v>
      </c>
      <c r="AI74" s="13">
        <f t="shared" si="76"/>
        <v>90000</v>
      </c>
      <c r="AJ74" s="30"/>
      <c r="AK74" s="28"/>
      <c r="AL74" s="17">
        <v>0</v>
      </c>
      <c r="AM74" s="13">
        <f t="shared" si="77"/>
        <v>90000</v>
      </c>
      <c r="AN74" s="30"/>
      <c r="AO74" s="28">
        <v>0</v>
      </c>
      <c r="AP74" s="17">
        <v>0</v>
      </c>
      <c r="AQ74" s="13">
        <f t="shared" si="78"/>
        <v>90000</v>
      </c>
      <c r="AR74" s="30"/>
      <c r="AS74" s="28">
        <v>0</v>
      </c>
      <c r="AT74" s="17">
        <v>0</v>
      </c>
      <c r="AU74" s="13">
        <f t="shared" si="31"/>
        <v>90000</v>
      </c>
      <c r="AV74" s="30"/>
    </row>
    <row r="75" spans="1:48" x14ac:dyDescent="0.25">
      <c r="A75" s="14">
        <v>513550</v>
      </c>
      <c r="B75" s="15" t="s">
        <v>141</v>
      </c>
      <c r="C75" s="17">
        <v>115300</v>
      </c>
      <c r="D75" s="17">
        <v>0</v>
      </c>
      <c r="E75" s="17">
        <f t="shared" si="64"/>
        <v>115300</v>
      </c>
      <c r="F75" s="19"/>
      <c r="G75" s="17">
        <v>0</v>
      </c>
      <c r="H75" s="17">
        <v>0</v>
      </c>
      <c r="I75" s="13">
        <f t="shared" si="72"/>
        <v>115300</v>
      </c>
      <c r="J75" s="16">
        <v>25500</v>
      </c>
      <c r="K75" s="17">
        <v>0</v>
      </c>
      <c r="L75" s="13">
        <f>I75+J75</f>
        <v>140800</v>
      </c>
      <c r="M75" s="19"/>
      <c r="N75" s="28">
        <v>0</v>
      </c>
      <c r="O75" s="17">
        <v>0</v>
      </c>
      <c r="P75" s="13">
        <f t="shared" si="39"/>
        <v>140800</v>
      </c>
      <c r="Q75" s="19"/>
      <c r="R75" s="18">
        <v>8000</v>
      </c>
      <c r="S75" s="17">
        <v>0</v>
      </c>
      <c r="T75" s="17">
        <f t="shared" si="79"/>
        <v>148800</v>
      </c>
      <c r="U75" s="30"/>
      <c r="V75" s="17">
        <v>0</v>
      </c>
      <c r="W75" s="17">
        <v>0</v>
      </c>
      <c r="X75" s="13">
        <f t="shared" si="73"/>
        <v>148800</v>
      </c>
      <c r="Y75" s="16">
        <v>0</v>
      </c>
      <c r="Z75" s="17">
        <v>0</v>
      </c>
      <c r="AA75" s="29">
        <f>X75+Y75</f>
        <v>148800</v>
      </c>
      <c r="AB75" s="30"/>
      <c r="AC75" s="28">
        <v>0</v>
      </c>
      <c r="AD75" s="17">
        <v>0</v>
      </c>
      <c r="AE75" s="13">
        <f t="shared" si="75"/>
        <v>148800</v>
      </c>
      <c r="AF75" s="30"/>
      <c r="AG75" s="129">
        <v>15000</v>
      </c>
      <c r="AH75" s="17">
        <v>0</v>
      </c>
      <c r="AI75" s="13">
        <f t="shared" si="76"/>
        <v>163800</v>
      </c>
      <c r="AJ75" s="30"/>
      <c r="AK75" s="28">
        <v>765000</v>
      </c>
      <c r="AL75" s="17">
        <v>0</v>
      </c>
      <c r="AM75" s="13">
        <f t="shared" si="77"/>
        <v>928800</v>
      </c>
      <c r="AN75" s="30"/>
      <c r="AO75" s="28"/>
      <c r="AP75" s="17">
        <v>0</v>
      </c>
      <c r="AQ75" s="13">
        <f t="shared" si="78"/>
        <v>928800</v>
      </c>
      <c r="AR75" s="30"/>
      <c r="AS75" s="28">
        <v>0</v>
      </c>
      <c r="AT75" s="17">
        <v>0</v>
      </c>
      <c r="AU75" s="13">
        <f t="shared" si="31"/>
        <v>928800</v>
      </c>
      <c r="AV75" s="30"/>
    </row>
    <row r="76" spans="1:48" x14ac:dyDescent="0.25">
      <c r="A76" s="14"/>
      <c r="B76" s="15"/>
      <c r="C76" s="17"/>
      <c r="D76" s="17"/>
      <c r="E76" s="17">
        <f t="shared" si="64"/>
        <v>0</v>
      </c>
      <c r="F76" s="30"/>
      <c r="G76" s="17"/>
      <c r="H76" s="17"/>
      <c r="I76" s="13"/>
      <c r="J76" s="16"/>
      <c r="K76" s="17"/>
      <c r="L76" s="13"/>
      <c r="M76" s="30"/>
      <c r="N76" s="16"/>
      <c r="O76" s="17"/>
      <c r="P76" s="13">
        <f t="shared" si="39"/>
        <v>0</v>
      </c>
      <c r="Q76" s="30"/>
      <c r="R76" s="18"/>
      <c r="S76" s="17"/>
      <c r="T76" s="17"/>
      <c r="U76" s="30"/>
      <c r="V76" s="17"/>
      <c r="W76" s="17"/>
      <c r="X76" s="13"/>
      <c r="Y76" s="16"/>
      <c r="Z76" s="17"/>
      <c r="AA76" s="29"/>
      <c r="AB76" s="30"/>
      <c r="AC76" s="16"/>
      <c r="AD76" s="17"/>
      <c r="AE76" s="13">
        <f t="shared" si="75"/>
        <v>0</v>
      </c>
      <c r="AF76" s="30"/>
      <c r="AG76" s="129"/>
      <c r="AH76" s="17"/>
      <c r="AI76" s="13">
        <f t="shared" si="76"/>
        <v>0</v>
      </c>
      <c r="AJ76" s="30"/>
      <c r="AK76" s="16"/>
      <c r="AL76" s="17"/>
      <c r="AM76" s="13">
        <f t="shared" si="77"/>
        <v>0</v>
      </c>
      <c r="AN76" s="30"/>
      <c r="AO76" s="16"/>
      <c r="AP76" s="17"/>
      <c r="AQ76" s="13">
        <f t="shared" si="78"/>
        <v>0</v>
      </c>
      <c r="AR76" s="30"/>
      <c r="AS76" s="16"/>
      <c r="AT76" s="17"/>
      <c r="AU76" s="13">
        <f t="shared" si="31"/>
        <v>0</v>
      </c>
      <c r="AV76" s="30"/>
    </row>
    <row r="77" spans="1:48" x14ac:dyDescent="0.25">
      <c r="A77" s="14" t="s">
        <v>84</v>
      </c>
      <c r="B77" s="15" t="s">
        <v>85</v>
      </c>
      <c r="C77" s="17">
        <f>+C80</f>
        <v>10100</v>
      </c>
      <c r="D77" s="17">
        <v>0</v>
      </c>
      <c r="E77" s="17">
        <f t="shared" si="64"/>
        <v>10100</v>
      </c>
      <c r="F77" s="19"/>
      <c r="G77" s="17">
        <f>G79+G80</f>
        <v>0</v>
      </c>
      <c r="H77" s="17">
        <v>0</v>
      </c>
      <c r="I77" s="13">
        <f t="shared" si="72"/>
        <v>10100</v>
      </c>
      <c r="J77" s="16">
        <v>0</v>
      </c>
      <c r="K77" s="17">
        <v>0</v>
      </c>
      <c r="L77" s="13">
        <f>I77+J77</f>
        <v>10100</v>
      </c>
      <c r="M77" s="19"/>
      <c r="N77" s="16">
        <f>N79+N80</f>
        <v>0</v>
      </c>
      <c r="O77" s="17">
        <v>0</v>
      </c>
      <c r="P77" s="13">
        <f t="shared" si="39"/>
        <v>10100</v>
      </c>
      <c r="Q77" s="19"/>
      <c r="R77" s="18">
        <f>+R79</f>
        <v>6100</v>
      </c>
      <c r="S77" s="17">
        <v>0</v>
      </c>
      <c r="T77" s="17">
        <f t="shared" si="79"/>
        <v>16200</v>
      </c>
      <c r="U77" s="30"/>
      <c r="V77" s="17">
        <f>V79+V80</f>
        <v>0</v>
      </c>
      <c r="W77" s="17">
        <v>0</v>
      </c>
      <c r="X77" s="13">
        <f t="shared" ref="X77:X81" si="80">T77+V77</f>
        <v>16200</v>
      </c>
      <c r="Y77" s="16">
        <f>+Y79</f>
        <v>99400</v>
      </c>
      <c r="Z77" s="17">
        <v>0</v>
      </c>
      <c r="AA77" s="29">
        <f>X77+Y77</f>
        <v>115600</v>
      </c>
      <c r="AB77" s="30"/>
      <c r="AC77" s="16">
        <f>AC79+AC80</f>
        <v>6100</v>
      </c>
      <c r="AD77" s="17">
        <v>0</v>
      </c>
      <c r="AE77" s="13">
        <f t="shared" si="75"/>
        <v>121700</v>
      </c>
      <c r="AF77" s="30"/>
      <c r="AG77" s="129">
        <f>AG79+AG80</f>
        <v>6100</v>
      </c>
      <c r="AH77" s="17">
        <v>0</v>
      </c>
      <c r="AI77" s="13">
        <f t="shared" si="76"/>
        <v>127800</v>
      </c>
      <c r="AJ77" s="30"/>
      <c r="AK77" s="16">
        <f>+AK79+AK81</f>
        <v>0</v>
      </c>
      <c r="AL77" s="17">
        <v>0</v>
      </c>
      <c r="AM77" s="13">
        <f t="shared" si="77"/>
        <v>127800</v>
      </c>
      <c r="AN77" s="30"/>
      <c r="AO77" s="16">
        <f>AO79+AO80</f>
        <v>1580100</v>
      </c>
      <c r="AP77" s="17">
        <v>0</v>
      </c>
      <c r="AQ77" s="13">
        <f t="shared" si="78"/>
        <v>1707900</v>
      </c>
      <c r="AR77" s="30"/>
      <c r="AS77" s="16">
        <f>AS79+AS80</f>
        <v>12200</v>
      </c>
      <c r="AT77" s="17">
        <v>0</v>
      </c>
      <c r="AU77" s="13">
        <f t="shared" si="31"/>
        <v>1720100</v>
      </c>
      <c r="AV77" s="30"/>
    </row>
    <row r="78" spans="1:48" x14ac:dyDescent="0.25">
      <c r="A78" s="14" t="s">
        <v>150</v>
      </c>
      <c r="B78" s="15" t="s">
        <v>142</v>
      </c>
      <c r="C78" s="17">
        <v>0</v>
      </c>
      <c r="D78" s="17">
        <v>0</v>
      </c>
      <c r="E78" s="17">
        <f t="shared" si="64"/>
        <v>0</v>
      </c>
      <c r="F78" s="19"/>
      <c r="G78" s="17">
        <v>0</v>
      </c>
      <c r="H78" s="17">
        <v>0</v>
      </c>
      <c r="I78" s="13">
        <f t="shared" si="72"/>
        <v>0</v>
      </c>
      <c r="J78" s="16">
        <v>0</v>
      </c>
      <c r="K78" s="17">
        <v>0</v>
      </c>
      <c r="L78" s="13">
        <f>I78+J78</f>
        <v>0</v>
      </c>
      <c r="M78" s="19"/>
      <c r="N78" s="16">
        <v>0</v>
      </c>
      <c r="O78" s="17">
        <v>0</v>
      </c>
      <c r="P78" s="13">
        <f>L78+N78</f>
        <v>0</v>
      </c>
      <c r="Q78" s="19"/>
      <c r="R78" s="18"/>
      <c r="S78" s="17">
        <v>0</v>
      </c>
      <c r="T78" s="17">
        <f t="shared" si="79"/>
        <v>0</v>
      </c>
      <c r="U78" s="30"/>
      <c r="V78" s="17">
        <v>0</v>
      </c>
      <c r="W78" s="17">
        <v>0</v>
      </c>
      <c r="X78" s="13">
        <f t="shared" si="80"/>
        <v>0</v>
      </c>
      <c r="Y78" s="16">
        <v>0</v>
      </c>
      <c r="Z78" s="17">
        <v>0</v>
      </c>
      <c r="AA78" s="29">
        <f>X78+Y78</f>
        <v>0</v>
      </c>
      <c r="AB78" s="30"/>
      <c r="AC78" s="16">
        <v>0</v>
      </c>
      <c r="AD78" s="17">
        <v>0</v>
      </c>
      <c r="AE78" s="13">
        <f>AA78+AC78</f>
        <v>0</v>
      </c>
      <c r="AF78" s="30"/>
      <c r="AG78" s="129">
        <v>0</v>
      </c>
      <c r="AH78" s="17">
        <v>0</v>
      </c>
      <c r="AI78" s="13">
        <f>AE78+AG78</f>
        <v>0</v>
      </c>
      <c r="AJ78" s="30"/>
      <c r="AK78" s="16">
        <v>0</v>
      </c>
      <c r="AL78" s="17">
        <v>0</v>
      </c>
      <c r="AM78" s="13">
        <f>AI78+AK78</f>
        <v>0</v>
      </c>
      <c r="AN78" s="30"/>
      <c r="AO78" s="16">
        <v>0</v>
      </c>
      <c r="AP78" s="17">
        <v>0</v>
      </c>
      <c r="AQ78" s="13">
        <f>AM78+AO78</f>
        <v>0</v>
      </c>
      <c r="AR78" s="30"/>
      <c r="AS78" s="16">
        <v>0</v>
      </c>
      <c r="AT78" s="17">
        <v>0</v>
      </c>
      <c r="AU78" s="13">
        <f t="shared" si="31"/>
        <v>0</v>
      </c>
      <c r="AV78" s="30"/>
    </row>
    <row r="79" spans="1:48" x14ac:dyDescent="0.25">
      <c r="A79" s="14" t="s">
        <v>86</v>
      </c>
      <c r="B79" s="15" t="s">
        <v>87</v>
      </c>
      <c r="C79" s="17">
        <v>0</v>
      </c>
      <c r="D79" s="17">
        <v>0</v>
      </c>
      <c r="E79" s="17">
        <f t="shared" si="64"/>
        <v>0</v>
      </c>
      <c r="F79" s="19"/>
      <c r="G79" s="17">
        <v>0</v>
      </c>
      <c r="H79" s="17">
        <v>0</v>
      </c>
      <c r="I79" s="13">
        <f t="shared" si="72"/>
        <v>0</v>
      </c>
      <c r="J79" s="16">
        <v>0</v>
      </c>
      <c r="K79" s="17">
        <v>0</v>
      </c>
      <c r="L79" s="13">
        <f>I79+J79</f>
        <v>0</v>
      </c>
      <c r="M79" s="19"/>
      <c r="N79" s="16">
        <v>0</v>
      </c>
      <c r="O79" s="17">
        <v>0</v>
      </c>
      <c r="P79" s="13">
        <f>L79+N79</f>
        <v>0</v>
      </c>
      <c r="Q79" s="19"/>
      <c r="R79" s="18">
        <v>6100</v>
      </c>
      <c r="S79" s="17">
        <v>0</v>
      </c>
      <c r="T79" s="17">
        <f t="shared" si="79"/>
        <v>6100</v>
      </c>
      <c r="U79" s="30"/>
      <c r="V79" s="17">
        <v>0</v>
      </c>
      <c r="W79" s="17">
        <v>0</v>
      </c>
      <c r="X79" s="13">
        <f t="shared" si="80"/>
        <v>6100</v>
      </c>
      <c r="Y79" s="16">
        <v>99400</v>
      </c>
      <c r="Z79" s="17">
        <v>0</v>
      </c>
      <c r="AA79" s="29">
        <f>X79+Y79</f>
        <v>105500</v>
      </c>
      <c r="AB79" s="30"/>
      <c r="AC79" s="16">
        <v>6100</v>
      </c>
      <c r="AD79" s="17">
        <v>0</v>
      </c>
      <c r="AE79" s="13">
        <f>AA79+AC79</f>
        <v>111600</v>
      </c>
      <c r="AF79" s="30"/>
      <c r="AG79" s="129">
        <v>6100</v>
      </c>
      <c r="AH79" s="17">
        <v>0</v>
      </c>
      <c r="AI79" s="13">
        <f>AE79+AG79</f>
        <v>117700</v>
      </c>
      <c r="AJ79" s="30"/>
      <c r="AK79" s="163">
        <v>0</v>
      </c>
      <c r="AL79" s="17">
        <v>0</v>
      </c>
      <c r="AM79" s="13">
        <f>AI79+AK79</f>
        <v>117700</v>
      </c>
      <c r="AN79" s="30"/>
      <c r="AO79" s="16">
        <v>1580100</v>
      </c>
      <c r="AP79" s="17">
        <v>0</v>
      </c>
      <c r="AQ79" s="13">
        <f>AM79+AO79</f>
        <v>1697800</v>
      </c>
      <c r="AR79" s="30"/>
      <c r="AS79" s="16">
        <v>12200</v>
      </c>
      <c r="AT79" s="17">
        <v>0</v>
      </c>
      <c r="AU79" s="13">
        <f t="shared" si="31"/>
        <v>1710000</v>
      </c>
      <c r="AV79" s="30"/>
    </row>
    <row r="80" spans="1:48" x14ac:dyDescent="0.25">
      <c r="A80" s="14" t="s">
        <v>88</v>
      </c>
      <c r="B80" s="15" t="s">
        <v>89</v>
      </c>
      <c r="C80" s="17">
        <v>10100</v>
      </c>
      <c r="D80" s="17">
        <v>0</v>
      </c>
      <c r="E80" s="17">
        <f t="shared" si="64"/>
        <v>10100</v>
      </c>
      <c r="F80" s="19"/>
      <c r="G80" s="17">
        <v>0</v>
      </c>
      <c r="H80" s="17">
        <v>0</v>
      </c>
      <c r="I80" s="13">
        <f t="shared" si="72"/>
        <v>10100</v>
      </c>
      <c r="J80" s="16">
        <v>0</v>
      </c>
      <c r="K80" s="17">
        <v>0</v>
      </c>
      <c r="L80" s="13">
        <f>I80+J80</f>
        <v>10100</v>
      </c>
      <c r="M80" s="19"/>
      <c r="N80" s="16">
        <v>0</v>
      </c>
      <c r="O80" s="17">
        <v>0</v>
      </c>
      <c r="P80" s="13">
        <f>L80+N80</f>
        <v>10100</v>
      </c>
      <c r="Q80" s="19"/>
      <c r="R80" s="18">
        <v>0</v>
      </c>
      <c r="S80" s="17">
        <v>0</v>
      </c>
      <c r="T80" s="17">
        <f t="shared" si="79"/>
        <v>10100</v>
      </c>
      <c r="U80" s="30"/>
      <c r="V80" s="17">
        <v>0</v>
      </c>
      <c r="W80" s="17">
        <v>0</v>
      </c>
      <c r="X80" s="13">
        <f t="shared" si="80"/>
        <v>10100</v>
      </c>
      <c r="Y80" s="16">
        <v>0</v>
      </c>
      <c r="Z80" s="17">
        <v>0</v>
      </c>
      <c r="AA80" s="29">
        <f>X80+Y80</f>
        <v>10100</v>
      </c>
      <c r="AB80" s="30"/>
      <c r="AC80" s="16">
        <v>0</v>
      </c>
      <c r="AD80" s="17">
        <v>0</v>
      </c>
      <c r="AE80" s="13">
        <f>AA80+AC80</f>
        <v>10100</v>
      </c>
      <c r="AF80" s="30"/>
      <c r="AG80" s="129">
        <v>0</v>
      </c>
      <c r="AH80" s="17">
        <v>0</v>
      </c>
      <c r="AI80" s="13">
        <f>AE80+AG80</f>
        <v>10100</v>
      </c>
      <c r="AJ80" s="30"/>
      <c r="AK80" s="16">
        <v>0</v>
      </c>
      <c r="AL80" s="17">
        <v>0</v>
      </c>
      <c r="AM80" s="13">
        <f>AI80+AK80</f>
        <v>10100</v>
      </c>
      <c r="AN80" s="30"/>
      <c r="AO80" s="16">
        <v>0</v>
      </c>
      <c r="AP80" s="17">
        <v>0</v>
      </c>
      <c r="AQ80" s="13">
        <f>AM80+AO80</f>
        <v>10100</v>
      </c>
      <c r="AR80" s="30"/>
      <c r="AS80" s="16">
        <v>0</v>
      </c>
      <c r="AT80" s="17">
        <v>0</v>
      </c>
      <c r="AU80" s="13">
        <f t="shared" si="31"/>
        <v>10100</v>
      </c>
      <c r="AV80" s="30"/>
    </row>
    <row r="81" spans="1:48" x14ac:dyDescent="0.25">
      <c r="A81" s="14" t="s">
        <v>151</v>
      </c>
      <c r="B81" s="15" t="s">
        <v>73</v>
      </c>
      <c r="C81" s="17">
        <v>0</v>
      </c>
      <c r="D81" s="17">
        <v>0</v>
      </c>
      <c r="E81" s="17">
        <f t="shared" si="64"/>
        <v>0</v>
      </c>
      <c r="F81" s="19"/>
      <c r="G81" s="17">
        <v>0</v>
      </c>
      <c r="H81" s="17">
        <v>0</v>
      </c>
      <c r="I81" s="13">
        <f t="shared" si="72"/>
        <v>0</v>
      </c>
      <c r="J81" s="16">
        <v>0</v>
      </c>
      <c r="K81" s="17">
        <v>0</v>
      </c>
      <c r="L81" s="13">
        <f>I81+J81</f>
        <v>0</v>
      </c>
      <c r="M81" s="19"/>
      <c r="N81" s="16">
        <v>0</v>
      </c>
      <c r="O81" s="17">
        <v>0</v>
      </c>
      <c r="P81" s="13">
        <f>L81+N81</f>
        <v>0</v>
      </c>
      <c r="Q81" s="19"/>
      <c r="R81" s="18">
        <v>0</v>
      </c>
      <c r="S81" s="17">
        <v>0</v>
      </c>
      <c r="T81" s="17">
        <f t="shared" si="79"/>
        <v>0</v>
      </c>
      <c r="U81" s="30"/>
      <c r="V81" s="17">
        <v>0</v>
      </c>
      <c r="W81" s="17">
        <v>0</v>
      </c>
      <c r="X81" s="13">
        <f t="shared" si="80"/>
        <v>0</v>
      </c>
      <c r="Y81" s="16">
        <v>0</v>
      </c>
      <c r="Z81" s="17">
        <v>0</v>
      </c>
      <c r="AA81" s="29">
        <f>X81+Y81</f>
        <v>0</v>
      </c>
      <c r="AB81" s="30"/>
      <c r="AC81" s="16">
        <v>0</v>
      </c>
      <c r="AD81" s="17">
        <v>0</v>
      </c>
      <c r="AE81" s="13">
        <f>AA81+AC81</f>
        <v>0</v>
      </c>
      <c r="AF81" s="30"/>
      <c r="AG81" s="129">
        <v>0</v>
      </c>
      <c r="AH81" s="17">
        <v>0</v>
      </c>
      <c r="AI81" s="13">
        <f>AE81+AG81</f>
        <v>0</v>
      </c>
      <c r="AJ81" s="30"/>
      <c r="AK81" s="16"/>
      <c r="AL81" s="17">
        <v>0</v>
      </c>
      <c r="AM81" s="13">
        <f>AI81+AK81</f>
        <v>0</v>
      </c>
      <c r="AN81" s="30"/>
      <c r="AO81" s="16">
        <v>0</v>
      </c>
      <c r="AP81" s="17">
        <v>0</v>
      </c>
      <c r="AQ81" s="13">
        <f>AM81+AO81</f>
        <v>0</v>
      </c>
      <c r="AR81" s="30"/>
      <c r="AS81" s="16">
        <v>0</v>
      </c>
      <c r="AT81" s="17">
        <v>0</v>
      </c>
      <c r="AU81" s="13">
        <f t="shared" si="31"/>
        <v>0</v>
      </c>
      <c r="AV81" s="30"/>
    </row>
    <row r="82" spans="1:48" x14ac:dyDescent="0.25">
      <c r="A82" s="14"/>
      <c r="B82" s="15"/>
      <c r="C82" s="17"/>
      <c r="D82" s="17"/>
      <c r="E82" s="17">
        <f t="shared" si="64"/>
        <v>0</v>
      </c>
      <c r="F82" s="30"/>
      <c r="G82" s="17"/>
      <c r="H82" s="17"/>
      <c r="I82" s="13"/>
      <c r="J82" s="16"/>
      <c r="K82" s="17"/>
      <c r="L82" s="13"/>
      <c r="M82" s="30"/>
      <c r="N82" s="16"/>
      <c r="O82" s="17"/>
      <c r="P82" s="13"/>
      <c r="Q82" s="30"/>
      <c r="R82" s="18"/>
      <c r="S82" s="17"/>
      <c r="T82" s="17">
        <f t="shared" si="79"/>
        <v>0</v>
      </c>
      <c r="U82" s="30"/>
      <c r="V82" s="17"/>
      <c r="W82" s="17"/>
      <c r="X82" s="13"/>
      <c r="Y82" s="16"/>
      <c r="Z82" s="17"/>
      <c r="AA82" s="29"/>
      <c r="AB82" s="30"/>
      <c r="AC82" s="16"/>
      <c r="AD82" s="17"/>
      <c r="AE82" s="13"/>
      <c r="AF82" s="30"/>
      <c r="AG82" s="129"/>
      <c r="AH82" s="17"/>
      <c r="AI82" s="13"/>
      <c r="AJ82" s="30"/>
      <c r="AK82" s="16"/>
      <c r="AL82" s="17"/>
      <c r="AM82" s="13"/>
      <c r="AN82" s="30"/>
      <c r="AO82" s="16"/>
      <c r="AP82" s="17"/>
      <c r="AQ82" s="13"/>
      <c r="AR82" s="30"/>
      <c r="AS82" s="16"/>
      <c r="AT82" s="17"/>
      <c r="AU82" s="13">
        <f t="shared" si="31"/>
        <v>0</v>
      </c>
      <c r="AV82" s="30"/>
    </row>
    <row r="83" spans="1:48" x14ac:dyDescent="0.25">
      <c r="A83" s="14" t="s">
        <v>90</v>
      </c>
      <c r="B83" s="15" t="s">
        <v>91</v>
      </c>
      <c r="C83" s="17">
        <f>+C85+C86+C87+C88</f>
        <v>860692</v>
      </c>
      <c r="D83" s="17">
        <v>0</v>
      </c>
      <c r="E83" s="17">
        <f t="shared" si="64"/>
        <v>860692</v>
      </c>
      <c r="F83" s="19"/>
      <c r="G83" s="17">
        <f>G85+G86+G88+G87</f>
        <v>1323528</v>
      </c>
      <c r="H83" s="17">
        <v>0</v>
      </c>
      <c r="I83" s="13">
        <f t="shared" si="72"/>
        <v>2184220</v>
      </c>
      <c r="J83" s="16">
        <f>+J85+J86+J87+J88</f>
        <v>387424</v>
      </c>
      <c r="K83" s="17">
        <v>0</v>
      </c>
      <c r="L83" s="13">
        <f>I83+J83</f>
        <v>2571644</v>
      </c>
      <c r="M83" s="19"/>
      <c r="N83" s="16">
        <f>+N85+N86+N87+N88</f>
        <v>0</v>
      </c>
      <c r="O83" s="17">
        <v>0</v>
      </c>
      <c r="P83" s="13">
        <f>L83+N83</f>
        <v>2571644</v>
      </c>
      <c r="Q83" s="19"/>
      <c r="R83" s="18">
        <f>+R85+R86+R87+R88</f>
        <v>130709</v>
      </c>
      <c r="S83" s="17">
        <v>0</v>
      </c>
      <c r="T83" s="17">
        <f t="shared" si="79"/>
        <v>2702353</v>
      </c>
      <c r="U83" s="30"/>
      <c r="V83" s="17">
        <f>V85+V86+V88</f>
        <v>2136926</v>
      </c>
      <c r="W83" s="17">
        <v>0</v>
      </c>
      <c r="X83" s="13">
        <f t="shared" ref="X83:X88" si="81">T83+V83</f>
        <v>4839279</v>
      </c>
      <c r="Y83" s="16">
        <f>+Y85+Y86+Y87+Y88</f>
        <v>185600</v>
      </c>
      <c r="Z83" s="17">
        <v>0</v>
      </c>
      <c r="AA83" s="29">
        <f>X83+Y83</f>
        <v>5024879</v>
      </c>
      <c r="AB83" s="30"/>
      <c r="AC83" s="16">
        <f>+AC85+AC86+AC87+AC88</f>
        <v>35000</v>
      </c>
      <c r="AD83" s="17">
        <v>0</v>
      </c>
      <c r="AE83" s="13">
        <f>AA83+AC83</f>
        <v>5059879</v>
      </c>
      <c r="AF83" s="30"/>
      <c r="AG83" s="129">
        <f>+AG85+AG86+AG87+AG88+AG84</f>
        <v>329820</v>
      </c>
      <c r="AH83" s="17">
        <v>0</v>
      </c>
      <c r="AI83" s="13">
        <f>AE83+AG83</f>
        <v>5389699</v>
      </c>
      <c r="AJ83" s="30"/>
      <c r="AK83" s="16">
        <f>+AK85+AK86+AK87+AK88</f>
        <v>82850</v>
      </c>
      <c r="AL83" s="17">
        <v>0</v>
      </c>
      <c r="AM83" s="13">
        <f>AI83+AK83</f>
        <v>5472549</v>
      </c>
      <c r="AN83" s="30"/>
      <c r="AO83" s="16">
        <f>+AO85+AO86+AO87+AO88</f>
        <v>2241508</v>
      </c>
      <c r="AP83" s="17">
        <v>0</v>
      </c>
      <c r="AQ83" s="13">
        <f t="shared" ref="AQ83:AQ88" si="82">AM83+AO83</f>
        <v>7714057</v>
      </c>
      <c r="AR83" s="30"/>
      <c r="AS83" s="16">
        <f>+AS85+AS86+AS87+AS88</f>
        <v>634124</v>
      </c>
      <c r="AT83" s="17">
        <v>0</v>
      </c>
      <c r="AU83" s="13">
        <f t="shared" si="31"/>
        <v>8348181</v>
      </c>
      <c r="AV83" s="30"/>
    </row>
    <row r="84" spans="1:48" x14ac:dyDescent="0.25">
      <c r="A84" s="14">
        <v>514510</v>
      </c>
      <c r="B84" s="15" t="s">
        <v>347</v>
      </c>
      <c r="C84" s="17"/>
      <c r="D84" s="17"/>
      <c r="E84" s="17"/>
      <c r="F84" s="30"/>
      <c r="G84" s="17"/>
      <c r="H84" s="17"/>
      <c r="I84" s="13"/>
      <c r="J84" s="16"/>
      <c r="K84" s="17"/>
      <c r="L84" s="13"/>
      <c r="M84" s="30"/>
      <c r="N84" s="16"/>
      <c r="O84" s="17"/>
      <c r="P84" s="13"/>
      <c r="Q84" s="30"/>
      <c r="R84" s="18"/>
      <c r="S84" s="17"/>
      <c r="T84" s="17"/>
      <c r="U84" s="30"/>
      <c r="V84" s="17"/>
      <c r="W84" s="17"/>
      <c r="X84" s="13"/>
      <c r="Y84" s="16"/>
      <c r="Z84" s="17"/>
      <c r="AA84" s="29"/>
      <c r="AB84" s="30"/>
      <c r="AC84" s="16"/>
      <c r="AD84" s="17"/>
      <c r="AE84" s="13"/>
      <c r="AF84" s="30"/>
      <c r="AG84" s="129">
        <v>79920</v>
      </c>
      <c r="AH84" s="17"/>
      <c r="AI84" s="13">
        <f t="shared" ref="AI84:AI87" si="83">AE84+AG84</f>
        <v>79920</v>
      </c>
      <c r="AJ84" s="30"/>
      <c r="AK84" s="16"/>
      <c r="AL84" s="17"/>
      <c r="AM84" s="13">
        <f t="shared" ref="AM84:AM86" si="84">AI84+AK84</f>
        <v>79920</v>
      </c>
      <c r="AN84" s="30"/>
      <c r="AO84" s="16"/>
      <c r="AP84" s="17"/>
      <c r="AQ84" s="13">
        <f t="shared" si="82"/>
        <v>79920</v>
      </c>
      <c r="AR84" s="30"/>
      <c r="AS84" s="16"/>
      <c r="AT84" s="17"/>
      <c r="AU84" s="13">
        <f t="shared" si="31"/>
        <v>79920</v>
      </c>
      <c r="AV84" s="30"/>
    </row>
    <row r="85" spans="1:48" x14ac:dyDescent="0.25">
      <c r="A85" s="14" t="s">
        <v>92</v>
      </c>
      <c r="B85" s="15" t="s">
        <v>93</v>
      </c>
      <c r="C85" s="17">
        <v>529654</v>
      </c>
      <c r="D85" s="17">
        <v>0</v>
      </c>
      <c r="E85" s="17">
        <f t="shared" si="64"/>
        <v>529654</v>
      </c>
      <c r="F85" s="19"/>
      <c r="G85" s="17">
        <v>543028</v>
      </c>
      <c r="H85" s="17">
        <v>0</v>
      </c>
      <c r="I85" s="13">
        <f t="shared" si="72"/>
        <v>1072682</v>
      </c>
      <c r="J85" s="16">
        <v>330021</v>
      </c>
      <c r="K85" s="17">
        <v>0</v>
      </c>
      <c r="L85" s="13">
        <f>I85+J85</f>
        <v>1402703</v>
      </c>
      <c r="M85" s="19"/>
      <c r="N85" s="16">
        <v>0</v>
      </c>
      <c r="O85" s="17">
        <v>0</v>
      </c>
      <c r="P85" s="13">
        <f>L85+N85</f>
        <v>1402703</v>
      </c>
      <c r="Q85" s="19"/>
      <c r="R85" s="18">
        <v>109709</v>
      </c>
      <c r="S85" s="17">
        <v>0</v>
      </c>
      <c r="T85" s="17">
        <f t="shared" si="79"/>
        <v>1512412</v>
      </c>
      <c r="U85" s="30"/>
      <c r="V85" s="17">
        <v>989168</v>
      </c>
      <c r="W85" s="17">
        <v>0</v>
      </c>
      <c r="X85" s="13">
        <f t="shared" si="81"/>
        <v>2501580</v>
      </c>
      <c r="Y85" s="16">
        <v>88000</v>
      </c>
      <c r="Z85" s="17">
        <v>0</v>
      </c>
      <c r="AA85" s="29">
        <f>X85+Y85</f>
        <v>2589580</v>
      </c>
      <c r="AB85" s="30"/>
      <c r="AC85" s="16">
        <v>0</v>
      </c>
      <c r="AD85" s="17">
        <v>0</v>
      </c>
      <c r="AE85" s="13">
        <f>AA85+AC85</f>
        <v>2589580</v>
      </c>
      <c r="AF85" s="30"/>
      <c r="AG85" s="129">
        <v>0</v>
      </c>
      <c r="AH85" s="17">
        <v>0</v>
      </c>
      <c r="AI85" s="13">
        <f t="shared" si="83"/>
        <v>2589580</v>
      </c>
      <c r="AJ85" s="30"/>
      <c r="AK85" s="16">
        <v>67850</v>
      </c>
      <c r="AL85" s="17">
        <v>0</v>
      </c>
      <c r="AM85" s="13">
        <f t="shared" si="84"/>
        <v>2657430</v>
      </c>
      <c r="AN85" s="30"/>
      <c r="AO85" s="16">
        <v>2116100</v>
      </c>
      <c r="AP85" s="17">
        <v>0</v>
      </c>
      <c r="AQ85" s="13">
        <f t="shared" si="82"/>
        <v>4773530</v>
      </c>
      <c r="AR85" s="30"/>
      <c r="AS85" s="16">
        <v>296124</v>
      </c>
      <c r="AT85" s="17">
        <v>0</v>
      </c>
      <c r="AU85" s="13">
        <f t="shared" si="31"/>
        <v>5069654</v>
      </c>
      <c r="AV85" s="30"/>
    </row>
    <row r="86" spans="1:48" x14ac:dyDescent="0.25">
      <c r="A86" s="14" t="s">
        <v>94</v>
      </c>
      <c r="B86" s="15" t="s">
        <v>95</v>
      </c>
      <c r="C86" s="17">
        <v>0</v>
      </c>
      <c r="D86" s="17">
        <v>0</v>
      </c>
      <c r="E86" s="17">
        <f t="shared" si="64"/>
        <v>0</v>
      </c>
      <c r="F86" s="19"/>
      <c r="G86" s="17">
        <v>400000</v>
      </c>
      <c r="H86" s="17">
        <v>0</v>
      </c>
      <c r="I86" s="13">
        <f t="shared" si="72"/>
        <v>400000</v>
      </c>
      <c r="J86" s="16">
        <v>0</v>
      </c>
      <c r="K86" s="17">
        <v>0</v>
      </c>
      <c r="L86" s="13">
        <f>I86+J86</f>
        <v>400000</v>
      </c>
      <c r="M86" s="19"/>
      <c r="N86" s="16">
        <v>0</v>
      </c>
      <c r="O86" s="17">
        <v>0</v>
      </c>
      <c r="P86" s="13">
        <f>L86+N86</f>
        <v>400000</v>
      </c>
      <c r="Q86" s="19"/>
      <c r="R86" s="18">
        <v>0</v>
      </c>
      <c r="S86" s="17">
        <v>0</v>
      </c>
      <c r="T86" s="17">
        <f t="shared" si="79"/>
        <v>400000</v>
      </c>
      <c r="U86" s="30"/>
      <c r="V86" s="17">
        <v>0</v>
      </c>
      <c r="W86" s="17">
        <v>0</v>
      </c>
      <c r="X86" s="13">
        <f t="shared" si="81"/>
        <v>400000</v>
      </c>
      <c r="Y86" s="16">
        <v>13000</v>
      </c>
      <c r="Z86" s="17">
        <v>0</v>
      </c>
      <c r="AA86" s="29">
        <f t="shared" ref="AA86:AA88" si="85">X86+Y86</f>
        <v>413000</v>
      </c>
      <c r="AB86" s="30"/>
      <c r="AC86" s="16">
        <v>0</v>
      </c>
      <c r="AD86" s="17">
        <v>0</v>
      </c>
      <c r="AE86" s="13">
        <f>AA86+AC86</f>
        <v>413000</v>
      </c>
      <c r="AF86" s="30"/>
      <c r="AG86" s="129">
        <v>0</v>
      </c>
      <c r="AH86" s="17">
        <v>0</v>
      </c>
      <c r="AI86" s="13">
        <f t="shared" si="83"/>
        <v>413000</v>
      </c>
      <c r="AJ86" s="30"/>
      <c r="AK86" s="16"/>
      <c r="AL86" s="17">
        <v>0</v>
      </c>
      <c r="AM86" s="13">
        <f t="shared" si="84"/>
        <v>413000</v>
      </c>
      <c r="AN86" s="30"/>
      <c r="AO86" s="16">
        <v>0</v>
      </c>
      <c r="AP86" s="17">
        <v>0</v>
      </c>
      <c r="AQ86" s="13">
        <f t="shared" si="82"/>
        <v>413000</v>
      </c>
      <c r="AR86" s="30"/>
      <c r="AS86" s="16">
        <v>0</v>
      </c>
      <c r="AT86" s="17">
        <v>0</v>
      </c>
      <c r="AU86" s="13">
        <f t="shared" si="31"/>
        <v>413000</v>
      </c>
      <c r="AV86" s="30"/>
    </row>
    <row r="87" spans="1:48" ht="21" customHeight="1" x14ac:dyDescent="0.25">
      <c r="A87" s="14" t="s">
        <v>152</v>
      </c>
      <c r="B87" s="15" t="s">
        <v>143</v>
      </c>
      <c r="C87" s="17">
        <v>0</v>
      </c>
      <c r="D87" s="17">
        <v>0</v>
      </c>
      <c r="E87" s="17">
        <f t="shared" si="64"/>
        <v>0</v>
      </c>
      <c r="F87" s="19"/>
      <c r="G87" s="17">
        <v>70000</v>
      </c>
      <c r="H87" s="17">
        <v>0</v>
      </c>
      <c r="I87" s="13">
        <f t="shared" si="72"/>
        <v>70000</v>
      </c>
      <c r="J87" s="16">
        <v>57403</v>
      </c>
      <c r="K87" s="17">
        <v>0</v>
      </c>
      <c r="L87" s="13">
        <f>I87+J87</f>
        <v>127403</v>
      </c>
      <c r="M87" s="19"/>
      <c r="N87" s="16">
        <v>0</v>
      </c>
      <c r="O87" s="17">
        <v>0</v>
      </c>
      <c r="P87" s="13">
        <f>L87+N87</f>
        <v>127403</v>
      </c>
      <c r="Q87" s="19"/>
      <c r="R87" s="18">
        <v>0</v>
      </c>
      <c r="S87" s="17">
        <v>0</v>
      </c>
      <c r="T87" s="17">
        <f t="shared" si="79"/>
        <v>127403</v>
      </c>
      <c r="U87" s="30"/>
      <c r="V87" s="17">
        <v>0</v>
      </c>
      <c r="W87" s="17">
        <v>0</v>
      </c>
      <c r="X87" s="13">
        <f t="shared" si="81"/>
        <v>127403</v>
      </c>
      <c r="Y87" s="16">
        <v>0</v>
      </c>
      <c r="Z87" s="17">
        <v>0</v>
      </c>
      <c r="AA87" s="29">
        <f t="shared" si="85"/>
        <v>127403</v>
      </c>
      <c r="AB87" s="30"/>
      <c r="AC87" s="16">
        <v>35000</v>
      </c>
      <c r="AD87" s="17">
        <v>0</v>
      </c>
      <c r="AE87" s="13">
        <f>AA87+AC87</f>
        <v>162403</v>
      </c>
      <c r="AF87" s="30"/>
      <c r="AG87" s="129"/>
      <c r="AH87" s="17">
        <v>0</v>
      </c>
      <c r="AI87" s="13">
        <f t="shared" si="83"/>
        <v>162403</v>
      </c>
      <c r="AJ87" s="30"/>
      <c r="AK87" s="16">
        <v>15000</v>
      </c>
      <c r="AL87" s="17">
        <v>0</v>
      </c>
      <c r="AM87" s="13">
        <f>AI87+AK87</f>
        <v>177403</v>
      </c>
      <c r="AN87" s="30"/>
      <c r="AO87" s="16">
        <v>0</v>
      </c>
      <c r="AP87" s="17">
        <v>0</v>
      </c>
      <c r="AQ87" s="13">
        <f t="shared" si="82"/>
        <v>177403</v>
      </c>
      <c r="AR87" s="30"/>
      <c r="AS87" s="16">
        <v>140000</v>
      </c>
      <c r="AT87" s="17">
        <v>0</v>
      </c>
      <c r="AU87" s="13">
        <f t="shared" si="31"/>
        <v>317403</v>
      </c>
      <c r="AV87" s="30"/>
    </row>
    <row r="88" spans="1:48" x14ac:dyDescent="0.25">
      <c r="A88" s="14" t="s">
        <v>96</v>
      </c>
      <c r="B88" s="15" t="s">
        <v>97</v>
      </c>
      <c r="C88" s="17">
        <v>331038</v>
      </c>
      <c r="D88" s="17">
        <v>0</v>
      </c>
      <c r="E88" s="17">
        <f t="shared" si="64"/>
        <v>331038</v>
      </c>
      <c r="F88" s="19"/>
      <c r="G88" s="17">
        <v>310500</v>
      </c>
      <c r="H88" s="17">
        <v>0</v>
      </c>
      <c r="I88" s="13">
        <f t="shared" si="72"/>
        <v>641538</v>
      </c>
      <c r="J88" s="16">
        <v>0</v>
      </c>
      <c r="K88" s="17">
        <v>0</v>
      </c>
      <c r="L88" s="13">
        <f>I88+J88</f>
        <v>641538</v>
      </c>
      <c r="M88" s="19"/>
      <c r="N88" s="16">
        <v>0</v>
      </c>
      <c r="O88" s="17">
        <v>0</v>
      </c>
      <c r="P88" s="13">
        <f>L88+N88</f>
        <v>641538</v>
      </c>
      <c r="Q88" s="19"/>
      <c r="R88" s="18">
        <v>21000</v>
      </c>
      <c r="S88" s="17">
        <v>0</v>
      </c>
      <c r="T88" s="17">
        <f t="shared" si="79"/>
        <v>662538</v>
      </c>
      <c r="U88" s="30"/>
      <c r="V88" s="17">
        <v>1147758</v>
      </c>
      <c r="W88" s="17">
        <v>0</v>
      </c>
      <c r="X88" s="13">
        <f t="shared" si="81"/>
        <v>1810296</v>
      </c>
      <c r="Y88" s="16">
        <v>84600</v>
      </c>
      <c r="Z88" s="17">
        <v>0</v>
      </c>
      <c r="AA88" s="29">
        <f t="shared" si="85"/>
        <v>1894896</v>
      </c>
      <c r="AB88" s="30"/>
      <c r="AC88" s="16">
        <v>0</v>
      </c>
      <c r="AD88" s="17">
        <v>0</v>
      </c>
      <c r="AE88" s="13">
        <f>AA88+AC88</f>
        <v>1894896</v>
      </c>
      <c r="AF88" s="30"/>
      <c r="AG88" s="129">
        <v>249900</v>
      </c>
      <c r="AH88" s="17">
        <v>0</v>
      </c>
      <c r="AI88" s="13">
        <f>AE88+AG88</f>
        <v>2144796</v>
      </c>
      <c r="AJ88" s="30"/>
      <c r="AK88" s="16">
        <v>0</v>
      </c>
      <c r="AL88" s="17">
        <v>0</v>
      </c>
      <c r="AM88" s="13">
        <f>AI88+AK88</f>
        <v>2144796</v>
      </c>
      <c r="AN88" s="30"/>
      <c r="AO88" s="16">
        <v>125408</v>
      </c>
      <c r="AP88" s="17">
        <v>0</v>
      </c>
      <c r="AQ88" s="13">
        <f t="shared" si="82"/>
        <v>2270204</v>
      </c>
      <c r="AR88" s="30"/>
      <c r="AS88" s="16">
        <v>198000</v>
      </c>
      <c r="AT88" s="17">
        <v>0</v>
      </c>
      <c r="AU88" s="13">
        <f t="shared" si="31"/>
        <v>2468204</v>
      </c>
      <c r="AV88" s="30"/>
    </row>
    <row r="89" spans="1:48" x14ac:dyDescent="0.25">
      <c r="E89" s="17">
        <f t="shared" si="64"/>
        <v>0</v>
      </c>
      <c r="R89" s="128"/>
      <c r="T89" s="17">
        <f t="shared" si="79"/>
        <v>0</v>
      </c>
      <c r="AU89" s="13">
        <f t="shared" si="31"/>
        <v>0</v>
      </c>
    </row>
    <row r="90" spans="1:48" x14ac:dyDescent="0.25">
      <c r="A90" s="14" t="s">
        <v>98</v>
      </c>
      <c r="B90" s="15" t="s">
        <v>99</v>
      </c>
      <c r="C90" s="17">
        <f>+C91+C92+C93+C94</f>
        <v>0</v>
      </c>
      <c r="D90" s="17">
        <v>0</v>
      </c>
      <c r="E90" s="17">
        <f t="shared" si="64"/>
        <v>0</v>
      </c>
      <c r="F90" s="19"/>
      <c r="G90" s="17">
        <f>+G91+G92+G93+G94</f>
        <v>185798</v>
      </c>
      <c r="H90" s="17">
        <v>0</v>
      </c>
      <c r="I90" s="13">
        <f t="shared" si="72"/>
        <v>185798</v>
      </c>
      <c r="J90" s="16">
        <f>+J91+J92+J93</f>
        <v>251815</v>
      </c>
      <c r="K90" s="17">
        <v>0</v>
      </c>
      <c r="L90" s="13">
        <f>I90+J90</f>
        <v>437613</v>
      </c>
      <c r="M90" s="19"/>
      <c r="N90" s="16">
        <f>N94+N93</f>
        <v>1079764</v>
      </c>
      <c r="O90" s="17">
        <v>0</v>
      </c>
      <c r="P90" s="13">
        <f>L90+N90</f>
        <v>1517377</v>
      </c>
      <c r="Q90" s="19"/>
      <c r="R90" s="18">
        <v>0</v>
      </c>
      <c r="S90" s="17">
        <v>0</v>
      </c>
      <c r="T90" s="17">
        <f t="shared" si="79"/>
        <v>1517377</v>
      </c>
      <c r="U90" s="30"/>
      <c r="V90" s="17">
        <f>+V91+V92+V93+V94</f>
        <v>0</v>
      </c>
      <c r="W90" s="17">
        <v>0</v>
      </c>
      <c r="X90" s="13">
        <f t="shared" ref="X90:X102" si="86">T90+V90</f>
        <v>1517377</v>
      </c>
      <c r="Y90" s="16">
        <f>+Y91+Y92+Y93</f>
        <v>11177</v>
      </c>
      <c r="Z90" s="17">
        <v>0</v>
      </c>
      <c r="AA90" s="29">
        <f>X90+Y90</f>
        <v>1528554</v>
      </c>
      <c r="AB90" s="30"/>
      <c r="AC90" s="16">
        <f>+AC91+AC92+AC93+AC94</f>
        <v>65589</v>
      </c>
      <c r="AD90" s="17">
        <v>0</v>
      </c>
      <c r="AE90" s="13">
        <f>AA90+AC90</f>
        <v>1594143</v>
      </c>
      <c r="AF90" s="30"/>
      <c r="AG90" s="129">
        <f>+AG91+AG92+AG93+AG94</f>
        <v>0</v>
      </c>
      <c r="AH90" s="17">
        <v>0</v>
      </c>
      <c r="AI90" s="13">
        <f>AE90+AG90</f>
        <v>1594143</v>
      </c>
      <c r="AJ90" s="30"/>
      <c r="AK90" s="16">
        <f>+AK91+AK92+AK93+AK94</f>
        <v>562294</v>
      </c>
      <c r="AL90" s="17">
        <v>0</v>
      </c>
      <c r="AM90" s="13">
        <f>AI90+AK90</f>
        <v>2156437</v>
      </c>
      <c r="AN90" s="30"/>
      <c r="AO90" s="16">
        <f>+AO91+AO92+AO93+AO94</f>
        <v>273728</v>
      </c>
      <c r="AP90" s="17">
        <v>0</v>
      </c>
      <c r="AQ90" s="13">
        <f>AM90+AO90</f>
        <v>2430165</v>
      </c>
      <c r="AR90" s="30"/>
      <c r="AS90" s="16">
        <f>+AS91+AS92+AS93+AS94</f>
        <v>0</v>
      </c>
      <c r="AT90" s="17">
        <v>0</v>
      </c>
      <c r="AU90" s="13">
        <f t="shared" si="31"/>
        <v>2430165</v>
      </c>
      <c r="AV90" s="30"/>
    </row>
    <row r="91" spans="1:48" x14ac:dyDescent="0.25">
      <c r="A91" s="14">
        <v>515005</v>
      </c>
      <c r="B91" s="15" t="s">
        <v>166</v>
      </c>
      <c r="C91" s="17">
        <v>0</v>
      </c>
      <c r="D91" s="17">
        <v>0</v>
      </c>
      <c r="E91" s="17">
        <f t="shared" si="64"/>
        <v>0</v>
      </c>
      <c r="F91" s="19"/>
      <c r="G91" s="17">
        <v>0</v>
      </c>
      <c r="H91" s="17">
        <v>0</v>
      </c>
      <c r="I91" s="13">
        <f t="shared" si="72"/>
        <v>0</v>
      </c>
      <c r="J91" s="16">
        <v>0</v>
      </c>
      <c r="K91" s="17">
        <v>0</v>
      </c>
      <c r="L91" s="13">
        <f>I91+J91</f>
        <v>0</v>
      </c>
      <c r="M91" s="19"/>
      <c r="N91" s="16">
        <v>0</v>
      </c>
      <c r="O91" s="17">
        <v>0</v>
      </c>
      <c r="P91" s="13">
        <f>L91+N91</f>
        <v>0</v>
      </c>
      <c r="Q91" s="19"/>
      <c r="R91" s="18">
        <v>0</v>
      </c>
      <c r="S91" s="17">
        <v>0</v>
      </c>
      <c r="T91" s="17">
        <f t="shared" si="79"/>
        <v>0</v>
      </c>
      <c r="U91" s="30"/>
      <c r="V91" s="17">
        <v>0</v>
      </c>
      <c r="W91" s="17">
        <v>0</v>
      </c>
      <c r="X91" s="13">
        <f t="shared" si="86"/>
        <v>0</v>
      </c>
      <c r="Y91" s="16">
        <v>11177</v>
      </c>
      <c r="Z91" s="17">
        <v>0</v>
      </c>
      <c r="AA91" s="29">
        <f>X91+Y91</f>
        <v>11177</v>
      </c>
      <c r="AB91" s="30"/>
      <c r="AC91" s="16">
        <v>0</v>
      </c>
      <c r="AD91" s="17">
        <v>0</v>
      </c>
      <c r="AE91" s="13">
        <f>AA91+AC91</f>
        <v>11177</v>
      </c>
      <c r="AF91" s="30"/>
      <c r="AG91" s="129">
        <v>0</v>
      </c>
      <c r="AH91" s="17">
        <v>0</v>
      </c>
      <c r="AI91" s="13">
        <f>AE91+AG91</f>
        <v>11177</v>
      </c>
      <c r="AJ91" s="30"/>
      <c r="AK91" s="16">
        <v>0</v>
      </c>
      <c r="AL91" s="17">
        <v>0</v>
      </c>
      <c r="AM91" s="13">
        <f>AI91+AK91</f>
        <v>11177</v>
      </c>
      <c r="AN91" s="30"/>
      <c r="AO91" s="16">
        <v>0</v>
      </c>
      <c r="AP91" s="17">
        <v>0</v>
      </c>
      <c r="AQ91" s="13">
        <f>AM91+AO91</f>
        <v>11177</v>
      </c>
      <c r="AR91" s="30"/>
      <c r="AS91" s="16">
        <v>0</v>
      </c>
      <c r="AT91" s="17">
        <v>0</v>
      </c>
      <c r="AU91" s="13">
        <f t="shared" ref="AU91:AU149" si="87">AQ91+AS91</f>
        <v>11177</v>
      </c>
      <c r="AV91" s="30"/>
    </row>
    <row r="92" spans="1:48" x14ac:dyDescent="0.25">
      <c r="A92" s="14">
        <v>515010</v>
      </c>
      <c r="B92" s="15" t="s">
        <v>167</v>
      </c>
      <c r="C92" s="17">
        <v>0</v>
      </c>
      <c r="D92" s="17">
        <v>0</v>
      </c>
      <c r="E92" s="17">
        <f t="shared" si="64"/>
        <v>0</v>
      </c>
      <c r="F92" s="19"/>
      <c r="G92" s="17">
        <v>0</v>
      </c>
      <c r="H92" s="17">
        <v>0</v>
      </c>
      <c r="I92" s="13">
        <f t="shared" si="72"/>
        <v>0</v>
      </c>
      <c r="J92" s="16">
        <v>0</v>
      </c>
      <c r="K92" s="17">
        <v>0</v>
      </c>
      <c r="L92" s="13">
        <f>I92+J92</f>
        <v>0</v>
      </c>
      <c r="M92" s="19"/>
      <c r="N92" s="16">
        <v>0</v>
      </c>
      <c r="O92" s="17">
        <v>0</v>
      </c>
      <c r="P92" s="13">
        <f>L92+N92</f>
        <v>0</v>
      </c>
      <c r="Q92" s="19"/>
      <c r="R92" s="18">
        <v>0</v>
      </c>
      <c r="S92" s="17">
        <v>0</v>
      </c>
      <c r="T92" s="17">
        <f t="shared" si="79"/>
        <v>0</v>
      </c>
      <c r="U92" s="30"/>
      <c r="V92" s="17">
        <v>0</v>
      </c>
      <c r="W92" s="17">
        <v>0</v>
      </c>
      <c r="X92" s="13">
        <f t="shared" si="86"/>
        <v>0</v>
      </c>
      <c r="Y92" s="16">
        <v>0</v>
      </c>
      <c r="Z92" s="17">
        <v>0</v>
      </c>
      <c r="AA92" s="29">
        <f>X92+Y92</f>
        <v>0</v>
      </c>
      <c r="AB92" s="30"/>
      <c r="AC92" s="16">
        <v>0</v>
      </c>
      <c r="AD92" s="17">
        <v>0</v>
      </c>
      <c r="AE92" s="13">
        <f>AA92+AC92</f>
        <v>0</v>
      </c>
      <c r="AF92" s="30"/>
      <c r="AG92" s="129">
        <v>0</v>
      </c>
      <c r="AH92" s="17">
        <v>0</v>
      </c>
      <c r="AI92" s="13">
        <f>AE92+AG92</f>
        <v>0</v>
      </c>
      <c r="AJ92" s="30"/>
      <c r="AK92" s="16">
        <v>0</v>
      </c>
      <c r="AL92" s="17">
        <v>0</v>
      </c>
      <c r="AM92" s="13">
        <f>AI92+AK92</f>
        <v>0</v>
      </c>
      <c r="AN92" s="30"/>
      <c r="AO92" s="16">
        <v>0</v>
      </c>
      <c r="AP92" s="17">
        <v>0</v>
      </c>
      <c r="AQ92" s="13">
        <f>AM92+AO92</f>
        <v>0</v>
      </c>
      <c r="AR92" s="30"/>
      <c r="AS92" s="16">
        <v>0</v>
      </c>
      <c r="AT92" s="17">
        <v>0</v>
      </c>
      <c r="AU92" s="13">
        <f t="shared" si="87"/>
        <v>0</v>
      </c>
      <c r="AV92" s="30"/>
    </row>
    <row r="93" spans="1:48" x14ac:dyDescent="0.25">
      <c r="A93" s="14">
        <v>515015</v>
      </c>
      <c r="B93" s="15" t="s">
        <v>168</v>
      </c>
      <c r="C93" s="17">
        <v>0</v>
      </c>
      <c r="D93" s="17">
        <v>0</v>
      </c>
      <c r="E93" s="17">
        <f t="shared" si="64"/>
        <v>0</v>
      </c>
      <c r="F93" s="19"/>
      <c r="G93" s="17">
        <v>185798</v>
      </c>
      <c r="H93" s="17">
        <v>0</v>
      </c>
      <c r="I93" s="13">
        <f t="shared" si="72"/>
        <v>185798</v>
      </c>
      <c r="J93" s="16">
        <v>251815</v>
      </c>
      <c r="K93" s="17">
        <v>0</v>
      </c>
      <c r="L93" s="13">
        <f>I93+J93</f>
        <v>437613</v>
      </c>
      <c r="M93" s="19"/>
      <c r="N93" s="16">
        <v>1055954</v>
      </c>
      <c r="O93" s="17">
        <v>0</v>
      </c>
      <c r="P93" s="13">
        <f>L93+N93</f>
        <v>1493567</v>
      </c>
      <c r="Q93" s="19"/>
      <c r="R93" s="18">
        <v>0</v>
      </c>
      <c r="S93" s="17">
        <v>0</v>
      </c>
      <c r="T93" s="17">
        <f t="shared" si="79"/>
        <v>1493567</v>
      </c>
      <c r="U93" s="30"/>
      <c r="V93" s="17">
        <v>0</v>
      </c>
      <c r="W93" s="17">
        <v>0</v>
      </c>
      <c r="X93" s="13">
        <f t="shared" si="86"/>
        <v>1493567</v>
      </c>
      <c r="Y93" s="16">
        <v>0</v>
      </c>
      <c r="Z93" s="17">
        <v>0</v>
      </c>
      <c r="AA93" s="29">
        <f>X93+Y93</f>
        <v>1493567</v>
      </c>
      <c r="AB93" s="30"/>
      <c r="AC93" s="16">
        <v>65589</v>
      </c>
      <c r="AD93" s="17">
        <v>0</v>
      </c>
      <c r="AE93" s="13">
        <f>AA93+AC93</f>
        <v>1559156</v>
      </c>
      <c r="AF93" s="30"/>
      <c r="AG93" s="129">
        <v>0</v>
      </c>
      <c r="AH93" s="17">
        <v>0</v>
      </c>
      <c r="AI93" s="13">
        <f>AE93+AG93</f>
        <v>1559156</v>
      </c>
      <c r="AJ93" s="30"/>
      <c r="AK93" s="16">
        <v>562294</v>
      </c>
      <c r="AL93" s="17">
        <v>0</v>
      </c>
      <c r="AM93" s="13">
        <f>AI93+AK93</f>
        <v>2121450</v>
      </c>
      <c r="AN93" s="30"/>
      <c r="AO93" s="16">
        <v>273728</v>
      </c>
      <c r="AP93" s="17">
        <v>0</v>
      </c>
      <c r="AQ93" s="13">
        <f>AM93+AO93</f>
        <v>2395178</v>
      </c>
      <c r="AR93" s="30"/>
      <c r="AS93" s="16"/>
      <c r="AT93" s="17">
        <v>0</v>
      </c>
      <c r="AU93" s="13">
        <f t="shared" si="87"/>
        <v>2395178</v>
      </c>
      <c r="AV93" s="30"/>
    </row>
    <row r="94" spans="1:48" x14ac:dyDescent="0.25">
      <c r="A94" s="14" t="s">
        <v>100</v>
      </c>
      <c r="B94" s="15" t="s">
        <v>73</v>
      </c>
      <c r="C94" s="17">
        <v>0</v>
      </c>
      <c r="D94" s="17">
        <v>0</v>
      </c>
      <c r="E94" s="17">
        <f t="shared" si="64"/>
        <v>0</v>
      </c>
      <c r="F94" s="19"/>
      <c r="G94" s="17">
        <v>0</v>
      </c>
      <c r="H94" s="17">
        <v>0</v>
      </c>
      <c r="I94" s="13">
        <f t="shared" si="72"/>
        <v>0</v>
      </c>
      <c r="J94" s="16">
        <v>0</v>
      </c>
      <c r="K94" s="17">
        <v>0</v>
      </c>
      <c r="L94" s="13">
        <f>I94+J94</f>
        <v>0</v>
      </c>
      <c r="M94" s="19"/>
      <c r="N94" s="16">
        <v>23810</v>
      </c>
      <c r="O94" s="17">
        <v>0</v>
      </c>
      <c r="P94" s="13">
        <f t="shared" ref="P94:P102" si="88">L94+N94</f>
        <v>23810</v>
      </c>
      <c r="Q94" s="19"/>
      <c r="R94" s="174">
        <v>0</v>
      </c>
      <c r="S94" s="17">
        <v>0</v>
      </c>
      <c r="T94" s="17">
        <f t="shared" si="79"/>
        <v>23810</v>
      </c>
      <c r="U94" s="30"/>
      <c r="V94" s="17">
        <v>0</v>
      </c>
      <c r="W94" s="17">
        <v>0</v>
      </c>
      <c r="X94" s="13">
        <f t="shared" si="86"/>
        <v>23810</v>
      </c>
      <c r="Y94" s="16">
        <v>0</v>
      </c>
      <c r="Z94" s="17">
        <v>0</v>
      </c>
      <c r="AA94" s="29">
        <f t="shared" ref="AA94:AA101" si="89">X94+Y94</f>
        <v>23810</v>
      </c>
      <c r="AB94" s="30"/>
      <c r="AC94" s="16">
        <v>0</v>
      </c>
      <c r="AD94" s="17">
        <v>0</v>
      </c>
      <c r="AE94" s="13">
        <f t="shared" ref="AE94:AE101" si="90">AA94+AC94</f>
        <v>23810</v>
      </c>
      <c r="AF94" s="30"/>
      <c r="AG94" s="129">
        <v>0</v>
      </c>
      <c r="AH94" s="17">
        <v>0</v>
      </c>
      <c r="AI94" s="13">
        <f t="shared" ref="AI94:AI104" si="91">AE94+AG94</f>
        <v>23810</v>
      </c>
      <c r="AJ94" s="30"/>
      <c r="AK94" s="16">
        <v>0</v>
      </c>
      <c r="AL94" s="17">
        <v>0</v>
      </c>
      <c r="AM94" s="13">
        <f>AI94+AK94</f>
        <v>23810</v>
      </c>
      <c r="AN94" s="30"/>
      <c r="AO94" s="16">
        <v>0</v>
      </c>
      <c r="AP94" s="17">
        <v>0</v>
      </c>
      <c r="AQ94" s="13">
        <f>AM94+AO94</f>
        <v>23810</v>
      </c>
      <c r="AR94" s="30"/>
      <c r="AS94" s="16">
        <v>0</v>
      </c>
      <c r="AT94" s="17">
        <v>0</v>
      </c>
      <c r="AU94" s="13">
        <f t="shared" si="87"/>
        <v>23810</v>
      </c>
      <c r="AV94" s="30"/>
    </row>
    <row r="95" spans="1:48" x14ac:dyDescent="0.25">
      <c r="A95" s="14"/>
      <c r="B95" s="15"/>
      <c r="C95" s="17"/>
      <c r="D95" s="17"/>
      <c r="E95" s="17">
        <f t="shared" si="64"/>
        <v>0</v>
      </c>
      <c r="F95" s="30"/>
      <c r="G95" s="17"/>
      <c r="H95" s="17"/>
      <c r="I95" s="13">
        <f t="shared" si="72"/>
        <v>0</v>
      </c>
      <c r="J95" s="16"/>
      <c r="K95" s="17"/>
      <c r="L95" s="13">
        <f t="shared" ref="L95:L101" si="92">I95+J95</f>
        <v>0</v>
      </c>
      <c r="M95" s="30"/>
      <c r="N95" s="16"/>
      <c r="O95" s="17"/>
      <c r="P95" s="13">
        <f t="shared" si="88"/>
        <v>0</v>
      </c>
      <c r="Q95" s="30"/>
      <c r="R95" s="174"/>
      <c r="S95" s="17"/>
      <c r="T95" s="17">
        <f t="shared" si="79"/>
        <v>0</v>
      </c>
      <c r="U95" s="30"/>
      <c r="V95" s="17"/>
      <c r="W95" s="17"/>
      <c r="X95" s="13">
        <f t="shared" si="86"/>
        <v>0</v>
      </c>
      <c r="Y95" s="16"/>
      <c r="Z95" s="17"/>
      <c r="AA95" s="29">
        <f t="shared" si="89"/>
        <v>0</v>
      </c>
      <c r="AB95" s="30"/>
      <c r="AC95" s="16"/>
      <c r="AD95" s="17"/>
      <c r="AE95" s="13">
        <f t="shared" si="90"/>
        <v>0</v>
      </c>
      <c r="AF95" s="30"/>
      <c r="AG95" s="129"/>
      <c r="AH95" s="17"/>
      <c r="AI95" s="13">
        <f t="shared" si="91"/>
        <v>0</v>
      </c>
      <c r="AJ95" s="30"/>
      <c r="AK95" s="16"/>
      <c r="AL95" s="17"/>
      <c r="AM95" s="13">
        <f t="shared" ref="AM95:AM104" si="93">AI95+AK95</f>
        <v>0</v>
      </c>
      <c r="AN95" s="30"/>
      <c r="AO95" s="16"/>
      <c r="AP95" s="17"/>
      <c r="AQ95" s="13">
        <f t="shared" ref="AQ95:AQ104" si="94">AM95+AO95</f>
        <v>0</v>
      </c>
      <c r="AR95" s="30"/>
      <c r="AS95" s="16"/>
      <c r="AT95" s="17"/>
      <c r="AU95" s="13">
        <f t="shared" si="87"/>
        <v>0</v>
      </c>
      <c r="AV95" s="30"/>
    </row>
    <row r="96" spans="1:48" x14ac:dyDescent="0.25">
      <c r="A96" s="14">
        <v>5160</v>
      </c>
      <c r="B96" s="15" t="s">
        <v>346</v>
      </c>
      <c r="C96" s="17">
        <f>+C97+C98+C99+C100+C101</f>
        <v>2941584</v>
      </c>
      <c r="D96" s="17"/>
      <c r="E96" s="17">
        <f t="shared" si="64"/>
        <v>2941584</v>
      </c>
      <c r="F96" s="30"/>
      <c r="G96" s="17">
        <f>+G97+G98+G99+G100+G101</f>
        <v>2941584</v>
      </c>
      <c r="H96" s="17"/>
      <c r="I96" s="13">
        <f t="shared" si="72"/>
        <v>5883168</v>
      </c>
      <c r="J96" s="17">
        <f>+J97+J98+J99+J100+J101</f>
        <v>2941584</v>
      </c>
      <c r="K96" s="17"/>
      <c r="L96" s="13">
        <f t="shared" si="92"/>
        <v>8824752</v>
      </c>
      <c r="M96" s="30"/>
      <c r="N96" s="17">
        <f>+N97+N98+N99+N100+N101</f>
        <v>2941584</v>
      </c>
      <c r="O96" s="17"/>
      <c r="P96" s="13">
        <f t="shared" si="88"/>
        <v>11766336</v>
      </c>
      <c r="Q96" s="30"/>
      <c r="R96" s="174">
        <f>+R97+R98+R99+R100+R101</f>
        <v>2941584</v>
      </c>
      <c r="S96" s="17"/>
      <c r="T96" s="17">
        <f t="shared" si="79"/>
        <v>14707920</v>
      </c>
      <c r="U96" s="30"/>
      <c r="V96" s="17">
        <f>+V97+V98+V99+V100+V101</f>
        <v>2941584</v>
      </c>
      <c r="W96" s="17"/>
      <c r="X96" s="13">
        <f t="shared" si="86"/>
        <v>17649504</v>
      </c>
      <c r="Y96" s="17">
        <f>+Y97+Y98+Y99+Y100+Y101</f>
        <v>2941584</v>
      </c>
      <c r="Z96" s="17"/>
      <c r="AA96" s="29">
        <f t="shared" si="89"/>
        <v>20591088</v>
      </c>
      <c r="AB96" s="30"/>
      <c r="AC96" s="16">
        <f>SUM(AC97:AC101)</f>
        <v>2941584</v>
      </c>
      <c r="AD96" s="17"/>
      <c r="AE96" s="13">
        <f t="shared" si="90"/>
        <v>23532672</v>
      </c>
      <c r="AF96" s="30"/>
      <c r="AG96" s="129">
        <f>SUM(AG97:AG101)</f>
        <v>2941584</v>
      </c>
      <c r="AH96" s="17"/>
      <c r="AI96" s="13">
        <f t="shared" si="91"/>
        <v>26474256</v>
      </c>
      <c r="AJ96" s="30"/>
      <c r="AK96" s="16">
        <f>SUM(AK97:AK101)</f>
        <v>2941584</v>
      </c>
      <c r="AL96" s="17"/>
      <c r="AM96" s="13">
        <f t="shared" si="93"/>
        <v>29415840</v>
      </c>
      <c r="AN96" s="30"/>
      <c r="AO96" s="16">
        <f>SUM(AO97:AO101)</f>
        <v>2941584</v>
      </c>
      <c r="AP96" s="17"/>
      <c r="AQ96" s="13">
        <f t="shared" si="94"/>
        <v>32357424</v>
      </c>
      <c r="AR96" s="30"/>
      <c r="AS96" s="16">
        <f>SUM(AS97:AS101)</f>
        <v>2941584</v>
      </c>
      <c r="AT96" s="17"/>
      <c r="AU96" s="13">
        <f t="shared" si="87"/>
        <v>35299008</v>
      </c>
      <c r="AV96" s="30"/>
    </row>
    <row r="97" spans="1:48" x14ac:dyDescent="0.25">
      <c r="A97" s="14">
        <v>516005</v>
      </c>
      <c r="B97" s="15" t="s">
        <v>347</v>
      </c>
      <c r="C97" s="167">
        <v>1588943</v>
      </c>
      <c r="D97" s="168"/>
      <c r="E97" s="168">
        <f t="shared" si="64"/>
        <v>1588943</v>
      </c>
      <c r="F97" s="169"/>
      <c r="G97" s="167">
        <v>1588943</v>
      </c>
      <c r="H97" s="168"/>
      <c r="I97" s="170">
        <f t="shared" si="72"/>
        <v>3177886</v>
      </c>
      <c r="J97" s="167">
        <v>1588943</v>
      </c>
      <c r="K97" s="168"/>
      <c r="L97" s="170">
        <f t="shared" si="92"/>
        <v>4766829</v>
      </c>
      <c r="M97" s="169"/>
      <c r="N97" s="167">
        <v>1588943</v>
      </c>
      <c r="O97" s="168"/>
      <c r="P97" s="170">
        <f t="shared" si="88"/>
        <v>6355772</v>
      </c>
      <c r="Q97" s="169"/>
      <c r="R97" s="174">
        <v>1588943</v>
      </c>
      <c r="S97" s="168"/>
      <c r="T97" s="168">
        <f t="shared" si="79"/>
        <v>7944715</v>
      </c>
      <c r="U97" s="169"/>
      <c r="V97" s="167">
        <v>1588943</v>
      </c>
      <c r="W97" s="168"/>
      <c r="X97" s="170">
        <f t="shared" si="86"/>
        <v>9533658</v>
      </c>
      <c r="Y97" s="167">
        <v>1588943</v>
      </c>
      <c r="Z97" s="168"/>
      <c r="AA97" s="171">
        <f t="shared" si="89"/>
        <v>11122601</v>
      </c>
      <c r="AB97" s="169"/>
      <c r="AC97" s="167">
        <v>1588943</v>
      </c>
      <c r="AD97" s="168"/>
      <c r="AE97" s="170">
        <f t="shared" si="90"/>
        <v>12711544</v>
      </c>
      <c r="AF97" s="169"/>
      <c r="AG97" s="129">
        <v>1588943</v>
      </c>
      <c r="AH97" s="168"/>
      <c r="AI97" s="170">
        <f t="shared" si="91"/>
        <v>14300487</v>
      </c>
      <c r="AJ97" s="169"/>
      <c r="AK97" s="172">
        <v>1588943</v>
      </c>
      <c r="AL97" s="168"/>
      <c r="AM97" s="170">
        <f t="shared" si="93"/>
        <v>15889430</v>
      </c>
      <c r="AN97" s="30"/>
      <c r="AO97" s="172">
        <v>1588943</v>
      </c>
      <c r="AP97" s="17"/>
      <c r="AQ97" s="13">
        <f t="shared" si="94"/>
        <v>17478373</v>
      </c>
      <c r="AR97" s="30"/>
      <c r="AS97" s="172">
        <v>1588943</v>
      </c>
      <c r="AT97" s="17"/>
      <c r="AU97" s="13">
        <f t="shared" si="87"/>
        <v>19067316</v>
      </c>
      <c r="AV97" s="30"/>
    </row>
    <row r="98" spans="1:48" x14ac:dyDescent="0.25">
      <c r="A98" s="14">
        <v>516010</v>
      </c>
      <c r="B98" s="15" t="s">
        <v>348</v>
      </c>
      <c r="C98" s="167">
        <v>749658</v>
      </c>
      <c r="D98" s="168"/>
      <c r="E98" s="168">
        <f t="shared" si="64"/>
        <v>749658</v>
      </c>
      <c r="F98" s="169"/>
      <c r="G98" s="167">
        <v>749658</v>
      </c>
      <c r="H98" s="168"/>
      <c r="I98" s="170">
        <f t="shared" si="72"/>
        <v>1499316</v>
      </c>
      <c r="J98" s="167">
        <v>749658</v>
      </c>
      <c r="K98" s="168"/>
      <c r="L98" s="170">
        <f t="shared" si="92"/>
        <v>2248974</v>
      </c>
      <c r="M98" s="169"/>
      <c r="N98" s="167">
        <v>749658</v>
      </c>
      <c r="O98" s="168"/>
      <c r="P98" s="170">
        <f t="shared" si="88"/>
        <v>2998632</v>
      </c>
      <c r="Q98" s="169"/>
      <c r="R98" s="174">
        <v>749658</v>
      </c>
      <c r="S98" s="168"/>
      <c r="T98" s="168">
        <f t="shared" si="79"/>
        <v>3748290</v>
      </c>
      <c r="U98" s="169"/>
      <c r="V98" s="167">
        <v>749658</v>
      </c>
      <c r="W98" s="168"/>
      <c r="X98" s="170">
        <f t="shared" si="86"/>
        <v>4497948</v>
      </c>
      <c r="Y98" s="167">
        <v>749658</v>
      </c>
      <c r="Z98" s="168"/>
      <c r="AA98" s="171">
        <f t="shared" si="89"/>
        <v>5247606</v>
      </c>
      <c r="AB98" s="169"/>
      <c r="AC98" s="167">
        <v>749658</v>
      </c>
      <c r="AD98" s="168"/>
      <c r="AE98" s="170">
        <f t="shared" si="90"/>
        <v>5997264</v>
      </c>
      <c r="AF98" s="169"/>
      <c r="AG98" s="129">
        <v>749658</v>
      </c>
      <c r="AH98" s="168"/>
      <c r="AI98" s="170">
        <f t="shared" si="91"/>
        <v>6746922</v>
      </c>
      <c r="AJ98" s="169"/>
      <c r="AK98" s="172">
        <v>749658</v>
      </c>
      <c r="AL98" s="168"/>
      <c r="AM98" s="170">
        <f t="shared" si="93"/>
        <v>7496580</v>
      </c>
      <c r="AN98" s="30"/>
      <c r="AO98" s="172">
        <v>749658</v>
      </c>
      <c r="AP98" s="17"/>
      <c r="AQ98" s="13">
        <f t="shared" si="94"/>
        <v>8246238</v>
      </c>
      <c r="AR98" s="30"/>
      <c r="AS98" s="172">
        <v>749658</v>
      </c>
      <c r="AT98" s="17"/>
      <c r="AU98" s="13">
        <f t="shared" si="87"/>
        <v>8995896</v>
      </c>
      <c r="AV98" s="30"/>
    </row>
    <row r="99" spans="1:48" x14ac:dyDescent="0.25">
      <c r="A99" s="14">
        <v>516015</v>
      </c>
      <c r="B99" s="15" t="s">
        <v>349</v>
      </c>
      <c r="C99" s="167">
        <v>3733</v>
      </c>
      <c r="D99" s="168"/>
      <c r="E99" s="168">
        <f t="shared" si="64"/>
        <v>3733</v>
      </c>
      <c r="F99" s="169"/>
      <c r="G99" s="167">
        <v>3733</v>
      </c>
      <c r="H99" s="168"/>
      <c r="I99" s="170">
        <f t="shared" si="72"/>
        <v>7466</v>
      </c>
      <c r="J99" s="167">
        <v>3733</v>
      </c>
      <c r="K99" s="168"/>
      <c r="L99" s="170">
        <f t="shared" si="92"/>
        <v>11199</v>
      </c>
      <c r="M99" s="169"/>
      <c r="N99" s="167">
        <v>3733</v>
      </c>
      <c r="O99" s="168"/>
      <c r="P99" s="170">
        <f t="shared" si="88"/>
        <v>14932</v>
      </c>
      <c r="Q99" s="169"/>
      <c r="R99" s="174">
        <v>3733</v>
      </c>
      <c r="S99" s="168"/>
      <c r="T99" s="168">
        <f t="shared" si="79"/>
        <v>18665</v>
      </c>
      <c r="U99" s="169"/>
      <c r="V99" s="167">
        <v>3733</v>
      </c>
      <c r="W99" s="168"/>
      <c r="X99" s="170">
        <f t="shared" si="86"/>
        <v>22398</v>
      </c>
      <c r="Y99" s="167">
        <v>3733</v>
      </c>
      <c r="Z99" s="168"/>
      <c r="AA99" s="171">
        <f t="shared" si="89"/>
        <v>26131</v>
      </c>
      <c r="AB99" s="169"/>
      <c r="AC99" s="167">
        <v>3733</v>
      </c>
      <c r="AD99" s="168"/>
      <c r="AE99" s="170">
        <f t="shared" si="90"/>
        <v>29864</v>
      </c>
      <c r="AF99" s="169"/>
      <c r="AG99" s="129">
        <v>3733</v>
      </c>
      <c r="AH99" s="168"/>
      <c r="AI99" s="170">
        <f t="shared" si="91"/>
        <v>33597</v>
      </c>
      <c r="AJ99" s="169"/>
      <c r="AK99" s="172">
        <v>3733</v>
      </c>
      <c r="AL99" s="168"/>
      <c r="AM99" s="170">
        <f t="shared" si="93"/>
        <v>37330</v>
      </c>
      <c r="AN99" s="30"/>
      <c r="AO99" s="172">
        <v>3733</v>
      </c>
      <c r="AP99" s="17"/>
      <c r="AQ99" s="13">
        <f t="shared" si="94"/>
        <v>41063</v>
      </c>
      <c r="AR99" s="30"/>
      <c r="AS99" s="172">
        <v>3733</v>
      </c>
      <c r="AT99" s="17"/>
      <c r="AU99" s="13">
        <f t="shared" si="87"/>
        <v>44796</v>
      </c>
      <c r="AV99" s="30"/>
    </row>
    <row r="100" spans="1:48" x14ac:dyDescent="0.25">
      <c r="A100" s="14">
        <v>516020</v>
      </c>
      <c r="B100" s="15" t="s">
        <v>350</v>
      </c>
      <c r="C100" s="167">
        <v>22650</v>
      </c>
      <c r="D100" s="168"/>
      <c r="E100" s="168">
        <f t="shared" si="64"/>
        <v>22650</v>
      </c>
      <c r="F100" s="169"/>
      <c r="G100" s="167">
        <v>22650</v>
      </c>
      <c r="H100" s="168"/>
      <c r="I100" s="170">
        <f t="shared" si="72"/>
        <v>45300</v>
      </c>
      <c r="J100" s="167">
        <v>22650</v>
      </c>
      <c r="K100" s="168"/>
      <c r="L100" s="170">
        <f t="shared" si="92"/>
        <v>67950</v>
      </c>
      <c r="M100" s="169"/>
      <c r="N100" s="167">
        <v>22650</v>
      </c>
      <c r="O100" s="168"/>
      <c r="P100" s="170">
        <f t="shared" si="88"/>
        <v>90600</v>
      </c>
      <c r="Q100" s="169"/>
      <c r="R100" s="174">
        <v>22650</v>
      </c>
      <c r="S100" s="168"/>
      <c r="T100" s="168">
        <f t="shared" si="79"/>
        <v>113250</v>
      </c>
      <c r="U100" s="169"/>
      <c r="V100" s="167">
        <v>22650</v>
      </c>
      <c r="W100" s="168"/>
      <c r="X100" s="170">
        <f t="shared" si="86"/>
        <v>135900</v>
      </c>
      <c r="Y100" s="167">
        <v>22650</v>
      </c>
      <c r="Z100" s="168"/>
      <c r="AA100" s="171">
        <f t="shared" si="89"/>
        <v>158550</v>
      </c>
      <c r="AB100" s="169"/>
      <c r="AC100" s="167">
        <v>22650</v>
      </c>
      <c r="AD100" s="168"/>
      <c r="AE100" s="170">
        <f t="shared" si="90"/>
        <v>181200</v>
      </c>
      <c r="AF100" s="169"/>
      <c r="AG100" s="129">
        <v>22650</v>
      </c>
      <c r="AH100" s="168"/>
      <c r="AI100" s="170">
        <f t="shared" si="91"/>
        <v>203850</v>
      </c>
      <c r="AJ100" s="169"/>
      <c r="AK100" s="172">
        <v>22650</v>
      </c>
      <c r="AL100" s="168"/>
      <c r="AM100" s="170">
        <f t="shared" si="93"/>
        <v>226500</v>
      </c>
      <c r="AN100" s="30"/>
      <c r="AO100" s="172">
        <v>22650</v>
      </c>
      <c r="AP100" s="17"/>
      <c r="AQ100" s="13">
        <f t="shared" si="94"/>
        <v>249150</v>
      </c>
      <c r="AR100" s="30"/>
      <c r="AS100" s="172">
        <v>22650</v>
      </c>
      <c r="AT100" s="17"/>
      <c r="AU100" s="13">
        <f t="shared" si="87"/>
        <v>271800</v>
      </c>
      <c r="AV100" s="30"/>
    </row>
    <row r="101" spans="1:48" x14ac:dyDescent="0.25">
      <c r="A101" s="14">
        <v>516035</v>
      </c>
      <c r="B101" s="15" t="s">
        <v>351</v>
      </c>
      <c r="C101" s="167">
        <v>576600</v>
      </c>
      <c r="D101" s="168"/>
      <c r="E101" s="168">
        <f t="shared" si="64"/>
        <v>576600</v>
      </c>
      <c r="F101" s="169"/>
      <c r="G101" s="167">
        <v>576600</v>
      </c>
      <c r="H101" s="168"/>
      <c r="I101" s="170">
        <f t="shared" si="72"/>
        <v>1153200</v>
      </c>
      <c r="J101" s="167">
        <v>576600</v>
      </c>
      <c r="K101" s="168"/>
      <c r="L101" s="170">
        <f t="shared" si="92"/>
        <v>1729800</v>
      </c>
      <c r="M101" s="169"/>
      <c r="N101" s="167">
        <v>576600</v>
      </c>
      <c r="O101" s="168"/>
      <c r="P101" s="170">
        <f t="shared" si="88"/>
        <v>2306400</v>
      </c>
      <c r="Q101" s="169"/>
      <c r="R101" s="174">
        <v>576600</v>
      </c>
      <c r="S101" s="168"/>
      <c r="T101" s="168">
        <f t="shared" si="79"/>
        <v>2883000</v>
      </c>
      <c r="U101" s="169"/>
      <c r="V101" s="167">
        <v>576600</v>
      </c>
      <c r="W101" s="168"/>
      <c r="X101" s="170">
        <f t="shared" si="86"/>
        <v>3459600</v>
      </c>
      <c r="Y101" s="167">
        <v>576600</v>
      </c>
      <c r="Z101" s="168"/>
      <c r="AA101" s="171">
        <f t="shared" si="89"/>
        <v>4036200</v>
      </c>
      <c r="AB101" s="169"/>
      <c r="AC101" s="167">
        <v>576600</v>
      </c>
      <c r="AD101" s="168"/>
      <c r="AE101" s="170">
        <f t="shared" si="90"/>
        <v>4612800</v>
      </c>
      <c r="AF101" s="169"/>
      <c r="AG101" s="129">
        <v>576600</v>
      </c>
      <c r="AH101" s="168"/>
      <c r="AI101" s="170">
        <f t="shared" si="91"/>
        <v>5189400</v>
      </c>
      <c r="AJ101" s="169"/>
      <c r="AK101" s="172">
        <v>576600</v>
      </c>
      <c r="AL101" s="168"/>
      <c r="AM101" s="170">
        <f t="shared" si="93"/>
        <v>5766000</v>
      </c>
      <c r="AN101" s="30"/>
      <c r="AO101" s="172">
        <v>576600</v>
      </c>
      <c r="AP101" s="17"/>
      <c r="AQ101" s="13">
        <f t="shared" si="94"/>
        <v>6342600</v>
      </c>
      <c r="AR101" s="30"/>
      <c r="AS101" s="172">
        <v>576600</v>
      </c>
      <c r="AT101" s="17"/>
      <c r="AU101" s="13">
        <f t="shared" si="87"/>
        <v>6919200</v>
      </c>
      <c r="AV101" s="30"/>
    </row>
    <row r="102" spans="1:48" x14ac:dyDescent="0.25">
      <c r="A102" s="14"/>
      <c r="B102" s="15"/>
      <c r="C102" s="168"/>
      <c r="D102" s="168"/>
      <c r="E102" s="168"/>
      <c r="F102" s="169"/>
      <c r="G102" s="168"/>
      <c r="H102" s="168"/>
      <c r="I102" s="170"/>
      <c r="J102" s="173"/>
      <c r="K102" s="168"/>
      <c r="L102" s="170"/>
      <c r="M102" s="169"/>
      <c r="N102" s="173"/>
      <c r="O102" s="168"/>
      <c r="P102" s="170">
        <f t="shared" si="88"/>
        <v>0</v>
      </c>
      <c r="Q102" s="169"/>
      <c r="R102" s="174"/>
      <c r="S102" s="168"/>
      <c r="T102" s="168">
        <f t="shared" si="79"/>
        <v>0</v>
      </c>
      <c r="U102" s="169"/>
      <c r="V102" s="168"/>
      <c r="W102" s="168"/>
      <c r="X102" s="170">
        <f t="shared" si="86"/>
        <v>0</v>
      </c>
      <c r="Y102" s="173"/>
      <c r="Z102" s="168"/>
      <c r="AA102" s="171"/>
      <c r="AB102" s="169"/>
      <c r="AC102" s="173"/>
      <c r="AD102" s="168"/>
      <c r="AE102" s="170"/>
      <c r="AF102" s="169"/>
      <c r="AG102" s="129"/>
      <c r="AH102" s="168"/>
      <c r="AI102" s="170">
        <f t="shared" si="91"/>
        <v>0</v>
      </c>
      <c r="AJ102" s="169"/>
      <c r="AK102" s="173"/>
      <c r="AL102" s="168"/>
      <c r="AM102" s="170">
        <f t="shared" si="93"/>
        <v>0</v>
      </c>
      <c r="AN102" s="30"/>
      <c r="AO102" s="16"/>
      <c r="AP102" s="17"/>
      <c r="AQ102" s="13">
        <f t="shared" si="94"/>
        <v>0</v>
      </c>
      <c r="AR102" s="30"/>
      <c r="AS102" s="16"/>
      <c r="AT102" s="17"/>
      <c r="AU102" s="13">
        <f t="shared" si="87"/>
        <v>0</v>
      </c>
      <c r="AV102" s="30"/>
    </row>
    <row r="103" spans="1:48" x14ac:dyDescent="0.25">
      <c r="A103" s="14"/>
      <c r="B103" s="15"/>
      <c r="C103" s="168"/>
      <c r="D103" s="168"/>
      <c r="E103" s="168"/>
      <c r="F103" s="169"/>
      <c r="G103" s="168"/>
      <c r="H103" s="168"/>
      <c r="I103" s="170"/>
      <c r="J103" s="173"/>
      <c r="K103" s="168"/>
      <c r="L103" s="170"/>
      <c r="M103" s="169"/>
      <c r="N103" s="173"/>
      <c r="O103" s="168"/>
      <c r="P103" s="170"/>
      <c r="Q103" s="169"/>
      <c r="R103" s="174"/>
      <c r="S103" s="168"/>
      <c r="T103" s="168">
        <f t="shared" si="79"/>
        <v>0</v>
      </c>
      <c r="U103" s="169"/>
      <c r="V103" s="168"/>
      <c r="W103" s="168"/>
      <c r="X103" s="170"/>
      <c r="Y103" s="173"/>
      <c r="Z103" s="168"/>
      <c r="AA103" s="171"/>
      <c r="AB103" s="169"/>
      <c r="AC103" s="173"/>
      <c r="AD103" s="168"/>
      <c r="AE103" s="170"/>
      <c r="AF103" s="169"/>
      <c r="AG103" s="129"/>
      <c r="AH103" s="168"/>
      <c r="AI103" s="170">
        <f t="shared" si="91"/>
        <v>0</v>
      </c>
      <c r="AJ103" s="169"/>
      <c r="AK103" s="173"/>
      <c r="AL103" s="168"/>
      <c r="AM103" s="170">
        <f t="shared" si="93"/>
        <v>0</v>
      </c>
      <c r="AN103" s="30"/>
      <c r="AO103" s="16"/>
      <c r="AP103" s="17"/>
      <c r="AQ103" s="13">
        <f t="shared" si="94"/>
        <v>0</v>
      </c>
      <c r="AR103" s="30"/>
      <c r="AS103" s="16"/>
      <c r="AT103" s="17"/>
      <c r="AU103" s="13">
        <f t="shared" si="87"/>
        <v>0</v>
      </c>
      <c r="AV103" s="30"/>
    </row>
    <row r="104" spans="1:48" x14ac:dyDescent="0.25">
      <c r="A104" s="14" t="s">
        <v>101</v>
      </c>
      <c r="B104" s="15" t="s">
        <v>102</v>
      </c>
      <c r="C104" s="17">
        <f>SUM(C106:C116)</f>
        <v>670886</v>
      </c>
      <c r="D104" s="17">
        <v>0</v>
      </c>
      <c r="E104" s="17">
        <f t="shared" si="64"/>
        <v>670886</v>
      </c>
      <c r="F104" s="19"/>
      <c r="G104" s="17">
        <f>G106+G107+G108+G109+G111+G112+G113+G114+G116+G110+G115</f>
        <v>864910</v>
      </c>
      <c r="H104" s="17">
        <v>0</v>
      </c>
      <c r="I104" s="13">
        <f t="shared" si="72"/>
        <v>1535796</v>
      </c>
      <c r="J104" s="16">
        <f>SUM(J106:J116)</f>
        <v>414653</v>
      </c>
      <c r="K104" s="17">
        <v>0</v>
      </c>
      <c r="L104" s="13">
        <f t="shared" ref="L104:L109" si="95">I104+J104</f>
        <v>1950449</v>
      </c>
      <c r="M104" s="19"/>
      <c r="N104" s="16">
        <f>SUM(N105:N116)</f>
        <v>37449</v>
      </c>
      <c r="O104" s="17">
        <v>0</v>
      </c>
      <c r="P104" s="13">
        <f t="shared" ref="P104:P116" si="96">L104+N104</f>
        <v>1987898</v>
      </c>
      <c r="Q104" s="19"/>
      <c r="R104" s="174">
        <f>SUM(R106:R116)</f>
        <v>1215745</v>
      </c>
      <c r="S104" s="17">
        <v>0</v>
      </c>
      <c r="T104" s="17">
        <f t="shared" si="79"/>
        <v>3203643</v>
      </c>
      <c r="U104" s="30"/>
      <c r="V104" s="17">
        <f>V106+V107+V108+V109+V111+V112+V113+V114+V116+V110</f>
        <v>458950</v>
      </c>
      <c r="W104" s="17">
        <v>0</v>
      </c>
      <c r="X104" s="13">
        <f t="shared" ref="X104:X148" si="97">T104+V104</f>
        <v>3662593</v>
      </c>
      <c r="Y104" s="16">
        <f>SUM(Y106:Y116)</f>
        <v>643626</v>
      </c>
      <c r="Z104" s="17">
        <v>0</v>
      </c>
      <c r="AA104" s="29">
        <f t="shared" ref="AA104:AA143" si="98">X104+Y104</f>
        <v>4306219</v>
      </c>
      <c r="AB104" s="30"/>
      <c r="AC104" s="16">
        <f>SUM(AC105:AC116)</f>
        <v>935637</v>
      </c>
      <c r="AD104" s="17">
        <v>0</v>
      </c>
      <c r="AE104" s="13">
        <f t="shared" ref="AE104:AE116" si="99">AA104+AC104</f>
        <v>5241856</v>
      </c>
      <c r="AF104" s="30"/>
      <c r="AG104" s="129">
        <f>SUM(AG105:AG116)</f>
        <v>554990</v>
      </c>
      <c r="AH104" s="17">
        <v>0</v>
      </c>
      <c r="AI104" s="13">
        <f t="shared" si="91"/>
        <v>5796846</v>
      </c>
      <c r="AJ104" s="30"/>
      <c r="AK104" s="16">
        <f>SUM(AK105:AK116)</f>
        <v>329055</v>
      </c>
      <c r="AL104" s="17">
        <v>0</v>
      </c>
      <c r="AM104" s="13">
        <f t="shared" si="93"/>
        <v>6125901</v>
      </c>
      <c r="AN104" s="30"/>
      <c r="AO104" s="16">
        <f>SUM(AO105:AO116)</f>
        <v>587864</v>
      </c>
      <c r="AP104" s="17">
        <v>0</v>
      </c>
      <c r="AQ104" s="13">
        <f t="shared" si="94"/>
        <v>6713765</v>
      </c>
      <c r="AR104" s="30"/>
      <c r="AS104" s="16">
        <f>SUM(AS105:AS116)</f>
        <v>1052446</v>
      </c>
      <c r="AT104" s="17">
        <v>0</v>
      </c>
      <c r="AU104" s="13">
        <f t="shared" si="87"/>
        <v>7766211</v>
      </c>
      <c r="AV104" s="30"/>
    </row>
    <row r="105" spans="1:48" x14ac:dyDescent="0.25">
      <c r="A105" s="14">
        <v>519505</v>
      </c>
      <c r="B105" s="15" t="s">
        <v>125</v>
      </c>
      <c r="C105" s="17">
        <v>0</v>
      </c>
      <c r="D105" s="17">
        <v>0</v>
      </c>
      <c r="E105" s="17">
        <f t="shared" si="64"/>
        <v>0</v>
      </c>
      <c r="F105" s="19"/>
      <c r="G105" s="17">
        <v>0</v>
      </c>
      <c r="H105" s="17">
        <v>0</v>
      </c>
      <c r="I105" s="13">
        <f t="shared" si="72"/>
        <v>0</v>
      </c>
      <c r="J105" s="16">
        <v>0</v>
      </c>
      <c r="K105" s="17">
        <v>0</v>
      </c>
      <c r="L105" s="13">
        <f t="shared" si="95"/>
        <v>0</v>
      </c>
      <c r="M105" s="19"/>
      <c r="N105" s="16">
        <v>0</v>
      </c>
      <c r="O105" s="17">
        <v>0</v>
      </c>
      <c r="P105" s="13">
        <f t="shared" si="96"/>
        <v>0</v>
      </c>
      <c r="Q105" s="19"/>
      <c r="R105" s="174">
        <v>0</v>
      </c>
      <c r="S105" s="17">
        <v>0</v>
      </c>
      <c r="T105" s="17">
        <f t="shared" ref="T105:T116" si="100">+P105+R105</f>
        <v>0</v>
      </c>
      <c r="U105" s="30"/>
      <c r="V105" s="17">
        <v>0</v>
      </c>
      <c r="W105" s="17">
        <v>0</v>
      </c>
      <c r="X105" s="13">
        <f t="shared" si="97"/>
        <v>0</v>
      </c>
      <c r="Y105" s="16">
        <v>0</v>
      </c>
      <c r="Z105" s="17">
        <v>0</v>
      </c>
      <c r="AA105" s="29">
        <f t="shared" si="98"/>
        <v>0</v>
      </c>
      <c r="AB105" s="30"/>
      <c r="AC105" s="16">
        <v>0</v>
      </c>
      <c r="AD105" s="17">
        <v>0</v>
      </c>
      <c r="AE105" s="13">
        <f t="shared" si="99"/>
        <v>0</v>
      </c>
      <c r="AF105" s="30"/>
      <c r="AG105" s="129">
        <v>0</v>
      </c>
      <c r="AH105" s="17">
        <v>0</v>
      </c>
      <c r="AI105" s="13">
        <f t="shared" ref="AI105:AI116" si="101">AE105+AG105</f>
        <v>0</v>
      </c>
      <c r="AJ105" s="30"/>
      <c r="AK105" s="16">
        <v>0</v>
      </c>
      <c r="AL105" s="17">
        <v>0</v>
      </c>
      <c r="AM105" s="13">
        <f t="shared" ref="AM105:AM116" si="102">AI105+AK105</f>
        <v>0</v>
      </c>
      <c r="AN105" s="30"/>
      <c r="AO105" s="16">
        <v>0</v>
      </c>
      <c r="AP105" s="17">
        <v>0</v>
      </c>
      <c r="AQ105" s="13">
        <f t="shared" ref="AQ105:AQ116" si="103">AM105+AO105</f>
        <v>0</v>
      </c>
      <c r="AR105" s="30"/>
      <c r="AS105" s="16">
        <v>0</v>
      </c>
      <c r="AT105" s="17">
        <v>0</v>
      </c>
      <c r="AU105" s="13">
        <f t="shared" si="87"/>
        <v>0</v>
      </c>
      <c r="AV105" s="30"/>
    </row>
    <row r="106" spans="1:48" ht="21" customHeight="1" x14ac:dyDescent="0.25">
      <c r="A106" s="14" t="s">
        <v>103</v>
      </c>
      <c r="B106" s="15" t="s">
        <v>104</v>
      </c>
      <c r="C106" s="17">
        <v>269286</v>
      </c>
      <c r="D106" s="17">
        <v>0</v>
      </c>
      <c r="E106" s="17">
        <f t="shared" si="64"/>
        <v>269286</v>
      </c>
      <c r="F106" s="19"/>
      <c r="G106" s="17">
        <v>0</v>
      </c>
      <c r="H106" s="17">
        <v>0</v>
      </c>
      <c r="I106" s="13">
        <f t="shared" si="72"/>
        <v>269286</v>
      </c>
      <c r="J106" s="16">
        <v>0</v>
      </c>
      <c r="K106" s="17">
        <v>0</v>
      </c>
      <c r="L106" s="13">
        <f t="shared" si="95"/>
        <v>269286</v>
      </c>
      <c r="M106" s="19"/>
      <c r="N106" s="16">
        <v>0</v>
      </c>
      <c r="O106" s="17">
        <v>0</v>
      </c>
      <c r="P106" s="13">
        <f t="shared" si="96"/>
        <v>269286</v>
      </c>
      <c r="Q106" s="19"/>
      <c r="R106" s="174">
        <v>0</v>
      </c>
      <c r="S106" s="17">
        <v>0</v>
      </c>
      <c r="T106" s="17">
        <f t="shared" si="100"/>
        <v>269286</v>
      </c>
      <c r="U106" s="30"/>
      <c r="V106" s="17">
        <v>0</v>
      </c>
      <c r="W106" s="17">
        <v>0</v>
      </c>
      <c r="X106" s="13">
        <f t="shared" si="97"/>
        <v>269286</v>
      </c>
      <c r="Y106" s="16">
        <v>0</v>
      </c>
      <c r="Z106" s="17">
        <v>0</v>
      </c>
      <c r="AA106" s="29">
        <f t="shared" si="98"/>
        <v>269286</v>
      </c>
      <c r="AB106" s="30"/>
      <c r="AC106" s="16">
        <v>0</v>
      </c>
      <c r="AD106" s="17">
        <v>0</v>
      </c>
      <c r="AE106" s="13">
        <f t="shared" si="99"/>
        <v>269286</v>
      </c>
      <c r="AF106" s="30"/>
      <c r="AG106" s="174">
        <v>0</v>
      </c>
      <c r="AH106" s="17">
        <v>0</v>
      </c>
      <c r="AI106" s="13">
        <f t="shared" si="101"/>
        <v>269286</v>
      </c>
      <c r="AJ106" s="30"/>
      <c r="AK106" s="16">
        <v>0</v>
      </c>
      <c r="AL106" s="17">
        <v>0</v>
      </c>
      <c r="AM106" s="13">
        <f t="shared" si="102"/>
        <v>269286</v>
      </c>
      <c r="AN106" s="30"/>
      <c r="AO106" s="16">
        <v>0</v>
      </c>
      <c r="AP106" s="17">
        <v>0</v>
      </c>
      <c r="AQ106" s="13">
        <f t="shared" si="103"/>
        <v>269286</v>
      </c>
      <c r="AR106" s="30"/>
      <c r="AS106" s="16">
        <v>291870</v>
      </c>
      <c r="AT106" s="17">
        <v>0</v>
      </c>
      <c r="AU106" s="13">
        <f t="shared" si="87"/>
        <v>561156</v>
      </c>
      <c r="AV106" s="30"/>
    </row>
    <row r="107" spans="1:48" x14ac:dyDescent="0.25">
      <c r="A107" s="14" t="s">
        <v>105</v>
      </c>
      <c r="B107" s="15" t="s">
        <v>106</v>
      </c>
      <c r="C107" s="17">
        <v>43000</v>
      </c>
      <c r="D107" s="17">
        <v>0</v>
      </c>
      <c r="E107" s="17">
        <f t="shared" si="64"/>
        <v>43000</v>
      </c>
      <c r="F107" s="19"/>
      <c r="G107" s="17">
        <v>231158</v>
      </c>
      <c r="H107" s="17">
        <v>0</v>
      </c>
      <c r="I107" s="13">
        <f t="shared" si="72"/>
        <v>274158</v>
      </c>
      <c r="J107" s="16">
        <v>10500</v>
      </c>
      <c r="K107" s="17">
        <v>0</v>
      </c>
      <c r="L107" s="13">
        <f t="shared" si="95"/>
        <v>284658</v>
      </c>
      <c r="M107" s="19"/>
      <c r="N107" s="16">
        <v>31500</v>
      </c>
      <c r="O107" s="17">
        <v>0</v>
      </c>
      <c r="P107" s="13">
        <f t="shared" si="96"/>
        <v>316158</v>
      </c>
      <c r="Q107" s="19"/>
      <c r="R107" s="174">
        <v>85610</v>
      </c>
      <c r="S107" s="17">
        <v>0</v>
      </c>
      <c r="T107" s="17">
        <f t="shared" si="100"/>
        <v>401768</v>
      </c>
      <c r="U107" s="30"/>
      <c r="V107" s="17">
        <v>231200</v>
      </c>
      <c r="W107" s="17">
        <v>0</v>
      </c>
      <c r="X107" s="13">
        <f t="shared" si="97"/>
        <v>632968</v>
      </c>
      <c r="Y107" s="17">
        <v>178860</v>
      </c>
      <c r="Z107" s="17">
        <v>0</v>
      </c>
      <c r="AA107" s="29">
        <f t="shared" si="98"/>
        <v>811828</v>
      </c>
      <c r="AB107" s="30"/>
      <c r="AC107" s="16">
        <v>0</v>
      </c>
      <c r="AD107" s="17">
        <v>0</v>
      </c>
      <c r="AE107" s="13">
        <f t="shared" si="99"/>
        <v>811828</v>
      </c>
      <c r="AF107" s="30"/>
      <c r="AG107" s="174">
        <v>64910</v>
      </c>
      <c r="AH107" s="17">
        <v>0</v>
      </c>
      <c r="AI107" s="13">
        <f t="shared" si="101"/>
        <v>876738</v>
      </c>
      <c r="AJ107" s="30"/>
      <c r="AK107" s="16">
        <v>48600</v>
      </c>
      <c r="AL107" s="17">
        <v>0</v>
      </c>
      <c r="AM107" s="13">
        <f t="shared" si="102"/>
        <v>925338</v>
      </c>
      <c r="AN107" s="30"/>
      <c r="AO107" s="16">
        <v>63526</v>
      </c>
      <c r="AP107" s="17">
        <v>0</v>
      </c>
      <c r="AQ107" s="13">
        <f t="shared" si="103"/>
        <v>988864</v>
      </c>
      <c r="AR107" s="30"/>
      <c r="AS107" s="16">
        <v>51000</v>
      </c>
      <c r="AT107" s="17">
        <v>0</v>
      </c>
      <c r="AU107" s="13">
        <f t="shared" si="87"/>
        <v>1039864</v>
      </c>
      <c r="AV107" s="30"/>
    </row>
    <row r="108" spans="1:48" x14ac:dyDescent="0.25">
      <c r="A108" s="14" t="s">
        <v>107</v>
      </c>
      <c r="B108" s="15" t="s">
        <v>108</v>
      </c>
      <c r="C108" s="17">
        <v>10600</v>
      </c>
      <c r="D108" s="17">
        <v>0</v>
      </c>
      <c r="E108" s="17">
        <f t="shared" si="64"/>
        <v>10600</v>
      </c>
      <c r="F108" s="19"/>
      <c r="G108" s="17">
        <v>161766</v>
      </c>
      <c r="H108" s="17">
        <v>0</v>
      </c>
      <c r="I108" s="13">
        <f t="shared" si="72"/>
        <v>172366</v>
      </c>
      <c r="J108" s="16">
        <v>4000</v>
      </c>
      <c r="K108" s="17">
        <v>0</v>
      </c>
      <c r="L108" s="13">
        <f t="shared" si="95"/>
        <v>176366</v>
      </c>
      <c r="M108" s="19"/>
      <c r="N108" s="16">
        <v>0</v>
      </c>
      <c r="O108" s="17">
        <v>0</v>
      </c>
      <c r="P108" s="13">
        <f t="shared" si="96"/>
        <v>176366</v>
      </c>
      <c r="Q108" s="19"/>
      <c r="R108" s="174">
        <v>8000</v>
      </c>
      <c r="S108" s="17">
        <v>0</v>
      </c>
      <c r="T108" s="17">
        <f t="shared" si="100"/>
        <v>184366</v>
      </c>
      <c r="U108" s="30"/>
      <c r="V108" s="17">
        <v>8446</v>
      </c>
      <c r="W108" s="17">
        <v>0</v>
      </c>
      <c r="X108" s="13">
        <f t="shared" si="97"/>
        <v>192812</v>
      </c>
      <c r="Y108" s="17">
        <v>16194</v>
      </c>
      <c r="Z108" s="17">
        <v>0</v>
      </c>
      <c r="AA108" s="29">
        <f t="shared" si="98"/>
        <v>209006</v>
      </c>
      <c r="AB108" s="30"/>
      <c r="AC108" s="16"/>
      <c r="AD108" s="17">
        <v>0</v>
      </c>
      <c r="AE108" s="13">
        <f t="shared" si="99"/>
        <v>209006</v>
      </c>
      <c r="AF108" s="30"/>
      <c r="AG108" s="174">
        <v>12000</v>
      </c>
      <c r="AH108" s="17">
        <v>0</v>
      </c>
      <c r="AI108" s="13">
        <f t="shared" si="101"/>
        <v>221006</v>
      </c>
      <c r="AJ108" s="30"/>
      <c r="AK108" s="16">
        <v>0</v>
      </c>
      <c r="AL108" s="17">
        <v>0</v>
      </c>
      <c r="AM108" s="13">
        <f t="shared" si="102"/>
        <v>221006</v>
      </c>
      <c r="AN108" s="30"/>
      <c r="AO108" s="16">
        <v>53900</v>
      </c>
      <c r="AP108" s="17">
        <v>0</v>
      </c>
      <c r="AQ108" s="13">
        <f t="shared" si="103"/>
        <v>274906</v>
      </c>
      <c r="AR108" s="30"/>
      <c r="AS108" s="16">
        <v>19966</v>
      </c>
      <c r="AT108" s="17">
        <v>0</v>
      </c>
      <c r="AU108" s="13">
        <f t="shared" si="87"/>
        <v>294872</v>
      </c>
      <c r="AV108" s="30"/>
    </row>
    <row r="109" spans="1:48" x14ac:dyDescent="0.25">
      <c r="A109" s="14" t="s">
        <v>109</v>
      </c>
      <c r="B109" s="15" t="s">
        <v>110</v>
      </c>
      <c r="C109" s="17">
        <v>300000</v>
      </c>
      <c r="D109" s="17">
        <v>0</v>
      </c>
      <c r="E109" s="17">
        <f t="shared" si="64"/>
        <v>300000</v>
      </c>
      <c r="F109" s="19"/>
      <c r="G109" s="17">
        <v>365986</v>
      </c>
      <c r="H109" s="17">
        <v>0</v>
      </c>
      <c r="I109" s="13">
        <f t="shared" si="72"/>
        <v>665986</v>
      </c>
      <c r="J109" s="16">
        <v>330091</v>
      </c>
      <c r="K109" s="17">
        <v>0</v>
      </c>
      <c r="L109" s="13">
        <f t="shared" si="95"/>
        <v>996077</v>
      </c>
      <c r="M109" s="19"/>
      <c r="N109" s="16">
        <v>0</v>
      </c>
      <c r="O109" s="17">
        <v>0</v>
      </c>
      <c r="P109" s="13">
        <f t="shared" si="96"/>
        <v>996077</v>
      </c>
      <c r="Q109" s="19"/>
      <c r="R109" s="174">
        <v>163011</v>
      </c>
      <c r="S109" s="17">
        <v>0</v>
      </c>
      <c r="T109" s="17">
        <f t="shared" si="100"/>
        <v>1159088</v>
      </c>
      <c r="U109" s="30"/>
      <c r="V109" s="17">
        <v>216880</v>
      </c>
      <c r="W109" s="17">
        <v>0</v>
      </c>
      <c r="X109" s="13">
        <f t="shared" si="97"/>
        <v>1375968</v>
      </c>
      <c r="Y109" s="17">
        <v>366272</v>
      </c>
      <c r="Z109" s="17">
        <v>0</v>
      </c>
      <c r="AA109" s="29">
        <f t="shared" si="98"/>
        <v>1742240</v>
      </c>
      <c r="AB109" s="30"/>
      <c r="AC109" s="16"/>
      <c r="AD109" s="17">
        <v>0</v>
      </c>
      <c r="AE109" s="13">
        <f t="shared" si="99"/>
        <v>1742240</v>
      </c>
      <c r="AF109" s="30"/>
      <c r="AG109" s="174">
        <v>0</v>
      </c>
      <c r="AH109" s="17">
        <v>0</v>
      </c>
      <c r="AI109" s="13">
        <f t="shared" si="101"/>
        <v>1742240</v>
      </c>
      <c r="AJ109" s="30"/>
      <c r="AK109" s="16">
        <v>181713</v>
      </c>
      <c r="AL109" s="17">
        <v>0</v>
      </c>
      <c r="AM109" s="13">
        <f t="shared" si="102"/>
        <v>1923953</v>
      </c>
      <c r="AN109" s="30"/>
      <c r="AO109" s="16">
        <v>270314</v>
      </c>
      <c r="AP109" s="17">
        <v>0</v>
      </c>
      <c r="AQ109" s="13">
        <f t="shared" si="103"/>
        <v>2194267</v>
      </c>
      <c r="AR109" s="30"/>
      <c r="AS109" s="16">
        <v>182248</v>
      </c>
      <c r="AT109" s="17">
        <v>0</v>
      </c>
      <c r="AU109" s="13">
        <f t="shared" si="87"/>
        <v>2376515</v>
      </c>
      <c r="AV109" s="30"/>
    </row>
    <row r="110" spans="1:48" x14ac:dyDescent="0.25">
      <c r="A110" s="14" t="s">
        <v>153</v>
      </c>
      <c r="B110" s="15" t="s">
        <v>144</v>
      </c>
      <c r="C110" s="17">
        <v>0</v>
      </c>
      <c r="D110" s="17">
        <v>0</v>
      </c>
      <c r="E110" s="17">
        <f t="shared" si="64"/>
        <v>0</v>
      </c>
      <c r="F110" s="19"/>
      <c r="G110" s="17">
        <v>50000</v>
      </c>
      <c r="H110" s="17">
        <v>0</v>
      </c>
      <c r="I110" s="13">
        <f t="shared" si="72"/>
        <v>50000</v>
      </c>
      <c r="J110" s="16">
        <v>0</v>
      </c>
      <c r="K110" s="17">
        <v>0</v>
      </c>
      <c r="L110" s="13">
        <f t="shared" ref="L110:L143" si="104">I110+J110</f>
        <v>50000</v>
      </c>
      <c r="M110" s="19"/>
      <c r="N110" s="16">
        <v>0</v>
      </c>
      <c r="O110" s="17">
        <v>0</v>
      </c>
      <c r="P110" s="13">
        <f t="shared" si="96"/>
        <v>50000</v>
      </c>
      <c r="Q110" s="19"/>
      <c r="R110" s="174">
        <v>0</v>
      </c>
      <c r="S110" s="17">
        <v>0</v>
      </c>
      <c r="T110" s="17">
        <f t="shared" si="100"/>
        <v>50000</v>
      </c>
      <c r="U110" s="30"/>
      <c r="V110" s="17">
        <v>0</v>
      </c>
      <c r="W110" s="17">
        <v>0</v>
      </c>
      <c r="X110" s="13">
        <f t="shared" si="97"/>
        <v>50000</v>
      </c>
      <c r="Y110" s="17">
        <v>80000</v>
      </c>
      <c r="Z110" s="17">
        <v>0</v>
      </c>
      <c r="AA110" s="29">
        <f t="shared" si="98"/>
        <v>130000</v>
      </c>
      <c r="AB110" s="30"/>
      <c r="AC110" s="16">
        <v>228992</v>
      </c>
      <c r="AD110" s="17">
        <v>0</v>
      </c>
      <c r="AE110" s="13">
        <f t="shared" si="99"/>
        <v>358992</v>
      </c>
      <c r="AF110" s="30"/>
      <c r="AG110" s="174">
        <v>161592</v>
      </c>
      <c r="AH110" s="17">
        <v>0</v>
      </c>
      <c r="AI110" s="13">
        <f t="shared" si="101"/>
        <v>520584</v>
      </c>
      <c r="AJ110" s="30"/>
      <c r="AK110" s="16">
        <v>93456</v>
      </c>
      <c r="AL110" s="17">
        <v>0</v>
      </c>
      <c r="AM110" s="13">
        <f t="shared" si="102"/>
        <v>614040</v>
      </c>
      <c r="AN110" s="30"/>
      <c r="AO110" s="16"/>
      <c r="AP110" s="17">
        <v>0</v>
      </c>
      <c r="AQ110" s="13">
        <f t="shared" si="103"/>
        <v>614040</v>
      </c>
      <c r="AR110" s="30"/>
      <c r="AS110" s="28"/>
      <c r="AT110" s="17">
        <v>0</v>
      </c>
      <c r="AU110" s="13">
        <f t="shared" si="87"/>
        <v>614040</v>
      </c>
      <c r="AV110" s="30"/>
    </row>
    <row r="111" spans="1:48" x14ac:dyDescent="0.25">
      <c r="A111" s="14" t="s">
        <v>111</v>
      </c>
      <c r="B111" s="15" t="s">
        <v>112</v>
      </c>
      <c r="C111" s="17">
        <v>0</v>
      </c>
      <c r="D111" s="17">
        <v>0</v>
      </c>
      <c r="E111" s="17">
        <f t="shared" si="64"/>
        <v>0</v>
      </c>
      <c r="F111" s="19"/>
      <c r="G111" s="17">
        <v>31300</v>
      </c>
      <c r="H111" s="17">
        <v>0</v>
      </c>
      <c r="I111" s="13">
        <f t="shared" si="72"/>
        <v>31300</v>
      </c>
      <c r="J111" s="16">
        <v>0</v>
      </c>
      <c r="K111" s="17">
        <v>0</v>
      </c>
      <c r="L111" s="13">
        <f t="shared" si="104"/>
        <v>31300</v>
      </c>
      <c r="M111" s="19"/>
      <c r="N111" s="16">
        <v>0</v>
      </c>
      <c r="O111" s="17">
        <v>0</v>
      </c>
      <c r="P111" s="13">
        <f t="shared" si="96"/>
        <v>31300</v>
      </c>
      <c r="Q111" s="19"/>
      <c r="R111" s="174">
        <v>0</v>
      </c>
      <c r="S111" s="17">
        <v>0</v>
      </c>
      <c r="T111" s="17">
        <f t="shared" si="100"/>
        <v>31300</v>
      </c>
      <c r="U111" s="30"/>
      <c r="V111" s="17">
        <v>0</v>
      </c>
      <c r="W111" s="17">
        <v>0</v>
      </c>
      <c r="X111" s="13">
        <f t="shared" si="97"/>
        <v>31300</v>
      </c>
      <c r="Y111" s="17">
        <v>0</v>
      </c>
      <c r="Z111" s="17">
        <v>0</v>
      </c>
      <c r="AA111" s="29">
        <f t="shared" si="98"/>
        <v>31300</v>
      </c>
      <c r="AB111" s="30"/>
      <c r="AC111" s="16">
        <v>0</v>
      </c>
      <c r="AD111" s="17">
        <v>0</v>
      </c>
      <c r="AE111" s="13">
        <f t="shared" si="99"/>
        <v>31300</v>
      </c>
      <c r="AF111" s="30"/>
      <c r="AG111" s="174">
        <v>16000</v>
      </c>
      <c r="AH111" s="17">
        <v>0</v>
      </c>
      <c r="AI111" s="13">
        <f t="shared" si="101"/>
        <v>47300</v>
      </c>
      <c r="AJ111" s="30"/>
      <c r="AK111" s="16">
        <v>0</v>
      </c>
      <c r="AL111" s="17">
        <v>0</v>
      </c>
      <c r="AM111" s="13">
        <f t="shared" si="102"/>
        <v>47300</v>
      </c>
      <c r="AN111" s="30"/>
      <c r="AO111" s="16"/>
      <c r="AP111" s="17">
        <v>0</v>
      </c>
      <c r="AQ111" s="13">
        <f t="shared" si="103"/>
        <v>47300</v>
      </c>
      <c r="AR111" s="30"/>
      <c r="AS111" s="28"/>
      <c r="AT111" s="17">
        <v>0</v>
      </c>
      <c r="AU111" s="13">
        <f t="shared" si="87"/>
        <v>47300</v>
      </c>
      <c r="AV111" s="30"/>
    </row>
    <row r="112" spans="1:48" x14ac:dyDescent="0.25">
      <c r="A112" s="14" t="s">
        <v>113</v>
      </c>
      <c r="B112" s="15" t="s">
        <v>114</v>
      </c>
      <c r="C112" s="17">
        <v>0</v>
      </c>
      <c r="D112" s="17">
        <v>0</v>
      </c>
      <c r="E112" s="17">
        <f t="shared" si="64"/>
        <v>0</v>
      </c>
      <c r="F112" s="19"/>
      <c r="G112" s="17">
        <v>0</v>
      </c>
      <c r="H112" s="17">
        <v>0</v>
      </c>
      <c r="I112" s="13">
        <f t="shared" si="72"/>
        <v>0</v>
      </c>
      <c r="J112" s="16">
        <v>0</v>
      </c>
      <c r="K112" s="17">
        <v>0</v>
      </c>
      <c r="L112" s="13">
        <f t="shared" si="104"/>
        <v>0</v>
      </c>
      <c r="M112" s="19"/>
      <c r="N112" s="16">
        <v>0</v>
      </c>
      <c r="O112" s="17">
        <v>0</v>
      </c>
      <c r="P112" s="13">
        <f t="shared" si="96"/>
        <v>0</v>
      </c>
      <c r="Q112" s="19"/>
      <c r="R112" s="174">
        <v>0</v>
      </c>
      <c r="S112" s="17">
        <v>0</v>
      </c>
      <c r="T112" s="17">
        <f t="shared" si="100"/>
        <v>0</v>
      </c>
      <c r="U112" s="30"/>
      <c r="V112" s="17">
        <v>0</v>
      </c>
      <c r="W112" s="17">
        <v>0</v>
      </c>
      <c r="X112" s="13">
        <f t="shared" si="97"/>
        <v>0</v>
      </c>
      <c r="Y112" s="16">
        <v>0</v>
      </c>
      <c r="Z112" s="17">
        <v>0</v>
      </c>
      <c r="AA112" s="29">
        <f t="shared" si="98"/>
        <v>0</v>
      </c>
      <c r="AB112" s="30"/>
      <c r="AC112" s="16">
        <v>0</v>
      </c>
      <c r="AD112" s="17">
        <v>0</v>
      </c>
      <c r="AE112" s="13">
        <f t="shared" si="99"/>
        <v>0</v>
      </c>
      <c r="AF112" s="30"/>
      <c r="AG112" s="174">
        <v>15400</v>
      </c>
      <c r="AH112" s="17">
        <v>0</v>
      </c>
      <c r="AI112" s="13">
        <f t="shared" si="101"/>
        <v>15400</v>
      </c>
      <c r="AJ112" s="30"/>
      <c r="AK112" s="16">
        <v>0</v>
      </c>
      <c r="AL112" s="17">
        <v>0</v>
      </c>
      <c r="AM112" s="13">
        <f t="shared" si="102"/>
        <v>15400</v>
      </c>
      <c r="AN112" s="30"/>
      <c r="AO112" s="16"/>
      <c r="AP112" s="17">
        <v>0</v>
      </c>
      <c r="AQ112" s="13">
        <f t="shared" si="103"/>
        <v>15400</v>
      </c>
      <c r="AR112" s="30"/>
      <c r="AS112" s="28"/>
      <c r="AT112" s="17">
        <v>0</v>
      </c>
      <c r="AU112" s="13">
        <f t="shared" si="87"/>
        <v>15400</v>
      </c>
      <c r="AV112" s="30"/>
    </row>
    <row r="113" spans="1:48" x14ac:dyDescent="0.25">
      <c r="A113" s="14" t="s">
        <v>115</v>
      </c>
      <c r="B113" s="15" t="s">
        <v>116</v>
      </c>
      <c r="C113" s="17">
        <v>0</v>
      </c>
      <c r="D113" s="17">
        <v>0</v>
      </c>
      <c r="E113" s="17">
        <f t="shared" si="64"/>
        <v>0</v>
      </c>
      <c r="F113" s="19"/>
      <c r="G113" s="17">
        <v>0</v>
      </c>
      <c r="H113" s="17">
        <v>0</v>
      </c>
      <c r="I113" s="13">
        <f t="shared" si="72"/>
        <v>0</v>
      </c>
      <c r="J113" s="16">
        <v>0</v>
      </c>
      <c r="K113" s="17">
        <v>0</v>
      </c>
      <c r="L113" s="13">
        <f t="shared" si="104"/>
        <v>0</v>
      </c>
      <c r="M113" s="19"/>
      <c r="N113" s="16">
        <v>0</v>
      </c>
      <c r="O113" s="17">
        <v>0</v>
      </c>
      <c r="P113" s="13">
        <f t="shared" si="96"/>
        <v>0</v>
      </c>
      <c r="Q113" s="19"/>
      <c r="R113" s="174">
        <v>0</v>
      </c>
      <c r="S113" s="17">
        <v>0</v>
      </c>
      <c r="T113" s="17">
        <f t="shared" si="100"/>
        <v>0</v>
      </c>
      <c r="U113" s="30"/>
      <c r="V113" s="17">
        <v>0</v>
      </c>
      <c r="W113" s="17">
        <v>0</v>
      </c>
      <c r="X113" s="13">
        <f t="shared" si="97"/>
        <v>0</v>
      </c>
      <c r="Y113" s="16">
        <v>0</v>
      </c>
      <c r="Z113" s="17">
        <v>0</v>
      </c>
      <c r="AA113" s="29">
        <f t="shared" si="98"/>
        <v>0</v>
      </c>
      <c r="AB113" s="30"/>
      <c r="AC113" s="16">
        <v>0</v>
      </c>
      <c r="AD113" s="17">
        <v>0</v>
      </c>
      <c r="AE113" s="13">
        <f t="shared" si="99"/>
        <v>0</v>
      </c>
      <c r="AF113" s="30"/>
      <c r="AG113" s="174">
        <v>0</v>
      </c>
      <c r="AH113" s="17">
        <v>0</v>
      </c>
      <c r="AI113" s="13">
        <f t="shared" si="101"/>
        <v>0</v>
      </c>
      <c r="AJ113" s="30"/>
      <c r="AK113" s="16">
        <v>5000</v>
      </c>
      <c r="AL113" s="17">
        <v>0</v>
      </c>
      <c r="AM113" s="13">
        <f t="shared" si="102"/>
        <v>5000</v>
      </c>
      <c r="AN113" s="30"/>
      <c r="AO113" s="16"/>
      <c r="AP113" s="17">
        <v>0</v>
      </c>
      <c r="AQ113" s="13">
        <f t="shared" si="103"/>
        <v>5000</v>
      </c>
      <c r="AR113" s="30"/>
      <c r="AS113" s="28"/>
      <c r="AT113" s="17">
        <v>0</v>
      </c>
      <c r="AU113" s="13">
        <f t="shared" si="87"/>
        <v>5000</v>
      </c>
      <c r="AV113" s="30"/>
    </row>
    <row r="114" spans="1:48" x14ac:dyDescent="0.25">
      <c r="A114" s="14" t="s">
        <v>117</v>
      </c>
      <c r="B114" s="15" t="s">
        <v>118</v>
      </c>
      <c r="C114" s="17">
        <v>3000</v>
      </c>
      <c r="D114" s="17">
        <v>0</v>
      </c>
      <c r="E114" s="17">
        <f t="shared" si="64"/>
        <v>3000</v>
      </c>
      <c r="F114" s="19"/>
      <c r="G114" s="17">
        <v>4600</v>
      </c>
      <c r="H114" s="17">
        <v>0</v>
      </c>
      <c r="I114" s="13">
        <f t="shared" si="72"/>
        <v>7600</v>
      </c>
      <c r="J114" s="16">
        <v>0</v>
      </c>
      <c r="K114" s="17">
        <v>0</v>
      </c>
      <c r="L114" s="13">
        <f t="shared" si="104"/>
        <v>7600</v>
      </c>
      <c r="M114" s="19"/>
      <c r="N114" s="16">
        <v>0</v>
      </c>
      <c r="O114" s="17">
        <v>0</v>
      </c>
      <c r="P114" s="13">
        <f t="shared" si="96"/>
        <v>7600</v>
      </c>
      <c r="Q114" s="19"/>
      <c r="R114" s="174">
        <v>0</v>
      </c>
      <c r="S114" s="17">
        <v>0</v>
      </c>
      <c r="T114" s="17">
        <f t="shared" si="100"/>
        <v>7600</v>
      </c>
      <c r="U114" s="30"/>
      <c r="V114" s="17">
        <v>2300</v>
      </c>
      <c r="W114" s="17">
        <v>0</v>
      </c>
      <c r="X114" s="13">
        <f t="shared" si="97"/>
        <v>9900</v>
      </c>
      <c r="Y114" s="16">
        <v>2300</v>
      </c>
      <c r="Z114" s="17">
        <v>0</v>
      </c>
      <c r="AA114" s="29">
        <f t="shared" si="98"/>
        <v>12200</v>
      </c>
      <c r="AB114" s="30"/>
      <c r="AC114" s="16">
        <v>2521</v>
      </c>
      <c r="AD114" s="17">
        <v>0</v>
      </c>
      <c r="AE114" s="13">
        <f t="shared" si="99"/>
        <v>14721</v>
      </c>
      <c r="AF114" s="30"/>
      <c r="AG114" s="174">
        <v>0</v>
      </c>
      <c r="AH114" s="17">
        <v>0</v>
      </c>
      <c r="AI114" s="13">
        <f t="shared" si="101"/>
        <v>14721</v>
      </c>
      <c r="AJ114" s="30"/>
      <c r="AK114" s="16">
        <v>0</v>
      </c>
      <c r="AL114" s="17">
        <v>0</v>
      </c>
      <c r="AM114" s="13">
        <f t="shared" si="102"/>
        <v>14721</v>
      </c>
      <c r="AN114" s="30"/>
      <c r="AO114" s="28"/>
      <c r="AP114" s="17">
        <v>0</v>
      </c>
      <c r="AQ114" s="13">
        <f t="shared" si="103"/>
        <v>14721</v>
      </c>
      <c r="AR114" s="30"/>
      <c r="AS114" s="28">
        <v>2300</v>
      </c>
      <c r="AT114" s="17">
        <v>0</v>
      </c>
      <c r="AU114" s="13">
        <f t="shared" si="87"/>
        <v>17021</v>
      </c>
      <c r="AV114" s="30"/>
    </row>
    <row r="115" spans="1:48" x14ac:dyDescent="0.25">
      <c r="A115" s="14">
        <v>519576</v>
      </c>
      <c r="B115" s="15" t="s">
        <v>396</v>
      </c>
      <c r="C115" s="17">
        <v>45000</v>
      </c>
      <c r="D115" s="17"/>
      <c r="E115" s="17">
        <f t="shared" si="64"/>
        <v>45000</v>
      </c>
      <c r="F115" s="30"/>
      <c r="G115" s="17">
        <v>20000</v>
      </c>
      <c r="H115" s="17"/>
      <c r="I115" s="13">
        <f t="shared" si="72"/>
        <v>65000</v>
      </c>
      <c r="J115" s="16">
        <v>70000</v>
      </c>
      <c r="K115" s="17"/>
      <c r="L115" s="13">
        <f t="shared" si="104"/>
        <v>135000</v>
      </c>
      <c r="M115" s="30"/>
      <c r="N115" s="16"/>
      <c r="O115" s="17"/>
      <c r="P115" s="13">
        <f t="shared" si="96"/>
        <v>135000</v>
      </c>
      <c r="Q115" s="30"/>
      <c r="R115" s="174"/>
      <c r="S115" s="17"/>
      <c r="T115" s="17">
        <f t="shared" si="100"/>
        <v>135000</v>
      </c>
      <c r="U115" s="30"/>
      <c r="V115" s="17"/>
      <c r="W115" s="17"/>
      <c r="X115" s="13">
        <f t="shared" si="97"/>
        <v>135000</v>
      </c>
      <c r="Y115" s="16"/>
      <c r="Z115" s="17"/>
      <c r="AA115" s="29">
        <f t="shared" si="98"/>
        <v>135000</v>
      </c>
      <c r="AB115" s="30"/>
      <c r="AC115" s="16"/>
      <c r="AD115" s="17"/>
      <c r="AE115" s="13">
        <f t="shared" si="99"/>
        <v>135000</v>
      </c>
      <c r="AF115" s="30"/>
      <c r="AG115" s="174">
        <v>0</v>
      </c>
      <c r="AH115" s="17"/>
      <c r="AI115" s="13">
        <f t="shared" si="101"/>
        <v>135000</v>
      </c>
      <c r="AJ115" s="30"/>
      <c r="AK115" s="16"/>
      <c r="AL115" s="17"/>
      <c r="AM115" s="13">
        <f t="shared" si="102"/>
        <v>135000</v>
      </c>
      <c r="AN115" s="30"/>
      <c r="AO115" s="28"/>
      <c r="AP115" s="17"/>
      <c r="AQ115" s="13">
        <f t="shared" si="103"/>
        <v>135000</v>
      </c>
      <c r="AR115" s="30"/>
      <c r="AS115" s="28">
        <v>105000</v>
      </c>
      <c r="AT115" s="17"/>
      <c r="AU115" s="13">
        <f t="shared" si="87"/>
        <v>240000</v>
      </c>
      <c r="AV115" s="30"/>
    </row>
    <row r="116" spans="1:48" x14ac:dyDescent="0.25">
      <c r="A116" s="14" t="s">
        <v>119</v>
      </c>
      <c r="B116" s="15" t="s">
        <v>73</v>
      </c>
      <c r="C116" s="17">
        <v>0</v>
      </c>
      <c r="D116" s="17">
        <v>0</v>
      </c>
      <c r="E116" s="17">
        <f t="shared" si="64"/>
        <v>0</v>
      </c>
      <c r="F116" s="19"/>
      <c r="G116" s="17">
        <v>100</v>
      </c>
      <c r="H116" s="17">
        <v>0</v>
      </c>
      <c r="I116" s="13">
        <f t="shared" si="72"/>
        <v>100</v>
      </c>
      <c r="J116" s="16">
        <v>62</v>
      </c>
      <c r="K116" s="17">
        <v>0</v>
      </c>
      <c r="L116" s="13">
        <f t="shared" si="104"/>
        <v>162</v>
      </c>
      <c r="M116" s="19"/>
      <c r="N116" s="16">
        <v>5949</v>
      </c>
      <c r="O116" s="17">
        <v>0</v>
      </c>
      <c r="P116" s="13">
        <f t="shared" si="96"/>
        <v>6111</v>
      </c>
      <c r="Q116" s="19"/>
      <c r="R116" s="174">
        <f>14124+945000</f>
        <v>959124</v>
      </c>
      <c r="S116" s="17">
        <v>14124</v>
      </c>
      <c r="T116" s="17">
        <f t="shared" si="100"/>
        <v>965235</v>
      </c>
      <c r="U116" s="30"/>
      <c r="V116" s="17">
        <v>124</v>
      </c>
      <c r="W116" s="17">
        <v>0</v>
      </c>
      <c r="X116" s="13">
        <f t="shared" si="97"/>
        <v>965359</v>
      </c>
      <c r="Y116" s="16">
        <v>0</v>
      </c>
      <c r="Z116" s="17">
        <v>0</v>
      </c>
      <c r="AA116" s="29">
        <f t="shared" si="98"/>
        <v>965359</v>
      </c>
      <c r="AB116" s="30"/>
      <c r="AC116" s="127">
        <f>2124+702000</f>
        <v>704124</v>
      </c>
      <c r="AD116" s="17">
        <v>0</v>
      </c>
      <c r="AE116" s="13">
        <f t="shared" si="99"/>
        <v>1669483</v>
      </c>
      <c r="AF116" s="30"/>
      <c r="AG116" s="174">
        <v>285088</v>
      </c>
      <c r="AH116" s="17">
        <v>0</v>
      </c>
      <c r="AI116" s="13">
        <f t="shared" si="101"/>
        <v>1954571</v>
      </c>
      <c r="AJ116" s="30"/>
      <c r="AK116" s="16">
        <v>286</v>
      </c>
      <c r="AL116" s="17">
        <v>0</v>
      </c>
      <c r="AM116" s="13">
        <f t="shared" si="102"/>
        <v>1954857</v>
      </c>
      <c r="AN116" s="30"/>
      <c r="AO116" s="28">
        <v>200124</v>
      </c>
      <c r="AP116" s="17">
        <v>0</v>
      </c>
      <c r="AQ116" s="13">
        <f t="shared" si="103"/>
        <v>2154981</v>
      </c>
      <c r="AR116" s="30"/>
      <c r="AS116" s="28">
        <v>400062</v>
      </c>
      <c r="AT116" s="17">
        <v>0</v>
      </c>
      <c r="AU116" s="13">
        <f t="shared" si="87"/>
        <v>2555043</v>
      </c>
      <c r="AV116" s="30"/>
    </row>
    <row r="117" spans="1:48" x14ac:dyDescent="0.25">
      <c r="A117" s="14"/>
      <c r="B117" s="15"/>
      <c r="C117" s="17"/>
      <c r="D117" s="17"/>
      <c r="E117" s="17">
        <f t="shared" si="64"/>
        <v>0</v>
      </c>
      <c r="F117" s="30"/>
      <c r="G117" s="17"/>
      <c r="H117" s="17"/>
      <c r="I117" s="13">
        <f t="shared" si="72"/>
        <v>0</v>
      </c>
      <c r="J117" s="17"/>
      <c r="K117" s="17"/>
      <c r="L117" s="13">
        <f t="shared" si="104"/>
        <v>0</v>
      </c>
      <c r="M117" s="30"/>
      <c r="N117" s="17"/>
      <c r="O117" s="17"/>
      <c r="P117" s="13"/>
      <c r="Q117" s="30"/>
      <c r="R117" s="174"/>
      <c r="S117" s="17"/>
      <c r="T117" s="17"/>
      <c r="U117" s="30"/>
      <c r="V117" s="17"/>
      <c r="W117" s="17"/>
      <c r="X117" s="13">
        <f t="shared" si="97"/>
        <v>0</v>
      </c>
      <c r="Y117" s="17"/>
      <c r="Z117" s="17"/>
      <c r="AA117" s="29">
        <f t="shared" si="98"/>
        <v>0</v>
      </c>
      <c r="AB117" s="30"/>
      <c r="AC117" s="17"/>
      <c r="AD117" s="17"/>
      <c r="AE117" s="13"/>
      <c r="AF117" s="30"/>
      <c r="AG117" s="174"/>
      <c r="AH117" s="17"/>
      <c r="AI117" s="13"/>
      <c r="AJ117" s="30"/>
      <c r="AK117" s="16"/>
      <c r="AL117" s="17"/>
      <c r="AM117" s="13"/>
      <c r="AN117" s="30"/>
      <c r="AO117" s="29"/>
      <c r="AP117" s="17"/>
      <c r="AQ117" s="13"/>
      <c r="AR117" s="30"/>
      <c r="AS117" s="29"/>
      <c r="AT117" s="17"/>
      <c r="AU117" s="13">
        <f t="shared" si="87"/>
        <v>0</v>
      </c>
      <c r="AV117" s="30"/>
    </row>
    <row r="118" spans="1:48" x14ac:dyDescent="0.25">
      <c r="A118" s="14" t="s">
        <v>154</v>
      </c>
      <c r="B118" s="15" t="s">
        <v>145</v>
      </c>
      <c r="C118" s="17">
        <f>+C119+C122+C125+C131+C137</f>
        <v>560812</v>
      </c>
      <c r="D118" s="17">
        <v>0</v>
      </c>
      <c r="E118" s="17">
        <f t="shared" si="64"/>
        <v>560812</v>
      </c>
      <c r="F118" s="19"/>
      <c r="G118" s="17">
        <f>+G119+G122+G125+G131+G137+G134</f>
        <v>229774</v>
      </c>
      <c r="H118" s="17">
        <v>0</v>
      </c>
      <c r="I118" s="13">
        <f t="shared" si="72"/>
        <v>790586</v>
      </c>
      <c r="J118" s="17">
        <f>+J119+J122+J125+J131+J137</f>
        <v>229774</v>
      </c>
      <c r="K118" s="17">
        <v>0</v>
      </c>
      <c r="L118" s="13">
        <f t="shared" si="104"/>
        <v>1020360</v>
      </c>
      <c r="M118" s="19"/>
      <c r="N118" s="17">
        <f>+N119+N122+N125+N131+N137+N128+N134</f>
        <v>229774</v>
      </c>
      <c r="O118" s="17">
        <v>0</v>
      </c>
      <c r="P118" s="13">
        <f>L118+N118</f>
        <v>1250134</v>
      </c>
      <c r="Q118" s="19"/>
      <c r="R118" s="174">
        <f>+R119+R122+R125+R131+R137+R128</f>
        <v>229774</v>
      </c>
      <c r="S118" s="17">
        <v>0</v>
      </c>
      <c r="T118" s="17">
        <f>+P118+R118</f>
        <v>1479908</v>
      </c>
      <c r="U118" s="30"/>
      <c r="V118" s="17">
        <f>+V119+V122+V125+V131+V137+V128</f>
        <v>208401</v>
      </c>
      <c r="W118" s="17">
        <v>0</v>
      </c>
      <c r="X118" s="13">
        <f t="shared" si="97"/>
        <v>1688309</v>
      </c>
      <c r="Y118" s="17">
        <f>+Y119+Y122+Y125+Y131+Y137+Y128</f>
        <v>208401</v>
      </c>
      <c r="Z118" s="17">
        <v>0</v>
      </c>
      <c r="AA118" s="29">
        <f>+X118+Y118</f>
        <v>1896710</v>
      </c>
      <c r="AB118" s="30"/>
      <c r="AC118" s="17">
        <f>+AC119+AC122+AC125+AC131+AC137+AC128</f>
        <v>226338</v>
      </c>
      <c r="AD118" s="17">
        <v>0</v>
      </c>
      <c r="AE118" s="13">
        <f>AA118+AC118</f>
        <v>2123048</v>
      </c>
      <c r="AF118" s="30"/>
      <c r="AG118" s="174">
        <f>+AG119+AG122+AG125+AG131+AG137+AG128</f>
        <v>226338</v>
      </c>
      <c r="AH118" s="17">
        <v>0</v>
      </c>
      <c r="AI118" s="13">
        <f>AE118+AG118</f>
        <v>2349386</v>
      </c>
      <c r="AJ118" s="30"/>
      <c r="AK118" s="16">
        <f>+AK119+AK122+AK125+AK131+AK137+AK128</f>
        <v>237227</v>
      </c>
      <c r="AL118" s="17">
        <v>0</v>
      </c>
      <c r="AM118" s="13">
        <f>AI118+AK118</f>
        <v>2586613</v>
      </c>
      <c r="AN118" s="30"/>
      <c r="AO118" s="29">
        <f>+AO119+AO122+AO125+AO131+AO137+AO128</f>
        <v>237227</v>
      </c>
      <c r="AP118" s="17">
        <v>0</v>
      </c>
      <c r="AQ118" s="13">
        <f>AM118+AO118</f>
        <v>2823840</v>
      </c>
      <c r="AR118" s="30"/>
      <c r="AS118" s="29">
        <f>+AS119+AS122+AS125+AS131+AS137+AS128</f>
        <v>237227</v>
      </c>
      <c r="AT118" s="17">
        <v>0</v>
      </c>
      <c r="AU118" s="13">
        <f t="shared" si="87"/>
        <v>3061067</v>
      </c>
      <c r="AV118" s="30"/>
    </row>
    <row r="119" spans="1:48" x14ac:dyDescent="0.25">
      <c r="A119" s="14" t="s">
        <v>155</v>
      </c>
      <c r="B119" s="15" t="s">
        <v>63</v>
      </c>
      <c r="C119" s="17">
        <v>0</v>
      </c>
      <c r="D119" s="17">
        <v>0</v>
      </c>
      <c r="E119" s="17">
        <f t="shared" si="64"/>
        <v>0</v>
      </c>
      <c r="F119" s="19"/>
      <c r="G119" s="17">
        <f>+G120</f>
        <v>0</v>
      </c>
      <c r="H119" s="17">
        <v>0</v>
      </c>
      <c r="I119" s="13">
        <f t="shared" si="72"/>
        <v>0</v>
      </c>
      <c r="J119" s="17">
        <v>0</v>
      </c>
      <c r="K119" s="17">
        <v>0</v>
      </c>
      <c r="L119" s="13">
        <f t="shared" si="104"/>
        <v>0</v>
      </c>
      <c r="M119" s="19"/>
      <c r="N119" s="17">
        <v>0</v>
      </c>
      <c r="O119" s="17">
        <v>0</v>
      </c>
      <c r="P119" s="13">
        <f t="shared" ref="P119:P120" si="105">L119+N119</f>
        <v>0</v>
      </c>
      <c r="Q119" s="19"/>
      <c r="R119" s="174">
        <v>0</v>
      </c>
      <c r="S119" s="17">
        <v>0</v>
      </c>
      <c r="T119" s="17">
        <f t="shared" si="79"/>
        <v>0</v>
      </c>
      <c r="U119" s="30"/>
      <c r="V119" s="17">
        <f>+V120</f>
        <v>0</v>
      </c>
      <c r="W119" s="17">
        <v>0</v>
      </c>
      <c r="X119" s="13">
        <f t="shared" si="97"/>
        <v>0</v>
      </c>
      <c r="Y119" s="17">
        <v>0</v>
      </c>
      <c r="Z119" s="17">
        <v>0</v>
      </c>
      <c r="AA119" s="29">
        <f t="shared" si="98"/>
        <v>0</v>
      </c>
      <c r="AB119" s="30"/>
      <c r="AC119" s="17">
        <v>0</v>
      </c>
      <c r="AD119" s="17">
        <v>0</v>
      </c>
      <c r="AE119" s="13">
        <f t="shared" ref="AE119:AE120" si="106">AA119+AC119</f>
        <v>0</v>
      </c>
      <c r="AF119" s="30"/>
      <c r="AG119" s="174">
        <v>0</v>
      </c>
      <c r="AH119" s="17">
        <v>0</v>
      </c>
      <c r="AI119" s="13">
        <f t="shared" ref="AI119:AI120" si="107">AE119+AG119</f>
        <v>0</v>
      </c>
      <c r="AJ119" s="30"/>
      <c r="AK119" s="16">
        <v>0</v>
      </c>
      <c r="AL119" s="17">
        <v>0</v>
      </c>
      <c r="AM119" s="13">
        <f t="shared" ref="AM119:AM120" si="108">AI119+AK119</f>
        <v>0</v>
      </c>
      <c r="AN119" s="30"/>
      <c r="AO119" s="29">
        <v>0</v>
      </c>
      <c r="AP119" s="17">
        <v>0</v>
      </c>
      <c r="AQ119" s="13">
        <f t="shared" ref="AQ119:AQ120" si="109">AM119+AO119</f>
        <v>0</v>
      </c>
      <c r="AR119" s="30"/>
      <c r="AS119" s="29">
        <v>0</v>
      </c>
      <c r="AT119" s="17">
        <v>0</v>
      </c>
      <c r="AU119" s="13">
        <f t="shared" si="87"/>
        <v>0</v>
      </c>
      <c r="AV119" s="30"/>
    </row>
    <row r="120" spans="1:48" x14ac:dyDescent="0.25">
      <c r="A120" s="14" t="s">
        <v>156</v>
      </c>
      <c r="B120" s="15" t="s">
        <v>73</v>
      </c>
      <c r="C120" s="17">
        <v>0</v>
      </c>
      <c r="D120" s="17">
        <v>0</v>
      </c>
      <c r="E120" s="17">
        <f t="shared" si="64"/>
        <v>0</v>
      </c>
      <c r="F120" s="19"/>
      <c r="G120" s="17">
        <v>0</v>
      </c>
      <c r="H120" s="17">
        <v>0</v>
      </c>
      <c r="I120" s="13">
        <f t="shared" si="72"/>
        <v>0</v>
      </c>
      <c r="J120" s="17">
        <v>0</v>
      </c>
      <c r="K120" s="17">
        <v>0</v>
      </c>
      <c r="L120" s="13">
        <f t="shared" si="104"/>
        <v>0</v>
      </c>
      <c r="M120" s="19"/>
      <c r="N120" s="17">
        <v>0</v>
      </c>
      <c r="O120" s="17">
        <v>0</v>
      </c>
      <c r="P120" s="13">
        <f t="shared" si="105"/>
        <v>0</v>
      </c>
      <c r="Q120" s="19"/>
      <c r="R120" s="174">
        <v>0</v>
      </c>
      <c r="S120" s="17">
        <v>0</v>
      </c>
      <c r="T120" s="17">
        <f t="shared" si="79"/>
        <v>0</v>
      </c>
      <c r="U120" s="30"/>
      <c r="V120" s="17">
        <v>0</v>
      </c>
      <c r="W120" s="17">
        <v>0</v>
      </c>
      <c r="X120" s="13">
        <f t="shared" si="97"/>
        <v>0</v>
      </c>
      <c r="Y120" s="17">
        <v>0</v>
      </c>
      <c r="Z120" s="17">
        <v>0</v>
      </c>
      <c r="AA120" s="29">
        <f t="shared" si="98"/>
        <v>0</v>
      </c>
      <c r="AB120" s="30"/>
      <c r="AC120" s="17">
        <v>0</v>
      </c>
      <c r="AD120" s="17">
        <v>0</v>
      </c>
      <c r="AE120" s="13">
        <f t="shared" si="106"/>
        <v>0</v>
      </c>
      <c r="AF120" s="30"/>
      <c r="AG120" s="174">
        <v>0</v>
      </c>
      <c r="AH120" s="17">
        <v>0</v>
      </c>
      <c r="AI120" s="13">
        <f t="shared" si="107"/>
        <v>0</v>
      </c>
      <c r="AJ120" s="30"/>
      <c r="AK120" s="17">
        <v>0</v>
      </c>
      <c r="AL120" s="17">
        <v>0</v>
      </c>
      <c r="AM120" s="13">
        <f t="shared" si="108"/>
        <v>0</v>
      </c>
      <c r="AN120" s="30"/>
      <c r="AO120" s="29">
        <v>0</v>
      </c>
      <c r="AP120" s="17">
        <v>0</v>
      </c>
      <c r="AQ120" s="13">
        <f t="shared" si="109"/>
        <v>0</v>
      </c>
      <c r="AR120" s="30"/>
      <c r="AS120" s="17">
        <v>0</v>
      </c>
      <c r="AT120" s="17">
        <v>0</v>
      </c>
      <c r="AU120" s="13">
        <f t="shared" si="87"/>
        <v>0</v>
      </c>
      <c r="AV120" s="30"/>
    </row>
    <row r="121" spans="1:48" x14ac:dyDescent="0.25">
      <c r="A121" s="14"/>
      <c r="B121" s="15"/>
      <c r="C121" s="17"/>
      <c r="D121" s="17"/>
      <c r="E121" s="17">
        <f t="shared" si="64"/>
        <v>0</v>
      </c>
      <c r="F121" s="30"/>
      <c r="G121" s="17"/>
      <c r="H121" s="17"/>
      <c r="I121" s="13">
        <f t="shared" si="72"/>
        <v>0</v>
      </c>
      <c r="J121" s="17"/>
      <c r="K121" s="17"/>
      <c r="L121" s="13">
        <f t="shared" si="104"/>
        <v>0</v>
      </c>
      <c r="M121" s="30"/>
      <c r="N121" s="17"/>
      <c r="O121" s="17"/>
      <c r="P121" s="13"/>
      <c r="Q121" s="30"/>
      <c r="R121" s="174"/>
      <c r="S121" s="17"/>
      <c r="T121" s="17">
        <f t="shared" si="79"/>
        <v>0</v>
      </c>
      <c r="U121" s="30"/>
      <c r="V121" s="17"/>
      <c r="W121" s="17"/>
      <c r="X121" s="13">
        <f t="shared" si="97"/>
        <v>0</v>
      </c>
      <c r="Y121" s="17"/>
      <c r="Z121" s="17"/>
      <c r="AA121" s="29">
        <f t="shared" si="98"/>
        <v>0</v>
      </c>
      <c r="AB121" s="30"/>
      <c r="AC121" s="17"/>
      <c r="AD121" s="17"/>
      <c r="AE121" s="13"/>
      <c r="AF121" s="30"/>
      <c r="AG121" s="174"/>
      <c r="AH121" s="17"/>
      <c r="AI121" s="13"/>
      <c r="AJ121" s="30"/>
      <c r="AK121" s="17"/>
      <c r="AL121" s="17"/>
      <c r="AM121" s="13"/>
      <c r="AN121" s="30"/>
      <c r="AO121" s="17"/>
      <c r="AP121" s="17"/>
      <c r="AQ121" s="13"/>
      <c r="AR121" s="30"/>
      <c r="AS121" s="17"/>
      <c r="AT121" s="17"/>
      <c r="AU121" s="13">
        <f t="shared" si="87"/>
        <v>0</v>
      </c>
      <c r="AV121" s="30"/>
    </row>
    <row r="122" spans="1:48" x14ac:dyDescent="0.25">
      <c r="A122" s="14" t="s">
        <v>157</v>
      </c>
      <c r="B122" s="15" t="s">
        <v>67</v>
      </c>
      <c r="C122" s="17">
        <v>0</v>
      </c>
      <c r="D122" s="17">
        <v>0</v>
      </c>
      <c r="E122" s="17">
        <f t="shared" si="64"/>
        <v>0</v>
      </c>
      <c r="F122" s="19"/>
      <c r="G122" s="17">
        <f>+G123</f>
        <v>0</v>
      </c>
      <c r="H122" s="17">
        <v>0</v>
      </c>
      <c r="I122" s="13">
        <f t="shared" si="72"/>
        <v>0</v>
      </c>
      <c r="J122" s="17">
        <f>+J123</f>
        <v>0</v>
      </c>
      <c r="K122" s="17">
        <v>0</v>
      </c>
      <c r="L122" s="13">
        <f t="shared" si="104"/>
        <v>0</v>
      </c>
      <c r="M122" s="19"/>
      <c r="N122" s="17">
        <f>+N123</f>
        <v>0</v>
      </c>
      <c r="O122" s="17">
        <v>0</v>
      </c>
      <c r="P122" s="13">
        <f>L122+N122</f>
        <v>0</v>
      </c>
      <c r="Q122" s="19"/>
      <c r="R122" s="174">
        <f>+R123</f>
        <v>0</v>
      </c>
      <c r="S122" s="17">
        <v>0</v>
      </c>
      <c r="T122" s="17">
        <f t="shared" si="79"/>
        <v>0</v>
      </c>
      <c r="U122" s="30"/>
      <c r="V122" s="17">
        <f>+V123</f>
        <v>0</v>
      </c>
      <c r="W122" s="17">
        <v>0</v>
      </c>
      <c r="X122" s="13">
        <f t="shared" si="97"/>
        <v>0</v>
      </c>
      <c r="Y122" s="17">
        <f>+Y123</f>
        <v>0</v>
      </c>
      <c r="Z122" s="17">
        <v>0</v>
      </c>
      <c r="AA122" s="29">
        <f t="shared" si="98"/>
        <v>0</v>
      </c>
      <c r="AB122" s="30"/>
      <c r="AC122" s="17">
        <f>+AC123</f>
        <v>0</v>
      </c>
      <c r="AD122" s="17">
        <v>0</v>
      </c>
      <c r="AE122" s="13">
        <f>AA122+AC122</f>
        <v>0</v>
      </c>
      <c r="AF122" s="30"/>
      <c r="AG122" s="174">
        <f>+AG123</f>
        <v>0</v>
      </c>
      <c r="AH122" s="17">
        <v>0</v>
      </c>
      <c r="AI122" s="13">
        <f>AE122+AG122</f>
        <v>0</v>
      </c>
      <c r="AJ122" s="30"/>
      <c r="AK122" s="17">
        <f>+AK123</f>
        <v>0</v>
      </c>
      <c r="AL122" s="17">
        <v>0</v>
      </c>
      <c r="AM122" s="13">
        <f>AI122+AK122</f>
        <v>0</v>
      </c>
      <c r="AN122" s="30"/>
      <c r="AO122" s="17">
        <f>+AO123</f>
        <v>0</v>
      </c>
      <c r="AP122" s="17">
        <v>0</v>
      </c>
      <c r="AQ122" s="13">
        <f>AM122+AO122</f>
        <v>0</v>
      </c>
      <c r="AR122" s="30"/>
      <c r="AS122" s="17">
        <f>+AS123</f>
        <v>0</v>
      </c>
      <c r="AT122" s="17">
        <v>0</v>
      </c>
      <c r="AU122" s="13">
        <f t="shared" si="87"/>
        <v>0</v>
      </c>
      <c r="AV122" s="30"/>
    </row>
    <row r="123" spans="1:48" x14ac:dyDescent="0.25">
      <c r="A123" s="14" t="s">
        <v>158</v>
      </c>
      <c r="B123" s="15" t="s">
        <v>93</v>
      </c>
      <c r="C123" s="17">
        <v>0</v>
      </c>
      <c r="D123" s="17">
        <v>0</v>
      </c>
      <c r="E123" s="17">
        <f t="shared" si="64"/>
        <v>0</v>
      </c>
      <c r="F123" s="19"/>
      <c r="G123" s="17"/>
      <c r="H123" s="17">
        <v>0</v>
      </c>
      <c r="I123" s="13">
        <f t="shared" si="72"/>
        <v>0</v>
      </c>
      <c r="J123" s="17">
        <v>0</v>
      </c>
      <c r="K123" s="17">
        <v>0</v>
      </c>
      <c r="L123" s="13">
        <f t="shared" si="104"/>
        <v>0</v>
      </c>
      <c r="M123" s="19"/>
      <c r="N123" s="17">
        <v>0</v>
      </c>
      <c r="O123" s="17">
        <v>0</v>
      </c>
      <c r="P123" s="13">
        <f t="shared" ref="P123:P146" si="110">L123+N123</f>
        <v>0</v>
      </c>
      <c r="Q123" s="19"/>
      <c r="R123" s="18">
        <v>0</v>
      </c>
      <c r="S123" s="17">
        <v>0</v>
      </c>
      <c r="T123" s="17">
        <f t="shared" si="79"/>
        <v>0</v>
      </c>
      <c r="U123" s="30"/>
      <c r="V123" s="17">
        <v>0</v>
      </c>
      <c r="W123" s="17">
        <v>0</v>
      </c>
      <c r="X123" s="13">
        <f t="shared" si="97"/>
        <v>0</v>
      </c>
      <c r="Y123" s="17">
        <v>0</v>
      </c>
      <c r="Z123" s="17">
        <v>0</v>
      </c>
      <c r="AA123" s="29">
        <f t="shared" si="98"/>
        <v>0</v>
      </c>
      <c r="AB123" s="30"/>
      <c r="AC123" s="17"/>
      <c r="AD123" s="17">
        <v>0</v>
      </c>
      <c r="AE123" s="13">
        <f t="shared" ref="AE123:AE146" si="111">AA123+AC123</f>
        <v>0</v>
      </c>
      <c r="AF123" s="30"/>
      <c r="AG123" s="174">
        <v>0</v>
      </c>
      <c r="AH123" s="17">
        <v>0</v>
      </c>
      <c r="AI123" s="13">
        <f t="shared" ref="AI123:AI128" si="112">AE123+AG123</f>
        <v>0</v>
      </c>
      <c r="AJ123" s="30"/>
      <c r="AK123" s="17">
        <v>0</v>
      </c>
      <c r="AL123" s="17">
        <v>0</v>
      </c>
      <c r="AM123" s="13">
        <f t="shared" ref="AM123:AM128" si="113">AI123+AK123</f>
        <v>0</v>
      </c>
      <c r="AN123" s="30"/>
      <c r="AO123" s="17"/>
      <c r="AP123" s="17">
        <v>0</v>
      </c>
      <c r="AQ123" s="13">
        <f t="shared" ref="AQ123:AQ128" si="114">AM123+AO123</f>
        <v>0</v>
      </c>
      <c r="AR123" s="30"/>
      <c r="AS123" s="17"/>
      <c r="AT123" s="17">
        <v>0</v>
      </c>
      <c r="AU123" s="13">
        <f t="shared" si="87"/>
        <v>0</v>
      </c>
      <c r="AV123" s="30"/>
    </row>
    <row r="124" spans="1:48" x14ac:dyDescent="0.25">
      <c r="A124" s="14"/>
      <c r="B124" s="15"/>
      <c r="C124" s="17"/>
      <c r="D124" s="17"/>
      <c r="E124" s="17">
        <f t="shared" si="64"/>
        <v>0</v>
      </c>
      <c r="F124" s="30"/>
      <c r="G124" s="17"/>
      <c r="H124" s="17"/>
      <c r="I124" s="13">
        <f t="shared" si="72"/>
        <v>0</v>
      </c>
      <c r="J124" s="17"/>
      <c r="K124" s="17"/>
      <c r="L124" s="13">
        <f t="shared" si="104"/>
        <v>0</v>
      </c>
      <c r="M124" s="30"/>
      <c r="N124" s="17"/>
      <c r="O124" s="17"/>
      <c r="P124" s="13">
        <f t="shared" si="110"/>
        <v>0</v>
      </c>
      <c r="Q124" s="30"/>
      <c r="R124" s="18"/>
      <c r="S124" s="17"/>
      <c r="T124" s="17">
        <f t="shared" si="79"/>
        <v>0</v>
      </c>
      <c r="U124" s="30"/>
      <c r="V124" s="17"/>
      <c r="W124" s="17"/>
      <c r="X124" s="13">
        <f t="shared" si="97"/>
        <v>0</v>
      </c>
      <c r="Y124" s="17"/>
      <c r="Z124" s="17"/>
      <c r="AA124" s="29">
        <f t="shared" si="98"/>
        <v>0</v>
      </c>
      <c r="AB124" s="30"/>
      <c r="AC124" s="17"/>
      <c r="AD124" s="17"/>
      <c r="AE124" s="13">
        <f t="shared" si="111"/>
        <v>0</v>
      </c>
      <c r="AF124" s="30"/>
      <c r="AG124" s="174"/>
      <c r="AH124" s="17"/>
      <c r="AI124" s="13">
        <f t="shared" si="112"/>
        <v>0</v>
      </c>
      <c r="AJ124" s="30"/>
      <c r="AK124" s="17"/>
      <c r="AL124" s="17"/>
      <c r="AM124" s="13">
        <f t="shared" si="113"/>
        <v>0</v>
      </c>
      <c r="AN124" s="30"/>
      <c r="AO124" s="17"/>
      <c r="AP124" s="17"/>
      <c r="AQ124" s="13">
        <f t="shared" si="114"/>
        <v>0</v>
      </c>
      <c r="AR124" s="30"/>
      <c r="AS124" s="17"/>
      <c r="AT124" s="17"/>
      <c r="AU124" s="13">
        <f t="shared" si="87"/>
        <v>0</v>
      </c>
      <c r="AV124" s="30"/>
    </row>
    <row r="125" spans="1:48" x14ac:dyDescent="0.25">
      <c r="A125" s="14">
        <v>5230</v>
      </c>
      <c r="B125" s="15" t="s">
        <v>71</v>
      </c>
      <c r="C125" s="17">
        <f>+C126</f>
        <v>60900</v>
      </c>
      <c r="D125" s="17">
        <v>0</v>
      </c>
      <c r="E125" s="17">
        <f t="shared" si="64"/>
        <v>60900</v>
      </c>
      <c r="F125" s="30"/>
      <c r="G125" s="17">
        <f>+G126</f>
        <v>61214</v>
      </c>
      <c r="H125" s="17">
        <v>0</v>
      </c>
      <c r="I125" s="13">
        <f t="shared" si="72"/>
        <v>122114</v>
      </c>
      <c r="J125" s="16">
        <f>J126</f>
        <v>61214</v>
      </c>
      <c r="K125" s="17">
        <v>0</v>
      </c>
      <c r="L125" s="13">
        <f t="shared" si="104"/>
        <v>183328</v>
      </c>
      <c r="M125" s="30"/>
      <c r="N125" s="16">
        <f>N126</f>
        <v>61214</v>
      </c>
      <c r="O125" s="17">
        <v>0</v>
      </c>
      <c r="P125" s="13">
        <f t="shared" si="110"/>
        <v>244542</v>
      </c>
      <c r="Q125" s="30"/>
      <c r="R125" s="18">
        <f>+R126</f>
        <v>61214</v>
      </c>
      <c r="S125" s="17">
        <v>0</v>
      </c>
      <c r="T125" s="17">
        <f t="shared" si="79"/>
        <v>305756</v>
      </c>
      <c r="U125" s="30"/>
      <c r="V125" s="17">
        <f>+V126</f>
        <v>56313</v>
      </c>
      <c r="W125" s="17">
        <v>0</v>
      </c>
      <c r="X125" s="13">
        <f t="shared" si="97"/>
        <v>362069</v>
      </c>
      <c r="Y125" s="16">
        <f>Y126</f>
        <v>56313</v>
      </c>
      <c r="Z125" s="17">
        <v>0</v>
      </c>
      <c r="AA125" s="29">
        <f t="shared" si="98"/>
        <v>418382</v>
      </c>
      <c r="AB125" s="30"/>
      <c r="AC125" s="16">
        <f>AC126</f>
        <v>60426</v>
      </c>
      <c r="AD125" s="17">
        <v>0</v>
      </c>
      <c r="AE125" s="13">
        <f t="shared" si="111"/>
        <v>478808</v>
      </c>
      <c r="AF125" s="30"/>
      <c r="AG125" s="174">
        <f>AG126</f>
        <v>60426</v>
      </c>
      <c r="AH125" s="17">
        <v>0</v>
      </c>
      <c r="AI125" s="13">
        <f t="shared" si="112"/>
        <v>539234</v>
      </c>
      <c r="AJ125" s="30"/>
      <c r="AK125" s="16">
        <f>AK126</f>
        <v>62923</v>
      </c>
      <c r="AL125" s="17">
        <v>0</v>
      </c>
      <c r="AM125" s="13">
        <f t="shared" si="113"/>
        <v>602157</v>
      </c>
      <c r="AN125" s="30"/>
      <c r="AO125" s="16">
        <f>AO126</f>
        <v>62923</v>
      </c>
      <c r="AP125" s="17">
        <v>0</v>
      </c>
      <c r="AQ125" s="13">
        <f t="shared" si="114"/>
        <v>665080</v>
      </c>
      <c r="AR125" s="30"/>
      <c r="AS125" s="16">
        <f>AS126</f>
        <v>62923</v>
      </c>
      <c r="AT125" s="17">
        <v>0</v>
      </c>
      <c r="AU125" s="13">
        <f t="shared" si="87"/>
        <v>728003</v>
      </c>
      <c r="AV125" s="30"/>
    </row>
    <row r="126" spans="1:48" x14ac:dyDescent="0.25">
      <c r="A126" s="14">
        <v>523095</v>
      </c>
      <c r="B126" s="15" t="s">
        <v>73</v>
      </c>
      <c r="C126" s="17">
        <v>60900</v>
      </c>
      <c r="D126" s="17">
        <v>0</v>
      </c>
      <c r="E126" s="17">
        <f t="shared" si="64"/>
        <v>60900</v>
      </c>
      <c r="F126" s="30"/>
      <c r="G126" s="17">
        <v>61214</v>
      </c>
      <c r="H126" s="17">
        <v>0</v>
      </c>
      <c r="I126" s="13">
        <f t="shared" si="72"/>
        <v>122114</v>
      </c>
      <c r="J126" s="16">
        <v>61214</v>
      </c>
      <c r="K126" s="17">
        <v>0</v>
      </c>
      <c r="L126" s="13">
        <f t="shared" si="104"/>
        <v>183328</v>
      </c>
      <c r="M126" s="30"/>
      <c r="N126" s="16">
        <v>61214</v>
      </c>
      <c r="O126" s="17">
        <v>0</v>
      </c>
      <c r="P126" s="13">
        <f t="shared" si="110"/>
        <v>244542</v>
      </c>
      <c r="Q126" s="30"/>
      <c r="R126" s="18">
        <v>61214</v>
      </c>
      <c r="S126" s="17">
        <v>0</v>
      </c>
      <c r="T126" s="17">
        <f t="shared" si="79"/>
        <v>305756</v>
      </c>
      <c r="U126" s="30"/>
      <c r="V126" s="17">
        <v>56313</v>
      </c>
      <c r="W126" s="17">
        <v>0</v>
      </c>
      <c r="X126" s="13">
        <f>T126+V126</f>
        <v>362069</v>
      </c>
      <c r="Y126" s="16">
        <v>56313</v>
      </c>
      <c r="Z126" s="17">
        <v>0</v>
      </c>
      <c r="AA126" s="29">
        <f t="shared" si="98"/>
        <v>418382</v>
      </c>
      <c r="AB126" s="30"/>
      <c r="AC126" s="16">
        <v>60426</v>
      </c>
      <c r="AD126" s="17">
        <v>0</v>
      </c>
      <c r="AE126" s="13">
        <f t="shared" si="111"/>
        <v>478808</v>
      </c>
      <c r="AF126" s="30"/>
      <c r="AG126" s="174">
        <v>60426</v>
      </c>
      <c r="AH126" s="17">
        <v>0</v>
      </c>
      <c r="AI126" s="13">
        <f t="shared" si="112"/>
        <v>539234</v>
      </c>
      <c r="AJ126" s="30"/>
      <c r="AK126" s="16">
        <v>62923</v>
      </c>
      <c r="AL126" s="17">
        <v>0</v>
      </c>
      <c r="AM126" s="13">
        <f t="shared" si="113"/>
        <v>602157</v>
      </c>
      <c r="AN126" s="30"/>
      <c r="AO126" s="16">
        <v>62923</v>
      </c>
      <c r="AP126" s="17">
        <v>0</v>
      </c>
      <c r="AQ126" s="13">
        <f t="shared" si="114"/>
        <v>665080</v>
      </c>
      <c r="AR126" s="30"/>
      <c r="AS126" s="16">
        <v>62923</v>
      </c>
      <c r="AT126" s="17">
        <v>0</v>
      </c>
      <c r="AU126" s="13">
        <f t="shared" si="87"/>
        <v>728003</v>
      </c>
      <c r="AV126" s="30"/>
    </row>
    <row r="127" spans="1:48" x14ac:dyDescent="0.25">
      <c r="A127" s="14"/>
      <c r="B127" s="15"/>
      <c r="C127" s="17"/>
      <c r="D127" s="17"/>
      <c r="E127" s="17">
        <f t="shared" si="64"/>
        <v>0</v>
      </c>
      <c r="F127" s="30"/>
      <c r="G127" s="17"/>
      <c r="H127" s="17"/>
      <c r="I127" s="13">
        <f t="shared" si="72"/>
        <v>0</v>
      </c>
      <c r="J127" s="17"/>
      <c r="K127" s="17"/>
      <c r="L127" s="13">
        <f t="shared" si="104"/>
        <v>0</v>
      </c>
      <c r="M127" s="30"/>
      <c r="N127" s="17"/>
      <c r="O127" s="17"/>
      <c r="P127" s="13">
        <f t="shared" si="110"/>
        <v>0</v>
      </c>
      <c r="Q127" s="30"/>
      <c r="R127" s="18"/>
      <c r="S127" s="17"/>
      <c r="T127" s="17">
        <f t="shared" si="79"/>
        <v>0</v>
      </c>
      <c r="U127" s="30"/>
      <c r="V127" s="17"/>
      <c r="W127" s="17"/>
      <c r="X127" s="13">
        <f t="shared" ref="X127:X138" si="115">T127+V127</f>
        <v>0</v>
      </c>
      <c r="Y127" s="17"/>
      <c r="Z127" s="17"/>
      <c r="AA127" s="29">
        <f t="shared" si="98"/>
        <v>0</v>
      </c>
      <c r="AB127" s="30"/>
      <c r="AC127" s="17"/>
      <c r="AD127" s="17"/>
      <c r="AE127" s="13">
        <f t="shared" si="111"/>
        <v>0</v>
      </c>
      <c r="AF127" s="30"/>
      <c r="AG127" s="18"/>
      <c r="AH127" s="17"/>
      <c r="AI127" s="13">
        <f t="shared" si="112"/>
        <v>0</v>
      </c>
      <c r="AJ127" s="30"/>
      <c r="AK127" s="17"/>
      <c r="AL127" s="17"/>
      <c r="AM127" s="13">
        <f t="shared" si="113"/>
        <v>0</v>
      </c>
      <c r="AN127" s="30"/>
      <c r="AO127" s="17"/>
      <c r="AP127" s="17"/>
      <c r="AQ127" s="13">
        <f t="shared" si="114"/>
        <v>0</v>
      </c>
      <c r="AR127" s="30"/>
      <c r="AS127" s="17"/>
      <c r="AT127" s="17"/>
      <c r="AU127" s="13">
        <f t="shared" si="87"/>
        <v>0</v>
      </c>
      <c r="AV127" s="30"/>
    </row>
    <row r="128" spans="1:48" x14ac:dyDescent="0.25">
      <c r="A128" s="14">
        <v>5235</v>
      </c>
      <c r="B128" s="15" t="s">
        <v>319</v>
      </c>
      <c r="C128" s="17">
        <v>0</v>
      </c>
      <c r="D128" s="17">
        <v>0</v>
      </c>
      <c r="E128" s="17">
        <f t="shared" ref="E128" si="116">+C128</f>
        <v>0</v>
      </c>
      <c r="F128" s="30"/>
      <c r="G128" s="17">
        <v>0</v>
      </c>
      <c r="H128" s="17">
        <v>0</v>
      </c>
      <c r="I128" s="13">
        <f t="shared" ref="I128:I129" si="117">+G128</f>
        <v>0</v>
      </c>
      <c r="J128" s="17">
        <v>0</v>
      </c>
      <c r="K128" s="17">
        <v>0</v>
      </c>
      <c r="L128" s="17">
        <f t="shared" ref="L128:L129" si="118">+J128</f>
        <v>0</v>
      </c>
      <c r="M128" s="30"/>
      <c r="N128" s="17">
        <f>+N129</f>
        <v>0</v>
      </c>
      <c r="O128" s="17">
        <v>0</v>
      </c>
      <c r="P128" s="17">
        <f t="shared" ref="P128:P129" si="119">+N128</f>
        <v>0</v>
      </c>
      <c r="Q128" s="30"/>
      <c r="R128" s="18">
        <f>+R129</f>
        <v>0</v>
      </c>
      <c r="S128" s="17">
        <v>0</v>
      </c>
      <c r="T128" s="17">
        <f t="shared" si="79"/>
        <v>0</v>
      </c>
      <c r="U128" s="30"/>
      <c r="V128" s="17">
        <f>+V129</f>
        <v>0</v>
      </c>
      <c r="W128" s="17"/>
      <c r="X128" s="13">
        <f t="shared" si="115"/>
        <v>0</v>
      </c>
      <c r="Y128" s="17">
        <f>+Y129</f>
        <v>0</v>
      </c>
      <c r="Z128" s="17"/>
      <c r="AA128" s="29">
        <f>+X128+Y128</f>
        <v>0</v>
      </c>
      <c r="AB128" s="30"/>
      <c r="AC128" s="17">
        <f>+AC129</f>
        <v>0</v>
      </c>
      <c r="AD128" s="17"/>
      <c r="AE128" s="13">
        <f t="shared" si="111"/>
        <v>0</v>
      </c>
      <c r="AF128" s="30"/>
      <c r="AG128" s="18">
        <f>+AG129</f>
        <v>0</v>
      </c>
      <c r="AH128" s="17"/>
      <c r="AI128" s="13">
        <f t="shared" si="112"/>
        <v>0</v>
      </c>
      <c r="AJ128" s="30"/>
      <c r="AK128" s="17">
        <f>+AK129</f>
        <v>0</v>
      </c>
      <c r="AL128" s="17"/>
      <c r="AM128" s="13">
        <f t="shared" si="113"/>
        <v>0</v>
      </c>
      <c r="AN128" s="30"/>
      <c r="AO128" s="17">
        <f>+AO129</f>
        <v>0</v>
      </c>
      <c r="AP128" s="17"/>
      <c r="AQ128" s="13">
        <f t="shared" si="114"/>
        <v>0</v>
      </c>
      <c r="AR128" s="30"/>
      <c r="AS128" s="17">
        <f>+AS129</f>
        <v>0</v>
      </c>
      <c r="AT128" s="17"/>
      <c r="AU128" s="13">
        <f t="shared" si="87"/>
        <v>0</v>
      </c>
      <c r="AV128" s="30"/>
    </row>
    <row r="129" spans="1:48" x14ac:dyDescent="0.25">
      <c r="A129" s="14">
        <v>5235</v>
      </c>
      <c r="B129" s="15" t="s">
        <v>320</v>
      </c>
      <c r="C129" s="17">
        <v>0</v>
      </c>
      <c r="D129" s="17">
        <v>0</v>
      </c>
      <c r="E129" s="17">
        <f t="shared" ref="E129" si="120">+C129</f>
        <v>0</v>
      </c>
      <c r="F129" s="30"/>
      <c r="G129" s="17">
        <v>0</v>
      </c>
      <c r="H129" s="17">
        <v>0</v>
      </c>
      <c r="I129" s="13">
        <f t="shared" si="117"/>
        <v>0</v>
      </c>
      <c r="J129" s="17">
        <v>0</v>
      </c>
      <c r="K129" s="17">
        <v>0</v>
      </c>
      <c r="L129" s="17">
        <f t="shared" si="118"/>
        <v>0</v>
      </c>
      <c r="M129" s="30"/>
      <c r="N129" s="17">
        <v>0</v>
      </c>
      <c r="O129" s="17">
        <v>0</v>
      </c>
      <c r="P129" s="17">
        <f t="shared" si="119"/>
        <v>0</v>
      </c>
      <c r="Q129" s="30"/>
      <c r="R129" s="18">
        <v>0</v>
      </c>
      <c r="S129" s="17">
        <v>0</v>
      </c>
      <c r="T129" s="17">
        <f t="shared" si="79"/>
        <v>0</v>
      </c>
      <c r="U129" s="30"/>
      <c r="V129" s="17">
        <v>0</v>
      </c>
      <c r="W129" s="17"/>
      <c r="X129" s="13">
        <f t="shared" si="115"/>
        <v>0</v>
      </c>
      <c r="Y129" s="17">
        <v>0</v>
      </c>
      <c r="Z129" s="17"/>
      <c r="AA129" s="29">
        <f t="shared" ref="AA129:AA137" si="121">+X129+Y129</f>
        <v>0</v>
      </c>
      <c r="AB129" s="30"/>
      <c r="AC129" s="17"/>
      <c r="AD129" s="17"/>
      <c r="AE129" s="13">
        <f>+AE128</f>
        <v>0</v>
      </c>
      <c r="AF129" s="30"/>
      <c r="AG129" s="18">
        <v>0</v>
      </c>
      <c r="AH129" s="17"/>
      <c r="AI129" s="13">
        <f>+AI128</f>
        <v>0</v>
      </c>
      <c r="AJ129" s="30"/>
      <c r="AK129" s="17"/>
      <c r="AL129" s="17"/>
      <c r="AM129" s="13">
        <f>+AM128</f>
        <v>0</v>
      </c>
      <c r="AN129" s="30"/>
      <c r="AO129" s="17"/>
      <c r="AP129" s="17"/>
      <c r="AQ129" s="13">
        <f>+AQ128</f>
        <v>0</v>
      </c>
      <c r="AR129" s="30"/>
      <c r="AS129" s="17"/>
      <c r="AT129" s="17"/>
      <c r="AU129" s="13">
        <f t="shared" si="87"/>
        <v>0</v>
      </c>
      <c r="AV129" s="30"/>
    </row>
    <row r="130" spans="1:48" x14ac:dyDescent="0.25">
      <c r="A130" s="14"/>
      <c r="B130" s="15"/>
      <c r="C130" s="17"/>
      <c r="D130" s="17"/>
      <c r="E130" s="17"/>
      <c r="F130" s="30"/>
      <c r="G130" s="17"/>
      <c r="H130" s="17"/>
      <c r="I130" s="13"/>
      <c r="J130" s="17"/>
      <c r="K130" s="17"/>
      <c r="L130" s="13"/>
      <c r="M130" s="30"/>
      <c r="N130" s="17"/>
      <c r="O130" s="17"/>
      <c r="P130" s="13"/>
      <c r="Q130" s="30"/>
      <c r="R130" s="18"/>
      <c r="S130" s="17"/>
      <c r="T130" s="17">
        <f t="shared" si="79"/>
        <v>0</v>
      </c>
      <c r="U130" s="30"/>
      <c r="V130" s="17"/>
      <c r="W130" s="17"/>
      <c r="X130" s="13">
        <f t="shared" si="115"/>
        <v>0</v>
      </c>
      <c r="Y130" s="17"/>
      <c r="Z130" s="17"/>
      <c r="AA130" s="29">
        <f t="shared" si="121"/>
        <v>0</v>
      </c>
      <c r="AB130" s="30"/>
      <c r="AC130" s="17"/>
      <c r="AD130" s="17"/>
      <c r="AE130" s="13">
        <f t="shared" si="111"/>
        <v>0</v>
      </c>
      <c r="AF130" s="30"/>
      <c r="AG130" s="18"/>
      <c r="AH130" s="17"/>
      <c r="AI130" s="13"/>
      <c r="AJ130" s="30"/>
      <c r="AK130" s="17"/>
      <c r="AL130" s="17"/>
      <c r="AM130" s="13"/>
      <c r="AN130" s="30"/>
      <c r="AO130" s="17"/>
      <c r="AP130" s="17"/>
      <c r="AQ130" s="13"/>
      <c r="AR130" s="30"/>
      <c r="AS130" s="17"/>
      <c r="AT130" s="17"/>
      <c r="AU130" s="13">
        <f t="shared" si="87"/>
        <v>0</v>
      </c>
      <c r="AV130" s="30"/>
    </row>
    <row r="131" spans="1:48" x14ac:dyDescent="0.25">
      <c r="A131" s="14" t="s">
        <v>159</v>
      </c>
      <c r="B131" s="15" t="s">
        <v>91</v>
      </c>
      <c r="C131" s="17">
        <f>+C132</f>
        <v>332400</v>
      </c>
      <c r="D131" s="17">
        <v>0</v>
      </c>
      <c r="E131" s="17">
        <f t="shared" si="64"/>
        <v>332400</v>
      </c>
      <c r="F131" s="19"/>
      <c r="G131" s="17">
        <f>+G132</f>
        <v>0</v>
      </c>
      <c r="H131" s="17">
        <v>0</v>
      </c>
      <c r="I131" s="13">
        <f t="shared" si="72"/>
        <v>332400</v>
      </c>
      <c r="J131" s="17">
        <v>0</v>
      </c>
      <c r="K131" s="17">
        <v>0</v>
      </c>
      <c r="L131" s="13">
        <f t="shared" si="104"/>
        <v>332400</v>
      </c>
      <c r="M131" s="19"/>
      <c r="N131" s="17">
        <f>+N132</f>
        <v>0</v>
      </c>
      <c r="O131" s="17">
        <v>0</v>
      </c>
      <c r="P131" s="13">
        <f t="shared" si="110"/>
        <v>332400</v>
      </c>
      <c r="Q131" s="19"/>
      <c r="R131" s="18">
        <v>0</v>
      </c>
      <c r="S131" s="17">
        <v>0</v>
      </c>
      <c r="T131" s="17">
        <f t="shared" si="79"/>
        <v>332400</v>
      </c>
      <c r="U131" s="30"/>
      <c r="V131" s="17">
        <v>0</v>
      </c>
      <c r="W131" s="17">
        <v>0</v>
      </c>
      <c r="X131" s="13">
        <f t="shared" si="115"/>
        <v>332400</v>
      </c>
      <c r="Y131" s="17">
        <f>+Y132</f>
        <v>0</v>
      </c>
      <c r="Z131" s="17">
        <v>0</v>
      </c>
      <c r="AA131" s="29">
        <f t="shared" si="121"/>
        <v>332400</v>
      </c>
      <c r="AB131" s="30"/>
      <c r="AC131" s="17">
        <f>+AC132</f>
        <v>0</v>
      </c>
      <c r="AD131" s="17">
        <v>0</v>
      </c>
      <c r="AE131" s="13">
        <f>+AA131+AC131</f>
        <v>332400</v>
      </c>
      <c r="AF131" s="30"/>
      <c r="AG131" s="18">
        <f>+AG132</f>
        <v>0</v>
      </c>
      <c r="AH131" s="17">
        <v>0</v>
      </c>
      <c r="AI131" s="13">
        <f t="shared" ref="AI131:AI146" si="122">AE131+AG131</f>
        <v>332400</v>
      </c>
      <c r="AJ131" s="30"/>
      <c r="AK131" s="17">
        <f>+AK132</f>
        <v>0</v>
      </c>
      <c r="AL131" s="17">
        <v>0</v>
      </c>
      <c r="AM131" s="13">
        <f t="shared" ref="AM131:AM146" si="123">AI131+AK131</f>
        <v>332400</v>
      </c>
      <c r="AN131" s="30"/>
      <c r="AO131" s="17">
        <f>+AO132</f>
        <v>0</v>
      </c>
      <c r="AP131" s="17">
        <v>0</v>
      </c>
      <c r="AQ131" s="13">
        <f t="shared" ref="AQ131:AQ146" si="124">AM131+AO131</f>
        <v>332400</v>
      </c>
      <c r="AR131" s="30"/>
      <c r="AS131" s="17">
        <f>+AS132</f>
        <v>0</v>
      </c>
      <c r="AT131" s="17">
        <v>0</v>
      </c>
      <c r="AU131" s="13">
        <f t="shared" si="87"/>
        <v>332400</v>
      </c>
      <c r="AV131" s="30"/>
    </row>
    <row r="132" spans="1:48" x14ac:dyDescent="0.25">
      <c r="A132" s="14" t="s">
        <v>160</v>
      </c>
      <c r="B132" s="15" t="s">
        <v>69</v>
      </c>
      <c r="C132" s="17">
        <v>332400</v>
      </c>
      <c r="D132" s="17">
        <v>0</v>
      </c>
      <c r="E132" s="17">
        <f t="shared" si="64"/>
        <v>332400</v>
      </c>
      <c r="F132" s="19"/>
      <c r="G132" s="17">
        <v>0</v>
      </c>
      <c r="H132" s="17">
        <v>0</v>
      </c>
      <c r="I132" s="13">
        <f t="shared" si="72"/>
        <v>332400</v>
      </c>
      <c r="J132" s="17">
        <v>0</v>
      </c>
      <c r="K132" s="17">
        <v>0</v>
      </c>
      <c r="L132" s="13">
        <f t="shared" si="104"/>
        <v>332400</v>
      </c>
      <c r="M132" s="19"/>
      <c r="N132" s="17">
        <v>0</v>
      </c>
      <c r="O132" s="17">
        <v>0</v>
      </c>
      <c r="P132" s="13">
        <f t="shared" si="110"/>
        <v>332400</v>
      </c>
      <c r="Q132" s="19"/>
      <c r="R132" s="18">
        <v>0</v>
      </c>
      <c r="S132" s="17">
        <v>0</v>
      </c>
      <c r="T132" s="17">
        <f t="shared" si="79"/>
        <v>332400</v>
      </c>
      <c r="U132" s="30"/>
      <c r="V132" s="17">
        <v>0</v>
      </c>
      <c r="W132" s="17">
        <v>0</v>
      </c>
      <c r="X132" s="13">
        <f t="shared" si="115"/>
        <v>332400</v>
      </c>
      <c r="Y132" s="17">
        <v>0</v>
      </c>
      <c r="Z132" s="17">
        <v>0</v>
      </c>
      <c r="AA132" s="29">
        <f t="shared" si="121"/>
        <v>332400</v>
      </c>
      <c r="AB132" s="30"/>
      <c r="AC132" s="17">
        <v>0</v>
      </c>
      <c r="AD132" s="17">
        <v>0</v>
      </c>
      <c r="AE132" s="13">
        <f t="shared" si="111"/>
        <v>332400</v>
      </c>
      <c r="AF132" s="30"/>
      <c r="AG132" s="18">
        <v>0</v>
      </c>
      <c r="AH132" s="17">
        <v>0</v>
      </c>
      <c r="AI132" s="13">
        <f t="shared" si="122"/>
        <v>332400</v>
      </c>
      <c r="AJ132" s="30"/>
      <c r="AK132" s="17">
        <v>0</v>
      </c>
      <c r="AL132" s="17">
        <v>0</v>
      </c>
      <c r="AM132" s="13">
        <f t="shared" si="123"/>
        <v>332400</v>
      </c>
      <c r="AN132" s="30"/>
      <c r="AO132" s="17">
        <v>0</v>
      </c>
      <c r="AP132" s="17">
        <v>0</v>
      </c>
      <c r="AQ132" s="13">
        <f t="shared" si="124"/>
        <v>332400</v>
      </c>
      <c r="AR132" s="30"/>
      <c r="AS132" s="17">
        <v>0</v>
      </c>
      <c r="AT132" s="17">
        <v>0</v>
      </c>
      <c r="AU132" s="13">
        <f t="shared" si="87"/>
        <v>332400</v>
      </c>
      <c r="AV132" s="30"/>
    </row>
    <row r="133" spans="1:48" x14ac:dyDescent="0.25">
      <c r="A133" s="14"/>
      <c r="B133" s="15"/>
      <c r="C133" s="17"/>
      <c r="D133" s="17"/>
      <c r="E133" s="17"/>
      <c r="F133" s="30"/>
      <c r="G133" s="17"/>
      <c r="H133" s="17"/>
      <c r="I133" s="13"/>
      <c r="J133" s="17"/>
      <c r="K133" s="17"/>
      <c r="L133" s="13">
        <f t="shared" si="104"/>
        <v>0</v>
      </c>
      <c r="M133" s="30"/>
      <c r="N133" s="17"/>
      <c r="O133" s="17"/>
      <c r="P133" s="13">
        <f t="shared" si="110"/>
        <v>0</v>
      </c>
      <c r="Q133" s="30"/>
      <c r="R133" s="18"/>
      <c r="S133" s="17"/>
      <c r="T133" s="17">
        <f t="shared" si="79"/>
        <v>0</v>
      </c>
      <c r="U133" s="30"/>
      <c r="V133" s="17"/>
      <c r="W133" s="17"/>
      <c r="X133" s="13">
        <f t="shared" si="115"/>
        <v>0</v>
      </c>
      <c r="Y133" s="17"/>
      <c r="Z133" s="17"/>
      <c r="AA133" s="29">
        <f t="shared" si="121"/>
        <v>0</v>
      </c>
      <c r="AB133" s="30"/>
      <c r="AC133" s="17"/>
      <c r="AD133" s="17"/>
      <c r="AE133" s="13"/>
      <c r="AF133" s="30"/>
      <c r="AG133" s="18"/>
      <c r="AH133" s="17"/>
      <c r="AI133" s="13">
        <f t="shared" si="122"/>
        <v>0</v>
      </c>
      <c r="AJ133" s="30"/>
      <c r="AK133" s="17"/>
      <c r="AL133" s="17"/>
      <c r="AM133" s="13"/>
      <c r="AN133" s="30"/>
      <c r="AO133" s="17"/>
      <c r="AP133" s="17"/>
      <c r="AQ133" s="13"/>
      <c r="AR133" s="30"/>
      <c r="AS133" s="17"/>
      <c r="AT133" s="17"/>
      <c r="AU133" s="13">
        <f t="shared" si="87"/>
        <v>0</v>
      </c>
      <c r="AV133" s="30"/>
    </row>
    <row r="134" spans="1:48" x14ac:dyDescent="0.25">
      <c r="A134" s="14">
        <v>5250</v>
      </c>
      <c r="B134" s="15" t="s">
        <v>352</v>
      </c>
      <c r="C134" s="17"/>
      <c r="D134" s="17"/>
      <c r="E134" s="17"/>
      <c r="F134" s="30"/>
      <c r="G134" s="17">
        <f>+G135</f>
        <v>0</v>
      </c>
      <c r="H134" s="17"/>
      <c r="I134" s="13">
        <f>+G134</f>
        <v>0</v>
      </c>
      <c r="J134" s="17"/>
      <c r="K134" s="17"/>
      <c r="L134" s="13">
        <f t="shared" si="104"/>
        <v>0</v>
      </c>
      <c r="M134" s="30"/>
      <c r="N134" s="17">
        <f>+N135</f>
        <v>0</v>
      </c>
      <c r="O134" s="17"/>
      <c r="P134" s="13">
        <f t="shared" si="110"/>
        <v>0</v>
      </c>
      <c r="Q134" s="30"/>
      <c r="R134" s="18"/>
      <c r="S134" s="17"/>
      <c r="T134" s="17">
        <f t="shared" si="79"/>
        <v>0</v>
      </c>
      <c r="U134" s="30"/>
      <c r="V134" s="17"/>
      <c r="W134" s="17"/>
      <c r="X134" s="13">
        <f t="shared" si="115"/>
        <v>0</v>
      </c>
      <c r="Y134" s="17"/>
      <c r="Z134" s="17"/>
      <c r="AA134" s="29">
        <f t="shared" si="121"/>
        <v>0</v>
      </c>
      <c r="AB134" s="30"/>
      <c r="AC134" s="17"/>
      <c r="AD134" s="17"/>
      <c r="AE134" s="13">
        <f t="shared" si="111"/>
        <v>0</v>
      </c>
      <c r="AF134" s="30"/>
      <c r="AG134" s="18"/>
      <c r="AH134" s="17"/>
      <c r="AI134" s="13">
        <f t="shared" si="122"/>
        <v>0</v>
      </c>
      <c r="AJ134" s="30"/>
      <c r="AK134" s="17"/>
      <c r="AL134" s="17"/>
      <c r="AM134" s="13">
        <f t="shared" si="123"/>
        <v>0</v>
      </c>
      <c r="AN134" s="30"/>
      <c r="AO134" s="17"/>
      <c r="AP134" s="17"/>
      <c r="AQ134" s="13">
        <f t="shared" si="124"/>
        <v>0</v>
      </c>
      <c r="AR134" s="30"/>
      <c r="AS134" s="17"/>
      <c r="AT134" s="17"/>
      <c r="AU134" s="13">
        <f t="shared" si="87"/>
        <v>0</v>
      </c>
      <c r="AV134" s="30"/>
    </row>
    <row r="135" spans="1:48" x14ac:dyDescent="0.25">
      <c r="A135" s="14">
        <v>525015</v>
      </c>
      <c r="B135" s="15" t="s">
        <v>353</v>
      </c>
      <c r="C135" s="17"/>
      <c r="D135" s="17"/>
      <c r="E135" s="17"/>
      <c r="F135" s="30"/>
      <c r="G135" s="17">
        <v>0</v>
      </c>
      <c r="H135" s="17"/>
      <c r="I135" s="13">
        <f>+G135</f>
        <v>0</v>
      </c>
      <c r="J135" s="17"/>
      <c r="K135" s="17"/>
      <c r="L135" s="13">
        <f t="shared" si="104"/>
        <v>0</v>
      </c>
      <c r="M135" s="30"/>
      <c r="N135" s="17">
        <v>0</v>
      </c>
      <c r="O135" s="17"/>
      <c r="P135" s="13">
        <f t="shared" si="110"/>
        <v>0</v>
      </c>
      <c r="Q135" s="30"/>
      <c r="R135" s="18"/>
      <c r="S135" s="17"/>
      <c r="T135" s="17">
        <f t="shared" si="79"/>
        <v>0</v>
      </c>
      <c r="U135" s="30"/>
      <c r="V135" s="17"/>
      <c r="W135" s="17"/>
      <c r="X135" s="13">
        <f t="shared" si="115"/>
        <v>0</v>
      </c>
      <c r="Y135" s="17"/>
      <c r="Z135" s="17"/>
      <c r="AA135" s="29">
        <f t="shared" si="121"/>
        <v>0</v>
      </c>
      <c r="AB135" s="30"/>
      <c r="AC135" s="17"/>
      <c r="AD135" s="17"/>
      <c r="AE135" s="13">
        <f t="shared" ref="AE135" si="125">+AE134</f>
        <v>0</v>
      </c>
      <c r="AF135" s="30"/>
      <c r="AG135" s="18"/>
      <c r="AH135" s="17"/>
      <c r="AI135" s="13">
        <f t="shared" si="122"/>
        <v>0</v>
      </c>
      <c r="AJ135" s="30"/>
      <c r="AK135" s="17"/>
      <c r="AL135" s="17"/>
      <c r="AM135" s="13">
        <f t="shared" si="123"/>
        <v>0</v>
      </c>
      <c r="AN135" s="30"/>
      <c r="AO135" s="17"/>
      <c r="AP135" s="17"/>
      <c r="AQ135" s="13">
        <f t="shared" si="124"/>
        <v>0</v>
      </c>
      <c r="AR135" s="30"/>
      <c r="AS135" s="17"/>
      <c r="AT135" s="17"/>
      <c r="AU135" s="13">
        <f t="shared" si="87"/>
        <v>0</v>
      </c>
      <c r="AV135" s="30"/>
    </row>
    <row r="136" spans="1:48" x14ac:dyDescent="0.25">
      <c r="A136" s="14"/>
      <c r="B136" s="15"/>
      <c r="C136" s="17"/>
      <c r="D136" s="17"/>
      <c r="E136" s="17">
        <f t="shared" si="64"/>
        <v>0</v>
      </c>
      <c r="F136" s="30"/>
      <c r="G136" s="17"/>
      <c r="H136" s="17"/>
      <c r="I136" s="13">
        <f t="shared" si="72"/>
        <v>0</v>
      </c>
      <c r="J136" s="17"/>
      <c r="K136" s="17"/>
      <c r="L136" s="13">
        <f t="shared" si="104"/>
        <v>0</v>
      </c>
      <c r="M136" s="30"/>
      <c r="N136" s="17"/>
      <c r="O136" s="17"/>
      <c r="P136" s="13">
        <f t="shared" si="110"/>
        <v>0</v>
      </c>
      <c r="Q136" s="30"/>
      <c r="R136" s="18" t="s">
        <v>322</v>
      </c>
      <c r="S136" s="17"/>
      <c r="T136" s="17"/>
      <c r="U136" s="30"/>
      <c r="V136" s="17"/>
      <c r="W136" s="17"/>
      <c r="X136" s="13">
        <f t="shared" si="115"/>
        <v>0</v>
      </c>
      <c r="Y136" s="17"/>
      <c r="Z136" s="17"/>
      <c r="AA136" s="29">
        <f t="shared" si="121"/>
        <v>0</v>
      </c>
      <c r="AB136" s="30"/>
      <c r="AC136" s="17"/>
      <c r="AD136" s="17"/>
      <c r="AE136" s="13">
        <f t="shared" si="111"/>
        <v>0</v>
      </c>
      <c r="AF136" s="30"/>
      <c r="AG136" s="18"/>
      <c r="AH136" s="17"/>
      <c r="AI136" s="13">
        <f t="shared" si="122"/>
        <v>0</v>
      </c>
      <c r="AJ136" s="30"/>
      <c r="AK136" s="17"/>
      <c r="AL136" s="17"/>
      <c r="AM136" s="13"/>
      <c r="AN136" s="30"/>
      <c r="AO136" s="17"/>
      <c r="AP136" s="17"/>
      <c r="AQ136" s="13"/>
      <c r="AR136" s="30"/>
      <c r="AS136" s="17"/>
      <c r="AT136" s="17"/>
      <c r="AU136" s="13">
        <f t="shared" si="87"/>
        <v>0</v>
      </c>
      <c r="AV136" s="30"/>
    </row>
    <row r="137" spans="1:48" x14ac:dyDescent="0.25">
      <c r="A137" s="14">
        <v>5295</v>
      </c>
      <c r="B137" s="15" t="s">
        <v>173</v>
      </c>
      <c r="C137" s="17">
        <f>+C138</f>
        <v>167512</v>
      </c>
      <c r="D137" s="17"/>
      <c r="E137" s="17">
        <f t="shared" si="64"/>
        <v>167512</v>
      </c>
      <c r="F137" s="30"/>
      <c r="G137" s="17">
        <f>+G138</f>
        <v>168560</v>
      </c>
      <c r="H137" s="17"/>
      <c r="I137" s="13">
        <f t="shared" si="72"/>
        <v>336072</v>
      </c>
      <c r="J137" s="17">
        <f>+J138</f>
        <v>168560</v>
      </c>
      <c r="K137" s="17"/>
      <c r="L137" s="13">
        <f t="shared" si="104"/>
        <v>504632</v>
      </c>
      <c r="M137" s="30"/>
      <c r="N137" s="17">
        <f>+N138</f>
        <v>168560</v>
      </c>
      <c r="O137" s="17"/>
      <c r="P137" s="13">
        <f t="shared" si="110"/>
        <v>673192</v>
      </c>
      <c r="Q137" s="30"/>
      <c r="R137" s="18">
        <v>168560</v>
      </c>
      <c r="S137" s="17"/>
      <c r="T137" s="17">
        <f t="shared" si="79"/>
        <v>841752</v>
      </c>
      <c r="U137" s="30"/>
      <c r="V137" s="17">
        <f>+V138</f>
        <v>152088</v>
      </c>
      <c r="W137" s="17"/>
      <c r="X137" s="13">
        <f t="shared" si="115"/>
        <v>993840</v>
      </c>
      <c r="Y137" s="17">
        <f>+Y138</f>
        <v>152088</v>
      </c>
      <c r="Z137" s="17"/>
      <c r="AA137" s="29">
        <f t="shared" si="121"/>
        <v>1145928</v>
      </c>
      <c r="AB137" s="30"/>
      <c r="AC137" s="17">
        <f>+AC138</f>
        <v>165912</v>
      </c>
      <c r="AD137" s="17"/>
      <c r="AE137" s="13">
        <f>+AA137+AC137</f>
        <v>1311840</v>
      </c>
      <c r="AF137" s="30"/>
      <c r="AG137" s="18">
        <f>+AG138</f>
        <v>165912</v>
      </c>
      <c r="AH137" s="17"/>
      <c r="AI137" s="13">
        <f t="shared" si="122"/>
        <v>1477752</v>
      </c>
      <c r="AJ137" s="30"/>
      <c r="AK137" s="17">
        <f>+AK138</f>
        <v>174304</v>
      </c>
      <c r="AL137" s="17"/>
      <c r="AM137" s="13">
        <f t="shared" si="123"/>
        <v>1652056</v>
      </c>
      <c r="AN137" s="30"/>
      <c r="AO137" s="17">
        <f>+AO138</f>
        <v>174304</v>
      </c>
      <c r="AP137" s="17"/>
      <c r="AQ137" s="13">
        <f t="shared" si="124"/>
        <v>1826360</v>
      </c>
      <c r="AR137" s="30"/>
      <c r="AS137" s="17">
        <f>+AS138</f>
        <v>174304</v>
      </c>
      <c r="AT137" s="17"/>
      <c r="AU137" s="13">
        <f t="shared" si="87"/>
        <v>2000664</v>
      </c>
      <c r="AV137" s="30"/>
    </row>
    <row r="138" spans="1:48" x14ac:dyDescent="0.25">
      <c r="A138" s="14">
        <v>529510</v>
      </c>
      <c r="B138" s="15" t="s">
        <v>174</v>
      </c>
      <c r="C138" s="17">
        <v>167512</v>
      </c>
      <c r="D138" s="17"/>
      <c r="E138" s="17">
        <f t="shared" si="64"/>
        <v>167512</v>
      </c>
      <c r="F138" s="30"/>
      <c r="G138" s="17">
        <v>168560</v>
      </c>
      <c r="H138" s="17"/>
      <c r="I138" s="13">
        <f t="shared" si="72"/>
        <v>336072</v>
      </c>
      <c r="J138" s="17">
        <v>168560</v>
      </c>
      <c r="K138" s="17"/>
      <c r="L138" s="13">
        <f t="shared" si="104"/>
        <v>504632</v>
      </c>
      <c r="M138" s="30"/>
      <c r="N138" s="17">
        <v>168560</v>
      </c>
      <c r="O138" s="17"/>
      <c r="P138" s="13">
        <f t="shared" si="110"/>
        <v>673192</v>
      </c>
      <c r="Q138" s="30"/>
      <c r="R138" s="18">
        <f>+R137</f>
        <v>168560</v>
      </c>
      <c r="S138" s="17"/>
      <c r="T138" s="17">
        <f t="shared" si="79"/>
        <v>841752</v>
      </c>
      <c r="U138" s="30"/>
      <c r="V138" s="17">
        <v>152088</v>
      </c>
      <c r="W138" s="17"/>
      <c r="X138" s="13">
        <f t="shared" si="115"/>
        <v>993840</v>
      </c>
      <c r="Y138" s="17">
        <v>152088</v>
      </c>
      <c r="Z138" s="17"/>
      <c r="AA138" s="29">
        <f t="shared" si="98"/>
        <v>1145928</v>
      </c>
      <c r="AB138" s="30"/>
      <c r="AC138" s="17">
        <v>165912</v>
      </c>
      <c r="AD138" s="17"/>
      <c r="AE138" s="13">
        <f t="shared" si="111"/>
        <v>1311840</v>
      </c>
      <c r="AF138" s="30"/>
      <c r="AG138" s="18">
        <v>165912</v>
      </c>
      <c r="AH138" s="17"/>
      <c r="AI138" s="13">
        <f t="shared" si="122"/>
        <v>1477752</v>
      </c>
      <c r="AJ138" s="30"/>
      <c r="AK138" s="17">
        <v>174304</v>
      </c>
      <c r="AL138" s="17"/>
      <c r="AM138" s="13">
        <f t="shared" si="123"/>
        <v>1652056</v>
      </c>
      <c r="AN138" s="30"/>
      <c r="AO138" s="17">
        <v>174304</v>
      </c>
      <c r="AP138" s="17"/>
      <c r="AQ138" s="13">
        <f t="shared" si="124"/>
        <v>1826360</v>
      </c>
      <c r="AR138" s="30"/>
      <c r="AS138" s="17">
        <v>174304</v>
      </c>
      <c r="AT138" s="17"/>
      <c r="AU138" s="13">
        <f t="shared" si="87"/>
        <v>2000664</v>
      </c>
      <c r="AV138" s="30"/>
    </row>
    <row r="139" spans="1:48" x14ac:dyDescent="0.25">
      <c r="A139" s="14"/>
      <c r="B139" s="15"/>
      <c r="C139" s="17"/>
      <c r="D139" s="17"/>
      <c r="E139" s="17">
        <f t="shared" si="64"/>
        <v>0</v>
      </c>
      <c r="F139" s="30"/>
      <c r="G139" s="17"/>
      <c r="H139" s="17"/>
      <c r="I139" s="13">
        <f t="shared" si="72"/>
        <v>0</v>
      </c>
      <c r="J139" s="17"/>
      <c r="K139" s="17"/>
      <c r="L139" s="13">
        <f t="shared" si="104"/>
        <v>0</v>
      </c>
      <c r="M139" s="30"/>
      <c r="N139" s="17"/>
      <c r="O139" s="17"/>
      <c r="P139" s="13">
        <f t="shared" si="110"/>
        <v>0</v>
      </c>
      <c r="Q139" s="30"/>
      <c r="R139" s="18"/>
      <c r="S139" s="17"/>
      <c r="T139" s="17">
        <f t="shared" si="79"/>
        <v>0</v>
      </c>
      <c r="U139" s="30"/>
      <c r="V139" s="17"/>
      <c r="W139" s="17"/>
      <c r="X139" s="13">
        <f t="shared" si="97"/>
        <v>0</v>
      </c>
      <c r="Y139" s="17"/>
      <c r="Z139" s="17"/>
      <c r="AA139" s="29">
        <f t="shared" si="98"/>
        <v>0</v>
      </c>
      <c r="AB139" s="30"/>
      <c r="AC139" s="17"/>
      <c r="AD139" s="17"/>
      <c r="AE139" s="13">
        <f t="shared" si="111"/>
        <v>0</v>
      </c>
      <c r="AF139" s="30"/>
      <c r="AG139" s="18"/>
      <c r="AH139" s="17"/>
      <c r="AI139" s="13">
        <f t="shared" si="122"/>
        <v>0</v>
      </c>
      <c r="AJ139" s="30"/>
      <c r="AK139" s="17"/>
      <c r="AL139" s="17"/>
      <c r="AM139" s="13">
        <f t="shared" si="123"/>
        <v>0</v>
      </c>
      <c r="AN139" s="30"/>
      <c r="AO139" s="17"/>
      <c r="AP139" s="17"/>
      <c r="AQ139" s="13">
        <f t="shared" si="124"/>
        <v>0</v>
      </c>
      <c r="AR139" s="30"/>
      <c r="AS139" s="17"/>
      <c r="AT139" s="17"/>
      <c r="AU139" s="13">
        <f t="shared" si="87"/>
        <v>0</v>
      </c>
      <c r="AV139" s="30"/>
    </row>
    <row r="140" spans="1:48" x14ac:dyDescent="0.25">
      <c r="A140" s="14" t="s">
        <v>120</v>
      </c>
      <c r="B140" s="15" t="s">
        <v>16</v>
      </c>
      <c r="C140" s="17">
        <f>C141+C147</f>
        <v>98092</v>
      </c>
      <c r="D140" s="17">
        <v>0</v>
      </c>
      <c r="E140" s="17">
        <f t="shared" si="64"/>
        <v>98092</v>
      </c>
      <c r="F140" s="19"/>
      <c r="G140" s="17">
        <f>G141+G147</f>
        <v>80278</v>
      </c>
      <c r="H140" s="17">
        <v>0</v>
      </c>
      <c r="I140" s="13">
        <f t="shared" si="72"/>
        <v>178370</v>
      </c>
      <c r="J140" s="16">
        <f>J141+J147</f>
        <v>176028</v>
      </c>
      <c r="K140" s="17">
        <v>0</v>
      </c>
      <c r="L140" s="13">
        <f t="shared" si="104"/>
        <v>354398</v>
      </c>
      <c r="M140" s="19"/>
      <c r="N140" s="16">
        <f>N141+N147</f>
        <v>90940</v>
      </c>
      <c r="O140" s="17">
        <v>0</v>
      </c>
      <c r="P140" s="13">
        <f t="shared" si="110"/>
        <v>445338</v>
      </c>
      <c r="Q140" s="19"/>
      <c r="R140" s="18">
        <f>R141+R147</f>
        <v>130185</v>
      </c>
      <c r="S140" s="17">
        <v>0</v>
      </c>
      <c r="T140" s="17">
        <f t="shared" si="79"/>
        <v>575523</v>
      </c>
      <c r="U140" s="30"/>
      <c r="V140" s="17">
        <f>V141+V147</f>
        <v>159553</v>
      </c>
      <c r="W140" s="17">
        <v>0</v>
      </c>
      <c r="X140" s="13">
        <f t="shared" si="97"/>
        <v>735076</v>
      </c>
      <c r="Y140" s="16">
        <f>Y141+Y147</f>
        <v>130854</v>
      </c>
      <c r="Z140" s="17">
        <v>0</v>
      </c>
      <c r="AA140" s="29">
        <f t="shared" si="98"/>
        <v>865930</v>
      </c>
      <c r="AB140" s="30"/>
      <c r="AC140" s="16">
        <f>AC141+AC147</f>
        <v>202627</v>
      </c>
      <c r="AD140" s="17">
        <v>0</v>
      </c>
      <c r="AE140" s="13">
        <f t="shared" si="111"/>
        <v>1068557</v>
      </c>
      <c r="AF140" s="30"/>
      <c r="AG140" s="129">
        <f>AG141+AG147</f>
        <v>76253</v>
      </c>
      <c r="AH140" s="17">
        <v>0</v>
      </c>
      <c r="AI140" s="13">
        <f t="shared" si="122"/>
        <v>1144810</v>
      </c>
      <c r="AJ140" s="30"/>
      <c r="AK140" s="17">
        <f>AK141+AK147</f>
        <v>80116</v>
      </c>
      <c r="AL140" s="17">
        <v>0</v>
      </c>
      <c r="AM140" s="13">
        <f t="shared" si="123"/>
        <v>1224926</v>
      </c>
      <c r="AN140" s="30"/>
      <c r="AO140" s="16">
        <f>AO141+AO147</f>
        <v>110234</v>
      </c>
      <c r="AP140" s="17">
        <v>0</v>
      </c>
      <c r="AQ140" s="13">
        <f t="shared" si="124"/>
        <v>1335160</v>
      </c>
      <c r="AR140" s="30"/>
      <c r="AS140" s="16">
        <f>AS141+AS147</f>
        <v>131336</v>
      </c>
      <c r="AT140" s="17">
        <v>0</v>
      </c>
      <c r="AU140" s="13">
        <f t="shared" si="87"/>
        <v>1466496</v>
      </c>
      <c r="AV140" s="30"/>
    </row>
    <row r="141" spans="1:48" x14ac:dyDescent="0.25">
      <c r="A141" s="14" t="s">
        <v>121</v>
      </c>
      <c r="B141" s="15" t="s">
        <v>18</v>
      </c>
      <c r="C141" s="17">
        <f>SUM(C142:C146)</f>
        <v>97792</v>
      </c>
      <c r="D141" s="17">
        <v>0</v>
      </c>
      <c r="E141" s="17">
        <f t="shared" si="64"/>
        <v>97792</v>
      </c>
      <c r="F141" s="19"/>
      <c r="G141" s="17">
        <f>SUM(G142:G146)</f>
        <v>79912</v>
      </c>
      <c r="H141" s="17">
        <v>0</v>
      </c>
      <c r="I141" s="13">
        <f t="shared" si="72"/>
        <v>177704</v>
      </c>
      <c r="J141" s="17">
        <f>SUM(J142:J146)</f>
        <v>175708</v>
      </c>
      <c r="K141" s="17">
        <v>0</v>
      </c>
      <c r="L141" s="13">
        <f t="shared" si="104"/>
        <v>353412</v>
      </c>
      <c r="M141" s="19"/>
      <c r="N141" s="17">
        <f>SUM(N142:N146)</f>
        <v>90188</v>
      </c>
      <c r="O141" s="17">
        <v>0</v>
      </c>
      <c r="P141" s="13">
        <f t="shared" si="110"/>
        <v>443600</v>
      </c>
      <c r="Q141" s="19"/>
      <c r="R141" s="18">
        <f>SUM(R142:R146)</f>
        <v>130095</v>
      </c>
      <c r="S141" s="17">
        <v>0</v>
      </c>
      <c r="T141" s="17">
        <f t="shared" si="79"/>
        <v>573695</v>
      </c>
      <c r="U141" s="30"/>
      <c r="V141" s="17">
        <f>SUM(V142:V146)</f>
        <v>140336</v>
      </c>
      <c r="W141" s="17">
        <v>0</v>
      </c>
      <c r="X141" s="13">
        <f t="shared" si="97"/>
        <v>714031</v>
      </c>
      <c r="Y141" s="16">
        <f>Y142+Y143+Y144+Y146+Y145</f>
        <v>130854</v>
      </c>
      <c r="Z141" s="17">
        <v>0</v>
      </c>
      <c r="AA141" s="29">
        <f t="shared" si="98"/>
        <v>844885</v>
      </c>
      <c r="AB141" s="30"/>
      <c r="AC141" s="16">
        <f>AC142+AC143+AC144+AC146+AC145</f>
        <v>201970</v>
      </c>
      <c r="AD141" s="17">
        <v>0</v>
      </c>
      <c r="AE141" s="13">
        <f t="shared" si="111"/>
        <v>1046855</v>
      </c>
      <c r="AF141" s="30"/>
      <c r="AG141" s="129">
        <f>AG142+AG143+AG144+AG146</f>
        <v>76253</v>
      </c>
      <c r="AH141" s="17">
        <v>0</v>
      </c>
      <c r="AI141" s="13">
        <f t="shared" si="122"/>
        <v>1123108</v>
      </c>
      <c r="AJ141" s="30"/>
      <c r="AK141" s="17">
        <f>SUM(AK142:AK146)</f>
        <v>79923</v>
      </c>
      <c r="AL141" s="17">
        <v>0</v>
      </c>
      <c r="AM141" s="13">
        <f t="shared" si="123"/>
        <v>1203031</v>
      </c>
      <c r="AN141" s="30"/>
      <c r="AO141" s="16">
        <f>SUM(AO142:AO146)</f>
        <v>109964</v>
      </c>
      <c r="AP141" s="17">
        <v>0</v>
      </c>
      <c r="AQ141" s="13">
        <f t="shared" si="124"/>
        <v>1312995</v>
      </c>
      <c r="AR141" s="30"/>
      <c r="AS141" s="16">
        <f>SUM(AS142:AS146)</f>
        <v>131216</v>
      </c>
      <c r="AT141" s="17">
        <v>0</v>
      </c>
      <c r="AU141" s="13">
        <f t="shared" si="87"/>
        <v>1444211</v>
      </c>
      <c r="AV141" s="30"/>
    </row>
    <row r="142" spans="1:48" x14ac:dyDescent="0.25">
      <c r="A142" s="14" t="s">
        <v>122</v>
      </c>
      <c r="B142" s="15" t="s">
        <v>123</v>
      </c>
      <c r="C142" s="17">
        <v>6800</v>
      </c>
      <c r="D142" s="17">
        <v>0</v>
      </c>
      <c r="E142" s="17">
        <f t="shared" si="64"/>
        <v>6800</v>
      </c>
      <c r="F142" s="19"/>
      <c r="G142" s="17">
        <v>6800</v>
      </c>
      <c r="H142" s="17">
        <v>0</v>
      </c>
      <c r="I142" s="13">
        <f t="shared" si="72"/>
        <v>13600</v>
      </c>
      <c r="J142" s="16">
        <v>6800</v>
      </c>
      <c r="K142" s="17">
        <v>0</v>
      </c>
      <c r="L142" s="13">
        <f t="shared" si="104"/>
        <v>20400</v>
      </c>
      <c r="M142" s="19"/>
      <c r="N142" s="16">
        <v>6800</v>
      </c>
      <c r="O142" s="17">
        <v>0</v>
      </c>
      <c r="P142" s="13">
        <f t="shared" si="110"/>
        <v>27200</v>
      </c>
      <c r="Q142" s="19"/>
      <c r="R142" s="18">
        <v>6800</v>
      </c>
      <c r="S142" s="17">
        <v>0</v>
      </c>
      <c r="T142" s="17">
        <f t="shared" si="79"/>
        <v>34000</v>
      </c>
      <c r="U142" s="30"/>
      <c r="V142" s="17">
        <v>6800</v>
      </c>
      <c r="W142" s="17">
        <v>0</v>
      </c>
      <c r="X142" s="13">
        <f t="shared" si="97"/>
        <v>40800</v>
      </c>
      <c r="Y142" s="16">
        <v>6800</v>
      </c>
      <c r="Z142" s="17">
        <v>0</v>
      </c>
      <c r="AA142" s="29">
        <f t="shared" si="98"/>
        <v>47600</v>
      </c>
      <c r="AB142" s="30"/>
      <c r="AC142" s="16">
        <v>6800</v>
      </c>
      <c r="AD142" s="17">
        <v>0</v>
      </c>
      <c r="AE142" s="13">
        <f t="shared" si="111"/>
        <v>54400</v>
      </c>
      <c r="AF142" s="30"/>
      <c r="AG142" s="129">
        <v>6800</v>
      </c>
      <c r="AH142" s="17">
        <v>0</v>
      </c>
      <c r="AI142" s="13">
        <f t="shared" si="122"/>
        <v>61200</v>
      </c>
      <c r="AJ142" s="30"/>
      <c r="AK142" s="17">
        <v>6800</v>
      </c>
      <c r="AL142" s="17">
        <v>0</v>
      </c>
      <c r="AM142" s="13">
        <f t="shared" si="123"/>
        <v>68000</v>
      </c>
      <c r="AN142" s="30"/>
      <c r="AO142" s="16">
        <v>6800</v>
      </c>
      <c r="AP142" s="17">
        <v>0</v>
      </c>
      <c r="AQ142" s="13">
        <f t="shared" si="124"/>
        <v>74800</v>
      </c>
      <c r="AR142" s="30"/>
      <c r="AS142" s="16">
        <v>6800</v>
      </c>
      <c r="AT142" s="17">
        <v>0</v>
      </c>
      <c r="AU142" s="13">
        <f t="shared" si="87"/>
        <v>81600</v>
      </c>
      <c r="AV142" s="30"/>
    </row>
    <row r="143" spans="1:48" x14ac:dyDescent="0.25">
      <c r="A143" s="14" t="s">
        <v>124</v>
      </c>
      <c r="B143" s="15" t="s">
        <v>125</v>
      </c>
      <c r="C143" s="17">
        <v>67550</v>
      </c>
      <c r="D143" s="17">
        <v>0</v>
      </c>
      <c r="E143" s="17">
        <f t="shared" ref="E143:E148" si="126">+C143</f>
        <v>67550</v>
      </c>
      <c r="F143" s="30"/>
      <c r="G143" s="17">
        <v>56850</v>
      </c>
      <c r="H143" s="17">
        <v>0</v>
      </c>
      <c r="I143" s="13">
        <f t="shared" si="72"/>
        <v>124400</v>
      </c>
      <c r="J143" s="16">
        <v>103550</v>
      </c>
      <c r="K143" s="17">
        <v>0</v>
      </c>
      <c r="L143" s="13">
        <f t="shared" si="104"/>
        <v>227950</v>
      </c>
      <c r="M143" s="19"/>
      <c r="N143" s="16">
        <v>68500</v>
      </c>
      <c r="O143" s="17">
        <v>0</v>
      </c>
      <c r="P143" s="13">
        <f t="shared" si="110"/>
        <v>296450</v>
      </c>
      <c r="Q143" s="19"/>
      <c r="R143" s="18">
        <v>96580</v>
      </c>
      <c r="S143" s="17">
        <v>0</v>
      </c>
      <c r="T143" s="17">
        <f t="shared" si="79"/>
        <v>393030</v>
      </c>
      <c r="U143" s="30"/>
      <c r="V143" s="17">
        <v>107740</v>
      </c>
      <c r="W143" s="17">
        <v>0</v>
      </c>
      <c r="X143" s="13">
        <f t="shared" si="97"/>
        <v>500770</v>
      </c>
      <c r="Y143" s="16">
        <v>93100</v>
      </c>
      <c r="Z143" s="17">
        <v>0</v>
      </c>
      <c r="AA143" s="29">
        <f t="shared" si="98"/>
        <v>593870</v>
      </c>
      <c r="AB143" s="30"/>
      <c r="AC143" s="16">
        <v>81000</v>
      </c>
      <c r="AD143" s="17">
        <v>0</v>
      </c>
      <c r="AE143" s="13">
        <f t="shared" si="111"/>
        <v>674870</v>
      </c>
      <c r="AF143" s="30"/>
      <c r="AG143" s="129">
        <v>56000</v>
      </c>
      <c r="AH143" s="17">
        <v>0</v>
      </c>
      <c r="AI143" s="13">
        <f t="shared" si="122"/>
        <v>730870</v>
      </c>
      <c r="AJ143" s="30"/>
      <c r="AK143" s="17">
        <v>61400</v>
      </c>
      <c r="AL143" s="17">
        <v>0</v>
      </c>
      <c r="AM143" s="13">
        <f t="shared" si="123"/>
        <v>792270</v>
      </c>
      <c r="AN143" s="30"/>
      <c r="AO143" s="16">
        <v>71550</v>
      </c>
      <c r="AP143" s="17">
        <v>0</v>
      </c>
      <c r="AQ143" s="13">
        <f t="shared" si="124"/>
        <v>863820</v>
      </c>
      <c r="AR143" s="30"/>
      <c r="AS143" s="16">
        <v>80700</v>
      </c>
      <c r="AT143" s="17">
        <v>0</v>
      </c>
      <c r="AU143" s="13">
        <f t="shared" si="87"/>
        <v>944520</v>
      </c>
      <c r="AV143" s="30"/>
    </row>
    <row r="144" spans="1:48" x14ac:dyDescent="0.25">
      <c r="A144" s="14" t="s">
        <v>126</v>
      </c>
      <c r="B144" s="15" t="s">
        <v>127</v>
      </c>
      <c r="C144" s="17">
        <v>23442</v>
      </c>
      <c r="D144" s="17">
        <v>0</v>
      </c>
      <c r="E144" s="17">
        <f t="shared" si="126"/>
        <v>23442</v>
      </c>
      <c r="F144" s="30"/>
      <c r="G144" s="17">
        <v>16262</v>
      </c>
      <c r="H144" s="17">
        <v>0</v>
      </c>
      <c r="I144" s="13">
        <f t="shared" si="72"/>
        <v>39704</v>
      </c>
      <c r="J144" s="16">
        <v>63358</v>
      </c>
      <c r="K144" s="17">
        <v>0</v>
      </c>
      <c r="L144" s="13">
        <f>I144+J144</f>
        <v>103062</v>
      </c>
      <c r="M144" s="19"/>
      <c r="N144" s="16">
        <v>14888</v>
      </c>
      <c r="O144" s="17">
        <v>0</v>
      </c>
      <c r="P144" s="13">
        <f t="shared" si="110"/>
        <v>117950</v>
      </c>
      <c r="Q144" s="19"/>
      <c r="R144" s="18">
        <v>26715</v>
      </c>
      <c r="S144" s="17">
        <v>0</v>
      </c>
      <c r="T144" s="17">
        <f t="shared" si="79"/>
        <v>144665</v>
      </c>
      <c r="U144" s="30"/>
      <c r="V144" s="17">
        <v>25796</v>
      </c>
      <c r="W144" s="17">
        <v>0</v>
      </c>
      <c r="X144" s="13">
        <f t="shared" si="97"/>
        <v>170461</v>
      </c>
      <c r="Y144" s="16">
        <v>30954</v>
      </c>
      <c r="Z144" s="17">
        <v>0</v>
      </c>
      <c r="AA144" s="29">
        <f>X144+Y144</f>
        <v>201415</v>
      </c>
      <c r="AB144" s="30"/>
      <c r="AC144" s="16">
        <v>33770</v>
      </c>
      <c r="AD144" s="17">
        <v>0</v>
      </c>
      <c r="AE144" s="13">
        <f t="shared" si="111"/>
        <v>235185</v>
      </c>
      <c r="AF144" s="30"/>
      <c r="AG144" s="129">
        <v>13453</v>
      </c>
      <c r="AH144" s="17">
        <v>0</v>
      </c>
      <c r="AI144" s="13">
        <f t="shared" si="122"/>
        <v>248638</v>
      </c>
      <c r="AJ144" s="30"/>
      <c r="AK144" s="17">
        <v>11723</v>
      </c>
      <c r="AL144" s="17">
        <v>0</v>
      </c>
      <c r="AM144" s="13">
        <f t="shared" si="123"/>
        <v>260361</v>
      </c>
      <c r="AN144" s="30"/>
      <c r="AO144" s="16">
        <v>31614</v>
      </c>
      <c r="AP144" s="17">
        <v>0</v>
      </c>
      <c r="AQ144" s="13">
        <f t="shared" si="124"/>
        <v>291975</v>
      </c>
      <c r="AR144" s="30"/>
      <c r="AS144" s="16">
        <v>43716</v>
      </c>
      <c r="AT144" s="17">
        <v>0</v>
      </c>
      <c r="AU144" s="13">
        <f t="shared" si="87"/>
        <v>335691</v>
      </c>
      <c r="AV144" s="30"/>
    </row>
    <row r="145" spans="1:48" ht="21" customHeight="1" x14ac:dyDescent="0.25">
      <c r="A145" s="14" t="s">
        <v>161</v>
      </c>
      <c r="B145" s="15" t="s">
        <v>146</v>
      </c>
      <c r="C145" s="17">
        <v>0</v>
      </c>
      <c r="D145" s="17">
        <v>0</v>
      </c>
      <c r="E145" s="17">
        <f t="shared" si="126"/>
        <v>0</v>
      </c>
      <c r="F145" s="30"/>
      <c r="G145" s="17">
        <v>0</v>
      </c>
      <c r="H145" s="17">
        <v>0</v>
      </c>
      <c r="I145" s="13">
        <f t="shared" si="72"/>
        <v>0</v>
      </c>
      <c r="J145" s="16">
        <v>2000</v>
      </c>
      <c r="K145" s="17">
        <v>0</v>
      </c>
      <c r="L145" s="13">
        <f>I145+J145</f>
        <v>2000</v>
      </c>
      <c r="M145" s="19"/>
      <c r="N145" s="16">
        <v>0</v>
      </c>
      <c r="O145" s="17">
        <v>0</v>
      </c>
      <c r="P145" s="13">
        <f t="shared" si="110"/>
        <v>2000</v>
      </c>
      <c r="Q145" s="19"/>
      <c r="R145" s="18">
        <v>0</v>
      </c>
      <c r="S145" s="17">
        <v>0</v>
      </c>
      <c r="T145" s="17">
        <f t="shared" si="79"/>
        <v>2000</v>
      </c>
      <c r="U145" s="30"/>
      <c r="V145" s="17"/>
      <c r="W145" s="17">
        <v>0</v>
      </c>
      <c r="X145" s="13">
        <f t="shared" si="97"/>
        <v>2000</v>
      </c>
      <c r="Y145" s="16">
        <v>0</v>
      </c>
      <c r="Z145" s="17">
        <v>0</v>
      </c>
      <c r="AA145" s="29">
        <f>X145+Y145</f>
        <v>2000</v>
      </c>
      <c r="AB145" s="30"/>
      <c r="AC145" s="16">
        <v>80400</v>
      </c>
      <c r="AD145" s="17">
        <v>0</v>
      </c>
      <c r="AE145" s="13">
        <f t="shared" si="111"/>
        <v>82400</v>
      </c>
      <c r="AF145" s="30"/>
      <c r="AG145" s="129">
        <v>0</v>
      </c>
      <c r="AH145" s="17">
        <v>0</v>
      </c>
      <c r="AI145" s="13">
        <f t="shared" si="122"/>
        <v>82400</v>
      </c>
      <c r="AJ145" s="30"/>
      <c r="AK145" s="17">
        <v>0</v>
      </c>
      <c r="AL145" s="17">
        <v>0</v>
      </c>
      <c r="AM145" s="13">
        <f t="shared" si="123"/>
        <v>82400</v>
      </c>
      <c r="AN145" s="30"/>
      <c r="AO145" s="16"/>
      <c r="AP145" s="17">
        <v>0</v>
      </c>
      <c r="AQ145" s="13">
        <f t="shared" si="124"/>
        <v>82400</v>
      </c>
      <c r="AR145" s="30"/>
      <c r="AS145" s="16"/>
      <c r="AT145" s="17">
        <v>0</v>
      </c>
      <c r="AU145" s="13">
        <f t="shared" si="87"/>
        <v>82400</v>
      </c>
      <c r="AV145" s="30"/>
    </row>
    <row r="146" spans="1:48" x14ac:dyDescent="0.25">
      <c r="A146" s="14" t="s">
        <v>128</v>
      </c>
      <c r="B146" s="15" t="s">
        <v>165</v>
      </c>
      <c r="C146" s="17">
        <v>0</v>
      </c>
      <c r="D146" s="17">
        <v>0</v>
      </c>
      <c r="E146" s="17">
        <f t="shared" si="126"/>
        <v>0</v>
      </c>
      <c r="F146" s="30"/>
      <c r="G146" s="17">
        <v>0</v>
      </c>
      <c r="H146" s="17">
        <v>0</v>
      </c>
      <c r="I146" s="13">
        <f t="shared" si="72"/>
        <v>0</v>
      </c>
      <c r="J146" s="16">
        <v>0</v>
      </c>
      <c r="K146" s="17">
        <v>0</v>
      </c>
      <c r="L146" s="13">
        <f>I146+J146</f>
        <v>0</v>
      </c>
      <c r="M146" s="19"/>
      <c r="N146" s="16">
        <v>0</v>
      </c>
      <c r="O146" s="17">
        <v>0</v>
      </c>
      <c r="P146" s="13">
        <f t="shared" si="110"/>
        <v>0</v>
      </c>
      <c r="Q146" s="19"/>
      <c r="R146" s="18">
        <v>0</v>
      </c>
      <c r="S146" s="17">
        <v>0</v>
      </c>
      <c r="T146" s="17">
        <f t="shared" si="79"/>
        <v>0</v>
      </c>
      <c r="U146" s="30"/>
      <c r="V146" s="17">
        <v>0</v>
      </c>
      <c r="W146" s="17">
        <v>0</v>
      </c>
      <c r="X146" s="13">
        <f t="shared" si="97"/>
        <v>0</v>
      </c>
      <c r="Y146" s="16">
        <v>0</v>
      </c>
      <c r="Z146" s="17">
        <v>0</v>
      </c>
      <c r="AA146" s="29">
        <f>X146+Y146</f>
        <v>0</v>
      </c>
      <c r="AB146" s="30"/>
      <c r="AC146" s="16">
        <v>0</v>
      </c>
      <c r="AD146" s="17">
        <v>0</v>
      </c>
      <c r="AE146" s="13">
        <f t="shared" si="111"/>
        <v>0</v>
      </c>
      <c r="AF146" s="30"/>
      <c r="AG146" s="129">
        <v>0</v>
      </c>
      <c r="AH146" s="17">
        <v>0</v>
      </c>
      <c r="AI146" s="13">
        <f t="shared" si="122"/>
        <v>0</v>
      </c>
      <c r="AJ146" s="30"/>
      <c r="AK146" s="17">
        <v>0</v>
      </c>
      <c r="AL146" s="17">
        <v>0</v>
      </c>
      <c r="AM146" s="13">
        <f t="shared" si="123"/>
        <v>0</v>
      </c>
      <c r="AN146" s="30"/>
      <c r="AO146" s="16"/>
      <c r="AP146" s="17">
        <v>0</v>
      </c>
      <c r="AQ146" s="13">
        <f t="shared" si="124"/>
        <v>0</v>
      </c>
      <c r="AR146" s="30"/>
      <c r="AS146" s="16"/>
      <c r="AT146" s="17">
        <v>0</v>
      </c>
      <c r="AU146" s="13">
        <f t="shared" si="87"/>
        <v>0</v>
      </c>
      <c r="AV146" s="30"/>
    </row>
    <row r="147" spans="1:48" s="140" customFormat="1" ht="30.75" customHeight="1" x14ac:dyDescent="0.25">
      <c r="A147" s="131" t="s">
        <v>129</v>
      </c>
      <c r="B147" s="132" t="s">
        <v>130</v>
      </c>
      <c r="C147" s="133">
        <f>+C148</f>
        <v>300</v>
      </c>
      <c r="D147" s="133">
        <v>0</v>
      </c>
      <c r="E147" s="134">
        <f t="shared" si="126"/>
        <v>300</v>
      </c>
      <c r="F147" s="135"/>
      <c r="G147" s="134">
        <f>+G148</f>
        <v>366</v>
      </c>
      <c r="H147" s="134">
        <v>0</v>
      </c>
      <c r="I147" s="136">
        <f t="shared" si="72"/>
        <v>666</v>
      </c>
      <c r="J147" s="137">
        <f>J148</f>
        <v>320</v>
      </c>
      <c r="K147" s="134">
        <v>0</v>
      </c>
      <c r="L147" s="136">
        <f>I147+J147</f>
        <v>986</v>
      </c>
      <c r="M147" s="135"/>
      <c r="N147" s="137">
        <f>N148</f>
        <v>752</v>
      </c>
      <c r="O147" s="134">
        <v>0</v>
      </c>
      <c r="P147" s="136">
        <f>L147+N147</f>
        <v>1738</v>
      </c>
      <c r="Q147" s="135"/>
      <c r="R147" s="157">
        <f>+R148</f>
        <v>90</v>
      </c>
      <c r="S147" s="133">
        <v>0</v>
      </c>
      <c r="T147" s="134">
        <f t="shared" si="79"/>
        <v>1828</v>
      </c>
      <c r="U147" s="135"/>
      <c r="V147" s="134">
        <f>+V148</f>
        <v>19217</v>
      </c>
      <c r="W147" s="134">
        <v>0</v>
      </c>
      <c r="X147" s="136">
        <f t="shared" si="97"/>
        <v>21045</v>
      </c>
      <c r="Y147" s="137">
        <f>Y148</f>
        <v>0</v>
      </c>
      <c r="Z147" s="134">
        <v>0</v>
      </c>
      <c r="AA147" s="138">
        <f>X147+Y147</f>
        <v>21045</v>
      </c>
      <c r="AB147" s="135"/>
      <c r="AC147" s="137">
        <f>+AC149</f>
        <v>657</v>
      </c>
      <c r="AD147" s="134">
        <v>0</v>
      </c>
      <c r="AE147" s="136">
        <f>AA147+AC147</f>
        <v>21702</v>
      </c>
      <c r="AF147" s="135"/>
      <c r="AG147" s="139">
        <f>+AG148</f>
        <v>0</v>
      </c>
      <c r="AH147" s="134">
        <v>0</v>
      </c>
      <c r="AI147" s="136">
        <f>AE147+AG147</f>
        <v>21702</v>
      </c>
      <c r="AJ147" s="135"/>
      <c r="AK147" s="17">
        <f>+AK148</f>
        <v>193</v>
      </c>
      <c r="AL147" s="134">
        <v>0</v>
      </c>
      <c r="AM147" s="136">
        <f>AI147+AK147</f>
        <v>21895</v>
      </c>
      <c r="AN147" s="135"/>
      <c r="AO147" s="137">
        <f>+AO148</f>
        <v>270</v>
      </c>
      <c r="AP147" s="134">
        <v>0</v>
      </c>
      <c r="AQ147" s="136">
        <f>AM147+AO147</f>
        <v>22165</v>
      </c>
      <c r="AR147" s="135"/>
      <c r="AS147" s="137">
        <f>+AS148+AS149</f>
        <v>120</v>
      </c>
      <c r="AT147" s="134">
        <v>0</v>
      </c>
      <c r="AU147" s="13">
        <f t="shared" si="87"/>
        <v>22285</v>
      </c>
      <c r="AV147" s="135"/>
    </row>
    <row r="148" spans="1:48" x14ac:dyDescent="0.25">
      <c r="A148" s="14" t="s">
        <v>131</v>
      </c>
      <c r="B148" s="15" t="s">
        <v>132</v>
      </c>
      <c r="C148" s="7">
        <v>300</v>
      </c>
      <c r="D148" s="7">
        <v>0</v>
      </c>
      <c r="E148" s="17">
        <f t="shared" si="126"/>
        <v>300</v>
      </c>
      <c r="F148" s="30"/>
      <c r="G148" s="17">
        <v>366</v>
      </c>
      <c r="H148" s="17">
        <v>0</v>
      </c>
      <c r="I148" s="13">
        <f t="shared" si="72"/>
        <v>666</v>
      </c>
      <c r="J148" s="16">
        <v>320</v>
      </c>
      <c r="K148" s="17">
        <v>0</v>
      </c>
      <c r="L148" s="13">
        <f>I148+J148</f>
        <v>986</v>
      </c>
      <c r="M148" s="19"/>
      <c r="N148" s="16">
        <v>752</v>
      </c>
      <c r="O148" s="17">
        <v>0</v>
      </c>
      <c r="P148" s="13">
        <f>L148+N148</f>
        <v>1738</v>
      </c>
      <c r="Q148" s="19"/>
      <c r="R148" s="158">
        <v>90</v>
      </c>
      <c r="S148" s="7">
        <v>0</v>
      </c>
      <c r="T148" s="17">
        <f t="shared" ref="T148:T149" si="127">+P148+R148</f>
        <v>1828</v>
      </c>
      <c r="U148" s="30"/>
      <c r="V148" s="17">
        <v>19217</v>
      </c>
      <c r="W148" s="17">
        <v>0</v>
      </c>
      <c r="X148" s="13">
        <f t="shared" si="97"/>
        <v>21045</v>
      </c>
      <c r="Y148" s="16">
        <v>0</v>
      </c>
      <c r="Z148" s="17">
        <v>0</v>
      </c>
      <c r="AA148" s="29">
        <f>X148+Y148</f>
        <v>21045</v>
      </c>
      <c r="AB148" s="30"/>
      <c r="AC148" s="16">
        <v>0</v>
      </c>
      <c r="AD148" s="17">
        <v>0</v>
      </c>
      <c r="AE148" s="13">
        <f>AA148+AC148</f>
        <v>21045</v>
      </c>
      <c r="AF148" s="30"/>
      <c r="AG148" s="129">
        <v>0</v>
      </c>
      <c r="AH148" s="17">
        <v>0</v>
      </c>
      <c r="AI148" s="13">
        <f>AE148+AG148</f>
        <v>21045</v>
      </c>
      <c r="AJ148" s="30"/>
      <c r="AK148" s="17">
        <v>193</v>
      </c>
      <c r="AL148" s="17">
        <v>0</v>
      </c>
      <c r="AM148" s="13">
        <f>AI148+AK148</f>
        <v>21238</v>
      </c>
      <c r="AN148" s="30"/>
      <c r="AO148" s="16">
        <v>270</v>
      </c>
      <c r="AP148" s="17">
        <v>0</v>
      </c>
      <c r="AQ148" s="13">
        <f>AM148+AO148</f>
        <v>21508</v>
      </c>
      <c r="AR148" s="30"/>
      <c r="AS148" s="16">
        <v>120</v>
      </c>
      <c r="AT148" s="17">
        <v>0</v>
      </c>
      <c r="AU148" s="13">
        <f t="shared" si="87"/>
        <v>21628</v>
      </c>
      <c r="AV148" s="30"/>
    </row>
    <row r="149" spans="1:48" x14ac:dyDescent="0.25">
      <c r="A149" s="14">
        <v>531525</v>
      </c>
      <c r="B149" s="15" t="s">
        <v>356</v>
      </c>
      <c r="C149" s="23"/>
      <c r="D149" s="23"/>
      <c r="E149" s="17">
        <f t="shared" ref="E149" si="128">+D149</f>
        <v>0</v>
      </c>
      <c r="F149" s="30"/>
      <c r="G149" s="17">
        <v>0</v>
      </c>
      <c r="H149" s="17">
        <v>0</v>
      </c>
      <c r="I149" s="13">
        <v>0</v>
      </c>
      <c r="J149" s="16">
        <v>0</v>
      </c>
      <c r="K149" s="17">
        <v>0</v>
      </c>
      <c r="L149" s="17">
        <v>0</v>
      </c>
      <c r="M149" s="19"/>
      <c r="N149" s="16">
        <v>0</v>
      </c>
      <c r="O149" s="17">
        <v>0</v>
      </c>
      <c r="P149" s="17">
        <v>0</v>
      </c>
      <c r="Q149" s="19"/>
      <c r="R149" s="159"/>
      <c r="S149" s="23"/>
      <c r="T149" s="17">
        <f t="shared" si="127"/>
        <v>0</v>
      </c>
      <c r="U149" s="30"/>
      <c r="V149" s="17">
        <v>0</v>
      </c>
      <c r="W149" s="17">
        <v>0</v>
      </c>
      <c r="X149" s="13">
        <v>0</v>
      </c>
      <c r="Y149" s="16">
        <v>0</v>
      </c>
      <c r="Z149" s="17">
        <v>0</v>
      </c>
      <c r="AA149" s="29">
        <v>0</v>
      </c>
      <c r="AB149" s="30"/>
      <c r="AC149" s="16">
        <v>657</v>
      </c>
      <c r="AD149" s="17">
        <v>0</v>
      </c>
      <c r="AE149" s="17">
        <v>0</v>
      </c>
      <c r="AF149" s="30"/>
      <c r="AG149" s="129">
        <v>0</v>
      </c>
      <c r="AH149" s="17">
        <v>0</v>
      </c>
      <c r="AI149" s="17">
        <v>0</v>
      </c>
      <c r="AJ149" s="30"/>
      <c r="AK149" s="16">
        <v>0</v>
      </c>
      <c r="AL149" s="17">
        <v>0</v>
      </c>
      <c r="AM149" s="17">
        <v>0</v>
      </c>
      <c r="AN149" s="30"/>
      <c r="AO149" s="16">
        <v>0</v>
      </c>
      <c r="AP149" s="17">
        <v>0</v>
      </c>
      <c r="AQ149" s="17">
        <v>0</v>
      </c>
      <c r="AR149" s="30"/>
      <c r="AS149" s="16"/>
      <c r="AT149" s="17">
        <v>0</v>
      </c>
      <c r="AU149" s="13">
        <f t="shared" si="87"/>
        <v>0</v>
      </c>
      <c r="AV149" s="30"/>
    </row>
    <row r="150" spans="1:48" x14ac:dyDescent="0.25">
      <c r="A150" s="14"/>
      <c r="B150" s="15"/>
      <c r="C150" s="23"/>
      <c r="D150" s="23"/>
      <c r="E150" s="17"/>
      <c r="F150" s="30"/>
      <c r="G150" s="17"/>
      <c r="H150" s="17"/>
      <c r="I150" s="13"/>
      <c r="J150" s="16"/>
      <c r="K150" s="17"/>
      <c r="L150" s="17"/>
      <c r="M150" s="144"/>
      <c r="N150" s="17"/>
      <c r="O150" s="17"/>
      <c r="P150" s="17"/>
      <c r="Q150" s="30"/>
      <c r="R150" s="159"/>
      <c r="S150" s="23"/>
      <c r="T150" s="17"/>
      <c r="U150" s="30"/>
      <c r="V150" s="17"/>
      <c r="W150" s="17"/>
      <c r="X150" s="13"/>
      <c r="Y150" s="16"/>
      <c r="Z150" s="17"/>
      <c r="AA150" s="29"/>
      <c r="AB150" s="144"/>
      <c r="AC150" s="16"/>
      <c r="AD150" s="17"/>
      <c r="AE150" s="17"/>
      <c r="AF150" s="30"/>
      <c r="AG150" s="129"/>
      <c r="AH150" s="17"/>
      <c r="AI150" s="17"/>
      <c r="AJ150" s="30"/>
      <c r="AK150" s="16"/>
      <c r="AL150" s="17"/>
      <c r="AM150" s="17"/>
      <c r="AN150" s="30"/>
      <c r="AO150" s="16"/>
      <c r="AP150" s="17"/>
      <c r="AQ150" s="17"/>
      <c r="AR150" s="30"/>
      <c r="AS150" s="16"/>
      <c r="AT150" s="17"/>
      <c r="AU150" s="17"/>
      <c r="AV150" s="30"/>
    </row>
    <row r="151" spans="1:48" x14ac:dyDescent="0.25">
      <c r="A151" s="14"/>
      <c r="B151" s="15" t="s">
        <v>133</v>
      </c>
      <c r="C151" s="17"/>
      <c r="D151" s="17">
        <f>D7</f>
        <v>16317677</v>
      </c>
      <c r="E151" s="17">
        <f>+D151</f>
        <v>16317677</v>
      </c>
      <c r="F151" s="30"/>
      <c r="G151" s="17">
        <v>0</v>
      </c>
      <c r="H151" s="17">
        <f>H7</f>
        <v>18355496</v>
      </c>
      <c r="I151" s="13">
        <f>E151+H151</f>
        <v>34673173</v>
      </c>
      <c r="J151" s="16">
        <v>0</v>
      </c>
      <c r="K151" s="17">
        <f>K7</f>
        <v>19002187</v>
      </c>
      <c r="L151" s="17">
        <f>I151+K151</f>
        <v>53675360</v>
      </c>
      <c r="M151" s="2"/>
      <c r="N151" s="17">
        <f>N7</f>
        <v>0</v>
      </c>
      <c r="O151" s="17">
        <f>O7</f>
        <v>2118814</v>
      </c>
      <c r="P151" s="17">
        <f>L151+O151</f>
        <v>55794174</v>
      </c>
      <c r="Q151" s="19"/>
      <c r="R151" s="18"/>
      <c r="S151" s="17">
        <f>S7</f>
        <v>3692905</v>
      </c>
      <c r="T151" s="17">
        <f>+P151+S151</f>
        <v>59487079</v>
      </c>
      <c r="U151" s="30"/>
      <c r="V151" s="17">
        <v>0</v>
      </c>
      <c r="W151" s="17">
        <f>W7</f>
        <v>22654975</v>
      </c>
      <c r="X151" s="13">
        <f>T151+W151</f>
        <v>82142054</v>
      </c>
      <c r="Y151" s="16">
        <v>0</v>
      </c>
      <c r="Z151" s="17">
        <f>Z7</f>
        <v>15859686</v>
      </c>
      <c r="AA151" s="29">
        <f>X151+Z151</f>
        <v>98001740</v>
      </c>
      <c r="AB151" s="2"/>
      <c r="AC151" s="16">
        <v>0</v>
      </c>
      <c r="AD151" s="17">
        <f>AD7</f>
        <v>13147172</v>
      </c>
      <c r="AE151" s="17">
        <f>AA151+AD151</f>
        <v>111148912</v>
      </c>
      <c r="AF151" s="30"/>
      <c r="AG151" s="129">
        <v>0</v>
      </c>
      <c r="AH151" s="17">
        <f>AH7</f>
        <v>16313657</v>
      </c>
      <c r="AI151" s="17">
        <f>AE151+AH151</f>
        <v>127462569</v>
      </c>
      <c r="AJ151" s="30"/>
      <c r="AK151" s="16">
        <v>0</v>
      </c>
      <c r="AL151" s="17">
        <f>AL7</f>
        <v>19079629.829999998</v>
      </c>
      <c r="AM151" s="17">
        <f>AI151+AL151</f>
        <v>146542198.82999998</v>
      </c>
      <c r="AN151" s="30"/>
      <c r="AO151" s="16">
        <v>0</v>
      </c>
      <c r="AP151" s="17">
        <f>AP7</f>
        <v>15904178</v>
      </c>
      <c r="AQ151" s="17">
        <f>AM151+AP151</f>
        <v>162446376.82999998</v>
      </c>
      <c r="AR151" s="30"/>
      <c r="AS151" s="16">
        <v>0</v>
      </c>
      <c r="AT151" s="17">
        <f>AT7</f>
        <v>18762225</v>
      </c>
      <c r="AU151" s="17">
        <f>AQ151+AT151</f>
        <v>181208601.82999998</v>
      </c>
      <c r="AV151" s="30"/>
    </row>
    <row r="152" spans="1:48" ht="32.25" customHeight="1" x14ac:dyDescent="0.25">
      <c r="A152" s="24"/>
      <c r="B152" s="15" t="s">
        <v>137</v>
      </c>
      <c r="C152" s="17"/>
      <c r="D152" s="17">
        <f>D151-D19</f>
        <v>14428877</v>
      </c>
      <c r="E152" s="17">
        <f t="shared" ref="E152" si="129">+D152</f>
        <v>14428877</v>
      </c>
      <c r="F152" s="30"/>
      <c r="G152" s="17"/>
      <c r="H152" s="17">
        <f>H151-H19</f>
        <v>16466696</v>
      </c>
      <c r="I152" s="13">
        <f>E152+H152</f>
        <v>30895573</v>
      </c>
      <c r="J152" s="16"/>
      <c r="K152" s="17">
        <f>K151-K19</f>
        <v>17113387</v>
      </c>
      <c r="L152" s="17">
        <f>I152+K152</f>
        <v>48008960</v>
      </c>
      <c r="M152" s="2"/>
      <c r="N152" s="16"/>
      <c r="O152" s="17">
        <f>O151-O19</f>
        <v>230014</v>
      </c>
      <c r="P152" s="17">
        <f>L152+O152</f>
        <v>48238974</v>
      </c>
      <c r="Q152" s="19"/>
      <c r="R152" s="18"/>
      <c r="S152" s="17">
        <f>S151-S19</f>
        <v>1804105</v>
      </c>
      <c r="T152" s="17">
        <f>+P152+S152</f>
        <v>50043079</v>
      </c>
      <c r="U152" s="30"/>
      <c r="V152" s="17"/>
      <c r="W152" s="17">
        <f>W151-W19</f>
        <v>20972075</v>
      </c>
      <c r="X152" s="13">
        <f>T152+W152</f>
        <v>71015154</v>
      </c>
      <c r="Y152" s="16"/>
      <c r="Z152" s="17">
        <f>Z151-Z19</f>
        <v>14176786</v>
      </c>
      <c r="AA152" s="29">
        <f>X152+Z152</f>
        <v>85191940</v>
      </c>
      <c r="AB152" s="2"/>
      <c r="AC152" s="16"/>
      <c r="AD152" s="17">
        <f>AD151-AD19</f>
        <v>11211072</v>
      </c>
      <c r="AE152" s="17">
        <f>AA152+AD152</f>
        <v>96403012</v>
      </c>
      <c r="AF152" s="30"/>
      <c r="AG152" s="129"/>
      <c r="AH152" s="17">
        <f>AH151-AH19</f>
        <v>14457957</v>
      </c>
      <c r="AI152" s="17">
        <f>AE152+AH152</f>
        <v>110860969</v>
      </c>
      <c r="AJ152" s="30"/>
      <c r="AK152" s="16"/>
      <c r="AL152" s="17">
        <f>AL151-AL19</f>
        <v>17119029.829999998</v>
      </c>
      <c r="AM152" s="17">
        <f>AI152+AL152</f>
        <v>127979998.83</v>
      </c>
      <c r="AN152" s="30"/>
      <c r="AO152" s="16"/>
      <c r="AP152" s="17">
        <f>AP151-AP19</f>
        <v>13943578</v>
      </c>
      <c r="AQ152" s="17">
        <f>AM152+AP152</f>
        <v>141923576.82999998</v>
      </c>
      <c r="AR152" s="30"/>
      <c r="AS152" s="16"/>
      <c r="AT152" s="17">
        <f>AT151-AT19</f>
        <v>16801625</v>
      </c>
      <c r="AU152" s="17">
        <f>AQ152+AT152</f>
        <v>158725201.82999998</v>
      </c>
      <c r="AV152" s="30"/>
    </row>
    <row r="153" spans="1:48" ht="15.75" thickBot="1" x14ac:dyDescent="0.3">
      <c r="A153" s="3"/>
      <c r="B153" s="15" t="s">
        <v>134</v>
      </c>
      <c r="C153" s="17">
        <f>C27-C118</f>
        <v>11183760</v>
      </c>
      <c r="D153" s="17">
        <v>0</v>
      </c>
      <c r="E153" s="13">
        <f>+C153</f>
        <v>11183760</v>
      </c>
      <c r="F153" s="30"/>
      <c r="G153" s="17">
        <f>G27-G118</f>
        <v>13337610</v>
      </c>
      <c r="H153" s="17">
        <v>0</v>
      </c>
      <c r="I153" s="13">
        <f>+E153+G153</f>
        <v>24521370</v>
      </c>
      <c r="J153" s="17">
        <f>J27-J118</f>
        <v>10865138</v>
      </c>
      <c r="K153" s="17">
        <v>0</v>
      </c>
      <c r="L153" s="13">
        <f>+I153+J153</f>
        <v>35386508</v>
      </c>
      <c r="M153" s="2"/>
      <c r="N153" s="17">
        <f>N27-N118</f>
        <v>8424882</v>
      </c>
      <c r="O153" s="17">
        <v>0</v>
      </c>
      <c r="P153" s="101">
        <f>+L153+N153</f>
        <v>43811390</v>
      </c>
      <c r="Q153" s="19"/>
      <c r="R153" s="18">
        <f>R27-R118</f>
        <v>10909925</v>
      </c>
      <c r="S153" s="17">
        <v>0</v>
      </c>
      <c r="T153" s="17">
        <f>+P153+R153</f>
        <v>54721315</v>
      </c>
      <c r="U153" s="30"/>
      <c r="V153" s="17">
        <f>V27-V118</f>
        <v>12990071</v>
      </c>
      <c r="W153" s="17">
        <v>0</v>
      </c>
      <c r="X153" s="13">
        <f>+T153+V153</f>
        <v>67711386</v>
      </c>
      <c r="Y153" s="17">
        <f>Y27-Y118</f>
        <v>11530572</v>
      </c>
      <c r="Z153" s="17">
        <v>0</v>
      </c>
      <c r="AA153" s="29">
        <f>+X153+Y153</f>
        <v>79241958</v>
      </c>
      <c r="AB153" s="2"/>
      <c r="AC153" s="17">
        <f>AC27-AC118</f>
        <v>11013798</v>
      </c>
      <c r="AD153" s="17">
        <v>0</v>
      </c>
      <c r="AE153" s="101">
        <f>+AA153+AC153</f>
        <v>90255756</v>
      </c>
      <c r="AF153" s="30"/>
      <c r="AG153" s="18">
        <f>AG27-AG118</f>
        <v>11098718</v>
      </c>
      <c r="AH153" s="17">
        <v>0</v>
      </c>
      <c r="AI153" s="101">
        <f>+AE153+AG153</f>
        <v>101354474</v>
      </c>
      <c r="AJ153" s="30"/>
      <c r="AK153" s="17">
        <f>AK27-AK118</f>
        <v>14559398</v>
      </c>
      <c r="AL153" s="17">
        <v>0</v>
      </c>
      <c r="AM153" s="101">
        <f>+AI153+AK153</f>
        <v>115913872</v>
      </c>
      <c r="AN153" s="30"/>
      <c r="AO153" s="17">
        <f>AO27-AO118</f>
        <v>15548745</v>
      </c>
      <c r="AP153" s="17">
        <v>0</v>
      </c>
      <c r="AQ153" s="101">
        <f>+AM153+AO153</f>
        <v>131462617</v>
      </c>
      <c r="AR153" s="30"/>
      <c r="AS153" s="17">
        <f>AS27-AS118</f>
        <v>12796951</v>
      </c>
      <c r="AT153" s="17">
        <v>0</v>
      </c>
      <c r="AU153" s="101">
        <f>+AQ153+AS153</f>
        <v>144259568</v>
      </c>
      <c r="AV153" s="30"/>
    </row>
    <row r="154" spans="1:48" ht="66" customHeight="1" thickBot="1" x14ac:dyDescent="0.3">
      <c r="A154" s="4"/>
      <c r="B154" s="25" t="s">
        <v>138</v>
      </c>
      <c r="C154" s="26">
        <f>C153</f>
        <v>11183760</v>
      </c>
      <c r="D154" s="26">
        <f>+D152</f>
        <v>14428877</v>
      </c>
      <c r="E154" s="26">
        <f>+D154-C154</f>
        <v>3245117</v>
      </c>
      <c r="F154" s="26"/>
      <c r="G154" s="26">
        <f>G153</f>
        <v>13337610</v>
      </c>
      <c r="H154" s="26">
        <f>+H152</f>
        <v>16466696</v>
      </c>
      <c r="I154" s="26">
        <f>+E154+H154-G154</f>
        <v>6374203</v>
      </c>
      <c r="J154" s="26">
        <f>J27-J118</f>
        <v>10865138</v>
      </c>
      <c r="K154" s="26">
        <f>K152</f>
        <v>17113387</v>
      </c>
      <c r="L154" s="26">
        <f>+I154+K154-J154</f>
        <v>12622452</v>
      </c>
      <c r="M154" s="26"/>
      <c r="N154" s="26">
        <f>N153</f>
        <v>8424882</v>
      </c>
      <c r="O154" s="26">
        <f>+O152</f>
        <v>230014</v>
      </c>
      <c r="P154" s="103">
        <f>+L154+O154-N154</f>
        <v>4427584</v>
      </c>
      <c r="Q154" s="102" t="s">
        <v>314</v>
      </c>
      <c r="R154" s="130">
        <f>R153</f>
        <v>10909925</v>
      </c>
      <c r="S154" s="26">
        <f>+S152</f>
        <v>1804105</v>
      </c>
      <c r="T154" s="26">
        <f>+P154+S154-R154</f>
        <v>-4678236</v>
      </c>
      <c r="U154" s="26"/>
      <c r="V154" s="26">
        <f>V153</f>
        <v>12990071</v>
      </c>
      <c r="W154" s="26">
        <f>+W152</f>
        <v>20972075</v>
      </c>
      <c r="X154" s="103">
        <f>+T154+W154-V154</f>
        <v>3303768</v>
      </c>
      <c r="Y154" s="26">
        <f>Y27-Y118</f>
        <v>11530572</v>
      </c>
      <c r="Z154" s="26">
        <f>Z152</f>
        <v>14176786</v>
      </c>
      <c r="AA154" s="26">
        <f>+X154+Z154-Y154</f>
        <v>5949982</v>
      </c>
      <c r="AB154" s="26"/>
      <c r="AC154" s="26">
        <f>AC153</f>
        <v>11013798</v>
      </c>
      <c r="AD154" s="26">
        <f>+AD152</f>
        <v>11211072</v>
      </c>
      <c r="AE154" s="103">
        <f>+AA154+AD154-AC154</f>
        <v>6147256</v>
      </c>
      <c r="AF154" s="102" t="s">
        <v>314</v>
      </c>
      <c r="AG154" s="130">
        <f>AG153</f>
        <v>11098718</v>
      </c>
      <c r="AH154" s="26">
        <f>+AH152</f>
        <v>14457957</v>
      </c>
      <c r="AI154" s="103">
        <f>+AE154+AH154-AG154</f>
        <v>9506495</v>
      </c>
      <c r="AJ154" s="4"/>
      <c r="AK154" s="26">
        <f>AK153</f>
        <v>14559398</v>
      </c>
      <c r="AL154" s="26">
        <f>+AL152</f>
        <v>17119029.829999998</v>
      </c>
      <c r="AM154" s="103">
        <f>+AI154+AL154-AK154</f>
        <v>12066126.829999998</v>
      </c>
      <c r="AN154" s="4"/>
      <c r="AO154" s="26">
        <f>AO153</f>
        <v>15548745</v>
      </c>
      <c r="AP154" s="26">
        <f>+AP152</f>
        <v>13943578</v>
      </c>
      <c r="AQ154" s="103">
        <f>+AM154+AP154-AO154</f>
        <v>10460959.829999998</v>
      </c>
      <c r="AR154" s="4"/>
      <c r="AS154" s="26">
        <f>AS153</f>
        <v>12796951</v>
      </c>
      <c r="AT154" s="26">
        <f>+AT152</f>
        <v>16801625</v>
      </c>
      <c r="AU154" s="103">
        <f>+AQ154+AT154-AS154</f>
        <v>14465633.829999998</v>
      </c>
      <c r="AV154" s="102" t="s">
        <v>314</v>
      </c>
    </row>
    <row r="155" spans="1:48" x14ac:dyDescent="0.25">
      <c r="B155" s="156" t="s">
        <v>358</v>
      </c>
      <c r="C155" s="215" t="s">
        <v>359</v>
      </c>
      <c r="D155" s="215"/>
      <c r="E155" s="5">
        <f>+D154-C154</f>
        <v>3245117</v>
      </c>
      <c r="G155" s="215" t="s">
        <v>185</v>
      </c>
      <c r="H155" s="215"/>
      <c r="I155" s="5">
        <f>+H154-G154</f>
        <v>3129086</v>
      </c>
      <c r="J155" s="215" t="s">
        <v>360</v>
      </c>
      <c r="K155" s="215"/>
      <c r="L155" s="5">
        <f>+K154-J154</f>
        <v>6248249</v>
      </c>
      <c r="N155" s="215" t="s">
        <v>187</v>
      </c>
      <c r="O155" s="215"/>
      <c r="P155" s="5">
        <f>+O154-N154</f>
        <v>-8194868</v>
      </c>
      <c r="R155" s="215" t="s">
        <v>188</v>
      </c>
      <c r="S155" s="215"/>
      <c r="T155" s="5">
        <f>+S154-R154</f>
        <v>-9105820</v>
      </c>
      <c r="V155" s="215" t="s">
        <v>189</v>
      </c>
      <c r="W155" s="215"/>
      <c r="X155" s="5">
        <f>+W154-V154</f>
        <v>7982004</v>
      </c>
      <c r="Y155" s="215" t="s">
        <v>361</v>
      </c>
      <c r="Z155" s="215"/>
      <c r="AA155" s="5">
        <f>+Z154-Y154</f>
        <v>2646214</v>
      </c>
      <c r="AC155" s="215" t="s">
        <v>191</v>
      </c>
      <c r="AD155" s="215"/>
      <c r="AE155" s="5">
        <f>+AD154-AC154</f>
        <v>197274</v>
      </c>
      <c r="AG155" s="215" t="s">
        <v>192</v>
      </c>
      <c r="AH155" s="215"/>
      <c r="AI155" s="5">
        <f>+AH154-AG154</f>
        <v>3359239</v>
      </c>
      <c r="AK155" s="215" t="s">
        <v>363</v>
      </c>
      <c r="AL155" s="215"/>
      <c r="AM155" s="5">
        <f>+AL154-AK154</f>
        <v>2559631.8299999982</v>
      </c>
      <c r="AO155" s="215" t="s">
        <v>362</v>
      </c>
      <c r="AP155" s="215"/>
      <c r="AQ155" s="5">
        <f>+AP154-AO154</f>
        <v>-1605167</v>
      </c>
      <c r="AS155" s="215" t="s">
        <v>196</v>
      </c>
      <c r="AT155" s="215"/>
      <c r="AU155" s="5">
        <f>+AT154-AS154</f>
        <v>4004674</v>
      </c>
    </row>
    <row r="156" spans="1:48" x14ac:dyDescent="0.25">
      <c r="J156" s="6"/>
      <c r="AU156" s="5"/>
    </row>
    <row r="157" spans="1:48" x14ac:dyDescent="0.25">
      <c r="C157" s="5"/>
      <c r="G157" s="6"/>
    </row>
    <row r="158" spans="1:48" x14ac:dyDescent="0.25">
      <c r="AM158" s="5">
        <f>+E155+I155+L155+P155+T155+X155+AA155+AE155+AI155+AM155</f>
        <v>12066126.829999998</v>
      </c>
    </row>
  </sheetData>
  <mergeCells count="49">
    <mergeCell ref="L5:M5"/>
    <mergeCell ref="N5:O5"/>
    <mergeCell ref="R5:S5"/>
    <mergeCell ref="T5:U5"/>
    <mergeCell ref="V5:W5"/>
    <mergeCell ref="A5:B5"/>
    <mergeCell ref="C5:D5"/>
    <mergeCell ref="E5:F5"/>
    <mergeCell ref="G5:H5"/>
    <mergeCell ref="J5:K5"/>
    <mergeCell ref="R4:U4"/>
    <mergeCell ref="V4:X4"/>
    <mergeCell ref="Y4:AB4"/>
    <mergeCell ref="AC4:AF4"/>
    <mergeCell ref="P5:Q5"/>
    <mergeCell ref="Y5:Z5"/>
    <mergeCell ref="AA5:AB5"/>
    <mergeCell ref="AC5:AD5"/>
    <mergeCell ref="AE5:AF5"/>
    <mergeCell ref="A1:Q1"/>
    <mergeCell ref="A2:Q2"/>
    <mergeCell ref="C4:F4"/>
    <mergeCell ref="G4:I4"/>
    <mergeCell ref="J4:M4"/>
    <mergeCell ref="N4:Q4"/>
    <mergeCell ref="AK4:AN4"/>
    <mergeCell ref="AK5:AL5"/>
    <mergeCell ref="AM5:AN5"/>
    <mergeCell ref="AG5:AH5"/>
    <mergeCell ref="AI5:AJ5"/>
    <mergeCell ref="AG4:AJ4"/>
    <mergeCell ref="AO4:AR4"/>
    <mergeCell ref="AO5:AP5"/>
    <mergeCell ref="AQ5:AR5"/>
    <mergeCell ref="AS4:AV4"/>
    <mergeCell ref="AS5:AT5"/>
    <mergeCell ref="AU5:AV5"/>
    <mergeCell ref="C155:D155"/>
    <mergeCell ref="G155:H155"/>
    <mergeCell ref="J155:K155"/>
    <mergeCell ref="N155:O155"/>
    <mergeCell ref="R155:S155"/>
    <mergeCell ref="AO155:AP155"/>
    <mergeCell ref="AS155:AT155"/>
    <mergeCell ref="V155:W155"/>
    <mergeCell ref="Y155:Z155"/>
    <mergeCell ref="AC155:AD155"/>
    <mergeCell ref="AG155:AH155"/>
    <mergeCell ref="AK155:AL155"/>
  </mergeCells>
  <pageMargins left="0.70866141732283472" right="0.70866141732283472" top="0.74803149606299213" bottom="0.74803149606299213" header="0.31496062992125984" footer="0.31496062992125984"/>
  <pageSetup scale="36" orientation="portrait" horizontalDpi="360" verticalDpi="360" r:id="rId1"/>
  <rowBreaks count="1" manualBreakCount="1">
    <brk id="76" max="16383" man="1"/>
  </rowBreaks>
  <colBreaks count="3" manualBreakCount="3">
    <brk id="9" max="1048575" man="1"/>
    <brk id="21" max="1048575" man="1"/>
    <brk id="32" max="13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4"/>
  <sheetViews>
    <sheetView view="pageBreakPreview" topLeftCell="L75" zoomScale="93" zoomScaleNormal="100" zoomScaleSheetLayoutView="93" workbookViewId="0">
      <selection activeCell="D140" sqref="D140"/>
    </sheetView>
  </sheetViews>
  <sheetFormatPr baseColWidth="10" defaultRowHeight="12.75" x14ac:dyDescent="0.2"/>
  <cols>
    <col min="1" max="1" width="4.140625" style="1" customWidth="1"/>
    <col min="2" max="2" width="11.42578125" style="1"/>
    <col min="3" max="3" width="16.85546875" style="1" customWidth="1"/>
    <col min="4" max="6" width="22.5703125" style="1" bestFit="1" customWidth="1"/>
    <col min="7" max="7" width="15.7109375" style="1" customWidth="1"/>
    <col min="8" max="8" width="15.42578125" style="1" customWidth="1"/>
    <col min="9" max="9" width="15.28515625" style="1" bestFit="1" customWidth="1"/>
    <col min="10" max="11" width="16.5703125" style="1" customWidth="1"/>
    <col min="12" max="12" width="13.85546875" style="1" customWidth="1"/>
    <col min="13" max="13" width="14.85546875" style="1" bestFit="1" customWidth="1"/>
    <col min="14" max="15" width="13.7109375" style="1" customWidth="1"/>
    <col min="16" max="16" width="17.5703125" style="1" customWidth="1"/>
    <col min="17" max="17" width="14.28515625" style="1" bestFit="1" customWidth="1"/>
    <col min="18" max="18" width="14.28515625" style="1" customWidth="1"/>
    <col min="19" max="16384" width="11.42578125" style="1"/>
  </cols>
  <sheetData>
    <row r="1" spans="1:28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</row>
    <row r="2" spans="1:28" x14ac:dyDescent="0.2">
      <c r="A2" s="3"/>
      <c r="H2" s="87"/>
      <c r="I2" s="87"/>
      <c r="AB2" s="2"/>
    </row>
    <row r="3" spans="1:28" x14ac:dyDescent="0.2">
      <c r="A3" s="3"/>
      <c r="H3" s="87"/>
      <c r="J3" s="87"/>
      <c r="K3" s="87"/>
      <c r="AB3" s="2"/>
    </row>
    <row r="4" spans="1:28" ht="13.5" thickBot="1" x14ac:dyDescent="0.25">
      <c r="A4" s="3"/>
      <c r="L4" s="87"/>
      <c r="AB4" s="2"/>
    </row>
    <row r="5" spans="1:28" ht="38.25" customHeight="1" thickBot="1" x14ac:dyDescent="0.25">
      <c r="A5" s="3"/>
      <c r="B5" s="45" t="s">
        <v>176</v>
      </c>
      <c r="C5" s="194" t="s">
        <v>391</v>
      </c>
      <c r="D5" s="193" t="s">
        <v>199</v>
      </c>
      <c r="E5" s="79" t="s">
        <v>177</v>
      </c>
      <c r="F5" s="47" t="s">
        <v>178</v>
      </c>
      <c r="G5" s="190" t="s">
        <v>392</v>
      </c>
      <c r="H5" s="195" t="s">
        <v>200</v>
      </c>
      <c r="I5" s="45" t="s">
        <v>179</v>
      </c>
      <c r="J5" s="47" t="s">
        <v>180</v>
      </c>
      <c r="K5" s="190" t="s">
        <v>393</v>
      </c>
      <c r="L5" s="181" t="s">
        <v>201</v>
      </c>
      <c r="M5" s="46" t="s">
        <v>181</v>
      </c>
      <c r="N5" s="47" t="s">
        <v>182</v>
      </c>
      <c r="O5" s="185" t="s">
        <v>394</v>
      </c>
      <c r="P5" s="181" t="s">
        <v>345</v>
      </c>
      <c r="Q5" s="46" t="s">
        <v>344</v>
      </c>
      <c r="R5" s="47" t="s">
        <v>198</v>
      </c>
      <c r="AB5" s="2"/>
    </row>
    <row r="6" spans="1:28" ht="15.75" x14ac:dyDescent="0.25">
      <c r="A6" s="3"/>
      <c r="B6" s="49" t="s">
        <v>184</v>
      </c>
      <c r="C6" s="191">
        <v>9772741</v>
      </c>
      <c r="D6" s="182">
        <v>5232922</v>
      </c>
      <c r="E6" s="48">
        <v>20519674</v>
      </c>
      <c r="F6" s="48">
        <f>522963+299991+2769114+199640+276690</f>
        <v>4068398</v>
      </c>
      <c r="G6" s="197">
        <f>+'PYG '!D14-'PYG '!D19</f>
        <v>4656136</v>
      </c>
      <c r="H6" s="182">
        <f>7998115</f>
        <v>7998115</v>
      </c>
      <c r="I6" s="48">
        <v>5489862</v>
      </c>
      <c r="J6" s="48">
        <v>3111549</v>
      </c>
      <c r="K6" s="191">
        <f>+'PYG '!C153</f>
        <v>11183760</v>
      </c>
      <c r="L6" s="189">
        <v>8192569</v>
      </c>
      <c r="M6" s="48">
        <v>7055307</v>
      </c>
      <c r="N6" s="48">
        <v>10452832</v>
      </c>
      <c r="O6" s="186">
        <f>+C6+G6-K6</f>
        <v>3245117</v>
      </c>
      <c r="P6" s="182">
        <f>+D6+H6-L6</f>
        <v>5038468</v>
      </c>
      <c r="Q6" s="48">
        <v>18954229</v>
      </c>
      <c r="R6" s="48">
        <v>-3272885</v>
      </c>
      <c r="AB6" s="2"/>
    </row>
    <row r="7" spans="1:28" ht="15.75" x14ac:dyDescent="0.25">
      <c r="A7" s="3"/>
      <c r="B7" s="49" t="s">
        <v>185</v>
      </c>
      <c r="C7" s="191">
        <v>8662267</v>
      </c>
      <c r="D7" s="182">
        <v>6735984</v>
      </c>
      <c r="E7" s="48">
        <v>347610</v>
      </c>
      <c r="F7" s="48">
        <f>34155+356641+30000+185495+199640+2769114+52440+124200+30000</f>
        <v>3781685</v>
      </c>
      <c r="G7" s="197">
        <f>+'PYG '!H14-'PYG '!H19</f>
        <v>7804429</v>
      </c>
      <c r="H7" s="182">
        <f>4974356-1</f>
        <v>4974355</v>
      </c>
      <c r="I7" s="48">
        <v>7374328</v>
      </c>
      <c r="J7" s="48">
        <v>8157506</v>
      </c>
      <c r="K7" s="191">
        <f>+'PYG '!G153</f>
        <v>13337610</v>
      </c>
      <c r="L7" s="189">
        <v>8084721</v>
      </c>
      <c r="M7" s="48">
        <v>8975623</v>
      </c>
      <c r="N7" s="48">
        <v>8843670</v>
      </c>
      <c r="O7" s="186">
        <f t="shared" ref="O7:O17" si="0">+C7+G7-K7</f>
        <v>3129086</v>
      </c>
      <c r="P7" s="182">
        <f t="shared" ref="P7:P17" si="1">+D7+H7-L7</f>
        <v>3625618</v>
      </c>
      <c r="Q7" s="48">
        <v>-1253685</v>
      </c>
      <c r="R7" s="48">
        <v>3095521</v>
      </c>
      <c r="AB7" s="2"/>
    </row>
    <row r="8" spans="1:28" ht="15.75" x14ac:dyDescent="0.25">
      <c r="A8" s="3"/>
      <c r="B8" s="49" t="s">
        <v>186</v>
      </c>
      <c r="C8" s="191">
        <v>11213082</v>
      </c>
      <c r="D8" s="182">
        <v>4072345</v>
      </c>
      <c r="E8" s="48">
        <f>245268+260</f>
        <v>245528</v>
      </c>
      <c r="F8" s="48">
        <f>2501135+199640+393580+80730+29750+34510+25000</f>
        <v>3264345</v>
      </c>
      <c r="G8" s="197">
        <f>+'PYG '!K14-'PYG '!K19</f>
        <v>5900305</v>
      </c>
      <c r="H8" s="182">
        <f>7130394+43</f>
        <v>7130437</v>
      </c>
      <c r="I8" s="48">
        <v>5439456</v>
      </c>
      <c r="J8" s="48">
        <v>5780617</v>
      </c>
      <c r="K8" s="191">
        <f>+'PYG '!J153</f>
        <v>10865138</v>
      </c>
      <c r="L8" s="189">
        <v>8025783</v>
      </c>
      <c r="M8" s="48">
        <v>9788704</v>
      </c>
      <c r="N8" s="48">
        <v>8621927</v>
      </c>
      <c r="O8" s="186">
        <f t="shared" si="0"/>
        <v>6248249</v>
      </c>
      <c r="P8" s="182">
        <f t="shared" si="1"/>
        <v>3176999</v>
      </c>
      <c r="Q8" s="48">
        <v>-4103720</v>
      </c>
      <c r="R8" s="48">
        <v>423035</v>
      </c>
      <c r="AB8" s="2"/>
    </row>
    <row r="9" spans="1:28" ht="15.75" x14ac:dyDescent="0.25">
      <c r="A9" s="3"/>
      <c r="B9" s="49" t="s">
        <v>187</v>
      </c>
      <c r="C9" s="191">
        <v>109000</v>
      </c>
      <c r="D9" s="182">
        <v>8902568</v>
      </c>
      <c r="E9" s="48">
        <f>44268+102185+80587+29750+50000+4998</f>
        <v>311788</v>
      </c>
      <c r="F9" s="48">
        <f>2769114+199640+549053+161460+430560+90000+267950+437283+714714+17250+40000+37500</f>
        <v>5714524</v>
      </c>
      <c r="G9" s="197">
        <f>+'PYG '!O14-'PYG '!O19</f>
        <v>121014</v>
      </c>
      <c r="H9" s="182">
        <f>6000929+75</f>
        <v>6001004</v>
      </c>
      <c r="I9" s="48">
        <v>7142915</v>
      </c>
      <c r="J9" s="48">
        <v>5636163</v>
      </c>
      <c r="K9" s="191">
        <f>+'PYG '!N154</f>
        <v>8424882</v>
      </c>
      <c r="L9" s="189">
        <v>11161681</v>
      </c>
      <c r="M9" s="48">
        <v>9211395</v>
      </c>
      <c r="N9" s="48">
        <v>6162384</v>
      </c>
      <c r="O9" s="186">
        <f t="shared" si="0"/>
        <v>-8194868</v>
      </c>
      <c r="P9" s="182">
        <f t="shared" si="1"/>
        <v>3741891</v>
      </c>
      <c r="Q9" s="48">
        <v>-1756692</v>
      </c>
      <c r="R9" s="48">
        <v>5188303</v>
      </c>
      <c r="AB9" s="2"/>
    </row>
    <row r="10" spans="1:28" ht="15.75" x14ac:dyDescent="0.25">
      <c r="A10" s="3"/>
      <c r="B10" s="49" t="s">
        <v>188</v>
      </c>
      <c r="C10" s="191"/>
      <c r="D10" s="182">
        <v>4831245</v>
      </c>
      <c r="E10" s="48">
        <v>2070588</v>
      </c>
      <c r="F10" s="48">
        <v>1563099</v>
      </c>
      <c r="G10" s="197">
        <f>+'PYG '!S14-'PYG '!S19</f>
        <v>1804105</v>
      </c>
      <c r="H10" s="182">
        <v>7419178</v>
      </c>
      <c r="I10" s="48">
        <v>5721041</v>
      </c>
      <c r="J10" s="48">
        <v>13796936</v>
      </c>
      <c r="K10" s="191">
        <f>+'PYG '!R154</f>
        <v>10909925</v>
      </c>
      <c r="L10" s="189">
        <v>10164486</v>
      </c>
      <c r="M10" s="48">
        <v>8014528</v>
      </c>
      <c r="N10" s="48">
        <v>10155182</v>
      </c>
      <c r="O10" s="186">
        <f t="shared" si="0"/>
        <v>-9105820</v>
      </c>
      <c r="P10" s="182">
        <f t="shared" si="1"/>
        <v>2085937</v>
      </c>
      <c r="Q10" s="48">
        <v>-222899</v>
      </c>
      <c r="R10" s="48">
        <v>5204853</v>
      </c>
      <c r="AB10" s="2"/>
    </row>
    <row r="11" spans="1:28" ht="15.75" x14ac:dyDescent="0.25">
      <c r="A11" s="3"/>
      <c r="B11" s="49" t="s">
        <v>189</v>
      </c>
      <c r="C11" s="191">
        <v>15088775</v>
      </c>
      <c r="D11" s="182">
        <v>2541098</v>
      </c>
      <c r="E11" s="48">
        <v>4186225</v>
      </c>
      <c r="F11" s="48">
        <v>2504537</v>
      </c>
      <c r="G11" s="197">
        <f>+'PYG '!W14-'PYG '!W19</f>
        <v>5883300</v>
      </c>
      <c r="H11" s="182">
        <f>6384494+91</f>
        <v>6384585</v>
      </c>
      <c r="I11" s="48">
        <v>4021740</v>
      </c>
      <c r="J11" s="48">
        <v>6565667</v>
      </c>
      <c r="K11" s="191">
        <f>+'PYG '!V154</f>
        <v>12990071</v>
      </c>
      <c r="L11" s="189">
        <v>8433671</v>
      </c>
      <c r="M11" s="48">
        <v>7385244</v>
      </c>
      <c r="N11" s="48">
        <v>14240736</v>
      </c>
      <c r="O11" s="186">
        <f t="shared" si="0"/>
        <v>7982004</v>
      </c>
      <c r="P11" s="182">
        <f t="shared" si="1"/>
        <v>492012</v>
      </c>
      <c r="Q11" s="48">
        <v>822721</v>
      </c>
      <c r="R11" s="48">
        <v>-5170532</v>
      </c>
      <c r="AB11" s="2"/>
    </row>
    <row r="12" spans="1:28" ht="15.75" x14ac:dyDescent="0.25">
      <c r="A12" s="3"/>
      <c r="B12" s="49" t="s">
        <v>190</v>
      </c>
      <c r="C12" s="191">
        <v>5107405</v>
      </c>
      <c r="D12" s="182">
        <v>2060928</v>
      </c>
      <c r="E12" s="48">
        <v>3502320</v>
      </c>
      <c r="F12" s="48">
        <v>14376812</v>
      </c>
      <c r="G12" s="197">
        <f>+'PYG '!Z14-'PYG '!Z19</f>
        <v>9069381</v>
      </c>
      <c r="H12" s="182">
        <v>4374077</v>
      </c>
      <c r="I12" s="48">
        <v>1959742</v>
      </c>
      <c r="J12" s="48">
        <v>6138041</v>
      </c>
      <c r="K12" s="191">
        <f>+'PYG '!Y154</f>
        <v>11530572</v>
      </c>
      <c r="L12" s="189">
        <v>8752682</v>
      </c>
      <c r="M12" s="48">
        <v>7676064</v>
      </c>
      <c r="N12" s="48">
        <v>10531315</v>
      </c>
      <c r="O12" s="186">
        <f t="shared" si="0"/>
        <v>2646214</v>
      </c>
      <c r="P12" s="182">
        <f t="shared" si="1"/>
        <v>-2317677</v>
      </c>
      <c r="Q12" s="48">
        <v>-2214002</v>
      </c>
      <c r="R12" s="48">
        <v>9983538</v>
      </c>
      <c r="AB12" s="2"/>
    </row>
    <row r="13" spans="1:28" ht="15.75" x14ac:dyDescent="0.25">
      <c r="A13" s="3"/>
      <c r="B13" s="49" t="s">
        <v>191</v>
      </c>
      <c r="C13" s="191">
        <v>4348355</v>
      </c>
      <c r="D13" s="182">
        <v>722060</v>
      </c>
      <c r="E13" s="48">
        <v>13456626</v>
      </c>
      <c r="F13" s="48">
        <v>9843168</v>
      </c>
      <c r="G13" s="197">
        <f>+'PYG '!AD14-'PYG '!AD19</f>
        <v>6862717</v>
      </c>
      <c r="H13" s="182">
        <f>8088407+176</f>
        <v>8088583</v>
      </c>
      <c r="I13" s="48">
        <v>4820282</v>
      </c>
      <c r="J13" s="48">
        <v>5449400</v>
      </c>
      <c r="K13" s="191">
        <f>+'PYG '!AC154</f>
        <v>11013798</v>
      </c>
      <c r="L13" s="189">
        <v>10250005</v>
      </c>
      <c r="M13" s="48">
        <v>9472439</v>
      </c>
      <c r="N13" s="48">
        <v>10083753</v>
      </c>
      <c r="O13" s="186">
        <f t="shared" si="0"/>
        <v>197274</v>
      </c>
      <c r="P13" s="182">
        <f t="shared" si="1"/>
        <v>-1439362</v>
      </c>
      <c r="Q13" s="48">
        <v>8804469</v>
      </c>
      <c r="R13" s="48">
        <v>5208815</v>
      </c>
      <c r="AB13" s="2"/>
    </row>
    <row r="14" spans="1:28" ht="21" x14ac:dyDescent="0.25">
      <c r="A14" s="3"/>
      <c r="B14" s="49" t="s">
        <v>192</v>
      </c>
      <c r="C14" s="191">
        <v>5343486</v>
      </c>
      <c r="D14" s="182">
        <v>1921510</v>
      </c>
      <c r="E14" s="48">
        <v>0</v>
      </c>
      <c r="F14" s="48">
        <v>6807513</v>
      </c>
      <c r="G14" s="198">
        <f>+'PYG '!AH14-'PYG '!AH19</f>
        <v>9114471</v>
      </c>
      <c r="H14" s="182">
        <v>5761435</v>
      </c>
      <c r="I14" s="48">
        <v>6035931</v>
      </c>
      <c r="J14" s="48">
        <v>6941815</v>
      </c>
      <c r="K14" s="191">
        <f>+'PYG '!AG154</f>
        <v>11098718</v>
      </c>
      <c r="L14" s="189">
        <v>12341540.75</v>
      </c>
      <c r="M14" s="48">
        <v>16476675</v>
      </c>
      <c r="N14" s="48">
        <v>13656658</v>
      </c>
      <c r="O14" s="186">
        <f t="shared" si="0"/>
        <v>3359239</v>
      </c>
      <c r="P14" s="182">
        <f t="shared" si="1"/>
        <v>-4658595.75</v>
      </c>
      <c r="Q14" s="48">
        <v>-10440744</v>
      </c>
      <c r="R14" s="48">
        <v>92670</v>
      </c>
      <c r="AB14" s="2"/>
    </row>
    <row r="15" spans="1:28" ht="15.75" x14ac:dyDescent="0.25">
      <c r="A15" s="3"/>
      <c r="B15" s="49" t="s">
        <v>193</v>
      </c>
      <c r="C15" s="191">
        <v>5206920</v>
      </c>
      <c r="D15" s="182">
        <v>1940050</v>
      </c>
      <c r="E15" s="48">
        <f>+'[1]PYG '!AP8</f>
        <v>53036592</v>
      </c>
      <c r="F15" s="48">
        <v>3921439</v>
      </c>
      <c r="G15" s="197">
        <f>+'PYG '!AL14-'PYG '!AL19</f>
        <v>11912109.83</v>
      </c>
      <c r="H15" s="182">
        <v>5903667</v>
      </c>
      <c r="I15" s="48">
        <v>10697305</v>
      </c>
      <c r="J15" s="48">
        <v>5541550</v>
      </c>
      <c r="K15" s="191">
        <f>+'PYG '!AK154</f>
        <v>14559398</v>
      </c>
      <c r="L15" s="189">
        <v>13788360.75</v>
      </c>
      <c r="M15" s="48">
        <v>10699836</v>
      </c>
      <c r="N15" s="48">
        <v>12463405</v>
      </c>
      <c r="O15" s="186">
        <f t="shared" si="0"/>
        <v>2559631.8299999982</v>
      </c>
      <c r="P15" s="182">
        <f t="shared" si="1"/>
        <v>-5944643.75</v>
      </c>
      <c r="Q15" s="48">
        <v>4755101</v>
      </c>
      <c r="R15" s="48">
        <v>-3000416</v>
      </c>
      <c r="AB15" s="2"/>
    </row>
    <row r="16" spans="1:28" ht="21" x14ac:dyDescent="0.25">
      <c r="A16" s="3"/>
      <c r="B16" s="49" t="s">
        <v>194</v>
      </c>
      <c r="C16" s="191">
        <v>4539945</v>
      </c>
      <c r="D16" s="182">
        <v>6096979</v>
      </c>
      <c r="E16" s="48">
        <f>+'[1]PYG '!AT8</f>
        <v>58092377</v>
      </c>
      <c r="F16" s="48">
        <v>2545390</v>
      </c>
      <c r="G16" s="191">
        <f>+'PYG '!AP22+'PYG '!AP24+'PYG '!AP15</f>
        <v>9403633</v>
      </c>
      <c r="H16" s="182">
        <v>6953987</v>
      </c>
      <c r="I16" s="48">
        <v>7259988</v>
      </c>
      <c r="J16" s="48">
        <v>6901480</v>
      </c>
      <c r="K16" s="191">
        <f>+'PYG '!AO154</f>
        <v>15548745</v>
      </c>
      <c r="L16" s="189">
        <v>12146150.75</v>
      </c>
      <c r="M16" s="48">
        <v>12696365</v>
      </c>
      <c r="N16" s="48">
        <v>13179987</v>
      </c>
      <c r="O16" s="186">
        <f>+C16+G16-K16</f>
        <v>-1605167</v>
      </c>
      <c r="P16" s="182">
        <f t="shared" si="1"/>
        <v>904815.25</v>
      </c>
      <c r="Q16" s="48">
        <v>-380592</v>
      </c>
      <c r="R16" s="48">
        <v>-3733117</v>
      </c>
      <c r="AB16" s="2"/>
    </row>
    <row r="17" spans="1:28" ht="15.75" x14ac:dyDescent="0.25">
      <c r="A17" s="3"/>
      <c r="B17" s="49" t="s">
        <v>195</v>
      </c>
      <c r="C17" s="191">
        <v>5671900</v>
      </c>
      <c r="D17" s="182">
        <v>10802895</v>
      </c>
      <c r="E17" s="48">
        <f>+'[1]PYG '!AX8</f>
        <v>63938027</v>
      </c>
      <c r="F17" s="51">
        <v>68513641</v>
      </c>
      <c r="G17" s="199">
        <f>+'PYG '!AT22+'PYG '!AT15+'PYG '!AT24</f>
        <v>11129725</v>
      </c>
      <c r="H17" s="196">
        <v>3580427</v>
      </c>
      <c r="I17" s="48">
        <v>8230584</v>
      </c>
      <c r="J17" s="51">
        <v>7106144</v>
      </c>
      <c r="K17" s="191">
        <f>+'PYG '!AS154</f>
        <v>12796951</v>
      </c>
      <c r="L17" s="189">
        <v>9554095.75</v>
      </c>
      <c r="M17" s="48">
        <v>8852048</v>
      </c>
      <c r="N17" s="48">
        <v>27294325</v>
      </c>
      <c r="O17" s="186">
        <f t="shared" si="0"/>
        <v>4004674</v>
      </c>
      <c r="P17" s="182">
        <f t="shared" si="1"/>
        <v>4829226.25</v>
      </c>
      <c r="Q17" s="48">
        <v>5224186</v>
      </c>
      <c r="R17" s="48">
        <v>48325460</v>
      </c>
      <c r="AB17" s="2"/>
    </row>
    <row r="18" spans="1:28" ht="16.5" thickBot="1" x14ac:dyDescent="0.3">
      <c r="A18" s="3"/>
      <c r="B18" s="50"/>
      <c r="C18" s="182"/>
      <c r="D18" s="182"/>
      <c r="E18" s="80"/>
      <c r="F18" s="48"/>
      <c r="G18" s="48"/>
      <c r="H18" s="182"/>
      <c r="I18" s="48"/>
      <c r="J18" s="48"/>
      <c r="K18" s="191"/>
      <c r="L18" s="182"/>
      <c r="M18" s="48"/>
      <c r="N18" s="48"/>
      <c r="O18" s="187"/>
      <c r="P18" s="183"/>
      <c r="Q18" s="48"/>
      <c r="R18" s="48"/>
      <c r="AB18" s="2"/>
    </row>
    <row r="19" spans="1:28" ht="16.5" thickBot="1" x14ac:dyDescent="0.3">
      <c r="A19" s="3"/>
      <c r="B19" s="52" t="s">
        <v>183</v>
      </c>
      <c r="C19" s="80">
        <f t="shared" ref="C19:R19" si="2">SUM(C6:C18)</f>
        <v>75063876</v>
      </c>
      <c r="D19" s="80">
        <f>SUM(D6:D18)</f>
        <v>55860584</v>
      </c>
      <c r="E19" s="80">
        <f t="shared" si="2"/>
        <v>219707355</v>
      </c>
      <c r="F19" s="80">
        <f t="shared" si="2"/>
        <v>126904551</v>
      </c>
      <c r="G19" s="80">
        <f t="shared" si="2"/>
        <v>83661325.829999998</v>
      </c>
      <c r="H19" s="80">
        <f t="shared" si="2"/>
        <v>74569850</v>
      </c>
      <c r="I19" s="80">
        <f t="shared" si="2"/>
        <v>74193174</v>
      </c>
      <c r="J19" s="80">
        <f t="shared" si="2"/>
        <v>81126868</v>
      </c>
      <c r="K19" s="192">
        <f t="shared" si="2"/>
        <v>144259568</v>
      </c>
      <c r="L19" s="80">
        <f t="shared" si="2"/>
        <v>120895746</v>
      </c>
      <c r="M19" s="80">
        <f t="shared" si="2"/>
        <v>116304228</v>
      </c>
      <c r="N19" s="114">
        <f t="shared" si="2"/>
        <v>145686174</v>
      </c>
      <c r="O19" s="188">
        <f t="shared" si="2"/>
        <v>14465633.829999998</v>
      </c>
      <c r="P19" s="184">
        <f t="shared" si="2"/>
        <v>9534688</v>
      </c>
      <c r="Q19" s="80">
        <f t="shared" si="2"/>
        <v>18188372</v>
      </c>
      <c r="R19" s="80">
        <f t="shared" si="2"/>
        <v>62345245</v>
      </c>
      <c r="AB19" s="2"/>
    </row>
    <row r="20" spans="1:28" x14ac:dyDescent="0.2">
      <c r="A20" s="3"/>
      <c r="D20" s="87"/>
      <c r="AB20" s="2"/>
    </row>
    <row r="21" spans="1:28" x14ac:dyDescent="0.2">
      <c r="A21" s="3"/>
      <c r="C21" s="87"/>
      <c r="D21" s="87"/>
      <c r="E21" s="87"/>
      <c r="F21" s="87"/>
      <c r="G21" s="87"/>
      <c r="L21" s="87"/>
      <c r="AB21" s="2"/>
    </row>
    <row r="22" spans="1:28" ht="15" x14ac:dyDescent="0.25">
      <c r="A22" s="3"/>
      <c r="D22" s="87"/>
      <c r="E22" s="53"/>
      <c r="F22" s="53"/>
      <c r="G22" s="53"/>
      <c r="H22" s="53"/>
      <c r="P22" s="87"/>
      <c r="AB22" s="2"/>
    </row>
    <row r="23" spans="1:28" ht="15.75" x14ac:dyDescent="0.25">
      <c r="A23" s="3"/>
      <c r="C23" s="87"/>
      <c r="D23" s="165"/>
      <c r="E23" s="53"/>
      <c r="F23" s="53"/>
      <c r="G23" s="53"/>
      <c r="H23" s="53"/>
      <c r="AB23" s="2"/>
    </row>
    <row r="24" spans="1:28" ht="15.75" x14ac:dyDescent="0.25">
      <c r="A24" s="3"/>
      <c r="D24" s="165"/>
      <c r="E24" s="53"/>
      <c r="F24" s="53"/>
      <c r="G24" s="53"/>
      <c r="H24" s="53"/>
      <c r="AB24" s="2"/>
    </row>
    <row r="25" spans="1:28" ht="15.75" x14ac:dyDescent="0.25">
      <c r="A25" s="3"/>
      <c r="D25" s="165"/>
      <c r="E25" s="53"/>
      <c r="F25" s="53"/>
      <c r="G25" s="53"/>
      <c r="H25" s="53"/>
      <c r="AB25" s="2"/>
    </row>
    <row r="26" spans="1:28" ht="15.75" x14ac:dyDescent="0.25">
      <c r="A26" s="3"/>
      <c r="D26" s="165"/>
      <c r="AB26" s="2"/>
    </row>
    <row r="27" spans="1:28" ht="15.75" x14ac:dyDescent="0.25">
      <c r="A27" s="3"/>
      <c r="D27" s="165"/>
      <c r="AB27" s="2"/>
    </row>
    <row r="28" spans="1:28" ht="15.75" x14ac:dyDescent="0.25">
      <c r="A28" s="3"/>
      <c r="D28" s="165"/>
      <c r="AB28" s="2"/>
    </row>
    <row r="29" spans="1:28" ht="15.75" x14ac:dyDescent="0.25">
      <c r="A29" s="3"/>
      <c r="D29" s="165"/>
      <c r="AB29" s="2"/>
    </row>
    <row r="30" spans="1:28" ht="15.75" x14ac:dyDescent="0.25">
      <c r="A30" s="3"/>
      <c r="D30" s="165"/>
      <c r="AB30" s="2"/>
    </row>
    <row r="31" spans="1:28" ht="15.75" x14ac:dyDescent="0.25">
      <c r="A31" s="3"/>
      <c r="D31" s="165"/>
      <c r="AB31" s="2"/>
    </row>
    <row r="32" spans="1:28" ht="15.75" x14ac:dyDescent="0.25">
      <c r="A32" s="3"/>
      <c r="D32" s="165"/>
      <c r="AB32" s="2"/>
    </row>
    <row r="33" spans="1:28" x14ac:dyDescent="0.2">
      <c r="A33" s="3"/>
      <c r="AB33" s="2"/>
    </row>
    <row r="34" spans="1:28" x14ac:dyDescent="0.2">
      <c r="A34" s="3"/>
      <c r="AB34" s="2"/>
    </row>
    <row r="35" spans="1:28" x14ac:dyDescent="0.2">
      <c r="A35" s="3"/>
      <c r="AB35" s="2"/>
    </row>
    <row r="36" spans="1:28" x14ac:dyDescent="0.2">
      <c r="A36" s="3"/>
      <c r="AB36" s="2"/>
    </row>
    <row r="37" spans="1:28" x14ac:dyDescent="0.2">
      <c r="A37" s="3"/>
      <c r="AB37" s="2"/>
    </row>
    <row r="38" spans="1:28" x14ac:dyDescent="0.2">
      <c r="A38" s="3"/>
      <c r="AB38" s="2"/>
    </row>
    <row r="39" spans="1:28" x14ac:dyDescent="0.2">
      <c r="A39" s="3"/>
      <c r="AB39" s="2"/>
    </row>
    <row r="40" spans="1:28" ht="13.5" thickBot="1" x14ac:dyDescent="0.25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</row>
    <row r="43" spans="1:28" ht="13.5" thickBot="1" x14ac:dyDescent="0.25"/>
    <row r="44" spans="1:28" ht="21" x14ac:dyDescent="0.2">
      <c r="B44" s="57" t="s">
        <v>176</v>
      </c>
      <c r="C44" s="58" t="s">
        <v>391</v>
      </c>
      <c r="D44" s="58" t="s">
        <v>199</v>
      </c>
      <c r="E44" s="58" t="s">
        <v>177</v>
      </c>
      <c r="F44" s="59" t="s">
        <v>178</v>
      </c>
      <c r="G44" s="81"/>
      <c r="H44" s="81"/>
    </row>
    <row r="45" spans="1:28" ht="15.75" x14ac:dyDescent="0.25">
      <c r="B45" s="49" t="s">
        <v>184</v>
      </c>
      <c r="C45" s="48">
        <v>9772741</v>
      </c>
      <c r="D45" s="60">
        <v>5232922</v>
      </c>
      <c r="E45" s="48">
        <v>20519674</v>
      </c>
      <c r="F45" s="48">
        <f>522963+299991+2769114+199640+276690</f>
        <v>4068398</v>
      </c>
      <c r="G45" s="165"/>
      <c r="H45" s="82"/>
    </row>
    <row r="46" spans="1:28" ht="15.75" x14ac:dyDescent="0.25">
      <c r="B46" s="49" t="s">
        <v>185</v>
      </c>
      <c r="C46" s="48">
        <v>8662267</v>
      </c>
      <c r="D46" s="60">
        <v>6735984</v>
      </c>
      <c r="E46" s="48">
        <v>347610</v>
      </c>
      <c r="F46" s="48">
        <f>34155+356641+30000+185495+199640+2769114+52440+124200+30000</f>
        <v>3781685</v>
      </c>
      <c r="G46" s="165"/>
      <c r="H46" s="82"/>
    </row>
    <row r="47" spans="1:28" ht="15.75" x14ac:dyDescent="0.25">
      <c r="B47" s="49" t="s">
        <v>186</v>
      </c>
      <c r="C47" s="48">
        <v>11213082</v>
      </c>
      <c r="D47" s="60">
        <v>4072345</v>
      </c>
      <c r="E47" s="48">
        <f>245268+260</f>
        <v>245528</v>
      </c>
      <c r="F47" s="48">
        <f>2501135+199640+393580+80730+29750+34510+25000</f>
        <v>3264345</v>
      </c>
      <c r="G47" s="165"/>
      <c r="H47" s="82"/>
    </row>
    <row r="48" spans="1:28" ht="15.75" x14ac:dyDescent="0.25">
      <c r="B48" s="49" t="s">
        <v>187</v>
      </c>
      <c r="C48" s="48">
        <v>109000</v>
      </c>
      <c r="D48" s="60">
        <v>8902568</v>
      </c>
      <c r="E48" s="48">
        <f>44268+102185+80587+29750+50000+4998</f>
        <v>311788</v>
      </c>
      <c r="F48" s="48">
        <f>2769114+199640+549053+161460+430560+90000+267950+437283+714714+17250+40000+37500</f>
        <v>5714524</v>
      </c>
      <c r="G48" s="165"/>
      <c r="H48" s="82"/>
    </row>
    <row r="49" spans="2:8" ht="15.75" x14ac:dyDescent="0.25">
      <c r="B49" s="49" t="s">
        <v>188</v>
      </c>
      <c r="C49" s="48"/>
      <c r="D49" s="60">
        <v>4831245</v>
      </c>
      <c r="E49" s="48">
        <v>2070588</v>
      </c>
      <c r="F49" s="48">
        <v>1563099</v>
      </c>
      <c r="G49" s="165"/>
      <c r="H49" s="82"/>
    </row>
    <row r="50" spans="2:8" ht="15.75" x14ac:dyDescent="0.25">
      <c r="B50" s="49" t="s">
        <v>189</v>
      </c>
      <c r="C50" s="48">
        <v>15088775</v>
      </c>
      <c r="D50" s="60">
        <v>2541098</v>
      </c>
      <c r="E50" s="48">
        <v>4186225</v>
      </c>
      <c r="F50" s="48">
        <v>2504537</v>
      </c>
      <c r="G50" s="165"/>
      <c r="H50" s="82"/>
    </row>
    <row r="51" spans="2:8" ht="15.75" x14ac:dyDescent="0.25">
      <c r="B51" s="49" t="s">
        <v>190</v>
      </c>
      <c r="C51" s="48">
        <v>5107405</v>
      </c>
      <c r="D51" s="60">
        <v>2060928</v>
      </c>
      <c r="E51" s="48">
        <v>3502320</v>
      </c>
      <c r="F51" s="48">
        <v>14376812</v>
      </c>
      <c r="G51" s="165"/>
      <c r="H51" s="82"/>
    </row>
    <row r="52" spans="2:8" ht="15.75" x14ac:dyDescent="0.25">
      <c r="B52" s="49" t="s">
        <v>191</v>
      </c>
      <c r="C52" s="48">
        <v>4348355</v>
      </c>
      <c r="D52" s="60">
        <v>722060</v>
      </c>
      <c r="E52" s="48">
        <v>13456626</v>
      </c>
      <c r="F52" s="48">
        <v>9843168</v>
      </c>
      <c r="G52" s="165"/>
      <c r="H52" s="82"/>
    </row>
    <row r="53" spans="2:8" ht="21" x14ac:dyDescent="0.25">
      <c r="B53" s="49" t="s">
        <v>192</v>
      </c>
      <c r="C53" s="48">
        <v>5343486</v>
      </c>
      <c r="D53" s="60">
        <v>1921510</v>
      </c>
      <c r="E53" s="48">
        <v>0</v>
      </c>
      <c r="F53" s="48">
        <v>6807513</v>
      </c>
      <c r="G53" s="165"/>
      <c r="H53" s="82"/>
    </row>
    <row r="54" spans="2:8" ht="15.75" x14ac:dyDescent="0.25">
      <c r="B54" s="49" t="s">
        <v>193</v>
      </c>
      <c r="C54" s="48">
        <v>5206920</v>
      </c>
      <c r="D54" s="60">
        <v>1940050</v>
      </c>
      <c r="E54" s="48">
        <f>+'[1]PYG '!AP47</f>
        <v>11000000</v>
      </c>
      <c r="F54" s="48">
        <v>3921439</v>
      </c>
      <c r="G54" s="165"/>
      <c r="H54" s="82"/>
    </row>
    <row r="55" spans="2:8" ht="21" x14ac:dyDescent="0.25">
      <c r="B55" s="49" t="s">
        <v>194</v>
      </c>
      <c r="C55" s="48">
        <v>4539945</v>
      </c>
      <c r="D55" s="60">
        <v>6096979</v>
      </c>
      <c r="E55" s="48">
        <f>+'[1]PYG '!AT47</f>
        <v>12000000</v>
      </c>
      <c r="F55" s="48">
        <v>2545390</v>
      </c>
      <c r="G55" s="165"/>
      <c r="H55" s="82"/>
    </row>
    <row r="56" spans="2:8" ht="15.75" x14ac:dyDescent="0.25">
      <c r="B56" s="49" t="s">
        <v>195</v>
      </c>
      <c r="C56" s="48">
        <v>5671900</v>
      </c>
      <c r="D56" s="60">
        <v>10802895</v>
      </c>
      <c r="E56" s="48">
        <f>+'[1]PYG '!AX47</f>
        <v>13000000</v>
      </c>
      <c r="F56" s="51">
        <v>68513641</v>
      </c>
      <c r="G56" s="166"/>
      <c r="H56" s="82"/>
    </row>
    <row r="57" spans="2:8" ht="15" x14ac:dyDescent="0.25">
      <c r="B57" s="49"/>
      <c r="C57" s="164"/>
      <c r="D57" s="76"/>
      <c r="E57" s="60"/>
      <c r="F57" s="61"/>
      <c r="G57" s="82"/>
      <c r="H57" s="82"/>
    </row>
    <row r="58" spans="2:8" ht="13.5" thickBot="1" x14ac:dyDescent="0.25">
      <c r="B58" s="52" t="s">
        <v>183</v>
      </c>
      <c r="C58" s="62">
        <f>SUM(C45:C57)</f>
        <v>75063876</v>
      </c>
      <c r="D58" s="62">
        <f>SUM(D45:D57)</f>
        <v>55860584</v>
      </c>
      <c r="E58" s="62">
        <f>SUM(E45:E57)</f>
        <v>80640359</v>
      </c>
      <c r="F58" s="63">
        <f>SUM(F45:F57)</f>
        <v>126904551</v>
      </c>
      <c r="G58" s="83"/>
      <c r="H58" s="83"/>
    </row>
    <row r="69" spans="2:12" ht="13.5" thickBot="1" x14ac:dyDescent="0.25"/>
    <row r="70" spans="2:12" ht="21" x14ac:dyDescent="0.2">
      <c r="B70" s="57" t="s">
        <v>176</v>
      </c>
      <c r="C70" s="57" t="s">
        <v>392</v>
      </c>
      <c r="D70" s="57" t="s">
        <v>200</v>
      </c>
      <c r="E70" s="57" t="s">
        <v>179</v>
      </c>
      <c r="F70" s="59" t="s">
        <v>180</v>
      </c>
      <c r="G70" s="81"/>
      <c r="H70" s="81"/>
      <c r="I70" s="64"/>
      <c r="J70" s="64"/>
      <c r="K70" s="64"/>
      <c r="L70" s="64"/>
    </row>
    <row r="71" spans="2:12" ht="15.75" x14ac:dyDescent="0.25">
      <c r="B71" s="49" t="s">
        <v>184</v>
      </c>
      <c r="C71" s="65">
        <v>4656136</v>
      </c>
      <c r="D71" s="60">
        <v>7998115</v>
      </c>
      <c r="E71" s="65">
        <v>5489862</v>
      </c>
      <c r="F71" s="65">
        <v>3111549</v>
      </c>
      <c r="G71" s="84"/>
      <c r="H71" s="84"/>
      <c r="I71" s="66"/>
      <c r="J71" s="67"/>
      <c r="K71" s="67"/>
      <c r="L71" s="67"/>
    </row>
    <row r="72" spans="2:12" ht="15.75" x14ac:dyDescent="0.25">
      <c r="B72" s="49" t="s">
        <v>185</v>
      </c>
      <c r="C72" s="65">
        <v>7804429</v>
      </c>
      <c r="D72" s="65">
        <v>4974355</v>
      </c>
      <c r="E72" s="65">
        <v>7374328</v>
      </c>
      <c r="F72" s="65">
        <v>8157506</v>
      </c>
      <c r="G72" s="84"/>
      <c r="H72" s="84"/>
      <c r="I72" s="66"/>
      <c r="J72" s="67"/>
      <c r="K72" s="67"/>
      <c r="L72" s="67"/>
    </row>
    <row r="73" spans="2:12" ht="15.75" x14ac:dyDescent="0.25">
      <c r="B73" s="49" t="s">
        <v>186</v>
      </c>
      <c r="C73" s="65">
        <v>5900305</v>
      </c>
      <c r="D73" s="65">
        <v>7130437</v>
      </c>
      <c r="E73" s="65">
        <v>5439456</v>
      </c>
      <c r="F73" s="65">
        <v>5780617</v>
      </c>
      <c r="G73" s="84"/>
      <c r="H73" s="84"/>
      <c r="I73" s="66"/>
      <c r="J73" s="67"/>
      <c r="K73" s="67"/>
      <c r="L73" s="67"/>
    </row>
    <row r="74" spans="2:12" ht="15.75" x14ac:dyDescent="0.25">
      <c r="B74" s="49" t="s">
        <v>187</v>
      </c>
      <c r="C74" s="65">
        <v>121014</v>
      </c>
      <c r="D74" s="65">
        <v>6001004</v>
      </c>
      <c r="E74" s="65">
        <v>7142915</v>
      </c>
      <c r="F74" s="65">
        <v>5636163</v>
      </c>
      <c r="G74" s="84"/>
      <c r="H74" s="84"/>
      <c r="I74" s="66"/>
      <c r="J74" s="67"/>
      <c r="K74" s="67"/>
      <c r="L74" s="67"/>
    </row>
    <row r="75" spans="2:12" ht="15.75" x14ac:dyDescent="0.25">
      <c r="B75" s="49" t="s">
        <v>188</v>
      </c>
      <c r="C75" s="65">
        <v>1804105</v>
      </c>
      <c r="D75" s="65">
        <v>7419178</v>
      </c>
      <c r="E75" s="65">
        <v>5721041</v>
      </c>
      <c r="F75" s="65">
        <v>13796936</v>
      </c>
      <c r="G75" s="84"/>
      <c r="H75" s="84"/>
      <c r="I75" s="66"/>
      <c r="J75" s="67"/>
      <c r="K75" s="67"/>
      <c r="L75" s="67"/>
    </row>
    <row r="76" spans="2:12" ht="15.75" x14ac:dyDescent="0.25">
      <c r="B76" s="49" t="s">
        <v>189</v>
      </c>
      <c r="C76" s="65">
        <v>5883300</v>
      </c>
      <c r="D76" s="65">
        <v>6384585</v>
      </c>
      <c r="E76" s="65">
        <v>4021740</v>
      </c>
      <c r="F76" s="65">
        <v>6565667</v>
      </c>
      <c r="G76" s="84"/>
      <c r="H76" s="84"/>
      <c r="I76" s="66"/>
      <c r="J76" s="67"/>
      <c r="K76" s="67"/>
      <c r="L76" s="67"/>
    </row>
    <row r="77" spans="2:12" ht="15.75" x14ac:dyDescent="0.25">
      <c r="B77" s="49" t="s">
        <v>190</v>
      </c>
      <c r="C77" s="65">
        <v>9069381</v>
      </c>
      <c r="D77" s="65">
        <v>4374077</v>
      </c>
      <c r="E77" s="65">
        <v>1959742</v>
      </c>
      <c r="F77" s="65">
        <v>6138041</v>
      </c>
      <c r="G77" s="84"/>
      <c r="H77" s="84"/>
      <c r="I77" s="66"/>
      <c r="J77" s="67"/>
      <c r="K77" s="67"/>
      <c r="L77" s="67"/>
    </row>
    <row r="78" spans="2:12" ht="15.75" x14ac:dyDescent="0.25">
      <c r="B78" s="49" t="s">
        <v>191</v>
      </c>
      <c r="C78" s="65">
        <v>6862717</v>
      </c>
      <c r="D78" s="65">
        <v>8088583</v>
      </c>
      <c r="E78" s="65">
        <v>4820282</v>
      </c>
      <c r="F78" s="65">
        <v>5449400</v>
      </c>
      <c r="G78" s="84"/>
      <c r="H78" s="84"/>
      <c r="I78" s="66"/>
      <c r="J78" s="67"/>
      <c r="K78" s="67"/>
      <c r="L78" s="67"/>
    </row>
    <row r="79" spans="2:12" ht="21" x14ac:dyDescent="0.25">
      <c r="B79" s="50" t="s">
        <v>192</v>
      </c>
      <c r="C79" s="65">
        <v>9114471</v>
      </c>
      <c r="D79" s="65">
        <v>5761435</v>
      </c>
      <c r="E79" s="68">
        <v>6035931</v>
      </c>
      <c r="F79" s="69">
        <v>6941815</v>
      </c>
      <c r="G79" s="84"/>
      <c r="H79" s="84"/>
      <c r="I79" s="66"/>
      <c r="J79" s="67"/>
      <c r="K79" s="67"/>
      <c r="L79" s="67"/>
    </row>
    <row r="80" spans="2:12" ht="15.75" x14ac:dyDescent="0.25">
      <c r="B80" s="50" t="s">
        <v>193</v>
      </c>
      <c r="C80" s="65">
        <v>11912109.83</v>
      </c>
      <c r="D80" s="65">
        <v>5903667</v>
      </c>
      <c r="E80" s="68">
        <v>10697305</v>
      </c>
      <c r="F80" s="69">
        <v>5541550</v>
      </c>
      <c r="G80" s="84"/>
      <c r="H80" s="84"/>
      <c r="I80" s="66"/>
      <c r="J80" s="67"/>
      <c r="K80" s="67"/>
      <c r="L80" s="67"/>
    </row>
    <row r="81" spans="2:12" ht="21" x14ac:dyDescent="0.25">
      <c r="B81" s="50" t="s">
        <v>194</v>
      </c>
      <c r="C81" s="65">
        <v>9403633</v>
      </c>
      <c r="D81" s="65">
        <v>6953987</v>
      </c>
      <c r="E81" s="68">
        <v>7259988</v>
      </c>
      <c r="F81" s="69">
        <v>6901480</v>
      </c>
      <c r="G81" s="84"/>
      <c r="H81" s="84"/>
      <c r="I81" s="66"/>
      <c r="J81" s="67"/>
      <c r="K81" s="67"/>
      <c r="L81" s="67"/>
    </row>
    <row r="82" spans="2:12" ht="15.75" x14ac:dyDescent="0.25">
      <c r="B82" s="50" t="s">
        <v>196</v>
      </c>
      <c r="C82" s="65">
        <v>11129725</v>
      </c>
      <c r="D82" s="65">
        <v>3580427</v>
      </c>
      <c r="E82" s="70">
        <v>8230584</v>
      </c>
      <c r="F82" s="71">
        <v>7106144</v>
      </c>
      <c r="G82" s="84"/>
      <c r="H82" s="84"/>
      <c r="I82" s="66"/>
      <c r="J82" s="67"/>
      <c r="K82" s="67"/>
      <c r="L82" s="67"/>
    </row>
    <row r="83" spans="2:12" ht="13.5" thickBot="1" x14ac:dyDescent="0.25">
      <c r="B83" s="52" t="s">
        <v>183</v>
      </c>
      <c r="C83" s="72">
        <f>SUM(C71:C82)</f>
        <v>83661325.829999998</v>
      </c>
      <c r="D83" s="72">
        <f>SUM(D71:D82)</f>
        <v>74569850</v>
      </c>
      <c r="E83" s="72">
        <f>SUM(E71:E82)</f>
        <v>74193174</v>
      </c>
      <c r="F83" s="72">
        <f>SUM(F71:F82)</f>
        <v>81126868</v>
      </c>
      <c r="G83" s="85"/>
      <c r="H83" s="85"/>
      <c r="I83" s="73"/>
      <c r="J83" s="73"/>
      <c r="K83" s="73"/>
      <c r="L83" s="73"/>
    </row>
    <row r="101" spans="2:18" ht="13.5" thickBot="1" x14ac:dyDescent="0.25"/>
    <row r="102" spans="2:18" x14ac:dyDescent="0.2">
      <c r="B102" s="57" t="s">
        <v>176</v>
      </c>
      <c r="C102" s="58" t="s">
        <v>395</v>
      </c>
      <c r="D102" s="58" t="s">
        <v>201</v>
      </c>
      <c r="E102" s="58" t="s">
        <v>181</v>
      </c>
      <c r="F102" s="59" t="s">
        <v>182</v>
      </c>
      <c r="G102" s="81"/>
      <c r="H102" s="81"/>
      <c r="I102" s="64"/>
      <c r="J102" s="64"/>
      <c r="K102" s="64"/>
      <c r="L102" s="64"/>
      <c r="M102" s="64"/>
      <c r="N102" s="64"/>
      <c r="O102" s="64"/>
      <c r="P102" s="64"/>
      <c r="Q102" s="64"/>
      <c r="R102" s="64"/>
    </row>
    <row r="103" spans="2:18" ht="15.75" x14ac:dyDescent="0.25">
      <c r="B103" s="49" t="s">
        <v>184</v>
      </c>
      <c r="C103" s="60">
        <v>11183760</v>
      </c>
      <c r="D103" s="60">
        <v>8192569</v>
      </c>
      <c r="E103" s="74">
        <v>7055307</v>
      </c>
      <c r="F103" s="74">
        <v>10452832</v>
      </c>
      <c r="G103" s="75"/>
      <c r="H103" s="75"/>
      <c r="I103" s="66"/>
      <c r="J103" s="67"/>
      <c r="K103" s="67"/>
      <c r="L103" s="67"/>
      <c r="M103" s="7"/>
      <c r="N103" s="7"/>
      <c r="O103" s="7"/>
      <c r="P103" s="7"/>
      <c r="Q103" s="7"/>
      <c r="R103" s="7"/>
    </row>
    <row r="104" spans="2:18" ht="15.75" x14ac:dyDescent="0.25">
      <c r="B104" s="49" t="s">
        <v>185</v>
      </c>
      <c r="C104" s="60">
        <v>13337610</v>
      </c>
      <c r="D104" s="60">
        <v>8084721</v>
      </c>
      <c r="E104" s="74">
        <v>8975623</v>
      </c>
      <c r="F104" s="74">
        <v>8843670</v>
      </c>
      <c r="G104" s="75"/>
      <c r="H104" s="75"/>
      <c r="I104" s="66"/>
      <c r="J104" s="67"/>
      <c r="K104" s="67"/>
      <c r="L104" s="67"/>
      <c r="M104" s="7"/>
      <c r="N104" s="7"/>
      <c r="O104" s="7"/>
      <c r="P104" s="7"/>
      <c r="Q104" s="7"/>
      <c r="R104" s="7"/>
    </row>
    <row r="105" spans="2:18" ht="15.75" x14ac:dyDescent="0.25">
      <c r="B105" s="49" t="s">
        <v>186</v>
      </c>
      <c r="C105" s="60">
        <v>10865138</v>
      </c>
      <c r="D105" s="60">
        <v>8025783</v>
      </c>
      <c r="E105" s="74">
        <v>9788704</v>
      </c>
      <c r="F105" s="74">
        <v>8621927</v>
      </c>
      <c r="G105" s="75"/>
      <c r="H105" s="75"/>
      <c r="I105" s="66"/>
      <c r="J105" s="67"/>
      <c r="K105" s="67"/>
      <c r="L105" s="67"/>
      <c r="M105" s="7"/>
      <c r="N105" s="7"/>
      <c r="O105" s="7"/>
      <c r="P105" s="7"/>
      <c r="Q105" s="7"/>
      <c r="R105" s="7"/>
    </row>
    <row r="106" spans="2:18" ht="15.75" x14ac:dyDescent="0.25">
      <c r="B106" s="49" t="s">
        <v>187</v>
      </c>
      <c r="C106" s="60">
        <v>8424882</v>
      </c>
      <c r="D106" s="60">
        <v>11161681</v>
      </c>
      <c r="E106" s="60">
        <v>9211395</v>
      </c>
      <c r="F106" s="60">
        <v>6162384</v>
      </c>
      <c r="G106" s="82"/>
      <c r="H106" s="75"/>
      <c r="I106" s="66"/>
      <c r="J106" s="67"/>
      <c r="K106" s="67"/>
      <c r="L106" s="67"/>
      <c r="M106" s="7"/>
      <c r="N106" s="7"/>
      <c r="O106" s="7"/>
      <c r="P106" s="7"/>
      <c r="Q106" s="7"/>
      <c r="R106" s="7"/>
    </row>
    <row r="107" spans="2:18" ht="15.75" x14ac:dyDescent="0.25">
      <c r="B107" s="49" t="s">
        <v>188</v>
      </c>
      <c r="C107" s="60">
        <v>10909925</v>
      </c>
      <c r="D107" s="60">
        <v>10164486</v>
      </c>
      <c r="E107" s="60">
        <v>8014528</v>
      </c>
      <c r="F107" s="60">
        <v>10155182</v>
      </c>
      <c r="G107" s="82"/>
      <c r="H107" s="75"/>
      <c r="I107" s="66"/>
      <c r="J107" s="67"/>
      <c r="K107" s="67"/>
      <c r="L107" s="67"/>
      <c r="M107" s="7"/>
      <c r="N107" s="7"/>
      <c r="O107" s="7"/>
      <c r="P107" s="7"/>
      <c r="Q107" s="7"/>
      <c r="R107" s="7"/>
    </row>
    <row r="108" spans="2:18" ht="15.75" x14ac:dyDescent="0.25">
      <c r="B108" s="49" t="s">
        <v>189</v>
      </c>
      <c r="C108" s="60">
        <v>12990071</v>
      </c>
      <c r="D108" s="60">
        <v>8433671</v>
      </c>
      <c r="E108" s="60">
        <v>7385244</v>
      </c>
      <c r="F108" s="60">
        <v>14240736</v>
      </c>
      <c r="G108" s="82"/>
      <c r="H108" s="75"/>
      <c r="I108" s="66"/>
      <c r="J108" s="67"/>
      <c r="K108" s="67"/>
      <c r="L108" s="67"/>
      <c r="M108" s="7"/>
      <c r="N108" s="7"/>
      <c r="O108" s="7"/>
      <c r="P108" s="7"/>
      <c r="Q108" s="7"/>
      <c r="R108" s="7"/>
    </row>
    <row r="109" spans="2:18" ht="15.75" x14ac:dyDescent="0.25">
      <c r="B109" s="49" t="s">
        <v>190</v>
      </c>
      <c r="C109" s="60">
        <v>11530572</v>
      </c>
      <c r="D109" s="60">
        <v>8752682</v>
      </c>
      <c r="E109" s="60">
        <v>7676064</v>
      </c>
      <c r="F109" s="60">
        <v>10531315</v>
      </c>
      <c r="G109" s="82"/>
      <c r="H109" s="75"/>
      <c r="I109" s="66"/>
      <c r="J109" s="67"/>
      <c r="K109" s="67"/>
      <c r="L109" s="67"/>
      <c r="M109" s="7"/>
      <c r="N109" s="7"/>
      <c r="O109" s="7"/>
      <c r="P109" s="7"/>
      <c r="Q109" s="7"/>
      <c r="R109" s="7"/>
    </row>
    <row r="110" spans="2:18" ht="15.75" x14ac:dyDescent="0.25">
      <c r="B110" s="49" t="s">
        <v>191</v>
      </c>
      <c r="C110" s="60">
        <v>11013798</v>
      </c>
      <c r="D110" s="60">
        <v>10250005</v>
      </c>
      <c r="E110" s="60">
        <v>9472439</v>
      </c>
      <c r="F110" s="60">
        <v>10083753</v>
      </c>
      <c r="G110" s="82"/>
      <c r="H110" s="75"/>
      <c r="I110" s="66"/>
      <c r="J110" s="67"/>
      <c r="K110" s="67"/>
      <c r="L110" s="67"/>
      <c r="M110" s="7"/>
      <c r="N110" s="7"/>
      <c r="O110" s="7"/>
      <c r="P110" s="7"/>
      <c r="Q110" s="7"/>
      <c r="R110" s="7"/>
    </row>
    <row r="111" spans="2:18" ht="21" x14ac:dyDescent="0.25">
      <c r="B111" s="50" t="s">
        <v>192</v>
      </c>
      <c r="C111" s="60">
        <v>11098718</v>
      </c>
      <c r="D111" s="60">
        <v>12341540.75</v>
      </c>
      <c r="E111" s="60">
        <v>16476675</v>
      </c>
      <c r="F111" s="60">
        <v>13656658</v>
      </c>
      <c r="G111" s="82"/>
      <c r="H111" s="75"/>
      <c r="I111" s="66"/>
      <c r="J111" s="67"/>
      <c r="K111" s="67"/>
      <c r="L111" s="67"/>
      <c r="M111" s="7"/>
      <c r="N111" s="7"/>
      <c r="O111" s="7"/>
      <c r="P111" s="7"/>
      <c r="Q111" s="7"/>
      <c r="R111" s="7"/>
    </row>
    <row r="112" spans="2:18" ht="15.75" x14ac:dyDescent="0.25">
      <c r="B112" s="50" t="s">
        <v>193</v>
      </c>
      <c r="C112" s="60">
        <v>14559398</v>
      </c>
      <c r="D112" s="60">
        <v>13788360.75</v>
      </c>
      <c r="E112" s="60">
        <v>10699836</v>
      </c>
      <c r="F112" s="60">
        <v>12463405</v>
      </c>
      <c r="G112" s="82"/>
      <c r="H112" s="75"/>
      <c r="I112" s="66"/>
      <c r="J112" s="67"/>
      <c r="K112" s="67"/>
      <c r="L112" s="67"/>
      <c r="M112" s="7"/>
      <c r="N112" s="7"/>
      <c r="O112" s="7"/>
      <c r="P112" s="7"/>
      <c r="Q112" s="7"/>
      <c r="R112" s="7"/>
    </row>
    <row r="113" spans="2:18" ht="21" x14ac:dyDescent="0.25">
      <c r="B113" s="76" t="s">
        <v>194</v>
      </c>
      <c r="C113" s="60">
        <v>15548745</v>
      </c>
      <c r="D113" s="60">
        <v>12146150.75</v>
      </c>
      <c r="E113" s="60">
        <v>12696365</v>
      </c>
      <c r="F113" s="60">
        <v>13179987</v>
      </c>
      <c r="G113" s="82"/>
      <c r="H113" s="75"/>
      <c r="I113" s="66"/>
      <c r="J113" s="67"/>
      <c r="K113" s="67"/>
      <c r="L113" s="67"/>
      <c r="M113" s="7"/>
      <c r="N113" s="7"/>
      <c r="O113" s="7"/>
      <c r="P113" s="7"/>
      <c r="Q113" s="7"/>
      <c r="R113" s="7"/>
    </row>
    <row r="114" spans="2:18" ht="15.75" x14ac:dyDescent="0.25">
      <c r="B114" s="76" t="s">
        <v>196</v>
      </c>
      <c r="C114" s="60">
        <f>+'PYG '!AS154</f>
        <v>12796951</v>
      </c>
      <c r="D114" s="60">
        <v>9554095.75</v>
      </c>
      <c r="E114" s="60">
        <v>8852048</v>
      </c>
      <c r="F114" s="60">
        <v>27294325</v>
      </c>
      <c r="G114" s="82"/>
      <c r="H114" s="86"/>
      <c r="I114" s="66"/>
      <c r="J114" s="67"/>
      <c r="K114" s="67"/>
      <c r="L114" s="67"/>
      <c r="M114" s="7"/>
      <c r="N114" s="7"/>
      <c r="O114" s="7"/>
      <c r="P114" s="7"/>
      <c r="Q114" s="7"/>
      <c r="R114" s="7"/>
    </row>
    <row r="115" spans="2:18" ht="16.5" thickBot="1" x14ac:dyDescent="0.3">
      <c r="B115" s="106"/>
      <c r="C115" s="106"/>
      <c r="D115" s="106"/>
      <c r="E115" s="60"/>
      <c r="F115" s="104"/>
      <c r="G115" s="86"/>
      <c r="H115" s="86"/>
      <c r="I115" s="66"/>
      <c r="J115" s="67"/>
      <c r="K115" s="67"/>
      <c r="L115" s="67"/>
      <c r="M115" s="7"/>
      <c r="N115" s="7"/>
      <c r="O115" s="7"/>
      <c r="P115" s="7"/>
      <c r="Q115" s="7"/>
      <c r="R115" s="7"/>
    </row>
    <row r="116" spans="2:18" ht="13.5" thickBot="1" x14ac:dyDescent="0.25">
      <c r="B116" s="107" t="s">
        <v>183</v>
      </c>
      <c r="C116" s="108">
        <f>SUM(C103:C115)</f>
        <v>144259568</v>
      </c>
      <c r="D116" s="108">
        <f>SUM(D103:D115)</f>
        <v>120895746</v>
      </c>
      <c r="E116" s="108">
        <f>SUM(E103:E115)</f>
        <v>116304228</v>
      </c>
      <c r="F116" s="105">
        <f>SUM(F103:F115)</f>
        <v>145686174</v>
      </c>
      <c r="G116" s="85"/>
      <c r="H116" s="85"/>
      <c r="I116" s="73"/>
      <c r="J116" s="73"/>
      <c r="K116" s="73"/>
      <c r="L116" s="73"/>
      <c r="M116" s="73"/>
      <c r="N116" s="73"/>
      <c r="O116" s="73"/>
      <c r="P116" s="73"/>
      <c r="Q116" s="73"/>
      <c r="R116" s="73"/>
    </row>
    <row r="120" spans="2:18" x14ac:dyDescent="0.2">
      <c r="D120" s="78"/>
    </row>
    <row r="128" spans="2:18" ht="13.5" thickBot="1" x14ac:dyDescent="0.25"/>
    <row r="129" spans="2:8" x14ac:dyDescent="0.2">
      <c r="B129" s="57" t="s">
        <v>176</v>
      </c>
      <c r="C129" s="58" t="s">
        <v>394</v>
      </c>
      <c r="D129" s="58" t="s">
        <v>202</v>
      </c>
      <c r="E129" s="58" t="s">
        <v>197</v>
      </c>
      <c r="F129" s="59" t="s">
        <v>198</v>
      </c>
      <c r="G129" s="81"/>
      <c r="H129" s="81"/>
    </row>
    <row r="130" spans="2:8" x14ac:dyDescent="0.2">
      <c r="B130" s="49" t="s">
        <v>184</v>
      </c>
      <c r="C130" s="74">
        <v>3245117</v>
      </c>
      <c r="D130" s="74">
        <v>5038468</v>
      </c>
      <c r="E130" s="74">
        <v>18954229</v>
      </c>
      <c r="F130" s="109">
        <v>-3272885</v>
      </c>
      <c r="G130" s="75"/>
      <c r="H130" s="75"/>
    </row>
    <row r="131" spans="2:8" x14ac:dyDescent="0.2">
      <c r="B131" s="49" t="s">
        <v>185</v>
      </c>
      <c r="C131" s="74">
        <v>3129086</v>
      </c>
      <c r="D131" s="74">
        <v>3625618</v>
      </c>
      <c r="E131" s="74">
        <v>-1253685</v>
      </c>
      <c r="F131" s="109">
        <v>3095521</v>
      </c>
      <c r="G131" s="75"/>
      <c r="H131" s="75"/>
    </row>
    <row r="132" spans="2:8" x14ac:dyDescent="0.2">
      <c r="B132" s="49" t="s">
        <v>186</v>
      </c>
      <c r="C132" s="74">
        <v>6248249</v>
      </c>
      <c r="D132" s="74">
        <v>3176999</v>
      </c>
      <c r="E132" s="74">
        <v>-4103720</v>
      </c>
      <c r="F132" s="109">
        <v>423035</v>
      </c>
      <c r="G132" s="75"/>
      <c r="H132" s="75"/>
    </row>
    <row r="133" spans="2:8" x14ac:dyDescent="0.2">
      <c r="B133" s="49" t="s">
        <v>187</v>
      </c>
      <c r="C133" s="74">
        <v>-8194868</v>
      </c>
      <c r="D133" s="74">
        <v>3741891</v>
      </c>
      <c r="E133" s="74">
        <v>-1756692</v>
      </c>
      <c r="F133" s="109">
        <v>5188303</v>
      </c>
      <c r="G133" s="75"/>
      <c r="H133" s="75"/>
    </row>
    <row r="134" spans="2:8" x14ac:dyDescent="0.2">
      <c r="B134" s="49" t="s">
        <v>188</v>
      </c>
      <c r="C134" s="74">
        <v>-9105820</v>
      </c>
      <c r="D134" s="74">
        <v>2085937</v>
      </c>
      <c r="E134" s="74">
        <v>-222899</v>
      </c>
      <c r="F134" s="109">
        <v>5204853</v>
      </c>
      <c r="G134" s="75"/>
      <c r="H134" s="75"/>
    </row>
    <row r="135" spans="2:8" x14ac:dyDescent="0.2">
      <c r="B135" s="49" t="s">
        <v>189</v>
      </c>
      <c r="C135" s="74">
        <v>7982004</v>
      </c>
      <c r="D135" s="74">
        <v>492012</v>
      </c>
      <c r="E135" s="74">
        <v>822721</v>
      </c>
      <c r="F135" s="109">
        <v>-5170532</v>
      </c>
      <c r="G135" s="75"/>
      <c r="H135" s="75"/>
    </row>
    <row r="136" spans="2:8" x14ac:dyDescent="0.2">
      <c r="B136" s="49" t="s">
        <v>190</v>
      </c>
      <c r="C136" s="74">
        <v>2646214</v>
      </c>
      <c r="D136" s="74">
        <v>-2317677</v>
      </c>
      <c r="E136" s="74">
        <v>-2214002</v>
      </c>
      <c r="F136" s="109">
        <v>9983538</v>
      </c>
      <c r="G136" s="75"/>
      <c r="H136" s="75"/>
    </row>
    <row r="137" spans="2:8" x14ac:dyDescent="0.2">
      <c r="B137" s="49" t="s">
        <v>191</v>
      </c>
      <c r="C137" s="74">
        <v>197274</v>
      </c>
      <c r="D137" s="74">
        <v>-1439362</v>
      </c>
      <c r="E137" s="74">
        <v>8804469</v>
      </c>
      <c r="F137" s="109">
        <v>5208815</v>
      </c>
      <c r="G137" s="75"/>
      <c r="H137" s="75"/>
    </row>
    <row r="138" spans="2:8" ht="21" x14ac:dyDescent="0.2">
      <c r="B138" s="50" t="s">
        <v>192</v>
      </c>
      <c r="C138" s="74">
        <v>3359239</v>
      </c>
      <c r="D138" s="74">
        <v>-4658595.75</v>
      </c>
      <c r="E138" s="74">
        <v>-10440744</v>
      </c>
      <c r="F138" s="109">
        <v>92670</v>
      </c>
      <c r="G138" s="75"/>
      <c r="H138" s="75"/>
    </row>
    <row r="139" spans="2:8" x14ac:dyDescent="0.2">
      <c r="B139" s="50" t="s">
        <v>193</v>
      </c>
      <c r="C139" s="74">
        <v>2559631.8299999982</v>
      </c>
      <c r="D139" s="74">
        <v>-5944643.75</v>
      </c>
      <c r="E139" s="74">
        <v>4755101</v>
      </c>
      <c r="F139" s="109">
        <v>-3000416</v>
      </c>
      <c r="G139" s="75"/>
      <c r="H139" s="75"/>
    </row>
    <row r="140" spans="2:8" ht="21" x14ac:dyDescent="0.2">
      <c r="B140" s="50" t="s">
        <v>194</v>
      </c>
      <c r="C140" s="74">
        <v>-1605167</v>
      </c>
      <c r="D140" s="74">
        <v>904815.25</v>
      </c>
      <c r="E140" s="74">
        <v>-380592</v>
      </c>
      <c r="F140" s="109">
        <v>-3733117</v>
      </c>
      <c r="G140" s="75"/>
      <c r="H140" s="75"/>
    </row>
    <row r="141" spans="2:8" x14ac:dyDescent="0.2">
      <c r="B141" s="50" t="s">
        <v>196</v>
      </c>
      <c r="C141" s="74">
        <f>+'PYG '!AU155</f>
        <v>4004674</v>
      </c>
      <c r="D141" s="74">
        <v>4829226.25</v>
      </c>
      <c r="E141" s="74">
        <v>5224186</v>
      </c>
      <c r="F141" s="109">
        <v>48325460</v>
      </c>
      <c r="G141" s="75"/>
      <c r="H141" s="75"/>
    </row>
    <row r="142" spans="2:8" x14ac:dyDescent="0.2">
      <c r="B142" s="49"/>
      <c r="C142" s="74"/>
      <c r="D142" s="74"/>
      <c r="E142" s="74"/>
      <c r="F142" s="109"/>
      <c r="G142" s="75"/>
      <c r="H142" s="75"/>
    </row>
    <row r="143" spans="2:8" x14ac:dyDescent="0.2">
      <c r="B143" s="110"/>
      <c r="C143" s="74"/>
      <c r="D143" s="74"/>
      <c r="E143" s="77"/>
      <c r="F143" s="111"/>
      <c r="G143" s="86"/>
      <c r="H143" s="86"/>
    </row>
    <row r="144" spans="2:8" ht="13.5" thickBot="1" x14ac:dyDescent="0.25">
      <c r="B144" s="112" t="s">
        <v>183</v>
      </c>
      <c r="C144" s="72">
        <f>SUM(C130:C143)</f>
        <v>14465633.829999998</v>
      </c>
      <c r="D144" s="72">
        <f>SUM(D130:D143)</f>
        <v>9534688</v>
      </c>
      <c r="E144" s="72">
        <f>SUM(E130:E143)</f>
        <v>18188372</v>
      </c>
      <c r="F144" s="113">
        <f>SUM(F130:F143)</f>
        <v>62345245</v>
      </c>
      <c r="G144" s="85"/>
      <c r="H144" s="85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3" verticalDpi="360" r:id="rId1"/>
  <colBreaks count="1" manualBreakCount="1">
    <brk id="1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9"/>
  <sheetViews>
    <sheetView topLeftCell="A16" zoomScale="93" zoomScaleNormal="93" workbookViewId="0">
      <selection activeCell="E29" sqref="E29"/>
    </sheetView>
  </sheetViews>
  <sheetFormatPr baseColWidth="10" defaultRowHeight="12.75" x14ac:dyDescent="0.2"/>
  <cols>
    <col min="1" max="1" width="34.85546875" style="121" customWidth="1"/>
    <col min="2" max="2" width="37.140625" style="123" customWidth="1"/>
    <col min="3" max="3" width="15.85546875" style="121" bestFit="1" customWidth="1"/>
    <col min="4" max="256" width="11.42578125" style="121"/>
    <col min="257" max="257" width="38.42578125" style="121" bestFit="1" customWidth="1"/>
    <col min="258" max="258" width="43.28515625" style="121" customWidth="1"/>
    <col min="259" max="259" width="43.7109375" style="121" customWidth="1"/>
    <col min="260" max="512" width="11.42578125" style="121"/>
    <col min="513" max="513" width="38.42578125" style="121" bestFit="1" customWidth="1"/>
    <col min="514" max="514" width="43.28515625" style="121" customWidth="1"/>
    <col min="515" max="515" width="43.7109375" style="121" customWidth="1"/>
    <col min="516" max="768" width="11.42578125" style="121"/>
    <col min="769" max="769" width="38.42578125" style="121" bestFit="1" customWidth="1"/>
    <col min="770" max="770" width="43.28515625" style="121" customWidth="1"/>
    <col min="771" max="771" width="43.7109375" style="121" customWidth="1"/>
    <col min="772" max="1024" width="11.42578125" style="121"/>
    <col min="1025" max="1025" width="38.42578125" style="121" bestFit="1" customWidth="1"/>
    <col min="1026" max="1026" width="43.28515625" style="121" customWidth="1"/>
    <col min="1027" max="1027" width="43.7109375" style="121" customWidth="1"/>
    <col min="1028" max="1280" width="11.42578125" style="121"/>
    <col min="1281" max="1281" width="38.42578125" style="121" bestFit="1" customWidth="1"/>
    <col min="1282" max="1282" width="43.28515625" style="121" customWidth="1"/>
    <col min="1283" max="1283" width="43.7109375" style="121" customWidth="1"/>
    <col min="1284" max="1536" width="11.42578125" style="121"/>
    <col min="1537" max="1537" width="38.42578125" style="121" bestFit="1" customWidth="1"/>
    <col min="1538" max="1538" width="43.28515625" style="121" customWidth="1"/>
    <col min="1539" max="1539" width="43.7109375" style="121" customWidth="1"/>
    <col min="1540" max="1792" width="11.42578125" style="121"/>
    <col min="1793" max="1793" width="38.42578125" style="121" bestFit="1" customWidth="1"/>
    <col min="1794" max="1794" width="43.28515625" style="121" customWidth="1"/>
    <col min="1795" max="1795" width="43.7109375" style="121" customWidth="1"/>
    <col min="1796" max="2048" width="11.42578125" style="121"/>
    <col min="2049" max="2049" width="38.42578125" style="121" bestFit="1" customWidth="1"/>
    <col min="2050" max="2050" width="43.28515625" style="121" customWidth="1"/>
    <col min="2051" max="2051" width="43.7109375" style="121" customWidth="1"/>
    <col min="2052" max="2304" width="11.42578125" style="121"/>
    <col min="2305" max="2305" width="38.42578125" style="121" bestFit="1" customWidth="1"/>
    <col min="2306" max="2306" width="43.28515625" style="121" customWidth="1"/>
    <col min="2307" max="2307" width="43.7109375" style="121" customWidth="1"/>
    <col min="2308" max="2560" width="11.42578125" style="121"/>
    <col min="2561" max="2561" width="38.42578125" style="121" bestFit="1" customWidth="1"/>
    <col min="2562" max="2562" width="43.28515625" style="121" customWidth="1"/>
    <col min="2563" max="2563" width="43.7109375" style="121" customWidth="1"/>
    <col min="2564" max="2816" width="11.42578125" style="121"/>
    <col min="2817" max="2817" width="38.42578125" style="121" bestFit="1" customWidth="1"/>
    <col min="2818" max="2818" width="43.28515625" style="121" customWidth="1"/>
    <col min="2819" max="2819" width="43.7109375" style="121" customWidth="1"/>
    <col min="2820" max="3072" width="11.42578125" style="121"/>
    <col min="3073" max="3073" width="38.42578125" style="121" bestFit="1" customWidth="1"/>
    <col min="3074" max="3074" width="43.28515625" style="121" customWidth="1"/>
    <col min="3075" max="3075" width="43.7109375" style="121" customWidth="1"/>
    <col min="3076" max="3328" width="11.42578125" style="121"/>
    <col min="3329" max="3329" width="38.42578125" style="121" bestFit="1" customWidth="1"/>
    <col min="3330" max="3330" width="43.28515625" style="121" customWidth="1"/>
    <col min="3331" max="3331" width="43.7109375" style="121" customWidth="1"/>
    <col min="3332" max="3584" width="11.42578125" style="121"/>
    <col min="3585" max="3585" width="38.42578125" style="121" bestFit="1" customWidth="1"/>
    <col min="3586" max="3586" width="43.28515625" style="121" customWidth="1"/>
    <col min="3587" max="3587" width="43.7109375" style="121" customWidth="1"/>
    <col min="3588" max="3840" width="11.42578125" style="121"/>
    <col min="3841" max="3841" width="38.42578125" style="121" bestFit="1" customWidth="1"/>
    <col min="3842" max="3842" width="43.28515625" style="121" customWidth="1"/>
    <col min="3843" max="3843" width="43.7109375" style="121" customWidth="1"/>
    <col min="3844" max="4096" width="11.42578125" style="121"/>
    <col min="4097" max="4097" width="38.42578125" style="121" bestFit="1" customWidth="1"/>
    <col min="4098" max="4098" width="43.28515625" style="121" customWidth="1"/>
    <col min="4099" max="4099" width="43.7109375" style="121" customWidth="1"/>
    <col min="4100" max="4352" width="11.42578125" style="121"/>
    <col min="4353" max="4353" width="38.42578125" style="121" bestFit="1" customWidth="1"/>
    <col min="4354" max="4354" width="43.28515625" style="121" customWidth="1"/>
    <col min="4355" max="4355" width="43.7109375" style="121" customWidth="1"/>
    <col min="4356" max="4608" width="11.42578125" style="121"/>
    <col min="4609" max="4609" width="38.42578125" style="121" bestFit="1" customWidth="1"/>
    <col min="4610" max="4610" width="43.28515625" style="121" customWidth="1"/>
    <col min="4611" max="4611" width="43.7109375" style="121" customWidth="1"/>
    <col min="4612" max="4864" width="11.42578125" style="121"/>
    <col min="4865" max="4865" width="38.42578125" style="121" bestFit="1" customWidth="1"/>
    <col min="4866" max="4866" width="43.28515625" style="121" customWidth="1"/>
    <col min="4867" max="4867" width="43.7109375" style="121" customWidth="1"/>
    <col min="4868" max="5120" width="11.42578125" style="121"/>
    <col min="5121" max="5121" width="38.42578125" style="121" bestFit="1" customWidth="1"/>
    <col min="5122" max="5122" width="43.28515625" style="121" customWidth="1"/>
    <col min="5123" max="5123" width="43.7109375" style="121" customWidth="1"/>
    <col min="5124" max="5376" width="11.42578125" style="121"/>
    <col min="5377" max="5377" width="38.42578125" style="121" bestFit="1" customWidth="1"/>
    <col min="5378" max="5378" width="43.28515625" style="121" customWidth="1"/>
    <col min="5379" max="5379" width="43.7109375" style="121" customWidth="1"/>
    <col min="5380" max="5632" width="11.42578125" style="121"/>
    <col min="5633" max="5633" width="38.42578125" style="121" bestFit="1" customWidth="1"/>
    <col min="5634" max="5634" width="43.28515625" style="121" customWidth="1"/>
    <col min="5635" max="5635" width="43.7109375" style="121" customWidth="1"/>
    <col min="5636" max="5888" width="11.42578125" style="121"/>
    <col min="5889" max="5889" width="38.42578125" style="121" bestFit="1" customWidth="1"/>
    <col min="5890" max="5890" width="43.28515625" style="121" customWidth="1"/>
    <col min="5891" max="5891" width="43.7109375" style="121" customWidth="1"/>
    <col min="5892" max="6144" width="11.42578125" style="121"/>
    <col min="6145" max="6145" width="38.42578125" style="121" bestFit="1" customWidth="1"/>
    <col min="6146" max="6146" width="43.28515625" style="121" customWidth="1"/>
    <col min="6147" max="6147" width="43.7109375" style="121" customWidth="1"/>
    <col min="6148" max="6400" width="11.42578125" style="121"/>
    <col min="6401" max="6401" width="38.42578125" style="121" bestFit="1" customWidth="1"/>
    <col min="6402" max="6402" width="43.28515625" style="121" customWidth="1"/>
    <col min="6403" max="6403" width="43.7109375" style="121" customWidth="1"/>
    <col min="6404" max="6656" width="11.42578125" style="121"/>
    <col min="6657" max="6657" width="38.42578125" style="121" bestFit="1" customWidth="1"/>
    <col min="6658" max="6658" width="43.28515625" style="121" customWidth="1"/>
    <col min="6659" max="6659" width="43.7109375" style="121" customWidth="1"/>
    <col min="6660" max="6912" width="11.42578125" style="121"/>
    <col min="6913" max="6913" width="38.42578125" style="121" bestFit="1" customWidth="1"/>
    <col min="6914" max="6914" width="43.28515625" style="121" customWidth="1"/>
    <col min="6915" max="6915" width="43.7109375" style="121" customWidth="1"/>
    <col min="6916" max="7168" width="11.42578125" style="121"/>
    <col min="7169" max="7169" width="38.42578125" style="121" bestFit="1" customWidth="1"/>
    <col min="7170" max="7170" width="43.28515625" style="121" customWidth="1"/>
    <col min="7171" max="7171" width="43.7109375" style="121" customWidth="1"/>
    <col min="7172" max="7424" width="11.42578125" style="121"/>
    <col min="7425" max="7425" width="38.42578125" style="121" bestFit="1" customWidth="1"/>
    <col min="7426" max="7426" width="43.28515625" style="121" customWidth="1"/>
    <col min="7427" max="7427" width="43.7109375" style="121" customWidth="1"/>
    <col min="7428" max="7680" width="11.42578125" style="121"/>
    <col min="7681" max="7681" width="38.42578125" style="121" bestFit="1" customWidth="1"/>
    <col min="7682" max="7682" width="43.28515625" style="121" customWidth="1"/>
    <col min="7683" max="7683" width="43.7109375" style="121" customWidth="1"/>
    <col min="7684" max="7936" width="11.42578125" style="121"/>
    <col min="7937" max="7937" width="38.42578125" style="121" bestFit="1" customWidth="1"/>
    <col min="7938" max="7938" width="43.28515625" style="121" customWidth="1"/>
    <col min="7939" max="7939" width="43.7109375" style="121" customWidth="1"/>
    <col min="7940" max="8192" width="11.42578125" style="121"/>
    <col min="8193" max="8193" width="38.42578125" style="121" bestFit="1" customWidth="1"/>
    <col min="8194" max="8194" width="43.28515625" style="121" customWidth="1"/>
    <col min="8195" max="8195" width="43.7109375" style="121" customWidth="1"/>
    <col min="8196" max="8448" width="11.42578125" style="121"/>
    <col min="8449" max="8449" width="38.42578125" style="121" bestFit="1" customWidth="1"/>
    <col min="8450" max="8450" width="43.28515625" style="121" customWidth="1"/>
    <col min="8451" max="8451" width="43.7109375" style="121" customWidth="1"/>
    <col min="8452" max="8704" width="11.42578125" style="121"/>
    <col min="8705" max="8705" width="38.42578125" style="121" bestFit="1" customWidth="1"/>
    <col min="8706" max="8706" width="43.28515625" style="121" customWidth="1"/>
    <col min="8707" max="8707" width="43.7109375" style="121" customWidth="1"/>
    <col min="8708" max="8960" width="11.42578125" style="121"/>
    <col min="8961" max="8961" width="38.42578125" style="121" bestFit="1" customWidth="1"/>
    <col min="8962" max="8962" width="43.28515625" style="121" customWidth="1"/>
    <col min="8963" max="8963" width="43.7109375" style="121" customWidth="1"/>
    <col min="8964" max="9216" width="11.42578125" style="121"/>
    <col min="9217" max="9217" width="38.42578125" style="121" bestFit="1" customWidth="1"/>
    <col min="9218" max="9218" width="43.28515625" style="121" customWidth="1"/>
    <col min="9219" max="9219" width="43.7109375" style="121" customWidth="1"/>
    <col min="9220" max="9472" width="11.42578125" style="121"/>
    <col min="9473" max="9473" width="38.42578125" style="121" bestFit="1" customWidth="1"/>
    <col min="9474" max="9474" width="43.28515625" style="121" customWidth="1"/>
    <col min="9475" max="9475" width="43.7109375" style="121" customWidth="1"/>
    <col min="9476" max="9728" width="11.42578125" style="121"/>
    <col min="9729" max="9729" width="38.42578125" style="121" bestFit="1" customWidth="1"/>
    <col min="9730" max="9730" width="43.28515625" style="121" customWidth="1"/>
    <col min="9731" max="9731" width="43.7109375" style="121" customWidth="1"/>
    <col min="9732" max="9984" width="11.42578125" style="121"/>
    <col min="9985" max="9985" width="38.42578125" style="121" bestFit="1" customWidth="1"/>
    <col min="9986" max="9986" width="43.28515625" style="121" customWidth="1"/>
    <col min="9987" max="9987" width="43.7109375" style="121" customWidth="1"/>
    <col min="9988" max="10240" width="11.42578125" style="121"/>
    <col min="10241" max="10241" width="38.42578125" style="121" bestFit="1" customWidth="1"/>
    <col min="10242" max="10242" width="43.28515625" style="121" customWidth="1"/>
    <col min="10243" max="10243" width="43.7109375" style="121" customWidth="1"/>
    <col min="10244" max="10496" width="11.42578125" style="121"/>
    <col min="10497" max="10497" width="38.42578125" style="121" bestFit="1" customWidth="1"/>
    <col min="10498" max="10498" width="43.28515625" style="121" customWidth="1"/>
    <col min="10499" max="10499" width="43.7109375" style="121" customWidth="1"/>
    <col min="10500" max="10752" width="11.42578125" style="121"/>
    <col min="10753" max="10753" width="38.42578125" style="121" bestFit="1" customWidth="1"/>
    <col min="10754" max="10754" width="43.28515625" style="121" customWidth="1"/>
    <col min="10755" max="10755" width="43.7109375" style="121" customWidth="1"/>
    <col min="10756" max="11008" width="11.42578125" style="121"/>
    <col min="11009" max="11009" width="38.42578125" style="121" bestFit="1" customWidth="1"/>
    <col min="11010" max="11010" width="43.28515625" style="121" customWidth="1"/>
    <col min="11011" max="11011" width="43.7109375" style="121" customWidth="1"/>
    <col min="11012" max="11264" width="11.42578125" style="121"/>
    <col min="11265" max="11265" width="38.42578125" style="121" bestFit="1" customWidth="1"/>
    <col min="11266" max="11266" width="43.28515625" style="121" customWidth="1"/>
    <col min="11267" max="11267" width="43.7109375" style="121" customWidth="1"/>
    <col min="11268" max="11520" width="11.42578125" style="121"/>
    <col min="11521" max="11521" width="38.42578125" style="121" bestFit="1" customWidth="1"/>
    <col min="11522" max="11522" width="43.28515625" style="121" customWidth="1"/>
    <col min="11523" max="11523" width="43.7109375" style="121" customWidth="1"/>
    <col min="11524" max="11776" width="11.42578125" style="121"/>
    <col min="11777" max="11777" width="38.42578125" style="121" bestFit="1" customWidth="1"/>
    <col min="11778" max="11778" width="43.28515625" style="121" customWidth="1"/>
    <col min="11779" max="11779" width="43.7109375" style="121" customWidth="1"/>
    <col min="11780" max="12032" width="11.42578125" style="121"/>
    <col min="12033" max="12033" width="38.42578125" style="121" bestFit="1" customWidth="1"/>
    <col min="12034" max="12034" width="43.28515625" style="121" customWidth="1"/>
    <col min="12035" max="12035" width="43.7109375" style="121" customWidth="1"/>
    <col min="12036" max="12288" width="11.42578125" style="121"/>
    <col min="12289" max="12289" width="38.42578125" style="121" bestFit="1" customWidth="1"/>
    <col min="12290" max="12290" width="43.28515625" style="121" customWidth="1"/>
    <col min="12291" max="12291" width="43.7109375" style="121" customWidth="1"/>
    <col min="12292" max="12544" width="11.42578125" style="121"/>
    <col min="12545" max="12545" width="38.42578125" style="121" bestFit="1" customWidth="1"/>
    <col min="12546" max="12546" width="43.28515625" style="121" customWidth="1"/>
    <col min="12547" max="12547" width="43.7109375" style="121" customWidth="1"/>
    <col min="12548" max="12800" width="11.42578125" style="121"/>
    <col min="12801" max="12801" width="38.42578125" style="121" bestFit="1" customWidth="1"/>
    <col min="12802" max="12802" width="43.28515625" style="121" customWidth="1"/>
    <col min="12803" max="12803" width="43.7109375" style="121" customWidth="1"/>
    <col min="12804" max="13056" width="11.42578125" style="121"/>
    <col min="13057" max="13057" width="38.42578125" style="121" bestFit="1" customWidth="1"/>
    <col min="13058" max="13058" width="43.28515625" style="121" customWidth="1"/>
    <col min="13059" max="13059" width="43.7109375" style="121" customWidth="1"/>
    <col min="13060" max="13312" width="11.42578125" style="121"/>
    <col min="13313" max="13313" width="38.42578125" style="121" bestFit="1" customWidth="1"/>
    <col min="13314" max="13314" width="43.28515625" style="121" customWidth="1"/>
    <col min="13315" max="13315" width="43.7109375" style="121" customWidth="1"/>
    <col min="13316" max="13568" width="11.42578125" style="121"/>
    <col min="13569" max="13569" width="38.42578125" style="121" bestFit="1" customWidth="1"/>
    <col min="13570" max="13570" width="43.28515625" style="121" customWidth="1"/>
    <col min="13571" max="13571" width="43.7109375" style="121" customWidth="1"/>
    <col min="13572" max="13824" width="11.42578125" style="121"/>
    <col min="13825" max="13825" width="38.42578125" style="121" bestFit="1" customWidth="1"/>
    <col min="13826" max="13826" width="43.28515625" style="121" customWidth="1"/>
    <col min="13827" max="13827" width="43.7109375" style="121" customWidth="1"/>
    <col min="13828" max="14080" width="11.42578125" style="121"/>
    <col min="14081" max="14081" width="38.42578125" style="121" bestFit="1" customWidth="1"/>
    <col min="14082" max="14082" width="43.28515625" style="121" customWidth="1"/>
    <col min="14083" max="14083" width="43.7109375" style="121" customWidth="1"/>
    <col min="14084" max="14336" width="11.42578125" style="121"/>
    <col min="14337" max="14337" width="38.42578125" style="121" bestFit="1" customWidth="1"/>
    <col min="14338" max="14338" width="43.28515625" style="121" customWidth="1"/>
    <col min="14339" max="14339" width="43.7109375" style="121" customWidth="1"/>
    <col min="14340" max="14592" width="11.42578125" style="121"/>
    <col min="14593" max="14593" width="38.42578125" style="121" bestFit="1" customWidth="1"/>
    <col min="14594" max="14594" width="43.28515625" style="121" customWidth="1"/>
    <col min="14595" max="14595" width="43.7109375" style="121" customWidth="1"/>
    <col min="14596" max="14848" width="11.42578125" style="121"/>
    <col min="14849" max="14849" width="38.42578125" style="121" bestFit="1" customWidth="1"/>
    <col min="14850" max="14850" width="43.28515625" style="121" customWidth="1"/>
    <col min="14851" max="14851" width="43.7109375" style="121" customWidth="1"/>
    <col min="14852" max="15104" width="11.42578125" style="121"/>
    <col min="15105" max="15105" width="38.42578125" style="121" bestFit="1" customWidth="1"/>
    <col min="15106" max="15106" width="43.28515625" style="121" customWidth="1"/>
    <col min="15107" max="15107" width="43.7109375" style="121" customWidth="1"/>
    <col min="15108" max="15360" width="11.42578125" style="121"/>
    <col min="15361" max="15361" width="38.42578125" style="121" bestFit="1" customWidth="1"/>
    <col min="15362" max="15362" width="43.28515625" style="121" customWidth="1"/>
    <col min="15363" max="15363" width="43.7109375" style="121" customWidth="1"/>
    <col min="15364" max="15616" width="11.42578125" style="121"/>
    <col min="15617" max="15617" width="38.42578125" style="121" bestFit="1" customWidth="1"/>
    <col min="15618" max="15618" width="43.28515625" style="121" customWidth="1"/>
    <col min="15619" max="15619" width="43.7109375" style="121" customWidth="1"/>
    <col min="15620" max="15872" width="11.42578125" style="121"/>
    <col min="15873" max="15873" width="38.42578125" style="121" bestFit="1" customWidth="1"/>
    <col min="15874" max="15874" width="43.28515625" style="121" customWidth="1"/>
    <col min="15875" max="15875" width="43.7109375" style="121" customWidth="1"/>
    <col min="15876" max="16128" width="11.42578125" style="121"/>
    <col min="16129" max="16129" width="38.42578125" style="121" bestFit="1" customWidth="1"/>
    <col min="16130" max="16130" width="43.28515625" style="121" customWidth="1"/>
    <col min="16131" max="16131" width="43.7109375" style="121" customWidth="1"/>
    <col min="16132" max="16384" width="11.42578125" style="121"/>
  </cols>
  <sheetData>
    <row r="1" spans="1:5" ht="18" x14ac:dyDescent="0.25">
      <c r="A1" s="227" t="s">
        <v>334</v>
      </c>
      <c r="B1" s="227"/>
    </row>
    <row r="2" spans="1:5" ht="15" x14ac:dyDescent="0.35">
      <c r="A2" s="122" t="s">
        <v>324</v>
      </c>
    </row>
    <row r="4" spans="1:5" x14ac:dyDescent="0.2">
      <c r="A4" s="121" t="s">
        <v>324</v>
      </c>
      <c r="B4" s="124" t="s">
        <v>325</v>
      </c>
      <c r="C4" s="126">
        <f>+DICIEMBRE!E60</f>
        <v>623059871.745</v>
      </c>
      <c r="D4" s="121">
        <f>+C4/C5</f>
        <v>99.020234381257694</v>
      </c>
      <c r="E4" s="155" t="s">
        <v>404</v>
      </c>
    </row>
    <row r="5" spans="1:5" x14ac:dyDescent="0.2">
      <c r="B5" s="123" t="s">
        <v>326</v>
      </c>
      <c r="C5" s="125">
        <f>+DICIEMBRE!E97</f>
        <v>6292248</v>
      </c>
    </row>
    <row r="7" spans="1:5" x14ac:dyDescent="0.2">
      <c r="A7" s="121" t="s">
        <v>335</v>
      </c>
      <c r="B7" s="124" t="s">
        <v>336</v>
      </c>
      <c r="C7" s="126">
        <f>+DICIEMBRE!E60-DICIEMBRE!E34</f>
        <v>459824419.745</v>
      </c>
      <c r="D7" s="121">
        <f>+C7/C8</f>
        <v>73.07792377938695</v>
      </c>
      <c r="E7" s="155" t="s">
        <v>405</v>
      </c>
    </row>
    <row r="8" spans="1:5" x14ac:dyDescent="0.2">
      <c r="B8" s="123" t="s">
        <v>326</v>
      </c>
      <c r="C8" s="125">
        <f>+C5</f>
        <v>6292248</v>
      </c>
    </row>
    <row r="10" spans="1:5" ht="15" x14ac:dyDescent="0.35">
      <c r="A10" s="122" t="s">
        <v>337</v>
      </c>
    </row>
    <row r="12" spans="1:5" x14ac:dyDescent="0.2">
      <c r="A12" s="121" t="s">
        <v>338</v>
      </c>
      <c r="B12" s="124" t="s">
        <v>332</v>
      </c>
      <c r="C12" s="153">
        <v>136687592</v>
      </c>
      <c r="D12" s="121">
        <f>+C12/C13</f>
        <v>0.36613024645071135</v>
      </c>
      <c r="E12" s="155" t="s">
        <v>403</v>
      </c>
    </row>
    <row r="13" spans="1:5" x14ac:dyDescent="0.2">
      <c r="B13" s="123" t="s">
        <v>339</v>
      </c>
      <c r="C13" s="154">
        <f>+DICIEMBRE!E38</f>
        <v>373330511</v>
      </c>
    </row>
    <row r="15" spans="1:5" x14ac:dyDescent="0.2">
      <c r="A15" s="121" t="s">
        <v>340</v>
      </c>
      <c r="B15" s="124" t="s">
        <v>332</v>
      </c>
      <c r="C15" s="153">
        <f>+C12</f>
        <v>136687592</v>
      </c>
      <c r="D15" s="121">
        <f>+C15/C16</f>
        <v>0.21938115131244112</v>
      </c>
      <c r="E15" s="155" t="s">
        <v>357</v>
      </c>
    </row>
    <row r="16" spans="1:5" x14ac:dyDescent="0.2">
      <c r="B16" s="123" t="s">
        <v>341</v>
      </c>
      <c r="C16" s="125">
        <f>+C4</f>
        <v>623059871.745</v>
      </c>
    </row>
    <row r="18" spans="1:5" ht="15" x14ac:dyDescent="0.35">
      <c r="A18" s="122" t="s">
        <v>342</v>
      </c>
    </row>
    <row r="20" spans="1:5" x14ac:dyDescent="0.2">
      <c r="A20" s="121" t="s">
        <v>327</v>
      </c>
      <c r="B20" s="124" t="s">
        <v>328</v>
      </c>
      <c r="C20" s="126">
        <f>+DICIEMBRE!E97</f>
        <v>6292248</v>
      </c>
      <c r="D20" s="121">
        <f>+C20/C21</f>
        <v>1.0098946000770903E-2</v>
      </c>
      <c r="E20" s="155" t="s">
        <v>406</v>
      </c>
    </row>
    <row r="21" spans="1:5" x14ac:dyDescent="0.2">
      <c r="B21" s="123" t="s">
        <v>329</v>
      </c>
      <c r="C21" s="125">
        <f>+DICIEMBRE!E60</f>
        <v>623059871.745</v>
      </c>
    </row>
    <row r="23" spans="1:5" ht="15" x14ac:dyDescent="0.35">
      <c r="A23" s="122" t="s">
        <v>343</v>
      </c>
    </row>
    <row r="25" spans="1:5" x14ac:dyDescent="0.2">
      <c r="A25" s="121" t="s">
        <v>330</v>
      </c>
      <c r="B25" s="124" t="s">
        <v>331</v>
      </c>
      <c r="C25" s="126">
        <f>+'PYG '!AU154</f>
        <v>14465633.829999998</v>
      </c>
      <c r="D25" s="121">
        <f>+C25/C26*100</f>
        <v>9.1987891744336849</v>
      </c>
      <c r="E25" s="155" t="s">
        <v>407</v>
      </c>
    </row>
    <row r="26" spans="1:5" x14ac:dyDescent="0.2">
      <c r="B26" s="123" t="s">
        <v>332</v>
      </c>
      <c r="C26" s="125">
        <f>+'PYG '!AU8+'PYG '!AU15+'PYG '!AU22</f>
        <v>157255847</v>
      </c>
    </row>
    <row r="28" spans="1:5" x14ac:dyDescent="0.2">
      <c r="A28" s="121" t="s">
        <v>333</v>
      </c>
      <c r="B28" s="124" t="s">
        <v>331</v>
      </c>
      <c r="C28" s="126">
        <f>+C25</f>
        <v>14465633.829999998</v>
      </c>
      <c r="D28" s="121">
        <f>+C28/C29*100</f>
        <v>2.3217084723312684</v>
      </c>
      <c r="E28" s="155" t="s">
        <v>408</v>
      </c>
    </row>
    <row r="29" spans="1:5" x14ac:dyDescent="0.2">
      <c r="B29" s="123" t="s">
        <v>329</v>
      </c>
      <c r="C29" s="125">
        <f>+C16</f>
        <v>623059871.745</v>
      </c>
    </row>
  </sheetData>
  <mergeCells count="1">
    <mergeCell ref="A1:B1"/>
  </mergeCells>
  <printOptions horizontalCentered="1" verticalCentered="1"/>
  <pageMargins left="0.52" right="0.46" top="0.54" bottom="0.51" header="0" footer="0"/>
  <pageSetup scale="8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DICIEMBRE</vt:lpstr>
      <vt:lpstr>PYG </vt:lpstr>
      <vt:lpstr>GRAFICAS PYG</vt:lpstr>
      <vt:lpstr>INDICADORES</vt:lpstr>
      <vt:lpstr>'PYG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Jimmy Jaimes</cp:lastModifiedBy>
  <cp:lastPrinted>2019-10-05T14:44:16Z</cp:lastPrinted>
  <dcterms:created xsi:type="dcterms:W3CDTF">2018-06-18T16:56:31Z</dcterms:created>
  <dcterms:modified xsi:type="dcterms:W3CDTF">2021-10-30T15:25:15Z</dcterms:modified>
</cp:coreProperties>
</file>
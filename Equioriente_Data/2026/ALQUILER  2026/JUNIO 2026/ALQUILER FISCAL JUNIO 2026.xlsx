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nus.EQUIORIENTE\Desktop\EQUIORIENTE\FACTURACION\2026\JUNIO 2026\"/>
    </mc:Choice>
  </mc:AlternateContent>
  <xr:revisionPtr revIDLastSave="0" documentId="13_ncr:1_{5AF01BE6-1F0B-4A7E-AFD3-F4151C2771EE}" xr6:coauthVersionLast="47" xr6:coauthVersionMax="47" xr10:uidLastSave="{00000000-0000-0000-0000-000000000000}"/>
  <bookViews>
    <workbookView xWindow="-120" yWindow="-120" windowWidth="20730" windowHeight="11040" firstSheet="2" activeTab="3" xr2:uid="{00000000-000D-0000-FFFF-FFFF00000000}"/>
  </bookViews>
  <sheets>
    <sheet name="EDISON MEDINA DELGADO" sheetId="1" r:id="rId1"/>
    <sheet name="BIOCOMBUSTIBLE" sheetId="2" r:id="rId2"/>
    <sheet name="TEJIDO ARQUITECTONICO" sheetId="3" r:id="rId3"/>
    <sheet name="CICOM INGENIERIA" sheetId="4" r:id="rId4"/>
    <sheet name="CONSORCIO LA VICTORIA 2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2" i="4" l="1"/>
  <c r="D61" i="5"/>
  <c r="D6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F46" i="5" s="1"/>
  <c r="E47" i="5"/>
  <c r="E48" i="5"/>
  <c r="E49" i="5"/>
  <c r="F49" i="5" s="1"/>
  <c r="E50" i="5"/>
  <c r="E51" i="5"/>
  <c r="D62" i="5" l="1"/>
  <c r="D63" i="5" l="1"/>
  <c r="D64" i="5" s="1"/>
  <c r="F41" i="5" l="1"/>
  <c r="F39" i="5"/>
  <c r="F37" i="5"/>
  <c r="F35" i="5"/>
  <c r="F33" i="5"/>
  <c r="F31" i="5"/>
  <c r="G22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F51" i="5" l="1"/>
  <c r="F50" i="5"/>
  <c r="F48" i="5"/>
  <c r="F45" i="5"/>
  <c r="F47" i="5"/>
  <c r="F44" i="5"/>
  <c r="F43" i="5"/>
  <c r="F34" i="5"/>
  <c r="E30" i="5"/>
  <c r="F40" i="5"/>
  <c r="F42" i="5"/>
  <c r="F36" i="5"/>
  <c r="F38" i="5"/>
  <c r="F32" i="5"/>
  <c r="F30" i="5" l="1"/>
  <c r="E52" i="5"/>
  <c r="E53" i="5"/>
  <c r="E54" i="5" l="1"/>
  <c r="E56" i="5" s="1"/>
  <c r="E106" i="4" l="1"/>
  <c r="F106" i="4" s="1"/>
  <c r="E117" i="4"/>
  <c r="F117" i="4" s="1"/>
  <c r="E108" i="4"/>
  <c r="F108" i="4" s="1"/>
  <c r="E109" i="4"/>
  <c r="F109" i="4" s="1"/>
  <c r="E113" i="4"/>
  <c r="F113" i="4" s="1"/>
  <c r="E115" i="4"/>
  <c r="F115" i="4" s="1"/>
  <c r="E107" i="4"/>
  <c r="F107" i="4" s="1"/>
  <c r="E114" i="4"/>
  <c r="F114" i="4" s="1"/>
  <c r="E105" i="4"/>
  <c r="F105" i="4" s="1"/>
  <c r="E112" i="4"/>
  <c r="F112" i="4" s="1"/>
  <c r="E116" i="4"/>
  <c r="F116" i="4" s="1"/>
  <c r="E104" i="4"/>
  <c r="F104" i="4" s="1"/>
  <c r="E111" i="4"/>
  <c r="F111" i="4" s="1"/>
  <c r="E110" i="4"/>
  <c r="D95" i="4"/>
  <c r="D94" i="4"/>
  <c r="H86" i="4"/>
  <c r="H85" i="4"/>
  <c r="H84" i="4"/>
  <c r="H83" i="4"/>
  <c r="H81" i="4"/>
  <c r="H80" i="4"/>
  <c r="H79" i="4"/>
  <c r="H78" i="4"/>
  <c r="H77" i="4"/>
  <c r="H76" i="4"/>
  <c r="H75" i="4"/>
  <c r="H74" i="4"/>
  <c r="H73" i="4"/>
  <c r="B96" i="4" l="1"/>
  <c r="F110" i="4"/>
  <c r="E118" i="4" s="1"/>
  <c r="E119" i="4" l="1"/>
  <c r="E120" i="4" s="1"/>
  <c r="D65" i="4" l="1"/>
  <c r="E64" i="4"/>
  <c r="E63" i="4"/>
  <c r="E62" i="4"/>
  <c r="E65" i="4" s="1"/>
  <c r="D59" i="4"/>
  <c r="D58" i="4"/>
  <c r="E47" i="4"/>
  <c r="F47" i="4" s="1"/>
  <c r="E46" i="4"/>
  <c r="F46" i="4" s="1"/>
  <c r="E45" i="4"/>
  <c r="F45" i="4" s="1"/>
  <c r="E44" i="4"/>
  <c r="F44" i="4" s="1"/>
  <c r="E43" i="4"/>
  <c r="F43" i="4" s="1"/>
  <c r="E42" i="4"/>
  <c r="F42" i="4" s="1"/>
  <c r="E41" i="4"/>
  <c r="F41" i="4" s="1"/>
  <c r="E40" i="4"/>
  <c r="F40" i="4" s="1"/>
  <c r="E39" i="4"/>
  <c r="F39" i="4" s="1"/>
  <c r="E38" i="4"/>
  <c r="F38" i="4" s="1"/>
  <c r="E37" i="4"/>
  <c r="F37" i="4" s="1"/>
  <c r="E36" i="4"/>
  <c r="F36" i="4" s="1"/>
  <c r="E35" i="4"/>
  <c r="F35" i="4" s="1"/>
  <c r="E34" i="4"/>
  <c r="F34" i="4" s="1"/>
  <c r="E33" i="4"/>
  <c r="F33" i="4" s="1"/>
  <c r="E32" i="4"/>
  <c r="F32" i="4" s="1"/>
  <c r="E31" i="4"/>
  <c r="F31" i="4" s="1"/>
  <c r="E30" i="4"/>
  <c r="E29" i="4"/>
  <c r="F29" i="4" s="1"/>
  <c r="F20" i="4"/>
  <c r="F19" i="4"/>
  <c r="F18" i="4"/>
  <c r="F17" i="4"/>
  <c r="F15" i="4"/>
  <c r="F14" i="4"/>
  <c r="F13" i="4"/>
  <c r="F12" i="4"/>
  <c r="F11" i="4"/>
  <c r="F10" i="4"/>
  <c r="F9" i="4"/>
  <c r="F8" i="4"/>
  <c r="F7" i="4"/>
  <c r="F6" i="4"/>
  <c r="E20" i="3"/>
  <c r="F20" i="3" s="1"/>
  <c r="E19" i="3"/>
  <c r="F19" i="3" s="1"/>
  <c r="E17" i="3"/>
  <c r="F17" i="3" s="1"/>
  <c r="E21" i="3"/>
  <c r="F21" i="3" s="1"/>
  <c r="E18" i="3"/>
  <c r="F18" i="3" s="1"/>
  <c r="E16" i="3"/>
  <c r="F16" i="3" s="1"/>
  <c r="E48" i="4" l="1"/>
  <c r="F65" i="4"/>
  <c r="B60" i="4"/>
  <c r="F30" i="4"/>
  <c r="E49" i="4" s="1"/>
  <c r="E22" i="3"/>
  <c r="E23" i="3" s="1"/>
  <c r="E25" i="3" s="1"/>
  <c r="E7" i="3"/>
  <c r="E6" i="3"/>
  <c r="E10" i="3"/>
  <c r="E9" i="3"/>
  <c r="E8" i="3"/>
  <c r="E25" i="2"/>
  <c r="F11" i="2"/>
  <c r="F9" i="2"/>
  <c r="F8" i="2"/>
  <c r="F7" i="2"/>
  <c r="F6" i="2"/>
  <c r="E20" i="2"/>
  <c r="F20" i="2" s="1"/>
  <c r="E19" i="2"/>
  <c r="F19" i="2" s="1"/>
  <c r="E18" i="2"/>
  <c r="F18" i="2" s="1"/>
  <c r="E25" i="1"/>
  <c r="G7" i="1"/>
  <c r="E10" i="1"/>
  <c r="E7" i="1"/>
  <c r="E6" i="1"/>
  <c r="G6" i="1" s="1"/>
  <c r="G8" i="1" s="1"/>
  <c r="E50" i="4" l="1"/>
  <c r="E52" i="4" s="1"/>
  <c r="E21" i="2"/>
  <c r="E19" i="1"/>
  <c r="F19" i="1" s="1"/>
  <c r="E18" i="1"/>
  <c r="F18" i="1" s="1"/>
  <c r="E22" i="2" l="1"/>
  <c r="E23" i="2" s="1"/>
  <c r="E21" i="1"/>
  <c r="E20" i="1"/>
  <c r="E22" i="1" l="1"/>
  <c r="E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D8" authorId="0" shapeId="0" xr:uid="{ADDA09AE-DA07-4280-904E-9FB5EEE5F29B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2 CG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C82" authorId="0" shapeId="0" xr:uid="{C67A2037-D77C-4E3F-9A61-69A724A94895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LS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Jimmy Jaimes</author>
  </authors>
  <commentList>
    <comment ref="E6" authorId="0" shapeId="0" xr:uid="{F52A947A-4851-4935-B8A5-86EB996A4A2A}">
      <text>
        <r>
          <rPr>
            <b/>
            <sz val="9"/>
            <color indexed="81"/>
            <rFont val="Tahoma"/>
            <family val="2"/>
          </rPr>
          <t>Jimmy Jaimes:</t>
        </r>
        <r>
          <rPr>
            <sz val="9"/>
            <color indexed="81"/>
            <rFont val="Tahoma"/>
            <family val="2"/>
          </rPr>
          <t xml:space="preserve">
6 LS
6 ALQ</t>
        </r>
      </text>
    </comment>
  </commentList>
</comments>
</file>

<file path=xl/sharedStrings.xml><?xml version="1.0" encoding="utf-8"?>
<sst xmlns="http://schemas.openxmlformats.org/spreadsheetml/2006/main" count="354" uniqueCount="165">
  <si>
    <t>EQUIORIENTE SAS</t>
  </si>
  <si>
    <t>EDINSON MEDINA   TEL: 3163477126</t>
  </si>
  <si>
    <t>GIRON</t>
  </si>
  <si>
    <t>MATERIAL</t>
  </si>
  <si>
    <t>DETALLES</t>
  </si>
  <si>
    <t>COSTOS</t>
  </si>
  <si>
    <t>DIAS</t>
  </si>
  <si>
    <t>CANTIDAD</t>
  </si>
  <si>
    <t>VALOR</t>
  </si>
  <si>
    <t>COSTO DIARIO</t>
  </si>
  <si>
    <t>PRECIO DIARIO</t>
  </si>
  <si>
    <t>TABLEROS DE MADERA DE 70*1,40</t>
  </si>
  <si>
    <t>BANDAS DE MADERA DE  40*1,40</t>
  </si>
  <si>
    <t>DIAS INCLUIDO IVA</t>
  </si>
  <si>
    <t xml:space="preserve">TOTAL DIAS </t>
  </si>
  <si>
    <t>IVA</t>
  </si>
  <si>
    <t>LLEVADA Y RECOGIDA</t>
  </si>
  <si>
    <t>MAYO 16 A JUNIO 5 2026</t>
  </si>
  <si>
    <t>EDINSON CARIILLO</t>
  </si>
  <si>
    <t>CALLE 48 #26-63 POBLADO GIRON</t>
  </si>
  <si>
    <t>SALDO</t>
  </si>
  <si>
    <t>BANDAS DE MADERA DE 40*1,40</t>
  </si>
  <si>
    <t>HORA</t>
  </si>
  <si>
    <t>Transporte</t>
  </si>
  <si>
    <t>COTIZACION</t>
  </si>
  <si>
    <t>MOVIMIENTO:MAYO 16 A JUNIO 5 /2026</t>
  </si>
  <si>
    <t xml:space="preserve">ABONO </t>
  </si>
  <si>
    <t>DESCUENTO</t>
  </si>
  <si>
    <t>CANCELADO 6 JUNIO 2026</t>
  </si>
  <si>
    <t>BIOCOMBUSTIBLE</t>
  </si>
  <si>
    <t>CALLE 19 CON CRA 20</t>
  </si>
  <si>
    <t>MARCOS DE ANDAMIOS 0,90*2MTROS</t>
  </si>
  <si>
    <t xml:space="preserve">TABLONES CORTOS </t>
  </si>
  <si>
    <t>RUEDAS NIVELADORES</t>
  </si>
  <si>
    <t>IVA 19 %</t>
  </si>
  <si>
    <t>DEPOSITO</t>
  </si>
  <si>
    <t xml:space="preserve">BIOCOMBUSTIBLE </t>
  </si>
  <si>
    <t>CRA 17 #7-84  TEL: 3187003374</t>
  </si>
  <si>
    <t>CRUCETAS DE 2,4</t>
  </si>
  <si>
    <t>TABLONES DE MADERA 70*1,40</t>
  </si>
  <si>
    <t xml:space="preserve">RUEDAS NIVELADORAS </t>
  </si>
  <si>
    <t>SRF-520</t>
  </si>
  <si>
    <t>10:001</t>
  </si>
  <si>
    <t>JUNIO 16 AL 24</t>
  </si>
  <si>
    <t>MOVIMIENTO:JUNIO 16 AL 24 /2026</t>
  </si>
  <si>
    <t>A DEVOLVER</t>
  </si>
  <si>
    <t>NEQUI</t>
  </si>
  <si>
    <t>N EQUI</t>
  </si>
  <si>
    <t>TEJIDO ARQUITECTONICO</t>
  </si>
  <si>
    <t>CRA 38 #41-108</t>
  </si>
  <si>
    <t>MATERIAL EN OBRA</t>
  </si>
  <si>
    <t>MARCOS DE ANDAMIOS AZULES DE 1,50</t>
  </si>
  <si>
    <t>CRUCETAS DE 2,40</t>
  </si>
  <si>
    <t>TABLONES DE 3 MTROS</t>
  </si>
  <si>
    <t>ANDRES MONTASGUFF: 3163225348</t>
  </si>
  <si>
    <t>TEJIDO URBANO</t>
  </si>
  <si>
    <t xml:space="preserve">WILSON MORENO: 3007009408CRA 38#41-108 </t>
  </si>
  <si>
    <t xml:space="preserve">SECCIONES DE ANDAMIOS </t>
  </si>
  <si>
    <t>TABLONES DE 3 METROS</t>
  </si>
  <si>
    <t>RUEDAS NIVELADORAS</t>
  </si>
  <si>
    <t>TRANSPORTE</t>
  </si>
  <si>
    <t xml:space="preserve"> GRANTOTAL</t>
  </si>
  <si>
    <t>MOVIMIENTO: MAYO 10 A JULIO 5/2026</t>
  </si>
  <si>
    <t>MAYO 11 A JUNIO 13/ 2026</t>
  </si>
  <si>
    <t>JUNIO 14 AL 20</t>
  </si>
  <si>
    <t>JUNIO 21 A JULIO 5</t>
  </si>
  <si>
    <t>MAYO 11 A JULIO 5 2026</t>
  </si>
  <si>
    <t>KARIME OBRA PORTASCHUELO</t>
  </si>
  <si>
    <t>CRA 17 #5-35 COMUNEROS TEL: 3184228009</t>
  </si>
  <si>
    <r>
      <t xml:space="preserve">MOVIMIENTO </t>
    </r>
    <r>
      <rPr>
        <b/>
        <sz val="14"/>
        <color rgb="FFFF0000"/>
        <rFont val="Calibri"/>
        <family val="2"/>
        <scheme val="minor"/>
      </rPr>
      <t>MAYO 21 AL 31</t>
    </r>
  </si>
  <si>
    <t>FORMALETA DE 60*1,20</t>
  </si>
  <si>
    <t>FORMALETA DE 40*1,20</t>
  </si>
  <si>
    <t>FORMALETA DE 30*1,20</t>
  </si>
  <si>
    <t>FORMALETA DE 25*1,20</t>
  </si>
  <si>
    <t>FORMALETA DE 20*1,20</t>
  </si>
  <si>
    <t>ANGULOS DE 1,20</t>
  </si>
  <si>
    <t>ANGULOS DE 60</t>
  </si>
  <si>
    <t>ALINEADOR DE 1 MTRO</t>
  </si>
  <si>
    <t>TENSORES</t>
  </si>
  <si>
    <t xml:space="preserve">CHAPETAS </t>
  </si>
  <si>
    <t>PARALES DE 3 MTROS</t>
  </si>
  <si>
    <t>PARALES DE 4 MTRS</t>
  </si>
  <si>
    <t>PARALES DE 1 MTRO</t>
  </si>
  <si>
    <t xml:space="preserve">PARALES DE 6 MTROS </t>
  </si>
  <si>
    <t>CAJAS METALICAS</t>
  </si>
  <si>
    <t>CWG-768</t>
  </si>
  <si>
    <t>WFC-486</t>
  </si>
  <si>
    <t>JIMMY JAIMES CARRILLO</t>
  </si>
  <si>
    <t>KARIME</t>
  </si>
  <si>
    <t>PORTACHUELO</t>
  </si>
  <si>
    <t>CHAPETAS</t>
  </si>
  <si>
    <t>PARALES DE  3 MTROS</t>
  </si>
  <si>
    <t>PARALES DE  4 MTROS</t>
  </si>
  <si>
    <t>PARALS DE 1 MTRO</t>
  </si>
  <si>
    <t>PARALS DE 6 MTRO</t>
  </si>
  <si>
    <t>MAYO 21 AL 31</t>
  </si>
  <si>
    <t xml:space="preserve">VALOR IVA INCLUIDO </t>
  </si>
  <si>
    <t>VALOR DIAS</t>
  </si>
  <si>
    <t>TRANSPORTE LLEVADA Y TRAIDA</t>
  </si>
  <si>
    <t>VALOR  TOTAL</t>
  </si>
  <si>
    <t>MATERIAL NO ENTREGADO</t>
  </si>
  <si>
    <t xml:space="preserve">CANTIDAD </t>
  </si>
  <si>
    <t xml:space="preserve">VALOR </t>
  </si>
  <si>
    <t>TOTAL</t>
  </si>
  <si>
    <t xml:space="preserve">UNITARIO </t>
  </si>
  <si>
    <t>ANGULO DE 60</t>
  </si>
  <si>
    <t>PARAL DE 4 MTROS</t>
  </si>
  <si>
    <t xml:space="preserve">BASE DE PARAL </t>
  </si>
  <si>
    <t>TOTAL MATERIAL A LA FECHA</t>
  </si>
  <si>
    <t>RET 4%</t>
  </si>
  <si>
    <t>ADEUDADO A MAYO 20 2026</t>
  </si>
  <si>
    <t>PREFACTURA MAYO 21 AL 31</t>
  </si>
  <si>
    <t>TOTAL A PAGAR A 31  MAYO</t>
  </si>
  <si>
    <t>MOVIMIENTO:JUNIO 1 AL 30</t>
  </si>
  <si>
    <t xml:space="preserve">BASE DE PARAL DE 3 MTROS </t>
  </si>
  <si>
    <t xml:space="preserve">ALINEADOR DE 4 MTROS </t>
  </si>
  <si>
    <t>CAJA METALICA</t>
  </si>
  <si>
    <t>AWG-768</t>
  </si>
  <si>
    <t>RDR-416</t>
  </si>
  <si>
    <t>JUNIO 1 AL 30</t>
  </si>
  <si>
    <t>JUNIO 4 AL 22</t>
  </si>
  <si>
    <t>JUNIO 1 AL 22</t>
  </si>
  <si>
    <t>BASE PARALES DE  3 MTROS</t>
  </si>
  <si>
    <t>ALINEADOR DE4 MTRO</t>
  </si>
  <si>
    <t>JUNIO 4 AL 30</t>
  </si>
  <si>
    <t>JUNIO 22 AL 30</t>
  </si>
  <si>
    <t>JUNIO 25 AL 30</t>
  </si>
  <si>
    <t>EQUIORIENTE S.A.S</t>
  </si>
  <si>
    <t>CONSORCIO LA VICTORIA 2</t>
  </si>
  <si>
    <t>RUBEN FORERO : 3223053468</t>
  </si>
  <si>
    <t>FORMALETA DE 50*1,20</t>
  </si>
  <si>
    <t>FORMALETA DE 25*120</t>
  </si>
  <si>
    <t>ALINEADOR DE 6 MTRS</t>
  </si>
  <si>
    <t>ALINEADOR DE 3 MTROS</t>
  </si>
  <si>
    <t xml:space="preserve">TENSORES </t>
  </si>
  <si>
    <t>ANGULOS DE 1.20</t>
  </si>
  <si>
    <t>RINCONERAS DE 10*10*1,20</t>
  </si>
  <si>
    <t xml:space="preserve">PARALES DE 4 MTROS </t>
  </si>
  <si>
    <t xml:space="preserve">PINES </t>
  </si>
  <si>
    <t>TOTAL DIARIO IVA INCLUIDO</t>
  </si>
  <si>
    <t xml:space="preserve">IVA </t>
  </si>
  <si>
    <t>TOTAL ALQUILER</t>
  </si>
  <si>
    <t>JUNIO 1 AL30 DE 2026</t>
  </si>
  <si>
    <t>ALQUILER 30 DIAS SIN IVA</t>
  </si>
  <si>
    <t>CONSORCIO LA VICTORIA</t>
  </si>
  <si>
    <t>CRA 13 CON CALLE 69 VICTORIA</t>
  </si>
  <si>
    <t>MOVIMIENTO:MAYO 1 AL31/ 2026</t>
  </si>
  <si>
    <t>EN OBRA</t>
  </si>
  <si>
    <t>ALINEADORES DE 6 MTROS</t>
  </si>
  <si>
    <t>ALINEADORES DE 3 MTROS</t>
  </si>
  <si>
    <t>FORAMLETA DE 50*1,20</t>
  </si>
  <si>
    <t>FORMALETA DE 30 1,20</t>
  </si>
  <si>
    <t>COBRAR LA FORMALETA DE 30 NO SE RECIBIO PERO SE ANEXA PARA RECORDAR EN INVENTARIO</t>
  </si>
  <si>
    <t>RINCONERAS 10*10*1,20</t>
  </si>
  <si>
    <t>PARALES DE 4 MTROS</t>
  </si>
  <si>
    <t>PINES</t>
  </si>
  <si>
    <t>Hora</t>
  </si>
  <si>
    <t>3:30PM</t>
  </si>
  <si>
    <t>JUNIO 1 AL 24</t>
  </si>
  <si>
    <t>JUNIO25 AL 30</t>
  </si>
  <si>
    <t>PERIODO</t>
  </si>
  <si>
    <t>FORMALETA 60 X 120</t>
  </si>
  <si>
    <t>TOTAL MATERIAL ADAÑADO A JUNIO 30 /2026</t>
  </si>
  <si>
    <t>COBRAR LA S 2 FORMALETAS DE 60 NO SE RECIBIO PERO SE ANEXA PARA RECORDAR EN INVENTARIO</t>
  </si>
  <si>
    <t>aparecio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</si>
</sst>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(&quot;$&quot;\ * #,##0_);_(&quot;$&quot;\ * \(#,##0\);_(&quot;$&quot;\ * &quot;-&quot;??_);_(@_)"/>
    <numFmt numFmtId="165" formatCode="h:mm:ss;@"/>
    <numFmt numFmtId="166" formatCode="_-&quot;$&quot;\ * #,##0_-;\-&quot;$&quot;\ * #,##0_-;_-&quot;$&quot;\ * &quot;-&quot;??_-;_-@_-"/>
    <numFmt numFmtId="167" formatCode="_-&quot;$&quot;\ * #,##0.000_-;\-&quot;$&quot;\ * #,##0.000_-;_-&quot;$&quot;\ * &quot;-&quot;?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Arial Black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theme="1"/>
      <name val="Arial Black"/>
      <family val="2"/>
    </font>
    <font>
      <b/>
      <sz val="14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ADLaM Display"/>
    </font>
    <font>
      <b/>
      <sz val="11"/>
      <color theme="1"/>
      <name val="ADLaM Display"/>
    </font>
    <font>
      <b/>
      <sz val="10"/>
      <color theme="1"/>
      <name val="ADLaM Display"/>
    </font>
    <font>
      <b/>
      <sz val="14"/>
      <color theme="1"/>
      <name val="ADLaM Display"/>
    </font>
    <font>
      <b/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0">
    <xf numFmtId="0" fontId="0" fillId="0" borderId="0" xfId="0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0" fontId="0" fillId="3" borderId="6" xfId="0" applyFill="1" applyBorder="1" applyAlignment="1">
      <alignment horizontal="center"/>
    </xf>
    <xf numFmtId="164" fontId="0" fillId="0" borderId="8" xfId="2" applyNumberFormat="1" applyFont="1" applyFill="1" applyBorder="1"/>
    <xf numFmtId="164" fontId="0" fillId="0" borderId="6" xfId="2" applyNumberFormat="1" applyFont="1" applyFill="1" applyBorder="1"/>
    <xf numFmtId="164" fontId="0" fillId="0" borderId="7" xfId="2" applyNumberFormat="1" applyFont="1" applyFill="1" applyBorder="1"/>
    <xf numFmtId="0" fontId="0" fillId="3" borderId="9" xfId="0" applyFill="1" applyBorder="1" applyAlignment="1">
      <alignment horizontal="center"/>
    </xf>
    <xf numFmtId="164" fontId="5" fillId="3" borderId="6" xfId="2" applyNumberFormat="1" applyFont="1" applyFill="1" applyBorder="1"/>
    <xf numFmtId="0" fontId="0" fillId="0" borderId="10" xfId="0" applyBorder="1" applyAlignment="1">
      <alignment horizontal="center"/>
    </xf>
    <xf numFmtId="164" fontId="5" fillId="4" borderId="13" xfId="2" applyNumberFormat="1" applyFont="1" applyFill="1" applyBorder="1"/>
    <xf numFmtId="0" fontId="0" fillId="0" borderId="14" xfId="0" applyBorder="1" applyAlignment="1">
      <alignment horizontal="center"/>
    </xf>
    <xf numFmtId="164" fontId="5" fillId="4" borderId="12" xfId="2" applyNumberFormat="1" applyFont="1" applyFill="1" applyBorder="1"/>
    <xf numFmtId="164" fontId="5" fillId="5" borderId="12" xfId="2" applyNumberFormat="1" applyFont="1" applyFill="1" applyBorder="1"/>
    <xf numFmtId="164" fontId="5" fillId="6" borderId="13" xfId="2" applyNumberFormat="1" applyFont="1" applyFill="1" applyBorder="1"/>
    <xf numFmtId="0" fontId="0" fillId="0" borderId="20" xfId="0" applyBorder="1" applyAlignment="1">
      <alignment horizontal="center"/>
    </xf>
    <xf numFmtId="0" fontId="2" fillId="8" borderId="23" xfId="0" applyFont="1" applyFill="1" applyBorder="1" applyAlignment="1">
      <alignment horizontal="center" vertical="center"/>
    </xf>
    <xf numFmtId="16" fontId="2" fillId="8" borderId="6" xfId="0" applyNumberFormat="1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165" fontId="2" fillId="8" borderId="6" xfId="0" applyNumberFormat="1" applyFont="1" applyFill="1" applyBorder="1" applyAlignment="1">
      <alignment horizontal="center" vertical="center"/>
    </xf>
    <xf numFmtId="20" fontId="2" fillId="8" borderId="6" xfId="0" applyNumberFormat="1" applyFont="1" applyFill="1" applyBorder="1" applyAlignment="1">
      <alignment horizontal="center" vertical="center"/>
    </xf>
    <xf numFmtId="44" fontId="0" fillId="0" borderId="0" xfId="1" applyFont="1"/>
    <xf numFmtId="167" fontId="0" fillId="0" borderId="0" xfId="0" applyNumberFormat="1"/>
    <xf numFmtId="0" fontId="8" fillId="3" borderId="0" xfId="0" applyFont="1" applyFill="1"/>
    <xf numFmtId="0" fontId="2" fillId="0" borderId="0" xfId="0" applyFont="1"/>
    <xf numFmtId="166" fontId="2" fillId="0" borderId="0" xfId="1" applyNumberFormat="1" applyFont="1"/>
    <xf numFmtId="164" fontId="8" fillId="11" borderId="0" xfId="0" applyNumberFormat="1" applyFont="1" applyFill="1"/>
    <xf numFmtId="0" fontId="8" fillId="0" borderId="0" xfId="0" applyFont="1"/>
    <xf numFmtId="0" fontId="2" fillId="8" borderId="26" xfId="0" applyFont="1" applyFill="1" applyBorder="1" applyAlignment="1">
      <alignment horizontal="left" vertical="center"/>
    </xf>
    <xf numFmtId="0" fontId="2" fillId="9" borderId="27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/>
    </xf>
    <xf numFmtId="16" fontId="2" fillId="9" borderId="7" xfId="0" applyNumberFormat="1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left" vertical="center"/>
    </xf>
    <xf numFmtId="1" fontId="2" fillId="9" borderId="7" xfId="0" applyNumberFormat="1" applyFont="1" applyFill="1" applyBorder="1" applyAlignment="1">
      <alignment horizontal="center" vertical="center"/>
    </xf>
    <xf numFmtId="1" fontId="2" fillId="8" borderId="7" xfId="0" applyNumberFormat="1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left" vertical="center"/>
    </xf>
    <xf numFmtId="166" fontId="2" fillId="8" borderId="13" xfId="1" applyNumberFormat="1" applyFont="1" applyFill="1" applyBorder="1" applyAlignment="1">
      <alignment horizontal="right" vertical="center"/>
    </xf>
    <xf numFmtId="164" fontId="2" fillId="8" borderId="13" xfId="1" applyNumberFormat="1" applyFont="1" applyFill="1" applyBorder="1" applyAlignment="1">
      <alignment horizontal="right" vertical="center"/>
    </xf>
    <xf numFmtId="166" fontId="2" fillId="8" borderId="28" xfId="1" applyNumberFormat="1" applyFont="1" applyFill="1" applyBorder="1" applyAlignment="1">
      <alignment horizontal="center" vertical="center"/>
    </xf>
    <xf numFmtId="166" fontId="0" fillId="0" borderId="0" xfId="1" applyNumberFormat="1" applyFont="1"/>
    <xf numFmtId="0" fontId="2" fillId="8" borderId="23" xfId="0" applyFont="1" applyFill="1" applyBorder="1" applyAlignment="1">
      <alignment horizontal="left" vertical="center"/>
    </xf>
    <xf numFmtId="0" fontId="2" fillId="9" borderId="23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left" vertical="center"/>
    </xf>
    <xf numFmtId="16" fontId="2" fillId="9" borderId="6" xfId="0" applyNumberFormat="1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left" vertical="center"/>
    </xf>
    <xf numFmtId="1" fontId="2" fillId="9" borderId="6" xfId="0" applyNumberFormat="1" applyFont="1" applyFill="1" applyBorder="1" applyAlignment="1">
      <alignment horizontal="center" vertical="center"/>
    </xf>
    <xf numFmtId="1" fontId="2" fillId="8" borderId="6" xfId="0" applyNumberFormat="1" applyFont="1" applyFill="1" applyBorder="1" applyAlignment="1">
      <alignment horizontal="center" vertical="center"/>
    </xf>
    <xf numFmtId="166" fontId="2" fillId="8" borderId="6" xfId="1" applyNumberFormat="1" applyFont="1" applyFill="1" applyBorder="1" applyAlignment="1">
      <alignment horizontal="right" vertical="center"/>
    </xf>
    <xf numFmtId="164" fontId="2" fillId="8" borderId="6" xfId="1" applyNumberFormat="1" applyFont="1" applyFill="1" applyBorder="1" applyAlignment="1">
      <alignment horizontal="right" vertical="center"/>
    </xf>
    <xf numFmtId="166" fontId="2" fillId="8" borderId="6" xfId="1" applyNumberFormat="1" applyFont="1" applyFill="1" applyBorder="1" applyAlignment="1">
      <alignment horizontal="center" vertical="center"/>
    </xf>
    <xf numFmtId="164" fontId="0" fillId="0" borderId="0" xfId="0" applyNumberFormat="1"/>
    <xf numFmtId="16" fontId="0" fillId="0" borderId="0" xfId="0" applyNumberFormat="1"/>
    <xf numFmtId="0" fontId="2" fillId="5" borderId="23" xfId="0" applyFont="1" applyFill="1" applyBorder="1" applyAlignment="1">
      <alignment horizontal="center" vertical="center"/>
    </xf>
    <xf numFmtId="16" fontId="2" fillId="5" borderId="6" xfId="0" applyNumberFormat="1" applyFont="1" applyFill="1" applyBorder="1" applyAlignment="1">
      <alignment horizontal="center" vertical="center"/>
    </xf>
    <xf numFmtId="1" fontId="2" fillId="5" borderId="6" xfId="0" applyNumberFormat="1" applyFont="1" applyFill="1" applyBorder="1" applyAlignment="1">
      <alignment horizontal="center" vertical="center"/>
    </xf>
    <xf numFmtId="1" fontId="2" fillId="2" borderId="6" xfId="0" applyNumberFormat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0" fillId="4" borderId="6" xfId="0" applyFill="1" applyBorder="1" applyAlignment="1">
      <alignment horizontal="center"/>
    </xf>
    <xf numFmtId="164" fontId="0" fillId="4" borderId="6" xfId="1" applyNumberFormat="1" applyFont="1" applyFill="1" applyBorder="1"/>
    <xf numFmtId="164" fontId="0" fillId="0" borderId="7" xfId="1" applyNumberFormat="1" applyFont="1" applyBorder="1"/>
    <xf numFmtId="164" fontId="5" fillId="13" borderId="6" xfId="1" applyNumberFormat="1" applyFont="1" applyFill="1" applyBorder="1"/>
    <xf numFmtId="164" fontId="5" fillId="14" borderId="6" xfId="1" applyNumberFormat="1" applyFont="1" applyFill="1" applyBorder="1"/>
    <xf numFmtId="164" fontId="5" fillId="14" borderId="12" xfId="1" applyNumberFormat="1" applyFont="1" applyFill="1" applyBorder="1"/>
    <xf numFmtId="164" fontId="12" fillId="15" borderId="13" xfId="1" applyNumberFormat="1" applyFont="1" applyFill="1" applyBorder="1"/>
    <xf numFmtId="1" fontId="2" fillId="3" borderId="6" xfId="0" applyNumberFormat="1" applyFont="1" applyFill="1" applyBorder="1" applyAlignment="1">
      <alignment horizontal="center" vertical="center"/>
    </xf>
    <xf numFmtId="0" fontId="2" fillId="10" borderId="26" xfId="0" applyFont="1" applyFill="1" applyBorder="1" applyAlignment="1">
      <alignment horizontal="left" vertical="center"/>
    </xf>
    <xf numFmtId="0" fontId="2" fillId="10" borderId="23" xfId="0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center" vertical="center"/>
    </xf>
    <xf numFmtId="0" fontId="2" fillId="16" borderId="27" xfId="0" applyFont="1" applyFill="1" applyBorder="1" applyAlignment="1">
      <alignment horizontal="center" vertical="center"/>
    </xf>
    <xf numFmtId="16" fontId="2" fillId="10" borderId="6" xfId="0" applyNumberFormat="1" applyFont="1" applyFill="1" applyBorder="1" applyAlignment="1">
      <alignment horizontal="center" vertical="center"/>
    </xf>
    <xf numFmtId="16" fontId="2" fillId="16" borderId="7" xfId="0" applyNumberFormat="1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left" vertical="center"/>
    </xf>
    <xf numFmtId="1" fontId="2" fillId="10" borderId="6" xfId="0" applyNumberFormat="1" applyFont="1" applyFill="1" applyBorder="1" applyAlignment="1">
      <alignment horizontal="center" vertical="center"/>
    </xf>
    <xf numFmtId="1" fontId="2" fillId="16" borderId="7" xfId="0" applyNumberFormat="1" applyFont="1" applyFill="1" applyBorder="1" applyAlignment="1">
      <alignment horizontal="center" vertical="center"/>
    </xf>
    <xf numFmtId="20" fontId="2" fillId="10" borderId="6" xfId="0" applyNumberFormat="1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left" vertical="center"/>
    </xf>
    <xf numFmtId="164" fontId="2" fillId="10" borderId="13" xfId="1" applyNumberFormat="1" applyFont="1" applyFill="1" applyBorder="1" applyAlignment="1">
      <alignment horizontal="right" vertical="center"/>
    </xf>
    <xf numFmtId="1" fontId="2" fillId="10" borderId="28" xfId="0" applyNumberFormat="1" applyFont="1" applyFill="1" applyBorder="1" applyAlignment="1">
      <alignment horizontal="center" vertical="center"/>
    </xf>
    <xf numFmtId="164" fontId="0" fillId="0" borderId="8" xfId="1" applyNumberFormat="1" applyFont="1" applyFill="1" applyBorder="1"/>
    <xf numFmtId="164" fontId="0" fillId="0" borderId="6" xfId="1" applyNumberFormat="1" applyFont="1" applyFill="1" applyBorder="1"/>
    <xf numFmtId="164" fontId="0" fillId="0" borderId="7" xfId="1" applyNumberFormat="1" applyFont="1" applyFill="1" applyBorder="1"/>
    <xf numFmtId="164" fontId="5" fillId="9" borderId="6" xfId="1" applyNumberFormat="1" applyFont="1" applyFill="1" applyBorder="1"/>
    <xf numFmtId="164" fontId="5" fillId="5" borderId="6" xfId="1" applyNumberFormat="1" applyFont="1" applyFill="1" applyBorder="1"/>
    <xf numFmtId="164" fontId="5" fillId="3" borderId="13" xfId="1" applyNumberFormat="1" applyFont="1" applyFill="1" applyBorder="1"/>
    <xf numFmtId="0" fontId="2" fillId="14" borderId="6" xfId="0" applyFont="1" applyFill="1" applyBorder="1" applyAlignment="1">
      <alignment horizontal="center"/>
    </xf>
    <xf numFmtId="0" fontId="0" fillId="14" borderId="6" xfId="0" applyFill="1" applyBorder="1"/>
    <xf numFmtId="0" fontId="2" fillId="14" borderId="6" xfId="0" applyFont="1" applyFill="1" applyBorder="1"/>
    <xf numFmtId="0" fontId="0" fillId="0" borderId="6" xfId="0" applyBorder="1"/>
    <xf numFmtId="166" fontId="0" fillId="0" borderId="6" xfId="1" applyNumberFormat="1" applyFont="1" applyBorder="1" applyAlignment="1">
      <alignment horizontal="center"/>
    </xf>
    <xf numFmtId="166" fontId="0" fillId="0" borderId="6" xfId="1" applyNumberFormat="1" applyFont="1" applyBorder="1"/>
    <xf numFmtId="166" fontId="0" fillId="0" borderId="6" xfId="0" applyNumberFormat="1" applyBorder="1"/>
    <xf numFmtId="0" fontId="8" fillId="14" borderId="6" xfId="0" applyFont="1" applyFill="1" applyBorder="1"/>
    <xf numFmtId="0" fontId="5" fillId="0" borderId="0" xfId="0" applyFont="1"/>
    <xf numFmtId="166" fontId="5" fillId="0" borderId="0" xfId="1" applyNumberFormat="1" applyFont="1"/>
    <xf numFmtId="164" fontId="5" fillId="0" borderId="0" xfId="0" applyNumberFormat="1" applyFont="1"/>
    <xf numFmtId="0" fontId="16" fillId="0" borderId="0" xfId="0" applyFont="1"/>
    <xf numFmtId="166" fontId="17" fillId="0" borderId="0" xfId="1" applyNumberFormat="1" applyFont="1"/>
    <xf numFmtId="166" fontId="0" fillId="0" borderId="0" xfId="0" applyNumberFormat="1"/>
    <xf numFmtId="0" fontId="17" fillId="0" borderId="0" xfId="0" applyFont="1"/>
    <xf numFmtId="166" fontId="18" fillId="0" borderId="0" xfId="1" applyNumberFormat="1" applyFont="1"/>
    <xf numFmtId="0" fontId="17" fillId="11" borderId="0" xfId="0" applyFont="1" applyFill="1"/>
    <xf numFmtId="0" fontId="0" fillId="11" borderId="0" xfId="0" applyFill="1"/>
    <xf numFmtId="166" fontId="19" fillId="11" borderId="0" xfId="0" applyNumberFormat="1" applyFont="1" applyFill="1"/>
    <xf numFmtId="166" fontId="5" fillId="0" borderId="0" xfId="0" applyNumberFormat="1" applyFont="1"/>
    <xf numFmtId="0" fontId="2" fillId="8" borderId="27" xfId="0" applyFont="1" applyFill="1" applyBorder="1" applyAlignment="1">
      <alignment horizontal="center" vertical="center"/>
    </xf>
    <xf numFmtId="16" fontId="2" fillId="8" borderId="23" xfId="0" applyNumberFormat="1" applyFont="1" applyFill="1" applyBorder="1" applyAlignment="1">
      <alignment horizontal="center" vertical="center"/>
    </xf>
    <xf numFmtId="16" fontId="14" fillId="8" borderId="6" xfId="0" applyNumberFormat="1" applyFont="1" applyFill="1" applyBorder="1" applyAlignment="1">
      <alignment horizontal="center" vertical="center"/>
    </xf>
    <xf numFmtId="16" fontId="2" fillId="3" borderId="7" xfId="0" applyNumberFormat="1" applyFont="1" applyFill="1" applyBorder="1" applyAlignment="1">
      <alignment horizontal="center" vertical="center"/>
    </xf>
    <xf numFmtId="1" fontId="2" fillId="13" borderId="7" xfId="0" applyNumberFormat="1" applyFont="1" applyFill="1" applyBorder="1" applyAlignment="1">
      <alignment horizontal="center" vertical="center"/>
    </xf>
    <xf numFmtId="165" fontId="2" fillId="9" borderId="6" xfId="0" applyNumberFormat="1" applyFont="1" applyFill="1" applyBorder="1" applyAlignment="1">
      <alignment horizontal="center" vertical="center"/>
    </xf>
    <xf numFmtId="164" fontId="2" fillId="9" borderId="13" xfId="1" applyNumberFormat="1" applyFont="1" applyFill="1" applyBorder="1" applyAlignment="1">
      <alignment horizontal="right" vertical="center"/>
    </xf>
    <xf numFmtId="1" fontId="2" fillId="8" borderId="28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17" borderId="6" xfId="0" applyFill="1" applyBorder="1" applyAlignment="1">
      <alignment horizontal="center"/>
    </xf>
    <xf numFmtId="164" fontId="0" fillId="10" borderId="6" xfId="1" applyNumberFormat="1" applyFont="1" applyFill="1" applyBorder="1"/>
    <xf numFmtId="164" fontId="5" fillId="4" borderId="6" xfId="1" applyNumberFormat="1" applyFont="1" applyFill="1" applyBorder="1"/>
    <xf numFmtId="0" fontId="2" fillId="10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0" fillId="3" borderId="0" xfId="0" applyFill="1"/>
    <xf numFmtId="164" fontId="5" fillId="3" borderId="6" xfId="1" applyNumberFormat="1" applyFont="1" applyFill="1" applyBorder="1"/>
    <xf numFmtId="164" fontId="5" fillId="15" borderId="6" xfId="1" applyNumberFormat="1" applyFont="1" applyFill="1" applyBorder="1"/>
    <xf numFmtId="0" fontId="2" fillId="14" borderId="46" xfId="0" applyFont="1" applyFill="1" applyBorder="1" applyAlignment="1">
      <alignment horizontal="center"/>
    </xf>
    <xf numFmtId="0" fontId="2" fillId="14" borderId="47" xfId="0" applyFont="1" applyFill="1" applyBorder="1" applyAlignment="1">
      <alignment horizontal="center"/>
    </xf>
    <xf numFmtId="0" fontId="2" fillId="14" borderId="48" xfId="0" applyFont="1" applyFill="1" applyBorder="1" applyAlignment="1">
      <alignment horizontal="center"/>
    </xf>
    <xf numFmtId="0" fontId="0" fillId="14" borderId="5" xfId="0" applyFill="1" applyBorder="1"/>
    <xf numFmtId="0" fontId="2" fillId="14" borderId="7" xfId="0" applyFont="1" applyFill="1" applyBorder="1"/>
    <xf numFmtId="166" fontId="0" fillId="0" borderId="7" xfId="1" applyNumberFormat="1" applyFont="1" applyBorder="1"/>
    <xf numFmtId="166" fontId="8" fillId="14" borderId="7" xfId="0" applyNumberFormat="1" applyFont="1" applyFill="1" applyBorder="1" applyAlignment="1">
      <alignment horizontal="center"/>
    </xf>
    <xf numFmtId="166" fontId="0" fillId="0" borderId="7" xfId="0" applyNumberFormat="1" applyBorder="1"/>
    <xf numFmtId="0" fontId="0" fillId="0" borderId="13" xfId="0" applyBorder="1"/>
    <xf numFmtId="166" fontId="0" fillId="0" borderId="28" xfId="0" applyNumberFormat="1" applyBorder="1"/>
    <xf numFmtId="0" fontId="5" fillId="0" borderId="6" xfId="0" applyFont="1" applyBorder="1"/>
    <xf numFmtId="0" fontId="0" fillId="10" borderId="0" xfId="0" applyFill="1"/>
    <xf numFmtId="0" fontId="2" fillId="8" borderId="7" xfId="0" applyFont="1" applyFill="1" applyBorder="1" applyAlignment="1">
      <alignment horizontal="center" vertical="center"/>
    </xf>
    <xf numFmtId="16" fontId="2" fillId="8" borderId="7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1" fontId="2" fillId="2" borderId="7" xfId="0" applyNumberFormat="1" applyFont="1" applyFill="1" applyBorder="1" applyAlignment="1">
      <alignment horizontal="center" vertical="center"/>
    </xf>
    <xf numFmtId="0" fontId="2" fillId="8" borderId="5" xfId="0" applyFont="1" applyFill="1" applyBorder="1" applyAlignment="1">
      <alignment vertical="center"/>
    </xf>
    <xf numFmtId="0" fontId="2" fillId="8" borderId="19" xfId="0" applyFont="1" applyFill="1" applyBorder="1" applyAlignment="1">
      <alignment vertical="center"/>
    </xf>
    <xf numFmtId="166" fontId="2" fillId="8" borderId="13" xfId="1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/>
    </xf>
    <xf numFmtId="0" fontId="7" fillId="9" borderId="22" xfId="0" applyFont="1" applyFill="1" applyBorder="1" applyAlignment="1">
      <alignment horizontal="center"/>
    </xf>
    <xf numFmtId="0" fontId="7" fillId="9" borderId="24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25" xfId="0" applyFont="1" applyFill="1" applyBorder="1" applyAlignment="1">
      <alignment horizontal="center"/>
    </xf>
    <xf numFmtId="0" fontId="5" fillId="2" borderId="39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2" borderId="41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14" fontId="6" fillId="3" borderId="5" xfId="0" applyNumberFormat="1" applyFont="1" applyFill="1" applyBorder="1" applyAlignment="1">
      <alignment horizontal="center" vertical="center" wrapText="1"/>
    </xf>
    <xf numFmtId="14" fontId="6" fillId="3" borderId="6" xfId="0" applyNumberFormat="1" applyFont="1" applyFill="1" applyBorder="1" applyAlignment="1">
      <alignment horizontal="center" vertical="center" wrapText="1"/>
    </xf>
    <xf numFmtId="14" fontId="6" fillId="3" borderId="19" xfId="0" applyNumberFormat="1" applyFont="1" applyFill="1" applyBorder="1" applyAlignment="1">
      <alignment horizontal="center" vertical="center" wrapText="1"/>
    </xf>
    <xf numFmtId="14" fontId="6" fillId="3" borderId="13" xfId="0" applyNumberFormat="1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166" fontId="8" fillId="14" borderId="9" xfId="0" applyNumberFormat="1" applyFont="1" applyFill="1" applyBorder="1" applyAlignment="1">
      <alignment horizontal="center"/>
    </xf>
    <xf numFmtId="0" fontId="8" fillId="14" borderId="4" xfId="0" applyFont="1" applyFill="1" applyBorder="1" applyAlignment="1">
      <alignment horizontal="center"/>
    </xf>
    <xf numFmtId="0" fontId="8" fillId="14" borderId="8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2" xfId="0" applyFont="1" applyFill="1" applyBorder="1" applyAlignment="1">
      <alignment horizontal="center"/>
    </xf>
    <xf numFmtId="0" fontId="7" fillId="7" borderId="24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/>
    </xf>
    <xf numFmtId="0" fontId="7" fillId="7" borderId="4" xfId="0" applyFont="1" applyFill="1" applyBorder="1" applyAlignment="1">
      <alignment horizontal="center"/>
    </xf>
    <xf numFmtId="0" fontId="7" fillId="7" borderId="25" xfId="0" applyFont="1" applyFill="1" applyBorder="1" applyAlignment="1">
      <alignment horizontal="center"/>
    </xf>
    <xf numFmtId="14" fontId="6" fillId="3" borderId="11" xfId="0" applyNumberFormat="1" applyFont="1" applyFill="1" applyBorder="1" applyAlignment="1">
      <alignment horizontal="center" vertical="center" wrapText="1"/>
    </xf>
    <xf numFmtId="14" fontId="6" fillId="3" borderId="12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14" fontId="9" fillId="3" borderId="11" xfId="0" applyNumberFormat="1" applyFont="1" applyFill="1" applyBorder="1" applyAlignment="1">
      <alignment horizontal="center" vertical="center" wrapText="1"/>
    </xf>
    <xf numFmtId="14" fontId="9" fillId="3" borderId="12" xfId="0" applyNumberFormat="1" applyFont="1" applyFill="1" applyBorder="1" applyAlignment="1">
      <alignment horizontal="center" vertical="center" wrapText="1"/>
    </xf>
    <xf numFmtId="14" fontId="9" fillId="3" borderId="19" xfId="0" applyNumberFormat="1" applyFont="1" applyFill="1" applyBorder="1" applyAlignment="1">
      <alignment horizontal="center" vertical="center" wrapText="1"/>
    </xf>
    <xf numFmtId="14" fontId="9" fillId="3" borderId="13" xfId="0" applyNumberFormat="1" applyFont="1" applyFill="1" applyBorder="1" applyAlignment="1">
      <alignment horizontal="center" vertical="center" wrapText="1"/>
    </xf>
    <xf numFmtId="14" fontId="6" fillId="3" borderId="29" xfId="0" applyNumberFormat="1" applyFont="1" applyFill="1" applyBorder="1" applyAlignment="1">
      <alignment horizontal="center" vertical="center" wrapText="1"/>
    </xf>
    <xf numFmtId="14" fontId="6" fillId="3" borderId="30" xfId="0" applyNumberFormat="1" applyFont="1" applyFill="1" applyBorder="1" applyAlignment="1">
      <alignment horizontal="center" vertical="center" wrapText="1"/>
    </xf>
    <xf numFmtId="14" fontId="6" fillId="3" borderId="33" xfId="0" applyNumberFormat="1" applyFont="1" applyFill="1" applyBorder="1" applyAlignment="1">
      <alignment horizontal="center" vertical="center" wrapText="1"/>
    </xf>
    <xf numFmtId="14" fontId="6" fillId="3" borderId="34" xfId="0" applyNumberFormat="1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2" fillId="13" borderId="9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5" borderId="35" xfId="0" applyFont="1" applyFill="1" applyBorder="1" applyAlignment="1">
      <alignment horizontal="center" vertical="center"/>
    </xf>
    <xf numFmtId="0" fontId="2" fillId="15" borderId="36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7" fillId="12" borderId="25" xfId="0" applyFont="1" applyFill="1" applyBorder="1" applyAlignment="1">
      <alignment horizontal="center"/>
    </xf>
    <xf numFmtId="0" fontId="15" fillId="4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15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14" borderId="5" xfId="0" applyFont="1" applyFill="1" applyBorder="1" applyAlignment="1">
      <alignment horizontal="center"/>
    </xf>
    <xf numFmtId="0" fontId="8" fillId="14" borderId="6" xfId="0" applyFont="1" applyFill="1" applyBorder="1" applyAlignment="1">
      <alignment horizontal="center"/>
    </xf>
    <xf numFmtId="0" fontId="8" fillId="14" borderId="19" xfId="0" applyFont="1" applyFill="1" applyBorder="1" applyAlignment="1">
      <alignment horizontal="center"/>
    </xf>
    <xf numFmtId="0" fontId="8" fillId="14" borderId="13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 vertical="center"/>
    </xf>
    <xf numFmtId="0" fontId="2" fillId="8" borderId="2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14" fontId="9" fillId="3" borderId="6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/>
    </xf>
    <xf numFmtId="164" fontId="0" fillId="5" borderId="6" xfId="1" applyNumberFormat="1" applyFont="1" applyFill="1" applyBorder="1"/>
    <xf numFmtId="0" fontId="15" fillId="0" borderId="6" xfId="0" applyFont="1" applyBorder="1" applyAlignment="1">
      <alignment horizontal="center" vertical="center"/>
    </xf>
  </cellXfs>
  <cellStyles count="3">
    <cellStyle name="Moneda" xfId="1" builtinId="4"/>
    <cellStyle name="Moneda 3" xfId="2" xr:uid="{838B975B-9DFB-4F22-8E51-63D249935FE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</xdr:row>
      <xdr:rowOff>133350</xdr:rowOff>
    </xdr:from>
    <xdr:ext cx="2095500" cy="781050"/>
    <xdr:pic>
      <xdr:nvPicPr>
        <xdr:cNvPr id="2" name="5 Imagen">
          <a:extLst>
            <a:ext uri="{FF2B5EF4-FFF2-40B4-BE49-F238E27FC236}">
              <a16:creationId xmlns:a16="http://schemas.microsoft.com/office/drawing/2014/main" id="{25C8923C-0316-4B2A-87AA-7C28B8B6733B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3752850"/>
          <a:ext cx="2095500" cy="7810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12</xdr:row>
      <xdr:rowOff>209550</xdr:rowOff>
    </xdr:from>
    <xdr:to>
      <xdr:col>0</xdr:col>
      <xdr:colOff>2095500</xdr:colOff>
      <xdr:row>12</xdr:row>
      <xdr:rowOff>1019175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0E8C62-5C36-4003-9E34-B38966875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6096000"/>
          <a:ext cx="1790700" cy="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23</xdr:row>
      <xdr:rowOff>142874</xdr:rowOff>
    </xdr:from>
    <xdr:to>
      <xdr:col>1</xdr:col>
      <xdr:colOff>438150</xdr:colOff>
      <xdr:row>23</xdr:row>
      <xdr:rowOff>876299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3D2F6-7574-45E7-9951-C8560021F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762374"/>
          <a:ext cx="1114425" cy="7334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opLeftCell="A14" workbookViewId="0">
      <selection sqref="A1:E10"/>
    </sheetView>
  </sheetViews>
  <sheetFormatPr baseColWidth="10" defaultColWidth="9.140625" defaultRowHeight="15" x14ac:dyDescent="0.25"/>
  <cols>
    <col min="1" max="1" width="34.42578125" customWidth="1"/>
    <col min="2" max="2" width="13.42578125" customWidth="1"/>
    <col min="3" max="3" width="14.140625" customWidth="1"/>
    <col min="4" max="4" width="13.5703125" customWidth="1"/>
    <col min="5" max="5" width="19.5703125" customWidth="1"/>
    <col min="6" max="6" width="14.140625" bestFit="1" customWidth="1"/>
  </cols>
  <sheetData>
    <row r="1" spans="1:7" ht="18.75" x14ac:dyDescent="0.3">
      <c r="A1" s="178" t="s">
        <v>18</v>
      </c>
      <c r="B1" s="179"/>
      <c r="C1" s="179"/>
      <c r="D1" s="179"/>
      <c r="E1" s="180"/>
    </row>
    <row r="2" spans="1:7" ht="18.75" x14ac:dyDescent="0.3">
      <c r="A2" s="181" t="s">
        <v>19</v>
      </c>
      <c r="B2" s="182"/>
      <c r="C2" s="182"/>
      <c r="D2" s="182"/>
      <c r="E2" s="183"/>
    </row>
    <row r="3" spans="1:7" ht="18.75" x14ac:dyDescent="0.3">
      <c r="A3" s="181" t="s">
        <v>25</v>
      </c>
      <c r="B3" s="182"/>
      <c r="C3" s="182"/>
      <c r="D3" s="182"/>
      <c r="E3" s="183"/>
    </row>
    <row r="4" spans="1:7" x14ac:dyDescent="0.25">
      <c r="A4" s="32" t="s">
        <v>3</v>
      </c>
      <c r="B4" s="19">
        <v>13670</v>
      </c>
      <c r="C4" s="19">
        <v>13671</v>
      </c>
      <c r="D4" s="19"/>
      <c r="E4" s="33" t="s">
        <v>20</v>
      </c>
    </row>
    <row r="5" spans="1:7" x14ac:dyDescent="0.25">
      <c r="A5" s="34"/>
      <c r="B5" s="20">
        <v>46157</v>
      </c>
      <c r="C5" s="20">
        <v>46158</v>
      </c>
      <c r="D5" s="20"/>
      <c r="E5" s="35">
        <v>46173</v>
      </c>
    </row>
    <row r="6" spans="1:7" x14ac:dyDescent="0.25">
      <c r="A6" s="36" t="s">
        <v>11</v>
      </c>
      <c r="B6" s="21">
        <v>80</v>
      </c>
      <c r="C6" s="22">
        <v>30</v>
      </c>
      <c r="D6" s="22"/>
      <c r="E6" s="37">
        <f>SUM(B6:D6)</f>
        <v>110</v>
      </c>
      <c r="G6">
        <f>E6*F6</f>
        <v>0</v>
      </c>
    </row>
    <row r="7" spans="1:7" x14ac:dyDescent="0.25">
      <c r="A7" s="36" t="s">
        <v>21</v>
      </c>
      <c r="B7" s="21">
        <v>10</v>
      </c>
      <c r="C7" s="22">
        <v>5</v>
      </c>
      <c r="D7" s="22"/>
      <c r="E7" s="37">
        <f>SUM(B7:D7)</f>
        <v>15</v>
      </c>
      <c r="G7">
        <f>E7*F7</f>
        <v>0</v>
      </c>
    </row>
    <row r="8" spans="1:7" x14ac:dyDescent="0.25">
      <c r="A8" s="36"/>
      <c r="B8" s="21"/>
      <c r="C8" s="22"/>
      <c r="D8" s="22"/>
      <c r="E8" s="37"/>
      <c r="G8">
        <f>SUM(G6:G7)</f>
        <v>0</v>
      </c>
    </row>
    <row r="9" spans="1:7" x14ac:dyDescent="0.25">
      <c r="A9" s="34" t="s">
        <v>22</v>
      </c>
      <c r="B9" s="23">
        <v>0.20833333333333334</v>
      </c>
      <c r="C9" s="24">
        <v>0.35416666666666669</v>
      </c>
      <c r="D9" s="24"/>
      <c r="E9" s="38"/>
    </row>
    <row r="10" spans="1:7" ht="15.75" thickBot="1" x14ac:dyDescent="0.3">
      <c r="A10" s="39" t="s">
        <v>23</v>
      </c>
      <c r="B10" s="40" t="s">
        <v>24</v>
      </c>
      <c r="C10" s="40" t="s">
        <v>24</v>
      </c>
      <c r="D10" s="41"/>
      <c r="E10" s="42">
        <f>SUM(B10:D10)</f>
        <v>0</v>
      </c>
    </row>
    <row r="13" spans="1:7" ht="75.75" customHeight="1" x14ac:dyDescent="0.25">
      <c r="A13" s="193" t="s">
        <v>0</v>
      </c>
      <c r="B13" s="194"/>
      <c r="C13" s="194"/>
      <c r="D13" s="194"/>
      <c r="E13" s="194"/>
      <c r="F13" s="194"/>
    </row>
    <row r="14" spans="1:7" ht="18" x14ac:dyDescent="0.25">
      <c r="A14" s="146" t="s">
        <v>1</v>
      </c>
      <c r="B14" s="147"/>
      <c r="C14" s="147"/>
      <c r="D14" s="147"/>
      <c r="E14" s="147"/>
      <c r="F14" s="147"/>
    </row>
    <row r="15" spans="1:7" ht="18" x14ac:dyDescent="0.25">
      <c r="A15" s="146" t="s">
        <v>2</v>
      </c>
      <c r="B15" s="147"/>
      <c r="C15" s="147"/>
      <c r="D15" s="147"/>
      <c r="E15" s="147"/>
      <c r="F15" s="147"/>
    </row>
    <row r="16" spans="1:7" x14ac:dyDescent="0.25">
      <c r="A16" s="161" t="s">
        <v>3</v>
      </c>
      <c r="B16" s="162" t="s">
        <v>4</v>
      </c>
      <c r="C16" s="162"/>
      <c r="D16" s="162"/>
      <c r="E16" s="162" t="s">
        <v>5</v>
      </c>
      <c r="F16" s="195"/>
    </row>
    <row r="17" spans="1:11" x14ac:dyDescent="0.25">
      <c r="A17" s="161"/>
      <c r="B17" s="1" t="s">
        <v>6</v>
      </c>
      <c r="C17" s="1" t="s">
        <v>7</v>
      </c>
      <c r="D17" s="3" t="s">
        <v>8</v>
      </c>
      <c r="E17" s="1" t="s">
        <v>9</v>
      </c>
      <c r="F17" s="2" t="s">
        <v>10</v>
      </c>
    </row>
    <row r="18" spans="1:11" x14ac:dyDescent="0.25">
      <c r="A18" s="4" t="s">
        <v>11</v>
      </c>
      <c r="B18" s="5">
        <v>21</v>
      </c>
      <c r="C18" s="6">
        <v>110</v>
      </c>
      <c r="D18" s="7">
        <v>410</v>
      </c>
      <c r="E18" s="8">
        <f>C18*D18</f>
        <v>45100</v>
      </c>
      <c r="F18" s="9">
        <f>B18*E18</f>
        <v>947100</v>
      </c>
    </row>
    <row r="19" spans="1:11" x14ac:dyDescent="0.25">
      <c r="A19" s="4" t="s">
        <v>12</v>
      </c>
      <c r="B19" s="5">
        <v>21</v>
      </c>
      <c r="C19" s="10">
        <v>15</v>
      </c>
      <c r="D19" s="7">
        <v>250</v>
      </c>
      <c r="E19" s="8">
        <f>C19*D19</f>
        <v>3750</v>
      </c>
      <c r="F19" s="9">
        <f>B19*E19</f>
        <v>78750</v>
      </c>
    </row>
    <row r="20" spans="1:11" ht="18.75" x14ac:dyDescent="0.4">
      <c r="A20" s="165" t="s">
        <v>17</v>
      </c>
      <c r="B20" s="166"/>
      <c r="C20" s="186" t="s">
        <v>13</v>
      </c>
      <c r="D20" s="187"/>
      <c r="E20" s="11">
        <f>SUM(E18:E19)*1.19</f>
        <v>58131.5</v>
      </c>
      <c r="F20" s="12"/>
    </row>
    <row r="21" spans="1:11" ht="19.5" thickBot="1" x14ac:dyDescent="0.45">
      <c r="A21" s="184"/>
      <c r="B21" s="185"/>
      <c r="C21" s="188" t="s">
        <v>14</v>
      </c>
      <c r="D21" s="188"/>
      <c r="E21" s="13">
        <f>SUM(F18:F19)</f>
        <v>1025850</v>
      </c>
      <c r="F21" s="14"/>
      <c r="K21" s="25"/>
    </row>
    <row r="22" spans="1:11" ht="19.5" thickBot="1" x14ac:dyDescent="0.45">
      <c r="A22" s="184"/>
      <c r="B22" s="185"/>
      <c r="C22" s="189" t="s">
        <v>15</v>
      </c>
      <c r="D22" s="190"/>
      <c r="E22" s="15">
        <f>E21*19%</f>
        <v>194911.5</v>
      </c>
      <c r="F22" s="14"/>
    </row>
    <row r="23" spans="1:11" ht="19.5" thickBot="1" x14ac:dyDescent="0.45">
      <c r="A23" s="184"/>
      <c r="B23" s="185"/>
      <c r="C23" s="191" t="s">
        <v>16</v>
      </c>
      <c r="D23" s="192"/>
      <c r="E23" s="16">
        <v>320000</v>
      </c>
      <c r="F23" s="14"/>
    </row>
    <row r="24" spans="1:11" ht="18.75" x14ac:dyDescent="0.4">
      <c r="A24" s="184"/>
      <c r="B24" s="185"/>
      <c r="C24" s="191" t="s">
        <v>27</v>
      </c>
      <c r="D24" s="192"/>
      <c r="E24" s="16">
        <v>80000</v>
      </c>
      <c r="F24" s="14"/>
    </row>
    <row r="25" spans="1:11" ht="19.5" thickBot="1" x14ac:dyDescent="0.45">
      <c r="A25" s="167"/>
      <c r="B25" s="168"/>
      <c r="C25" s="188"/>
      <c r="D25" s="188"/>
      <c r="E25" s="17">
        <f>SUM(E21:E23)-E24</f>
        <v>1460761.5</v>
      </c>
      <c r="F25" s="18"/>
    </row>
    <row r="26" spans="1:11" x14ac:dyDescent="0.25">
      <c r="A26" s="28" t="s">
        <v>26</v>
      </c>
      <c r="B26" s="28"/>
      <c r="C26" s="28"/>
      <c r="D26" s="28"/>
      <c r="E26" s="29">
        <v>1300000</v>
      </c>
    </row>
    <row r="27" spans="1:11" ht="15.75" x14ac:dyDescent="0.25">
      <c r="A27" s="27" t="s">
        <v>28</v>
      </c>
      <c r="B27" s="27"/>
      <c r="C27" s="27"/>
      <c r="D27" s="27"/>
      <c r="E27" s="30">
        <f>E25-E26</f>
        <v>160761.5</v>
      </c>
      <c r="F27" s="31"/>
    </row>
    <row r="28" spans="1:11" x14ac:dyDescent="0.25">
      <c r="E28" s="26"/>
    </row>
  </sheetData>
  <mergeCells count="16">
    <mergeCell ref="A1:E1"/>
    <mergeCell ref="A2:E2"/>
    <mergeCell ref="A3:E3"/>
    <mergeCell ref="A20:B25"/>
    <mergeCell ref="C20:D20"/>
    <mergeCell ref="C21:D21"/>
    <mergeCell ref="C22:D22"/>
    <mergeCell ref="C23:D23"/>
    <mergeCell ref="C25:D25"/>
    <mergeCell ref="A13:F13"/>
    <mergeCell ref="A14:F14"/>
    <mergeCell ref="A15:F15"/>
    <mergeCell ref="A16:A17"/>
    <mergeCell ref="B16:D16"/>
    <mergeCell ref="E16:F16"/>
    <mergeCell ref="C24:D24"/>
  </mergeCells>
  <pageMargins left="0.70866141732283472" right="0.70866141732283472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A8C3E-A1E8-4F32-8D78-D6585134A883}">
  <dimension ref="A1:F25"/>
  <sheetViews>
    <sheetView workbookViewId="0">
      <selection activeCell="H5" sqref="H5"/>
    </sheetView>
  </sheetViews>
  <sheetFormatPr baseColWidth="10" defaultRowHeight="15" x14ac:dyDescent="0.25"/>
  <cols>
    <col min="1" max="1" width="34.7109375" bestFit="1" customWidth="1"/>
    <col min="5" max="5" width="14.42578125" bestFit="1" customWidth="1"/>
  </cols>
  <sheetData>
    <row r="1" spans="1:6" ht="18.75" x14ac:dyDescent="0.3">
      <c r="A1" s="178" t="s">
        <v>36</v>
      </c>
      <c r="B1" s="179"/>
      <c r="C1" s="179"/>
      <c r="D1" s="179"/>
      <c r="E1" s="179"/>
      <c r="F1" s="179"/>
    </row>
    <row r="2" spans="1:6" ht="18.75" x14ac:dyDescent="0.3">
      <c r="A2" s="181" t="s">
        <v>37</v>
      </c>
      <c r="B2" s="182"/>
      <c r="C2" s="182"/>
      <c r="D2" s="182"/>
      <c r="E2" s="182"/>
      <c r="F2" s="182"/>
    </row>
    <row r="3" spans="1:6" ht="18.75" x14ac:dyDescent="0.3">
      <c r="A3" s="181" t="s">
        <v>44</v>
      </c>
      <c r="B3" s="182"/>
      <c r="C3" s="182"/>
      <c r="D3" s="182"/>
      <c r="E3" s="182"/>
      <c r="F3" s="182"/>
    </row>
    <row r="4" spans="1:6" x14ac:dyDescent="0.25">
      <c r="A4" s="44" t="s">
        <v>3</v>
      </c>
      <c r="B4" s="19">
        <v>13713</v>
      </c>
      <c r="C4" s="19">
        <v>13442</v>
      </c>
      <c r="D4" s="19"/>
      <c r="E4" s="19"/>
      <c r="F4" s="45" t="s">
        <v>20</v>
      </c>
    </row>
    <row r="5" spans="1:6" x14ac:dyDescent="0.25">
      <c r="A5" s="46"/>
      <c r="B5" s="20">
        <v>46189</v>
      </c>
      <c r="C5" s="20">
        <v>46198</v>
      </c>
      <c r="D5" s="20"/>
      <c r="E5" s="20"/>
      <c r="F5" s="47">
        <v>46142</v>
      </c>
    </row>
    <row r="6" spans="1:6" x14ac:dyDescent="0.25">
      <c r="A6" s="48" t="s">
        <v>31</v>
      </c>
      <c r="B6" s="21">
        <v>4</v>
      </c>
      <c r="C6" s="22">
        <v>-4</v>
      </c>
      <c r="D6" s="22"/>
      <c r="E6" s="22"/>
      <c r="F6" s="49">
        <f>SUM(B6:E6)</f>
        <v>0</v>
      </c>
    </row>
    <row r="7" spans="1:6" x14ac:dyDescent="0.25">
      <c r="A7" s="48" t="s">
        <v>38</v>
      </c>
      <c r="B7" s="21">
        <v>3</v>
      </c>
      <c r="C7" s="22">
        <v>-3</v>
      </c>
      <c r="D7" s="22"/>
      <c r="E7" s="22"/>
      <c r="F7" s="49">
        <f>SUM(B7:E7)</f>
        <v>0</v>
      </c>
    </row>
    <row r="8" spans="1:6" x14ac:dyDescent="0.25">
      <c r="A8" s="48" t="s">
        <v>39</v>
      </c>
      <c r="B8" s="21">
        <v>5</v>
      </c>
      <c r="C8" s="22">
        <v>-5</v>
      </c>
      <c r="D8" s="22"/>
      <c r="E8" s="22"/>
      <c r="F8" s="49">
        <f>SUM(B8:E8)</f>
        <v>0</v>
      </c>
    </row>
    <row r="9" spans="1:6" x14ac:dyDescent="0.25">
      <c r="A9" s="48" t="s">
        <v>40</v>
      </c>
      <c r="B9" s="21">
        <v>4</v>
      </c>
      <c r="C9" s="22">
        <v>-4</v>
      </c>
      <c r="D9" s="22"/>
      <c r="E9" s="22"/>
      <c r="F9" s="49">
        <f>SUM(B9:E9)</f>
        <v>0</v>
      </c>
    </row>
    <row r="10" spans="1:6" x14ac:dyDescent="0.25">
      <c r="A10" s="46" t="s">
        <v>22</v>
      </c>
      <c r="B10" s="23">
        <v>0.4236111111111111</v>
      </c>
      <c r="C10" s="24" t="s">
        <v>42</v>
      </c>
      <c r="D10" s="24"/>
      <c r="E10" s="24"/>
      <c r="F10" s="50"/>
    </row>
    <row r="11" spans="1:6" x14ac:dyDescent="0.25">
      <c r="A11" s="46" t="s">
        <v>23</v>
      </c>
      <c r="B11" s="51" t="s">
        <v>41</v>
      </c>
      <c r="C11" s="51" t="s">
        <v>41</v>
      </c>
      <c r="D11" s="52"/>
      <c r="E11" s="52"/>
      <c r="F11" s="53">
        <f>SUM(B11:E11)</f>
        <v>0</v>
      </c>
    </row>
    <row r="14" spans="1:6" ht="18" x14ac:dyDescent="0.25">
      <c r="A14" s="146" t="s">
        <v>29</v>
      </c>
      <c r="B14" s="147"/>
      <c r="C14" s="147"/>
      <c r="D14" s="147"/>
      <c r="E14" s="147"/>
      <c r="F14" s="147"/>
    </row>
    <row r="15" spans="1:6" ht="18" x14ac:dyDescent="0.25">
      <c r="A15" s="146" t="s">
        <v>30</v>
      </c>
      <c r="B15" s="147"/>
      <c r="C15" s="147"/>
      <c r="D15" s="147"/>
      <c r="E15" s="147"/>
      <c r="F15" s="147"/>
    </row>
    <row r="16" spans="1:6" x14ac:dyDescent="0.25">
      <c r="A16" s="161" t="s">
        <v>3</v>
      </c>
      <c r="B16" s="162" t="s">
        <v>4</v>
      </c>
      <c r="C16" s="162"/>
      <c r="D16" s="162"/>
      <c r="E16" s="162" t="s">
        <v>5</v>
      </c>
      <c r="F16" s="195"/>
    </row>
    <row r="17" spans="1:6" x14ac:dyDescent="0.25">
      <c r="A17" s="161"/>
      <c r="B17" s="1" t="s">
        <v>6</v>
      </c>
      <c r="C17" s="1" t="s">
        <v>7</v>
      </c>
      <c r="D17" s="3" t="s">
        <v>8</v>
      </c>
      <c r="E17" s="1" t="s">
        <v>9</v>
      </c>
      <c r="F17" s="2" t="s">
        <v>10</v>
      </c>
    </row>
    <row r="18" spans="1:6" x14ac:dyDescent="0.25">
      <c r="A18" s="4" t="s">
        <v>31</v>
      </c>
      <c r="B18" s="5">
        <v>9</v>
      </c>
      <c r="C18" s="6">
        <v>2</v>
      </c>
      <c r="D18" s="7">
        <v>2000</v>
      </c>
      <c r="E18" s="8">
        <f>C18*D18</f>
        <v>4000</v>
      </c>
      <c r="F18" s="9">
        <f>B18*E18</f>
        <v>36000</v>
      </c>
    </row>
    <row r="19" spans="1:6" x14ac:dyDescent="0.25">
      <c r="A19" s="4" t="s">
        <v>32</v>
      </c>
      <c r="B19" s="5">
        <v>9</v>
      </c>
      <c r="C19" s="6">
        <v>5</v>
      </c>
      <c r="D19" s="7">
        <v>1000</v>
      </c>
      <c r="E19" s="8">
        <f t="shared" ref="E19:E20" si="0">C19*D19</f>
        <v>5000</v>
      </c>
      <c r="F19" s="9">
        <f t="shared" ref="F19:F20" si="1">B19*E19</f>
        <v>45000</v>
      </c>
    </row>
    <row r="20" spans="1:6" x14ac:dyDescent="0.25">
      <c r="A20" s="4" t="s">
        <v>33</v>
      </c>
      <c r="B20" s="5">
        <v>9</v>
      </c>
      <c r="C20" s="10">
        <v>4</v>
      </c>
      <c r="D20" s="7">
        <v>850</v>
      </c>
      <c r="E20" s="8">
        <f t="shared" si="0"/>
        <v>3400</v>
      </c>
      <c r="F20" s="9">
        <f t="shared" si="1"/>
        <v>30600</v>
      </c>
    </row>
    <row r="21" spans="1:6" ht="19.5" thickBot="1" x14ac:dyDescent="0.45">
      <c r="A21" s="196" t="s">
        <v>43</v>
      </c>
      <c r="B21" s="197"/>
      <c r="C21" s="188" t="s">
        <v>14</v>
      </c>
      <c r="D21" s="188"/>
      <c r="E21" s="13">
        <f>SUM(F18:F20)</f>
        <v>111600</v>
      </c>
      <c r="F21" s="14"/>
    </row>
    <row r="22" spans="1:6" ht="18.75" x14ac:dyDescent="0.4">
      <c r="A22" s="196"/>
      <c r="B22" s="197"/>
      <c r="C22" s="191" t="s">
        <v>34</v>
      </c>
      <c r="D22" s="192"/>
      <c r="E22" s="16">
        <f>E21*19%</f>
        <v>21204</v>
      </c>
      <c r="F22" s="14"/>
    </row>
    <row r="23" spans="1:6" ht="19.5" thickBot="1" x14ac:dyDescent="0.45">
      <c r="A23" s="198"/>
      <c r="B23" s="199"/>
      <c r="C23" s="188"/>
      <c r="D23" s="188"/>
      <c r="E23" s="17">
        <f>SUM(E21:E22)</f>
        <v>132804</v>
      </c>
      <c r="F23" s="18"/>
    </row>
    <row r="24" spans="1:6" x14ac:dyDescent="0.25">
      <c r="A24" t="s">
        <v>35</v>
      </c>
      <c r="D24" t="s">
        <v>47</v>
      </c>
      <c r="E24" s="43">
        <v>300000</v>
      </c>
    </row>
    <row r="25" spans="1:6" x14ac:dyDescent="0.25">
      <c r="A25" t="s">
        <v>45</v>
      </c>
      <c r="C25" s="55">
        <v>46200</v>
      </c>
      <c r="D25" t="s">
        <v>46</v>
      </c>
      <c r="E25" s="54">
        <f>E23-E24</f>
        <v>-167196</v>
      </c>
    </row>
  </sheetData>
  <mergeCells count="12">
    <mergeCell ref="A1:F1"/>
    <mergeCell ref="A2:F2"/>
    <mergeCell ref="A3:F3"/>
    <mergeCell ref="A14:F14"/>
    <mergeCell ref="A15:F15"/>
    <mergeCell ref="A16:A17"/>
    <mergeCell ref="B16:D16"/>
    <mergeCell ref="E16:F16"/>
    <mergeCell ref="A21:B23"/>
    <mergeCell ref="C21:D21"/>
    <mergeCell ref="C22:D22"/>
    <mergeCell ref="C23:D2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01051-F4EF-44A5-8A39-5D55E9848742}">
  <sheetPr>
    <pageSetUpPr fitToPage="1"/>
  </sheetPr>
  <dimension ref="A1:G25"/>
  <sheetViews>
    <sheetView topLeftCell="A12" workbookViewId="0">
      <selection activeCell="K25" sqref="K25"/>
    </sheetView>
  </sheetViews>
  <sheetFormatPr baseColWidth="10" defaultRowHeight="15" x14ac:dyDescent="0.25"/>
  <cols>
    <col min="1" max="1" width="37.5703125" bestFit="1" customWidth="1"/>
    <col min="5" max="5" width="21.140625" customWidth="1"/>
    <col min="6" max="6" width="14.140625" customWidth="1"/>
    <col min="7" max="7" width="25.85546875" bestFit="1" customWidth="1"/>
  </cols>
  <sheetData>
    <row r="1" spans="1:7" ht="18.75" x14ac:dyDescent="0.3">
      <c r="A1" s="178" t="s">
        <v>48</v>
      </c>
      <c r="B1" s="179"/>
      <c r="C1" s="179"/>
      <c r="D1" s="179"/>
      <c r="E1" s="179"/>
    </row>
    <row r="2" spans="1:7" ht="18.75" x14ac:dyDescent="0.3">
      <c r="A2" s="181" t="s">
        <v>49</v>
      </c>
      <c r="B2" s="182"/>
      <c r="C2" s="182"/>
      <c r="D2" s="182"/>
      <c r="E2" s="182"/>
    </row>
    <row r="3" spans="1:7" ht="18.75" x14ac:dyDescent="0.3">
      <c r="A3" s="181" t="s">
        <v>62</v>
      </c>
      <c r="B3" s="182"/>
      <c r="C3" s="182"/>
      <c r="D3" s="182"/>
      <c r="E3" s="182"/>
    </row>
    <row r="4" spans="1:7" x14ac:dyDescent="0.25">
      <c r="A4" s="44" t="s">
        <v>3</v>
      </c>
      <c r="B4" s="19" t="s">
        <v>20</v>
      </c>
      <c r="C4" s="19">
        <v>13339</v>
      </c>
      <c r="D4" s="19">
        <v>13420</v>
      </c>
      <c r="E4" s="56" t="s">
        <v>50</v>
      </c>
    </row>
    <row r="5" spans="1:7" x14ac:dyDescent="0.25">
      <c r="A5" s="46"/>
      <c r="B5" s="20">
        <v>46152</v>
      </c>
      <c r="C5" s="20">
        <v>46186</v>
      </c>
      <c r="D5" s="20">
        <v>46193</v>
      </c>
      <c r="E5" s="57">
        <v>46209</v>
      </c>
    </row>
    <row r="6" spans="1:7" x14ac:dyDescent="0.25">
      <c r="A6" s="48" t="s">
        <v>51</v>
      </c>
      <c r="B6" s="22">
        <v>26</v>
      </c>
      <c r="C6" s="68">
        <v>-18</v>
      </c>
      <c r="D6" s="22">
        <v>-8</v>
      </c>
      <c r="E6" s="58">
        <f>SUM(B6:D6)</f>
        <v>0</v>
      </c>
    </row>
    <row r="7" spans="1:7" x14ac:dyDescent="0.25">
      <c r="A7" s="48" t="s">
        <v>52</v>
      </c>
      <c r="B7" s="22">
        <v>25</v>
      </c>
      <c r="C7" s="68">
        <v>-18</v>
      </c>
      <c r="D7" s="22">
        <v>-5</v>
      </c>
      <c r="E7" s="58">
        <f>SUM(B7:D7)</f>
        <v>2</v>
      </c>
    </row>
    <row r="8" spans="1:7" x14ac:dyDescent="0.25">
      <c r="A8" s="48" t="s">
        <v>53</v>
      </c>
      <c r="B8" s="22">
        <v>19</v>
      </c>
      <c r="C8" s="68">
        <v>-8</v>
      </c>
      <c r="D8" s="22">
        <v>-7</v>
      </c>
      <c r="E8" s="58">
        <f>SUM(B8:D8)</f>
        <v>4</v>
      </c>
    </row>
    <row r="9" spans="1:7" x14ac:dyDescent="0.25">
      <c r="A9" s="48" t="s">
        <v>40</v>
      </c>
      <c r="B9" s="22">
        <v>4</v>
      </c>
      <c r="C9" s="68">
        <v>-4</v>
      </c>
      <c r="D9" s="22"/>
      <c r="E9" s="59">
        <f>SUM(B9:C9)</f>
        <v>0</v>
      </c>
    </row>
    <row r="10" spans="1:7" x14ac:dyDescent="0.25">
      <c r="A10" s="46" t="s">
        <v>23</v>
      </c>
      <c r="B10" s="52"/>
      <c r="C10" s="52">
        <v>60000</v>
      </c>
      <c r="D10" s="52">
        <v>40000</v>
      </c>
      <c r="E10" s="53">
        <f>SUM(B10:D10)</f>
        <v>100000</v>
      </c>
    </row>
    <row r="12" spans="1:7" ht="15.75" thickBot="1" x14ac:dyDescent="0.3"/>
    <row r="13" spans="1:7" x14ac:dyDescent="0.25">
      <c r="A13" s="158" t="s">
        <v>54</v>
      </c>
      <c r="B13" s="159"/>
      <c r="C13" s="159"/>
      <c r="D13" s="159"/>
      <c r="E13" s="159"/>
      <c r="F13" s="159"/>
      <c r="G13" s="160"/>
    </row>
    <row r="14" spans="1:7" ht="18.75" x14ac:dyDescent="0.3">
      <c r="A14" s="214" t="s">
        <v>55</v>
      </c>
      <c r="B14" s="215"/>
      <c r="C14" s="215"/>
      <c r="D14" s="215"/>
      <c r="E14" s="215"/>
      <c r="F14" s="215"/>
      <c r="G14" s="216"/>
    </row>
    <row r="15" spans="1:7" ht="18.75" x14ac:dyDescent="0.3">
      <c r="A15" s="214" t="s">
        <v>56</v>
      </c>
      <c r="B15" s="215"/>
      <c r="C15" s="215"/>
      <c r="D15" s="215"/>
      <c r="E15" s="215"/>
      <c r="F15" s="215"/>
      <c r="G15" s="216"/>
    </row>
    <row r="16" spans="1:7" x14ac:dyDescent="0.25">
      <c r="A16" s="60" t="s">
        <v>57</v>
      </c>
      <c r="B16" s="61">
        <v>34</v>
      </c>
      <c r="C16" s="61">
        <v>14</v>
      </c>
      <c r="D16" s="62">
        <v>1400</v>
      </c>
      <c r="E16" s="62">
        <f t="shared" ref="E16:E21" si="0">C16*D16</f>
        <v>19600</v>
      </c>
      <c r="F16" s="62">
        <f t="shared" ref="F16:F21" si="1">B16*E16</f>
        <v>666400</v>
      </c>
      <c r="G16" s="63" t="s">
        <v>63</v>
      </c>
    </row>
    <row r="17" spans="1:7" x14ac:dyDescent="0.25">
      <c r="A17" s="60" t="s">
        <v>57</v>
      </c>
      <c r="B17" s="61">
        <v>7</v>
      </c>
      <c r="C17" s="61">
        <v>4</v>
      </c>
      <c r="D17" s="62">
        <v>1400</v>
      </c>
      <c r="E17" s="62">
        <f t="shared" si="0"/>
        <v>5600</v>
      </c>
      <c r="F17" s="62">
        <f t="shared" si="1"/>
        <v>39200</v>
      </c>
      <c r="G17" s="63" t="s">
        <v>64</v>
      </c>
    </row>
    <row r="18" spans="1:7" x14ac:dyDescent="0.25">
      <c r="A18" s="60" t="s">
        <v>58</v>
      </c>
      <c r="B18" s="61">
        <v>34</v>
      </c>
      <c r="C18" s="61">
        <v>19</v>
      </c>
      <c r="D18" s="62">
        <v>1400</v>
      </c>
      <c r="E18" s="62">
        <f t="shared" si="0"/>
        <v>26600</v>
      </c>
      <c r="F18" s="62">
        <f t="shared" si="1"/>
        <v>904400</v>
      </c>
      <c r="G18" s="63" t="s">
        <v>63</v>
      </c>
    </row>
    <row r="19" spans="1:7" x14ac:dyDescent="0.25">
      <c r="A19" s="60" t="s">
        <v>58</v>
      </c>
      <c r="B19" s="61">
        <v>7</v>
      </c>
      <c r="C19" s="61">
        <v>11</v>
      </c>
      <c r="D19" s="62">
        <v>1400</v>
      </c>
      <c r="E19" s="62">
        <f t="shared" si="0"/>
        <v>15400</v>
      </c>
      <c r="F19" s="62">
        <f t="shared" si="1"/>
        <v>107800</v>
      </c>
      <c r="G19" s="63" t="s">
        <v>64</v>
      </c>
    </row>
    <row r="20" spans="1:7" x14ac:dyDescent="0.25">
      <c r="A20" s="60" t="s">
        <v>58</v>
      </c>
      <c r="B20" s="61">
        <v>15</v>
      </c>
      <c r="C20" s="61">
        <v>4</v>
      </c>
      <c r="D20" s="62">
        <v>1400</v>
      </c>
      <c r="E20" s="62">
        <f t="shared" si="0"/>
        <v>5600</v>
      </c>
      <c r="F20" s="62">
        <f t="shared" si="1"/>
        <v>84000</v>
      </c>
      <c r="G20" s="63" t="s">
        <v>65</v>
      </c>
    </row>
    <row r="21" spans="1:7" x14ac:dyDescent="0.25">
      <c r="A21" s="60" t="s">
        <v>59</v>
      </c>
      <c r="B21" s="61">
        <v>34</v>
      </c>
      <c r="C21" s="61">
        <v>4</v>
      </c>
      <c r="D21" s="62">
        <v>800</v>
      </c>
      <c r="E21" s="62">
        <f t="shared" si="0"/>
        <v>3200</v>
      </c>
      <c r="F21" s="62">
        <f t="shared" si="1"/>
        <v>108800</v>
      </c>
      <c r="G21" s="63" t="s">
        <v>63</v>
      </c>
    </row>
    <row r="22" spans="1:7" ht="18.75" x14ac:dyDescent="0.4">
      <c r="A22" s="200" t="s">
        <v>66</v>
      </c>
      <c r="B22" s="201"/>
      <c r="C22" s="208" t="s">
        <v>6</v>
      </c>
      <c r="D22" s="209"/>
      <c r="E22" s="64">
        <f>SUM(F16:F21)</f>
        <v>1910600</v>
      </c>
      <c r="F22" s="204"/>
      <c r="G22" s="205"/>
    </row>
    <row r="23" spans="1:7" ht="18.75" x14ac:dyDescent="0.4">
      <c r="A23" s="200"/>
      <c r="B23" s="201"/>
      <c r="C23" s="210" t="s">
        <v>34</v>
      </c>
      <c r="D23" s="211"/>
      <c r="E23" s="65">
        <f>E22*19%</f>
        <v>363014</v>
      </c>
      <c r="F23" s="204"/>
      <c r="G23" s="205"/>
    </row>
    <row r="24" spans="1:7" ht="18.75" x14ac:dyDescent="0.4">
      <c r="A24" s="200"/>
      <c r="B24" s="201"/>
      <c r="C24" s="210" t="s">
        <v>60</v>
      </c>
      <c r="D24" s="211"/>
      <c r="E24" s="66">
        <v>100000</v>
      </c>
      <c r="F24" s="204"/>
      <c r="G24" s="205"/>
    </row>
    <row r="25" spans="1:7" ht="23.25" thickBot="1" x14ac:dyDescent="0.5">
      <c r="A25" s="202"/>
      <c r="B25" s="203"/>
      <c r="C25" s="212" t="s">
        <v>61</v>
      </c>
      <c r="D25" s="213"/>
      <c r="E25" s="67">
        <f>SUM(E22:E24)</f>
        <v>2373614</v>
      </c>
      <c r="F25" s="206"/>
      <c r="G25" s="207"/>
    </row>
  </sheetData>
  <mergeCells count="12">
    <mergeCell ref="A13:G13"/>
    <mergeCell ref="A14:G14"/>
    <mergeCell ref="A15:G15"/>
    <mergeCell ref="A1:E1"/>
    <mergeCell ref="A2:E2"/>
    <mergeCell ref="A3:E3"/>
    <mergeCell ref="A22:B25"/>
    <mergeCell ref="F22:G25"/>
    <mergeCell ref="C22:D22"/>
    <mergeCell ref="C23:D23"/>
    <mergeCell ref="C24:D24"/>
    <mergeCell ref="C25:D25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F5F1-B4E2-4A47-BB01-73219D6DC361}">
  <sheetPr>
    <pageSetUpPr fitToPage="1"/>
  </sheetPr>
  <dimension ref="A1:H120"/>
  <sheetViews>
    <sheetView tabSelected="1" topLeftCell="A99" workbookViewId="0">
      <selection activeCell="E118" sqref="E118"/>
    </sheetView>
  </sheetViews>
  <sheetFormatPr baseColWidth="10" defaultRowHeight="15" x14ac:dyDescent="0.25"/>
  <cols>
    <col min="1" max="1" width="36.140625" bestFit="1" customWidth="1"/>
    <col min="4" max="4" width="20.7109375" bestFit="1" customWidth="1"/>
    <col min="5" max="5" width="14.42578125" bestFit="1" customWidth="1"/>
    <col min="6" max="6" width="16.7109375" customWidth="1"/>
    <col min="7" max="7" width="16.42578125" customWidth="1"/>
  </cols>
  <sheetData>
    <row r="1" spans="1:6" ht="18.75" x14ac:dyDescent="0.3">
      <c r="A1" s="149" t="s">
        <v>67</v>
      </c>
      <c r="B1" s="150"/>
      <c r="C1" s="150"/>
      <c r="D1" s="150"/>
      <c r="E1" s="150"/>
      <c r="F1" s="151"/>
    </row>
    <row r="2" spans="1:6" ht="18.75" x14ac:dyDescent="0.3">
      <c r="A2" s="152" t="s">
        <v>68</v>
      </c>
      <c r="B2" s="153"/>
      <c r="C2" s="153"/>
      <c r="D2" s="153"/>
      <c r="E2" s="153"/>
      <c r="F2" s="154"/>
    </row>
    <row r="3" spans="1:6" ht="18.75" x14ac:dyDescent="0.3">
      <c r="A3" s="152" t="s">
        <v>69</v>
      </c>
      <c r="B3" s="153"/>
      <c r="C3" s="153"/>
      <c r="D3" s="153"/>
      <c r="E3" s="153"/>
      <c r="F3" s="154"/>
    </row>
    <row r="4" spans="1:6" x14ac:dyDescent="0.25">
      <c r="A4" s="69" t="s">
        <v>3</v>
      </c>
      <c r="B4" s="70" t="s">
        <v>20</v>
      </c>
      <c r="C4" s="70">
        <v>13686</v>
      </c>
      <c r="D4" s="71">
        <v>13353</v>
      </c>
      <c r="E4" s="71">
        <v>13356</v>
      </c>
      <c r="F4" s="72" t="s">
        <v>20</v>
      </c>
    </row>
    <row r="5" spans="1:6" x14ac:dyDescent="0.25">
      <c r="A5" s="36"/>
      <c r="B5" s="73">
        <v>46162</v>
      </c>
      <c r="C5" s="73">
        <v>46164</v>
      </c>
      <c r="D5" s="73">
        <v>46170</v>
      </c>
      <c r="E5" s="73">
        <v>46170</v>
      </c>
      <c r="F5" s="74">
        <v>46173</v>
      </c>
    </row>
    <row r="6" spans="1:6" x14ac:dyDescent="0.25">
      <c r="A6" s="75" t="s">
        <v>70</v>
      </c>
      <c r="B6" s="76">
        <v>8</v>
      </c>
      <c r="C6" s="76"/>
      <c r="D6" s="76">
        <v>-8</v>
      </c>
      <c r="E6" s="76"/>
      <c r="F6" s="77">
        <f>SUM(B6:E6)</f>
        <v>0</v>
      </c>
    </row>
    <row r="7" spans="1:6" x14ac:dyDescent="0.25">
      <c r="A7" s="75" t="s">
        <v>71</v>
      </c>
      <c r="B7" s="76">
        <v>0</v>
      </c>
      <c r="C7" s="76">
        <v>15</v>
      </c>
      <c r="D7" s="76">
        <v>-15</v>
      </c>
      <c r="E7" s="76"/>
      <c r="F7" s="77">
        <f t="shared" ref="F7:F20" si="0">SUM(B7:E7)</f>
        <v>0</v>
      </c>
    </row>
    <row r="8" spans="1:6" x14ac:dyDescent="0.25">
      <c r="A8" s="75" t="s">
        <v>72</v>
      </c>
      <c r="B8" s="76">
        <v>3</v>
      </c>
      <c r="C8" s="76">
        <v>4</v>
      </c>
      <c r="D8" s="76">
        <v>-6</v>
      </c>
      <c r="E8" s="76"/>
      <c r="F8" s="77">
        <f t="shared" si="0"/>
        <v>1</v>
      </c>
    </row>
    <row r="9" spans="1:6" x14ac:dyDescent="0.25">
      <c r="A9" s="75" t="s">
        <v>73</v>
      </c>
      <c r="B9" s="76">
        <v>1</v>
      </c>
      <c r="C9" s="76"/>
      <c r="D9" s="76">
        <v>-1</v>
      </c>
      <c r="E9" s="76"/>
      <c r="F9" s="77">
        <f t="shared" si="0"/>
        <v>0</v>
      </c>
    </row>
    <row r="10" spans="1:6" x14ac:dyDescent="0.25">
      <c r="A10" s="75" t="s">
        <v>74</v>
      </c>
      <c r="B10" s="76">
        <v>0</v>
      </c>
      <c r="C10" s="76">
        <v>6</v>
      </c>
      <c r="D10" s="76">
        <v>-6</v>
      </c>
      <c r="E10" s="76"/>
      <c r="F10" s="77">
        <f t="shared" si="0"/>
        <v>0</v>
      </c>
    </row>
    <row r="11" spans="1:6" x14ac:dyDescent="0.25">
      <c r="A11" s="75" t="s">
        <v>75</v>
      </c>
      <c r="B11" s="76">
        <v>24</v>
      </c>
      <c r="C11" s="76"/>
      <c r="D11" s="76">
        <v>-24</v>
      </c>
      <c r="E11" s="76"/>
      <c r="F11" s="77">
        <f t="shared" si="0"/>
        <v>0</v>
      </c>
    </row>
    <row r="12" spans="1:6" x14ac:dyDescent="0.25">
      <c r="A12" s="75" t="s">
        <v>76</v>
      </c>
      <c r="B12" s="76">
        <v>36</v>
      </c>
      <c r="C12" s="76"/>
      <c r="D12" s="76">
        <v>-35</v>
      </c>
      <c r="E12" s="76"/>
      <c r="F12" s="77">
        <f t="shared" si="0"/>
        <v>1</v>
      </c>
    </row>
    <row r="13" spans="1:6" x14ac:dyDescent="0.25">
      <c r="A13" s="75" t="s">
        <v>77</v>
      </c>
      <c r="B13" s="76">
        <v>60</v>
      </c>
      <c r="C13" s="76"/>
      <c r="D13" s="76">
        <v>-31</v>
      </c>
      <c r="E13" s="76">
        <v>-28</v>
      </c>
      <c r="F13" s="77">
        <f t="shared" si="0"/>
        <v>1</v>
      </c>
    </row>
    <row r="14" spans="1:6" x14ac:dyDescent="0.25">
      <c r="A14" s="75" t="s">
        <v>78</v>
      </c>
      <c r="B14" s="76">
        <v>57</v>
      </c>
      <c r="C14" s="76"/>
      <c r="D14" s="76">
        <v>-57</v>
      </c>
      <c r="E14" s="76"/>
      <c r="F14" s="77">
        <f t="shared" si="0"/>
        <v>0</v>
      </c>
    </row>
    <row r="15" spans="1:6" x14ac:dyDescent="0.25">
      <c r="A15" s="75" t="s">
        <v>79</v>
      </c>
      <c r="B15" s="76">
        <v>246</v>
      </c>
      <c r="C15" s="76"/>
      <c r="D15" s="76">
        <v>-246</v>
      </c>
      <c r="E15" s="76"/>
      <c r="F15" s="77">
        <f t="shared" si="0"/>
        <v>0</v>
      </c>
    </row>
    <row r="16" spans="1:6" x14ac:dyDescent="0.25">
      <c r="A16" s="75" t="s">
        <v>80</v>
      </c>
      <c r="B16" s="76">
        <v>30</v>
      </c>
      <c r="C16" s="76"/>
      <c r="D16" s="76">
        <v>-30</v>
      </c>
      <c r="E16" s="76"/>
      <c r="F16" s="77">
        <v>2</v>
      </c>
    </row>
    <row r="17" spans="1:6" x14ac:dyDescent="0.25">
      <c r="A17" s="75" t="s">
        <v>81</v>
      </c>
      <c r="B17" s="76">
        <v>14</v>
      </c>
      <c r="C17" s="76"/>
      <c r="D17" s="76">
        <v>-12</v>
      </c>
      <c r="E17" s="76"/>
      <c r="F17" s="77">
        <f t="shared" si="0"/>
        <v>2</v>
      </c>
    </row>
    <row r="18" spans="1:6" x14ac:dyDescent="0.25">
      <c r="A18" s="75" t="s">
        <v>82</v>
      </c>
      <c r="B18" s="76">
        <v>10</v>
      </c>
      <c r="C18" s="76"/>
      <c r="D18" s="76">
        <v>-10</v>
      </c>
      <c r="E18" s="76"/>
      <c r="F18" s="77">
        <f t="shared" si="0"/>
        <v>0</v>
      </c>
    </row>
    <row r="19" spans="1:6" x14ac:dyDescent="0.25">
      <c r="A19" s="75" t="s">
        <v>83</v>
      </c>
      <c r="B19" s="76">
        <v>24</v>
      </c>
      <c r="C19" s="76"/>
      <c r="D19" s="76">
        <v>-24</v>
      </c>
      <c r="E19" s="76"/>
      <c r="F19" s="77">
        <f t="shared" si="0"/>
        <v>0</v>
      </c>
    </row>
    <row r="20" spans="1:6" x14ac:dyDescent="0.25">
      <c r="A20" s="75" t="s">
        <v>84</v>
      </c>
      <c r="B20" s="76">
        <v>0</v>
      </c>
      <c r="C20" s="76"/>
      <c r="D20" s="76"/>
      <c r="E20" s="76"/>
      <c r="F20" s="77">
        <f t="shared" si="0"/>
        <v>0</v>
      </c>
    </row>
    <row r="21" spans="1:6" x14ac:dyDescent="0.25">
      <c r="A21" s="36" t="s">
        <v>22</v>
      </c>
      <c r="B21" s="76"/>
      <c r="C21" s="78">
        <v>9.375E-2</v>
      </c>
      <c r="D21" s="78">
        <v>0.30902777777777779</v>
      </c>
      <c r="E21" s="78">
        <v>9.0277777777777776E-2</v>
      </c>
      <c r="F21" s="77"/>
    </row>
    <row r="22" spans="1:6" ht="15.75" thickBot="1" x14ac:dyDescent="0.3">
      <c r="A22" s="79" t="s">
        <v>23</v>
      </c>
      <c r="B22" s="80"/>
      <c r="C22" s="80" t="s">
        <v>85</v>
      </c>
      <c r="D22" s="80" t="s">
        <v>86</v>
      </c>
      <c r="E22" s="80" t="s">
        <v>85</v>
      </c>
      <c r="F22" s="81"/>
    </row>
    <row r="23" spans="1:6" ht="15.75" thickBot="1" x14ac:dyDescent="0.3"/>
    <row r="24" spans="1:6" ht="19.5" thickBot="1" x14ac:dyDescent="0.45">
      <c r="A24" s="155" t="s">
        <v>87</v>
      </c>
      <c r="B24" s="156"/>
      <c r="C24" s="156"/>
      <c r="D24" s="156"/>
      <c r="E24" s="156"/>
      <c r="F24" s="157"/>
    </row>
    <row r="25" spans="1:6" x14ac:dyDescent="0.25">
      <c r="A25" s="158" t="s">
        <v>88</v>
      </c>
      <c r="B25" s="159"/>
      <c r="C25" s="159"/>
      <c r="D25" s="159"/>
      <c r="E25" s="159"/>
      <c r="F25" s="160"/>
    </row>
    <row r="26" spans="1:6" ht="18" x14ac:dyDescent="0.25">
      <c r="A26" s="146" t="s">
        <v>89</v>
      </c>
      <c r="B26" s="147"/>
      <c r="C26" s="147"/>
      <c r="D26" s="147"/>
      <c r="E26" s="147"/>
      <c r="F26" s="148"/>
    </row>
    <row r="27" spans="1:6" x14ac:dyDescent="0.25">
      <c r="A27" s="161" t="s">
        <v>3</v>
      </c>
      <c r="B27" s="162" t="s">
        <v>4</v>
      </c>
      <c r="C27" s="162"/>
      <c r="D27" s="162"/>
      <c r="E27" s="163" t="s">
        <v>5</v>
      </c>
      <c r="F27" s="164"/>
    </row>
    <row r="28" spans="1:6" x14ac:dyDescent="0.25">
      <c r="A28" s="161"/>
      <c r="B28" s="1" t="s">
        <v>6</v>
      </c>
      <c r="C28" s="1" t="s">
        <v>7</v>
      </c>
      <c r="D28" s="1" t="s">
        <v>8</v>
      </c>
      <c r="E28" s="1" t="s">
        <v>9</v>
      </c>
      <c r="F28" s="2" t="s">
        <v>10</v>
      </c>
    </row>
    <row r="29" spans="1:6" x14ac:dyDescent="0.25">
      <c r="A29" s="4" t="s">
        <v>70</v>
      </c>
      <c r="B29" s="61">
        <v>7</v>
      </c>
      <c r="C29" s="5">
        <v>8</v>
      </c>
      <c r="D29" s="82">
        <v>420</v>
      </c>
      <c r="E29" s="83">
        <f t="shared" ref="E29:E47" si="1">C29*D29</f>
        <v>3360</v>
      </c>
      <c r="F29" s="84">
        <f t="shared" ref="F29:F47" si="2">B29*E29</f>
        <v>23520</v>
      </c>
    </row>
    <row r="30" spans="1:6" x14ac:dyDescent="0.25">
      <c r="A30" s="4" t="s">
        <v>71</v>
      </c>
      <c r="B30" s="61">
        <v>6</v>
      </c>
      <c r="C30" s="5">
        <v>15</v>
      </c>
      <c r="D30" s="82">
        <v>350</v>
      </c>
      <c r="E30" s="83">
        <f t="shared" si="1"/>
        <v>5250</v>
      </c>
      <c r="F30" s="84">
        <f t="shared" si="2"/>
        <v>31500</v>
      </c>
    </row>
    <row r="31" spans="1:6" x14ac:dyDescent="0.25">
      <c r="A31" s="4" t="s">
        <v>72</v>
      </c>
      <c r="B31" s="61">
        <v>2</v>
      </c>
      <c r="C31" s="5">
        <v>3</v>
      </c>
      <c r="D31" s="82">
        <v>320</v>
      </c>
      <c r="E31" s="83">
        <f t="shared" si="1"/>
        <v>960</v>
      </c>
      <c r="F31" s="84">
        <f t="shared" si="2"/>
        <v>1920</v>
      </c>
    </row>
    <row r="32" spans="1:6" x14ac:dyDescent="0.25">
      <c r="A32" s="4" t="s">
        <v>72</v>
      </c>
      <c r="B32" s="61">
        <v>6</v>
      </c>
      <c r="C32" s="5">
        <v>7</v>
      </c>
      <c r="D32" s="82">
        <v>320</v>
      </c>
      <c r="E32" s="83">
        <f t="shared" si="1"/>
        <v>2240</v>
      </c>
      <c r="F32" s="84">
        <f t="shared" si="2"/>
        <v>13440</v>
      </c>
    </row>
    <row r="33" spans="1:6" x14ac:dyDescent="0.25">
      <c r="A33" s="4" t="s">
        <v>72</v>
      </c>
      <c r="B33" s="61">
        <v>4</v>
      </c>
      <c r="C33" s="5">
        <v>7</v>
      </c>
      <c r="D33" s="82">
        <v>320</v>
      </c>
      <c r="E33" s="83">
        <f t="shared" si="1"/>
        <v>2240</v>
      </c>
      <c r="F33" s="84">
        <f t="shared" si="2"/>
        <v>8960</v>
      </c>
    </row>
    <row r="34" spans="1:6" x14ac:dyDescent="0.25">
      <c r="A34" s="4" t="s">
        <v>73</v>
      </c>
      <c r="B34" s="61">
        <v>7</v>
      </c>
      <c r="C34" s="5">
        <v>1</v>
      </c>
      <c r="D34" s="82">
        <v>300</v>
      </c>
      <c r="E34" s="83">
        <f t="shared" si="1"/>
        <v>300</v>
      </c>
      <c r="F34" s="84">
        <f t="shared" si="2"/>
        <v>2100</v>
      </c>
    </row>
    <row r="35" spans="1:6" x14ac:dyDescent="0.25">
      <c r="A35" s="4" t="s">
        <v>74</v>
      </c>
      <c r="B35" s="61">
        <v>6</v>
      </c>
      <c r="C35" s="5">
        <v>6</v>
      </c>
      <c r="D35" s="82">
        <v>280</v>
      </c>
      <c r="E35" s="83">
        <f t="shared" si="1"/>
        <v>1680</v>
      </c>
      <c r="F35" s="84">
        <f t="shared" si="2"/>
        <v>10080</v>
      </c>
    </row>
    <row r="36" spans="1:6" x14ac:dyDescent="0.25">
      <c r="A36" s="4" t="s">
        <v>75</v>
      </c>
      <c r="B36" s="61">
        <v>7</v>
      </c>
      <c r="C36" s="5">
        <v>24</v>
      </c>
      <c r="D36" s="82">
        <v>120</v>
      </c>
      <c r="E36" s="83">
        <f t="shared" si="1"/>
        <v>2880</v>
      </c>
      <c r="F36" s="84">
        <f t="shared" si="2"/>
        <v>20160</v>
      </c>
    </row>
    <row r="37" spans="1:6" x14ac:dyDescent="0.25">
      <c r="A37" s="4" t="s">
        <v>76</v>
      </c>
      <c r="B37" s="61">
        <v>7</v>
      </c>
      <c r="C37" s="5">
        <v>36</v>
      </c>
      <c r="D37" s="82">
        <v>100</v>
      </c>
      <c r="E37" s="83">
        <f t="shared" si="1"/>
        <v>3600</v>
      </c>
      <c r="F37" s="84">
        <f t="shared" si="2"/>
        <v>25200</v>
      </c>
    </row>
    <row r="38" spans="1:6" x14ac:dyDescent="0.25">
      <c r="A38" s="4" t="s">
        <v>76</v>
      </c>
      <c r="B38" s="61">
        <v>4</v>
      </c>
      <c r="C38" s="5">
        <v>1</v>
      </c>
      <c r="D38" s="82">
        <v>100</v>
      </c>
      <c r="E38" s="83">
        <f t="shared" si="1"/>
        <v>100</v>
      </c>
      <c r="F38" s="84">
        <f t="shared" si="2"/>
        <v>400</v>
      </c>
    </row>
    <row r="39" spans="1:6" x14ac:dyDescent="0.25">
      <c r="A39" s="4" t="s">
        <v>77</v>
      </c>
      <c r="B39" s="61">
        <v>7</v>
      </c>
      <c r="C39" s="5">
        <v>60</v>
      </c>
      <c r="D39" s="82">
        <v>150</v>
      </c>
      <c r="E39" s="83">
        <f t="shared" si="1"/>
        <v>9000</v>
      </c>
      <c r="F39" s="84">
        <f t="shared" si="2"/>
        <v>63000</v>
      </c>
    </row>
    <row r="40" spans="1:6" x14ac:dyDescent="0.25">
      <c r="A40" s="4" t="s">
        <v>77</v>
      </c>
      <c r="B40" s="61">
        <v>4</v>
      </c>
      <c r="C40" s="5">
        <v>1</v>
      </c>
      <c r="D40" s="82">
        <v>150</v>
      </c>
      <c r="E40" s="83">
        <f t="shared" si="1"/>
        <v>150</v>
      </c>
      <c r="F40" s="84">
        <f t="shared" si="2"/>
        <v>600</v>
      </c>
    </row>
    <row r="41" spans="1:6" x14ac:dyDescent="0.25">
      <c r="A41" s="4" t="s">
        <v>78</v>
      </c>
      <c r="B41" s="61">
        <v>7</v>
      </c>
      <c r="C41" s="5">
        <v>40</v>
      </c>
      <c r="D41" s="82">
        <v>130</v>
      </c>
      <c r="E41" s="83">
        <f t="shared" si="1"/>
        <v>5200</v>
      </c>
      <c r="F41" s="84">
        <f t="shared" si="2"/>
        <v>36400</v>
      </c>
    </row>
    <row r="42" spans="1:6" x14ac:dyDescent="0.25">
      <c r="A42" s="4" t="s">
        <v>90</v>
      </c>
      <c r="B42" s="61">
        <v>7</v>
      </c>
      <c r="C42" s="5">
        <v>246</v>
      </c>
      <c r="D42" s="82">
        <v>28</v>
      </c>
      <c r="E42" s="83">
        <f t="shared" si="1"/>
        <v>6888</v>
      </c>
      <c r="F42" s="84">
        <f t="shared" si="2"/>
        <v>48216</v>
      </c>
    </row>
    <row r="43" spans="1:6" x14ac:dyDescent="0.25">
      <c r="A43" s="4" t="s">
        <v>91</v>
      </c>
      <c r="B43" s="61">
        <v>7</v>
      </c>
      <c r="C43" s="5">
        <v>30</v>
      </c>
      <c r="D43" s="82">
        <v>200</v>
      </c>
      <c r="E43" s="83">
        <f t="shared" si="1"/>
        <v>6000</v>
      </c>
      <c r="F43" s="84">
        <f t="shared" si="2"/>
        <v>42000</v>
      </c>
    </row>
    <row r="44" spans="1:6" x14ac:dyDescent="0.25">
      <c r="A44" s="4" t="s">
        <v>92</v>
      </c>
      <c r="B44" s="61">
        <v>7</v>
      </c>
      <c r="C44" s="5">
        <v>14</v>
      </c>
      <c r="D44" s="82">
        <v>250</v>
      </c>
      <c r="E44" s="83">
        <f t="shared" si="1"/>
        <v>3500</v>
      </c>
      <c r="F44" s="84">
        <f t="shared" si="2"/>
        <v>24500</v>
      </c>
    </row>
    <row r="45" spans="1:6" x14ac:dyDescent="0.25">
      <c r="A45" s="4" t="s">
        <v>92</v>
      </c>
      <c r="B45" s="61">
        <v>4</v>
      </c>
      <c r="C45" s="5">
        <v>2</v>
      </c>
      <c r="D45" s="82">
        <v>250</v>
      </c>
      <c r="E45" s="83">
        <f t="shared" si="1"/>
        <v>500</v>
      </c>
      <c r="F45" s="84">
        <f t="shared" si="2"/>
        <v>2000</v>
      </c>
    </row>
    <row r="46" spans="1:6" x14ac:dyDescent="0.25">
      <c r="A46" s="4" t="s">
        <v>93</v>
      </c>
      <c r="B46" s="61">
        <v>7</v>
      </c>
      <c r="C46" s="5">
        <v>10</v>
      </c>
      <c r="D46" s="82">
        <v>200</v>
      </c>
      <c r="E46" s="83">
        <f t="shared" si="1"/>
        <v>2000</v>
      </c>
      <c r="F46" s="84">
        <f t="shared" si="2"/>
        <v>14000</v>
      </c>
    </row>
    <row r="47" spans="1:6" x14ac:dyDescent="0.25">
      <c r="A47" s="4" t="s">
        <v>94</v>
      </c>
      <c r="B47" s="61">
        <v>7</v>
      </c>
      <c r="C47" s="5">
        <v>24</v>
      </c>
      <c r="D47" s="82">
        <v>350</v>
      </c>
      <c r="E47" s="83">
        <f t="shared" si="1"/>
        <v>8400</v>
      </c>
      <c r="F47" s="84">
        <f t="shared" si="2"/>
        <v>58800</v>
      </c>
    </row>
    <row r="48" spans="1:6" ht="18.75" x14ac:dyDescent="0.4">
      <c r="A48" s="165" t="s">
        <v>95</v>
      </c>
      <c r="B48" s="166"/>
      <c r="C48" s="169" t="s">
        <v>96</v>
      </c>
      <c r="D48" s="170"/>
      <c r="E48" s="85">
        <f>SUM(E29:E47)*1.19</f>
        <v>76455.12</v>
      </c>
      <c r="F48" s="171"/>
    </row>
    <row r="49" spans="1:6" ht="18.75" x14ac:dyDescent="0.4">
      <c r="A49" s="165"/>
      <c r="B49" s="166"/>
      <c r="C49" s="169" t="s">
        <v>97</v>
      </c>
      <c r="D49" s="170"/>
      <c r="E49" s="85">
        <f>SUM(F29:F47)</f>
        <v>426796</v>
      </c>
      <c r="F49" s="171"/>
    </row>
    <row r="50" spans="1:6" ht="18.75" x14ac:dyDescent="0.4">
      <c r="A50" s="165"/>
      <c r="B50" s="166"/>
      <c r="C50" s="169" t="s">
        <v>15</v>
      </c>
      <c r="D50" s="170"/>
      <c r="E50" s="86">
        <f>E49*19%</f>
        <v>81091.240000000005</v>
      </c>
      <c r="F50" s="171"/>
    </row>
    <row r="51" spans="1:6" ht="18.75" x14ac:dyDescent="0.4">
      <c r="A51" s="165"/>
      <c r="B51" s="166"/>
      <c r="C51" s="169" t="s">
        <v>98</v>
      </c>
      <c r="D51" s="170"/>
      <c r="E51" s="65"/>
      <c r="F51" s="171"/>
    </row>
    <row r="52" spans="1:6" ht="19.5" thickBot="1" x14ac:dyDescent="0.45">
      <c r="A52" s="167"/>
      <c r="B52" s="168"/>
      <c r="C52" s="173" t="s">
        <v>99</v>
      </c>
      <c r="D52" s="174"/>
      <c r="E52" s="87">
        <f>SUM(E49:E51)</f>
        <v>507887.24</v>
      </c>
      <c r="F52" s="172"/>
    </row>
    <row r="54" spans="1:6" x14ac:dyDescent="0.25">
      <c r="A54" s="88" t="s">
        <v>100</v>
      </c>
      <c r="B54" s="88" t="s">
        <v>101</v>
      </c>
      <c r="C54" s="88" t="s">
        <v>102</v>
      </c>
      <c r="D54" s="88" t="s">
        <v>103</v>
      </c>
    </row>
    <row r="55" spans="1:6" x14ac:dyDescent="0.25">
      <c r="A55" s="89"/>
      <c r="B55" s="90"/>
      <c r="C55" s="88" t="s">
        <v>104</v>
      </c>
      <c r="D55" s="90"/>
    </row>
    <row r="56" spans="1:6" x14ac:dyDescent="0.25">
      <c r="A56" s="91" t="s">
        <v>72</v>
      </c>
      <c r="B56" s="91">
        <v>1</v>
      </c>
      <c r="C56" s="92">
        <v>140000</v>
      </c>
      <c r="D56" s="93">
        <v>140000</v>
      </c>
    </row>
    <row r="57" spans="1:6" x14ac:dyDescent="0.25">
      <c r="A57" s="91" t="s">
        <v>105</v>
      </c>
      <c r="B57" s="91">
        <v>1</v>
      </c>
      <c r="C57" s="94">
        <v>12000</v>
      </c>
      <c r="D57" s="94">
        <v>12000</v>
      </c>
    </row>
    <row r="58" spans="1:6" x14ac:dyDescent="0.25">
      <c r="A58" s="91" t="s">
        <v>106</v>
      </c>
      <c r="B58" s="91">
        <v>2</v>
      </c>
      <c r="C58" s="94">
        <v>180000</v>
      </c>
      <c r="D58" s="94">
        <f>B58*C58</f>
        <v>360000</v>
      </c>
    </row>
    <row r="59" spans="1:6" x14ac:dyDescent="0.25">
      <c r="A59" s="91" t="s">
        <v>107</v>
      </c>
      <c r="B59" s="91">
        <v>2</v>
      </c>
      <c r="C59" s="94">
        <v>100000</v>
      </c>
      <c r="D59" s="94">
        <f>B59*C59</f>
        <v>200000</v>
      </c>
    </row>
    <row r="60" spans="1:6" ht="15.75" x14ac:dyDescent="0.25">
      <c r="A60" s="95" t="s">
        <v>108</v>
      </c>
      <c r="B60" s="175">
        <f>SUM(D56:D59)</f>
        <v>712000</v>
      </c>
      <c r="C60" s="176"/>
      <c r="D60" s="177"/>
    </row>
    <row r="61" spans="1:6" x14ac:dyDescent="0.25">
      <c r="E61" t="s">
        <v>109</v>
      </c>
    </row>
    <row r="62" spans="1:6" ht="18.75" x14ac:dyDescent="0.4">
      <c r="A62" s="96" t="s">
        <v>110</v>
      </c>
      <c r="B62" s="96"/>
      <c r="C62" s="96"/>
      <c r="D62" s="97">
        <v>1096362</v>
      </c>
      <c r="E62" s="98" t="e">
        <f>#REF!*0.04</f>
        <v>#REF!</v>
      </c>
      <c r="F62" s="97">
        <v>3088875</v>
      </c>
    </row>
    <row r="63" spans="1:6" ht="17.25" x14ac:dyDescent="0.3">
      <c r="A63" s="99" t="s">
        <v>111</v>
      </c>
      <c r="B63" s="99"/>
      <c r="C63" s="99"/>
      <c r="D63" s="100">
        <v>507887</v>
      </c>
      <c r="E63" s="101">
        <f>D63*0.04</f>
        <v>20315.48</v>
      </c>
    </row>
    <row r="64" spans="1:6" ht="16.5" x14ac:dyDescent="0.3">
      <c r="A64" s="102" t="s">
        <v>100</v>
      </c>
      <c r="B64" s="102"/>
      <c r="C64" s="102"/>
      <c r="D64" s="103">
        <v>752000</v>
      </c>
      <c r="E64" s="101">
        <f>D64*0.025</f>
        <v>18800</v>
      </c>
    </row>
    <row r="65" spans="1:8" ht="21" x14ac:dyDescent="0.4">
      <c r="A65" s="104" t="s">
        <v>112</v>
      </c>
      <c r="B65" s="105"/>
      <c r="C65" s="105"/>
      <c r="D65" s="106">
        <f>SUM(D62:D64)</f>
        <v>2356249</v>
      </c>
      <c r="E65" s="54" t="e">
        <f>SUM(E62:E64)</f>
        <v>#REF!</v>
      </c>
      <c r="F65" s="107" t="e">
        <f>D65-E65</f>
        <v>#REF!</v>
      </c>
    </row>
    <row r="67" spans="1:8" ht="15.75" thickBot="1" x14ac:dyDescent="0.3"/>
    <row r="68" spans="1:8" ht="18.75" x14ac:dyDescent="0.3">
      <c r="A68" s="178" t="s">
        <v>88</v>
      </c>
      <c r="B68" s="179"/>
      <c r="C68" s="179"/>
      <c r="D68" s="179"/>
      <c r="E68" s="179"/>
      <c r="F68" s="179"/>
      <c r="G68" s="179"/>
      <c r="H68" s="180"/>
    </row>
    <row r="69" spans="1:8" ht="18.75" x14ac:dyDescent="0.3">
      <c r="A69" s="181" t="s">
        <v>68</v>
      </c>
      <c r="B69" s="182"/>
      <c r="C69" s="182"/>
      <c r="D69" s="182"/>
      <c r="E69" s="182"/>
      <c r="F69" s="182"/>
      <c r="G69" s="182"/>
      <c r="H69" s="183"/>
    </row>
    <row r="70" spans="1:8" ht="18.75" x14ac:dyDescent="0.3">
      <c r="A70" s="181" t="s">
        <v>113</v>
      </c>
      <c r="B70" s="182"/>
      <c r="C70" s="182"/>
      <c r="D70" s="182"/>
      <c r="E70" s="182"/>
      <c r="F70" s="182"/>
      <c r="G70" s="182"/>
      <c r="H70" s="183"/>
    </row>
    <row r="71" spans="1:8" x14ac:dyDescent="0.25">
      <c r="A71" s="32" t="s">
        <v>3</v>
      </c>
      <c r="B71" s="19" t="s">
        <v>20</v>
      </c>
      <c r="C71" s="19">
        <v>13778</v>
      </c>
      <c r="D71" s="19">
        <v>13730</v>
      </c>
      <c r="E71" s="19">
        <v>13428</v>
      </c>
      <c r="F71" s="19">
        <v>13737</v>
      </c>
      <c r="G71" s="19"/>
      <c r="H71" s="108" t="s">
        <v>20</v>
      </c>
    </row>
    <row r="72" spans="1:8" x14ac:dyDescent="0.25">
      <c r="A72" s="34"/>
      <c r="B72" s="20">
        <v>46173</v>
      </c>
      <c r="C72" s="109">
        <v>46176</v>
      </c>
      <c r="D72" s="110">
        <v>46195</v>
      </c>
      <c r="E72" s="20">
        <v>46195</v>
      </c>
      <c r="F72" s="20">
        <v>46198</v>
      </c>
      <c r="G72" s="20"/>
      <c r="H72" s="111">
        <v>46204</v>
      </c>
    </row>
    <row r="73" spans="1:8" x14ac:dyDescent="0.25">
      <c r="A73" s="36" t="s">
        <v>72</v>
      </c>
      <c r="B73" s="116">
        <v>1</v>
      </c>
      <c r="C73" s="22"/>
      <c r="D73" s="22"/>
      <c r="E73" s="22"/>
      <c r="F73" s="22"/>
      <c r="G73" s="22"/>
      <c r="H73" s="112">
        <f t="shared" ref="H73:H84" si="3">SUM(B73:G73)</f>
        <v>1</v>
      </c>
    </row>
    <row r="74" spans="1:8" x14ac:dyDescent="0.25">
      <c r="A74" s="36" t="s">
        <v>76</v>
      </c>
      <c r="B74" s="21">
        <v>1</v>
      </c>
      <c r="C74" s="68">
        <v>4</v>
      </c>
      <c r="D74" s="22"/>
      <c r="E74" s="68">
        <v>-4</v>
      </c>
      <c r="F74" s="22"/>
      <c r="G74" s="22"/>
      <c r="H74" s="112">
        <f t="shared" si="3"/>
        <v>1</v>
      </c>
    </row>
    <row r="75" spans="1:8" x14ac:dyDescent="0.25">
      <c r="A75" s="36" t="s">
        <v>77</v>
      </c>
      <c r="B75" s="21">
        <v>1</v>
      </c>
      <c r="C75" s="22"/>
      <c r="D75" s="22"/>
      <c r="E75" s="68">
        <v>-1</v>
      </c>
      <c r="F75" s="22"/>
      <c r="G75" s="22"/>
      <c r="H75" s="112">
        <f t="shared" si="3"/>
        <v>0</v>
      </c>
    </row>
    <row r="76" spans="1:8" x14ac:dyDescent="0.25">
      <c r="A76" s="36" t="s">
        <v>81</v>
      </c>
      <c r="B76" s="21">
        <v>2</v>
      </c>
      <c r="C76" s="22"/>
      <c r="D76" s="22"/>
      <c r="E76" s="22"/>
      <c r="F76" s="22"/>
      <c r="G76" s="22"/>
      <c r="H76" s="112">
        <f t="shared" si="3"/>
        <v>2</v>
      </c>
    </row>
    <row r="77" spans="1:8" x14ac:dyDescent="0.25">
      <c r="A77" s="36" t="s">
        <v>114</v>
      </c>
      <c r="B77" s="21">
        <v>2</v>
      </c>
      <c r="C77" s="22"/>
      <c r="D77" s="22"/>
      <c r="E77" s="22"/>
      <c r="F77" s="22"/>
      <c r="G77" s="22"/>
      <c r="H77" s="112">
        <f t="shared" si="3"/>
        <v>2</v>
      </c>
    </row>
    <row r="78" spans="1:8" x14ac:dyDescent="0.25">
      <c r="A78" s="36" t="s">
        <v>70</v>
      </c>
      <c r="B78" s="21"/>
      <c r="C78" s="68">
        <v>20</v>
      </c>
      <c r="D78" s="22"/>
      <c r="E78" s="68">
        <v>-20</v>
      </c>
      <c r="F78" s="22"/>
      <c r="G78" s="22"/>
      <c r="H78" s="112">
        <f t="shared" si="3"/>
        <v>0</v>
      </c>
    </row>
    <row r="79" spans="1:8" x14ac:dyDescent="0.25">
      <c r="A79" s="36" t="s">
        <v>71</v>
      </c>
      <c r="B79" s="21"/>
      <c r="C79" s="68">
        <v>10</v>
      </c>
      <c r="D79" s="22"/>
      <c r="E79" s="68">
        <v>-10</v>
      </c>
      <c r="F79" s="22"/>
      <c r="G79" s="22"/>
      <c r="H79" s="112">
        <f t="shared" si="3"/>
        <v>0</v>
      </c>
    </row>
    <row r="80" spans="1:8" x14ac:dyDescent="0.25">
      <c r="A80" s="36" t="s">
        <v>75</v>
      </c>
      <c r="B80" s="21"/>
      <c r="C80" s="68">
        <v>5</v>
      </c>
      <c r="D80" s="22"/>
      <c r="E80" s="68">
        <v>-5</v>
      </c>
      <c r="F80" s="22"/>
      <c r="G80" s="22"/>
      <c r="H80" s="112">
        <f t="shared" si="3"/>
        <v>0</v>
      </c>
    </row>
    <row r="81" spans="1:8" x14ac:dyDescent="0.25">
      <c r="A81" s="36" t="s">
        <v>79</v>
      </c>
      <c r="B81" s="21"/>
      <c r="C81" s="68">
        <v>300</v>
      </c>
      <c r="D81" s="22"/>
      <c r="E81" s="68">
        <v>-300</v>
      </c>
      <c r="F81" s="22"/>
      <c r="G81" s="22"/>
      <c r="H81" s="112">
        <f t="shared" si="3"/>
        <v>0</v>
      </c>
    </row>
    <row r="82" spans="1:8" x14ac:dyDescent="0.25">
      <c r="A82" s="36" t="s">
        <v>115</v>
      </c>
      <c r="B82" s="21"/>
      <c r="C82" s="68">
        <v>8</v>
      </c>
      <c r="D82" s="22"/>
      <c r="E82" s="22"/>
      <c r="F82" s="22"/>
      <c r="G82" s="22"/>
      <c r="H82" s="112">
        <f>SUM(B82:G82)</f>
        <v>8</v>
      </c>
    </row>
    <row r="83" spans="1:8" x14ac:dyDescent="0.25">
      <c r="A83" s="36" t="s">
        <v>78</v>
      </c>
      <c r="B83" s="21"/>
      <c r="C83" s="68">
        <v>40</v>
      </c>
      <c r="D83" s="22"/>
      <c r="E83" s="68">
        <v>-40</v>
      </c>
      <c r="F83" s="22"/>
      <c r="G83" s="22"/>
      <c r="H83" s="112">
        <f t="shared" si="3"/>
        <v>0</v>
      </c>
    </row>
    <row r="84" spans="1:8" x14ac:dyDescent="0.25">
      <c r="A84" s="36" t="s">
        <v>74</v>
      </c>
      <c r="B84" s="21"/>
      <c r="C84" s="22"/>
      <c r="D84" s="68">
        <v>21</v>
      </c>
      <c r="E84" s="22"/>
      <c r="F84" s="22"/>
      <c r="G84" s="22"/>
      <c r="H84" s="112">
        <f t="shared" si="3"/>
        <v>21</v>
      </c>
    </row>
    <row r="85" spans="1:8" x14ac:dyDescent="0.25">
      <c r="A85" s="36" t="s">
        <v>83</v>
      </c>
      <c r="B85" s="21"/>
      <c r="C85" s="22"/>
      <c r="D85" s="22"/>
      <c r="E85" s="22"/>
      <c r="F85" s="68">
        <v>10</v>
      </c>
      <c r="G85" s="22"/>
      <c r="H85" s="112">
        <f>SUM(B85:G85)</f>
        <v>10</v>
      </c>
    </row>
    <row r="86" spans="1:8" x14ac:dyDescent="0.25">
      <c r="A86" s="36" t="s">
        <v>116</v>
      </c>
      <c r="B86" s="21"/>
      <c r="C86" s="68">
        <v>1</v>
      </c>
      <c r="D86" s="22"/>
      <c r="E86" s="68">
        <v>-1</v>
      </c>
      <c r="F86" s="22"/>
      <c r="G86" s="22"/>
      <c r="H86" s="112">
        <f>SUM(C86:G86)</f>
        <v>0</v>
      </c>
    </row>
    <row r="87" spans="1:8" x14ac:dyDescent="0.25">
      <c r="A87" s="34" t="s">
        <v>22</v>
      </c>
      <c r="B87" s="113"/>
      <c r="C87" s="24">
        <v>0.16666666666666666</v>
      </c>
      <c r="D87" s="24">
        <v>0.37777777777777777</v>
      </c>
      <c r="E87" s="24">
        <v>6.5972222222222224E-2</v>
      </c>
      <c r="F87" s="24">
        <v>0.3888888888888889</v>
      </c>
      <c r="G87" s="24"/>
      <c r="H87" s="38"/>
    </row>
    <row r="88" spans="1:8" ht="15.75" thickBot="1" x14ac:dyDescent="0.3">
      <c r="A88" s="39" t="s">
        <v>23</v>
      </c>
      <c r="B88" s="114"/>
      <c r="C88" s="41" t="s">
        <v>117</v>
      </c>
      <c r="D88" s="41" t="s">
        <v>85</v>
      </c>
      <c r="E88" s="41" t="s">
        <v>85</v>
      </c>
      <c r="F88" s="41" t="s">
        <v>118</v>
      </c>
      <c r="G88" s="41"/>
      <c r="H88" s="115"/>
    </row>
    <row r="90" spans="1:8" x14ac:dyDescent="0.25">
      <c r="A90" s="88" t="s">
        <v>100</v>
      </c>
      <c r="B90" s="88" t="s">
        <v>101</v>
      </c>
      <c r="C90" s="88" t="s">
        <v>102</v>
      </c>
      <c r="D90" s="88" t="s">
        <v>103</v>
      </c>
    </row>
    <row r="91" spans="1:8" x14ac:dyDescent="0.25">
      <c r="A91" s="89"/>
      <c r="B91" s="90"/>
      <c r="C91" s="88" t="s">
        <v>104</v>
      </c>
      <c r="D91" s="90"/>
    </row>
    <row r="92" spans="1:8" x14ac:dyDescent="0.25">
      <c r="A92" s="91" t="s">
        <v>72</v>
      </c>
      <c r="B92" s="91">
        <v>1</v>
      </c>
      <c r="C92" s="92">
        <v>140000</v>
      </c>
      <c r="D92" s="93">
        <v>140000</v>
      </c>
      <c r="E92" s="123" t="s">
        <v>164</v>
      </c>
    </row>
    <row r="93" spans="1:8" x14ac:dyDescent="0.25">
      <c r="A93" s="91" t="s">
        <v>105</v>
      </c>
      <c r="B93" s="91">
        <v>1</v>
      </c>
      <c r="C93" s="94">
        <v>12000</v>
      </c>
      <c r="D93" s="94">
        <v>12000</v>
      </c>
    </row>
    <row r="94" spans="1:8" x14ac:dyDescent="0.25">
      <c r="A94" s="91" t="s">
        <v>106</v>
      </c>
      <c r="B94" s="91">
        <v>2</v>
      </c>
      <c r="C94" s="94">
        <v>180000</v>
      </c>
      <c r="D94" s="94">
        <f>B94*C94</f>
        <v>360000</v>
      </c>
    </row>
    <row r="95" spans="1:8" x14ac:dyDescent="0.25">
      <c r="A95" s="91" t="s">
        <v>107</v>
      </c>
      <c r="B95" s="91">
        <v>2</v>
      </c>
      <c r="C95" s="94">
        <v>100000</v>
      </c>
      <c r="D95" s="94">
        <f>B95*C95</f>
        <v>200000</v>
      </c>
      <c r="E95" s="123">
        <v>-1</v>
      </c>
    </row>
    <row r="96" spans="1:8" ht="15.75" x14ac:dyDescent="0.25">
      <c r="A96" s="95" t="s">
        <v>108</v>
      </c>
      <c r="B96" s="175">
        <f>SUM(D92:D95)</f>
        <v>712000</v>
      </c>
      <c r="C96" s="176"/>
      <c r="D96" s="177"/>
    </row>
    <row r="99" spans="1:7" ht="18.75" x14ac:dyDescent="0.4">
      <c r="A99" s="237" t="s">
        <v>87</v>
      </c>
      <c r="B99" s="237"/>
      <c r="C99" s="237"/>
      <c r="D99" s="237"/>
      <c r="E99" s="237"/>
      <c r="F99" s="237"/>
      <c r="G99" s="237"/>
    </row>
    <row r="100" spans="1:7" x14ac:dyDescent="0.25">
      <c r="A100" s="229" t="s">
        <v>88</v>
      </c>
      <c r="B100" s="229"/>
      <c r="C100" s="229"/>
      <c r="D100" s="229"/>
      <c r="E100" s="229"/>
      <c r="F100" s="229"/>
      <c r="G100" s="229"/>
    </row>
    <row r="101" spans="1:7" ht="18" x14ac:dyDescent="0.25">
      <c r="A101" s="230" t="s">
        <v>89</v>
      </c>
      <c r="B101" s="230"/>
      <c r="C101" s="230"/>
      <c r="D101" s="230"/>
      <c r="E101" s="230"/>
      <c r="F101" s="230"/>
      <c r="G101" s="230"/>
    </row>
    <row r="102" spans="1:7" x14ac:dyDescent="0.25">
      <c r="A102" s="221" t="s">
        <v>3</v>
      </c>
      <c r="B102" s="162" t="s">
        <v>4</v>
      </c>
      <c r="C102" s="162"/>
      <c r="D102" s="162"/>
      <c r="E102" s="162" t="s">
        <v>5</v>
      </c>
      <c r="F102" s="162"/>
      <c r="G102" s="228" t="s">
        <v>160</v>
      </c>
    </row>
    <row r="103" spans="1:7" x14ac:dyDescent="0.25">
      <c r="A103" s="221"/>
      <c r="B103" s="1" t="s">
        <v>6</v>
      </c>
      <c r="C103" s="1" t="s">
        <v>7</v>
      </c>
      <c r="D103" s="1" t="s">
        <v>8</v>
      </c>
      <c r="E103" s="1" t="s">
        <v>9</v>
      </c>
      <c r="F103" s="1" t="s">
        <v>10</v>
      </c>
      <c r="G103" s="228"/>
    </row>
    <row r="104" spans="1:7" x14ac:dyDescent="0.25">
      <c r="A104" s="91" t="s">
        <v>72</v>
      </c>
      <c r="B104" s="61">
        <v>30</v>
      </c>
      <c r="C104" s="5">
        <v>1</v>
      </c>
      <c r="D104" s="83">
        <v>320</v>
      </c>
      <c r="E104" s="83">
        <f t="shared" ref="E104:E109" si="4">C104*D104</f>
        <v>320</v>
      </c>
      <c r="F104" s="83">
        <f t="shared" ref="F104:F109" si="5">B104*E104</f>
        <v>9600</v>
      </c>
      <c r="G104" s="91" t="s">
        <v>119</v>
      </c>
    </row>
    <row r="105" spans="1:7" x14ac:dyDescent="0.25">
      <c r="A105" s="91" t="s">
        <v>76</v>
      </c>
      <c r="B105" s="61">
        <v>30</v>
      </c>
      <c r="C105" s="5">
        <v>1</v>
      </c>
      <c r="D105" s="83">
        <v>100</v>
      </c>
      <c r="E105" s="83">
        <f t="shared" si="4"/>
        <v>100</v>
      </c>
      <c r="F105" s="83">
        <f t="shared" si="5"/>
        <v>3000</v>
      </c>
      <c r="G105" s="91" t="s">
        <v>119</v>
      </c>
    </row>
    <row r="106" spans="1:7" x14ac:dyDescent="0.25">
      <c r="A106" s="91" t="s">
        <v>76</v>
      </c>
      <c r="B106" s="61">
        <v>19</v>
      </c>
      <c r="C106" s="5">
        <v>3</v>
      </c>
      <c r="D106" s="83">
        <v>100</v>
      </c>
      <c r="E106" s="83">
        <f t="shared" si="4"/>
        <v>300</v>
      </c>
      <c r="F106" s="83">
        <f t="shared" si="5"/>
        <v>5700</v>
      </c>
      <c r="G106" s="91" t="s">
        <v>120</v>
      </c>
    </row>
    <row r="107" spans="1:7" x14ac:dyDescent="0.25">
      <c r="A107" s="91" t="s">
        <v>77</v>
      </c>
      <c r="B107" s="61">
        <v>22</v>
      </c>
      <c r="C107" s="5">
        <v>1</v>
      </c>
      <c r="D107" s="83">
        <v>150</v>
      </c>
      <c r="E107" s="83">
        <f t="shared" si="4"/>
        <v>150</v>
      </c>
      <c r="F107" s="83">
        <f t="shared" si="5"/>
        <v>3300</v>
      </c>
      <c r="G107" s="91" t="s">
        <v>121</v>
      </c>
    </row>
    <row r="108" spans="1:7" x14ac:dyDescent="0.25">
      <c r="A108" s="91" t="s">
        <v>92</v>
      </c>
      <c r="B108" s="61">
        <v>30</v>
      </c>
      <c r="C108" s="5">
        <v>2</v>
      </c>
      <c r="D108" s="83">
        <v>250</v>
      </c>
      <c r="E108" s="83">
        <f t="shared" si="4"/>
        <v>500</v>
      </c>
      <c r="F108" s="83">
        <f t="shared" si="5"/>
        <v>15000</v>
      </c>
      <c r="G108" s="91" t="s">
        <v>119</v>
      </c>
    </row>
    <row r="109" spans="1:7" x14ac:dyDescent="0.25">
      <c r="A109" s="91" t="s">
        <v>122</v>
      </c>
      <c r="B109" s="61">
        <v>30</v>
      </c>
      <c r="C109" s="5">
        <v>2</v>
      </c>
      <c r="D109" s="238">
        <v>100</v>
      </c>
      <c r="E109" s="83">
        <f t="shared" si="4"/>
        <v>200</v>
      </c>
      <c r="F109" s="83">
        <f t="shared" si="5"/>
        <v>6000</v>
      </c>
      <c r="G109" s="91" t="s">
        <v>119</v>
      </c>
    </row>
    <row r="110" spans="1:7" x14ac:dyDescent="0.25">
      <c r="A110" s="91" t="s">
        <v>70</v>
      </c>
      <c r="B110" s="61">
        <v>19</v>
      </c>
      <c r="C110" s="5">
        <v>20</v>
      </c>
      <c r="D110" s="83">
        <v>420</v>
      </c>
      <c r="E110" s="83">
        <f t="shared" ref="E110:E116" si="6">C110*D110</f>
        <v>8400</v>
      </c>
      <c r="F110" s="83">
        <f t="shared" ref="F110:F116" si="7">B110*E110</f>
        <v>159600</v>
      </c>
      <c r="G110" s="91" t="s">
        <v>120</v>
      </c>
    </row>
    <row r="111" spans="1:7" x14ac:dyDescent="0.25">
      <c r="A111" s="91" t="s">
        <v>71</v>
      </c>
      <c r="B111" s="61">
        <v>19</v>
      </c>
      <c r="C111" s="5">
        <v>10</v>
      </c>
      <c r="D111" s="83">
        <v>350</v>
      </c>
      <c r="E111" s="83">
        <f t="shared" si="6"/>
        <v>3500</v>
      </c>
      <c r="F111" s="83">
        <f t="shared" si="7"/>
        <v>66500</v>
      </c>
      <c r="G111" s="91" t="s">
        <v>120</v>
      </c>
    </row>
    <row r="112" spans="1:7" x14ac:dyDescent="0.25">
      <c r="A112" s="91" t="s">
        <v>75</v>
      </c>
      <c r="B112" s="61">
        <v>19</v>
      </c>
      <c r="C112" s="5">
        <v>5</v>
      </c>
      <c r="D112" s="83">
        <v>150</v>
      </c>
      <c r="E112" s="83">
        <f>C112*D112</f>
        <v>750</v>
      </c>
      <c r="F112" s="83">
        <f>B112*E112</f>
        <v>14250</v>
      </c>
      <c r="G112" s="91" t="s">
        <v>120</v>
      </c>
    </row>
    <row r="113" spans="1:7" x14ac:dyDescent="0.25">
      <c r="A113" s="91" t="s">
        <v>90</v>
      </c>
      <c r="B113" s="61">
        <v>19</v>
      </c>
      <c r="C113" s="5">
        <v>300</v>
      </c>
      <c r="D113" s="83">
        <v>28</v>
      </c>
      <c r="E113" s="83">
        <f>C113*D113</f>
        <v>8400</v>
      </c>
      <c r="F113" s="83">
        <f>B113*E113</f>
        <v>159600</v>
      </c>
      <c r="G113" s="91" t="s">
        <v>120</v>
      </c>
    </row>
    <row r="114" spans="1:7" x14ac:dyDescent="0.25">
      <c r="A114" s="91" t="s">
        <v>123</v>
      </c>
      <c r="B114" s="61">
        <v>27</v>
      </c>
      <c r="C114" s="5">
        <v>8</v>
      </c>
      <c r="D114" s="83">
        <v>450</v>
      </c>
      <c r="E114" s="83">
        <f>C114*D114</f>
        <v>3600</v>
      </c>
      <c r="F114" s="83">
        <f>B114*E114</f>
        <v>97200</v>
      </c>
      <c r="G114" s="91" t="s">
        <v>124</v>
      </c>
    </row>
    <row r="115" spans="1:7" x14ac:dyDescent="0.25">
      <c r="A115" s="91" t="s">
        <v>78</v>
      </c>
      <c r="B115" s="61">
        <v>19</v>
      </c>
      <c r="C115" s="5">
        <v>40</v>
      </c>
      <c r="D115" s="83">
        <v>130</v>
      </c>
      <c r="E115" s="83">
        <f>C115*D115</f>
        <v>5200</v>
      </c>
      <c r="F115" s="83">
        <f>B115*E115</f>
        <v>98800</v>
      </c>
      <c r="G115" s="91" t="s">
        <v>120</v>
      </c>
    </row>
    <row r="116" spans="1:7" x14ac:dyDescent="0.25">
      <c r="A116" s="91" t="s">
        <v>74</v>
      </c>
      <c r="B116" s="61">
        <v>8</v>
      </c>
      <c r="C116" s="5">
        <v>21</v>
      </c>
      <c r="D116" s="83">
        <v>280</v>
      </c>
      <c r="E116" s="83">
        <f t="shared" si="6"/>
        <v>5880</v>
      </c>
      <c r="F116" s="83">
        <f t="shared" si="7"/>
        <v>47040</v>
      </c>
      <c r="G116" s="91" t="s">
        <v>125</v>
      </c>
    </row>
    <row r="117" spans="1:7" x14ac:dyDescent="0.25">
      <c r="A117" s="91" t="s">
        <v>94</v>
      </c>
      <c r="B117" s="61">
        <v>6</v>
      </c>
      <c r="C117" s="5">
        <v>10</v>
      </c>
      <c r="D117" s="83">
        <v>350</v>
      </c>
      <c r="E117" s="83">
        <f>C117*D117</f>
        <v>3500</v>
      </c>
      <c r="F117" s="83">
        <f>B117*E117</f>
        <v>21000</v>
      </c>
      <c r="G117" s="91" t="s">
        <v>126</v>
      </c>
    </row>
    <row r="118" spans="1:7" ht="18.75" x14ac:dyDescent="0.4">
      <c r="A118" s="166" t="s">
        <v>119</v>
      </c>
      <c r="B118" s="166"/>
      <c r="C118" s="239" t="s">
        <v>97</v>
      </c>
      <c r="D118" s="239"/>
      <c r="E118" s="85">
        <f>SUM(F104:F117)</f>
        <v>706590</v>
      </c>
      <c r="F118" s="231"/>
      <c r="G118" s="232"/>
    </row>
    <row r="119" spans="1:7" ht="18.75" x14ac:dyDescent="0.4">
      <c r="A119" s="166"/>
      <c r="B119" s="166"/>
      <c r="C119" s="239" t="s">
        <v>15</v>
      </c>
      <c r="D119" s="239"/>
      <c r="E119" s="86">
        <f>E118*19%</f>
        <v>134252.1</v>
      </c>
      <c r="F119" s="204"/>
      <c r="G119" s="233"/>
    </row>
    <row r="120" spans="1:7" ht="18.75" x14ac:dyDescent="0.4">
      <c r="A120" s="166"/>
      <c r="B120" s="166"/>
      <c r="C120" s="221" t="s">
        <v>99</v>
      </c>
      <c r="D120" s="221"/>
      <c r="E120" s="124">
        <f>SUM(E118:E119)</f>
        <v>840842.1</v>
      </c>
      <c r="F120" s="234"/>
      <c r="G120" s="235"/>
    </row>
  </sheetData>
  <mergeCells count="33">
    <mergeCell ref="G102:G103"/>
    <mergeCell ref="A99:G99"/>
    <mergeCell ref="A100:G100"/>
    <mergeCell ref="A101:G101"/>
    <mergeCell ref="F118:G120"/>
    <mergeCell ref="C120:D120"/>
    <mergeCell ref="A102:A103"/>
    <mergeCell ref="B102:D102"/>
    <mergeCell ref="E102:F102"/>
    <mergeCell ref="A118:B120"/>
    <mergeCell ref="C118:D118"/>
    <mergeCell ref="C119:D119"/>
    <mergeCell ref="A27:A28"/>
    <mergeCell ref="B27:D27"/>
    <mergeCell ref="E27:F27"/>
    <mergeCell ref="A48:B52"/>
    <mergeCell ref="C48:D48"/>
    <mergeCell ref="F48:F52"/>
    <mergeCell ref="C49:D49"/>
    <mergeCell ref="C50:D50"/>
    <mergeCell ref="C51:D51"/>
    <mergeCell ref="C52:D52"/>
    <mergeCell ref="B60:D60"/>
    <mergeCell ref="A68:H68"/>
    <mergeCell ref="A69:H69"/>
    <mergeCell ref="A70:H70"/>
    <mergeCell ref="B96:D96"/>
    <mergeCell ref="A26:F26"/>
    <mergeCell ref="A1:F1"/>
    <mergeCell ref="A2:F2"/>
    <mergeCell ref="A3:F3"/>
    <mergeCell ref="A24:F24"/>
    <mergeCell ref="A25:F25"/>
  </mergeCells>
  <pageMargins left="0.7" right="0.7" top="0.75" bottom="0.75" header="0.3" footer="0.3"/>
  <pageSetup paperSize="9" scale="26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74CC-BB7F-48E3-999A-A5D538433394}">
  <sheetPr>
    <pageSetUpPr fitToPage="1"/>
  </sheetPr>
  <dimension ref="A1:K68"/>
  <sheetViews>
    <sheetView topLeftCell="A15" workbookViewId="0">
      <selection activeCell="H62" sqref="H62"/>
    </sheetView>
  </sheetViews>
  <sheetFormatPr baseColWidth="10" defaultRowHeight="15" x14ac:dyDescent="0.25"/>
  <cols>
    <col min="1" max="1" width="39.42578125" customWidth="1"/>
    <col min="5" max="5" width="16.7109375" bestFit="1" customWidth="1"/>
    <col min="6" max="6" width="19.140625" customWidth="1"/>
    <col min="7" max="7" width="16.5703125" customWidth="1"/>
    <col min="8" max="8" width="90.140625" bestFit="1" customWidth="1"/>
  </cols>
  <sheetData>
    <row r="1" spans="1:8" ht="18.75" x14ac:dyDescent="0.3">
      <c r="A1" s="178" t="s">
        <v>144</v>
      </c>
      <c r="B1" s="179"/>
      <c r="C1" s="179"/>
      <c r="D1" s="179"/>
      <c r="E1" s="179"/>
      <c r="F1" s="179"/>
      <c r="G1" s="180"/>
    </row>
    <row r="2" spans="1:8" ht="18.75" x14ac:dyDescent="0.3">
      <c r="A2" s="181" t="s">
        <v>145</v>
      </c>
      <c r="B2" s="182"/>
      <c r="C2" s="182"/>
      <c r="D2" s="182"/>
      <c r="E2" s="182"/>
      <c r="F2" s="182"/>
      <c r="G2" s="183"/>
    </row>
    <row r="3" spans="1:8" ht="18.75" x14ac:dyDescent="0.3">
      <c r="A3" s="181" t="s">
        <v>146</v>
      </c>
      <c r="B3" s="182"/>
      <c r="C3" s="182"/>
      <c r="D3" s="182"/>
      <c r="E3" s="182"/>
      <c r="F3" s="182"/>
      <c r="G3" s="183"/>
    </row>
    <row r="4" spans="1:8" x14ac:dyDescent="0.25">
      <c r="A4" s="226" t="s">
        <v>3</v>
      </c>
      <c r="B4" s="50" t="s">
        <v>20</v>
      </c>
      <c r="C4" s="50">
        <v>13441</v>
      </c>
      <c r="D4" s="50">
        <v>13441</v>
      </c>
      <c r="E4" s="50">
        <v>13437</v>
      </c>
      <c r="F4" s="50"/>
      <c r="G4" s="138" t="s">
        <v>147</v>
      </c>
    </row>
    <row r="5" spans="1:8" x14ac:dyDescent="0.25">
      <c r="A5" s="227"/>
      <c r="B5" s="20">
        <v>46172</v>
      </c>
      <c r="C5" s="20">
        <v>46197</v>
      </c>
      <c r="D5" s="20">
        <v>46197</v>
      </c>
      <c r="E5" s="20">
        <v>46197</v>
      </c>
      <c r="F5" s="20"/>
      <c r="G5" s="139">
        <v>46203</v>
      </c>
    </row>
    <row r="6" spans="1:8" x14ac:dyDescent="0.25">
      <c r="A6" s="140" t="s">
        <v>148</v>
      </c>
      <c r="B6" s="120">
        <v>40</v>
      </c>
      <c r="C6" s="141">
        <v>-5</v>
      </c>
      <c r="D6" s="120"/>
      <c r="E6" s="121">
        <v>-24</v>
      </c>
      <c r="F6" s="121"/>
      <c r="G6" s="142">
        <f>SUM(B6:F6)</f>
        <v>11</v>
      </c>
    </row>
    <row r="7" spans="1:8" x14ac:dyDescent="0.25">
      <c r="A7" s="140" t="s">
        <v>70</v>
      </c>
      <c r="B7" s="120">
        <v>110</v>
      </c>
      <c r="C7" s="122">
        <v>-2</v>
      </c>
      <c r="D7" s="120"/>
      <c r="E7" s="121">
        <v>-31</v>
      </c>
      <c r="F7" s="121"/>
      <c r="G7" s="142">
        <f t="shared" ref="G7:G20" si="0">SUM(B7:F7)</f>
        <v>77</v>
      </c>
      <c r="H7" s="123" t="s">
        <v>163</v>
      </c>
    </row>
    <row r="8" spans="1:8" x14ac:dyDescent="0.25">
      <c r="A8" s="140" t="s">
        <v>149</v>
      </c>
      <c r="B8" s="120">
        <v>8</v>
      </c>
      <c r="C8" s="120">
        <v>-4</v>
      </c>
      <c r="D8" s="120"/>
      <c r="E8" s="121"/>
      <c r="F8" s="121"/>
      <c r="G8" s="142">
        <f t="shared" si="0"/>
        <v>4</v>
      </c>
    </row>
    <row r="9" spans="1:8" x14ac:dyDescent="0.25">
      <c r="A9" s="140" t="s">
        <v>150</v>
      </c>
      <c r="B9" s="120">
        <v>50</v>
      </c>
      <c r="C9" s="120"/>
      <c r="D9" s="120"/>
      <c r="E9" s="121">
        <v>-23</v>
      </c>
      <c r="F9" s="121"/>
      <c r="G9" s="142">
        <f t="shared" si="0"/>
        <v>27</v>
      </c>
    </row>
    <row r="10" spans="1:8" x14ac:dyDescent="0.25">
      <c r="A10" s="140" t="s">
        <v>74</v>
      </c>
      <c r="B10" s="120">
        <v>60</v>
      </c>
      <c r="C10" s="120">
        <v>-33</v>
      </c>
      <c r="D10" s="120"/>
      <c r="E10" s="121">
        <v>-13</v>
      </c>
      <c r="F10" s="121"/>
      <c r="G10" s="142">
        <f t="shared" si="0"/>
        <v>14</v>
      </c>
    </row>
    <row r="11" spans="1:8" x14ac:dyDescent="0.25">
      <c r="A11" s="140" t="s">
        <v>151</v>
      </c>
      <c r="B11" s="120">
        <v>46</v>
      </c>
      <c r="C11" s="120">
        <v>-18</v>
      </c>
      <c r="D11" s="120">
        <v>-1</v>
      </c>
      <c r="E11" s="121">
        <v>-20</v>
      </c>
      <c r="F11" s="121"/>
      <c r="G11" s="142">
        <f t="shared" si="0"/>
        <v>7</v>
      </c>
      <c r="H11" s="123" t="s">
        <v>152</v>
      </c>
    </row>
    <row r="12" spans="1:8" x14ac:dyDescent="0.25">
      <c r="A12" s="140" t="s">
        <v>73</v>
      </c>
      <c r="B12" s="120">
        <v>2</v>
      </c>
      <c r="C12" s="120"/>
      <c r="D12" s="120"/>
      <c r="E12" s="121">
        <v>-2</v>
      </c>
      <c r="F12" s="121"/>
      <c r="G12" s="142">
        <f t="shared" si="0"/>
        <v>0</v>
      </c>
    </row>
    <row r="13" spans="1:8" x14ac:dyDescent="0.25">
      <c r="A13" s="140" t="s">
        <v>134</v>
      </c>
      <c r="B13" s="120">
        <v>120</v>
      </c>
      <c r="C13" s="120"/>
      <c r="D13" s="120"/>
      <c r="E13" s="121"/>
      <c r="F13" s="121"/>
      <c r="G13" s="142">
        <f t="shared" si="0"/>
        <v>120</v>
      </c>
    </row>
    <row r="14" spans="1:8" x14ac:dyDescent="0.25">
      <c r="A14" s="140" t="s">
        <v>90</v>
      </c>
      <c r="B14" s="120">
        <v>1500</v>
      </c>
      <c r="C14" s="120"/>
      <c r="D14" s="120"/>
      <c r="E14" s="121"/>
      <c r="F14" s="121"/>
      <c r="G14" s="142">
        <f t="shared" si="0"/>
        <v>1500</v>
      </c>
    </row>
    <row r="15" spans="1:8" x14ac:dyDescent="0.25">
      <c r="A15" s="140" t="s">
        <v>116</v>
      </c>
      <c r="B15" s="120">
        <v>5</v>
      </c>
      <c r="C15" s="120"/>
      <c r="D15" s="120"/>
      <c r="E15" s="121"/>
      <c r="F15" s="121"/>
      <c r="G15" s="142">
        <f t="shared" si="0"/>
        <v>5</v>
      </c>
    </row>
    <row r="16" spans="1:8" x14ac:dyDescent="0.25">
      <c r="A16" s="140" t="s">
        <v>153</v>
      </c>
      <c r="B16" s="120">
        <v>2</v>
      </c>
      <c r="C16" s="120">
        <v>-1</v>
      </c>
      <c r="D16" s="120"/>
      <c r="E16" s="121"/>
      <c r="F16" s="121"/>
      <c r="G16" s="142">
        <f t="shared" si="0"/>
        <v>1</v>
      </c>
    </row>
    <row r="17" spans="1:7" x14ac:dyDescent="0.25">
      <c r="A17" s="140" t="s">
        <v>75</v>
      </c>
      <c r="B17" s="120">
        <v>8</v>
      </c>
      <c r="C17" s="120"/>
      <c r="D17" s="120"/>
      <c r="E17" s="121"/>
      <c r="F17" s="121"/>
      <c r="G17" s="142">
        <f t="shared" si="0"/>
        <v>8</v>
      </c>
    </row>
    <row r="18" spans="1:7" x14ac:dyDescent="0.25">
      <c r="A18" s="140" t="s">
        <v>154</v>
      </c>
      <c r="B18" s="120">
        <v>80</v>
      </c>
      <c r="C18" s="120">
        <v>-52</v>
      </c>
      <c r="D18" s="120"/>
      <c r="E18" s="121"/>
      <c r="F18" s="121"/>
      <c r="G18" s="142">
        <f t="shared" si="0"/>
        <v>28</v>
      </c>
    </row>
    <row r="19" spans="1:7" x14ac:dyDescent="0.25">
      <c r="A19" s="140" t="s">
        <v>82</v>
      </c>
      <c r="B19" s="120">
        <v>40</v>
      </c>
      <c r="C19" s="120"/>
      <c r="D19" s="120"/>
      <c r="E19" s="121"/>
      <c r="F19" s="121"/>
      <c r="G19" s="142">
        <f t="shared" si="0"/>
        <v>40</v>
      </c>
    </row>
    <row r="20" spans="1:7" x14ac:dyDescent="0.25">
      <c r="A20" s="140" t="s">
        <v>155</v>
      </c>
      <c r="B20" s="120">
        <v>700</v>
      </c>
      <c r="C20" s="120"/>
      <c r="D20" s="120"/>
      <c r="E20" s="121"/>
      <c r="F20" s="121"/>
      <c r="G20" s="142">
        <f t="shared" si="0"/>
        <v>700</v>
      </c>
    </row>
    <row r="21" spans="1:7" x14ac:dyDescent="0.25">
      <c r="A21" s="143" t="s">
        <v>156</v>
      </c>
      <c r="B21" s="23"/>
      <c r="C21" s="23" t="s">
        <v>157</v>
      </c>
      <c r="D21" s="23"/>
      <c r="E21" s="23">
        <v>0.34722222222222221</v>
      </c>
      <c r="F21" s="23"/>
      <c r="G21" s="38"/>
    </row>
    <row r="22" spans="1:7" ht="15.75" thickBot="1" x14ac:dyDescent="0.3">
      <c r="A22" s="144" t="s">
        <v>60</v>
      </c>
      <c r="B22" s="145"/>
      <c r="C22" s="145">
        <v>80000</v>
      </c>
      <c r="D22" s="145"/>
      <c r="E22" s="145">
        <v>80000</v>
      </c>
      <c r="F22" s="145"/>
      <c r="G22" s="42">
        <f>SUM(C22:E22)</f>
        <v>160000</v>
      </c>
    </row>
    <row r="24" spans="1:7" ht="72" customHeight="1" x14ac:dyDescent="0.25">
      <c r="A24" s="229" t="s">
        <v>127</v>
      </c>
      <c r="B24" s="229"/>
      <c r="C24" s="229"/>
      <c r="D24" s="229"/>
      <c r="E24" s="229"/>
      <c r="F24" s="229"/>
      <c r="G24" s="229"/>
    </row>
    <row r="25" spans="1:7" x14ac:dyDescent="0.25">
      <c r="A25" s="229" t="s">
        <v>128</v>
      </c>
      <c r="B25" s="229"/>
      <c r="C25" s="229"/>
      <c r="D25" s="229"/>
      <c r="E25" s="229"/>
      <c r="F25" s="229"/>
      <c r="G25" s="229"/>
    </row>
    <row r="26" spans="1:7" x14ac:dyDescent="0.25">
      <c r="A26" s="229" t="s">
        <v>142</v>
      </c>
      <c r="B26" s="229"/>
      <c r="C26" s="229"/>
      <c r="D26" s="229"/>
      <c r="E26" s="229"/>
      <c r="F26" s="229"/>
      <c r="G26" s="229"/>
    </row>
    <row r="27" spans="1:7" ht="18" customHeight="1" x14ac:dyDescent="0.25">
      <c r="A27" s="230" t="s">
        <v>129</v>
      </c>
      <c r="B27" s="230"/>
      <c r="C27" s="230"/>
      <c r="D27" s="230"/>
      <c r="E27" s="230"/>
      <c r="F27" s="230"/>
      <c r="G27" s="230"/>
    </row>
    <row r="28" spans="1:7" x14ac:dyDescent="0.25">
      <c r="A28" s="221" t="s">
        <v>3</v>
      </c>
      <c r="B28" s="162" t="s">
        <v>4</v>
      </c>
      <c r="C28" s="162"/>
      <c r="D28" s="162"/>
      <c r="E28" s="162" t="s">
        <v>5</v>
      </c>
      <c r="F28" s="162"/>
      <c r="G28" s="228" t="s">
        <v>160</v>
      </c>
    </row>
    <row r="29" spans="1:7" x14ac:dyDescent="0.25">
      <c r="A29" s="221"/>
      <c r="B29" s="1" t="s">
        <v>6</v>
      </c>
      <c r="C29" s="1" t="s">
        <v>7</v>
      </c>
      <c r="D29" s="1" t="s">
        <v>8</v>
      </c>
      <c r="E29" s="1" t="s">
        <v>9</v>
      </c>
      <c r="F29" s="1" t="s">
        <v>10</v>
      </c>
      <c r="G29" s="228"/>
    </row>
    <row r="30" spans="1:7" x14ac:dyDescent="0.25">
      <c r="A30" s="91" t="s">
        <v>132</v>
      </c>
      <c r="B30" s="5">
        <v>24</v>
      </c>
      <c r="C30" s="117">
        <v>40</v>
      </c>
      <c r="D30" s="118">
        <v>600</v>
      </c>
      <c r="E30" s="83">
        <f>C30*D30</f>
        <v>24000</v>
      </c>
      <c r="F30" s="83">
        <f>B30*E30</f>
        <v>576000</v>
      </c>
      <c r="G30" s="91" t="s">
        <v>158</v>
      </c>
    </row>
    <row r="31" spans="1:7" x14ac:dyDescent="0.25">
      <c r="A31" s="91" t="s">
        <v>132</v>
      </c>
      <c r="B31" s="5">
        <v>6</v>
      </c>
      <c r="C31" s="117">
        <v>11</v>
      </c>
      <c r="D31" s="118">
        <v>600</v>
      </c>
      <c r="E31" s="83">
        <f t="shared" ref="E31:E51" si="1">C31*D31</f>
        <v>6600</v>
      </c>
      <c r="F31" s="83">
        <f>B31*E31</f>
        <v>39600</v>
      </c>
      <c r="G31" s="91" t="s">
        <v>159</v>
      </c>
    </row>
    <row r="32" spans="1:7" x14ac:dyDescent="0.25">
      <c r="A32" s="91" t="s">
        <v>70</v>
      </c>
      <c r="B32" s="5">
        <v>24</v>
      </c>
      <c r="C32" s="117">
        <v>110</v>
      </c>
      <c r="D32" s="118">
        <v>450</v>
      </c>
      <c r="E32" s="83">
        <f t="shared" si="1"/>
        <v>49500</v>
      </c>
      <c r="F32" s="83">
        <f t="shared" ref="F32:F51" si="2">B32*E32</f>
        <v>1188000</v>
      </c>
      <c r="G32" s="91" t="s">
        <v>158</v>
      </c>
    </row>
    <row r="33" spans="1:7" x14ac:dyDescent="0.25">
      <c r="A33" s="91" t="s">
        <v>70</v>
      </c>
      <c r="B33" s="5">
        <v>6</v>
      </c>
      <c r="C33" s="117">
        <v>77</v>
      </c>
      <c r="D33" s="118">
        <v>450</v>
      </c>
      <c r="E33" s="83">
        <f t="shared" si="1"/>
        <v>34650</v>
      </c>
      <c r="F33" s="83">
        <f t="shared" ref="F33" si="3">B33*E33</f>
        <v>207900</v>
      </c>
      <c r="G33" s="91" t="s">
        <v>159</v>
      </c>
    </row>
    <row r="34" spans="1:7" x14ac:dyDescent="0.25">
      <c r="A34" s="91" t="s">
        <v>133</v>
      </c>
      <c r="B34" s="5">
        <v>24</v>
      </c>
      <c r="C34" s="117">
        <v>8</v>
      </c>
      <c r="D34" s="118">
        <v>400</v>
      </c>
      <c r="E34" s="83">
        <f t="shared" si="1"/>
        <v>3200</v>
      </c>
      <c r="F34" s="83">
        <f>B34*E34</f>
        <v>76800</v>
      </c>
      <c r="G34" s="91" t="s">
        <v>158</v>
      </c>
    </row>
    <row r="35" spans="1:7" x14ac:dyDescent="0.25">
      <c r="A35" s="91" t="s">
        <v>133</v>
      </c>
      <c r="B35" s="5">
        <v>6</v>
      </c>
      <c r="C35" s="117">
        <v>8</v>
      </c>
      <c r="D35" s="118">
        <v>400</v>
      </c>
      <c r="E35" s="83">
        <f t="shared" si="1"/>
        <v>3200</v>
      </c>
      <c r="F35" s="83">
        <f>B35*E35</f>
        <v>19200</v>
      </c>
      <c r="G35" s="91" t="s">
        <v>159</v>
      </c>
    </row>
    <row r="36" spans="1:7" x14ac:dyDescent="0.25">
      <c r="A36" s="91" t="s">
        <v>130</v>
      </c>
      <c r="B36" s="5">
        <v>24</v>
      </c>
      <c r="C36" s="117">
        <v>50</v>
      </c>
      <c r="D36" s="118">
        <v>360</v>
      </c>
      <c r="E36" s="83">
        <f t="shared" si="1"/>
        <v>18000</v>
      </c>
      <c r="F36" s="83">
        <f>B36*E36</f>
        <v>432000</v>
      </c>
      <c r="G36" s="91" t="s">
        <v>158</v>
      </c>
    </row>
    <row r="37" spans="1:7" x14ac:dyDescent="0.25">
      <c r="A37" s="91" t="s">
        <v>130</v>
      </c>
      <c r="B37" s="5">
        <v>6</v>
      </c>
      <c r="C37" s="117">
        <v>27</v>
      </c>
      <c r="D37" s="118">
        <v>360</v>
      </c>
      <c r="E37" s="83">
        <f t="shared" si="1"/>
        <v>9720</v>
      </c>
      <c r="F37" s="83">
        <f>B37*E37</f>
        <v>58320</v>
      </c>
      <c r="G37" s="91" t="s">
        <v>159</v>
      </c>
    </row>
    <row r="38" spans="1:7" x14ac:dyDescent="0.25">
      <c r="A38" s="91" t="s">
        <v>74</v>
      </c>
      <c r="B38" s="5">
        <v>24</v>
      </c>
      <c r="C38" s="117">
        <v>60</v>
      </c>
      <c r="D38" s="118">
        <v>280</v>
      </c>
      <c r="E38" s="83">
        <f t="shared" si="1"/>
        <v>16800</v>
      </c>
      <c r="F38" s="83">
        <f t="shared" si="2"/>
        <v>403200</v>
      </c>
      <c r="G38" s="91" t="s">
        <v>158</v>
      </c>
    </row>
    <row r="39" spans="1:7" x14ac:dyDescent="0.25">
      <c r="A39" s="91" t="s">
        <v>74</v>
      </c>
      <c r="B39" s="5">
        <v>6</v>
      </c>
      <c r="C39" s="117">
        <v>14</v>
      </c>
      <c r="D39" s="118">
        <v>280</v>
      </c>
      <c r="E39" s="83">
        <f t="shared" si="1"/>
        <v>3920</v>
      </c>
      <c r="F39" s="83">
        <f t="shared" ref="F39" si="4">B39*E39</f>
        <v>23520</v>
      </c>
      <c r="G39" s="91" t="s">
        <v>159</v>
      </c>
    </row>
    <row r="40" spans="1:7" x14ac:dyDescent="0.25">
      <c r="A40" s="91" t="s">
        <v>72</v>
      </c>
      <c r="B40" s="5">
        <v>24</v>
      </c>
      <c r="C40" s="117">
        <v>46</v>
      </c>
      <c r="D40" s="118">
        <v>350</v>
      </c>
      <c r="E40" s="83">
        <f t="shared" si="1"/>
        <v>16100</v>
      </c>
      <c r="F40" s="83">
        <f>B40*E40</f>
        <v>386400</v>
      </c>
      <c r="G40" s="91" t="s">
        <v>158</v>
      </c>
    </row>
    <row r="41" spans="1:7" x14ac:dyDescent="0.25">
      <c r="A41" s="91" t="s">
        <v>72</v>
      </c>
      <c r="B41" s="5">
        <v>6</v>
      </c>
      <c r="C41" s="117">
        <v>7</v>
      </c>
      <c r="D41" s="118">
        <v>350</v>
      </c>
      <c r="E41" s="83">
        <f t="shared" si="1"/>
        <v>2450</v>
      </c>
      <c r="F41" s="83">
        <f>B41*E41</f>
        <v>14700</v>
      </c>
      <c r="G41" s="91" t="s">
        <v>159</v>
      </c>
    </row>
    <row r="42" spans="1:7" x14ac:dyDescent="0.25">
      <c r="A42" s="91" t="s">
        <v>131</v>
      </c>
      <c r="B42" s="5">
        <v>24</v>
      </c>
      <c r="C42" s="117">
        <v>2</v>
      </c>
      <c r="D42" s="118">
        <v>340</v>
      </c>
      <c r="E42" s="83">
        <f t="shared" si="1"/>
        <v>680</v>
      </c>
      <c r="F42" s="83">
        <f t="shared" si="2"/>
        <v>16320</v>
      </c>
      <c r="G42" s="91" t="s">
        <v>158</v>
      </c>
    </row>
    <row r="43" spans="1:7" x14ac:dyDescent="0.25">
      <c r="A43" s="91" t="s">
        <v>134</v>
      </c>
      <c r="B43" s="5">
        <v>30</v>
      </c>
      <c r="C43" s="117">
        <v>120</v>
      </c>
      <c r="D43" s="118">
        <v>120</v>
      </c>
      <c r="E43" s="83">
        <f t="shared" si="1"/>
        <v>14400</v>
      </c>
      <c r="F43" s="83">
        <f t="shared" ref="F43:F49" si="5">B43*E43</f>
        <v>432000</v>
      </c>
      <c r="G43" s="91" t="s">
        <v>119</v>
      </c>
    </row>
    <row r="44" spans="1:7" x14ac:dyDescent="0.25">
      <c r="A44" s="91" t="s">
        <v>79</v>
      </c>
      <c r="B44" s="5">
        <v>30</v>
      </c>
      <c r="C44" s="117">
        <v>1500</v>
      </c>
      <c r="D44" s="118">
        <v>28</v>
      </c>
      <c r="E44" s="83">
        <f t="shared" si="1"/>
        <v>42000</v>
      </c>
      <c r="F44" s="83">
        <f t="shared" si="5"/>
        <v>1260000</v>
      </c>
      <c r="G44" s="91" t="s">
        <v>119</v>
      </c>
    </row>
    <row r="45" spans="1:7" x14ac:dyDescent="0.25">
      <c r="A45" s="91" t="s">
        <v>136</v>
      </c>
      <c r="B45" s="5">
        <v>24</v>
      </c>
      <c r="C45" s="117">
        <v>2</v>
      </c>
      <c r="D45" s="118">
        <v>320</v>
      </c>
      <c r="E45" s="83">
        <f t="shared" si="1"/>
        <v>640</v>
      </c>
      <c r="F45" s="83">
        <f t="shared" si="5"/>
        <v>15360</v>
      </c>
      <c r="G45" s="91" t="s">
        <v>158</v>
      </c>
    </row>
    <row r="46" spans="1:7" x14ac:dyDescent="0.25">
      <c r="A46" s="91" t="s">
        <v>136</v>
      </c>
      <c r="B46" s="5">
        <v>6</v>
      </c>
      <c r="C46" s="117">
        <v>1</v>
      </c>
      <c r="D46" s="118">
        <v>320</v>
      </c>
      <c r="E46" s="83">
        <f t="shared" si="1"/>
        <v>320</v>
      </c>
      <c r="F46" s="83">
        <f t="shared" si="5"/>
        <v>1920</v>
      </c>
      <c r="G46" s="91" t="s">
        <v>159</v>
      </c>
    </row>
    <row r="47" spans="1:7" x14ac:dyDescent="0.25">
      <c r="A47" s="91" t="s">
        <v>135</v>
      </c>
      <c r="B47" s="5">
        <v>30</v>
      </c>
      <c r="C47" s="117">
        <v>8</v>
      </c>
      <c r="D47" s="118">
        <v>120</v>
      </c>
      <c r="E47" s="83">
        <f t="shared" si="1"/>
        <v>960</v>
      </c>
      <c r="F47" s="83">
        <f t="shared" si="5"/>
        <v>28800</v>
      </c>
      <c r="G47" s="91" t="s">
        <v>119</v>
      </c>
    </row>
    <row r="48" spans="1:7" x14ac:dyDescent="0.25">
      <c r="A48" s="91" t="s">
        <v>137</v>
      </c>
      <c r="B48" s="5">
        <v>24</v>
      </c>
      <c r="C48" s="117">
        <v>80</v>
      </c>
      <c r="D48" s="118">
        <v>250</v>
      </c>
      <c r="E48" s="83">
        <f t="shared" si="1"/>
        <v>20000</v>
      </c>
      <c r="F48" s="83">
        <f t="shared" si="5"/>
        <v>480000</v>
      </c>
      <c r="G48" s="91" t="s">
        <v>158</v>
      </c>
    </row>
    <row r="49" spans="1:11" x14ac:dyDescent="0.25">
      <c r="A49" s="91" t="s">
        <v>137</v>
      </c>
      <c r="B49" s="5">
        <v>6</v>
      </c>
      <c r="C49" s="117">
        <v>28</v>
      </c>
      <c r="D49" s="118">
        <v>250</v>
      </c>
      <c r="E49" s="83">
        <f t="shared" si="1"/>
        <v>7000</v>
      </c>
      <c r="F49" s="83">
        <f t="shared" si="5"/>
        <v>42000</v>
      </c>
      <c r="G49" s="91" t="s">
        <v>159</v>
      </c>
    </row>
    <row r="50" spans="1:11" x14ac:dyDescent="0.25">
      <c r="A50" s="91" t="s">
        <v>82</v>
      </c>
      <c r="B50" s="5">
        <v>30</v>
      </c>
      <c r="C50" s="117">
        <v>40</v>
      </c>
      <c r="D50" s="118">
        <v>200</v>
      </c>
      <c r="E50" s="83">
        <f t="shared" si="1"/>
        <v>8000</v>
      </c>
      <c r="F50" s="83">
        <f t="shared" si="2"/>
        <v>240000</v>
      </c>
      <c r="G50" s="91" t="s">
        <v>119</v>
      </c>
    </row>
    <row r="51" spans="1:11" x14ac:dyDescent="0.25">
      <c r="A51" s="91" t="s">
        <v>138</v>
      </c>
      <c r="B51" s="5">
        <v>30</v>
      </c>
      <c r="C51" s="117">
        <v>700</v>
      </c>
      <c r="D51" s="118">
        <v>25</v>
      </c>
      <c r="E51" s="83">
        <f t="shared" si="1"/>
        <v>17500</v>
      </c>
      <c r="F51" s="83">
        <f t="shared" si="2"/>
        <v>525000</v>
      </c>
      <c r="G51" s="91" t="s">
        <v>119</v>
      </c>
    </row>
    <row r="52" spans="1:11" ht="18.75" x14ac:dyDescent="0.4">
      <c r="A52" s="166" t="s">
        <v>119</v>
      </c>
      <c r="B52" s="236"/>
      <c r="C52" s="217" t="s">
        <v>139</v>
      </c>
      <c r="D52" s="217"/>
      <c r="E52" s="119">
        <f>SUM(E30:E51)*1.19</f>
        <v>356571.6</v>
      </c>
      <c r="F52" s="231"/>
      <c r="G52" s="232"/>
    </row>
    <row r="53" spans="1:11" ht="18.75" x14ac:dyDescent="0.4">
      <c r="A53" s="236"/>
      <c r="B53" s="236"/>
      <c r="C53" s="218" t="s">
        <v>143</v>
      </c>
      <c r="D53" s="218"/>
      <c r="E53" s="85">
        <f>SUM(F30:F51)</f>
        <v>6467040</v>
      </c>
      <c r="F53" s="204"/>
      <c r="G53" s="233"/>
    </row>
    <row r="54" spans="1:11" ht="18.75" x14ac:dyDescent="0.4">
      <c r="A54" s="236"/>
      <c r="B54" s="236"/>
      <c r="C54" s="219" t="s">
        <v>140</v>
      </c>
      <c r="D54" s="219"/>
      <c r="E54" s="124">
        <f>E53*19%</f>
        <v>1228737.6000000001</v>
      </c>
      <c r="F54" s="204"/>
      <c r="G54" s="233"/>
    </row>
    <row r="55" spans="1:11" ht="18.75" x14ac:dyDescent="0.4">
      <c r="A55" s="236"/>
      <c r="B55" s="236"/>
      <c r="C55" s="219" t="s">
        <v>60</v>
      </c>
      <c r="D55" s="219"/>
      <c r="E55" s="124">
        <v>160000</v>
      </c>
      <c r="F55" s="204"/>
      <c r="G55" s="233"/>
    </row>
    <row r="56" spans="1:11" ht="18.75" x14ac:dyDescent="0.4">
      <c r="A56" s="236"/>
      <c r="B56" s="236"/>
      <c r="C56" s="220" t="s">
        <v>141</v>
      </c>
      <c r="D56" s="220"/>
      <c r="E56" s="125">
        <f>SUM(E53:E55)</f>
        <v>7855777.5999999996</v>
      </c>
      <c r="F56" s="234"/>
      <c r="G56" s="235"/>
    </row>
    <row r="57" spans="1:11" ht="15.75" thickBot="1" x14ac:dyDescent="0.3"/>
    <row r="58" spans="1:11" x14ac:dyDescent="0.25">
      <c r="A58" s="126" t="s">
        <v>100</v>
      </c>
      <c r="B58" s="127" t="s">
        <v>101</v>
      </c>
      <c r="C58" s="127" t="s">
        <v>102</v>
      </c>
      <c r="D58" s="128" t="s">
        <v>103</v>
      </c>
    </row>
    <row r="59" spans="1:11" x14ac:dyDescent="0.25">
      <c r="A59" s="129"/>
      <c r="B59" s="90"/>
      <c r="C59" s="88" t="s">
        <v>104</v>
      </c>
      <c r="D59" s="130"/>
    </row>
    <row r="60" spans="1:11" ht="18.75" x14ac:dyDescent="0.4">
      <c r="A60" s="4" t="s">
        <v>72</v>
      </c>
      <c r="B60" s="136">
        <v>1</v>
      </c>
      <c r="C60" s="92">
        <v>160000</v>
      </c>
      <c r="D60" s="131">
        <f>B60*C60</f>
        <v>160000</v>
      </c>
    </row>
    <row r="61" spans="1:11" ht="18.75" x14ac:dyDescent="0.4">
      <c r="A61" s="4" t="s">
        <v>161</v>
      </c>
      <c r="B61" s="136">
        <v>2</v>
      </c>
      <c r="C61" s="94">
        <v>250000</v>
      </c>
      <c r="D61" s="131">
        <f>B61*C61</f>
        <v>500000</v>
      </c>
    </row>
    <row r="62" spans="1:11" ht="15.75" x14ac:dyDescent="0.25">
      <c r="A62" s="222" t="s">
        <v>162</v>
      </c>
      <c r="B62" s="223"/>
      <c r="C62" s="95"/>
      <c r="D62" s="132">
        <f>SUM(D60:D61)</f>
        <v>660000</v>
      </c>
      <c r="I62" s="137"/>
      <c r="J62" s="137"/>
      <c r="K62" s="137"/>
    </row>
    <row r="63" spans="1:11" ht="15" customHeight="1" x14ac:dyDescent="0.25">
      <c r="A63" s="222"/>
      <c r="B63" s="223"/>
      <c r="C63" s="91" t="s">
        <v>34</v>
      </c>
      <c r="D63" s="133">
        <f>D62*19%</f>
        <v>125400</v>
      </c>
      <c r="I63" s="137"/>
      <c r="J63" s="137"/>
      <c r="K63" s="137"/>
    </row>
    <row r="64" spans="1:11" ht="15.75" thickBot="1" x14ac:dyDescent="0.3">
      <c r="A64" s="224"/>
      <c r="B64" s="225"/>
      <c r="C64" s="134" t="s">
        <v>103</v>
      </c>
      <c r="D64" s="135">
        <f>D62+D63</f>
        <v>785400</v>
      </c>
      <c r="I64" s="137"/>
      <c r="J64" s="137"/>
      <c r="K64" s="137"/>
    </row>
    <row r="65" spans="9:11" x14ac:dyDescent="0.25">
      <c r="I65" s="137"/>
      <c r="J65" s="137"/>
      <c r="K65" s="137"/>
    </row>
    <row r="66" spans="9:11" x14ac:dyDescent="0.25">
      <c r="I66" s="137"/>
      <c r="J66" s="137"/>
      <c r="K66" s="137"/>
    </row>
    <row r="67" spans="9:11" x14ac:dyDescent="0.25">
      <c r="I67" s="137"/>
      <c r="J67" s="137"/>
      <c r="K67" s="137"/>
    </row>
    <row r="68" spans="9:11" x14ac:dyDescent="0.25">
      <c r="I68" s="137"/>
      <c r="J68" s="137"/>
      <c r="K68" s="137"/>
    </row>
  </sheetData>
  <mergeCells count="20">
    <mergeCell ref="A62:B64"/>
    <mergeCell ref="A2:G2"/>
    <mergeCell ref="A3:G3"/>
    <mergeCell ref="A4:A5"/>
    <mergeCell ref="C55:D55"/>
    <mergeCell ref="G28:G29"/>
    <mergeCell ref="A24:G24"/>
    <mergeCell ref="A25:G25"/>
    <mergeCell ref="A26:G26"/>
    <mergeCell ref="A27:G27"/>
    <mergeCell ref="F52:G56"/>
    <mergeCell ref="A52:B56"/>
    <mergeCell ref="C52:D52"/>
    <mergeCell ref="C53:D53"/>
    <mergeCell ref="C54:D54"/>
    <mergeCell ref="C56:D56"/>
    <mergeCell ref="A1:G1"/>
    <mergeCell ref="A28:A29"/>
    <mergeCell ref="B28:D28"/>
    <mergeCell ref="E28:F28"/>
  </mergeCells>
  <pageMargins left="0.70866141732283472" right="0.70866141732283472" top="0.74803149606299213" bottom="0.74803149606299213" header="0.31496062992125984" footer="0.31496062992125984"/>
  <pageSetup paperSize="9" scale="34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EDISON MEDINA DELGADO</vt:lpstr>
      <vt:lpstr>BIOCOMBUSTIBLE</vt:lpstr>
      <vt:lpstr>TEJIDO ARQUITECTONICO</vt:lpstr>
      <vt:lpstr>CICOM INGENIERIA</vt:lpstr>
      <vt:lpstr>CONSORCIO LA VICTORIA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cp:lastPrinted>2026-07-15T13:17:28Z</cp:lastPrinted>
  <dcterms:created xsi:type="dcterms:W3CDTF">2015-06-05T18:19:34Z</dcterms:created>
  <dcterms:modified xsi:type="dcterms:W3CDTF">2026-07-15T13:17:53Z</dcterms:modified>
</cp:coreProperties>
</file>
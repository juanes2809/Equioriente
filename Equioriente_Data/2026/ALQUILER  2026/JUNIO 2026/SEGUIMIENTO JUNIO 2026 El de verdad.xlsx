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threadedComments/threadedComment2.xml" ContentType="application/vnd.ms-excel.threaded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NIO 2026\"/>
    </mc:Choice>
  </mc:AlternateContent>
  <xr:revisionPtr revIDLastSave="0" documentId="13_ncr:1_{B88DF289-251A-45F3-8031-6B33049D060D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ERGIO" sheetId="1" r:id="rId1"/>
    <sheet name="CONSORCIO LA VICTORIA" sheetId="15" r:id="rId2"/>
    <sheet name="LUDWIN ANGULO" sheetId="16" r:id="rId3"/>
    <sheet name="POLIMYS" sheetId="45" r:id="rId4"/>
    <sheet name="TEJIDO ARQUITECTONICO" sheetId="29" r:id="rId5"/>
    <sheet name="HERNAN TORRADO" sheetId="4" r:id="rId6"/>
    <sheet name="JULIAN QUINTERO" sheetId="6" r:id="rId7"/>
    <sheet name="FREDY MENDOZA" sheetId="48" r:id="rId8"/>
    <sheet name="OSCAR JEREZ" sheetId="42" r:id="rId9"/>
    <sheet name="ANGELICA CONCORDIA" sheetId="47" r:id="rId10"/>
    <sheet name="EDINSON JAIMES" sheetId="43" r:id="rId11"/>
    <sheet name="DOUGLAS LEAL" sheetId="27" r:id="rId12"/>
    <sheet name="JOSE DAVID.." sheetId="41" r:id="rId13"/>
    <sheet name="NELSON PADILLA " sheetId="36" r:id="rId14"/>
    <sheet name="HERNAN LOPEZ" sheetId="26" r:id="rId15"/>
    <sheet name="YURANIS" sheetId="7" r:id="rId16"/>
    <sheet name="KEVIN ANDRES" sheetId="8" r:id="rId17"/>
    <sheet name="ELIAS RIOS " sheetId="20" r:id="rId18"/>
    <sheet name="CICOM INGENIEROS" sheetId="9" r:id="rId19"/>
    <sheet name="JEFERSON HERRERA " sheetId="44" r:id="rId20"/>
    <sheet name="DIEGO GUTIERRREZ" sheetId="10" r:id="rId21"/>
    <sheet name="FREDDY ESCALMILLA " sheetId="19" r:id="rId22"/>
    <sheet name="GREGORIO HERNANDEZ" sheetId="49" r:id="rId23"/>
    <sheet name="JAIME LUNA" sheetId="46" r:id="rId24"/>
    <sheet name="CLAUDIA GIL" sheetId="11" r:id="rId25"/>
    <sheet name="JHON JIMENEZ" sheetId="12" r:id="rId26"/>
    <sheet name="CESAR AUGUSTO" sheetId="30" r:id="rId27"/>
    <sheet name="ADRIAN BRAVO" sheetId="13" r:id="rId28"/>
    <sheet name="SHIRLEY PAOLA" sheetId="35" r:id="rId29"/>
    <sheet name="ANTONIO GUTIERREZ" sheetId="2" r:id="rId30"/>
    <sheet name="BIOCOMBUSTIBLES" sheetId="33" r:id="rId31"/>
    <sheet name="MAESTRO VIDAL" sheetId="34" r:id="rId32"/>
    <sheet name="CARLOS MIGUEL" sheetId="3" r:id="rId33"/>
    <sheet name="GIOVANNY SIERRA" sheetId="39" r:id="rId34"/>
    <sheet name="EDINSON CARRILLO" sheetId="24" r:id="rId35"/>
    <sheet name="IXA S.A.S" sheetId="17" r:id="rId36"/>
    <sheet name="VICTOR CASTELLANOS" sheetId="23" r:id="rId37"/>
    <sheet name="FELIZ CARRILLO " sheetId="40" r:id="rId38"/>
    <sheet name="ALQUIOBRAS" sheetId="18" r:id="rId39"/>
    <sheet name="ANDREI CADENA" sheetId="5" r:id="rId40"/>
    <sheet name="JUAN DAVID ANGARITA" sheetId="21" r:id="rId41"/>
    <sheet name="ALFONSO GARCIAJHON" sheetId="31" r:id="rId42"/>
    <sheet name="JAZMIN PACHECO" sheetId="32" r:id="rId43"/>
    <sheet name="EDUARDO TOLOZA" sheetId="22" r:id="rId44"/>
    <sheet name="ROSA VARGAS" sheetId="38" r:id="rId45"/>
    <sheet name="LUZ MARINA " sheetId="28" r:id="rId46"/>
    <sheet name="JAVIER MALDONADO" sheetId="25" r:id="rId47"/>
    <sheet name="ANDREA PAOLA" sheetId="37" r:id="rId48"/>
    <sheet name="ELISEO NELSON BERNAL" sheetId="14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2" l="1"/>
  <c r="F28" i="22" s="1"/>
  <c r="I7" i="27" l="1"/>
  <c r="I8" i="27"/>
  <c r="I9" i="27"/>
  <c r="I10" i="27"/>
  <c r="I11" i="27"/>
  <c r="I12" i="27"/>
  <c r="I13" i="27"/>
  <c r="I14" i="27"/>
  <c r="I15" i="27"/>
  <c r="I16" i="27"/>
  <c r="I17" i="27"/>
  <c r="I18" i="27"/>
  <c r="I6" i="27"/>
  <c r="V7" i="11" l="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G22" i="15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6" i="1"/>
  <c r="J21" i="1" l="1"/>
  <c r="Q28" i="4"/>
  <c r="Q27" i="4"/>
  <c r="Q26" i="4"/>
  <c r="Q25" i="4"/>
  <c r="Q24" i="4"/>
  <c r="Q23" i="4"/>
  <c r="Q22" i="4"/>
  <c r="Q21" i="4"/>
  <c r="Q19" i="4"/>
  <c r="Q14" i="4"/>
  <c r="Q12" i="4"/>
  <c r="Q10" i="4"/>
  <c r="Q9" i="4"/>
  <c r="Q8" i="4"/>
  <c r="Q7" i="4"/>
  <c r="Q6" i="4"/>
  <c r="B29" i="9" l="1"/>
  <c r="D28" i="9"/>
  <c r="D27" i="9"/>
  <c r="F14" i="28" l="1"/>
  <c r="F18" i="28"/>
  <c r="F17" i="28"/>
  <c r="V6" i="11"/>
  <c r="F7" i="48"/>
  <c r="F8" i="48"/>
  <c r="J7" i="10"/>
  <c r="J8" i="10"/>
  <c r="J9" i="10"/>
  <c r="J10" i="10"/>
  <c r="J11" i="10"/>
  <c r="J12" i="10"/>
  <c r="J13" i="10"/>
  <c r="J14" i="10"/>
  <c r="J6" i="10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G8" i="49" l="1"/>
  <c r="G6" i="49"/>
  <c r="I20" i="30" l="1"/>
  <c r="I18" i="30"/>
  <c r="I9" i="30"/>
  <c r="I7" i="30"/>
  <c r="I8" i="30"/>
  <c r="I10" i="30"/>
  <c r="I11" i="30"/>
  <c r="I12" i="30"/>
  <c r="I13" i="30"/>
  <c r="I14" i="30"/>
  <c r="I15" i="30"/>
  <c r="I16" i="30"/>
  <c r="I17" i="30"/>
  <c r="I19" i="30"/>
  <c r="I6" i="30"/>
  <c r="Q14" i="16"/>
  <c r="F17" i="41"/>
  <c r="Q7" i="16" l="1"/>
  <c r="Q8" i="16"/>
  <c r="Q9" i="16"/>
  <c r="Q10" i="16"/>
  <c r="Q11" i="16"/>
  <c r="Q12" i="16"/>
  <c r="Q13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6" i="16"/>
  <c r="Q34" i="16" l="1"/>
  <c r="F14" i="36" l="1"/>
  <c r="S11" i="16" l="1"/>
  <c r="S15" i="16"/>
  <c r="S19" i="16"/>
  <c r="S23" i="16"/>
  <c r="S27" i="16"/>
  <c r="S31" i="16"/>
  <c r="S7" i="16"/>
  <c r="S8" i="16"/>
  <c r="S9" i="16"/>
  <c r="S10" i="16"/>
  <c r="S12" i="16"/>
  <c r="S13" i="16"/>
  <c r="S14" i="16"/>
  <c r="S16" i="16"/>
  <c r="S17" i="16"/>
  <c r="S18" i="16"/>
  <c r="S20" i="16"/>
  <c r="S21" i="16"/>
  <c r="S22" i="16"/>
  <c r="S24" i="16"/>
  <c r="S25" i="16"/>
  <c r="S26" i="16"/>
  <c r="S28" i="16"/>
  <c r="S29" i="16"/>
  <c r="S30" i="16"/>
  <c r="S32" i="16"/>
  <c r="E45" i="4"/>
  <c r="E47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F18" i="41" l="1"/>
  <c r="H18" i="9" l="1"/>
  <c r="G10" i="33" l="1"/>
  <c r="F6" i="48"/>
  <c r="F7" i="47"/>
  <c r="F17" i="47" s="1"/>
  <c r="F8" i="47"/>
  <c r="F9" i="47"/>
  <c r="F10" i="47"/>
  <c r="F11" i="47"/>
  <c r="F12" i="47"/>
  <c r="F13" i="47"/>
  <c r="F14" i="47"/>
  <c r="B17" i="47"/>
  <c r="F6" i="47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6" i="38"/>
  <c r="G8" i="46"/>
  <c r="G10" i="46"/>
  <c r="G7" i="46"/>
  <c r="G6" i="46"/>
  <c r="J26" i="38" l="1"/>
  <c r="S6" i="16"/>
  <c r="S34" i="16" s="1"/>
  <c r="U34" i="16" s="1"/>
  <c r="F10" i="39"/>
  <c r="F7" i="39"/>
  <c r="F8" i="39"/>
  <c r="F9" i="39"/>
  <c r="L9" i="38" l="1"/>
  <c r="L10" i="38"/>
  <c r="L13" i="38"/>
  <c r="L14" i="38"/>
  <c r="L17" i="38"/>
  <c r="L18" i="38"/>
  <c r="L21" i="38"/>
  <c r="L22" i="38"/>
  <c r="L6" i="38"/>
  <c r="L7" i="38"/>
  <c r="L8" i="38"/>
  <c r="L11" i="38"/>
  <c r="L12" i="38"/>
  <c r="L15" i="38"/>
  <c r="L16" i="38"/>
  <c r="L19" i="38"/>
  <c r="L20" i="38"/>
  <c r="L23" i="38"/>
  <c r="L24" i="38"/>
  <c r="L25" i="38" l="1"/>
  <c r="N25" i="38" s="1"/>
  <c r="H7" i="45"/>
  <c r="H6" i="45"/>
  <c r="H19" i="9" l="1"/>
  <c r="H7" i="9"/>
  <c r="H8" i="9"/>
  <c r="H9" i="9"/>
  <c r="H10" i="9"/>
  <c r="H11" i="9"/>
  <c r="H12" i="9"/>
  <c r="H13" i="9"/>
  <c r="H14" i="9"/>
  <c r="H15" i="9"/>
  <c r="H16" i="9"/>
  <c r="H17" i="9"/>
  <c r="F8" i="44"/>
  <c r="F7" i="44"/>
  <c r="F6" i="44"/>
  <c r="G23" i="13" l="1"/>
  <c r="F7" i="43"/>
  <c r="F6" i="43"/>
  <c r="F7" i="42"/>
  <c r="F6" i="42"/>
  <c r="I18" i="29"/>
  <c r="I10" i="29"/>
  <c r="I6" i="29"/>
  <c r="I9" i="29"/>
  <c r="I12" i="29"/>
  <c r="F16" i="41"/>
  <c r="F15" i="41"/>
  <c r="F14" i="41"/>
  <c r="F13" i="41"/>
  <c r="F12" i="41"/>
  <c r="F11" i="41"/>
  <c r="F10" i="41"/>
  <c r="F9" i="41"/>
  <c r="F8" i="41"/>
  <c r="F7" i="41"/>
  <c r="F6" i="41"/>
  <c r="G29" i="13" l="1"/>
  <c r="L19" i="1"/>
  <c r="F9" i="40"/>
  <c r="F8" i="40"/>
  <c r="F7" i="40"/>
  <c r="F6" i="40"/>
  <c r="F12" i="39" l="1"/>
  <c r="F6" i="39"/>
  <c r="J15" i="37" l="1"/>
  <c r="J12" i="37"/>
  <c r="J17" i="37"/>
  <c r="J16" i="37"/>
  <c r="J11" i="37"/>
  <c r="J19" i="37"/>
  <c r="J14" i="37"/>
  <c r="J13" i="37"/>
  <c r="J10" i="37"/>
  <c r="J9" i="37"/>
  <c r="J8" i="37"/>
  <c r="J7" i="37"/>
  <c r="J6" i="37"/>
  <c r="F12" i="36" l="1"/>
  <c r="F11" i="36"/>
  <c r="F10" i="36"/>
  <c r="F9" i="36"/>
  <c r="F8" i="36"/>
  <c r="F7" i="36"/>
  <c r="F6" i="36"/>
  <c r="G10" i="34" l="1"/>
  <c r="G11" i="35" l="1"/>
  <c r="G10" i="35"/>
  <c r="G9" i="35"/>
  <c r="G8" i="35"/>
  <c r="G7" i="35"/>
  <c r="G6" i="35"/>
  <c r="G11" i="34"/>
  <c r="G9" i="34"/>
  <c r="G8" i="34"/>
  <c r="G7" i="34"/>
  <c r="G6" i="34"/>
  <c r="G11" i="33"/>
  <c r="G9" i="33"/>
  <c r="G8" i="33"/>
  <c r="G7" i="33"/>
  <c r="G6" i="33"/>
  <c r="I16" i="29"/>
  <c r="I15" i="29"/>
  <c r="I14" i="29"/>
  <c r="I13" i="29"/>
  <c r="I11" i="29"/>
  <c r="I8" i="29"/>
  <c r="I7" i="29"/>
  <c r="L7" i="1" l="1"/>
  <c r="L8" i="1"/>
  <c r="L9" i="1"/>
  <c r="L10" i="1"/>
  <c r="L11" i="1"/>
  <c r="L12" i="1"/>
  <c r="L13" i="1"/>
  <c r="L14" i="1"/>
  <c r="L15" i="1"/>
  <c r="L16" i="1"/>
  <c r="L17" i="1"/>
  <c r="L18" i="1"/>
  <c r="G26" i="13"/>
  <c r="G25" i="13"/>
  <c r="G24" i="13"/>
  <c r="G22" i="13"/>
  <c r="G21" i="13"/>
  <c r="E14" i="32" l="1"/>
  <c r="E13" i="32"/>
  <c r="E12" i="32"/>
  <c r="E11" i="32"/>
  <c r="E10" i="32"/>
  <c r="E9" i="32"/>
  <c r="E8" i="32"/>
  <c r="E7" i="32"/>
  <c r="E6" i="32"/>
  <c r="G8" i="31" l="1"/>
  <c r="G16" i="31"/>
  <c r="G18" i="31"/>
  <c r="G17" i="31"/>
  <c r="G15" i="31"/>
  <c r="G14" i="31"/>
  <c r="G13" i="31"/>
  <c r="G12" i="31"/>
  <c r="G11" i="31"/>
  <c r="G10" i="31"/>
  <c r="G9" i="31"/>
  <c r="G7" i="31"/>
  <c r="G6" i="31"/>
  <c r="I7" i="12" l="1"/>
  <c r="I8" i="12"/>
  <c r="I9" i="12"/>
  <c r="I21" i="30"/>
  <c r="F22" i="29" l="1"/>
  <c r="F16" i="28" l="1"/>
  <c r="F15" i="28"/>
  <c r="F13" i="28"/>
  <c r="F12" i="28"/>
  <c r="F11" i="28"/>
  <c r="F10" i="28"/>
  <c r="F9" i="28"/>
  <c r="F8" i="28"/>
  <c r="F7" i="28"/>
  <c r="F6" i="28"/>
  <c r="E37" i="7" l="1"/>
  <c r="F37" i="7" s="1"/>
  <c r="E38" i="7"/>
  <c r="F7" i="26"/>
  <c r="F6" i="26"/>
  <c r="E39" i="7" l="1"/>
  <c r="E41" i="7" s="1"/>
  <c r="E31" i="22" l="1"/>
  <c r="F31" i="22" s="1"/>
  <c r="F13" i="22"/>
  <c r="B31" i="4"/>
  <c r="C31" i="4"/>
  <c r="D31" i="4"/>
  <c r="E31" i="4"/>
  <c r="F9" i="25" l="1"/>
  <c r="F8" i="25"/>
  <c r="F7" i="25"/>
  <c r="F6" i="25"/>
  <c r="E30" i="22"/>
  <c r="F30" i="22" s="1"/>
  <c r="E29" i="22"/>
  <c r="F29" i="22" s="1"/>
  <c r="E27" i="22"/>
  <c r="F27" i="22" s="1"/>
  <c r="E26" i="22"/>
  <c r="F26" i="22" s="1"/>
  <c r="E25" i="22"/>
  <c r="F25" i="22" s="1"/>
  <c r="E24" i="22"/>
  <c r="F24" i="22" s="1"/>
  <c r="E23" i="22"/>
  <c r="E32" i="22" s="1"/>
  <c r="G9" i="24"/>
  <c r="G7" i="24"/>
  <c r="G6" i="24"/>
  <c r="F23" i="22" l="1"/>
  <c r="F7" i="23"/>
  <c r="F8" i="23"/>
  <c r="F9" i="23"/>
  <c r="F6" i="23"/>
  <c r="E33" i="22" l="1"/>
  <c r="E35" i="22" s="1"/>
  <c r="F12" i="22"/>
  <c r="F11" i="22"/>
  <c r="F10" i="22"/>
  <c r="F9" i="22"/>
  <c r="F8" i="22"/>
  <c r="F7" i="22"/>
  <c r="F6" i="22"/>
  <c r="G10" i="21"/>
  <c r="G8" i="21"/>
  <c r="G7" i="21"/>
  <c r="G6" i="21"/>
  <c r="G10" i="2"/>
  <c r="G11" i="2"/>
  <c r="G12" i="2"/>
  <c r="I8" i="20"/>
  <c r="I6" i="20"/>
  <c r="G9" i="19" l="1"/>
  <c r="G7" i="19"/>
  <c r="G6" i="19"/>
  <c r="H6" i="18" l="1"/>
  <c r="F6" i="17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F8" i="14"/>
  <c r="F7" i="14"/>
  <c r="F6" i="14"/>
  <c r="G13" i="13"/>
  <c r="G11" i="13"/>
  <c r="G10" i="13"/>
  <c r="G9" i="13"/>
  <c r="G8" i="13"/>
  <c r="G7" i="13"/>
  <c r="G6" i="13"/>
  <c r="G11" i="12"/>
  <c r="I11" i="12" s="1"/>
  <c r="G10" i="12"/>
  <c r="I10" i="12" s="1"/>
  <c r="G9" i="12"/>
  <c r="G8" i="12"/>
  <c r="G7" i="12"/>
  <c r="G6" i="12"/>
  <c r="I6" i="12" s="1"/>
  <c r="I12" i="12" l="1"/>
  <c r="J16" i="10"/>
  <c r="H6" i="9"/>
  <c r="F6" i="8" l="1"/>
  <c r="F26" i="7"/>
  <c r="E26" i="7"/>
  <c r="E25" i="7"/>
  <c r="F25" i="7" s="1"/>
  <c r="E24" i="7"/>
  <c r="F24" i="7" s="1"/>
  <c r="E23" i="7"/>
  <c r="F23" i="7" s="1"/>
  <c r="E22" i="7"/>
  <c r="F22" i="7" s="1"/>
  <c r="F12" i="7"/>
  <c r="F11" i="7"/>
  <c r="F10" i="7"/>
  <c r="F9" i="7"/>
  <c r="F8" i="7"/>
  <c r="F7" i="7"/>
  <c r="F6" i="7"/>
  <c r="E28" i="7" l="1"/>
  <c r="E30" i="7" s="1"/>
  <c r="E27" i="7"/>
  <c r="F7" i="6" l="1"/>
  <c r="F6" i="6"/>
  <c r="I17" i="5" l="1"/>
  <c r="I18" i="5"/>
  <c r="I19" i="5"/>
  <c r="I20" i="5"/>
  <c r="I22" i="5" l="1"/>
  <c r="I16" i="5"/>
  <c r="I15" i="5"/>
  <c r="I14" i="5"/>
  <c r="I11" i="5"/>
  <c r="I10" i="5"/>
  <c r="I9" i="5"/>
  <c r="I8" i="5"/>
  <c r="I7" i="5"/>
  <c r="I6" i="5"/>
  <c r="I21" i="3" l="1"/>
  <c r="I6" i="3"/>
  <c r="G8" i="2"/>
  <c r="G9" i="2"/>
  <c r="G7" i="2"/>
  <c r="G14" i="2" l="1"/>
  <c r="G6" i="2"/>
  <c r="L6" i="1"/>
  <c r="L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6" authorId="0" shapeId="0" xr:uid="{0340A6AA-218D-4459-816B-A5DEC1EE8B4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PLATINA
</t>
        </r>
      </text>
    </comment>
    <comment ref="D11" authorId="0" shapeId="0" xr:uid="{D81B639D-8F35-4C06-8523-F115BB0E39F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DE 25*1,20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65316941-078F-4DB8-AC63-C103A66141B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LS
6 ALQ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tc={D121F84F-6B75-46CB-934C-C08F849C4EA3}</author>
  </authors>
  <commentList>
    <comment ref="B5" authorId="0" shapeId="0" xr:uid="{A7B7027E-84E5-4D04-856F-618B18B222F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26-05
</t>
        </r>
      </text>
    </comment>
    <comment ref="G15" authorId="0" shapeId="0" xr:uid="{5201A92E-EDE9-41FE-B00B-B008947114E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 </t>
        </r>
      </text>
    </comment>
    <comment ref="K15" authorId="0" shapeId="0" xr:uid="{6EAAA138-05AD-4EDC-AD50-1400C284364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20 DE PLY
</t>
        </r>
      </text>
    </comment>
    <comment ref="L15" authorId="0" shapeId="0" xr:uid="{9BE209E2-3FEC-4FEB-891A-AFF076F999D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 Y PLY
</t>
        </r>
      </text>
    </comment>
    <comment ref="M15" authorId="1" shapeId="0" xr:uid="{D121F84F-6B75-46CB-934C-C08F849C4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polimys</t>
      </text>
    </comment>
    <comment ref="K17" authorId="0" shapeId="0" xr:uid="{9B9FAE62-AF33-410E-ABEE-2FEC4F84AEF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ESTA DESPEGADA</t>
        </r>
      </text>
    </comment>
    <comment ref="J25" authorId="0" shapeId="0" xr:uid="{283A1CAC-C977-403B-9889-6814A3A6659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MODULADAS 20Y 20 AEO
</t>
        </r>
      </text>
    </comment>
    <comment ref="J29" authorId="0" shapeId="0" xr:uid="{3F645A95-87EE-4C74-8483-DBBA2C594BA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</t>
        </r>
      </text>
    </comment>
    <comment ref="J30" authorId="0" shapeId="0" xr:uid="{A44CB1D5-FDCD-419E-9A12-731914E0140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H9" authorId="0" shapeId="0" xr:uid="{510E5F7A-6BA1-4CF5-9735-6BEE149CB64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 DE 2 MTROS
</t>
        </r>
      </text>
    </comment>
    <comment ref="E12" authorId="0" shapeId="0" xr:uid="{7928EB2D-6C2B-455A-907E-36DF9A49B86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CGIL
</t>
        </r>
      </text>
    </comment>
    <comment ref="H12" authorId="0" shapeId="0" xr:uid="{89E405C9-267D-43A2-9FD8-43A7F72363C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CG
</t>
        </r>
      </text>
    </comment>
    <comment ref="G22" authorId="0" shapeId="0" xr:uid="{0627BCA2-E3DA-47DC-B443-D7D4E2090A8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LAS CRUCETAS SON PLATEADAS
</t>
        </r>
      </text>
    </comment>
    <comment ref="E23" authorId="0" shapeId="0" xr:uid="{0CD75099-2F74-4D3B-8B1F-19183CA1231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CRUCETAS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10" authorId="0" shapeId="0" xr:uid="{85A24E1E-4FA6-4791-9B8A-71FF57C0A5F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13394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8" authorId="0" shapeId="0" xr:uid="{25BA35F5-E917-4CC6-9156-CD114CE019D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
</t>
        </r>
      </text>
    </comment>
    <comment ref="C20" authorId="0" shapeId="0" xr:uid="{0809048F-4EDE-421A-BD6E-9021BE98A13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10 DIAS
</t>
        </r>
      </text>
    </comment>
    <comment ref="G20" authorId="0" shapeId="0" xr:uid="{7F892C43-8DCF-4CDE-BEFA-FCF2CB2984F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RECOGIDA DEL TROMPO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3E9BD62D-BE3B-4220-A388-7098525E073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7 CG
</t>
        </r>
      </text>
    </comment>
    <comment ref="C7" authorId="0" shapeId="0" xr:uid="{5DD388DA-29F0-44C5-8029-9A76488A6A7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7 CLG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D0D24F3A-0E44-4A48-B3B9-044EFC1F0D3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LS
</t>
        </r>
      </text>
    </comment>
    <comment ref="B8" authorId="0" shapeId="0" xr:uid="{E8DE6E21-93F3-4A66-B120-3AA82D9702D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C8" authorId="0" shapeId="0" xr:uid="{B0F6C719-E7D8-434F-838B-D089B7960BE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5" authorId="0" shapeId="0" xr:uid="{D3A52A57-E597-4CDE-9EB9-3F330209153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C22573D4-842D-47A0-8DEA-BE36C4372E2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21 VARILLA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tc={BEE45A2D-8ACB-4C81-A45C-DA1260194E6F}</author>
    <author>tc={93A20A8C-5E0E-4192-8CA5-E7619F62019F}</author>
    <author>tc={A990491B-FD4B-4C35-8B06-6BFE9126F12B}</author>
  </authors>
  <commentList>
    <comment ref="Q11" authorId="0" shapeId="0" xr:uid="{BEE45A2D-8ACB-4C81-A45C-DA1260194E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17 JUNIO</t>
      </text>
    </comment>
    <comment ref="Q12" authorId="1" shapeId="0" xr:uid="{93A20A8C-5E0E-4192-8CA5-E7619F6201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9 DE JUNIO</t>
      </text>
    </comment>
    <comment ref="N13" authorId="2" shapeId="0" xr:uid="{A990491B-FD4B-4C35-8B06-6BFE9126F12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31 /05
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10" authorId="0" shapeId="0" xr:uid="{5EAD930A-6490-45C8-858F-EF74480AB62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</t>
        </r>
      </text>
    </comment>
    <comment ref="B11" authorId="0" shapeId="0" xr:uid="{3436A525-DA80-49E1-8FFC-E8C4E5C2FB0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 CG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5" authorId="0" shapeId="0" xr:uid="{A7CAC0C6-07D2-45B2-94E6-C641942D729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15 CG
</t>
        </r>
      </text>
    </comment>
    <comment ref="G17" authorId="0" shapeId="0" xr:uid="{DAF1672A-44C9-4548-804F-886744555BF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PLATINA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21" authorId="0" shapeId="0" xr:uid="{21936A71-EDBF-40D8-BFCF-9CB89C51C52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23" authorId="0" shapeId="0" xr:uid="{327A278E-505A-4F32-B53A-12F528AA62E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90888100-E0E4-48A1-A7B7-AFA128E0A34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DE CG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5" authorId="0" shapeId="0" xr:uid="{834F8F65-3B6F-4338-B2AA-29B127F5C4E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EMPEZAR EL 18
</t>
        </r>
      </text>
    </comment>
    <comment ref="B6" authorId="0" shapeId="0" xr:uid="{0C7DAE7E-E346-4575-AB7E-E62C2E2E972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45 PLY 
ARMADAS DE 5 DE 55AEO
5 DE 50 AEO
</t>
        </r>
      </text>
    </comment>
    <comment ref="B15" authorId="0" shapeId="0" xr:uid="{712C918F-E845-4490-8636-C25EDB0BF7F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 xr:uid="{2903D6D9-9BDF-4555-9F6A-9973BFFFB4B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E16" authorId="0" shapeId="0" xr:uid="{5D977B0A-0CF9-436D-9290-5442E2F54ED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 Y SON DE 5,21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8" authorId="0" shapeId="0" xr:uid="{D07573FE-D714-4323-905A-3A584290B53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DE 3 MTROS
2 CORTOS
</t>
        </r>
      </text>
    </comment>
  </commentList>
</comments>
</file>

<file path=xl/sharedStrings.xml><?xml version="1.0" encoding="utf-8"?>
<sst xmlns="http://schemas.openxmlformats.org/spreadsheetml/2006/main" count="997" uniqueCount="434">
  <si>
    <t>MATERIAL</t>
  </si>
  <si>
    <t>SALDO</t>
  </si>
  <si>
    <t>FORMALETA DE 40*1,20</t>
  </si>
  <si>
    <t>FORMALETA DE 20*1,20</t>
  </si>
  <si>
    <t xml:space="preserve">CHAPETAS </t>
  </si>
  <si>
    <t xml:space="preserve">PARALES DE 3 MTROS </t>
  </si>
  <si>
    <t>ANGULOS DE 1,20</t>
  </si>
  <si>
    <t>ANGULOS DE 60</t>
  </si>
  <si>
    <t>CAJA METALICA</t>
  </si>
  <si>
    <t>HORA</t>
  </si>
  <si>
    <t>Transporte</t>
  </si>
  <si>
    <t xml:space="preserve">MIRADORES DE LA UIS </t>
  </si>
  <si>
    <t xml:space="preserve">CERCHAS DE 3 MTROS </t>
  </si>
  <si>
    <t>FORMALETA DE 60*1,20</t>
  </si>
  <si>
    <t>PARALES DE 3,5</t>
  </si>
  <si>
    <t>CHAPETAS</t>
  </si>
  <si>
    <t>ANTONIO GUTIERREZ</t>
  </si>
  <si>
    <t>BERLIN</t>
  </si>
  <si>
    <t>TABLEROS DE MADERA 70*1,40</t>
  </si>
  <si>
    <t xml:space="preserve">CERCHAS DE 2 MTROS </t>
  </si>
  <si>
    <t>MOVIMIENTO:JUNIO /2026</t>
  </si>
  <si>
    <t>MOVIMIENTO: JUNIO /2026</t>
  </si>
  <si>
    <t>SUD -154</t>
  </si>
  <si>
    <t>CALLE 8 #16-20</t>
  </si>
  <si>
    <t>FORMALETA DE 30*1,20</t>
  </si>
  <si>
    <t>DGZ-325</t>
  </si>
  <si>
    <t>MOVIMIENTO: JUNIO/2025</t>
  </si>
  <si>
    <t>CERCHAS DE 3 MTRS</t>
  </si>
  <si>
    <t>CERCHAS DE 2 MTRS</t>
  </si>
  <si>
    <t>CERCHAS DE  2,50</t>
  </si>
  <si>
    <t>9:AM</t>
  </si>
  <si>
    <t>SERGIO /LUIS MARTIN FORERO</t>
  </si>
  <si>
    <t>FORMALETA DE 50*1,20</t>
  </si>
  <si>
    <t>FORMALETA DE 15*1,20</t>
  </si>
  <si>
    <t xml:space="preserve">CAJA METALICA </t>
  </si>
  <si>
    <t>VALDE PLASTICO</t>
  </si>
  <si>
    <t>HERNAN TORRADO</t>
  </si>
  <si>
    <t>CERCHAS DE 3 MTROS</t>
  </si>
  <si>
    <t>PARALES DE 4 MTROS</t>
  </si>
  <si>
    <t>FORMALETA DE 10*1,20</t>
  </si>
  <si>
    <t>MARCOS DE ANDAMIOS 1,50</t>
  </si>
  <si>
    <t>CRUCETAS DE 2,40</t>
  </si>
  <si>
    <t>TABLONES DE 3 MTROS GRUESOS</t>
  </si>
  <si>
    <t>MOVIMIENTO: JUNIO/2026</t>
  </si>
  <si>
    <t>CRA 17 CON CALLE 8</t>
  </si>
  <si>
    <t>MACRCOS DE ANDAMIOS CG VERDES</t>
  </si>
  <si>
    <t>CRUCETAS  CG</t>
  </si>
  <si>
    <t>MARCOS DE ANDAMIOS GRISES</t>
  </si>
  <si>
    <t>CRUCETAS DE  2,40 EAUIORIENTE</t>
  </si>
  <si>
    <t xml:space="preserve">TABLONES DE 3 MTROS </t>
  </si>
  <si>
    <t xml:space="preserve">TABLONES CORTOS </t>
  </si>
  <si>
    <t xml:space="preserve">PLATAFORMAS </t>
  </si>
  <si>
    <t>MARCOS DE ANDAMIOS DE 0,90*2 MTRS</t>
  </si>
  <si>
    <t>CRUCETA DE 2,40</t>
  </si>
  <si>
    <t>ANDREI CADENA</t>
  </si>
  <si>
    <t>CRA 17A #60-17 RICAUTE</t>
  </si>
  <si>
    <t xml:space="preserve">SALDO </t>
  </si>
  <si>
    <t>MARCOS DE ANDAMIOS 1,50 AZULES</t>
  </si>
  <si>
    <t>TABLONES DE 3 MTRS</t>
  </si>
  <si>
    <t>TABREROS DE MADERA 70*1,40</t>
  </si>
  <si>
    <t>CERCHAS DE 1,50</t>
  </si>
  <si>
    <t>CERCHAS DE 2 MTROS</t>
  </si>
  <si>
    <t>TABLERO DE MADERA DE 50*1 MTRO</t>
  </si>
  <si>
    <t>BANDA DE MADERA DE 40*1,20</t>
  </si>
  <si>
    <t>BANDA DE MADERA DE 40*1,40</t>
  </si>
  <si>
    <t>FORMALETA DE 30*60</t>
  </si>
  <si>
    <t>FORMALETA DE 25*60</t>
  </si>
  <si>
    <t>FORMALETA DE 5*1,20</t>
  </si>
  <si>
    <t>HDM-837</t>
  </si>
  <si>
    <t xml:space="preserve">JULIAN QUINTERO </t>
  </si>
  <si>
    <t xml:space="preserve">CALLE 6 CON CRA 16 </t>
  </si>
  <si>
    <t xml:space="preserve">ESCALERA AMARILLA </t>
  </si>
  <si>
    <t>YURANIS</t>
  </si>
  <si>
    <t>COLORADOS</t>
  </si>
  <si>
    <t>MOVIMIENTO: MAYO /2026</t>
  </si>
  <si>
    <t>TABLEROS DE MADERA DE 70*1,40</t>
  </si>
  <si>
    <t>CERCHAS DE 2,50</t>
  </si>
  <si>
    <t>PARALES DE 3 MTROS</t>
  </si>
  <si>
    <t>PARALES DE 1 MTRO</t>
  </si>
  <si>
    <t xml:space="preserve">TABLONES DE MADERA </t>
  </si>
  <si>
    <t>MARCOS DE ANDAMIOS 0,90*2 MTROS</t>
  </si>
  <si>
    <t xml:space="preserve">CRUCETAS </t>
  </si>
  <si>
    <t>JIMMY JAIMES</t>
  </si>
  <si>
    <t>YURANIS TEL:3127909590</t>
  </si>
  <si>
    <t>PARQUEADERO CHOROLO-COLORADOS</t>
  </si>
  <si>
    <t>DETALLES</t>
  </si>
  <si>
    <t>COSTOS</t>
  </si>
  <si>
    <t>DIAS</t>
  </si>
  <si>
    <t>CANTIDAD</t>
  </si>
  <si>
    <t>VALOR</t>
  </si>
  <si>
    <t>COSTO DIARIO</t>
  </si>
  <si>
    <t>PRECIO DIARIO</t>
  </si>
  <si>
    <t>CERCHAS DE 2.50</t>
  </si>
  <si>
    <t>PARALES DE 3MTROS</t>
  </si>
  <si>
    <t xml:space="preserve">TABLONES GRUESOS BUENOS </t>
  </si>
  <si>
    <t>MAYO 19 AL 29</t>
  </si>
  <si>
    <t xml:space="preserve">TOTAL DIARIO </t>
  </si>
  <si>
    <t xml:space="preserve">TOTAL DIAS </t>
  </si>
  <si>
    <t>RECOGIDA</t>
  </si>
  <si>
    <t>KEVIN ANDRES HOWARD</t>
  </si>
  <si>
    <t>CALLE 1O #19-49</t>
  </si>
  <si>
    <t xml:space="preserve">MOVIMIENTO / MAYO </t>
  </si>
  <si>
    <t xml:space="preserve"> </t>
  </si>
  <si>
    <t xml:space="preserve">TABLON DE MADERA </t>
  </si>
  <si>
    <t>A PIE</t>
  </si>
  <si>
    <t>ABONO 50,000</t>
  </si>
  <si>
    <t>KARIME</t>
  </si>
  <si>
    <t>CRA 17 #5-35 COMUNEROS TEL: 3184228009</t>
  </si>
  <si>
    <t>ALINEADOR DE 1 MTRO</t>
  </si>
  <si>
    <t>TENSORES</t>
  </si>
  <si>
    <t>PARALES DE 4 MTRS</t>
  </si>
  <si>
    <t xml:space="preserve">ALINEADOR DE 4 MTROS </t>
  </si>
  <si>
    <t>AWG-768</t>
  </si>
  <si>
    <t>DIEGO GUTIERREZ</t>
  </si>
  <si>
    <t>FERRETERIA VENADO DE ORO</t>
  </si>
  <si>
    <t>CERCHAS DE 1,50  MTROS</t>
  </si>
  <si>
    <t>PARALES DE 6 MTROS</t>
  </si>
  <si>
    <t xml:space="preserve">  BANDAS DE  40*1,40</t>
  </si>
  <si>
    <t>CERCHAS DE 1 MTRS</t>
  </si>
  <si>
    <t>CCL-358</t>
  </si>
  <si>
    <t>CLAUDIA GIL</t>
  </si>
  <si>
    <t>GIRARDOT</t>
  </si>
  <si>
    <t>CERCHAS DE 3 MTROS PLATINA</t>
  </si>
  <si>
    <t>BANDAS DE 40*1,40</t>
  </si>
  <si>
    <t>BANDAS DE 50*1,20</t>
  </si>
  <si>
    <t>Hora</t>
  </si>
  <si>
    <t>TRANSPORTE</t>
  </si>
  <si>
    <t>WFC-275</t>
  </si>
  <si>
    <t xml:space="preserve">ALINEADOR DE 3 MTROS </t>
  </si>
  <si>
    <t xml:space="preserve">ALINEADOR DE  6 MTROS </t>
  </si>
  <si>
    <t>RINCONERAS DE 10*10*1,20</t>
  </si>
  <si>
    <t>CTE-29-05</t>
  </si>
  <si>
    <t>FORMALETA DE 35*1,20</t>
  </si>
  <si>
    <t>JHON JIMENEZ</t>
  </si>
  <si>
    <t>CALLE 55 CON CRA 13 ESQUINA  TEL: 3173324940</t>
  </si>
  <si>
    <t>TABLONES DE 3 MTROS</t>
  </si>
  <si>
    <t>ADRIAN BRAVO:3162771895</t>
  </si>
  <si>
    <t>CRA 2 #65B-35 CANELOS REAL DE MINAS</t>
  </si>
  <si>
    <t>MOVIMIENTO: MARZO 27 A MAYO 5L/2026</t>
  </si>
  <si>
    <t>ALINEADORES DE 2,50</t>
  </si>
  <si>
    <t>CERCHA 2 MTS</t>
  </si>
  <si>
    <t>ELISEO NELSON BERNAL</t>
  </si>
  <si>
    <t>CRA 18 #17-35</t>
  </si>
  <si>
    <t xml:space="preserve">MARCOS DE ANDAMIOS </t>
  </si>
  <si>
    <t>MOVIMIENTO / JUNIO/2026</t>
  </si>
  <si>
    <t>CONSORCIO LA VICTORIA</t>
  </si>
  <si>
    <t>CRA 13 CON CALLE 69 VICTORIA</t>
  </si>
  <si>
    <t>EN OBRA</t>
  </si>
  <si>
    <t>ALINEADORES DE 6 MTROS</t>
  </si>
  <si>
    <t>ALINEADORES DE 3 MTROS</t>
  </si>
  <si>
    <t>FORAMLETA DE 50*1,20</t>
  </si>
  <si>
    <t>FORMALETA DE 30 1,20</t>
  </si>
  <si>
    <t>FORMALETA DE 25*1,20</t>
  </si>
  <si>
    <t xml:space="preserve">TENSORES </t>
  </si>
  <si>
    <t>RINCONERAS 10*10*1,20</t>
  </si>
  <si>
    <t>PINES</t>
  </si>
  <si>
    <t>LUDWIN ANGULO DIAZ /ESPOSO ROSA</t>
  </si>
  <si>
    <t>INDEPENDENCIA</t>
  </si>
  <si>
    <t>CAJAS METALICAS</t>
  </si>
  <si>
    <t>IXA S.A.S</t>
  </si>
  <si>
    <t>CALLE 7 CON CRA 19</t>
  </si>
  <si>
    <t xml:space="preserve">RUEDAS DE ANDAMIOS </t>
  </si>
  <si>
    <t>ALQUIOBRAS-SANTANDER</t>
  </si>
  <si>
    <t>CALLE 14#19-37TEL:3164176674/3165134059</t>
  </si>
  <si>
    <t>MOVIMIENTO: JUNIO/ 2026</t>
  </si>
  <si>
    <t xml:space="preserve">FREDY ESCALMILLA </t>
  </si>
  <si>
    <t>GIO-268</t>
  </si>
  <si>
    <t>MOVIMIENTO:JUNIO/2026</t>
  </si>
  <si>
    <t>CERCHAS DE 1,20</t>
  </si>
  <si>
    <t>BANDAS DE MADERA DE 40*1,40</t>
  </si>
  <si>
    <t>ESK-323 BELLO</t>
  </si>
  <si>
    <t xml:space="preserve">ELIAS RIOS  /ELIZABETH </t>
  </si>
  <si>
    <t>CARABINEROS VILL PRADO TEL: 3156754982</t>
  </si>
  <si>
    <t>MOVIMIENTO: MAYO/2025</t>
  </si>
  <si>
    <t>CARLOS MIGUEL /BELMAN</t>
  </si>
  <si>
    <t>JUAN DAVID ANGARITA</t>
  </si>
  <si>
    <t>CALLE 5 #18-68 TEL: 3227863470</t>
  </si>
  <si>
    <t>CONSINO POR NEQUI   $ 300,000</t>
  </si>
  <si>
    <t>EDUARDO TOLOZA</t>
  </si>
  <si>
    <t>CRA 18AW#60-43 TEL: 3187500243</t>
  </si>
  <si>
    <t xml:space="preserve">CERCHAS DE 1 MTRO </t>
  </si>
  <si>
    <t>TABLEROS  DE MADERA 70*1,40</t>
  </si>
  <si>
    <t>BANDAS DE MADERA 50*1,40</t>
  </si>
  <si>
    <t>MOVIMIENTO:JUNIO / 2025</t>
  </si>
  <si>
    <t xml:space="preserve">VICTOR CASTELLANOS </t>
  </si>
  <si>
    <t>CRUCETAS DE 1,50</t>
  </si>
  <si>
    <t>FME-741</t>
  </si>
  <si>
    <t xml:space="preserve">TROMPO DESELL </t>
  </si>
  <si>
    <t>EDINSON CARIILLO</t>
  </si>
  <si>
    <t>CALLE 48 #26-63 POBLADO GIRON</t>
  </si>
  <si>
    <t>MOVIMIENTO:MAYO /2026</t>
  </si>
  <si>
    <t>COTIZACION</t>
  </si>
  <si>
    <t>PRADOS DEL MUTIS</t>
  </si>
  <si>
    <t xml:space="preserve">CERCHAS DE 2 MTOS </t>
  </si>
  <si>
    <t xml:space="preserve">CERCHAS DE 1 MTOS </t>
  </si>
  <si>
    <t>BANDAS DE MADERA DE 50*1,40</t>
  </si>
  <si>
    <t>VALOR DIARIO</t>
  </si>
  <si>
    <t xml:space="preserve">DIAS </t>
  </si>
  <si>
    <t>TOTAL DIAS</t>
  </si>
  <si>
    <t>JAVIER MALDONADO</t>
  </si>
  <si>
    <t>CALLE 19 CON CRA 20</t>
  </si>
  <si>
    <t>MARCOS DE ANDAMIOS DE 0,90*2MTROS</t>
  </si>
  <si>
    <t>CRUCETAS 2,40</t>
  </si>
  <si>
    <t>TABLONES DE 3 MTROS CORTOS</t>
  </si>
  <si>
    <t>RUEDAS DE ANDAMIOS</t>
  </si>
  <si>
    <t xml:space="preserve">POLEAS COLGANTES </t>
  </si>
  <si>
    <t xml:space="preserve">PASAMANOS DE 6 MTROS </t>
  </si>
  <si>
    <t xml:space="preserve">ANGULOS DE 6 MTROS </t>
  </si>
  <si>
    <t>ESCALERA DE EXTENSION 4 MTRTS A 8 MTRS</t>
  </si>
  <si>
    <t>*****</t>
  </si>
  <si>
    <t xml:space="preserve">TABLONES DE MADERA DE 3 MTROS </t>
  </si>
  <si>
    <t xml:space="preserve">                         </t>
  </si>
  <si>
    <t xml:space="preserve">PARALES DE 4 MTROS </t>
  </si>
  <si>
    <t xml:space="preserve">CHAPETAS CUADRADAS </t>
  </si>
  <si>
    <t>HERNAN LOPEZ</t>
  </si>
  <si>
    <t>CALLE 8 #18-40 TEL: 3214153768</t>
  </si>
  <si>
    <t>ESCALERA LAZO ALUMINIO</t>
  </si>
  <si>
    <t xml:space="preserve"> MAYO 29 A JUNIO 10</t>
  </si>
  <si>
    <t>MAYO 29-2026</t>
  </si>
  <si>
    <t xml:space="preserve">DOUGLAS LEAL </t>
  </si>
  <si>
    <t>CALLE 9 # 17-25 TEL: 3106765794</t>
  </si>
  <si>
    <t xml:space="preserve">MARCOS DE ANDAMIOS 1,50 NARANJAS </t>
  </si>
  <si>
    <t>LUZ MARINA</t>
  </si>
  <si>
    <t>CRA 8B #10B-04 TEL: 3125382648</t>
  </si>
  <si>
    <t>ANGULOS DE 6 MTRS</t>
  </si>
  <si>
    <t xml:space="preserve">ANGULOS DE 3 MTROS </t>
  </si>
  <si>
    <t>PASAMANOS DE 3 MTRO</t>
  </si>
  <si>
    <t xml:space="preserve">ARNES SLINGAS ROJA </t>
  </si>
  <si>
    <t>LINEAS DE VIDA</t>
  </si>
  <si>
    <t xml:space="preserve">CERCHAS DE 1 MTROS </t>
  </si>
  <si>
    <t>corte al 8-06</t>
  </si>
  <si>
    <t>10/0</t>
  </si>
  <si>
    <t>FORMALETA DE 60*60</t>
  </si>
  <si>
    <t xml:space="preserve">ALINEADORES DE 6 MTROS </t>
  </si>
  <si>
    <t>FORMALETAS DE 20*1,20</t>
  </si>
  <si>
    <t>CRA 38 #41-108</t>
  </si>
  <si>
    <t>MATERIAL EN OBRA</t>
  </si>
  <si>
    <t>MARCOS DE ANDAMIOS AZULES DE 1,50</t>
  </si>
  <si>
    <t>MARCOS DE ANDAMIOS AMARILLOS 1,50</t>
  </si>
  <si>
    <t xml:space="preserve">CRUCETAS DE 2,40 </t>
  </si>
  <si>
    <t xml:space="preserve">MARCOS DE ANDAMIOS NARANAJAS </t>
  </si>
  <si>
    <t>MARCOS DE ANDAMIOS (CG)</t>
  </si>
  <si>
    <t>CRUCETAS (CG)</t>
  </si>
  <si>
    <t xml:space="preserve">RUEDAS NIVELADORAS </t>
  </si>
  <si>
    <t>MARCOS DE ANDAMIO  1.50*1.50</t>
  </si>
  <si>
    <t xml:space="preserve">FECHA </t>
  </si>
  <si>
    <t xml:space="preserve">RELACION </t>
  </si>
  <si>
    <t>Préstamo o Salida</t>
  </si>
  <si>
    <t>Devolución ó Entrada</t>
  </si>
  <si>
    <t xml:space="preserve">TOTAL </t>
  </si>
  <si>
    <t>REFERENCIA</t>
  </si>
  <si>
    <t>AM</t>
  </si>
  <si>
    <t>JEISON  BARBA</t>
  </si>
  <si>
    <t>HERNAN TORRRADO</t>
  </si>
  <si>
    <t>HERNAN  TORRADO</t>
  </si>
  <si>
    <t>HERNA TORRADO</t>
  </si>
  <si>
    <t>2 TABLAS DAÑADAS</t>
  </si>
  <si>
    <t>CESAR AUGUSTO</t>
  </si>
  <si>
    <t>PUERTO RICO</t>
  </si>
  <si>
    <t>FORMALETA DE 40*60</t>
  </si>
  <si>
    <t>FORMALETA DE 25*120</t>
  </si>
  <si>
    <t>FORAMLETA DE 40*1,20</t>
  </si>
  <si>
    <t>CERCHA DE 1,50</t>
  </si>
  <si>
    <t>****</t>
  </si>
  <si>
    <t>CORTE AL 31 -05</t>
  </si>
  <si>
    <t>PUERTO RICO  TEL: 3022556577</t>
  </si>
  <si>
    <t>CORBATAS DE 40</t>
  </si>
  <si>
    <t>CORBATAS DE 20</t>
  </si>
  <si>
    <t>ALFONSO GARCIA/MAESTRO JHON</t>
  </si>
  <si>
    <t xml:space="preserve">PINES </t>
  </si>
  <si>
    <t xml:space="preserve">SECCION DE ANDAMIOS NARANJA </t>
  </si>
  <si>
    <t>CORBATAS DE MURO DE 30</t>
  </si>
  <si>
    <t xml:space="preserve">JAZMIN PACHECO </t>
  </si>
  <si>
    <t>MOVIMIENTO / MAYO - POLEAS</t>
  </si>
  <si>
    <t xml:space="preserve">POLEAS  </t>
  </si>
  <si>
    <t>10:AM</t>
  </si>
  <si>
    <t>CORTE AL 6 JUNIO-2026</t>
  </si>
  <si>
    <t>PLATAFORMAS DE 3 METROS</t>
  </si>
  <si>
    <t>******</t>
  </si>
  <si>
    <t xml:space="preserve">BIOCOMBUSTIBLE </t>
  </si>
  <si>
    <t>CRA 17 #7-84  TEL: 3187003374</t>
  </si>
  <si>
    <t>MARCOS DE ANDAMIOS 0,90*2MTROS</t>
  </si>
  <si>
    <t>CRUCETAS DE 2,4</t>
  </si>
  <si>
    <t>SRF-520</t>
  </si>
  <si>
    <t xml:space="preserve">MAESTRO VIDAL </t>
  </si>
  <si>
    <t>MIRADORES DE LA UIS TEL: 3138758759</t>
  </si>
  <si>
    <t>TABLEROS DE MADERA DE 70*1,4</t>
  </si>
  <si>
    <t>SHIRLEY PAOLA</t>
  </si>
  <si>
    <t xml:space="preserve">CALLE 3 # 27-50 TEL. 3195030916 </t>
  </si>
  <si>
    <t>MOVIMIENTO / JUNIO 2026</t>
  </si>
  <si>
    <t xml:space="preserve">ALINEADORES DE 3 </t>
  </si>
  <si>
    <t>MARCOS DE ANDAMIOS  1,50 NARANJA</t>
  </si>
  <si>
    <t>VILLA ELENATRANSICION TEL: 3188619836</t>
  </si>
  <si>
    <t>TROMPO DESELL</t>
  </si>
  <si>
    <t xml:space="preserve">               </t>
  </si>
  <si>
    <t>TABLEROS DE MADERA  70*1,40</t>
  </si>
  <si>
    <t>ANGULOS DE 2,40</t>
  </si>
  <si>
    <t>4:OO</t>
  </si>
  <si>
    <t xml:space="preserve">NELSON PADILLA </t>
  </si>
  <si>
    <t>CALLE 1B#18-08 TEL: 3172731407</t>
  </si>
  <si>
    <t>POLEAS</t>
  </si>
  <si>
    <t>TABLEROS DE MADERA DE 70*70</t>
  </si>
  <si>
    <t xml:space="preserve">CERCHAS DE 3 VARILLA </t>
  </si>
  <si>
    <t>COBRAR A PARTIR 14-06</t>
  </si>
  <si>
    <t xml:space="preserve">ANDREA PAOLA </t>
  </si>
  <si>
    <t xml:space="preserve">CRA 17 A </t>
  </si>
  <si>
    <t>MOVIMIENTO: MAYO/2026</t>
  </si>
  <si>
    <t>ANGULOS DE 6 MTROS</t>
  </si>
  <si>
    <t>MARCOS AMARILLOS 1,50</t>
  </si>
  <si>
    <t>CRUCETAS 2 MTROS</t>
  </si>
  <si>
    <t>MARCOS DE ANDAMIOS 1,50 NARANJA</t>
  </si>
  <si>
    <t xml:space="preserve">     </t>
  </si>
  <si>
    <t>CRUCETAS  DE 2,40</t>
  </si>
  <si>
    <t>FORAMLETA DE 35*1,20</t>
  </si>
  <si>
    <t xml:space="preserve">ALINEADORES DE 3 MTROS </t>
  </si>
  <si>
    <t xml:space="preserve">INDEPENDENCIA </t>
  </si>
  <si>
    <t>MOVIMIENTO:JUNIO / 2026</t>
  </si>
  <si>
    <t>ROSA VARGAS TEL: 3011525254</t>
  </si>
  <si>
    <t>SLINGAS CON GANCHO</t>
  </si>
  <si>
    <t>CTE 17-06 PARALES DE 4</t>
  </si>
  <si>
    <t>CTE 9-06 PARAL DE 3</t>
  </si>
  <si>
    <t>GIONANNY SIERRA</t>
  </si>
  <si>
    <t>CRA 13 #6-26  SAN RAFAEL</t>
  </si>
  <si>
    <t>MOVIMIENTO:JUNIO 2026</t>
  </si>
  <si>
    <t xml:space="preserve">CRUCETAS DE 2 MTROS </t>
  </si>
  <si>
    <t>CANCELO   130,000</t>
  </si>
  <si>
    <t>FORMALETA DE 12*1,20</t>
  </si>
  <si>
    <t>ALINEADORES DE 3,80</t>
  </si>
  <si>
    <t>ALINEADOR DE 4 MTRS</t>
  </si>
  <si>
    <t>TTU-924</t>
  </si>
  <si>
    <t>FELIZ CARRILLO</t>
  </si>
  <si>
    <t>RADIO TAXIX LIBRES</t>
  </si>
  <si>
    <t xml:space="preserve">MARCOS DE ANDAMIOS  AMARILLOS </t>
  </si>
  <si>
    <t xml:space="preserve">ZORRA </t>
  </si>
  <si>
    <t xml:space="preserve">VALDES PLASTIOS </t>
  </si>
  <si>
    <t>JOSE DAVID</t>
  </si>
  <si>
    <t>MIRADORES DE LA UIS</t>
  </si>
  <si>
    <t xml:space="preserve">MARCOS DE ANDAMIOS 1,50 AZULES </t>
  </si>
  <si>
    <t xml:space="preserve">CRUCETAS DE </t>
  </si>
  <si>
    <t xml:space="preserve">TABLONES </t>
  </si>
  <si>
    <t>VALDE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</si>
  <si>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</si>
  <si>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AZULES</t>
  </si>
  <si>
    <t xml:space="preserve">OSCAR JEREZ </t>
  </si>
  <si>
    <t xml:space="preserve">MULTIMUEBLE </t>
  </si>
  <si>
    <t xml:space="preserve">PARALES DE 3 MTRS </t>
  </si>
  <si>
    <t xml:space="preserve">A PIE </t>
  </si>
  <si>
    <t>EDINSON JAIMES VARGAS</t>
  </si>
  <si>
    <t>CRA 15A #5-45 BODEGA</t>
  </si>
  <si>
    <t>ESCALERA AMARILLA 4 A 8 MTRS</t>
  </si>
  <si>
    <t>JEFERSON HERRERA</t>
  </si>
  <si>
    <t>CALLE 5 #15A-04</t>
  </si>
  <si>
    <t>MOVIMIENTO / JUNIO</t>
  </si>
  <si>
    <t>CRUCETAS DE 2 MTROS</t>
  </si>
  <si>
    <t>CWG-768</t>
  </si>
  <si>
    <t>CRA 16 #16-46</t>
  </si>
  <si>
    <t>MOVIMIENTO JUNIO / 2025</t>
  </si>
  <si>
    <t>XGG-898</t>
  </si>
  <si>
    <t>CTE AL 19-06</t>
  </si>
  <si>
    <t>FORMALETA DE 20*40</t>
  </si>
  <si>
    <t>FORMALETA DE 40*40</t>
  </si>
  <si>
    <t xml:space="preserve">PARALES DE 6 MTROS </t>
  </si>
  <si>
    <t>CTZ</t>
  </si>
  <si>
    <t>camion</t>
  </si>
  <si>
    <t>3 TABLAS DAÑADAS</t>
  </si>
  <si>
    <t>JAIME  LUNA FERRETERIA LA 30</t>
  </si>
  <si>
    <t>TEL: 3246497428</t>
  </si>
  <si>
    <t xml:space="preserve">MARCOS DE ANDAMIOS AZULES </t>
  </si>
  <si>
    <t>464-AFY</t>
  </si>
  <si>
    <t>COBRAR LA FORMALETA DE 60 NO SE RECIBIO PERO SE ANEXA PARA RECORDAR EN INVENTARIO</t>
  </si>
  <si>
    <t xml:space="preserve">                           </t>
  </si>
  <si>
    <t>COBRAR LA FORMALETA DE 30 NO SE RECIBIO PERO SE ANEXA PARA RECORDAR EN INVENTARIO</t>
  </si>
  <si>
    <t>3:30PM</t>
  </si>
  <si>
    <t xml:space="preserve">ANGELICA </t>
  </si>
  <si>
    <t>CRA 17B #48-07 LA CONCORDIA</t>
  </si>
  <si>
    <t xml:space="preserve">CAJAS METALICAS </t>
  </si>
  <si>
    <t>FREDY MENDOZA</t>
  </si>
  <si>
    <t xml:space="preserve">CRA 18 #5-75 COMUNEROS </t>
  </si>
  <si>
    <t xml:space="preserve">ALINEADORES DE 2 MTROS </t>
  </si>
  <si>
    <t>ZORRA</t>
  </si>
  <si>
    <t>TABLONES DE MADERA CORTOS</t>
  </si>
  <si>
    <t>RDR-416</t>
  </si>
  <si>
    <t>JIMMY ALFREDO JAIMES CARRILLO</t>
  </si>
  <si>
    <t>HERNAN TORRADO: 3115914100</t>
  </si>
  <si>
    <t>CARRERA 18 # 7-65</t>
  </si>
  <si>
    <t>POLEAS ANDAMIOS COLGANTES</t>
  </si>
  <si>
    <t>TABLEROS DE MADERA 70 X 140</t>
  </si>
  <si>
    <t xml:space="preserve">CERCHA DE 3 MTROS </t>
  </si>
  <si>
    <t>ANGULOS DE 6 MT</t>
  </si>
  <si>
    <t>PASAMANOS DE 6 MTS</t>
  </si>
  <si>
    <t>TOTAL DIARIO</t>
  </si>
  <si>
    <t xml:space="preserve"> DIAS</t>
  </si>
  <si>
    <t xml:space="preserve">LLEVADA Y RECOGIDA </t>
  </si>
  <si>
    <t>LTZ-832</t>
  </si>
  <si>
    <t>JUNIO 9-2026</t>
  </si>
  <si>
    <t>JUNIO 9 A JUNIO 25-2026</t>
  </si>
  <si>
    <t xml:space="preserve">JUNIO 26 A JUNIO </t>
  </si>
  <si>
    <t>PESO</t>
  </si>
  <si>
    <t>5 VIAJES</t>
  </si>
  <si>
    <t>1 GANCHO</t>
  </si>
  <si>
    <t>GREGORIO HERNANDEZ</t>
  </si>
  <si>
    <t>CRA 20 3 6-22</t>
  </si>
  <si>
    <t>MOVIMIENTO: JUNIO 2026</t>
  </si>
  <si>
    <t xml:space="preserve">ESCALERA DE 4 A 6 MTROS </t>
  </si>
  <si>
    <t>CTE AL 24-JUNIO</t>
  </si>
  <si>
    <t>TAV-716</t>
  </si>
  <si>
    <t>2 TABLAS PARTIDAS</t>
  </si>
  <si>
    <t xml:space="preserve">BASE DE PARAL DE 3 MTROS </t>
  </si>
  <si>
    <t>MATERIAL NO ENTREGADO</t>
  </si>
  <si>
    <t xml:space="preserve">CANTIDAD </t>
  </si>
  <si>
    <t xml:space="preserve">VALOR </t>
  </si>
  <si>
    <t>TOTAL</t>
  </si>
  <si>
    <t xml:space="preserve">UNITARIO </t>
  </si>
  <si>
    <t>ANGULO DE 60</t>
  </si>
  <si>
    <t>PARAL DE 4 MTROS</t>
  </si>
  <si>
    <t xml:space="preserve">BASE DE PARAL </t>
  </si>
  <si>
    <t>TOTAL MATERIAL A LA FECHA</t>
  </si>
  <si>
    <t>MOVIMIENTO:JUMIO /2026</t>
  </si>
  <si>
    <t>TEJIDO ARQUITECTONICO</t>
  </si>
  <si>
    <t>MOVIMIENTO: ENERO 20 A JUNIO 30/2026</t>
  </si>
  <si>
    <t>TDK-092</t>
  </si>
  <si>
    <t>ctz</t>
  </si>
  <si>
    <t>s</t>
  </si>
  <si>
    <t>pendiente registrar 4 lata de 25*1,20</t>
  </si>
  <si>
    <t>MOVIMIENTO:JUNIO 1 AL 30</t>
  </si>
  <si>
    <t>MOVIMIENTO:JUNIO 1 AL 31/ 2026</t>
  </si>
  <si>
    <t>MOVIMIENTO/JUNIO 2026</t>
  </si>
  <si>
    <t>CORTE AL 4 /06</t>
  </si>
  <si>
    <t>1 TABLA</t>
  </si>
  <si>
    <t>JUNIO 6 A JUNIO 16-2026</t>
  </si>
  <si>
    <t>JUNIO 17 A JULIO 16-2026</t>
  </si>
  <si>
    <t>JUNIO 6 A JULIO 16-2026</t>
  </si>
  <si>
    <t>RECOGIDA DEL DIA 17-07-2026</t>
  </si>
  <si>
    <t>recogida del 16-06-2026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</si>
</sst>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h:mm:ss;@"/>
    <numFmt numFmtId="165" formatCode="_-&quot;$&quot;\ * #,##0_-;\-&quot;$&quot;\ * #,##0_-;_-&quot;$&quot;\ * &quot;-&quot;??_-;_-@_-"/>
    <numFmt numFmtId="166" formatCode="_(&quot;$&quot;\ * #,##0_);_(&quot;$&quot;\ * \(#,##0\);_(&quot;$&quot;\ * &quot;-&quot;??_);_(@_)"/>
    <numFmt numFmtId="167" formatCode="hh:mm:ss;@"/>
    <numFmt numFmtId="168" formatCode="[$-1540A]dd\-mmm\-yy;@"/>
    <numFmt numFmtId="169" formatCode="_-&quot;$&quot;\ * #,##0.000_-;\-&quot;$&quot;\ * #,##0.00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2">
    <xf numFmtId="0" fontId="0" fillId="0" borderId="0" xfId="0"/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6" fontId="2" fillId="3" borderId="8" xfId="0" applyNumberFormat="1" applyFont="1" applyFill="1" applyBorder="1" applyAlignment="1">
      <alignment horizontal="center" vertical="center"/>
    </xf>
    <xf numFmtId="16" fontId="2" fillId="4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65" fontId="2" fillId="3" borderId="8" xfId="1" applyNumberFormat="1" applyFont="1" applyFill="1" applyBorder="1" applyAlignment="1">
      <alignment horizontal="right" vertical="center"/>
    </xf>
    <xf numFmtId="166" fontId="2" fillId="3" borderId="8" xfId="1" applyNumberFormat="1" applyFont="1" applyFill="1" applyBorder="1" applyAlignment="1">
      <alignment horizontal="right" vertical="center"/>
    </xf>
    <xf numFmtId="165" fontId="2" fillId="3" borderId="8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" fontId="0" fillId="0" borderId="0" xfId="0" applyNumberFormat="1"/>
    <xf numFmtId="164" fontId="2" fillId="4" borderId="8" xfId="1" applyNumberFormat="1" applyFont="1" applyFill="1" applyBorder="1" applyAlignment="1">
      <alignment horizontal="center" vertical="center"/>
    </xf>
    <xf numFmtId="166" fontId="2" fillId="4" borderId="8" xfId="1" applyNumberFormat="1" applyFont="1" applyFill="1" applyBorder="1" applyAlignment="1">
      <alignment horizontal="right" vertical="center"/>
    </xf>
    <xf numFmtId="164" fontId="2" fillId="4" borderId="8" xfId="0" applyNumberFormat="1" applyFont="1" applyFill="1" applyBorder="1" applyAlignment="1">
      <alignment horizontal="center" vertical="center"/>
    </xf>
    <xf numFmtId="165" fontId="2" fillId="4" borderId="8" xfId="1" applyNumberFormat="1" applyFont="1" applyFill="1" applyBorder="1" applyAlignment="1">
      <alignment horizontal="right" vertical="center"/>
    </xf>
    <xf numFmtId="164" fontId="2" fillId="3" borderId="8" xfId="1" applyNumberFormat="1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165" fontId="2" fillId="4" borderId="8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1" xfId="0" applyBorder="1"/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6" fontId="0" fillId="5" borderId="8" xfId="1" applyNumberFormat="1" applyFont="1" applyFill="1" applyBorder="1"/>
    <xf numFmtId="166" fontId="0" fillId="0" borderId="8" xfId="1" applyNumberFormat="1" applyFont="1" applyBorder="1"/>
    <xf numFmtId="166" fontId="0" fillId="0" borderId="12" xfId="1" applyNumberFormat="1" applyFont="1" applyBorder="1"/>
    <xf numFmtId="166" fontId="0" fillId="0" borderId="13" xfId="1" applyNumberFormat="1" applyFont="1" applyBorder="1"/>
    <xf numFmtId="0" fontId="2" fillId="0" borderId="8" xfId="0" applyFont="1" applyBorder="1" applyAlignment="1">
      <alignment horizontal="center" vertical="center"/>
    </xf>
    <xf numFmtId="166" fontId="9" fillId="6" borderId="8" xfId="1" applyNumberFormat="1" applyFont="1" applyFill="1" applyBorder="1"/>
    <xf numFmtId="0" fontId="0" fillId="0" borderId="13" xfId="0" applyBorder="1" applyAlignment="1">
      <alignment horizontal="center"/>
    </xf>
    <xf numFmtId="166" fontId="9" fillId="9" borderId="16" xfId="1" applyNumberFormat="1" applyFont="1" applyFill="1" applyBorder="1"/>
    <xf numFmtId="0" fontId="0" fillId="0" borderId="17" xfId="0" applyBorder="1" applyAlignment="1">
      <alignment horizontal="center"/>
    </xf>
    <xf numFmtId="166" fontId="9" fillId="6" borderId="15" xfId="1" applyNumberFormat="1" applyFont="1" applyFill="1" applyBorder="1"/>
    <xf numFmtId="166" fontId="9" fillId="10" borderId="16" xfId="1" applyNumberFormat="1" applyFont="1" applyFill="1" applyBorder="1"/>
    <xf numFmtId="0" fontId="0" fillId="0" borderId="21" xfId="0" applyBorder="1" applyAlignment="1">
      <alignment horizontal="center"/>
    </xf>
    <xf numFmtId="0" fontId="2" fillId="7" borderId="22" xfId="0" applyFont="1" applyFill="1" applyBorder="1" applyAlignment="1">
      <alignment horizontal="left" vertical="center"/>
    </xf>
    <xf numFmtId="16" fontId="10" fillId="3" borderId="8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6" fontId="2" fillId="3" borderId="9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4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167" fontId="2" fillId="3" borderId="9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vertical="center"/>
    </xf>
    <xf numFmtId="165" fontId="2" fillId="4" borderId="16" xfId="1" applyNumberFormat="1" applyFont="1" applyFill="1" applyBorder="1" applyAlignment="1">
      <alignment vertical="center"/>
    </xf>
    <xf numFmtId="165" fontId="2" fillId="3" borderId="16" xfId="1" applyNumberFormat="1" applyFont="1" applyFill="1" applyBorder="1" applyAlignment="1">
      <alignment vertical="center"/>
    </xf>
    <xf numFmtId="165" fontId="2" fillId="3" borderId="13" xfId="1" applyNumberFormat="1" applyFont="1" applyFill="1" applyBorder="1" applyAlignment="1">
      <alignment horizontal="center" vertical="center"/>
    </xf>
    <xf numFmtId="0" fontId="0" fillId="11" borderId="0" xfId="0" applyFill="1"/>
    <xf numFmtId="0" fontId="2" fillId="5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165" fontId="2" fillId="3" borderId="8" xfId="1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1" fontId="2" fillId="8" borderId="8" xfId="0" applyNumberFormat="1" applyFont="1" applyFill="1" applyBorder="1" applyAlignment="1">
      <alignment horizontal="center" vertical="center"/>
    </xf>
    <xf numFmtId="167" fontId="2" fillId="3" borderId="8" xfId="0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left" vertical="center"/>
    </xf>
    <xf numFmtId="0" fontId="0" fillId="0" borderId="14" xfId="0" applyBorder="1"/>
    <xf numFmtId="0" fontId="0" fillId="6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5" borderId="15" xfId="1" applyNumberFormat="1" applyFont="1" applyFill="1" applyBorder="1"/>
    <xf numFmtId="166" fontId="0" fillId="0" borderId="15" xfId="1" applyNumberFormat="1" applyFont="1" applyBorder="1"/>
    <xf numFmtId="166" fontId="9" fillId="10" borderId="15" xfId="1" applyNumberFormat="1" applyFont="1" applyFill="1" applyBorder="1"/>
    <xf numFmtId="166" fontId="3" fillId="12" borderId="8" xfId="0" applyNumberFormat="1" applyFont="1" applyFill="1" applyBorder="1"/>
    <xf numFmtId="166" fontId="3" fillId="4" borderId="16" xfId="0" applyNumberFormat="1" applyFont="1" applyFill="1" applyBorder="1"/>
    <xf numFmtId="0" fontId="2" fillId="6" borderId="8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16" fontId="2" fillId="3" borderId="8" xfId="0" applyNumberFormat="1" applyFont="1" applyFill="1" applyBorder="1" applyAlignment="1">
      <alignment horizontal="left" vertical="center"/>
    </xf>
    <xf numFmtId="16" fontId="2" fillId="13" borderId="8" xfId="0" applyNumberFormat="1" applyFont="1" applyFill="1" applyBorder="1" applyAlignment="1">
      <alignment horizontal="center" vertical="center"/>
    </xf>
    <xf numFmtId="1" fontId="2" fillId="13" borderId="8" xfId="0" applyNumberFormat="1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center" vertical="center"/>
    </xf>
    <xf numFmtId="168" fontId="12" fillId="16" borderId="8" xfId="0" applyNumberFormat="1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168" fontId="13" fillId="0" borderId="8" xfId="0" applyNumberFormat="1" applyFont="1" applyBorder="1" applyAlignment="1">
      <alignment horizontal="center" wrapText="1"/>
    </xf>
    <xf numFmtId="20" fontId="13" fillId="0" borderId="8" xfId="0" applyNumberFormat="1" applyFont="1" applyBorder="1" applyAlignment="1">
      <alignment horizontal="center" wrapText="1"/>
    </xf>
    <xf numFmtId="0" fontId="13" fillId="5" borderId="8" xfId="0" applyFont="1" applyFill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6" borderId="10" xfId="0" applyFont="1" applyFill="1" applyBorder="1" applyAlignment="1">
      <alignment horizontal="center" wrapText="1"/>
    </xf>
    <xf numFmtId="0" fontId="13" fillId="6" borderId="8" xfId="0" applyFont="1" applyFill="1" applyBorder="1" applyAlignment="1">
      <alignment horizontal="center" wrapText="1"/>
    </xf>
    <xf numFmtId="0" fontId="13" fillId="17" borderId="8" xfId="0" applyFont="1" applyFill="1" applyBorder="1" applyAlignment="1">
      <alignment horizontal="center" wrapText="1"/>
    </xf>
    <xf numFmtId="168" fontId="13" fillId="0" borderId="9" xfId="0" applyNumberFormat="1" applyFont="1" applyBorder="1" applyAlignment="1">
      <alignment horizontal="center" wrapText="1"/>
    </xf>
    <xf numFmtId="20" fontId="13" fillId="0" borderId="5" xfId="0" applyNumberFormat="1" applyFont="1" applyBorder="1" applyAlignment="1">
      <alignment horizontal="center" wrapText="1"/>
    </xf>
    <xf numFmtId="0" fontId="13" fillId="5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3" fillId="0" borderId="8" xfId="0" applyFont="1" applyBorder="1" applyAlignment="1">
      <alignment wrapText="1"/>
    </xf>
    <xf numFmtId="1" fontId="2" fillId="6" borderId="8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26" xfId="0" applyFill="1" applyBorder="1"/>
    <xf numFmtId="0" fontId="0" fillId="4" borderId="27" xfId="0" applyFill="1" applyBorder="1"/>
    <xf numFmtId="0" fontId="2" fillId="6" borderId="8" xfId="0" applyFont="1" applyFill="1" applyBorder="1" applyAlignment="1">
      <alignment horizontal="left" vertical="center"/>
    </xf>
    <xf numFmtId="1" fontId="2" fillId="14" borderId="8" xfId="0" applyNumberFormat="1" applyFont="1" applyFill="1" applyBorder="1" applyAlignment="1">
      <alignment horizontal="center" vertical="center"/>
    </xf>
    <xf numFmtId="166" fontId="2" fillId="6" borderId="8" xfId="1" applyNumberFormat="1" applyFont="1" applyFill="1" applyBorder="1" applyAlignment="1">
      <alignment horizontal="right" vertical="center"/>
    </xf>
    <xf numFmtId="0" fontId="0" fillId="6" borderId="0" xfId="0" applyFill="1"/>
    <xf numFmtId="165" fontId="2" fillId="3" borderId="28" xfId="1" applyNumberFormat="1" applyFont="1" applyFill="1" applyBorder="1" applyAlignment="1">
      <alignment vertical="center"/>
    </xf>
    <xf numFmtId="0" fontId="11" fillId="15" borderId="0" xfId="0" applyFont="1" applyFill="1" applyAlignment="1">
      <alignment horizontal="center"/>
    </xf>
    <xf numFmtId="0" fontId="12" fillId="1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169" fontId="2" fillId="3" borderId="8" xfId="1" applyNumberFormat="1" applyFont="1" applyFill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166" fontId="2" fillId="4" borderId="16" xfId="1" applyNumberFormat="1" applyFont="1" applyFill="1" applyBorder="1" applyAlignment="1">
      <alignment horizontal="right" vertical="center"/>
    </xf>
    <xf numFmtId="166" fontId="2" fillId="3" borderId="16" xfId="1" applyNumberFormat="1" applyFont="1" applyFill="1" applyBorder="1" applyAlignment="1">
      <alignment horizontal="right" vertical="center"/>
    </xf>
    <xf numFmtId="1" fontId="2" fillId="3" borderId="30" xfId="0" applyNumberFormat="1" applyFont="1" applyFill="1" applyBorder="1" applyAlignment="1">
      <alignment horizontal="center" vertical="center"/>
    </xf>
    <xf numFmtId="20" fontId="2" fillId="4" borderId="8" xfId="0" applyNumberFormat="1" applyFont="1" applyFill="1" applyBorder="1" applyAlignment="1">
      <alignment horizontal="center" vertical="center"/>
    </xf>
    <xf numFmtId="165" fontId="2" fillId="4" borderId="8" xfId="2" applyNumberFormat="1" applyFont="1" applyFill="1" applyBorder="1" applyAlignment="1">
      <alignment vertical="center"/>
    </xf>
    <xf numFmtId="165" fontId="2" fillId="3" borderId="8" xfId="2" applyNumberFormat="1" applyFont="1" applyFill="1" applyBorder="1" applyAlignment="1">
      <alignment vertical="center"/>
    </xf>
    <xf numFmtId="165" fontId="2" fillId="3" borderId="8" xfId="2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" fontId="2" fillId="18" borderId="8" xfId="0" applyNumberFormat="1" applyFont="1" applyFill="1" applyBorder="1" applyAlignment="1">
      <alignment horizontal="center" vertical="center"/>
    </xf>
    <xf numFmtId="1" fontId="10" fillId="18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6" borderId="8" xfId="0" applyFont="1" applyFill="1" applyBorder="1" applyAlignment="1">
      <alignment horizontal="center" vertical="center"/>
    </xf>
    <xf numFmtId="166" fontId="0" fillId="5" borderId="10" xfId="1" applyNumberFormat="1" applyFont="1" applyFill="1" applyBorder="1"/>
    <xf numFmtId="0" fontId="0" fillId="6" borderId="9" xfId="0" applyFill="1" applyBorder="1" applyAlignment="1">
      <alignment horizontal="center"/>
    </xf>
    <xf numFmtId="166" fontId="9" fillId="19" borderId="16" xfId="1" applyNumberFormat="1" applyFont="1" applyFill="1" applyBorder="1"/>
    <xf numFmtId="0" fontId="0" fillId="0" borderId="30" xfId="0" applyBorder="1" applyAlignment="1">
      <alignment horizontal="center"/>
    </xf>
    <xf numFmtId="0" fontId="0" fillId="2" borderId="0" xfId="0" applyFill="1"/>
    <xf numFmtId="0" fontId="0" fillId="2" borderId="8" xfId="0" applyFill="1" applyBorder="1" applyAlignment="1">
      <alignment horizontal="center"/>
    </xf>
    <xf numFmtId="1" fontId="2" fillId="20" borderId="8" xfId="0" applyNumberFormat="1" applyFont="1" applyFill="1" applyBorder="1" applyAlignment="1">
      <alignment horizontal="center" vertical="center"/>
    </xf>
    <xf numFmtId="1" fontId="2" fillId="21" borderId="8" xfId="0" applyNumberFormat="1" applyFont="1" applyFill="1" applyBorder="1" applyAlignment="1">
      <alignment horizontal="center" vertical="center"/>
    </xf>
    <xf numFmtId="1" fontId="2" fillId="12" borderId="8" xfId="0" applyNumberFormat="1" applyFont="1" applyFill="1" applyBorder="1" applyAlignment="1">
      <alignment horizontal="center" vertical="center"/>
    </xf>
    <xf numFmtId="1" fontId="2" fillId="11" borderId="8" xfId="0" applyNumberFormat="1" applyFont="1" applyFill="1" applyBorder="1" applyAlignment="1">
      <alignment horizontal="center" vertical="center"/>
    </xf>
    <xf numFmtId="1" fontId="10" fillId="11" borderId="8" xfId="0" applyNumberFormat="1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0" fontId="0" fillId="4" borderId="8" xfId="0" applyFill="1" applyBorder="1"/>
    <xf numFmtId="16" fontId="2" fillId="6" borderId="12" xfId="0" applyNumberFormat="1" applyFont="1" applyFill="1" applyBorder="1" applyAlignment="1">
      <alignment horizontal="center" vertical="center"/>
    </xf>
    <xf numFmtId="1" fontId="2" fillId="21" borderId="12" xfId="0" applyNumberFormat="1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/>
    </xf>
    <xf numFmtId="0" fontId="0" fillId="22" borderId="8" xfId="0" applyFill="1" applyBorder="1"/>
    <xf numFmtId="0" fontId="2" fillId="22" borderId="8" xfId="0" applyFont="1" applyFill="1" applyBorder="1"/>
    <xf numFmtId="0" fontId="0" fillId="0" borderId="8" xfId="0" applyBorder="1"/>
    <xf numFmtId="165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/>
    <xf numFmtId="165" fontId="0" fillId="0" borderId="8" xfId="0" applyNumberFormat="1" applyBorder="1"/>
    <xf numFmtId="0" fontId="15" fillId="22" borderId="8" xfId="0" applyFont="1" applyFill="1" applyBorder="1"/>
    <xf numFmtId="0" fontId="2" fillId="6" borderId="9" xfId="0" applyFont="1" applyFill="1" applyBorder="1" applyAlignment="1">
      <alignment horizontal="center" vertical="center"/>
    </xf>
    <xf numFmtId="16" fontId="2" fillId="6" borderId="8" xfId="0" applyNumberFormat="1" applyFont="1" applyFill="1" applyBorder="1" applyAlignment="1">
      <alignment horizontal="center" vertical="center"/>
    </xf>
    <xf numFmtId="16" fontId="2" fillId="6" borderId="9" xfId="0" applyNumberFormat="1" applyFont="1" applyFill="1" applyBorder="1" applyAlignment="1">
      <alignment horizontal="center" vertical="center"/>
    </xf>
    <xf numFmtId="167" fontId="2" fillId="6" borderId="9" xfId="0" applyNumberFormat="1" applyFont="1" applyFill="1" applyBorder="1" applyAlignment="1">
      <alignment horizontal="center" vertical="center"/>
    </xf>
    <xf numFmtId="165" fontId="2" fillId="6" borderId="16" xfId="1" applyNumberFormat="1" applyFont="1" applyFill="1" applyBorder="1" applyAlignment="1">
      <alignment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0" fillId="3" borderId="0" xfId="0" applyFill="1"/>
    <xf numFmtId="165" fontId="2" fillId="6" borderId="28" xfId="1" applyNumberFormat="1" applyFont="1" applyFill="1" applyBorder="1" applyAlignment="1">
      <alignment vertical="center"/>
    </xf>
    <xf numFmtId="0" fontId="2" fillId="13" borderId="9" xfId="0" applyFont="1" applyFill="1" applyBorder="1" applyAlignment="1">
      <alignment horizontal="center" vertical="center"/>
    </xf>
    <xf numFmtId="16" fontId="2" fillId="13" borderId="9" xfId="0" applyNumberFormat="1" applyFont="1" applyFill="1" applyBorder="1" applyAlignment="1">
      <alignment horizontal="center" vertical="center"/>
    </xf>
    <xf numFmtId="167" fontId="2" fillId="13" borderId="9" xfId="0" applyNumberFormat="1" applyFont="1" applyFill="1" applyBorder="1" applyAlignment="1">
      <alignment horizontal="center" vertical="center"/>
    </xf>
    <xf numFmtId="165" fontId="2" fillId="13" borderId="16" xfId="1" applyNumberFormat="1" applyFont="1" applyFill="1" applyBorder="1" applyAlignment="1">
      <alignment vertical="center"/>
    </xf>
    <xf numFmtId="0" fontId="0" fillId="13" borderId="0" xfId="0" applyFill="1"/>
    <xf numFmtId="20" fontId="2" fillId="13" borderId="8" xfId="0" applyNumberFormat="1" applyFont="1" applyFill="1" applyBorder="1" applyAlignment="1">
      <alignment horizontal="center" vertical="center"/>
    </xf>
    <xf numFmtId="166" fontId="2" fillId="13" borderId="8" xfId="1" applyNumberFormat="1" applyFont="1" applyFill="1" applyBorder="1" applyAlignment="1">
      <alignment horizontal="right" vertical="center"/>
    </xf>
    <xf numFmtId="0" fontId="16" fillId="13" borderId="0" xfId="0" applyFont="1" applyFill="1"/>
    <xf numFmtId="165" fontId="2" fillId="13" borderId="28" xfId="1" applyNumberFormat="1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166" fontId="0" fillId="2" borderId="15" xfId="1" applyNumberFormat="1" applyFont="1" applyFill="1" applyBorder="1"/>
    <xf numFmtId="166" fontId="0" fillId="2" borderId="8" xfId="1" applyNumberFormat="1" applyFont="1" applyFill="1" applyBorder="1"/>
    <xf numFmtId="166" fontId="0" fillId="2" borderId="9" xfId="1" applyNumberFormat="1" applyFont="1" applyFill="1" applyBorder="1"/>
    <xf numFmtId="14" fontId="8" fillId="6" borderId="14" xfId="0" applyNumberFormat="1" applyFont="1" applyFill="1" applyBorder="1" applyAlignment="1">
      <alignment horizontal="center" vertical="center" wrapText="1"/>
    </xf>
    <xf numFmtId="14" fontId="8" fillId="6" borderId="15" xfId="0" applyNumberFormat="1" applyFont="1" applyFill="1" applyBorder="1" applyAlignment="1">
      <alignment horizontal="center" vertical="center" wrapText="1"/>
    </xf>
    <xf numFmtId="14" fontId="8" fillId="6" borderId="20" xfId="0" applyNumberFormat="1" applyFont="1" applyFill="1" applyBorder="1" applyAlignment="1">
      <alignment horizontal="center" vertical="center" wrapText="1"/>
    </xf>
    <xf numFmtId="14" fontId="8" fillId="6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168" fontId="12" fillId="6" borderId="9" xfId="0" applyNumberFormat="1" applyFont="1" applyFill="1" applyBorder="1" applyAlignment="1">
      <alignment horizontal="center" wrapText="1"/>
    </xf>
    <xf numFmtId="168" fontId="12" fillId="6" borderId="5" xfId="0" applyNumberFormat="1" applyFont="1" applyFill="1" applyBorder="1" applyAlignment="1">
      <alignment horizontal="center" wrapText="1"/>
    </xf>
    <xf numFmtId="168" fontId="12" fillId="6" borderId="10" xfId="0" applyNumberFormat="1" applyFont="1" applyFill="1" applyBorder="1" applyAlignment="1">
      <alignment horizontal="center" wrapText="1"/>
    </xf>
    <xf numFmtId="14" fontId="8" fillId="6" borderId="11" xfId="0" applyNumberFormat="1" applyFont="1" applyFill="1" applyBorder="1" applyAlignment="1">
      <alignment horizontal="center" vertical="center" wrapText="1"/>
    </xf>
    <xf numFmtId="14" fontId="8" fillId="6" borderId="8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15" fillId="22" borderId="9" xfId="0" applyNumberFormat="1" applyFont="1" applyFill="1" applyBorder="1" applyAlignment="1">
      <alignment horizontal="center"/>
    </xf>
    <xf numFmtId="0" fontId="15" fillId="22" borderId="5" xfId="0" applyFont="1" applyFill="1" applyBorder="1" applyAlignment="1">
      <alignment horizontal="center"/>
    </xf>
    <xf numFmtId="0" fontId="15" fillId="22" borderId="10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</cellXfs>
  <cellStyles count="3">
    <cellStyle name="Moneda" xfId="1" builtinId="4"/>
    <cellStyle name="Moneda 2" xfId="2" xr:uid="{FF3FF74A-32D7-4E1C-ACFC-9C163524EE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55647F61-39D3-4B6F-8FB7-4001AE5AA4FA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6-06-27T12:45:57.53" personId="{55647F61-39D3-4B6F-8FB7-4001AE5AA4FA}" id="{D121F84F-6B75-46CB-934C-C08F849C4EA3}">
    <text>1 polimys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1" dT="2026-07-10T20:39:09.43" personId="{55647F61-39D3-4B6F-8FB7-4001AE5AA4FA}" id="{BEE45A2D-8ACB-4C81-A45C-DA1260194E6F}">
    <text>CORTE AL 17 JUNIO</text>
  </threadedComment>
  <threadedComment ref="Q12" dT="2026-07-10T20:39:46.31" personId="{55647F61-39D3-4B6F-8FB7-4001AE5AA4FA}" id="{93A20A8C-5E0E-4192-8CA5-E7619F62019F}">
    <text>CORTE AL 9 DE JUNIO</text>
  </threadedComment>
  <threadedComment ref="N13" dT="2026-07-10T20:35:33.37" personId="{55647F61-39D3-4B6F-8FB7-4001AE5AA4FA}" id="{A990491B-FD4B-4C35-8B06-6BFE9126F12B}">
    <text xml:space="preserve">CORTE AL 31 /05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N14" sqref="N14"/>
    </sheetView>
  </sheetViews>
  <sheetFormatPr baseColWidth="10" defaultColWidth="9.140625" defaultRowHeight="15" x14ac:dyDescent="0.25"/>
  <cols>
    <col min="1" max="1" width="25.28515625" customWidth="1"/>
    <col min="2" max="2" width="16.28515625" customWidth="1"/>
    <col min="3" max="3" width="15.7109375" customWidth="1"/>
    <col min="4" max="4" width="15" customWidth="1"/>
    <col min="5" max="5" width="12.140625" customWidth="1"/>
    <col min="6" max="9" width="12.5703125" customWidth="1"/>
    <col min="10" max="10" width="16.85546875" customWidth="1"/>
  </cols>
  <sheetData>
    <row r="1" spans="1:12" ht="18.75" x14ac:dyDescent="0.3">
      <c r="A1" s="201" t="s">
        <v>31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2" ht="18.75" x14ac:dyDescent="0.3">
      <c r="A2" s="204" t="s">
        <v>11</v>
      </c>
      <c r="B2" s="194"/>
      <c r="C2" s="194"/>
      <c r="D2" s="194"/>
      <c r="E2" s="194"/>
      <c r="F2" s="194"/>
      <c r="G2" s="194"/>
      <c r="H2" s="194"/>
      <c r="I2" s="194"/>
      <c r="J2" s="205"/>
    </row>
    <row r="3" spans="1:12" ht="18.75" x14ac:dyDescent="0.3">
      <c r="A3" s="206" t="s">
        <v>21</v>
      </c>
      <c r="B3" s="194"/>
      <c r="C3" s="194"/>
      <c r="D3" s="194"/>
      <c r="E3" s="194"/>
      <c r="F3" s="194"/>
      <c r="G3" s="194"/>
      <c r="H3" s="194"/>
      <c r="I3" s="194"/>
      <c r="J3" s="194"/>
    </row>
    <row r="4" spans="1:12" x14ac:dyDescent="0.25">
      <c r="A4" s="1" t="s">
        <v>0</v>
      </c>
      <c r="B4" s="2">
        <v>13764</v>
      </c>
      <c r="C4" s="2">
        <v>13768</v>
      </c>
      <c r="D4" s="2">
        <v>13773</v>
      </c>
      <c r="E4" s="2">
        <v>13703</v>
      </c>
      <c r="F4" s="2">
        <v>13416</v>
      </c>
      <c r="G4" s="2">
        <v>13470</v>
      </c>
      <c r="H4" s="2">
        <v>13474</v>
      </c>
      <c r="I4" s="2">
        <v>13477</v>
      </c>
      <c r="J4" s="3" t="s">
        <v>1</v>
      </c>
    </row>
    <row r="5" spans="1:12" x14ac:dyDescent="0.25">
      <c r="A5" s="4"/>
      <c r="B5" s="5">
        <v>46174</v>
      </c>
      <c r="C5" s="5">
        <v>46175</v>
      </c>
      <c r="D5" s="5">
        <v>46175</v>
      </c>
      <c r="E5" s="5">
        <v>46185</v>
      </c>
      <c r="F5" s="5">
        <v>46192</v>
      </c>
      <c r="G5" s="5">
        <v>46209</v>
      </c>
      <c r="H5" s="5">
        <v>46210</v>
      </c>
      <c r="I5" s="5">
        <v>46211</v>
      </c>
      <c r="J5" s="6">
        <v>46203</v>
      </c>
    </row>
    <row r="6" spans="1:12" x14ac:dyDescent="0.25">
      <c r="A6" s="7" t="s">
        <v>12</v>
      </c>
      <c r="B6" s="8">
        <v>21</v>
      </c>
      <c r="C6" s="9"/>
      <c r="D6" s="9">
        <v>5</v>
      </c>
      <c r="E6" s="9"/>
      <c r="F6" s="9"/>
      <c r="G6" s="9"/>
      <c r="H6" s="9"/>
      <c r="I6" s="9">
        <v>-26</v>
      </c>
      <c r="J6" s="10">
        <f>SUM(B6:I6)</f>
        <v>0</v>
      </c>
      <c r="K6">
        <v>29</v>
      </c>
      <c r="L6">
        <f>J6*K6</f>
        <v>0</v>
      </c>
    </row>
    <row r="7" spans="1:12" x14ac:dyDescent="0.25">
      <c r="A7" s="7" t="s">
        <v>13</v>
      </c>
      <c r="B7" s="8">
        <v>28</v>
      </c>
      <c r="C7" s="9">
        <v>56</v>
      </c>
      <c r="D7" s="9">
        <v>14</v>
      </c>
      <c r="E7" s="9"/>
      <c r="F7" s="9"/>
      <c r="G7" s="9">
        <v>-34</v>
      </c>
      <c r="H7" s="9">
        <v>-64</v>
      </c>
      <c r="I7" s="9"/>
      <c r="J7" s="10">
        <f t="shared" ref="J7:J19" si="0">SUM(B7:I7)</f>
        <v>0</v>
      </c>
      <c r="K7">
        <v>26</v>
      </c>
      <c r="L7">
        <f t="shared" ref="L7:L19" si="1">J7*K7</f>
        <v>0</v>
      </c>
    </row>
    <row r="8" spans="1:12" x14ac:dyDescent="0.25">
      <c r="A8" s="7" t="s">
        <v>14</v>
      </c>
      <c r="B8" s="8">
        <v>40</v>
      </c>
      <c r="C8" s="9"/>
      <c r="D8" s="9">
        <v>40</v>
      </c>
      <c r="E8" s="9"/>
      <c r="F8" s="9"/>
      <c r="G8" s="9">
        <v>-47</v>
      </c>
      <c r="H8" s="9"/>
      <c r="I8" s="9">
        <v>-33</v>
      </c>
      <c r="J8" s="10">
        <f t="shared" si="0"/>
        <v>0</v>
      </c>
      <c r="K8">
        <v>15.5</v>
      </c>
      <c r="L8">
        <f t="shared" si="1"/>
        <v>0</v>
      </c>
    </row>
    <row r="9" spans="1:12" x14ac:dyDescent="0.25">
      <c r="A9" s="7" t="s">
        <v>15</v>
      </c>
      <c r="B9" s="8">
        <v>200</v>
      </c>
      <c r="C9" s="9">
        <v>400</v>
      </c>
      <c r="D9" s="9">
        <v>200</v>
      </c>
      <c r="E9" s="9">
        <v>300</v>
      </c>
      <c r="F9" s="9">
        <v>-300</v>
      </c>
      <c r="G9" s="9">
        <v>-300</v>
      </c>
      <c r="H9" s="9"/>
      <c r="I9" s="9">
        <v>-500</v>
      </c>
      <c r="J9" s="10">
        <f t="shared" si="0"/>
        <v>0</v>
      </c>
      <c r="K9">
        <v>0.15</v>
      </c>
      <c r="L9">
        <f t="shared" si="1"/>
        <v>0</v>
      </c>
    </row>
    <row r="10" spans="1:12" x14ac:dyDescent="0.25">
      <c r="A10" s="7" t="s">
        <v>24</v>
      </c>
      <c r="B10" s="8"/>
      <c r="C10" s="9">
        <v>10</v>
      </c>
      <c r="D10" s="9"/>
      <c r="E10" s="9">
        <v>5</v>
      </c>
      <c r="F10" s="9"/>
      <c r="G10" s="9">
        <v>-11</v>
      </c>
      <c r="H10" s="9">
        <v>-4</v>
      </c>
      <c r="I10" s="9"/>
      <c r="J10" s="10">
        <f t="shared" si="0"/>
        <v>0</v>
      </c>
      <c r="K10">
        <v>13.5</v>
      </c>
      <c r="L10">
        <f t="shared" si="1"/>
        <v>0</v>
      </c>
    </row>
    <row r="11" spans="1:12" x14ac:dyDescent="0.25">
      <c r="A11" s="7" t="s">
        <v>32</v>
      </c>
      <c r="B11" s="8"/>
      <c r="C11" s="9">
        <v>7</v>
      </c>
      <c r="D11" s="9">
        <v>3</v>
      </c>
      <c r="E11" s="9"/>
      <c r="F11" s="9"/>
      <c r="G11" s="9">
        <v>-4</v>
      </c>
      <c r="H11" s="9">
        <v>-6</v>
      </c>
      <c r="I11" s="9"/>
      <c r="J11" s="10">
        <f t="shared" si="0"/>
        <v>0</v>
      </c>
      <c r="K11">
        <v>21</v>
      </c>
      <c r="L11">
        <f t="shared" si="1"/>
        <v>0</v>
      </c>
    </row>
    <row r="12" spans="1:12" x14ac:dyDescent="0.25">
      <c r="A12" s="7" t="s">
        <v>33</v>
      </c>
      <c r="B12" s="8"/>
      <c r="C12" s="9">
        <v>31</v>
      </c>
      <c r="D12" s="9"/>
      <c r="E12" s="9">
        <v>4</v>
      </c>
      <c r="F12" s="9"/>
      <c r="G12" s="9">
        <v>-30</v>
      </c>
      <c r="H12" s="9">
        <v>-5</v>
      </c>
      <c r="I12" s="9"/>
      <c r="J12" s="10">
        <f t="shared" si="0"/>
        <v>0</v>
      </c>
      <c r="K12">
        <v>9.5</v>
      </c>
      <c r="L12">
        <f t="shared" si="1"/>
        <v>0</v>
      </c>
    </row>
    <row r="13" spans="1:12" x14ac:dyDescent="0.25">
      <c r="A13" s="7" t="s">
        <v>3</v>
      </c>
      <c r="B13" s="8"/>
      <c r="C13" s="9">
        <v>10</v>
      </c>
      <c r="D13" s="9"/>
      <c r="E13" s="9"/>
      <c r="F13" s="9"/>
      <c r="G13" s="9">
        <v>-2</v>
      </c>
      <c r="H13" s="9">
        <v>-8</v>
      </c>
      <c r="I13" s="9">
        <v>-2</v>
      </c>
      <c r="J13" s="10">
        <f t="shared" si="0"/>
        <v>-2</v>
      </c>
      <c r="K13">
        <v>9.5</v>
      </c>
      <c r="L13">
        <f t="shared" si="1"/>
        <v>-19</v>
      </c>
    </row>
    <row r="14" spans="1:12" x14ac:dyDescent="0.25">
      <c r="A14" s="7" t="s">
        <v>34</v>
      </c>
      <c r="B14" s="8"/>
      <c r="C14" s="9">
        <v>1</v>
      </c>
      <c r="D14" s="9">
        <v>1</v>
      </c>
      <c r="E14" s="9"/>
      <c r="F14" s="9"/>
      <c r="G14" s="9"/>
      <c r="H14" s="9"/>
      <c r="I14" s="9">
        <v>-1</v>
      </c>
      <c r="J14" s="10">
        <f t="shared" si="0"/>
        <v>1</v>
      </c>
      <c r="K14">
        <v>1</v>
      </c>
      <c r="L14">
        <f t="shared" si="1"/>
        <v>1</v>
      </c>
    </row>
    <row r="15" spans="1:12" x14ac:dyDescent="0.25">
      <c r="A15" s="7" t="s">
        <v>35</v>
      </c>
      <c r="B15" s="8"/>
      <c r="C15" s="9">
        <v>1</v>
      </c>
      <c r="D15" s="9"/>
      <c r="E15" s="9"/>
      <c r="F15" s="9"/>
      <c r="G15" s="9">
        <v>-1</v>
      </c>
      <c r="H15" s="9"/>
      <c r="I15" s="9"/>
      <c r="J15" s="10">
        <f t="shared" si="0"/>
        <v>0</v>
      </c>
      <c r="K15">
        <v>0.5</v>
      </c>
      <c r="L15">
        <f t="shared" si="1"/>
        <v>0</v>
      </c>
    </row>
    <row r="16" spans="1:12" x14ac:dyDescent="0.25">
      <c r="A16" s="7" t="s">
        <v>7</v>
      </c>
      <c r="B16" s="8"/>
      <c r="C16" s="9"/>
      <c r="D16" s="9"/>
      <c r="E16" s="9">
        <v>32</v>
      </c>
      <c r="F16" s="9">
        <v>-32</v>
      </c>
      <c r="G16" s="9"/>
      <c r="H16" s="9"/>
      <c r="I16" s="9"/>
      <c r="J16" s="10">
        <f t="shared" si="0"/>
        <v>0</v>
      </c>
      <c r="K16">
        <v>1</v>
      </c>
      <c r="L16">
        <f t="shared" si="1"/>
        <v>0</v>
      </c>
    </row>
    <row r="17" spans="1:15" x14ac:dyDescent="0.25">
      <c r="A17" s="7" t="s">
        <v>6</v>
      </c>
      <c r="B17" s="8"/>
      <c r="C17" s="9"/>
      <c r="D17" s="9"/>
      <c r="E17" s="9">
        <v>16</v>
      </c>
      <c r="F17" s="9">
        <v>-16</v>
      </c>
      <c r="G17" s="9"/>
      <c r="H17" s="9"/>
      <c r="I17" s="9"/>
      <c r="J17" s="10">
        <f t="shared" si="0"/>
        <v>0</v>
      </c>
      <c r="K17">
        <v>3</v>
      </c>
      <c r="L17">
        <f t="shared" si="1"/>
        <v>0</v>
      </c>
    </row>
    <row r="18" spans="1:15" x14ac:dyDescent="0.25">
      <c r="A18" s="7" t="s">
        <v>132</v>
      </c>
      <c r="B18" s="8"/>
      <c r="C18" s="9"/>
      <c r="D18" s="9"/>
      <c r="E18" s="9">
        <v>4</v>
      </c>
      <c r="F18" s="9">
        <v>-4</v>
      </c>
      <c r="G18" s="9"/>
      <c r="H18" s="9"/>
      <c r="I18" s="9"/>
      <c r="J18" s="10">
        <f t="shared" si="0"/>
        <v>0</v>
      </c>
      <c r="K18">
        <v>15.5</v>
      </c>
      <c r="L18">
        <f t="shared" si="1"/>
        <v>0</v>
      </c>
    </row>
    <row r="19" spans="1:15" x14ac:dyDescent="0.25">
      <c r="A19" s="7" t="s">
        <v>334</v>
      </c>
      <c r="B19" s="8"/>
      <c r="C19" s="9"/>
      <c r="D19" s="9"/>
      <c r="E19" s="9">
        <v>2</v>
      </c>
      <c r="F19" s="9"/>
      <c r="G19" s="9">
        <v>-2</v>
      </c>
      <c r="H19" s="9"/>
      <c r="I19" s="9"/>
      <c r="J19" s="10">
        <f t="shared" si="0"/>
        <v>0</v>
      </c>
      <c r="K19">
        <v>1</v>
      </c>
      <c r="L19">
        <f t="shared" si="1"/>
        <v>0</v>
      </c>
    </row>
    <row r="20" spans="1:15" x14ac:dyDescent="0.25">
      <c r="A20" s="4" t="s">
        <v>9</v>
      </c>
      <c r="B20" s="11">
        <v>0.4375</v>
      </c>
      <c r="C20" s="12">
        <v>0.33333333333333331</v>
      </c>
      <c r="D20" s="12">
        <v>5.2083333333333336E-2</v>
      </c>
      <c r="E20" s="12">
        <v>0.14583333333333334</v>
      </c>
      <c r="F20" s="12">
        <v>0.35416666666666669</v>
      </c>
      <c r="G20" s="12">
        <v>7.6388888888888895E-2</v>
      </c>
      <c r="H20" s="12">
        <v>0.44444444444444442</v>
      </c>
      <c r="I20" s="12">
        <v>0.30555555555555558</v>
      </c>
      <c r="J20" s="13"/>
      <c r="L20">
        <f>SUM(L6:L19)</f>
        <v>-18</v>
      </c>
    </row>
    <row r="21" spans="1:15" x14ac:dyDescent="0.25">
      <c r="A21" s="4" t="s">
        <v>10</v>
      </c>
      <c r="B21" s="14"/>
      <c r="C21" s="14"/>
      <c r="D21" s="15"/>
      <c r="E21" s="15">
        <v>45000</v>
      </c>
      <c r="F21" s="15">
        <v>45000</v>
      </c>
      <c r="G21" s="15" t="s">
        <v>421</v>
      </c>
      <c r="H21" s="15" t="s">
        <v>421</v>
      </c>
      <c r="I21" s="15" t="s">
        <v>421</v>
      </c>
      <c r="J21" s="16">
        <f>SUM(E21:F21)</f>
        <v>90000</v>
      </c>
      <c r="K21" s="58" t="s">
        <v>423</v>
      </c>
      <c r="L21" s="58"/>
      <c r="M21" s="58"/>
      <c r="N21" s="58"/>
      <c r="O21" s="58"/>
    </row>
  </sheetData>
  <mergeCells count="3">
    <mergeCell ref="A1:J1"/>
    <mergeCell ref="A2:J2"/>
    <mergeCell ref="A3:J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EEFF-EE83-45CC-8D40-93DA47D2196D}">
  <dimension ref="A1:O22"/>
  <sheetViews>
    <sheetView tabSelected="1" workbookViewId="0">
      <selection activeCell="C7" sqref="C7"/>
    </sheetView>
  </sheetViews>
  <sheetFormatPr baseColWidth="10" defaultRowHeight="15" x14ac:dyDescent="0.25"/>
  <cols>
    <col min="1" max="1" width="25.140625" customWidth="1"/>
  </cols>
  <sheetData>
    <row r="1" spans="1:15" ht="18.75" x14ac:dyDescent="0.3">
      <c r="A1" s="193" t="s">
        <v>145</v>
      </c>
      <c r="B1" s="194"/>
      <c r="C1" s="194"/>
      <c r="D1" s="194"/>
      <c r="E1" s="194"/>
      <c r="F1" s="194"/>
      <c r="G1" s="195"/>
    </row>
    <row r="2" spans="1:15" ht="18.75" x14ac:dyDescent="0.3">
      <c r="A2" s="193" t="s">
        <v>146</v>
      </c>
      <c r="B2" s="194"/>
      <c r="C2" s="194"/>
      <c r="D2" s="194"/>
      <c r="E2" s="194"/>
      <c r="F2" s="194"/>
      <c r="G2" s="195"/>
    </row>
    <row r="3" spans="1:15" ht="18.75" x14ac:dyDescent="0.3">
      <c r="A3" s="193" t="s">
        <v>425</v>
      </c>
      <c r="B3" s="194"/>
      <c r="C3" s="194"/>
      <c r="D3" s="194"/>
      <c r="E3" s="194"/>
      <c r="F3" s="194"/>
      <c r="G3" s="195"/>
    </row>
    <row r="4" spans="1:15" x14ac:dyDescent="0.25">
      <c r="A4" s="196" t="s">
        <v>0</v>
      </c>
      <c r="B4" s="13" t="s">
        <v>1</v>
      </c>
      <c r="C4" s="13">
        <v>13441</v>
      </c>
      <c r="D4" s="13">
        <v>13441</v>
      </c>
      <c r="E4" s="13">
        <v>13437</v>
      </c>
      <c r="F4" s="13"/>
      <c r="G4" s="62" t="s">
        <v>147</v>
      </c>
    </row>
    <row r="5" spans="1:15" x14ac:dyDescent="0.25">
      <c r="A5" s="197"/>
      <c r="B5" s="5">
        <v>46172</v>
      </c>
      <c r="C5" s="5">
        <v>46197</v>
      </c>
      <c r="D5" s="5">
        <v>46197</v>
      </c>
      <c r="E5" s="5">
        <v>46197</v>
      </c>
      <c r="F5" s="5"/>
      <c r="G5" s="5">
        <v>46203</v>
      </c>
    </row>
    <row r="6" spans="1:15" x14ac:dyDescent="0.25">
      <c r="A6" s="17" t="s">
        <v>148</v>
      </c>
      <c r="B6" s="59">
        <v>40</v>
      </c>
      <c r="C6" s="126">
        <v>-5</v>
      </c>
      <c r="D6" s="59"/>
      <c r="E6" s="35">
        <v>-24</v>
      </c>
      <c r="F6" s="35"/>
      <c r="G6" s="63">
        <f>SUM(B6:F6)</f>
        <v>11</v>
      </c>
    </row>
    <row r="7" spans="1:15" x14ac:dyDescent="0.25">
      <c r="A7" s="17" t="s">
        <v>13</v>
      </c>
      <c r="B7" s="59">
        <v>110</v>
      </c>
      <c r="C7" s="127">
        <v>-2</v>
      </c>
      <c r="D7" s="59"/>
      <c r="E7" s="35">
        <v>-31</v>
      </c>
      <c r="F7" s="35"/>
      <c r="G7" s="63">
        <f t="shared" ref="G7:G20" si="0">SUM(B7:F7)</f>
        <v>77</v>
      </c>
      <c r="H7" s="104" t="s">
        <v>369</v>
      </c>
      <c r="I7" s="104"/>
      <c r="J7" s="104"/>
      <c r="K7" s="104"/>
      <c r="L7" s="104"/>
      <c r="M7" s="104"/>
      <c r="N7" s="104"/>
      <c r="O7" s="104"/>
    </row>
    <row r="8" spans="1:15" x14ac:dyDescent="0.25">
      <c r="A8" s="17" t="s">
        <v>149</v>
      </c>
      <c r="B8" s="59">
        <v>8</v>
      </c>
      <c r="C8" s="59">
        <v>-4</v>
      </c>
      <c r="D8" s="59"/>
      <c r="E8" s="35"/>
      <c r="F8" s="35"/>
      <c r="G8" s="63">
        <f t="shared" si="0"/>
        <v>4</v>
      </c>
    </row>
    <row r="9" spans="1:15" x14ac:dyDescent="0.25">
      <c r="A9" s="17" t="s">
        <v>150</v>
      </c>
      <c r="B9" s="59">
        <v>50</v>
      </c>
      <c r="C9" s="59"/>
      <c r="D9" s="59"/>
      <c r="E9" s="35">
        <v>-23</v>
      </c>
      <c r="F9" s="35"/>
      <c r="G9" s="63">
        <f t="shared" si="0"/>
        <v>27</v>
      </c>
    </row>
    <row r="10" spans="1:15" x14ac:dyDescent="0.25">
      <c r="A10" s="17" t="s">
        <v>3</v>
      </c>
      <c r="B10" s="59">
        <v>60</v>
      </c>
      <c r="C10" s="59">
        <v>-33</v>
      </c>
      <c r="D10" s="59"/>
      <c r="E10" s="35">
        <v>-13</v>
      </c>
      <c r="F10" s="35"/>
      <c r="G10" s="63">
        <f t="shared" si="0"/>
        <v>14</v>
      </c>
    </row>
    <row r="11" spans="1:15" x14ac:dyDescent="0.25">
      <c r="A11" s="17" t="s">
        <v>151</v>
      </c>
      <c r="B11" s="59">
        <v>46</v>
      </c>
      <c r="C11" s="59">
        <v>-18</v>
      </c>
      <c r="D11" s="59">
        <v>-1</v>
      </c>
      <c r="E11" s="35">
        <v>-20</v>
      </c>
      <c r="F11" s="35"/>
      <c r="G11" s="63">
        <f t="shared" si="0"/>
        <v>7</v>
      </c>
      <c r="H11" s="104" t="s">
        <v>371</v>
      </c>
      <c r="I11" s="104"/>
      <c r="J11" s="104"/>
      <c r="K11" s="104"/>
      <c r="L11" s="104"/>
      <c r="M11" s="104"/>
      <c r="N11" s="104"/>
      <c r="O11" s="104"/>
    </row>
    <row r="12" spans="1:15" x14ac:dyDescent="0.25">
      <c r="A12" s="17" t="s">
        <v>152</v>
      </c>
      <c r="B12" s="59">
        <v>2</v>
      </c>
      <c r="C12" s="59"/>
      <c r="D12" s="59"/>
      <c r="E12" s="35">
        <v>-2</v>
      </c>
      <c r="F12" s="35"/>
      <c r="G12" s="63">
        <f t="shared" si="0"/>
        <v>0</v>
      </c>
    </row>
    <row r="13" spans="1:15" x14ac:dyDescent="0.25">
      <c r="A13" s="17" t="s">
        <v>153</v>
      </c>
      <c r="B13" s="59">
        <v>120</v>
      </c>
      <c r="C13" s="59"/>
      <c r="D13" s="59"/>
      <c r="E13" s="35"/>
      <c r="F13" s="35"/>
      <c r="G13" s="63">
        <f t="shared" si="0"/>
        <v>120</v>
      </c>
    </row>
    <row r="14" spans="1:15" x14ac:dyDescent="0.25">
      <c r="A14" s="17" t="s">
        <v>15</v>
      </c>
      <c r="B14" s="59">
        <v>1500</v>
      </c>
      <c r="C14" s="59"/>
      <c r="D14" s="59"/>
      <c r="E14" s="35"/>
      <c r="F14" s="35"/>
      <c r="G14" s="63">
        <f t="shared" si="0"/>
        <v>1500</v>
      </c>
    </row>
    <row r="15" spans="1:15" x14ac:dyDescent="0.25">
      <c r="A15" s="17" t="s">
        <v>8</v>
      </c>
      <c r="B15" s="59">
        <v>5</v>
      </c>
      <c r="C15" s="59"/>
      <c r="D15" s="59"/>
      <c r="E15" s="35"/>
      <c r="F15" s="35"/>
      <c r="G15" s="63">
        <f t="shared" si="0"/>
        <v>5</v>
      </c>
    </row>
    <row r="16" spans="1:15" x14ac:dyDescent="0.25">
      <c r="A16" s="17" t="s">
        <v>154</v>
      </c>
      <c r="B16" s="59">
        <v>2</v>
      </c>
      <c r="C16" s="59">
        <v>-1</v>
      </c>
      <c r="D16" s="59"/>
      <c r="E16" s="35"/>
      <c r="F16" s="35"/>
      <c r="G16" s="63">
        <f t="shared" si="0"/>
        <v>1</v>
      </c>
    </row>
    <row r="17" spans="1:7" x14ac:dyDescent="0.25">
      <c r="A17" s="17" t="s">
        <v>6</v>
      </c>
      <c r="B17" s="59">
        <v>8</v>
      </c>
      <c r="C17" s="59"/>
      <c r="D17" s="59"/>
      <c r="E17" s="35"/>
      <c r="F17" s="35"/>
      <c r="G17" s="63">
        <f t="shared" si="0"/>
        <v>8</v>
      </c>
    </row>
    <row r="18" spans="1:7" x14ac:dyDescent="0.25">
      <c r="A18" s="17" t="s">
        <v>38</v>
      </c>
      <c r="B18" s="59">
        <v>80</v>
      </c>
      <c r="C18" s="59">
        <v>-52</v>
      </c>
      <c r="D18" s="59"/>
      <c r="E18" s="35"/>
      <c r="F18" s="35"/>
      <c r="G18" s="63">
        <f t="shared" si="0"/>
        <v>28</v>
      </c>
    </row>
    <row r="19" spans="1:7" x14ac:dyDescent="0.25">
      <c r="A19" s="17" t="s">
        <v>78</v>
      </c>
      <c r="B19" s="59">
        <v>40</v>
      </c>
      <c r="C19" s="59"/>
      <c r="D19" s="59"/>
      <c r="E19" s="35"/>
      <c r="F19" s="35"/>
      <c r="G19" s="63">
        <f t="shared" si="0"/>
        <v>40</v>
      </c>
    </row>
    <row r="20" spans="1:7" x14ac:dyDescent="0.25">
      <c r="A20" s="17" t="s">
        <v>155</v>
      </c>
      <c r="B20" s="59">
        <v>700</v>
      </c>
      <c r="C20" s="59"/>
      <c r="D20" s="59"/>
      <c r="E20" s="35"/>
      <c r="F20" s="35"/>
      <c r="G20" s="63">
        <f t="shared" si="0"/>
        <v>700</v>
      </c>
    </row>
    <row r="21" spans="1:7" x14ac:dyDescent="0.25">
      <c r="A21" s="60" t="s">
        <v>125</v>
      </c>
      <c r="B21" s="11"/>
      <c r="C21" s="11" t="s">
        <v>372</v>
      </c>
      <c r="D21" s="11"/>
      <c r="E21" s="11">
        <v>0.34722222222222221</v>
      </c>
      <c r="F21" s="11"/>
      <c r="G21" s="13"/>
    </row>
    <row r="22" spans="1:7" x14ac:dyDescent="0.25">
      <c r="A22" s="60" t="s">
        <v>126</v>
      </c>
      <c r="B22" s="61"/>
      <c r="C22" s="61">
        <v>80000</v>
      </c>
      <c r="D22" s="61"/>
      <c r="E22" s="61">
        <v>80000</v>
      </c>
      <c r="F22" s="61"/>
      <c r="G22" s="16">
        <f>SUM(C22:E22)</f>
        <v>160000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D75B-67D9-452F-A2BC-B3F410F22806}">
  <dimension ref="A1:V35"/>
  <sheetViews>
    <sheetView workbookViewId="0">
      <pane xSplit="1" topLeftCell="H1" activePane="topRight" state="frozen"/>
      <selection pane="topRight" sqref="A1:Q34"/>
    </sheetView>
  </sheetViews>
  <sheetFormatPr baseColWidth="10" defaultRowHeight="15" x14ac:dyDescent="0.25"/>
  <cols>
    <col min="1" max="1" width="34.140625" customWidth="1"/>
    <col min="17" max="17" width="13.5703125" customWidth="1"/>
  </cols>
  <sheetData>
    <row r="1" spans="1:19" ht="18.75" x14ac:dyDescent="0.3">
      <c r="A1" s="201" t="s">
        <v>156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7"/>
    </row>
    <row r="2" spans="1:19" ht="18.75" x14ac:dyDescent="0.3">
      <c r="A2" s="206" t="s">
        <v>157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5"/>
    </row>
    <row r="3" spans="1:19" ht="18.75" x14ac:dyDescent="0.3">
      <c r="A3" s="206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5"/>
    </row>
    <row r="4" spans="1:19" x14ac:dyDescent="0.25">
      <c r="A4" s="1" t="s">
        <v>102</v>
      </c>
      <c r="B4" s="2" t="s">
        <v>56</v>
      </c>
      <c r="C4" s="2">
        <v>13787</v>
      </c>
      <c r="D4" s="2">
        <v>13789</v>
      </c>
      <c r="E4" s="2">
        <v>13791</v>
      </c>
      <c r="F4" s="2">
        <v>13795</v>
      </c>
      <c r="G4" s="2">
        <v>13793</v>
      </c>
      <c r="H4" s="2">
        <v>13799</v>
      </c>
      <c r="I4" s="139">
        <v>13396</v>
      </c>
      <c r="J4" s="2">
        <v>13729</v>
      </c>
      <c r="K4" s="139">
        <v>13430</v>
      </c>
      <c r="L4" s="139">
        <v>13445</v>
      </c>
      <c r="M4" s="139">
        <v>13446</v>
      </c>
      <c r="N4" s="139">
        <v>13448</v>
      </c>
      <c r="O4" s="139">
        <v>13743</v>
      </c>
      <c r="P4" s="139">
        <v>13451</v>
      </c>
      <c r="Q4" s="2" t="s">
        <v>1</v>
      </c>
    </row>
    <row r="5" spans="1:19" x14ac:dyDescent="0.25">
      <c r="A5" s="4" t="s">
        <v>0</v>
      </c>
      <c r="B5" s="5">
        <v>46173</v>
      </c>
      <c r="C5" s="5">
        <v>46182</v>
      </c>
      <c r="D5" s="5">
        <v>46182</v>
      </c>
      <c r="E5" s="5">
        <v>46182</v>
      </c>
      <c r="F5" s="5">
        <v>46183</v>
      </c>
      <c r="G5" s="5">
        <v>46183</v>
      </c>
      <c r="H5" s="5">
        <v>46185</v>
      </c>
      <c r="I5" s="5">
        <v>46185</v>
      </c>
      <c r="J5" s="5">
        <v>46195</v>
      </c>
      <c r="K5" s="5">
        <v>46195</v>
      </c>
      <c r="L5" s="5">
        <v>46199</v>
      </c>
      <c r="M5" s="5">
        <v>46199</v>
      </c>
      <c r="N5" s="5">
        <v>46199</v>
      </c>
      <c r="O5" s="5">
        <v>46200</v>
      </c>
      <c r="P5" s="5">
        <v>46200</v>
      </c>
      <c r="Q5" s="5">
        <v>46203</v>
      </c>
      <c r="R5" t="s">
        <v>397</v>
      </c>
    </row>
    <row r="6" spans="1:19" x14ac:dyDescent="0.25">
      <c r="A6" s="17" t="s">
        <v>143</v>
      </c>
      <c r="B6" s="8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>
        <v>-2</v>
      </c>
      <c r="Q6" s="10">
        <f>SUM(B6:P6)</f>
        <v>0</v>
      </c>
      <c r="R6">
        <v>20</v>
      </c>
      <c r="S6">
        <f>Q6*R6</f>
        <v>0</v>
      </c>
    </row>
    <row r="7" spans="1:19" x14ac:dyDescent="0.25">
      <c r="A7" s="17" t="s">
        <v>41</v>
      </c>
      <c r="B7" s="8">
        <v>2</v>
      </c>
      <c r="C7" s="9"/>
      <c r="D7" s="9"/>
      <c r="E7" s="9"/>
      <c r="F7" s="9"/>
      <c r="G7" s="9"/>
      <c r="H7" s="9"/>
      <c r="I7" s="9"/>
      <c r="J7" s="9"/>
      <c r="K7" s="9"/>
      <c r="L7" s="9"/>
      <c r="P7" s="126">
        <v>-2</v>
      </c>
      <c r="Q7" s="10">
        <f t="shared" ref="Q7:Q32" si="0">SUM(B7:P7)</f>
        <v>0</v>
      </c>
      <c r="S7">
        <f t="shared" ref="S7:S32" si="1">Q7*R7</f>
        <v>0</v>
      </c>
    </row>
    <row r="8" spans="1:19" x14ac:dyDescent="0.25">
      <c r="A8" s="17" t="s">
        <v>49</v>
      </c>
      <c r="B8" s="8">
        <v>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>
        <v>-2</v>
      </c>
      <c r="Q8" s="10">
        <f t="shared" si="0"/>
        <v>0</v>
      </c>
      <c r="R8">
        <v>19</v>
      </c>
      <c r="S8">
        <f t="shared" si="1"/>
        <v>0</v>
      </c>
    </row>
    <row r="9" spans="1:19" ht="15" customHeight="1" x14ac:dyDescent="0.25">
      <c r="A9" s="17" t="s">
        <v>13</v>
      </c>
      <c r="B9" s="8"/>
      <c r="C9" s="137">
        <v>18</v>
      </c>
      <c r="D9" s="137">
        <v>20</v>
      </c>
      <c r="E9" s="137">
        <v>48</v>
      </c>
      <c r="F9" s="137">
        <v>14</v>
      </c>
      <c r="G9" s="137">
        <v>40</v>
      </c>
      <c r="H9" s="9"/>
      <c r="I9" s="136">
        <v>-12</v>
      </c>
      <c r="J9" s="9"/>
      <c r="K9" s="9"/>
      <c r="L9" s="136">
        <v>-14</v>
      </c>
      <c r="M9" s="136">
        <v>-26</v>
      </c>
      <c r="N9" s="136">
        <v>-32</v>
      </c>
      <c r="O9" s="136">
        <v>-32</v>
      </c>
      <c r="P9" s="136">
        <v>-23</v>
      </c>
      <c r="Q9" s="97">
        <f t="shared" si="0"/>
        <v>1</v>
      </c>
      <c r="R9">
        <v>26</v>
      </c>
      <c r="S9">
        <f t="shared" si="1"/>
        <v>26</v>
      </c>
    </row>
    <row r="10" spans="1:19" ht="15" customHeight="1" x14ac:dyDescent="0.25">
      <c r="A10" s="17" t="s">
        <v>212</v>
      </c>
      <c r="B10" s="8"/>
      <c r="C10" s="137">
        <v>30</v>
      </c>
      <c r="D10" s="137">
        <v>40</v>
      </c>
      <c r="E10" s="137">
        <v>20</v>
      </c>
      <c r="F10" s="137">
        <v>10</v>
      </c>
      <c r="G10" s="9"/>
      <c r="H10" s="9"/>
      <c r="I10" s="9"/>
      <c r="J10" s="9"/>
      <c r="K10" s="136">
        <v>-19</v>
      </c>
      <c r="L10" s="135">
        <v>-20</v>
      </c>
      <c r="M10" s="134">
        <v>-17</v>
      </c>
      <c r="N10" s="9">
        <v>-12</v>
      </c>
      <c r="O10" s="97">
        <v>-20</v>
      </c>
      <c r="P10" s="9">
        <v>-12</v>
      </c>
      <c r="Q10" s="10">
        <f t="shared" si="0"/>
        <v>0</v>
      </c>
      <c r="R10">
        <v>17.5</v>
      </c>
      <c r="S10">
        <f t="shared" si="1"/>
        <v>0</v>
      </c>
    </row>
    <row r="11" spans="1:19" ht="15" customHeight="1" x14ac:dyDescent="0.25">
      <c r="A11" s="17" t="s">
        <v>14</v>
      </c>
      <c r="B11" s="8"/>
      <c r="C11" s="9"/>
      <c r="D11" s="9"/>
      <c r="E11" s="9"/>
      <c r="F11" s="9"/>
      <c r="G11" s="137">
        <v>20</v>
      </c>
      <c r="H11" s="9"/>
      <c r="I11" s="9"/>
      <c r="J11" s="9"/>
      <c r="K11" s="9"/>
      <c r="L11" s="135">
        <v>-4</v>
      </c>
      <c r="M11" s="134">
        <v>-7</v>
      </c>
      <c r="N11" s="9"/>
      <c r="O11" s="9"/>
      <c r="P11" s="9">
        <v>-9</v>
      </c>
      <c r="Q11" s="10">
        <f t="shared" si="0"/>
        <v>0</v>
      </c>
      <c r="R11">
        <v>18.5</v>
      </c>
      <c r="S11">
        <f t="shared" si="1"/>
        <v>0</v>
      </c>
    </row>
    <row r="12" spans="1:19" ht="15" customHeight="1" x14ac:dyDescent="0.25">
      <c r="A12" s="17" t="s">
        <v>12</v>
      </c>
      <c r="B12" s="8"/>
      <c r="C12" s="137">
        <v>21</v>
      </c>
      <c r="D12" s="137">
        <v>13</v>
      </c>
      <c r="E12" s="9"/>
      <c r="F12" s="9"/>
      <c r="G12" s="9"/>
      <c r="H12" s="9"/>
      <c r="I12" s="9"/>
      <c r="J12" s="9"/>
      <c r="K12" s="136">
        <v>-2</v>
      </c>
      <c r="L12" s="9">
        <v>-3</v>
      </c>
      <c r="M12" s="134">
        <v>-5</v>
      </c>
      <c r="N12" s="9">
        <v>-8</v>
      </c>
      <c r="O12" s="97">
        <v>-8</v>
      </c>
      <c r="P12" s="9">
        <v>-8</v>
      </c>
      <c r="Q12" s="10">
        <f t="shared" si="0"/>
        <v>0</v>
      </c>
      <c r="R12">
        <v>29</v>
      </c>
      <c r="S12">
        <f t="shared" si="1"/>
        <v>0</v>
      </c>
    </row>
    <row r="13" spans="1:19" ht="15" customHeight="1" x14ac:dyDescent="0.25">
      <c r="A13" s="17" t="s">
        <v>213</v>
      </c>
      <c r="B13" s="8"/>
      <c r="C13" s="137">
        <v>200</v>
      </c>
      <c r="D13" s="137">
        <v>400</v>
      </c>
      <c r="E13" s="9"/>
      <c r="F13" s="137">
        <v>500</v>
      </c>
      <c r="G13" s="137">
        <v>400</v>
      </c>
      <c r="H13" s="9"/>
      <c r="I13" s="9"/>
      <c r="J13" s="9"/>
      <c r="K13" s="136">
        <v>-478</v>
      </c>
      <c r="L13" s="9"/>
      <c r="M13" s="9"/>
      <c r="N13" s="9"/>
      <c r="O13" s="9"/>
      <c r="P13" s="9">
        <v>-1021</v>
      </c>
      <c r="Q13" s="97">
        <f t="shared" si="0"/>
        <v>1</v>
      </c>
      <c r="R13">
        <v>0.1</v>
      </c>
      <c r="S13">
        <f t="shared" si="1"/>
        <v>0.1</v>
      </c>
    </row>
    <row r="14" spans="1:19" ht="15" customHeight="1" x14ac:dyDescent="0.25">
      <c r="A14" s="17" t="s">
        <v>158</v>
      </c>
      <c r="B14" s="8"/>
      <c r="C14" s="137">
        <v>1</v>
      </c>
      <c r="D14" s="137">
        <v>2</v>
      </c>
      <c r="E14" s="9"/>
      <c r="F14" s="137">
        <v>2</v>
      </c>
      <c r="G14" s="137">
        <v>2</v>
      </c>
      <c r="H14" s="9"/>
      <c r="I14" s="9"/>
      <c r="J14" s="9"/>
      <c r="K14" s="136">
        <v>-3</v>
      </c>
      <c r="L14" s="9"/>
      <c r="M14" s="9"/>
      <c r="N14" s="9"/>
      <c r="O14" s="9"/>
      <c r="P14" s="9">
        <v>-4</v>
      </c>
      <c r="Q14" s="10">
        <f>SUM(C14:P14)</f>
        <v>0</v>
      </c>
      <c r="R14">
        <v>5</v>
      </c>
      <c r="S14">
        <f t="shared" si="1"/>
        <v>0</v>
      </c>
    </row>
    <row r="15" spans="1:19" ht="15" customHeight="1" x14ac:dyDescent="0.25">
      <c r="A15" s="17" t="s">
        <v>33</v>
      </c>
      <c r="B15" s="8"/>
      <c r="C15" s="9"/>
      <c r="D15" s="137">
        <v>4</v>
      </c>
      <c r="E15" s="9"/>
      <c r="F15" s="9"/>
      <c r="G15" s="137">
        <v>31</v>
      </c>
      <c r="H15" s="137">
        <v>5</v>
      </c>
      <c r="I15" s="9"/>
      <c r="J15" s="9"/>
      <c r="K15" s="136">
        <v>-22</v>
      </c>
      <c r="L15" s="9">
        <v>-2</v>
      </c>
      <c r="M15" s="134">
        <v>-3</v>
      </c>
      <c r="N15" s="9">
        <v>-4</v>
      </c>
      <c r="O15" s="97">
        <v>-2</v>
      </c>
      <c r="P15" s="9">
        <v>-7</v>
      </c>
      <c r="Q15" s="10">
        <f t="shared" si="0"/>
        <v>0</v>
      </c>
      <c r="R15">
        <v>7</v>
      </c>
      <c r="S15">
        <f t="shared" si="1"/>
        <v>0</v>
      </c>
    </row>
    <row r="16" spans="1:19" ht="15" customHeight="1" x14ac:dyDescent="0.25">
      <c r="A16" s="17" t="s">
        <v>19</v>
      </c>
      <c r="B16" s="8"/>
      <c r="C16" s="9"/>
      <c r="D16" s="9"/>
      <c r="E16" s="137">
        <v>8</v>
      </c>
      <c r="F16" s="9"/>
      <c r="G16" s="9"/>
      <c r="H16" s="9"/>
      <c r="I16" s="9"/>
      <c r="J16" s="9"/>
      <c r="K16" s="9"/>
      <c r="L16" s="9"/>
      <c r="M16" s="134">
        <v>-4</v>
      </c>
      <c r="N16" s="9">
        <v>-1</v>
      </c>
      <c r="O16" s="9"/>
      <c r="P16" s="9">
        <v>-3</v>
      </c>
      <c r="Q16" s="10">
        <f t="shared" si="0"/>
        <v>0</v>
      </c>
      <c r="R16">
        <v>15</v>
      </c>
      <c r="S16">
        <f t="shared" si="1"/>
        <v>0</v>
      </c>
    </row>
    <row r="17" spans="1:22" ht="15" customHeight="1" x14ac:dyDescent="0.25">
      <c r="A17" s="17" t="s">
        <v>232</v>
      </c>
      <c r="B17" s="8"/>
      <c r="C17" s="9"/>
      <c r="D17" s="9"/>
      <c r="E17" s="9"/>
      <c r="F17" s="137">
        <v>8</v>
      </c>
      <c r="G17" s="9"/>
      <c r="H17" s="9"/>
      <c r="I17" s="136">
        <v>-3</v>
      </c>
      <c r="J17" s="9"/>
      <c r="K17" s="136">
        <v>-1</v>
      </c>
      <c r="L17" s="9"/>
      <c r="M17" s="78">
        <v>-1</v>
      </c>
      <c r="N17" s="9">
        <v>-1</v>
      </c>
      <c r="O17" s="97">
        <v>-1</v>
      </c>
      <c r="P17" s="9">
        <v>-1</v>
      </c>
      <c r="Q17" s="10">
        <f t="shared" si="0"/>
        <v>0</v>
      </c>
      <c r="R17">
        <v>14</v>
      </c>
      <c r="S17">
        <f t="shared" si="1"/>
        <v>0</v>
      </c>
      <c r="V17" t="s">
        <v>231</v>
      </c>
    </row>
    <row r="18" spans="1:22" ht="15" customHeight="1" x14ac:dyDescent="0.25">
      <c r="A18" s="17" t="s">
        <v>233</v>
      </c>
      <c r="B18" s="8"/>
      <c r="C18" s="9"/>
      <c r="D18" s="9"/>
      <c r="E18" s="9"/>
      <c r="F18" s="137">
        <v>8</v>
      </c>
      <c r="G18" s="9"/>
      <c r="H18" s="9"/>
      <c r="I18" s="9"/>
      <c r="J18" s="9"/>
      <c r="K18" s="9"/>
      <c r="L18" s="9"/>
      <c r="M18" s="134">
        <v>-3</v>
      </c>
      <c r="N18" s="9">
        <v>-1</v>
      </c>
      <c r="O18" s="9"/>
      <c r="P18" s="9">
        <v>-4</v>
      </c>
      <c r="Q18" s="10">
        <f t="shared" si="0"/>
        <v>0</v>
      </c>
      <c r="R18">
        <v>27</v>
      </c>
      <c r="S18">
        <f t="shared" si="1"/>
        <v>0</v>
      </c>
    </row>
    <row r="19" spans="1:22" ht="14.25" customHeight="1" x14ac:dyDescent="0.25">
      <c r="A19" s="17" t="s">
        <v>153</v>
      </c>
      <c r="B19" s="8"/>
      <c r="C19" s="9"/>
      <c r="D19" s="9"/>
      <c r="E19" s="9"/>
      <c r="F19" s="137">
        <v>30</v>
      </c>
      <c r="G19" s="9"/>
      <c r="H19" s="9"/>
      <c r="I19" s="9"/>
      <c r="J19" s="9"/>
      <c r="K19" s="136">
        <v>-11</v>
      </c>
      <c r="L19" s="9"/>
      <c r="M19" s="9"/>
      <c r="N19" s="9"/>
      <c r="O19" s="9"/>
      <c r="P19" s="9">
        <v>-19</v>
      </c>
      <c r="Q19" s="10">
        <f t="shared" si="0"/>
        <v>0</v>
      </c>
      <c r="R19">
        <v>0.2</v>
      </c>
      <c r="S19">
        <f t="shared" si="1"/>
        <v>0</v>
      </c>
    </row>
    <row r="20" spans="1:22" ht="14.25" customHeight="1" x14ac:dyDescent="0.25">
      <c r="A20" s="17" t="s">
        <v>6</v>
      </c>
      <c r="B20" s="8"/>
      <c r="C20" s="9"/>
      <c r="D20" s="9"/>
      <c r="E20" s="9"/>
      <c r="F20" s="137">
        <v>20</v>
      </c>
      <c r="G20" s="9"/>
      <c r="H20" s="9"/>
      <c r="I20" s="9"/>
      <c r="J20" s="137">
        <v>18</v>
      </c>
      <c r="K20" s="124"/>
      <c r="L20" s="124">
        <v>-28</v>
      </c>
      <c r="M20" s="124"/>
      <c r="N20" s="124">
        <v>-4</v>
      </c>
      <c r="O20" s="124"/>
      <c r="P20" s="124">
        <v>-6</v>
      </c>
      <c r="Q20" s="10">
        <f t="shared" si="0"/>
        <v>0</v>
      </c>
      <c r="R20">
        <v>3</v>
      </c>
      <c r="S20">
        <f t="shared" si="1"/>
        <v>0</v>
      </c>
    </row>
    <row r="21" spans="1:22" ht="14.25" customHeight="1" x14ac:dyDescent="0.25">
      <c r="A21" s="17" t="s">
        <v>234</v>
      </c>
      <c r="B21" s="8"/>
      <c r="C21" s="9"/>
      <c r="D21" s="9"/>
      <c r="E21" s="9"/>
      <c r="F21" s="137">
        <v>8</v>
      </c>
      <c r="G21" s="9"/>
      <c r="H21" s="137">
        <v>3</v>
      </c>
      <c r="I21" s="9"/>
      <c r="J21" s="124"/>
      <c r="K21" s="124"/>
      <c r="L21" s="124">
        <v>-3</v>
      </c>
      <c r="M21" s="134">
        <v>-1</v>
      </c>
      <c r="N21" s="9">
        <v>-3</v>
      </c>
      <c r="O21" s="124"/>
      <c r="P21" s="124">
        <v>-4</v>
      </c>
      <c r="Q21" s="10">
        <f t="shared" si="0"/>
        <v>0</v>
      </c>
      <c r="R21">
        <v>9.5</v>
      </c>
      <c r="S21">
        <f t="shared" si="1"/>
        <v>0</v>
      </c>
    </row>
    <row r="22" spans="1:22" ht="14.25" customHeight="1" x14ac:dyDescent="0.25">
      <c r="A22" s="17" t="s">
        <v>39</v>
      </c>
      <c r="B22" s="8"/>
      <c r="C22" s="9"/>
      <c r="D22" s="9"/>
      <c r="E22" s="9"/>
      <c r="F22" s="137">
        <v>8</v>
      </c>
      <c r="G22" s="9"/>
      <c r="H22" s="9"/>
      <c r="I22" s="136">
        <v>-5</v>
      </c>
      <c r="J22" s="124"/>
      <c r="K22" s="124"/>
      <c r="L22" s="124"/>
      <c r="M22" s="134">
        <v>-1</v>
      </c>
      <c r="N22" s="124"/>
      <c r="O22" s="97">
        <v>-1</v>
      </c>
      <c r="P22" s="124">
        <v>-1</v>
      </c>
      <c r="Q22" s="10">
        <f t="shared" si="0"/>
        <v>0</v>
      </c>
      <c r="R22">
        <v>6</v>
      </c>
      <c r="S22">
        <f t="shared" si="1"/>
        <v>0</v>
      </c>
    </row>
    <row r="23" spans="1:22" ht="14.25" customHeight="1" x14ac:dyDescent="0.25">
      <c r="A23" s="17" t="s">
        <v>18</v>
      </c>
      <c r="B23" s="8"/>
      <c r="C23" s="9"/>
      <c r="D23" s="9"/>
      <c r="E23" s="9"/>
      <c r="F23" s="137">
        <v>6</v>
      </c>
      <c r="G23" s="9"/>
      <c r="H23" s="9"/>
      <c r="I23" s="9"/>
      <c r="J23" s="124"/>
      <c r="K23" s="124"/>
      <c r="L23" s="124"/>
      <c r="M23" s="134">
        <v>-3</v>
      </c>
      <c r="N23" s="124"/>
      <c r="O23" s="124"/>
      <c r="P23" s="124">
        <v>-3</v>
      </c>
      <c r="Q23" s="10">
        <f t="shared" si="0"/>
        <v>0</v>
      </c>
      <c r="R23">
        <v>25</v>
      </c>
      <c r="S23">
        <f t="shared" si="1"/>
        <v>0</v>
      </c>
    </row>
    <row r="24" spans="1:22" ht="14.25" customHeight="1" x14ac:dyDescent="0.25">
      <c r="A24" s="17" t="s">
        <v>66</v>
      </c>
      <c r="B24" s="8"/>
      <c r="C24" s="9"/>
      <c r="D24" s="9"/>
      <c r="E24" s="9"/>
      <c r="F24" s="9"/>
      <c r="G24" s="9"/>
      <c r="H24" s="137">
        <v>2</v>
      </c>
      <c r="I24" s="9"/>
      <c r="J24" s="138">
        <v>6</v>
      </c>
      <c r="K24" s="125"/>
      <c r="L24" s="125">
        <v>-6</v>
      </c>
      <c r="M24" s="125"/>
      <c r="N24" s="125"/>
      <c r="O24" s="125"/>
      <c r="P24" s="125">
        <v>-2</v>
      </c>
      <c r="Q24" s="10">
        <f t="shared" si="0"/>
        <v>0</v>
      </c>
      <c r="R24">
        <v>7</v>
      </c>
      <c r="S24">
        <f t="shared" si="1"/>
        <v>0</v>
      </c>
    </row>
    <row r="25" spans="1:22" ht="14.25" customHeight="1" x14ac:dyDescent="0.25">
      <c r="A25" s="17" t="s">
        <v>259</v>
      </c>
      <c r="B25" s="8"/>
      <c r="C25" s="9"/>
      <c r="D25" s="9"/>
      <c r="E25" s="9"/>
      <c r="F25" s="9"/>
      <c r="G25" s="9"/>
      <c r="H25" s="137">
        <v>1</v>
      </c>
      <c r="I25" s="9"/>
      <c r="J25" s="137">
        <v>3</v>
      </c>
      <c r="K25" s="124"/>
      <c r="L25" s="124">
        <v>-4</v>
      </c>
      <c r="M25" s="124"/>
      <c r="N25" s="124"/>
      <c r="O25" s="124"/>
      <c r="P25" s="124"/>
      <c r="Q25" s="10">
        <f t="shared" si="0"/>
        <v>0</v>
      </c>
      <c r="R25">
        <v>9</v>
      </c>
      <c r="S25">
        <f t="shared" si="1"/>
        <v>0</v>
      </c>
    </row>
    <row r="26" spans="1:22" ht="14.25" customHeight="1" x14ac:dyDescent="0.25">
      <c r="A26" s="17" t="s">
        <v>260</v>
      </c>
      <c r="B26" s="8"/>
      <c r="C26" s="9"/>
      <c r="D26" s="9"/>
      <c r="E26" s="9"/>
      <c r="F26" s="9"/>
      <c r="G26" s="9"/>
      <c r="H26" s="137">
        <v>2</v>
      </c>
      <c r="I26" s="9"/>
      <c r="J26" s="137">
        <v>12</v>
      </c>
      <c r="K26" s="124"/>
      <c r="L26" s="124">
        <v>-12</v>
      </c>
      <c r="M26" s="124"/>
      <c r="N26" s="124"/>
      <c r="O26" s="97">
        <v>-2</v>
      </c>
      <c r="P26" s="124"/>
      <c r="Q26" s="10">
        <f t="shared" si="0"/>
        <v>0</v>
      </c>
      <c r="R26">
        <v>11</v>
      </c>
      <c r="S26">
        <f t="shared" si="1"/>
        <v>0</v>
      </c>
    </row>
    <row r="27" spans="1:22" ht="14.25" customHeight="1" x14ac:dyDescent="0.25">
      <c r="A27" s="17" t="s">
        <v>24</v>
      </c>
      <c r="B27" s="8"/>
      <c r="C27" s="9"/>
      <c r="D27" s="9"/>
      <c r="E27" s="9"/>
      <c r="F27" s="9"/>
      <c r="G27" s="9"/>
      <c r="H27" s="137">
        <v>2</v>
      </c>
      <c r="I27" s="9"/>
      <c r="J27" s="124"/>
      <c r="K27" s="124"/>
      <c r="L27" s="124"/>
      <c r="M27" s="124"/>
      <c r="N27" s="124"/>
      <c r="O27" s="97">
        <v>-2</v>
      </c>
      <c r="P27" s="124"/>
      <c r="Q27" s="10">
        <f t="shared" si="0"/>
        <v>0</v>
      </c>
      <c r="R27">
        <v>13.5</v>
      </c>
      <c r="S27">
        <f t="shared" si="1"/>
        <v>0</v>
      </c>
    </row>
    <row r="28" spans="1:22" ht="14.25" customHeight="1" x14ac:dyDescent="0.25">
      <c r="A28" s="17" t="s">
        <v>261</v>
      </c>
      <c r="B28" s="8"/>
      <c r="C28" s="9"/>
      <c r="D28" s="9"/>
      <c r="E28" s="9"/>
      <c r="F28" s="9"/>
      <c r="G28" s="9"/>
      <c r="H28" s="137">
        <v>2</v>
      </c>
      <c r="I28" s="9"/>
      <c r="J28" s="137">
        <v>12</v>
      </c>
      <c r="K28" s="124"/>
      <c r="L28" s="9">
        <v>-13</v>
      </c>
      <c r="M28" s="134">
        <v>-1</v>
      </c>
      <c r="N28" s="124"/>
      <c r="O28" s="124"/>
      <c r="P28" s="124"/>
      <c r="Q28" s="10">
        <f t="shared" si="0"/>
        <v>0</v>
      </c>
      <c r="R28">
        <v>18.5</v>
      </c>
      <c r="S28">
        <f t="shared" si="1"/>
        <v>0</v>
      </c>
    </row>
    <row r="29" spans="1:22" ht="14.25" customHeight="1" x14ac:dyDescent="0.25">
      <c r="A29" s="17" t="s">
        <v>360</v>
      </c>
      <c r="B29" s="8"/>
      <c r="C29" s="9"/>
      <c r="D29" s="9"/>
      <c r="E29" s="9"/>
      <c r="F29" s="9"/>
      <c r="G29" s="9"/>
      <c r="H29" s="9"/>
      <c r="I29" s="9"/>
      <c r="J29" s="137">
        <v>2</v>
      </c>
      <c r="K29" s="124"/>
      <c r="L29" s="124">
        <v>-2</v>
      </c>
      <c r="M29" s="124"/>
      <c r="N29" s="124"/>
      <c r="O29" s="124"/>
      <c r="P29" s="124"/>
      <c r="Q29" s="10">
        <f t="shared" si="0"/>
        <v>0</v>
      </c>
      <c r="R29">
        <v>8</v>
      </c>
      <c r="S29">
        <f t="shared" si="1"/>
        <v>0</v>
      </c>
    </row>
    <row r="30" spans="1:22" ht="14.25" customHeight="1" x14ac:dyDescent="0.25">
      <c r="A30" s="17" t="s">
        <v>359</v>
      </c>
      <c r="B30" s="8"/>
      <c r="C30" s="9"/>
      <c r="D30" s="9"/>
      <c r="E30" s="9"/>
      <c r="F30" s="9"/>
      <c r="G30" s="9"/>
      <c r="H30" s="9"/>
      <c r="I30" s="9"/>
      <c r="J30" s="137">
        <v>2</v>
      </c>
      <c r="K30" s="124"/>
      <c r="L30" s="124"/>
      <c r="M30" s="124"/>
      <c r="N30" s="124"/>
      <c r="O30" s="97">
        <v>-2</v>
      </c>
      <c r="P30" s="124"/>
      <c r="Q30" s="10">
        <f t="shared" si="0"/>
        <v>0</v>
      </c>
      <c r="R30">
        <v>5</v>
      </c>
      <c r="S30">
        <f t="shared" si="1"/>
        <v>0</v>
      </c>
    </row>
    <row r="31" spans="1:22" ht="14.25" customHeight="1" x14ac:dyDescent="0.25">
      <c r="A31" s="17" t="s">
        <v>7</v>
      </c>
      <c r="B31" s="8"/>
      <c r="C31" s="9"/>
      <c r="D31" s="9"/>
      <c r="E31" s="9"/>
      <c r="F31" s="9"/>
      <c r="G31" s="9"/>
      <c r="H31" s="9"/>
      <c r="I31" s="9"/>
      <c r="J31" s="137">
        <v>12</v>
      </c>
      <c r="K31" s="124"/>
      <c r="L31" s="124">
        <v>-12</v>
      </c>
      <c r="M31" s="124"/>
      <c r="N31" s="124"/>
      <c r="O31" s="124"/>
      <c r="P31" s="124"/>
      <c r="Q31" s="10">
        <f t="shared" si="0"/>
        <v>0</v>
      </c>
      <c r="R31">
        <v>1</v>
      </c>
      <c r="S31">
        <f t="shared" si="1"/>
        <v>0</v>
      </c>
    </row>
    <row r="32" spans="1:22" ht="14.25" customHeight="1" x14ac:dyDescent="0.25">
      <c r="A32" s="17" t="s">
        <v>262</v>
      </c>
      <c r="B32" s="8"/>
      <c r="C32" s="9"/>
      <c r="D32" s="9"/>
      <c r="E32" s="9"/>
      <c r="F32" s="9"/>
      <c r="G32" s="9"/>
      <c r="H32" s="137">
        <v>1</v>
      </c>
      <c r="I32" s="9"/>
      <c r="J32" s="9"/>
      <c r="K32" s="9"/>
      <c r="L32" s="9">
        <v>-1</v>
      </c>
      <c r="M32" s="9"/>
      <c r="N32" s="9"/>
      <c r="O32" s="9"/>
      <c r="P32" s="9"/>
      <c r="Q32" s="10">
        <f t="shared" si="0"/>
        <v>0</v>
      </c>
      <c r="R32">
        <v>13</v>
      </c>
      <c r="S32">
        <f t="shared" si="1"/>
        <v>0</v>
      </c>
    </row>
    <row r="33" spans="1:21" x14ac:dyDescent="0.25">
      <c r="A33" s="4" t="s">
        <v>9</v>
      </c>
      <c r="B33" s="21"/>
      <c r="C33" s="12">
        <v>0.40972222222222221</v>
      </c>
      <c r="D33" s="12">
        <v>0.40972222222222221</v>
      </c>
      <c r="E33" s="12">
        <v>9.7222222222222224E-2</v>
      </c>
      <c r="F33" s="12">
        <v>0.4375</v>
      </c>
      <c r="G33" s="12">
        <v>0.47916666666666669</v>
      </c>
      <c r="H33" s="12">
        <v>0.33333333333333331</v>
      </c>
      <c r="I33" s="12">
        <v>0.31944444444444442</v>
      </c>
      <c r="J33" s="12">
        <v>0.375</v>
      </c>
      <c r="K33" s="12">
        <v>0.14583333333333334</v>
      </c>
      <c r="L33" s="12">
        <v>0.41666666666666669</v>
      </c>
      <c r="M33" s="12">
        <v>6.25E-2</v>
      </c>
      <c r="N33" s="12">
        <v>0.1736111111111111</v>
      </c>
      <c r="O33" s="12">
        <v>0.33194444444444443</v>
      </c>
      <c r="P33" s="12"/>
      <c r="Q33" s="10"/>
    </row>
    <row r="34" spans="1:21" x14ac:dyDescent="0.25">
      <c r="A34" s="4" t="s">
        <v>10</v>
      </c>
      <c r="B34" s="20"/>
      <c r="C34" s="15">
        <v>60000</v>
      </c>
      <c r="D34" s="15">
        <v>60000</v>
      </c>
      <c r="E34" s="15">
        <v>60000</v>
      </c>
      <c r="F34" s="15">
        <v>60000</v>
      </c>
      <c r="G34" s="15"/>
      <c r="H34" s="15">
        <v>40000</v>
      </c>
      <c r="I34" s="15" t="s">
        <v>263</v>
      </c>
      <c r="J34" s="15">
        <v>40000</v>
      </c>
      <c r="K34" s="15">
        <v>40000</v>
      </c>
      <c r="L34" s="15">
        <v>60000</v>
      </c>
      <c r="M34" s="15">
        <v>60000</v>
      </c>
      <c r="N34" s="15">
        <v>60000</v>
      </c>
      <c r="O34" s="15">
        <v>60000</v>
      </c>
      <c r="P34" s="15"/>
      <c r="Q34" s="16">
        <f>SUM(C34:O34)</f>
        <v>600000</v>
      </c>
      <c r="S34">
        <f>SUM(S6:S33)</f>
        <v>26.1</v>
      </c>
      <c r="T34">
        <v>1700</v>
      </c>
      <c r="U34">
        <f>S34/T34</f>
        <v>1.5352941176470588E-2</v>
      </c>
    </row>
    <row r="35" spans="1:21" x14ac:dyDescent="0.25">
      <c r="U35" t="s">
        <v>398</v>
      </c>
    </row>
  </sheetData>
  <mergeCells count="3">
    <mergeCell ref="A1:Q1"/>
    <mergeCell ref="A2:Q2"/>
    <mergeCell ref="A3:Q3"/>
  </mergeCells>
  <pageMargins left="0.70866141732283472" right="0.70866141732283472" top="0.74803149606299213" bottom="0.74803149606299213" header="0.31496062992125984" footer="0.31496062992125984"/>
  <pageSetup paperSize="5" scale="5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0BD3-2DE0-45D3-A100-D15DC0D41263}">
  <dimension ref="A2:H9"/>
  <sheetViews>
    <sheetView workbookViewId="0">
      <selection activeCell="A2" sqref="A2:H9"/>
    </sheetView>
  </sheetViews>
  <sheetFormatPr baseColWidth="10" defaultRowHeight="15" x14ac:dyDescent="0.25"/>
  <cols>
    <col min="1" max="1" width="29.85546875" customWidth="1"/>
  </cols>
  <sheetData>
    <row r="2" spans="1:8" ht="18.75" x14ac:dyDescent="0.3">
      <c r="A2" s="193" t="s">
        <v>355</v>
      </c>
      <c r="B2" s="194"/>
      <c r="C2" s="194"/>
      <c r="D2" s="194"/>
      <c r="E2" s="194"/>
      <c r="F2" s="194"/>
      <c r="G2" s="194"/>
      <c r="H2" s="195"/>
    </row>
    <row r="3" spans="1:8" ht="18.75" x14ac:dyDescent="0.3">
      <c r="A3" s="193" t="s">
        <v>356</v>
      </c>
      <c r="B3" s="194"/>
      <c r="C3" s="194"/>
      <c r="D3" s="194"/>
      <c r="E3" s="194"/>
      <c r="F3" s="194"/>
      <c r="G3" s="194"/>
      <c r="H3" s="195"/>
    </row>
    <row r="4" spans="1:8" x14ac:dyDescent="0.25">
      <c r="A4" s="196" t="s">
        <v>0</v>
      </c>
      <c r="B4" s="62" t="s">
        <v>1</v>
      </c>
      <c r="C4" s="13">
        <v>13429</v>
      </c>
      <c r="D4" s="13"/>
      <c r="E4" s="13"/>
      <c r="F4" s="13"/>
      <c r="G4" s="13"/>
      <c r="H4" s="62" t="s">
        <v>56</v>
      </c>
    </row>
    <row r="5" spans="1:8" x14ac:dyDescent="0.25">
      <c r="A5" s="197"/>
      <c r="B5" s="5">
        <v>46172</v>
      </c>
      <c r="C5" s="5">
        <v>46195</v>
      </c>
      <c r="D5" s="5"/>
      <c r="E5" s="5"/>
      <c r="F5" s="5"/>
      <c r="G5" s="5"/>
      <c r="H5" s="5">
        <v>46172</v>
      </c>
    </row>
    <row r="6" spans="1:8" x14ac:dyDescent="0.25">
      <c r="A6" s="17" t="s">
        <v>7</v>
      </c>
      <c r="B6" s="48">
        <v>31</v>
      </c>
      <c r="C6" s="35">
        <v>-25</v>
      </c>
      <c r="D6" s="35"/>
      <c r="E6" s="35"/>
      <c r="F6" s="35"/>
      <c r="G6" s="35"/>
      <c r="H6" s="10">
        <f>SUM( B6:G6)</f>
        <v>6</v>
      </c>
    </row>
    <row r="7" spans="1:8" x14ac:dyDescent="0.25">
      <c r="A7" s="17" t="s">
        <v>5</v>
      </c>
      <c r="B7" s="48">
        <v>5</v>
      </c>
      <c r="C7" s="35">
        <v>-5</v>
      </c>
      <c r="D7" s="35"/>
      <c r="E7" s="35"/>
      <c r="F7" s="35"/>
      <c r="G7" s="35"/>
      <c r="H7" s="10">
        <f t="shared" ref="H7" si="0">SUM( B7:G7)</f>
        <v>0</v>
      </c>
    </row>
    <row r="8" spans="1:8" x14ac:dyDescent="0.25">
      <c r="A8" s="60" t="s">
        <v>125</v>
      </c>
      <c r="B8" s="119"/>
      <c r="C8" s="11">
        <v>8.3333333333333329E-2</v>
      </c>
      <c r="D8" s="11"/>
      <c r="E8" s="11"/>
      <c r="F8" s="11"/>
      <c r="G8" s="11"/>
      <c r="H8" s="13"/>
    </row>
    <row r="9" spans="1:8" x14ac:dyDescent="0.25">
      <c r="A9" s="60" t="s">
        <v>126</v>
      </c>
      <c r="B9" s="120"/>
      <c r="C9" s="121" t="s">
        <v>357</v>
      </c>
      <c r="D9" s="121"/>
      <c r="E9" s="121"/>
      <c r="F9" s="121"/>
      <c r="G9" s="121"/>
      <c r="H9" s="122"/>
    </row>
  </sheetData>
  <mergeCells count="3">
    <mergeCell ref="A2:H2"/>
    <mergeCell ref="A3:H3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D9C6-13E7-4FD3-9B38-337D60533ED3}">
  <sheetPr>
    <pageSetUpPr fitToPage="1"/>
  </sheetPr>
  <dimension ref="A1:J32"/>
  <sheetViews>
    <sheetView workbookViewId="0">
      <pane xSplit="1" topLeftCell="B1" activePane="topRight" state="frozen"/>
      <selection pane="topRight" sqref="A1:I18"/>
    </sheetView>
  </sheetViews>
  <sheetFormatPr baseColWidth="10" defaultRowHeight="15" x14ac:dyDescent="0.25"/>
  <cols>
    <col min="1" max="1" width="37.5703125" bestFit="1" customWidth="1"/>
    <col min="7" max="8" width="17.85546875" customWidth="1"/>
    <col min="9" max="9" width="16.7109375" customWidth="1"/>
  </cols>
  <sheetData>
    <row r="1" spans="1:10" ht="18.75" x14ac:dyDescent="0.3">
      <c r="A1" s="201" t="s">
        <v>418</v>
      </c>
      <c r="B1" s="202"/>
      <c r="C1" s="202"/>
      <c r="D1" s="202"/>
      <c r="E1" s="202"/>
      <c r="F1" s="202"/>
      <c r="G1" s="202"/>
      <c r="H1" s="202"/>
      <c r="I1" s="203"/>
    </row>
    <row r="2" spans="1:10" ht="18.75" x14ac:dyDescent="0.3">
      <c r="A2" s="206" t="s">
        <v>235</v>
      </c>
      <c r="B2" s="194"/>
      <c r="C2" s="194"/>
      <c r="D2" s="194"/>
      <c r="E2" s="194"/>
      <c r="F2" s="194"/>
      <c r="G2" s="194"/>
      <c r="H2" s="194"/>
      <c r="I2" s="205"/>
    </row>
    <row r="3" spans="1:10" ht="18.75" x14ac:dyDescent="0.3">
      <c r="A3" s="206" t="s">
        <v>419</v>
      </c>
      <c r="B3" s="194"/>
      <c r="C3" s="194"/>
      <c r="D3" s="194"/>
      <c r="E3" s="194"/>
      <c r="F3" s="194"/>
      <c r="G3" s="194"/>
      <c r="H3" s="194"/>
      <c r="I3" s="194"/>
    </row>
    <row r="4" spans="1:10" x14ac:dyDescent="0.25">
      <c r="A4" s="1" t="s">
        <v>0</v>
      </c>
      <c r="B4" s="1" t="s">
        <v>1</v>
      </c>
      <c r="C4" s="2">
        <v>13339</v>
      </c>
      <c r="D4" s="2">
        <v>13344</v>
      </c>
      <c r="E4" s="2">
        <v>13346</v>
      </c>
      <c r="F4" s="2">
        <v>13158</v>
      </c>
      <c r="G4" s="2">
        <v>13339</v>
      </c>
      <c r="H4" s="2">
        <v>13420</v>
      </c>
      <c r="I4" s="75" t="s">
        <v>236</v>
      </c>
    </row>
    <row r="5" spans="1:10" x14ac:dyDescent="0.25">
      <c r="A5" s="4"/>
      <c r="B5" s="76">
        <v>46042</v>
      </c>
      <c r="C5" s="5">
        <v>46056</v>
      </c>
      <c r="D5" s="5">
        <v>46056</v>
      </c>
      <c r="E5" s="5">
        <v>46057</v>
      </c>
      <c r="F5" s="5">
        <v>46088</v>
      </c>
      <c r="G5" s="5">
        <v>46186</v>
      </c>
      <c r="H5" s="5">
        <v>46193</v>
      </c>
      <c r="I5" s="77">
        <v>46089</v>
      </c>
    </row>
    <row r="6" spans="1:10" x14ac:dyDescent="0.25">
      <c r="A6" s="7" t="s">
        <v>237</v>
      </c>
      <c r="B6" s="59">
        <v>2</v>
      </c>
      <c r="C6" s="8">
        <v>20</v>
      </c>
      <c r="D6" s="9">
        <v>4</v>
      </c>
      <c r="E6" s="9"/>
      <c r="F6" s="9">
        <v>-20</v>
      </c>
      <c r="G6" s="9">
        <v>-2</v>
      </c>
      <c r="H6" s="9">
        <v>-4</v>
      </c>
      <c r="I6" s="78">
        <f>SUM(B6:H6)</f>
        <v>0</v>
      </c>
    </row>
    <row r="7" spans="1:10" x14ac:dyDescent="0.25">
      <c r="A7" s="7" t="s">
        <v>41</v>
      </c>
      <c r="B7" s="59">
        <v>1</v>
      </c>
      <c r="C7" s="8">
        <v>20</v>
      </c>
      <c r="D7" s="9">
        <v>4</v>
      </c>
      <c r="E7" s="9"/>
      <c r="F7" s="9">
        <v>-13</v>
      </c>
      <c r="G7" s="9">
        <v>-12</v>
      </c>
      <c r="H7" s="9"/>
      <c r="I7" s="78">
        <f t="shared" ref="I7:I16" si="0">SUM(B7:G7)</f>
        <v>0</v>
      </c>
    </row>
    <row r="8" spans="1:10" x14ac:dyDescent="0.25">
      <c r="A8" s="7" t="s">
        <v>238</v>
      </c>
      <c r="B8" s="59"/>
      <c r="C8" s="8">
        <v>6</v>
      </c>
      <c r="D8" s="9"/>
      <c r="E8" s="9"/>
      <c r="F8" s="9"/>
      <c r="G8" s="9">
        <v>-6</v>
      </c>
      <c r="H8" s="9"/>
      <c r="I8" s="63">
        <f t="shared" si="0"/>
        <v>0</v>
      </c>
    </row>
    <row r="9" spans="1:10" x14ac:dyDescent="0.25">
      <c r="A9" s="7" t="s">
        <v>239</v>
      </c>
      <c r="B9" s="59"/>
      <c r="C9" s="8">
        <v>6</v>
      </c>
      <c r="D9" s="9"/>
      <c r="E9" s="9"/>
      <c r="F9" s="9"/>
      <c r="G9" s="9"/>
      <c r="H9" s="9">
        <v>-5</v>
      </c>
      <c r="I9" s="78">
        <f>SUM(B9:H9)</f>
        <v>1</v>
      </c>
    </row>
    <row r="10" spans="1:10" x14ac:dyDescent="0.25">
      <c r="A10" s="7" t="s">
        <v>240</v>
      </c>
      <c r="B10" s="59"/>
      <c r="C10" s="8">
        <v>4</v>
      </c>
      <c r="D10" s="9"/>
      <c r="E10" s="9"/>
      <c r="F10" s="9"/>
      <c r="G10" s="9"/>
      <c r="H10" s="9">
        <v>-4</v>
      </c>
      <c r="I10" s="78">
        <f>SUM(B10:H10)</f>
        <v>0</v>
      </c>
      <c r="J10" t="s">
        <v>342</v>
      </c>
    </row>
    <row r="11" spans="1:10" x14ac:dyDescent="0.25">
      <c r="A11" s="7" t="s">
        <v>41</v>
      </c>
      <c r="B11" s="59"/>
      <c r="C11" s="8">
        <v>4</v>
      </c>
      <c r="D11" s="9"/>
      <c r="E11" s="9"/>
      <c r="F11" s="9"/>
      <c r="G11" s="9">
        <v>-3</v>
      </c>
      <c r="H11" s="9"/>
      <c r="I11" s="78">
        <f t="shared" si="0"/>
        <v>1</v>
      </c>
    </row>
    <row r="12" spans="1:10" x14ac:dyDescent="0.25">
      <c r="A12" s="7" t="s">
        <v>135</v>
      </c>
      <c r="B12" s="59">
        <v>6</v>
      </c>
      <c r="C12" s="8"/>
      <c r="D12" s="9">
        <v>8</v>
      </c>
      <c r="E12" s="102">
        <v>10</v>
      </c>
      <c r="F12" s="9">
        <v>-8</v>
      </c>
      <c r="G12" s="9">
        <v>-8</v>
      </c>
      <c r="H12" s="9">
        <v>-7</v>
      </c>
      <c r="I12" s="78">
        <f>SUM(B12:H12)</f>
        <v>1</v>
      </c>
    </row>
    <row r="13" spans="1:10" x14ac:dyDescent="0.25">
      <c r="A13" s="79" t="s">
        <v>241</v>
      </c>
      <c r="B13" s="80"/>
      <c r="C13" s="80"/>
      <c r="D13" s="9"/>
      <c r="E13" s="102">
        <v>10</v>
      </c>
      <c r="F13" s="9"/>
      <c r="G13" s="9">
        <v>-10</v>
      </c>
      <c r="H13" s="9"/>
      <c r="I13" s="63">
        <f t="shared" si="0"/>
        <v>0</v>
      </c>
    </row>
    <row r="14" spans="1:10" x14ac:dyDescent="0.25">
      <c r="A14" s="79" t="s">
        <v>242</v>
      </c>
      <c r="B14" s="80"/>
      <c r="C14" s="80"/>
      <c r="D14" s="9"/>
      <c r="E14" s="102">
        <v>10</v>
      </c>
      <c r="F14" s="9">
        <v>-7</v>
      </c>
      <c r="G14" s="9">
        <v>-3</v>
      </c>
      <c r="H14" s="9"/>
      <c r="I14" s="63">
        <f t="shared" si="0"/>
        <v>0</v>
      </c>
    </row>
    <row r="15" spans="1:10" x14ac:dyDescent="0.25">
      <c r="A15" s="7" t="s">
        <v>243</v>
      </c>
      <c r="B15" s="59"/>
      <c r="C15" s="8"/>
      <c r="D15" s="9"/>
      <c r="E15" s="9">
        <v>4</v>
      </c>
      <c r="F15" s="9"/>
      <c r="G15" s="9">
        <v>-4</v>
      </c>
      <c r="H15" s="9"/>
      <c r="I15" s="63">
        <f t="shared" si="0"/>
        <v>0</v>
      </c>
    </row>
    <row r="16" spans="1:10" x14ac:dyDescent="0.25">
      <c r="A16" s="7" t="s">
        <v>277</v>
      </c>
      <c r="B16" s="59">
        <v>2</v>
      </c>
      <c r="C16" s="8"/>
      <c r="D16" s="9"/>
      <c r="E16" s="9"/>
      <c r="F16" s="9">
        <v>-2</v>
      </c>
      <c r="G16" s="9"/>
      <c r="H16" s="9"/>
      <c r="I16" s="63">
        <f t="shared" si="0"/>
        <v>0</v>
      </c>
    </row>
    <row r="17" spans="1:9" x14ac:dyDescent="0.25">
      <c r="A17" s="4" t="s">
        <v>9</v>
      </c>
      <c r="B17" s="4"/>
      <c r="C17" s="11">
        <v>0.3888888888888889</v>
      </c>
      <c r="D17" s="12">
        <v>6.25E-2</v>
      </c>
      <c r="E17" s="12">
        <v>0.33333333333333331</v>
      </c>
      <c r="F17" s="12">
        <v>0.39583333333333331</v>
      </c>
      <c r="G17" s="12">
        <v>0.375</v>
      </c>
      <c r="H17" s="12">
        <v>0.31944444444444442</v>
      </c>
      <c r="I17" s="13"/>
    </row>
    <row r="18" spans="1:9" x14ac:dyDescent="0.25">
      <c r="A18" s="4" t="s">
        <v>10</v>
      </c>
      <c r="B18" s="4"/>
      <c r="C18" s="15">
        <v>60000</v>
      </c>
      <c r="D18" s="15" t="s">
        <v>278</v>
      </c>
      <c r="E18" s="15">
        <v>50000</v>
      </c>
      <c r="F18" s="15">
        <v>40000</v>
      </c>
      <c r="G18" s="15">
        <v>60000</v>
      </c>
      <c r="H18" s="15">
        <v>40000</v>
      </c>
      <c r="I18" s="16">
        <f>SUM(C18:H18)</f>
        <v>250000</v>
      </c>
    </row>
    <row r="20" spans="1:9" ht="15.75" x14ac:dyDescent="0.25">
      <c r="A20" s="208" t="s">
        <v>244</v>
      </c>
      <c r="B20" s="209"/>
      <c r="C20" s="209"/>
      <c r="D20" s="209"/>
      <c r="E20" s="209"/>
      <c r="F20" s="209"/>
      <c r="G20" s="210"/>
      <c r="H20" s="106"/>
    </row>
    <row r="21" spans="1:9" ht="25.5" x14ac:dyDescent="0.25">
      <c r="A21" s="81" t="s">
        <v>245</v>
      </c>
      <c r="B21" s="82" t="s">
        <v>9</v>
      </c>
      <c r="C21" s="82" t="s">
        <v>246</v>
      </c>
      <c r="D21" s="82" t="s">
        <v>247</v>
      </c>
      <c r="E21" s="82" t="s">
        <v>248</v>
      </c>
      <c r="F21" s="82" t="s">
        <v>249</v>
      </c>
      <c r="G21" s="82" t="s">
        <v>250</v>
      </c>
      <c r="H21" s="107"/>
    </row>
    <row r="22" spans="1:9" x14ac:dyDescent="0.25">
      <c r="A22" s="83">
        <v>46387</v>
      </c>
      <c r="B22" s="84"/>
      <c r="C22" s="85">
        <v>8</v>
      </c>
      <c r="D22" s="86"/>
      <c r="E22" s="86"/>
      <c r="F22" s="87">
        <f>C22</f>
        <v>8</v>
      </c>
      <c r="G22" s="87"/>
      <c r="H22" s="108"/>
    </row>
    <row r="23" spans="1:9" x14ac:dyDescent="0.25">
      <c r="A23" s="83">
        <v>46057</v>
      </c>
      <c r="B23" s="84">
        <v>0.16666666666666666</v>
      </c>
      <c r="C23" s="85">
        <v>974</v>
      </c>
      <c r="D23" s="86">
        <v>20</v>
      </c>
      <c r="E23" s="86"/>
      <c r="F23" s="87"/>
      <c r="G23" s="87"/>
      <c r="H23" s="108"/>
    </row>
    <row r="24" spans="1:9" x14ac:dyDescent="0.25">
      <c r="A24" s="83">
        <v>46057</v>
      </c>
      <c r="B24" s="84">
        <v>0.33402777777777776</v>
      </c>
      <c r="C24" s="85">
        <v>901</v>
      </c>
      <c r="D24" s="86">
        <v>6</v>
      </c>
      <c r="E24" s="86"/>
      <c r="F24" s="87"/>
      <c r="G24" s="87"/>
      <c r="H24" s="108"/>
    </row>
    <row r="25" spans="1:9" x14ac:dyDescent="0.25">
      <c r="A25" s="83">
        <v>46069</v>
      </c>
      <c r="B25" s="84">
        <v>0.15</v>
      </c>
      <c r="C25" s="85">
        <v>910</v>
      </c>
      <c r="D25" s="86"/>
      <c r="E25" s="88">
        <v>20</v>
      </c>
      <c r="F25" s="87"/>
      <c r="G25" s="87"/>
      <c r="H25" s="108"/>
    </row>
    <row r="26" spans="1:9" x14ac:dyDescent="0.25">
      <c r="A26" s="83">
        <v>46076</v>
      </c>
      <c r="B26" s="84" t="s">
        <v>251</v>
      </c>
      <c r="C26" s="85">
        <v>928</v>
      </c>
      <c r="D26" s="87"/>
      <c r="E26" s="89">
        <v>2</v>
      </c>
      <c r="F26" s="87"/>
      <c r="G26" s="87"/>
      <c r="H26" s="108"/>
    </row>
    <row r="27" spans="1:9" x14ac:dyDescent="0.25">
      <c r="A27" s="83">
        <v>46079</v>
      </c>
      <c r="B27" s="84">
        <v>8.4722222222222227E-2</v>
      </c>
      <c r="C27" s="90">
        <v>940</v>
      </c>
      <c r="D27" s="90">
        <v>5</v>
      </c>
      <c r="E27" s="87"/>
      <c r="F27" s="87"/>
      <c r="G27" s="87" t="s">
        <v>252</v>
      </c>
      <c r="H27" s="108"/>
    </row>
    <row r="28" spans="1:9" x14ac:dyDescent="0.25">
      <c r="A28" s="83">
        <v>46092</v>
      </c>
      <c r="B28" s="84">
        <v>0.10902777777777778</v>
      </c>
      <c r="C28" s="85">
        <v>1116</v>
      </c>
      <c r="D28" s="87"/>
      <c r="E28" s="89">
        <v>5</v>
      </c>
      <c r="F28" s="87"/>
      <c r="G28" s="87"/>
      <c r="H28" s="108"/>
    </row>
    <row r="29" spans="1:9" ht="26.25" x14ac:dyDescent="0.25">
      <c r="A29" s="83">
        <v>46175</v>
      </c>
      <c r="B29" s="84">
        <v>0.34166666666666667</v>
      </c>
      <c r="C29" s="85">
        <v>1539</v>
      </c>
      <c r="D29" s="87">
        <v>7</v>
      </c>
      <c r="E29" s="87"/>
      <c r="F29" s="87"/>
      <c r="G29" s="87" t="s">
        <v>253</v>
      </c>
      <c r="H29" s="108"/>
    </row>
    <row r="30" spans="1:9" ht="26.25" x14ac:dyDescent="0.25">
      <c r="A30" s="83">
        <v>46175</v>
      </c>
      <c r="B30" s="84">
        <v>0.34166666666666667</v>
      </c>
      <c r="C30" s="85">
        <v>1539</v>
      </c>
      <c r="D30" s="87">
        <v>7</v>
      </c>
      <c r="E30" s="87"/>
      <c r="F30" s="87"/>
      <c r="G30" s="87" t="s">
        <v>254</v>
      </c>
      <c r="H30" s="108"/>
    </row>
    <row r="31" spans="1:9" x14ac:dyDescent="0.25">
      <c r="A31" s="91">
        <v>46182</v>
      </c>
      <c r="B31" s="92">
        <v>0.47222222222222221</v>
      </c>
      <c r="C31" s="93">
        <v>1345</v>
      </c>
      <c r="D31" s="94"/>
      <c r="E31" s="86">
        <v>14</v>
      </c>
      <c r="F31" s="87"/>
      <c r="G31" s="87" t="s">
        <v>255</v>
      </c>
      <c r="H31" s="108"/>
    </row>
    <row r="32" spans="1:9" x14ac:dyDescent="0.25">
      <c r="A32" s="211"/>
      <c r="B32" s="212"/>
      <c r="C32" s="212"/>
      <c r="D32" s="212"/>
      <c r="E32" s="213"/>
      <c r="F32" s="95">
        <v>4</v>
      </c>
      <c r="G32" s="96"/>
      <c r="H32" s="109"/>
    </row>
  </sheetData>
  <mergeCells count="5">
    <mergeCell ref="A20:G20"/>
    <mergeCell ref="A32:E32"/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3357-4EFC-4E39-93CD-46F961385AB6}">
  <dimension ref="A1:Q47"/>
  <sheetViews>
    <sheetView workbookViewId="0">
      <pane xSplit="1" topLeftCell="G1" activePane="topRight" state="frozen"/>
      <selection pane="topRight" activeCell="G7" sqref="G7"/>
    </sheetView>
  </sheetViews>
  <sheetFormatPr baseColWidth="10" defaultRowHeight="15" x14ac:dyDescent="0.25"/>
  <cols>
    <col min="1" max="1" width="41.7109375" customWidth="1"/>
    <col min="5" max="5" width="18.7109375" customWidth="1"/>
    <col min="6" max="6" width="17.85546875" customWidth="1"/>
    <col min="17" max="17" width="20.140625" customWidth="1"/>
  </cols>
  <sheetData>
    <row r="1" spans="1:17" ht="18.75" x14ac:dyDescent="0.3">
      <c r="A1" s="201" t="s">
        <v>36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</row>
    <row r="2" spans="1:17" ht="18.75" x14ac:dyDescent="0.3">
      <c r="A2" s="206" t="s">
        <v>44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</row>
    <row r="3" spans="1:17" ht="18.75" x14ac:dyDescent="0.3">
      <c r="A3" s="206" t="s">
        <v>43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1:17" x14ac:dyDescent="0.25">
      <c r="A4" s="1" t="s">
        <v>0</v>
      </c>
      <c r="B4" s="2" t="s">
        <v>1</v>
      </c>
      <c r="C4" s="2">
        <v>13770</v>
      </c>
      <c r="D4" s="2">
        <v>13776</v>
      </c>
      <c r="E4" s="2">
        <v>13786</v>
      </c>
      <c r="F4" s="2">
        <v>13386</v>
      </c>
      <c r="G4" s="2">
        <v>13387</v>
      </c>
      <c r="H4" s="2">
        <v>13338</v>
      </c>
      <c r="I4" s="2">
        <v>13798</v>
      </c>
      <c r="J4" s="2">
        <v>13704</v>
      </c>
      <c r="K4" s="2">
        <v>13705</v>
      </c>
      <c r="L4" s="2">
        <v>13716</v>
      </c>
      <c r="M4" s="2">
        <v>13407</v>
      </c>
      <c r="N4" s="2">
        <v>13723</v>
      </c>
      <c r="O4" s="2">
        <v>13734</v>
      </c>
      <c r="P4" s="2">
        <v>13444</v>
      </c>
      <c r="Q4" s="2" t="s">
        <v>56</v>
      </c>
    </row>
    <row r="5" spans="1:17" x14ac:dyDescent="0.25">
      <c r="A5" s="4"/>
      <c r="B5" s="5">
        <v>46173</v>
      </c>
      <c r="C5" s="5">
        <v>46175</v>
      </c>
      <c r="D5" s="5">
        <v>46176</v>
      </c>
      <c r="E5" s="5">
        <v>46182</v>
      </c>
      <c r="F5" s="5">
        <v>46182</v>
      </c>
      <c r="G5" s="5">
        <v>46182</v>
      </c>
      <c r="H5" s="5">
        <v>46183</v>
      </c>
      <c r="I5" s="5">
        <v>46184</v>
      </c>
      <c r="J5" s="5">
        <v>46186</v>
      </c>
      <c r="K5" s="5">
        <v>46186</v>
      </c>
      <c r="L5" s="5">
        <v>46190</v>
      </c>
      <c r="M5" s="5">
        <v>46190</v>
      </c>
      <c r="N5" s="5">
        <v>46191</v>
      </c>
      <c r="O5" s="5">
        <v>46196</v>
      </c>
      <c r="P5" s="5">
        <v>46198</v>
      </c>
      <c r="Q5" s="5">
        <v>46203</v>
      </c>
    </row>
    <row r="6" spans="1:17" x14ac:dyDescent="0.25">
      <c r="A6" s="7" t="s">
        <v>13</v>
      </c>
      <c r="B6" s="8">
        <v>15</v>
      </c>
      <c r="C6" s="9"/>
      <c r="D6" s="9"/>
      <c r="E6" s="9"/>
      <c r="F6" s="9"/>
      <c r="G6" s="9"/>
      <c r="H6" s="134">
        <v>-15</v>
      </c>
      <c r="I6" s="9"/>
      <c r="J6" s="9"/>
      <c r="K6" s="9"/>
      <c r="L6" s="9"/>
      <c r="M6" s="9"/>
      <c r="N6" s="9"/>
      <c r="O6" s="9"/>
      <c r="P6" s="9"/>
      <c r="Q6" s="10">
        <f>SUM(B6:P6)</f>
        <v>0</v>
      </c>
    </row>
    <row r="7" spans="1:17" x14ac:dyDescent="0.25">
      <c r="A7" s="7" t="s">
        <v>37</v>
      </c>
      <c r="B7" s="8">
        <v>3</v>
      </c>
      <c r="C7" s="9"/>
      <c r="D7" s="9"/>
      <c r="E7" s="9">
        <v>3</v>
      </c>
      <c r="F7" s="9"/>
      <c r="G7" s="9"/>
      <c r="H7" s="9"/>
      <c r="I7" s="9"/>
      <c r="J7" s="9"/>
      <c r="K7" s="9"/>
      <c r="L7" s="9"/>
      <c r="M7" s="134">
        <v>-3</v>
      </c>
      <c r="N7" s="9"/>
      <c r="O7" s="9"/>
      <c r="P7" s="134">
        <v>-3</v>
      </c>
      <c r="Q7" s="97">
        <f t="shared" ref="Q7:Q28" si="0">SUM(B7:P7)</f>
        <v>0</v>
      </c>
    </row>
    <row r="8" spans="1:17" x14ac:dyDescent="0.25">
      <c r="A8" s="7" t="s">
        <v>38</v>
      </c>
      <c r="B8" s="8">
        <v>11</v>
      </c>
      <c r="C8" s="9"/>
      <c r="D8" s="9"/>
      <c r="E8" s="9"/>
      <c r="F8" s="9"/>
      <c r="G8" s="9"/>
      <c r="H8" s="9"/>
      <c r="I8" s="9"/>
      <c r="J8" s="9">
        <v>1</v>
      </c>
      <c r="K8" s="9">
        <v>1</v>
      </c>
      <c r="L8" s="9">
        <v>2</v>
      </c>
      <c r="M8" s="9"/>
      <c r="N8" s="9"/>
      <c r="O8" s="9"/>
      <c r="P8" s="134">
        <v>-13</v>
      </c>
      <c r="Q8" s="97">
        <f t="shared" si="0"/>
        <v>2</v>
      </c>
    </row>
    <row r="9" spans="1:17" x14ac:dyDescent="0.25">
      <c r="A9" s="7" t="s">
        <v>5</v>
      </c>
      <c r="B9" s="8"/>
      <c r="C9" s="9"/>
      <c r="D9" s="9"/>
      <c r="E9" s="9"/>
      <c r="F9" s="9"/>
      <c r="G9" s="9"/>
      <c r="H9" s="9"/>
      <c r="I9" s="9"/>
      <c r="J9" s="9"/>
      <c r="K9" s="9"/>
      <c r="L9" s="9">
        <v>3</v>
      </c>
      <c r="M9" s="9"/>
      <c r="N9" s="9"/>
      <c r="O9" s="9"/>
      <c r="P9" s="134">
        <v>-3</v>
      </c>
      <c r="Q9" s="10">
        <f t="shared" si="0"/>
        <v>0</v>
      </c>
    </row>
    <row r="10" spans="1:17" x14ac:dyDescent="0.25">
      <c r="A10" s="7" t="s">
        <v>15</v>
      </c>
      <c r="B10" s="8">
        <v>34</v>
      </c>
      <c r="C10" s="9"/>
      <c r="D10" s="9"/>
      <c r="E10" s="9"/>
      <c r="F10" s="134">
        <v>-34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10">
        <f t="shared" si="0"/>
        <v>0</v>
      </c>
    </row>
    <row r="11" spans="1:17" x14ac:dyDescent="0.25">
      <c r="A11" s="7" t="s">
        <v>2</v>
      </c>
      <c r="B11" s="8">
        <v>1</v>
      </c>
      <c r="C11" s="9"/>
      <c r="D11" s="9"/>
      <c r="E11" s="9"/>
      <c r="F11" s="9"/>
      <c r="G11" s="9"/>
      <c r="H11" s="134">
        <v>-1</v>
      </c>
      <c r="I11" s="9"/>
      <c r="J11" s="9"/>
      <c r="K11" s="9" t="s">
        <v>370</v>
      </c>
      <c r="L11" s="9"/>
      <c r="M11" s="9"/>
      <c r="N11" s="9"/>
      <c r="O11" s="9"/>
      <c r="P11" s="9"/>
      <c r="Q11" s="10">
        <v>0</v>
      </c>
    </row>
    <row r="12" spans="1:17" x14ac:dyDescent="0.25">
      <c r="A12" s="7" t="s">
        <v>19</v>
      </c>
      <c r="B12" s="8"/>
      <c r="C12" s="9"/>
      <c r="D12" s="9"/>
      <c r="E12" s="9"/>
      <c r="F12" s="9"/>
      <c r="G12" s="9"/>
      <c r="H12" s="9"/>
      <c r="I12" s="9">
        <v>4</v>
      </c>
      <c r="J12" s="9"/>
      <c r="K12" s="9"/>
      <c r="L12" s="9"/>
      <c r="M12" s="9"/>
      <c r="N12" s="9"/>
      <c r="O12" s="9"/>
      <c r="P12" s="134">
        <v>-4</v>
      </c>
      <c r="Q12" s="10">
        <f t="shared" si="0"/>
        <v>0</v>
      </c>
    </row>
    <row r="13" spans="1:17" x14ac:dyDescent="0.25">
      <c r="A13" s="7" t="s">
        <v>3</v>
      </c>
      <c r="B13" s="8">
        <v>1</v>
      </c>
      <c r="C13" s="9"/>
      <c r="D13" s="9"/>
      <c r="E13" s="9"/>
      <c r="F13" s="9"/>
      <c r="G13" s="9"/>
      <c r="H13" s="134">
        <v>-1</v>
      </c>
      <c r="I13" s="9"/>
      <c r="J13" s="9"/>
      <c r="K13" s="9"/>
      <c r="L13" s="9"/>
      <c r="M13" s="9"/>
      <c r="N13" s="9"/>
      <c r="O13" s="9"/>
      <c r="P13" s="9"/>
      <c r="Q13" s="10">
        <v>0</v>
      </c>
    </row>
    <row r="14" spans="1:17" x14ac:dyDescent="0.25">
      <c r="A14" s="7" t="s">
        <v>40</v>
      </c>
      <c r="B14" s="8">
        <v>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7">
        <f t="shared" si="0"/>
        <v>2</v>
      </c>
    </row>
    <row r="15" spans="1:17" x14ac:dyDescent="0.25">
      <c r="A15" s="7" t="s">
        <v>41</v>
      </c>
      <c r="B15" s="8">
        <v>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7">
        <v>2</v>
      </c>
    </row>
    <row r="16" spans="1:17" x14ac:dyDescent="0.25">
      <c r="A16" s="7" t="s">
        <v>42</v>
      </c>
      <c r="B16" s="8">
        <v>4</v>
      </c>
      <c r="C16" s="9">
        <v>11</v>
      </c>
      <c r="D16" s="9"/>
      <c r="E16" s="9"/>
      <c r="F16" s="134">
        <v>-14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7">
        <v>2</v>
      </c>
    </row>
    <row r="17" spans="1:17" x14ac:dyDescent="0.25">
      <c r="A17" s="7" t="s">
        <v>45</v>
      </c>
      <c r="B17" s="8"/>
      <c r="C17" s="9">
        <v>14</v>
      </c>
      <c r="D17" s="9"/>
      <c r="E17" s="9"/>
      <c r="F17" s="134">
        <v>-14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10">
        <v>0</v>
      </c>
    </row>
    <row r="18" spans="1:17" x14ac:dyDescent="0.25">
      <c r="A18" s="7" t="s">
        <v>46</v>
      </c>
      <c r="B18" s="8"/>
      <c r="C18" s="9">
        <v>14</v>
      </c>
      <c r="D18" s="9"/>
      <c r="E18" s="9"/>
      <c r="F18" s="134">
        <v>14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10">
        <v>0</v>
      </c>
    </row>
    <row r="19" spans="1:17" x14ac:dyDescent="0.25">
      <c r="A19" s="7" t="s">
        <v>47</v>
      </c>
      <c r="B19" s="8"/>
      <c r="C19" s="9">
        <v>14</v>
      </c>
      <c r="D19" s="9"/>
      <c r="E19" s="9"/>
      <c r="F19" s="134">
        <v>-14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10">
        <f t="shared" si="0"/>
        <v>0</v>
      </c>
    </row>
    <row r="20" spans="1:17" x14ac:dyDescent="0.25">
      <c r="A20" s="7" t="s">
        <v>48</v>
      </c>
      <c r="B20" s="8"/>
      <c r="C20" s="9">
        <v>14</v>
      </c>
      <c r="D20" s="9"/>
      <c r="E20" s="9"/>
      <c r="F20" s="134">
        <v>-12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10">
        <v>0</v>
      </c>
    </row>
    <row r="21" spans="1:17" x14ac:dyDescent="0.25">
      <c r="A21" s="7" t="s">
        <v>51</v>
      </c>
      <c r="B21" s="8"/>
      <c r="C21" s="9"/>
      <c r="D21" s="9">
        <v>3</v>
      </c>
      <c r="E21" s="9"/>
      <c r="F21" s="134">
        <v>-3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10">
        <f t="shared" si="0"/>
        <v>0</v>
      </c>
    </row>
    <row r="22" spans="1:17" x14ac:dyDescent="0.25">
      <c r="A22" s="7" t="s">
        <v>318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v>1</v>
      </c>
      <c r="O22" s="9"/>
      <c r="P22" s="9"/>
      <c r="Q22" s="97">
        <f t="shared" si="0"/>
        <v>1</v>
      </c>
    </row>
    <row r="23" spans="1:17" x14ac:dyDescent="0.25">
      <c r="A23" s="7" t="s">
        <v>204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>
        <v>4</v>
      </c>
      <c r="P23" s="9"/>
      <c r="Q23" s="97">
        <f t="shared" si="0"/>
        <v>4</v>
      </c>
    </row>
    <row r="24" spans="1:17" x14ac:dyDescent="0.25">
      <c r="A24" s="101" t="s">
        <v>205</v>
      </c>
      <c r="B24" s="8"/>
      <c r="C24" s="9"/>
      <c r="D24" s="9"/>
      <c r="E24" s="9">
        <v>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40">
        <f t="shared" si="0"/>
        <v>3</v>
      </c>
    </row>
    <row r="25" spans="1:17" x14ac:dyDescent="0.25">
      <c r="A25" s="101" t="s">
        <v>75</v>
      </c>
      <c r="B25" s="8"/>
      <c r="C25" s="9"/>
      <c r="D25" s="9"/>
      <c r="E25" s="9">
        <v>8</v>
      </c>
      <c r="F25" s="9"/>
      <c r="G25" s="9"/>
      <c r="H25" s="9"/>
      <c r="I25" s="9">
        <v>10</v>
      </c>
      <c r="J25" s="9"/>
      <c r="K25" s="9"/>
      <c r="L25" s="9"/>
      <c r="M25" s="9"/>
      <c r="N25" s="9"/>
      <c r="O25" s="9"/>
      <c r="P25" s="134">
        <v>-13</v>
      </c>
      <c r="Q25" s="140">
        <f t="shared" si="0"/>
        <v>5</v>
      </c>
    </row>
    <row r="26" spans="1:17" x14ac:dyDescent="0.25">
      <c r="A26" s="101" t="s">
        <v>206</v>
      </c>
      <c r="B26" s="8"/>
      <c r="C26" s="9"/>
      <c r="D26" s="9"/>
      <c r="E26" s="9">
        <v>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40">
        <f t="shared" si="0"/>
        <v>2</v>
      </c>
    </row>
    <row r="27" spans="1:17" x14ac:dyDescent="0.25">
      <c r="A27" s="101" t="s">
        <v>207</v>
      </c>
      <c r="B27" s="8"/>
      <c r="C27" s="9"/>
      <c r="D27" s="9"/>
      <c r="E27" s="9">
        <v>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40">
        <f t="shared" si="0"/>
        <v>4</v>
      </c>
    </row>
    <row r="28" spans="1:17" x14ac:dyDescent="0.25">
      <c r="A28" s="101" t="s">
        <v>208</v>
      </c>
      <c r="B28" s="8"/>
      <c r="C28" s="9"/>
      <c r="D28" s="9"/>
      <c r="E28" s="9">
        <v>1</v>
      </c>
      <c r="F28" s="9"/>
      <c r="G28" s="9">
        <v>-1</v>
      </c>
      <c r="H28" s="9"/>
      <c r="I28" s="9"/>
      <c r="J28" s="9"/>
      <c r="K28" s="9"/>
      <c r="L28" s="9"/>
      <c r="M28" s="9"/>
      <c r="N28" s="9"/>
      <c r="O28" s="9"/>
      <c r="P28" s="9"/>
      <c r="Q28" s="140">
        <f t="shared" si="0"/>
        <v>0</v>
      </c>
    </row>
    <row r="29" spans="1:17" x14ac:dyDescent="0.25">
      <c r="A29" s="4" t="s">
        <v>9</v>
      </c>
      <c r="B29" s="19"/>
      <c r="C29" s="12">
        <v>0.35972222222222222</v>
      </c>
      <c r="D29" s="12">
        <v>0.33333333333333331</v>
      </c>
      <c r="E29" s="12">
        <v>0.29166666666666669</v>
      </c>
      <c r="F29" s="12">
        <v>0.45833333333333331</v>
      </c>
      <c r="G29" s="12">
        <v>8.9583333333333334E-2</v>
      </c>
      <c r="H29" s="12">
        <v>0.36805555555555558</v>
      </c>
      <c r="I29" s="12">
        <v>0.30555555555555558</v>
      </c>
      <c r="J29" s="12">
        <v>0.34375</v>
      </c>
      <c r="K29" s="12">
        <v>0.40625</v>
      </c>
      <c r="L29" s="12">
        <v>0.31944444444444442</v>
      </c>
      <c r="M29" s="12">
        <v>0.31944444444444442</v>
      </c>
      <c r="N29" s="12">
        <v>0.10416666666666667</v>
      </c>
      <c r="O29" s="12">
        <v>0.5</v>
      </c>
      <c r="P29" s="12">
        <v>7.6388888888888895E-2</v>
      </c>
      <c r="Q29" s="13"/>
    </row>
    <row r="30" spans="1:17" x14ac:dyDescent="0.25">
      <c r="A30" s="4" t="s">
        <v>10</v>
      </c>
      <c r="B30" s="20"/>
      <c r="C30" s="15">
        <v>20000</v>
      </c>
      <c r="D30" s="15">
        <v>15000</v>
      </c>
      <c r="E30" s="15">
        <v>20000</v>
      </c>
      <c r="F30" s="15">
        <v>15000</v>
      </c>
      <c r="G30" s="15" t="s">
        <v>104</v>
      </c>
      <c r="H30" s="15">
        <v>15000</v>
      </c>
      <c r="I30" s="15">
        <v>12500</v>
      </c>
      <c r="J30" s="15" t="s">
        <v>104</v>
      </c>
      <c r="K30" s="15" t="s">
        <v>104</v>
      </c>
      <c r="L30" s="15" t="s">
        <v>104</v>
      </c>
      <c r="M30" s="15" t="s">
        <v>104</v>
      </c>
      <c r="N30" s="15" t="s">
        <v>104</v>
      </c>
      <c r="O30" s="15" t="s">
        <v>104</v>
      </c>
      <c r="P30" s="15">
        <v>20000</v>
      </c>
      <c r="Q30" s="16"/>
    </row>
    <row r="31" spans="1:17" x14ac:dyDescent="0.25">
      <c r="B31">
        <f>SUM(B6:B30)</f>
        <v>72</v>
      </c>
      <c r="C31" s="18">
        <f>SUM(C6:C30)</f>
        <v>20067.359722222223</v>
      </c>
      <c r="D31" s="18">
        <f>SUM(D6:D30)</f>
        <v>15003.333333333334</v>
      </c>
      <c r="E31" s="18">
        <f>SUM(E6:E30)</f>
        <v>20021.291666666668</v>
      </c>
      <c r="Q31" s="18"/>
    </row>
    <row r="32" spans="1:17" ht="15.75" thickBot="1" x14ac:dyDescent="0.3"/>
    <row r="33" spans="1:8" x14ac:dyDescent="0.25">
      <c r="A33" s="198" t="s">
        <v>382</v>
      </c>
      <c r="B33" s="199"/>
      <c r="C33" s="199"/>
      <c r="D33" s="199"/>
      <c r="E33" s="199"/>
      <c r="F33" s="200"/>
    </row>
    <row r="34" spans="1:8" ht="18" x14ac:dyDescent="0.25">
      <c r="A34" s="187" t="s">
        <v>383</v>
      </c>
      <c r="B34" s="188"/>
      <c r="C34" s="188"/>
      <c r="D34" s="188"/>
      <c r="E34" s="188"/>
      <c r="F34" s="189"/>
    </row>
    <row r="35" spans="1:8" ht="18" x14ac:dyDescent="0.25">
      <c r="A35" s="187" t="s">
        <v>384</v>
      </c>
      <c r="B35" s="188"/>
      <c r="C35" s="188"/>
      <c r="D35" s="188"/>
      <c r="E35" s="188"/>
      <c r="F35" s="189"/>
      <c r="G35" s="132" t="s">
        <v>394</v>
      </c>
      <c r="H35" s="132"/>
    </row>
    <row r="36" spans="1:8" x14ac:dyDescent="0.25">
      <c r="A36" s="190" t="s">
        <v>0</v>
      </c>
      <c r="B36" s="191" t="s">
        <v>85</v>
      </c>
      <c r="C36" s="191"/>
      <c r="D36" s="191"/>
      <c r="E36" s="191" t="s">
        <v>86</v>
      </c>
      <c r="F36" s="192"/>
    </row>
    <row r="37" spans="1:8" x14ac:dyDescent="0.25">
      <c r="A37" s="190"/>
      <c r="B37" s="26" t="s">
        <v>87</v>
      </c>
      <c r="C37" s="26" t="s">
        <v>88</v>
      </c>
      <c r="D37" s="26" t="s">
        <v>89</v>
      </c>
      <c r="E37" s="26" t="s">
        <v>90</v>
      </c>
      <c r="F37" s="27" t="s">
        <v>91</v>
      </c>
    </row>
    <row r="38" spans="1:8" x14ac:dyDescent="0.25">
      <c r="A38" s="28" t="s">
        <v>385</v>
      </c>
      <c r="B38" s="30">
        <v>15</v>
      </c>
      <c r="C38" s="29">
        <v>3</v>
      </c>
      <c r="D38" s="31">
        <v>6000</v>
      </c>
      <c r="E38" s="32">
        <f>C38*D38</f>
        <v>18000</v>
      </c>
      <c r="F38" s="33">
        <f>B38*E38</f>
        <v>270000</v>
      </c>
    </row>
    <row r="39" spans="1:8" x14ac:dyDescent="0.25">
      <c r="A39" s="28" t="s">
        <v>386</v>
      </c>
      <c r="B39" s="133">
        <v>17</v>
      </c>
      <c r="C39" s="133">
        <v>8</v>
      </c>
      <c r="D39" s="31">
        <v>300</v>
      </c>
      <c r="E39" s="32">
        <f>C39*D39</f>
        <v>2400</v>
      </c>
      <c r="F39" s="33">
        <f>B39*E39</f>
        <v>40800</v>
      </c>
      <c r="G39" t="s">
        <v>395</v>
      </c>
    </row>
    <row r="40" spans="1:8" x14ac:dyDescent="0.25">
      <c r="A40" s="28" t="s">
        <v>386</v>
      </c>
      <c r="B40" s="30">
        <v>1</v>
      </c>
      <c r="C40" s="29">
        <v>5</v>
      </c>
      <c r="D40" s="31">
        <v>300</v>
      </c>
      <c r="E40" s="32">
        <f>C40*D40</f>
        <v>1500</v>
      </c>
      <c r="F40" s="33">
        <f>B40*E40</f>
        <v>1500</v>
      </c>
      <c r="G40" t="s">
        <v>396</v>
      </c>
    </row>
    <row r="41" spans="1:8" x14ac:dyDescent="0.25">
      <c r="A41" s="28" t="s">
        <v>387</v>
      </c>
      <c r="B41" s="133">
        <v>17</v>
      </c>
      <c r="C41" s="133">
        <v>3</v>
      </c>
      <c r="D41" s="128">
        <v>200</v>
      </c>
      <c r="E41" s="32">
        <f t="shared" ref="E41:E43" si="1">C41*D41</f>
        <v>600</v>
      </c>
      <c r="F41" s="33">
        <f t="shared" ref="F41:F43" si="2">B41*E41</f>
        <v>10200</v>
      </c>
      <c r="G41" t="s">
        <v>395</v>
      </c>
    </row>
    <row r="42" spans="1:8" x14ac:dyDescent="0.25">
      <c r="A42" s="28" t="s">
        <v>388</v>
      </c>
      <c r="B42" s="30">
        <v>15</v>
      </c>
      <c r="C42" s="129">
        <v>4</v>
      </c>
      <c r="D42" s="128">
        <v>600</v>
      </c>
      <c r="E42" s="32">
        <f t="shared" si="1"/>
        <v>2400</v>
      </c>
      <c r="F42" s="33">
        <f t="shared" si="2"/>
        <v>36000</v>
      </c>
    </row>
    <row r="43" spans="1:8" x14ac:dyDescent="0.25">
      <c r="A43" s="28" t="s">
        <v>389</v>
      </c>
      <c r="B43" s="30">
        <v>15</v>
      </c>
      <c r="C43" s="129">
        <v>2</v>
      </c>
      <c r="D43" s="128">
        <v>550</v>
      </c>
      <c r="E43" s="32">
        <f t="shared" si="1"/>
        <v>1100</v>
      </c>
      <c r="F43" s="33">
        <f t="shared" si="2"/>
        <v>16500</v>
      </c>
    </row>
    <row r="44" spans="1:8" ht="18.75" x14ac:dyDescent="0.4">
      <c r="A44" s="214"/>
      <c r="B44" s="215"/>
      <c r="C44" s="218" t="s">
        <v>390</v>
      </c>
      <c r="D44" s="219"/>
      <c r="E44" s="36">
        <v>24500</v>
      </c>
      <c r="F44" s="37"/>
    </row>
    <row r="45" spans="1:8" ht="19.5" thickBot="1" x14ac:dyDescent="0.45">
      <c r="A45" s="174"/>
      <c r="B45" s="175"/>
      <c r="C45" s="178" t="s">
        <v>391</v>
      </c>
      <c r="D45" s="178"/>
      <c r="E45" s="38">
        <f>E44*B43</f>
        <v>367500</v>
      </c>
      <c r="F45" s="39"/>
    </row>
    <row r="46" spans="1:8" ht="19.5" thickBot="1" x14ac:dyDescent="0.45">
      <c r="A46" s="174"/>
      <c r="B46" s="175"/>
      <c r="C46" s="220" t="s">
        <v>392</v>
      </c>
      <c r="D46" s="221"/>
      <c r="E46" s="38">
        <v>40000</v>
      </c>
      <c r="F46" s="39"/>
    </row>
    <row r="47" spans="1:8" ht="19.5" thickBot="1" x14ac:dyDescent="0.45">
      <c r="A47" s="176"/>
      <c r="B47" s="177"/>
      <c r="C47" s="216" t="s">
        <v>97</v>
      </c>
      <c r="D47" s="217"/>
      <c r="E47" s="130">
        <f>SUM(E45:E46)</f>
        <v>407500</v>
      </c>
      <c r="F47" s="131"/>
    </row>
  </sheetData>
  <mergeCells count="14">
    <mergeCell ref="A33:F33"/>
    <mergeCell ref="A34:F34"/>
    <mergeCell ref="A44:B47"/>
    <mergeCell ref="C47:D47"/>
    <mergeCell ref="A1:Q1"/>
    <mergeCell ref="A2:Q2"/>
    <mergeCell ref="A3:Q3"/>
    <mergeCell ref="A35:F35"/>
    <mergeCell ref="A36:A37"/>
    <mergeCell ref="B36:D36"/>
    <mergeCell ref="E36:F36"/>
    <mergeCell ref="C44:D44"/>
    <mergeCell ref="C45:D45"/>
    <mergeCell ref="C46:D4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3EE9-8107-48FE-B0A2-AD42E282F971}">
  <dimension ref="A1:F10"/>
  <sheetViews>
    <sheetView workbookViewId="0">
      <selection sqref="A1:F10"/>
    </sheetView>
  </sheetViews>
  <sheetFormatPr baseColWidth="10" defaultRowHeight="15" x14ac:dyDescent="0.25"/>
  <cols>
    <col min="1" max="1" width="33.42578125" customWidth="1"/>
    <col min="6" max="6" width="19" customWidth="1"/>
  </cols>
  <sheetData>
    <row r="1" spans="1:6" ht="18.75" x14ac:dyDescent="0.3">
      <c r="A1" s="201" t="s">
        <v>69</v>
      </c>
      <c r="B1" s="202"/>
      <c r="C1" s="202"/>
      <c r="D1" s="202"/>
      <c r="E1" s="202"/>
      <c r="F1" s="202"/>
    </row>
    <row r="2" spans="1:6" ht="18.75" x14ac:dyDescent="0.3">
      <c r="A2" s="206" t="s">
        <v>70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13767</v>
      </c>
      <c r="C4" s="2">
        <v>13767</v>
      </c>
      <c r="D4" s="2"/>
      <c r="E4" s="2"/>
      <c r="F4" s="2" t="s">
        <v>56</v>
      </c>
    </row>
    <row r="5" spans="1:6" x14ac:dyDescent="0.25">
      <c r="A5" s="4"/>
      <c r="B5" s="5">
        <v>46175</v>
      </c>
      <c r="C5" s="5">
        <v>46175</v>
      </c>
      <c r="D5" s="5"/>
      <c r="E5" s="5"/>
      <c r="F5" s="5">
        <v>46203</v>
      </c>
    </row>
    <row r="6" spans="1:6" x14ac:dyDescent="0.25">
      <c r="A6" s="7" t="s">
        <v>71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v>0</v>
      </c>
    </row>
    <row r="9" spans="1:6" x14ac:dyDescent="0.25">
      <c r="A9" s="4" t="s">
        <v>9</v>
      </c>
      <c r="B9" s="23">
        <v>0.32291666666666669</v>
      </c>
      <c r="C9" s="12">
        <v>7.6388888888888895E-2</v>
      </c>
      <c r="D9" s="12"/>
      <c r="E9" s="12"/>
      <c r="F9" s="13"/>
    </row>
    <row r="10" spans="1:6" x14ac:dyDescent="0.25">
      <c r="A10" s="4" t="s">
        <v>10</v>
      </c>
      <c r="B10" s="15"/>
      <c r="C10" s="15"/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D03F-9622-4D4F-A8A7-3C90974F4445}">
  <dimension ref="A1:F10"/>
  <sheetViews>
    <sheetView workbookViewId="0">
      <selection activeCell="F8" sqref="F8"/>
    </sheetView>
  </sheetViews>
  <sheetFormatPr baseColWidth="10" defaultRowHeight="15" x14ac:dyDescent="0.25"/>
  <cols>
    <col min="1" max="1" width="35.28515625" customWidth="1"/>
  </cols>
  <sheetData>
    <row r="1" spans="1:6" ht="18.75" x14ac:dyDescent="0.3">
      <c r="A1" s="201" t="s">
        <v>376</v>
      </c>
      <c r="B1" s="202"/>
      <c r="C1" s="202"/>
      <c r="D1" s="202"/>
      <c r="E1" s="202"/>
      <c r="F1" s="202"/>
    </row>
    <row r="2" spans="1:6" ht="18.75" x14ac:dyDescent="0.3">
      <c r="A2" s="206" t="s">
        <v>377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13738</v>
      </c>
      <c r="C4" s="2">
        <v>13739</v>
      </c>
      <c r="D4" s="2">
        <v>13742</v>
      </c>
      <c r="E4" s="2">
        <v>13749</v>
      </c>
      <c r="F4" s="2" t="s">
        <v>56</v>
      </c>
    </row>
    <row r="5" spans="1:6" x14ac:dyDescent="0.25">
      <c r="A5" s="4"/>
      <c r="B5" s="5">
        <v>46198</v>
      </c>
      <c r="C5" s="5">
        <v>46198</v>
      </c>
      <c r="D5" s="5">
        <v>46199</v>
      </c>
      <c r="E5" s="5">
        <v>46203</v>
      </c>
      <c r="F5" s="5">
        <v>46203</v>
      </c>
    </row>
    <row r="6" spans="1:6" x14ac:dyDescent="0.25">
      <c r="A6" s="7" t="s">
        <v>378</v>
      </c>
      <c r="B6" s="8">
        <v>8</v>
      </c>
      <c r="C6" s="9">
        <v>1</v>
      </c>
      <c r="D6" s="9">
        <v>1</v>
      </c>
      <c r="E6" s="9"/>
      <c r="F6" s="10">
        <f>SUM(B6:E6)</f>
        <v>10</v>
      </c>
    </row>
    <row r="7" spans="1:6" x14ac:dyDescent="0.25">
      <c r="A7" s="7" t="s">
        <v>212</v>
      </c>
      <c r="B7" s="8">
        <v>8</v>
      </c>
      <c r="C7" s="9">
        <v>4</v>
      </c>
      <c r="D7" s="9">
        <v>2</v>
      </c>
      <c r="E7" s="9"/>
      <c r="F7" s="10">
        <f t="shared" ref="F7:F8" si="0">SUM(B7:E7)</f>
        <v>14</v>
      </c>
    </row>
    <row r="8" spans="1:6" x14ac:dyDescent="0.25">
      <c r="A8" s="7" t="s">
        <v>5</v>
      </c>
      <c r="B8" s="8"/>
      <c r="C8" s="9"/>
      <c r="D8" s="9"/>
      <c r="E8" s="9">
        <v>6</v>
      </c>
      <c r="F8" s="10">
        <f t="shared" si="0"/>
        <v>6</v>
      </c>
    </row>
    <row r="9" spans="1:6" x14ac:dyDescent="0.25">
      <c r="A9" s="4" t="s">
        <v>9</v>
      </c>
      <c r="B9" s="23">
        <v>0.42916666666666664</v>
      </c>
      <c r="C9" s="12">
        <v>9.8611111111111108E-2</v>
      </c>
      <c r="D9" s="12">
        <v>0.19444444444444445</v>
      </c>
      <c r="E9" s="12">
        <v>0.4826388888888889</v>
      </c>
      <c r="F9" s="13"/>
    </row>
    <row r="10" spans="1:6" x14ac:dyDescent="0.25">
      <c r="A10" s="4" t="s">
        <v>10</v>
      </c>
      <c r="B10" s="15" t="s">
        <v>379</v>
      </c>
      <c r="C10" s="15" t="s">
        <v>104</v>
      </c>
      <c r="D10" s="15" t="s">
        <v>104</v>
      </c>
      <c r="E10" s="15" t="s">
        <v>379</v>
      </c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0729-9FD9-4F1D-BBD1-1A919DAC4077}">
  <dimension ref="A1:F10"/>
  <sheetViews>
    <sheetView workbookViewId="0">
      <selection sqref="A1:F10"/>
    </sheetView>
  </sheetViews>
  <sheetFormatPr baseColWidth="10" defaultRowHeight="15" x14ac:dyDescent="0.25"/>
  <cols>
    <col min="1" max="1" width="25" customWidth="1"/>
  </cols>
  <sheetData>
    <row r="1" spans="1:6" ht="18.75" x14ac:dyDescent="0.3">
      <c r="A1" s="201" t="s">
        <v>343</v>
      </c>
      <c r="B1" s="202"/>
      <c r="C1" s="202"/>
      <c r="D1" s="202"/>
      <c r="E1" s="202"/>
      <c r="F1" s="202"/>
    </row>
    <row r="2" spans="1:6" ht="18.75" x14ac:dyDescent="0.3">
      <c r="A2" s="206" t="s">
        <v>344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13423</v>
      </c>
      <c r="C4" s="2">
        <v>13423</v>
      </c>
      <c r="D4" s="2"/>
      <c r="E4" s="2"/>
      <c r="F4" s="2" t="s">
        <v>56</v>
      </c>
    </row>
    <row r="5" spans="1:6" x14ac:dyDescent="0.25">
      <c r="A5" s="4"/>
      <c r="B5" s="5">
        <v>46171</v>
      </c>
      <c r="C5" s="5">
        <v>46193</v>
      </c>
      <c r="D5" s="5"/>
      <c r="E5" s="5"/>
      <c r="F5" s="5">
        <v>46203</v>
      </c>
    </row>
    <row r="6" spans="1:6" x14ac:dyDescent="0.25">
      <c r="A6" s="7" t="s">
        <v>345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v>0</v>
      </c>
    </row>
    <row r="9" spans="1:6" x14ac:dyDescent="0.25">
      <c r="A9" s="4" t="s">
        <v>9</v>
      </c>
      <c r="B9" s="23">
        <v>0.19791666666666666</v>
      </c>
      <c r="C9" s="12">
        <v>0.34722222222222221</v>
      </c>
      <c r="D9" s="12"/>
      <c r="E9" s="12"/>
      <c r="F9" s="13"/>
    </row>
    <row r="10" spans="1:6" x14ac:dyDescent="0.25">
      <c r="A10" s="4" t="s">
        <v>10</v>
      </c>
      <c r="B10" s="15" t="s">
        <v>346</v>
      </c>
      <c r="C10" s="15" t="s">
        <v>104</v>
      </c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B0B8-29D6-453D-87BD-53976DCFDAA2}">
  <dimension ref="A1:F17"/>
  <sheetViews>
    <sheetView workbookViewId="0">
      <selection activeCell="I17" sqref="I17"/>
    </sheetView>
  </sheetViews>
  <sheetFormatPr baseColWidth="10" defaultRowHeight="15" x14ac:dyDescent="0.25"/>
  <cols>
    <col min="1" max="1" width="27.28515625" customWidth="1"/>
    <col min="2" max="2" width="15.7109375" customWidth="1"/>
    <col min="6" max="6" width="20.7109375" customWidth="1"/>
  </cols>
  <sheetData>
    <row r="1" spans="1:6" ht="18.75" x14ac:dyDescent="0.3">
      <c r="A1" s="201" t="s">
        <v>373</v>
      </c>
      <c r="B1" s="202"/>
      <c r="C1" s="202"/>
      <c r="D1" s="202"/>
      <c r="E1" s="202"/>
      <c r="F1" s="202"/>
    </row>
    <row r="2" spans="1:6" ht="18.75" x14ac:dyDescent="0.3">
      <c r="A2" s="206" t="s">
        <v>374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13736</v>
      </c>
      <c r="C4" s="2"/>
      <c r="D4" s="2"/>
      <c r="E4" s="2"/>
      <c r="F4" s="2" t="s">
        <v>56</v>
      </c>
    </row>
    <row r="5" spans="1:6" x14ac:dyDescent="0.25">
      <c r="A5" s="4"/>
      <c r="B5" s="5">
        <v>46198</v>
      </c>
      <c r="C5" s="5"/>
      <c r="D5" s="5"/>
      <c r="E5" s="5"/>
      <c r="F5" s="5">
        <v>46203</v>
      </c>
    </row>
    <row r="6" spans="1:6" ht="16.5" customHeight="1" x14ac:dyDescent="0.25">
      <c r="A6" s="7" t="s">
        <v>24</v>
      </c>
      <c r="B6" s="8">
        <v>38</v>
      </c>
      <c r="C6" s="9"/>
      <c r="D6" s="9"/>
      <c r="E6" s="9"/>
      <c r="F6" s="10">
        <f>SUM(B6:E6)</f>
        <v>38</v>
      </c>
    </row>
    <row r="7" spans="1:6" x14ac:dyDescent="0.25">
      <c r="A7" s="7" t="s">
        <v>132</v>
      </c>
      <c r="B7" s="8">
        <v>38</v>
      </c>
      <c r="C7" s="9"/>
      <c r="D7" s="9"/>
      <c r="E7" s="9"/>
      <c r="F7" s="10">
        <f t="shared" ref="F7:F14" si="0">SUM(B7:E7)</f>
        <v>38</v>
      </c>
    </row>
    <row r="8" spans="1:6" x14ac:dyDescent="0.25">
      <c r="A8" s="7" t="s">
        <v>39</v>
      </c>
      <c r="B8" s="8">
        <v>20</v>
      </c>
      <c r="C8" s="9"/>
      <c r="D8" s="9"/>
      <c r="E8" s="9"/>
      <c r="F8" s="10">
        <f t="shared" si="0"/>
        <v>20</v>
      </c>
    </row>
    <row r="9" spans="1:6" x14ac:dyDescent="0.25">
      <c r="A9" s="7" t="s">
        <v>7</v>
      </c>
      <c r="B9" s="8">
        <v>22</v>
      </c>
      <c r="C9" s="9"/>
      <c r="D9" s="9"/>
      <c r="E9" s="9"/>
      <c r="F9" s="10">
        <f t="shared" si="0"/>
        <v>22</v>
      </c>
    </row>
    <row r="10" spans="1:6" x14ac:dyDescent="0.25">
      <c r="A10" s="7" t="s">
        <v>6</v>
      </c>
      <c r="B10" s="8">
        <v>42</v>
      </c>
      <c r="C10" s="9"/>
      <c r="D10" s="9"/>
      <c r="E10" s="9"/>
      <c r="F10" s="10">
        <f t="shared" si="0"/>
        <v>42</v>
      </c>
    </row>
    <row r="11" spans="1:6" x14ac:dyDescent="0.25">
      <c r="A11" s="7" t="s">
        <v>4</v>
      </c>
      <c r="B11" s="8">
        <v>700</v>
      </c>
      <c r="C11" s="9"/>
      <c r="D11" s="9"/>
      <c r="E11" s="9"/>
      <c r="F11" s="10">
        <f t="shared" si="0"/>
        <v>700</v>
      </c>
    </row>
    <row r="12" spans="1:6" x14ac:dyDescent="0.25">
      <c r="A12" s="7" t="s">
        <v>5</v>
      </c>
      <c r="B12" s="8">
        <v>20</v>
      </c>
      <c r="C12" s="9"/>
      <c r="D12" s="9"/>
      <c r="E12" s="9"/>
      <c r="F12" s="10">
        <f t="shared" si="0"/>
        <v>20</v>
      </c>
    </row>
    <row r="13" spans="1:6" x14ac:dyDescent="0.25">
      <c r="A13" s="7" t="s">
        <v>375</v>
      </c>
      <c r="B13" s="8">
        <v>2</v>
      </c>
      <c r="C13" s="9"/>
      <c r="D13" s="9"/>
      <c r="E13" s="9"/>
      <c r="F13" s="10">
        <f t="shared" si="0"/>
        <v>2</v>
      </c>
    </row>
    <row r="14" spans="1:6" x14ac:dyDescent="0.25">
      <c r="A14" s="7" t="s">
        <v>340</v>
      </c>
      <c r="B14" s="8">
        <v>1</v>
      </c>
      <c r="C14" s="9"/>
      <c r="D14" s="9"/>
      <c r="E14" s="9"/>
      <c r="F14" s="10">
        <f t="shared" si="0"/>
        <v>1</v>
      </c>
    </row>
    <row r="15" spans="1:6" x14ac:dyDescent="0.25">
      <c r="A15" s="4" t="s">
        <v>9</v>
      </c>
      <c r="B15" s="23">
        <v>0.375</v>
      </c>
      <c r="C15" s="12"/>
      <c r="D15" s="12"/>
      <c r="E15" s="12"/>
      <c r="F15" s="13"/>
    </row>
    <row r="16" spans="1:6" x14ac:dyDescent="0.25">
      <c r="A16" s="4" t="s">
        <v>10</v>
      </c>
      <c r="B16" s="15">
        <v>70000</v>
      </c>
      <c r="C16" s="15"/>
      <c r="D16" s="15"/>
      <c r="E16" s="15"/>
      <c r="F16" s="16"/>
    </row>
    <row r="17" spans="2:6" x14ac:dyDescent="0.25">
      <c r="B17">
        <f>SUM(B6:B13)</f>
        <v>882</v>
      </c>
      <c r="F17" s="18">
        <f>SUM(F6:F13)</f>
        <v>882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520E-0A51-4A77-BD36-03E7AFF949EE}">
  <dimension ref="A1:F10"/>
  <sheetViews>
    <sheetView workbookViewId="0">
      <selection activeCell="I4" sqref="I4"/>
    </sheetView>
  </sheetViews>
  <sheetFormatPr baseColWidth="10" defaultRowHeight="15" x14ac:dyDescent="0.25"/>
  <cols>
    <col min="1" max="1" width="36.28515625" customWidth="1"/>
    <col min="2" max="2" width="18.42578125" customWidth="1"/>
    <col min="3" max="3" width="19.28515625" customWidth="1"/>
  </cols>
  <sheetData>
    <row r="1" spans="1:6" ht="18.75" x14ac:dyDescent="0.3">
      <c r="A1" s="201" t="s">
        <v>347</v>
      </c>
      <c r="B1" s="202"/>
      <c r="C1" s="202"/>
      <c r="D1" s="202"/>
      <c r="E1" s="202"/>
      <c r="F1" s="202"/>
    </row>
    <row r="2" spans="1:6" ht="18.75" x14ac:dyDescent="0.3">
      <c r="A2" s="206" t="s">
        <v>348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13727</v>
      </c>
      <c r="C4" s="2">
        <v>13435</v>
      </c>
      <c r="D4" s="2"/>
      <c r="E4" s="2"/>
      <c r="F4" s="2" t="s">
        <v>56</v>
      </c>
    </row>
    <row r="5" spans="1:6" x14ac:dyDescent="0.25">
      <c r="A5" s="4"/>
      <c r="B5" s="5">
        <v>46193</v>
      </c>
      <c r="C5" s="5">
        <v>46196</v>
      </c>
      <c r="D5" s="5"/>
      <c r="E5" s="5"/>
      <c r="F5" s="5">
        <v>46203</v>
      </c>
    </row>
    <row r="6" spans="1:6" x14ac:dyDescent="0.25">
      <c r="A6" s="7" t="s">
        <v>349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v>0</v>
      </c>
    </row>
    <row r="9" spans="1:6" x14ac:dyDescent="0.25">
      <c r="A9" s="4" t="s">
        <v>9</v>
      </c>
      <c r="B9" s="23">
        <v>0.36249999999999999</v>
      </c>
      <c r="C9" s="12">
        <v>0.12152777777777778</v>
      </c>
      <c r="D9" s="12"/>
      <c r="E9" s="12"/>
      <c r="F9" s="13"/>
    </row>
    <row r="10" spans="1:6" x14ac:dyDescent="0.25">
      <c r="A10" s="4" t="s">
        <v>10</v>
      </c>
      <c r="B10" s="15" t="s">
        <v>346</v>
      </c>
      <c r="C10" s="15" t="s">
        <v>346</v>
      </c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8F05-E3A0-49BF-BE80-AD4DE8C07EC2}">
  <dimension ref="A1:L20"/>
  <sheetViews>
    <sheetView topLeftCell="A3" workbookViewId="0">
      <selection activeCell="K14" sqref="K14"/>
    </sheetView>
  </sheetViews>
  <sheetFormatPr baseColWidth="10" defaultRowHeight="15" x14ac:dyDescent="0.25"/>
  <cols>
    <col min="1" max="1" width="38.140625" customWidth="1"/>
    <col min="9" max="9" width="17.140625" customWidth="1"/>
  </cols>
  <sheetData>
    <row r="1" spans="1:12" ht="18.75" x14ac:dyDescent="0.3">
      <c r="A1" s="201" t="s">
        <v>219</v>
      </c>
      <c r="B1" s="202"/>
      <c r="C1" s="202"/>
      <c r="D1" s="202"/>
      <c r="E1" s="202"/>
      <c r="F1" s="202"/>
      <c r="G1" s="202"/>
      <c r="H1" s="202"/>
      <c r="I1" s="202"/>
    </row>
    <row r="2" spans="1:12" ht="18.75" x14ac:dyDescent="0.3">
      <c r="A2" s="206" t="s">
        <v>220</v>
      </c>
      <c r="B2" s="194"/>
      <c r="C2" s="194"/>
      <c r="D2" s="194"/>
      <c r="E2" s="194"/>
      <c r="F2" s="194"/>
      <c r="G2" s="194"/>
      <c r="H2" s="194"/>
      <c r="I2" s="194"/>
    </row>
    <row r="3" spans="1:12" ht="18.75" x14ac:dyDescent="0.3">
      <c r="A3" s="206" t="s">
        <v>43</v>
      </c>
      <c r="B3" s="194"/>
      <c r="C3" s="194"/>
      <c r="D3" s="194"/>
      <c r="E3" s="194"/>
      <c r="F3" s="194"/>
      <c r="G3" s="194"/>
      <c r="H3" s="194"/>
      <c r="I3" s="194"/>
    </row>
    <row r="4" spans="1:12" x14ac:dyDescent="0.25">
      <c r="A4" s="1" t="s">
        <v>0</v>
      </c>
      <c r="B4" s="2">
        <v>13790</v>
      </c>
      <c r="C4" s="2">
        <v>13714</v>
      </c>
      <c r="D4" s="2">
        <v>13715</v>
      </c>
      <c r="E4" s="2">
        <v>13718</v>
      </c>
      <c r="F4" s="75">
        <v>13432</v>
      </c>
      <c r="G4" s="2">
        <v>13439</v>
      </c>
      <c r="H4" s="2">
        <v>13485</v>
      </c>
      <c r="I4" s="2" t="s">
        <v>56</v>
      </c>
    </row>
    <row r="5" spans="1:12" x14ac:dyDescent="0.25">
      <c r="A5" s="4"/>
      <c r="B5" s="5">
        <v>46182</v>
      </c>
      <c r="C5" s="5">
        <v>46189</v>
      </c>
      <c r="D5" s="5">
        <v>46189</v>
      </c>
      <c r="E5" s="5">
        <v>46190</v>
      </c>
      <c r="F5" s="77">
        <v>46196</v>
      </c>
      <c r="G5" s="5">
        <v>46197</v>
      </c>
      <c r="H5" s="5">
        <v>46213</v>
      </c>
      <c r="I5" s="5">
        <v>46203</v>
      </c>
    </row>
    <row r="6" spans="1:12" x14ac:dyDescent="0.25">
      <c r="A6" s="7" t="s">
        <v>12</v>
      </c>
      <c r="B6" s="8">
        <v>30</v>
      </c>
      <c r="C6" s="9"/>
      <c r="D6" s="9"/>
      <c r="E6" s="9"/>
      <c r="F6" s="78">
        <v>-2</v>
      </c>
      <c r="G6" s="78">
        <v>-2</v>
      </c>
      <c r="H6" s="78">
        <v>-26</v>
      </c>
      <c r="I6" s="78">
        <f>SUM(B6:H6)</f>
        <v>0</v>
      </c>
    </row>
    <row r="7" spans="1:12" x14ac:dyDescent="0.25">
      <c r="A7" s="7" t="s">
        <v>210</v>
      </c>
      <c r="B7" s="8">
        <v>8</v>
      </c>
      <c r="C7" s="9"/>
      <c r="D7" s="9"/>
      <c r="E7" s="9"/>
      <c r="F7" s="9"/>
      <c r="G7" s="78">
        <v>-8</v>
      </c>
      <c r="H7" s="78"/>
      <c r="I7" s="78">
        <f t="shared" ref="I7:I18" si="0">SUM(B7:H7)</f>
        <v>0</v>
      </c>
    </row>
    <row r="8" spans="1:12" x14ac:dyDescent="0.25">
      <c r="A8" s="7" t="s">
        <v>221</v>
      </c>
      <c r="B8" s="8">
        <v>8</v>
      </c>
      <c r="C8" s="9"/>
      <c r="D8" s="9"/>
      <c r="E8" s="9"/>
      <c r="F8" s="9"/>
      <c r="G8" s="78">
        <v>-8</v>
      </c>
      <c r="H8" s="78"/>
      <c r="I8" s="78">
        <f t="shared" si="0"/>
        <v>0</v>
      </c>
    </row>
    <row r="9" spans="1:12" x14ac:dyDescent="0.25">
      <c r="A9" s="7" t="s">
        <v>41</v>
      </c>
      <c r="B9" s="8">
        <v>7</v>
      </c>
      <c r="C9" s="9"/>
      <c r="D9" s="9"/>
      <c r="E9" s="9"/>
      <c r="F9" s="9"/>
      <c r="G9" s="78">
        <v>-7</v>
      </c>
      <c r="H9" s="78"/>
      <c r="I9" s="78">
        <f t="shared" si="0"/>
        <v>0</v>
      </c>
    </row>
    <row r="10" spans="1:12" x14ac:dyDescent="0.25">
      <c r="A10" s="7" t="s">
        <v>212</v>
      </c>
      <c r="B10" s="8">
        <v>60</v>
      </c>
      <c r="C10" s="9"/>
      <c r="D10" s="9"/>
      <c r="E10" s="9"/>
      <c r="F10" s="78">
        <v>-1</v>
      </c>
      <c r="G10" s="9"/>
      <c r="H10" s="9">
        <v>-59</v>
      </c>
      <c r="I10" s="78">
        <f t="shared" si="0"/>
        <v>0</v>
      </c>
    </row>
    <row r="11" spans="1:12" x14ac:dyDescent="0.25">
      <c r="A11" s="7" t="s">
        <v>5</v>
      </c>
      <c r="B11" s="8"/>
      <c r="C11" s="9"/>
      <c r="D11" s="9">
        <v>10</v>
      </c>
      <c r="E11" s="9"/>
      <c r="F11" s="9"/>
      <c r="G11" s="9"/>
      <c r="H11" s="9">
        <v>-10</v>
      </c>
      <c r="I11" s="78">
        <f t="shared" si="0"/>
        <v>0</v>
      </c>
    </row>
    <row r="12" spans="1:12" x14ac:dyDescent="0.25">
      <c r="A12" s="7" t="s">
        <v>293</v>
      </c>
      <c r="B12" s="8"/>
      <c r="C12" s="9">
        <v>1</v>
      </c>
      <c r="D12" s="9"/>
      <c r="E12" s="9"/>
      <c r="F12" s="9"/>
      <c r="G12" s="78">
        <v>-1</v>
      </c>
      <c r="H12" s="78"/>
      <c r="I12" s="78">
        <f t="shared" si="0"/>
        <v>0</v>
      </c>
      <c r="L12" t="s">
        <v>102</v>
      </c>
    </row>
    <row r="13" spans="1:12" x14ac:dyDescent="0.25">
      <c r="A13" s="7" t="s">
        <v>295</v>
      </c>
      <c r="B13" s="8"/>
      <c r="C13" s="9"/>
      <c r="D13" s="9">
        <v>10</v>
      </c>
      <c r="E13" s="9"/>
      <c r="F13" s="9"/>
      <c r="G13" s="9"/>
      <c r="H13" s="9">
        <v>-10</v>
      </c>
      <c r="I13" s="78">
        <f t="shared" si="0"/>
        <v>0</v>
      </c>
    </row>
    <row r="14" spans="1:12" x14ac:dyDescent="0.25">
      <c r="A14" s="7" t="s">
        <v>132</v>
      </c>
      <c r="B14" s="8"/>
      <c r="C14" s="9"/>
      <c r="D14" s="9">
        <v>24</v>
      </c>
      <c r="E14" s="9"/>
      <c r="F14" s="78">
        <v>-17</v>
      </c>
      <c r="G14" s="9"/>
      <c r="H14" s="9">
        <v>-7</v>
      </c>
      <c r="I14" s="78">
        <f t="shared" si="0"/>
        <v>0</v>
      </c>
    </row>
    <row r="15" spans="1:12" x14ac:dyDescent="0.25">
      <c r="A15" s="7" t="s">
        <v>296</v>
      </c>
      <c r="B15" s="8"/>
      <c r="C15" s="9"/>
      <c r="D15" s="9">
        <v>8</v>
      </c>
      <c r="E15" s="9"/>
      <c r="F15" s="78">
        <v>-8</v>
      </c>
      <c r="G15" s="9"/>
      <c r="H15" s="9"/>
      <c r="I15" s="78">
        <f t="shared" si="0"/>
        <v>0</v>
      </c>
    </row>
    <row r="16" spans="1:12" x14ac:dyDescent="0.25">
      <c r="A16" s="7" t="s">
        <v>7</v>
      </c>
      <c r="B16" s="8"/>
      <c r="C16" s="9"/>
      <c r="D16" s="9">
        <v>8</v>
      </c>
      <c r="E16" s="9"/>
      <c r="F16" s="78">
        <v>-8</v>
      </c>
      <c r="G16" s="9"/>
      <c r="H16" s="9"/>
      <c r="I16" s="78">
        <f t="shared" si="0"/>
        <v>0</v>
      </c>
    </row>
    <row r="17" spans="1:9" x14ac:dyDescent="0.25">
      <c r="A17" s="7" t="s">
        <v>4</v>
      </c>
      <c r="B17" s="8"/>
      <c r="C17" s="9"/>
      <c r="D17" s="9">
        <v>70</v>
      </c>
      <c r="E17" s="9">
        <v>230</v>
      </c>
      <c r="F17" s="78">
        <v>-300</v>
      </c>
      <c r="G17" s="9"/>
      <c r="H17" s="9"/>
      <c r="I17" s="78">
        <f t="shared" si="0"/>
        <v>0</v>
      </c>
    </row>
    <row r="18" spans="1:9" x14ac:dyDescent="0.25">
      <c r="A18" s="7" t="s">
        <v>32</v>
      </c>
      <c r="B18" s="8"/>
      <c r="C18" s="9"/>
      <c r="D18" s="9">
        <v>12</v>
      </c>
      <c r="E18" s="9"/>
      <c r="F18" s="78">
        <v>-5</v>
      </c>
      <c r="G18" s="9"/>
      <c r="H18" s="9">
        <v>-7</v>
      </c>
      <c r="I18" s="78">
        <f t="shared" si="0"/>
        <v>0</v>
      </c>
    </row>
    <row r="19" spans="1:9" x14ac:dyDescent="0.25">
      <c r="A19" s="4" t="s">
        <v>9</v>
      </c>
      <c r="B19" s="23">
        <v>8.3333333333333329E-2</v>
      </c>
      <c r="C19" s="12">
        <v>0.49166666666666664</v>
      </c>
      <c r="D19" s="12" t="s">
        <v>297</v>
      </c>
      <c r="E19" s="12">
        <v>0.11805555555555555</v>
      </c>
      <c r="F19" s="165">
        <v>0.375</v>
      </c>
      <c r="G19" s="165">
        <v>6.25E-2</v>
      </c>
      <c r="H19" s="165">
        <v>8.3333333333333329E-2</v>
      </c>
      <c r="I19" s="13"/>
    </row>
    <row r="20" spans="1:9" x14ac:dyDescent="0.25">
      <c r="A20" s="4" t="s">
        <v>10</v>
      </c>
      <c r="B20" s="15">
        <v>20000</v>
      </c>
      <c r="C20" s="103">
        <v>750000</v>
      </c>
      <c r="D20" s="15">
        <v>20000</v>
      </c>
      <c r="E20" s="15" t="s">
        <v>263</v>
      </c>
      <c r="F20" s="166">
        <v>20000</v>
      </c>
      <c r="G20" s="166">
        <v>40000</v>
      </c>
      <c r="H20" s="166"/>
      <c r="I20" s="16"/>
    </row>
  </sheetData>
  <mergeCells count="3">
    <mergeCell ref="A1:I1"/>
    <mergeCell ref="A2:I2"/>
    <mergeCell ref="A3:I3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527-6C20-4249-A97E-0CBABF66F662}">
  <dimension ref="A1:F18"/>
  <sheetViews>
    <sheetView workbookViewId="0">
      <selection activeCell="I15" sqref="I15"/>
    </sheetView>
  </sheetViews>
  <sheetFormatPr baseColWidth="10" defaultRowHeight="15" x14ac:dyDescent="0.25"/>
  <cols>
    <col min="1" max="1" width="40.28515625" customWidth="1"/>
  </cols>
  <sheetData>
    <row r="1" spans="1:6" ht="18.75" x14ac:dyDescent="0.3">
      <c r="A1" s="201" t="s">
        <v>335</v>
      </c>
      <c r="B1" s="202"/>
      <c r="C1" s="202"/>
      <c r="D1" s="202"/>
      <c r="E1" s="202"/>
      <c r="F1" s="202"/>
    </row>
    <row r="2" spans="1:6" ht="18.75" x14ac:dyDescent="0.3">
      <c r="A2" s="206" t="s">
        <v>336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13725</v>
      </c>
      <c r="C4" s="2">
        <v>13443</v>
      </c>
      <c r="D4" s="2">
        <v>13456</v>
      </c>
      <c r="E4" s="2"/>
      <c r="F4" s="2" t="s">
        <v>56</v>
      </c>
    </row>
    <row r="5" spans="1:6" x14ac:dyDescent="0.25">
      <c r="A5" s="4"/>
      <c r="B5" s="5">
        <v>46192</v>
      </c>
      <c r="C5" s="5">
        <v>46198</v>
      </c>
      <c r="D5" s="5">
        <v>46203</v>
      </c>
      <c r="E5" s="5"/>
      <c r="F5" s="5">
        <v>46203</v>
      </c>
    </row>
    <row r="6" spans="1:6" x14ac:dyDescent="0.25">
      <c r="A6" s="7" t="s">
        <v>24</v>
      </c>
      <c r="B6" s="8">
        <v>18</v>
      </c>
      <c r="C6" s="9">
        <v>-12</v>
      </c>
      <c r="D6" s="9">
        <v>-6</v>
      </c>
      <c r="E6" s="9"/>
      <c r="F6" s="10">
        <f>SUM(B6:E6)</f>
        <v>0</v>
      </c>
    </row>
    <row r="7" spans="1:6" x14ac:dyDescent="0.25">
      <c r="A7" s="7" t="s">
        <v>2</v>
      </c>
      <c r="B7" s="8">
        <v>18</v>
      </c>
      <c r="C7" s="9">
        <v>-12</v>
      </c>
      <c r="D7" s="9">
        <v>-6</v>
      </c>
      <c r="E7" s="9"/>
      <c r="F7" s="10">
        <f t="shared" ref="F7:F18" si="0">SUM(B7:E7)</f>
        <v>0</v>
      </c>
    </row>
    <row r="8" spans="1:6" x14ac:dyDescent="0.25">
      <c r="A8" s="7" t="s">
        <v>7</v>
      </c>
      <c r="B8" s="8">
        <v>24</v>
      </c>
      <c r="C8" s="9">
        <v>-16</v>
      </c>
      <c r="D8" s="9">
        <v>-8</v>
      </c>
      <c r="E8" s="9"/>
      <c r="F8" s="10">
        <f t="shared" si="0"/>
        <v>0</v>
      </c>
    </row>
    <row r="9" spans="1:6" x14ac:dyDescent="0.25">
      <c r="A9" s="7" t="s">
        <v>6</v>
      </c>
      <c r="B9" s="8">
        <v>12</v>
      </c>
      <c r="C9" s="9">
        <v>-8</v>
      </c>
      <c r="D9" s="9">
        <v>-4</v>
      </c>
      <c r="E9" s="9"/>
      <c r="F9" s="10">
        <f t="shared" si="0"/>
        <v>0</v>
      </c>
    </row>
    <row r="10" spans="1:6" x14ac:dyDescent="0.25">
      <c r="A10" s="7" t="s">
        <v>4</v>
      </c>
      <c r="B10" s="8">
        <v>400</v>
      </c>
      <c r="C10" s="9">
        <v>-300</v>
      </c>
      <c r="D10" s="9">
        <v>-100</v>
      </c>
      <c r="E10" s="9"/>
      <c r="F10" s="10">
        <f t="shared" si="0"/>
        <v>0</v>
      </c>
    </row>
    <row r="11" spans="1:6" x14ac:dyDescent="0.25">
      <c r="A11" s="7" t="s">
        <v>5</v>
      </c>
      <c r="B11" s="8">
        <v>15</v>
      </c>
      <c r="C11" s="9">
        <v>-9</v>
      </c>
      <c r="D11" s="9">
        <v>-6</v>
      </c>
      <c r="E11" s="9"/>
      <c r="F11" s="10">
        <f t="shared" si="0"/>
        <v>0</v>
      </c>
    </row>
    <row r="12" spans="1:6" x14ac:dyDescent="0.25">
      <c r="A12" s="7" t="s">
        <v>337</v>
      </c>
      <c r="B12" s="8">
        <v>4</v>
      </c>
      <c r="C12" s="9">
        <v>-2</v>
      </c>
      <c r="D12" s="9"/>
      <c r="E12" s="9"/>
      <c r="F12" s="137">
        <f t="shared" si="0"/>
        <v>2</v>
      </c>
    </row>
    <row r="13" spans="1:6" x14ac:dyDescent="0.25">
      <c r="A13" s="7" t="s">
        <v>338</v>
      </c>
      <c r="B13" s="8">
        <v>4</v>
      </c>
      <c r="C13" s="9">
        <v>-2</v>
      </c>
      <c r="D13" s="9"/>
      <c r="E13" s="9"/>
      <c r="F13" s="137">
        <f t="shared" si="0"/>
        <v>2</v>
      </c>
    </row>
    <row r="14" spans="1:6" x14ac:dyDescent="0.25">
      <c r="A14" s="7" t="s">
        <v>51</v>
      </c>
      <c r="B14" s="8">
        <v>2</v>
      </c>
      <c r="C14" s="9">
        <v>-2</v>
      </c>
      <c r="D14" s="9"/>
      <c r="E14" s="9"/>
      <c r="F14" s="10">
        <f t="shared" si="0"/>
        <v>0</v>
      </c>
    </row>
    <row r="15" spans="1:6" x14ac:dyDescent="0.25">
      <c r="A15" s="7" t="s">
        <v>339</v>
      </c>
      <c r="B15" s="8">
        <v>2</v>
      </c>
      <c r="C15" s="9">
        <v>-2</v>
      </c>
      <c r="D15" s="9"/>
      <c r="E15" s="9"/>
      <c r="F15" s="10">
        <f t="shared" si="0"/>
        <v>0</v>
      </c>
    </row>
    <row r="16" spans="1:6" x14ac:dyDescent="0.25">
      <c r="A16" s="7" t="s">
        <v>340</v>
      </c>
      <c r="B16" s="8">
        <v>1</v>
      </c>
      <c r="C16" s="9">
        <v>-1</v>
      </c>
      <c r="D16" s="9"/>
      <c r="E16" s="9"/>
      <c r="F16" s="10">
        <f t="shared" si="0"/>
        <v>0</v>
      </c>
    </row>
    <row r="17" spans="1:6" x14ac:dyDescent="0.25">
      <c r="A17" s="4" t="s">
        <v>9</v>
      </c>
      <c r="B17" s="23">
        <v>0.35416666666666669</v>
      </c>
      <c r="C17" s="12">
        <v>0.45833333333333331</v>
      </c>
      <c r="D17" s="12"/>
      <c r="E17" s="12"/>
      <c r="F17" s="13">
        <f t="shared" si="0"/>
        <v>0.8125</v>
      </c>
    </row>
    <row r="18" spans="1:6" x14ac:dyDescent="0.25">
      <c r="A18" s="4" t="s">
        <v>10</v>
      </c>
      <c r="B18" s="15">
        <v>60000</v>
      </c>
      <c r="C18" s="15">
        <v>60000</v>
      </c>
      <c r="D18" s="15"/>
      <c r="E18" s="15"/>
      <c r="F18" s="16">
        <f t="shared" si="0"/>
        <v>120000</v>
      </c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1EEF-5AE7-4EE8-94E2-A9D7A6A2DC29}">
  <dimension ref="A1:F15"/>
  <sheetViews>
    <sheetView workbookViewId="0">
      <selection activeCell="D4" sqref="D4"/>
    </sheetView>
  </sheetViews>
  <sheetFormatPr baseColWidth="10" defaultRowHeight="15" x14ac:dyDescent="0.25"/>
  <cols>
    <col min="1" max="1" width="37" customWidth="1"/>
  </cols>
  <sheetData>
    <row r="1" spans="1:6" ht="18.75" x14ac:dyDescent="0.3">
      <c r="A1" s="201" t="s">
        <v>298</v>
      </c>
      <c r="B1" s="202"/>
      <c r="C1" s="202"/>
      <c r="D1" s="202"/>
      <c r="E1" s="202"/>
      <c r="F1" s="202"/>
    </row>
    <row r="2" spans="1:6" ht="18.75" x14ac:dyDescent="0.3">
      <c r="A2" s="206" t="s">
        <v>299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13708</v>
      </c>
      <c r="C4" s="2">
        <v>13447</v>
      </c>
      <c r="D4" s="2"/>
      <c r="E4" s="2"/>
      <c r="F4" s="2" t="s">
        <v>56</v>
      </c>
    </row>
    <row r="5" spans="1:6" x14ac:dyDescent="0.25">
      <c r="A5" s="4"/>
      <c r="B5" s="12">
        <v>0.53125</v>
      </c>
      <c r="C5" s="5">
        <v>46199</v>
      </c>
      <c r="D5" s="5"/>
      <c r="E5" s="5"/>
      <c r="F5" s="5">
        <v>46203</v>
      </c>
    </row>
    <row r="6" spans="1:6" x14ac:dyDescent="0.25">
      <c r="A6" s="7" t="s">
        <v>300</v>
      </c>
      <c r="B6" s="8">
        <v>3</v>
      </c>
      <c r="C6" s="9">
        <v>-3</v>
      </c>
      <c r="D6" s="9"/>
      <c r="E6" s="9"/>
      <c r="F6" s="10">
        <f>SUM(B6:E6)</f>
        <v>0</v>
      </c>
    </row>
    <row r="7" spans="1:6" x14ac:dyDescent="0.25">
      <c r="A7" s="7" t="s">
        <v>207</v>
      </c>
      <c r="B7" s="8">
        <v>2</v>
      </c>
      <c r="C7" s="9">
        <v>-2</v>
      </c>
      <c r="D7" s="9"/>
      <c r="E7" s="9"/>
      <c r="F7" s="10">
        <f t="shared" ref="F7:F10" si="0">SUM(B7:E7)</f>
        <v>0</v>
      </c>
    </row>
    <row r="8" spans="1:6" x14ac:dyDescent="0.25">
      <c r="A8" s="7" t="s">
        <v>206</v>
      </c>
      <c r="B8" s="8">
        <v>1</v>
      </c>
      <c r="C8" s="9">
        <v>-1</v>
      </c>
      <c r="D8" s="9"/>
      <c r="E8" s="9"/>
      <c r="F8" s="10">
        <f t="shared" si="0"/>
        <v>0</v>
      </c>
    </row>
    <row r="9" spans="1:6" x14ac:dyDescent="0.25">
      <c r="A9" s="7" t="s">
        <v>233</v>
      </c>
      <c r="B9" s="8">
        <v>2</v>
      </c>
      <c r="C9" s="9">
        <v>-2</v>
      </c>
      <c r="D9" s="9"/>
      <c r="E9" s="9"/>
      <c r="F9" s="10">
        <f t="shared" si="0"/>
        <v>0</v>
      </c>
    </row>
    <row r="10" spans="1:6" x14ac:dyDescent="0.25">
      <c r="A10" s="7" t="s">
        <v>302</v>
      </c>
      <c r="B10" s="8">
        <v>3</v>
      </c>
      <c r="C10" s="9">
        <v>-3</v>
      </c>
      <c r="D10" s="9"/>
      <c r="E10" s="9"/>
      <c r="F10" s="10">
        <f t="shared" si="0"/>
        <v>0</v>
      </c>
    </row>
    <row r="11" spans="1:6" x14ac:dyDescent="0.25">
      <c r="A11" s="7" t="s">
        <v>295</v>
      </c>
      <c r="B11" s="8">
        <v>6</v>
      </c>
      <c r="C11" s="9">
        <v>-6</v>
      </c>
      <c r="D11" s="9"/>
      <c r="E11" s="9"/>
      <c r="F11" s="10">
        <f>SUM(B11:E11)</f>
        <v>0</v>
      </c>
    </row>
    <row r="12" spans="1:6" x14ac:dyDescent="0.25">
      <c r="A12" s="7" t="s">
        <v>301</v>
      </c>
      <c r="B12" s="8">
        <v>1</v>
      </c>
      <c r="C12" s="9">
        <v>-1</v>
      </c>
      <c r="D12" s="9"/>
      <c r="E12" s="9"/>
      <c r="F12" s="10">
        <f>SUM(B12:E12)</f>
        <v>0</v>
      </c>
    </row>
    <row r="13" spans="1:6" x14ac:dyDescent="0.25">
      <c r="A13" s="4" t="s">
        <v>9</v>
      </c>
      <c r="B13" s="23">
        <v>0.53125</v>
      </c>
      <c r="C13" s="12">
        <v>0.14583333333333334</v>
      </c>
      <c r="D13" s="12"/>
      <c r="E13" s="12"/>
      <c r="F13" s="13"/>
    </row>
    <row r="14" spans="1:6" x14ac:dyDescent="0.25">
      <c r="A14" s="4" t="s">
        <v>10</v>
      </c>
      <c r="B14" s="15">
        <v>55000</v>
      </c>
      <c r="C14" s="15">
        <v>55000</v>
      </c>
      <c r="D14" s="15"/>
      <c r="E14" s="15"/>
      <c r="F14" s="16">
        <f>SUM(B14:E14)</f>
        <v>110000</v>
      </c>
    </row>
    <row r="15" spans="1:6" x14ac:dyDescent="0.25">
      <c r="B15" s="104" t="s">
        <v>303</v>
      </c>
      <c r="C15" s="104"/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E902-2931-49CF-A41B-15E5F25373AB}">
  <dimension ref="A1:F10"/>
  <sheetViews>
    <sheetView workbookViewId="0">
      <selection activeCell="F6" sqref="F6"/>
    </sheetView>
  </sheetViews>
  <sheetFormatPr baseColWidth="10" defaultRowHeight="15" x14ac:dyDescent="0.25"/>
  <cols>
    <col min="1" max="1" width="26" customWidth="1"/>
    <col min="2" max="2" width="14.140625" customWidth="1"/>
    <col min="5" max="5" width="15.28515625" customWidth="1"/>
    <col min="6" max="6" width="23.7109375" customWidth="1"/>
  </cols>
  <sheetData>
    <row r="1" spans="1:6" ht="18.75" x14ac:dyDescent="0.3">
      <c r="A1" s="201" t="s">
        <v>214</v>
      </c>
      <c r="B1" s="202"/>
      <c r="C1" s="202"/>
      <c r="D1" s="202"/>
      <c r="E1" s="202"/>
      <c r="F1" s="202"/>
    </row>
    <row r="2" spans="1:6" ht="18.75" x14ac:dyDescent="0.3">
      <c r="A2" s="206" t="s">
        <v>215</v>
      </c>
      <c r="B2" s="194"/>
      <c r="C2" s="194"/>
      <c r="D2" s="194"/>
      <c r="E2" s="194"/>
      <c r="F2" s="194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13788</v>
      </c>
      <c r="C4" s="2"/>
      <c r="D4" s="2"/>
      <c r="E4" s="2"/>
      <c r="F4" s="2" t="s">
        <v>1</v>
      </c>
    </row>
    <row r="5" spans="1:6" x14ac:dyDescent="0.25">
      <c r="A5" s="4"/>
      <c r="B5" s="5">
        <v>46182</v>
      </c>
      <c r="C5" s="5"/>
      <c r="D5" s="5"/>
      <c r="E5" s="5"/>
      <c r="F5" s="5">
        <v>46203</v>
      </c>
    </row>
    <row r="6" spans="1:6" x14ac:dyDescent="0.25">
      <c r="A6" s="7" t="s">
        <v>216</v>
      </c>
      <c r="B6" s="8">
        <v>1</v>
      </c>
      <c r="C6" s="9"/>
      <c r="D6" s="9"/>
      <c r="E6" s="9"/>
      <c r="F6" s="10">
        <f>SUM(B6:E6)</f>
        <v>1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v>0</v>
      </c>
    </row>
    <row r="9" spans="1:6" x14ac:dyDescent="0.25">
      <c r="A9" s="4" t="s">
        <v>9</v>
      </c>
      <c r="B9" s="23">
        <v>0.39305555555555555</v>
      </c>
      <c r="C9" s="12"/>
      <c r="D9" s="12"/>
      <c r="E9" s="12"/>
      <c r="F9" s="13"/>
    </row>
    <row r="10" spans="1:6" x14ac:dyDescent="0.25">
      <c r="A10" s="4" t="s">
        <v>10</v>
      </c>
      <c r="B10" s="15"/>
      <c r="C10" s="15"/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C590-80D1-4224-83E1-01870C1130B9}">
  <dimension ref="A1:G41"/>
  <sheetViews>
    <sheetView workbookViewId="0">
      <selection activeCell="G14" sqref="G14"/>
    </sheetView>
  </sheetViews>
  <sheetFormatPr baseColWidth="10" defaultRowHeight="15" x14ac:dyDescent="0.25"/>
  <cols>
    <col min="1" max="1" width="35.5703125" bestFit="1" customWidth="1"/>
    <col min="5" max="5" width="17" customWidth="1"/>
    <col min="6" max="6" width="16" customWidth="1"/>
  </cols>
  <sheetData>
    <row r="1" spans="1:6" ht="18.75" x14ac:dyDescent="0.3">
      <c r="A1" s="201" t="s">
        <v>72</v>
      </c>
      <c r="B1" s="202"/>
      <c r="C1" s="202"/>
      <c r="D1" s="202"/>
      <c r="E1" s="202"/>
      <c r="F1" s="203"/>
    </row>
    <row r="2" spans="1:6" ht="18.75" x14ac:dyDescent="0.3">
      <c r="A2" s="206" t="s">
        <v>73</v>
      </c>
      <c r="B2" s="194"/>
      <c r="C2" s="194"/>
      <c r="D2" s="194"/>
      <c r="E2" s="194"/>
      <c r="F2" s="205"/>
    </row>
    <row r="3" spans="1:6" ht="18.75" x14ac:dyDescent="0.3">
      <c r="A3" s="206" t="s">
        <v>74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 t="s">
        <v>1</v>
      </c>
      <c r="C4" s="2">
        <v>13337</v>
      </c>
      <c r="D4" s="2">
        <v>13336</v>
      </c>
      <c r="E4" s="2"/>
      <c r="F4" s="2" t="s">
        <v>1</v>
      </c>
    </row>
    <row r="5" spans="1:6" x14ac:dyDescent="0.25">
      <c r="A5" s="4"/>
      <c r="B5" s="5">
        <v>46132</v>
      </c>
      <c r="C5" s="24">
        <v>46161</v>
      </c>
      <c r="D5" s="5">
        <v>46174</v>
      </c>
      <c r="E5" s="5"/>
      <c r="F5" s="5">
        <v>46173</v>
      </c>
    </row>
    <row r="6" spans="1:6" x14ac:dyDescent="0.25">
      <c r="A6" s="7" t="s">
        <v>75</v>
      </c>
      <c r="B6" s="8">
        <v>5</v>
      </c>
      <c r="C6" s="9"/>
      <c r="D6" s="9">
        <v>-5</v>
      </c>
      <c r="E6" s="9"/>
      <c r="F6" s="10">
        <f t="shared" ref="F6:F12" si="0">SUM(B6:E6)</f>
        <v>0</v>
      </c>
    </row>
    <row r="7" spans="1:6" x14ac:dyDescent="0.25">
      <c r="A7" s="7" t="s">
        <v>76</v>
      </c>
      <c r="B7" s="8">
        <v>2</v>
      </c>
      <c r="C7" s="9"/>
      <c r="D7" s="9">
        <v>-2</v>
      </c>
      <c r="E7" s="9"/>
      <c r="F7" s="63">
        <f t="shared" si="0"/>
        <v>0</v>
      </c>
    </row>
    <row r="8" spans="1:6" x14ac:dyDescent="0.25">
      <c r="A8" s="7" t="s">
        <v>77</v>
      </c>
      <c r="B8" s="8">
        <v>2</v>
      </c>
      <c r="C8" s="9"/>
      <c r="D8" s="9">
        <v>-2</v>
      </c>
      <c r="E8" s="9"/>
      <c r="F8" s="10">
        <f t="shared" si="0"/>
        <v>0</v>
      </c>
    </row>
    <row r="9" spans="1:6" x14ac:dyDescent="0.25">
      <c r="A9" s="7" t="s">
        <v>78</v>
      </c>
      <c r="B9" s="8">
        <v>2</v>
      </c>
      <c r="C9" s="9"/>
      <c r="D9" s="9">
        <v>-2</v>
      </c>
      <c r="E9" s="9"/>
      <c r="F9" s="10">
        <f t="shared" si="0"/>
        <v>0</v>
      </c>
    </row>
    <row r="10" spans="1:6" x14ac:dyDescent="0.25">
      <c r="A10" s="7" t="s">
        <v>79</v>
      </c>
      <c r="B10" s="8">
        <v>8</v>
      </c>
      <c r="C10" s="9">
        <v>-2</v>
      </c>
      <c r="D10" s="9">
        <v>-6</v>
      </c>
      <c r="E10" s="9"/>
      <c r="F10" s="10">
        <f t="shared" si="0"/>
        <v>0</v>
      </c>
    </row>
    <row r="11" spans="1:6" x14ac:dyDescent="0.25">
      <c r="A11" s="7" t="s">
        <v>80</v>
      </c>
      <c r="B11" s="8">
        <v>6</v>
      </c>
      <c r="C11" s="9">
        <v>-6</v>
      </c>
      <c r="D11" s="9"/>
      <c r="E11" s="9"/>
      <c r="F11" s="10">
        <f t="shared" si="0"/>
        <v>0</v>
      </c>
    </row>
    <row r="12" spans="1:6" x14ac:dyDescent="0.25">
      <c r="A12" s="7" t="s">
        <v>81</v>
      </c>
      <c r="B12" s="8">
        <v>6</v>
      </c>
      <c r="C12" s="9">
        <v>-6</v>
      </c>
      <c r="D12" s="9"/>
      <c r="E12" s="9"/>
      <c r="F12" s="10">
        <f t="shared" si="0"/>
        <v>0</v>
      </c>
    </row>
    <row r="13" spans="1:6" x14ac:dyDescent="0.25">
      <c r="A13" s="4" t="s">
        <v>9</v>
      </c>
      <c r="B13" s="21">
        <v>9.7222222222222224E-2</v>
      </c>
      <c r="C13" s="12">
        <v>0.1875</v>
      </c>
      <c r="D13" s="12">
        <v>0.14583333333333334</v>
      </c>
      <c r="E13" s="12"/>
      <c r="F13" s="13"/>
    </row>
    <row r="14" spans="1:6" x14ac:dyDescent="0.25">
      <c r="A14" s="4" t="s">
        <v>10</v>
      </c>
      <c r="B14" s="25">
        <v>35000</v>
      </c>
      <c r="C14" s="15"/>
      <c r="D14" s="15"/>
      <c r="E14" s="15"/>
      <c r="F14" s="13"/>
    </row>
    <row r="17" spans="1:6" x14ac:dyDescent="0.25">
      <c r="A17" s="224" t="s">
        <v>82</v>
      </c>
      <c r="B17" s="185"/>
      <c r="C17" s="185"/>
      <c r="D17" s="185"/>
      <c r="E17" s="185"/>
      <c r="F17" s="225"/>
    </row>
    <row r="18" spans="1:6" x14ac:dyDescent="0.25">
      <c r="A18" s="224" t="s">
        <v>83</v>
      </c>
      <c r="B18" s="185"/>
      <c r="C18" s="185"/>
      <c r="D18" s="185"/>
      <c r="E18" s="185"/>
      <c r="F18" s="225"/>
    </row>
    <row r="19" spans="1:6" ht="18" x14ac:dyDescent="0.25">
      <c r="A19" s="222" t="s">
        <v>84</v>
      </c>
      <c r="B19" s="188"/>
      <c r="C19" s="188"/>
      <c r="D19" s="188"/>
      <c r="E19" s="188"/>
      <c r="F19" s="223"/>
    </row>
    <row r="20" spans="1:6" x14ac:dyDescent="0.25">
      <c r="A20" s="190" t="s">
        <v>0</v>
      </c>
      <c r="B20" s="191" t="s">
        <v>85</v>
      </c>
      <c r="C20" s="191"/>
      <c r="D20" s="191"/>
      <c r="E20" s="191" t="s">
        <v>86</v>
      </c>
      <c r="F20" s="180"/>
    </row>
    <row r="21" spans="1:6" x14ac:dyDescent="0.25">
      <c r="A21" s="190"/>
      <c r="B21" s="26" t="s">
        <v>87</v>
      </c>
      <c r="C21" s="26" t="s">
        <v>88</v>
      </c>
      <c r="D21" s="26" t="s">
        <v>89</v>
      </c>
      <c r="E21" s="26" t="s">
        <v>90</v>
      </c>
      <c r="F21" s="27" t="s">
        <v>91</v>
      </c>
    </row>
    <row r="22" spans="1:6" x14ac:dyDescent="0.25">
      <c r="A22" s="28" t="s">
        <v>75</v>
      </c>
      <c r="B22" s="29">
        <v>11</v>
      </c>
      <c r="C22" s="30">
        <v>5</v>
      </c>
      <c r="D22" s="31">
        <v>450</v>
      </c>
      <c r="E22" s="32">
        <f t="shared" ref="E22:E26" si="1">C22*D22</f>
        <v>2250</v>
      </c>
      <c r="F22" s="33">
        <f t="shared" ref="F22:F26" si="2">B22*E22</f>
        <v>24750</v>
      </c>
    </row>
    <row r="23" spans="1:6" x14ac:dyDescent="0.25">
      <c r="A23" s="28" t="s">
        <v>92</v>
      </c>
      <c r="B23" s="29">
        <v>11</v>
      </c>
      <c r="C23" s="30">
        <v>2</v>
      </c>
      <c r="D23" s="31">
        <v>200</v>
      </c>
      <c r="E23" s="32">
        <f t="shared" si="1"/>
        <v>400</v>
      </c>
      <c r="F23" s="33">
        <f t="shared" si="2"/>
        <v>4400</v>
      </c>
    </row>
    <row r="24" spans="1:6" x14ac:dyDescent="0.25">
      <c r="A24" s="28" t="s">
        <v>93</v>
      </c>
      <c r="B24" s="29">
        <v>11</v>
      </c>
      <c r="C24" s="30">
        <v>2</v>
      </c>
      <c r="D24" s="31">
        <v>200</v>
      </c>
      <c r="E24" s="32">
        <f t="shared" si="1"/>
        <v>400</v>
      </c>
      <c r="F24" s="33">
        <f t="shared" si="2"/>
        <v>4400</v>
      </c>
    </row>
    <row r="25" spans="1:6" x14ac:dyDescent="0.25">
      <c r="A25" s="28" t="s">
        <v>78</v>
      </c>
      <c r="B25" s="29">
        <v>11</v>
      </c>
      <c r="C25" s="30">
        <v>2</v>
      </c>
      <c r="D25" s="31">
        <v>160</v>
      </c>
      <c r="E25" s="32">
        <f t="shared" si="1"/>
        <v>320</v>
      </c>
      <c r="F25" s="33">
        <f t="shared" si="2"/>
        <v>3520</v>
      </c>
    </row>
    <row r="26" spans="1:6" x14ac:dyDescent="0.25">
      <c r="A26" s="28" t="s">
        <v>94</v>
      </c>
      <c r="B26" s="29">
        <v>11</v>
      </c>
      <c r="C26" s="30">
        <v>6</v>
      </c>
      <c r="D26" s="31">
        <v>1000</v>
      </c>
      <c r="E26" s="32">
        <f t="shared" si="1"/>
        <v>6000</v>
      </c>
      <c r="F26" s="34">
        <f t="shared" si="2"/>
        <v>66000</v>
      </c>
    </row>
    <row r="27" spans="1:6" ht="18.75" x14ac:dyDescent="0.4">
      <c r="A27" s="214" t="s">
        <v>95</v>
      </c>
      <c r="B27" s="215"/>
      <c r="C27" s="226" t="s">
        <v>96</v>
      </c>
      <c r="D27" s="226"/>
      <c r="E27" s="36">
        <f>SUM(E22:E26)</f>
        <v>9370</v>
      </c>
      <c r="F27" s="37"/>
    </row>
    <row r="28" spans="1:6" ht="19.5" thickBot="1" x14ac:dyDescent="0.45">
      <c r="A28" s="174"/>
      <c r="B28" s="175"/>
      <c r="C28" s="178" t="s">
        <v>97</v>
      </c>
      <c r="D28" s="178"/>
      <c r="E28" s="38">
        <f>SUM(F22:F26)</f>
        <v>103070</v>
      </c>
      <c r="F28" s="39"/>
    </row>
    <row r="29" spans="1:6" ht="18.75" x14ac:dyDescent="0.4">
      <c r="A29" s="174"/>
      <c r="B29" s="175"/>
      <c r="C29" s="220" t="s">
        <v>98</v>
      </c>
      <c r="D29" s="221"/>
      <c r="E29" s="40">
        <v>35000</v>
      </c>
      <c r="F29" s="39"/>
    </row>
    <row r="30" spans="1:6" ht="19.5" thickBot="1" x14ac:dyDescent="0.45">
      <c r="A30" s="176"/>
      <c r="B30" s="177"/>
      <c r="C30" s="178" t="s">
        <v>97</v>
      </c>
      <c r="D30" s="178"/>
      <c r="E30" s="41">
        <f>SUM(E28:E29)</f>
        <v>138070</v>
      </c>
      <c r="F30" s="42"/>
    </row>
    <row r="32" spans="1:6" x14ac:dyDescent="0.25">
      <c r="A32" s="224" t="s">
        <v>82</v>
      </c>
      <c r="B32" s="185"/>
      <c r="C32" s="185"/>
      <c r="D32" s="185"/>
      <c r="E32" s="185"/>
      <c r="F32" s="225"/>
    </row>
    <row r="33" spans="1:7" x14ac:dyDescent="0.25">
      <c r="A33" s="224" t="s">
        <v>83</v>
      </c>
      <c r="B33" s="185"/>
      <c r="C33" s="185"/>
      <c r="D33" s="185"/>
      <c r="E33" s="185"/>
      <c r="F33" s="225"/>
    </row>
    <row r="34" spans="1:7" ht="18" x14ac:dyDescent="0.25">
      <c r="A34" s="222" t="s">
        <v>84</v>
      </c>
      <c r="B34" s="188"/>
      <c r="C34" s="188"/>
      <c r="D34" s="188"/>
      <c r="E34" s="188"/>
      <c r="F34" s="223"/>
      <c r="G34" t="s">
        <v>218</v>
      </c>
    </row>
    <row r="35" spans="1:7" x14ac:dyDescent="0.25">
      <c r="A35" s="190" t="s">
        <v>0</v>
      </c>
      <c r="B35" s="191" t="s">
        <v>85</v>
      </c>
      <c r="C35" s="191"/>
      <c r="D35" s="191"/>
      <c r="E35" s="191" t="s">
        <v>86</v>
      </c>
      <c r="F35" s="180"/>
    </row>
    <row r="36" spans="1:7" x14ac:dyDescent="0.25">
      <c r="A36" s="190"/>
      <c r="B36" s="26" t="s">
        <v>87</v>
      </c>
      <c r="C36" s="26" t="s">
        <v>88</v>
      </c>
      <c r="D36" s="26" t="s">
        <v>89</v>
      </c>
      <c r="E36" s="26" t="s">
        <v>90</v>
      </c>
      <c r="F36" s="27" t="s">
        <v>91</v>
      </c>
    </row>
    <row r="37" spans="1:7" x14ac:dyDescent="0.25">
      <c r="A37" s="28" t="s">
        <v>92</v>
      </c>
      <c r="B37" s="29">
        <v>12</v>
      </c>
      <c r="C37" s="30">
        <v>2</v>
      </c>
      <c r="D37" s="31">
        <v>200</v>
      </c>
      <c r="E37" s="32">
        <f t="shared" ref="E37" si="3">C37*D37</f>
        <v>400</v>
      </c>
      <c r="F37" s="33">
        <f t="shared" ref="F37" si="4">B37*E37</f>
        <v>4800</v>
      </c>
    </row>
    <row r="38" spans="1:7" ht="18.75" x14ac:dyDescent="0.4">
      <c r="A38" s="214" t="s">
        <v>217</v>
      </c>
      <c r="B38" s="215"/>
      <c r="C38" s="226" t="s">
        <v>96</v>
      </c>
      <c r="D38" s="226"/>
      <c r="E38" s="36">
        <f>SUM(E37:E37)</f>
        <v>400</v>
      </c>
      <c r="F38" s="37"/>
    </row>
    <row r="39" spans="1:7" ht="19.5" thickBot="1" x14ac:dyDescent="0.45">
      <c r="A39" s="174"/>
      <c r="B39" s="175"/>
      <c r="C39" s="178" t="s">
        <v>97</v>
      </c>
      <c r="D39" s="178"/>
      <c r="E39" s="38">
        <f>SUM(F37:F37)</f>
        <v>4800</v>
      </c>
      <c r="F39" s="39"/>
    </row>
    <row r="40" spans="1:7" ht="18.75" x14ac:dyDescent="0.4">
      <c r="A40" s="174"/>
      <c r="B40" s="175"/>
      <c r="C40" s="220" t="s">
        <v>98</v>
      </c>
      <c r="D40" s="221"/>
      <c r="E40" s="40"/>
      <c r="F40" s="39"/>
    </row>
    <row r="41" spans="1:7" ht="19.5" thickBot="1" x14ac:dyDescent="0.45">
      <c r="A41" s="176"/>
      <c r="B41" s="177"/>
      <c r="C41" s="178" t="s">
        <v>97</v>
      </c>
      <c r="D41" s="178"/>
      <c r="E41" s="41">
        <f>SUM(E39:E40)</f>
        <v>4800</v>
      </c>
      <c r="F41" s="42"/>
    </row>
  </sheetData>
  <mergeCells count="25">
    <mergeCell ref="A38:B41"/>
    <mergeCell ref="C38:D38"/>
    <mergeCell ref="C39:D39"/>
    <mergeCell ref="C40:D40"/>
    <mergeCell ref="C41:D41"/>
    <mergeCell ref="A32:F32"/>
    <mergeCell ref="A33:F33"/>
    <mergeCell ref="A34:F34"/>
    <mergeCell ref="A35:A36"/>
    <mergeCell ref="B35:D35"/>
    <mergeCell ref="E35:F35"/>
    <mergeCell ref="A20:A21"/>
    <mergeCell ref="B20:D20"/>
    <mergeCell ref="E20:F20"/>
    <mergeCell ref="A27:B30"/>
    <mergeCell ref="C27:D27"/>
    <mergeCell ref="C28:D28"/>
    <mergeCell ref="C29:D29"/>
    <mergeCell ref="C30:D30"/>
    <mergeCell ref="A19:F19"/>
    <mergeCell ref="A1:F1"/>
    <mergeCell ref="A2:F2"/>
    <mergeCell ref="A3:F3"/>
    <mergeCell ref="A17:F17"/>
    <mergeCell ref="A18:F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32B5-1113-448C-9B8C-0AE9C2C784C7}">
  <dimension ref="A1:F10"/>
  <sheetViews>
    <sheetView workbookViewId="0">
      <selection activeCell="I6" sqref="I6"/>
    </sheetView>
  </sheetViews>
  <sheetFormatPr baseColWidth="10" defaultRowHeight="15" x14ac:dyDescent="0.25"/>
  <cols>
    <col min="1" max="1" width="26.28515625" customWidth="1"/>
    <col min="2" max="2" width="13.140625" customWidth="1"/>
  </cols>
  <sheetData>
    <row r="1" spans="1:6" ht="18.75" x14ac:dyDescent="0.3">
      <c r="A1" s="201" t="s">
        <v>99</v>
      </c>
      <c r="B1" s="202"/>
      <c r="C1" s="202"/>
      <c r="D1" s="202"/>
      <c r="E1" s="202"/>
      <c r="F1" s="207"/>
    </row>
    <row r="2" spans="1:6" ht="18.75" x14ac:dyDescent="0.3">
      <c r="A2" s="206" t="s">
        <v>100</v>
      </c>
      <c r="B2" s="194"/>
      <c r="C2" s="194"/>
      <c r="D2" s="194"/>
      <c r="E2" s="194"/>
      <c r="F2" s="195"/>
    </row>
    <row r="3" spans="1:6" ht="18.75" x14ac:dyDescent="0.3">
      <c r="A3" s="206" t="s">
        <v>101</v>
      </c>
      <c r="B3" s="194"/>
      <c r="C3" s="194"/>
      <c r="D3" s="194"/>
      <c r="E3" s="194"/>
      <c r="F3" s="195"/>
    </row>
    <row r="4" spans="1:6" x14ac:dyDescent="0.25">
      <c r="A4" s="1" t="s">
        <v>102</v>
      </c>
      <c r="B4" s="2">
        <v>13777</v>
      </c>
      <c r="C4" s="2">
        <v>13777</v>
      </c>
      <c r="D4" s="2"/>
      <c r="E4" s="2"/>
      <c r="F4" s="2" t="s">
        <v>1</v>
      </c>
    </row>
    <row r="5" spans="1:6" x14ac:dyDescent="0.25">
      <c r="A5" s="4" t="s">
        <v>0</v>
      </c>
      <c r="B5" s="5">
        <v>46176</v>
      </c>
      <c r="C5" s="5">
        <v>46147</v>
      </c>
      <c r="D5" s="5"/>
      <c r="E5" s="5"/>
      <c r="F5" s="5">
        <v>46203</v>
      </c>
    </row>
    <row r="6" spans="1:6" x14ac:dyDescent="0.25">
      <c r="A6" s="17" t="s">
        <v>103</v>
      </c>
      <c r="B6" s="8">
        <v>1</v>
      </c>
      <c r="C6" s="9">
        <v>-1</v>
      </c>
      <c r="D6" s="35"/>
      <c r="E6" s="9"/>
      <c r="F6" s="10">
        <f t="shared" ref="F6" si="0">SUM(B6:E6)</f>
        <v>0</v>
      </c>
    </row>
    <row r="7" spans="1:6" x14ac:dyDescent="0.25">
      <c r="A7" s="17"/>
      <c r="B7" s="8"/>
      <c r="C7" s="9"/>
      <c r="D7" s="9"/>
      <c r="E7" s="9"/>
      <c r="F7" s="10"/>
    </row>
    <row r="8" spans="1:6" x14ac:dyDescent="0.25">
      <c r="A8" s="4" t="s">
        <v>9</v>
      </c>
      <c r="B8" s="11">
        <v>0.4375</v>
      </c>
      <c r="C8" s="12">
        <v>0.3611111111111111</v>
      </c>
      <c r="D8" s="11"/>
      <c r="E8" s="12"/>
      <c r="F8" s="13"/>
    </row>
    <row r="9" spans="1:6" x14ac:dyDescent="0.25">
      <c r="A9" s="4" t="s">
        <v>10</v>
      </c>
      <c r="B9" s="15" t="s">
        <v>104</v>
      </c>
      <c r="C9" s="15" t="s">
        <v>104</v>
      </c>
      <c r="D9" s="15"/>
      <c r="E9" s="15"/>
      <c r="F9" s="16"/>
    </row>
    <row r="10" spans="1:6" x14ac:dyDescent="0.25">
      <c r="A10" s="43" t="s">
        <v>105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DF4A-FB15-41F2-9D0E-CF32E1969AA2}">
  <dimension ref="A1:I8"/>
  <sheetViews>
    <sheetView workbookViewId="0">
      <selection activeCell="C13" sqref="C13"/>
    </sheetView>
  </sheetViews>
  <sheetFormatPr baseColWidth="10" defaultRowHeight="15" x14ac:dyDescent="0.25"/>
  <cols>
    <col min="1" max="1" width="30.5703125" customWidth="1"/>
  </cols>
  <sheetData>
    <row r="1" spans="1:9" ht="18.75" x14ac:dyDescent="0.3">
      <c r="A1" s="201" t="s">
        <v>171</v>
      </c>
      <c r="B1" s="202"/>
      <c r="C1" s="202"/>
      <c r="D1" s="202"/>
      <c r="E1" s="202"/>
      <c r="F1" s="202"/>
      <c r="G1" s="202"/>
      <c r="H1" s="202"/>
      <c r="I1" s="203"/>
    </row>
    <row r="2" spans="1:9" ht="18.75" x14ac:dyDescent="0.3">
      <c r="A2" s="206" t="s">
        <v>172</v>
      </c>
      <c r="B2" s="194"/>
      <c r="C2" s="194"/>
      <c r="D2" s="194"/>
      <c r="E2" s="194"/>
      <c r="F2" s="194"/>
      <c r="G2" s="194"/>
      <c r="H2" s="194"/>
      <c r="I2" s="205"/>
    </row>
    <row r="3" spans="1:9" ht="18.75" x14ac:dyDescent="0.3">
      <c r="A3" s="206" t="s">
        <v>173</v>
      </c>
      <c r="B3" s="194"/>
      <c r="C3" s="194"/>
      <c r="D3" s="194"/>
      <c r="E3" s="194"/>
      <c r="F3" s="194"/>
      <c r="G3" s="194"/>
      <c r="H3" s="194"/>
      <c r="I3" s="194"/>
    </row>
    <row r="4" spans="1:9" x14ac:dyDescent="0.25">
      <c r="A4" s="1" t="s">
        <v>0</v>
      </c>
      <c r="B4" s="2" t="s">
        <v>56</v>
      </c>
      <c r="C4" s="2"/>
      <c r="D4" s="2"/>
      <c r="E4" s="2"/>
      <c r="F4" s="2"/>
      <c r="G4" s="2"/>
      <c r="H4" s="2"/>
      <c r="I4" s="2" t="s">
        <v>1</v>
      </c>
    </row>
    <row r="5" spans="1:9" x14ac:dyDescent="0.25">
      <c r="A5" s="4"/>
      <c r="B5" s="5">
        <v>46173</v>
      </c>
      <c r="C5" s="5"/>
      <c r="D5" s="5"/>
      <c r="E5" s="5"/>
      <c r="F5" s="5"/>
      <c r="G5" s="5"/>
      <c r="H5" s="5"/>
      <c r="I5" s="5">
        <v>46203</v>
      </c>
    </row>
    <row r="6" spans="1:9" x14ac:dyDescent="0.25">
      <c r="A6" s="17" t="s">
        <v>7</v>
      </c>
      <c r="B6" s="8">
        <v>2</v>
      </c>
      <c r="C6" s="9"/>
      <c r="D6" s="9"/>
      <c r="E6" s="9"/>
      <c r="F6" s="9"/>
      <c r="G6" s="9"/>
      <c r="H6" s="9"/>
      <c r="I6" s="10">
        <f t="shared" ref="I6" si="0">SUM(B6:H6)</f>
        <v>2</v>
      </c>
    </row>
    <row r="7" spans="1:9" x14ac:dyDescent="0.25">
      <c r="A7" s="4" t="s">
        <v>9</v>
      </c>
      <c r="B7" s="21"/>
      <c r="C7" s="12"/>
      <c r="D7" s="12"/>
      <c r="E7" s="12"/>
      <c r="F7" s="12"/>
      <c r="G7" s="12"/>
      <c r="H7" s="12"/>
      <c r="I7" s="13"/>
    </row>
    <row r="8" spans="1:9" x14ac:dyDescent="0.25">
      <c r="A8" s="4" t="s">
        <v>10</v>
      </c>
      <c r="B8" s="21"/>
      <c r="C8" s="15"/>
      <c r="D8" s="15"/>
      <c r="E8" s="15"/>
      <c r="F8" s="15"/>
      <c r="G8" s="15"/>
      <c r="H8" s="15"/>
      <c r="I8" s="16">
        <f>SUM(C8:F8)</f>
        <v>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4CF5-B8C5-4F22-B7D1-DF287DCFAC81}">
  <sheetPr>
    <pageSetUpPr fitToPage="1"/>
  </sheetPr>
  <dimension ref="A1:K29"/>
  <sheetViews>
    <sheetView topLeftCell="A7" workbookViewId="0">
      <selection sqref="A1:H29"/>
    </sheetView>
  </sheetViews>
  <sheetFormatPr baseColWidth="10" defaultRowHeight="15" x14ac:dyDescent="0.25"/>
  <cols>
    <col min="1" max="1" width="37" customWidth="1"/>
  </cols>
  <sheetData>
    <row r="1" spans="1:11" ht="18.75" x14ac:dyDescent="0.3">
      <c r="A1" s="201" t="s">
        <v>106</v>
      </c>
      <c r="B1" s="202"/>
      <c r="C1" s="202"/>
      <c r="D1" s="202"/>
      <c r="E1" s="202"/>
      <c r="F1" s="202"/>
      <c r="G1" s="202"/>
      <c r="H1" s="203"/>
    </row>
    <row r="2" spans="1:11" ht="18.75" x14ac:dyDescent="0.3">
      <c r="A2" s="206" t="s">
        <v>107</v>
      </c>
      <c r="B2" s="194"/>
      <c r="C2" s="194"/>
      <c r="D2" s="194"/>
      <c r="E2" s="194"/>
      <c r="F2" s="194"/>
      <c r="G2" s="194"/>
      <c r="H2" s="205"/>
    </row>
    <row r="3" spans="1:11" ht="18.75" x14ac:dyDescent="0.3">
      <c r="A3" s="206" t="s">
        <v>424</v>
      </c>
      <c r="B3" s="194"/>
      <c r="C3" s="194"/>
      <c r="D3" s="194"/>
      <c r="E3" s="194"/>
      <c r="F3" s="194"/>
      <c r="G3" s="194"/>
      <c r="H3" s="205"/>
    </row>
    <row r="4" spans="1:11" x14ac:dyDescent="0.25">
      <c r="A4" s="111" t="s">
        <v>0</v>
      </c>
      <c r="B4" s="2" t="s">
        <v>1</v>
      </c>
      <c r="C4" s="2">
        <v>13778</v>
      </c>
      <c r="D4" s="2">
        <v>13730</v>
      </c>
      <c r="E4" s="2">
        <v>13428</v>
      </c>
      <c r="F4" s="2">
        <v>13737</v>
      </c>
      <c r="G4" s="2"/>
      <c r="H4" s="112" t="s">
        <v>1</v>
      </c>
    </row>
    <row r="5" spans="1:11" x14ac:dyDescent="0.25">
      <c r="A5" s="113"/>
      <c r="B5" s="5">
        <v>46173</v>
      </c>
      <c r="C5" s="24">
        <v>46176</v>
      </c>
      <c r="D5" s="44">
        <v>46195</v>
      </c>
      <c r="E5" s="5">
        <v>46195</v>
      </c>
      <c r="F5" s="5">
        <v>46198</v>
      </c>
      <c r="G5" s="5"/>
      <c r="H5" s="142">
        <v>46204</v>
      </c>
    </row>
    <row r="6" spans="1:11" x14ac:dyDescent="0.25">
      <c r="A6" s="114" t="s">
        <v>24</v>
      </c>
      <c r="B6" s="8">
        <v>1</v>
      </c>
      <c r="C6" s="9"/>
      <c r="D6" s="9"/>
      <c r="E6" s="9"/>
      <c r="F6" s="9"/>
      <c r="G6" s="9"/>
      <c r="H6" s="143">
        <f t="shared" ref="H6:H17" si="0">SUM(B6:G6)</f>
        <v>1</v>
      </c>
    </row>
    <row r="7" spans="1:11" x14ac:dyDescent="0.25">
      <c r="A7" s="114" t="s">
        <v>7</v>
      </c>
      <c r="B7" s="8">
        <v>1</v>
      </c>
      <c r="C7" s="97">
        <v>4</v>
      </c>
      <c r="D7" s="9"/>
      <c r="E7" s="97">
        <v>-4</v>
      </c>
      <c r="F7" s="9"/>
      <c r="G7" s="9"/>
      <c r="H7" s="143">
        <f t="shared" si="0"/>
        <v>1</v>
      </c>
      <c r="K7" t="s">
        <v>102</v>
      </c>
    </row>
    <row r="8" spans="1:11" x14ac:dyDescent="0.25">
      <c r="A8" s="114" t="s">
        <v>108</v>
      </c>
      <c r="B8" s="8">
        <v>1</v>
      </c>
      <c r="C8" s="9"/>
      <c r="D8" s="9"/>
      <c r="E8" s="97">
        <v>-1</v>
      </c>
      <c r="F8" s="9"/>
      <c r="G8" s="9"/>
      <c r="H8" s="143">
        <f t="shared" si="0"/>
        <v>0</v>
      </c>
    </row>
    <row r="9" spans="1:11" x14ac:dyDescent="0.25">
      <c r="A9" s="114" t="s">
        <v>110</v>
      </c>
      <c r="B9" s="8">
        <v>2</v>
      </c>
      <c r="C9" s="9"/>
      <c r="D9" s="9"/>
      <c r="E9" s="9"/>
      <c r="F9" s="9"/>
      <c r="G9" s="9"/>
      <c r="H9" s="143">
        <f t="shared" si="0"/>
        <v>2</v>
      </c>
    </row>
    <row r="10" spans="1:11" x14ac:dyDescent="0.25">
      <c r="A10" s="114" t="s">
        <v>407</v>
      </c>
      <c r="B10" s="8">
        <v>2</v>
      </c>
      <c r="C10" s="9"/>
      <c r="D10" s="9"/>
      <c r="E10" s="9"/>
      <c r="F10" s="9"/>
      <c r="G10" s="9"/>
      <c r="H10" s="143">
        <f t="shared" si="0"/>
        <v>2</v>
      </c>
    </row>
    <row r="11" spans="1:11" x14ac:dyDescent="0.25">
      <c r="A11" s="114" t="s">
        <v>13</v>
      </c>
      <c r="B11" s="8"/>
      <c r="C11" s="97">
        <v>20</v>
      </c>
      <c r="D11" s="9"/>
      <c r="E11" s="97">
        <v>-20</v>
      </c>
      <c r="F11" s="9"/>
      <c r="G11" s="9"/>
      <c r="H11" s="143">
        <f t="shared" si="0"/>
        <v>0</v>
      </c>
    </row>
    <row r="12" spans="1:11" x14ac:dyDescent="0.25">
      <c r="A12" s="114" t="s">
        <v>2</v>
      </c>
      <c r="B12" s="8"/>
      <c r="C12" s="97">
        <v>10</v>
      </c>
      <c r="D12" s="9"/>
      <c r="E12" s="97">
        <v>-10</v>
      </c>
      <c r="F12" s="9"/>
      <c r="G12" s="9"/>
      <c r="H12" s="143">
        <f t="shared" si="0"/>
        <v>0</v>
      </c>
    </row>
    <row r="13" spans="1:11" x14ac:dyDescent="0.25">
      <c r="A13" s="114" t="s">
        <v>6</v>
      </c>
      <c r="B13" s="8"/>
      <c r="C13" s="97">
        <v>5</v>
      </c>
      <c r="D13" s="9"/>
      <c r="E13" s="97">
        <v>-5</v>
      </c>
      <c r="F13" s="9"/>
      <c r="G13" s="9"/>
      <c r="H13" s="143">
        <f t="shared" si="0"/>
        <v>0</v>
      </c>
    </row>
    <row r="14" spans="1:11" x14ac:dyDescent="0.25">
      <c r="A14" s="114" t="s">
        <v>4</v>
      </c>
      <c r="B14" s="8"/>
      <c r="C14" s="97">
        <v>300</v>
      </c>
      <c r="D14" s="9"/>
      <c r="E14" s="97">
        <v>-300</v>
      </c>
      <c r="F14" s="9"/>
      <c r="G14" s="9"/>
      <c r="H14" s="143">
        <f t="shared" si="0"/>
        <v>0</v>
      </c>
    </row>
    <row r="15" spans="1:11" x14ac:dyDescent="0.25">
      <c r="A15" s="114" t="s">
        <v>111</v>
      </c>
      <c r="B15" s="8"/>
      <c r="C15" s="97">
        <v>8</v>
      </c>
      <c r="D15" s="9"/>
      <c r="E15" s="9"/>
      <c r="F15" s="9"/>
      <c r="G15" s="9"/>
      <c r="H15" s="143">
        <f t="shared" si="0"/>
        <v>8</v>
      </c>
    </row>
    <row r="16" spans="1:11" x14ac:dyDescent="0.25">
      <c r="A16" s="114" t="s">
        <v>109</v>
      </c>
      <c r="B16" s="8"/>
      <c r="C16" s="97">
        <v>40</v>
      </c>
      <c r="D16" s="9"/>
      <c r="E16" s="97">
        <v>-40</v>
      </c>
      <c r="F16" s="9"/>
      <c r="G16" s="9"/>
      <c r="H16" s="143">
        <f t="shared" si="0"/>
        <v>0</v>
      </c>
    </row>
    <row r="17" spans="1:8" x14ac:dyDescent="0.25">
      <c r="A17" s="114" t="s">
        <v>3</v>
      </c>
      <c r="B17" s="8"/>
      <c r="C17" s="9"/>
      <c r="D17" s="97">
        <v>21</v>
      </c>
      <c r="E17" s="9"/>
      <c r="F17" s="9"/>
      <c r="G17" s="9"/>
      <c r="H17" s="143">
        <f t="shared" si="0"/>
        <v>21</v>
      </c>
    </row>
    <row r="18" spans="1:8" x14ac:dyDescent="0.25">
      <c r="A18" s="114" t="s">
        <v>361</v>
      </c>
      <c r="B18" s="8"/>
      <c r="C18" s="9"/>
      <c r="D18" s="9"/>
      <c r="E18" s="9"/>
      <c r="F18" s="97">
        <v>10</v>
      </c>
      <c r="G18" s="9"/>
      <c r="H18" s="143">
        <f>SUM(B18:G18)</f>
        <v>10</v>
      </c>
    </row>
    <row r="19" spans="1:8" x14ac:dyDescent="0.25">
      <c r="A19" s="114" t="s">
        <v>8</v>
      </c>
      <c r="B19" s="8"/>
      <c r="C19" s="97">
        <v>1</v>
      </c>
      <c r="D19" s="9"/>
      <c r="E19" s="97">
        <v>-1</v>
      </c>
      <c r="F19" s="9"/>
      <c r="G19" s="9"/>
      <c r="H19" s="143">
        <f>SUM(C19:G19)</f>
        <v>0</v>
      </c>
    </row>
    <row r="20" spans="1:8" x14ac:dyDescent="0.25">
      <c r="A20" s="113" t="s">
        <v>9</v>
      </c>
      <c r="B20" s="21"/>
      <c r="C20" s="12">
        <v>0.16666666666666666</v>
      </c>
      <c r="D20" s="12">
        <v>0.37777777777777777</v>
      </c>
      <c r="E20" s="12">
        <v>6.5972222222222224E-2</v>
      </c>
      <c r="F20" s="12">
        <v>0.3888888888888889</v>
      </c>
      <c r="G20" s="12"/>
      <c r="H20" s="53"/>
    </row>
    <row r="21" spans="1:8" ht="15.75" thickBot="1" x14ac:dyDescent="0.3">
      <c r="A21" s="115" t="s">
        <v>10</v>
      </c>
      <c r="B21" s="116"/>
      <c r="C21" s="117" t="s">
        <v>112</v>
      </c>
      <c r="D21" s="117" t="s">
        <v>354</v>
      </c>
      <c r="E21" s="117" t="s">
        <v>354</v>
      </c>
      <c r="F21" s="117" t="s">
        <v>381</v>
      </c>
      <c r="G21" s="117"/>
      <c r="H21" s="118"/>
    </row>
    <row r="23" spans="1:8" x14ac:dyDescent="0.25">
      <c r="A23" s="144" t="s">
        <v>408</v>
      </c>
      <c r="B23" s="144" t="s">
        <v>409</v>
      </c>
      <c r="C23" s="144" t="s">
        <v>410</v>
      </c>
      <c r="D23" s="144" t="s">
        <v>411</v>
      </c>
    </row>
    <row r="24" spans="1:8" x14ac:dyDescent="0.25">
      <c r="A24" s="145"/>
      <c r="B24" s="146"/>
      <c r="C24" s="144" t="s">
        <v>412</v>
      </c>
      <c r="D24" s="146"/>
    </row>
    <row r="25" spans="1:8" x14ac:dyDescent="0.25">
      <c r="A25" s="147" t="s">
        <v>24</v>
      </c>
      <c r="B25" s="147">
        <v>1</v>
      </c>
      <c r="C25" s="148">
        <v>140000</v>
      </c>
      <c r="D25" s="149">
        <v>140000</v>
      </c>
    </row>
    <row r="26" spans="1:8" x14ac:dyDescent="0.25">
      <c r="A26" s="147" t="s">
        <v>413</v>
      </c>
      <c r="B26" s="147">
        <v>1</v>
      </c>
      <c r="C26" s="150">
        <v>12000</v>
      </c>
      <c r="D26" s="150">
        <v>12000</v>
      </c>
    </row>
    <row r="27" spans="1:8" x14ac:dyDescent="0.25">
      <c r="A27" s="147" t="s">
        <v>414</v>
      </c>
      <c r="B27" s="147">
        <v>2</v>
      </c>
      <c r="C27" s="150">
        <v>180000</v>
      </c>
      <c r="D27" s="150">
        <f>B27*C27</f>
        <v>360000</v>
      </c>
    </row>
    <row r="28" spans="1:8" x14ac:dyDescent="0.25">
      <c r="A28" s="147" t="s">
        <v>415</v>
      </c>
      <c r="B28" s="147">
        <v>2</v>
      </c>
      <c r="C28" s="150">
        <v>100000</v>
      </c>
      <c r="D28" s="150">
        <f>B28*C28</f>
        <v>200000</v>
      </c>
    </row>
    <row r="29" spans="1:8" ht="15.75" x14ac:dyDescent="0.25">
      <c r="A29" s="151" t="s">
        <v>416</v>
      </c>
      <c r="B29" s="227">
        <f>SUM(D25:D28)</f>
        <v>712000</v>
      </c>
      <c r="C29" s="228"/>
      <c r="D29" s="229"/>
    </row>
  </sheetData>
  <mergeCells count="4">
    <mergeCell ref="A1:H1"/>
    <mergeCell ref="A2:H2"/>
    <mergeCell ref="A3:H3"/>
    <mergeCell ref="B29:D29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DCD8-4512-4277-981C-80247710DF03}">
  <dimension ref="A1:F10"/>
  <sheetViews>
    <sheetView workbookViewId="0">
      <selection activeCell="J11" sqref="J11"/>
    </sheetView>
  </sheetViews>
  <sheetFormatPr baseColWidth="10" defaultRowHeight="15" x14ac:dyDescent="0.25"/>
  <cols>
    <col min="1" max="1" width="32.85546875" customWidth="1"/>
  </cols>
  <sheetData>
    <row r="1" spans="1:6" ht="18.75" x14ac:dyDescent="0.3">
      <c r="A1" s="201" t="s">
        <v>350</v>
      </c>
      <c r="B1" s="202"/>
      <c r="C1" s="202"/>
      <c r="D1" s="202"/>
      <c r="E1" s="202"/>
      <c r="F1" s="207"/>
    </row>
    <row r="2" spans="1:6" ht="18.75" x14ac:dyDescent="0.3">
      <c r="A2" s="206" t="s">
        <v>351</v>
      </c>
      <c r="B2" s="194"/>
      <c r="C2" s="194"/>
      <c r="D2" s="194"/>
      <c r="E2" s="194"/>
      <c r="F2" s="195"/>
    </row>
    <row r="3" spans="1:6" ht="18.75" x14ac:dyDescent="0.3">
      <c r="A3" s="206" t="s">
        <v>352</v>
      </c>
      <c r="B3" s="194"/>
      <c r="C3" s="194"/>
      <c r="D3" s="194"/>
      <c r="E3" s="194"/>
      <c r="F3" s="195"/>
    </row>
    <row r="4" spans="1:6" x14ac:dyDescent="0.25">
      <c r="A4" s="1" t="s">
        <v>102</v>
      </c>
      <c r="B4" s="2">
        <v>13728</v>
      </c>
      <c r="C4" s="2">
        <v>13450</v>
      </c>
      <c r="D4" s="2"/>
      <c r="E4" s="2"/>
      <c r="F4" s="2" t="s">
        <v>1</v>
      </c>
    </row>
    <row r="5" spans="1:6" x14ac:dyDescent="0.25">
      <c r="A5" s="4" t="s">
        <v>0</v>
      </c>
      <c r="B5" s="5">
        <v>46195</v>
      </c>
      <c r="C5" s="5">
        <v>46199</v>
      </c>
      <c r="D5" s="5"/>
      <c r="E5" s="5"/>
      <c r="F5" s="5">
        <v>46173</v>
      </c>
    </row>
    <row r="6" spans="1:6" x14ac:dyDescent="0.25">
      <c r="A6" s="17" t="s">
        <v>40</v>
      </c>
      <c r="B6" s="8">
        <v>6</v>
      </c>
      <c r="C6" s="9">
        <v>-6</v>
      </c>
      <c r="D6" s="35"/>
      <c r="E6" s="9"/>
      <c r="F6" s="10">
        <f t="shared" ref="F6:F8" si="0">SUM(B6:E6)</f>
        <v>0</v>
      </c>
    </row>
    <row r="7" spans="1:6" x14ac:dyDescent="0.25">
      <c r="A7" s="17" t="s">
        <v>353</v>
      </c>
      <c r="B7" s="8">
        <v>6</v>
      </c>
      <c r="C7" s="9">
        <v>-6</v>
      </c>
      <c r="D7" s="35"/>
      <c r="E7" s="9"/>
      <c r="F7" s="10">
        <f t="shared" si="0"/>
        <v>0</v>
      </c>
    </row>
    <row r="8" spans="1:6" x14ac:dyDescent="0.25">
      <c r="A8" s="17" t="s">
        <v>49</v>
      </c>
      <c r="B8" s="8">
        <v>4</v>
      </c>
      <c r="C8" s="9">
        <v>-4</v>
      </c>
      <c r="D8" s="35"/>
      <c r="E8" s="9"/>
      <c r="F8" s="10">
        <f t="shared" si="0"/>
        <v>0</v>
      </c>
    </row>
    <row r="9" spans="1:6" x14ac:dyDescent="0.25">
      <c r="A9" s="4" t="s">
        <v>9</v>
      </c>
      <c r="B9" s="11">
        <v>0.3125</v>
      </c>
      <c r="C9" s="12">
        <v>0.1875</v>
      </c>
      <c r="D9" s="11"/>
      <c r="E9" s="12"/>
      <c r="F9" s="13"/>
    </row>
    <row r="10" spans="1:6" x14ac:dyDescent="0.25">
      <c r="A10" s="4" t="s">
        <v>10</v>
      </c>
      <c r="B10" s="110">
        <v>20</v>
      </c>
      <c r="C10" s="15">
        <v>20000</v>
      </c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B88F-866D-4139-A653-D650E1C6090F}">
  <dimension ref="A1:J17"/>
  <sheetViews>
    <sheetView workbookViewId="0">
      <selection activeCell="M21" sqref="M21"/>
    </sheetView>
  </sheetViews>
  <sheetFormatPr baseColWidth="10" defaultRowHeight="15" x14ac:dyDescent="0.25"/>
  <cols>
    <col min="1" max="1" width="31.85546875" bestFit="1" customWidth="1"/>
    <col min="10" max="10" width="24.28515625" customWidth="1"/>
  </cols>
  <sheetData>
    <row r="1" spans="1:10" ht="18.75" x14ac:dyDescent="0.3">
      <c r="A1" s="201" t="s">
        <v>113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ht="18.75" x14ac:dyDescent="0.3">
      <c r="A2" s="206" t="s">
        <v>114</v>
      </c>
      <c r="B2" s="194"/>
      <c r="C2" s="194"/>
      <c r="D2" s="194"/>
      <c r="E2" s="194"/>
      <c r="F2" s="194"/>
      <c r="G2" s="194"/>
      <c r="H2" s="194"/>
      <c r="I2" s="194"/>
      <c r="J2" s="205"/>
    </row>
    <row r="3" spans="1:10" ht="18.75" x14ac:dyDescent="0.3">
      <c r="A3" s="206" t="s">
        <v>20</v>
      </c>
      <c r="B3" s="194"/>
      <c r="C3" s="194"/>
      <c r="D3" s="194"/>
      <c r="E3" s="194"/>
      <c r="F3" s="194"/>
      <c r="G3" s="194"/>
      <c r="H3" s="194"/>
      <c r="I3" s="194"/>
      <c r="J3" s="194"/>
    </row>
    <row r="4" spans="1:10" x14ac:dyDescent="0.25">
      <c r="A4" s="1">
        <v>0</v>
      </c>
      <c r="B4" s="2" t="s">
        <v>1</v>
      </c>
      <c r="C4" s="2">
        <v>13779</v>
      </c>
      <c r="D4" s="2">
        <v>13391</v>
      </c>
      <c r="E4" s="2">
        <v>13794</v>
      </c>
      <c r="F4" s="2">
        <v>13392</v>
      </c>
      <c r="G4" s="2">
        <v>13706</v>
      </c>
      <c r="H4" s="2">
        <v>13436</v>
      </c>
      <c r="I4" s="2">
        <v>13454</v>
      </c>
      <c r="J4" s="2" t="s">
        <v>1</v>
      </c>
    </row>
    <row r="5" spans="1:10" x14ac:dyDescent="0.25">
      <c r="A5" s="4"/>
      <c r="B5" s="5">
        <v>46173</v>
      </c>
      <c r="C5" s="5">
        <v>46176</v>
      </c>
      <c r="D5" s="5">
        <v>46183</v>
      </c>
      <c r="E5" s="5">
        <v>46183</v>
      </c>
      <c r="F5" s="5">
        <v>46184</v>
      </c>
      <c r="G5" s="5">
        <v>46186</v>
      </c>
      <c r="H5" s="5">
        <v>46197</v>
      </c>
      <c r="I5" s="5">
        <v>46200</v>
      </c>
      <c r="J5" s="5">
        <v>46203</v>
      </c>
    </row>
    <row r="6" spans="1:10" x14ac:dyDescent="0.25">
      <c r="A6" s="17" t="s">
        <v>75</v>
      </c>
      <c r="B6" s="8">
        <v>168</v>
      </c>
      <c r="C6" s="9"/>
      <c r="D6" s="140">
        <v>-40</v>
      </c>
      <c r="E6" s="140">
        <v>31</v>
      </c>
      <c r="F6" s="9">
        <v>-36</v>
      </c>
      <c r="G6" s="9"/>
      <c r="H6" s="140">
        <v>-63</v>
      </c>
      <c r="I6" s="9">
        <v>-22</v>
      </c>
      <c r="J6" s="10">
        <f>SUM(B6:I6)</f>
        <v>38</v>
      </c>
    </row>
    <row r="7" spans="1:10" x14ac:dyDescent="0.25">
      <c r="A7" s="17" t="s">
        <v>37</v>
      </c>
      <c r="B7" s="8">
        <v>52</v>
      </c>
      <c r="C7" s="9"/>
      <c r="D7" s="140">
        <v>-11</v>
      </c>
      <c r="E7" s="9"/>
      <c r="F7" s="140">
        <v>-3</v>
      </c>
      <c r="G7" s="9"/>
      <c r="H7" s="140">
        <v>-22</v>
      </c>
      <c r="I7" s="9">
        <v>-6</v>
      </c>
      <c r="J7" s="10">
        <f t="shared" ref="J7:J14" si="0">SUM(B7:I7)</f>
        <v>10</v>
      </c>
    </row>
    <row r="8" spans="1:10" x14ac:dyDescent="0.25">
      <c r="A8" s="17" t="s">
        <v>115</v>
      </c>
      <c r="B8" s="8">
        <v>6</v>
      </c>
      <c r="C8" s="9"/>
      <c r="D8" s="9"/>
      <c r="E8" s="9"/>
      <c r="F8" s="9"/>
      <c r="G8" s="9"/>
      <c r="H8" s="9"/>
      <c r="I8" s="9"/>
      <c r="J8" s="10">
        <f t="shared" si="0"/>
        <v>6</v>
      </c>
    </row>
    <row r="9" spans="1:10" x14ac:dyDescent="0.25">
      <c r="A9" s="17" t="s">
        <v>77</v>
      </c>
      <c r="B9" s="8">
        <v>4</v>
      </c>
      <c r="C9" s="9"/>
      <c r="D9" s="9"/>
      <c r="E9" s="9"/>
      <c r="F9" s="9"/>
      <c r="G9" s="9"/>
      <c r="H9" s="9"/>
      <c r="I9" s="9"/>
      <c r="J9" s="10">
        <f t="shared" si="0"/>
        <v>4</v>
      </c>
    </row>
    <row r="10" spans="1:10" x14ac:dyDescent="0.25">
      <c r="A10" s="17" t="s">
        <v>38</v>
      </c>
      <c r="B10" s="8">
        <v>58</v>
      </c>
      <c r="C10" s="140">
        <v>8</v>
      </c>
      <c r="D10" s="140">
        <v>-25</v>
      </c>
      <c r="E10" s="9"/>
      <c r="F10" s="140">
        <v>-8</v>
      </c>
      <c r="G10" s="9"/>
      <c r="H10" s="9"/>
      <c r="I10" s="9">
        <v>-22</v>
      </c>
      <c r="J10" s="10">
        <f t="shared" si="0"/>
        <v>11</v>
      </c>
    </row>
    <row r="11" spans="1:10" x14ac:dyDescent="0.25">
      <c r="A11" s="17" t="s">
        <v>116</v>
      </c>
      <c r="B11" s="8">
        <v>6</v>
      </c>
      <c r="C11" s="9"/>
      <c r="D11" s="9"/>
      <c r="E11" s="9"/>
      <c r="F11" s="9"/>
      <c r="G11" s="140">
        <v>6</v>
      </c>
      <c r="H11" s="9"/>
      <c r="I11" s="9"/>
      <c r="J11" s="10">
        <f t="shared" si="0"/>
        <v>12</v>
      </c>
    </row>
    <row r="12" spans="1:10" x14ac:dyDescent="0.25">
      <c r="A12" s="17" t="s">
        <v>117</v>
      </c>
      <c r="B12" s="8">
        <v>5</v>
      </c>
      <c r="C12" s="9"/>
      <c r="D12" s="140">
        <v>-1</v>
      </c>
      <c r="E12" s="9"/>
      <c r="F12" s="140">
        <v>-2</v>
      </c>
      <c r="G12" s="9"/>
      <c r="H12" s="9"/>
      <c r="I12" s="9">
        <v>-2</v>
      </c>
      <c r="J12" s="10">
        <f t="shared" si="0"/>
        <v>0</v>
      </c>
    </row>
    <row r="13" spans="1:10" x14ac:dyDescent="0.25">
      <c r="A13" s="17" t="s">
        <v>19</v>
      </c>
      <c r="B13" s="8">
        <v>5</v>
      </c>
      <c r="C13" s="9"/>
      <c r="D13" s="9"/>
      <c r="E13" s="9"/>
      <c r="F13" s="9"/>
      <c r="G13" s="9"/>
      <c r="H13" s="9"/>
      <c r="I13" s="9"/>
      <c r="J13" s="10">
        <f t="shared" si="0"/>
        <v>5</v>
      </c>
    </row>
    <row r="14" spans="1:10" x14ac:dyDescent="0.25">
      <c r="A14" s="17" t="s">
        <v>118</v>
      </c>
      <c r="B14" s="8">
        <v>2</v>
      </c>
      <c r="C14" s="9"/>
      <c r="D14" s="9"/>
      <c r="E14" s="9"/>
      <c r="F14" s="140">
        <v>-2</v>
      </c>
      <c r="G14" s="9"/>
      <c r="H14" s="9"/>
      <c r="I14" s="9"/>
      <c r="J14" s="10">
        <f t="shared" si="0"/>
        <v>0</v>
      </c>
    </row>
    <row r="15" spans="1:10" x14ac:dyDescent="0.25">
      <c r="A15" s="4" t="s">
        <v>9</v>
      </c>
      <c r="B15" s="21"/>
      <c r="C15" s="12">
        <v>0.19513888888888889</v>
      </c>
      <c r="D15" s="12">
        <v>0.39583333333333331</v>
      </c>
      <c r="E15" s="12">
        <v>0.40069444444444446</v>
      </c>
      <c r="F15" s="12">
        <v>0.39583333333333331</v>
      </c>
      <c r="G15" s="12">
        <v>0.46875</v>
      </c>
      <c r="H15" s="12">
        <v>0.3263888888888889</v>
      </c>
      <c r="I15" s="12">
        <v>0.47916666666666669</v>
      </c>
      <c r="J15" s="13"/>
    </row>
    <row r="16" spans="1:10" x14ac:dyDescent="0.25">
      <c r="A16" s="4" t="s">
        <v>10</v>
      </c>
      <c r="B16" s="22"/>
      <c r="C16" s="14" t="s">
        <v>119</v>
      </c>
      <c r="D16" s="14" t="s">
        <v>119</v>
      </c>
      <c r="E16" s="14" t="s">
        <v>119</v>
      </c>
      <c r="F16" s="14" t="s">
        <v>119</v>
      </c>
      <c r="G16" s="14" t="s">
        <v>119</v>
      </c>
      <c r="H16" s="14" t="s">
        <v>119</v>
      </c>
      <c r="I16" s="14" t="s">
        <v>119</v>
      </c>
      <c r="J16" s="16">
        <f>SUM(B16:F16)</f>
        <v>0</v>
      </c>
    </row>
    <row r="17" spans="4:10" x14ac:dyDescent="0.25">
      <c r="D17" s="132" t="s">
        <v>256</v>
      </c>
      <c r="F17" s="132" t="s">
        <v>399</v>
      </c>
      <c r="H17" s="132" t="s">
        <v>364</v>
      </c>
      <c r="I17" s="132"/>
      <c r="J17" s="132" t="s">
        <v>406</v>
      </c>
    </row>
  </sheetData>
  <mergeCells count="3">
    <mergeCell ref="A1:J1"/>
    <mergeCell ref="A2:J2"/>
    <mergeCell ref="A3:J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0794-CBAF-40DD-9815-4DC01BE7E269}">
  <dimension ref="A1:G9"/>
  <sheetViews>
    <sheetView workbookViewId="0">
      <selection activeCell="M9" sqref="M9"/>
    </sheetView>
  </sheetViews>
  <sheetFormatPr baseColWidth="10" defaultRowHeight="15" x14ac:dyDescent="0.25"/>
  <cols>
    <col min="1" max="1" width="28.7109375" customWidth="1"/>
  </cols>
  <sheetData>
    <row r="1" spans="1:7" ht="18.75" x14ac:dyDescent="0.3">
      <c r="A1" s="201" t="s">
        <v>165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73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167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13761</v>
      </c>
      <c r="C4" s="2">
        <v>13453</v>
      </c>
      <c r="D4" s="2"/>
      <c r="E4" s="2"/>
      <c r="F4" s="2"/>
      <c r="G4" s="3" t="s">
        <v>1</v>
      </c>
    </row>
    <row r="5" spans="1:7" x14ac:dyDescent="0.25">
      <c r="A5" s="4"/>
      <c r="B5" s="5">
        <v>46171</v>
      </c>
      <c r="C5" s="5">
        <v>46200</v>
      </c>
      <c r="D5" s="5"/>
      <c r="E5" s="5"/>
      <c r="F5" s="5"/>
      <c r="G5" s="6">
        <v>46203</v>
      </c>
    </row>
    <row r="6" spans="1:7" x14ac:dyDescent="0.25">
      <c r="A6" s="7" t="s">
        <v>5</v>
      </c>
      <c r="B6" s="8">
        <v>12</v>
      </c>
      <c r="C6" s="9">
        <v>-12</v>
      </c>
      <c r="D6" s="9"/>
      <c r="E6" s="9"/>
      <c r="F6" s="9"/>
      <c r="G6" s="10">
        <f>SUM(B6:F6)</f>
        <v>0</v>
      </c>
    </row>
    <row r="7" spans="1:7" x14ac:dyDescent="0.25">
      <c r="A7" s="7" t="s">
        <v>12</v>
      </c>
      <c r="B7" s="8">
        <v>4</v>
      </c>
      <c r="C7" s="9">
        <v>-4</v>
      </c>
      <c r="D7" s="9"/>
      <c r="E7" s="9"/>
      <c r="F7" s="9"/>
      <c r="G7" s="10">
        <f>SUM(B7:F7)</f>
        <v>0</v>
      </c>
    </row>
    <row r="8" spans="1:7" x14ac:dyDescent="0.25">
      <c r="A8" s="4" t="s">
        <v>9</v>
      </c>
      <c r="B8" s="11">
        <v>0.36805555555555558</v>
      </c>
      <c r="C8" s="12">
        <v>0.43055555555555558</v>
      </c>
      <c r="D8" s="12"/>
      <c r="E8" s="12"/>
      <c r="F8" s="12"/>
      <c r="G8" s="13"/>
    </row>
    <row r="9" spans="1:7" x14ac:dyDescent="0.25">
      <c r="A9" s="4" t="s">
        <v>10</v>
      </c>
      <c r="B9" s="14" t="s">
        <v>166</v>
      </c>
      <c r="C9" s="14" t="s">
        <v>166</v>
      </c>
      <c r="D9" s="15"/>
      <c r="E9" s="15"/>
      <c r="F9" s="15"/>
      <c r="G9" s="16">
        <f>SUM(B9:F9)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A46D-E56D-44E5-8E8B-1DB71C4CD9F7}">
  <dimension ref="A1:G8"/>
  <sheetViews>
    <sheetView workbookViewId="0">
      <selection activeCell="I17" sqref="I17"/>
    </sheetView>
  </sheetViews>
  <sheetFormatPr baseColWidth="10" defaultRowHeight="15" x14ac:dyDescent="0.25"/>
  <cols>
    <col min="1" max="1" width="29.7109375" customWidth="1"/>
  </cols>
  <sheetData>
    <row r="1" spans="1:7" ht="18.75" x14ac:dyDescent="0.3">
      <c r="A1" s="201" t="s">
        <v>400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401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402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13747</v>
      </c>
      <c r="C4" s="2">
        <v>13747</v>
      </c>
      <c r="D4" s="2"/>
      <c r="E4" s="2"/>
      <c r="F4" s="2"/>
      <c r="G4" s="3" t="s">
        <v>1</v>
      </c>
    </row>
    <row r="5" spans="1:7" x14ac:dyDescent="0.25">
      <c r="A5" s="4"/>
      <c r="B5" s="5">
        <v>46203</v>
      </c>
      <c r="C5" s="5">
        <v>46204</v>
      </c>
      <c r="D5" s="5"/>
      <c r="E5" s="5"/>
      <c r="F5" s="5"/>
      <c r="G5" s="6">
        <v>46203</v>
      </c>
    </row>
    <row r="6" spans="1:7" x14ac:dyDescent="0.25">
      <c r="A6" s="7" t="s">
        <v>403</v>
      </c>
      <c r="B6" s="8">
        <v>1</v>
      </c>
      <c r="C6" s="9">
        <v>-1</v>
      </c>
      <c r="D6" s="9"/>
      <c r="E6" s="9"/>
      <c r="F6" s="9"/>
      <c r="G6" s="10">
        <f>SUM(B6:F6)</f>
        <v>0</v>
      </c>
    </row>
    <row r="7" spans="1:7" x14ac:dyDescent="0.25">
      <c r="A7" s="4" t="s">
        <v>9</v>
      </c>
      <c r="B7" s="11">
        <v>0.36805555555555558</v>
      </c>
      <c r="C7" s="12">
        <v>0.375</v>
      </c>
      <c r="D7" s="12"/>
      <c r="E7" s="12"/>
      <c r="F7" s="12"/>
      <c r="G7" s="13"/>
    </row>
    <row r="8" spans="1:7" x14ac:dyDescent="0.25">
      <c r="A8" s="4" t="s">
        <v>10</v>
      </c>
      <c r="B8" s="14" t="s">
        <v>104</v>
      </c>
      <c r="C8" s="15" t="s">
        <v>346</v>
      </c>
      <c r="D8" s="15"/>
      <c r="E8" s="15"/>
      <c r="F8" s="15"/>
      <c r="G8" s="16">
        <f>SUM(B8:F8)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CBF-BC95-4425-9257-AFFF682A56D6}">
  <dimension ref="A1:G10"/>
  <sheetViews>
    <sheetView workbookViewId="0">
      <selection activeCell="H16" sqref="H16"/>
    </sheetView>
  </sheetViews>
  <sheetFormatPr baseColWidth="10" defaultRowHeight="15" x14ac:dyDescent="0.25"/>
  <cols>
    <col min="1" max="1" width="34.28515625" customWidth="1"/>
  </cols>
  <sheetData>
    <row r="1" spans="1:7" ht="18.75" x14ac:dyDescent="0.3">
      <c r="A1" s="201" t="s">
        <v>365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366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167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13735</v>
      </c>
      <c r="C4" s="2"/>
      <c r="D4" s="2"/>
      <c r="E4" s="2"/>
      <c r="F4" s="2"/>
      <c r="G4" s="3" t="s">
        <v>1</v>
      </c>
    </row>
    <row r="5" spans="1:7" x14ac:dyDescent="0.25">
      <c r="A5" s="4"/>
      <c r="B5" s="5">
        <v>46196</v>
      </c>
      <c r="C5" s="5"/>
      <c r="D5" s="5"/>
      <c r="E5" s="5"/>
      <c r="F5" s="5"/>
      <c r="G5" s="6">
        <v>46203</v>
      </c>
    </row>
    <row r="6" spans="1:7" x14ac:dyDescent="0.25">
      <c r="A6" s="7" t="s">
        <v>367</v>
      </c>
      <c r="B6" s="8">
        <v>6</v>
      </c>
      <c r="C6" s="9"/>
      <c r="D6" s="9"/>
      <c r="E6" s="9"/>
      <c r="F6" s="9"/>
      <c r="G6" s="10">
        <f>SUM(B6:F6)</f>
        <v>6</v>
      </c>
    </row>
    <row r="7" spans="1:7" x14ac:dyDescent="0.25">
      <c r="A7" s="7" t="s">
        <v>324</v>
      </c>
      <c r="B7" s="8">
        <v>6</v>
      </c>
      <c r="C7" s="9"/>
      <c r="D7" s="9"/>
      <c r="E7" s="9"/>
      <c r="F7" s="9"/>
      <c r="G7" s="10">
        <f>SUM(B7:F7)</f>
        <v>6</v>
      </c>
    </row>
    <row r="8" spans="1:7" x14ac:dyDescent="0.25">
      <c r="A8" s="7" t="s">
        <v>49</v>
      </c>
      <c r="B8" s="8">
        <v>3</v>
      </c>
      <c r="C8" s="9"/>
      <c r="D8" s="9"/>
      <c r="E8" s="9"/>
      <c r="F8" s="9"/>
      <c r="G8" s="10">
        <f>SUM(B8:F8)</f>
        <v>3</v>
      </c>
    </row>
    <row r="9" spans="1:7" x14ac:dyDescent="0.25">
      <c r="A9" s="4" t="s">
        <v>9</v>
      </c>
      <c r="B9" s="11">
        <v>0.1111111111111111</v>
      </c>
      <c r="C9" s="12"/>
      <c r="D9" s="12"/>
      <c r="E9" s="12"/>
      <c r="F9" s="12"/>
      <c r="G9" s="13"/>
    </row>
    <row r="10" spans="1:7" x14ac:dyDescent="0.25">
      <c r="A10" s="4" t="s">
        <v>10</v>
      </c>
      <c r="B10" s="14" t="s">
        <v>368</v>
      </c>
      <c r="C10" s="15"/>
      <c r="D10" s="15"/>
      <c r="E10" s="15"/>
      <c r="F10" s="15"/>
      <c r="G10" s="16">
        <f>SUM(B10:F10)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2D0B-B411-4B82-8111-7C48732010EC}">
  <sheetPr>
    <pageSetUpPr fitToPage="1"/>
  </sheetPr>
  <dimension ref="A1:X28"/>
  <sheetViews>
    <sheetView topLeftCell="A3" zoomScale="95" zoomScaleNormal="95" workbookViewId="0">
      <pane xSplit="1" topLeftCell="J1" activePane="topRight" state="frozen"/>
      <selection pane="topRight" activeCell="T6" sqref="T6"/>
    </sheetView>
  </sheetViews>
  <sheetFormatPr baseColWidth="10" defaultRowHeight="15" x14ac:dyDescent="0.25"/>
  <cols>
    <col min="1" max="1" width="41" customWidth="1"/>
  </cols>
  <sheetData>
    <row r="1" spans="1:24" ht="18.75" x14ac:dyDescent="0.3">
      <c r="A1" s="201" t="s">
        <v>120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</row>
    <row r="2" spans="1:24" ht="18.75" x14ac:dyDescent="0.3">
      <c r="A2" s="206" t="s">
        <v>121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</row>
    <row r="3" spans="1:24" ht="18.75" x14ac:dyDescent="0.3">
      <c r="A3" s="206" t="s">
        <v>426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</row>
    <row r="4" spans="1:24" x14ac:dyDescent="0.25">
      <c r="A4" s="230" t="s">
        <v>120</v>
      </c>
      <c r="B4" s="8" t="s">
        <v>1</v>
      </c>
      <c r="C4" s="160">
        <v>13364</v>
      </c>
      <c r="D4" s="160">
        <v>13369</v>
      </c>
      <c r="E4" s="152">
        <v>13763</v>
      </c>
      <c r="F4" s="97">
        <v>13766</v>
      </c>
      <c r="G4" s="152">
        <v>13772</v>
      </c>
      <c r="H4" s="152">
        <v>13774</v>
      </c>
      <c r="I4" s="160">
        <v>13379</v>
      </c>
      <c r="J4" s="160">
        <v>13380</v>
      </c>
      <c r="K4" s="160">
        <v>13383</v>
      </c>
      <c r="L4" s="152">
        <v>13796</v>
      </c>
      <c r="M4" s="160">
        <v>13390</v>
      </c>
      <c r="N4" s="160">
        <v>13397</v>
      </c>
      <c r="O4" s="152">
        <v>13707</v>
      </c>
      <c r="P4" s="160">
        <v>13402</v>
      </c>
      <c r="Q4" s="160">
        <v>13412</v>
      </c>
      <c r="R4" s="152">
        <v>13731</v>
      </c>
      <c r="S4" s="160">
        <v>13431</v>
      </c>
      <c r="T4" s="160">
        <v>13452</v>
      </c>
      <c r="U4" s="152">
        <v>13745</v>
      </c>
      <c r="V4" s="45" t="s">
        <v>1</v>
      </c>
    </row>
    <row r="5" spans="1:24" x14ac:dyDescent="0.25">
      <c r="A5" s="231"/>
      <c r="B5" s="6">
        <v>46173</v>
      </c>
      <c r="C5" s="161">
        <v>46174</v>
      </c>
      <c r="D5" s="161">
        <v>46174</v>
      </c>
      <c r="E5" s="154">
        <v>46174</v>
      </c>
      <c r="F5" s="153">
        <v>46174</v>
      </c>
      <c r="G5" s="154">
        <v>46175</v>
      </c>
      <c r="H5" s="154">
        <v>46175</v>
      </c>
      <c r="I5" s="161">
        <v>46178</v>
      </c>
      <c r="J5" s="161">
        <v>46179</v>
      </c>
      <c r="K5" s="161">
        <v>46179</v>
      </c>
      <c r="L5" s="154">
        <v>46183</v>
      </c>
      <c r="M5" s="161">
        <v>46183</v>
      </c>
      <c r="N5" s="161">
        <v>46185</v>
      </c>
      <c r="O5" s="154">
        <v>46186</v>
      </c>
      <c r="P5" s="161">
        <v>46186</v>
      </c>
      <c r="Q5" s="161">
        <v>46191</v>
      </c>
      <c r="R5" s="154">
        <v>46195</v>
      </c>
      <c r="S5" s="161">
        <v>46195</v>
      </c>
      <c r="T5" s="161">
        <v>46200</v>
      </c>
      <c r="U5" s="154">
        <v>46200</v>
      </c>
      <c r="V5" s="46">
        <v>1</v>
      </c>
    </row>
    <row r="6" spans="1:24" x14ac:dyDescent="0.25">
      <c r="A6" s="47" t="s">
        <v>122</v>
      </c>
      <c r="B6" s="48">
        <v>46</v>
      </c>
      <c r="C6" s="160">
        <v>-5</v>
      </c>
      <c r="D6" s="49"/>
      <c r="E6" s="152">
        <v>3</v>
      </c>
      <c r="F6" s="35"/>
      <c r="G6" s="49"/>
      <c r="H6" s="49"/>
      <c r="I6" s="49"/>
      <c r="J6" s="49"/>
      <c r="K6" s="160">
        <v>-33</v>
      </c>
      <c r="L6" s="152"/>
      <c r="M6" s="49"/>
      <c r="N6" s="49"/>
      <c r="O6" s="49"/>
      <c r="P6" s="49"/>
      <c r="Q6" s="49"/>
      <c r="R6" s="49"/>
      <c r="S6" s="160">
        <v>-3</v>
      </c>
      <c r="T6" s="169">
        <v>-3</v>
      </c>
      <c r="U6" s="49"/>
      <c r="V6" s="50">
        <f>SUM(B6:U6)</f>
        <v>5</v>
      </c>
      <c r="W6" s="98" t="s">
        <v>404</v>
      </c>
      <c r="X6" s="98"/>
    </row>
    <row r="7" spans="1:24" x14ac:dyDescent="0.25">
      <c r="A7" s="47" t="s">
        <v>60</v>
      </c>
      <c r="B7" s="48"/>
      <c r="C7" s="49"/>
      <c r="D7" s="49"/>
      <c r="E7" s="49"/>
      <c r="F7" s="35"/>
      <c r="G7" s="49"/>
      <c r="H7" s="49"/>
      <c r="I7" s="49"/>
      <c r="J7" s="49"/>
      <c r="K7" s="49"/>
      <c r="L7" s="152"/>
      <c r="M7" s="49"/>
      <c r="N7" s="49"/>
      <c r="O7" s="49"/>
      <c r="P7" s="49"/>
      <c r="Q7" s="49"/>
      <c r="R7" s="49"/>
      <c r="S7" s="49"/>
      <c r="T7" s="49"/>
      <c r="U7" s="49"/>
      <c r="V7" s="50">
        <f t="shared" ref="V7:V24" si="0">SUM(B7:U7)</f>
        <v>0</v>
      </c>
    </row>
    <row r="8" spans="1:24" x14ac:dyDescent="0.25">
      <c r="A8" s="47" t="s">
        <v>229</v>
      </c>
      <c r="B8" s="48"/>
      <c r="C8" s="49"/>
      <c r="D8" s="49"/>
      <c r="E8" s="49"/>
      <c r="F8" s="35"/>
      <c r="G8" s="49"/>
      <c r="H8" s="49"/>
      <c r="I8" s="49"/>
      <c r="J8" s="49"/>
      <c r="K8" s="49"/>
      <c r="L8" s="152">
        <v>4</v>
      </c>
      <c r="M8" s="49"/>
      <c r="N8" s="49"/>
      <c r="O8" s="49"/>
      <c r="P8" s="49"/>
      <c r="Q8" s="49"/>
      <c r="R8" s="49"/>
      <c r="S8" s="49"/>
      <c r="T8" s="49"/>
      <c r="U8" s="49"/>
      <c r="V8" s="50">
        <f t="shared" si="0"/>
        <v>4</v>
      </c>
    </row>
    <row r="9" spans="1:24" x14ac:dyDescent="0.25">
      <c r="A9" s="47" t="s">
        <v>19</v>
      </c>
      <c r="B9" s="48">
        <v>3</v>
      </c>
      <c r="C9" s="49"/>
      <c r="D9" s="49"/>
      <c r="E9" s="49"/>
      <c r="F9" s="35"/>
      <c r="G9" s="49"/>
      <c r="H9" s="49"/>
      <c r="I9" s="49"/>
      <c r="J9" s="49"/>
      <c r="K9" s="160">
        <v>-4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50">
        <f t="shared" si="0"/>
        <v>-1</v>
      </c>
    </row>
    <row r="10" spans="1:24" x14ac:dyDescent="0.25">
      <c r="A10" s="47" t="s">
        <v>78</v>
      </c>
      <c r="B10" s="48"/>
      <c r="C10" s="49"/>
      <c r="D10" s="49"/>
      <c r="E10" s="49"/>
      <c r="F10" s="35"/>
      <c r="G10" s="49"/>
      <c r="H10" s="152">
        <v>20</v>
      </c>
      <c r="I10" s="160">
        <v>-20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152">
        <v>1</v>
      </c>
      <c r="V10" s="50">
        <f t="shared" si="0"/>
        <v>1</v>
      </c>
    </row>
    <row r="11" spans="1:24" x14ac:dyDescent="0.25">
      <c r="A11" s="47" t="s">
        <v>38</v>
      </c>
      <c r="B11" s="48">
        <v>35</v>
      </c>
      <c r="C11" s="49"/>
      <c r="D11" s="160">
        <v>-11</v>
      </c>
      <c r="E11" s="152">
        <v>15</v>
      </c>
      <c r="F11" s="35"/>
      <c r="G11" s="49"/>
      <c r="H11" s="49"/>
      <c r="I11" s="49"/>
      <c r="J11" s="160">
        <v>-4</v>
      </c>
      <c r="K11" s="160">
        <v>-11</v>
      </c>
      <c r="L11" s="49"/>
      <c r="M11" s="49"/>
      <c r="N11" s="49"/>
      <c r="O11" s="49"/>
      <c r="P11" s="49"/>
      <c r="Q11" s="160">
        <v>-14</v>
      </c>
      <c r="R11" s="49"/>
      <c r="S11" s="49"/>
      <c r="T11" s="169">
        <v>-5</v>
      </c>
      <c r="U11" s="49"/>
      <c r="V11" s="50">
        <f t="shared" si="0"/>
        <v>5</v>
      </c>
      <c r="W11" s="141" t="s">
        <v>404</v>
      </c>
      <c r="X11" s="141"/>
    </row>
    <row r="12" spans="1:24" x14ac:dyDescent="0.25">
      <c r="A12" s="47" t="s">
        <v>5</v>
      </c>
      <c r="B12" s="48">
        <v>5</v>
      </c>
      <c r="C12" s="49"/>
      <c r="D12" s="49"/>
      <c r="E12" s="49"/>
      <c r="F12" s="35"/>
      <c r="G12" s="49"/>
      <c r="H12" s="49"/>
      <c r="I12" s="49"/>
      <c r="J12" s="49"/>
      <c r="K12" s="49"/>
      <c r="L12" s="49"/>
      <c r="M12" s="49"/>
      <c r="N12" s="160">
        <v>-4</v>
      </c>
      <c r="O12" s="49"/>
      <c r="P12" s="49"/>
      <c r="Q12" s="160">
        <v>-1</v>
      </c>
      <c r="R12" s="49"/>
      <c r="S12" s="49"/>
      <c r="T12" s="49"/>
      <c r="U12" s="49"/>
      <c r="V12" s="50">
        <f t="shared" si="0"/>
        <v>0</v>
      </c>
      <c r="W12" s="99" t="s">
        <v>276</v>
      </c>
      <c r="X12" s="100"/>
    </row>
    <row r="13" spans="1:24" x14ac:dyDescent="0.25">
      <c r="A13" s="47" t="s">
        <v>3</v>
      </c>
      <c r="B13" s="8">
        <v>1</v>
      </c>
      <c r="C13" s="49"/>
      <c r="D13" s="49"/>
      <c r="E13" s="49"/>
      <c r="F13" s="35"/>
      <c r="G13" s="49"/>
      <c r="H13" s="49"/>
      <c r="I13" s="49"/>
      <c r="J13" s="49"/>
      <c r="K13" s="49"/>
      <c r="L13" s="49"/>
      <c r="M13" s="49"/>
      <c r="N13" s="160">
        <v>-1</v>
      </c>
      <c r="O13" s="49"/>
      <c r="P13" s="49"/>
      <c r="Q13" s="49"/>
      <c r="R13" s="49"/>
      <c r="S13" s="49"/>
      <c r="T13" s="49"/>
      <c r="U13" s="49"/>
      <c r="V13" s="50">
        <f t="shared" si="0"/>
        <v>0</v>
      </c>
      <c r="W13" s="98" t="s">
        <v>264</v>
      </c>
      <c r="X13" s="98"/>
    </row>
    <row r="14" spans="1:24" x14ac:dyDescent="0.25">
      <c r="A14" s="47" t="s">
        <v>123</v>
      </c>
      <c r="B14" s="8">
        <v>2</v>
      </c>
      <c r="C14" s="49"/>
      <c r="D14" s="49"/>
      <c r="E14" s="49"/>
      <c r="F14" s="35"/>
      <c r="G14" s="49"/>
      <c r="H14" s="49"/>
      <c r="I14" s="160">
        <v>-1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>
        <f t="shared" si="0"/>
        <v>1</v>
      </c>
    </row>
    <row r="15" spans="1:24" x14ac:dyDescent="0.25">
      <c r="A15" s="47" t="s">
        <v>124</v>
      </c>
      <c r="B15" s="8">
        <v>3</v>
      </c>
      <c r="C15" s="49"/>
      <c r="D15" s="49"/>
      <c r="E15" s="49"/>
      <c r="F15" s="35"/>
      <c r="G15" s="49"/>
      <c r="H15" s="49"/>
      <c r="I15" s="49"/>
      <c r="J15" s="49"/>
      <c r="K15" s="49"/>
      <c r="L15" s="49"/>
      <c r="M15" s="160">
        <v>-3</v>
      </c>
      <c r="N15" s="49"/>
      <c r="O15" s="49"/>
      <c r="P15" s="49"/>
      <c r="Q15" s="49"/>
      <c r="R15" s="49"/>
      <c r="S15" s="49"/>
      <c r="T15" s="49"/>
      <c r="U15" s="49"/>
      <c r="V15" s="50">
        <f t="shared" si="0"/>
        <v>0</v>
      </c>
    </row>
    <row r="16" spans="1:24" x14ac:dyDescent="0.25">
      <c r="A16" s="47" t="s">
        <v>13</v>
      </c>
      <c r="B16" s="8">
        <v>0</v>
      </c>
      <c r="C16" s="49"/>
      <c r="D16" s="49"/>
      <c r="E16" s="49"/>
      <c r="F16" s="35"/>
      <c r="G16" s="49"/>
      <c r="H16" s="49"/>
      <c r="I16" s="49"/>
      <c r="J16" s="49"/>
      <c r="K16" s="49"/>
      <c r="L16" s="49"/>
      <c r="M16" s="49"/>
      <c r="N16" s="49"/>
      <c r="O16" s="152">
        <v>29</v>
      </c>
      <c r="P16" s="49"/>
      <c r="Q16" s="49"/>
      <c r="R16" s="49"/>
      <c r="S16" s="49"/>
      <c r="T16" s="160">
        <v>-29</v>
      </c>
      <c r="U16" s="49"/>
      <c r="V16" s="50">
        <f t="shared" si="0"/>
        <v>0</v>
      </c>
    </row>
    <row r="17" spans="1:22" x14ac:dyDescent="0.25">
      <c r="A17" s="47" t="s">
        <v>24</v>
      </c>
      <c r="B17" s="8">
        <v>14</v>
      </c>
      <c r="C17" s="160">
        <v>-12</v>
      </c>
      <c r="D17" s="49"/>
      <c r="E17" s="49"/>
      <c r="F17" s="35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50">
        <f t="shared" si="0"/>
        <v>2</v>
      </c>
    </row>
    <row r="18" spans="1:22" x14ac:dyDescent="0.25">
      <c r="A18" s="47" t="s">
        <v>4</v>
      </c>
      <c r="B18" s="8">
        <v>60</v>
      </c>
      <c r="C18" s="49"/>
      <c r="D18" s="49"/>
      <c r="E18" s="49"/>
      <c r="F18" s="35"/>
      <c r="G18" s="49"/>
      <c r="H18" s="49"/>
      <c r="I18" s="49"/>
      <c r="J18" s="49"/>
      <c r="K18" s="49"/>
      <c r="L18" s="49"/>
      <c r="M18" s="49"/>
      <c r="N18" s="49"/>
      <c r="O18" s="49"/>
      <c r="P18" s="160">
        <v>-60</v>
      </c>
      <c r="Q18" s="49"/>
      <c r="R18" s="49"/>
      <c r="S18" s="49"/>
      <c r="T18" s="49"/>
      <c r="U18" s="49"/>
      <c r="V18" s="50">
        <f t="shared" si="0"/>
        <v>0</v>
      </c>
    </row>
    <row r="19" spans="1:22" x14ac:dyDescent="0.25">
      <c r="A19" s="47" t="s">
        <v>128</v>
      </c>
      <c r="B19" s="8"/>
      <c r="C19" s="49"/>
      <c r="D19" s="49"/>
      <c r="E19" s="49"/>
      <c r="F19" s="74">
        <v>1</v>
      </c>
      <c r="G19" s="49"/>
      <c r="H19" s="49"/>
      <c r="I19" s="160">
        <v>-1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0">
        <f t="shared" si="0"/>
        <v>0</v>
      </c>
    </row>
    <row r="20" spans="1:22" x14ac:dyDescent="0.25">
      <c r="A20" s="47" t="s">
        <v>129</v>
      </c>
      <c r="B20" s="8"/>
      <c r="C20" s="49"/>
      <c r="D20" s="49"/>
      <c r="E20" s="49"/>
      <c r="F20" s="74">
        <v>2</v>
      </c>
      <c r="G20" s="49"/>
      <c r="H20" s="49"/>
      <c r="I20" s="160">
        <v>-2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0">
        <f t="shared" si="0"/>
        <v>0</v>
      </c>
    </row>
    <row r="21" spans="1:22" x14ac:dyDescent="0.25">
      <c r="A21" s="47" t="s">
        <v>111</v>
      </c>
      <c r="B21" s="8"/>
      <c r="C21" s="49"/>
      <c r="D21" s="49"/>
      <c r="E21" s="49"/>
      <c r="F21" s="74">
        <v>1</v>
      </c>
      <c r="G21" s="49"/>
      <c r="H21" s="49"/>
      <c r="I21" s="160">
        <v>-1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0">
        <f t="shared" si="0"/>
        <v>0</v>
      </c>
    </row>
    <row r="22" spans="1:22" x14ac:dyDescent="0.25">
      <c r="A22" s="47" t="s">
        <v>130</v>
      </c>
      <c r="B22" s="8"/>
      <c r="C22" s="49"/>
      <c r="D22" s="49"/>
      <c r="E22" s="49"/>
      <c r="F22" s="74">
        <v>1</v>
      </c>
      <c r="G22" s="49"/>
      <c r="H22" s="49"/>
      <c r="I22" s="160">
        <v>-1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0">
        <f t="shared" si="0"/>
        <v>0</v>
      </c>
    </row>
    <row r="23" spans="1:22" x14ac:dyDescent="0.25">
      <c r="A23" s="47" t="s">
        <v>132</v>
      </c>
      <c r="B23" s="8"/>
      <c r="C23" s="49"/>
      <c r="D23" s="49"/>
      <c r="E23" s="49"/>
      <c r="F23" s="35"/>
      <c r="G23" s="152">
        <v>1</v>
      </c>
      <c r="H23" s="49"/>
      <c r="I23" s="49"/>
      <c r="J23" s="160">
        <v>-1</v>
      </c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0">
        <f t="shared" si="0"/>
        <v>0</v>
      </c>
    </row>
    <row r="24" spans="1:22" x14ac:dyDescent="0.25">
      <c r="A24" s="47" t="s">
        <v>152</v>
      </c>
      <c r="B24" s="8"/>
      <c r="C24" s="49"/>
      <c r="D24" s="49"/>
      <c r="E24" s="49"/>
      <c r="F24" s="35"/>
      <c r="G24" s="49"/>
      <c r="H24" s="49"/>
      <c r="I24" s="49"/>
      <c r="J24" s="49"/>
      <c r="K24" s="49"/>
      <c r="L24" s="49"/>
      <c r="M24" s="49"/>
      <c r="N24" s="49"/>
      <c r="O24" s="152"/>
      <c r="P24" s="49"/>
      <c r="Q24" s="49"/>
      <c r="R24" s="152">
        <v>8</v>
      </c>
      <c r="S24" s="49"/>
      <c r="T24" s="49"/>
      <c r="U24" s="49"/>
      <c r="V24" s="50">
        <f t="shared" si="0"/>
        <v>8</v>
      </c>
    </row>
    <row r="25" spans="1:22" x14ac:dyDescent="0.25">
      <c r="A25" s="51" t="s">
        <v>125</v>
      </c>
      <c r="B25" s="8"/>
      <c r="C25" s="162">
        <v>0.38194444444444442</v>
      </c>
      <c r="D25" s="162">
        <v>0.16666666666666666</v>
      </c>
      <c r="E25" s="155">
        <v>0.38541666666666669</v>
      </c>
      <c r="F25" s="157">
        <v>9.7222222222222224E-2</v>
      </c>
      <c r="G25" s="155">
        <v>0.43055555555555558</v>
      </c>
      <c r="H25" s="155">
        <v>8.3333333333333329E-2</v>
      </c>
      <c r="I25" s="162">
        <v>0.4375</v>
      </c>
      <c r="J25" s="162">
        <v>6.1111111111111109E-2</v>
      </c>
      <c r="K25" s="52">
        <v>0.44791666666666669</v>
      </c>
      <c r="L25" s="155">
        <v>0.46319444444444446</v>
      </c>
      <c r="M25" s="52">
        <v>0.38055555555555554</v>
      </c>
      <c r="N25" s="52">
        <v>0.375</v>
      </c>
      <c r="O25" s="155">
        <v>0.5</v>
      </c>
      <c r="P25" s="52">
        <v>0.43402777777777779</v>
      </c>
      <c r="Q25" s="52">
        <v>0.47916666666666669</v>
      </c>
      <c r="R25" s="155">
        <v>0.15555555555555556</v>
      </c>
      <c r="S25" s="162">
        <v>0.15486111111111112</v>
      </c>
      <c r="T25" s="162">
        <v>0.4236111111111111</v>
      </c>
      <c r="U25" s="155">
        <v>0.4375</v>
      </c>
      <c r="V25" s="53"/>
    </row>
    <row r="26" spans="1:22" ht="15.75" thickBot="1" x14ac:dyDescent="0.3">
      <c r="A26" s="54" t="s">
        <v>126</v>
      </c>
      <c r="B26" s="55"/>
      <c r="C26" s="163" t="s">
        <v>127</v>
      </c>
      <c r="D26" s="163" t="s">
        <v>127</v>
      </c>
      <c r="E26" s="156" t="s">
        <v>127</v>
      </c>
      <c r="F26" s="156" t="s">
        <v>127</v>
      </c>
      <c r="G26" s="156" t="s">
        <v>127</v>
      </c>
      <c r="H26" s="156" t="s">
        <v>127</v>
      </c>
      <c r="I26" s="163" t="s">
        <v>127</v>
      </c>
      <c r="J26" s="163" t="s">
        <v>127</v>
      </c>
      <c r="K26" s="56" t="s">
        <v>127</v>
      </c>
      <c r="L26" s="156" t="s">
        <v>127</v>
      </c>
      <c r="M26" s="56" t="s">
        <v>127</v>
      </c>
      <c r="N26" s="56" t="s">
        <v>127</v>
      </c>
      <c r="O26" s="159" t="s">
        <v>127</v>
      </c>
      <c r="P26" s="105" t="s">
        <v>127</v>
      </c>
      <c r="Q26" s="105" t="s">
        <v>127</v>
      </c>
      <c r="R26" s="159" t="s">
        <v>127</v>
      </c>
      <c r="S26" s="168" t="s">
        <v>127</v>
      </c>
      <c r="T26" s="168" t="s">
        <v>127</v>
      </c>
      <c r="U26" s="159" t="s">
        <v>127</v>
      </c>
      <c r="V26" s="57"/>
    </row>
    <row r="27" spans="1:22" x14ac:dyDescent="0.25">
      <c r="C27" s="164" t="s">
        <v>131</v>
      </c>
      <c r="I27" s="167" t="s">
        <v>427</v>
      </c>
      <c r="M27" s="158" t="s">
        <v>230</v>
      </c>
      <c r="Q27" s="98" t="s">
        <v>319</v>
      </c>
      <c r="R27" s="98"/>
      <c r="S27" s="164" t="s">
        <v>358</v>
      </c>
      <c r="T27" s="98"/>
      <c r="U27" s="98"/>
      <c r="V27" s="98"/>
    </row>
    <row r="28" spans="1:22" x14ac:dyDescent="0.25">
      <c r="M28" s="164" t="s">
        <v>428</v>
      </c>
      <c r="Q28" s="98" t="s">
        <v>320</v>
      </c>
      <c r="R28" s="98"/>
      <c r="S28" s="98"/>
      <c r="T28" s="98"/>
      <c r="U28" s="98"/>
      <c r="V28" s="98"/>
    </row>
  </sheetData>
  <mergeCells count="4">
    <mergeCell ref="A1:V1"/>
    <mergeCell ref="A2:V2"/>
    <mergeCell ref="A3:V3"/>
    <mergeCell ref="A4:A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345" scale="46" orientation="landscape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8826-752B-4829-BE28-4AFE7E6848B5}">
  <dimension ref="A1:I13"/>
  <sheetViews>
    <sheetView topLeftCell="A3" workbookViewId="0">
      <selection activeCell="L11" sqref="L11"/>
    </sheetView>
  </sheetViews>
  <sheetFormatPr baseColWidth="10" defaultRowHeight="15" x14ac:dyDescent="0.25"/>
  <cols>
    <col min="1" max="1" width="29.5703125" customWidth="1"/>
    <col min="2" max="2" width="15.7109375" customWidth="1"/>
    <col min="7" max="7" width="17.28515625" customWidth="1"/>
  </cols>
  <sheetData>
    <row r="1" spans="1:9" ht="18.75" x14ac:dyDescent="0.3">
      <c r="A1" s="201" t="s">
        <v>133</v>
      </c>
      <c r="B1" s="202"/>
      <c r="C1" s="202"/>
      <c r="D1" s="202"/>
      <c r="E1" s="202"/>
      <c r="F1" s="202"/>
      <c r="G1" s="203"/>
    </row>
    <row r="2" spans="1:9" ht="18.75" x14ac:dyDescent="0.3">
      <c r="A2" s="206" t="s">
        <v>134</v>
      </c>
      <c r="B2" s="194"/>
      <c r="C2" s="194"/>
      <c r="D2" s="194"/>
      <c r="E2" s="194"/>
      <c r="F2" s="194"/>
      <c r="G2" s="205"/>
    </row>
    <row r="3" spans="1:9" ht="18.75" x14ac:dyDescent="0.3">
      <c r="A3" s="206" t="s">
        <v>43</v>
      </c>
      <c r="B3" s="194"/>
      <c r="C3" s="194"/>
      <c r="D3" s="194"/>
      <c r="E3" s="194"/>
      <c r="F3" s="194"/>
      <c r="G3" s="194"/>
    </row>
    <row r="4" spans="1:9" x14ac:dyDescent="0.25">
      <c r="A4" s="1" t="s">
        <v>0</v>
      </c>
      <c r="B4" s="2" t="s">
        <v>1</v>
      </c>
      <c r="C4" s="2">
        <v>13393</v>
      </c>
      <c r="D4" s="2">
        <v>13398</v>
      </c>
      <c r="E4" s="2"/>
      <c r="F4" s="2"/>
      <c r="G4" s="2" t="s">
        <v>1</v>
      </c>
    </row>
    <row r="5" spans="1:9" x14ac:dyDescent="0.25">
      <c r="A5" s="4"/>
      <c r="B5" s="5">
        <v>46161</v>
      </c>
      <c r="C5" s="24">
        <v>46184</v>
      </c>
      <c r="D5" s="5">
        <v>46185</v>
      </c>
      <c r="E5" s="5"/>
      <c r="F5" s="5"/>
      <c r="G5" s="5">
        <v>46203</v>
      </c>
    </row>
    <row r="6" spans="1:9" x14ac:dyDescent="0.25">
      <c r="A6" s="7" t="s">
        <v>77</v>
      </c>
      <c r="B6" s="8">
        <v>66</v>
      </c>
      <c r="C6" s="9">
        <v>-52</v>
      </c>
      <c r="D6" s="9">
        <v>-14</v>
      </c>
      <c r="E6" s="9"/>
      <c r="F6" s="9"/>
      <c r="G6" s="10">
        <f t="shared" ref="G6:G8" si="0">SUM(B6:F6)</f>
        <v>0</v>
      </c>
      <c r="H6">
        <v>13.5</v>
      </c>
      <c r="I6">
        <f>G6*H6</f>
        <v>0</v>
      </c>
    </row>
    <row r="7" spans="1:9" x14ac:dyDescent="0.25">
      <c r="A7" s="7" t="s">
        <v>40</v>
      </c>
      <c r="B7" s="8">
        <v>2</v>
      </c>
      <c r="C7" s="9"/>
      <c r="D7" s="9"/>
      <c r="E7" s="9"/>
      <c r="F7" s="9"/>
      <c r="G7" s="97">
        <f t="shared" si="0"/>
        <v>2</v>
      </c>
      <c r="H7">
        <v>19</v>
      </c>
      <c r="I7">
        <f t="shared" ref="I7:I11" si="1">G7*H7</f>
        <v>38</v>
      </c>
    </row>
    <row r="8" spans="1:9" x14ac:dyDescent="0.25">
      <c r="A8" s="7" t="s">
        <v>135</v>
      </c>
      <c r="B8" s="8">
        <v>2</v>
      </c>
      <c r="C8" s="9"/>
      <c r="D8" s="9"/>
      <c r="E8" s="9"/>
      <c r="F8" s="9"/>
      <c r="G8" s="97">
        <f t="shared" si="0"/>
        <v>2</v>
      </c>
      <c r="H8">
        <v>1</v>
      </c>
      <c r="I8">
        <f t="shared" si="1"/>
        <v>2</v>
      </c>
    </row>
    <row r="9" spans="1:9" x14ac:dyDescent="0.25">
      <c r="A9" s="7" t="s">
        <v>12</v>
      </c>
      <c r="B9" s="8">
        <v>19</v>
      </c>
      <c r="C9" s="9">
        <v>-19</v>
      </c>
      <c r="D9" s="9"/>
      <c r="E9" s="9"/>
      <c r="F9" s="9"/>
      <c r="G9" s="10">
        <f>SUM(B9:F9)</f>
        <v>0</v>
      </c>
      <c r="I9">
        <f t="shared" si="1"/>
        <v>0</v>
      </c>
    </row>
    <row r="10" spans="1:9" x14ac:dyDescent="0.25">
      <c r="A10" s="7" t="s">
        <v>18</v>
      </c>
      <c r="B10" s="8">
        <v>60</v>
      </c>
      <c r="C10" s="9">
        <v>-15</v>
      </c>
      <c r="D10" s="9">
        <v>-45</v>
      </c>
      <c r="E10" s="9"/>
      <c r="F10" s="9"/>
      <c r="G10" s="10">
        <f>SUM(B10:F10)</f>
        <v>0</v>
      </c>
      <c r="H10">
        <v>25</v>
      </c>
      <c r="I10">
        <f t="shared" si="1"/>
        <v>0</v>
      </c>
    </row>
    <row r="11" spans="1:9" x14ac:dyDescent="0.25">
      <c r="A11" s="7" t="s">
        <v>123</v>
      </c>
      <c r="B11" s="8">
        <v>20</v>
      </c>
      <c r="C11" s="9">
        <v>-6</v>
      </c>
      <c r="D11" s="9">
        <v>-14</v>
      </c>
      <c r="E11" s="9"/>
      <c r="F11" s="9"/>
      <c r="G11" s="10">
        <f>SUM(B11:F11)</f>
        <v>0</v>
      </c>
      <c r="H11">
        <v>16</v>
      </c>
      <c r="I11">
        <f t="shared" si="1"/>
        <v>0</v>
      </c>
    </row>
    <row r="12" spans="1:9" x14ac:dyDescent="0.25">
      <c r="A12" s="4" t="s">
        <v>9</v>
      </c>
      <c r="B12" s="21"/>
      <c r="C12" s="12"/>
      <c r="D12" s="12">
        <v>0.4375</v>
      </c>
      <c r="E12" s="12"/>
      <c r="F12" s="12"/>
      <c r="G12" s="13"/>
      <c r="I12">
        <f>SUM(I6:I11)</f>
        <v>40</v>
      </c>
    </row>
    <row r="13" spans="1:9" x14ac:dyDescent="0.25">
      <c r="A13" s="4" t="s">
        <v>10</v>
      </c>
      <c r="B13" s="20"/>
      <c r="C13" s="15">
        <v>50000</v>
      </c>
      <c r="D13" s="15"/>
      <c r="E13" s="15"/>
      <c r="F13" s="15"/>
      <c r="G13" s="16"/>
    </row>
  </sheetData>
  <mergeCells count="3">
    <mergeCell ref="A1:G1"/>
    <mergeCell ref="A2:G2"/>
    <mergeCell ref="A3:G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118D-3946-4AAA-AE1F-8854F8F4BE00}">
  <dimension ref="A1:M21"/>
  <sheetViews>
    <sheetView workbookViewId="0">
      <selection activeCell="K15" sqref="K15"/>
    </sheetView>
  </sheetViews>
  <sheetFormatPr baseColWidth="10" defaultRowHeight="15" x14ac:dyDescent="0.25"/>
  <cols>
    <col min="1" max="1" width="33.42578125" customWidth="1"/>
  </cols>
  <sheetData>
    <row r="1" spans="1:13" ht="18.75" x14ac:dyDescent="0.3">
      <c r="A1" s="201" t="s">
        <v>257</v>
      </c>
      <c r="B1" s="202"/>
      <c r="C1" s="202"/>
      <c r="D1" s="202"/>
      <c r="E1" s="202"/>
      <c r="F1" s="202"/>
      <c r="G1" s="202"/>
      <c r="H1" s="202"/>
      <c r="I1" s="203"/>
    </row>
    <row r="2" spans="1:13" ht="18.75" x14ac:dyDescent="0.3">
      <c r="A2" s="206" t="s">
        <v>258</v>
      </c>
      <c r="B2" s="194"/>
      <c r="C2" s="194"/>
      <c r="D2" s="194"/>
      <c r="E2" s="194"/>
      <c r="F2" s="194"/>
      <c r="G2" s="194"/>
      <c r="H2" s="194"/>
      <c r="I2" s="205"/>
    </row>
    <row r="3" spans="1:13" ht="18.75" x14ac:dyDescent="0.3">
      <c r="A3" s="206" t="s">
        <v>43</v>
      </c>
      <c r="B3" s="194"/>
      <c r="C3" s="194"/>
      <c r="D3" s="194"/>
      <c r="E3" s="194"/>
      <c r="F3" s="194"/>
      <c r="G3" s="194"/>
      <c r="H3" s="194"/>
      <c r="I3" s="194"/>
    </row>
    <row r="4" spans="1:13" x14ac:dyDescent="0.25">
      <c r="A4" s="1" t="s">
        <v>0</v>
      </c>
      <c r="B4" s="2">
        <v>13797</v>
      </c>
      <c r="C4" s="2">
        <v>13701</v>
      </c>
      <c r="D4" s="2">
        <v>13404</v>
      </c>
      <c r="E4" s="2">
        <v>13413</v>
      </c>
      <c r="F4" s="2">
        <v>13746</v>
      </c>
      <c r="G4" s="2">
        <v>13750</v>
      </c>
      <c r="H4" s="2"/>
      <c r="I4" s="2" t="s">
        <v>1</v>
      </c>
    </row>
    <row r="5" spans="1:13" x14ac:dyDescent="0.25">
      <c r="A5" s="4"/>
      <c r="B5" s="5">
        <v>46183</v>
      </c>
      <c r="C5" s="24">
        <v>46185</v>
      </c>
      <c r="D5" s="5">
        <v>46189</v>
      </c>
      <c r="E5" s="5">
        <v>46191</v>
      </c>
      <c r="F5" s="5">
        <v>46203</v>
      </c>
      <c r="G5" s="5">
        <v>46203</v>
      </c>
      <c r="H5" s="5"/>
      <c r="I5" s="5">
        <v>46203</v>
      </c>
    </row>
    <row r="6" spans="1:13" x14ac:dyDescent="0.25">
      <c r="A6" s="7" t="s">
        <v>24</v>
      </c>
      <c r="B6" s="8">
        <v>44</v>
      </c>
      <c r="C6" s="9"/>
      <c r="D6" s="9">
        <v>-44</v>
      </c>
      <c r="E6" s="9"/>
      <c r="F6" s="9"/>
      <c r="G6" s="9"/>
      <c r="H6" s="9"/>
      <c r="I6" s="10">
        <f>SUM(B6:G6)</f>
        <v>0</v>
      </c>
    </row>
    <row r="7" spans="1:13" x14ac:dyDescent="0.25">
      <c r="A7" s="7" t="s">
        <v>13</v>
      </c>
      <c r="B7" s="8">
        <v>4</v>
      </c>
      <c r="C7" s="9">
        <v>6</v>
      </c>
      <c r="D7" s="9">
        <v>-4</v>
      </c>
      <c r="E7" s="9">
        <v>-6</v>
      </c>
      <c r="F7" s="9">
        <v>40</v>
      </c>
      <c r="G7" s="9">
        <v>10</v>
      </c>
      <c r="H7" s="9"/>
      <c r="I7" s="10">
        <f t="shared" ref="I7:I10" si="0">SUM(B7:G7)</f>
        <v>50</v>
      </c>
    </row>
    <row r="8" spans="1:13" x14ac:dyDescent="0.25">
      <c r="A8" s="7" t="s">
        <v>33</v>
      </c>
      <c r="B8" s="8"/>
      <c r="C8" s="9"/>
      <c r="D8" s="9"/>
      <c r="E8" s="9"/>
      <c r="F8" s="9"/>
      <c r="G8" s="9">
        <v>23</v>
      </c>
      <c r="H8" s="9"/>
      <c r="I8" s="10">
        <f t="shared" si="0"/>
        <v>23</v>
      </c>
    </row>
    <row r="9" spans="1:13" x14ac:dyDescent="0.25">
      <c r="A9" s="7" t="s">
        <v>326</v>
      </c>
      <c r="B9" s="8"/>
      <c r="C9" s="9"/>
      <c r="D9" s="9"/>
      <c r="E9" s="9"/>
      <c r="F9" s="9"/>
      <c r="G9" s="9">
        <v>11</v>
      </c>
      <c r="H9" s="9"/>
      <c r="I9" s="10">
        <f t="shared" si="0"/>
        <v>11</v>
      </c>
    </row>
    <row r="10" spans="1:13" x14ac:dyDescent="0.25">
      <c r="A10" s="7" t="s">
        <v>6</v>
      </c>
      <c r="B10" s="8">
        <v>28</v>
      </c>
      <c r="C10" s="9"/>
      <c r="D10" s="9">
        <v>-28</v>
      </c>
      <c r="E10" s="9"/>
      <c r="F10" s="9"/>
      <c r="G10" s="9"/>
      <c r="H10" s="9"/>
      <c r="I10" s="10">
        <f t="shared" si="0"/>
        <v>0</v>
      </c>
      <c r="M10" t="s">
        <v>294</v>
      </c>
    </row>
    <row r="11" spans="1:13" x14ac:dyDescent="0.25">
      <c r="A11" s="7" t="s">
        <v>7</v>
      </c>
      <c r="B11" s="8">
        <v>20</v>
      </c>
      <c r="C11" s="9"/>
      <c r="D11" s="9">
        <v>-20</v>
      </c>
      <c r="E11" s="9"/>
      <c r="F11" s="9"/>
      <c r="G11" s="9"/>
      <c r="H11" s="9"/>
      <c r="I11" s="10">
        <f t="shared" ref="I11:I19" si="1">SUM(B11:G11)</f>
        <v>0</v>
      </c>
    </row>
    <row r="12" spans="1:13" x14ac:dyDescent="0.25">
      <c r="A12" s="7" t="s">
        <v>5</v>
      </c>
      <c r="B12" s="8">
        <v>16</v>
      </c>
      <c r="C12" s="9"/>
      <c r="D12" s="9">
        <v>-16</v>
      </c>
      <c r="E12" s="9"/>
      <c r="F12" s="9"/>
      <c r="G12" s="9"/>
      <c r="H12" s="9"/>
      <c r="I12" s="10">
        <f t="shared" si="1"/>
        <v>0</v>
      </c>
    </row>
    <row r="13" spans="1:13" x14ac:dyDescent="0.25">
      <c r="A13" s="7" t="s">
        <v>4</v>
      </c>
      <c r="B13" s="8">
        <v>500</v>
      </c>
      <c r="C13" s="9"/>
      <c r="D13" s="9">
        <v>-496</v>
      </c>
      <c r="E13" s="9">
        <v>-4</v>
      </c>
      <c r="F13" s="9"/>
      <c r="G13" s="9">
        <v>200</v>
      </c>
      <c r="H13" s="9"/>
      <c r="I13" s="10">
        <f t="shared" si="1"/>
        <v>200</v>
      </c>
    </row>
    <row r="14" spans="1:13" x14ac:dyDescent="0.25">
      <c r="A14" s="7" t="s">
        <v>8</v>
      </c>
      <c r="B14" s="8">
        <v>1</v>
      </c>
      <c r="C14" s="9"/>
      <c r="D14" s="9">
        <v>-1</v>
      </c>
      <c r="E14" s="9"/>
      <c r="F14" s="9"/>
      <c r="G14" s="9">
        <v>1</v>
      </c>
      <c r="H14" s="9"/>
      <c r="I14" s="10">
        <f t="shared" si="1"/>
        <v>1</v>
      </c>
    </row>
    <row r="15" spans="1:13" x14ac:dyDescent="0.25">
      <c r="A15" s="7" t="s">
        <v>3</v>
      </c>
      <c r="B15" s="8"/>
      <c r="C15" s="9">
        <v>18</v>
      </c>
      <c r="D15" s="9">
        <v>-18</v>
      </c>
      <c r="E15" s="9"/>
      <c r="F15" s="9"/>
      <c r="G15" s="9"/>
      <c r="H15" s="9"/>
      <c r="I15" s="10">
        <f t="shared" si="1"/>
        <v>0</v>
      </c>
    </row>
    <row r="16" spans="1:13" x14ac:dyDescent="0.25">
      <c r="A16" s="7" t="s">
        <v>152</v>
      </c>
      <c r="B16" s="8"/>
      <c r="C16" s="9">
        <v>14</v>
      </c>
      <c r="D16" s="9">
        <v>-14</v>
      </c>
      <c r="E16" s="9"/>
      <c r="F16" s="9"/>
      <c r="G16" s="9"/>
      <c r="H16" s="9"/>
      <c r="I16" s="10">
        <f t="shared" si="1"/>
        <v>0</v>
      </c>
    </row>
    <row r="17" spans="1:9" x14ac:dyDescent="0.25">
      <c r="A17" s="7" t="s">
        <v>12</v>
      </c>
      <c r="B17" s="8"/>
      <c r="C17" s="9"/>
      <c r="D17" s="9"/>
      <c r="E17" s="9"/>
      <c r="F17" s="9">
        <v>14</v>
      </c>
      <c r="G17" s="9">
        <v>10</v>
      </c>
      <c r="H17" s="9"/>
      <c r="I17" s="10">
        <f t="shared" si="1"/>
        <v>24</v>
      </c>
    </row>
    <row r="18" spans="1:9" x14ac:dyDescent="0.25">
      <c r="A18" s="7" t="s">
        <v>19</v>
      </c>
      <c r="B18" s="8"/>
      <c r="C18" s="9"/>
      <c r="D18" s="9"/>
      <c r="E18" s="9"/>
      <c r="F18" s="9"/>
      <c r="G18" s="9">
        <v>12</v>
      </c>
      <c r="H18" s="9"/>
      <c r="I18" s="10">
        <f>SUM(B18:G18)</f>
        <v>12</v>
      </c>
    </row>
    <row r="19" spans="1:9" x14ac:dyDescent="0.25">
      <c r="A19" s="7" t="s">
        <v>212</v>
      </c>
      <c r="B19" s="8"/>
      <c r="C19" s="9"/>
      <c r="D19" s="9"/>
      <c r="E19" s="9"/>
      <c r="F19" s="9">
        <v>30</v>
      </c>
      <c r="G19" s="9">
        <v>55</v>
      </c>
      <c r="H19" s="9"/>
      <c r="I19" s="10">
        <f t="shared" si="1"/>
        <v>85</v>
      </c>
    </row>
    <row r="20" spans="1:9" x14ac:dyDescent="0.25">
      <c r="A20" s="4" t="s">
        <v>9</v>
      </c>
      <c r="B20" s="11">
        <v>0.14583333333333334</v>
      </c>
      <c r="C20" s="12">
        <v>8.3333333333333329E-2</v>
      </c>
      <c r="D20" s="12"/>
      <c r="E20" s="12">
        <v>0.125</v>
      </c>
      <c r="F20" s="12">
        <v>0.15277777777777779</v>
      </c>
      <c r="G20" s="12">
        <v>0.125</v>
      </c>
      <c r="H20" s="12"/>
      <c r="I20" s="13">
        <f>SUM(B20:G20)</f>
        <v>0.63194444444444442</v>
      </c>
    </row>
    <row r="21" spans="1:9" x14ac:dyDescent="0.25">
      <c r="A21" s="4" t="s">
        <v>10</v>
      </c>
      <c r="B21" s="15">
        <v>60000</v>
      </c>
      <c r="C21" s="15">
        <v>60000</v>
      </c>
      <c r="D21" s="15">
        <v>80000</v>
      </c>
      <c r="E21" s="15">
        <v>30000</v>
      </c>
      <c r="F21" s="15" t="s">
        <v>362</v>
      </c>
      <c r="G21" s="15" t="s">
        <v>362</v>
      </c>
      <c r="H21" s="15"/>
      <c r="I21" s="16">
        <f t="shared" ref="I21" si="2">SUM(B21:F21)</f>
        <v>230000</v>
      </c>
    </row>
  </sheetData>
  <mergeCells count="3"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8D58-A7F3-4651-A3D5-0D32A02B0EDA}">
  <sheetPr>
    <pageSetUpPr fitToPage="1"/>
  </sheetPr>
  <dimension ref="A1:G29"/>
  <sheetViews>
    <sheetView topLeftCell="A9" workbookViewId="0">
      <selection activeCell="J24" sqref="J24"/>
    </sheetView>
  </sheetViews>
  <sheetFormatPr baseColWidth="10" defaultRowHeight="15" x14ac:dyDescent="0.25"/>
  <cols>
    <col min="1" max="1" width="31" customWidth="1"/>
    <col min="2" max="2" width="17.140625" customWidth="1"/>
    <col min="3" max="3" width="17.28515625" customWidth="1"/>
    <col min="4" max="4" width="16" customWidth="1"/>
    <col min="5" max="5" width="17.28515625" customWidth="1"/>
    <col min="6" max="6" width="17.140625" customWidth="1"/>
    <col min="7" max="7" width="15.140625" customWidth="1"/>
  </cols>
  <sheetData>
    <row r="1" spans="1:7" ht="18.75" x14ac:dyDescent="0.3">
      <c r="A1" s="201" t="s">
        <v>136</v>
      </c>
      <c r="B1" s="202"/>
      <c r="C1" s="202"/>
      <c r="D1" s="202"/>
      <c r="E1" s="202"/>
      <c r="F1" s="202"/>
      <c r="G1" s="202"/>
    </row>
    <row r="2" spans="1:7" ht="18.75" x14ac:dyDescent="0.3">
      <c r="A2" s="206" t="s">
        <v>137</v>
      </c>
      <c r="B2" s="194"/>
      <c r="C2" s="194"/>
      <c r="D2" s="194"/>
      <c r="E2" s="194"/>
      <c r="F2" s="194"/>
      <c r="G2" s="194"/>
    </row>
    <row r="3" spans="1:7" ht="18.75" x14ac:dyDescent="0.3">
      <c r="A3" s="206" t="s">
        <v>138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 t="s">
        <v>1</v>
      </c>
      <c r="C4" s="2">
        <v>13400</v>
      </c>
      <c r="D4" s="2">
        <v>13424</v>
      </c>
      <c r="E4" s="2"/>
      <c r="F4" s="2"/>
      <c r="G4" s="2" t="s">
        <v>1</v>
      </c>
    </row>
    <row r="5" spans="1:7" x14ac:dyDescent="0.25">
      <c r="A5" s="4"/>
      <c r="B5" s="5">
        <v>46173</v>
      </c>
      <c r="C5" s="5">
        <v>46186</v>
      </c>
      <c r="D5" s="5">
        <v>46193</v>
      </c>
      <c r="E5" s="5"/>
      <c r="F5" s="5"/>
      <c r="G5" s="5">
        <v>46203</v>
      </c>
    </row>
    <row r="6" spans="1:7" x14ac:dyDescent="0.25">
      <c r="A6" s="17" t="s">
        <v>40</v>
      </c>
      <c r="B6" s="8">
        <v>6</v>
      </c>
      <c r="C6" s="9"/>
      <c r="D6" s="35">
        <v>-2</v>
      </c>
      <c r="E6" s="9"/>
      <c r="F6" s="9"/>
      <c r="G6" s="10">
        <f>SUM(B6:F6)</f>
        <v>4</v>
      </c>
    </row>
    <row r="7" spans="1:7" x14ac:dyDescent="0.25">
      <c r="A7" s="17" t="s">
        <v>53</v>
      </c>
      <c r="B7" s="8">
        <v>6</v>
      </c>
      <c r="C7" s="9"/>
      <c r="D7" s="35">
        <v>-2</v>
      </c>
      <c r="E7" s="9"/>
      <c r="F7" s="9"/>
      <c r="G7" s="10">
        <f t="shared" ref="G7:G11" si="0">SUM(B7:F7)</f>
        <v>4</v>
      </c>
    </row>
    <row r="8" spans="1:7" x14ac:dyDescent="0.25">
      <c r="A8" s="17" t="s">
        <v>135</v>
      </c>
      <c r="B8" s="8">
        <v>3</v>
      </c>
      <c r="C8" s="9"/>
      <c r="D8" s="35">
        <v>-3</v>
      </c>
      <c r="E8" s="9"/>
      <c r="F8" s="9"/>
      <c r="G8" s="10">
        <f t="shared" si="0"/>
        <v>0</v>
      </c>
    </row>
    <row r="9" spans="1:7" x14ac:dyDescent="0.25">
      <c r="A9" s="17" t="s">
        <v>139</v>
      </c>
      <c r="B9" s="8">
        <v>3</v>
      </c>
      <c r="C9" s="9"/>
      <c r="D9" s="9">
        <v>-3</v>
      </c>
      <c r="E9" s="9"/>
      <c r="F9" s="9"/>
      <c r="G9" s="10">
        <f t="shared" si="0"/>
        <v>0</v>
      </c>
    </row>
    <row r="10" spans="1:7" x14ac:dyDescent="0.25">
      <c r="A10" s="17" t="s">
        <v>77</v>
      </c>
      <c r="B10" s="8">
        <v>4</v>
      </c>
      <c r="C10" s="9">
        <v>-4</v>
      </c>
      <c r="D10" s="35"/>
      <c r="E10" s="9"/>
      <c r="F10" s="9"/>
      <c r="G10" s="10">
        <f t="shared" si="0"/>
        <v>0</v>
      </c>
    </row>
    <row r="11" spans="1:7" x14ac:dyDescent="0.25">
      <c r="A11" s="17" t="s">
        <v>140</v>
      </c>
      <c r="B11" s="8">
        <v>6</v>
      </c>
      <c r="C11" s="9"/>
      <c r="D11" s="9"/>
      <c r="E11" s="9"/>
      <c r="F11" s="9"/>
      <c r="G11" s="10">
        <f t="shared" si="0"/>
        <v>6</v>
      </c>
    </row>
    <row r="12" spans="1:7" x14ac:dyDescent="0.25">
      <c r="A12" s="4" t="s">
        <v>9</v>
      </c>
      <c r="B12" s="21"/>
      <c r="C12" s="11">
        <v>0.36805555555555558</v>
      </c>
      <c r="D12" s="11">
        <v>0.41666666666666669</v>
      </c>
      <c r="E12" s="12"/>
      <c r="F12" s="12"/>
      <c r="G12" s="13"/>
    </row>
    <row r="13" spans="1:7" x14ac:dyDescent="0.25">
      <c r="A13" s="4" t="s">
        <v>10</v>
      </c>
      <c r="B13" s="20"/>
      <c r="C13" s="15"/>
      <c r="D13" s="15"/>
      <c r="E13" s="15"/>
      <c r="F13" s="15"/>
      <c r="G13" s="16">
        <f>SUM(C13:F13)</f>
        <v>0</v>
      </c>
    </row>
    <row r="15" spans="1:7" ht="15.75" thickBot="1" x14ac:dyDescent="0.3"/>
    <row r="16" spans="1:7" ht="18.75" x14ac:dyDescent="0.3">
      <c r="A16" s="201" t="s">
        <v>136</v>
      </c>
      <c r="B16" s="202"/>
      <c r="C16" s="202"/>
      <c r="D16" s="202"/>
      <c r="E16" s="202"/>
      <c r="F16" s="202"/>
      <c r="G16" s="207"/>
    </row>
    <row r="17" spans="1:7" ht="18.75" x14ac:dyDescent="0.3">
      <c r="A17" s="206" t="s">
        <v>137</v>
      </c>
      <c r="B17" s="194"/>
      <c r="C17" s="194"/>
      <c r="D17" s="194"/>
      <c r="E17" s="194"/>
      <c r="F17" s="194"/>
      <c r="G17" s="195"/>
    </row>
    <row r="18" spans="1:7" ht="18.75" x14ac:dyDescent="0.3">
      <c r="A18" s="206" t="s">
        <v>273</v>
      </c>
      <c r="B18" s="194"/>
      <c r="C18" s="194"/>
      <c r="D18" s="194"/>
      <c r="E18" s="194"/>
      <c r="F18" s="194"/>
      <c r="G18" s="195"/>
    </row>
    <row r="19" spans="1:7" x14ac:dyDescent="0.25">
      <c r="A19" s="1" t="s">
        <v>102</v>
      </c>
      <c r="B19" s="2">
        <v>13676</v>
      </c>
      <c r="C19" s="2">
        <v>13354</v>
      </c>
      <c r="D19" s="2">
        <v>13400</v>
      </c>
      <c r="E19" s="2">
        <v>13424</v>
      </c>
      <c r="F19" s="2"/>
      <c r="G19" s="2" t="s">
        <v>1</v>
      </c>
    </row>
    <row r="20" spans="1:7" x14ac:dyDescent="0.25">
      <c r="A20" s="4" t="s">
        <v>0</v>
      </c>
      <c r="B20" s="5">
        <v>46162</v>
      </c>
      <c r="C20" s="5">
        <v>46170</v>
      </c>
      <c r="D20" s="5">
        <v>46186</v>
      </c>
      <c r="E20" s="5">
        <v>46193</v>
      </c>
      <c r="F20" s="5"/>
      <c r="G20" s="5">
        <v>46203</v>
      </c>
    </row>
    <row r="21" spans="1:7" x14ac:dyDescent="0.25">
      <c r="A21" s="17" t="s">
        <v>274</v>
      </c>
      <c r="B21" s="8">
        <v>2</v>
      </c>
      <c r="C21" s="9"/>
      <c r="D21" s="35">
        <v>-2</v>
      </c>
      <c r="E21" s="9"/>
      <c r="F21" s="9"/>
      <c r="G21" s="10">
        <f t="shared" ref="G21:G26" si="1">SUM(B21:E21)</f>
        <v>0</v>
      </c>
    </row>
    <row r="22" spans="1:7" x14ac:dyDescent="0.25">
      <c r="A22" s="17" t="s">
        <v>207</v>
      </c>
      <c r="B22" s="8">
        <v>2</v>
      </c>
      <c r="C22" s="9"/>
      <c r="D22" s="35">
        <v>-2</v>
      </c>
      <c r="E22" s="9"/>
      <c r="F22" s="9"/>
      <c r="G22" s="10">
        <f t="shared" si="1"/>
        <v>0</v>
      </c>
    </row>
    <row r="23" spans="1:7" x14ac:dyDescent="0.25">
      <c r="A23" s="17" t="s">
        <v>206</v>
      </c>
      <c r="B23" s="8">
        <v>1</v>
      </c>
      <c r="C23" s="9"/>
      <c r="D23" s="35">
        <v>-1</v>
      </c>
      <c r="E23" s="9"/>
      <c r="F23" s="9"/>
      <c r="G23" s="10">
        <f>SUM(B23:F23)</f>
        <v>0</v>
      </c>
    </row>
    <row r="24" spans="1:7" x14ac:dyDescent="0.25">
      <c r="A24" s="17" t="s">
        <v>18</v>
      </c>
      <c r="B24" s="8">
        <v>5</v>
      </c>
      <c r="C24" s="9"/>
      <c r="D24" s="9">
        <v>-4</v>
      </c>
      <c r="E24" s="9">
        <v>-1</v>
      </c>
      <c r="F24" s="9"/>
      <c r="G24" s="10">
        <f t="shared" si="1"/>
        <v>0</v>
      </c>
    </row>
    <row r="25" spans="1:7" x14ac:dyDescent="0.25">
      <c r="A25" s="17" t="s">
        <v>12</v>
      </c>
      <c r="B25" s="8">
        <v>4</v>
      </c>
      <c r="C25" s="9">
        <v>-2</v>
      </c>
      <c r="D25" s="35">
        <v>-2</v>
      </c>
      <c r="E25" s="9"/>
      <c r="F25" s="9"/>
      <c r="G25" s="10">
        <f t="shared" si="1"/>
        <v>0</v>
      </c>
    </row>
    <row r="26" spans="1:7" x14ac:dyDescent="0.25">
      <c r="A26" s="17" t="s">
        <v>13</v>
      </c>
      <c r="B26" s="8">
        <v>3</v>
      </c>
      <c r="C26" s="9">
        <v>-3</v>
      </c>
      <c r="D26" s="9"/>
      <c r="E26" s="9"/>
      <c r="F26" s="9"/>
      <c r="G26" s="10">
        <f t="shared" si="1"/>
        <v>0</v>
      </c>
    </row>
    <row r="27" spans="1:7" x14ac:dyDescent="0.25">
      <c r="A27" s="17"/>
      <c r="B27" s="8"/>
      <c r="C27" s="9"/>
      <c r="D27" s="9"/>
      <c r="E27" s="9"/>
      <c r="F27" s="9"/>
      <c r="G27" s="10"/>
    </row>
    <row r="28" spans="1:7" x14ac:dyDescent="0.25">
      <c r="A28" s="4" t="s">
        <v>9</v>
      </c>
      <c r="B28" s="11">
        <v>0.375</v>
      </c>
      <c r="C28" s="12" t="s">
        <v>275</v>
      </c>
      <c r="D28" s="11">
        <v>0.36805555555555558</v>
      </c>
      <c r="E28" s="12">
        <v>0.41666666666666669</v>
      </c>
      <c r="F28" s="12"/>
      <c r="G28" s="13"/>
    </row>
    <row r="29" spans="1:7" x14ac:dyDescent="0.25">
      <c r="A29" s="4" t="s">
        <v>10</v>
      </c>
      <c r="B29" s="15">
        <v>40000</v>
      </c>
      <c r="C29" s="15"/>
      <c r="D29" s="15">
        <v>75000</v>
      </c>
      <c r="E29" s="15"/>
      <c r="F29" s="15"/>
      <c r="G29" s="16">
        <f>SUM(B29:D29)</f>
        <v>115000</v>
      </c>
    </row>
  </sheetData>
  <mergeCells count="6">
    <mergeCell ref="A18:G18"/>
    <mergeCell ref="A1:G1"/>
    <mergeCell ref="A2:G2"/>
    <mergeCell ref="A3:G3"/>
    <mergeCell ref="A16:G16"/>
    <mergeCell ref="A17:G17"/>
  </mergeCells>
  <pageMargins left="0.7" right="0.7" top="0.75" bottom="0.75" header="0.3" footer="0.3"/>
  <pageSetup paperSize="9" scale="61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F380-465A-4A7F-9757-4754DA136C23}">
  <dimension ref="A1:G14"/>
  <sheetViews>
    <sheetView workbookViewId="0">
      <selection activeCell="H8" sqref="H8"/>
    </sheetView>
  </sheetViews>
  <sheetFormatPr baseColWidth="10" defaultRowHeight="15" x14ac:dyDescent="0.25"/>
  <cols>
    <col min="1" max="1" width="40.28515625" customWidth="1"/>
  </cols>
  <sheetData>
    <row r="1" spans="1:7" ht="18.75" x14ac:dyDescent="0.3">
      <c r="A1" s="201" t="s">
        <v>287</v>
      </c>
      <c r="B1" s="202"/>
      <c r="C1" s="202"/>
      <c r="D1" s="202"/>
      <c r="E1" s="202"/>
      <c r="F1" s="202"/>
      <c r="G1" s="207"/>
    </row>
    <row r="2" spans="1:7" ht="18.75" x14ac:dyDescent="0.3">
      <c r="A2" s="206" t="s">
        <v>288</v>
      </c>
      <c r="B2" s="194"/>
      <c r="C2" s="194"/>
      <c r="D2" s="194"/>
      <c r="E2" s="194"/>
      <c r="F2" s="194"/>
      <c r="G2" s="195"/>
    </row>
    <row r="3" spans="1:7" ht="18.75" x14ac:dyDescent="0.3">
      <c r="A3" s="206" t="s">
        <v>289</v>
      </c>
      <c r="B3" s="194"/>
      <c r="C3" s="194"/>
      <c r="D3" s="194"/>
      <c r="E3" s="194"/>
      <c r="F3" s="194"/>
      <c r="G3" s="195"/>
    </row>
    <row r="4" spans="1:7" x14ac:dyDescent="0.25">
      <c r="A4" s="1" t="s">
        <v>102</v>
      </c>
      <c r="B4" s="2">
        <v>13709</v>
      </c>
      <c r="C4" s="2">
        <v>13425</v>
      </c>
      <c r="D4" s="2"/>
      <c r="E4" s="2"/>
      <c r="F4" s="2"/>
      <c r="G4" s="2" t="s">
        <v>1</v>
      </c>
    </row>
    <row r="5" spans="1:7" x14ac:dyDescent="0.25">
      <c r="A5" s="4" t="s">
        <v>0</v>
      </c>
      <c r="B5" s="5">
        <v>46189</v>
      </c>
      <c r="C5" s="5">
        <v>46195</v>
      </c>
      <c r="D5" s="5"/>
      <c r="E5" s="5"/>
      <c r="F5" s="5"/>
      <c r="G5" s="5">
        <v>46203</v>
      </c>
    </row>
    <row r="6" spans="1:7" x14ac:dyDescent="0.25">
      <c r="A6" s="17" t="s">
        <v>57</v>
      </c>
      <c r="B6" s="8">
        <v>4</v>
      </c>
      <c r="C6" s="9">
        <v>-4</v>
      </c>
      <c r="D6" s="35"/>
      <c r="E6" s="9"/>
      <c r="F6" s="9"/>
      <c r="G6" s="10">
        <f t="shared" ref="G6:G11" si="0">SUM(B6:E6)</f>
        <v>0</v>
      </c>
    </row>
    <row r="7" spans="1:7" x14ac:dyDescent="0.25">
      <c r="A7" s="17" t="s">
        <v>41</v>
      </c>
      <c r="B7" s="8">
        <v>4</v>
      </c>
      <c r="C7" s="9">
        <v>-4</v>
      </c>
      <c r="D7" s="35"/>
      <c r="E7" s="9"/>
      <c r="F7" s="9"/>
      <c r="G7" s="10">
        <f t="shared" si="0"/>
        <v>0</v>
      </c>
    </row>
    <row r="8" spans="1:7" x14ac:dyDescent="0.25">
      <c r="A8" s="17" t="s">
        <v>135</v>
      </c>
      <c r="B8" s="8">
        <v>12</v>
      </c>
      <c r="C8" s="9">
        <v>-12</v>
      </c>
      <c r="D8" s="35"/>
      <c r="E8" s="9"/>
      <c r="F8" s="9"/>
      <c r="G8" s="10">
        <f t="shared" si="0"/>
        <v>0</v>
      </c>
    </row>
    <row r="9" spans="1:7" x14ac:dyDescent="0.25">
      <c r="A9" s="17" t="s">
        <v>5</v>
      </c>
      <c r="B9" s="8">
        <v>4</v>
      </c>
      <c r="C9" s="9">
        <v>-4</v>
      </c>
      <c r="D9" s="9"/>
      <c r="E9" s="9"/>
      <c r="F9" s="9"/>
      <c r="G9" s="10">
        <f t="shared" si="0"/>
        <v>0</v>
      </c>
    </row>
    <row r="10" spans="1:7" x14ac:dyDescent="0.25">
      <c r="A10" s="17" t="s">
        <v>290</v>
      </c>
      <c r="B10" s="8">
        <v>1</v>
      </c>
      <c r="C10" s="9">
        <v>-1</v>
      </c>
      <c r="D10" s="35"/>
      <c r="E10" s="9"/>
      <c r="F10" s="9"/>
      <c r="G10" s="10">
        <f t="shared" si="0"/>
        <v>0</v>
      </c>
    </row>
    <row r="11" spans="1:7" x14ac:dyDescent="0.25">
      <c r="A11" s="17"/>
      <c r="B11" s="8"/>
      <c r="C11" s="9"/>
      <c r="D11" s="9"/>
      <c r="E11" s="9"/>
      <c r="F11" s="9"/>
      <c r="G11" s="10">
        <f t="shared" si="0"/>
        <v>0</v>
      </c>
    </row>
    <row r="12" spans="1:7" x14ac:dyDescent="0.25">
      <c r="A12" s="17"/>
      <c r="B12" s="8"/>
      <c r="C12" s="9"/>
      <c r="D12" s="9"/>
      <c r="E12" s="9"/>
      <c r="F12" s="9"/>
      <c r="G12" s="10"/>
    </row>
    <row r="13" spans="1:7" x14ac:dyDescent="0.25">
      <c r="A13" s="4" t="s">
        <v>9</v>
      </c>
      <c r="B13" s="11">
        <v>0.33333333333333331</v>
      </c>
      <c r="C13" s="12">
        <v>0.10416666666666667</v>
      </c>
      <c r="D13" s="11"/>
      <c r="E13" s="12"/>
      <c r="F13" s="12"/>
      <c r="G13" s="13"/>
    </row>
    <row r="14" spans="1:7" x14ac:dyDescent="0.25">
      <c r="A14" s="4" t="s">
        <v>10</v>
      </c>
      <c r="B14" s="15">
        <v>35000</v>
      </c>
      <c r="C14" s="15">
        <v>35000</v>
      </c>
      <c r="D14" s="15"/>
      <c r="E14" s="15"/>
      <c r="F14" s="15"/>
      <c r="G14" s="1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57B2-FD44-4A1E-82DF-D75763A94986}">
  <dimension ref="A1:G14"/>
  <sheetViews>
    <sheetView workbookViewId="0">
      <selection activeCell="J12" sqref="J12"/>
    </sheetView>
  </sheetViews>
  <sheetFormatPr baseColWidth="10" defaultRowHeight="15" x14ac:dyDescent="0.25"/>
  <cols>
    <col min="1" max="1" width="30.28515625" customWidth="1"/>
    <col min="2" max="2" width="14.5703125" customWidth="1"/>
  </cols>
  <sheetData>
    <row r="1" spans="1:7" ht="18.75" x14ac:dyDescent="0.3">
      <c r="A1" s="201" t="s">
        <v>16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17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20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13634</v>
      </c>
      <c r="C4" s="2">
        <v>13762</v>
      </c>
      <c r="D4" s="2">
        <v>13780</v>
      </c>
      <c r="E4" s="2">
        <v>13438</v>
      </c>
      <c r="F4" s="2">
        <v>13449</v>
      </c>
      <c r="G4" s="3" t="s">
        <v>1</v>
      </c>
    </row>
    <row r="5" spans="1:7" x14ac:dyDescent="0.25">
      <c r="A5" s="4"/>
      <c r="B5" s="5">
        <v>46149</v>
      </c>
      <c r="C5" s="5">
        <v>46174</v>
      </c>
      <c r="D5" s="5">
        <v>46178</v>
      </c>
      <c r="E5" s="5">
        <v>46197</v>
      </c>
      <c r="F5" s="5">
        <v>46199</v>
      </c>
      <c r="G5" s="6">
        <v>46142</v>
      </c>
    </row>
    <row r="6" spans="1:7" x14ac:dyDescent="0.25">
      <c r="A6" s="7" t="s">
        <v>5</v>
      </c>
      <c r="B6" s="8">
        <v>100</v>
      </c>
      <c r="C6" s="9">
        <v>100</v>
      </c>
      <c r="D6" s="9">
        <v>58</v>
      </c>
      <c r="E6" s="9">
        <v>-1</v>
      </c>
      <c r="F6" s="9">
        <v>-103</v>
      </c>
      <c r="G6" s="10">
        <f t="shared" ref="G6:G12" si="0">SUM(B6:F6)</f>
        <v>154</v>
      </c>
    </row>
    <row r="7" spans="1:7" x14ac:dyDescent="0.25">
      <c r="A7" s="7" t="s">
        <v>18</v>
      </c>
      <c r="B7" s="8"/>
      <c r="C7" s="9">
        <v>100</v>
      </c>
      <c r="D7" s="9"/>
      <c r="E7" s="9"/>
      <c r="F7" s="9"/>
      <c r="G7" s="10">
        <f t="shared" si="0"/>
        <v>100</v>
      </c>
    </row>
    <row r="8" spans="1:7" x14ac:dyDescent="0.25">
      <c r="A8" s="7" t="s">
        <v>19</v>
      </c>
      <c r="B8" s="8"/>
      <c r="C8" s="9">
        <v>5</v>
      </c>
      <c r="D8" s="9"/>
      <c r="E8" s="9"/>
      <c r="F8" s="9"/>
      <c r="G8" s="10">
        <f t="shared" si="0"/>
        <v>5</v>
      </c>
    </row>
    <row r="9" spans="1:7" x14ac:dyDescent="0.25">
      <c r="A9" s="7" t="s">
        <v>12</v>
      </c>
      <c r="B9" s="8"/>
      <c r="C9" s="9">
        <v>40</v>
      </c>
      <c r="D9" s="9">
        <v>25</v>
      </c>
      <c r="E9" s="9"/>
      <c r="F9" s="9"/>
      <c r="G9" s="10">
        <f t="shared" si="0"/>
        <v>65</v>
      </c>
    </row>
    <row r="10" spans="1:7" x14ac:dyDescent="0.25">
      <c r="A10" s="7" t="s">
        <v>60</v>
      </c>
      <c r="B10" s="8"/>
      <c r="C10" s="9"/>
      <c r="D10" s="9">
        <v>3</v>
      </c>
      <c r="E10" s="9">
        <v>-2</v>
      </c>
      <c r="F10" s="9"/>
      <c r="G10" s="10">
        <f t="shared" si="0"/>
        <v>1</v>
      </c>
    </row>
    <row r="11" spans="1:7" x14ac:dyDescent="0.25">
      <c r="A11" s="7" t="s">
        <v>168</v>
      </c>
      <c r="B11" s="8"/>
      <c r="C11" s="9"/>
      <c r="D11" s="9">
        <v>2</v>
      </c>
      <c r="E11" s="9"/>
      <c r="F11" s="9"/>
      <c r="G11" s="10">
        <f t="shared" si="0"/>
        <v>2</v>
      </c>
    </row>
    <row r="12" spans="1:7" x14ac:dyDescent="0.25">
      <c r="A12" s="7" t="s">
        <v>169</v>
      </c>
      <c r="B12" s="8"/>
      <c r="C12" s="9"/>
      <c r="D12" s="9">
        <v>10</v>
      </c>
      <c r="E12" s="9"/>
      <c r="F12" s="9"/>
      <c r="G12" s="10">
        <f t="shared" si="0"/>
        <v>10</v>
      </c>
    </row>
    <row r="13" spans="1:7" x14ac:dyDescent="0.25">
      <c r="A13" s="4" t="s">
        <v>9</v>
      </c>
      <c r="B13" s="11">
        <v>0.32291666666666669</v>
      </c>
      <c r="C13" s="12">
        <v>0.33333333333333331</v>
      </c>
      <c r="D13" s="12">
        <v>0.3263888888888889</v>
      </c>
      <c r="E13" s="12">
        <v>0.40625</v>
      </c>
      <c r="F13" s="12">
        <v>0.17708333333333334</v>
      </c>
      <c r="G13" s="13"/>
    </row>
    <row r="14" spans="1:7" x14ac:dyDescent="0.25">
      <c r="A14" s="4" t="s">
        <v>10</v>
      </c>
      <c r="B14" s="14">
        <v>35000</v>
      </c>
      <c r="C14" s="15" t="s">
        <v>22</v>
      </c>
      <c r="D14" s="15" t="s">
        <v>170</v>
      </c>
      <c r="E14" s="15" t="s">
        <v>363</v>
      </c>
      <c r="F14" s="15" t="s">
        <v>405</v>
      </c>
      <c r="G14" s="16">
        <f>SUM(B14:F14)</f>
        <v>35000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CE5D-BCC7-4B59-A914-74CEC9FA286B}">
  <dimension ref="A1:G11"/>
  <sheetViews>
    <sheetView workbookViewId="0">
      <selection activeCell="C4" sqref="C4"/>
    </sheetView>
  </sheetViews>
  <sheetFormatPr baseColWidth="10" defaultRowHeight="15" x14ac:dyDescent="0.25"/>
  <cols>
    <col min="1" max="1" width="39.5703125" customWidth="1"/>
  </cols>
  <sheetData>
    <row r="1" spans="1:7" ht="18.75" x14ac:dyDescent="0.3">
      <c r="A1" s="201" t="s">
        <v>279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280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20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13713</v>
      </c>
      <c r="C4" s="2">
        <v>13442</v>
      </c>
      <c r="D4" s="2"/>
      <c r="E4" s="2"/>
      <c r="F4" s="2"/>
      <c r="G4" s="3" t="s">
        <v>1</v>
      </c>
    </row>
    <row r="5" spans="1:7" x14ac:dyDescent="0.25">
      <c r="A5" s="4"/>
      <c r="B5" s="5">
        <v>46189</v>
      </c>
      <c r="C5" s="5">
        <v>46198</v>
      </c>
      <c r="D5" s="5"/>
      <c r="E5" s="5"/>
      <c r="F5" s="5"/>
      <c r="G5" s="6">
        <v>46142</v>
      </c>
    </row>
    <row r="6" spans="1:7" x14ac:dyDescent="0.25">
      <c r="A6" s="7" t="s">
        <v>281</v>
      </c>
      <c r="B6" s="8">
        <v>4</v>
      </c>
      <c r="C6" s="9">
        <v>-4</v>
      </c>
      <c r="D6" s="9"/>
      <c r="E6" s="9"/>
      <c r="F6" s="9"/>
      <c r="G6" s="10">
        <f t="shared" ref="G6:G10" si="0">SUM(B6:F6)</f>
        <v>0</v>
      </c>
    </row>
    <row r="7" spans="1:7" x14ac:dyDescent="0.25">
      <c r="A7" s="7" t="s">
        <v>282</v>
      </c>
      <c r="B7" s="8">
        <v>3</v>
      </c>
      <c r="C7" s="9">
        <v>-3</v>
      </c>
      <c r="D7" s="9"/>
      <c r="E7" s="9"/>
      <c r="F7" s="9"/>
      <c r="G7" s="10">
        <f t="shared" si="0"/>
        <v>0</v>
      </c>
    </row>
    <row r="8" spans="1:7" x14ac:dyDescent="0.25">
      <c r="A8" s="7" t="s">
        <v>380</v>
      </c>
      <c r="B8" s="8">
        <v>5</v>
      </c>
      <c r="C8" s="9">
        <v>-5</v>
      </c>
      <c r="D8" s="9"/>
      <c r="E8" s="9"/>
      <c r="F8" s="9"/>
      <c r="G8" s="10">
        <f t="shared" si="0"/>
        <v>0</v>
      </c>
    </row>
    <row r="9" spans="1:7" x14ac:dyDescent="0.25">
      <c r="A9" s="7" t="s">
        <v>243</v>
      </c>
      <c r="B9" s="8">
        <v>4</v>
      </c>
      <c r="C9" s="9">
        <v>-4</v>
      </c>
      <c r="D9" s="9"/>
      <c r="E9" s="9"/>
      <c r="F9" s="9"/>
      <c r="G9" s="10">
        <f t="shared" si="0"/>
        <v>0</v>
      </c>
    </row>
    <row r="10" spans="1:7" x14ac:dyDescent="0.25">
      <c r="A10" s="4" t="s">
        <v>9</v>
      </c>
      <c r="B10" s="11">
        <v>0.4236111111111111</v>
      </c>
      <c r="C10" s="12">
        <v>0.41666666666666669</v>
      </c>
      <c r="D10" s="12"/>
      <c r="E10" s="12"/>
      <c r="F10" s="12"/>
      <c r="G10" s="13">
        <f t="shared" si="0"/>
        <v>0.84027777777777779</v>
      </c>
    </row>
    <row r="11" spans="1:7" x14ac:dyDescent="0.25">
      <c r="A11" s="4" t="s">
        <v>10</v>
      </c>
      <c r="B11" s="14" t="s">
        <v>283</v>
      </c>
      <c r="C11" s="14" t="s">
        <v>283</v>
      </c>
      <c r="D11" s="15"/>
      <c r="E11" s="15"/>
      <c r="F11" s="15"/>
      <c r="G11" s="16">
        <f>SUM(B11:F11)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9E33-C774-4E44-AE04-E357641A9347}">
  <dimension ref="A1:G11"/>
  <sheetViews>
    <sheetView workbookViewId="0">
      <selection activeCell="N8" sqref="N8"/>
    </sheetView>
  </sheetViews>
  <sheetFormatPr baseColWidth="10" defaultRowHeight="15" x14ac:dyDescent="0.25"/>
  <cols>
    <col min="1" max="1" width="35.140625" customWidth="1"/>
  </cols>
  <sheetData>
    <row r="1" spans="1:7" ht="18.75" x14ac:dyDescent="0.3">
      <c r="A1" s="201" t="s">
        <v>284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285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20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13711</v>
      </c>
      <c r="C4" s="2">
        <v>13712</v>
      </c>
      <c r="D4" s="2">
        <v>13457</v>
      </c>
      <c r="E4" s="2"/>
      <c r="F4" s="2"/>
      <c r="G4" s="3" t="s">
        <v>1</v>
      </c>
    </row>
    <row r="5" spans="1:7" x14ac:dyDescent="0.25">
      <c r="A5" s="4"/>
      <c r="B5" s="5">
        <v>46189</v>
      </c>
      <c r="C5" s="5">
        <v>46189</v>
      </c>
      <c r="D5" s="5">
        <v>46203</v>
      </c>
      <c r="E5" s="5"/>
      <c r="F5" s="5"/>
      <c r="G5" s="6">
        <v>46203</v>
      </c>
    </row>
    <row r="6" spans="1:7" x14ac:dyDescent="0.25">
      <c r="A6" s="7" t="s">
        <v>122</v>
      </c>
      <c r="B6" s="8">
        <v>10</v>
      </c>
      <c r="C6" s="9">
        <v>11</v>
      </c>
      <c r="D6" s="9">
        <v>-21</v>
      </c>
      <c r="E6" s="9"/>
      <c r="F6" s="9"/>
      <c r="G6" s="10">
        <f t="shared" ref="G6:G10" si="0">SUM(B6:F6)</f>
        <v>0</v>
      </c>
    </row>
    <row r="7" spans="1:7" x14ac:dyDescent="0.25">
      <c r="A7" s="7" t="s">
        <v>286</v>
      </c>
      <c r="B7" s="8">
        <v>35</v>
      </c>
      <c r="C7" s="9">
        <v>35</v>
      </c>
      <c r="D7" s="9">
        <v>-69</v>
      </c>
      <c r="E7" s="9"/>
      <c r="F7" s="9"/>
      <c r="G7" s="97">
        <f t="shared" si="0"/>
        <v>1</v>
      </c>
    </row>
    <row r="8" spans="1:7" x14ac:dyDescent="0.25">
      <c r="A8" s="7" t="s">
        <v>77</v>
      </c>
      <c r="B8" s="8">
        <v>33</v>
      </c>
      <c r="C8" s="9">
        <v>32</v>
      </c>
      <c r="D8" s="9">
        <v>-65</v>
      </c>
      <c r="E8" s="9"/>
      <c r="F8" s="9"/>
      <c r="G8" s="10">
        <f t="shared" si="0"/>
        <v>0</v>
      </c>
    </row>
    <row r="9" spans="1:7" x14ac:dyDescent="0.25">
      <c r="A9" s="7" t="s">
        <v>123</v>
      </c>
      <c r="B9" s="8">
        <v>9</v>
      </c>
      <c r="C9" s="9">
        <v>9</v>
      </c>
      <c r="D9" s="9">
        <v>-14</v>
      </c>
      <c r="E9" s="9"/>
      <c r="F9" s="9"/>
      <c r="G9" s="97">
        <f t="shared" si="0"/>
        <v>4</v>
      </c>
    </row>
    <row r="10" spans="1:7" x14ac:dyDescent="0.25">
      <c r="A10" s="4" t="s">
        <v>9</v>
      </c>
      <c r="B10" s="11">
        <v>0.35416666666666669</v>
      </c>
      <c r="C10" s="12">
        <v>0.42708333333333331</v>
      </c>
      <c r="D10" s="12">
        <v>0.46875</v>
      </c>
      <c r="E10" s="12"/>
      <c r="F10" s="12"/>
      <c r="G10" s="13">
        <f t="shared" si="0"/>
        <v>1.25</v>
      </c>
    </row>
    <row r="11" spans="1:7" x14ac:dyDescent="0.25">
      <c r="A11" s="4" t="s">
        <v>10</v>
      </c>
      <c r="B11" s="14">
        <v>80000</v>
      </c>
      <c r="C11" s="15">
        <v>80000</v>
      </c>
      <c r="D11" s="15"/>
      <c r="E11" s="15"/>
      <c r="F11" s="15"/>
      <c r="G11" s="16">
        <f>SUM(B11:F11)</f>
        <v>160000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339-3D0F-4230-8E35-0C2EE467C83A}">
  <dimension ref="A1:I21"/>
  <sheetViews>
    <sheetView workbookViewId="0">
      <selection sqref="A1:I21"/>
    </sheetView>
  </sheetViews>
  <sheetFormatPr baseColWidth="10" defaultRowHeight="15" x14ac:dyDescent="0.25"/>
  <cols>
    <col min="1" max="1" width="42.42578125" customWidth="1"/>
  </cols>
  <sheetData>
    <row r="1" spans="1:9" ht="18.75" x14ac:dyDescent="0.3">
      <c r="A1" s="201" t="s">
        <v>174</v>
      </c>
      <c r="B1" s="202"/>
      <c r="C1" s="202"/>
      <c r="D1" s="202"/>
      <c r="E1" s="202"/>
      <c r="F1" s="202"/>
      <c r="G1" s="202"/>
      <c r="H1" s="202"/>
      <c r="I1" s="203"/>
    </row>
    <row r="2" spans="1:9" ht="18.75" x14ac:dyDescent="0.3">
      <c r="A2" s="206" t="s">
        <v>23</v>
      </c>
      <c r="B2" s="194"/>
      <c r="C2" s="194"/>
      <c r="D2" s="194"/>
      <c r="E2" s="194"/>
      <c r="F2" s="194"/>
      <c r="G2" s="194"/>
      <c r="H2" s="194"/>
      <c r="I2" s="205"/>
    </row>
    <row r="3" spans="1:9" ht="18.75" x14ac:dyDescent="0.3">
      <c r="A3" s="206" t="s">
        <v>26</v>
      </c>
      <c r="B3" s="194"/>
      <c r="C3" s="194"/>
      <c r="D3" s="194"/>
      <c r="E3" s="194"/>
      <c r="F3" s="194"/>
      <c r="G3" s="194"/>
      <c r="H3" s="194"/>
      <c r="I3" s="194"/>
    </row>
    <row r="4" spans="1:9" x14ac:dyDescent="0.25">
      <c r="A4" s="1" t="s">
        <v>0</v>
      </c>
      <c r="B4" s="2">
        <v>13756</v>
      </c>
      <c r="C4" s="2">
        <v>13771</v>
      </c>
      <c r="D4" s="2">
        <v>13775</v>
      </c>
      <c r="E4" s="2">
        <v>13781</v>
      </c>
      <c r="F4" s="2">
        <v>13384</v>
      </c>
      <c r="G4" s="2">
        <v>13389</v>
      </c>
      <c r="H4" s="2">
        <v>13410</v>
      </c>
      <c r="I4" s="2" t="s">
        <v>1</v>
      </c>
    </row>
    <row r="5" spans="1:9" x14ac:dyDescent="0.25">
      <c r="A5" s="4"/>
      <c r="B5" s="5">
        <v>46171</v>
      </c>
      <c r="C5" s="5">
        <v>46175</v>
      </c>
      <c r="D5" s="5">
        <v>46176</v>
      </c>
      <c r="E5" s="5">
        <v>46148</v>
      </c>
      <c r="F5" s="5">
        <v>46179</v>
      </c>
      <c r="G5" s="5">
        <v>46183</v>
      </c>
      <c r="H5" s="5">
        <v>46190</v>
      </c>
      <c r="I5" s="5">
        <v>46112</v>
      </c>
    </row>
    <row r="6" spans="1:9" x14ac:dyDescent="0.25">
      <c r="A6" s="17" t="s">
        <v>24</v>
      </c>
      <c r="B6" s="8">
        <v>30</v>
      </c>
      <c r="C6" s="9"/>
      <c r="D6" s="9"/>
      <c r="E6" s="9"/>
      <c r="F6" s="9"/>
      <c r="G6" s="9">
        <v>-14</v>
      </c>
      <c r="H6" s="9">
        <v>-16</v>
      </c>
      <c r="I6" s="10">
        <f t="shared" ref="I6:I19" si="0">SUM(B6:H6)</f>
        <v>0</v>
      </c>
    </row>
    <row r="7" spans="1:9" x14ac:dyDescent="0.25">
      <c r="A7" s="17" t="s">
        <v>3</v>
      </c>
      <c r="B7" s="8">
        <v>12</v>
      </c>
      <c r="C7" s="9"/>
      <c r="D7" s="9"/>
      <c r="E7" s="9"/>
      <c r="F7" s="9" t="s">
        <v>211</v>
      </c>
      <c r="G7" s="9">
        <v>-8</v>
      </c>
      <c r="H7" s="9">
        <v>-4</v>
      </c>
      <c r="I7" s="10">
        <f t="shared" si="0"/>
        <v>0</v>
      </c>
    </row>
    <row r="8" spans="1:9" x14ac:dyDescent="0.25">
      <c r="A8" s="17" t="s">
        <v>5</v>
      </c>
      <c r="B8" s="8">
        <v>20</v>
      </c>
      <c r="C8" s="9"/>
      <c r="D8" s="9">
        <v>20</v>
      </c>
      <c r="E8" s="9"/>
      <c r="F8" s="9"/>
      <c r="G8" s="9">
        <v>-15</v>
      </c>
      <c r="H8" s="9">
        <v>-25</v>
      </c>
      <c r="I8" s="10">
        <f t="shared" si="0"/>
        <v>0</v>
      </c>
    </row>
    <row r="9" spans="1:9" x14ac:dyDescent="0.25">
      <c r="A9" s="17" t="s">
        <v>4</v>
      </c>
      <c r="B9" s="8">
        <v>450</v>
      </c>
      <c r="C9" s="9"/>
      <c r="D9" s="9"/>
      <c r="E9" s="9"/>
      <c r="F9" s="9"/>
      <c r="G9" s="9">
        <v>-250</v>
      </c>
      <c r="H9" s="9">
        <v>-189</v>
      </c>
      <c r="I9" s="10">
        <f t="shared" si="0"/>
        <v>11</v>
      </c>
    </row>
    <row r="10" spans="1:9" x14ac:dyDescent="0.25">
      <c r="A10" s="17" t="s">
        <v>7</v>
      </c>
      <c r="B10" s="8">
        <v>48</v>
      </c>
      <c r="C10" s="9"/>
      <c r="D10" s="9"/>
      <c r="E10" s="9"/>
      <c r="F10" s="9"/>
      <c r="G10" s="9">
        <v>-25</v>
      </c>
      <c r="H10" s="9">
        <v>-23</v>
      </c>
      <c r="I10" s="10">
        <f t="shared" si="0"/>
        <v>0</v>
      </c>
    </row>
    <row r="11" spans="1:9" x14ac:dyDescent="0.25">
      <c r="A11" s="17" t="s">
        <v>6</v>
      </c>
      <c r="B11" s="8">
        <v>24</v>
      </c>
      <c r="C11" s="9"/>
      <c r="D11" s="9"/>
      <c r="E11" s="9"/>
      <c r="F11" s="9"/>
      <c r="G11" s="9">
        <v>-8</v>
      </c>
      <c r="H11" s="9">
        <v>-16</v>
      </c>
      <c r="I11" s="10">
        <f t="shared" si="0"/>
        <v>0</v>
      </c>
    </row>
    <row r="12" spans="1:9" x14ac:dyDescent="0.25">
      <c r="A12" s="17" t="s">
        <v>8</v>
      </c>
      <c r="B12" s="8">
        <v>1</v>
      </c>
      <c r="C12" s="9"/>
      <c r="D12" s="9"/>
      <c r="E12" s="9"/>
      <c r="F12" s="9"/>
      <c r="G12" s="9">
        <v>-1</v>
      </c>
      <c r="H12" s="9"/>
      <c r="I12" s="10">
        <f t="shared" si="0"/>
        <v>0</v>
      </c>
    </row>
    <row r="13" spans="1:9" x14ac:dyDescent="0.25">
      <c r="A13" s="17" t="s">
        <v>27</v>
      </c>
      <c r="B13" s="8"/>
      <c r="C13" s="9">
        <v>4</v>
      </c>
      <c r="D13" s="9"/>
      <c r="E13" s="9"/>
      <c r="F13" s="9"/>
      <c r="G13" s="9"/>
      <c r="H13" s="9">
        <v>-2</v>
      </c>
      <c r="I13" s="10">
        <f t="shared" si="0"/>
        <v>2</v>
      </c>
    </row>
    <row r="14" spans="1:9" x14ac:dyDescent="0.25">
      <c r="A14" s="17" t="s">
        <v>28</v>
      </c>
      <c r="B14" s="8"/>
      <c r="C14" s="9">
        <v>1</v>
      </c>
      <c r="D14" s="9"/>
      <c r="E14" s="9"/>
      <c r="F14" s="9"/>
      <c r="G14" s="9"/>
      <c r="H14" s="9"/>
      <c r="I14" s="10">
        <f t="shared" si="0"/>
        <v>1</v>
      </c>
    </row>
    <row r="15" spans="1:9" x14ac:dyDescent="0.25">
      <c r="A15" s="17" t="s">
        <v>29</v>
      </c>
      <c r="B15" s="8"/>
      <c r="C15" s="9">
        <v>2</v>
      </c>
      <c r="D15" s="9"/>
      <c r="E15" s="9"/>
      <c r="F15" s="9"/>
      <c r="G15" s="9"/>
      <c r="H15" s="9">
        <v>-2</v>
      </c>
      <c r="I15" s="10">
        <f t="shared" si="0"/>
        <v>0</v>
      </c>
    </row>
    <row r="16" spans="1:9" x14ac:dyDescent="0.25">
      <c r="A16" s="17" t="s">
        <v>52</v>
      </c>
      <c r="B16" s="8"/>
      <c r="C16" s="9"/>
      <c r="D16" s="9">
        <v>2</v>
      </c>
      <c r="E16" s="9"/>
      <c r="F16" s="9"/>
      <c r="G16" s="9"/>
      <c r="H16" s="9">
        <v>-2</v>
      </c>
      <c r="I16" s="10">
        <f t="shared" si="0"/>
        <v>0</v>
      </c>
    </row>
    <row r="17" spans="1:9" x14ac:dyDescent="0.25">
      <c r="A17" s="17" t="s">
        <v>53</v>
      </c>
      <c r="B17" s="8"/>
      <c r="C17" s="9"/>
      <c r="D17" s="9">
        <v>1</v>
      </c>
      <c r="E17" s="9"/>
      <c r="F17" s="9"/>
      <c r="G17" s="9"/>
      <c r="H17" s="9">
        <v>-1</v>
      </c>
      <c r="I17" s="10">
        <f t="shared" si="0"/>
        <v>0</v>
      </c>
    </row>
    <row r="18" spans="1:9" x14ac:dyDescent="0.25">
      <c r="A18" s="17" t="s">
        <v>103</v>
      </c>
      <c r="B18" s="8"/>
      <c r="C18" s="9"/>
      <c r="D18" s="9"/>
      <c r="E18" s="9"/>
      <c r="F18" s="9"/>
      <c r="G18" s="9">
        <v>1</v>
      </c>
      <c r="H18" s="9">
        <v>-1</v>
      </c>
      <c r="I18" s="10">
        <f t="shared" si="0"/>
        <v>0</v>
      </c>
    </row>
    <row r="19" spans="1:9" x14ac:dyDescent="0.25">
      <c r="A19" s="17" t="s">
        <v>187</v>
      </c>
      <c r="B19" s="8"/>
      <c r="C19" s="9"/>
      <c r="D19" s="9"/>
      <c r="E19" s="9">
        <v>1</v>
      </c>
      <c r="F19" s="9">
        <v>-1</v>
      </c>
      <c r="G19" s="9"/>
      <c r="H19" s="9"/>
      <c r="I19" s="10">
        <f t="shared" si="0"/>
        <v>0</v>
      </c>
    </row>
    <row r="20" spans="1:9" x14ac:dyDescent="0.25">
      <c r="A20" s="4" t="s">
        <v>9</v>
      </c>
      <c r="B20" s="11">
        <v>0.32361111111111113</v>
      </c>
      <c r="C20" s="12" t="s">
        <v>30</v>
      </c>
      <c r="D20" s="12">
        <v>0.31944444444444442</v>
      </c>
      <c r="E20" s="12">
        <v>0.32291666666666669</v>
      </c>
      <c r="F20" s="12">
        <v>0.125</v>
      </c>
      <c r="G20" s="12">
        <v>0.375</v>
      </c>
      <c r="H20" s="12">
        <v>0.4375</v>
      </c>
      <c r="I20" s="13"/>
    </row>
    <row r="21" spans="1:9" x14ac:dyDescent="0.25">
      <c r="A21" s="4" t="s">
        <v>10</v>
      </c>
      <c r="B21" s="11" t="s">
        <v>25</v>
      </c>
      <c r="C21" s="11" t="s">
        <v>25</v>
      </c>
      <c r="D21" s="11" t="s">
        <v>25</v>
      </c>
      <c r="E21" s="15"/>
      <c r="F21" s="15"/>
      <c r="G21" s="15">
        <v>20000</v>
      </c>
      <c r="H21" s="15">
        <v>20000</v>
      </c>
      <c r="I21" s="16">
        <f>SUM(C21:F21)</f>
        <v>0</v>
      </c>
    </row>
  </sheetData>
  <mergeCells count="3">
    <mergeCell ref="A1:I1"/>
    <mergeCell ref="A2:I2"/>
    <mergeCell ref="A3:I3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06CF-55D3-48DF-BF7E-12B27FC2D537}">
  <dimension ref="A1:F13"/>
  <sheetViews>
    <sheetView workbookViewId="0">
      <selection activeCell="A3" sqref="A3:F3"/>
    </sheetView>
  </sheetViews>
  <sheetFormatPr baseColWidth="10" defaultRowHeight="15" x14ac:dyDescent="0.25"/>
  <cols>
    <col min="1" max="1" width="40.42578125" customWidth="1"/>
  </cols>
  <sheetData>
    <row r="1" spans="1:6" ht="18.75" x14ac:dyDescent="0.3">
      <c r="A1" s="201" t="s">
        <v>321</v>
      </c>
      <c r="B1" s="202"/>
      <c r="C1" s="202"/>
      <c r="D1" s="202"/>
      <c r="E1" s="202"/>
      <c r="F1" s="203"/>
    </row>
    <row r="2" spans="1:6" ht="18.75" x14ac:dyDescent="0.3">
      <c r="A2" s="206" t="s">
        <v>322</v>
      </c>
      <c r="B2" s="194"/>
      <c r="C2" s="194"/>
      <c r="D2" s="194"/>
      <c r="E2" s="194"/>
      <c r="F2" s="205"/>
    </row>
    <row r="3" spans="1:6" ht="18.75" x14ac:dyDescent="0.3">
      <c r="A3" s="206" t="s">
        <v>323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13721</v>
      </c>
      <c r="C4" s="2">
        <v>13733</v>
      </c>
      <c r="D4" s="2">
        <v>13740</v>
      </c>
      <c r="E4" s="2"/>
      <c r="F4" s="2" t="s">
        <v>1</v>
      </c>
    </row>
    <row r="5" spans="1:6" x14ac:dyDescent="0.25">
      <c r="A5" s="4"/>
      <c r="B5" s="5">
        <v>46191</v>
      </c>
      <c r="C5" s="24">
        <v>46196</v>
      </c>
      <c r="D5" s="5">
        <v>46199</v>
      </c>
      <c r="E5" s="5"/>
      <c r="F5" s="5">
        <v>46112</v>
      </c>
    </row>
    <row r="6" spans="1:6" x14ac:dyDescent="0.25">
      <c r="A6" s="7" t="s">
        <v>221</v>
      </c>
      <c r="B6" s="8">
        <v>8</v>
      </c>
      <c r="C6" s="9"/>
      <c r="D6" s="9"/>
      <c r="E6" s="9"/>
      <c r="F6" s="10">
        <f t="shared" ref="F6:F9" si="0">SUM(B6:E6)</f>
        <v>8</v>
      </c>
    </row>
    <row r="7" spans="1:6" x14ac:dyDescent="0.25">
      <c r="A7" s="7" t="s">
        <v>324</v>
      </c>
      <c r="B7" s="8">
        <v>8</v>
      </c>
      <c r="C7" s="9"/>
      <c r="D7" s="9"/>
      <c r="E7" s="9"/>
      <c r="F7" s="10">
        <f t="shared" si="0"/>
        <v>8</v>
      </c>
    </row>
    <row r="8" spans="1:6" x14ac:dyDescent="0.25">
      <c r="A8" s="7" t="s">
        <v>49</v>
      </c>
      <c r="B8" s="8">
        <v>4</v>
      </c>
      <c r="C8" s="9"/>
      <c r="D8" s="9"/>
      <c r="E8" s="9"/>
      <c r="F8" s="10">
        <f t="shared" si="0"/>
        <v>4</v>
      </c>
    </row>
    <row r="9" spans="1:6" x14ac:dyDescent="0.25">
      <c r="A9" s="7" t="s">
        <v>361</v>
      </c>
      <c r="B9" s="8"/>
      <c r="C9" s="9">
        <v>5</v>
      </c>
      <c r="D9" s="9">
        <v>8</v>
      </c>
      <c r="E9" s="9"/>
      <c r="F9" s="10">
        <f t="shared" si="0"/>
        <v>13</v>
      </c>
    </row>
    <row r="10" spans="1:6" x14ac:dyDescent="0.25">
      <c r="A10" s="7" t="s">
        <v>5</v>
      </c>
      <c r="B10" s="8"/>
      <c r="C10" s="9">
        <v>12</v>
      </c>
      <c r="D10" s="9"/>
      <c r="E10" s="9"/>
      <c r="F10" s="10">
        <f>SUM(B10:E10)</f>
        <v>12</v>
      </c>
    </row>
    <row r="11" spans="1:6" x14ac:dyDescent="0.25">
      <c r="A11" s="4" t="s">
        <v>9</v>
      </c>
      <c r="B11" s="11">
        <v>0.41666666666666669</v>
      </c>
      <c r="C11" s="12">
        <v>0.41666666666666669</v>
      </c>
      <c r="D11" s="12">
        <v>0.33333333333333331</v>
      </c>
      <c r="E11" s="12"/>
      <c r="F11" s="13"/>
    </row>
    <row r="12" spans="1:6" x14ac:dyDescent="0.25">
      <c r="A12" s="4" t="s">
        <v>10</v>
      </c>
      <c r="B12" s="15">
        <v>25000</v>
      </c>
      <c r="C12" s="15">
        <v>20000</v>
      </c>
      <c r="D12" s="15" t="s">
        <v>393</v>
      </c>
      <c r="E12" s="15"/>
      <c r="F12" s="16">
        <f>SUM(B12:E12)</f>
        <v>45000</v>
      </c>
    </row>
    <row r="13" spans="1:6" x14ac:dyDescent="0.25">
      <c r="A13" s="65" t="s">
        <v>325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0BE3-0A16-43E3-B99D-2A6CF4540A5B}">
  <dimension ref="A1:G9"/>
  <sheetViews>
    <sheetView workbookViewId="0">
      <selection activeCell="F17" sqref="F17"/>
    </sheetView>
  </sheetViews>
  <sheetFormatPr baseColWidth="10" defaultRowHeight="15" x14ac:dyDescent="0.25"/>
  <cols>
    <col min="1" max="1" width="32.42578125" customWidth="1"/>
  </cols>
  <sheetData>
    <row r="1" spans="1:7" ht="18.75" x14ac:dyDescent="0.3">
      <c r="A1" s="201" t="s">
        <v>188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189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190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 t="s">
        <v>1</v>
      </c>
      <c r="C4" s="2">
        <v>13381</v>
      </c>
      <c r="D4" s="2"/>
      <c r="E4" s="2"/>
      <c r="F4" s="2"/>
      <c r="G4" s="3" t="s">
        <v>1</v>
      </c>
    </row>
    <row r="5" spans="1:7" x14ac:dyDescent="0.25">
      <c r="A5" s="4"/>
      <c r="B5" s="5">
        <v>46173</v>
      </c>
      <c r="C5" s="5">
        <v>46178</v>
      </c>
      <c r="D5" s="5"/>
      <c r="E5" s="5"/>
      <c r="F5" s="5"/>
      <c r="G5" s="6">
        <v>46173</v>
      </c>
    </row>
    <row r="6" spans="1:7" x14ac:dyDescent="0.25">
      <c r="A6" s="7" t="s">
        <v>75</v>
      </c>
      <c r="B6" s="8">
        <v>110</v>
      </c>
      <c r="C6" s="9">
        <v>-110</v>
      </c>
      <c r="D6" s="9"/>
      <c r="E6" s="9"/>
      <c r="F6" s="9"/>
      <c r="G6" s="10">
        <f>SUM(B6:F6)</f>
        <v>0</v>
      </c>
    </row>
    <row r="7" spans="1:7" x14ac:dyDescent="0.25">
      <c r="A7" s="7" t="s">
        <v>169</v>
      </c>
      <c r="B7" s="8">
        <v>15</v>
      </c>
      <c r="C7" s="9">
        <v>-15</v>
      </c>
      <c r="D7" s="9"/>
      <c r="E7" s="9"/>
      <c r="F7" s="9"/>
      <c r="G7" s="10">
        <f>SUM(B7:F7)</f>
        <v>0</v>
      </c>
    </row>
    <row r="8" spans="1:7" x14ac:dyDescent="0.25">
      <c r="A8" s="4" t="s">
        <v>9</v>
      </c>
      <c r="B8" s="11">
        <v>0.20833333333333334</v>
      </c>
      <c r="C8" s="12">
        <v>0.10416666666666667</v>
      </c>
      <c r="D8" s="12"/>
      <c r="E8" s="12"/>
      <c r="F8" s="12"/>
      <c r="G8" s="13"/>
    </row>
    <row r="9" spans="1:7" x14ac:dyDescent="0.25">
      <c r="A9" s="4" t="s">
        <v>10</v>
      </c>
      <c r="B9" s="14" t="s">
        <v>191</v>
      </c>
      <c r="C9" s="14" t="s">
        <v>191</v>
      </c>
      <c r="D9" s="15"/>
      <c r="E9" s="15"/>
      <c r="F9" s="15"/>
      <c r="G9" s="16">
        <f>SUM(B9:F9)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94E3-09E0-4673-8841-AB65D08BE197}">
  <dimension ref="A1:F8"/>
  <sheetViews>
    <sheetView workbookViewId="0">
      <selection activeCell="I7" sqref="I7"/>
    </sheetView>
  </sheetViews>
  <sheetFormatPr baseColWidth="10" defaultRowHeight="15" x14ac:dyDescent="0.25"/>
  <cols>
    <col min="1" max="1" width="26.28515625" customWidth="1"/>
    <col min="6" max="6" width="15" customWidth="1"/>
  </cols>
  <sheetData>
    <row r="1" spans="1:6" ht="18.75" x14ac:dyDescent="0.3">
      <c r="A1" s="201" t="s">
        <v>159</v>
      </c>
      <c r="B1" s="202"/>
      <c r="C1" s="202"/>
      <c r="D1" s="202"/>
      <c r="E1" s="202"/>
      <c r="F1" s="203"/>
    </row>
    <row r="2" spans="1:6" ht="18.75" x14ac:dyDescent="0.3">
      <c r="A2" s="206" t="s">
        <v>160</v>
      </c>
      <c r="B2" s="194"/>
      <c r="C2" s="194"/>
      <c r="D2" s="194"/>
      <c r="E2" s="194"/>
      <c r="F2" s="205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13666</v>
      </c>
      <c r="C4" s="2">
        <v>13426</v>
      </c>
      <c r="D4" s="2"/>
      <c r="E4" s="2"/>
      <c r="F4" s="2" t="s">
        <v>1</v>
      </c>
    </row>
    <row r="5" spans="1:6" x14ac:dyDescent="0.25">
      <c r="A5" s="4"/>
      <c r="B5" s="5">
        <v>46155</v>
      </c>
      <c r="C5" s="24">
        <v>46195</v>
      </c>
      <c r="D5" s="5"/>
      <c r="E5" s="5"/>
      <c r="F5" s="5">
        <v>46112</v>
      </c>
    </row>
    <row r="6" spans="1:6" x14ac:dyDescent="0.25">
      <c r="A6" s="7" t="s">
        <v>161</v>
      </c>
      <c r="B6" s="8">
        <v>4</v>
      </c>
      <c r="C6" s="9">
        <v>-4</v>
      </c>
      <c r="D6" s="9"/>
      <c r="E6" s="9"/>
      <c r="F6" s="10">
        <f>SUM(B6:E6)</f>
        <v>0</v>
      </c>
    </row>
    <row r="7" spans="1:6" x14ac:dyDescent="0.25">
      <c r="A7" s="4" t="s">
        <v>9</v>
      </c>
      <c r="B7" s="21">
        <v>0.1111111111111111</v>
      </c>
      <c r="C7" s="12">
        <v>0.4201388888888889</v>
      </c>
      <c r="D7" s="12"/>
      <c r="E7" s="12"/>
      <c r="F7" s="13"/>
    </row>
    <row r="8" spans="1:6" x14ac:dyDescent="0.25">
      <c r="A8" s="4" t="s">
        <v>10</v>
      </c>
      <c r="B8" s="20" t="s">
        <v>104</v>
      </c>
      <c r="C8" s="15" t="s">
        <v>104</v>
      </c>
      <c r="D8" s="15"/>
      <c r="E8" s="15"/>
      <c r="F8" s="1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EBB5-8B31-4C89-A12B-11A9E7408D35}">
  <dimension ref="A1:F12"/>
  <sheetViews>
    <sheetView workbookViewId="0">
      <selection sqref="A1:F11"/>
    </sheetView>
  </sheetViews>
  <sheetFormatPr baseColWidth="10" defaultRowHeight="15" x14ac:dyDescent="0.25"/>
  <cols>
    <col min="1" max="1" width="37.85546875" customWidth="1"/>
  </cols>
  <sheetData>
    <row r="1" spans="1:6" ht="18.75" x14ac:dyDescent="0.3">
      <c r="A1" s="201" t="s">
        <v>184</v>
      </c>
      <c r="B1" s="202"/>
      <c r="C1" s="202"/>
      <c r="D1" s="202"/>
      <c r="E1" s="202"/>
      <c r="F1" s="203"/>
    </row>
    <row r="2" spans="1:6" ht="18.75" x14ac:dyDescent="0.3">
      <c r="A2" s="206" t="s">
        <v>292</v>
      </c>
      <c r="B2" s="194"/>
      <c r="C2" s="194"/>
      <c r="D2" s="194"/>
      <c r="E2" s="194"/>
      <c r="F2" s="205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13785</v>
      </c>
      <c r="C4" s="2">
        <v>13385</v>
      </c>
      <c r="D4" s="2">
        <v>13710</v>
      </c>
      <c r="E4" s="2">
        <v>13418</v>
      </c>
      <c r="F4" s="2" t="s">
        <v>1</v>
      </c>
    </row>
    <row r="5" spans="1:6" x14ac:dyDescent="0.25">
      <c r="A5" s="4"/>
      <c r="B5" s="5">
        <v>46155</v>
      </c>
      <c r="C5" s="24">
        <v>46182</v>
      </c>
      <c r="D5" s="5">
        <v>46189</v>
      </c>
      <c r="E5" s="5">
        <v>46192</v>
      </c>
      <c r="F5" s="5">
        <v>46112</v>
      </c>
    </row>
    <row r="6" spans="1:6" x14ac:dyDescent="0.25">
      <c r="A6" s="7" t="s">
        <v>291</v>
      </c>
      <c r="B6" s="8">
        <v>4</v>
      </c>
      <c r="C6" s="9">
        <v>-4</v>
      </c>
      <c r="D6" s="9">
        <v>2</v>
      </c>
      <c r="E6" s="9">
        <v>-2</v>
      </c>
      <c r="F6" s="10">
        <f>SUM(B6:E6)</f>
        <v>0</v>
      </c>
    </row>
    <row r="7" spans="1:6" x14ac:dyDescent="0.25">
      <c r="A7" s="7" t="s">
        <v>185</v>
      </c>
      <c r="B7" s="8">
        <v>4</v>
      </c>
      <c r="C7" s="9">
        <v>-4</v>
      </c>
      <c r="D7" s="9">
        <v>2</v>
      </c>
      <c r="E7" s="9">
        <v>-2</v>
      </c>
      <c r="F7" s="10">
        <f>SUM(B7:E7)</f>
        <v>0</v>
      </c>
    </row>
    <row r="8" spans="1:6" x14ac:dyDescent="0.25">
      <c r="A8" s="7" t="s">
        <v>49</v>
      </c>
      <c r="B8" s="8">
        <v>2</v>
      </c>
      <c r="C8" s="9">
        <v>-2</v>
      </c>
      <c r="D8" s="9">
        <v>2</v>
      </c>
      <c r="E8" s="9">
        <v>-2</v>
      </c>
      <c r="F8" s="10">
        <f>SUM(B8:E8)</f>
        <v>0</v>
      </c>
    </row>
    <row r="9" spans="1:6" x14ac:dyDescent="0.25">
      <c r="A9" s="7" t="s">
        <v>50</v>
      </c>
      <c r="B9" s="8">
        <v>2</v>
      </c>
      <c r="C9" s="9">
        <v>-2</v>
      </c>
      <c r="D9" s="9"/>
      <c r="E9" s="9"/>
      <c r="F9" s="10">
        <f>SUM(B9:E9)</f>
        <v>0</v>
      </c>
    </row>
    <row r="10" spans="1:6" x14ac:dyDescent="0.25">
      <c r="A10" s="4" t="s">
        <v>9</v>
      </c>
      <c r="B10" s="21">
        <v>0.1111111111111111</v>
      </c>
      <c r="C10" s="12">
        <v>0.30208333333333331</v>
      </c>
      <c r="D10" s="12">
        <v>0.32291666666666669</v>
      </c>
      <c r="E10" s="12">
        <v>0.10972222222222222</v>
      </c>
      <c r="F10" s="13"/>
    </row>
    <row r="11" spans="1:6" x14ac:dyDescent="0.25">
      <c r="A11" s="4" t="s">
        <v>10</v>
      </c>
      <c r="B11" s="20" t="s">
        <v>186</v>
      </c>
      <c r="C11" s="15" t="s">
        <v>186</v>
      </c>
      <c r="D11" s="15" t="s">
        <v>186</v>
      </c>
      <c r="E11" s="15" t="s">
        <v>186</v>
      </c>
      <c r="F11" s="13"/>
    </row>
    <row r="12" spans="1:6" x14ac:dyDescent="0.25">
      <c r="A12" s="65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D683-2938-46C3-A042-76D1715BB054}">
  <dimension ref="A1:F11"/>
  <sheetViews>
    <sheetView workbookViewId="0">
      <selection activeCell="G14" sqref="G14"/>
    </sheetView>
  </sheetViews>
  <sheetFormatPr baseColWidth="10" defaultRowHeight="15" x14ac:dyDescent="0.25"/>
  <cols>
    <col min="1" max="1" width="43.85546875" customWidth="1"/>
  </cols>
  <sheetData>
    <row r="1" spans="1:6" ht="18.75" x14ac:dyDescent="0.3">
      <c r="A1" s="201" t="s">
        <v>330</v>
      </c>
      <c r="B1" s="202"/>
      <c r="C1" s="202"/>
      <c r="D1" s="202"/>
      <c r="E1" s="202"/>
      <c r="F1" s="203"/>
    </row>
    <row r="2" spans="1:6" ht="18.75" x14ac:dyDescent="0.3">
      <c r="A2" s="206" t="s">
        <v>331</v>
      </c>
      <c r="B2" s="194"/>
      <c r="C2" s="194"/>
      <c r="D2" s="194"/>
      <c r="E2" s="194"/>
      <c r="F2" s="205"/>
    </row>
    <row r="3" spans="1:6" ht="18.75" x14ac:dyDescent="0.3">
      <c r="A3" s="206" t="s">
        <v>43</v>
      </c>
      <c r="B3" s="194"/>
      <c r="C3" s="194"/>
      <c r="D3" s="194"/>
      <c r="E3" s="194"/>
      <c r="F3" s="194"/>
    </row>
    <row r="4" spans="1:6" x14ac:dyDescent="0.25">
      <c r="A4" s="1" t="s">
        <v>0</v>
      </c>
      <c r="B4" s="2">
        <v>13726</v>
      </c>
      <c r="C4" s="2"/>
      <c r="D4" s="2"/>
      <c r="E4" s="2"/>
      <c r="F4" s="2" t="s">
        <v>1</v>
      </c>
    </row>
    <row r="5" spans="1:6" x14ac:dyDescent="0.25">
      <c r="A5" s="4"/>
      <c r="B5" s="5">
        <v>46192</v>
      </c>
      <c r="C5" s="24"/>
      <c r="D5" s="5"/>
      <c r="E5" s="5"/>
      <c r="F5" s="5">
        <v>46112</v>
      </c>
    </row>
    <row r="6" spans="1:6" x14ac:dyDescent="0.25">
      <c r="A6" s="7" t="s">
        <v>332</v>
      </c>
      <c r="B6" s="8">
        <v>4</v>
      </c>
      <c r="C6" s="9"/>
      <c r="D6" s="9"/>
      <c r="E6" s="9"/>
      <c r="F6" s="10">
        <f>SUM(B6:E6)</f>
        <v>4</v>
      </c>
    </row>
    <row r="7" spans="1:6" x14ac:dyDescent="0.25">
      <c r="A7" s="7" t="s">
        <v>324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161</v>
      </c>
      <c r="B8" s="8">
        <v>4</v>
      </c>
      <c r="C8" s="9"/>
      <c r="D8" s="9"/>
      <c r="E8" s="9"/>
      <c r="F8" s="10">
        <f>SUM(B8:E8)</f>
        <v>4</v>
      </c>
    </row>
    <row r="9" spans="1:6" x14ac:dyDescent="0.25">
      <c r="A9" s="7" t="s">
        <v>50</v>
      </c>
      <c r="B9" s="8">
        <v>2</v>
      </c>
      <c r="C9" s="9"/>
      <c r="D9" s="9"/>
      <c r="E9" s="9"/>
      <c r="F9" s="10">
        <f>SUM(B9:E9)</f>
        <v>2</v>
      </c>
    </row>
    <row r="10" spans="1:6" x14ac:dyDescent="0.25">
      <c r="A10" s="4" t="s">
        <v>9</v>
      </c>
      <c r="B10" s="11">
        <v>0.4513888888888889</v>
      </c>
      <c r="C10" s="12"/>
      <c r="D10" s="12"/>
      <c r="E10" s="12"/>
      <c r="F10" s="13"/>
    </row>
    <row r="11" spans="1:6" x14ac:dyDescent="0.25">
      <c r="A11" s="4" t="s">
        <v>10</v>
      </c>
      <c r="B11" s="15" t="s">
        <v>333</v>
      </c>
      <c r="C11" s="15"/>
      <c r="D11" s="15"/>
      <c r="E11" s="15"/>
      <c r="F11" s="13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ECD6-3C5C-4413-985B-7B1E19F11378}">
  <dimension ref="A1:H8"/>
  <sheetViews>
    <sheetView workbookViewId="0">
      <selection activeCell="J12" sqref="J12"/>
    </sheetView>
  </sheetViews>
  <sheetFormatPr baseColWidth="10" defaultRowHeight="15" x14ac:dyDescent="0.25"/>
  <cols>
    <col min="1" max="1" width="37.28515625" customWidth="1"/>
  </cols>
  <sheetData>
    <row r="1" spans="1:8" ht="18.75" x14ac:dyDescent="0.3">
      <c r="A1" s="193" t="s">
        <v>162</v>
      </c>
      <c r="B1" s="194"/>
      <c r="C1" s="194"/>
      <c r="D1" s="194"/>
      <c r="E1" s="194"/>
      <c r="F1" s="194"/>
      <c r="G1" s="194"/>
      <c r="H1" s="195"/>
    </row>
    <row r="2" spans="1:8" ht="18.75" x14ac:dyDescent="0.3">
      <c r="A2" s="193" t="s">
        <v>163</v>
      </c>
      <c r="B2" s="194"/>
      <c r="C2" s="194"/>
      <c r="D2" s="194"/>
      <c r="E2" s="194"/>
      <c r="F2" s="194"/>
      <c r="G2" s="194"/>
      <c r="H2" s="195"/>
    </row>
    <row r="3" spans="1:8" ht="18.75" x14ac:dyDescent="0.3">
      <c r="A3" s="193" t="s">
        <v>164</v>
      </c>
      <c r="B3" s="194"/>
      <c r="C3" s="194"/>
      <c r="D3" s="194"/>
      <c r="E3" s="194"/>
      <c r="F3" s="194"/>
      <c r="G3" s="194"/>
      <c r="H3" s="195"/>
    </row>
    <row r="4" spans="1:8" x14ac:dyDescent="0.25">
      <c r="A4" s="196" t="s">
        <v>0</v>
      </c>
      <c r="B4" s="62" t="s">
        <v>1</v>
      </c>
      <c r="C4" s="13">
        <v>13417</v>
      </c>
      <c r="D4" s="62">
        <v>13421</v>
      </c>
      <c r="E4" s="62"/>
      <c r="F4" s="62"/>
      <c r="G4" s="62"/>
      <c r="H4" s="62" t="s">
        <v>56</v>
      </c>
    </row>
    <row r="5" spans="1:8" x14ac:dyDescent="0.25">
      <c r="A5" s="197"/>
      <c r="B5" s="5">
        <v>46173</v>
      </c>
      <c r="C5" s="5">
        <v>46192</v>
      </c>
      <c r="D5" s="5">
        <v>46193</v>
      </c>
      <c r="E5" s="5"/>
      <c r="F5" s="5"/>
      <c r="G5" s="5"/>
      <c r="H5" s="5">
        <v>46203</v>
      </c>
    </row>
    <row r="6" spans="1:8" x14ac:dyDescent="0.25">
      <c r="A6" s="17" t="s">
        <v>75</v>
      </c>
      <c r="B6" s="48">
        <v>22</v>
      </c>
      <c r="C6" s="35">
        <v>-11</v>
      </c>
      <c r="D6" s="35">
        <v>-3</v>
      </c>
      <c r="E6" s="35"/>
      <c r="F6" s="35"/>
      <c r="G6" s="35"/>
      <c r="H6" s="10">
        <f>SUM(B6:G6)</f>
        <v>8</v>
      </c>
    </row>
    <row r="7" spans="1:8" x14ac:dyDescent="0.25">
      <c r="A7" s="60" t="s">
        <v>9</v>
      </c>
      <c r="B7" s="12"/>
      <c r="C7" s="11">
        <v>0.375</v>
      </c>
      <c r="D7" s="11">
        <v>0.31319444444444444</v>
      </c>
      <c r="E7" s="64"/>
      <c r="F7" s="64"/>
      <c r="G7" s="64"/>
      <c r="H7" s="13"/>
    </row>
    <row r="8" spans="1:8" x14ac:dyDescent="0.25">
      <c r="A8" s="60" t="s">
        <v>126</v>
      </c>
      <c r="B8" s="61"/>
      <c r="C8" s="11" t="s">
        <v>329</v>
      </c>
      <c r="D8" s="11" t="s">
        <v>329</v>
      </c>
      <c r="E8" s="11"/>
      <c r="F8" s="61"/>
      <c r="G8" s="64"/>
      <c r="H8" s="16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6201-BA95-4686-8527-AC606738A948}">
  <sheetPr>
    <pageSetUpPr fitToPage="1"/>
  </sheetPr>
  <dimension ref="A1:M22"/>
  <sheetViews>
    <sheetView workbookViewId="0">
      <selection activeCell="L10" sqref="L10"/>
    </sheetView>
  </sheetViews>
  <sheetFormatPr baseColWidth="10" defaultRowHeight="15" x14ac:dyDescent="0.25"/>
  <cols>
    <col min="1" max="1" width="34" customWidth="1"/>
    <col min="9" max="9" width="19.28515625" customWidth="1"/>
  </cols>
  <sheetData>
    <row r="1" spans="1:13" ht="18.75" x14ac:dyDescent="0.3">
      <c r="A1" s="201" t="s">
        <v>54</v>
      </c>
      <c r="B1" s="202"/>
      <c r="C1" s="202"/>
      <c r="D1" s="202"/>
      <c r="E1" s="202"/>
      <c r="F1" s="202"/>
      <c r="G1" s="202"/>
      <c r="H1" s="202"/>
      <c r="I1" s="203"/>
    </row>
    <row r="2" spans="1:13" ht="18.75" x14ac:dyDescent="0.3">
      <c r="A2" s="206" t="s">
        <v>55</v>
      </c>
      <c r="B2" s="194"/>
      <c r="C2" s="194"/>
      <c r="D2" s="194"/>
      <c r="E2" s="194"/>
      <c r="F2" s="194"/>
      <c r="G2" s="194"/>
      <c r="H2" s="194"/>
      <c r="I2" s="205"/>
    </row>
    <row r="3" spans="1:13" ht="18.75" x14ac:dyDescent="0.3">
      <c r="A3" s="206" t="s">
        <v>20</v>
      </c>
      <c r="B3" s="194"/>
      <c r="C3" s="194"/>
      <c r="D3" s="194"/>
      <c r="E3" s="194"/>
      <c r="F3" s="194"/>
      <c r="G3" s="194"/>
      <c r="H3" s="194"/>
      <c r="I3" s="194"/>
    </row>
    <row r="4" spans="1:13" x14ac:dyDescent="0.25">
      <c r="A4" s="1" t="s">
        <v>0</v>
      </c>
      <c r="B4" s="2" t="s">
        <v>56</v>
      </c>
      <c r="C4" s="2">
        <v>13765</v>
      </c>
      <c r="D4" s="2">
        <v>13395</v>
      </c>
      <c r="E4" s="2">
        <v>13741</v>
      </c>
      <c r="F4" s="2"/>
      <c r="G4" s="2"/>
      <c r="H4" s="2"/>
      <c r="I4" s="3" t="s">
        <v>1</v>
      </c>
    </row>
    <row r="5" spans="1:13" x14ac:dyDescent="0.25">
      <c r="A5" s="4"/>
      <c r="B5" s="5">
        <v>46142</v>
      </c>
      <c r="C5" s="5">
        <v>46174</v>
      </c>
      <c r="D5" s="5">
        <v>46184</v>
      </c>
      <c r="E5" s="5">
        <v>46199</v>
      </c>
      <c r="F5" s="5"/>
      <c r="G5" s="5"/>
      <c r="H5" s="5"/>
      <c r="I5" s="6">
        <v>46173</v>
      </c>
    </row>
    <row r="6" spans="1:13" x14ac:dyDescent="0.25">
      <c r="A6" s="7" t="s">
        <v>57</v>
      </c>
      <c r="B6" s="74">
        <v>12</v>
      </c>
      <c r="C6" s="9"/>
      <c r="D6" s="9"/>
      <c r="E6" s="9"/>
      <c r="F6" s="9"/>
      <c r="G6" s="9"/>
      <c r="H6" s="9"/>
      <c r="I6" s="10">
        <f t="shared" ref="I6:I11" si="0">SUM(B6:H6)</f>
        <v>12</v>
      </c>
    </row>
    <row r="7" spans="1:13" x14ac:dyDescent="0.25">
      <c r="A7" s="7" t="s">
        <v>41</v>
      </c>
      <c r="B7" s="74">
        <v>12</v>
      </c>
      <c r="C7" s="9"/>
      <c r="D7" s="9"/>
      <c r="E7" s="9"/>
      <c r="F7" s="9"/>
      <c r="G7" s="9"/>
      <c r="H7" s="9"/>
      <c r="I7" s="10">
        <f t="shared" si="0"/>
        <v>12</v>
      </c>
    </row>
    <row r="8" spans="1:13" x14ac:dyDescent="0.25">
      <c r="A8" s="7" t="s">
        <v>58</v>
      </c>
      <c r="B8" s="74">
        <v>6</v>
      </c>
      <c r="C8" s="9"/>
      <c r="D8" s="9"/>
      <c r="E8" s="9"/>
      <c r="F8" s="9"/>
      <c r="G8" s="9"/>
      <c r="H8" s="9"/>
      <c r="I8" s="10">
        <f t="shared" si="0"/>
        <v>6</v>
      </c>
      <c r="M8" t="s">
        <v>422</v>
      </c>
    </row>
    <row r="9" spans="1:13" x14ac:dyDescent="0.25">
      <c r="A9" s="7" t="s">
        <v>38</v>
      </c>
      <c r="B9" s="74">
        <v>60</v>
      </c>
      <c r="C9" s="9"/>
      <c r="D9" s="9"/>
      <c r="E9" s="9"/>
      <c r="F9" s="9"/>
      <c r="G9" s="9"/>
      <c r="H9" s="9"/>
      <c r="I9" s="10">
        <f t="shared" si="0"/>
        <v>60</v>
      </c>
    </row>
    <row r="10" spans="1:13" x14ac:dyDescent="0.25">
      <c r="A10" s="7" t="s">
        <v>59</v>
      </c>
      <c r="B10" s="74">
        <v>53</v>
      </c>
      <c r="C10" s="9"/>
      <c r="D10" s="9"/>
      <c r="E10" s="9">
        <v>20</v>
      </c>
      <c r="F10" s="9"/>
      <c r="G10" s="9"/>
      <c r="H10" s="9"/>
      <c r="I10" s="10">
        <f t="shared" si="0"/>
        <v>73</v>
      </c>
    </row>
    <row r="11" spans="1:13" x14ac:dyDescent="0.25">
      <c r="A11" s="7" t="s">
        <v>37</v>
      </c>
      <c r="B11" s="74">
        <v>25</v>
      </c>
      <c r="C11" s="9"/>
      <c r="D11" s="9"/>
      <c r="E11" s="9">
        <v>20</v>
      </c>
      <c r="F11" s="9"/>
      <c r="G11" s="9"/>
      <c r="H11" s="9"/>
      <c r="I11" s="10">
        <f t="shared" si="0"/>
        <v>45</v>
      </c>
    </row>
    <row r="12" spans="1:13" x14ac:dyDescent="0.25">
      <c r="A12" s="7" t="s">
        <v>60</v>
      </c>
      <c r="B12" s="74">
        <v>6</v>
      </c>
      <c r="C12" s="9"/>
      <c r="D12" s="9"/>
      <c r="E12" s="9"/>
      <c r="F12" s="9"/>
      <c r="G12" s="9"/>
      <c r="H12" s="9"/>
      <c r="I12" s="10">
        <v>6</v>
      </c>
    </row>
    <row r="13" spans="1:13" x14ac:dyDescent="0.25">
      <c r="A13" s="7" t="s">
        <v>61</v>
      </c>
      <c r="B13" s="74">
        <v>3</v>
      </c>
      <c r="C13" s="9"/>
      <c r="D13" s="9"/>
      <c r="E13" s="9"/>
      <c r="F13" s="9"/>
      <c r="G13" s="9"/>
      <c r="H13" s="9"/>
      <c r="I13" s="10">
        <v>3</v>
      </c>
    </row>
    <row r="14" spans="1:13" x14ac:dyDescent="0.25">
      <c r="A14" s="7" t="s">
        <v>62</v>
      </c>
      <c r="B14" s="74">
        <v>2</v>
      </c>
      <c r="C14" s="9"/>
      <c r="D14" s="9"/>
      <c r="E14" s="9"/>
      <c r="F14" s="9"/>
      <c r="G14" s="9"/>
      <c r="H14" s="9"/>
      <c r="I14" s="10">
        <f>SUM(B14:H14)</f>
        <v>2</v>
      </c>
    </row>
    <row r="15" spans="1:13" x14ac:dyDescent="0.25">
      <c r="A15" s="7" t="s">
        <v>63</v>
      </c>
      <c r="B15" s="74">
        <v>5</v>
      </c>
      <c r="C15" s="9"/>
      <c r="D15" s="9"/>
      <c r="E15" s="9"/>
      <c r="F15" s="9"/>
      <c r="G15" s="9"/>
      <c r="H15" s="9"/>
      <c r="I15" s="10">
        <f>SUM(B15:H15)</f>
        <v>5</v>
      </c>
    </row>
    <row r="16" spans="1:13" x14ac:dyDescent="0.25">
      <c r="A16" s="7" t="s">
        <v>64</v>
      </c>
      <c r="B16" s="74">
        <v>6</v>
      </c>
      <c r="C16" s="9"/>
      <c r="D16" s="9"/>
      <c r="E16" s="9"/>
      <c r="F16" s="9"/>
      <c r="G16" s="9"/>
      <c r="H16" s="9"/>
      <c r="I16" s="10">
        <f>SUM(B16:H16)</f>
        <v>6</v>
      </c>
    </row>
    <row r="17" spans="1:9" x14ac:dyDescent="0.25">
      <c r="A17" s="7" t="s">
        <v>65</v>
      </c>
      <c r="B17" s="8"/>
      <c r="C17" s="9">
        <v>3</v>
      </c>
      <c r="D17" s="9">
        <v>-3</v>
      </c>
      <c r="E17" s="9"/>
      <c r="F17" s="9"/>
      <c r="G17" s="9"/>
      <c r="H17" s="9"/>
      <c r="I17" s="10">
        <f>SUM(C17:H17)</f>
        <v>0</v>
      </c>
    </row>
    <row r="18" spans="1:9" x14ac:dyDescent="0.25">
      <c r="A18" s="7" t="s">
        <v>66</v>
      </c>
      <c r="B18" s="8"/>
      <c r="C18" s="9">
        <v>6</v>
      </c>
      <c r="D18" s="9">
        <v>-6</v>
      </c>
      <c r="E18" s="9"/>
      <c r="F18" s="9"/>
      <c r="G18" s="9"/>
      <c r="H18" s="9"/>
      <c r="I18" s="10">
        <f>SUM(C18:H18)</f>
        <v>0</v>
      </c>
    </row>
    <row r="19" spans="1:9" x14ac:dyDescent="0.25">
      <c r="A19" s="7" t="s">
        <v>33</v>
      </c>
      <c r="B19" s="8"/>
      <c r="C19" s="9">
        <v>6</v>
      </c>
      <c r="D19" s="9">
        <v>-6</v>
      </c>
      <c r="E19" s="9"/>
      <c r="F19" s="9"/>
      <c r="G19" s="9"/>
      <c r="H19" s="9"/>
      <c r="I19" s="10">
        <f>SUM(C19:H19)</f>
        <v>0</v>
      </c>
    </row>
    <row r="20" spans="1:9" x14ac:dyDescent="0.25">
      <c r="A20" s="7" t="s">
        <v>67</v>
      </c>
      <c r="B20" s="8"/>
      <c r="C20" s="9">
        <v>6</v>
      </c>
      <c r="D20" s="9">
        <v>-6</v>
      </c>
      <c r="E20" s="9"/>
      <c r="F20" s="9"/>
      <c r="G20" s="9"/>
      <c r="H20" s="9"/>
      <c r="I20" s="10">
        <f>SUM(C20:H20)</f>
        <v>0</v>
      </c>
    </row>
    <row r="21" spans="1:9" x14ac:dyDescent="0.25">
      <c r="A21" s="4" t="s">
        <v>9</v>
      </c>
      <c r="B21" s="21"/>
      <c r="C21" s="12">
        <v>0.45833333333333331</v>
      </c>
      <c r="D21" s="12">
        <v>0.14930555555555555</v>
      </c>
      <c r="E21" s="12">
        <v>0.3611111111111111</v>
      </c>
      <c r="F21" s="12"/>
      <c r="G21" s="12"/>
      <c r="H21" s="12"/>
      <c r="I21" s="13"/>
    </row>
    <row r="22" spans="1:9" x14ac:dyDescent="0.25">
      <c r="A22" s="4" t="s">
        <v>10</v>
      </c>
      <c r="B22" s="22"/>
      <c r="C22" s="15" t="s">
        <v>68</v>
      </c>
      <c r="D22" s="15" t="s">
        <v>68</v>
      </c>
      <c r="E22" s="15">
        <v>60000</v>
      </c>
      <c r="F22" s="15"/>
      <c r="G22" s="15"/>
      <c r="H22" s="15"/>
      <c r="I22" s="16">
        <f>SUM(B22:H22)</f>
        <v>60000</v>
      </c>
    </row>
  </sheetData>
  <mergeCells count="3"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paperSize="9" scale="98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1F7F-B41A-4C1B-B3E1-71B836C2FD2E}">
  <dimension ref="A1:G11"/>
  <sheetViews>
    <sheetView workbookViewId="0">
      <selection activeCell="M7" sqref="M7"/>
    </sheetView>
  </sheetViews>
  <sheetFormatPr baseColWidth="10" defaultRowHeight="15" x14ac:dyDescent="0.25"/>
  <cols>
    <col min="1" max="1" width="29.42578125" customWidth="1"/>
  </cols>
  <sheetData>
    <row r="1" spans="1:7" ht="18.75" x14ac:dyDescent="0.3">
      <c r="A1" s="201" t="s">
        <v>175</v>
      </c>
      <c r="B1" s="202"/>
      <c r="C1" s="202"/>
      <c r="D1" s="202"/>
      <c r="E1" s="202"/>
      <c r="F1" s="202"/>
      <c r="G1" s="203"/>
    </row>
    <row r="2" spans="1:7" ht="18.75" x14ac:dyDescent="0.3">
      <c r="A2" s="206" t="s">
        <v>176</v>
      </c>
      <c r="B2" s="194"/>
      <c r="C2" s="194"/>
      <c r="D2" s="194"/>
      <c r="E2" s="194"/>
      <c r="F2" s="194"/>
      <c r="G2" s="205"/>
    </row>
    <row r="3" spans="1:7" ht="18.75" x14ac:dyDescent="0.3">
      <c r="A3" s="206" t="s">
        <v>21</v>
      </c>
      <c r="B3" s="194"/>
      <c r="C3" s="194"/>
      <c r="D3" s="194"/>
      <c r="E3" s="194"/>
      <c r="F3" s="194"/>
      <c r="G3" s="194"/>
    </row>
    <row r="4" spans="1:7" x14ac:dyDescent="0.25">
      <c r="A4" s="1" t="s">
        <v>0</v>
      </c>
      <c r="B4" s="2">
        <v>13661</v>
      </c>
      <c r="C4" s="2"/>
      <c r="D4" s="2"/>
      <c r="E4" s="2"/>
      <c r="F4" s="2"/>
      <c r="G4" s="3" t="s">
        <v>1</v>
      </c>
    </row>
    <row r="5" spans="1:7" x14ac:dyDescent="0.25">
      <c r="A5" s="4"/>
      <c r="B5" s="5">
        <v>46155</v>
      </c>
      <c r="C5" s="5"/>
      <c r="D5" s="5"/>
      <c r="E5" s="5"/>
      <c r="F5" s="5"/>
      <c r="G5" s="6">
        <v>46173</v>
      </c>
    </row>
    <row r="6" spans="1:7" x14ac:dyDescent="0.25">
      <c r="A6" s="7" t="s">
        <v>40</v>
      </c>
      <c r="B6" s="8">
        <v>4</v>
      </c>
      <c r="C6" s="9"/>
      <c r="D6" s="9"/>
      <c r="E6" s="9"/>
      <c r="F6" s="9"/>
      <c r="G6" s="10">
        <f>SUM(B6:F6)</f>
        <v>4</v>
      </c>
    </row>
    <row r="7" spans="1:7" x14ac:dyDescent="0.25">
      <c r="A7" s="7" t="s">
        <v>41</v>
      </c>
      <c r="B7" s="8">
        <v>4</v>
      </c>
      <c r="C7" s="9"/>
      <c r="D7" s="9"/>
      <c r="E7" s="9"/>
      <c r="F7" s="9"/>
      <c r="G7" s="10">
        <f>SUM(B7:F7)</f>
        <v>4</v>
      </c>
    </row>
    <row r="8" spans="1:7" x14ac:dyDescent="0.25">
      <c r="A8" s="7" t="s">
        <v>135</v>
      </c>
      <c r="B8" s="8">
        <v>2</v>
      </c>
      <c r="C8" s="9"/>
      <c r="D8" s="9"/>
      <c r="E8" s="9"/>
      <c r="F8" s="9"/>
      <c r="G8" s="10">
        <f>SUM(B8:F8)</f>
        <v>2</v>
      </c>
    </row>
    <row r="9" spans="1:7" x14ac:dyDescent="0.25">
      <c r="A9" s="4" t="s">
        <v>9</v>
      </c>
      <c r="B9" s="11">
        <v>0.4236111111111111</v>
      </c>
      <c r="C9" s="12"/>
      <c r="D9" s="12"/>
      <c r="E9" s="12"/>
      <c r="F9" s="12"/>
      <c r="G9" s="13"/>
    </row>
    <row r="10" spans="1:7" x14ac:dyDescent="0.25">
      <c r="A10" s="4" t="s">
        <v>10</v>
      </c>
      <c r="B10" s="14" t="s">
        <v>104</v>
      </c>
      <c r="C10" s="14"/>
      <c r="D10" s="15"/>
      <c r="E10" s="15"/>
      <c r="F10" s="15"/>
      <c r="G10" s="16">
        <f>SUM(B10:F10)</f>
        <v>0</v>
      </c>
    </row>
    <row r="11" spans="1:7" x14ac:dyDescent="0.25">
      <c r="A11" s="65" t="s">
        <v>177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535A-DEA3-4A1B-B7CB-01C7EA66D06A}">
  <sheetPr>
    <pageSetUpPr fitToPage="1"/>
  </sheetPr>
  <dimension ref="A1:J18"/>
  <sheetViews>
    <sheetView workbookViewId="0">
      <selection activeCell="G12" sqref="G12"/>
    </sheetView>
  </sheetViews>
  <sheetFormatPr baseColWidth="10" defaultRowHeight="15" x14ac:dyDescent="0.25"/>
  <cols>
    <col min="1" max="1" width="31.42578125" customWidth="1"/>
    <col min="3" max="3" width="15.28515625" customWidth="1"/>
    <col min="7" max="7" width="19.42578125" customWidth="1"/>
  </cols>
  <sheetData>
    <row r="1" spans="1:10" ht="18.75" x14ac:dyDescent="0.3">
      <c r="A1" s="201" t="s">
        <v>268</v>
      </c>
      <c r="B1" s="202"/>
      <c r="C1" s="202"/>
      <c r="D1" s="202"/>
      <c r="E1" s="202"/>
      <c r="F1" s="202"/>
      <c r="G1" s="203"/>
    </row>
    <row r="2" spans="1:10" ht="18.75" x14ac:dyDescent="0.3">
      <c r="A2" s="204" t="s">
        <v>265</v>
      </c>
      <c r="B2" s="194"/>
      <c r="C2" s="194"/>
      <c r="D2" s="194"/>
      <c r="E2" s="194"/>
      <c r="F2" s="194"/>
      <c r="G2" s="205"/>
    </row>
    <row r="3" spans="1:10" ht="18.75" x14ac:dyDescent="0.3">
      <c r="A3" s="206" t="s">
        <v>417</v>
      </c>
      <c r="B3" s="194"/>
      <c r="C3" s="194"/>
      <c r="D3" s="194"/>
      <c r="E3" s="194"/>
      <c r="F3" s="194"/>
      <c r="G3" s="194"/>
    </row>
    <row r="4" spans="1:10" x14ac:dyDescent="0.25">
      <c r="A4" s="1" t="s">
        <v>0</v>
      </c>
      <c r="B4" s="2">
        <v>13800</v>
      </c>
      <c r="C4" s="2">
        <v>13422</v>
      </c>
      <c r="D4" s="2"/>
      <c r="E4" s="2"/>
      <c r="F4" s="2"/>
      <c r="G4" s="3" t="s">
        <v>1</v>
      </c>
    </row>
    <row r="5" spans="1:10" x14ac:dyDescent="0.25">
      <c r="A5" s="4"/>
      <c r="B5" s="5">
        <v>46185</v>
      </c>
      <c r="C5" s="5">
        <v>46193</v>
      </c>
      <c r="D5" s="5"/>
      <c r="E5" s="5"/>
      <c r="F5" s="5"/>
      <c r="G5" s="6">
        <v>46173</v>
      </c>
    </row>
    <row r="6" spans="1:10" x14ac:dyDescent="0.25">
      <c r="A6" s="7" t="s">
        <v>2</v>
      </c>
      <c r="B6" s="8">
        <v>16</v>
      </c>
      <c r="C6" s="9">
        <v>-16</v>
      </c>
      <c r="D6" s="9"/>
      <c r="E6" s="9"/>
      <c r="F6" s="9"/>
      <c r="G6" s="10">
        <f t="shared" ref="G6:G17" si="0">SUM(B6:F6)</f>
        <v>0</v>
      </c>
    </row>
    <row r="7" spans="1:10" x14ac:dyDescent="0.25">
      <c r="A7" s="7" t="s">
        <v>3</v>
      </c>
      <c r="B7" s="8">
        <v>20</v>
      </c>
      <c r="C7" s="9">
        <v>-20</v>
      </c>
      <c r="D7" s="9"/>
      <c r="E7" s="9"/>
      <c r="F7" s="9"/>
      <c r="G7" s="10">
        <f t="shared" si="0"/>
        <v>0</v>
      </c>
      <c r="J7" t="s">
        <v>341</v>
      </c>
    </row>
    <row r="8" spans="1:10" x14ac:dyDescent="0.25">
      <c r="A8" s="7" t="s">
        <v>39</v>
      </c>
      <c r="B8" s="8">
        <v>6</v>
      </c>
      <c r="C8" s="9">
        <v>-6</v>
      </c>
      <c r="D8" s="9"/>
      <c r="E8" s="9"/>
      <c r="F8" s="9"/>
      <c r="G8" s="10">
        <f>SUM(B8:F8)</f>
        <v>0</v>
      </c>
    </row>
    <row r="9" spans="1:10" x14ac:dyDescent="0.25">
      <c r="A9" s="7" t="s">
        <v>8</v>
      </c>
      <c r="B9" s="8">
        <v>400</v>
      </c>
      <c r="C9" s="9">
        <v>-400</v>
      </c>
      <c r="D9" s="9"/>
      <c r="E9" s="9"/>
      <c r="F9" s="9"/>
      <c r="G9" s="10">
        <f t="shared" si="0"/>
        <v>0</v>
      </c>
    </row>
    <row r="10" spans="1:10" x14ac:dyDescent="0.25">
      <c r="A10" s="7" t="s">
        <v>266</v>
      </c>
      <c r="B10" s="74">
        <v>8</v>
      </c>
      <c r="C10" s="9">
        <v>-4</v>
      </c>
      <c r="D10" s="9"/>
      <c r="E10" s="9"/>
      <c r="F10" s="9"/>
      <c r="G10" s="97">
        <f t="shared" si="0"/>
        <v>4</v>
      </c>
    </row>
    <row r="11" spans="1:10" x14ac:dyDescent="0.25">
      <c r="A11" s="7" t="s">
        <v>267</v>
      </c>
      <c r="B11" s="8">
        <v>12</v>
      </c>
      <c r="C11" s="9">
        <v>-12</v>
      </c>
      <c r="D11" s="9"/>
      <c r="E11" s="9"/>
      <c r="F11" s="9"/>
      <c r="G11" s="10">
        <f t="shared" si="0"/>
        <v>0</v>
      </c>
    </row>
    <row r="12" spans="1:10" x14ac:dyDescent="0.25">
      <c r="A12" s="7" t="s">
        <v>269</v>
      </c>
      <c r="B12" s="74">
        <v>20</v>
      </c>
      <c r="C12" s="9">
        <v>-17</v>
      </c>
      <c r="D12" s="9"/>
      <c r="E12" s="9"/>
      <c r="F12" s="9"/>
      <c r="G12" s="97">
        <f t="shared" si="0"/>
        <v>3</v>
      </c>
    </row>
    <row r="13" spans="1:10" x14ac:dyDescent="0.25">
      <c r="A13" s="7" t="s">
        <v>270</v>
      </c>
      <c r="B13" s="8">
        <v>1</v>
      </c>
      <c r="C13" s="9">
        <v>-1</v>
      </c>
      <c r="D13" s="9"/>
      <c r="E13" s="9"/>
      <c r="F13" s="9"/>
      <c r="G13" s="10">
        <f t="shared" si="0"/>
        <v>0</v>
      </c>
    </row>
    <row r="14" spans="1:10" x14ac:dyDescent="0.25">
      <c r="A14" s="7" t="s">
        <v>7</v>
      </c>
      <c r="B14" s="8">
        <v>32</v>
      </c>
      <c r="C14" s="9">
        <v>-32</v>
      </c>
      <c r="D14" s="9"/>
      <c r="E14" s="9"/>
      <c r="F14" s="9"/>
      <c r="G14" s="10">
        <f t="shared" si="0"/>
        <v>0</v>
      </c>
    </row>
    <row r="15" spans="1:10" x14ac:dyDescent="0.25">
      <c r="A15" s="7" t="s">
        <v>6</v>
      </c>
      <c r="B15" s="8">
        <v>16</v>
      </c>
      <c r="C15" s="9">
        <v>-16</v>
      </c>
      <c r="D15" s="9"/>
      <c r="E15" s="9"/>
      <c r="F15" s="9"/>
      <c r="G15" s="10">
        <f t="shared" si="0"/>
        <v>0</v>
      </c>
    </row>
    <row r="16" spans="1:10" x14ac:dyDescent="0.25">
      <c r="A16" s="7" t="s">
        <v>41</v>
      </c>
      <c r="B16" s="8">
        <v>2</v>
      </c>
      <c r="C16" s="9">
        <v>-2</v>
      </c>
      <c r="D16" s="9"/>
      <c r="E16" s="9"/>
      <c r="F16" s="9"/>
      <c r="G16" s="10">
        <f t="shared" si="0"/>
        <v>0</v>
      </c>
    </row>
    <row r="17" spans="1:7" x14ac:dyDescent="0.25">
      <c r="A17" s="4" t="s">
        <v>9</v>
      </c>
      <c r="B17" s="11" t="s">
        <v>30</v>
      </c>
      <c r="C17" s="12">
        <v>0.34027777777777779</v>
      </c>
      <c r="D17" s="12"/>
      <c r="E17" s="12"/>
      <c r="F17" s="12"/>
      <c r="G17" s="13">
        <f t="shared" si="0"/>
        <v>0.34027777777777779</v>
      </c>
    </row>
    <row r="18" spans="1:7" x14ac:dyDescent="0.25">
      <c r="A18" s="4" t="s">
        <v>10</v>
      </c>
      <c r="B18" s="14">
        <v>60000</v>
      </c>
      <c r="C18" s="14">
        <v>60000</v>
      </c>
      <c r="D18" s="15"/>
      <c r="E18" s="15"/>
      <c r="F18" s="15"/>
      <c r="G18" s="16">
        <f>SUM(B18:F18)</f>
        <v>120000</v>
      </c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paperSize="9" fitToWidth="38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FAE9-F30D-4648-A3BD-5A247E25A2AE}">
  <dimension ref="A1:E14"/>
  <sheetViews>
    <sheetView workbookViewId="0">
      <selection activeCell="G14" sqref="G14"/>
    </sheetView>
  </sheetViews>
  <sheetFormatPr baseColWidth="10" defaultRowHeight="15" x14ac:dyDescent="0.25"/>
  <cols>
    <col min="1" max="1" width="28.42578125" customWidth="1"/>
    <col min="2" max="2" width="16.5703125" customWidth="1"/>
    <col min="3" max="3" width="15.7109375" customWidth="1"/>
    <col min="5" max="5" width="16.7109375" customWidth="1"/>
  </cols>
  <sheetData>
    <row r="1" spans="1:5" ht="18.75" x14ac:dyDescent="0.3">
      <c r="A1" s="201" t="s">
        <v>272</v>
      </c>
      <c r="B1" s="202"/>
      <c r="C1" s="202"/>
      <c r="D1" s="202"/>
      <c r="E1" s="203"/>
    </row>
    <row r="2" spans="1:5" ht="18.75" x14ac:dyDescent="0.3">
      <c r="A2" s="204" t="s">
        <v>11</v>
      </c>
      <c r="B2" s="194"/>
      <c r="C2" s="194"/>
      <c r="D2" s="194"/>
      <c r="E2" s="205"/>
    </row>
    <row r="3" spans="1:5" ht="18.75" x14ac:dyDescent="0.3">
      <c r="A3" s="206" t="s">
        <v>20</v>
      </c>
      <c r="B3" s="194"/>
      <c r="C3" s="194"/>
      <c r="D3" s="194"/>
      <c r="E3" s="194"/>
    </row>
    <row r="4" spans="1:5" x14ac:dyDescent="0.25">
      <c r="A4" s="1" t="s">
        <v>0</v>
      </c>
      <c r="B4" s="2">
        <v>13702</v>
      </c>
      <c r="C4" s="2">
        <v>13411</v>
      </c>
      <c r="D4" s="2"/>
      <c r="E4" s="3" t="s">
        <v>1</v>
      </c>
    </row>
    <row r="5" spans="1:5" x14ac:dyDescent="0.25">
      <c r="A5" s="4"/>
      <c r="B5" s="5">
        <v>46185</v>
      </c>
      <c r="C5" s="5">
        <v>46191</v>
      </c>
      <c r="D5" s="5"/>
      <c r="E5" s="6">
        <v>46203</v>
      </c>
    </row>
    <row r="6" spans="1:5" x14ac:dyDescent="0.25">
      <c r="A6" s="7" t="s">
        <v>24</v>
      </c>
      <c r="B6" s="8">
        <v>24</v>
      </c>
      <c r="C6" s="9">
        <v>-24</v>
      </c>
      <c r="D6" s="9"/>
      <c r="E6" s="10">
        <f t="shared" ref="E6:E14" si="0">SUM(B6:D6)</f>
        <v>0</v>
      </c>
    </row>
    <row r="7" spans="1:5" x14ac:dyDescent="0.25">
      <c r="A7" s="7" t="s">
        <v>4</v>
      </c>
      <c r="B7" s="8">
        <v>270</v>
      </c>
      <c r="C7" s="9">
        <v>-270</v>
      </c>
      <c r="D7" s="9"/>
      <c r="E7" s="10">
        <f t="shared" si="0"/>
        <v>0</v>
      </c>
    </row>
    <row r="8" spans="1:5" x14ac:dyDescent="0.25">
      <c r="A8" s="7" t="s">
        <v>77</v>
      </c>
      <c r="B8" s="8">
        <v>16</v>
      </c>
      <c r="C8" s="9">
        <v>-16</v>
      </c>
      <c r="D8" s="9"/>
      <c r="E8" s="10">
        <f t="shared" si="0"/>
        <v>0</v>
      </c>
    </row>
    <row r="9" spans="1:5" x14ac:dyDescent="0.25">
      <c r="A9" s="7" t="s">
        <v>7</v>
      </c>
      <c r="B9" s="8">
        <v>24</v>
      </c>
      <c r="C9" s="9">
        <v>-24</v>
      </c>
      <c r="D9" s="9"/>
      <c r="E9" s="10">
        <f t="shared" si="0"/>
        <v>0</v>
      </c>
    </row>
    <row r="10" spans="1:5" x14ac:dyDescent="0.25">
      <c r="A10" s="7" t="s">
        <v>6</v>
      </c>
      <c r="B10" s="8">
        <v>12</v>
      </c>
      <c r="C10" s="9">
        <v>-12</v>
      </c>
      <c r="D10" s="9"/>
      <c r="E10" s="10">
        <f t="shared" si="0"/>
        <v>0</v>
      </c>
    </row>
    <row r="11" spans="1:5" x14ac:dyDescent="0.25">
      <c r="A11" s="7" t="s">
        <v>271</v>
      </c>
      <c r="B11" s="8">
        <v>9</v>
      </c>
      <c r="C11" s="9">
        <v>-8</v>
      </c>
      <c r="D11" s="9"/>
      <c r="E11" s="10">
        <f t="shared" si="0"/>
        <v>1</v>
      </c>
    </row>
    <row r="12" spans="1:5" x14ac:dyDescent="0.25">
      <c r="A12" s="7" t="s">
        <v>269</v>
      </c>
      <c r="B12" s="8">
        <v>18</v>
      </c>
      <c r="C12" s="9">
        <v>-18</v>
      </c>
      <c r="D12" s="9"/>
      <c r="E12" s="10">
        <f t="shared" si="0"/>
        <v>0</v>
      </c>
    </row>
    <row r="13" spans="1:5" x14ac:dyDescent="0.25">
      <c r="A13" s="4" t="s">
        <v>9</v>
      </c>
      <c r="B13" s="11">
        <v>0.10416666666666667</v>
      </c>
      <c r="C13" s="12">
        <v>0.35416666666666669</v>
      </c>
      <c r="D13" s="12"/>
      <c r="E13" s="13">
        <f t="shared" si="0"/>
        <v>0.45833333333333337</v>
      </c>
    </row>
    <row r="14" spans="1:5" x14ac:dyDescent="0.25">
      <c r="A14" s="4" t="s">
        <v>10</v>
      </c>
      <c r="B14" s="14">
        <v>70000</v>
      </c>
      <c r="C14" s="14">
        <v>70000</v>
      </c>
      <c r="D14" s="15"/>
      <c r="E14" s="16">
        <f t="shared" si="0"/>
        <v>140000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E6EF-7492-4EBC-8D79-3007923C0D40}">
  <sheetPr>
    <pageSetUpPr fitToPage="1"/>
  </sheetPr>
  <dimension ref="A1:H35"/>
  <sheetViews>
    <sheetView topLeftCell="A18" workbookViewId="0">
      <selection activeCell="K24" sqref="K24"/>
    </sheetView>
  </sheetViews>
  <sheetFormatPr baseColWidth="10" defaultRowHeight="15" x14ac:dyDescent="0.25"/>
  <cols>
    <col min="1" max="1" width="33.85546875" customWidth="1"/>
    <col min="5" max="5" width="16.42578125" customWidth="1"/>
    <col min="6" max="6" width="18.140625" customWidth="1"/>
  </cols>
  <sheetData>
    <row r="1" spans="1:6" ht="18.75" x14ac:dyDescent="0.3">
      <c r="A1" s="193" t="s">
        <v>178</v>
      </c>
      <c r="B1" s="194"/>
      <c r="C1" s="194"/>
      <c r="D1" s="194"/>
      <c r="E1" s="194"/>
      <c r="F1" s="195"/>
    </row>
    <row r="2" spans="1:6" ht="18.75" x14ac:dyDescent="0.3">
      <c r="A2" s="193" t="s">
        <v>179</v>
      </c>
      <c r="B2" s="194"/>
      <c r="C2" s="194"/>
      <c r="D2" s="194"/>
      <c r="E2" s="194"/>
      <c r="F2" s="195"/>
    </row>
    <row r="3" spans="1:6" ht="18.75" x14ac:dyDescent="0.3">
      <c r="A3" s="193" t="s">
        <v>183</v>
      </c>
      <c r="B3" s="194"/>
      <c r="C3" s="194"/>
      <c r="D3" s="194"/>
      <c r="E3" s="194"/>
      <c r="F3" s="195"/>
    </row>
    <row r="4" spans="1:6" x14ac:dyDescent="0.25">
      <c r="A4" s="196" t="s">
        <v>0</v>
      </c>
      <c r="B4" s="62">
        <v>13540</v>
      </c>
      <c r="C4" s="13">
        <v>13382</v>
      </c>
      <c r="D4" s="13">
        <v>13782</v>
      </c>
      <c r="E4" s="13">
        <v>13406</v>
      </c>
      <c r="F4" s="62" t="s">
        <v>56</v>
      </c>
    </row>
    <row r="5" spans="1:6" x14ac:dyDescent="0.25">
      <c r="A5" s="197"/>
      <c r="B5" s="5">
        <v>46120</v>
      </c>
      <c r="C5" s="5">
        <v>46179</v>
      </c>
      <c r="D5" s="5">
        <v>46179</v>
      </c>
      <c r="E5" s="5">
        <v>46189</v>
      </c>
      <c r="F5" s="5">
        <v>46203</v>
      </c>
    </row>
    <row r="6" spans="1:6" x14ac:dyDescent="0.25">
      <c r="A6" s="17" t="s">
        <v>37</v>
      </c>
      <c r="B6" s="48">
        <v>17</v>
      </c>
      <c r="C6" s="35">
        <v>-15</v>
      </c>
      <c r="D6" s="35"/>
      <c r="E6" s="35">
        <v>-2</v>
      </c>
      <c r="F6" s="10">
        <f t="shared" ref="F6:F12" si="0">SUM(B6:E6)</f>
        <v>0</v>
      </c>
    </row>
    <row r="7" spans="1:6" x14ac:dyDescent="0.25">
      <c r="A7" s="17" t="s">
        <v>61</v>
      </c>
      <c r="B7" s="48">
        <v>2</v>
      </c>
      <c r="C7" s="35"/>
      <c r="D7" s="35"/>
      <c r="E7" s="35">
        <v>-2</v>
      </c>
      <c r="F7" s="10">
        <f t="shared" si="0"/>
        <v>0</v>
      </c>
    </row>
    <row r="8" spans="1:6" x14ac:dyDescent="0.25">
      <c r="A8" s="17" t="s">
        <v>180</v>
      </c>
      <c r="B8" s="48">
        <v>0</v>
      </c>
      <c r="C8" s="35"/>
      <c r="D8" s="35"/>
      <c r="E8" s="35"/>
      <c r="F8" s="10">
        <f t="shared" si="0"/>
        <v>0</v>
      </c>
    </row>
    <row r="9" spans="1:6" x14ac:dyDescent="0.25">
      <c r="A9" s="17" t="s">
        <v>181</v>
      </c>
      <c r="B9" s="48">
        <v>34</v>
      </c>
      <c r="C9" s="35">
        <v>-32</v>
      </c>
      <c r="D9" s="35"/>
      <c r="E9" s="35">
        <v>-2</v>
      </c>
      <c r="F9" s="10">
        <f t="shared" si="0"/>
        <v>0</v>
      </c>
    </row>
    <row r="10" spans="1:6" x14ac:dyDescent="0.25">
      <c r="A10" s="17" t="s">
        <v>77</v>
      </c>
      <c r="B10" s="48">
        <v>60</v>
      </c>
      <c r="C10" s="35">
        <v>-50</v>
      </c>
      <c r="D10" s="35"/>
      <c r="E10" s="35">
        <v>-6</v>
      </c>
      <c r="F10" s="97">
        <f t="shared" si="0"/>
        <v>4</v>
      </c>
    </row>
    <row r="11" spans="1:6" x14ac:dyDescent="0.25">
      <c r="A11" s="17" t="s">
        <v>182</v>
      </c>
      <c r="B11" s="48">
        <v>2</v>
      </c>
      <c r="C11" s="35"/>
      <c r="D11" s="35"/>
      <c r="E11" s="35">
        <v>-2</v>
      </c>
      <c r="F11" s="10">
        <f t="shared" si="0"/>
        <v>0</v>
      </c>
    </row>
    <row r="12" spans="1:6" x14ac:dyDescent="0.25">
      <c r="A12" s="17" t="s">
        <v>169</v>
      </c>
      <c r="B12" s="48">
        <v>20</v>
      </c>
      <c r="C12" s="35">
        <v>-17</v>
      </c>
      <c r="D12" s="35"/>
      <c r="E12" s="35">
        <v>-3</v>
      </c>
      <c r="F12" s="10">
        <f t="shared" si="0"/>
        <v>0</v>
      </c>
    </row>
    <row r="13" spans="1:6" x14ac:dyDescent="0.25">
      <c r="A13" s="17" t="s">
        <v>49</v>
      </c>
      <c r="B13" s="48"/>
      <c r="C13" s="35"/>
      <c r="D13" s="35">
        <v>4</v>
      </c>
      <c r="E13" s="35"/>
      <c r="F13" s="97">
        <f>SUM(B13:E13)</f>
        <v>4</v>
      </c>
    </row>
    <row r="14" spans="1:6" x14ac:dyDescent="0.25">
      <c r="A14" s="60" t="s">
        <v>125</v>
      </c>
      <c r="B14" s="12">
        <v>0.10416666666666667</v>
      </c>
      <c r="C14" s="11">
        <v>0.41666666666666669</v>
      </c>
      <c r="D14" s="11">
        <v>0.36805555555555558</v>
      </c>
      <c r="E14" s="11">
        <v>0.10416666666666667</v>
      </c>
      <c r="F14" s="13"/>
    </row>
    <row r="15" spans="1:6" x14ac:dyDescent="0.25">
      <c r="A15" s="60" t="s">
        <v>126</v>
      </c>
      <c r="B15" s="61">
        <v>90000</v>
      </c>
      <c r="C15" s="61"/>
      <c r="D15" s="61" t="s">
        <v>209</v>
      </c>
      <c r="E15" s="61">
        <v>50000</v>
      </c>
      <c r="F15" s="16"/>
    </row>
    <row r="17" spans="1:8" ht="15.75" thickBot="1" x14ac:dyDescent="0.3"/>
    <row r="18" spans="1:8" x14ac:dyDescent="0.25">
      <c r="A18" s="198" t="s">
        <v>82</v>
      </c>
      <c r="B18" s="199"/>
      <c r="C18" s="199"/>
      <c r="D18" s="199"/>
      <c r="E18" s="199"/>
      <c r="F18" s="200"/>
    </row>
    <row r="19" spans="1:8" x14ac:dyDescent="0.25">
      <c r="A19" s="184" t="s">
        <v>178</v>
      </c>
      <c r="B19" s="185"/>
      <c r="C19" s="185"/>
      <c r="D19" s="185"/>
      <c r="E19" s="185"/>
      <c r="F19" s="186"/>
    </row>
    <row r="20" spans="1:8" ht="18" x14ac:dyDescent="0.25">
      <c r="A20" s="187" t="s">
        <v>192</v>
      </c>
      <c r="B20" s="188"/>
      <c r="C20" s="188"/>
      <c r="D20" s="188"/>
      <c r="E20" s="188"/>
      <c r="F20" s="189"/>
    </row>
    <row r="21" spans="1:8" x14ac:dyDescent="0.25">
      <c r="A21" s="190" t="s">
        <v>0</v>
      </c>
      <c r="B21" s="191" t="s">
        <v>85</v>
      </c>
      <c r="C21" s="191"/>
      <c r="D21" s="191"/>
      <c r="E21" s="191" t="s">
        <v>86</v>
      </c>
      <c r="F21" s="192"/>
    </row>
    <row r="22" spans="1:8" x14ac:dyDescent="0.25">
      <c r="A22" s="190"/>
      <c r="B22" s="26" t="s">
        <v>87</v>
      </c>
      <c r="C22" s="26" t="s">
        <v>88</v>
      </c>
      <c r="D22" s="26" t="s">
        <v>89</v>
      </c>
      <c r="E22" s="26" t="s">
        <v>90</v>
      </c>
      <c r="F22" s="27" t="s">
        <v>91</v>
      </c>
    </row>
    <row r="23" spans="1:8" x14ac:dyDescent="0.25">
      <c r="A23" s="28" t="s">
        <v>12</v>
      </c>
      <c r="B23" s="29">
        <v>10</v>
      </c>
      <c r="C23" s="30">
        <v>2</v>
      </c>
      <c r="D23" s="31">
        <v>200</v>
      </c>
      <c r="E23" s="32">
        <f t="shared" ref="E23:E31" si="1">C23*D23</f>
        <v>400</v>
      </c>
      <c r="F23" s="32">
        <f t="shared" ref="F23:F31" si="2">B23*E23</f>
        <v>4000</v>
      </c>
      <c r="G23" t="s">
        <v>429</v>
      </c>
    </row>
    <row r="24" spans="1:8" x14ac:dyDescent="0.25">
      <c r="A24" s="28" t="s">
        <v>193</v>
      </c>
      <c r="B24" s="29">
        <v>10</v>
      </c>
      <c r="C24" s="30">
        <v>2</v>
      </c>
      <c r="D24" s="31">
        <v>200</v>
      </c>
      <c r="E24" s="32">
        <f t="shared" si="1"/>
        <v>400</v>
      </c>
      <c r="F24" s="32">
        <f t="shared" si="2"/>
        <v>4000</v>
      </c>
      <c r="G24" t="s">
        <v>429</v>
      </c>
    </row>
    <row r="25" spans="1:8" x14ac:dyDescent="0.25">
      <c r="A25" s="28" t="s">
        <v>194</v>
      </c>
      <c r="B25" s="29">
        <v>10</v>
      </c>
      <c r="C25" s="30">
        <v>2</v>
      </c>
      <c r="D25" s="31">
        <v>180</v>
      </c>
      <c r="E25" s="32">
        <f t="shared" si="1"/>
        <v>360</v>
      </c>
      <c r="F25" s="32">
        <f t="shared" si="2"/>
        <v>3600</v>
      </c>
      <c r="G25" t="s">
        <v>429</v>
      </c>
    </row>
    <row r="26" spans="1:8" x14ac:dyDescent="0.25">
      <c r="A26" s="28" t="s">
        <v>18</v>
      </c>
      <c r="B26" s="29">
        <v>10</v>
      </c>
      <c r="C26" s="30">
        <v>2</v>
      </c>
      <c r="D26" s="31">
        <v>430</v>
      </c>
      <c r="E26" s="32">
        <f t="shared" si="1"/>
        <v>860</v>
      </c>
      <c r="F26" s="32">
        <f t="shared" si="2"/>
        <v>8600</v>
      </c>
      <c r="G26" t="s">
        <v>429</v>
      </c>
    </row>
    <row r="27" spans="1:8" x14ac:dyDescent="0.25">
      <c r="A27" s="66" t="s">
        <v>77</v>
      </c>
      <c r="B27" s="67">
        <v>10</v>
      </c>
      <c r="C27" s="68">
        <v>10</v>
      </c>
      <c r="D27" s="69">
        <v>200</v>
      </c>
      <c r="E27" s="70">
        <f t="shared" si="1"/>
        <v>2000</v>
      </c>
      <c r="F27" s="32">
        <f t="shared" si="2"/>
        <v>20000</v>
      </c>
      <c r="G27" t="s">
        <v>429</v>
      </c>
    </row>
    <row r="28" spans="1:8" x14ac:dyDescent="0.25">
      <c r="A28" s="66" t="s">
        <v>77</v>
      </c>
      <c r="B28" s="170">
        <v>30</v>
      </c>
      <c r="C28" s="170">
        <v>4</v>
      </c>
      <c r="D28" s="171">
        <v>200</v>
      </c>
      <c r="E28" s="171">
        <f t="shared" si="1"/>
        <v>800</v>
      </c>
      <c r="F28" s="172">
        <f t="shared" si="2"/>
        <v>24000</v>
      </c>
      <c r="G28" s="132" t="s">
        <v>430</v>
      </c>
      <c r="H28" s="132"/>
    </row>
    <row r="29" spans="1:8" x14ac:dyDescent="0.25">
      <c r="A29" s="66" t="s">
        <v>195</v>
      </c>
      <c r="B29" s="67">
        <v>10</v>
      </c>
      <c r="C29" s="68">
        <v>2</v>
      </c>
      <c r="D29" s="69">
        <v>250</v>
      </c>
      <c r="E29" s="70">
        <f t="shared" si="1"/>
        <v>500</v>
      </c>
      <c r="F29" s="32">
        <f t="shared" si="2"/>
        <v>5000</v>
      </c>
      <c r="G29" t="s">
        <v>429</v>
      </c>
    </row>
    <row r="30" spans="1:8" x14ac:dyDescent="0.25">
      <c r="A30" s="66" t="s">
        <v>169</v>
      </c>
      <c r="B30" s="67">
        <v>10</v>
      </c>
      <c r="C30" s="68">
        <v>3</v>
      </c>
      <c r="D30" s="69">
        <v>250</v>
      </c>
      <c r="E30" s="70">
        <f t="shared" si="1"/>
        <v>750</v>
      </c>
      <c r="F30" s="32">
        <f t="shared" si="2"/>
        <v>7500</v>
      </c>
      <c r="G30" t="s">
        <v>429</v>
      </c>
    </row>
    <row r="31" spans="1:8" x14ac:dyDescent="0.25">
      <c r="A31" s="66" t="s">
        <v>210</v>
      </c>
      <c r="B31" s="170">
        <v>41</v>
      </c>
      <c r="C31" s="170">
        <v>4</v>
      </c>
      <c r="D31" s="171">
        <v>1000</v>
      </c>
      <c r="E31" s="171">
        <f t="shared" si="1"/>
        <v>4000</v>
      </c>
      <c r="F31" s="173">
        <f t="shared" si="2"/>
        <v>164000</v>
      </c>
      <c r="G31" s="132" t="s">
        <v>431</v>
      </c>
      <c r="H31" s="132"/>
    </row>
    <row r="32" spans="1:8" ht="19.5" thickBot="1" x14ac:dyDescent="0.45">
      <c r="A32" s="174"/>
      <c r="B32" s="175"/>
      <c r="C32" s="178" t="s">
        <v>196</v>
      </c>
      <c r="D32" s="178"/>
      <c r="E32" s="38">
        <f>SUM(E23:E31)</f>
        <v>10070</v>
      </c>
      <c r="F32" s="39"/>
    </row>
    <row r="33" spans="1:7" ht="18.75" x14ac:dyDescent="0.4">
      <c r="A33" s="174"/>
      <c r="B33" s="175"/>
      <c r="C33" s="179" t="s">
        <v>197</v>
      </c>
      <c r="D33" s="179"/>
      <c r="E33" s="71">
        <f>SUM(F23:F31)</f>
        <v>240700</v>
      </c>
      <c r="F33" s="39"/>
      <c r="G33" t="s">
        <v>433</v>
      </c>
    </row>
    <row r="34" spans="1:7" ht="18.75" x14ac:dyDescent="0.3">
      <c r="A34" s="174"/>
      <c r="B34" s="175"/>
      <c r="C34" s="180" t="s">
        <v>98</v>
      </c>
      <c r="D34" s="181"/>
      <c r="E34" s="72">
        <v>85000</v>
      </c>
      <c r="F34" s="39"/>
      <c r="G34" t="s">
        <v>432</v>
      </c>
    </row>
    <row r="35" spans="1:7" ht="19.5" thickBot="1" x14ac:dyDescent="0.35">
      <c r="A35" s="176"/>
      <c r="B35" s="177"/>
      <c r="C35" s="182" t="s">
        <v>198</v>
      </c>
      <c r="D35" s="183"/>
      <c r="E35" s="73">
        <f>E33+E34</f>
        <v>325700</v>
      </c>
      <c r="F35" s="42"/>
    </row>
  </sheetData>
  <mergeCells count="15">
    <mergeCell ref="A1:F1"/>
    <mergeCell ref="A2:F2"/>
    <mergeCell ref="A3:F3"/>
    <mergeCell ref="A4:A5"/>
    <mergeCell ref="A18:F18"/>
    <mergeCell ref="A19:F19"/>
    <mergeCell ref="A20:F20"/>
    <mergeCell ref="A21:A22"/>
    <mergeCell ref="B21:D21"/>
    <mergeCell ref="E21:F21"/>
    <mergeCell ref="A32:B35"/>
    <mergeCell ref="C32:D32"/>
    <mergeCell ref="C33:D33"/>
    <mergeCell ref="C34:D34"/>
    <mergeCell ref="C35:D35"/>
  </mergeCells>
  <pageMargins left="0.7" right="0.7" top="0.75" bottom="0.75" header="0.3" footer="0.3"/>
  <pageSetup paperSize="9"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F91E-9C99-4FC2-AC23-F683AD26DF39}">
  <sheetPr>
    <pageSetUpPr fitToPage="1"/>
  </sheetPr>
  <dimension ref="A1:N26"/>
  <sheetViews>
    <sheetView workbookViewId="0">
      <selection activeCell="F28" sqref="F28"/>
    </sheetView>
  </sheetViews>
  <sheetFormatPr baseColWidth="10" defaultRowHeight="15" x14ac:dyDescent="0.25"/>
  <cols>
    <col min="1" max="1" width="31.140625" customWidth="1"/>
    <col min="2" max="2" width="9.42578125" bestFit="1" customWidth="1"/>
    <col min="3" max="3" width="11.5703125" customWidth="1"/>
    <col min="4" max="4" width="12.42578125" customWidth="1"/>
    <col min="5" max="5" width="11.42578125" customWidth="1"/>
    <col min="6" max="6" width="13.85546875" customWidth="1"/>
    <col min="7" max="7" width="11.42578125" customWidth="1"/>
    <col min="8" max="9" width="14.28515625" customWidth="1"/>
    <col min="10" max="10" width="14.7109375" customWidth="1"/>
  </cols>
  <sheetData>
    <row r="1" spans="1:12" ht="18.75" x14ac:dyDescent="0.3">
      <c r="A1" s="193" t="s">
        <v>317</v>
      </c>
      <c r="B1" s="194"/>
      <c r="C1" s="194"/>
      <c r="D1" s="194"/>
      <c r="E1" s="194"/>
      <c r="F1" s="194"/>
      <c r="G1" s="194"/>
      <c r="H1" s="194"/>
      <c r="I1" s="194"/>
      <c r="J1" s="195"/>
    </row>
    <row r="2" spans="1:12" ht="18.75" x14ac:dyDescent="0.3">
      <c r="A2" s="193" t="s">
        <v>315</v>
      </c>
      <c r="B2" s="194"/>
      <c r="C2" s="194"/>
      <c r="D2" s="194"/>
      <c r="E2" s="194"/>
      <c r="F2" s="194"/>
      <c r="G2" s="194"/>
      <c r="H2" s="194"/>
      <c r="I2" s="194"/>
      <c r="J2" s="195"/>
    </row>
    <row r="3" spans="1:12" ht="18.75" x14ac:dyDescent="0.3">
      <c r="A3" s="193" t="s">
        <v>316</v>
      </c>
      <c r="B3" s="194"/>
      <c r="C3" s="194"/>
      <c r="D3" s="194"/>
      <c r="E3" s="194"/>
      <c r="F3" s="194"/>
      <c r="G3" s="194"/>
      <c r="H3" s="194"/>
      <c r="I3" s="194"/>
      <c r="J3" s="195"/>
    </row>
    <row r="4" spans="1:12" x14ac:dyDescent="0.25">
      <c r="A4" s="196" t="s">
        <v>0</v>
      </c>
      <c r="B4" s="62">
        <v>13717</v>
      </c>
      <c r="C4" s="13">
        <v>13719</v>
      </c>
      <c r="D4" s="13">
        <v>13720</v>
      </c>
      <c r="E4" s="13">
        <v>13724</v>
      </c>
      <c r="F4" s="13">
        <v>13419</v>
      </c>
      <c r="G4" s="13">
        <v>13433</v>
      </c>
      <c r="H4" s="13">
        <v>13434</v>
      </c>
      <c r="I4" s="13">
        <v>13440</v>
      </c>
      <c r="J4" s="62" t="s">
        <v>56</v>
      </c>
    </row>
    <row r="5" spans="1:12" x14ac:dyDescent="0.25">
      <c r="A5" s="197"/>
      <c r="B5" s="5">
        <v>46190</v>
      </c>
      <c r="C5" s="5">
        <v>46191</v>
      </c>
      <c r="D5" s="5">
        <v>46191</v>
      </c>
      <c r="E5" s="5">
        <v>46191</v>
      </c>
      <c r="F5" s="5">
        <v>46196</v>
      </c>
      <c r="G5" s="5">
        <v>46196</v>
      </c>
      <c r="H5" s="5">
        <v>46196</v>
      </c>
      <c r="I5" s="5">
        <v>46197</v>
      </c>
      <c r="J5" s="5">
        <v>46203</v>
      </c>
    </row>
    <row r="6" spans="1:12" x14ac:dyDescent="0.25">
      <c r="A6" s="17" t="s">
        <v>13</v>
      </c>
      <c r="B6" s="48">
        <v>56</v>
      </c>
      <c r="C6" s="35"/>
      <c r="D6" s="35"/>
      <c r="E6" s="35">
        <v>5</v>
      </c>
      <c r="F6" s="35"/>
      <c r="G6" s="35">
        <v>-38</v>
      </c>
      <c r="H6" s="35">
        <v>-17</v>
      </c>
      <c r="I6" s="35">
        <v>-6</v>
      </c>
      <c r="J6" s="10">
        <f>SUM(B6:I6)</f>
        <v>0</v>
      </c>
      <c r="K6">
        <v>26</v>
      </c>
      <c r="L6">
        <f>J6*K6</f>
        <v>0</v>
      </c>
    </row>
    <row r="7" spans="1:12" x14ac:dyDescent="0.25">
      <c r="A7" s="17" t="s">
        <v>313</v>
      </c>
      <c r="B7" s="48">
        <v>2</v>
      </c>
      <c r="C7" s="35">
        <v>2</v>
      </c>
      <c r="D7" s="35"/>
      <c r="E7" s="35"/>
      <c r="F7" s="35"/>
      <c r="G7" s="35"/>
      <c r="H7" s="35">
        <v>-4</v>
      </c>
      <c r="I7" s="35"/>
      <c r="J7" s="10">
        <f t="shared" ref="J7:J24" si="0">SUM(B7:I7)</f>
        <v>0</v>
      </c>
      <c r="K7">
        <v>15.5</v>
      </c>
      <c r="L7">
        <f t="shared" ref="L7:L24" si="1">J7*K7</f>
        <v>0</v>
      </c>
    </row>
    <row r="8" spans="1:12" x14ac:dyDescent="0.25">
      <c r="A8" s="17" t="s">
        <v>24</v>
      </c>
      <c r="B8" s="48"/>
      <c r="C8" s="35">
        <v>24</v>
      </c>
      <c r="D8" s="35"/>
      <c r="E8" s="35">
        <v>20</v>
      </c>
      <c r="F8" s="35"/>
      <c r="G8" s="35">
        <v>-40</v>
      </c>
      <c r="H8" s="35">
        <v>-2</v>
      </c>
      <c r="I8" s="35">
        <v>-2</v>
      </c>
      <c r="J8" s="10">
        <f t="shared" si="0"/>
        <v>0</v>
      </c>
      <c r="K8">
        <v>13.5</v>
      </c>
      <c r="L8">
        <f t="shared" si="1"/>
        <v>0</v>
      </c>
    </row>
    <row r="9" spans="1:12" x14ac:dyDescent="0.25">
      <c r="A9" s="17" t="s">
        <v>33</v>
      </c>
      <c r="B9" s="48">
        <v>2</v>
      </c>
      <c r="C9" s="35">
        <v>1</v>
      </c>
      <c r="D9" s="35">
        <v>1</v>
      </c>
      <c r="E9" s="35"/>
      <c r="F9" s="35"/>
      <c r="G9" s="35"/>
      <c r="H9" s="35">
        <v>-4</v>
      </c>
      <c r="I9" s="35"/>
      <c r="J9" s="10">
        <f t="shared" si="0"/>
        <v>0</v>
      </c>
      <c r="K9">
        <v>7</v>
      </c>
      <c r="L9">
        <f t="shared" si="1"/>
        <v>0</v>
      </c>
    </row>
    <row r="10" spans="1:12" x14ac:dyDescent="0.25">
      <c r="A10" s="17" t="s">
        <v>3</v>
      </c>
      <c r="B10" s="48"/>
      <c r="C10" s="35">
        <v>6</v>
      </c>
      <c r="D10" s="35"/>
      <c r="E10" s="35"/>
      <c r="F10" s="35"/>
      <c r="G10" s="35"/>
      <c r="H10" s="35">
        <v>-5</v>
      </c>
      <c r="I10" s="35">
        <v>-1</v>
      </c>
      <c r="J10" s="10">
        <f t="shared" si="0"/>
        <v>0</v>
      </c>
      <c r="K10">
        <v>9.5</v>
      </c>
      <c r="L10">
        <f t="shared" si="1"/>
        <v>0</v>
      </c>
    </row>
    <row r="11" spans="1:12" x14ac:dyDescent="0.25">
      <c r="A11" s="17" t="s">
        <v>326</v>
      </c>
      <c r="B11" s="48"/>
      <c r="C11" s="35"/>
      <c r="D11" s="35">
        <v>6</v>
      </c>
      <c r="E11" s="35"/>
      <c r="F11" s="35"/>
      <c r="G11" s="35"/>
      <c r="H11" s="35">
        <v>-4</v>
      </c>
      <c r="I11" s="35">
        <v>-2</v>
      </c>
      <c r="J11" s="10">
        <f t="shared" si="0"/>
        <v>0</v>
      </c>
      <c r="K11">
        <v>6</v>
      </c>
      <c r="L11">
        <f t="shared" si="1"/>
        <v>0</v>
      </c>
    </row>
    <row r="12" spans="1:12" x14ac:dyDescent="0.25">
      <c r="A12" s="17" t="s">
        <v>2</v>
      </c>
      <c r="B12" s="48"/>
      <c r="C12" s="35">
        <v>6</v>
      </c>
      <c r="D12" s="35"/>
      <c r="E12" s="35">
        <v>8</v>
      </c>
      <c r="F12" s="35"/>
      <c r="G12" s="35">
        <v>-5</v>
      </c>
      <c r="H12" s="35">
        <v>-6</v>
      </c>
      <c r="I12" s="35">
        <v>-3</v>
      </c>
      <c r="J12" s="10">
        <f t="shared" si="0"/>
        <v>0</v>
      </c>
      <c r="K12">
        <v>18.5</v>
      </c>
      <c r="L12">
        <f t="shared" si="1"/>
        <v>0</v>
      </c>
    </row>
    <row r="13" spans="1:12" x14ac:dyDescent="0.25">
      <c r="A13" s="17" t="s">
        <v>314</v>
      </c>
      <c r="B13" s="48">
        <v>7</v>
      </c>
      <c r="C13" s="35"/>
      <c r="D13" s="35">
        <v>8</v>
      </c>
      <c r="E13" s="35"/>
      <c r="F13" s="35"/>
      <c r="G13" s="35"/>
      <c r="H13" s="35">
        <v>-15</v>
      </c>
      <c r="I13" s="35"/>
      <c r="J13" s="10">
        <f t="shared" si="0"/>
        <v>0</v>
      </c>
      <c r="K13">
        <v>13</v>
      </c>
      <c r="L13">
        <f t="shared" si="1"/>
        <v>0</v>
      </c>
    </row>
    <row r="14" spans="1:12" x14ac:dyDescent="0.25">
      <c r="A14" s="17" t="s">
        <v>327</v>
      </c>
      <c r="B14" s="48"/>
      <c r="C14" s="35"/>
      <c r="D14" s="35"/>
      <c r="E14" s="35">
        <v>1</v>
      </c>
      <c r="F14" s="35"/>
      <c r="G14" s="35"/>
      <c r="H14" s="35"/>
      <c r="I14" s="35">
        <v>-1</v>
      </c>
      <c r="J14" s="10">
        <f t="shared" si="0"/>
        <v>0</v>
      </c>
      <c r="K14">
        <v>17.559999999999999</v>
      </c>
      <c r="L14">
        <f t="shared" si="1"/>
        <v>0</v>
      </c>
    </row>
    <row r="15" spans="1:12" x14ac:dyDescent="0.25">
      <c r="A15" s="17" t="s">
        <v>328</v>
      </c>
      <c r="B15" s="48"/>
      <c r="C15" s="35"/>
      <c r="D15" s="35"/>
      <c r="E15" s="35">
        <v>1</v>
      </c>
      <c r="F15" s="35"/>
      <c r="G15" s="35"/>
      <c r="H15" s="35"/>
      <c r="I15" s="35">
        <v>-1</v>
      </c>
      <c r="J15" s="10">
        <f t="shared" si="0"/>
        <v>0</v>
      </c>
      <c r="K15">
        <v>17.559999999999999</v>
      </c>
      <c r="L15">
        <f t="shared" si="1"/>
        <v>0</v>
      </c>
    </row>
    <row r="16" spans="1:12" x14ac:dyDescent="0.25">
      <c r="A16" s="17" t="s">
        <v>233</v>
      </c>
      <c r="B16" s="48"/>
      <c r="C16" s="35"/>
      <c r="D16" s="35"/>
      <c r="E16" s="35">
        <v>3</v>
      </c>
      <c r="F16" s="35"/>
      <c r="G16" s="35"/>
      <c r="H16" s="35"/>
      <c r="I16" s="35">
        <v>-3</v>
      </c>
      <c r="J16" s="10">
        <f t="shared" si="0"/>
        <v>0</v>
      </c>
      <c r="K16">
        <v>27</v>
      </c>
      <c r="L16">
        <f t="shared" si="1"/>
        <v>0</v>
      </c>
    </row>
    <row r="17" spans="1:14" x14ac:dyDescent="0.25">
      <c r="A17" s="17" t="s">
        <v>4</v>
      </c>
      <c r="B17" s="48">
        <v>200</v>
      </c>
      <c r="C17" s="35">
        <v>200</v>
      </c>
      <c r="D17" s="35">
        <v>300</v>
      </c>
      <c r="E17" s="35"/>
      <c r="F17" s="35"/>
      <c r="G17" s="35"/>
      <c r="H17" s="35">
        <v>-300</v>
      </c>
      <c r="I17" s="35">
        <v>-348</v>
      </c>
      <c r="J17" s="97">
        <f t="shared" si="0"/>
        <v>52</v>
      </c>
      <c r="K17">
        <v>0.1</v>
      </c>
      <c r="L17">
        <f t="shared" si="1"/>
        <v>5.2</v>
      </c>
    </row>
    <row r="18" spans="1:14" x14ac:dyDescent="0.25">
      <c r="A18" s="17" t="s">
        <v>34</v>
      </c>
      <c r="B18" s="48">
        <v>1</v>
      </c>
      <c r="C18" s="35"/>
      <c r="D18" s="35"/>
      <c r="E18" s="35"/>
      <c r="F18" s="35"/>
      <c r="G18" s="35"/>
      <c r="H18" s="35">
        <v>-1</v>
      </c>
      <c r="I18" s="35"/>
      <c r="J18" s="10">
        <f t="shared" si="0"/>
        <v>0</v>
      </c>
      <c r="K18">
        <v>0.5</v>
      </c>
      <c r="L18">
        <f t="shared" si="1"/>
        <v>0</v>
      </c>
    </row>
    <row r="19" spans="1:14" x14ac:dyDescent="0.25">
      <c r="A19" s="17" t="s">
        <v>6</v>
      </c>
      <c r="B19" s="48"/>
      <c r="C19" s="35">
        <v>10</v>
      </c>
      <c r="D19" s="35"/>
      <c r="E19" s="35"/>
      <c r="F19" s="35"/>
      <c r="G19" s="35"/>
      <c r="H19" s="35"/>
      <c r="I19" s="35">
        <v>-10</v>
      </c>
      <c r="J19" s="10">
        <f t="shared" si="0"/>
        <v>0</v>
      </c>
      <c r="K19">
        <v>3</v>
      </c>
      <c r="L19">
        <f t="shared" si="1"/>
        <v>0</v>
      </c>
    </row>
    <row r="20" spans="1:14" x14ac:dyDescent="0.25">
      <c r="A20" s="17" t="s">
        <v>12</v>
      </c>
      <c r="B20" s="48"/>
      <c r="C20" s="35">
        <v>21</v>
      </c>
      <c r="D20" s="35">
        <v>19</v>
      </c>
      <c r="E20" s="35"/>
      <c r="F20" s="35">
        <v>-21</v>
      </c>
      <c r="G20" s="35"/>
      <c r="H20" s="35">
        <v>-18</v>
      </c>
      <c r="I20" s="35">
        <v>-1</v>
      </c>
      <c r="J20" s="10">
        <f t="shared" si="0"/>
        <v>0</v>
      </c>
      <c r="K20" s="123">
        <v>29</v>
      </c>
      <c r="L20">
        <f t="shared" si="1"/>
        <v>0</v>
      </c>
    </row>
    <row r="21" spans="1:14" x14ac:dyDescent="0.25">
      <c r="A21" s="17" t="s">
        <v>5</v>
      </c>
      <c r="B21" s="48"/>
      <c r="C21" s="35">
        <v>20</v>
      </c>
      <c r="D21" s="35">
        <v>20</v>
      </c>
      <c r="E21" s="35"/>
      <c r="F21" s="35">
        <v>-40</v>
      </c>
      <c r="G21" s="35"/>
      <c r="H21" s="35"/>
      <c r="I21" s="35"/>
      <c r="J21" s="10">
        <f t="shared" si="0"/>
        <v>0</v>
      </c>
      <c r="L21">
        <f t="shared" si="1"/>
        <v>0</v>
      </c>
    </row>
    <row r="22" spans="1:14" x14ac:dyDescent="0.25">
      <c r="A22" s="17" t="s">
        <v>116</v>
      </c>
      <c r="B22" s="48"/>
      <c r="C22" s="35"/>
      <c r="D22" s="35">
        <v>20</v>
      </c>
      <c r="E22" s="35"/>
      <c r="F22" s="35">
        <v>-20</v>
      </c>
      <c r="G22" s="35"/>
      <c r="H22" s="35"/>
      <c r="I22" s="35"/>
      <c r="J22" s="10">
        <f t="shared" si="0"/>
        <v>0</v>
      </c>
      <c r="L22">
        <f t="shared" si="1"/>
        <v>0</v>
      </c>
    </row>
    <row r="23" spans="1:14" x14ac:dyDescent="0.25">
      <c r="A23" s="17" t="s">
        <v>130</v>
      </c>
      <c r="B23" s="48"/>
      <c r="C23" s="35">
        <v>14</v>
      </c>
      <c r="D23" s="35"/>
      <c r="E23" s="35"/>
      <c r="F23" s="35"/>
      <c r="G23" s="35"/>
      <c r="H23" s="35">
        <v>-13</v>
      </c>
      <c r="I23" s="35">
        <v>-1</v>
      </c>
      <c r="J23" s="10">
        <f t="shared" si="0"/>
        <v>0</v>
      </c>
      <c r="K23">
        <v>9</v>
      </c>
      <c r="L23">
        <f t="shared" si="1"/>
        <v>0</v>
      </c>
    </row>
    <row r="24" spans="1:14" x14ac:dyDescent="0.25">
      <c r="A24" s="17" t="s">
        <v>153</v>
      </c>
      <c r="B24" s="48"/>
      <c r="C24" s="35"/>
      <c r="D24" s="35">
        <v>80</v>
      </c>
      <c r="E24" s="35">
        <v>30</v>
      </c>
      <c r="F24" s="35"/>
      <c r="G24" s="35"/>
      <c r="H24" s="35"/>
      <c r="I24" s="35">
        <v>-110</v>
      </c>
      <c r="J24" s="10">
        <f t="shared" si="0"/>
        <v>0</v>
      </c>
      <c r="K24">
        <v>0.2</v>
      </c>
      <c r="L24">
        <f t="shared" si="1"/>
        <v>0</v>
      </c>
    </row>
    <row r="25" spans="1:14" x14ac:dyDescent="0.25">
      <c r="A25" s="60" t="s">
        <v>125</v>
      </c>
      <c r="B25" s="12">
        <v>0.10416666666666667</v>
      </c>
      <c r="C25" s="11">
        <v>0.3263888888888889</v>
      </c>
      <c r="D25" s="11" t="s">
        <v>275</v>
      </c>
      <c r="E25" s="12">
        <v>0.14583333333333334</v>
      </c>
      <c r="F25" s="12" t="s">
        <v>30</v>
      </c>
      <c r="G25" s="12">
        <v>0.45833333333333331</v>
      </c>
      <c r="H25" s="12">
        <v>0.1111111111111111</v>
      </c>
      <c r="I25" s="12">
        <v>8.3333333333333329E-2</v>
      </c>
      <c r="J25" s="10"/>
      <c r="L25">
        <f>SUM(L6:L24)</f>
        <v>5.2</v>
      </c>
      <c r="M25">
        <v>1870</v>
      </c>
      <c r="N25">
        <f>L25/M25</f>
        <v>2.7807486631016044E-3</v>
      </c>
    </row>
    <row r="26" spans="1:14" x14ac:dyDescent="0.25">
      <c r="A26" s="60" t="s">
        <v>126</v>
      </c>
      <c r="B26" s="61">
        <v>66000</v>
      </c>
      <c r="C26" s="61">
        <v>70000</v>
      </c>
      <c r="D26" s="61">
        <v>64000</v>
      </c>
      <c r="E26" s="61">
        <v>60000</v>
      </c>
      <c r="F26" s="61" t="s">
        <v>362</v>
      </c>
      <c r="G26" s="61"/>
      <c r="H26" s="61"/>
      <c r="I26" s="61"/>
      <c r="J26" s="25">
        <f t="shared" ref="J26" si="2">SUM(B26:G26)</f>
        <v>260000</v>
      </c>
    </row>
  </sheetData>
  <mergeCells count="4">
    <mergeCell ref="A1:J1"/>
    <mergeCell ref="A2:J2"/>
    <mergeCell ref="A3:J3"/>
    <mergeCell ref="A4:A5"/>
  </mergeCells>
  <pageMargins left="0.70866141732283472" right="0.70866141732283472" top="0.74803149606299213" bottom="0.74803149606299213" header="0.31496062992125984" footer="0.31496062992125984"/>
  <pageSetup paperSize="9" fitToWidth="4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8AC8-0F36-4F9D-B93E-EED981DBDDFD}">
  <dimension ref="A1:F18"/>
  <sheetViews>
    <sheetView workbookViewId="0">
      <selection activeCell="I4" sqref="I4"/>
    </sheetView>
  </sheetViews>
  <sheetFormatPr baseColWidth="10" defaultRowHeight="15" x14ac:dyDescent="0.25"/>
  <cols>
    <col min="1" max="1" width="35.7109375" customWidth="1"/>
    <col min="6" max="6" width="16.140625" customWidth="1"/>
  </cols>
  <sheetData>
    <row r="1" spans="1:6" ht="18.75" x14ac:dyDescent="0.3">
      <c r="A1" s="193" t="s">
        <v>222</v>
      </c>
      <c r="B1" s="194"/>
      <c r="C1" s="194"/>
      <c r="D1" s="194"/>
      <c r="E1" s="194"/>
      <c r="F1" s="195"/>
    </row>
    <row r="2" spans="1:6" ht="18.75" x14ac:dyDescent="0.3">
      <c r="A2" s="193" t="s">
        <v>223</v>
      </c>
      <c r="B2" s="194"/>
      <c r="C2" s="194"/>
      <c r="D2" s="194"/>
      <c r="E2" s="194"/>
      <c r="F2" s="195"/>
    </row>
    <row r="3" spans="1:6" ht="18.75" x14ac:dyDescent="0.3">
      <c r="A3" s="193" t="s">
        <v>183</v>
      </c>
      <c r="B3" s="194"/>
      <c r="C3" s="194"/>
      <c r="D3" s="194"/>
      <c r="E3" s="194"/>
      <c r="F3" s="195"/>
    </row>
    <row r="4" spans="1:6" x14ac:dyDescent="0.25">
      <c r="A4" s="196" t="s">
        <v>0</v>
      </c>
      <c r="B4" s="62">
        <v>13792</v>
      </c>
      <c r="C4" s="13">
        <v>13455</v>
      </c>
      <c r="D4" s="13">
        <v>13472</v>
      </c>
      <c r="E4" s="13"/>
      <c r="F4" s="62" t="s">
        <v>56</v>
      </c>
    </row>
    <row r="5" spans="1:6" x14ac:dyDescent="0.25">
      <c r="A5" s="197"/>
      <c r="B5" s="5">
        <v>46182</v>
      </c>
      <c r="C5" s="5">
        <v>46200</v>
      </c>
      <c r="D5" s="5">
        <v>46209</v>
      </c>
      <c r="E5" s="5"/>
      <c r="F5" s="5">
        <v>46203</v>
      </c>
    </row>
    <row r="6" spans="1:6" x14ac:dyDescent="0.25">
      <c r="A6" s="17" t="s">
        <v>205</v>
      </c>
      <c r="B6" s="48">
        <v>3</v>
      </c>
      <c r="C6" s="35">
        <v>-3</v>
      </c>
      <c r="D6" s="35"/>
      <c r="E6" s="35"/>
      <c r="F6" s="10">
        <f t="shared" ref="F6:F12" si="0">SUM(B6:E6)</f>
        <v>0</v>
      </c>
    </row>
    <row r="7" spans="1:6" x14ac:dyDescent="0.25">
      <c r="A7" s="17" t="s">
        <v>224</v>
      </c>
      <c r="B7" s="48">
        <v>2</v>
      </c>
      <c r="C7" s="35">
        <v>-2</v>
      </c>
      <c r="D7" s="35"/>
      <c r="E7" s="35"/>
      <c r="F7" s="10">
        <f t="shared" si="0"/>
        <v>0</v>
      </c>
    </row>
    <row r="8" spans="1:6" x14ac:dyDescent="0.25">
      <c r="A8" s="17" t="s">
        <v>225</v>
      </c>
      <c r="B8" s="48">
        <v>2</v>
      </c>
      <c r="C8" s="35">
        <v>-2</v>
      </c>
      <c r="D8" s="35"/>
      <c r="E8" s="35"/>
      <c r="F8" s="10">
        <f t="shared" si="0"/>
        <v>0</v>
      </c>
    </row>
    <row r="9" spans="1:6" x14ac:dyDescent="0.25">
      <c r="A9" s="17" t="s">
        <v>206</v>
      </c>
      <c r="B9" s="48">
        <v>1</v>
      </c>
      <c r="C9" s="35">
        <v>-1</v>
      </c>
      <c r="D9" s="35"/>
      <c r="E9" s="35"/>
      <c r="F9" s="10">
        <f t="shared" si="0"/>
        <v>0</v>
      </c>
    </row>
    <row r="10" spans="1:6" x14ac:dyDescent="0.25">
      <c r="A10" s="17" t="s">
        <v>226</v>
      </c>
      <c r="B10" s="48">
        <v>1</v>
      </c>
      <c r="C10" s="35">
        <v>-1</v>
      </c>
      <c r="D10" s="35"/>
      <c r="E10" s="35"/>
      <c r="F10" s="10">
        <f t="shared" si="0"/>
        <v>0</v>
      </c>
    </row>
    <row r="11" spans="1:6" x14ac:dyDescent="0.25">
      <c r="A11" s="17" t="s">
        <v>227</v>
      </c>
      <c r="B11" s="48">
        <v>1</v>
      </c>
      <c r="C11" s="35">
        <v>-1</v>
      </c>
      <c r="D11" s="35"/>
      <c r="E11" s="35"/>
      <c r="F11" s="10">
        <f t="shared" si="0"/>
        <v>0</v>
      </c>
    </row>
    <row r="12" spans="1:6" x14ac:dyDescent="0.25">
      <c r="A12" s="17" t="s">
        <v>228</v>
      </c>
      <c r="B12" s="48">
        <v>2</v>
      </c>
      <c r="C12" s="35">
        <v>-1</v>
      </c>
      <c r="D12" s="35">
        <v>-1</v>
      </c>
      <c r="E12" s="35"/>
      <c r="F12" s="10">
        <f t="shared" si="0"/>
        <v>0</v>
      </c>
    </row>
    <row r="13" spans="1:6" x14ac:dyDescent="0.25">
      <c r="A13" s="17" t="s">
        <v>40</v>
      </c>
      <c r="B13" s="48">
        <v>6</v>
      </c>
      <c r="C13" s="35"/>
      <c r="D13" s="35">
        <v>-6</v>
      </c>
      <c r="E13" s="35"/>
      <c r="F13" s="10">
        <f t="shared" ref="F13:F18" si="1">SUM(B13:E13)</f>
        <v>0</v>
      </c>
    </row>
    <row r="14" spans="1:6" x14ac:dyDescent="0.25">
      <c r="A14" s="17" t="s">
        <v>202</v>
      </c>
      <c r="B14" s="48">
        <v>6</v>
      </c>
      <c r="C14" s="35"/>
      <c r="D14" s="35">
        <v>-6</v>
      </c>
      <c r="E14" s="35"/>
      <c r="F14" s="10">
        <f t="shared" si="1"/>
        <v>0</v>
      </c>
    </row>
    <row r="15" spans="1:6" x14ac:dyDescent="0.25">
      <c r="A15" s="17" t="s">
        <v>27</v>
      </c>
      <c r="B15" s="48">
        <v>3</v>
      </c>
      <c r="C15" s="35">
        <v>-3</v>
      </c>
      <c r="D15" s="35"/>
      <c r="E15" s="35"/>
      <c r="F15" s="10">
        <f t="shared" si="1"/>
        <v>0</v>
      </c>
    </row>
    <row r="16" spans="1:6" x14ac:dyDescent="0.25">
      <c r="A16" s="17" t="s">
        <v>75</v>
      </c>
      <c r="B16" s="48">
        <v>5</v>
      </c>
      <c r="C16" s="35">
        <v>-5</v>
      </c>
      <c r="D16" s="35"/>
      <c r="E16" s="35"/>
      <c r="F16" s="10">
        <f t="shared" si="1"/>
        <v>0</v>
      </c>
    </row>
    <row r="17" spans="1:6" x14ac:dyDescent="0.25">
      <c r="A17" s="60" t="s">
        <v>125</v>
      </c>
      <c r="B17" s="12">
        <v>0.20833333333333334</v>
      </c>
      <c r="C17" s="11">
        <v>4.1666666666666664E-2</v>
      </c>
      <c r="D17" s="11">
        <v>0.14583333333333334</v>
      </c>
      <c r="E17" s="11"/>
      <c r="F17" s="13">
        <f t="shared" si="1"/>
        <v>0.39583333333333337</v>
      </c>
    </row>
    <row r="18" spans="1:6" x14ac:dyDescent="0.25">
      <c r="A18" s="60" t="s">
        <v>126</v>
      </c>
      <c r="B18" s="61">
        <v>100000</v>
      </c>
      <c r="C18" s="61">
        <v>100000</v>
      </c>
      <c r="D18" s="61" t="s">
        <v>420</v>
      </c>
      <c r="E18" s="61"/>
      <c r="F18" s="16">
        <f t="shared" si="1"/>
        <v>200000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6AB5-F89E-4661-8163-3CD9A5F69C86}">
  <sheetPr>
    <pageSetUpPr fitToPage="1"/>
  </sheetPr>
  <dimension ref="A1:F11"/>
  <sheetViews>
    <sheetView workbookViewId="0">
      <selection activeCell="K13" sqref="K13"/>
    </sheetView>
  </sheetViews>
  <sheetFormatPr baseColWidth="10" defaultRowHeight="15" x14ac:dyDescent="0.25"/>
  <cols>
    <col min="1" max="1" width="38.42578125" customWidth="1"/>
  </cols>
  <sheetData>
    <row r="1" spans="1:6" ht="18.75" x14ac:dyDescent="0.3">
      <c r="A1" s="193" t="s">
        <v>199</v>
      </c>
      <c r="B1" s="194"/>
      <c r="C1" s="194"/>
      <c r="D1" s="194"/>
      <c r="E1" s="194"/>
      <c r="F1" s="195"/>
    </row>
    <row r="2" spans="1:6" ht="18.75" x14ac:dyDescent="0.3">
      <c r="A2" s="193" t="s">
        <v>200</v>
      </c>
      <c r="B2" s="194"/>
      <c r="C2" s="194"/>
      <c r="D2" s="194"/>
      <c r="E2" s="194"/>
      <c r="F2" s="195"/>
    </row>
    <row r="3" spans="1:6" ht="18.75" x14ac:dyDescent="0.3">
      <c r="A3" s="193" t="s">
        <v>183</v>
      </c>
      <c r="B3" s="194"/>
      <c r="C3" s="194"/>
      <c r="D3" s="194"/>
      <c r="E3" s="194"/>
      <c r="F3" s="195"/>
    </row>
    <row r="4" spans="1:6" x14ac:dyDescent="0.25">
      <c r="A4" s="196" t="s">
        <v>0</v>
      </c>
      <c r="B4" s="62">
        <v>13783</v>
      </c>
      <c r="C4" s="13">
        <v>13784</v>
      </c>
      <c r="D4" s="13">
        <v>13409</v>
      </c>
      <c r="E4" s="13"/>
      <c r="F4" s="62" t="s">
        <v>56</v>
      </c>
    </row>
    <row r="5" spans="1:6" x14ac:dyDescent="0.25">
      <c r="A5" s="197"/>
      <c r="B5" s="5">
        <v>46179</v>
      </c>
      <c r="C5" s="5">
        <v>46179</v>
      </c>
      <c r="D5" s="5">
        <v>46190</v>
      </c>
      <c r="E5" s="5"/>
      <c r="F5" s="5">
        <v>46203</v>
      </c>
    </row>
    <row r="6" spans="1:6" x14ac:dyDescent="0.25">
      <c r="A6" s="17" t="s">
        <v>201</v>
      </c>
      <c r="B6" s="48">
        <v>12</v>
      </c>
      <c r="C6" s="35"/>
      <c r="D6" s="35">
        <v>-12</v>
      </c>
      <c r="E6" s="35"/>
      <c r="F6" s="10">
        <f t="shared" ref="F6:F8" si="0">SUM(B6:E6)</f>
        <v>0</v>
      </c>
    </row>
    <row r="7" spans="1:6" x14ac:dyDescent="0.25">
      <c r="A7" s="17" t="s">
        <v>202</v>
      </c>
      <c r="B7" s="48">
        <v>12</v>
      </c>
      <c r="C7" s="35"/>
      <c r="D7" s="35">
        <v>-12</v>
      </c>
      <c r="E7" s="35"/>
      <c r="F7" s="10">
        <f t="shared" si="0"/>
        <v>0</v>
      </c>
    </row>
    <row r="8" spans="1:6" x14ac:dyDescent="0.25">
      <c r="A8" s="17" t="s">
        <v>203</v>
      </c>
      <c r="B8" s="48">
        <v>4</v>
      </c>
      <c r="C8" s="35"/>
      <c r="D8" s="35">
        <v>-4</v>
      </c>
      <c r="E8" s="35"/>
      <c r="F8" s="10">
        <f t="shared" si="0"/>
        <v>0</v>
      </c>
    </row>
    <row r="9" spans="1:6" x14ac:dyDescent="0.25">
      <c r="A9" s="17" t="s">
        <v>204</v>
      </c>
      <c r="B9" s="48"/>
      <c r="C9" s="35">
        <v>8</v>
      </c>
      <c r="D9" s="35">
        <v>-8</v>
      </c>
      <c r="E9" s="35"/>
      <c r="F9" s="10">
        <f>SUM(B9:E9)</f>
        <v>0</v>
      </c>
    </row>
    <row r="10" spans="1:6" x14ac:dyDescent="0.25">
      <c r="A10" s="60" t="s">
        <v>125</v>
      </c>
      <c r="B10" s="12" t="s">
        <v>30</v>
      </c>
      <c r="C10" s="11">
        <v>0.45833333333333331</v>
      </c>
      <c r="D10" s="11">
        <v>0.40972222222222221</v>
      </c>
      <c r="E10" s="11"/>
      <c r="F10" s="13"/>
    </row>
    <row r="11" spans="1:6" x14ac:dyDescent="0.25">
      <c r="A11" s="60" t="s">
        <v>126</v>
      </c>
      <c r="B11" s="61"/>
      <c r="C11" s="61"/>
      <c r="D11" s="61"/>
      <c r="E11" s="61"/>
      <c r="F11" s="16"/>
    </row>
  </sheetData>
  <mergeCells count="4">
    <mergeCell ref="A1:F1"/>
    <mergeCell ref="A2:F2"/>
    <mergeCell ref="A3:F3"/>
    <mergeCell ref="A4:A5"/>
  </mergeCells>
  <pageMargins left="0.7" right="0.7" top="0.75" bottom="0.75" header="0.3" footer="0.3"/>
  <pageSetup paperSize="9" scale="91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5ACC-9592-4B4F-AB81-6B98AC9D144F}">
  <dimension ref="A1:J19"/>
  <sheetViews>
    <sheetView workbookViewId="0">
      <selection activeCell="L16" sqref="L16"/>
    </sheetView>
  </sheetViews>
  <sheetFormatPr baseColWidth="10" defaultRowHeight="15" x14ac:dyDescent="0.25"/>
  <cols>
    <col min="1" max="1" width="35.7109375" bestFit="1" customWidth="1"/>
  </cols>
  <sheetData>
    <row r="1" spans="1:10" ht="18.75" x14ac:dyDescent="0.3">
      <c r="A1" s="201" t="s">
        <v>304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ht="18.75" x14ac:dyDescent="0.3">
      <c r="A2" s="206" t="s">
        <v>305</v>
      </c>
      <c r="B2" s="194"/>
      <c r="C2" s="194"/>
      <c r="D2" s="194"/>
      <c r="E2" s="194"/>
      <c r="F2" s="194"/>
      <c r="G2" s="194"/>
      <c r="H2" s="194"/>
      <c r="I2" s="194"/>
      <c r="J2" s="205"/>
    </row>
    <row r="3" spans="1:10" ht="18.75" x14ac:dyDescent="0.3">
      <c r="A3" s="206" t="s">
        <v>306</v>
      </c>
      <c r="B3" s="194"/>
      <c r="C3" s="194"/>
      <c r="D3" s="194"/>
      <c r="E3" s="194"/>
      <c r="F3" s="194"/>
      <c r="G3" s="194"/>
      <c r="H3" s="194"/>
      <c r="I3" s="194"/>
      <c r="J3" s="194"/>
    </row>
    <row r="4" spans="1:10" x14ac:dyDescent="0.25">
      <c r="A4" s="1" t="s">
        <v>0</v>
      </c>
      <c r="B4" s="2">
        <v>13629</v>
      </c>
      <c r="C4" s="2">
        <v>13637</v>
      </c>
      <c r="D4" s="2">
        <v>13643</v>
      </c>
      <c r="E4" s="2">
        <v>13314</v>
      </c>
      <c r="F4" s="2">
        <v>13646</v>
      </c>
      <c r="G4" s="2">
        <v>13334</v>
      </c>
      <c r="H4" s="2">
        <v>13340</v>
      </c>
      <c r="I4" s="2">
        <v>13408</v>
      </c>
      <c r="J4" s="2" t="s">
        <v>1</v>
      </c>
    </row>
    <row r="5" spans="1:10" x14ac:dyDescent="0.25">
      <c r="A5" s="4"/>
      <c r="B5" s="5">
        <v>46148</v>
      </c>
      <c r="C5" s="24">
        <v>46150</v>
      </c>
      <c r="D5" s="5">
        <v>46150</v>
      </c>
      <c r="E5" s="5">
        <v>46150</v>
      </c>
      <c r="F5" s="5">
        <v>46151</v>
      </c>
      <c r="G5" s="5">
        <v>46163</v>
      </c>
      <c r="H5" s="5">
        <v>46162</v>
      </c>
      <c r="I5" s="5">
        <v>46190</v>
      </c>
      <c r="J5" s="5">
        <v>46173</v>
      </c>
    </row>
    <row r="6" spans="1:10" x14ac:dyDescent="0.25">
      <c r="A6" s="7" t="s">
        <v>18</v>
      </c>
      <c r="B6" s="8">
        <v>10</v>
      </c>
      <c r="C6" s="9"/>
      <c r="D6" s="9"/>
      <c r="E6" s="9"/>
      <c r="F6" s="9"/>
      <c r="G6" s="9">
        <v>-10</v>
      </c>
      <c r="H6" s="9"/>
      <c r="I6" s="9"/>
      <c r="J6" s="10">
        <f>SUM(B6:G6)</f>
        <v>0</v>
      </c>
    </row>
    <row r="7" spans="1:10" x14ac:dyDescent="0.25">
      <c r="A7" s="7" t="s">
        <v>300</v>
      </c>
      <c r="B7" s="8">
        <v>3</v>
      </c>
      <c r="C7" s="9"/>
      <c r="D7" s="9"/>
      <c r="E7" s="9"/>
      <c r="F7" s="9"/>
      <c r="G7" s="9">
        <v>-3</v>
      </c>
      <c r="H7" s="9"/>
      <c r="I7" s="9"/>
      <c r="J7" s="10">
        <f>SUM(B7:G7)</f>
        <v>0</v>
      </c>
    </row>
    <row r="8" spans="1:10" x14ac:dyDescent="0.25">
      <c r="A8" s="7" t="s">
        <v>307</v>
      </c>
      <c r="B8" s="8">
        <v>4</v>
      </c>
      <c r="C8" s="9"/>
      <c r="D8" s="9"/>
      <c r="E8" s="9"/>
      <c r="F8" s="9"/>
      <c r="G8" s="9">
        <v>-4</v>
      </c>
      <c r="H8" s="9"/>
      <c r="I8" s="9"/>
      <c r="J8" s="10">
        <f>SUM(B8:G8)</f>
        <v>0</v>
      </c>
    </row>
    <row r="9" spans="1:10" x14ac:dyDescent="0.25">
      <c r="A9" s="7" t="s">
        <v>206</v>
      </c>
      <c r="B9" s="8">
        <v>2</v>
      </c>
      <c r="C9" s="9"/>
      <c r="D9" s="9"/>
      <c r="E9" s="9"/>
      <c r="F9" s="9"/>
      <c r="G9" s="9">
        <v>-2</v>
      </c>
      <c r="H9" s="9"/>
      <c r="I9" s="9"/>
      <c r="J9" s="10">
        <f>SUM(B9:G9)</f>
        <v>0</v>
      </c>
    </row>
    <row r="10" spans="1:10" x14ac:dyDescent="0.25">
      <c r="A10" s="7" t="s">
        <v>12</v>
      </c>
      <c r="B10" s="8">
        <v>3</v>
      </c>
      <c r="C10" s="9"/>
      <c r="D10" s="9"/>
      <c r="E10" s="9"/>
      <c r="F10" s="9"/>
      <c r="G10" s="9">
        <v>-3</v>
      </c>
      <c r="H10" s="9"/>
      <c r="I10" s="9"/>
      <c r="J10" s="10">
        <f>SUM(B10:G10)</f>
        <v>0</v>
      </c>
    </row>
    <row r="11" spans="1:10" x14ac:dyDescent="0.25">
      <c r="A11" s="7" t="s">
        <v>308</v>
      </c>
      <c r="B11" s="8"/>
      <c r="C11" s="9">
        <v>6</v>
      </c>
      <c r="D11" s="9"/>
      <c r="E11" s="9"/>
      <c r="F11" s="9"/>
      <c r="G11" s="9">
        <v>-2</v>
      </c>
      <c r="H11" s="9">
        <v>-4</v>
      </c>
      <c r="I11" s="9"/>
      <c r="J11" s="10">
        <f>SUM(B11:I11)</f>
        <v>0</v>
      </c>
    </row>
    <row r="12" spans="1:10" x14ac:dyDescent="0.25">
      <c r="A12" s="7" t="s">
        <v>309</v>
      </c>
      <c r="B12" s="8"/>
      <c r="C12" s="9">
        <v>6</v>
      </c>
      <c r="D12" s="9"/>
      <c r="E12" s="9"/>
      <c r="F12" s="9"/>
      <c r="G12" s="9">
        <v>-4</v>
      </c>
      <c r="H12" s="9"/>
      <c r="I12" s="9">
        <v>-2</v>
      </c>
      <c r="J12" s="10">
        <f>SUM(B12:I12)</f>
        <v>0</v>
      </c>
    </row>
    <row r="13" spans="1:10" x14ac:dyDescent="0.25">
      <c r="A13" s="7" t="s">
        <v>49</v>
      </c>
      <c r="B13" s="8"/>
      <c r="C13" s="9">
        <v>2</v>
      </c>
      <c r="D13" s="9"/>
      <c r="E13" s="9">
        <v>-2</v>
      </c>
      <c r="F13" s="9"/>
      <c r="G13" s="9"/>
      <c r="H13" s="9"/>
      <c r="I13" s="9"/>
      <c r="J13" s="10">
        <f>SUM(B13:G13)</f>
        <v>0</v>
      </c>
    </row>
    <row r="14" spans="1:10" x14ac:dyDescent="0.25">
      <c r="A14" s="7" t="s">
        <v>310</v>
      </c>
      <c r="B14" s="8"/>
      <c r="C14" s="9"/>
      <c r="D14" s="9"/>
      <c r="E14" s="9"/>
      <c r="F14" s="9"/>
      <c r="G14" s="9"/>
      <c r="H14" s="9"/>
      <c r="I14" s="9"/>
      <c r="J14" s="10">
        <f>SUM(B14:G14)</f>
        <v>0</v>
      </c>
    </row>
    <row r="15" spans="1:10" x14ac:dyDescent="0.25">
      <c r="A15" s="7" t="s">
        <v>50</v>
      </c>
      <c r="B15" s="8"/>
      <c r="C15" s="9"/>
      <c r="D15" s="9">
        <v>5</v>
      </c>
      <c r="E15" s="9"/>
      <c r="F15" s="9">
        <v>2</v>
      </c>
      <c r="G15" s="9">
        <v>-4</v>
      </c>
      <c r="H15" s="9"/>
      <c r="I15" s="9">
        <v>-3</v>
      </c>
      <c r="J15" s="10">
        <f>SUM(B15:I15)</f>
        <v>0</v>
      </c>
    </row>
    <row r="16" spans="1:10" x14ac:dyDescent="0.25">
      <c r="A16" s="7" t="s">
        <v>310</v>
      </c>
      <c r="B16" s="8"/>
      <c r="C16" s="9"/>
      <c r="D16" s="9">
        <v>6</v>
      </c>
      <c r="E16" s="9" t="s">
        <v>311</v>
      </c>
      <c r="F16" s="9"/>
      <c r="G16" s="9">
        <v>-2</v>
      </c>
      <c r="H16" s="9"/>
      <c r="I16" s="9">
        <v>-4</v>
      </c>
      <c r="J16" s="10">
        <f>SUM(B16:I16)</f>
        <v>0</v>
      </c>
    </row>
    <row r="17" spans="1:10" x14ac:dyDescent="0.25">
      <c r="A17" s="7" t="s">
        <v>312</v>
      </c>
      <c r="B17" s="8"/>
      <c r="C17" s="9"/>
      <c r="D17" s="9">
        <v>6</v>
      </c>
      <c r="E17" s="9"/>
      <c r="F17" s="9"/>
      <c r="G17" s="9">
        <v>-4</v>
      </c>
      <c r="H17" s="9"/>
      <c r="I17" s="9">
        <v>-2</v>
      </c>
      <c r="J17" s="10">
        <f>SUM(B17:I17)</f>
        <v>0</v>
      </c>
    </row>
    <row r="18" spans="1:10" x14ac:dyDescent="0.25">
      <c r="A18" s="4" t="s">
        <v>9</v>
      </c>
      <c r="B18" s="11">
        <v>0.30555555555555558</v>
      </c>
      <c r="C18" s="12">
        <v>0.39583333333333331</v>
      </c>
      <c r="D18" s="12">
        <v>0.47916666666666669</v>
      </c>
      <c r="E18" s="12"/>
      <c r="F18" s="12">
        <v>0.31944444444444442</v>
      </c>
      <c r="G18" s="12">
        <v>0.45833333333333331</v>
      </c>
      <c r="H18" s="12"/>
      <c r="I18" s="12">
        <v>0.40972222222222221</v>
      </c>
      <c r="J18" s="13"/>
    </row>
    <row r="19" spans="1:10" x14ac:dyDescent="0.25">
      <c r="A19" s="4" t="s">
        <v>10</v>
      </c>
      <c r="B19" s="15">
        <v>20000</v>
      </c>
      <c r="C19" s="15">
        <v>20000</v>
      </c>
      <c r="D19" s="15">
        <v>30000</v>
      </c>
      <c r="E19" s="15"/>
      <c r="F19" s="15">
        <v>15000</v>
      </c>
      <c r="G19" s="15"/>
      <c r="H19" s="15"/>
      <c r="I19" s="15"/>
      <c r="J19" s="16">
        <f>SUM(B19:F19)</f>
        <v>85000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99AA-E402-4B7C-9A8C-75BD1FDA52DC}">
  <dimension ref="A1:F10"/>
  <sheetViews>
    <sheetView workbookViewId="0">
      <selection activeCell="H6" sqref="H6"/>
    </sheetView>
  </sheetViews>
  <sheetFormatPr baseColWidth="10" defaultRowHeight="15" x14ac:dyDescent="0.25"/>
  <cols>
    <col min="1" max="1" width="26" customWidth="1"/>
  </cols>
  <sheetData>
    <row r="1" spans="1:6" ht="18.75" x14ac:dyDescent="0.3">
      <c r="A1" s="201" t="s">
        <v>141</v>
      </c>
      <c r="B1" s="202"/>
      <c r="C1" s="202"/>
      <c r="D1" s="202"/>
      <c r="E1" s="202"/>
      <c r="F1" s="207"/>
    </row>
    <row r="2" spans="1:6" ht="18.75" x14ac:dyDescent="0.3">
      <c r="A2" s="206" t="s">
        <v>142</v>
      </c>
      <c r="B2" s="194"/>
      <c r="C2" s="194"/>
      <c r="D2" s="194"/>
      <c r="E2" s="194"/>
      <c r="F2" s="195"/>
    </row>
    <row r="3" spans="1:6" ht="18.75" x14ac:dyDescent="0.3">
      <c r="A3" s="206" t="s">
        <v>144</v>
      </c>
      <c r="B3" s="194"/>
      <c r="C3" s="194"/>
      <c r="D3" s="194"/>
      <c r="E3" s="194"/>
      <c r="F3" s="195"/>
    </row>
    <row r="4" spans="1:6" x14ac:dyDescent="0.25">
      <c r="A4" s="1" t="s">
        <v>102</v>
      </c>
      <c r="B4" s="2">
        <v>13696</v>
      </c>
      <c r="C4" s="2">
        <v>13427</v>
      </c>
      <c r="D4" s="2"/>
      <c r="E4" s="2"/>
      <c r="F4" s="2" t="s">
        <v>1</v>
      </c>
    </row>
    <row r="5" spans="1:6" x14ac:dyDescent="0.25">
      <c r="A5" s="4" t="s">
        <v>0</v>
      </c>
      <c r="B5" s="5">
        <v>46169</v>
      </c>
      <c r="C5" s="5">
        <v>46195</v>
      </c>
      <c r="D5" s="5"/>
      <c r="E5" s="5"/>
      <c r="F5" s="5">
        <v>46173</v>
      </c>
    </row>
    <row r="6" spans="1:6" x14ac:dyDescent="0.25">
      <c r="A6" s="17" t="s">
        <v>143</v>
      </c>
      <c r="B6" s="8">
        <v>6</v>
      </c>
      <c r="C6" s="9">
        <v>-6</v>
      </c>
      <c r="D6" s="35"/>
      <c r="E6" s="9"/>
      <c r="F6" s="10">
        <f t="shared" ref="F6:F8" si="0">SUM(B6:E6)</f>
        <v>0</v>
      </c>
    </row>
    <row r="7" spans="1:6" x14ac:dyDescent="0.25">
      <c r="A7" s="17" t="s">
        <v>41</v>
      </c>
      <c r="B7" s="8">
        <v>6</v>
      </c>
      <c r="C7" s="9">
        <v>-6</v>
      </c>
      <c r="D7" s="35"/>
      <c r="E7" s="9"/>
      <c r="F7" s="10">
        <f t="shared" si="0"/>
        <v>0</v>
      </c>
    </row>
    <row r="8" spans="1:6" x14ac:dyDescent="0.25">
      <c r="A8" s="17" t="s">
        <v>49</v>
      </c>
      <c r="B8" s="8">
        <v>6</v>
      </c>
      <c r="C8" s="9">
        <v>-6</v>
      </c>
      <c r="D8" s="35"/>
      <c r="E8" s="9"/>
      <c r="F8" s="10">
        <f t="shared" si="0"/>
        <v>0</v>
      </c>
    </row>
    <row r="9" spans="1:6" x14ac:dyDescent="0.25">
      <c r="A9" s="4" t="s">
        <v>9</v>
      </c>
      <c r="B9" s="11">
        <v>0.34375</v>
      </c>
      <c r="C9" s="12">
        <v>0.42291666666666666</v>
      </c>
      <c r="D9" s="11"/>
      <c r="E9" s="12"/>
      <c r="F9" s="13"/>
    </row>
    <row r="10" spans="1:6" x14ac:dyDescent="0.25">
      <c r="A10" s="4" t="s">
        <v>10</v>
      </c>
      <c r="B10" s="15" t="s">
        <v>104</v>
      </c>
      <c r="C10" s="15" t="s">
        <v>104</v>
      </c>
      <c r="D10" s="15"/>
      <c r="E10" s="15"/>
      <c r="F10" s="16"/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49</vt:i4>
      </vt:variant>
    </vt:vector>
  </HeadingPairs>
  <TitlesOfParts>
    <vt:vector size="49" baseType="lpstr">
      <vt:lpstr>SERGIO</vt:lpstr>
      <vt:lpstr>CONSORCIO LA VICTORIA</vt:lpstr>
      <vt:lpstr>LUDWIN ANGULO</vt:lpstr>
      <vt:lpstr>POLIMYS</vt:lpstr>
      <vt:lpstr>TEJIDO ARQUITECTONICO</vt:lpstr>
      <vt:lpstr>HERNAN TORRADO</vt:lpstr>
      <vt:lpstr>JULIAN QUINTERO</vt:lpstr>
      <vt:lpstr>FREDY MENDOZA</vt:lpstr>
      <vt:lpstr>OSCAR JEREZ</vt:lpstr>
      <vt:lpstr>ANGELICA CONCORDIA</vt:lpstr>
      <vt:lpstr>EDINSON JAIMES</vt:lpstr>
      <vt:lpstr>DOUGLAS LEAL</vt:lpstr>
      <vt:lpstr>JOSE DAVID..</vt:lpstr>
      <vt:lpstr>NELSON PADILLA </vt:lpstr>
      <vt:lpstr>HERNAN LOPEZ</vt:lpstr>
      <vt:lpstr>YURANIS</vt:lpstr>
      <vt:lpstr>KEVIN ANDRES</vt:lpstr>
      <vt:lpstr>ELIAS RIOS </vt:lpstr>
      <vt:lpstr>CICOM INGENIEROS</vt:lpstr>
      <vt:lpstr>JEFERSON HERRERA </vt:lpstr>
      <vt:lpstr>DIEGO GUTIERRREZ</vt:lpstr>
      <vt:lpstr>FREDDY ESCALMILLA </vt:lpstr>
      <vt:lpstr>GREGORIO HERNANDEZ</vt:lpstr>
      <vt:lpstr>JAIME LUNA</vt:lpstr>
      <vt:lpstr>CLAUDIA GIL</vt:lpstr>
      <vt:lpstr>JHON JIMENEZ</vt:lpstr>
      <vt:lpstr>CESAR AUGUSTO</vt:lpstr>
      <vt:lpstr>ADRIAN BRAVO</vt:lpstr>
      <vt:lpstr>SHIRLEY PAOLA</vt:lpstr>
      <vt:lpstr>ANTONIO GUTIERREZ</vt:lpstr>
      <vt:lpstr>BIOCOMBUSTIBLES</vt:lpstr>
      <vt:lpstr>MAESTRO VIDAL</vt:lpstr>
      <vt:lpstr>CARLOS MIGUEL</vt:lpstr>
      <vt:lpstr>GIOVANNY SIERRA</vt:lpstr>
      <vt:lpstr>EDINSON CARRILLO</vt:lpstr>
      <vt:lpstr>IXA S.A.S</vt:lpstr>
      <vt:lpstr>VICTOR CASTELLANOS</vt:lpstr>
      <vt:lpstr>FELIZ CARRILLO </vt:lpstr>
      <vt:lpstr>ALQUIOBRAS</vt:lpstr>
      <vt:lpstr>ANDREI CADENA</vt:lpstr>
      <vt:lpstr>JUAN DAVID ANGARITA</vt:lpstr>
      <vt:lpstr>ALFONSO GARCIAJHON</vt:lpstr>
      <vt:lpstr>JAZMIN PACHECO</vt:lpstr>
      <vt:lpstr>EDUARDO TOLOZA</vt:lpstr>
      <vt:lpstr>ROSA VARGAS</vt:lpstr>
      <vt:lpstr>LUZ MARINA </vt:lpstr>
      <vt:lpstr>JAVIER MALDONADO</vt:lpstr>
      <vt:lpstr>ANDREA PAOLA</vt:lpstr>
      <vt:lpstr>ELISEO NELSON BERNAL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2026-07-17T16:10:50Z</cp:lastPrinted>
  <dcterms:created xsi:type="dcterms:W3CDTF">2015-06-05T18:19:34Z</dcterms:created>
  <dcterms:modified xsi:type="dcterms:W3CDTF">2026-07-27T18:46:14Z</dcterms:modified>
</cp:coreProperties>
</file>
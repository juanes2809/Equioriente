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anus.EQUIORIENTE\Desktop\EQUIORIENTE\FACTURACION\2026\JUNIO 2026\"/>
    </mc:Choice>
  </mc:AlternateContent>
  <xr:revisionPtr revIDLastSave="0" documentId="13_ncr:1_{7F8653E3-C2E0-43C1-B7C8-847058901A75}" xr6:coauthVersionLast="47" xr6:coauthVersionMax="47" xr10:uidLastSave="{00000000-0000-0000-0000-000000000000}"/>
  <bookViews>
    <workbookView xWindow="-120" yWindow="-120" windowWidth="20730" windowHeight="11040" firstSheet="10" activeTab="14" xr2:uid="{00000000-000D-0000-FFFF-FFFF00000000}"/>
  </bookViews>
  <sheets>
    <sheet name="CESAR AUGUSTO" sheetId="1" r:id="rId1"/>
    <sheet name="YAZMIN PACHECO" sheetId="2" r:id="rId2"/>
    <sheet name="ADRIAN BRAVO" sheetId="3" r:id="rId3"/>
    <sheet name="LUZ MARINA DUARTE" sheetId="4" r:id="rId4"/>
    <sheet name="MAESTRO VIDAL" sheetId="6" r:id="rId5"/>
    <sheet name="ALFONSO GARCIA" sheetId="7" r:id="rId6"/>
    <sheet name="LUDWING ANGULO" sheetId="8" r:id="rId7"/>
    <sheet name="ALQUIOBRAS" sheetId="9" r:id="rId8"/>
    <sheet name="DOUGLAS LEAL" sheetId="12" r:id="rId9"/>
    <sheet name="CLAUDIA GIL" sheetId="13" r:id="rId10"/>
    <sheet name="ANDREI" sheetId="14" r:id="rId11"/>
    <sheet name="LA PLACA" sheetId="10" r:id="rId12"/>
    <sheet name="SERGIO MIRADORES" sheetId="11" r:id="rId13"/>
    <sheet name="NELSON PADILLA" sheetId="5" r:id="rId14"/>
    <sheet name="POLIMYS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5" l="1"/>
  <c r="F16" i="15" s="1"/>
  <c r="E17" i="15"/>
  <c r="F17" i="15" s="1"/>
  <c r="E15" i="15"/>
  <c r="F15" i="15" s="1"/>
  <c r="E18" i="15" l="1"/>
  <c r="H6" i="15" l="1"/>
  <c r="H5" i="15"/>
  <c r="E15" i="14" l="1"/>
  <c r="F15" i="14" s="1"/>
  <c r="E14" i="14"/>
  <c r="F14" i="14" s="1"/>
  <c r="E13" i="14"/>
  <c r="F13" i="14" s="1"/>
  <c r="E12" i="14"/>
  <c r="F12" i="14" s="1"/>
  <c r="E11" i="14"/>
  <c r="F11" i="14" s="1"/>
  <c r="E10" i="14"/>
  <c r="F10" i="14" s="1"/>
  <c r="E9" i="14"/>
  <c r="F9" i="14" s="1"/>
  <c r="E8" i="14"/>
  <c r="F8" i="14" s="1"/>
  <c r="E7" i="14"/>
  <c r="F7" i="14" s="1"/>
  <c r="E6" i="14"/>
  <c r="F6" i="14" s="1"/>
  <c r="V7" i="13"/>
  <c r="V8" i="13"/>
  <c r="V9" i="13"/>
  <c r="V10" i="13"/>
  <c r="V11" i="13"/>
  <c r="V12" i="13"/>
  <c r="V13" i="13"/>
  <c r="V14" i="13"/>
  <c r="V15" i="13"/>
  <c r="V16" i="13"/>
  <c r="V17" i="13"/>
  <c r="V18" i="13"/>
  <c r="V19" i="13"/>
  <c r="V20" i="13"/>
  <c r="V21" i="13"/>
  <c r="V22" i="13"/>
  <c r="V23" i="13"/>
  <c r="F60" i="13"/>
  <c r="E59" i="13"/>
  <c r="F59" i="13" s="1"/>
  <c r="E58" i="13"/>
  <c r="F58" i="13" s="1"/>
  <c r="E57" i="13"/>
  <c r="F57" i="13"/>
  <c r="E56" i="13"/>
  <c r="F56" i="13" s="1"/>
  <c r="E55" i="13"/>
  <c r="F55" i="13" s="1"/>
  <c r="E16" i="14" l="1"/>
  <c r="E49" i="13"/>
  <c r="F49" i="13" s="1"/>
  <c r="E47" i="13"/>
  <c r="F47" i="13" s="1"/>
  <c r="V6" i="13"/>
  <c r="E54" i="13" l="1"/>
  <c r="F54" i="13" s="1"/>
  <c r="E53" i="13"/>
  <c r="F53" i="13" s="1"/>
  <c r="E52" i="13"/>
  <c r="F52" i="13" s="1"/>
  <c r="E51" i="13"/>
  <c r="F51" i="13" s="1"/>
  <c r="E50" i="13"/>
  <c r="F50" i="13" s="1"/>
  <c r="E48" i="13"/>
  <c r="F48" i="13" s="1"/>
  <c r="E46" i="13"/>
  <c r="F46" i="13" s="1"/>
  <c r="E45" i="13"/>
  <c r="F45" i="13" s="1"/>
  <c r="E44" i="13"/>
  <c r="F44" i="13" s="1"/>
  <c r="E43" i="13"/>
  <c r="F43" i="13" s="1"/>
  <c r="E42" i="13"/>
  <c r="F42" i="13" s="1"/>
  <c r="E41" i="13"/>
  <c r="F41" i="13" s="1"/>
  <c r="E40" i="13"/>
  <c r="F40" i="13" s="1"/>
  <c r="E39" i="13"/>
  <c r="F39" i="13" s="1"/>
  <c r="E38" i="13"/>
  <c r="F38" i="13" s="1"/>
  <c r="E37" i="13"/>
  <c r="F37" i="13" s="1"/>
  <c r="E36" i="13"/>
  <c r="F36" i="13" s="1"/>
  <c r="E35" i="13"/>
  <c r="F35" i="13" s="1"/>
  <c r="E70" i="12" l="1"/>
  <c r="E69" i="12"/>
  <c r="E68" i="12"/>
  <c r="E62" i="12"/>
  <c r="E63" i="12" s="1"/>
  <c r="E48" i="12"/>
  <c r="F48" i="12" s="1"/>
  <c r="E43" i="12"/>
  <c r="F43" i="12" s="1"/>
  <c r="E39" i="12"/>
  <c r="F39" i="12" s="1"/>
  <c r="E35" i="12"/>
  <c r="F35" i="12" s="1"/>
  <c r="E34" i="12"/>
  <c r="F34" i="12" s="1"/>
  <c r="F62" i="12" l="1"/>
  <c r="E64" i="12" s="1"/>
  <c r="E66" i="12" s="1"/>
  <c r="H20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E47" i="12" l="1"/>
  <c r="F47" i="12" s="1"/>
  <c r="E46" i="12"/>
  <c r="F46" i="12" s="1"/>
  <c r="E45" i="12"/>
  <c r="F45" i="12" s="1"/>
  <c r="E44" i="12"/>
  <c r="F44" i="12" s="1"/>
  <c r="E42" i="12"/>
  <c r="F42" i="12" s="1"/>
  <c r="E41" i="12"/>
  <c r="F41" i="12" s="1"/>
  <c r="E40" i="12"/>
  <c r="F40" i="12" s="1"/>
  <c r="E49" i="12" s="1"/>
  <c r="E38" i="12"/>
  <c r="F38" i="12" s="1"/>
  <c r="E37" i="12"/>
  <c r="F37" i="12" s="1"/>
  <c r="E36" i="12"/>
  <c r="F36" i="12" s="1"/>
  <c r="E33" i="12"/>
  <c r="F33" i="12" s="1"/>
  <c r="F30" i="11"/>
  <c r="F33" i="11"/>
  <c r="F34" i="11"/>
  <c r="F37" i="11"/>
  <c r="F38" i="11"/>
  <c r="F41" i="11"/>
  <c r="F42" i="11"/>
  <c r="F45" i="11"/>
  <c r="F46" i="11"/>
  <c r="E30" i="11"/>
  <c r="E31" i="11"/>
  <c r="F31" i="11" s="1"/>
  <c r="E32" i="11"/>
  <c r="F32" i="11" s="1"/>
  <c r="E33" i="11"/>
  <c r="E34" i="11"/>
  <c r="E35" i="11"/>
  <c r="F35" i="11" s="1"/>
  <c r="E36" i="11"/>
  <c r="F36" i="11" s="1"/>
  <c r="E37" i="11"/>
  <c r="E38" i="11"/>
  <c r="E39" i="11"/>
  <c r="F39" i="11" s="1"/>
  <c r="E40" i="11"/>
  <c r="F40" i="11" s="1"/>
  <c r="E41" i="11"/>
  <c r="E42" i="11"/>
  <c r="E43" i="11"/>
  <c r="F43" i="11" s="1"/>
  <c r="E44" i="11"/>
  <c r="F44" i="11" s="1"/>
  <c r="E45" i="11"/>
  <c r="E46" i="11"/>
  <c r="E47" i="11"/>
  <c r="F47" i="11" s="1"/>
  <c r="E51" i="12" l="1"/>
  <c r="E29" i="11"/>
  <c r="F29" i="11" s="1"/>
  <c r="E49" i="11" s="1"/>
  <c r="J21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G7" i="10"/>
  <c r="G8" i="10"/>
  <c r="G9" i="10"/>
  <c r="G6" i="10"/>
  <c r="E19" i="10"/>
  <c r="F19" i="10" s="1"/>
  <c r="E18" i="10"/>
  <c r="F18" i="10" s="1"/>
  <c r="E20" i="10" s="1"/>
  <c r="E17" i="9"/>
  <c r="F17" i="9" s="1"/>
  <c r="E16" i="9"/>
  <c r="F16" i="9" s="1"/>
  <c r="E15" i="9"/>
  <c r="F15" i="9" s="1"/>
  <c r="E18" i="9" s="1"/>
  <c r="E21" i="9" s="1"/>
  <c r="E23" i="9" s="1"/>
  <c r="E51" i="11" l="1"/>
  <c r="E53" i="11" s="1"/>
  <c r="E48" i="11"/>
  <c r="G6" i="9"/>
  <c r="E86" i="8" l="1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E87" i="8"/>
  <c r="E82" i="8"/>
  <c r="E80" i="8"/>
  <c r="E79" i="8"/>
  <c r="E78" i="8"/>
  <c r="E77" i="8"/>
  <c r="E76" i="8"/>
  <c r="E75" i="8"/>
  <c r="E74" i="8"/>
  <c r="E73" i="8"/>
  <c r="E72" i="8"/>
  <c r="E71" i="8"/>
  <c r="E70" i="8"/>
  <c r="E68" i="8"/>
  <c r="E65" i="8" l="1"/>
  <c r="E63" i="8"/>
  <c r="E61" i="8"/>
  <c r="E59" i="8"/>
  <c r="E58" i="8"/>
  <c r="E57" i="8"/>
  <c r="E56" i="8"/>
  <c r="E54" i="8"/>
  <c r="E52" i="8"/>
  <c r="E50" i="8"/>
  <c r="E49" i="8"/>
  <c r="E47" i="8"/>
  <c r="E42" i="8"/>
  <c r="E41" i="8"/>
  <c r="F41" i="8" s="1"/>
  <c r="E83" i="8" s="1"/>
  <c r="E81" i="8"/>
  <c r="E69" i="8"/>
  <c r="E55" i="8"/>
  <c r="E66" i="8"/>
  <c r="E64" i="8"/>
  <c r="E67" i="8"/>
  <c r="E62" i="8"/>
  <c r="E60" i="8"/>
  <c r="E53" i="8"/>
  <c r="E51" i="8"/>
  <c r="E48" i="8"/>
  <c r="E46" i="8"/>
  <c r="E45" i="8"/>
  <c r="E44" i="8"/>
  <c r="E43" i="8"/>
  <c r="Q34" i="8"/>
  <c r="Q32" i="8"/>
  <c r="Q31" i="8"/>
  <c r="Q30" i="8"/>
  <c r="Q29" i="8"/>
  <c r="Q28" i="8"/>
  <c r="Q27" i="8"/>
  <c r="Q26" i="8"/>
  <c r="Q25" i="8"/>
  <c r="Q24" i="8"/>
  <c r="Q23" i="8"/>
  <c r="Q13" i="8"/>
  <c r="Q12" i="8"/>
  <c r="Q22" i="8"/>
  <c r="Q21" i="8"/>
  <c r="Q20" i="8"/>
  <c r="Q11" i="8"/>
  <c r="Q17" i="8"/>
  <c r="Q10" i="8"/>
  <c r="Q19" i="8"/>
  <c r="Q18" i="8"/>
  <c r="Q16" i="8"/>
  <c r="Q15" i="8"/>
  <c r="Q14" i="8"/>
  <c r="Q9" i="8"/>
  <c r="Q8" i="8"/>
  <c r="Q7" i="8"/>
  <c r="Q6" i="8"/>
  <c r="E45" i="7"/>
  <c r="E42" i="7"/>
  <c r="E4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E36" i="7"/>
  <c r="F36" i="7" s="1"/>
  <c r="E35" i="7"/>
  <c r="F35" i="7" s="1"/>
  <c r="E34" i="7"/>
  <c r="F34" i="7" s="1"/>
  <c r="E33" i="7"/>
  <c r="F33" i="7" s="1"/>
  <c r="E32" i="7"/>
  <c r="F32" i="7" s="1"/>
  <c r="E31" i="7"/>
  <c r="F31" i="7" s="1"/>
  <c r="E30" i="7"/>
  <c r="F30" i="7" s="1"/>
  <c r="E29" i="7"/>
  <c r="F29" i="7" s="1"/>
  <c r="E28" i="7"/>
  <c r="F28" i="7" s="1"/>
  <c r="E24" i="6"/>
  <c r="F24" i="6" s="1"/>
  <c r="E23" i="6"/>
  <c r="F23" i="6" s="1"/>
  <c r="E11" i="6"/>
  <c r="E10" i="6"/>
  <c r="E9" i="6"/>
  <c r="E8" i="6"/>
  <c r="E7" i="6"/>
  <c r="E6" i="6"/>
  <c r="E22" i="6"/>
  <c r="F22" i="6" s="1"/>
  <c r="E21" i="6"/>
  <c r="F21" i="6" s="1"/>
  <c r="E20" i="6"/>
  <c r="F20" i="6" s="1"/>
  <c r="E19" i="6"/>
  <c r="F19" i="6" s="1"/>
  <c r="F14" i="5"/>
  <c r="F12" i="5"/>
  <c r="F11" i="5"/>
  <c r="F10" i="5"/>
  <c r="F9" i="5"/>
  <c r="F8" i="5"/>
  <c r="F7" i="5"/>
  <c r="F6" i="5"/>
  <c r="E37" i="7" l="1"/>
  <c r="E38" i="7"/>
  <c r="E40" i="7" s="1"/>
  <c r="E43" i="7" s="1"/>
  <c r="E26" i="6"/>
  <c r="E28" i="6" s="1"/>
  <c r="E25" i="6"/>
  <c r="H33" i="5"/>
  <c r="E33" i="5"/>
  <c r="F33" i="5" s="1"/>
  <c r="H32" i="5"/>
  <c r="F32" i="5"/>
  <c r="E32" i="5"/>
  <c r="H31" i="5"/>
  <c r="E31" i="5"/>
  <c r="F31" i="5" s="1"/>
  <c r="H30" i="5"/>
  <c r="E30" i="5"/>
  <c r="F30" i="5" s="1"/>
  <c r="H29" i="5"/>
  <c r="E29" i="5"/>
  <c r="F29" i="5" s="1"/>
  <c r="H28" i="5"/>
  <c r="F28" i="5"/>
  <c r="E28" i="5"/>
  <c r="H27" i="5"/>
  <c r="H34" i="5" s="1"/>
  <c r="E27" i="5"/>
  <c r="E34" i="5" s="1"/>
  <c r="F15" i="4"/>
  <c r="F14" i="4"/>
  <c r="F13" i="4"/>
  <c r="F12" i="4"/>
  <c r="F11" i="4"/>
  <c r="F10" i="4"/>
  <c r="F9" i="4"/>
  <c r="F8" i="4"/>
  <c r="F7" i="4"/>
  <c r="F6" i="4"/>
  <c r="E35" i="4"/>
  <c r="F35" i="4" s="1"/>
  <c r="E34" i="4"/>
  <c r="F34" i="4" s="1"/>
  <c r="E33" i="4"/>
  <c r="F33" i="4" s="1"/>
  <c r="E32" i="4"/>
  <c r="F32" i="4" s="1"/>
  <c r="E31" i="4"/>
  <c r="F31" i="4" s="1"/>
  <c r="E30" i="4"/>
  <c r="F30" i="4" s="1"/>
  <c r="F29" i="4"/>
  <c r="E29" i="4"/>
  <c r="E28" i="4"/>
  <c r="F28" i="4" s="1"/>
  <c r="E27" i="4"/>
  <c r="F27" i="4" s="1"/>
  <c r="E26" i="4"/>
  <c r="F26" i="4" s="1"/>
  <c r="E25" i="4"/>
  <c r="F25" i="4" s="1"/>
  <c r="E72" i="3"/>
  <c r="F72" i="3" s="1"/>
  <c r="F71" i="3"/>
  <c r="E71" i="3"/>
  <c r="E70" i="3"/>
  <c r="F70" i="3" s="1"/>
  <c r="F69" i="3"/>
  <c r="E69" i="3"/>
  <c r="E68" i="3"/>
  <c r="F68" i="3" s="1"/>
  <c r="F67" i="3"/>
  <c r="E67" i="3"/>
  <c r="G59" i="3"/>
  <c r="G56" i="3"/>
  <c r="G55" i="3"/>
  <c r="G54" i="3"/>
  <c r="G53" i="3"/>
  <c r="G52" i="3"/>
  <c r="G51" i="3"/>
  <c r="E41" i="3"/>
  <c r="F41" i="3" s="1"/>
  <c r="E40" i="3"/>
  <c r="F40" i="3" s="1"/>
  <c r="E39" i="3"/>
  <c r="F39" i="3" s="1"/>
  <c r="E38" i="3"/>
  <c r="F38" i="3" s="1"/>
  <c r="E37" i="3"/>
  <c r="F37" i="3" s="1"/>
  <c r="E36" i="3"/>
  <c r="F36" i="3" s="1"/>
  <c r="E35" i="3"/>
  <c r="F35" i="3" s="1"/>
  <c r="E34" i="3"/>
  <c r="F34" i="3" s="1"/>
  <c r="E33" i="3"/>
  <c r="F33" i="3" s="1"/>
  <c r="E32" i="3"/>
  <c r="F32" i="3" s="1"/>
  <c r="E31" i="3"/>
  <c r="F31" i="3" s="1"/>
  <c r="E30" i="3"/>
  <c r="F30" i="3" s="1"/>
  <c r="E29" i="3"/>
  <c r="F29" i="3" s="1"/>
  <c r="E28" i="3"/>
  <c r="F28" i="3" s="1"/>
  <c r="I16" i="3"/>
  <c r="I14" i="3"/>
  <c r="I13" i="3"/>
  <c r="I12" i="3"/>
  <c r="I11" i="3"/>
  <c r="I10" i="3"/>
  <c r="I9" i="3"/>
  <c r="I8" i="3"/>
  <c r="I7" i="3"/>
  <c r="I6" i="3"/>
  <c r="G15" i="2"/>
  <c r="G14" i="2"/>
  <c r="G13" i="2"/>
  <c r="G12" i="2"/>
  <c r="G11" i="2"/>
  <c r="G10" i="2"/>
  <c r="G9" i="2"/>
  <c r="G8" i="2"/>
  <c r="G7" i="2"/>
  <c r="E85" i="8" l="1"/>
  <c r="F27" i="5"/>
  <c r="E35" i="5" s="1"/>
  <c r="E37" i="5" s="1"/>
  <c r="E39" i="5" s="1"/>
  <c r="E36" i="4"/>
  <c r="E37" i="4"/>
  <c r="E73" i="3"/>
  <c r="E75" i="3" s="1"/>
  <c r="E42" i="3"/>
  <c r="E44" i="3" s="1"/>
  <c r="E29" i="2"/>
  <c r="F29" i="2" s="1"/>
  <c r="E28" i="2"/>
  <c r="F28" i="2" s="1"/>
  <c r="E27" i="2"/>
  <c r="F27" i="2" s="1"/>
  <c r="E26" i="2"/>
  <c r="F26" i="2" s="1"/>
  <c r="E25" i="2"/>
  <c r="F25" i="2" s="1"/>
  <c r="E24" i="2"/>
  <c r="F24" i="2" s="1"/>
  <c r="E23" i="2"/>
  <c r="F23" i="2" s="1"/>
  <c r="E22" i="2"/>
  <c r="F22" i="2" s="1"/>
  <c r="E88" i="8" l="1"/>
  <c r="E39" i="4"/>
  <c r="E76" i="3"/>
  <c r="E31" i="2"/>
  <c r="E33" i="2" s="1"/>
  <c r="E30" i="2"/>
  <c r="E46" i="1" l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26" i="1"/>
  <c r="F26" i="1" s="1"/>
  <c r="E24" i="1"/>
  <c r="F24" i="1" s="1"/>
  <c r="E25" i="1"/>
  <c r="F25" i="1" s="1"/>
  <c r="G16" i="1"/>
  <c r="G15" i="1"/>
  <c r="G14" i="1"/>
  <c r="G13" i="1"/>
  <c r="G12" i="1"/>
  <c r="G11" i="1"/>
  <c r="G10" i="1"/>
  <c r="G9" i="1"/>
  <c r="G8" i="1"/>
  <c r="G7" i="1"/>
  <c r="G6" i="1"/>
  <c r="E27" i="1" l="1"/>
  <c r="E28" i="1"/>
  <c r="E30" i="1" s="1"/>
  <c r="E48" i="1" s="1"/>
  <c r="E4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tc={E109A97B-1E54-43B4-AD2F-46E1022150EC}</author>
    <author>Jimmy Jaimes</author>
  </authors>
  <commentList>
    <comment ref="B6" authorId="0" shapeId="0" xr:uid="{E109A97B-1E54-43B4-AD2F-46E1022150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 CG</t>
      </text>
    </comment>
    <comment ref="C13" authorId="1" shapeId="0" xr:uid="{E57F9EFB-7D05-40BA-A752-A51587A079B0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15 CG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51" authorId="0" shapeId="0" xr:uid="{E1EFCDCC-AFB4-430F-841C-FF7E85A160D2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LS
</t>
        </r>
      </text>
    </comment>
    <comment ref="B53" authorId="0" shapeId="0" xr:uid="{7AD4E1DD-5983-4173-9FEA-A8E2961047CF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LS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  <author>tc={624AA8AC-5B60-463A-96DA-B36C4BEA174D}</author>
  </authors>
  <commentList>
    <comment ref="B5" authorId="0" shapeId="0" xr:uid="{FDB7FF35-92D5-423A-8BBF-34B61DBCE5D3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26-05
</t>
        </r>
      </text>
    </comment>
    <comment ref="G10" authorId="0" shapeId="0" xr:uid="{D569CCB1-601C-448F-A142-A5F521EDCD98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PLY </t>
        </r>
      </text>
    </comment>
    <comment ref="K10" authorId="0" shapeId="0" xr:uid="{789EBF3D-F258-4B76-83DB-E324E0B50CAF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20 DE PLY
</t>
        </r>
      </text>
    </comment>
    <comment ref="L10" authorId="0" shapeId="0" xr:uid="{C7E46626-EF03-4175-ADA6-85383ACD2AAB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CG Y PLY
</t>
        </r>
      </text>
    </comment>
    <comment ref="M10" authorId="1" shapeId="0" xr:uid="{624AA8AC-5B60-463A-96DA-B36C4BEA17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polimys</t>
      </text>
    </comment>
    <comment ref="K11" authorId="0" shapeId="0" xr:uid="{5907BB27-7487-4E50-BF6C-7833BF780EC0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ESTA DESPEGADA</t>
        </r>
      </text>
    </comment>
    <comment ref="J25" authorId="0" shapeId="0" xr:uid="{A3CD759E-9BFE-4A6F-B6AA-B54A54367CB4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MODULADAS 20Y 20 AEO
</t>
        </r>
      </text>
    </comment>
    <comment ref="J29" authorId="0" shapeId="0" xr:uid="{3D8E2E17-AF82-4512-BDC9-10D6D35268C6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CG</t>
        </r>
      </text>
    </comment>
    <comment ref="J30" authorId="0" shapeId="0" xr:uid="{D0BDEF37-D05E-47B5-B1C8-1F6F4D28255D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CG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tc={A00C6D1B-C5D9-47BF-8372-69C9C207B1B8}</author>
    <author>tc={D0553BB1-AEEB-43CD-8F95-546B6940DFAA}</author>
    <author>Jimmy Jaimes</author>
    <author>tc={E805F362-E082-4EC2-A97D-338B66D58467}</author>
  </authors>
  <commentList>
    <comment ref="D14" authorId="0" shapeId="0" xr:uid="{A00C6D1B-C5D9-47BF-8372-69C9C207B1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POLIMYS</t>
      </text>
    </comment>
    <comment ref="F14" authorId="1" shapeId="0" xr:uid="{D0553BB1-AEEB-43CD-8F95-546B6940DF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POLIMYS</t>
      </text>
    </comment>
    <comment ref="D18" authorId="2" shapeId="0" xr:uid="{92D6E0F2-763C-4980-986D-1819DB20EB2D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PLY
</t>
        </r>
      </text>
    </comment>
    <comment ref="F18" authorId="3" shapeId="0" xr:uid="{E805F362-E082-4EC2-A97D-338B66D584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POLIMYS</t>
      </text>
    </comment>
    <comment ref="C20" authorId="2" shapeId="0" xr:uid="{B233B155-0EAA-4FCF-AF4B-C03D2183A199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10 DIAS
</t>
        </r>
      </text>
    </comment>
    <comment ref="G20" authorId="2" shapeId="0" xr:uid="{D8AE3C24-81A7-4466-AFBF-AC65897388F5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RECOGIDA DEL TROMPO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tc={BEB079F2-9CD1-4F37-AEC7-4DEA29F46BF5}</author>
    <author>tc={511D5391-E1A0-4E98-9B26-E36E8AD7D6FD}</author>
    <author>tc={891A487D-F2BC-423F-A0C1-942A6058226B}</author>
    <author>tc={FEA6B631-71A1-49AD-9854-CA2884C334C8}</author>
  </authors>
  <commentList>
    <comment ref="Q10" authorId="0" shapeId="0" xr:uid="{BEB079F2-9CD1-4F37-AEC7-4DEA29F46B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CORTE AL 17 JUNIO</t>
      </text>
    </comment>
    <comment ref="N11" authorId="1" shapeId="0" xr:uid="{511D5391-E1A0-4E98-9B26-E36E8AD7D6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CORTE AL 6 DE JUNIO</t>
      </text>
    </comment>
    <comment ref="Q11" authorId="2" shapeId="0" xr:uid="{891A487D-F2BC-423F-A0C1-942A605822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CORTE AL 9 DE JUNIO</t>
      </text>
    </comment>
    <comment ref="N12" authorId="3" shapeId="0" xr:uid="{FEA6B631-71A1-49AD-9854-CA2884C334C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CORTE AL 31 /05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D7" authorId="0" shapeId="0" xr:uid="{9C049D82-9542-49D3-8C3F-B402B98B9E2A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PLATINA
</t>
        </r>
      </text>
    </comment>
    <comment ref="D12" authorId="0" shapeId="0" xr:uid="{9A1BD939-69CF-4026-803B-B7B055CD2150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6 DE 25*1,20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6" authorId="0" shapeId="0" xr:uid="{B040AE25-779B-4326-A335-C324EC1A5A74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2 LS
</t>
        </r>
      </text>
    </comment>
    <comment ref="B8" authorId="0" shapeId="0" xr:uid="{FFCB8926-B4A8-432A-AF34-7F7D5C3F29F1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LS
</t>
        </r>
      </text>
    </comment>
    <comment ref="C8" authorId="0" shapeId="0" xr:uid="{6B4E9CCB-3101-42EC-9188-E2FA02E91362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LS
</t>
        </r>
      </text>
    </comment>
  </commentList>
</comments>
</file>

<file path=xl/sharedStrings.xml><?xml version="1.0" encoding="utf-8"?>
<sst xmlns="http://schemas.openxmlformats.org/spreadsheetml/2006/main" count="931" uniqueCount="388">
  <si>
    <t>JIMMY A. JAIMES CARRILLO</t>
  </si>
  <si>
    <t xml:space="preserve">CESAR </t>
  </si>
  <si>
    <t>PUERTO RICO</t>
  </si>
  <si>
    <t>MATERIAL</t>
  </si>
  <si>
    <t>DETALLES</t>
  </si>
  <si>
    <t>COSTOS</t>
  </si>
  <si>
    <t>DIAS</t>
  </si>
  <si>
    <t>CANTIDAD</t>
  </si>
  <si>
    <t>VALOR</t>
  </si>
  <si>
    <t>COSTO DIARIO</t>
  </si>
  <si>
    <t>PRECIO DIARIO</t>
  </si>
  <si>
    <t>FORMALETA DE 30*1,20</t>
  </si>
  <si>
    <t>FORMAETA DE 60*1,20</t>
  </si>
  <si>
    <t>ANGULOS DE 1,20</t>
  </si>
  <si>
    <t>ANGULOS DE 60</t>
  </si>
  <si>
    <t xml:space="preserve">PARALES DE 3 MTROS </t>
  </si>
  <si>
    <t xml:space="preserve">CHAPETAS </t>
  </si>
  <si>
    <t>TOTAL DIARIO</t>
  </si>
  <si>
    <t xml:space="preserve"> DIAS</t>
  </si>
  <si>
    <t xml:space="preserve">LLEVADA Y RECOGIDA </t>
  </si>
  <si>
    <t xml:space="preserve">TOTAL DIAS </t>
  </si>
  <si>
    <t>DEPOSITO</t>
  </si>
  <si>
    <t>CESAR AUGUSTO</t>
  </si>
  <si>
    <t>MOVIMIENTO: JUNIO/2026</t>
  </si>
  <si>
    <t>SALDO</t>
  </si>
  <si>
    <t>FORMALETA DE 60*1,20</t>
  </si>
  <si>
    <t>CAJA METALICA</t>
  </si>
  <si>
    <t>FORMALETA DE 20*1,20</t>
  </si>
  <si>
    <t>FORMALETA DE 25*1,20</t>
  </si>
  <si>
    <t>HORA</t>
  </si>
  <si>
    <t>Transporte</t>
  </si>
  <si>
    <t>A.M</t>
  </si>
  <si>
    <t>JUNIO 11 AL 15</t>
  </si>
  <si>
    <t>TOTAL FACTURADO</t>
  </si>
  <si>
    <t>A DEVOLVER</t>
  </si>
  <si>
    <t xml:space="preserve">DEVUELTOS POR NEQUI </t>
  </si>
  <si>
    <t>JAZMIN PACHECO : 3157153865</t>
  </si>
  <si>
    <t>MIRADORES DE LA UIS  3COLUMNAS DE 30X30 X240</t>
  </si>
  <si>
    <t>PARALES 3 MTS</t>
  </si>
  <si>
    <t>CORBATA MURO 30 CMS</t>
  </si>
  <si>
    <t>PINES</t>
  </si>
  <si>
    <t>CORBATA PARA MURO DE 30</t>
  </si>
  <si>
    <t>TOTAL STANDBY</t>
  </si>
  <si>
    <t>LLEVADA Y RECOGIDA</t>
  </si>
  <si>
    <t xml:space="preserve">DEPOSITO </t>
  </si>
  <si>
    <t>REPOSICION</t>
  </si>
  <si>
    <t xml:space="preserve">JAZMIN PACHECO </t>
  </si>
  <si>
    <t xml:space="preserve">MIRADORES DE LA UIS </t>
  </si>
  <si>
    <t>MOVIMIENTO:JUNIO /2026</t>
  </si>
  <si>
    <t>PARALES DE 3 MTROS</t>
  </si>
  <si>
    <t>CORBATAS DE MURO DE 30</t>
  </si>
  <si>
    <t xml:space="preserve">PINES </t>
  </si>
  <si>
    <t>ADRIAN BRAVO:3162771895</t>
  </si>
  <si>
    <t>CRA 2 #65B-35 CANELOS REAL DE MINAS</t>
  </si>
  <si>
    <t>MOVIMIENTO: MAYO 5 A JUNIO 19/2026</t>
  </si>
  <si>
    <t>MARCOS DE ANDAMIOS 2MTS</t>
  </si>
  <si>
    <t>CRUCETA DE 2,40</t>
  </si>
  <si>
    <t>TABLONES DE 3 MTROS</t>
  </si>
  <si>
    <t>ALINEADORES DE 2,50</t>
  </si>
  <si>
    <t xml:space="preserve">CERCHAS DE  3 MTROS </t>
  </si>
  <si>
    <t xml:space="preserve">CAJA  METALICA </t>
  </si>
  <si>
    <t>8.40</t>
  </si>
  <si>
    <t>*****</t>
  </si>
  <si>
    <t>****</t>
  </si>
  <si>
    <t>JIMMY JAIMES</t>
  </si>
  <si>
    <t>MAESTRO ADRIAN BRAVO TEL:3162771895</t>
  </si>
  <si>
    <t>CRA 2 #65b-35  REAL DE MINAS</t>
  </si>
  <si>
    <t>PERIODO</t>
  </si>
  <si>
    <t>SECCION DE ANDAMIOS 1,50</t>
  </si>
  <si>
    <t>MAYO 6 AL 19</t>
  </si>
  <si>
    <t>MAYO 20 AL 27</t>
  </si>
  <si>
    <t>MAYO 28 A JUNIO 19</t>
  </si>
  <si>
    <t>TABLONES DE 3 MTRS</t>
  </si>
  <si>
    <t>ALINEADORES 2,5 MTS</t>
  </si>
  <si>
    <t>MAYO 6 A JUNIO 19</t>
  </si>
  <si>
    <t xml:space="preserve">PARALE  DE 3 MTROS </t>
  </si>
  <si>
    <t>MAYO 6 AL 27</t>
  </si>
  <si>
    <t>MAYO 15 AL 27</t>
  </si>
  <si>
    <t>CERCHA 3 MTS</t>
  </si>
  <si>
    <t>CHAPETAS</t>
  </si>
  <si>
    <t>TABLERO DE MADERA 70 X 120</t>
  </si>
  <si>
    <t>MAYO 20 A JUNIO 19</t>
  </si>
  <si>
    <t xml:space="preserve">ACARREOS </t>
  </si>
  <si>
    <t>MOVIMIENTO / MAYO 20 A JUNIO 13/2026- POLEAS</t>
  </si>
  <si>
    <t xml:space="preserve"> </t>
  </si>
  <si>
    <t xml:space="preserve">POLEAS  </t>
  </si>
  <si>
    <t xml:space="preserve">ANGULOS DE 6 MTROS </t>
  </si>
  <si>
    <t xml:space="preserve">PASAMANOS DE 6 MTROS </t>
  </si>
  <si>
    <t xml:space="preserve">TABLEROS DE MADERA </t>
  </si>
  <si>
    <t xml:space="preserve">CERCHAS DE 3 MTROS </t>
  </si>
  <si>
    <t>10:AM</t>
  </si>
  <si>
    <t>POLEAS (DERECHA IZQUIERDA)</t>
  </si>
  <si>
    <t>MAYO 20 A JUNIO 12</t>
  </si>
  <si>
    <t>PASAMANOS DE 6 MTROS</t>
  </si>
  <si>
    <t>TABLEROS DE MADERA  70*1,40</t>
  </si>
  <si>
    <t>LLEVADA  y TRAIDA</t>
  </si>
  <si>
    <t>TOTAL ADEUDADO A JUNIO 19  2026</t>
  </si>
  <si>
    <t>CANCELADO POR NEQUI</t>
  </si>
  <si>
    <t>JIMMY JAIMES CARRILLO</t>
  </si>
  <si>
    <t>LUZ MARINA  TEL: 3125382648</t>
  </si>
  <si>
    <t>CRA 8 B #10B 04</t>
  </si>
  <si>
    <t>POLEAS</t>
  </si>
  <si>
    <t>ANGULOS DE 6 MTROS</t>
  </si>
  <si>
    <t xml:space="preserve">ANGULOS DE 3 </t>
  </si>
  <si>
    <t xml:space="preserve">PASAMANOS DE 3 MTROS </t>
  </si>
  <si>
    <t>CERCHAS DE 3 MTROS</t>
  </si>
  <si>
    <t>TABLEROS DE MADERA 70*1,40</t>
  </si>
  <si>
    <t xml:space="preserve">ARNES CON SLINGA </t>
  </si>
  <si>
    <t>LINEA DE VIDA</t>
  </si>
  <si>
    <t xml:space="preserve">TABLONES DE MADERA </t>
  </si>
  <si>
    <t xml:space="preserve">VALOR DIARIOIVA INCLUIDO </t>
  </si>
  <si>
    <t>TRANSPORTE LLEVADA Y TRAIDA</t>
  </si>
  <si>
    <t>VALOR  TOTAL</t>
  </si>
  <si>
    <t>LUZ MARINA</t>
  </si>
  <si>
    <t>CRA 8B #10B-04 TEL: 3125382648</t>
  </si>
  <si>
    <t>MOVIMIENTO:JUNIO / 2025</t>
  </si>
  <si>
    <t xml:space="preserve">SALDO </t>
  </si>
  <si>
    <t xml:space="preserve">POLEAS COLGANTES </t>
  </si>
  <si>
    <t>ANGULOS DE 6 MTRS</t>
  </si>
  <si>
    <t xml:space="preserve">ANGULOS DE 3 MTROS </t>
  </si>
  <si>
    <t>PASAMANOS DE 3 MTRO</t>
  </si>
  <si>
    <t xml:space="preserve">ARNES SLINGAS ROJA </t>
  </si>
  <si>
    <t>LINEAS DE VIDA</t>
  </si>
  <si>
    <t>MARCOS DE ANDAMIOS 1,50</t>
  </si>
  <si>
    <t>CERCHAS DE 3 MTRS</t>
  </si>
  <si>
    <t>TABLEROS DE MADERA DE 70*1,40</t>
  </si>
  <si>
    <t>Hora</t>
  </si>
  <si>
    <t>TRANSPORTE</t>
  </si>
  <si>
    <t>JUNIO 10 2026</t>
  </si>
  <si>
    <t>VALOR 18 DIAS SIN IVA</t>
  </si>
  <si>
    <t>NELSON PADILLA : TEL: 317273</t>
  </si>
  <si>
    <t>CALLE 1 B15#18-08NORTE</t>
  </si>
  <si>
    <t>JUNIO 14-2026</t>
  </si>
  <si>
    <t xml:space="preserve">POLEAS </t>
  </si>
  <si>
    <t>ALINEADORES DE 6 MTROS</t>
  </si>
  <si>
    <t>TABLEROS DE 70*1,40</t>
  </si>
  <si>
    <t>TABLERO DE  1 MTRO</t>
  </si>
  <si>
    <t xml:space="preserve">CERCHAS DE 3 MTROS LIVIANA </t>
  </si>
  <si>
    <t xml:space="preserve">TOTAL DIARIO </t>
  </si>
  <si>
    <t xml:space="preserve">DEPOSITO EFECTIVO </t>
  </si>
  <si>
    <t xml:space="preserve">A DEVOLVER </t>
  </si>
  <si>
    <t xml:space="preserve">NELSON PADILLA </t>
  </si>
  <si>
    <t>CALLE 1B#18-08 TEL: 3172731407</t>
  </si>
  <si>
    <t xml:space="preserve">ALINEADORES DE 6 MTROS </t>
  </si>
  <si>
    <t xml:space="preserve">CERCHAS DE 3 VARILLA </t>
  </si>
  <si>
    <t>TABLEROS DE MADERA DE 70*70</t>
  </si>
  <si>
    <t>COBRAR A PARTIR 14-06</t>
  </si>
  <si>
    <t>PUERTO RICO PARTE BAJA</t>
  </si>
  <si>
    <t>MAESTRO VIDAL:3138758759</t>
  </si>
  <si>
    <t>TABLERO DE MADERA DE 70*1,40</t>
  </si>
  <si>
    <t>BANDAS DE MADERA DE 40*1,40</t>
  </si>
  <si>
    <t xml:space="preserve">CERCHAS DE 3MTROS </t>
  </si>
  <si>
    <t xml:space="preserve">MAESTRO VIDAL </t>
  </si>
  <si>
    <t>MIRADORES DE LA UIS TEL: 3138758759</t>
  </si>
  <si>
    <t>CERCHAS DE 3 MTROS PLATINA</t>
  </si>
  <si>
    <t>TABLEROS DE MADERA DE 70*1,4</t>
  </si>
  <si>
    <t>BANDAS DE 40*1,40</t>
  </si>
  <si>
    <t>TABLAS DE 70 CMS X 8 CMS</t>
  </si>
  <si>
    <t>TABLAS DE 40 CMS X 8 CMS</t>
  </si>
  <si>
    <t>JUNIO 16 AL 29</t>
  </si>
  <si>
    <t xml:space="preserve">JHON  </t>
  </si>
  <si>
    <t>FORMALETA DE 40*1,20</t>
  </si>
  <si>
    <t>CORBATAS DE 40</t>
  </si>
  <si>
    <t>CORBATAS DE 20</t>
  </si>
  <si>
    <t xml:space="preserve">CORBATAS </t>
  </si>
  <si>
    <t>ALFONSO GARCIA/MAESTRO JHON</t>
  </si>
  <si>
    <t>PUERTO RICO  TEL: 3022556577</t>
  </si>
  <si>
    <t>MOVIMIENTO:MAYO /2026</t>
  </si>
  <si>
    <t>FORMALETA DE 10*1,20</t>
  </si>
  <si>
    <t>FORMALETA DE 5*1,20</t>
  </si>
  <si>
    <t xml:space="preserve">SECCION DE ANDAMIOS NARANJA </t>
  </si>
  <si>
    <t>CRUCETAS DE 2,40</t>
  </si>
  <si>
    <t>9:AM</t>
  </si>
  <si>
    <t>TOTAL ADEUDADO</t>
  </si>
  <si>
    <t>ABONO</t>
  </si>
  <si>
    <t>LUDWIN ANGULO DIAZ /ESPOSO ROSA</t>
  </si>
  <si>
    <t>INDEPENDENCIA</t>
  </si>
  <si>
    <t xml:space="preserve">TABLONES DE 3 MTROS </t>
  </si>
  <si>
    <t xml:space="preserve">PARALES DE 4 MTROS </t>
  </si>
  <si>
    <t>PARALES DE 3,5</t>
  </si>
  <si>
    <t xml:space="preserve">CHAPETAS CUADRADAS </t>
  </si>
  <si>
    <t>CAJAS METALICAS</t>
  </si>
  <si>
    <t>FORMALETA DE 15*1,20</t>
  </si>
  <si>
    <t xml:space="preserve">CERCHAS DE 2 MTROS </t>
  </si>
  <si>
    <t>FORMALETA DE 60*60</t>
  </si>
  <si>
    <t xml:space="preserve">TENSORES </t>
  </si>
  <si>
    <t>FORMALETAS DE 20*1,20</t>
  </si>
  <si>
    <t>FORMALETA DE 25*60</t>
  </si>
  <si>
    <t>FORMALETA DE 40*60</t>
  </si>
  <si>
    <t>FORMALETA DE 25*120</t>
  </si>
  <si>
    <t>FORAMLETA DE 40*1,20</t>
  </si>
  <si>
    <t>FORMALETA DE 40*40</t>
  </si>
  <si>
    <t>FORMALETA DE 20*40</t>
  </si>
  <si>
    <t>CERCHA DE 1,50</t>
  </si>
  <si>
    <t>FORMALETA  DE 60*1,20</t>
  </si>
  <si>
    <t xml:space="preserve">CERCHA DE 3 MTROS </t>
  </si>
  <si>
    <t>CERCHAS DE 2 MTROS</t>
  </si>
  <si>
    <t>ANGULOS DE 120</t>
  </si>
  <si>
    <t>PARALES DE 4 MTROS</t>
  </si>
  <si>
    <t>LLAVADA Y RECOGIDA</t>
  </si>
  <si>
    <t>TOTAL DIAS</t>
  </si>
  <si>
    <t>JUNIO 10 A JUNIO 11-2026</t>
  </si>
  <si>
    <t>JUNIO 9 AL 22</t>
  </si>
  <si>
    <t>JUNIO 10 AL 11</t>
  </si>
  <si>
    <t>JUNIO 12 AL 22</t>
  </si>
  <si>
    <t>JUNIO 9 AL 9</t>
  </si>
  <si>
    <t>JUNIO 10 AL 22</t>
  </si>
  <si>
    <t>PARALES DE3.5 MTS</t>
  </si>
  <si>
    <t>JUNIO 10 AL 21</t>
  </si>
  <si>
    <t>JUNIO 22 AL 26</t>
  </si>
  <si>
    <t>FORMALETA 25 *60</t>
  </si>
  <si>
    <t>JUNIO 12 AL 21</t>
  </si>
  <si>
    <t>FORMALETA 40 *60</t>
  </si>
  <si>
    <t>FORMALETA 40 X 120</t>
  </si>
  <si>
    <t>FORMALETA 40 *40</t>
  </si>
  <si>
    <t>FORMALETA 20 *40</t>
  </si>
  <si>
    <t>CERCHA DE 1,5</t>
  </si>
  <si>
    <t>1 FORMALETA 60 X 120</t>
  </si>
  <si>
    <t>CHAPETA</t>
  </si>
  <si>
    <t>ALQUILER TOTAL</t>
  </si>
  <si>
    <t>LUWDIN ANGULO DIAZO TOLOZA</t>
  </si>
  <si>
    <t>ADEUDADO</t>
  </si>
  <si>
    <t>BBVA</t>
  </si>
  <si>
    <t>MAYO 26 A JUNIO 25-2026</t>
  </si>
  <si>
    <t>JUNIO 12 A JUNIO 25-2026</t>
  </si>
  <si>
    <t>JUNIO 23 AL 25</t>
  </si>
  <si>
    <t>JUNIO 12 AL 25</t>
  </si>
  <si>
    <t>JUNIO 10 AL 25</t>
  </si>
  <si>
    <t>JUNIO 22 AL 25</t>
  </si>
  <si>
    <t>ALQUIOBRAS-SANTANDER</t>
  </si>
  <si>
    <t>CALLE 14#19-37TEL:3164176674/3165134059</t>
  </si>
  <si>
    <t>MOVIMIENTO: JUNIO/ 2026</t>
  </si>
  <si>
    <t>TTU-924</t>
  </si>
  <si>
    <t>ALQUIOBRAS -SANTANDER</t>
  </si>
  <si>
    <t xml:space="preserve">VALOR </t>
  </si>
  <si>
    <t>TOTAL ADEUDADO FEBRERO 1 A MAYO 31</t>
  </si>
  <si>
    <t>PERIODO:JUNIO2026</t>
  </si>
  <si>
    <t>JUNIO 1 AL 19</t>
  </si>
  <si>
    <t>JUNIO 20 AL 20</t>
  </si>
  <si>
    <t>JUNIO 1 AL 30</t>
  </si>
  <si>
    <t>TOTAL ADEUDADO FEBRERO 1 A JUNIO 30 /2026</t>
  </si>
  <si>
    <t>TOTAL ADEUDADO A ALQUIOBRAS A 30 JUNIO 2026</t>
  </si>
  <si>
    <t>ADEUDADO A EQUIORIENTE A JUNIO 30 2026</t>
  </si>
  <si>
    <t>SECCIONES DE ANDAMIO</t>
  </si>
  <si>
    <t xml:space="preserve">FRANCISCO LA PLACA </t>
  </si>
  <si>
    <t>CALLE 43 # 35-14 CEL :3229294199</t>
  </si>
  <si>
    <t>FEBRERO 1 A JUNIO 30 /2026</t>
  </si>
  <si>
    <t>TABLONES DE 3 MTS</t>
  </si>
  <si>
    <t>FRANCISCO LA PLACA</t>
  </si>
  <si>
    <t>MARCOS D ANDAMIO VERDES</t>
  </si>
  <si>
    <t>CRUCETAS 2.4</t>
  </si>
  <si>
    <t>CRUCETAS DE 2 MTS</t>
  </si>
  <si>
    <t>TABLONES</t>
  </si>
  <si>
    <t>NERO 16 A JUNIO 30 /2026</t>
  </si>
  <si>
    <t>MOVIMIENTO:ENERO 16  A JUNIO 30/2026/ 2026</t>
  </si>
  <si>
    <t>ENERO 16A JUNIO 30</t>
  </si>
  <si>
    <t>SERGIO /LUIS MARTIN FORERO</t>
  </si>
  <si>
    <t>FORMALETA DE 50*1,20</t>
  </si>
  <si>
    <t xml:space="preserve">CAJA METALICA </t>
  </si>
  <si>
    <t>VALDE PLASTICO</t>
  </si>
  <si>
    <t>FORMALETA DE 35*1,20</t>
  </si>
  <si>
    <t>ctz</t>
  </si>
  <si>
    <t>JIMMY ALFREDO JAIMES CARRILLO</t>
  </si>
  <si>
    <t>SERGIO MIRADORES DE LA UIS</t>
  </si>
  <si>
    <t>VALOR DIARIO</t>
  </si>
  <si>
    <t xml:space="preserve">DIAS </t>
  </si>
  <si>
    <t xml:space="preserve">PARALES DE 3,5 MTROS </t>
  </si>
  <si>
    <t>JUNIO 1 AL 1</t>
  </si>
  <si>
    <t>JUNIO 2 A JULIO 6</t>
  </si>
  <si>
    <t>JUNIO 1 A JULIO 6</t>
  </si>
  <si>
    <t>|</t>
  </si>
  <si>
    <t>JUNIO 2 A JUNIO 12</t>
  </si>
  <si>
    <t>JUNIO 13 A JULIO 6</t>
  </si>
  <si>
    <t>JUNIO 2 AL 12</t>
  </si>
  <si>
    <t>CTZ</t>
  </si>
  <si>
    <t>JUNIO 2 AL 11</t>
  </si>
  <si>
    <t>JUNIO 13 AL 18</t>
  </si>
  <si>
    <t>MOVIMIENTO: JUNIO 1 A JULIO 6 /2026</t>
  </si>
  <si>
    <t>ADEUDADO A JULIO 6 2026</t>
  </si>
  <si>
    <t>JUNIO 20 AL 30</t>
  </si>
  <si>
    <t>JUNIO 13 A 18</t>
  </si>
  <si>
    <t>JUNIO19 a juloo 6</t>
  </si>
  <si>
    <t>CANCELADO</t>
  </si>
  <si>
    <t>DOUGLAS LEAL  TEL: 3106765794</t>
  </si>
  <si>
    <t>CALLE 9 # 17-25 COMUNEROS</t>
  </si>
  <si>
    <t>TABLONES  DE MADERA</t>
  </si>
  <si>
    <t>SECCION DE ANDAMIOS DE 1,50</t>
  </si>
  <si>
    <t>EFECTIVO</t>
  </si>
  <si>
    <t>ALQUILER COLUMNAS</t>
  </si>
  <si>
    <t>TABLEROS  DE MADERA 70 X 140</t>
  </si>
  <si>
    <t>FORMALETAS 35 X 120</t>
  </si>
  <si>
    <t>ANGULOS DE 240</t>
  </si>
  <si>
    <t>FORMALETAS 50 X 120</t>
  </si>
  <si>
    <t xml:space="preserve">DOUGLAS LEAL </t>
  </si>
  <si>
    <t>CALLE 9 # 17-25 TEL: 3106765794</t>
  </si>
  <si>
    <t xml:space="preserve">TABLONES DE MADERA DE 3 MTROS </t>
  </si>
  <si>
    <t xml:space="preserve">MARCOS DE ANDAMIOS 1,50 NARANJAS </t>
  </si>
  <si>
    <t>TROMPO DESELL</t>
  </si>
  <si>
    <t>ANGULOS DE 2,40</t>
  </si>
  <si>
    <t>4:OO</t>
  </si>
  <si>
    <t>CANCELO POR NEQUI</t>
  </si>
  <si>
    <t>POLIMYS</t>
  </si>
  <si>
    <t>JUNIO 23 AL 24</t>
  </si>
  <si>
    <t>JUNIO 9 AL 24</t>
  </si>
  <si>
    <t>JUNIO 17 AL 22</t>
  </si>
  <si>
    <t>PERIODO : JUNIO 10 A JULIO 8</t>
  </si>
  <si>
    <t>ACARREOS</t>
  </si>
  <si>
    <t>MEZCLADORA 1 1/2 BULTOS DIESEL</t>
  </si>
  <si>
    <t>CONSIGNO POR NEQUI</t>
  </si>
  <si>
    <t>JUNIO 25A JULIO 10</t>
  </si>
  <si>
    <t>JUNIO 23 A JULIO 10</t>
  </si>
  <si>
    <t>JUNIO 17 A JULIO 10</t>
  </si>
  <si>
    <t>CONSIGNADO</t>
  </si>
  <si>
    <t>10 DIAS</t>
  </si>
  <si>
    <t>CLAUDIA GIL</t>
  </si>
  <si>
    <t>GIRARDOT</t>
  </si>
  <si>
    <t>MOVIMIENTO/JUNIO 2026</t>
  </si>
  <si>
    <t xml:space="preserve">CERCHAS DE 1 MTROS </t>
  </si>
  <si>
    <t>PARALES DE 1 MTRO</t>
  </si>
  <si>
    <t>BANDAS DE 50*1,20</t>
  </si>
  <si>
    <t xml:space="preserve">ALINEADOR DE 3 MTROS </t>
  </si>
  <si>
    <t xml:space="preserve">ALINEADOR DE  6 MTROS </t>
  </si>
  <si>
    <t xml:space="preserve">ALINEADOR DE 4 MTROS </t>
  </si>
  <si>
    <t>RINCONERAS DE 10*10*1,20</t>
  </si>
  <si>
    <t>WFC-275</t>
  </si>
  <si>
    <t>CTE-29-05</t>
  </si>
  <si>
    <t>corte al 8-06</t>
  </si>
  <si>
    <t>CTE 17-06 PARALES DE 4</t>
  </si>
  <si>
    <t>CTE AL 19-06</t>
  </si>
  <si>
    <t>CTE 9-06 PARAL DE 3</t>
  </si>
  <si>
    <t>CLAUDIA GIL 3142352448</t>
  </si>
  <si>
    <t>VALOR TOTAL</t>
  </si>
  <si>
    <t>CERCHAS 2 MTS</t>
  </si>
  <si>
    <t>PARALES DE 1MTROS</t>
  </si>
  <si>
    <t>PARALES DE4MTROS</t>
  </si>
  <si>
    <t>BANDAS DE MADERA 40 X 140</t>
  </si>
  <si>
    <t>BANDAS DE MADERA 50 X 140</t>
  </si>
  <si>
    <t>FORMALETA 60 X 120</t>
  </si>
  <si>
    <t>FORMALETAS DE 30 X 120</t>
  </si>
  <si>
    <t>JUNIO 1 AL 5</t>
  </si>
  <si>
    <t>JUNIO 6 AL 19</t>
  </si>
  <si>
    <t>JUNIO 20 AL 24</t>
  </si>
  <si>
    <t>JUNIO 25 AL 30</t>
  </si>
  <si>
    <t>CTE AL 24-JUNIO</t>
  </si>
  <si>
    <t>CORTE AL 6 JUNIO-2026</t>
  </si>
  <si>
    <t>CORTE AL 31 -05</t>
  </si>
  <si>
    <t>CORTE AL 4 /06</t>
  </si>
  <si>
    <t>1 TABLA</t>
  </si>
  <si>
    <t>CERCHAS 1MTS</t>
  </si>
  <si>
    <t>JUNIO 10 AL 30</t>
  </si>
  <si>
    <t>JUNIO 1 AL 4</t>
  </si>
  <si>
    <t>JUNIO 2 AL4</t>
  </si>
  <si>
    <t>JUNIO 1 AL 6</t>
  </si>
  <si>
    <t>JUNIO 13 AL 26</t>
  </si>
  <si>
    <t>JUNIO 7 AL 17</t>
  </si>
  <si>
    <t>JUNIO 18 AL 26</t>
  </si>
  <si>
    <t>JUNIO 27 AL 30</t>
  </si>
  <si>
    <t>JUNIO 7 AL 9</t>
  </si>
  <si>
    <t>JUNIO 5 AL 30</t>
  </si>
  <si>
    <t>JUNIO 1 AL 8</t>
  </si>
  <si>
    <t>JUNIO 1 SAL 30</t>
  </si>
  <si>
    <t>JUNIO 1 AL 12</t>
  </si>
  <si>
    <t>ALINEADOR DE 3 MTS</t>
  </si>
  <si>
    <t>JUNIO 2 AL 4</t>
  </si>
  <si>
    <t>ALINEADOR DE 6 MTS</t>
  </si>
  <si>
    <t>ALINEADOR DE 4MTS</t>
  </si>
  <si>
    <t>RINCONERASD 10 X 10 X120</t>
  </si>
  <si>
    <t>FORMALETAS DE 35 X 120</t>
  </si>
  <si>
    <t>FORMALETAS DE 25 X 120</t>
  </si>
  <si>
    <t>JUNIO 23 AL 30</t>
  </si>
  <si>
    <t>JIMMMYJAIMES</t>
  </si>
  <si>
    <t>ANDREI CADENA: 3167941308</t>
  </si>
  <si>
    <t>CARRERA 17A # 60-17. RICAURTE</t>
  </si>
  <si>
    <t>TABLEROS DE MADERA  50*1,00</t>
  </si>
  <si>
    <t>BANDAS DE 40*1,20</t>
  </si>
  <si>
    <t>PARALES DE 4MTROS</t>
  </si>
  <si>
    <t>CERCHAS DE 2 MTRO</t>
  </si>
  <si>
    <t xml:space="preserve">CERCHAS DE 1,5 MTROS </t>
  </si>
  <si>
    <t xml:space="preserve">SECCION DE ANDAMIOS </t>
  </si>
  <si>
    <t>JUNIO 11 AJULIO 10</t>
  </si>
  <si>
    <t>CRA 16 #16-46</t>
  </si>
  <si>
    <t>MOVIMIENTO JUNIO / 2025</t>
  </si>
  <si>
    <t>XGG-898</t>
  </si>
  <si>
    <t>CRA 19#16-46 TEL:3174409576</t>
  </si>
  <si>
    <t>ANGULO DE 60</t>
  </si>
  <si>
    <t>PARALE DE 3 MTS</t>
  </si>
  <si>
    <t xml:space="preserve"> GRANTOTAL</t>
  </si>
  <si>
    <t>JUNIO 1 AL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</si>
</sst>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(&quot;$&quot;\ * #,##0_);_(&quot;$&quot;\ * \(#,##0\);_(&quot;$&quot;\ * &quot;-&quot;??_);_(@_)"/>
    <numFmt numFmtId="165" formatCode="h:mm:ss;@"/>
    <numFmt numFmtId="166" formatCode="_-&quot;$&quot;\ * #,##0_-;\-&quot;$&quot;\ * #,##0_-;_-&quot;$&quot;\ * &quot;-&quot;??_-;_-@_-"/>
    <numFmt numFmtId="167" formatCode="hh:mm:ss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 Black"/>
      <family val="2"/>
    </font>
    <font>
      <sz val="11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4"/>
      <color theme="1"/>
      <name val="Arial Black"/>
      <family val="2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Arial Black"/>
      <family val="2"/>
    </font>
    <font>
      <i/>
      <sz val="11"/>
      <color theme="1"/>
      <name val="Arial Black"/>
      <family val="2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Arial Black"/>
      <family val="2"/>
    </font>
    <font>
      <u/>
      <sz val="11"/>
      <color theme="10"/>
      <name val="Calibri"/>
      <family val="2"/>
      <scheme val="minor"/>
    </font>
    <font>
      <sz val="20"/>
      <color theme="1"/>
      <name val="Arial Black"/>
      <family val="2"/>
    </font>
    <font>
      <b/>
      <sz val="14"/>
      <color theme="1"/>
      <name val="Arial Black"/>
      <family val="2"/>
    </font>
  </fonts>
  <fills count="2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347">
    <xf numFmtId="0" fontId="0" fillId="0" borderId="0" xfId="0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3" borderId="8" xfId="0" applyFill="1" applyBorder="1" applyAlignment="1">
      <alignment horizontal="center"/>
    </xf>
    <xf numFmtId="164" fontId="0" fillId="4" borderId="10" xfId="1" applyNumberFormat="1" applyFont="1" applyFill="1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0" fontId="0" fillId="4" borderId="8" xfId="0" applyFill="1" applyBorder="1" applyAlignment="1">
      <alignment horizontal="center"/>
    </xf>
    <xf numFmtId="164" fontId="6" fillId="3" borderId="8" xfId="1" applyNumberFormat="1" applyFont="1" applyFill="1" applyBorder="1"/>
    <xf numFmtId="0" fontId="0" fillId="0" borderId="12" xfId="0" applyBorder="1" applyAlignment="1">
      <alignment horizontal="center"/>
    </xf>
    <xf numFmtId="164" fontId="6" fillId="5" borderId="15" xfId="1" applyNumberFormat="1" applyFont="1" applyFill="1" applyBorder="1"/>
    <xf numFmtId="0" fontId="0" fillId="0" borderId="16" xfId="0" applyBorder="1" applyAlignment="1">
      <alignment horizontal="center"/>
    </xf>
    <xf numFmtId="164" fontId="6" fillId="6" borderId="15" xfId="1" applyNumberFormat="1" applyFont="1" applyFill="1" applyBorder="1"/>
    <xf numFmtId="0" fontId="0" fillId="0" borderId="22" xfId="0" applyBorder="1" applyAlignment="1">
      <alignment horizontal="center"/>
    </xf>
    <xf numFmtId="44" fontId="0" fillId="0" borderId="0" xfId="1" applyFont="1"/>
    <xf numFmtId="0" fontId="2" fillId="8" borderId="23" xfId="0" applyFont="1" applyFill="1" applyBorder="1" applyAlignment="1">
      <alignment horizontal="left" vertical="center"/>
    </xf>
    <xf numFmtId="0" fontId="2" fillId="8" borderId="23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left" vertical="center"/>
    </xf>
    <xf numFmtId="16" fontId="2" fillId="8" borderId="8" xfId="0" applyNumberFormat="1" applyFont="1" applyFill="1" applyBorder="1" applyAlignment="1">
      <alignment horizontal="center" vertical="center"/>
    </xf>
    <xf numFmtId="16" fontId="2" fillId="8" borderId="23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/>
    </xf>
    <xf numFmtId="0" fontId="2" fillId="9" borderId="8" xfId="0" applyFont="1" applyFill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9" borderId="8" xfId="0" applyNumberFormat="1" applyFont="1" applyFill="1" applyBorder="1" applyAlignment="1">
      <alignment horizontal="center" vertical="center"/>
    </xf>
    <xf numFmtId="1" fontId="2" fillId="3" borderId="8" xfId="0" applyNumberFormat="1" applyFont="1" applyFill="1" applyBorder="1" applyAlignment="1">
      <alignment horizontal="center" vertical="center"/>
    </xf>
    <xf numFmtId="165" fontId="2" fillId="8" borderId="8" xfId="0" applyNumberFormat="1" applyFont="1" applyFill="1" applyBorder="1" applyAlignment="1">
      <alignment horizontal="center" vertical="center"/>
    </xf>
    <xf numFmtId="20" fontId="2" fillId="8" borderId="8" xfId="0" applyNumberFormat="1" applyFont="1" applyFill="1" applyBorder="1" applyAlignment="1">
      <alignment horizontal="center" vertical="center"/>
    </xf>
    <xf numFmtId="1" fontId="2" fillId="8" borderId="8" xfId="0" applyNumberFormat="1" applyFont="1" applyFill="1" applyBorder="1" applyAlignment="1">
      <alignment horizontal="center" vertical="center"/>
    </xf>
    <xf numFmtId="164" fontId="2" fillId="8" borderId="8" xfId="1" applyNumberFormat="1" applyFont="1" applyFill="1" applyBorder="1" applyAlignment="1">
      <alignment horizontal="right" vertical="center"/>
    </xf>
    <xf numFmtId="166" fontId="2" fillId="8" borderId="8" xfId="1" applyNumberFormat="1" applyFont="1" applyFill="1" applyBorder="1" applyAlignment="1">
      <alignment horizontal="center" vertical="center"/>
    </xf>
    <xf numFmtId="0" fontId="6" fillId="0" borderId="0" xfId="0" applyFont="1"/>
    <xf numFmtId="164" fontId="6" fillId="0" borderId="0" xfId="0" applyNumberFormat="1" applyFont="1"/>
    <xf numFmtId="166" fontId="6" fillId="0" borderId="0" xfId="1" applyNumberFormat="1" applyFont="1"/>
    <xf numFmtId="166" fontId="7" fillId="10" borderId="0" xfId="0" applyNumberFormat="1" applyFont="1" applyFill="1"/>
    <xf numFmtId="16" fontId="0" fillId="0" borderId="0" xfId="0" applyNumberFormat="1"/>
    <xf numFmtId="44" fontId="6" fillId="0" borderId="0" xfId="1" applyFont="1"/>
    <xf numFmtId="0" fontId="0" fillId="11" borderId="8" xfId="0" applyFill="1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11" borderId="23" xfId="0" applyFill="1" applyBorder="1" applyAlignment="1">
      <alignment horizontal="center"/>
    </xf>
    <xf numFmtId="164" fontId="0" fillId="4" borderId="24" xfId="1" applyNumberFormat="1" applyFont="1" applyFill="1" applyBorder="1"/>
    <xf numFmtId="164" fontId="0" fillId="0" borderId="24" xfId="1" applyNumberFormat="1" applyFont="1" applyFill="1" applyBorder="1"/>
    <xf numFmtId="164" fontId="0" fillId="0" borderId="12" xfId="1" applyNumberFormat="1" applyFont="1" applyBorder="1"/>
    <xf numFmtId="0" fontId="2" fillId="0" borderId="8" xfId="0" applyFont="1" applyBorder="1" applyAlignment="1">
      <alignment horizontal="center" vertical="center"/>
    </xf>
    <xf numFmtId="164" fontId="6" fillId="8" borderId="8" xfId="1" applyNumberFormat="1" applyFont="1" applyFill="1" applyBorder="1"/>
    <xf numFmtId="164" fontId="6" fillId="3" borderId="15" xfId="1" applyNumberFormat="1" applyFont="1" applyFill="1" applyBorder="1"/>
    <xf numFmtId="164" fontId="6" fillId="9" borderId="14" xfId="1" applyNumberFormat="1" applyFont="1" applyFill="1" applyBorder="1"/>
    <xf numFmtId="166" fontId="0" fillId="0" borderId="16" xfId="1" applyNumberFormat="1" applyFont="1" applyBorder="1" applyAlignment="1">
      <alignment horizontal="center"/>
    </xf>
    <xf numFmtId="164" fontId="6" fillId="12" borderId="15" xfId="1" applyNumberFormat="1" applyFont="1" applyFill="1" applyBorder="1"/>
    <xf numFmtId="0" fontId="0" fillId="0" borderId="25" xfId="0" applyBorder="1" applyAlignment="1">
      <alignment horizontal="center"/>
    </xf>
    <xf numFmtId="166" fontId="7" fillId="0" borderId="0" xfId="1" applyNumberFormat="1" applyFont="1"/>
    <xf numFmtId="0" fontId="2" fillId="0" borderId="0" xfId="0" applyFont="1"/>
    <xf numFmtId="0" fontId="10" fillId="0" borderId="0" xfId="0" applyFont="1" applyAlignment="1">
      <alignment horizontal="right"/>
    </xf>
    <xf numFmtId="166" fontId="7" fillId="9" borderId="0" xfId="1" applyNumberFormat="1" applyFont="1" applyFill="1"/>
    <xf numFmtId="0" fontId="2" fillId="9" borderId="23" xfId="0" applyFont="1" applyFill="1" applyBorder="1" applyAlignment="1">
      <alignment horizontal="center" vertical="center"/>
    </xf>
    <xf numFmtId="16" fontId="2" fillId="9" borderId="8" xfId="0" applyNumberFormat="1" applyFont="1" applyFill="1" applyBorder="1" applyAlignment="1">
      <alignment horizontal="center" vertical="center"/>
    </xf>
    <xf numFmtId="166" fontId="2" fillId="8" borderId="8" xfId="1" applyNumberFormat="1" applyFont="1" applyFill="1" applyBorder="1" applyAlignment="1">
      <alignment horizontal="right" vertical="center"/>
    </xf>
    <xf numFmtId="0" fontId="2" fillId="8" borderId="30" xfId="0" applyFont="1" applyFill="1" applyBorder="1" applyAlignment="1">
      <alignment horizontal="left" vertical="center"/>
    </xf>
    <xf numFmtId="0" fontId="2" fillId="7" borderId="23" xfId="0" applyFont="1" applyFill="1" applyBorder="1" applyAlignment="1">
      <alignment horizontal="center" vertical="center"/>
    </xf>
    <xf numFmtId="0" fontId="2" fillId="12" borderId="31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left" vertical="center"/>
    </xf>
    <xf numFmtId="16" fontId="2" fillId="12" borderId="9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7" borderId="8" xfId="0" applyFont="1" applyFill="1" applyBorder="1" applyAlignment="1">
      <alignment horizontal="center" vertical="center"/>
    </xf>
    <xf numFmtId="1" fontId="2" fillId="7" borderId="8" xfId="0" applyNumberFormat="1" applyFont="1" applyFill="1" applyBorder="1" applyAlignment="1">
      <alignment horizontal="center" vertical="center"/>
    </xf>
    <xf numFmtId="1" fontId="2" fillId="12" borderId="9" xfId="0" applyNumberFormat="1" applyFont="1" applyFill="1" applyBorder="1" applyAlignment="1">
      <alignment horizontal="center" vertical="center"/>
    </xf>
    <xf numFmtId="1" fontId="2" fillId="13" borderId="8" xfId="0" applyNumberFormat="1" applyFont="1" applyFill="1" applyBorder="1" applyAlignment="1">
      <alignment horizontal="center" vertical="center"/>
    </xf>
    <xf numFmtId="165" fontId="2" fillId="9" borderId="8" xfId="0" applyNumberFormat="1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left" vertical="center"/>
    </xf>
    <xf numFmtId="164" fontId="2" fillId="9" borderId="15" xfId="1" applyNumberFormat="1" applyFont="1" applyFill="1" applyBorder="1" applyAlignment="1">
      <alignment horizontal="right" vertical="center"/>
    </xf>
    <xf numFmtId="164" fontId="2" fillId="8" borderId="15" xfId="1" applyNumberFormat="1" applyFont="1" applyFill="1" applyBorder="1" applyAlignment="1">
      <alignment horizontal="right" vertical="center"/>
    </xf>
    <xf numFmtId="166" fontId="2" fillId="12" borderId="22" xfId="1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164" fontId="2" fillId="4" borderId="0" xfId="1" applyNumberFormat="1" applyFont="1" applyFill="1" applyBorder="1" applyAlignment="1">
      <alignment horizontal="right" vertical="center"/>
    </xf>
    <xf numFmtId="166" fontId="2" fillId="4" borderId="0" xfId="1" applyNumberFormat="1" applyFont="1" applyFill="1" applyBorder="1" applyAlignment="1">
      <alignment horizontal="center" vertical="center"/>
    </xf>
    <xf numFmtId="0" fontId="0" fillId="4" borderId="0" xfId="0" applyFill="1"/>
    <xf numFmtId="164" fontId="0" fillId="4" borderId="8" xfId="1" applyNumberFormat="1" applyFont="1" applyFill="1" applyBorder="1"/>
    <xf numFmtId="0" fontId="0" fillId="4" borderId="9" xfId="0" applyFill="1" applyBorder="1"/>
    <xf numFmtId="0" fontId="2" fillId="0" borderId="8" xfId="0" applyFont="1" applyBorder="1" applyAlignment="1">
      <alignment horizontal="left" vertical="center"/>
    </xf>
    <xf numFmtId="164" fontId="0" fillId="0" borderId="32" xfId="1" applyNumberFormat="1" applyFont="1" applyBorder="1"/>
    <xf numFmtId="0" fontId="0" fillId="4" borderId="33" xfId="0" applyFill="1" applyBorder="1"/>
    <xf numFmtId="0" fontId="6" fillId="0" borderId="7" xfId="0" applyFont="1" applyBorder="1"/>
    <xf numFmtId="164" fontId="6" fillId="5" borderId="8" xfId="1" applyNumberFormat="1" applyFont="1" applyFill="1" applyBorder="1"/>
    <xf numFmtId="164" fontId="6" fillId="14" borderId="8" xfId="1" applyNumberFormat="1" applyFont="1" applyFill="1" applyBorder="1"/>
    <xf numFmtId="0" fontId="2" fillId="12" borderId="23" xfId="0" applyFont="1" applyFill="1" applyBorder="1" applyAlignment="1">
      <alignment horizontal="center" vertical="center"/>
    </xf>
    <xf numFmtId="16" fontId="2" fillId="12" borderId="8" xfId="0" applyNumberFormat="1" applyFont="1" applyFill="1" applyBorder="1" applyAlignment="1">
      <alignment horizontal="center" vertical="center"/>
    </xf>
    <xf numFmtId="1" fontId="2" fillId="12" borderId="8" xfId="0" applyNumberFormat="1" applyFont="1" applyFill="1" applyBorder="1" applyAlignment="1">
      <alignment horizontal="center" vertical="center"/>
    </xf>
    <xf numFmtId="0" fontId="0" fillId="0" borderId="9" xfId="0" applyBorder="1"/>
    <xf numFmtId="164" fontId="0" fillId="0" borderId="14" xfId="1" applyNumberFormat="1" applyFont="1" applyBorder="1"/>
    <xf numFmtId="0" fontId="0" fillId="0" borderId="12" xfId="0" applyBorder="1"/>
    <xf numFmtId="164" fontId="6" fillId="5" borderId="11" xfId="1" applyNumberFormat="1" applyFont="1" applyFill="1" applyBorder="1"/>
    <xf numFmtId="0" fontId="0" fillId="0" borderId="38" xfId="0" applyBorder="1"/>
    <xf numFmtId="0" fontId="0" fillId="0" borderId="39" xfId="0" applyBorder="1"/>
    <xf numFmtId="164" fontId="6" fillId="14" borderId="11" xfId="1" applyNumberFormat="1" applyFont="1" applyFill="1" applyBorder="1"/>
    <xf numFmtId="0" fontId="0" fillId="0" borderId="40" xfId="0" applyBorder="1"/>
    <xf numFmtId="0" fontId="0" fillId="0" borderId="35" xfId="0" applyBorder="1"/>
    <xf numFmtId="164" fontId="6" fillId="12" borderId="20" xfId="1" applyNumberFormat="1" applyFont="1" applyFill="1" applyBorder="1"/>
    <xf numFmtId="0" fontId="0" fillId="0" borderId="41" xfId="0" applyBorder="1"/>
    <xf numFmtId="0" fontId="0" fillId="0" borderId="37" xfId="0" applyBorder="1"/>
    <xf numFmtId="0" fontId="0" fillId="15" borderId="8" xfId="0" applyFill="1" applyBorder="1" applyAlignment="1">
      <alignment horizontal="center"/>
    </xf>
    <xf numFmtId="164" fontId="6" fillId="9" borderId="8" xfId="1" applyNumberFormat="1" applyFont="1" applyFill="1" applyBorder="1"/>
    <xf numFmtId="164" fontId="6" fillId="16" borderId="8" xfId="1" applyNumberFormat="1" applyFont="1" applyFill="1" applyBorder="1"/>
    <xf numFmtId="164" fontId="6" fillId="17" borderId="8" xfId="1" applyNumberFormat="1" applyFont="1" applyFill="1" applyBorder="1"/>
    <xf numFmtId="166" fontId="0" fillId="0" borderId="0" xfId="1" applyNumberFormat="1" applyFont="1"/>
    <xf numFmtId="0" fontId="2" fillId="8" borderId="8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/>
    </xf>
    <xf numFmtId="0" fontId="2" fillId="8" borderId="8" xfId="0" applyFont="1" applyFill="1" applyBorder="1" applyAlignment="1">
      <alignment vertical="center"/>
    </xf>
    <xf numFmtId="166" fontId="2" fillId="8" borderId="8" xfId="1" applyNumberFormat="1" applyFont="1" applyFill="1" applyBorder="1" applyAlignment="1">
      <alignment vertical="center"/>
    </xf>
    <xf numFmtId="0" fontId="0" fillId="7" borderId="0" xfId="0" applyFill="1"/>
    <xf numFmtId="0" fontId="0" fillId="7" borderId="8" xfId="0" applyFill="1" applyBorder="1" applyAlignment="1">
      <alignment horizontal="center"/>
    </xf>
    <xf numFmtId="164" fontId="6" fillId="14" borderId="14" xfId="1" applyNumberFormat="1" applyFont="1" applyFill="1" applyBorder="1"/>
    <xf numFmtId="166" fontId="13" fillId="0" borderId="0" xfId="1" applyNumberFormat="1" applyFont="1"/>
    <xf numFmtId="0" fontId="2" fillId="3" borderId="0" xfId="0" applyFont="1" applyFill="1"/>
    <xf numFmtId="166" fontId="7" fillId="3" borderId="0" xfId="0" applyNumberFormat="1" applyFont="1" applyFill="1"/>
    <xf numFmtId="165" fontId="2" fillId="8" borderId="8" xfId="1" applyNumberFormat="1" applyFont="1" applyFill="1" applyBorder="1" applyAlignment="1">
      <alignment horizontal="center" vertical="center"/>
    </xf>
    <xf numFmtId="0" fontId="0" fillId="3" borderId="0" xfId="0" applyFill="1"/>
    <xf numFmtId="0" fontId="0" fillId="3" borderId="23" xfId="0" applyFill="1" applyBorder="1" applyAlignment="1">
      <alignment horizontal="center"/>
    </xf>
    <xf numFmtId="0" fontId="0" fillId="3" borderId="45" xfId="0" applyFill="1" applyBorder="1" applyAlignment="1">
      <alignment horizontal="center"/>
    </xf>
    <xf numFmtId="0" fontId="2" fillId="9" borderId="31" xfId="0" applyFont="1" applyFill="1" applyBorder="1" applyAlignment="1">
      <alignment horizontal="center" vertical="center"/>
    </xf>
    <xf numFmtId="16" fontId="2" fillId="9" borderId="9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1" fontId="2" fillId="9" borderId="9" xfId="0" applyNumberFormat="1" applyFont="1" applyFill="1" applyBorder="1" applyAlignment="1">
      <alignment horizontal="center" vertical="center"/>
    </xf>
    <xf numFmtId="1" fontId="2" fillId="8" borderId="9" xfId="0" applyNumberFormat="1" applyFont="1" applyFill="1" applyBorder="1" applyAlignment="1">
      <alignment horizontal="center" vertical="center"/>
    </xf>
    <xf numFmtId="166" fontId="2" fillId="8" borderId="15" xfId="1" applyNumberFormat="1" applyFont="1" applyFill="1" applyBorder="1" applyAlignment="1">
      <alignment horizontal="right" vertical="center"/>
    </xf>
    <xf numFmtId="166" fontId="2" fillId="8" borderId="22" xfId="1" applyNumberFormat="1" applyFont="1" applyFill="1" applyBorder="1" applyAlignment="1">
      <alignment horizontal="center" vertical="center"/>
    </xf>
    <xf numFmtId="0" fontId="10" fillId="0" borderId="0" xfId="0" applyFont="1"/>
    <xf numFmtId="0" fontId="7" fillId="11" borderId="0" xfId="0" applyFont="1" applyFill="1"/>
    <xf numFmtId="166" fontId="7" fillId="8" borderId="0" xfId="0" applyNumberFormat="1" applyFont="1" applyFill="1"/>
    <xf numFmtId="166" fontId="0" fillId="0" borderId="0" xfId="0" applyNumberFormat="1"/>
    <xf numFmtId="0" fontId="2" fillId="18" borderId="2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" fontId="2" fillId="19" borderId="8" xfId="0" applyNumberFormat="1" applyFont="1" applyFill="1" applyBorder="1" applyAlignment="1">
      <alignment horizontal="center" vertical="center"/>
    </xf>
    <xf numFmtId="1" fontId="2" fillId="18" borderId="8" xfId="0" applyNumberFormat="1" applyFont="1" applyFill="1" applyBorder="1" applyAlignment="1">
      <alignment horizontal="center" vertical="center"/>
    </xf>
    <xf numFmtId="1" fontId="2" fillId="20" borderId="8" xfId="0" applyNumberFormat="1" applyFont="1" applyFill="1" applyBorder="1" applyAlignment="1">
      <alignment horizontal="center" vertical="center"/>
    </xf>
    <xf numFmtId="1" fontId="2" fillId="11" borderId="8" xfId="0" applyNumberFormat="1" applyFont="1" applyFill="1" applyBorder="1" applyAlignment="1">
      <alignment horizontal="center" vertical="center"/>
    </xf>
    <xf numFmtId="1" fontId="2" fillId="16" borderId="8" xfId="0" applyNumberFormat="1" applyFont="1" applyFill="1" applyBorder="1" applyAlignment="1">
      <alignment horizontal="center" vertical="center"/>
    </xf>
    <xf numFmtId="1" fontId="2" fillId="21" borderId="8" xfId="0" applyNumberFormat="1" applyFont="1" applyFill="1" applyBorder="1" applyAlignment="1">
      <alignment horizontal="center" vertical="center"/>
    </xf>
    <xf numFmtId="1" fontId="14" fillId="19" borderId="8" xfId="0" applyNumberFormat="1" applyFont="1" applyFill="1" applyBorder="1" applyAlignment="1">
      <alignment horizontal="center" vertical="center"/>
    </xf>
    <xf numFmtId="1" fontId="14" fillId="21" borderId="8" xfId="0" applyNumberFormat="1" applyFont="1" applyFill="1" applyBorder="1" applyAlignment="1">
      <alignment horizontal="center" vertical="center"/>
    </xf>
    <xf numFmtId="164" fontId="2" fillId="9" borderId="8" xfId="1" applyNumberFormat="1" applyFont="1" applyFill="1" applyBorder="1" applyAlignment="1">
      <alignment horizontal="right" vertical="center"/>
    </xf>
    <xf numFmtId="164" fontId="7" fillId="22" borderId="8" xfId="0" applyNumberFormat="1" applyFont="1" applyFill="1" applyBorder="1"/>
    <xf numFmtId="16" fontId="2" fillId="7" borderId="8" xfId="0" applyNumberFormat="1" applyFont="1" applyFill="1" applyBorder="1" applyAlignment="1">
      <alignment horizontal="center" vertical="center"/>
    </xf>
    <xf numFmtId="0" fontId="0" fillId="0" borderId="8" xfId="0" applyBorder="1"/>
    <xf numFmtId="17" fontId="0" fillId="0" borderId="8" xfId="0" applyNumberFormat="1" applyBorder="1"/>
    <xf numFmtId="164" fontId="0" fillId="0" borderId="8" xfId="1" applyNumberFormat="1" applyFont="1" applyFill="1" applyBorder="1"/>
    <xf numFmtId="164" fontId="7" fillId="9" borderId="8" xfId="0" applyNumberFormat="1" applyFont="1" applyFill="1" applyBorder="1"/>
    <xf numFmtId="1" fontId="2" fillId="23" borderId="8" xfId="0" applyNumberFormat="1" applyFont="1" applyFill="1" applyBorder="1" applyAlignment="1">
      <alignment horizontal="center" vertical="center"/>
    </xf>
    <xf numFmtId="16" fontId="6" fillId="0" borderId="0" xfId="0" applyNumberFormat="1" applyFont="1"/>
    <xf numFmtId="167" fontId="2" fillId="8" borderId="8" xfId="0" applyNumberFormat="1" applyFont="1" applyFill="1" applyBorder="1" applyAlignment="1">
      <alignment horizontal="center" vertical="center"/>
    </xf>
    <xf numFmtId="0" fontId="15" fillId="0" borderId="7" xfId="0" applyFont="1" applyBorder="1"/>
    <xf numFmtId="0" fontId="15" fillId="0" borderId="8" xfId="0" applyFont="1" applyBorder="1" applyAlignment="1">
      <alignment horizontal="center"/>
    </xf>
    <xf numFmtId="0" fontId="15" fillId="9" borderId="8" xfId="0" applyFont="1" applyFill="1" applyBorder="1" applyAlignment="1">
      <alignment horizontal="center"/>
    </xf>
    <xf numFmtId="164" fontId="15" fillId="4" borderId="8" xfId="1" applyNumberFormat="1" applyFont="1" applyFill="1" applyBorder="1"/>
    <xf numFmtId="164" fontId="15" fillId="0" borderId="8" xfId="1" applyNumberFormat="1" applyFont="1" applyBorder="1"/>
    <xf numFmtId="0" fontId="0" fillId="0" borderId="47" xfId="0" applyBorder="1" applyAlignment="1">
      <alignment horizontal="center"/>
    </xf>
    <xf numFmtId="0" fontId="2" fillId="8" borderId="9" xfId="0" applyFont="1" applyFill="1" applyBorder="1" applyAlignment="1">
      <alignment horizontal="center" vertical="center"/>
    </xf>
    <xf numFmtId="16" fontId="2" fillId="8" borderId="9" xfId="0" applyNumberFormat="1" applyFont="1" applyFill="1" applyBorder="1" applyAlignment="1">
      <alignment horizontal="center" vertical="center"/>
    </xf>
    <xf numFmtId="0" fontId="2" fillId="8" borderId="7" xfId="0" applyFont="1" applyFill="1" applyBorder="1" applyAlignment="1">
      <alignment vertical="center"/>
    </xf>
    <xf numFmtId="0" fontId="2" fillId="8" borderId="19" xfId="0" applyFont="1" applyFill="1" applyBorder="1" applyAlignment="1">
      <alignment vertical="center"/>
    </xf>
    <xf numFmtId="166" fontId="2" fillId="8" borderId="15" xfId="1" applyNumberFormat="1" applyFont="1" applyFill="1" applyBorder="1" applyAlignment="1">
      <alignment vertical="center"/>
    </xf>
    <xf numFmtId="165" fontId="2" fillId="8" borderId="15" xfId="0" applyNumberFormat="1" applyFont="1" applyFill="1" applyBorder="1" applyAlignment="1">
      <alignment horizontal="center" vertical="center"/>
    </xf>
    <xf numFmtId="164" fontId="17" fillId="0" borderId="0" xfId="0" applyNumberFormat="1" applyFont="1"/>
    <xf numFmtId="1" fontId="2" fillId="22" borderId="8" xfId="0" applyNumberFormat="1" applyFont="1" applyFill="1" applyBorder="1" applyAlignment="1">
      <alignment horizontal="center" vertical="center"/>
    </xf>
    <xf numFmtId="164" fontId="7" fillId="18" borderId="8" xfId="0" applyNumberFormat="1" applyFont="1" applyFill="1" applyBorder="1"/>
    <xf numFmtId="164" fontId="6" fillId="12" borderId="8" xfId="1" applyNumberFormat="1" applyFont="1" applyFill="1" applyBorder="1"/>
    <xf numFmtId="0" fontId="0" fillId="4" borderId="8" xfId="0" applyFill="1" applyBorder="1"/>
    <xf numFmtId="17" fontId="6" fillId="0" borderId="0" xfId="0" applyNumberFormat="1" applyFont="1"/>
    <xf numFmtId="0" fontId="0" fillId="3" borderId="11" xfId="0" applyFill="1" applyBorder="1" applyAlignment="1">
      <alignment horizontal="center"/>
    </xf>
    <xf numFmtId="164" fontId="2" fillId="24" borderId="0" xfId="1" applyNumberFormat="1" applyFont="1" applyFill="1" applyBorder="1" applyAlignment="1">
      <alignment horizontal="right" vertical="center"/>
    </xf>
    <xf numFmtId="166" fontId="2" fillId="24" borderId="0" xfId="1" applyNumberFormat="1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left" vertical="center"/>
    </xf>
    <xf numFmtId="164" fontId="2" fillId="8" borderId="14" xfId="1" applyNumberFormat="1" applyFont="1" applyFill="1" applyBorder="1" applyAlignment="1">
      <alignment horizontal="right" vertical="center"/>
    </xf>
    <xf numFmtId="164" fontId="2" fillId="3" borderId="14" xfId="1" applyNumberFormat="1" applyFont="1" applyFill="1" applyBorder="1" applyAlignment="1">
      <alignment horizontal="right" vertical="center"/>
    </xf>
    <xf numFmtId="166" fontId="2" fillId="8" borderId="14" xfId="1" applyNumberFormat="1" applyFont="1" applyFill="1" applyBorder="1" applyAlignment="1">
      <alignment horizontal="center" vertical="center"/>
    </xf>
    <xf numFmtId="0" fontId="2" fillId="24" borderId="0" xfId="0" applyFont="1" applyFill="1" applyAlignment="1">
      <alignment horizontal="left" vertical="center"/>
    </xf>
    <xf numFmtId="16" fontId="2" fillId="3" borderId="8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9" borderId="8" xfId="0" applyFill="1" applyBorder="1" applyAlignment="1">
      <alignment horizontal="center"/>
    </xf>
    <xf numFmtId="0" fontId="0" fillId="5" borderId="0" xfId="0" applyFill="1"/>
    <xf numFmtId="166" fontId="0" fillId="5" borderId="0" xfId="1" applyNumberFormat="1" applyFont="1" applyFill="1"/>
    <xf numFmtId="166" fontId="0" fillId="5" borderId="0" xfId="0" applyNumberFormat="1" applyFill="1"/>
    <xf numFmtId="0" fontId="0" fillId="6" borderId="0" xfId="0" applyFill="1"/>
    <xf numFmtId="164" fontId="0" fillId="6" borderId="0" xfId="0" applyNumberFormat="1" applyFill="1"/>
    <xf numFmtId="0" fontId="2" fillId="9" borderId="9" xfId="0" applyFont="1" applyFill="1" applyBorder="1" applyAlignment="1">
      <alignment horizontal="center" vertical="center"/>
    </xf>
    <xf numFmtId="16" fontId="2" fillId="8" borderId="11" xfId="0" applyNumberFormat="1" applyFont="1" applyFill="1" applyBorder="1" applyAlignment="1">
      <alignment horizontal="center" vertical="center"/>
    </xf>
    <xf numFmtId="167" fontId="2" fillId="8" borderId="11" xfId="0" applyNumberFormat="1" applyFont="1" applyFill="1" applyBorder="1" applyAlignment="1">
      <alignment horizontal="center" vertical="center"/>
    </xf>
    <xf numFmtId="166" fontId="2" fillId="9" borderId="15" xfId="1" applyNumberFormat="1" applyFont="1" applyFill="1" applyBorder="1" applyAlignment="1">
      <alignment vertical="center"/>
    </xf>
    <xf numFmtId="166" fontId="2" fillId="8" borderId="32" xfId="1" applyNumberFormat="1" applyFont="1" applyFill="1" applyBorder="1" applyAlignment="1">
      <alignment vertical="center"/>
    </xf>
    <xf numFmtId="166" fontId="2" fillId="8" borderId="12" xfId="1" applyNumberFormat="1" applyFont="1" applyFill="1" applyBorder="1" applyAlignment="1">
      <alignment horizontal="center" vertical="center"/>
    </xf>
    <xf numFmtId="0" fontId="0" fillId="9" borderId="0" xfId="0" applyFill="1"/>
    <xf numFmtId="0" fontId="18" fillId="0" borderId="8" xfId="0" applyFont="1" applyBorder="1" applyAlignment="1">
      <alignment horizontal="center"/>
    </xf>
    <xf numFmtId="0" fontId="19" fillId="0" borderId="22" xfId="0" applyFont="1" applyBorder="1"/>
    <xf numFmtId="17" fontId="19" fillId="0" borderId="9" xfId="0" applyNumberFormat="1" applyFont="1" applyBorder="1" applyAlignment="1">
      <alignment horizontal="left"/>
    </xf>
    <xf numFmtId="17" fontId="19" fillId="0" borderId="9" xfId="0" applyNumberFormat="1" applyFont="1" applyBorder="1"/>
    <xf numFmtId="0" fontId="19" fillId="0" borderId="9" xfId="0" applyFont="1" applyBorder="1"/>
    <xf numFmtId="17" fontId="19" fillId="3" borderId="9" xfId="0" applyNumberFormat="1" applyFont="1" applyFill="1" applyBorder="1"/>
    <xf numFmtId="0" fontId="2" fillId="16" borderId="1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" fontId="2" fillId="16" borderId="11" xfId="0" applyNumberFormat="1" applyFont="1" applyFill="1" applyBorder="1" applyAlignment="1">
      <alignment horizontal="center" vertical="center"/>
    </xf>
    <xf numFmtId="16" fontId="2" fillId="3" borderId="11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9" borderId="8" xfId="0" applyFill="1" applyBorder="1"/>
    <xf numFmtId="0" fontId="0" fillId="9" borderId="50" xfId="0" applyFill="1" applyBorder="1"/>
    <xf numFmtId="167" fontId="2" fillId="16" borderId="11" xfId="0" applyNumberFormat="1" applyFont="1" applyFill="1" applyBorder="1" applyAlignment="1">
      <alignment horizontal="center" vertical="center"/>
    </xf>
    <xf numFmtId="167" fontId="2" fillId="3" borderId="11" xfId="0" applyNumberFormat="1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166" fontId="2" fillId="16" borderId="15" xfId="1" applyNumberFormat="1" applyFont="1" applyFill="1" applyBorder="1" applyAlignment="1">
      <alignment vertical="center"/>
    </xf>
    <xf numFmtId="166" fontId="2" fillId="3" borderId="15" xfId="1" applyNumberFormat="1" applyFont="1" applyFill="1" applyBorder="1" applyAlignment="1">
      <alignment vertical="center"/>
    </xf>
    <xf numFmtId="166" fontId="2" fillId="3" borderId="32" xfId="1" applyNumberFormat="1" applyFont="1" applyFill="1" applyBorder="1" applyAlignment="1">
      <alignment vertical="center"/>
    </xf>
    <xf numFmtId="166" fontId="2" fillId="16" borderId="32" xfId="1" applyNumberFormat="1" applyFont="1" applyFill="1" applyBorder="1" applyAlignment="1">
      <alignment vertical="center"/>
    </xf>
    <xf numFmtId="0" fontId="0" fillId="16" borderId="0" xfId="0" applyFill="1"/>
    <xf numFmtId="0" fontId="19" fillId="16" borderId="0" xfId="0" applyFont="1" applyFill="1"/>
    <xf numFmtId="0" fontId="0" fillId="8" borderId="0" xfId="0" applyFill="1"/>
    <xf numFmtId="0" fontId="0" fillId="0" borderId="54" xfId="0" applyBorder="1"/>
    <xf numFmtId="0" fontId="0" fillId="9" borderId="48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164" fontId="0" fillId="4" borderId="55" xfId="1" applyNumberFormat="1" applyFont="1" applyFill="1" applyBorder="1"/>
    <xf numFmtId="164" fontId="0" fillId="0" borderId="48" xfId="1" applyNumberFormat="1" applyFont="1" applyBorder="1"/>
    <xf numFmtId="164" fontId="2" fillId="0" borderId="0" xfId="1" applyNumberFormat="1" applyFont="1" applyFill="1" applyBorder="1" applyAlignment="1">
      <alignment horizontal="right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10" fillId="25" borderId="0" xfId="0" applyFont="1" applyFill="1"/>
    <xf numFmtId="164" fontId="10" fillId="25" borderId="0" xfId="0" applyNumberFormat="1" applyFont="1" applyFill="1"/>
    <xf numFmtId="0" fontId="2" fillId="7" borderId="8" xfId="0" applyFont="1" applyFill="1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2" fillId="17" borderId="8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166" fontId="1" fillId="0" borderId="8" xfId="1" applyNumberFormat="1" applyFont="1" applyBorder="1" applyAlignment="1">
      <alignment horizontal="center"/>
    </xf>
    <xf numFmtId="0" fontId="0" fillId="17" borderId="8" xfId="0" applyFill="1" applyBorder="1" applyAlignment="1">
      <alignment horizontal="center"/>
    </xf>
    <xf numFmtId="164" fontId="6" fillId="14" borderId="15" xfId="1" applyNumberFormat="1" applyFont="1" applyFill="1" applyBorder="1"/>
    <xf numFmtId="14" fontId="5" fillId="3" borderId="7" xfId="0" applyNumberFormat="1" applyFont="1" applyFill="1" applyBorder="1" applyAlignment="1">
      <alignment horizontal="center" vertical="center" wrapText="1"/>
    </xf>
    <xf numFmtId="14" fontId="5" fillId="3" borderId="8" xfId="0" applyNumberFormat="1" applyFont="1" applyFill="1" applyBorder="1" applyAlignment="1">
      <alignment horizontal="center" vertical="center" wrapText="1"/>
    </xf>
    <xf numFmtId="14" fontId="5" fillId="3" borderId="19" xfId="0" applyNumberFormat="1" applyFont="1" applyFill="1" applyBorder="1" applyAlignment="1">
      <alignment horizontal="center" vertical="center" wrapText="1"/>
    </xf>
    <xf numFmtId="14" fontId="5" fillId="3" borderId="15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3" fillId="2" borderId="27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4" fontId="5" fillId="3" borderId="13" xfId="0" applyNumberFormat="1" applyFont="1" applyFill="1" applyBorder="1" applyAlignment="1">
      <alignment horizontal="center" vertical="center" wrapText="1"/>
    </xf>
    <xf numFmtId="14" fontId="5" fillId="3" borderId="14" xfId="0" applyNumberFormat="1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16" fontId="7" fillId="7" borderId="4" xfId="0" applyNumberFormat="1" applyFont="1" applyFill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4" fillId="2" borderId="10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7" fillId="7" borderId="27" xfId="0" applyFont="1" applyFill="1" applyBorder="1" applyAlignment="1">
      <alignment horizontal="center"/>
    </xf>
    <xf numFmtId="0" fontId="7" fillId="7" borderId="28" xfId="0" applyFont="1" applyFill="1" applyBorder="1" applyAlignment="1">
      <alignment horizontal="center"/>
    </xf>
    <xf numFmtId="0" fontId="7" fillId="7" borderId="29" xfId="0" applyFont="1" applyFill="1" applyBorder="1" applyAlignment="1">
      <alignment horizontal="center"/>
    </xf>
    <xf numFmtId="0" fontId="7" fillId="7" borderId="7" xfId="0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/>
    </xf>
    <xf numFmtId="0" fontId="7" fillId="7" borderId="9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7" fillId="7" borderId="11" xfId="0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 vertical="center"/>
    </xf>
    <xf numFmtId="0" fontId="2" fillId="8" borderId="23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 wrapText="1"/>
    </xf>
    <xf numFmtId="14" fontId="11" fillId="3" borderId="8" xfId="0" applyNumberFormat="1" applyFont="1" applyFill="1" applyBorder="1" applyAlignment="1">
      <alignment horizontal="center" vertical="center" wrapText="1"/>
    </xf>
    <xf numFmtId="14" fontId="11" fillId="3" borderId="19" xfId="0" applyNumberFormat="1" applyFont="1" applyFill="1" applyBorder="1" applyAlignment="1">
      <alignment horizontal="center" vertical="center" wrapText="1"/>
    </xf>
    <xf numFmtId="14" fontId="11" fillId="3" borderId="15" xfId="0" applyNumberFormat="1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12" fillId="0" borderId="11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6" fillId="2" borderId="42" xfId="0" applyFont="1" applyFill="1" applyBorder="1" applyAlignment="1">
      <alignment horizontal="center"/>
    </xf>
    <xf numFmtId="0" fontId="6" fillId="2" borderId="43" xfId="0" applyFont="1" applyFill="1" applyBorder="1" applyAlignment="1">
      <alignment horizontal="center"/>
    </xf>
    <xf numFmtId="0" fontId="6" fillId="2" borderId="4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3" borderId="0" xfId="0" applyFont="1" applyFill="1" applyAlignment="1">
      <alignment horizontal="center"/>
    </xf>
    <xf numFmtId="0" fontId="7" fillId="7" borderId="1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7" fillId="0" borderId="0" xfId="0" applyFont="1"/>
    <xf numFmtId="14" fontId="16" fillId="3" borderId="19" xfId="0" applyNumberFormat="1" applyFont="1" applyFill="1" applyBorder="1" applyAlignment="1">
      <alignment horizontal="center" vertical="center" wrapText="1"/>
    </xf>
    <xf numFmtId="14" fontId="16" fillId="3" borderId="15" xfId="0" applyNumberFormat="1" applyFont="1" applyFill="1" applyBorder="1" applyAlignment="1">
      <alignment horizontal="center" vertical="center" wrapText="1"/>
    </xf>
    <xf numFmtId="164" fontId="6" fillId="3" borderId="20" xfId="1" applyNumberFormat="1" applyFont="1" applyFill="1" applyBorder="1" applyAlignment="1">
      <alignment horizontal="center"/>
    </xf>
    <xf numFmtId="164" fontId="6" fillId="3" borderId="46" xfId="1" applyNumberFormat="1" applyFont="1" applyFill="1" applyBorder="1" applyAlignment="1">
      <alignment horizontal="center"/>
    </xf>
    <xf numFmtId="0" fontId="2" fillId="8" borderId="13" xfId="0" applyFont="1" applyFill="1" applyBorder="1" applyAlignment="1">
      <alignment horizontal="center" vertical="center"/>
    </xf>
    <xf numFmtId="0" fontId="2" fillId="8" borderId="30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/>
    </xf>
    <xf numFmtId="0" fontId="3" fillId="2" borderId="51" xfId="0" applyFont="1" applyFill="1" applyBorder="1" applyAlignment="1">
      <alignment horizontal="center"/>
    </xf>
    <xf numFmtId="0" fontId="3" fillId="2" borderId="52" xfId="0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31" xfId="0" applyBorder="1" applyAlignment="1">
      <alignment horizontal="center"/>
    </xf>
    <xf numFmtId="14" fontId="20" fillId="3" borderId="53" xfId="0" applyNumberFormat="1" applyFont="1" applyFill="1" applyBorder="1" applyAlignment="1">
      <alignment horizontal="center" vertical="center" wrapText="1"/>
    </xf>
    <xf numFmtId="14" fontId="20" fillId="3" borderId="21" xfId="0" applyNumberFormat="1" applyFont="1" applyFill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9" borderId="8" xfId="0" applyFill="1" applyBorder="1" applyAlignment="1">
      <alignment horizontal="center"/>
    </xf>
    <xf numFmtId="20" fontId="2" fillId="9" borderId="8" xfId="0" applyNumberFormat="1" applyFont="1" applyFill="1" applyBorder="1" applyAlignment="1">
      <alignment horizontal="center" vertical="center"/>
    </xf>
    <xf numFmtId="166" fontId="2" fillId="9" borderId="8" xfId="2" applyNumberFormat="1" applyFont="1" applyFill="1" applyBorder="1" applyAlignment="1">
      <alignment vertical="center"/>
    </xf>
    <xf numFmtId="166" fontId="2" fillId="8" borderId="8" xfId="2" applyNumberFormat="1" applyFont="1" applyFill="1" applyBorder="1" applyAlignment="1">
      <alignment vertical="center"/>
    </xf>
    <xf numFmtId="166" fontId="2" fillId="8" borderId="8" xfId="2" applyNumberFormat="1" applyFont="1" applyFill="1" applyBorder="1" applyAlignment="1">
      <alignment horizontal="center" vertic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21" fillId="2" borderId="7" xfId="3" applyFill="1" applyBorder="1" applyAlignment="1">
      <alignment horizontal="center"/>
    </xf>
    <xf numFmtId="0" fontId="21" fillId="2" borderId="8" xfId="3" applyFill="1" applyBorder="1" applyAlignment="1">
      <alignment horizontal="center"/>
    </xf>
    <xf numFmtId="0" fontId="21" fillId="2" borderId="9" xfId="3" applyFill="1" applyBorder="1" applyAlignment="1">
      <alignment horizontal="center"/>
    </xf>
    <xf numFmtId="14" fontId="22" fillId="3" borderId="19" xfId="0" applyNumberFormat="1" applyFont="1" applyFill="1" applyBorder="1" applyAlignment="1">
      <alignment horizontal="center" vertical="center" wrapText="1"/>
    </xf>
    <xf numFmtId="14" fontId="22" fillId="3" borderId="15" xfId="0" applyNumberFormat="1" applyFont="1" applyFill="1" applyBorder="1" applyAlignment="1">
      <alignment horizontal="center" vertical="center" wrapText="1"/>
    </xf>
    <xf numFmtId="164" fontId="23" fillId="26" borderId="15" xfId="1" applyNumberFormat="1" applyFont="1" applyFill="1" applyBorder="1"/>
  </cellXfs>
  <cellStyles count="4">
    <cellStyle name="Hipervínculo" xfId="3" builtinId="8"/>
    <cellStyle name="Moneda" xfId="1" builtinId="4"/>
    <cellStyle name="Moneda 2" xfId="2" xr:uid="{CE605204-4B20-4A51-8D42-52DF3E0AB48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immy Jaimes" id="{AFC8EA1A-6112-4635-90F0-53041C0CDC62}" userId="40a73f4e8d4104c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6-06-17T17:41:07.09" personId="{AFC8EA1A-6112-4635-90F0-53041C0CDC62}" id="{E109A97B-1E54-43B4-AD2F-46E1022150EC}">
    <text>6 CG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10" dT="2026-06-27T12:45:57.53" personId="{AFC8EA1A-6112-4635-90F0-53041C0CDC62}" id="{624AA8AC-5B60-463A-96DA-B36C4BEA174D}">
    <text>1 polimys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4" dT="2026-07-08T22:27:35.08" personId="{AFC8EA1A-6112-4635-90F0-53041C0CDC62}" id="{A00C6D1B-C5D9-47BF-8372-69C9C207B1B8}">
    <text>POLIMYS</text>
  </threadedComment>
  <threadedComment ref="F14" dT="2026-07-08T22:27:49.26" personId="{AFC8EA1A-6112-4635-90F0-53041C0CDC62}" id="{D0553BB1-AEEB-43CD-8F95-546B6940DFAA}">
    <text>POLIMYS</text>
  </threadedComment>
  <threadedComment ref="F18" dT="2026-07-08T22:28:23.56" personId="{AFC8EA1A-6112-4635-90F0-53041C0CDC62}" id="{E805F362-E082-4EC2-A97D-338B66D58467}">
    <text>POLIMYS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Q10" dT="2026-07-10T20:39:09.43" personId="{AFC8EA1A-6112-4635-90F0-53041C0CDC62}" id="{BEB079F2-9CD1-4F37-AEC7-4DEA29F46BF5}">
    <text>CORTE AL 17 JUNIO</text>
  </threadedComment>
  <threadedComment ref="N11" dT="2026-07-11T16:59:17.97" personId="{AFC8EA1A-6112-4635-90F0-53041C0CDC62}" id="{511D5391-E1A0-4E98-9B26-E36E8AD7D6FD}">
    <text>CORTE AL 6 DE JUNIO</text>
  </threadedComment>
  <threadedComment ref="Q11" dT="2026-07-10T20:39:46.31" personId="{AFC8EA1A-6112-4635-90F0-53041C0CDC62}" id="{891A487D-F2BC-423F-A0C1-942A6058226B}">
    <text>CORTE AL 9 DE JUNIO</text>
  </threadedComment>
  <threadedComment ref="N12" dT="2026-07-10T20:35:33.37" personId="{AFC8EA1A-6112-4635-90F0-53041C0CDC62}" id="{FEA6B631-71A1-49AD-9854-CA2884C334C8}">
    <text xml:space="preserve">CORTE AL 31 /05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tel:31423524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0"/>
  <sheetViews>
    <sheetView topLeftCell="A17" workbookViewId="0">
      <selection activeCell="E50" sqref="E50"/>
    </sheetView>
  </sheetViews>
  <sheetFormatPr baseColWidth="10" defaultColWidth="9.140625" defaultRowHeight="15" x14ac:dyDescent="0.25"/>
  <cols>
    <col min="1" max="1" width="21.7109375" bestFit="1" customWidth="1"/>
    <col min="4" max="4" width="13.28515625" customWidth="1"/>
    <col min="5" max="5" width="19.140625" customWidth="1"/>
    <col min="6" max="6" width="16.28515625" customWidth="1"/>
    <col min="7" max="7" width="10.42578125" bestFit="1" customWidth="1"/>
  </cols>
  <sheetData>
    <row r="1" spans="1:7" ht="18.75" x14ac:dyDescent="0.3">
      <c r="A1" s="254" t="s">
        <v>22</v>
      </c>
      <c r="B1" s="255"/>
      <c r="C1" s="255"/>
      <c r="D1" s="255"/>
      <c r="E1" s="255"/>
      <c r="F1" s="255"/>
      <c r="G1" s="256"/>
    </row>
    <row r="2" spans="1:7" ht="18.75" x14ac:dyDescent="0.3">
      <c r="A2" s="257" t="s">
        <v>2</v>
      </c>
      <c r="B2" s="258"/>
      <c r="C2" s="258"/>
      <c r="D2" s="258"/>
      <c r="E2" s="258"/>
      <c r="F2" s="258"/>
      <c r="G2" s="259"/>
    </row>
    <row r="3" spans="1:7" ht="18.75" x14ac:dyDescent="0.3">
      <c r="A3" s="257" t="s">
        <v>23</v>
      </c>
      <c r="B3" s="258"/>
      <c r="C3" s="258"/>
      <c r="D3" s="258"/>
      <c r="E3" s="258"/>
      <c r="F3" s="258"/>
      <c r="G3" s="258"/>
    </row>
    <row r="4" spans="1:7" x14ac:dyDescent="0.25">
      <c r="A4" s="17" t="s">
        <v>3</v>
      </c>
      <c r="B4" s="18">
        <v>13797</v>
      </c>
      <c r="C4" s="18">
        <v>13701</v>
      </c>
      <c r="D4" s="18">
        <v>13404</v>
      </c>
      <c r="E4" s="18"/>
      <c r="F4" s="18"/>
      <c r="G4" s="18" t="s">
        <v>24</v>
      </c>
    </row>
    <row r="5" spans="1:7" x14ac:dyDescent="0.25">
      <c r="A5" s="19"/>
      <c r="B5" s="20">
        <v>46183</v>
      </c>
      <c r="C5" s="21">
        <v>46185</v>
      </c>
      <c r="D5" s="20">
        <v>46189</v>
      </c>
      <c r="E5" s="20"/>
      <c r="F5" s="20"/>
      <c r="G5" s="20">
        <v>46203</v>
      </c>
    </row>
    <row r="6" spans="1:7" x14ac:dyDescent="0.25">
      <c r="A6" s="22" t="s">
        <v>11</v>
      </c>
      <c r="B6" s="23">
        <v>44</v>
      </c>
      <c r="C6" s="24"/>
      <c r="D6" s="24">
        <v>-44</v>
      </c>
      <c r="E6" s="24"/>
      <c r="F6" s="24"/>
      <c r="G6" s="25">
        <f t="shared" ref="G6:G16" si="0">SUM(B6:F6)</f>
        <v>0</v>
      </c>
    </row>
    <row r="7" spans="1:7" x14ac:dyDescent="0.25">
      <c r="A7" s="22" t="s">
        <v>25</v>
      </c>
      <c r="B7" s="23">
        <v>4</v>
      </c>
      <c r="C7" s="24">
        <v>6</v>
      </c>
      <c r="D7" s="24">
        <v>-4</v>
      </c>
      <c r="E7" s="24"/>
      <c r="F7" s="24"/>
      <c r="G7" s="26">
        <f t="shared" si="0"/>
        <v>6</v>
      </c>
    </row>
    <row r="8" spans="1:7" x14ac:dyDescent="0.25">
      <c r="A8" s="22" t="s">
        <v>13</v>
      </c>
      <c r="B8" s="23">
        <v>28</v>
      </c>
      <c r="C8" s="24"/>
      <c r="D8" s="24">
        <v>-28</v>
      </c>
      <c r="E8" s="24"/>
      <c r="F8" s="24"/>
      <c r="G8" s="25">
        <f t="shared" si="0"/>
        <v>0</v>
      </c>
    </row>
    <row r="9" spans="1:7" x14ac:dyDescent="0.25">
      <c r="A9" s="22" t="s">
        <v>14</v>
      </c>
      <c r="B9" s="23">
        <v>20</v>
      </c>
      <c r="C9" s="24"/>
      <c r="D9" s="24">
        <v>-20</v>
      </c>
      <c r="E9" s="24"/>
      <c r="F9" s="24"/>
      <c r="G9" s="25">
        <f t="shared" si="0"/>
        <v>0</v>
      </c>
    </row>
    <row r="10" spans="1:7" x14ac:dyDescent="0.25">
      <c r="A10" s="22" t="s">
        <v>15</v>
      </c>
      <c r="B10" s="23">
        <v>16</v>
      </c>
      <c r="C10" s="24"/>
      <c r="D10" s="24">
        <v>-16</v>
      </c>
      <c r="E10" s="24"/>
      <c r="F10" s="24"/>
      <c r="G10" s="25">
        <f t="shared" si="0"/>
        <v>0</v>
      </c>
    </row>
    <row r="11" spans="1:7" x14ac:dyDescent="0.25">
      <c r="A11" s="22" t="s">
        <v>16</v>
      </c>
      <c r="B11" s="23">
        <v>500</v>
      </c>
      <c r="C11" s="24"/>
      <c r="D11" s="24">
        <v>-496</v>
      </c>
      <c r="E11" s="24"/>
      <c r="F11" s="24"/>
      <c r="G11" s="26">
        <f>SUM(B11:F11)</f>
        <v>4</v>
      </c>
    </row>
    <row r="12" spans="1:7" x14ac:dyDescent="0.25">
      <c r="A12" s="22" t="s">
        <v>26</v>
      </c>
      <c r="B12" s="23">
        <v>1</v>
      </c>
      <c r="C12" s="24"/>
      <c r="D12" s="24">
        <v>-1</v>
      </c>
      <c r="E12" s="24"/>
      <c r="F12" s="24"/>
      <c r="G12" s="25">
        <f t="shared" si="0"/>
        <v>0</v>
      </c>
    </row>
    <row r="13" spans="1:7" x14ac:dyDescent="0.25">
      <c r="A13" s="22" t="s">
        <v>27</v>
      </c>
      <c r="B13" s="23"/>
      <c r="C13" s="24">
        <v>18</v>
      </c>
      <c r="D13" s="24">
        <v>-18</v>
      </c>
      <c r="E13" s="24"/>
      <c r="F13" s="24"/>
      <c r="G13" s="25">
        <f t="shared" si="0"/>
        <v>0</v>
      </c>
    </row>
    <row r="14" spans="1:7" x14ac:dyDescent="0.25">
      <c r="A14" s="22" t="s">
        <v>28</v>
      </c>
      <c r="B14" s="23"/>
      <c r="C14" s="24">
        <v>14</v>
      </c>
      <c r="D14" s="24">
        <v>-14</v>
      </c>
      <c r="E14" s="24"/>
      <c r="F14" s="24"/>
      <c r="G14" s="25">
        <f t="shared" si="0"/>
        <v>0</v>
      </c>
    </row>
    <row r="15" spans="1:7" x14ac:dyDescent="0.25">
      <c r="A15" s="19" t="s">
        <v>29</v>
      </c>
      <c r="B15" s="27">
        <v>0.14583333333333334</v>
      </c>
      <c r="C15" s="28">
        <v>8.3333333333333329E-2</v>
      </c>
      <c r="D15" s="28" t="s">
        <v>31</v>
      </c>
      <c r="E15" s="28"/>
      <c r="F15" s="28"/>
      <c r="G15" s="29">
        <f t="shared" si="0"/>
        <v>0.22916666666666669</v>
      </c>
    </row>
    <row r="16" spans="1:7" x14ac:dyDescent="0.25">
      <c r="A16" s="19" t="s">
        <v>30</v>
      </c>
      <c r="B16" s="30">
        <v>60000</v>
      </c>
      <c r="C16" s="30">
        <v>60000</v>
      </c>
      <c r="D16" s="30">
        <v>80000</v>
      </c>
      <c r="E16" s="30"/>
      <c r="F16" s="30"/>
      <c r="G16" s="31">
        <f t="shared" si="0"/>
        <v>200000</v>
      </c>
    </row>
    <row r="17" spans="1:6" x14ac:dyDescent="0.25">
      <c r="A17" t="s">
        <v>21</v>
      </c>
      <c r="E17" s="16">
        <v>500000</v>
      </c>
    </row>
    <row r="18" spans="1:6" ht="15.75" thickBot="1" x14ac:dyDescent="0.3"/>
    <row r="19" spans="1:6" x14ac:dyDescent="0.25">
      <c r="A19" s="260" t="s">
        <v>0</v>
      </c>
      <c r="B19" s="261"/>
      <c r="C19" s="261"/>
      <c r="D19" s="261"/>
      <c r="E19" s="261"/>
      <c r="F19" s="262"/>
    </row>
    <row r="20" spans="1:6" ht="18" x14ac:dyDescent="0.25">
      <c r="A20" s="263" t="s">
        <v>1</v>
      </c>
      <c r="B20" s="264"/>
      <c r="C20" s="264"/>
      <c r="D20" s="264"/>
      <c r="E20" s="264"/>
      <c r="F20" s="265"/>
    </row>
    <row r="21" spans="1:6" ht="18" x14ac:dyDescent="0.25">
      <c r="A21" s="263" t="s">
        <v>2</v>
      </c>
      <c r="B21" s="264"/>
      <c r="C21" s="264"/>
      <c r="D21" s="264"/>
      <c r="E21" s="264"/>
      <c r="F21" s="265"/>
    </row>
    <row r="22" spans="1:6" x14ac:dyDescent="0.25">
      <c r="A22" s="251" t="s">
        <v>3</v>
      </c>
      <c r="B22" s="252" t="s">
        <v>4</v>
      </c>
      <c r="C22" s="252"/>
      <c r="D22" s="252"/>
      <c r="E22" s="252" t="s">
        <v>5</v>
      </c>
      <c r="F22" s="274"/>
    </row>
    <row r="23" spans="1:6" x14ac:dyDescent="0.25">
      <c r="A23" s="251"/>
      <c r="B23" s="1" t="s">
        <v>6</v>
      </c>
      <c r="C23" s="1" t="s">
        <v>7</v>
      </c>
      <c r="D23" s="1" t="s">
        <v>8</v>
      </c>
      <c r="E23" s="1" t="s">
        <v>9</v>
      </c>
      <c r="F23" s="2" t="s">
        <v>10</v>
      </c>
    </row>
    <row r="24" spans="1:6" x14ac:dyDescent="0.25">
      <c r="A24" s="3" t="s">
        <v>12</v>
      </c>
      <c r="B24" s="4">
        <v>5</v>
      </c>
      <c r="C24" s="5">
        <v>4</v>
      </c>
      <c r="D24" s="6">
        <v>450</v>
      </c>
      <c r="E24" s="7">
        <f t="shared" ref="E24" si="1">C24*D24</f>
        <v>1800</v>
      </c>
      <c r="F24" s="8">
        <f t="shared" ref="F24" si="2">B24*E24</f>
        <v>9000</v>
      </c>
    </row>
    <row r="25" spans="1:6" x14ac:dyDescent="0.25">
      <c r="A25" s="3" t="s">
        <v>27</v>
      </c>
      <c r="B25" s="4">
        <v>5</v>
      </c>
      <c r="C25" s="5">
        <v>18</v>
      </c>
      <c r="D25" s="6">
        <v>280</v>
      </c>
      <c r="E25" s="7">
        <f>C25*D25</f>
        <v>5040</v>
      </c>
      <c r="F25" s="8">
        <f>B25*E25</f>
        <v>25200</v>
      </c>
    </row>
    <row r="26" spans="1:6" x14ac:dyDescent="0.25">
      <c r="A26" s="3" t="s">
        <v>28</v>
      </c>
      <c r="B26" s="4">
        <v>5</v>
      </c>
      <c r="C26" s="5">
        <v>14</v>
      </c>
      <c r="D26" s="6">
        <v>300</v>
      </c>
      <c r="E26" s="7">
        <f>C26*D26</f>
        <v>4200</v>
      </c>
      <c r="F26" s="8">
        <f>B26*E26</f>
        <v>21000</v>
      </c>
    </row>
    <row r="27" spans="1:6" ht="18.75" x14ac:dyDescent="0.4">
      <c r="A27" s="232" t="s">
        <v>32</v>
      </c>
      <c r="B27" s="233"/>
      <c r="C27" s="266" t="s">
        <v>17</v>
      </c>
      <c r="D27" s="267"/>
      <c r="E27" s="10">
        <f>SUM(E24:E26)</f>
        <v>11040</v>
      </c>
      <c r="F27" s="11"/>
    </row>
    <row r="28" spans="1:6" ht="19.5" thickBot="1" x14ac:dyDescent="0.45">
      <c r="A28" s="272"/>
      <c r="B28" s="273"/>
      <c r="C28" s="241" t="s">
        <v>18</v>
      </c>
      <c r="D28" s="241"/>
      <c r="E28" s="12">
        <f>SUM(F24:F26)</f>
        <v>55200</v>
      </c>
      <c r="F28" s="13"/>
    </row>
    <row r="29" spans="1:6" ht="19.5" thickBot="1" x14ac:dyDescent="0.45">
      <c r="A29" s="272"/>
      <c r="B29" s="273"/>
      <c r="C29" s="268" t="s">
        <v>19</v>
      </c>
      <c r="D29" s="269"/>
      <c r="E29" s="12">
        <v>80000</v>
      </c>
      <c r="F29" s="13"/>
    </row>
    <row r="30" spans="1:6" ht="19.5" thickBot="1" x14ac:dyDescent="0.45">
      <c r="A30" s="234"/>
      <c r="B30" s="235"/>
      <c r="C30" s="270" t="s">
        <v>20</v>
      </c>
      <c r="D30" s="271"/>
      <c r="E30" s="14">
        <f>SUM(E28:E29)</f>
        <v>135200</v>
      </c>
      <c r="F30" s="15"/>
    </row>
    <row r="31" spans="1:6" ht="15.75" thickBot="1" x14ac:dyDescent="0.3"/>
    <row r="32" spans="1:6" x14ac:dyDescent="0.25">
      <c r="A32" s="260" t="s">
        <v>0</v>
      </c>
      <c r="B32" s="261"/>
      <c r="C32" s="261"/>
      <c r="D32" s="261"/>
      <c r="E32" s="261"/>
      <c r="F32" s="262"/>
    </row>
    <row r="33" spans="1:6" ht="18" x14ac:dyDescent="0.25">
      <c r="A33" s="263" t="s">
        <v>1</v>
      </c>
      <c r="B33" s="264"/>
      <c r="C33" s="264"/>
      <c r="D33" s="264"/>
      <c r="E33" s="264"/>
      <c r="F33" s="265"/>
    </row>
    <row r="34" spans="1:6" ht="18" x14ac:dyDescent="0.25">
      <c r="A34" s="263" t="s">
        <v>2</v>
      </c>
      <c r="B34" s="264"/>
      <c r="C34" s="264"/>
      <c r="D34" s="264"/>
      <c r="E34" s="264"/>
      <c r="F34" s="265"/>
    </row>
    <row r="35" spans="1:6" x14ac:dyDescent="0.25">
      <c r="A35" s="251" t="s">
        <v>3</v>
      </c>
      <c r="B35" s="252" t="s">
        <v>4</v>
      </c>
      <c r="C35" s="252"/>
      <c r="D35" s="252"/>
      <c r="E35" s="252" t="s">
        <v>5</v>
      </c>
      <c r="F35" s="274"/>
    </row>
    <row r="36" spans="1:6" x14ac:dyDescent="0.25">
      <c r="A36" s="251"/>
      <c r="B36" s="1" t="s">
        <v>6</v>
      </c>
      <c r="C36" s="1" t="s">
        <v>7</v>
      </c>
      <c r="D36" s="1" t="s">
        <v>8</v>
      </c>
      <c r="E36" s="1" t="s">
        <v>9</v>
      </c>
      <c r="F36" s="2" t="s">
        <v>10</v>
      </c>
    </row>
    <row r="37" spans="1:6" x14ac:dyDescent="0.25">
      <c r="A37" s="3" t="s">
        <v>11</v>
      </c>
      <c r="B37" s="4">
        <v>5</v>
      </c>
      <c r="C37" s="5">
        <v>44</v>
      </c>
      <c r="D37" s="6">
        <v>320</v>
      </c>
      <c r="E37" s="7">
        <f>C37*D37</f>
        <v>14080</v>
      </c>
      <c r="F37" s="8">
        <f>B37*E37</f>
        <v>70400</v>
      </c>
    </row>
    <row r="38" spans="1:6" x14ac:dyDescent="0.25">
      <c r="A38" s="3" t="s">
        <v>12</v>
      </c>
      <c r="B38" s="4">
        <v>8</v>
      </c>
      <c r="C38" s="5">
        <v>4</v>
      </c>
      <c r="D38" s="6">
        <v>450</v>
      </c>
      <c r="E38" s="7">
        <f t="shared" ref="E38:E42" si="3">C38*D38</f>
        <v>1800</v>
      </c>
      <c r="F38" s="8">
        <f t="shared" ref="F38:F42" si="4">B38*E38</f>
        <v>14400</v>
      </c>
    </row>
    <row r="39" spans="1:6" x14ac:dyDescent="0.25">
      <c r="A39" s="3" t="s">
        <v>13</v>
      </c>
      <c r="B39" s="9">
        <v>5</v>
      </c>
      <c r="C39" s="5">
        <v>28</v>
      </c>
      <c r="D39" s="6">
        <v>150</v>
      </c>
      <c r="E39" s="7">
        <f t="shared" si="3"/>
        <v>4200</v>
      </c>
      <c r="F39" s="8">
        <f t="shared" si="4"/>
        <v>21000</v>
      </c>
    </row>
    <row r="40" spans="1:6" x14ac:dyDescent="0.25">
      <c r="A40" s="3" t="s">
        <v>14</v>
      </c>
      <c r="B40" s="9">
        <v>5</v>
      </c>
      <c r="C40" s="5">
        <v>20</v>
      </c>
      <c r="D40" s="6">
        <v>100</v>
      </c>
      <c r="E40" s="7">
        <f t="shared" si="3"/>
        <v>2000</v>
      </c>
      <c r="F40" s="8">
        <f t="shared" si="4"/>
        <v>10000</v>
      </c>
    </row>
    <row r="41" spans="1:6" x14ac:dyDescent="0.25">
      <c r="A41" s="3" t="s">
        <v>15</v>
      </c>
      <c r="B41" s="4">
        <v>5</v>
      </c>
      <c r="C41" s="5">
        <v>16</v>
      </c>
      <c r="D41" s="6">
        <v>200</v>
      </c>
      <c r="E41" s="7">
        <f t="shared" si="3"/>
        <v>3200</v>
      </c>
      <c r="F41" s="8">
        <f t="shared" si="4"/>
        <v>16000</v>
      </c>
    </row>
    <row r="42" spans="1:6" x14ac:dyDescent="0.25">
      <c r="A42" s="3" t="s">
        <v>16</v>
      </c>
      <c r="B42" s="4">
        <v>5</v>
      </c>
      <c r="C42" s="5">
        <v>500</v>
      </c>
      <c r="D42" s="6">
        <v>28</v>
      </c>
      <c r="E42" s="7">
        <f t="shared" si="3"/>
        <v>14000</v>
      </c>
      <c r="F42" s="8">
        <f t="shared" si="4"/>
        <v>70000</v>
      </c>
    </row>
    <row r="43" spans="1:6" ht="18.75" x14ac:dyDescent="0.4">
      <c r="A43" s="232"/>
      <c r="B43" s="233"/>
      <c r="C43" s="266" t="s">
        <v>17</v>
      </c>
      <c r="D43" s="267"/>
      <c r="E43" s="10">
        <v>40000</v>
      </c>
      <c r="F43" s="11"/>
    </row>
    <row r="44" spans="1:6" ht="19.5" thickBot="1" x14ac:dyDescent="0.45">
      <c r="A44" s="272"/>
      <c r="B44" s="273"/>
      <c r="C44" s="241" t="s">
        <v>18</v>
      </c>
      <c r="D44" s="241"/>
      <c r="E44" s="12">
        <v>205400</v>
      </c>
      <c r="F44" s="13"/>
    </row>
    <row r="45" spans="1:6" ht="19.5" thickBot="1" x14ac:dyDescent="0.45">
      <c r="A45" s="272"/>
      <c r="B45" s="273"/>
      <c r="C45" s="268" t="s">
        <v>19</v>
      </c>
      <c r="D45" s="269"/>
      <c r="E45" s="12">
        <v>150000</v>
      </c>
      <c r="F45" s="13"/>
    </row>
    <row r="46" spans="1:6" ht="19.5" thickBot="1" x14ac:dyDescent="0.45">
      <c r="A46" s="234"/>
      <c r="B46" s="235"/>
      <c r="C46" s="270" t="s">
        <v>20</v>
      </c>
      <c r="D46" s="271"/>
      <c r="E46" s="14">
        <f>SUM(E44:E45)</f>
        <v>355400</v>
      </c>
      <c r="F46" s="15"/>
    </row>
    <row r="47" spans="1:6" ht="18.75" x14ac:dyDescent="0.4">
      <c r="A47" s="32" t="s">
        <v>21</v>
      </c>
      <c r="B47" s="32"/>
      <c r="C47" s="32"/>
      <c r="D47" s="32"/>
      <c r="E47" s="34">
        <v>800000</v>
      </c>
    </row>
    <row r="48" spans="1:6" ht="18.75" x14ac:dyDescent="0.4">
      <c r="A48" s="32" t="s">
        <v>33</v>
      </c>
      <c r="B48" s="32"/>
      <c r="C48" s="32"/>
      <c r="D48" s="32"/>
      <c r="E48" s="33">
        <f>E30+E46</f>
        <v>490600</v>
      </c>
    </row>
    <row r="49" spans="1:5" ht="20.25" x14ac:dyDescent="0.4">
      <c r="A49" s="32" t="s">
        <v>34</v>
      </c>
      <c r="E49" s="35">
        <f>E47-E48</f>
        <v>309400</v>
      </c>
    </row>
    <row r="50" spans="1:5" ht="18.75" x14ac:dyDescent="0.4">
      <c r="A50" s="32" t="s">
        <v>35</v>
      </c>
      <c r="C50" s="36">
        <v>46192</v>
      </c>
      <c r="E50" s="37">
        <v>309400</v>
      </c>
    </row>
  </sheetData>
  <mergeCells count="25">
    <mergeCell ref="A43:B46"/>
    <mergeCell ref="C46:D46"/>
    <mergeCell ref="A19:F19"/>
    <mergeCell ref="A20:F20"/>
    <mergeCell ref="A21:F21"/>
    <mergeCell ref="A22:A23"/>
    <mergeCell ref="B22:D22"/>
    <mergeCell ref="E22:F22"/>
    <mergeCell ref="C43:D43"/>
    <mergeCell ref="C44:D44"/>
    <mergeCell ref="C45:D45"/>
    <mergeCell ref="A34:F34"/>
    <mergeCell ref="A35:A36"/>
    <mergeCell ref="B35:D35"/>
    <mergeCell ref="E35:F35"/>
    <mergeCell ref="A27:B30"/>
    <mergeCell ref="A1:G1"/>
    <mergeCell ref="A2:G2"/>
    <mergeCell ref="A3:G3"/>
    <mergeCell ref="A32:F32"/>
    <mergeCell ref="A33:F33"/>
    <mergeCell ref="C27:D27"/>
    <mergeCell ref="C28:D28"/>
    <mergeCell ref="C29:D29"/>
    <mergeCell ref="C30:D30"/>
  </mergeCells>
  <pageMargins left="0.7" right="0.7" top="0.75" bottom="0.75" header="0.3" footer="0.3"/>
  <pageSetup paperSize="9" scale="88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5C482-02D9-4282-994F-0B309CF8A6E5}">
  <dimension ref="A1:G36"/>
  <sheetViews>
    <sheetView topLeftCell="A11" workbookViewId="0">
      <selection sqref="A1:XFD19"/>
    </sheetView>
  </sheetViews>
  <sheetFormatPr baseColWidth="10" defaultRowHeight="15" x14ac:dyDescent="0.25"/>
  <cols>
    <col min="1" max="1" width="26.140625" bestFit="1" customWidth="1"/>
    <col min="5" max="5" width="14.42578125" bestFit="1" customWidth="1"/>
    <col min="6" max="6" width="14.140625" bestFit="1" customWidth="1"/>
  </cols>
  <sheetData>
    <row r="1" spans="1:7" ht="15.75" thickBot="1" x14ac:dyDescent="0.3"/>
    <row r="2" spans="1:7" ht="18.75" x14ac:dyDescent="0.3">
      <c r="A2" s="254" t="s">
        <v>46</v>
      </c>
      <c r="B2" s="255"/>
      <c r="C2" s="255"/>
      <c r="D2" s="255"/>
      <c r="E2" s="255"/>
      <c r="F2" s="255"/>
      <c r="G2" s="256"/>
    </row>
    <row r="3" spans="1:7" ht="18.75" x14ac:dyDescent="0.3">
      <c r="A3" s="275" t="s">
        <v>47</v>
      </c>
      <c r="B3" s="258"/>
      <c r="C3" s="258"/>
      <c r="D3" s="258"/>
      <c r="E3" s="258"/>
      <c r="F3" s="258"/>
      <c r="G3" s="259"/>
    </row>
    <row r="4" spans="1:7" ht="18.75" x14ac:dyDescent="0.3">
      <c r="A4" s="257" t="s">
        <v>48</v>
      </c>
      <c r="B4" s="258"/>
      <c r="C4" s="258"/>
      <c r="D4" s="258"/>
      <c r="E4" s="258"/>
      <c r="F4" s="258"/>
      <c r="G4" s="258"/>
    </row>
    <row r="5" spans="1:7" x14ac:dyDescent="0.25">
      <c r="A5" s="17" t="s">
        <v>3</v>
      </c>
      <c r="B5" s="18">
        <v>13702</v>
      </c>
      <c r="C5" s="18">
        <v>13411</v>
      </c>
      <c r="D5" s="18"/>
      <c r="E5" s="18"/>
      <c r="F5" s="18"/>
      <c r="G5" s="56" t="s">
        <v>24</v>
      </c>
    </row>
    <row r="6" spans="1:7" x14ac:dyDescent="0.25">
      <c r="A6" s="19"/>
      <c r="B6" s="20">
        <v>46185</v>
      </c>
      <c r="C6" s="20">
        <v>46191</v>
      </c>
      <c r="D6" s="20"/>
      <c r="E6" s="20"/>
      <c r="F6" s="20"/>
      <c r="G6" s="57">
        <v>46173</v>
      </c>
    </row>
    <row r="7" spans="1:7" x14ac:dyDescent="0.25">
      <c r="A7" s="22" t="s">
        <v>11</v>
      </c>
      <c r="B7" s="23">
        <v>24</v>
      </c>
      <c r="C7" s="24">
        <v>-24</v>
      </c>
      <c r="D7" s="24"/>
      <c r="E7" s="24"/>
      <c r="F7" s="24"/>
      <c r="G7" s="25">
        <f t="shared" ref="G7:G14" si="0">SUM(B7:F7)</f>
        <v>0</v>
      </c>
    </row>
    <row r="8" spans="1:7" x14ac:dyDescent="0.25">
      <c r="A8" s="22" t="s">
        <v>16</v>
      </c>
      <c r="B8" s="23">
        <v>270</v>
      </c>
      <c r="C8" s="24">
        <v>-270</v>
      </c>
      <c r="D8" s="24"/>
      <c r="E8" s="24"/>
      <c r="F8" s="24"/>
      <c r="G8" s="25">
        <f t="shared" si="0"/>
        <v>0</v>
      </c>
    </row>
    <row r="9" spans="1:7" x14ac:dyDescent="0.25">
      <c r="A9" s="22" t="s">
        <v>49</v>
      </c>
      <c r="B9" s="23">
        <v>16</v>
      </c>
      <c r="C9" s="24">
        <v>-16</v>
      </c>
      <c r="D9" s="24"/>
      <c r="E9" s="24"/>
      <c r="F9" s="24"/>
      <c r="G9" s="25">
        <f>SUM(B9:F9)</f>
        <v>0</v>
      </c>
    </row>
    <row r="10" spans="1:7" x14ac:dyDescent="0.25">
      <c r="A10" s="22" t="s">
        <v>14</v>
      </c>
      <c r="B10" s="23">
        <v>24</v>
      </c>
      <c r="C10" s="24">
        <v>-24</v>
      </c>
      <c r="D10" s="24"/>
      <c r="E10" s="24"/>
      <c r="F10" s="24"/>
      <c r="G10" s="25">
        <f>SUM(B10:F10)</f>
        <v>0</v>
      </c>
    </row>
    <row r="11" spans="1:7" x14ac:dyDescent="0.25">
      <c r="A11" s="22" t="s">
        <v>13</v>
      </c>
      <c r="B11" s="23">
        <v>12</v>
      </c>
      <c r="C11" s="24">
        <v>-12</v>
      </c>
      <c r="D11" s="24"/>
      <c r="E11" s="24"/>
      <c r="F11" s="24"/>
      <c r="G11" s="25">
        <f>SUM(B11:F11)</f>
        <v>0</v>
      </c>
    </row>
    <row r="12" spans="1:7" x14ac:dyDescent="0.25">
      <c r="A12" s="22" t="s">
        <v>50</v>
      </c>
      <c r="B12" s="23">
        <v>9</v>
      </c>
      <c r="C12" s="24">
        <v>-8</v>
      </c>
      <c r="D12" s="24"/>
      <c r="E12" s="24"/>
      <c r="F12" s="24"/>
      <c r="G12" s="25">
        <f t="shared" si="0"/>
        <v>1</v>
      </c>
    </row>
    <row r="13" spans="1:7" x14ac:dyDescent="0.25">
      <c r="A13" s="22" t="s">
        <v>51</v>
      </c>
      <c r="B13" s="23">
        <v>18</v>
      </c>
      <c r="C13" s="24">
        <v>-18</v>
      </c>
      <c r="D13" s="24"/>
      <c r="E13" s="24"/>
      <c r="F13" s="24"/>
      <c r="G13" s="25">
        <f t="shared" si="0"/>
        <v>0</v>
      </c>
    </row>
    <row r="14" spans="1:7" x14ac:dyDescent="0.25">
      <c r="A14" s="19" t="s">
        <v>29</v>
      </c>
      <c r="B14" s="27">
        <v>0.10416666666666667</v>
      </c>
      <c r="C14" s="28">
        <v>0.35416666666666669</v>
      </c>
      <c r="D14" s="28"/>
      <c r="E14" s="28"/>
      <c r="F14" s="28"/>
      <c r="G14" s="29">
        <f t="shared" si="0"/>
        <v>0.45833333333333337</v>
      </c>
    </row>
    <row r="15" spans="1:7" x14ac:dyDescent="0.25">
      <c r="A15" s="19" t="s">
        <v>30</v>
      </c>
      <c r="B15" s="58">
        <v>70000</v>
      </c>
      <c r="C15" s="58">
        <v>70000</v>
      </c>
      <c r="D15" s="30"/>
      <c r="E15" s="30"/>
      <c r="F15" s="30"/>
      <c r="G15" s="31">
        <f>SUM(B15:F15)</f>
        <v>140000</v>
      </c>
    </row>
    <row r="18" spans="1:6" ht="18" x14ac:dyDescent="0.25">
      <c r="A18" s="263" t="s">
        <v>36</v>
      </c>
      <c r="B18" s="264"/>
      <c r="C18" s="264"/>
      <c r="D18" s="264"/>
      <c r="E18" s="264"/>
      <c r="F18" s="277"/>
    </row>
    <row r="19" spans="1:6" ht="18" x14ac:dyDescent="0.25">
      <c r="A19" s="263" t="s">
        <v>37</v>
      </c>
      <c r="B19" s="264"/>
      <c r="C19" s="264"/>
      <c r="D19" s="264"/>
      <c r="E19" s="264"/>
      <c r="F19" s="264"/>
    </row>
    <row r="20" spans="1:6" x14ac:dyDescent="0.25">
      <c r="A20" s="251" t="s">
        <v>3</v>
      </c>
      <c r="B20" s="252" t="s">
        <v>4</v>
      </c>
      <c r="C20" s="252"/>
      <c r="D20" s="252"/>
      <c r="E20" s="252" t="s">
        <v>5</v>
      </c>
      <c r="F20" s="274"/>
    </row>
    <row r="21" spans="1:6" x14ac:dyDescent="0.25">
      <c r="A21" s="251"/>
      <c r="B21" s="1" t="s">
        <v>6</v>
      </c>
      <c r="C21" s="1" t="s">
        <v>7</v>
      </c>
      <c r="D21" s="1" t="s">
        <v>8</v>
      </c>
      <c r="E21" s="1" t="s">
        <v>9</v>
      </c>
      <c r="F21" s="2" t="s">
        <v>10</v>
      </c>
    </row>
    <row r="22" spans="1:6" x14ac:dyDescent="0.25">
      <c r="A22" s="3" t="s">
        <v>11</v>
      </c>
      <c r="B22" s="4">
        <v>5</v>
      </c>
      <c r="C22" s="38">
        <v>24</v>
      </c>
      <c r="D22" s="6">
        <v>350</v>
      </c>
      <c r="E22" s="7">
        <f>C22*D22</f>
        <v>8400</v>
      </c>
      <c r="F22" s="8">
        <f>B22*E22</f>
        <v>42000</v>
      </c>
    </row>
    <row r="23" spans="1:6" x14ac:dyDescent="0.25">
      <c r="A23" s="39" t="s">
        <v>16</v>
      </c>
      <c r="B23" s="40">
        <v>5</v>
      </c>
      <c r="C23" s="41">
        <v>270</v>
      </c>
      <c r="D23" s="42">
        <v>28</v>
      </c>
      <c r="E23" s="7">
        <f t="shared" ref="E23:E28" si="1">C23*D23</f>
        <v>7560</v>
      </c>
      <c r="F23" s="8">
        <f t="shared" ref="F23:F29" si="2">B23*E23</f>
        <v>37800</v>
      </c>
    </row>
    <row r="24" spans="1:6" x14ac:dyDescent="0.25">
      <c r="A24" s="39" t="s">
        <v>38</v>
      </c>
      <c r="B24" s="40">
        <v>5</v>
      </c>
      <c r="C24" s="41">
        <v>16</v>
      </c>
      <c r="D24" s="42">
        <v>200</v>
      </c>
      <c r="E24" s="7">
        <f t="shared" si="1"/>
        <v>3200</v>
      </c>
      <c r="F24" s="8">
        <f t="shared" si="2"/>
        <v>16000</v>
      </c>
    </row>
    <row r="25" spans="1:6" x14ac:dyDescent="0.25">
      <c r="A25" s="39" t="s">
        <v>14</v>
      </c>
      <c r="B25" s="40">
        <v>5</v>
      </c>
      <c r="C25" s="41">
        <v>24</v>
      </c>
      <c r="D25" s="42">
        <v>100</v>
      </c>
      <c r="E25" s="7">
        <f t="shared" si="1"/>
        <v>2400</v>
      </c>
      <c r="F25" s="8">
        <f t="shared" si="2"/>
        <v>12000</v>
      </c>
    </row>
    <row r="26" spans="1:6" x14ac:dyDescent="0.25">
      <c r="A26" s="39" t="s">
        <v>13</v>
      </c>
      <c r="B26" s="40">
        <v>5</v>
      </c>
      <c r="C26" s="41">
        <v>12</v>
      </c>
      <c r="D26" s="43">
        <v>120</v>
      </c>
      <c r="E26" s="7">
        <f t="shared" si="1"/>
        <v>1440</v>
      </c>
      <c r="F26" s="8">
        <f t="shared" si="2"/>
        <v>7200</v>
      </c>
    </row>
    <row r="27" spans="1:6" x14ac:dyDescent="0.25">
      <c r="A27" s="39" t="s">
        <v>39</v>
      </c>
      <c r="B27" s="40">
        <v>5</v>
      </c>
      <c r="C27" s="41">
        <v>9</v>
      </c>
      <c r="D27" s="43">
        <v>90</v>
      </c>
      <c r="E27" s="7">
        <f t="shared" si="1"/>
        <v>810</v>
      </c>
      <c r="F27" s="44">
        <f t="shared" si="2"/>
        <v>4050</v>
      </c>
    </row>
    <row r="28" spans="1:6" x14ac:dyDescent="0.25">
      <c r="A28" s="39" t="s">
        <v>40</v>
      </c>
      <c r="B28" s="40">
        <v>5</v>
      </c>
      <c r="C28" s="41">
        <v>18</v>
      </c>
      <c r="D28" s="43">
        <v>90</v>
      </c>
      <c r="E28" s="7">
        <f t="shared" si="1"/>
        <v>1620</v>
      </c>
      <c r="F28" s="44">
        <f t="shared" si="2"/>
        <v>8100</v>
      </c>
    </row>
    <row r="29" spans="1:6" x14ac:dyDescent="0.25">
      <c r="A29" s="39" t="s">
        <v>41</v>
      </c>
      <c r="B29" s="40">
        <v>1</v>
      </c>
      <c r="C29" s="41" t="s">
        <v>45</v>
      </c>
      <c r="D29" s="43">
        <v>10000</v>
      </c>
      <c r="E29" s="7">
        <f>D29</f>
        <v>10000</v>
      </c>
      <c r="F29" s="44">
        <f t="shared" si="2"/>
        <v>10000</v>
      </c>
    </row>
    <row r="30" spans="1:6" ht="18.75" x14ac:dyDescent="0.4">
      <c r="A30" s="232"/>
      <c r="B30" s="233"/>
      <c r="C30" s="236" t="s">
        <v>17</v>
      </c>
      <c r="D30" s="236"/>
      <c r="E30" s="46">
        <f>SUM(E22:E29)</f>
        <v>35430</v>
      </c>
      <c r="F30" s="11"/>
    </row>
    <row r="31" spans="1:6" ht="19.5" thickBot="1" x14ac:dyDescent="0.45">
      <c r="A31" s="272"/>
      <c r="B31" s="273"/>
      <c r="C31" s="241" t="s">
        <v>42</v>
      </c>
      <c r="D31" s="241"/>
      <c r="E31" s="47">
        <f>SUM(F22:F29)</f>
        <v>137150</v>
      </c>
      <c r="F31" s="13"/>
    </row>
    <row r="32" spans="1:6" ht="18.75" x14ac:dyDescent="0.4">
      <c r="A32" s="272"/>
      <c r="B32" s="273"/>
      <c r="C32" s="268" t="s">
        <v>43</v>
      </c>
      <c r="D32" s="269"/>
      <c r="E32" s="48">
        <v>140000</v>
      </c>
      <c r="F32" s="49"/>
    </row>
    <row r="33" spans="1:6" ht="19.5" thickBot="1" x14ac:dyDescent="0.45">
      <c r="A33" s="234"/>
      <c r="B33" s="235"/>
      <c r="C33" s="241" t="s">
        <v>20</v>
      </c>
      <c r="D33" s="241"/>
      <c r="E33" s="50">
        <f>E31+E32</f>
        <v>277150</v>
      </c>
      <c r="F33" s="51"/>
    </row>
    <row r="34" spans="1:6" ht="15.75" thickBot="1" x14ac:dyDescent="0.3"/>
    <row r="35" spans="1:6" ht="18.75" x14ac:dyDescent="0.3">
      <c r="A35" s="276" t="s">
        <v>44</v>
      </c>
      <c r="B35" s="276"/>
      <c r="C35" s="276"/>
      <c r="D35" s="276"/>
      <c r="E35" s="52">
        <v>500000</v>
      </c>
    </row>
    <row r="36" spans="1:6" ht="18.75" x14ac:dyDescent="0.3">
      <c r="A36" s="53"/>
      <c r="B36" s="54" t="s">
        <v>34</v>
      </c>
      <c r="C36" s="53"/>
      <c r="D36" s="53"/>
      <c r="E36" s="55">
        <v>222850</v>
      </c>
    </row>
  </sheetData>
  <mergeCells count="14">
    <mergeCell ref="A2:G2"/>
    <mergeCell ref="A3:G3"/>
    <mergeCell ref="A4:G4"/>
    <mergeCell ref="A35:D35"/>
    <mergeCell ref="A18:F18"/>
    <mergeCell ref="A19:F19"/>
    <mergeCell ref="A20:A21"/>
    <mergeCell ref="B20:D20"/>
    <mergeCell ref="E20:F20"/>
    <mergeCell ref="A30:B33"/>
    <mergeCell ref="C30:D30"/>
    <mergeCell ref="C31:D31"/>
    <mergeCell ref="C32:D32"/>
    <mergeCell ref="C33:D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14B2E-8A59-41CA-AF1B-84BFB4A885FD}">
  <sheetPr>
    <pageSetUpPr fitToPage="1"/>
  </sheetPr>
  <dimension ref="A1:I77"/>
  <sheetViews>
    <sheetView topLeftCell="A63" workbookViewId="0">
      <selection activeCell="E78" sqref="E78"/>
    </sheetView>
  </sheetViews>
  <sheetFormatPr baseColWidth="10" defaultRowHeight="15" x14ac:dyDescent="0.25"/>
  <cols>
    <col min="1" max="1" width="31.28515625" customWidth="1"/>
    <col min="5" max="5" width="16.7109375" bestFit="1" customWidth="1"/>
    <col min="7" max="7" width="22.7109375" customWidth="1"/>
  </cols>
  <sheetData>
    <row r="1" spans="1:9" ht="18.75" x14ac:dyDescent="0.3">
      <c r="A1" s="280" t="s">
        <v>52</v>
      </c>
      <c r="B1" s="281"/>
      <c r="C1" s="281"/>
      <c r="D1" s="281"/>
      <c r="E1" s="281"/>
      <c r="F1" s="281"/>
      <c r="G1" s="281"/>
      <c r="H1" s="281"/>
      <c r="I1" s="282"/>
    </row>
    <row r="2" spans="1:9" ht="18.75" x14ac:dyDescent="0.3">
      <c r="A2" s="283" t="s">
        <v>53</v>
      </c>
      <c r="B2" s="284"/>
      <c r="C2" s="284"/>
      <c r="D2" s="284"/>
      <c r="E2" s="284"/>
      <c r="F2" s="284"/>
      <c r="G2" s="284"/>
      <c r="H2" s="284"/>
      <c r="I2" s="285"/>
    </row>
    <row r="3" spans="1:9" ht="18.75" x14ac:dyDescent="0.3">
      <c r="A3" s="283" t="s">
        <v>54</v>
      </c>
      <c r="B3" s="284"/>
      <c r="C3" s="284"/>
      <c r="D3" s="284"/>
      <c r="E3" s="284"/>
      <c r="F3" s="284"/>
      <c r="G3" s="284"/>
      <c r="H3" s="284"/>
      <c r="I3" s="285"/>
    </row>
    <row r="4" spans="1:9" x14ac:dyDescent="0.25">
      <c r="A4" s="59" t="s">
        <v>3</v>
      </c>
      <c r="B4" s="18" t="s">
        <v>24</v>
      </c>
      <c r="C4" s="60">
        <v>13667</v>
      </c>
      <c r="D4" s="18">
        <v>13676</v>
      </c>
      <c r="E4" s="18">
        <v>13755</v>
      </c>
      <c r="F4" s="18">
        <v>13354</v>
      </c>
      <c r="G4" s="18">
        <v>13400</v>
      </c>
      <c r="H4" s="18">
        <v>13420</v>
      </c>
      <c r="I4" s="61" t="s">
        <v>24</v>
      </c>
    </row>
    <row r="5" spans="1:9" x14ac:dyDescent="0.25">
      <c r="A5" s="62"/>
      <c r="B5" s="20">
        <v>46142</v>
      </c>
      <c r="C5" s="20">
        <v>46157</v>
      </c>
      <c r="D5" s="20">
        <v>46162</v>
      </c>
      <c r="E5" s="20">
        <v>46170</v>
      </c>
      <c r="F5" s="20">
        <v>46170</v>
      </c>
      <c r="G5" s="20">
        <v>46186</v>
      </c>
      <c r="H5" s="20">
        <v>46193</v>
      </c>
      <c r="I5" s="63">
        <v>46192</v>
      </c>
    </row>
    <row r="6" spans="1:9" x14ac:dyDescent="0.25">
      <c r="A6" s="64" t="s">
        <v>55</v>
      </c>
      <c r="B6" s="23">
        <v>8</v>
      </c>
      <c r="C6" s="24"/>
      <c r="D6" s="65">
        <v>-4</v>
      </c>
      <c r="E6" s="66">
        <v>2</v>
      </c>
      <c r="F6" s="24"/>
      <c r="G6" s="24"/>
      <c r="H6" s="24">
        <v>-2</v>
      </c>
      <c r="I6" s="67">
        <f t="shared" ref="I6:I14" si="0">SUM(B6:G6)</f>
        <v>6</v>
      </c>
    </row>
    <row r="7" spans="1:9" x14ac:dyDescent="0.25">
      <c r="A7" s="64" t="s">
        <v>56</v>
      </c>
      <c r="B7" s="23">
        <v>8</v>
      </c>
      <c r="C7" s="24"/>
      <c r="D7" s="65">
        <v>-4</v>
      </c>
      <c r="E7" s="66">
        <v>2</v>
      </c>
      <c r="F7" s="24"/>
      <c r="G7" s="24"/>
      <c r="H7" s="24">
        <v>-2</v>
      </c>
      <c r="I7" s="67">
        <f t="shared" si="0"/>
        <v>6</v>
      </c>
    </row>
    <row r="8" spans="1:9" x14ac:dyDescent="0.25">
      <c r="A8" s="64" t="s">
        <v>57</v>
      </c>
      <c r="B8" s="23">
        <v>18</v>
      </c>
      <c r="C8" s="24"/>
      <c r="D8" s="65">
        <v>-16</v>
      </c>
      <c r="E8" s="66">
        <v>1</v>
      </c>
      <c r="F8" s="24"/>
      <c r="G8" s="24"/>
      <c r="H8" s="24">
        <v>-3</v>
      </c>
      <c r="I8" s="67">
        <f t="shared" si="0"/>
        <v>3</v>
      </c>
    </row>
    <row r="9" spans="1:9" x14ac:dyDescent="0.25">
      <c r="A9" s="64" t="s">
        <v>58</v>
      </c>
      <c r="B9" s="23">
        <v>3</v>
      </c>
      <c r="C9" s="24"/>
      <c r="D9" s="24"/>
      <c r="E9" s="24"/>
      <c r="F9" s="24"/>
      <c r="G9" s="24"/>
      <c r="H9" s="24">
        <v>-3</v>
      </c>
      <c r="I9" s="67">
        <f t="shared" si="0"/>
        <v>3</v>
      </c>
    </row>
    <row r="10" spans="1:9" x14ac:dyDescent="0.25">
      <c r="A10" s="64" t="s">
        <v>25</v>
      </c>
      <c r="B10" s="23"/>
      <c r="C10" s="68">
        <v>22</v>
      </c>
      <c r="D10" s="24"/>
      <c r="E10" s="24"/>
      <c r="F10" s="66">
        <v>-22</v>
      </c>
      <c r="G10" s="24"/>
      <c r="H10" s="24"/>
      <c r="I10" s="67">
        <f t="shared" si="0"/>
        <v>0</v>
      </c>
    </row>
    <row r="11" spans="1:9" x14ac:dyDescent="0.25">
      <c r="A11" s="64" t="s">
        <v>59</v>
      </c>
      <c r="B11" s="23"/>
      <c r="C11" s="68">
        <v>10</v>
      </c>
      <c r="D11" s="24"/>
      <c r="E11" s="24"/>
      <c r="F11" s="66">
        <v>-10</v>
      </c>
      <c r="G11" s="24"/>
      <c r="H11" s="24"/>
      <c r="I11" s="67">
        <f t="shared" si="0"/>
        <v>0</v>
      </c>
    </row>
    <row r="12" spans="1:9" x14ac:dyDescent="0.25">
      <c r="A12" s="64" t="s">
        <v>49</v>
      </c>
      <c r="B12" s="23">
        <v>11</v>
      </c>
      <c r="C12" s="68">
        <v>30</v>
      </c>
      <c r="D12" s="24"/>
      <c r="E12" s="24"/>
      <c r="F12" s="66">
        <v>-37</v>
      </c>
      <c r="G12" s="24">
        <v>-4</v>
      </c>
      <c r="H12" s="24"/>
      <c r="I12" s="67">
        <f t="shared" si="0"/>
        <v>0</v>
      </c>
    </row>
    <row r="13" spans="1:9" x14ac:dyDescent="0.25">
      <c r="A13" s="64" t="s">
        <v>16</v>
      </c>
      <c r="B13" s="23"/>
      <c r="C13" s="68">
        <v>200</v>
      </c>
      <c r="D13" s="24"/>
      <c r="E13" s="24"/>
      <c r="F13" s="66">
        <v>-200</v>
      </c>
      <c r="G13" s="24"/>
      <c r="H13" s="24"/>
      <c r="I13" s="67">
        <f t="shared" si="0"/>
        <v>0</v>
      </c>
    </row>
    <row r="14" spans="1:9" x14ac:dyDescent="0.25">
      <c r="A14" s="64" t="s">
        <v>60</v>
      </c>
      <c r="B14" s="23"/>
      <c r="C14" s="68">
        <v>1</v>
      </c>
      <c r="D14" s="24"/>
      <c r="E14" s="24"/>
      <c r="F14" s="66">
        <v>-1</v>
      </c>
      <c r="G14" s="24"/>
      <c r="H14" s="24"/>
      <c r="I14" s="67">
        <f t="shared" si="0"/>
        <v>0</v>
      </c>
    </row>
    <row r="15" spans="1:9" x14ac:dyDescent="0.25">
      <c r="A15" s="62" t="s">
        <v>29</v>
      </c>
      <c r="B15" s="69"/>
      <c r="C15" s="28">
        <v>0.2986111111111111</v>
      </c>
      <c r="D15" s="27">
        <v>0.375</v>
      </c>
      <c r="E15" s="28" t="s">
        <v>61</v>
      </c>
      <c r="F15" s="28">
        <v>0.41666666666666669</v>
      </c>
      <c r="G15" s="28"/>
      <c r="H15" s="28"/>
      <c r="I15" s="67"/>
    </row>
    <row r="16" spans="1:9" ht="15.75" thickBot="1" x14ac:dyDescent="0.3">
      <c r="A16" s="70" t="s">
        <v>30</v>
      </c>
      <c r="B16" s="71"/>
      <c r="C16" s="72">
        <v>35000</v>
      </c>
      <c r="D16" s="72" t="s">
        <v>62</v>
      </c>
      <c r="E16" s="72" t="s">
        <v>63</v>
      </c>
      <c r="F16" s="72">
        <v>75000</v>
      </c>
      <c r="G16" s="72"/>
      <c r="H16" s="72">
        <v>40000</v>
      </c>
      <c r="I16" s="73">
        <f>SUM(C16:H16)</f>
        <v>150000</v>
      </c>
    </row>
    <row r="17" spans="1:9" x14ac:dyDescent="0.25">
      <c r="A17" s="74"/>
      <c r="B17" s="75"/>
      <c r="C17" s="75"/>
      <c r="D17" s="75"/>
      <c r="E17" s="75"/>
      <c r="F17" s="75"/>
      <c r="G17" s="75"/>
      <c r="H17" s="76"/>
      <c r="I17" s="77"/>
    </row>
    <row r="18" spans="1:9" x14ac:dyDescent="0.25">
      <c r="A18" s="74"/>
      <c r="B18" s="75"/>
      <c r="C18" s="75"/>
      <c r="D18" s="75"/>
      <c r="E18" s="75"/>
      <c r="F18" s="75"/>
      <c r="G18" s="75"/>
      <c r="H18" s="76"/>
      <c r="I18" s="77"/>
    </row>
    <row r="19" spans="1:9" x14ac:dyDescent="0.25">
      <c r="A19" s="74"/>
      <c r="B19" s="75"/>
      <c r="C19" s="75"/>
      <c r="D19" s="75"/>
      <c r="E19" s="75"/>
      <c r="F19" s="75"/>
      <c r="G19" s="75"/>
      <c r="H19" s="76"/>
      <c r="I19" s="77"/>
    </row>
    <row r="22" spans="1:9" ht="15.75" thickBot="1" x14ac:dyDescent="0.3"/>
    <row r="23" spans="1:9" x14ac:dyDescent="0.25">
      <c r="A23" s="242" t="s">
        <v>64</v>
      </c>
      <c r="B23" s="243"/>
      <c r="C23" s="243"/>
      <c r="D23" s="243"/>
      <c r="E23" s="243"/>
      <c r="F23" s="243"/>
      <c r="G23" s="244"/>
    </row>
    <row r="24" spans="1:9" x14ac:dyDescent="0.25">
      <c r="A24" s="245" t="s">
        <v>65</v>
      </c>
      <c r="B24" s="246"/>
      <c r="C24" s="246"/>
      <c r="D24" s="246"/>
      <c r="E24" s="246"/>
      <c r="F24" s="246"/>
      <c r="G24" s="247"/>
    </row>
    <row r="25" spans="1:9" ht="18" x14ac:dyDescent="0.25">
      <c r="A25" s="248" t="s">
        <v>66</v>
      </c>
      <c r="B25" s="249"/>
      <c r="C25" s="249"/>
      <c r="D25" s="249"/>
      <c r="E25" s="249"/>
      <c r="F25" s="249"/>
      <c r="G25" s="250"/>
    </row>
    <row r="26" spans="1:9" x14ac:dyDescent="0.25">
      <c r="A26" s="251" t="s">
        <v>3</v>
      </c>
      <c r="B26" s="252" t="s">
        <v>4</v>
      </c>
      <c r="C26" s="252"/>
      <c r="D26" s="252"/>
      <c r="E26" s="252" t="s">
        <v>5</v>
      </c>
      <c r="F26" s="252"/>
      <c r="G26" s="253" t="s">
        <v>67</v>
      </c>
    </row>
    <row r="27" spans="1:9" x14ac:dyDescent="0.25">
      <c r="A27" s="251"/>
      <c r="B27" s="1" t="s">
        <v>6</v>
      </c>
      <c r="C27" s="1" t="s">
        <v>7</v>
      </c>
      <c r="D27" s="1" t="s">
        <v>8</v>
      </c>
      <c r="E27" s="1" t="s">
        <v>9</v>
      </c>
      <c r="F27" s="1" t="s">
        <v>10</v>
      </c>
      <c r="G27" s="253"/>
    </row>
    <row r="28" spans="1:9" x14ac:dyDescent="0.25">
      <c r="A28" s="3" t="s">
        <v>68</v>
      </c>
      <c r="B28" s="5">
        <v>14</v>
      </c>
      <c r="C28" s="4">
        <v>4</v>
      </c>
      <c r="D28" s="78">
        <v>1500</v>
      </c>
      <c r="E28" s="7">
        <f t="shared" ref="E28:E41" si="1">C28*D28</f>
        <v>6000</v>
      </c>
      <c r="F28" s="7">
        <f t="shared" ref="F28:F41" si="2">B28*E28</f>
        <v>84000</v>
      </c>
      <c r="G28" s="79" t="s">
        <v>69</v>
      </c>
    </row>
    <row r="29" spans="1:9" x14ac:dyDescent="0.25">
      <c r="A29" s="3" t="s">
        <v>68</v>
      </c>
      <c r="B29" s="5">
        <v>8</v>
      </c>
      <c r="C29" s="4">
        <v>2</v>
      </c>
      <c r="D29" s="78">
        <v>1500</v>
      </c>
      <c r="E29" s="7">
        <f t="shared" si="1"/>
        <v>3000</v>
      </c>
      <c r="F29" s="7">
        <f t="shared" si="2"/>
        <v>24000</v>
      </c>
      <c r="G29" s="79" t="s">
        <v>70</v>
      </c>
    </row>
    <row r="30" spans="1:9" x14ac:dyDescent="0.25">
      <c r="A30" s="3" t="s">
        <v>68</v>
      </c>
      <c r="B30" s="5">
        <v>23</v>
      </c>
      <c r="C30" s="4">
        <v>3</v>
      </c>
      <c r="D30" s="78">
        <v>1500</v>
      </c>
      <c r="E30" s="7">
        <f t="shared" si="1"/>
        <v>4500</v>
      </c>
      <c r="F30" s="7">
        <f t="shared" si="2"/>
        <v>103500</v>
      </c>
      <c r="G30" s="79" t="s">
        <v>71</v>
      </c>
    </row>
    <row r="31" spans="1:9" x14ac:dyDescent="0.25">
      <c r="A31" s="3" t="s">
        <v>72</v>
      </c>
      <c r="B31" s="5">
        <v>14</v>
      </c>
      <c r="C31" s="4">
        <v>18</v>
      </c>
      <c r="D31" s="78">
        <v>1000</v>
      </c>
      <c r="E31" s="7">
        <f t="shared" si="1"/>
        <v>18000</v>
      </c>
      <c r="F31" s="7">
        <f t="shared" si="2"/>
        <v>252000</v>
      </c>
      <c r="G31" s="79" t="s">
        <v>69</v>
      </c>
    </row>
    <row r="32" spans="1:9" x14ac:dyDescent="0.25">
      <c r="A32" s="3" t="s">
        <v>72</v>
      </c>
      <c r="B32" s="5">
        <v>8</v>
      </c>
      <c r="C32" s="4">
        <v>2</v>
      </c>
      <c r="D32" s="78">
        <v>1000</v>
      </c>
      <c r="E32" s="7">
        <f t="shared" si="1"/>
        <v>2000</v>
      </c>
      <c r="F32" s="7">
        <f t="shared" si="2"/>
        <v>16000</v>
      </c>
      <c r="G32" s="79" t="s">
        <v>70</v>
      </c>
    </row>
    <row r="33" spans="1:7" x14ac:dyDescent="0.25">
      <c r="A33" s="3" t="s">
        <v>72</v>
      </c>
      <c r="B33" s="5">
        <v>23</v>
      </c>
      <c r="C33" s="4">
        <v>3</v>
      </c>
      <c r="D33" s="78">
        <v>1000</v>
      </c>
      <c r="E33" s="7">
        <f t="shared" si="1"/>
        <v>3000</v>
      </c>
      <c r="F33" s="7">
        <f t="shared" si="2"/>
        <v>69000</v>
      </c>
      <c r="G33" s="79" t="s">
        <v>71</v>
      </c>
    </row>
    <row r="34" spans="1:7" x14ac:dyDescent="0.25">
      <c r="A34" s="3" t="s">
        <v>73</v>
      </c>
      <c r="B34" s="5">
        <v>45</v>
      </c>
      <c r="C34" s="4">
        <v>3</v>
      </c>
      <c r="D34" s="78">
        <v>300</v>
      </c>
      <c r="E34" s="7">
        <f t="shared" si="1"/>
        <v>900</v>
      </c>
      <c r="F34" s="7">
        <f t="shared" si="2"/>
        <v>40500</v>
      </c>
      <c r="G34" s="79" t="s">
        <v>74</v>
      </c>
    </row>
    <row r="35" spans="1:7" x14ac:dyDescent="0.25">
      <c r="A35" s="3" t="s">
        <v>75</v>
      </c>
      <c r="B35" s="5">
        <v>22</v>
      </c>
      <c r="C35" s="4">
        <v>11</v>
      </c>
      <c r="D35" s="78">
        <v>200</v>
      </c>
      <c r="E35" s="7">
        <f t="shared" si="1"/>
        <v>2200</v>
      </c>
      <c r="F35" s="7">
        <f t="shared" si="2"/>
        <v>48400</v>
      </c>
      <c r="G35" s="79" t="s">
        <v>76</v>
      </c>
    </row>
    <row r="36" spans="1:7" x14ac:dyDescent="0.25">
      <c r="A36" s="3" t="s">
        <v>75</v>
      </c>
      <c r="B36" s="5">
        <v>23</v>
      </c>
      <c r="C36" s="4">
        <v>7</v>
      </c>
      <c r="D36" s="78">
        <v>200</v>
      </c>
      <c r="E36" s="7">
        <f t="shared" si="1"/>
        <v>1400</v>
      </c>
      <c r="F36" s="7">
        <f t="shared" si="2"/>
        <v>32200</v>
      </c>
      <c r="G36" s="79" t="s">
        <v>71</v>
      </c>
    </row>
    <row r="37" spans="1:7" x14ac:dyDescent="0.25">
      <c r="A37" s="80" t="s">
        <v>25</v>
      </c>
      <c r="B37" s="5">
        <v>13</v>
      </c>
      <c r="C37" s="4">
        <v>22</v>
      </c>
      <c r="D37" s="78">
        <v>450</v>
      </c>
      <c r="E37" s="7">
        <f t="shared" si="1"/>
        <v>9900</v>
      </c>
      <c r="F37" s="81">
        <f t="shared" si="2"/>
        <v>128700</v>
      </c>
      <c r="G37" s="82" t="s">
        <v>77</v>
      </c>
    </row>
    <row r="38" spans="1:7" ht="18.75" x14ac:dyDescent="0.4">
      <c r="A38" s="83" t="s">
        <v>78</v>
      </c>
      <c r="B38" s="5">
        <v>13</v>
      </c>
      <c r="C38" s="4">
        <v>10</v>
      </c>
      <c r="D38" s="78">
        <v>200</v>
      </c>
      <c r="E38" s="7">
        <f t="shared" si="1"/>
        <v>2000</v>
      </c>
      <c r="F38" s="81">
        <f t="shared" si="2"/>
        <v>26000</v>
      </c>
      <c r="G38" s="82" t="s">
        <v>77</v>
      </c>
    </row>
    <row r="39" spans="1:7" x14ac:dyDescent="0.25">
      <c r="A39" s="3" t="s">
        <v>75</v>
      </c>
      <c r="B39" s="5">
        <v>13</v>
      </c>
      <c r="C39" s="4">
        <v>30</v>
      </c>
      <c r="D39" s="78">
        <v>200</v>
      </c>
      <c r="E39" s="7">
        <f t="shared" si="1"/>
        <v>6000</v>
      </c>
      <c r="F39" s="7">
        <f t="shared" si="2"/>
        <v>78000</v>
      </c>
      <c r="G39" s="82" t="s">
        <v>77</v>
      </c>
    </row>
    <row r="40" spans="1:7" x14ac:dyDescent="0.25">
      <c r="A40" s="3" t="s">
        <v>79</v>
      </c>
      <c r="B40" s="5">
        <v>13</v>
      </c>
      <c r="C40" s="4">
        <v>200</v>
      </c>
      <c r="D40" s="78">
        <v>28</v>
      </c>
      <c r="E40" s="7">
        <f t="shared" si="1"/>
        <v>5600</v>
      </c>
      <c r="F40" s="7">
        <f t="shared" si="2"/>
        <v>72800</v>
      </c>
      <c r="G40" s="82" t="s">
        <v>77</v>
      </c>
    </row>
    <row r="41" spans="1:7" x14ac:dyDescent="0.25">
      <c r="A41" s="3" t="s">
        <v>80</v>
      </c>
      <c r="B41" s="5">
        <v>30</v>
      </c>
      <c r="C41" s="4">
        <v>1</v>
      </c>
      <c r="D41" s="78">
        <v>300</v>
      </c>
      <c r="E41" s="7">
        <f t="shared" si="1"/>
        <v>300</v>
      </c>
      <c r="F41" s="81">
        <f t="shared" si="2"/>
        <v>9000</v>
      </c>
      <c r="G41" s="82" t="s">
        <v>81</v>
      </c>
    </row>
    <row r="42" spans="1:7" ht="18.75" x14ac:dyDescent="0.4">
      <c r="A42" s="232" t="s">
        <v>74</v>
      </c>
      <c r="B42" s="233"/>
      <c r="C42" s="236" t="s">
        <v>20</v>
      </c>
      <c r="D42" s="236"/>
      <c r="E42" s="84">
        <f>SUM(F28:F41)</f>
        <v>984100</v>
      </c>
      <c r="F42" s="237"/>
      <c r="G42" s="238"/>
    </row>
    <row r="43" spans="1:7" ht="18.75" x14ac:dyDescent="0.4">
      <c r="A43" s="232"/>
      <c r="B43" s="233"/>
      <c r="C43" s="236" t="s">
        <v>82</v>
      </c>
      <c r="D43" s="236"/>
      <c r="E43" s="85">
        <v>150000</v>
      </c>
      <c r="F43" s="286"/>
      <c r="G43" s="287"/>
    </row>
    <row r="44" spans="1:7" ht="19.5" thickBot="1" x14ac:dyDescent="0.45">
      <c r="A44" s="234"/>
      <c r="B44" s="235"/>
      <c r="C44" s="241" t="s">
        <v>20</v>
      </c>
      <c r="D44" s="241"/>
      <c r="E44" s="50">
        <f>SUM(E42:E43)</f>
        <v>1134100</v>
      </c>
      <c r="F44" s="239"/>
      <c r="G44" s="240"/>
    </row>
    <row r="45" spans="1:7" ht="15.75" thickBot="1" x14ac:dyDescent="0.3"/>
    <row r="46" spans="1:7" ht="18.75" x14ac:dyDescent="0.3">
      <c r="A46" s="254" t="s">
        <v>52</v>
      </c>
      <c r="B46" s="255"/>
      <c r="C46" s="255"/>
      <c r="D46" s="255"/>
      <c r="E46" s="255"/>
      <c r="F46" s="255"/>
      <c r="G46" s="255"/>
    </row>
    <row r="47" spans="1:7" ht="18.75" x14ac:dyDescent="0.3">
      <c r="A47" s="257" t="s">
        <v>53</v>
      </c>
      <c r="B47" s="258"/>
      <c r="C47" s="258"/>
      <c r="D47" s="258"/>
      <c r="E47" s="258"/>
      <c r="F47" s="258"/>
      <c r="G47" s="258"/>
    </row>
    <row r="48" spans="1:7" ht="18.75" x14ac:dyDescent="0.3">
      <c r="A48" s="257" t="s">
        <v>83</v>
      </c>
      <c r="B48" s="258"/>
      <c r="C48" s="258"/>
      <c r="D48" s="258"/>
      <c r="E48" s="258"/>
      <c r="F48" s="258"/>
      <c r="G48" s="258"/>
    </row>
    <row r="49" spans="1:7" x14ac:dyDescent="0.25">
      <c r="A49" s="17" t="s">
        <v>84</v>
      </c>
      <c r="B49" s="18">
        <v>13676</v>
      </c>
      <c r="C49" s="18">
        <v>13354</v>
      </c>
      <c r="D49" s="18">
        <v>13400</v>
      </c>
      <c r="E49" s="18"/>
      <c r="F49" s="18"/>
      <c r="G49" s="86" t="s">
        <v>24</v>
      </c>
    </row>
    <row r="50" spans="1:7" x14ac:dyDescent="0.25">
      <c r="A50" s="19" t="s">
        <v>3</v>
      </c>
      <c r="B50" s="20">
        <v>46162</v>
      </c>
      <c r="C50" s="20">
        <v>46170</v>
      </c>
      <c r="D50" s="20">
        <v>46186</v>
      </c>
      <c r="E50" s="20"/>
      <c r="F50" s="20"/>
      <c r="G50" s="87">
        <v>46192</v>
      </c>
    </row>
    <row r="51" spans="1:7" x14ac:dyDescent="0.25">
      <c r="A51" s="80" t="s">
        <v>85</v>
      </c>
      <c r="B51" s="65">
        <v>2</v>
      </c>
      <c r="C51" s="24"/>
      <c r="D51" s="45">
        <v>-2</v>
      </c>
      <c r="E51" s="24"/>
      <c r="F51" s="24"/>
      <c r="G51" s="88">
        <f t="shared" ref="G51:G56" si="3">SUM(B51:E51)</f>
        <v>0</v>
      </c>
    </row>
    <row r="52" spans="1:7" x14ac:dyDescent="0.25">
      <c r="A52" s="80" t="s">
        <v>86</v>
      </c>
      <c r="B52" s="65">
        <v>2</v>
      </c>
      <c r="C52" s="24"/>
      <c r="D52" s="45">
        <v>-2</v>
      </c>
      <c r="E52" s="24"/>
      <c r="F52" s="24"/>
      <c r="G52" s="88">
        <f t="shared" si="3"/>
        <v>0</v>
      </c>
    </row>
    <row r="53" spans="1:7" x14ac:dyDescent="0.25">
      <c r="A53" s="80" t="s">
        <v>87</v>
      </c>
      <c r="B53" s="65">
        <v>1</v>
      </c>
      <c r="C53" s="24"/>
      <c r="D53" s="45">
        <v>-1</v>
      </c>
      <c r="E53" s="24"/>
      <c r="F53" s="24"/>
      <c r="G53" s="88">
        <f t="shared" si="3"/>
        <v>0</v>
      </c>
    </row>
    <row r="54" spans="1:7" x14ac:dyDescent="0.25">
      <c r="A54" s="80" t="s">
        <v>88</v>
      </c>
      <c r="B54" s="65">
        <v>5</v>
      </c>
      <c r="C54" s="24"/>
      <c r="D54" s="24">
        <v>-4</v>
      </c>
      <c r="E54" s="24"/>
      <c r="F54" s="24"/>
      <c r="G54" s="88">
        <f t="shared" si="3"/>
        <v>1</v>
      </c>
    </row>
    <row r="55" spans="1:7" x14ac:dyDescent="0.25">
      <c r="A55" s="80" t="s">
        <v>89</v>
      </c>
      <c r="B55" s="65">
        <v>4</v>
      </c>
      <c r="C55" s="24">
        <v>-2</v>
      </c>
      <c r="D55" s="45">
        <v>-2</v>
      </c>
      <c r="E55" s="24"/>
      <c r="F55" s="24"/>
      <c r="G55" s="88">
        <f t="shared" si="3"/>
        <v>0</v>
      </c>
    </row>
    <row r="56" spans="1:7" x14ac:dyDescent="0.25">
      <c r="A56" s="80" t="s">
        <v>25</v>
      </c>
      <c r="B56" s="65">
        <v>3</v>
      </c>
      <c r="C56" s="24">
        <v>-3</v>
      </c>
      <c r="D56" s="24"/>
      <c r="E56" s="24"/>
      <c r="F56" s="24"/>
      <c r="G56" s="88">
        <f t="shared" si="3"/>
        <v>0</v>
      </c>
    </row>
    <row r="57" spans="1:7" x14ac:dyDescent="0.25">
      <c r="A57" s="80"/>
      <c r="B57" s="23"/>
      <c r="C57" s="24"/>
      <c r="D57" s="24"/>
      <c r="E57" s="24"/>
      <c r="F57" s="24"/>
      <c r="G57" s="88"/>
    </row>
    <row r="58" spans="1:7" x14ac:dyDescent="0.25">
      <c r="A58" s="19" t="s">
        <v>29</v>
      </c>
      <c r="B58" s="27">
        <v>0.375</v>
      </c>
      <c r="C58" s="28" t="s">
        <v>90</v>
      </c>
      <c r="D58" s="27">
        <v>0.36805555555555558</v>
      </c>
      <c r="E58" s="28"/>
      <c r="F58" s="28"/>
      <c r="G58" s="29"/>
    </row>
    <row r="59" spans="1:7" x14ac:dyDescent="0.25">
      <c r="A59" s="19" t="s">
        <v>30</v>
      </c>
      <c r="B59" s="30">
        <v>40000</v>
      </c>
      <c r="C59" s="30"/>
      <c r="D59" s="30">
        <v>40000</v>
      </c>
      <c r="E59" s="30"/>
      <c r="F59" s="30"/>
      <c r="G59" s="31">
        <f>SUM(B59:F59)</f>
        <v>80000</v>
      </c>
    </row>
    <row r="60" spans="1:7" x14ac:dyDescent="0.25">
      <c r="A60" s="278"/>
      <c r="B60" s="278"/>
      <c r="C60" s="278"/>
      <c r="D60" s="278"/>
      <c r="E60" s="278"/>
      <c r="F60" s="278"/>
      <c r="G60" s="278"/>
    </row>
    <row r="62" spans="1:7" ht="15.75" thickBot="1" x14ac:dyDescent="0.3">
      <c r="A62" s="279" t="s">
        <v>64</v>
      </c>
      <c r="B62" s="279"/>
      <c r="C62" s="279"/>
      <c r="D62" s="279"/>
      <c r="E62" s="279"/>
      <c r="F62" s="279"/>
      <c r="G62" s="279"/>
    </row>
    <row r="63" spans="1:7" x14ac:dyDescent="0.25">
      <c r="A63" s="242" t="s">
        <v>65</v>
      </c>
      <c r="B63" s="243"/>
      <c r="C63" s="243"/>
      <c r="D63" s="243"/>
      <c r="E63" s="243"/>
      <c r="F63" s="243"/>
      <c r="G63" s="244"/>
    </row>
    <row r="64" spans="1:7" ht="18" x14ac:dyDescent="0.25">
      <c r="A64" s="248" t="s">
        <v>66</v>
      </c>
      <c r="B64" s="249"/>
      <c r="C64" s="249"/>
      <c r="D64" s="249"/>
      <c r="E64" s="249"/>
      <c r="F64" s="249"/>
      <c r="G64" s="250"/>
    </row>
    <row r="65" spans="1:7" x14ac:dyDescent="0.25">
      <c r="A65" s="251" t="s">
        <v>3</v>
      </c>
      <c r="B65" s="252" t="s">
        <v>4</v>
      </c>
      <c r="C65" s="252"/>
      <c r="D65" s="252"/>
      <c r="E65" s="252" t="s">
        <v>5</v>
      </c>
      <c r="F65" s="252"/>
      <c r="G65" s="253" t="s">
        <v>67</v>
      </c>
    </row>
    <row r="66" spans="1:7" x14ac:dyDescent="0.25">
      <c r="A66" s="251"/>
      <c r="B66" s="1" t="s">
        <v>6</v>
      </c>
      <c r="C66" s="1" t="s">
        <v>7</v>
      </c>
      <c r="D66" s="1" t="s">
        <v>8</v>
      </c>
      <c r="E66" s="1" t="s">
        <v>9</v>
      </c>
      <c r="F66" s="1" t="s">
        <v>10</v>
      </c>
      <c r="G66" s="253"/>
    </row>
    <row r="67" spans="1:7" x14ac:dyDescent="0.25">
      <c r="A67" s="3" t="s">
        <v>91</v>
      </c>
      <c r="B67" s="5">
        <v>23</v>
      </c>
      <c r="C67" s="4">
        <v>2</v>
      </c>
      <c r="D67" s="78">
        <v>6200</v>
      </c>
      <c r="E67" s="7">
        <f t="shared" ref="E67:E72" si="4">C67*D67</f>
        <v>12400</v>
      </c>
      <c r="F67" s="7">
        <f t="shared" ref="F67:F72" si="5">B67*E67</f>
        <v>285200</v>
      </c>
      <c r="G67" s="89" t="s">
        <v>92</v>
      </c>
    </row>
    <row r="68" spans="1:7" x14ac:dyDescent="0.25">
      <c r="A68" s="3" t="s">
        <v>86</v>
      </c>
      <c r="B68" s="5">
        <v>23</v>
      </c>
      <c r="C68" s="4">
        <v>2</v>
      </c>
      <c r="D68" s="78">
        <v>600</v>
      </c>
      <c r="E68" s="7">
        <f t="shared" si="4"/>
        <v>1200</v>
      </c>
      <c r="F68" s="7">
        <f t="shared" si="5"/>
        <v>27600</v>
      </c>
      <c r="G68" s="89" t="s">
        <v>92</v>
      </c>
    </row>
    <row r="69" spans="1:7" x14ac:dyDescent="0.25">
      <c r="A69" s="3" t="s">
        <v>93</v>
      </c>
      <c r="B69" s="5">
        <v>23</v>
      </c>
      <c r="C69" s="4">
        <v>1</v>
      </c>
      <c r="D69" s="78">
        <v>500</v>
      </c>
      <c r="E69" s="7">
        <f t="shared" si="4"/>
        <v>500</v>
      </c>
      <c r="F69" s="7">
        <f t="shared" si="5"/>
        <v>11500</v>
      </c>
      <c r="G69" s="89" t="s">
        <v>92</v>
      </c>
    </row>
    <row r="70" spans="1:7" x14ac:dyDescent="0.25">
      <c r="A70" s="3" t="s">
        <v>94</v>
      </c>
      <c r="B70" s="5">
        <v>23</v>
      </c>
      <c r="C70" s="4">
        <v>5</v>
      </c>
      <c r="D70" s="78">
        <v>400</v>
      </c>
      <c r="E70" s="7">
        <f t="shared" si="4"/>
        <v>2000</v>
      </c>
      <c r="F70" s="7">
        <f t="shared" si="5"/>
        <v>46000</v>
      </c>
      <c r="G70" s="89" t="s">
        <v>92</v>
      </c>
    </row>
    <row r="71" spans="1:7" x14ac:dyDescent="0.25">
      <c r="A71" s="3" t="s">
        <v>89</v>
      </c>
      <c r="B71" s="5">
        <v>23</v>
      </c>
      <c r="C71" s="4">
        <v>4</v>
      </c>
      <c r="D71" s="78">
        <v>200</v>
      </c>
      <c r="E71" s="7">
        <f t="shared" si="4"/>
        <v>800</v>
      </c>
      <c r="F71" s="7">
        <f t="shared" si="5"/>
        <v>18400</v>
      </c>
      <c r="G71" s="89" t="s">
        <v>92</v>
      </c>
    </row>
    <row r="72" spans="1:7" ht="15.75" thickBot="1" x14ac:dyDescent="0.3">
      <c r="A72" s="3" t="s">
        <v>25</v>
      </c>
      <c r="B72" s="5">
        <v>23</v>
      </c>
      <c r="C72" s="4">
        <v>3</v>
      </c>
      <c r="D72" s="78">
        <v>400</v>
      </c>
      <c r="E72" s="7">
        <f t="shared" si="4"/>
        <v>1200</v>
      </c>
      <c r="F72" s="90">
        <f t="shared" si="5"/>
        <v>27600</v>
      </c>
      <c r="G72" s="91" t="s">
        <v>92</v>
      </c>
    </row>
    <row r="73" spans="1:7" ht="18.75" x14ac:dyDescent="0.4">
      <c r="A73" s="232"/>
      <c r="B73" s="233"/>
      <c r="C73" s="236" t="s">
        <v>20</v>
      </c>
      <c r="D73" s="236"/>
      <c r="E73" s="92">
        <f>SUM(F67:F72)</f>
        <v>416300</v>
      </c>
      <c r="F73" s="93"/>
      <c r="G73" s="94"/>
    </row>
    <row r="74" spans="1:7" ht="18.75" x14ac:dyDescent="0.4">
      <c r="A74" s="232"/>
      <c r="B74" s="233"/>
      <c r="C74" s="236" t="s">
        <v>95</v>
      </c>
      <c r="D74" s="236"/>
      <c r="E74" s="95">
        <v>80000</v>
      </c>
      <c r="F74" s="96"/>
      <c r="G74" s="97"/>
    </row>
    <row r="75" spans="1:7" ht="19.5" thickBot="1" x14ac:dyDescent="0.45">
      <c r="A75" s="234"/>
      <c r="B75" s="235"/>
      <c r="C75" s="241" t="s">
        <v>20</v>
      </c>
      <c r="D75" s="241"/>
      <c r="E75" s="98">
        <f>SUM(E73:E74)</f>
        <v>496300</v>
      </c>
      <c r="F75" s="99"/>
      <c r="G75" s="100"/>
    </row>
    <row r="76" spans="1:7" ht="18.75" x14ac:dyDescent="0.4">
      <c r="A76" s="32" t="s">
        <v>96</v>
      </c>
      <c r="B76" s="32"/>
      <c r="C76" s="32"/>
      <c r="D76" s="32"/>
      <c r="E76" s="33">
        <f>E44+E75</f>
        <v>1630400</v>
      </c>
    </row>
    <row r="77" spans="1:7" x14ac:dyDescent="0.25">
      <c r="A77" t="s">
        <v>97</v>
      </c>
      <c r="B77" s="36">
        <v>46196</v>
      </c>
      <c r="E77">
        <v>1630400</v>
      </c>
    </row>
  </sheetData>
  <mergeCells count="30">
    <mergeCell ref="A48:G48"/>
    <mergeCell ref="A1:I1"/>
    <mergeCell ref="A2:I2"/>
    <mergeCell ref="A3:I3"/>
    <mergeCell ref="A23:G23"/>
    <mergeCell ref="A24:G24"/>
    <mergeCell ref="A25:G25"/>
    <mergeCell ref="A26:A27"/>
    <mergeCell ref="B26:D26"/>
    <mergeCell ref="E26:F26"/>
    <mergeCell ref="G26:G27"/>
    <mergeCell ref="A42:B44"/>
    <mergeCell ref="C42:D42"/>
    <mergeCell ref="F42:G44"/>
    <mergeCell ref="A73:B75"/>
    <mergeCell ref="C73:D73"/>
    <mergeCell ref="C74:D74"/>
    <mergeCell ref="C75:D75"/>
    <mergeCell ref="C43:D43"/>
    <mergeCell ref="C44:D44"/>
    <mergeCell ref="A60:G60"/>
    <mergeCell ref="G65:G66"/>
    <mergeCell ref="A62:G62"/>
    <mergeCell ref="A63:G63"/>
    <mergeCell ref="A64:G64"/>
    <mergeCell ref="A65:A66"/>
    <mergeCell ref="B65:D65"/>
    <mergeCell ref="E65:F65"/>
    <mergeCell ref="A46:G46"/>
    <mergeCell ref="A47:G4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3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E18BB-6423-43C5-8E46-C8E1C1709A99}">
  <sheetPr>
    <pageSetUpPr fitToPage="1"/>
  </sheetPr>
  <dimension ref="A1:F41"/>
  <sheetViews>
    <sheetView topLeftCell="A26" workbookViewId="0">
      <selection activeCell="H36" sqref="H36"/>
    </sheetView>
  </sheetViews>
  <sheetFormatPr baseColWidth="10" defaultRowHeight="15" x14ac:dyDescent="0.25"/>
  <cols>
    <col min="1" max="1" width="28.140625" bestFit="1" customWidth="1"/>
    <col min="5" max="5" width="14.42578125" bestFit="1" customWidth="1"/>
    <col min="6" max="6" width="14.140625" bestFit="1" customWidth="1"/>
  </cols>
  <sheetData>
    <row r="1" spans="1:6" ht="18.75" x14ac:dyDescent="0.3">
      <c r="A1" s="288" t="s">
        <v>113</v>
      </c>
      <c r="B1" s="258"/>
      <c r="C1" s="258"/>
      <c r="D1" s="258"/>
      <c r="E1" s="258"/>
      <c r="F1" s="289"/>
    </row>
    <row r="2" spans="1:6" ht="18.75" x14ac:dyDescent="0.3">
      <c r="A2" s="288" t="s">
        <v>114</v>
      </c>
      <c r="B2" s="258"/>
      <c r="C2" s="258"/>
      <c r="D2" s="258"/>
      <c r="E2" s="258"/>
      <c r="F2" s="289"/>
    </row>
    <row r="3" spans="1:6" ht="18.75" x14ac:dyDescent="0.3">
      <c r="A3" s="288" t="s">
        <v>115</v>
      </c>
      <c r="B3" s="258"/>
      <c r="C3" s="258"/>
      <c r="D3" s="258"/>
      <c r="E3" s="258"/>
      <c r="F3" s="289"/>
    </row>
    <row r="4" spans="1:6" x14ac:dyDescent="0.25">
      <c r="A4" s="290" t="s">
        <v>3</v>
      </c>
      <c r="B4" s="106">
        <v>13792</v>
      </c>
      <c r="C4" s="29">
        <v>13455</v>
      </c>
      <c r="D4" s="29"/>
      <c r="E4" s="29"/>
      <c r="F4" s="106" t="s">
        <v>116</v>
      </c>
    </row>
    <row r="5" spans="1:6" x14ac:dyDescent="0.25">
      <c r="A5" s="291"/>
      <c r="B5" s="20">
        <v>46182</v>
      </c>
      <c r="C5" s="20">
        <v>46200</v>
      </c>
      <c r="D5" s="20"/>
      <c r="E5" s="20"/>
      <c r="F5" s="20">
        <v>46203</v>
      </c>
    </row>
    <row r="6" spans="1:6" x14ac:dyDescent="0.25">
      <c r="A6" s="80" t="s">
        <v>117</v>
      </c>
      <c r="B6" s="107">
        <v>3</v>
      </c>
      <c r="C6" s="45">
        <v>-3</v>
      </c>
      <c r="D6" s="45"/>
      <c r="E6" s="45"/>
      <c r="F6" s="25">
        <f t="shared" ref="F6:F12" si="0">SUM(B6:E6)</f>
        <v>0</v>
      </c>
    </row>
    <row r="7" spans="1:6" x14ac:dyDescent="0.25">
      <c r="A7" s="80" t="s">
        <v>118</v>
      </c>
      <c r="B7" s="107">
        <v>2</v>
      </c>
      <c r="C7" s="45">
        <v>-2</v>
      </c>
      <c r="D7" s="45"/>
      <c r="E7" s="45"/>
      <c r="F7" s="25">
        <f t="shared" si="0"/>
        <v>0</v>
      </c>
    </row>
    <row r="8" spans="1:6" x14ac:dyDescent="0.25">
      <c r="A8" s="80" t="s">
        <v>119</v>
      </c>
      <c r="B8" s="107">
        <v>2</v>
      </c>
      <c r="C8" s="45">
        <v>-2</v>
      </c>
      <c r="D8" s="45"/>
      <c r="E8" s="45"/>
      <c r="F8" s="25">
        <f t="shared" si="0"/>
        <v>0</v>
      </c>
    </row>
    <row r="9" spans="1:6" x14ac:dyDescent="0.25">
      <c r="A9" s="80" t="s">
        <v>87</v>
      </c>
      <c r="B9" s="107">
        <v>1</v>
      </c>
      <c r="C9" s="45">
        <v>-1</v>
      </c>
      <c r="D9" s="45"/>
      <c r="E9" s="45"/>
      <c r="F9" s="25">
        <f t="shared" si="0"/>
        <v>0</v>
      </c>
    </row>
    <row r="10" spans="1:6" x14ac:dyDescent="0.25">
      <c r="A10" s="80" t="s">
        <v>120</v>
      </c>
      <c r="B10" s="107">
        <v>1</v>
      </c>
      <c r="C10" s="45">
        <v>-1</v>
      </c>
      <c r="D10" s="45"/>
      <c r="E10" s="45"/>
      <c r="F10" s="25">
        <f t="shared" si="0"/>
        <v>0</v>
      </c>
    </row>
    <row r="11" spans="1:6" x14ac:dyDescent="0.25">
      <c r="A11" s="80" t="s">
        <v>121</v>
      </c>
      <c r="B11" s="107">
        <v>1</v>
      </c>
      <c r="C11" s="45">
        <v>-1</v>
      </c>
      <c r="D11" s="45"/>
      <c r="E11" s="45"/>
      <c r="F11" s="25">
        <f t="shared" si="0"/>
        <v>0</v>
      </c>
    </row>
    <row r="12" spans="1:6" x14ac:dyDescent="0.25">
      <c r="A12" s="80" t="s">
        <v>122</v>
      </c>
      <c r="B12" s="107">
        <v>2</v>
      </c>
      <c r="C12" s="45">
        <v>-1</v>
      </c>
      <c r="D12" s="45"/>
      <c r="E12" s="45"/>
      <c r="F12" s="164">
        <f t="shared" si="0"/>
        <v>1</v>
      </c>
    </row>
    <row r="13" spans="1:6" x14ac:dyDescent="0.25">
      <c r="A13" s="80" t="s">
        <v>123</v>
      </c>
      <c r="B13" s="107">
        <v>6</v>
      </c>
      <c r="C13" s="45"/>
      <c r="D13" s="45"/>
      <c r="E13" s="45"/>
      <c r="F13" s="164">
        <f>SUM(B13:E13)</f>
        <v>6</v>
      </c>
    </row>
    <row r="14" spans="1:6" x14ac:dyDescent="0.25">
      <c r="A14" s="80" t="s">
        <v>124</v>
      </c>
      <c r="B14" s="107">
        <v>3</v>
      </c>
      <c r="C14" s="45">
        <v>-3</v>
      </c>
      <c r="D14" s="45"/>
      <c r="E14" s="45"/>
      <c r="F14" s="25">
        <f>SUM(B14:E14)</f>
        <v>0</v>
      </c>
    </row>
    <row r="15" spans="1:6" x14ac:dyDescent="0.25">
      <c r="A15" s="80" t="s">
        <v>125</v>
      </c>
      <c r="B15" s="107">
        <v>5</v>
      </c>
      <c r="C15" s="45">
        <v>-5</v>
      </c>
      <c r="D15" s="45"/>
      <c r="E15" s="45"/>
      <c r="F15" s="25">
        <f>SUM(B15:E15)</f>
        <v>0</v>
      </c>
    </row>
    <row r="16" spans="1:6" x14ac:dyDescent="0.25">
      <c r="A16" s="108" t="s">
        <v>126</v>
      </c>
      <c r="B16" s="28">
        <v>0.20833333333333334</v>
      </c>
      <c r="C16" s="27">
        <v>6.25E-2</v>
      </c>
      <c r="D16" s="27"/>
      <c r="E16" s="27"/>
      <c r="F16" s="29"/>
    </row>
    <row r="17" spans="1:6" x14ac:dyDescent="0.25">
      <c r="A17" s="108" t="s">
        <v>127</v>
      </c>
      <c r="B17" s="109">
        <v>100000</v>
      </c>
      <c r="C17" s="109">
        <v>100000</v>
      </c>
      <c r="D17" s="109"/>
      <c r="E17" s="109"/>
      <c r="F17" s="31"/>
    </row>
    <row r="19" spans="1:6" ht="15.75" thickBot="1" x14ac:dyDescent="0.3"/>
    <row r="20" spans="1:6" ht="19.5" thickBot="1" x14ac:dyDescent="0.45">
      <c r="A20" s="300" t="s">
        <v>98</v>
      </c>
      <c r="B20" s="301"/>
      <c r="C20" s="301"/>
      <c r="D20" s="301"/>
      <c r="E20" s="301"/>
      <c r="F20" s="302"/>
    </row>
    <row r="21" spans="1:6" x14ac:dyDescent="0.25">
      <c r="A21" s="260" t="s">
        <v>99</v>
      </c>
      <c r="B21" s="261"/>
      <c r="C21" s="261"/>
      <c r="D21" s="261"/>
      <c r="E21" s="261"/>
      <c r="F21" s="262"/>
    </row>
    <row r="22" spans="1:6" ht="18" x14ac:dyDescent="0.25">
      <c r="A22" s="263" t="s">
        <v>100</v>
      </c>
      <c r="B22" s="264"/>
      <c r="C22" s="264"/>
      <c r="D22" s="264"/>
      <c r="E22" s="264"/>
      <c r="F22" s="265"/>
    </row>
    <row r="23" spans="1:6" x14ac:dyDescent="0.25">
      <c r="A23" s="251" t="s">
        <v>3</v>
      </c>
      <c r="B23" s="252" t="s">
        <v>4</v>
      </c>
      <c r="C23" s="252"/>
      <c r="D23" s="252"/>
      <c r="E23" s="252" t="s">
        <v>5</v>
      </c>
      <c r="F23" s="274"/>
    </row>
    <row r="24" spans="1:6" x14ac:dyDescent="0.25">
      <c r="A24" s="251"/>
      <c r="B24" s="1" t="s">
        <v>6</v>
      </c>
      <c r="C24" s="1" t="s">
        <v>7</v>
      </c>
      <c r="D24" s="1" t="s">
        <v>8</v>
      </c>
      <c r="E24" s="1" t="s">
        <v>9</v>
      </c>
      <c r="F24" s="2" t="s">
        <v>10</v>
      </c>
    </row>
    <row r="25" spans="1:6" x14ac:dyDescent="0.25">
      <c r="A25" s="3" t="s">
        <v>101</v>
      </c>
      <c r="B25" s="4">
        <v>18</v>
      </c>
      <c r="C25" s="101">
        <v>3</v>
      </c>
      <c r="D25" s="78">
        <v>6000</v>
      </c>
      <c r="E25" s="7">
        <f>C25*D25</f>
        <v>18000</v>
      </c>
      <c r="F25" s="8">
        <f>B25*E25</f>
        <v>324000</v>
      </c>
    </row>
    <row r="26" spans="1:6" x14ac:dyDescent="0.25">
      <c r="A26" s="3" t="s">
        <v>102</v>
      </c>
      <c r="B26" s="4">
        <v>18</v>
      </c>
      <c r="C26" s="101">
        <v>2</v>
      </c>
      <c r="D26" s="78">
        <v>550</v>
      </c>
      <c r="E26" s="7">
        <f t="shared" ref="E26:E35" si="1">C26*D26</f>
        <v>1100</v>
      </c>
      <c r="F26" s="8">
        <f t="shared" ref="F26:F35" si="2">B26*E26</f>
        <v>19800</v>
      </c>
    </row>
    <row r="27" spans="1:6" x14ac:dyDescent="0.25">
      <c r="A27" s="3" t="s">
        <v>103</v>
      </c>
      <c r="B27" s="4">
        <v>18</v>
      </c>
      <c r="C27" s="101">
        <v>2</v>
      </c>
      <c r="D27" s="78">
        <v>500</v>
      </c>
      <c r="E27" s="7">
        <f t="shared" si="1"/>
        <v>1000</v>
      </c>
      <c r="F27" s="8">
        <f t="shared" si="2"/>
        <v>18000</v>
      </c>
    </row>
    <row r="28" spans="1:6" x14ac:dyDescent="0.25">
      <c r="A28" s="3" t="s">
        <v>93</v>
      </c>
      <c r="B28" s="4">
        <v>18</v>
      </c>
      <c r="C28" s="101">
        <v>1</v>
      </c>
      <c r="D28" s="78">
        <v>500</v>
      </c>
      <c r="E28" s="7">
        <f t="shared" si="1"/>
        <v>500</v>
      </c>
      <c r="F28" s="8">
        <f t="shared" si="2"/>
        <v>9000</v>
      </c>
    </row>
    <row r="29" spans="1:6" x14ac:dyDescent="0.25">
      <c r="A29" s="3" t="s">
        <v>104</v>
      </c>
      <c r="B29" s="4">
        <v>18</v>
      </c>
      <c r="C29" s="101">
        <v>1</v>
      </c>
      <c r="D29" s="78">
        <v>400</v>
      </c>
      <c r="E29" s="7">
        <f t="shared" si="1"/>
        <v>400</v>
      </c>
      <c r="F29" s="8">
        <f t="shared" si="2"/>
        <v>7200</v>
      </c>
    </row>
    <row r="30" spans="1:6" x14ac:dyDescent="0.25">
      <c r="A30" s="3" t="s">
        <v>105</v>
      </c>
      <c r="B30" s="4">
        <v>18</v>
      </c>
      <c r="C30" s="101">
        <v>3</v>
      </c>
      <c r="D30" s="78">
        <v>180</v>
      </c>
      <c r="E30" s="7">
        <f t="shared" si="1"/>
        <v>540</v>
      </c>
      <c r="F30" s="8">
        <f t="shared" si="2"/>
        <v>9720</v>
      </c>
    </row>
    <row r="31" spans="1:6" x14ac:dyDescent="0.25">
      <c r="A31" s="3" t="s">
        <v>106</v>
      </c>
      <c r="B31" s="4">
        <v>18</v>
      </c>
      <c r="C31" s="101">
        <v>5</v>
      </c>
      <c r="D31" s="78">
        <v>350</v>
      </c>
      <c r="E31" s="7">
        <f t="shared" si="1"/>
        <v>1750</v>
      </c>
      <c r="F31" s="8">
        <f t="shared" si="2"/>
        <v>31500</v>
      </c>
    </row>
    <row r="32" spans="1:6" x14ac:dyDescent="0.25">
      <c r="A32" s="3" t="s">
        <v>107</v>
      </c>
      <c r="B32" s="4">
        <v>18</v>
      </c>
      <c r="C32" s="101">
        <v>1</v>
      </c>
      <c r="D32" s="78">
        <v>2500</v>
      </c>
      <c r="E32" s="7">
        <f t="shared" si="1"/>
        <v>2500</v>
      </c>
      <c r="F32" s="8">
        <f t="shared" si="2"/>
        <v>45000</v>
      </c>
    </row>
    <row r="33" spans="1:6" x14ac:dyDescent="0.25">
      <c r="A33" s="3" t="s">
        <v>108</v>
      </c>
      <c r="B33" s="4">
        <v>18</v>
      </c>
      <c r="C33" s="101">
        <v>2</v>
      </c>
      <c r="D33" s="78">
        <v>2000</v>
      </c>
      <c r="E33" s="7">
        <f t="shared" si="1"/>
        <v>4000</v>
      </c>
      <c r="F33" s="8">
        <f t="shared" si="2"/>
        <v>72000</v>
      </c>
    </row>
    <row r="34" spans="1:6" x14ac:dyDescent="0.25">
      <c r="A34" s="3" t="s">
        <v>68</v>
      </c>
      <c r="B34" s="4">
        <v>18</v>
      </c>
      <c r="C34" s="101">
        <v>3</v>
      </c>
      <c r="D34" s="78">
        <v>1300</v>
      </c>
      <c r="E34" s="7">
        <f t="shared" si="1"/>
        <v>3900</v>
      </c>
      <c r="F34" s="8">
        <f t="shared" si="2"/>
        <v>70200</v>
      </c>
    </row>
    <row r="35" spans="1:6" x14ac:dyDescent="0.25">
      <c r="A35" s="3" t="s">
        <v>109</v>
      </c>
      <c r="B35" s="4">
        <v>18</v>
      </c>
      <c r="C35" s="101">
        <v>4</v>
      </c>
      <c r="D35" s="78">
        <v>750</v>
      </c>
      <c r="E35" s="7">
        <f t="shared" si="1"/>
        <v>3000</v>
      </c>
      <c r="F35" s="8">
        <f t="shared" si="2"/>
        <v>54000</v>
      </c>
    </row>
    <row r="36" spans="1:6" ht="18.75" x14ac:dyDescent="0.4">
      <c r="A36" s="292"/>
      <c r="B36" s="293"/>
      <c r="C36" s="296" t="s">
        <v>110</v>
      </c>
      <c r="D36" s="296"/>
      <c r="E36" s="102">
        <f>SUM(E25:E35)*1.19</f>
        <v>43661.1</v>
      </c>
      <c r="F36" s="253"/>
    </row>
    <row r="37" spans="1:6" ht="18.75" x14ac:dyDescent="0.4">
      <c r="A37" s="292"/>
      <c r="B37" s="293"/>
      <c r="C37" s="298" t="s">
        <v>129</v>
      </c>
      <c r="D37" s="299"/>
      <c r="E37" s="103">
        <f>SUM(F25:F35)</f>
        <v>660420</v>
      </c>
      <c r="F37" s="253"/>
    </row>
    <row r="38" spans="1:6" ht="18.75" x14ac:dyDescent="0.4">
      <c r="A38" s="292"/>
      <c r="B38" s="293"/>
      <c r="C38" s="298" t="s">
        <v>111</v>
      </c>
      <c r="D38" s="299"/>
      <c r="E38" s="104">
        <v>200000</v>
      </c>
      <c r="F38" s="253"/>
    </row>
    <row r="39" spans="1:6" ht="19.5" thickBot="1" x14ac:dyDescent="0.45">
      <c r="A39" s="294"/>
      <c r="B39" s="295"/>
      <c r="C39" s="241" t="s">
        <v>112</v>
      </c>
      <c r="D39" s="241"/>
      <c r="E39" s="47">
        <f>SUM(E37:E38)</f>
        <v>860420</v>
      </c>
      <c r="F39" s="297"/>
    </row>
    <row r="40" spans="1:6" x14ac:dyDescent="0.25">
      <c r="A40" t="s">
        <v>128</v>
      </c>
      <c r="B40" t="s">
        <v>21</v>
      </c>
      <c r="E40" s="105">
        <v>300000</v>
      </c>
    </row>
    <row r="41" spans="1:6" x14ac:dyDescent="0.25">
      <c r="A41" t="s">
        <v>128</v>
      </c>
      <c r="B41" t="s">
        <v>21</v>
      </c>
      <c r="E41" s="105">
        <v>700000</v>
      </c>
    </row>
  </sheetData>
  <mergeCells count="16">
    <mergeCell ref="A1:F1"/>
    <mergeCell ref="A2:F2"/>
    <mergeCell ref="A3:F3"/>
    <mergeCell ref="A4:A5"/>
    <mergeCell ref="A36:B39"/>
    <mergeCell ref="C36:D36"/>
    <mergeCell ref="F36:F39"/>
    <mergeCell ref="C37:D37"/>
    <mergeCell ref="C38:D38"/>
    <mergeCell ref="C39:D39"/>
    <mergeCell ref="A20:F20"/>
    <mergeCell ref="A21:F21"/>
    <mergeCell ref="A22:F22"/>
    <mergeCell ref="A23:A24"/>
    <mergeCell ref="B23:D23"/>
    <mergeCell ref="E23:F2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6C56-60CA-4B29-B72D-438728482744}">
  <dimension ref="A1:F28"/>
  <sheetViews>
    <sheetView topLeftCell="A13" workbookViewId="0">
      <selection sqref="A1:F28"/>
    </sheetView>
  </sheetViews>
  <sheetFormatPr baseColWidth="10" defaultRowHeight="15" x14ac:dyDescent="0.25"/>
  <cols>
    <col min="1" max="1" width="29.85546875" bestFit="1" customWidth="1"/>
    <col min="5" max="5" width="16.7109375" bestFit="1" customWidth="1"/>
  </cols>
  <sheetData>
    <row r="1" spans="1:6" ht="18.75" x14ac:dyDescent="0.3">
      <c r="A1" s="254" t="s">
        <v>152</v>
      </c>
      <c r="B1" s="255"/>
      <c r="C1" s="255"/>
      <c r="D1" s="255"/>
      <c r="E1" s="256"/>
    </row>
    <row r="2" spans="1:6" ht="18.75" x14ac:dyDescent="0.3">
      <c r="A2" s="257" t="s">
        <v>153</v>
      </c>
      <c r="B2" s="258"/>
      <c r="C2" s="258"/>
      <c r="D2" s="258"/>
      <c r="E2" s="259"/>
    </row>
    <row r="3" spans="1:6" ht="18.75" x14ac:dyDescent="0.3">
      <c r="A3" s="257" t="s">
        <v>48</v>
      </c>
      <c r="B3" s="258"/>
      <c r="C3" s="258"/>
      <c r="D3" s="258"/>
      <c r="E3" s="259"/>
    </row>
    <row r="4" spans="1:6" x14ac:dyDescent="0.25">
      <c r="A4" s="59" t="s">
        <v>3</v>
      </c>
      <c r="B4" s="18">
        <v>13711</v>
      </c>
      <c r="C4" s="18">
        <v>13712</v>
      </c>
      <c r="D4" s="18"/>
      <c r="E4" s="120" t="s">
        <v>24</v>
      </c>
    </row>
    <row r="5" spans="1:6" x14ac:dyDescent="0.25">
      <c r="A5" s="62"/>
      <c r="B5" s="20">
        <v>46189</v>
      </c>
      <c r="C5" s="20">
        <v>46189</v>
      </c>
      <c r="D5" s="20"/>
      <c r="E5" s="121">
        <v>46203</v>
      </c>
    </row>
    <row r="6" spans="1:6" x14ac:dyDescent="0.25">
      <c r="A6" s="122" t="s">
        <v>154</v>
      </c>
      <c r="B6" s="23">
        <v>10</v>
      </c>
      <c r="C6" s="24">
        <v>11</v>
      </c>
      <c r="D6" s="24"/>
      <c r="E6" s="123">
        <f t="shared" ref="E6:E11" si="0">SUM(B6:D6)</f>
        <v>21</v>
      </c>
    </row>
    <row r="7" spans="1:6" x14ac:dyDescent="0.25">
      <c r="A7" s="122" t="s">
        <v>155</v>
      </c>
      <c r="B7" s="23">
        <v>35</v>
      </c>
      <c r="C7" s="24">
        <v>35</v>
      </c>
      <c r="D7" s="24"/>
      <c r="E7" s="123">
        <f t="shared" si="0"/>
        <v>70</v>
      </c>
    </row>
    <row r="8" spans="1:6" x14ac:dyDescent="0.25">
      <c r="A8" s="122" t="s">
        <v>49</v>
      </c>
      <c r="B8" s="23">
        <v>33</v>
      </c>
      <c r="C8" s="24">
        <v>32</v>
      </c>
      <c r="D8" s="24"/>
      <c r="E8" s="123">
        <f t="shared" si="0"/>
        <v>65</v>
      </c>
    </row>
    <row r="9" spans="1:6" x14ac:dyDescent="0.25">
      <c r="A9" s="122" t="s">
        <v>156</v>
      </c>
      <c r="B9" s="23">
        <v>9</v>
      </c>
      <c r="C9" s="24">
        <v>9</v>
      </c>
      <c r="D9" s="24"/>
      <c r="E9" s="123">
        <f t="shared" si="0"/>
        <v>18</v>
      </c>
    </row>
    <row r="10" spans="1:6" x14ac:dyDescent="0.25">
      <c r="A10" s="62" t="s">
        <v>29</v>
      </c>
      <c r="B10" s="27">
        <v>0.35416666666666669</v>
      </c>
      <c r="C10" s="28">
        <v>0.42708333333333331</v>
      </c>
      <c r="D10" s="28"/>
      <c r="E10" s="124">
        <f t="shared" si="0"/>
        <v>0.78125</v>
      </c>
    </row>
    <row r="11" spans="1:6" ht="15.75" thickBot="1" x14ac:dyDescent="0.3">
      <c r="A11" s="70" t="s">
        <v>30</v>
      </c>
      <c r="B11" s="125">
        <v>80000</v>
      </c>
      <c r="C11" s="72">
        <v>80000</v>
      </c>
      <c r="D11" s="72"/>
      <c r="E11" s="126">
        <f t="shared" si="0"/>
        <v>160000</v>
      </c>
    </row>
    <row r="13" spans="1:6" ht="15.75" thickBot="1" x14ac:dyDescent="0.3"/>
    <row r="14" spans="1:6" x14ac:dyDescent="0.25">
      <c r="A14" s="260" t="s">
        <v>64</v>
      </c>
      <c r="B14" s="261"/>
      <c r="C14" s="261"/>
      <c r="D14" s="261"/>
      <c r="E14" s="261"/>
      <c r="F14" s="262"/>
    </row>
    <row r="15" spans="1:6" x14ac:dyDescent="0.25">
      <c r="A15" s="303" t="s">
        <v>147</v>
      </c>
      <c r="B15" s="304"/>
      <c r="C15" s="304"/>
      <c r="D15" s="304"/>
      <c r="E15" s="304"/>
      <c r="F15" s="305"/>
    </row>
    <row r="16" spans="1:6" ht="18" x14ac:dyDescent="0.25">
      <c r="A16" s="263" t="s">
        <v>148</v>
      </c>
      <c r="B16" s="264"/>
      <c r="C16" s="264"/>
      <c r="D16" s="264"/>
      <c r="E16" s="264"/>
      <c r="F16" s="265"/>
    </row>
    <row r="17" spans="1:6" x14ac:dyDescent="0.25">
      <c r="A17" s="251" t="s">
        <v>3</v>
      </c>
      <c r="B17" s="252" t="s">
        <v>4</v>
      </c>
      <c r="C17" s="252"/>
      <c r="D17" s="252"/>
      <c r="E17" s="252" t="s">
        <v>5</v>
      </c>
      <c r="F17" s="274"/>
    </row>
    <row r="18" spans="1:6" x14ac:dyDescent="0.25">
      <c r="A18" s="251"/>
      <c r="B18" s="1" t="s">
        <v>6</v>
      </c>
      <c r="C18" s="1" t="s">
        <v>7</v>
      </c>
      <c r="D18" s="1" t="s">
        <v>8</v>
      </c>
      <c r="E18" s="1" t="s">
        <v>9</v>
      </c>
      <c r="F18" s="2" t="s">
        <v>10</v>
      </c>
    </row>
    <row r="19" spans="1:6" x14ac:dyDescent="0.25">
      <c r="A19" s="3" t="s">
        <v>149</v>
      </c>
      <c r="B19" s="4">
        <v>14</v>
      </c>
      <c r="C19" s="5">
        <v>70</v>
      </c>
      <c r="D19" s="6">
        <v>450</v>
      </c>
      <c r="E19" s="7">
        <f t="shared" ref="E19:E23" si="1">C19*D19</f>
        <v>31500</v>
      </c>
      <c r="F19" s="8">
        <f t="shared" ref="F19:F23" si="2">B19*E19</f>
        <v>441000</v>
      </c>
    </row>
    <row r="20" spans="1:6" x14ac:dyDescent="0.25">
      <c r="A20" s="3" t="s">
        <v>150</v>
      </c>
      <c r="B20" s="4">
        <v>14</v>
      </c>
      <c r="C20" s="5">
        <v>18</v>
      </c>
      <c r="D20" s="6">
        <v>300</v>
      </c>
      <c r="E20" s="7">
        <f t="shared" si="1"/>
        <v>5400</v>
      </c>
      <c r="F20" s="8">
        <f t="shared" si="2"/>
        <v>75600</v>
      </c>
    </row>
    <row r="21" spans="1:6" x14ac:dyDescent="0.25">
      <c r="A21" s="39" t="s">
        <v>151</v>
      </c>
      <c r="B21" s="40">
        <v>14</v>
      </c>
      <c r="C21" s="118">
        <v>21</v>
      </c>
      <c r="D21" s="42">
        <v>200</v>
      </c>
      <c r="E21" s="7">
        <f t="shared" si="1"/>
        <v>4200</v>
      </c>
      <c r="F21" s="44">
        <f t="shared" si="2"/>
        <v>58800</v>
      </c>
    </row>
    <row r="22" spans="1:6" x14ac:dyDescent="0.25">
      <c r="A22" s="39" t="s">
        <v>15</v>
      </c>
      <c r="B22" s="40">
        <v>14</v>
      </c>
      <c r="C22" s="118">
        <v>65</v>
      </c>
      <c r="D22" s="42">
        <v>200</v>
      </c>
      <c r="E22" s="7">
        <f t="shared" si="1"/>
        <v>13000</v>
      </c>
      <c r="F22" s="44">
        <f t="shared" si="2"/>
        <v>182000</v>
      </c>
    </row>
    <row r="23" spans="1:6" x14ac:dyDescent="0.25">
      <c r="A23" s="39" t="s">
        <v>157</v>
      </c>
      <c r="B23" s="40">
        <v>1</v>
      </c>
      <c r="C23" s="119">
        <v>8</v>
      </c>
      <c r="D23" s="42">
        <v>2600</v>
      </c>
      <c r="E23" s="7">
        <f t="shared" si="1"/>
        <v>20800</v>
      </c>
      <c r="F23" s="44">
        <f t="shared" si="2"/>
        <v>20800</v>
      </c>
    </row>
    <row r="24" spans="1:6" x14ac:dyDescent="0.25">
      <c r="A24" s="39" t="s">
        <v>158</v>
      </c>
      <c r="B24" s="40">
        <v>1</v>
      </c>
      <c r="C24" s="119">
        <v>1</v>
      </c>
      <c r="D24" s="42">
        <v>2000</v>
      </c>
      <c r="E24" s="7">
        <f t="shared" ref="E24" si="3">C24*D24</f>
        <v>2000</v>
      </c>
      <c r="F24" s="44">
        <f t="shared" ref="F24" si="4">B24*E24</f>
        <v>2000</v>
      </c>
    </row>
    <row r="25" spans="1:6" ht="18.75" x14ac:dyDescent="0.4">
      <c r="A25" s="232" t="s">
        <v>159</v>
      </c>
      <c r="B25" s="233"/>
      <c r="C25" s="266" t="s">
        <v>17</v>
      </c>
      <c r="D25" s="267"/>
      <c r="E25" s="46">
        <f>SUM(E19:E23)</f>
        <v>74900</v>
      </c>
      <c r="F25" s="11"/>
    </row>
    <row r="26" spans="1:6" ht="19.5" thickBot="1" x14ac:dyDescent="0.45">
      <c r="A26" s="272"/>
      <c r="B26" s="273"/>
      <c r="C26" s="241" t="s">
        <v>20</v>
      </c>
      <c r="D26" s="241"/>
      <c r="E26" s="47">
        <f>SUM(F19:F24)</f>
        <v>780200</v>
      </c>
      <c r="F26" s="13"/>
    </row>
    <row r="27" spans="1:6" ht="18.75" x14ac:dyDescent="0.4">
      <c r="A27" s="272"/>
      <c r="B27" s="273"/>
      <c r="C27" s="268" t="s">
        <v>43</v>
      </c>
      <c r="D27" s="269"/>
      <c r="E27" s="48">
        <v>320000</v>
      </c>
      <c r="F27" s="49"/>
    </row>
    <row r="28" spans="1:6" ht="19.5" thickBot="1" x14ac:dyDescent="0.45">
      <c r="A28" s="234"/>
      <c r="B28" s="235"/>
      <c r="C28" s="241" t="s">
        <v>20</v>
      </c>
      <c r="D28" s="241"/>
      <c r="E28" s="50">
        <f>E26+E27</f>
        <v>1100200</v>
      </c>
      <c r="F28" s="51"/>
    </row>
  </sheetData>
  <mergeCells count="14">
    <mergeCell ref="A17:A18"/>
    <mergeCell ref="B17:D17"/>
    <mergeCell ref="E17:F17"/>
    <mergeCell ref="A25:B28"/>
    <mergeCell ref="C25:D25"/>
    <mergeCell ref="C26:D26"/>
    <mergeCell ref="C27:D27"/>
    <mergeCell ref="C28:D28"/>
    <mergeCell ref="A1:E1"/>
    <mergeCell ref="A2:E2"/>
    <mergeCell ref="A14:F14"/>
    <mergeCell ref="A15:F15"/>
    <mergeCell ref="A16:F16"/>
    <mergeCell ref="A3:E3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28C86-6EAB-4EF3-BD51-6AB55F323FDA}">
  <dimension ref="A1:G45"/>
  <sheetViews>
    <sheetView topLeftCell="A30" workbookViewId="0">
      <selection activeCell="E46" sqref="E46"/>
    </sheetView>
  </sheetViews>
  <sheetFormatPr baseColWidth="10" defaultRowHeight="15" x14ac:dyDescent="0.25"/>
  <cols>
    <col min="1" max="1" width="21.7109375" bestFit="1" customWidth="1"/>
    <col min="5" max="5" width="14.42578125" bestFit="1" customWidth="1"/>
  </cols>
  <sheetData>
    <row r="1" spans="1:7" ht="18.75" x14ac:dyDescent="0.3">
      <c r="A1" s="254" t="s">
        <v>165</v>
      </c>
      <c r="B1" s="255"/>
      <c r="C1" s="255"/>
      <c r="D1" s="255"/>
      <c r="E1" s="255"/>
      <c r="F1" s="255"/>
      <c r="G1" s="256"/>
    </row>
    <row r="2" spans="1:7" ht="18.75" x14ac:dyDescent="0.3">
      <c r="A2" s="275" t="s">
        <v>166</v>
      </c>
      <c r="B2" s="258"/>
      <c r="C2" s="258"/>
      <c r="D2" s="258"/>
      <c r="E2" s="258"/>
      <c r="F2" s="258"/>
      <c r="G2" s="259"/>
    </row>
    <row r="3" spans="1:7" ht="18.75" x14ac:dyDescent="0.3">
      <c r="A3" s="257" t="s">
        <v>167</v>
      </c>
      <c r="B3" s="258"/>
      <c r="C3" s="258"/>
      <c r="D3" s="258"/>
      <c r="E3" s="258"/>
      <c r="F3" s="258"/>
      <c r="G3" s="258"/>
    </row>
    <row r="4" spans="1:7" x14ac:dyDescent="0.25">
      <c r="A4" s="17" t="s">
        <v>3</v>
      </c>
      <c r="B4" s="18">
        <v>13800</v>
      </c>
      <c r="C4" s="18">
        <v>13422</v>
      </c>
      <c r="D4" s="18"/>
      <c r="E4" s="18"/>
      <c r="F4" s="18"/>
      <c r="G4" s="56" t="s">
        <v>24</v>
      </c>
    </row>
    <row r="5" spans="1:7" x14ac:dyDescent="0.25">
      <c r="A5" s="19"/>
      <c r="B5" s="20">
        <v>46185</v>
      </c>
      <c r="C5" s="20">
        <v>46193</v>
      </c>
      <c r="D5" s="20"/>
      <c r="E5" s="20"/>
      <c r="F5" s="20"/>
      <c r="G5" s="57">
        <v>46173</v>
      </c>
    </row>
    <row r="6" spans="1:7" x14ac:dyDescent="0.25">
      <c r="A6" s="22" t="s">
        <v>161</v>
      </c>
      <c r="B6" s="23">
        <v>16</v>
      </c>
      <c r="C6" s="24">
        <v>-16</v>
      </c>
      <c r="D6" s="24"/>
      <c r="E6" s="24"/>
      <c r="F6" s="24"/>
      <c r="G6" s="25">
        <f t="shared" ref="G6:G19" si="0">SUM(B6:F6)</f>
        <v>0</v>
      </c>
    </row>
    <row r="7" spans="1:7" x14ac:dyDescent="0.25">
      <c r="A7" s="22" t="s">
        <v>27</v>
      </c>
      <c r="B7" s="23">
        <v>20</v>
      </c>
      <c r="C7" s="24">
        <v>-20</v>
      </c>
      <c r="D7" s="24"/>
      <c r="E7" s="24"/>
      <c r="F7" s="24"/>
      <c r="G7" s="25">
        <f t="shared" si="0"/>
        <v>0</v>
      </c>
    </row>
    <row r="8" spans="1:7" x14ac:dyDescent="0.25">
      <c r="A8" s="22" t="s">
        <v>11</v>
      </c>
      <c r="B8" s="23">
        <v>6</v>
      </c>
      <c r="C8" s="24">
        <v>-6</v>
      </c>
      <c r="D8" s="24"/>
      <c r="E8" s="24"/>
      <c r="F8" s="24"/>
      <c r="G8" s="25">
        <f>SUM(B8:F8)</f>
        <v>0</v>
      </c>
    </row>
    <row r="9" spans="1:7" x14ac:dyDescent="0.25">
      <c r="A9" s="22" t="s">
        <v>168</v>
      </c>
      <c r="B9" s="23">
        <v>6</v>
      </c>
      <c r="C9" s="24">
        <v>-6</v>
      </c>
      <c r="D9" s="24"/>
      <c r="E9" s="24"/>
      <c r="F9" s="24"/>
      <c r="G9" s="25">
        <f>SUM(B9:F9)</f>
        <v>0</v>
      </c>
    </row>
    <row r="10" spans="1:7" x14ac:dyDescent="0.25">
      <c r="A10" s="22" t="s">
        <v>169</v>
      </c>
      <c r="B10" s="23">
        <v>6</v>
      </c>
      <c r="C10" s="24">
        <v>-6</v>
      </c>
      <c r="D10" s="24"/>
      <c r="E10" s="24"/>
      <c r="F10" s="24"/>
      <c r="G10" s="25">
        <f>SUM(B10:F10)</f>
        <v>0</v>
      </c>
    </row>
    <row r="11" spans="1:7" x14ac:dyDescent="0.25">
      <c r="A11" s="22" t="s">
        <v>16</v>
      </c>
      <c r="B11" s="23">
        <v>400</v>
      </c>
      <c r="C11" s="24">
        <v>-400</v>
      </c>
      <c r="D11" s="24"/>
      <c r="E11" s="24"/>
      <c r="F11" s="24"/>
      <c r="G11" s="25">
        <f t="shared" si="0"/>
        <v>0</v>
      </c>
    </row>
    <row r="12" spans="1:7" x14ac:dyDescent="0.25">
      <c r="A12" s="22" t="s">
        <v>162</v>
      </c>
      <c r="B12" s="23">
        <v>8</v>
      </c>
      <c r="C12" s="24">
        <v>-4</v>
      </c>
      <c r="D12" s="24"/>
      <c r="E12" s="24"/>
      <c r="F12" s="24"/>
      <c r="G12" s="26">
        <f t="shared" si="0"/>
        <v>4</v>
      </c>
    </row>
    <row r="13" spans="1:7" x14ac:dyDescent="0.25">
      <c r="A13" s="22" t="s">
        <v>163</v>
      </c>
      <c r="B13" s="23">
        <v>12</v>
      </c>
      <c r="C13" s="24">
        <v>-12</v>
      </c>
      <c r="D13" s="24"/>
      <c r="E13" s="24"/>
      <c r="F13" s="24"/>
      <c r="G13" s="25">
        <f t="shared" si="0"/>
        <v>0</v>
      </c>
    </row>
    <row r="14" spans="1:7" x14ac:dyDescent="0.25">
      <c r="A14" s="22" t="s">
        <v>51</v>
      </c>
      <c r="B14" s="23">
        <v>20</v>
      </c>
      <c r="C14" s="24">
        <v>-17</v>
      </c>
      <c r="D14" s="24"/>
      <c r="E14" s="24"/>
      <c r="F14" s="24"/>
      <c r="G14" s="26">
        <f t="shared" si="0"/>
        <v>3</v>
      </c>
    </row>
    <row r="15" spans="1:7" x14ac:dyDescent="0.25">
      <c r="A15" s="22" t="s">
        <v>170</v>
      </c>
      <c r="B15" s="23">
        <v>1</v>
      </c>
      <c r="C15" s="24">
        <v>-1</v>
      </c>
      <c r="D15" s="24"/>
      <c r="E15" s="24"/>
      <c r="F15" s="24"/>
      <c r="G15" s="25">
        <f t="shared" si="0"/>
        <v>0</v>
      </c>
    </row>
    <row r="16" spans="1:7" x14ac:dyDescent="0.25">
      <c r="A16" s="22" t="s">
        <v>14</v>
      </c>
      <c r="B16" s="23">
        <v>32</v>
      </c>
      <c r="C16" s="24">
        <v>-32</v>
      </c>
      <c r="D16" s="24"/>
      <c r="E16" s="24"/>
      <c r="F16" s="24"/>
      <c r="G16" s="25">
        <f t="shared" si="0"/>
        <v>0</v>
      </c>
    </row>
    <row r="17" spans="1:7" x14ac:dyDescent="0.25">
      <c r="A17" s="22" t="s">
        <v>13</v>
      </c>
      <c r="B17" s="23">
        <v>16</v>
      </c>
      <c r="C17" s="24">
        <v>-16</v>
      </c>
      <c r="D17" s="24"/>
      <c r="E17" s="24"/>
      <c r="F17" s="24"/>
      <c r="G17" s="25">
        <f t="shared" si="0"/>
        <v>0</v>
      </c>
    </row>
    <row r="18" spans="1:7" x14ac:dyDescent="0.25">
      <c r="A18" s="22" t="s">
        <v>171</v>
      </c>
      <c r="B18" s="23">
        <v>2</v>
      </c>
      <c r="C18" s="24">
        <v>-2</v>
      </c>
      <c r="D18" s="24"/>
      <c r="E18" s="24"/>
      <c r="F18" s="24"/>
      <c r="G18" s="25">
        <f t="shared" si="0"/>
        <v>0</v>
      </c>
    </row>
    <row r="19" spans="1:7" x14ac:dyDescent="0.25">
      <c r="A19" s="19" t="s">
        <v>29</v>
      </c>
      <c r="B19" s="27" t="s">
        <v>172</v>
      </c>
      <c r="C19" s="28">
        <v>0.34027777777777779</v>
      </c>
      <c r="D19" s="28"/>
      <c r="E19" s="28"/>
      <c r="F19" s="28"/>
      <c r="G19" s="29">
        <f t="shared" si="0"/>
        <v>0.34027777777777779</v>
      </c>
    </row>
    <row r="20" spans="1:7" x14ac:dyDescent="0.25">
      <c r="A20" s="19" t="s">
        <v>30</v>
      </c>
      <c r="B20" s="58">
        <v>60000</v>
      </c>
      <c r="C20" s="58">
        <v>60000</v>
      </c>
      <c r="D20" s="30"/>
      <c r="E20" s="30"/>
      <c r="F20" s="30"/>
      <c r="G20" s="31">
        <f>SUM(B20:F20)</f>
        <v>120000</v>
      </c>
    </row>
    <row r="24" spans="1:7" ht="18" x14ac:dyDescent="0.25">
      <c r="A24" s="248" t="s">
        <v>160</v>
      </c>
      <c r="B24" s="249"/>
      <c r="C24" s="249"/>
      <c r="D24" s="249"/>
      <c r="E24" s="249"/>
      <c r="F24" s="249"/>
    </row>
    <row r="25" spans="1:7" ht="18" x14ac:dyDescent="0.25">
      <c r="A25" s="263" t="s">
        <v>2</v>
      </c>
      <c r="B25" s="264"/>
      <c r="C25" s="264"/>
      <c r="D25" s="264"/>
      <c r="E25" s="264"/>
      <c r="F25" s="277"/>
    </row>
    <row r="26" spans="1:7" x14ac:dyDescent="0.25">
      <c r="A26" s="251" t="s">
        <v>3</v>
      </c>
      <c r="B26" s="252" t="s">
        <v>4</v>
      </c>
      <c r="C26" s="252"/>
      <c r="D26" s="252"/>
      <c r="E26" s="252" t="s">
        <v>5</v>
      </c>
      <c r="F26" s="274"/>
    </row>
    <row r="27" spans="1:7" x14ac:dyDescent="0.25">
      <c r="A27" s="251"/>
      <c r="B27" s="1" t="s">
        <v>6</v>
      </c>
      <c r="C27" s="1" t="s">
        <v>7</v>
      </c>
      <c r="D27" s="1" t="s">
        <v>8</v>
      </c>
      <c r="E27" s="1" t="s">
        <v>9</v>
      </c>
      <c r="F27" s="2" t="s">
        <v>10</v>
      </c>
    </row>
    <row r="28" spans="1:7" x14ac:dyDescent="0.25">
      <c r="A28" s="3" t="s">
        <v>161</v>
      </c>
      <c r="B28" s="4">
        <v>8</v>
      </c>
      <c r="C28" s="5">
        <v>16</v>
      </c>
      <c r="D28" s="6">
        <v>350</v>
      </c>
      <c r="E28" s="7">
        <f>C28*D28</f>
        <v>5600</v>
      </c>
      <c r="F28" s="8">
        <f>B28*E28</f>
        <v>44800</v>
      </c>
    </row>
    <row r="29" spans="1:7" x14ac:dyDescent="0.25">
      <c r="A29" s="3" t="s">
        <v>27</v>
      </c>
      <c r="B29" s="4">
        <v>8</v>
      </c>
      <c r="C29" s="5">
        <v>16</v>
      </c>
      <c r="D29" s="6">
        <v>300</v>
      </c>
      <c r="E29" s="7">
        <f t="shared" ref="E29:E36" si="1">C29*D29</f>
        <v>4800</v>
      </c>
      <c r="F29" s="8">
        <f t="shared" ref="F29:F36" si="2">B29*E29</f>
        <v>38400</v>
      </c>
    </row>
    <row r="30" spans="1:7" x14ac:dyDescent="0.25">
      <c r="A30" s="39" t="s">
        <v>16</v>
      </c>
      <c r="B30" s="40">
        <v>8</v>
      </c>
      <c r="C30" s="118">
        <v>400</v>
      </c>
      <c r="D30" s="42">
        <v>28</v>
      </c>
      <c r="E30" s="7">
        <f t="shared" si="1"/>
        <v>11200</v>
      </c>
      <c r="F30" s="8">
        <f t="shared" si="2"/>
        <v>89600</v>
      </c>
    </row>
    <row r="31" spans="1:7" x14ac:dyDescent="0.25">
      <c r="A31" s="39" t="s">
        <v>49</v>
      </c>
      <c r="B31" s="40">
        <v>8</v>
      </c>
      <c r="C31" s="118">
        <v>20</v>
      </c>
      <c r="D31" s="42">
        <v>200</v>
      </c>
      <c r="E31" s="7">
        <f t="shared" si="1"/>
        <v>4000</v>
      </c>
      <c r="F31" s="8">
        <f t="shared" si="2"/>
        <v>32000</v>
      </c>
    </row>
    <row r="32" spans="1:7" x14ac:dyDescent="0.25">
      <c r="A32" s="39" t="s">
        <v>162</v>
      </c>
      <c r="B32" s="40">
        <v>8</v>
      </c>
      <c r="C32" s="118">
        <v>8</v>
      </c>
      <c r="D32" s="42">
        <v>100</v>
      </c>
      <c r="E32" s="7">
        <f t="shared" si="1"/>
        <v>800</v>
      </c>
      <c r="F32" s="8">
        <f t="shared" si="2"/>
        <v>6400</v>
      </c>
    </row>
    <row r="33" spans="1:6" x14ac:dyDescent="0.25">
      <c r="A33" s="39" t="s">
        <v>163</v>
      </c>
      <c r="B33" s="40">
        <v>8</v>
      </c>
      <c r="C33" s="118">
        <v>3</v>
      </c>
      <c r="D33" s="42">
        <v>80</v>
      </c>
      <c r="E33" s="7">
        <f t="shared" si="1"/>
        <v>240</v>
      </c>
      <c r="F33" s="8">
        <f t="shared" si="2"/>
        <v>1920</v>
      </c>
    </row>
    <row r="34" spans="1:6" x14ac:dyDescent="0.25">
      <c r="A34" s="39" t="s">
        <v>51</v>
      </c>
      <c r="B34" s="40">
        <v>8</v>
      </c>
      <c r="C34" s="118">
        <v>22</v>
      </c>
      <c r="D34" s="42">
        <v>21</v>
      </c>
      <c r="E34" s="7">
        <f t="shared" si="1"/>
        <v>462</v>
      </c>
      <c r="F34" s="8">
        <f t="shared" si="2"/>
        <v>3696</v>
      </c>
    </row>
    <row r="35" spans="1:6" x14ac:dyDescent="0.25">
      <c r="A35" s="39" t="s">
        <v>13</v>
      </c>
      <c r="B35" s="40">
        <v>8</v>
      </c>
      <c r="C35" s="118">
        <v>16</v>
      </c>
      <c r="D35" s="42">
        <v>120</v>
      </c>
      <c r="E35" s="7">
        <f t="shared" si="1"/>
        <v>1920</v>
      </c>
      <c r="F35" s="8">
        <f t="shared" si="2"/>
        <v>15360</v>
      </c>
    </row>
    <row r="36" spans="1:6" x14ac:dyDescent="0.25">
      <c r="A36" s="39" t="s">
        <v>14</v>
      </c>
      <c r="B36" s="40">
        <v>8</v>
      </c>
      <c r="C36" s="118">
        <v>32</v>
      </c>
      <c r="D36" s="42">
        <v>100</v>
      </c>
      <c r="E36" s="7">
        <f t="shared" si="1"/>
        <v>3200</v>
      </c>
      <c r="F36" s="8">
        <f t="shared" si="2"/>
        <v>25600</v>
      </c>
    </row>
    <row r="37" spans="1:6" ht="18.75" x14ac:dyDescent="0.4">
      <c r="A37" s="232"/>
      <c r="B37" s="233"/>
      <c r="C37" s="236" t="s">
        <v>17</v>
      </c>
      <c r="D37" s="236"/>
      <c r="E37" s="46">
        <f>SUM(E28:E36)</f>
        <v>32222</v>
      </c>
      <c r="F37" s="11"/>
    </row>
    <row r="38" spans="1:6" ht="19.5" thickBot="1" x14ac:dyDescent="0.45">
      <c r="A38" s="272"/>
      <c r="B38" s="273"/>
      <c r="C38" s="241" t="s">
        <v>20</v>
      </c>
      <c r="D38" s="241"/>
      <c r="E38" s="47">
        <f>SUM(F28:F36)</f>
        <v>257776</v>
      </c>
      <c r="F38" s="13"/>
    </row>
    <row r="39" spans="1:6" ht="18.75" x14ac:dyDescent="0.4">
      <c r="A39" s="272"/>
      <c r="B39" s="273"/>
      <c r="C39" s="268" t="s">
        <v>43</v>
      </c>
      <c r="D39" s="269"/>
      <c r="E39" s="48">
        <v>120000</v>
      </c>
      <c r="F39" s="49"/>
    </row>
    <row r="40" spans="1:6" ht="19.5" thickBot="1" x14ac:dyDescent="0.45">
      <c r="A40" s="234"/>
      <c r="B40" s="235"/>
      <c r="C40" s="241" t="s">
        <v>20</v>
      </c>
      <c r="D40" s="241"/>
      <c r="E40" s="50">
        <f>E38+E39</f>
        <v>377776</v>
      </c>
      <c r="F40" s="51"/>
    </row>
    <row r="41" spans="1:6" ht="18.75" x14ac:dyDescent="0.3">
      <c r="A41" s="128" t="s">
        <v>164</v>
      </c>
      <c r="B41" s="128">
        <v>4</v>
      </c>
      <c r="C41" s="128">
        <v>3500</v>
      </c>
      <c r="D41" s="128"/>
      <c r="E41" s="129">
        <f>B41*C41</f>
        <v>14000</v>
      </c>
      <c r="F41" s="127"/>
    </row>
    <row r="42" spans="1:6" ht="18.75" x14ac:dyDescent="0.3">
      <c r="A42" s="128" t="s">
        <v>51</v>
      </c>
      <c r="B42" s="128">
        <v>4</v>
      </c>
      <c r="C42" s="128">
        <v>2000</v>
      </c>
      <c r="D42" s="128"/>
      <c r="E42" s="129">
        <f>C42*B42</f>
        <v>8000</v>
      </c>
      <c r="F42" s="127"/>
    </row>
    <row r="43" spans="1:6" ht="18.75" x14ac:dyDescent="0.3">
      <c r="A43" s="307" t="s">
        <v>173</v>
      </c>
      <c r="B43" s="307"/>
      <c r="C43" s="307"/>
      <c r="D43" s="307"/>
      <c r="E43" s="115">
        <f>E40+E41+E42</f>
        <v>399776</v>
      </c>
      <c r="F43" s="127"/>
    </row>
    <row r="44" spans="1:6" x14ac:dyDescent="0.25">
      <c r="A44" s="306" t="s">
        <v>174</v>
      </c>
      <c r="B44" s="306"/>
      <c r="C44" s="306"/>
      <c r="D44" s="306"/>
      <c r="E44" s="105">
        <v>500000</v>
      </c>
    </row>
    <row r="45" spans="1:6" x14ac:dyDescent="0.25">
      <c r="A45" s="306" t="s">
        <v>34</v>
      </c>
      <c r="B45" s="306"/>
      <c r="C45" s="306"/>
      <c r="D45" s="306"/>
      <c r="E45" s="130">
        <f>E43-E44</f>
        <v>-100224</v>
      </c>
    </row>
  </sheetData>
  <mergeCells count="16">
    <mergeCell ref="A1:G1"/>
    <mergeCell ref="A2:G2"/>
    <mergeCell ref="A3:G3"/>
    <mergeCell ref="A43:D43"/>
    <mergeCell ref="A44:D44"/>
    <mergeCell ref="A45:D45"/>
    <mergeCell ref="A24:F24"/>
    <mergeCell ref="A25:F25"/>
    <mergeCell ref="A26:A27"/>
    <mergeCell ref="B26:D26"/>
    <mergeCell ref="E26:F26"/>
    <mergeCell ref="A37:B40"/>
    <mergeCell ref="C37:D37"/>
    <mergeCell ref="C38:D38"/>
    <mergeCell ref="C39:D39"/>
    <mergeCell ref="C40:D4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1DB88-460A-494F-952D-B73E49499F45}">
  <sheetPr>
    <pageSetUpPr fitToPage="1"/>
  </sheetPr>
  <dimension ref="A1:Q90"/>
  <sheetViews>
    <sheetView topLeftCell="A69" workbookViewId="0">
      <selection activeCell="A83" sqref="A83:B85"/>
    </sheetView>
  </sheetViews>
  <sheetFormatPr baseColWidth="10" defaultRowHeight="15" x14ac:dyDescent="0.25"/>
  <cols>
    <col min="1" max="1" width="30.85546875" bestFit="1" customWidth="1"/>
    <col min="3" max="3" width="14.5703125" bestFit="1" customWidth="1"/>
    <col min="5" max="5" width="16.7109375" bestFit="1" customWidth="1"/>
    <col min="6" max="6" width="14.140625" bestFit="1" customWidth="1"/>
    <col min="7" max="7" width="28" customWidth="1"/>
  </cols>
  <sheetData>
    <row r="1" spans="1:17" ht="18.75" x14ac:dyDescent="0.3">
      <c r="A1" s="254" t="s">
        <v>175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308"/>
    </row>
    <row r="2" spans="1:17" ht="18.75" x14ac:dyDescent="0.3">
      <c r="A2" s="257" t="s">
        <v>176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89"/>
    </row>
    <row r="3" spans="1:17" ht="18.75" x14ac:dyDescent="0.3">
      <c r="A3" s="257"/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89"/>
    </row>
    <row r="4" spans="1:17" x14ac:dyDescent="0.25">
      <c r="A4" s="17" t="s">
        <v>84</v>
      </c>
      <c r="B4" s="18" t="s">
        <v>116</v>
      </c>
      <c r="C4" s="18">
        <v>13787</v>
      </c>
      <c r="D4" s="18">
        <v>13789</v>
      </c>
      <c r="E4" s="18">
        <v>13791</v>
      </c>
      <c r="F4" s="18">
        <v>13795</v>
      </c>
      <c r="G4" s="18">
        <v>13793</v>
      </c>
      <c r="H4" s="18">
        <v>13799</v>
      </c>
      <c r="I4" s="131">
        <v>13396</v>
      </c>
      <c r="J4" s="18">
        <v>13729</v>
      </c>
      <c r="K4" s="131">
        <v>13430</v>
      </c>
      <c r="L4" s="131">
        <v>13445</v>
      </c>
      <c r="M4" s="131">
        <v>13446</v>
      </c>
      <c r="N4" s="131">
        <v>13448</v>
      </c>
      <c r="O4" s="131">
        <v>13743</v>
      </c>
      <c r="P4" s="131">
        <v>13451</v>
      </c>
      <c r="Q4" s="18" t="s">
        <v>24</v>
      </c>
    </row>
    <row r="5" spans="1:17" x14ac:dyDescent="0.25">
      <c r="A5" s="19" t="s">
        <v>3</v>
      </c>
      <c r="B5" s="143">
        <v>46168</v>
      </c>
      <c r="C5" s="20">
        <v>46182</v>
      </c>
      <c r="D5" s="20">
        <v>46182</v>
      </c>
      <c r="E5" s="20">
        <v>46182</v>
      </c>
      <c r="F5" s="20">
        <v>46183</v>
      </c>
      <c r="G5" s="20">
        <v>46183</v>
      </c>
      <c r="H5" s="20">
        <v>46185</v>
      </c>
      <c r="I5" s="20">
        <v>46185</v>
      </c>
      <c r="J5" s="20">
        <v>46195</v>
      </c>
      <c r="K5" s="20">
        <v>46195</v>
      </c>
      <c r="L5" s="20">
        <v>46199</v>
      </c>
      <c r="M5" s="20">
        <v>46199</v>
      </c>
      <c r="N5" s="20">
        <v>46199</v>
      </c>
      <c r="O5" s="20">
        <v>46200</v>
      </c>
      <c r="P5" s="20">
        <v>46200</v>
      </c>
      <c r="Q5" s="20">
        <v>46203</v>
      </c>
    </row>
    <row r="6" spans="1:17" x14ac:dyDescent="0.25">
      <c r="A6" s="80" t="s">
        <v>123</v>
      </c>
      <c r="B6" s="65">
        <v>2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>
        <v>-2</v>
      </c>
      <c r="Q6" s="25">
        <f>SUM(B6:P6)</f>
        <v>0</v>
      </c>
    </row>
    <row r="7" spans="1:17" x14ac:dyDescent="0.25">
      <c r="A7" s="80" t="s">
        <v>171</v>
      </c>
      <c r="B7" s="65">
        <v>2</v>
      </c>
      <c r="C7" s="24"/>
      <c r="D7" s="24"/>
      <c r="E7" s="24"/>
      <c r="F7" s="24"/>
      <c r="G7" s="24"/>
      <c r="H7" s="24"/>
      <c r="I7" s="24"/>
      <c r="J7" s="24"/>
      <c r="K7" s="24"/>
      <c r="L7" s="24"/>
      <c r="P7" s="132">
        <v>-2</v>
      </c>
      <c r="Q7" s="25">
        <f t="shared" ref="Q7:Q32" si="0">SUM(B7:P7)</f>
        <v>0</v>
      </c>
    </row>
    <row r="8" spans="1:17" x14ac:dyDescent="0.25">
      <c r="A8" s="80" t="s">
        <v>177</v>
      </c>
      <c r="B8" s="65">
        <v>2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>
        <v>-2</v>
      </c>
      <c r="Q8" s="25">
        <f t="shared" si="0"/>
        <v>0</v>
      </c>
    </row>
    <row r="9" spans="1:17" x14ac:dyDescent="0.25">
      <c r="A9" s="80" t="s">
        <v>25</v>
      </c>
      <c r="B9" s="65"/>
      <c r="C9" s="133">
        <v>18</v>
      </c>
      <c r="D9" s="133">
        <v>20</v>
      </c>
      <c r="E9" s="133">
        <v>48</v>
      </c>
      <c r="F9" s="133">
        <v>14</v>
      </c>
      <c r="G9" s="133">
        <v>40</v>
      </c>
      <c r="H9" s="24"/>
      <c r="I9" s="148">
        <v>-12</v>
      </c>
      <c r="J9" s="24"/>
      <c r="K9" s="24"/>
      <c r="L9" s="134">
        <v>-14</v>
      </c>
      <c r="M9" s="134">
        <v>-26</v>
      </c>
      <c r="N9" s="134">
        <v>-32</v>
      </c>
      <c r="O9" s="134">
        <v>-32</v>
      </c>
      <c r="P9" s="26">
        <v>-23</v>
      </c>
      <c r="Q9" s="26">
        <f t="shared" si="0"/>
        <v>1</v>
      </c>
    </row>
    <row r="10" spans="1:17" x14ac:dyDescent="0.25">
      <c r="A10" s="80" t="s">
        <v>182</v>
      </c>
      <c r="B10" s="65"/>
      <c r="C10" s="24"/>
      <c r="D10" s="133">
        <v>4</v>
      </c>
      <c r="E10" s="24"/>
      <c r="F10" s="24"/>
      <c r="G10" s="133">
        <v>31</v>
      </c>
      <c r="H10" s="133">
        <v>5</v>
      </c>
      <c r="I10" s="24"/>
      <c r="J10" s="24"/>
      <c r="K10" s="134">
        <v>-22</v>
      </c>
      <c r="L10" s="24">
        <v>-2</v>
      </c>
      <c r="M10" s="136">
        <v>-3</v>
      </c>
      <c r="N10" s="24">
        <v>-4</v>
      </c>
      <c r="O10" s="26">
        <v>-2</v>
      </c>
      <c r="P10" s="24">
        <v>-7</v>
      </c>
      <c r="Q10" s="25">
        <f>SUM(B10:P10)</f>
        <v>0</v>
      </c>
    </row>
    <row r="11" spans="1:17" x14ac:dyDescent="0.25">
      <c r="A11" s="80" t="s">
        <v>184</v>
      </c>
      <c r="B11" s="65"/>
      <c r="C11" s="24"/>
      <c r="D11" s="24"/>
      <c r="E11" s="24"/>
      <c r="F11" s="133">
        <v>8</v>
      </c>
      <c r="G11" s="24"/>
      <c r="H11" s="24"/>
      <c r="I11" s="134">
        <v>-3</v>
      </c>
      <c r="J11" s="24"/>
      <c r="K11" s="134">
        <v>-1</v>
      </c>
      <c r="L11" s="24"/>
      <c r="M11" s="137">
        <v>-1</v>
      </c>
      <c r="N11" s="24">
        <v>-1</v>
      </c>
      <c r="O11" s="26">
        <v>-1</v>
      </c>
      <c r="P11" s="24">
        <v>-1</v>
      </c>
      <c r="Q11" s="25">
        <f>SUM(B11:P11)</f>
        <v>0</v>
      </c>
    </row>
    <row r="12" spans="1:17" x14ac:dyDescent="0.25">
      <c r="A12" s="80" t="s">
        <v>186</v>
      </c>
      <c r="B12" s="65"/>
      <c r="C12" s="24"/>
      <c r="D12" s="24"/>
      <c r="E12" s="24"/>
      <c r="F12" s="133">
        <v>8</v>
      </c>
      <c r="G12" s="24"/>
      <c r="H12" s="133">
        <v>3</v>
      </c>
      <c r="I12" s="24"/>
      <c r="J12" s="138"/>
      <c r="K12" s="138"/>
      <c r="L12" s="138">
        <v>-3</v>
      </c>
      <c r="M12" s="136">
        <v>-1</v>
      </c>
      <c r="N12" s="24">
        <v>-3</v>
      </c>
      <c r="O12" s="138"/>
      <c r="P12" s="138">
        <v>-4</v>
      </c>
      <c r="Q12" s="25">
        <f>SUM(B12:P12)</f>
        <v>0</v>
      </c>
    </row>
    <row r="13" spans="1:17" x14ac:dyDescent="0.25">
      <c r="A13" s="80" t="s">
        <v>168</v>
      </c>
      <c r="B13" s="65"/>
      <c r="C13" s="24"/>
      <c r="D13" s="24"/>
      <c r="E13" s="24"/>
      <c r="F13" s="133">
        <v>8</v>
      </c>
      <c r="G13" s="24"/>
      <c r="H13" s="24"/>
      <c r="I13" s="134">
        <v>-5</v>
      </c>
      <c r="J13" s="138"/>
      <c r="K13" s="138"/>
      <c r="L13" s="138"/>
      <c r="M13" s="136">
        <v>-1</v>
      </c>
      <c r="N13" s="138"/>
      <c r="O13" s="26">
        <v>-1</v>
      </c>
      <c r="P13" s="138">
        <v>-1</v>
      </c>
      <c r="Q13" s="25">
        <f>SUM(B13:P13)</f>
        <v>0</v>
      </c>
    </row>
    <row r="14" spans="1:17" x14ac:dyDescent="0.25">
      <c r="A14" s="80" t="s">
        <v>178</v>
      </c>
      <c r="B14" s="23"/>
      <c r="C14" s="133">
        <v>30</v>
      </c>
      <c r="D14" s="133">
        <v>40</v>
      </c>
      <c r="E14" s="133">
        <v>20</v>
      </c>
      <c r="F14" s="133">
        <v>10</v>
      </c>
      <c r="G14" s="24"/>
      <c r="H14" s="24"/>
      <c r="I14" s="24"/>
      <c r="J14" s="24"/>
      <c r="K14" s="134">
        <v>-19</v>
      </c>
      <c r="L14" s="135">
        <v>-20</v>
      </c>
      <c r="M14" s="136">
        <v>-17</v>
      </c>
      <c r="N14" s="24">
        <v>-12</v>
      </c>
      <c r="O14" s="26">
        <v>-20</v>
      </c>
      <c r="P14" s="24">
        <v>-12</v>
      </c>
      <c r="Q14" s="25">
        <f t="shared" si="0"/>
        <v>0</v>
      </c>
    </row>
    <row r="15" spans="1:17" x14ac:dyDescent="0.25">
      <c r="A15" s="80" t="s">
        <v>179</v>
      </c>
      <c r="B15" s="23"/>
      <c r="C15" s="24"/>
      <c r="D15" s="24"/>
      <c r="E15" s="24"/>
      <c r="F15" s="24"/>
      <c r="G15" s="133">
        <v>20</v>
      </c>
      <c r="H15" s="24"/>
      <c r="I15" s="24"/>
      <c r="J15" s="24"/>
      <c r="K15" s="24"/>
      <c r="L15" s="135">
        <v>-4</v>
      </c>
      <c r="M15" s="136">
        <v>-7</v>
      </c>
      <c r="N15" s="24"/>
      <c r="O15" s="24"/>
      <c r="P15" s="24">
        <v>-9</v>
      </c>
      <c r="Q15" s="25">
        <f t="shared" si="0"/>
        <v>0</v>
      </c>
    </row>
    <row r="16" spans="1:17" x14ac:dyDescent="0.25">
      <c r="A16" s="80" t="s">
        <v>89</v>
      </c>
      <c r="B16" s="23"/>
      <c r="C16" s="133">
        <v>21</v>
      </c>
      <c r="D16" s="133">
        <v>13</v>
      </c>
      <c r="E16" s="24"/>
      <c r="F16" s="24"/>
      <c r="G16" s="24"/>
      <c r="H16" s="24"/>
      <c r="I16" s="24"/>
      <c r="J16" s="24"/>
      <c r="K16" s="134">
        <v>-2</v>
      </c>
      <c r="L16" s="24">
        <v>-3</v>
      </c>
      <c r="M16" s="136">
        <v>-5</v>
      </c>
      <c r="N16" s="24">
        <v>-8</v>
      </c>
      <c r="O16" s="26">
        <v>-8</v>
      </c>
      <c r="P16" s="24">
        <v>-8</v>
      </c>
      <c r="Q16" s="25">
        <f t="shared" si="0"/>
        <v>0</v>
      </c>
    </row>
    <row r="17" spans="1:17" x14ac:dyDescent="0.25">
      <c r="A17" s="80" t="s">
        <v>183</v>
      </c>
      <c r="B17" s="23"/>
      <c r="C17" s="24"/>
      <c r="D17" s="24"/>
      <c r="E17" s="133">
        <v>8</v>
      </c>
      <c r="F17" s="24"/>
      <c r="G17" s="24"/>
      <c r="H17" s="24"/>
      <c r="I17" s="24"/>
      <c r="J17" s="24"/>
      <c r="K17" s="24"/>
      <c r="L17" s="24"/>
      <c r="M17" s="136">
        <v>-4</v>
      </c>
      <c r="N17" s="24">
        <v>-1</v>
      </c>
      <c r="O17" s="24"/>
      <c r="P17" s="24">
        <v>-3</v>
      </c>
      <c r="Q17" s="25">
        <f>SUM(B17:P17)</f>
        <v>0</v>
      </c>
    </row>
    <row r="18" spans="1:17" x14ac:dyDescent="0.25">
      <c r="A18" s="80" t="s">
        <v>180</v>
      </c>
      <c r="B18" s="23"/>
      <c r="C18" s="133">
        <v>200</v>
      </c>
      <c r="D18" s="133">
        <v>400</v>
      </c>
      <c r="E18" s="24"/>
      <c r="F18" s="133">
        <v>500</v>
      </c>
      <c r="G18" s="133">
        <v>400</v>
      </c>
      <c r="H18" s="24"/>
      <c r="I18" s="24"/>
      <c r="J18" s="24"/>
      <c r="K18" s="134">
        <v>-478</v>
      </c>
      <c r="L18" s="24"/>
      <c r="M18" s="24"/>
      <c r="N18" s="24"/>
      <c r="O18" s="24"/>
      <c r="P18" s="24">
        <v>-1021</v>
      </c>
      <c r="Q18" s="26">
        <f t="shared" si="0"/>
        <v>1</v>
      </c>
    </row>
    <row r="19" spans="1:17" x14ac:dyDescent="0.25">
      <c r="A19" s="80" t="s">
        <v>181</v>
      </c>
      <c r="B19" s="23"/>
      <c r="C19" s="133">
        <v>1</v>
      </c>
      <c r="D19" s="133">
        <v>2</v>
      </c>
      <c r="E19" s="24"/>
      <c r="F19" s="133">
        <v>2</v>
      </c>
      <c r="G19" s="133">
        <v>2</v>
      </c>
      <c r="H19" s="24"/>
      <c r="I19" s="24"/>
      <c r="J19" s="24"/>
      <c r="K19" s="134">
        <v>-3</v>
      </c>
      <c r="L19" s="24"/>
      <c r="M19" s="24"/>
      <c r="N19" s="24"/>
      <c r="O19" s="24"/>
      <c r="P19" s="24">
        <v>-4</v>
      </c>
      <c r="Q19" s="25">
        <f>SUM(C19:P19)</f>
        <v>0</v>
      </c>
    </row>
    <row r="20" spans="1:17" x14ac:dyDescent="0.25">
      <c r="A20" s="80" t="s">
        <v>143</v>
      </c>
      <c r="B20" s="23"/>
      <c r="C20" s="24"/>
      <c r="D20" s="24"/>
      <c r="E20" s="24"/>
      <c r="F20" s="133">
        <v>8</v>
      </c>
      <c r="G20" s="24"/>
      <c r="H20" s="24"/>
      <c r="I20" s="24"/>
      <c r="J20" s="24"/>
      <c r="K20" s="24"/>
      <c r="L20" s="24"/>
      <c r="M20" s="136">
        <v>-3</v>
      </c>
      <c r="N20" s="24">
        <v>-1</v>
      </c>
      <c r="O20" s="24"/>
      <c r="P20" s="24">
        <v>-4</v>
      </c>
      <c r="Q20" s="25">
        <f t="shared" si="0"/>
        <v>0</v>
      </c>
    </row>
    <row r="21" spans="1:17" x14ac:dyDescent="0.25">
      <c r="A21" s="80" t="s">
        <v>185</v>
      </c>
      <c r="B21" s="23"/>
      <c r="C21" s="24"/>
      <c r="D21" s="24"/>
      <c r="E21" s="24"/>
      <c r="F21" s="133">
        <v>30</v>
      </c>
      <c r="G21" s="24"/>
      <c r="H21" s="24"/>
      <c r="I21" s="24"/>
      <c r="J21" s="24"/>
      <c r="K21" s="134">
        <v>-11</v>
      </c>
      <c r="L21" s="24"/>
      <c r="M21" s="24"/>
      <c r="N21" s="24"/>
      <c r="O21" s="24"/>
      <c r="P21" s="24">
        <v>-19</v>
      </c>
      <c r="Q21" s="25">
        <f t="shared" si="0"/>
        <v>0</v>
      </c>
    </row>
    <row r="22" spans="1:17" x14ac:dyDescent="0.25">
      <c r="A22" s="80" t="s">
        <v>13</v>
      </c>
      <c r="B22" s="23"/>
      <c r="C22" s="24"/>
      <c r="D22" s="24"/>
      <c r="E22" s="24"/>
      <c r="F22" s="133">
        <v>20</v>
      </c>
      <c r="G22" s="24"/>
      <c r="H22" s="24"/>
      <c r="I22" s="24"/>
      <c r="J22" s="133">
        <v>18</v>
      </c>
      <c r="K22" s="138"/>
      <c r="L22" s="138">
        <v>-28</v>
      </c>
      <c r="M22" s="138"/>
      <c r="N22" s="138">
        <v>-4</v>
      </c>
      <c r="O22" s="138"/>
      <c r="P22" s="138">
        <v>-6</v>
      </c>
      <c r="Q22" s="25">
        <f t="shared" si="0"/>
        <v>0</v>
      </c>
    </row>
    <row r="23" spans="1:17" x14ac:dyDescent="0.25">
      <c r="A23" s="80" t="s">
        <v>106</v>
      </c>
      <c r="B23" s="23"/>
      <c r="C23" s="24"/>
      <c r="D23" s="24"/>
      <c r="E23" s="24"/>
      <c r="F23" s="133">
        <v>6</v>
      </c>
      <c r="G23" s="24"/>
      <c r="H23" s="24"/>
      <c r="I23" s="24"/>
      <c r="J23" s="138"/>
      <c r="K23" s="138"/>
      <c r="L23" s="138"/>
      <c r="M23" s="136">
        <v>-3</v>
      </c>
      <c r="N23" s="138"/>
      <c r="O23" s="138"/>
      <c r="P23" s="138">
        <v>-3</v>
      </c>
      <c r="Q23" s="25">
        <f t="shared" si="0"/>
        <v>0</v>
      </c>
    </row>
    <row r="24" spans="1:17" x14ac:dyDescent="0.25">
      <c r="A24" s="80" t="s">
        <v>187</v>
      </c>
      <c r="B24" s="23"/>
      <c r="C24" s="24"/>
      <c r="D24" s="24"/>
      <c r="E24" s="24"/>
      <c r="F24" s="24"/>
      <c r="G24" s="24"/>
      <c r="H24" s="133">
        <v>2</v>
      </c>
      <c r="I24" s="24"/>
      <c r="J24" s="139">
        <v>6</v>
      </c>
      <c r="K24" s="140"/>
      <c r="L24" s="140">
        <v>-6</v>
      </c>
      <c r="M24" s="140"/>
      <c r="N24" s="140"/>
      <c r="O24" s="140"/>
      <c r="P24" s="140">
        <v>-2</v>
      </c>
      <c r="Q24" s="25">
        <f t="shared" si="0"/>
        <v>0</v>
      </c>
    </row>
    <row r="25" spans="1:17" x14ac:dyDescent="0.25">
      <c r="A25" s="80" t="s">
        <v>188</v>
      </c>
      <c r="B25" s="23"/>
      <c r="C25" s="24"/>
      <c r="D25" s="24"/>
      <c r="E25" s="24"/>
      <c r="F25" s="24"/>
      <c r="G25" s="24"/>
      <c r="H25" s="133">
        <v>1</v>
      </c>
      <c r="I25" s="24"/>
      <c r="J25" s="133">
        <v>3</v>
      </c>
      <c r="K25" s="138"/>
      <c r="L25" s="138">
        <v>-4</v>
      </c>
      <c r="M25" s="138"/>
      <c r="N25" s="138"/>
      <c r="O25" s="138"/>
      <c r="P25" s="138"/>
      <c r="Q25" s="25">
        <f t="shared" si="0"/>
        <v>0</v>
      </c>
    </row>
    <row r="26" spans="1:17" x14ac:dyDescent="0.25">
      <c r="A26" s="80" t="s">
        <v>189</v>
      </c>
      <c r="B26" s="23"/>
      <c r="C26" s="24"/>
      <c r="D26" s="24"/>
      <c r="E26" s="24"/>
      <c r="F26" s="24"/>
      <c r="G26" s="24"/>
      <c r="H26" s="133">
        <v>2</v>
      </c>
      <c r="I26" s="24"/>
      <c r="J26" s="133">
        <v>12</v>
      </c>
      <c r="K26" s="138"/>
      <c r="L26" s="138">
        <v>-12</v>
      </c>
      <c r="M26" s="138"/>
      <c r="N26" s="138"/>
      <c r="O26" s="26">
        <v>-2</v>
      </c>
      <c r="P26" s="138"/>
      <c r="Q26" s="25">
        <f t="shared" si="0"/>
        <v>0</v>
      </c>
    </row>
    <row r="27" spans="1:17" x14ac:dyDescent="0.25">
      <c r="A27" s="80" t="s">
        <v>11</v>
      </c>
      <c r="B27" s="23"/>
      <c r="C27" s="24"/>
      <c r="D27" s="24"/>
      <c r="E27" s="24"/>
      <c r="F27" s="24"/>
      <c r="G27" s="24"/>
      <c r="H27" s="133">
        <v>2</v>
      </c>
      <c r="I27" s="24"/>
      <c r="J27" s="138"/>
      <c r="K27" s="138"/>
      <c r="L27" s="138"/>
      <c r="M27" s="138"/>
      <c r="N27" s="138"/>
      <c r="O27" s="26">
        <v>-2</v>
      </c>
      <c r="P27" s="138"/>
      <c r="Q27" s="25">
        <f t="shared" si="0"/>
        <v>0</v>
      </c>
    </row>
    <row r="28" spans="1:17" x14ac:dyDescent="0.25">
      <c r="A28" s="80" t="s">
        <v>190</v>
      </c>
      <c r="B28" s="23"/>
      <c r="C28" s="24"/>
      <c r="D28" s="24"/>
      <c r="E28" s="24"/>
      <c r="F28" s="24"/>
      <c r="G28" s="24"/>
      <c r="H28" s="133">
        <v>2</v>
      </c>
      <c r="I28" s="24"/>
      <c r="J28" s="133">
        <v>12</v>
      </c>
      <c r="K28" s="138"/>
      <c r="L28" s="24">
        <v>-13</v>
      </c>
      <c r="M28" s="136">
        <v>-1</v>
      </c>
      <c r="N28" s="138"/>
      <c r="O28" s="138"/>
      <c r="P28" s="138"/>
      <c r="Q28" s="25">
        <f t="shared" si="0"/>
        <v>0</v>
      </c>
    </row>
    <row r="29" spans="1:17" x14ac:dyDescent="0.25">
      <c r="A29" s="80" t="s">
        <v>191</v>
      </c>
      <c r="B29" s="23"/>
      <c r="C29" s="24"/>
      <c r="D29" s="24"/>
      <c r="E29" s="24"/>
      <c r="F29" s="24"/>
      <c r="G29" s="24"/>
      <c r="H29" s="24"/>
      <c r="I29" s="24"/>
      <c r="J29" s="133">
        <v>2</v>
      </c>
      <c r="K29" s="138"/>
      <c r="L29" s="138">
        <v>-2</v>
      </c>
      <c r="M29" s="138"/>
      <c r="N29" s="138"/>
      <c r="O29" s="138"/>
      <c r="P29" s="138"/>
      <c r="Q29" s="25">
        <f t="shared" si="0"/>
        <v>0</v>
      </c>
    </row>
    <row r="30" spans="1:17" x14ac:dyDescent="0.25">
      <c r="A30" s="80" t="s">
        <v>192</v>
      </c>
      <c r="B30" s="23"/>
      <c r="C30" s="24"/>
      <c r="D30" s="24"/>
      <c r="E30" s="24"/>
      <c r="F30" s="24"/>
      <c r="G30" s="24"/>
      <c r="H30" s="24"/>
      <c r="I30" s="24"/>
      <c r="J30" s="133">
        <v>2</v>
      </c>
      <c r="K30" s="138"/>
      <c r="L30" s="138"/>
      <c r="M30" s="138"/>
      <c r="N30" s="138"/>
      <c r="O30" s="26">
        <v>-2</v>
      </c>
      <c r="P30" s="138"/>
      <c r="Q30" s="25">
        <f t="shared" si="0"/>
        <v>0</v>
      </c>
    </row>
    <row r="31" spans="1:17" x14ac:dyDescent="0.25">
      <c r="A31" s="80" t="s">
        <v>14</v>
      </c>
      <c r="B31" s="23"/>
      <c r="C31" s="24"/>
      <c r="D31" s="24"/>
      <c r="E31" s="24"/>
      <c r="F31" s="24"/>
      <c r="G31" s="24"/>
      <c r="H31" s="24"/>
      <c r="I31" s="24"/>
      <c r="J31" s="133">
        <v>12</v>
      </c>
      <c r="K31" s="138"/>
      <c r="L31" s="138">
        <v>-12</v>
      </c>
      <c r="M31" s="138"/>
      <c r="N31" s="138"/>
      <c r="O31" s="138"/>
      <c r="P31" s="138"/>
      <c r="Q31" s="25">
        <f t="shared" si="0"/>
        <v>0</v>
      </c>
    </row>
    <row r="32" spans="1:17" x14ac:dyDescent="0.25">
      <c r="A32" s="80" t="s">
        <v>193</v>
      </c>
      <c r="B32" s="23"/>
      <c r="C32" s="24"/>
      <c r="D32" s="24"/>
      <c r="E32" s="24"/>
      <c r="F32" s="24"/>
      <c r="G32" s="24"/>
      <c r="H32" s="133">
        <v>1</v>
      </c>
      <c r="I32" s="24"/>
      <c r="J32" s="24"/>
      <c r="K32" s="24"/>
      <c r="L32" s="24">
        <v>-1</v>
      </c>
      <c r="M32" s="24"/>
      <c r="N32" s="24"/>
      <c r="O32" s="24"/>
      <c r="P32" s="24"/>
      <c r="Q32" s="25">
        <f t="shared" si="0"/>
        <v>0</v>
      </c>
    </row>
    <row r="33" spans="1:17" x14ac:dyDescent="0.25">
      <c r="A33" s="19" t="s">
        <v>29</v>
      </c>
      <c r="B33" s="69"/>
      <c r="C33" s="28">
        <v>0.40972222222222221</v>
      </c>
      <c r="D33" s="28">
        <v>0.40972222222222221</v>
      </c>
      <c r="E33" s="28">
        <v>9.7222222222222224E-2</v>
      </c>
      <c r="F33" s="28">
        <v>0.4375</v>
      </c>
      <c r="G33" s="28">
        <v>0.47916666666666669</v>
      </c>
      <c r="H33" s="28">
        <v>0.33333333333333331</v>
      </c>
      <c r="I33" s="28">
        <v>0.31944444444444442</v>
      </c>
      <c r="J33" s="28">
        <v>0.375</v>
      </c>
      <c r="K33" s="28">
        <v>0.14583333333333334</v>
      </c>
      <c r="L33" s="28">
        <v>0.41666666666666669</v>
      </c>
      <c r="M33" s="28">
        <v>6.25E-2</v>
      </c>
      <c r="N33" s="28">
        <v>0.1736111111111111</v>
      </c>
      <c r="O33" s="28">
        <v>0.33194444444444443</v>
      </c>
      <c r="P33" s="28"/>
      <c r="Q33" s="25"/>
    </row>
    <row r="34" spans="1:17" x14ac:dyDescent="0.25">
      <c r="A34" s="19" t="s">
        <v>30</v>
      </c>
      <c r="B34" s="141"/>
      <c r="C34" s="30">
        <v>60000</v>
      </c>
      <c r="D34" s="30">
        <v>60000</v>
      </c>
      <c r="E34" s="30">
        <v>60000</v>
      </c>
      <c r="F34" s="30">
        <v>60000</v>
      </c>
      <c r="G34" s="30"/>
      <c r="H34" s="30">
        <v>40000</v>
      </c>
      <c r="I34" s="30" t="s">
        <v>63</v>
      </c>
      <c r="J34" s="30">
        <v>40000</v>
      </c>
      <c r="K34" s="30">
        <v>40000</v>
      </c>
      <c r="L34" s="30">
        <v>60000</v>
      </c>
      <c r="M34" s="30">
        <v>60000</v>
      </c>
      <c r="N34" s="30">
        <v>60000</v>
      </c>
      <c r="O34" s="30">
        <v>60000</v>
      </c>
      <c r="P34" s="30"/>
      <c r="Q34" s="31">
        <f>SUM(C34:O34)</f>
        <v>600000</v>
      </c>
    </row>
    <row r="36" spans="1:17" x14ac:dyDescent="0.25">
      <c r="A36" s="246" t="s">
        <v>64</v>
      </c>
      <c r="B36" s="246"/>
      <c r="C36" s="246"/>
      <c r="D36" s="246"/>
      <c r="E36" s="246"/>
      <c r="F36" s="246"/>
      <c r="G36" s="246"/>
    </row>
    <row r="37" spans="1:17" x14ac:dyDescent="0.25">
      <c r="A37" s="246" t="s">
        <v>220</v>
      </c>
      <c r="B37" s="246"/>
      <c r="C37" s="246"/>
      <c r="D37" s="246"/>
      <c r="E37" s="246"/>
      <c r="F37" s="246"/>
      <c r="G37" s="246"/>
    </row>
    <row r="38" spans="1:17" ht="18" x14ac:dyDescent="0.25">
      <c r="A38" s="249" t="s">
        <v>176</v>
      </c>
      <c r="B38" s="249"/>
      <c r="C38" s="249"/>
      <c r="D38" s="249"/>
      <c r="E38" s="249"/>
      <c r="F38" s="249"/>
      <c r="G38" s="249"/>
    </row>
    <row r="39" spans="1:17" x14ac:dyDescent="0.25">
      <c r="A39" s="236" t="s">
        <v>3</v>
      </c>
      <c r="B39" s="252"/>
      <c r="C39" s="252"/>
      <c r="D39" s="252"/>
      <c r="E39" s="252" t="s">
        <v>5</v>
      </c>
      <c r="F39" s="252"/>
      <c r="G39" s="309" t="s">
        <v>67</v>
      </c>
    </row>
    <row r="40" spans="1:17" x14ac:dyDescent="0.25">
      <c r="A40" s="236"/>
      <c r="B40" s="1" t="s">
        <v>6</v>
      </c>
      <c r="C40" s="1" t="s">
        <v>7</v>
      </c>
      <c r="D40" s="1" t="s">
        <v>8</v>
      </c>
      <c r="E40" s="1" t="s">
        <v>9</v>
      </c>
      <c r="F40" s="1" t="s">
        <v>10</v>
      </c>
      <c r="G40" s="309"/>
    </row>
    <row r="41" spans="1:17" x14ac:dyDescent="0.25">
      <c r="A41" s="144" t="s">
        <v>68</v>
      </c>
      <c r="B41" s="111">
        <v>31</v>
      </c>
      <c r="C41" s="111">
        <v>1</v>
      </c>
      <c r="D41" s="78">
        <v>1500</v>
      </c>
      <c r="E41" s="7">
        <f>C41*D41</f>
        <v>1500</v>
      </c>
      <c r="F41" s="7">
        <f>B41*E41</f>
        <v>46500</v>
      </c>
      <c r="G41" s="144" t="s">
        <v>223</v>
      </c>
    </row>
    <row r="42" spans="1:17" x14ac:dyDescent="0.25">
      <c r="A42" s="144" t="s">
        <v>109</v>
      </c>
      <c r="B42" s="111">
        <v>31</v>
      </c>
      <c r="C42" s="111">
        <v>2</v>
      </c>
      <c r="D42" s="78">
        <v>1000</v>
      </c>
      <c r="E42" s="7">
        <f>C42*D42</f>
        <v>2000</v>
      </c>
      <c r="F42" s="7">
        <f t="shared" ref="F42:F82" si="1">B42*E42</f>
        <v>62000</v>
      </c>
      <c r="G42" s="144" t="s">
        <v>223</v>
      </c>
    </row>
    <row r="43" spans="1:17" x14ac:dyDescent="0.25">
      <c r="A43" s="144" t="s">
        <v>194</v>
      </c>
      <c r="B43" s="111">
        <v>1</v>
      </c>
      <c r="C43" s="38">
        <v>86</v>
      </c>
      <c r="D43" s="78">
        <v>400</v>
      </c>
      <c r="E43" s="7">
        <f t="shared" ref="E43:E82" si="2">C43*D43</f>
        <v>34400</v>
      </c>
      <c r="F43" s="7">
        <f t="shared" si="1"/>
        <v>34400</v>
      </c>
      <c r="G43" s="145" t="s">
        <v>205</v>
      </c>
    </row>
    <row r="44" spans="1:17" x14ac:dyDescent="0.25">
      <c r="A44" s="144" t="s">
        <v>25</v>
      </c>
      <c r="B44" s="111">
        <v>2</v>
      </c>
      <c r="C44" s="38">
        <v>140</v>
      </c>
      <c r="D44" s="78">
        <v>400</v>
      </c>
      <c r="E44" s="7">
        <f t="shared" si="2"/>
        <v>56000</v>
      </c>
      <c r="F44" s="7">
        <f t="shared" si="1"/>
        <v>112000</v>
      </c>
      <c r="G44" s="145" t="s">
        <v>201</v>
      </c>
    </row>
    <row r="45" spans="1:17" x14ac:dyDescent="0.25">
      <c r="A45" s="144" t="s">
        <v>25</v>
      </c>
      <c r="B45" s="111">
        <v>14</v>
      </c>
      <c r="C45" s="38">
        <v>128</v>
      </c>
      <c r="D45" s="78">
        <v>400</v>
      </c>
      <c r="E45" s="7">
        <f t="shared" si="2"/>
        <v>51200</v>
      </c>
      <c r="F45" s="7">
        <f t="shared" si="1"/>
        <v>716800</v>
      </c>
      <c r="G45" s="145" t="s">
        <v>224</v>
      </c>
    </row>
    <row r="46" spans="1:17" x14ac:dyDescent="0.25">
      <c r="A46" s="144" t="s">
        <v>182</v>
      </c>
      <c r="B46" s="5">
        <v>14</v>
      </c>
      <c r="C46" s="38">
        <v>40</v>
      </c>
      <c r="D46" s="78">
        <v>260</v>
      </c>
      <c r="E46" s="7">
        <f t="shared" si="2"/>
        <v>10400</v>
      </c>
      <c r="F46" s="7">
        <f t="shared" si="1"/>
        <v>145600</v>
      </c>
      <c r="G46" s="145" t="s">
        <v>202</v>
      </c>
    </row>
    <row r="47" spans="1:17" x14ac:dyDescent="0.25">
      <c r="A47" s="144" t="s">
        <v>182</v>
      </c>
      <c r="B47" s="5">
        <v>3</v>
      </c>
      <c r="C47" s="38">
        <v>16</v>
      </c>
      <c r="D47" s="78">
        <v>260</v>
      </c>
      <c r="E47" s="7">
        <f t="shared" ref="E47" si="3">C47*D47</f>
        <v>4160</v>
      </c>
      <c r="F47" s="7">
        <f t="shared" si="1"/>
        <v>12480</v>
      </c>
      <c r="G47" s="145" t="s">
        <v>225</v>
      </c>
    </row>
    <row r="48" spans="1:17" x14ac:dyDescent="0.25">
      <c r="A48" s="144" t="s">
        <v>184</v>
      </c>
      <c r="B48" s="5">
        <v>2</v>
      </c>
      <c r="C48" s="38">
        <v>8</v>
      </c>
      <c r="D48" s="78">
        <v>400</v>
      </c>
      <c r="E48" s="7">
        <f t="shared" si="2"/>
        <v>3200</v>
      </c>
      <c r="F48" s="7">
        <f t="shared" si="1"/>
        <v>6400</v>
      </c>
      <c r="G48" s="145" t="s">
        <v>203</v>
      </c>
    </row>
    <row r="49" spans="1:7" x14ac:dyDescent="0.25">
      <c r="A49" s="144" t="s">
        <v>184</v>
      </c>
      <c r="B49" s="5">
        <v>11</v>
      </c>
      <c r="C49" s="38">
        <v>5</v>
      </c>
      <c r="D49" s="78">
        <v>400</v>
      </c>
      <c r="E49" s="7">
        <f t="shared" ref="E49" si="4">C49*D49</f>
        <v>2000</v>
      </c>
      <c r="F49" s="7">
        <f t="shared" si="1"/>
        <v>22000</v>
      </c>
      <c r="G49" s="145" t="s">
        <v>204</v>
      </c>
    </row>
    <row r="50" spans="1:7" x14ac:dyDescent="0.25">
      <c r="A50" s="144" t="s">
        <v>184</v>
      </c>
      <c r="B50" s="5">
        <v>4</v>
      </c>
      <c r="C50" s="38">
        <v>4</v>
      </c>
      <c r="D50" s="78">
        <v>400</v>
      </c>
      <c r="E50" s="7">
        <f t="shared" ref="E50" si="5">C50*D50</f>
        <v>1600</v>
      </c>
      <c r="F50" s="7">
        <f t="shared" si="1"/>
        <v>6400</v>
      </c>
      <c r="G50" s="145" t="s">
        <v>225</v>
      </c>
    </row>
    <row r="51" spans="1:7" x14ac:dyDescent="0.25">
      <c r="A51" s="144" t="s">
        <v>27</v>
      </c>
      <c r="B51" s="5">
        <v>2</v>
      </c>
      <c r="C51" s="38">
        <v>8</v>
      </c>
      <c r="D51" s="78">
        <v>280</v>
      </c>
      <c r="E51" s="7">
        <f t="shared" si="2"/>
        <v>2240</v>
      </c>
      <c r="F51" s="7">
        <f t="shared" si="1"/>
        <v>4480</v>
      </c>
      <c r="G51" s="145" t="s">
        <v>203</v>
      </c>
    </row>
    <row r="52" spans="1:7" x14ac:dyDescent="0.25">
      <c r="A52" s="144" t="s">
        <v>27</v>
      </c>
      <c r="B52" s="5">
        <v>14</v>
      </c>
      <c r="C52" s="38">
        <v>11</v>
      </c>
      <c r="D52" s="78">
        <v>280</v>
      </c>
      <c r="E52" s="7">
        <f t="shared" ref="E52" si="6">C52*D52</f>
        <v>3080</v>
      </c>
      <c r="F52" s="7">
        <f t="shared" si="1"/>
        <v>43120</v>
      </c>
      <c r="G52" s="145" t="s">
        <v>226</v>
      </c>
    </row>
    <row r="53" spans="1:7" x14ac:dyDescent="0.25">
      <c r="A53" s="144" t="s">
        <v>168</v>
      </c>
      <c r="B53" s="5">
        <v>2</v>
      </c>
      <c r="C53" s="38">
        <v>10</v>
      </c>
      <c r="D53" s="78">
        <v>250</v>
      </c>
      <c r="E53" s="7">
        <f t="shared" si="2"/>
        <v>2500</v>
      </c>
      <c r="F53" s="7">
        <f t="shared" si="1"/>
        <v>5000</v>
      </c>
      <c r="G53" s="145" t="s">
        <v>203</v>
      </c>
    </row>
    <row r="54" spans="1:7" x14ac:dyDescent="0.25">
      <c r="A54" s="144" t="s">
        <v>168</v>
      </c>
      <c r="B54" s="5">
        <v>14</v>
      </c>
      <c r="C54" s="38">
        <v>3</v>
      </c>
      <c r="D54" s="78">
        <v>250</v>
      </c>
      <c r="E54" s="7">
        <f t="shared" ref="E54" si="7">C54*D54</f>
        <v>750</v>
      </c>
      <c r="F54" s="7">
        <f t="shared" si="1"/>
        <v>10500</v>
      </c>
      <c r="G54" s="145" t="s">
        <v>226</v>
      </c>
    </row>
    <row r="55" spans="1:7" x14ac:dyDescent="0.25">
      <c r="A55" s="144" t="s">
        <v>198</v>
      </c>
      <c r="B55" s="5">
        <v>1</v>
      </c>
      <c r="C55" s="38">
        <v>90</v>
      </c>
      <c r="D55" s="78">
        <v>250</v>
      </c>
      <c r="E55" s="7">
        <f>C55*D55</f>
        <v>22500</v>
      </c>
      <c r="F55" s="7">
        <f t="shared" si="1"/>
        <v>22500</v>
      </c>
      <c r="G55" s="145" t="s">
        <v>205</v>
      </c>
    </row>
    <row r="56" spans="1:7" x14ac:dyDescent="0.25">
      <c r="A56" s="144" t="s">
        <v>198</v>
      </c>
      <c r="B56" s="5">
        <v>13</v>
      </c>
      <c r="C56" s="38">
        <v>100</v>
      </c>
      <c r="D56" s="78">
        <v>250</v>
      </c>
      <c r="E56" s="7">
        <f>C56*D56</f>
        <v>25000</v>
      </c>
      <c r="F56" s="7">
        <f t="shared" si="1"/>
        <v>325000</v>
      </c>
      <c r="G56" s="145" t="s">
        <v>206</v>
      </c>
    </row>
    <row r="57" spans="1:7" x14ac:dyDescent="0.25">
      <c r="A57" s="144" t="s">
        <v>198</v>
      </c>
      <c r="B57" s="5">
        <v>3</v>
      </c>
      <c r="C57" s="38">
        <v>81</v>
      </c>
      <c r="D57" s="78">
        <v>250</v>
      </c>
      <c r="E57" s="7">
        <f>C57*D57</f>
        <v>20250</v>
      </c>
      <c r="F57" s="7">
        <f t="shared" si="1"/>
        <v>60750</v>
      </c>
      <c r="G57" s="145" t="s">
        <v>225</v>
      </c>
    </row>
    <row r="58" spans="1:7" x14ac:dyDescent="0.25">
      <c r="A58" s="144" t="s">
        <v>207</v>
      </c>
      <c r="B58" s="5">
        <v>13</v>
      </c>
      <c r="C58" s="38">
        <v>20</v>
      </c>
      <c r="D58" s="78">
        <v>250</v>
      </c>
      <c r="E58" s="7">
        <f>C58*D58</f>
        <v>5000</v>
      </c>
      <c r="F58" s="7">
        <f t="shared" si="1"/>
        <v>65000</v>
      </c>
      <c r="G58" s="145" t="s">
        <v>206</v>
      </c>
    </row>
    <row r="59" spans="1:7" x14ac:dyDescent="0.25">
      <c r="A59" s="144" t="s">
        <v>207</v>
      </c>
      <c r="B59" s="5">
        <v>4</v>
      </c>
      <c r="C59" s="38">
        <v>16</v>
      </c>
      <c r="D59" s="78">
        <v>250</v>
      </c>
      <c r="E59" s="7">
        <f>C59*D59</f>
        <v>4000</v>
      </c>
      <c r="F59" s="7">
        <f t="shared" si="1"/>
        <v>16000</v>
      </c>
      <c r="G59" s="145" t="s">
        <v>225</v>
      </c>
    </row>
    <row r="60" spans="1:7" x14ac:dyDescent="0.25">
      <c r="A60" s="144" t="s">
        <v>195</v>
      </c>
      <c r="B60" s="5">
        <v>14</v>
      </c>
      <c r="C60" s="38">
        <v>34</v>
      </c>
      <c r="D60" s="78">
        <v>200</v>
      </c>
      <c r="E60" s="7">
        <f t="shared" si="2"/>
        <v>6800</v>
      </c>
      <c r="F60" s="7">
        <f t="shared" si="1"/>
        <v>95200</v>
      </c>
      <c r="G60" s="145" t="s">
        <v>202</v>
      </c>
    </row>
    <row r="61" spans="1:7" x14ac:dyDescent="0.25">
      <c r="A61" s="144" t="s">
        <v>195</v>
      </c>
      <c r="B61" s="5">
        <v>4</v>
      </c>
      <c r="C61" s="38">
        <v>32</v>
      </c>
      <c r="D61" s="78">
        <v>200</v>
      </c>
      <c r="E61" s="7">
        <f t="shared" ref="E61" si="8">C61*D61</f>
        <v>6400</v>
      </c>
      <c r="F61" s="7">
        <f t="shared" si="1"/>
        <v>25600</v>
      </c>
      <c r="G61" s="145" t="s">
        <v>225</v>
      </c>
    </row>
    <row r="62" spans="1:7" x14ac:dyDescent="0.25">
      <c r="A62" s="144" t="s">
        <v>196</v>
      </c>
      <c r="B62" s="5">
        <v>16</v>
      </c>
      <c r="C62" s="38">
        <v>8</v>
      </c>
      <c r="D62" s="78">
        <v>200</v>
      </c>
      <c r="E62" s="7">
        <f t="shared" si="2"/>
        <v>1600</v>
      </c>
      <c r="F62" s="7">
        <f t="shared" si="1"/>
        <v>25600</v>
      </c>
      <c r="G62" s="145" t="s">
        <v>227</v>
      </c>
    </row>
    <row r="63" spans="1:7" x14ac:dyDescent="0.25">
      <c r="A63" s="144" t="s">
        <v>16</v>
      </c>
      <c r="B63" s="5">
        <v>1</v>
      </c>
      <c r="C63" s="38">
        <v>600</v>
      </c>
      <c r="D63" s="78">
        <v>28</v>
      </c>
      <c r="E63" s="7">
        <f t="shared" ref="E63" si="9">C63*D63</f>
        <v>16800</v>
      </c>
      <c r="F63" s="7">
        <f t="shared" si="1"/>
        <v>16800</v>
      </c>
      <c r="G63" s="145" t="s">
        <v>205</v>
      </c>
    </row>
    <row r="64" spans="1:7" x14ac:dyDescent="0.25">
      <c r="A64" s="144" t="s">
        <v>16</v>
      </c>
      <c r="B64" s="5">
        <v>13</v>
      </c>
      <c r="C64" s="38">
        <v>1500</v>
      </c>
      <c r="D64" s="78">
        <v>28</v>
      </c>
      <c r="E64" s="7">
        <f>C64*D64</f>
        <v>42000</v>
      </c>
      <c r="F64" s="7">
        <f t="shared" si="1"/>
        <v>546000</v>
      </c>
      <c r="G64" s="145" t="s">
        <v>206</v>
      </c>
    </row>
    <row r="65" spans="1:7" x14ac:dyDescent="0.25">
      <c r="A65" s="144" t="s">
        <v>16</v>
      </c>
      <c r="B65" s="5">
        <v>4</v>
      </c>
      <c r="C65" s="38">
        <v>1022</v>
      </c>
      <c r="D65" s="78">
        <v>28</v>
      </c>
      <c r="E65" s="7">
        <f>C65*D65</f>
        <v>28616</v>
      </c>
      <c r="F65" s="7">
        <f t="shared" si="1"/>
        <v>114464</v>
      </c>
      <c r="G65" s="145" t="s">
        <v>225</v>
      </c>
    </row>
    <row r="66" spans="1:7" x14ac:dyDescent="0.25">
      <c r="A66" s="144" t="s">
        <v>134</v>
      </c>
      <c r="B66" s="5">
        <v>16</v>
      </c>
      <c r="C66" s="38">
        <v>8</v>
      </c>
      <c r="D66" s="78">
        <v>600</v>
      </c>
      <c r="E66" s="7">
        <f>C66*D66</f>
        <v>4800</v>
      </c>
      <c r="F66" s="7">
        <f t="shared" si="1"/>
        <v>76800</v>
      </c>
      <c r="G66" s="145" t="s">
        <v>227</v>
      </c>
    </row>
    <row r="67" spans="1:7" x14ac:dyDescent="0.25">
      <c r="A67" s="144" t="s">
        <v>197</v>
      </c>
      <c r="B67" s="5">
        <v>12</v>
      </c>
      <c r="C67" s="38">
        <v>20</v>
      </c>
      <c r="D67" s="78">
        <v>120</v>
      </c>
      <c r="E67" s="7">
        <f t="shared" si="2"/>
        <v>2400</v>
      </c>
      <c r="F67" s="7">
        <f t="shared" si="1"/>
        <v>28800</v>
      </c>
      <c r="G67" s="145" t="s">
        <v>208</v>
      </c>
    </row>
    <row r="68" spans="1:7" x14ac:dyDescent="0.25">
      <c r="A68" s="144" t="s">
        <v>197</v>
      </c>
      <c r="B68" s="5">
        <v>5</v>
      </c>
      <c r="C68" s="38">
        <v>38</v>
      </c>
      <c r="D68" s="78">
        <v>120</v>
      </c>
      <c r="E68" s="7">
        <f t="shared" ref="E68" si="10">C68*D68</f>
        <v>4560</v>
      </c>
      <c r="F68" s="7">
        <f t="shared" si="1"/>
        <v>22800</v>
      </c>
      <c r="G68" s="145" t="s">
        <v>228</v>
      </c>
    </row>
    <row r="69" spans="1:7" ht="15.75" customHeight="1" x14ac:dyDescent="0.25">
      <c r="A69" s="144" t="s">
        <v>125</v>
      </c>
      <c r="B69" s="5">
        <v>16</v>
      </c>
      <c r="C69" s="38">
        <v>6</v>
      </c>
      <c r="D69" s="78">
        <v>350</v>
      </c>
      <c r="E69" s="7">
        <f t="shared" si="2"/>
        <v>2100</v>
      </c>
      <c r="F69" s="7">
        <f t="shared" si="1"/>
        <v>33600</v>
      </c>
      <c r="G69" s="145" t="s">
        <v>227</v>
      </c>
    </row>
    <row r="70" spans="1:7" ht="15.75" customHeight="1" x14ac:dyDescent="0.25">
      <c r="A70" s="144" t="s">
        <v>210</v>
      </c>
      <c r="B70" s="5">
        <v>10</v>
      </c>
      <c r="C70" s="38">
        <v>2</v>
      </c>
      <c r="D70" s="78">
        <v>260</v>
      </c>
      <c r="E70" s="7">
        <f t="shared" si="2"/>
        <v>520</v>
      </c>
      <c r="F70" s="7">
        <f t="shared" si="1"/>
        <v>5200</v>
      </c>
      <c r="G70" s="145" t="s">
        <v>211</v>
      </c>
    </row>
    <row r="71" spans="1:7" ht="15.75" customHeight="1" x14ac:dyDescent="0.25">
      <c r="A71" s="144" t="s">
        <v>210</v>
      </c>
      <c r="B71" s="5">
        <v>4</v>
      </c>
      <c r="C71" s="38">
        <v>8</v>
      </c>
      <c r="D71" s="78">
        <v>260</v>
      </c>
      <c r="E71" s="7">
        <f t="shared" ref="E71:E74" si="11">C71*D71</f>
        <v>2080</v>
      </c>
      <c r="F71" s="7">
        <f t="shared" si="1"/>
        <v>8320</v>
      </c>
      <c r="G71" s="145" t="s">
        <v>209</v>
      </c>
    </row>
    <row r="72" spans="1:7" ht="15.75" customHeight="1" x14ac:dyDescent="0.25">
      <c r="A72" s="144" t="s">
        <v>212</v>
      </c>
      <c r="B72" s="5">
        <v>10</v>
      </c>
      <c r="C72" s="38">
        <v>1</v>
      </c>
      <c r="D72" s="78">
        <v>340</v>
      </c>
      <c r="E72" s="7">
        <f t="shared" si="11"/>
        <v>340</v>
      </c>
      <c r="F72" s="7">
        <f t="shared" si="1"/>
        <v>3400</v>
      </c>
      <c r="G72" s="145" t="s">
        <v>211</v>
      </c>
    </row>
    <row r="73" spans="1:7" ht="15.75" customHeight="1" x14ac:dyDescent="0.25">
      <c r="A73" s="144" t="s">
        <v>212</v>
      </c>
      <c r="B73" s="5">
        <v>5</v>
      </c>
      <c r="C73" s="38">
        <v>4</v>
      </c>
      <c r="D73" s="78">
        <v>340</v>
      </c>
      <c r="E73" s="7">
        <f t="shared" si="11"/>
        <v>1360</v>
      </c>
      <c r="F73" s="7">
        <f t="shared" si="1"/>
        <v>6800</v>
      </c>
      <c r="G73" s="145" t="s">
        <v>209</v>
      </c>
    </row>
    <row r="74" spans="1:7" ht="15.75" customHeight="1" x14ac:dyDescent="0.25">
      <c r="A74" s="144" t="s">
        <v>28</v>
      </c>
      <c r="B74" s="5">
        <v>10</v>
      </c>
      <c r="C74" s="38">
        <v>2</v>
      </c>
      <c r="D74" s="78">
        <v>300</v>
      </c>
      <c r="E74" s="7">
        <f t="shared" si="11"/>
        <v>600</v>
      </c>
      <c r="F74" s="7">
        <f t="shared" si="1"/>
        <v>6000</v>
      </c>
      <c r="G74" s="145" t="s">
        <v>211</v>
      </c>
    </row>
    <row r="75" spans="1:7" ht="15.75" customHeight="1" x14ac:dyDescent="0.25">
      <c r="A75" s="144" t="s">
        <v>28</v>
      </c>
      <c r="B75" s="5">
        <v>5</v>
      </c>
      <c r="C75" s="38">
        <v>14</v>
      </c>
      <c r="D75" s="78">
        <v>300</v>
      </c>
      <c r="E75" s="7">
        <f t="shared" ref="E75" si="12">C75*D75</f>
        <v>4200</v>
      </c>
      <c r="F75" s="7">
        <f t="shared" si="1"/>
        <v>21000</v>
      </c>
      <c r="G75" s="145" t="s">
        <v>228</v>
      </c>
    </row>
    <row r="76" spans="1:7" ht="15.75" customHeight="1" x14ac:dyDescent="0.25">
      <c r="A76" s="144" t="s">
        <v>11</v>
      </c>
      <c r="B76" s="5">
        <v>15</v>
      </c>
      <c r="C76" s="38">
        <v>2</v>
      </c>
      <c r="D76" s="78">
        <v>320</v>
      </c>
      <c r="E76" s="7">
        <f t="shared" ref="E76:E77" si="13">C76*D76</f>
        <v>640</v>
      </c>
      <c r="F76" s="7">
        <f t="shared" si="1"/>
        <v>9600</v>
      </c>
      <c r="G76" s="145" t="s">
        <v>226</v>
      </c>
    </row>
    <row r="77" spans="1:7" ht="15.75" customHeight="1" x14ac:dyDescent="0.25">
      <c r="A77" s="144" t="s">
        <v>213</v>
      </c>
      <c r="B77" s="5">
        <v>10</v>
      </c>
      <c r="C77" s="38">
        <v>2</v>
      </c>
      <c r="D77" s="78">
        <v>360</v>
      </c>
      <c r="E77" s="7">
        <f t="shared" si="13"/>
        <v>720</v>
      </c>
      <c r="F77" s="7">
        <f t="shared" si="1"/>
        <v>7200</v>
      </c>
      <c r="G77" s="145" t="s">
        <v>211</v>
      </c>
    </row>
    <row r="78" spans="1:7" ht="15.75" customHeight="1" x14ac:dyDescent="0.25">
      <c r="A78" s="144" t="s">
        <v>213</v>
      </c>
      <c r="B78" s="5">
        <v>4</v>
      </c>
      <c r="C78" s="38">
        <v>14</v>
      </c>
      <c r="D78" s="78">
        <v>360</v>
      </c>
      <c r="E78" s="7">
        <f t="shared" ref="E78:E79" si="14">C78*D78</f>
        <v>5040</v>
      </c>
      <c r="F78" s="7">
        <f t="shared" si="1"/>
        <v>20160</v>
      </c>
      <c r="G78" s="145" t="s">
        <v>228</v>
      </c>
    </row>
    <row r="79" spans="1:7" ht="15.75" customHeight="1" x14ac:dyDescent="0.25">
      <c r="A79" s="144" t="s">
        <v>214</v>
      </c>
      <c r="B79" s="5">
        <v>4</v>
      </c>
      <c r="C79" s="38">
        <v>2</v>
      </c>
      <c r="D79" s="78">
        <v>340</v>
      </c>
      <c r="E79" s="7">
        <f t="shared" si="14"/>
        <v>680</v>
      </c>
      <c r="F79" s="7">
        <f t="shared" si="1"/>
        <v>2720</v>
      </c>
      <c r="G79" s="145" t="s">
        <v>228</v>
      </c>
    </row>
    <row r="80" spans="1:7" ht="15.75" customHeight="1" x14ac:dyDescent="0.25">
      <c r="A80" s="144" t="s">
        <v>215</v>
      </c>
      <c r="B80" s="5">
        <v>4</v>
      </c>
      <c r="C80" s="38">
        <v>2</v>
      </c>
      <c r="D80" s="78">
        <v>280</v>
      </c>
      <c r="E80" s="7">
        <f t="shared" ref="E80" si="15">C80*D80</f>
        <v>560</v>
      </c>
      <c r="F80" s="7">
        <f t="shared" si="1"/>
        <v>2240</v>
      </c>
      <c r="G80" s="145" t="s">
        <v>228</v>
      </c>
    </row>
    <row r="81" spans="1:7" x14ac:dyDescent="0.25">
      <c r="A81" s="144" t="s">
        <v>14</v>
      </c>
      <c r="B81" s="5">
        <v>4</v>
      </c>
      <c r="C81" s="38">
        <v>12</v>
      </c>
      <c r="D81" s="78">
        <v>100</v>
      </c>
      <c r="E81" s="7">
        <f t="shared" si="2"/>
        <v>1200</v>
      </c>
      <c r="F81" s="7">
        <f t="shared" si="1"/>
        <v>4800</v>
      </c>
      <c r="G81" s="145" t="s">
        <v>228</v>
      </c>
    </row>
    <row r="82" spans="1:7" x14ac:dyDescent="0.25">
      <c r="A82" s="144" t="s">
        <v>216</v>
      </c>
      <c r="B82" s="5">
        <v>14</v>
      </c>
      <c r="C82" s="38">
        <v>1</v>
      </c>
      <c r="D82" s="78">
        <v>200</v>
      </c>
      <c r="E82" s="146">
        <f t="shared" si="2"/>
        <v>200</v>
      </c>
      <c r="F82" s="7">
        <f t="shared" si="1"/>
        <v>2800</v>
      </c>
      <c r="G82" s="145" t="s">
        <v>226</v>
      </c>
    </row>
    <row r="83" spans="1:7" ht="18.75" x14ac:dyDescent="0.4">
      <c r="A83" s="233"/>
      <c r="B83" s="233"/>
      <c r="C83" s="236" t="s">
        <v>219</v>
      </c>
      <c r="D83" s="236"/>
      <c r="E83" s="103">
        <f>SUM(F41:F82)</f>
        <v>2802834</v>
      </c>
      <c r="F83" s="4"/>
      <c r="G83" s="144"/>
    </row>
    <row r="84" spans="1:7" ht="18.75" x14ac:dyDescent="0.3">
      <c r="A84" s="233"/>
      <c r="B84" s="233"/>
      <c r="C84" s="252" t="s">
        <v>199</v>
      </c>
      <c r="D84" s="252"/>
      <c r="E84" s="142">
        <v>600000</v>
      </c>
      <c r="F84" s="4"/>
      <c r="G84" s="144"/>
    </row>
    <row r="85" spans="1:7" ht="18.75" x14ac:dyDescent="0.3">
      <c r="A85" s="233"/>
      <c r="B85" s="233"/>
      <c r="C85" s="252" t="s">
        <v>200</v>
      </c>
      <c r="D85" s="252"/>
      <c r="E85" s="147">
        <f>SUM(E83:E84)</f>
        <v>3402834</v>
      </c>
      <c r="F85" s="4"/>
      <c r="G85" s="144"/>
    </row>
    <row r="86" spans="1:7" x14ac:dyDescent="0.25">
      <c r="A86" t="s">
        <v>218</v>
      </c>
      <c r="C86">
        <v>3000</v>
      </c>
      <c r="D86">
        <v>1</v>
      </c>
      <c r="E86" s="105">
        <f>C86*D86</f>
        <v>3000</v>
      </c>
    </row>
    <row r="87" spans="1:7" x14ac:dyDescent="0.25">
      <c r="A87" t="s">
        <v>217</v>
      </c>
      <c r="C87" s="105">
        <v>250000</v>
      </c>
      <c r="D87">
        <v>1</v>
      </c>
      <c r="E87" s="130">
        <f>C87*D87</f>
        <v>250000</v>
      </c>
    </row>
    <row r="88" spans="1:7" ht="18.75" x14ac:dyDescent="0.4">
      <c r="A88" s="32" t="s">
        <v>173</v>
      </c>
      <c r="B88" s="32"/>
      <c r="C88" s="32"/>
      <c r="D88" s="32"/>
      <c r="E88" s="33">
        <f>E85+E86+E87</f>
        <v>3655834</v>
      </c>
    </row>
    <row r="89" spans="1:7" ht="18.75" x14ac:dyDescent="0.4">
      <c r="A89" s="32" t="s">
        <v>21</v>
      </c>
      <c r="B89" s="149">
        <v>46182</v>
      </c>
      <c r="C89" s="32" t="s">
        <v>222</v>
      </c>
      <c r="D89" s="32"/>
      <c r="E89" s="34">
        <v>1500000</v>
      </c>
    </row>
    <row r="90" spans="1:7" ht="18.75" x14ac:dyDescent="0.4">
      <c r="A90" s="32" t="s">
        <v>221</v>
      </c>
      <c r="B90" s="32"/>
      <c r="C90" s="32"/>
      <c r="D90" s="32"/>
      <c r="E90" s="33">
        <v>1906000</v>
      </c>
    </row>
  </sheetData>
  <mergeCells count="14">
    <mergeCell ref="A83:B85"/>
    <mergeCell ref="C83:D83"/>
    <mergeCell ref="C84:D84"/>
    <mergeCell ref="C85:D85"/>
    <mergeCell ref="A1:Q1"/>
    <mergeCell ref="A2:Q2"/>
    <mergeCell ref="A3:Q3"/>
    <mergeCell ref="G39:G40"/>
    <mergeCell ref="A36:G36"/>
    <mergeCell ref="A37:G37"/>
    <mergeCell ref="A38:G38"/>
    <mergeCell ref="A39:A40"/>
    <mergeCell ref="B39:D39"/>
    <mergeCell ref="E39:F39"/>
  </mergeCells>
  <pageMargins left="0.7" right="0.7" top="0.75" bottom="0.75" header="0.3" footer="0.3"/>
  <pageSetup paperSize="345" scale="38" orientation="landscape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6F2F4-5046-4B37-BD0C-F44888CDF108}">
  <dimension ref="A1:G23"/>
  <sheetViews>
    <sheetView topLeftCell="A12" workbookViewId="0">
      <selection activeCell="E20" sqref="E20"/>
    </sheetView>
  </sheetViews>
  <sheetFormatPr baseColWidth="10" defaultRowHeight="15" x14ac:dyDescent="0.25"/>
  <cols>
    <col min="1" max="1" width="31" bestFit="1" customWidth="1"/>
    <col min="5" max="5" width="17.5703125" customWidth="1"/>
    <col min="7" max="7" width="17.5703125" customWidth="1"/>
  </cols>
  <sheetData>
    <row r="1" spans="1:7" ht="18.75" x14ac:dyDescent="0.3">
      <c r="A1" s="254" t="s">
        <v>229</v>
      </c>
      <c r="B1" s="255"/>
      <c r="C1" s="255"/>
      <c r="D1" s="255"/>
      <c r="E1" s="255"/>
      <c r="F1" s="255"/>
      <c r="G1" s="256"/>
    </row>
    <row r="2" spans="1:7" ht="18.75" x14ac:dyDescent="0.3">
      <c r="A2" s="257" t="s">
        <v>230</v>
      </c>
      <c r="B2" s="258"/>
      <c r="C2" s="258"/>
      <c r="D2" s="258"/>
      <c r="E2" s="258"/>
      <c r="F2" s="258"/>
      <c r="G2" s="259"/>
    </row>
    <row r="3" spans="1:7" ht="18.75" x14ac:dyDescent="0.3">
      <c r="A3" s="257" t="s">
        <v>231</v>
      </c>
      <c r="B3" s="258"/>
      <c r="C3" s="258"/>
      <c r="D3" s="258"/>
      <c r="E3" s="258"/>
      <c r="F3" s="258"/>
      <c r="G3" s="259"/>
    </row>
    <row r="4" spans="1:7" x14ac:dyDescent="0.25">
      <c r="A4" s="315" t="s">
        <v>3</v>
      </c>
      <c r="B4" s="106" t="s">
        <v>24</v>
      </c>
      <c r="C4" s="29">
        <v>13417</v>
      </c>
      <c r="D4" s="106">
        <v>13421</v>
      </c>
      <c r="E4" s="106"/>
      <c r="F4" s="106"/>
      <c r="G4" s="157" t="s">
        <v>116</v>
      </c>
    </row>
    <row r="5" spans="1:7" x14ac:dyDescent="0.25">
      <c r="A5" s="316"/>
      <c r="B5" s="20">
        <v>46173</v>
      </c>
      <c r="C5" s="20">
        <v>46192</v>
      </c>
      <c r="D5" s="20">
        <v>46193</v>
      </c>
      <c r="E5" s="20"/>
      <c r="F5" s="20"/>
      <c r="G5" s="158">
        <v>46203</v>
      </c>
    </row>
    <row r="6" spans="1:7" x14ac:dyDescent="0.25">
      <c r="A6" s="64" t="s">
        <v>125</v>
      </c>
      <c r="B6" s="107">
        <v>22</v>
      </c>
      <c r="C6" s="45">
        <v>-11</v>
      </c>
      <c r="D6" s="45">
        <v>-3</v>
      </c>
      <c r="E6" s="45"/>
      <c r="F6" s="45"/>
      <c r="G6" s="123">
        <f>SUM(B6:F6)</f>
        <v>8</v>
      </c>
    </row>
    <row r="7" spans="1:7" x14ac:dyDescent="0.25">
      <c r="A7" s="159" t="s">
        <v>29</v>
      </c>
      <c r="B7" s="28"/>
      <c r="C7" s="27">
        <v>0.375</v>
      </c>
      <c r="D7" s="27">
        <v>0.31319444444444444</v>
      </c>
      <c r="E7" s="150"/>
      <c r="F7" s="150"/>
      <c r="G7" s="124"/>
    </row>
    <row r="8" spans="1:7" ht="15.75" thickBot="1" x14ac:dyDescent="0.3">
      <c r="A8" s="160" t="s">
        <v>127</v>
      </c>
      <c r="B8" s="161"/>
      <c r="C8" s="162" t="s">
        <v>232</v>
      </c>
      <c r="D8" s="162" t="s">
        <v>232</v>
      </c>
      <c r="E8" s="162"/>
      <c r="F8" s="161"/>
      <c r="G8" s="126"/>
    </row>
    <row r="11" spans="1:7" ht="18" x14ac:dyDescent="0.25">
      <c r="A11" s="248" t="s">
        <v>233</v>
      </c>
      <c r="B11" s="249"/>
      <c r="C11" s="249"/>
      <c r="D11" s="249"/>
      <c r="E11" s="249"/>
      <c r="F11" s="249"/>
      <c r="G11" s="250"/>
    </row>
    <row r="12" spans="1:7" ht="18" x14ac:dyDescent="0.25">
      <c r="A12" s="248" t="s">
        <v>236</v>
      </c>
      <c r="B12" s="249"/>
      <c r="C12" s="249"/>
      <c r="D12" s="249"/>
      <c r="E12" s="249"/>
      <c r="F12" s="249"/>
      <c r="G12" s="250"/>
    </row>
    <row r="13" spans="1:7" x14ac:dyDescent="0.25">
      <c r="A13" s="251" t="s">
        <v>3</v>
      </c>
      <c r="B13" s="252" t="s">
        <v>4</v>
      </c>
      <c r="C13" s="252"/>
      <c r="D13" s="252"/>
      <c r="E13" s="252" t="s">
        <v>5</v>
      </c>
      <c r="F13" s="252"/>
      <c r="G13" s="253"/>
    </row>
    <row r="14" spans="1:7" x14ac:dyDescent="0.25">
      <c r="A14" s="251"/>
      <c r="B14" s="1" t="s">
        <v>6</v>
      </c>
      <c r="C14" s="1" t="s">
        <v>7</v>
      </c>
      <c r="D14" s="1" t="s">
        <v>8</v>
      </c>
      <c r="E14" s="1" t="s">
        <v>9</v>
      </c>
      <c r="F14" s="1" t="s">
        <v>234</v>
      </c>
      <c r="G14" s="253"/>
    </row>
    <row r="15" spans="1:7" ht="15.75" x14ac:dyDescent="0.25">
      <c r="A15" s="151" t="s">
        <v>106</v>
      </c>
      <c r="B15" s="152">
        <v>18</v>
      </c>
      <c r="C15" s="153">
        <v>22</v>
      </c>
      <c r="D15" s="154">
        <v>200</v>
      </c>
      <c r="E15" s="155">
        <f>C15*D15</f>
        <v>4400</v>
      </c>
      <c r="F15" s="155">
        <f>B15*E15</f>
        <v>79200</v>
      </c>
      <c r="G15" s="97" t="s">
        <v>237</v>
      </c>
    </row>
    <row r="16" spans="1:7" ht="15.75" x14ac:dyDescent="0.25">
      <c r="A16" s="151" t="s">
        <v>106</v>
      </c>
      <c r="B16" s="152">
        <v>1</v>
      </c>
      <c r="C16" s="153">
        <v>11</v>
      </c>
      <c r="D16" s="154">
        <v>200</v>
      </c>
      <c r="E16" s="155">
        <f>C16*D16</f>
        <v>2200</v>
      </c>
      <c r="F16" s="155">
        <f>B16*E16</f>
        <v>2200</v>
      </c>
      <c r="G16" s="97" t="s">
        <v>238</v>
      </c>
    </row>
    <row r="17" spans="1:7" ht="15.75" x14ac:dyDescent="0.25">
      <c r="A17" s="151" t="s">
        <v>106</v>
      </c>
      <c r="B17" s="152">
        <v>11</v>
      </c>
      <c r="C17" s="153">
        <v>8</v>
      </c>
      <c r="D17" s="154">
        <v>200</v>
      </c>
      <c r="E17" s="155">
        <f>C17*D17</f>
        <v>1600</v>
      </c>
      <c r="F17" s="155">
        <f>B17*E17</f>
        <v>17600</v>
      </c>
      <c r="G17" s="97" t="s">
        <v>279</v>
      </c>
    </row>
    <row r="18" spans="1:7" ht="19.5" thickBot="1" x14ac:dyDescent="0.45">
      <c r="A18" s="311" t="s">
        <v>239</v>
      </c>
      <c r="B18" s="312"/>
      <c r="C18" s="241"/>
      <c r="D18" s="241"/>
      <c r="E18" s="313">
        <f>F15+F16+F17</f>
        <v>99000</v>
      </c>
      <c r="F18" s="314"/>
      <c r="G18" s="156"/>
    </row>
    <row r="19" spans="1:7" ht="18.75" x14ac:dyDescent="0.4">
      <c r="A19" s="32"/>
      <c r="B19" s="32"/>
      <c r="C19" s="32"/>
      <c r="D19" s="32"/>
      <c r="E19" s="32"/>
    </row>
    <row r="20" spans="1:7" ht="18.75" x14ac:dyDescent="0.4">
      <c r="A20" s="32" t="s">
        <v>235</v>
      </c>
      <c r="B20" s="32"/>
      <c r="C20" s="32"/>
      <c r="D20" s="32"/>
      <c r="E20" s="33">
        <v>682200</v>
      </c>
    </row>
    <row r="21" spans="1:7" ht="18.75" x14ac:dyDescent="0.4">
      <c r="A21" s="32" t="s">
        <v>240</v>
      </c>
      <c r="B21" s="32"/>
      <c r="C21" s="32"/>
      <c r="D21" s="32"/>
      <c r="E21" s="33">
        <f>E18+E20</f>
        <v>781200</v>
      </c>
    </row>
    <row r="22" spans="1:7" ht="18.75" x14ac:dyDescent="0.4">
      <c r="A22" s="32" t="s">
        <v>241</v>
      </c>
      <c r="E22" s="34">
        <v>405650</v>
      </c>
    </row>
    <row r="23" spans="1:7" ht="18.75" x14ac:dyDescent="0.4">
      <c r="A23" s="310" t="s">
        <v>242</v>
      </c>
      <c r="B23" s="310"/>
      <c r="C23" s="310"/>
      <c r="D23" s="310"/>
      <c r="E23" s="163">
        <f>E21-E22</f>
        <v>375550</v>
      </c>
    </row>
  </sheetData>
  <mergeCells count="14">
    <mergeCell ref="A4:A5"/>
    <mergeCell ref="A11:G11"/>
    <mergeCell ref="A12:G12"/>
    <mergeCell ref="A1:G1"/>
    <mergeCell ref="A2:G2"/>
    <mergeCell ref="A3:G3"/>
    <mergeCell ref="A23:D23"/>
    <mergeCell ref="A13:A14"/>
    <mergeCell ref="B13:D13"/>
    <mergeCell ref="E13:F13"/>
    <mergeCell ref="G13:G14"/>
    <mergeCell ref="A18:B18"/>
    <mergeCell ref="C18:D18"/>
    <mergeCell ref="E18:F18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5811B-B822-46E4-8DEC-D7282C7199BA}">
  <sheetPr>
    <pageSetUpPr fitToPage="1"/>
  </sheetPr>
  <dimension ref="A1:I70"/>
  <sheetViews>
    <sheetView topLeftCell="A60" workbookViewId="0">
      <selection activeCell="M63" sqref="M63"/>
    </sheetView>
  </sheetViews>
  <sheetFormatPr baseColWidth="10" defaultRowHeight="15" x14ac:dyDescent="0.25"/>
  <cols>
    <col min="1" max="1" width="29" bestFit="1" customWidth="1"/>
    <col min="5" max="5" width="16.7109375" bestFit="1" customWidth="1"/>
  </cols>
  <sheetData>
    <row r="1" spans="1:9" ht="18.75" x14ac:dyDescent="0.3">
      <c r="A1" s="254" t="s">
        <v>293</v>
      </c>
      <c r="B1" s="255"/>
      <c r="C1" s="255"/>
      <c r="D1" s="255"/>
      <c r="E1" s="255"/>
      <c r="F1" s="255"/>
      <c r="G1" s="255"/>
      <c r="H1" s="255"/>
    </row>
    <row r="2" spans="1:9" ht="18.75" x14ac:dyDescent="0.3">
      <c r="A2" s="257" t="s">
        <v>294</v>
      </c>
      <c r="B2" s="258"/>
      <c r="C2" s="258"/>
      <c r="D2" s="258"/>
      <c r="E2" s="258"/>
      <c r="F2" s="258"/>
      <c r="G2" s="258"/>
      <c r="H2" s="258"/>
    </row>
    <row r="3" spans="1:9" ht="18.75" x14ac:dyDescent="0.3">
      <c r="A3" s="257" t="s">
        <v>23</v>
      </c>
      <c r="B3" s="258"/>
      <c r="C3" s="258"/>
      <c r="D3" s="258"/>
      <c r="E3" s="258"/>
      <c r="F3" s="258"/>
      <c r="G3" s="258"/>
      <c r="H3" s="258"/>
    </row>
    <row r="4" spans="1:9" x14ac:dyDescent="0.25">
      <c r="A4" s="17" t="s">
        <v>3</v>
      </c>
      <c r="B4" s="18">
        <v>13790</v>
      </c>
      <c r="C4" s="18">
        <v>13714</v>
      </c>
      <c r="D4" s="18">
        <v>13715</v>
      </c>
      <c r="E4" s="18">
        <v>13718</v>
      </c>
      <c r="F4" s="18">
        <v>13432</v>
      </c>
      <c r="G4" s="18">
        <v>13439</v>
      </c>
      <c r="H4" s="18" t="s">
        <v>116</v>
      </c>
    </row>
    <row r="5" spans="1:9" x14ac:dyDescent="0.25">
      <c r="A5" s="19"/>
      <c r="B5" s="177">
        <v>46182</v>
      </c>
      <c r="C5" s="20">
        <v>46189</v>
      </c>
      <c r="D5" s="20">
        <v>46189</v>
      </c>
      <c r="E5" s="20">
        <v>46190</v>
      </c>
      <c r="F5" s="20">
        <v>46196</v>
      </c>
      <c r="G5" s="20">
        <v>46197</v>
      </c>
      <c r="H5" s="20">
        <v>46211</v>
      </c>
    </row>
    <row r="6" spans="1:9" x14ac:dyDescent="0.25">
      <c r="A6" s="22" t="s">
        <v>89</v>
      </c>
      <c r="B6" s="178">
        <v>30</v>
      </c>
      <c r="C6" s="24"/>
      <c r="D6" s="24"/>
      <c r="E6" s="24"/>
      <c r="F6" s="26">
        <v>-2</v>
      </c>
      <c r="G6" s="26">
        <v>-2</v>
      </c>
      <c r="H6" s="25">
        <f>SUM(B6:G6)</f>
        <v>26</v>
      </c>
    </row>
    <row r="7" spans="1:9" x14ac:dyDescent="0.25">
      <c r="A7" s="22" t="s">
        <v>295</v>
      </c>
      <c r="B7" s="178">
        <v>8</v>
      </c>
      <c r="C7" s="24"/>
      <c r="D7" s="24"/>
      <c r="E7" s="24"/>
      <c r="F7" s="24"/>
      <c r="G7" s="26">
        <v>-8</v>
      </c>
      <c r="H7" s="25">
        <f t="shared" ref="H7:H18" si="0">SUM(B7:G7)</f>
        <v>0</v>
      </c>
    </row>
    <row r="8" spans="1:9" x14ac:dyDescent="0.25">
      <c r="A8" s="22" t="s">
        <v>296</v>
      </c>
      <c r="B8" s="178">
        <v>8</v>
      </c>
      <c r="C8" s="24"/>
      <c r="D8" s="24"/>
      <c r="E8" s="24"/>
      <c r="F8" s="24"/>
      <c r="G8" s="26">
        <v>-8</v>
      </c>
      <c r="H8" s="25">
        <f t="shared" si="0"/>
        <v>0</v>
      </c>
    </row>
    <row r="9" spans="1:9" x14ac:dyDescent="0.25">
      <c r="A9" s="22" t="s">
        <v>171</v>
      </c>
      <c r="B9" s="178">
        <v>7</v>
      </c>
      <c r="C9" s="24"/>
      <c r="D9" s="24"/>
      <c r="E9" s="24"/>
      <c r="F9" s="24"/>
      <c r="G9" s="26">
        <v>-7</v>
      </c>
      <c r="H9" s="25">
        <f t="shared" si="0"/>
        <v>0</v>
      </c>
    </row>
    <row r="10" spans="1:9" x14ac:dyDescent="0.25">
      <c r="A10" s="22" t="s">
        <v>178</v>
      </c>
      <c r="B10" s="178">
        <v>60</v>
      </c>
      <c r="C10" s="24"/>
      <c r="D10" s="24"/>
      <c r="E10" s="24"/>
      <c r="F10" s="26">
        <v>-1</v>
      </c>
      <c r="G10" s="24"/>
      <c r="H10" s="25">
        <f t="shared" si="0"/>
        <v>59</v>
      </c>
    </row>
    <row r="11" spans="1:9" x14ac:dyDescent="0.25">
      <c r="A11" s="22" t="s">
        <v>15</v>
      </c>
      <c r="B11" s="23"/>
      <c r="C11" s="24"/>
      <c r="D11" s="26">
        <v>10</v>
      </c>
      <c r="E11" s="24"/>
      <c r="F11" s="24"/>
      <c r="G11" s="24"/>
      <c r="H11" s="25">
        <f t="shared" si="0"/>
        <v>10</v>
      </c>
    </row>
    <row r="12" spans="1:9" x14ac:dyDescent="0.25">
      <c r="A12" s="22" t="s">
        <v>297</v>
      </c>
      <c r="B12" s="23"/>
      <c r="C12" s="26">
        <v>1</v>
      </c>
      <c r="D12" s="24"/>
      <c r="E12" s="24"/>
      <c r="F12" s="24"/>
      <c r="G12" s="26">
        <v>-1</v>
      </c>
      <c r="H12" s="25">
        <f t="shared" si="0"/>
        <v>0</v>
      </c>
    </row>
    <row r="13" spans="1:9" x14ac:dyDescent="0.25">
      <c r="A13" s="22" t="s">
        <v>94</v>
      </c>
      <c r="B13" s="23"/>
      <c r="C13" s="24"/>
      <c r="D13" s="26">
        <v>10</v>
      </c>
      <c r="E13" s="24"/>
      <c r="F13" s="24"/>
      <c r="G13" s="24"/>
      <c r="H13" s="25">
        <f t="shared" si="0"/>
        <v>10</v>
      </c>
    </row>
    <row r="14" spans="1:9" x14ac:dyDescent="0.25">
      <c r="A14" s="22" t="s">
        <v>260</v>
      </c>
      <c r="B14" s="23"/>
      <c r="C14" s="24"/>
      <c r="D14" s="26">
        <v>24</v>
      </c>
      <c r="E14" s="24"/>
      <c r="F14" s="26">
        <v>-17</v>
      </c>
      <c r="G14" s="24"/>
      <c r="H14" s="25">
        <f t="shared" si="0"/>
        <v>7</v>
      </c>
      <c r="I14" t="s">
        <v>301</v>
      </c>
    </row>
    <row r="15" spans="1:9" x14ac:dyDescent="0.25">
      <c r="A15" s="22" t="s">
        <v>298</v>
      </c>
      <c r="B15" s="23"/>
      <c r="C15" s="24"/>
      <c r="D15" s="26">
        <v>8</v>
      </c>
      <c r="E15" s="24"/>
      <c r="F15" s="26">
        <v>-8</v>
      </c>
      <c r="G15" s="24"/>
      <c r="H15" s="25">
        <f t="shared" si="0"/>
        <v>0</v>
      </c>
    </row>
    <row r="16" spans="1:9" x14ac:dyDescent="0.25">
      <c r="A16" s="22" t="s">
        <v>14</v>
      </c>
      <c r="B16" s="23"/>
      <c r="C16" s="24"/>
      <c r="D16" s="26">
        <v>8</v>
      </c>
      <c r="E16" s="24"/>
      <c r="F16" s="26">
        <v>-8</v>
      </c>
      <c r="G16" s="24"/>
      <c r="H16" s="25">
        <f t="shared" si="0"/>
        <v>0</v>
      </c>
    </row>
    <row r="17" spans="1:9" x14ac:dyDescent="0.25">
      <c r="A17" s="22" t="s">
        <v>16</v>
      </c>
      <c r="B17" s="23"/>
      <c r="C17" s="24"/>
      <c r="D17" s="26">
        <v>70</v>
      </c>
      <c r="E17" s="26">
        <v>230</v>
      </c>
      <c r="F17" s="26">
        <v>-300</v>
      </c>
      <c r="G17" s="24"/>
      <c r="H17" s="25">
        <f t="shared" si="0"/>
        <v>0</v>
      </c>
    </row>
    <row r="18" spans="1:9" x14ac:dyDescent="0.25">
      <c r="A18" s="22" t="s">
        <v>257</v>
      </c>
      <c r="B18" s="23"/>
      <c r="C18" s="24"/>
      <c r="D18" s="26">
        <v>12</v>
      </c>
      <c r="E18" s="24"/>
      <c r="F18" s="26">
        <v>-5</v>
      </c>
      <c r="G18" s="24"/>
      <c r="H18" s="25">
        <f t="shared" si="0"/>
        <v>7</v>
      </c>
      <c r="I18" t="s">
        <v>301</v>
      </c>
    </row>
    <row r="19" spans="1:9" ht="18" customHeight="1" x14ac:dyDescent="0.25">
      <c r="A19" s="19" t="s">
        <v>29</v>
      </c>
      <c r="B19" s="116">
        <v>8.3333333333333329E-2</v>
      </c>
      <c r="C19" s="28">
        <v>0.49166666666666664</v>
      </c>
      <c r="D19" s="28" t="s">
        <v>299</v>
      </c>
      <c r="E19" s="28">
        <v>0.11805555555555555</v>
      </c>
      <c r="F19" s="28">
        <v>0.44097222222222221</v>
      </c>
      <c r="G19" s="28">
        <v>6.25E-2</v>
      </c>
      <c r="H19" s="29"/>
    </row>
    <row r="20" spans="1:9" ht="18" customHeight="1" x14ac:dyDescent="0.25">
      <c r="A20" s="172" t="s">
        <v>30</v>
      </c>
      <c r="B20" s="173">
        <v>20000</v>
      </c>
      <c r="C20" s="174">
        <v>750000</v>
      </c>
      <c r="D20" s="173">
        <v>20000</v>
      </c>
      <c r="E20" s="173" t="s">
        <v>63</v>
      </c>
      <c r="F20" s="173">
        <v>20000</v>
      </c>
      <c r="G20" s="173">
        <v>40000</v>
      </c>
      <c r="H20" s="175">
        <f>SUM(B20:G20)-750000</f>
        <v>100000</v>
      </c>
    </row>
    <row r="21" spans="1:9" ht="18" customHeight="1" x14ac:dyDescent="0.25">
      <c r="A21" s="176"/>
      <c r="B21" s="170"/>
      <c r="C21" s="170" t="s">
        <v>300</v>
      </c>
      <c r="D21" s="170"/>
      <c r="E21" s="170"/>
      <c r="F21" s="170"/>
      <c r="G21" s="170"/>
      <c r="H21" s="171"/>
    </row>
    <row r="22" spans="1:9" ht="18" customHeight="1" x14ac:dyDescent="0.25">
      <c r="A22" s="176"/>
      <c r="B22" s="170"/>
      <c r="C22" s="170"/>
      <c r="D22" s="170"/>
      <c r="E22" s="170"/>
      <c r="F22" s="170"/>
      <c r="G22" s="170"/>
      <c r="H22" s="171"/>
    </row>
    <row r="23" spans="1:9" ht="18" customHeight="1" x14ac:dyDescent="0.25">
      <c r="A23" s="176"/>
      <c r="B23" s="170"/>
      <c r="C23" s="170"/>
      <c r="D23" s="170"/>
      <c r="E23" s="170"/>
      <c r="F23" s="170"/>
      <c r="G23" s="170"/>
      <c r="H23" s="171"/>
    </row>
    <row r="24" spans="1:9" ht="18" customHeight="1" x14ac:dyDescent="0.25">
      <c r="A24" s="176"/>
      <c r="B24" s="170"/>
      <c r="C24" s="170"/>
      <c r="D24" s="170"/>
      <c r="E24" s="170"/>
      <c r="F24" s="170"/>
      <c r="G24" s="170"/>
      <c r="H24" s="171"/>
    </row>
    <row r="25" spans="1:9" ht="18" customHeight="1" x14ac:dyDescent="0.25">
      <c r="A25" s="176"/>
      <c r="B25" s="170"/>
      <c r="C25" s="170"/>
      <c r="D25" s="170"/>
      <c r="E25" s="170"/>
      <c r="F25" s="170"/>
      <c r="G25" s="170"/>
      <c r="H25" s="171"/>
    </row>
    <row r="26" spans="1:9" ht="18" customHeight="1" x14ac:dyDescent="0.25">
      <c r="A26" s="176"/>
      <c r="B26" s="170"/>
      <c r="C26" s="170"/>
      <c r="D26" s="170"/>
      <c r="E26" s="170"/>
      <c r="F26" s="170"/>
      <c r="G26" s="170"/>
      <c r="H26" s="171"/>
    </row>
    <row r="27" spans="1:9" ht="18" customHeight="1" x14ac:dyDescent="0.25">
      <c r="A27" s="317" t="s">
        <v>0</v>
      </c>
      <c r="B27" s="318"/>
      <c r="C27" s="318"/>
      <c r="D27" s="318"/>
      <c r="E27" s="318"/>
      <c r="F27" s="319"/>
      <c r="G27" s="221"/>
      <c r="H27" s="222"/>
    </row>
    <row r="28" spans="1:9" ht="18" customHeight="1" x14ac:dyDescent="0.25">
      <c r="A28" s="263" t="s">
        <v>283</v>
      </c>
      <c r="B28" s="264"/>
      <c r="C28" s="264"/>
      <c r="D28" s="264"/>
      <c r="E28" s="264"/>
      <c r="F28" s="265"/>
      <c r="G28" s="221"/>
      <c r="H28" s="222"/>
    </row>
    <row r="29" spans="1:9" ht="18" customHeight="1" x14ac:dyDescent="0.25">
      <c r="A29" s="263" t="s">
        <v>305</v>
      </c>
      <c r="B29" s="264"/>
      <c r="C29" s="264"/>
      <c r="D29" s="264"/>
      <c r="E29" s="264"/>
      <c r="F29" s="265"/>
      <c r="G29" s="221"/>
      <c r="H29" s="222"/>
    </row>
    <row r="30" spans="1:9" ht="18" customHeight="1" x14ac:dyDescent="0.25">
      <c r="A30" s="263" t="s">
        <v>284</v>
      </c>
      <c r="B30" s="264"/>
      <c r="C30" s="264"/>
      <c r="D30" s="264"/>
      <c r="E30" s="264"/>
      <c r="F30" s="265"/>
      <c r="G30" s="221"/>
      <c r="H30" s="222"/>
    </row>
    <row r="31" spans="1:9" x14ac:dyDescent="0.25">
      <c r="A31" s="251" t="s">
        <v>3</v>
      </c>
      <c r="B31" s="252" t="s">
        <v>4</v>
      </c>
      <c r="C31" s="252"/>
      <c r="D31" s="252"/>
      <c r="E31" s="252" t="s">
        <v>5</v>
      </c>
      <c r="F31" s="274"/>
      <c r="G31" s="320" t="s">
        <v>67</v>
      </c>
    </row>
    <row r="32" spans="1:9" x14ac:dyDescent="0.25">
      <c r="A32" s="251"/>
      <c r="B32" s="1" t="s">
        <v>6</v>
      </c>
      <c r="C32" s="1" t="s">
        <v>7</v>
      </c>
      <c r="D32" s="1" t="s">
        <v>8</v>
      </c>
      <c r="E32" s="1" t="s">
        <v>9</v>
      </c>
      <c r="F32" s="2" t="s">
        <v>10</v>
      </c>
      <c r="G32" s="320"/>
    </row>
    <row r="33" spans="1:7" x14ac:dyDescent="0.25">
      <c r="A33" s="3" t="s">
        <v>89</v>
      </c>
      <c r="B33" s="4">
        <v>13</v>
      </c>
      <c r="C33" s="5">
        <v>30</v>
      </c>
      <c r="D33" s="78">
        <v>200</v>
      </c>
      <c r="E33" s="7">
        <f>C33*D33</f>
        <v>6000</v>
      </c>
      <c r="F33" s="8">
        <f>B33*E33</f>
        <v>78000</v>
      </c>
      <c r="G33" t="s">
        <v>206</v>
      </c>
    </row>
    <row r="34" spans="1:7" x14ac:dyDescent="0.25">
      <c r="A34" s="3" t="s">
        <v>89</v>
      </c>
      <c r="B34" s="4">
        <v>2</v>
      </c>
      <c r="C34" s="5">
        <v>28</v>
      </c>
      <c r="D34" s="78">
        <v>200</v>
      </c>
      <c r="E34" s="7">
        <f>C34*D34</f>
        <v>5600</v>
      </c>
      <c r="F34" s="8">
        <f>B34*E34</f>
        <v>11200</v>
      </c>
      <c r="G34" t="s">
        <v>302</v>
      </c>
    </row>
    <row r="35" spans="1:7" x14ac:dyDescent="0.25">
      <c r="A35" s="3" t="s">
        <v>89</v>
      </c>
      <c r="B35" s="4">
        <v>16</v>
      </c>
      <c r="C35" s="5">
        <v>26</v>
      </c>
      <c r="D35" s="78">
        <v>200</v>
      </c>
      <c r="E35" s="7">
        <f>C35*D35</f>
        <v>5200</v>
      </c>
      <c r="F35" s="8">
        <f>B35*E35</f>
        <v>83200</v>
      </c>
      <c r="G35" t="s">
        <v>309</v>
      </c>
    </row>
    <row r="36" spans="1:7" x14ac:dyDescent="0.25">
      <c r="A36" s="3" t="s">
        <v>285</v>
      </c>
      <c r="B36" s="4">
        <v>16</v>
      </c>
      <c r="C36" s="5">
        <v>8</v>
      </c>
      <c r="D36" s="78">
        <v>900</v>
      </c>
      <c r="E36" s="7">
        <f>C36*D36</f>
        <v>7200</v>
      </c>
      <c r="F36" s="8">
        <f>B36*E36</f>
        <v>115200</v>
      </c>
      <c r="G36" t="s">
        <v>303</v>
      </c>
    </row>
    <row r="37" spans="1:7" x14ac:dyDescent="0.25">
      <c r="A37" s="3" t="s">
        <v>286</v>
      </c>
      <c r="B37" s="9">
        <v>16</v>
      </c>
      <c r="C37" s="5">
        <v>4</v>
      </c>
      <c r="D37" s="6">
        <v>1500</v>
      </c>
      <c r="E37" s="7">
        <f t="shared" ref="E37:E38" si="1">C37*D37</f>
        <v>6000</v>
      </c>
      <c r="F37" s="8">
        <f t="shared" ref="F37:F38" si="2">B37*E37</f>
        <v>96000</v>
      </c>
      <c r="G37" t="s">
        <v>303</v>
      </c>
    </row>
    <row r="38" spans="1:7" x14ac:dyDescent="0.25">
      <c r="A38" s="3" t="s">
        <v>178</v>
      </c>
      <c r="B38" s="4">
        <v>13</v>
      </c>
      <c r="C38" s="169">
        <v>60</v>
      </c>
      <c r="D38" s="6">
        <v>250</v>
      </c>
      <c r="E38" s="7">
        <f t="shared" si="1"/>
        <v>15000</v>
      </c>
      <c r="F38" s="8">
        <f t="shared" si="2"/>
        <v>195000</v>
      </c>
      <c r="G38" t="s">
        <v>206</v>
      </c>
    </row>
    <row r="39" spans="1:7" x14ac:dyDescent="0.25">
      <c r="A39" s="3" t="s">
        <v>178</v>
      </c>
      <c r="B39" s="4">
        <v>18</v>
      </c>
      <c r="C39" s="169">
        <v>59</v>
      </c>
      <c r="D39" s="6">
        <v>250</v>
      </c>
      <c r="E39" s="7">
        <f t="shared" ref="E39" si="3">C39*D39</f>
        <v>14750</v>
      </c>
      <c r="F39" s="8">
        <f t="shared" ref="F39" si="4">B39*E39</f>
        <v>265500</v>
      </c>
      <c r="G39" t="s">
        <v>310</v>
      </c>
    </row>
    <row r="40" spans="1:7" x14ac:dyDescent="0.25">
      <c r="A40" s="3" t="s">
        <v>15</v>
      </c>
      <c r="B40" s="4">
        <v>24</v>
      </c>
      <c r="C40" s="169">
        <v>10</v>
      </c>
      <c r="D40" s="6">
        <v>150</v>
      </c>
      <c r="E40" s="7">
        <f t="shared" ref="E40:E45" si="5">C40*D40</f>
        <v>1500</v>
      </c>
      <c r="F40" s="8">
        <f t="shared" ref="F40:F45" si="6">B40*E40</f>
        <v>36000</v>
      </c>
      <c r="G40" t="s">
        <v>311</v>
      </c>
    </row>
    <row r="41" spans="1:7" x14ac:dyDescent="0.25">
      <c r="A41" s="3" t="s">
        <v>289</v>
      </c>
      <c r="B41" s="4">
        <v>22</v>
      </c>
      <c r="C41" s="5">
        <v>10</v>
      </c>
      <c r="D41" s="78">
        <v>350</v>
      </c>
      <c r="E41" s="7">
        <f t="shared" si="5"/>
        <v>3500</v>
      </c>
      <c r="F41" s="8">
        <f t="shared" si="6"/>
        <v>77000</v>
      </c>
      <c r="G41" t="s">
        <v>311</v>
      </c>
    </row>
    <row r="42" spans="1:7" x14ac:dyDescent="0.25">
      <c r="A42" s="3" t="s">
        <v>290</v>
      </c>
      <c r="B42" s="4">
        <v>8</v>
      </c>
      <c r="C42" s="5">
        <v>24</v>
      </c>
      <c r="D42" s="78">
        <v>300</v>
      </c>
      <c r="E42" s="7">
        <f t="shared" si="5"/>
        <v>7200</v>
      </c>
      <c r="F42" s="8">
        <f t="shared" si="6"/>
        <v>57600</v>
      </c>
      <c r="G42" t="s">
        <v>304</v>
      </c>
    </row>
    <row r="43" spans="1:7" x14ac:dyDescent="0.25">
      <c r="A43" s="3" t="s">
        <v>290</v>
      </c>
      <c r="B43" s="4">
        <v>18</v>
      </c>
      <c r="C43" s="5">
        <v>7</v>
      </c>
      <c r="D43" s="78">
        <v>300</v>
      </c>
      <c r="E43" s="7">
        <f t="shared" si="5"/>
        <v>2100</v>
      </c>
      <c r="F43" s="8">
        <f t="shared" si="6"/>
        <v>37800</v>
      </c>
      <c r="G43" t="s">
        <v>310</v>
      </c>
    </row>
    <row r="44" spans="1:7" x14ac:dyDescent="0.25">
      <c r="A44" s="3" t="s">
        <v>291</v>
      </c>
      <c r="B44" s="4">
        <v>6</v>
      </c>
      <c r="C44" s="5">
        <v>8</v>
      </c>
      <c r="D44" s="78">
        <v>230</v>
      </c>
      <c r="E44" s="7">
        <f t="shared" si="5"/>
        <v>1840</v>
      </c>
      <c r="F44" s="8">
        <f t="shared" si="6"/>
        <v>11040</v>
      </c>
      <c r="G44" t="s">
        <v>304</v>
      </c>
    </row>
    <row r="45" spans="1:7" x14ac:dyDescent="0.25">
      <c r="A45" s="3" t="s">
        <v>14</v>
      </c>
      <c r="B45" s="4">
        <v>6</v>
      </c>
      <c r="C45" s="5">
        <v>8</v>
      </c>
      <c r="D45" s="78">
        <v>90</v>
      </c>
      <c r="E45" s="7">
        <f t="shared" si="5"/>
        <v>720</v>
      </c>
      <c r="F45" s="8">
        <f t="shared" si="6"/>
        <v>4320</v>
      </c>
      <c r="G45" t="s">
        <v>304</v>
      </c>
    </row>
    <row r="46" spans="1:7" x14ac:dyDescent="0.25">
      <c r="A46" s="3" t="s">
        <v>16</v>
      </c>
      <c r="B46" s="9">
        <v>6</v>
      </c>
      <c r="C46" s="5">
        <v>300</v>
      </c>
      <c r="D46" s="6">
        <v>28</v>
      </c>
      <c r="E46" s="7">
        <f t="shared" ref="E46" si="7">C46*D46</f>
        <v>8400</v>
      </c>
      <c r="F46" s="8">
        <f t="shared" ref="F46" si="8">B46*E46</f>
        <v>50400</v>
      </c>
      <c r="G46" t="s">
        <v>304</v>
      </c>
    </row>
    <row r="47" spans="1:7" x14ac:dyDescent="0.25">
      <c r="A47" s="3" t="s">
        <v>292</v>
      </c>
      <c r="B47" s="4">
        <v>6</v>
      </c>
      <c r="C47" s="5">
        <v>12</v>
      </c>
      <c r="D47" s="78">
        <v>350</v>
      </c>
      <c r="E47" s="7">
        <f>C47*D47</f>
        <v>4200</v>
      </c>
      <c r="F47" s="8">
        <f>B47*E47</f>
        <v>25200</v>
      </c>
      <c r="G47" t="s">
        <v>304</v>
      </c>
    </row>
    <row r="48" spans="1:7" x14ac:dyDescent="0.25">
      <c r="A48" s="3" t="s">
        <v>292</v>
      </c>
      <c r="B48" s="4">
        <v>18</v>
      </c>
      <c r="C48" s="5">
        <v>12</v>
      </c>
      <c r="D48" s="78">
        <v>350</v>
      </c>
      <c r="E48" s="7">
        <f>C48*D48</f>
        <v>4200</v>
      </c>
      <c r="F48" s="8">
        <f>B48*E48</f>
        <v>75600</v>
      </c>
      <c r="G48" t="s">
        <v>310</v>
      </c>
    </row>
    <row r="49" spans="1:6" ht="19.5" thickBot="1" x14ac:dyDescent="0.45">
      <c r="A49" s="272"/>
      <c r="B49" s="273"/>
      <c r="C49" s="241" t="s">
        <v>18</v>
      </c>
      <c r="D49" s="241"/>
      <c r="E49" s="12">
        <f>SUM(F33:F48)</f>
        <v>1219060</v>
      </c>
      <c r="F49" s="13"/>
    </row>
    <row r="50" spans="1:6" ht="19.5" thickBot="1" x14ac:dyDescent="0.45">
      <c r="A50" s="272"/>
      <c r="B50" s="273"/>
      <c r="C50" s="268" t="s">
        <v>306</v>
      </c>
      <c r="D50" s="269"/>
      <c r="E50" s="12">
        <v>100000</v>
      </c>
      <c r="F50" s="13"/>
    </row>
    <row r="51" spans="1:6" ht="19.5" thickBot="1" x14ac:dyDescent="0.45">
      <c r="A51" s="234"/>
      <c r="B51" s="235"/>
      <c r="C51" s="270" t="s">
        <v>20</v>
      </c>
      <c r="D51" s="271"/>
      <c r="E51" s="14">
        <f>SUM(E49:E50)</f>
        <v>1319060</v>
      </c>
      <c r="F51" s="15"/>
    </row>
    <row r="52" spans="1:6" x14ac:dyDescent="0.25">
      <c r="A52" s="181" t="s">
        <v>21</v>
      </c>
      <c r="B52" s="181"/>
      <c r="C52" s="181" t="s">
        <v>222</v>
      </c>
      <c r="D52" s="181"/>
      <c r="E52" s="182">
        <v>1500000</v>
      </c>
      <c r="F52" s="181"/>
    </row>
    <row r="53" spans="1:6" x14ac:dyDescent="0.25">
      <c r="A53" s="181"/>
      <c r="B53" s="181"/>
      <c r="C53" s="181" t="s">
        <v>287</v>
      </c>
      <c r="D53" s="181"/>
      <c r="E53" s="182">
        <v>683000</v>
      </c>
      <c r="F53" s="181"/>
    </row>
    <row r="55" spans="1:6" ht="15.75" thickBot="1" x14ac:dyDescent="0.3"/>
    <row r="56" spans="1:6" x14ac:dyDescent="0.25">
      <c r="A56" s="260" t="s">
        <v>0</v>
      </c>
      <c r="B56" s="261"/>
      <c r="C56" s="261"/>
      <c r="D56" s="261"/>
      <c r="E56" s="261"/>
      <c r="F56" s="262"/>
    </row>
    <row r="57" spans="1:6" ht="18" x14ac:dyDescent="0.25">
      <c r="A57" s="263" t="s">
        <v>283</v>
      </c>
      <c r="B57" s="264"/>
      <c r="C57" s="264"/>
      <c r="D57" s="264"/>
      <c r="E57" s="264"/>
      <c r="F57" s="265"/>
    </row>
    <row r="58" spans="1:6" ht="18" x14ac:dyDescent="0.25">
      <c r="A58" s="263" t="s">
        <v>288</v>
      </c>
      <c r="B58" s="264"/>
      <c r="C58" s="264"/>
      <c r="D58" s="264"/>
      <c r="E58" s="264"/>
      <c r="F58" s="265"/>
    </row>
    <row r="59" spans="1:6" ht="18" x14ac:dyDescent="0.25">
      <c r="A59" s="263" t="s">
        <v>284</v>
      </c>
      <c r="B59" s="264"/>
      <c r="C59" s="264"/>
      <c r="D59" s="264"/>
      <c r="E59" s="264"/>
      <c r="F59" s="265"/>
    </row>
    <row r="60" spans="1:6" x14ac:dyDescent="0.25">
      <c r="A60" s="251" t="s">
        <v>3</v>
      </c>
      <c r="B60" s="252" t="s">
        <v>4</v>
      </c>
      <c r="C60" s="252"/>
      <c r="D60" s="252"/>
      <c r="E60" s="252" t="s">
        <v>5</v>
      </c>
      <c r="F60" s="274"/>
    </row>
    <row r="61" spans="1:6" x14ac:dyDescent="0.25">
      <c r="A61" s="251"/>
      <c r="B61" s="1" t="s">
        <v>6</v>
      </c>
      <c r="C61" s="1" t="s">
        <v>7</v>
      </c>
      <c r="D61" s="1" t="s">
        <v>8</v>
      </c>
      <c r="E61" s="1" t="s">
        <v>9</v>
      </c>
      <c r="F61" s="2" t="s">
        <v>10</v>
      </c>
    </row>
    <row r="62" spans="1:6" x14ac:dyDescent="0.25">
      <c r="A62" s="3" t="s">
        <v>307</v>
      </c>
      <c r="B62" s="4">
        <v>10</v>
      </c>
      <c r="C62" s="169">
        <v>1</v>
      </c>
      <c r="D62" s="6">
        <v>75000</v>
      </c>
      <c r="E62" s="7">
        <f>C62*D62</f>
        <v>75000</v>
      </c>
      <c r="F62" s="8">
        <f>B62*E62</f>
        <v>750000</v>
      </c>
    </row>
    <row r="63" spans="1:6" ht="18.75" x14ac:dyDescent="0.4">
      <c r="A63" s="232"/>
      <c r="B63" s="233"/>
      <c r="C63" s="266" t="s">
        <v>17</v>
      </c>
      <c r="D63" s="267"/>
      <c r="E63" s="10">
        <f>SUM(E62:E62)</f>
        <v>75000</v>
      </c>
      <c r="F63" s="11"/>
    </row>
    <row r="64" spans="1:6" ht="19.5" thickBot="1" x14ac:dyDescent="0.45">
      <c r="A64" s="272"/>
      <c r="B64" s="273"/>
      <c r="C64" s="241" t="s">
        <v>313</v>
      </c>
      <c r="D64" s="241"/>
      <c r="E64" s="12">
        <f>SUM(F62:F62)</f>
        <v>750000</v>
      </c>
      <c r="F64" s="13"/>
    </row>
    <row r="65" spans="1:6" ht="19.5" thickBot="1" x14ac:dyDescent="0.45">
      <c r="A65" s="272"/>
      <c r="B65" s="273"/>
      <c r="C65" s="268" t="s">
        <v>19</v>
      </c>
      <c r="D65" s="269"/>
      <c r="E65" s="12">
        <v>40000</v>
      </c>
      <c r="F65" s="13"/>
    </row>
    <row r="66" spans="1:6" ht="19.5" thickBot="1" x14ac:dyDescent="0.45">
      <c r="A66" s="234"/>
      <c r="B66" s="235"/>
      <c r="C66" s="270" t="s">
        <v>20</v>
      </c>
      <c r="D66" s="271"/>
      <c r="E66" s="14">
        <f>SUM(E64:E65)</f>
        <v>790000</v>
      </c>
      <c r="F66" s="15"/>
    </row>
    <row r="67" spans="1:6" x14ac:dyDescent="0.25">
      <c r="A67" s="181" t="s">
        <v>308</v>
      </c>
      <c r="B67" s="181"/>
      <c r="C67" s="181"/>
      <c r="D67" s="181"/>
      <c r="E67" s="182">
        <v>750000</v>
      </c>
      <c r="F67" s="181"/>
    </row>
    <row r="68" spans="1:6" x14ac:dyDescent="0.25">
      <c r="A68" s="184" t="s">
        <v>33</v>
      </c>
      <c r="B68" s="184"/>
      <c r="C68" s="184"/>
      <c r="D68" s="184"/>
      <c r="E68" s="185">
        <f>E51+E66</f>
        <v>2109060</v>
      </c>
      <c r="F68" s="184"/>
    </row>
    <row r="69" spans="1:6" x14ac:dyDescent="0.25">
      <c r="A69" s="181" t="s">
        <v>312</v>
      </c>
      <c r="B69" s="181"/>
      <c r="C69" s="181"/>
      <c r="D69" s="181"/>
      <c r="E69" s="183">
        <f>E52+E53+E67</f>
        <v>2933000</v>
      </c>
    </row>
    <row r="70" spans="1:6" ht="15.75" x14ac:dyDescent="0.25">
      <c r="A70" s="223" t="s">
        <v>34</v>
      </c>
      <c r="B70" s="223"/>
      <c r="C70" s="223"/>
      <c r="D70" s="223"/>
      <c r="E70" s="224">
        <f>E68-E69</f>
        <v>-823940</v>
      </c>
    </row>
  </sheetData>
  <mergeCells count="27">
    <mergeCell ref="G31:G32"/>
    <mergeCell ref="A56:F56"/>
    <mergeCell ref="A63:B66"/>
    <mergeCell ref="C63:D63"/>
    <mergeCell ref="C64:D64"/>
    <mergeCell ref="C65:D65"/>
    <mergeCell ref="C66:D66"/>
    <mergeCell ref="A57:F57"/>
    <mergeCell ref="A58:F58"/>
    <mergeCell ref="A59:F59"/>
    <mergeCell ref="A60:A61"/>
    <mergeCell ref="B60:D60"/>
    <mergeCell ref="E60:F60"/>
    <mergeCell ref="A49:B51"/>
    <mergeCell ref="C49:D49"/>
    <mergeCell ref="C50:D50"/>
    <mergeCell ref="A1:H1"/>
    <mergeCell ref="A2:H2"/>
    <mergeCell ref="A3:H3"/>
    <mergeCell ref="A27:F27"/>
    <mergeCell ref="A28:F28"/>
    <mergeCell ref="C51:D51"/>
    <mergeCell ref="A31:A32"/>
    <mergeCell ref="B31:D31"/>
    <mergeCell ref="E31:F31"/>
    <mergeCell ref="A29:F29"/>
    <mergeCell ref="A30:F30"/>
  </mergeCells>
  <pageMargins left="0.7" right="0.7" top="0.75" bottom="0.75" header="0.3" footer="0.3"/>
  <pageSetup paperSize="9" scale="66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5044-4EF5-43D4-8157-F9194DD89E4B}">
  <sheetPr>
    <pageSetUpPr fitToPage="1"/>
  </sheetPr>
  <dimension ref="A1:W60"/>
  <sheetViews>
    <sheetView topLeftCell="A45" workbookViewId="0">
      <pane xSplit="1" topLeftCell="B1" activePane="topRight" state="frozen"/>
      <selection activeCell="A3" sqref="A3"/>
      <selection pane="topRight" activeCell="A31" sqref="A31:G60"/>
    </sheetView>
  </sheetViews>
  <sheetFormatPr baseColWidth="10" defaultRowHeight="15" x14ac:dyDescent="0.25"/>
  <cols>
    <col min="1" max="1" width="28.42578125" bestFit="1" customWidth="1"/>
    <col min="6" max="6" width="14.42578125" bestFit="1" customWidth="1"/>
    <col min="7" max="7" width="25.42578125" customWidth="1"/>
  </cols>
  <sheetData>
    <row r="1" spans="1:23" ht="18.75" x14ac:dyDescent="0.3">
      <c r="A1" s="254" t="s">
        <v>314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</row>
    <row r="2" spans="1:23" ht="18.75" x14ac:dyDescent="0.3">
      <c r="A2" s="257" t="s">
        <v>315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</row>
    <row r="3" spans="1:23" ht="18.75" x14ac:dyDescent="0.3">
      <c r="A3" s="257" t="s">
        <v>316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</row>
    <row r="4" spans="1:23" x14ac:dyDescent="0.25">
      <c r="A4" s="315" t="s">
        <v>314</v>
      </c>
      <c r="B4" s="23" t="s">
        <v>24</v>
      </c>
      <c r="C4" s="199">
        <v>13364</v>
      </c>
      <c r="D4" s="199">
        <v>13369</v>
      </c>
      <c r="E4" s="200">
        <v>13763</v>
      </c>
      <c r="F4" s="26">
        <v>13766</v>
      </c>
      <c r="G4" s="200">
        <v>13772</v>
      </c>
      <c r="H4" s="200">
        <v>13774</v>
      </c>
      <c r="I4" s="199">
        <v>13379</v>
      </c>
      <c r="J4" s="199">
        <v>13380</v>
      </c>
      <c r="K4" s="199">
        <v>13383</v>
      </c>
      <c r="L4" s="200">
        <v>13796</v>
      </c>
      <c r="M4" s="199">
        <v>13390</v>
      </c>
      <c r="N4" s="199">
        <v>13397</v>
      </c>
      <c r="O4" s="200">
        <v>13707</v>
      </c>
      <c r="P4" s="199">
        <v>13402</v>
      </c>
      <c r="Q4" s="199">
        <v>13412</v>
      </c>
      <c r="R4" s="200">
        <v>13731</v>
      </c>
      <c r="S4" s="199">
        <v>13431</v>
      </c>
      <c r="T4" s="199">
        <v>13452</v>
      </c>
      <c r="U4" s="200">
        <v>13745</v>
      </c>
      <c r="V4" s="186" t="s">
        <v>24</v>
      </c>
    </row>
    <row r="5" spans="1:23" x14ac:dyDescent="0.25">
      <c r="A5" s="316"/>
      <c r="B5" s="57">
        <v>46173</v>
      </c>
      <c r="C5" s="201">
        <v>46174</v>
      </c>
      <c r="D5" s="201">
        <v>46174</v>
      </c>
      <c r="E5" s="202">
        <v>46174</v>
      </c>
      <c r="F5" s="177">
        <v>46174</v>
      </c>
      <c r="G5" s="202">
        <v>46175</v>
      </c>
      <c r="H5" s="202">
        <v>46175</v>
      </c>
      <c r="I5" s="201">
        <v>46178</v>
      </c>
      <c r="J5" s="201">
        <v>46179</v>
      </c>
      <c r="K5" s="201">
        <v>46179</v>
      </c>
      <c r="L5" s="202">
        <v>46183</v>
      </c>
      <c r="M5" s="201">
        <v>46183</v>
      </c>
      <c r="N5" s="201">
        <v>46185</v>
      </c>
      <c r="O5" s="202">
        <v>46186</v>
      </c>
      <c r="P5" s="201">
        <v>46186</v>
      </c>
      <c r="Q5" s="201">
        <v>46191</v>
      </c>
      <c r="R5" s="202">
        <v>46195</v>
      </c>
      <c r="S5" s="201">
        <v>46195</v>
      </c>
      <c r="T5" s="201">
        <v>46200</v>
      </c>
      <c r="U5" s="202">
        <v>46200</v>
      </c>
      <c r="V5" s="187">
        <v>46203</v>
      </c>
    </row>
    <row r="6" spans="1:23" x14ac:dyDescent="0.25">
      <c r="A6" s="64" t="s">
        <v>154</v>
      </c>
      <c r="B6" s="107">
        <v>46</v>
      </c>
      <c r="C6" s="199">
        <v>-5</v>
      </c>
      <c r="D6" s="179"/>
      <c r="E6" s="200">
        <v>3</v>
      </c>
      <c r="F6" s="45"/>
      <c r="G6" s="179"/>
      <c r="H6" s="179"/>
      <c r="I6" s="179"/>
      <c r="J6" s="179"/>
      <c r="K6" s="199">
        <v>-33</v>
      </c>
      <c r="L6" s="200"/>
      <c r="M6" s="179"/>
      <c r="N6" s="179"/>
      <c r="O6" s="179"/>
      <c r="P6" s="179"/>
      <c r="Q6" s="179"/>
      <c r="R6" s="179"/>
      <c r="S6" s="199">
        <v>-3</v>
      </c>
      <c r="T6" s="203">
        <v>-3</v>
      </c>
      <c r="U6" s="179"/>
      <c r="V6" s="123">
        <f>SUM(B6:U6)</f>
        <v>5</v>
      </c>
      <c r="W6" s="192" t="s">
        <v>343</v>
      </c>
    </row>
    <row r="7" spans="1:23" x14ac:dyDescent="0.25">
      <c r="A7" s="64" t="s">
        <v>317</v>
      </c>
      <c r="B7" s="107"/>
      <c r="C7" s="179"/>
      <c r="D7" s="179"/>
      <c r="E7" s="179"/>
      <c r="F7" s="45"/>
      <c r="G7" s="179"/>
      <c r="H7" s="179"/>
      <c r="I7" s="179"/>
      <c r="J7" s="179"/>
      <c r="K7" s="179"/>
      <c r="L7" s="200">
        <v>4</v>
      </c>
      <c r="M7" s="179"/>
      <c r="N7" s="179"/>
      <c r="O7" s="179"/>
      <c r="P7" s="179"/>
      <c r="Q7" s="179"/>
      <c r="R7" s="179"/>
      <c r="S7" s="179"/>
      <c r="T7" s="179"/>
      <c r="U7" s="179"/>
      <c r="V7" s="123">
        <f t="shared" ref="V7:V23" si="0">SUM(B7:U7)</f>
        <v>4</v>
      </c>
    </row>
    <row r="8" spans="1:23" x14ac:dyDescent="0.25">
      <c r="A8" s="64" t="s">
        <v>183</v>
      </c>
      <c r="B8" s="107">
        <v>4</v>
      </c>
      <c r="C8" s="179"/>
      <c r="D8" s="179"/>
      <c r="E8" s="179"/>
      <c r="F8" s="45"/>
      <c r="G8" s="179"/>
      <c r="H8" s="179"/>
      <c r="I8" s="179"/>
      <c r="J8" s="179"/>
      <c r="K8" s="199">
        <v>-4</v>
      </c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23">
        <f t="shared" si="0"/>
        <v>0</v>
      </c>
    </row>
    <row r="9" spans="1:23" x14ac:dyDescent="0.25">
      <c r="A9" s="64" t="s">
        <v>318</v>
      </c>
      <c r="B9" s="107"/>
      <c r="C9" s="179"/>
      <c r="D9" s="179"/>
      <c r="E9" s="179"/>
      <c r="F9" s="45"/>
      <c r="G9" s="179"/>
      <c r="H9" s="200">
        <v>20</v>
      </c>
      <c r="I9" s="199">
        <v>-20</v>
      </c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200">
        <v>1</v>
      </c>
      <c r="V9" s="123">
        <f t="shared" si="0"/>
        <v>1</v>
      </c>
    </row>
    <row r="10" spans="1:23" x14ac:dyDescent="0.25">
      <c r="A10" s="64" t="s">
        <v>198</v>
      </c>
      <c r="B10" s="107">
        <v>35</v>
      </c>
      <c r="C10" s="179"/>
      <c r="D10" s="199">
        <v>-11</v>
      </c>
      <c r="E10" s="200">
        <v>15</v>
      </c>
      <c r="F10" s="45"/>
      <c r="G10" s="179"/>
      <c r="H10" s="179"/>
      <c r="I10" s="179"/>
      <c r="J10" s="199">
        <v>-4</v>
      </c>
      <c r="K10" s="199">
        <v>-11</v>
      </c>
      <c r="L10" s="179"/>
      <c r="M10" s="179"/>
      <c r="N10" s="179"/>
      <c r="O10" s="179"/>
      <c r="P10" s="179"/>
      <c r="Q10" s="199">
        <v>-14</v>
      </c>
      <c r="R10" s="179"/>
      <c r="S10" s="179"/>
      <c r="T10" s="203">
        <v>-5</v>
      </c>
      <c r="U10" s="179"/>
      <c r="V10" s="123">
        <f t="shared" si="0"/>
        <v>5</v>
      </c>
      <c r="W10" s="204" t="s">
        <v>343</v>
      </c>
    </row>
    <row r="11" spans="1:23" x14ac:dyDescent="0.25">
      <c r="A11" s="64" t="s">
        <v>15</v>
      </c>
      <c r="B11" s="107">
        <v>5</v>
      </c>
      <c r="C11" s="179"/>
      <c r="D11" s="179"/>
      <c r="E11" s="179"/>
      <c r="F11" s="45"/>
      <c r="G11" s="179"/>
      <c r="H11" s="179"/>
      <c r="I11" s="179"/>
      <c r="J11" s="179"/>
      <c r="K11" s="179"/>
      <c r="L11" s="179"/>
      <c r="M11" s="179"/>
      <c r="N11" s="199">
        <v>-4</v>
      </c>
      <c r="O11" s="179"/>
      <c r="P11" s="179"/>
      <c r="Q11" s="199">
        <v>-1</v>
      </c>
      <c r="R11" s="179"/>
      <c r="S11" s="179"/>
      <c r="T11" s="179"/>
      <c r="U11" s="179"/>
      <c r="V11" s="123">
        <f t="shared" si="0"/>
        <v>0</v>
      </c>
      <c r="W11" s="205" t="s">
        <v>344</v>
      </c>
    </row>
    <row r="12" spans="1:23" x14ac:dyDescent="0.25">
      <c r="A12" s="64" t="s">
        <v>27</v>
      </c>
      <c r="B12" s="23">
        <v>1</v>
      </c>
      <c r="C12" s="179"/>
      <c r="D12" s="179"/>
      <c r="E12" s="179"/>
      <c r="F12" s="45"/>
      <c r="G12" s="179"/>
      <c r="H12" s="179"/>
      <c r="I12" s="179"/>
      <c r="J12" s="179"/>
      <c r="K12" s="179"/>
      <c r="L12" s="179"/>
      <c r="M12" s="179"/>
      <c r="N12" s="199">
        <v>-1</v>
      </c>
      <c r="O12" s="179"/>
      <c r="P12" s="179"/>
      <c r="Q12" s="179"/>
      <c r="R12" s="179"/>
      <c r="S12" s="179"/>
      <c r="T12" s="179"/>
      <c r="U12" s="179"/>
      <c r="V12" s="123">
        <f t="shared" si="0"/>
        <v>0</v>
      </c>
      <c r="W12" s="192" t="s">
        <v>345</v>
      </c>
    </row>
    <row r="13" spans="1:23" x14ac:dyDescent="0.25">
      <c r="A13" s="64" t="s">
        <v>156</v>
      </c>
      <c r="B13" s="23">
        <v>2</v>
      </c>
      <c r="C13" s="179"/>
      <c r="D13" s="179"/>
      <c r="E13" s="179"/>
      <c r="F13" s="45"/>
      <c r="G13" s="179"/>
      <c r="H13" s="179"/>
      <c r="I13" s="199">
        <v>-1</v>
      </c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23">
        <f t="shared" si="0"/>
        <v>1</v>
      </c>
    </row>
    <row r="14" spans="1:23" x14ac:dyDescent="0.25">
      <c r="A14" s="64" t="s">
        <v>319</v>
      </c>
      <c r="B14" s="23">
        <v>3</v>
      </c>
      <c r="C14" s="179"/>
      <c r="D14" s="179"/>
      <c r="E14" s="179"/>
      <c r="F14" s="45"/>
      <c r="G14" s="179"/>
      <c r="H14" s="179"/>
      <c r="I14" s="179"/>
      <c r="J14" s="179"/>
      <c r="K14" s="179"/>
      <c r="L14" s="179"/>
      <c r="M14" s="199">
        <v>-3</v>
      </c>
      <c r="N14" s="179"/>
      <c r="O14" s="179"/>
      <c r="P14" s="179"/>
      <c r="Q14" s="179"/>
      <c r="R14" s="179"/>
      <c r="S14" s="179"/>
      <c r="T14" s="179"/>
      <c r="U14" s="179"/>
      <c r="V14" s="123">
        <f t="shared" si="0"/>
        <v>0</v>
      </c>
    </row>
    <row r="15" spans="1:23" x14ac:dyDescent="0.25">
      <c r="A15" s="64" t="s">
        <v>25</v>
      </c>
      <c r="B15" s="23">
        <v>0</v>
      </c>
      <c r="C15" s="179"/>
      <c r="D15" s="179"/>
      <c r="E15" s="179"/>
      <c r="F15" s="45"/>
      <c r="G15" s="179"/>
      <c r="H15" s="179"/>
      <c r="I15" s="179"/>
      <c r="J15" s="179"/>
      <c r="K15" s="179"/>
      <c r="L15" s="179"/>
      <c r="M15" s="179"/>
      <c r="N15" s="179"/>
      <c r="O15" s="200">
        <v>29</v>
      </c>
      <c r="P15" s="179"/>
      <c r="Q15" s="179"/>
      <c r="R15" s="179"/>
      <c r="S15" s="179"/>
      <c r="T15" s="199">
        <v>-29</v>
      </c>
      <c r="U15" s="179"/>
      <c r="V15" s="123">
        <f t="shared" si="0"/>
        <v>0</v>
      </c>
    </row>
    <row r="16" spans="1:23" x14ac:dyDescent="0.25">
      <c r="A16" s="64" t="s">
        <v>11</v>
      </c>
      <c r="B16" s="23">
        <v>14</v>
      </c>
      <c r="C16" s="199">
        <v>-12</v>
      </c>
      <c r="D16" s="179"/>
      <c r="E16" s="179"/>
      <c r="F16" s="45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23">
        <f t="shared" si="0"/>
        <v>2</v>
      </c>
    </row>
    <row r="17" spans="1:22" x14ac:dyDescent="0.25">
      <c r="A17" s="64" t="s">
        <v>16</v>
      </c>
      <c r="B17" s="23">
        <v>60</v>
      </c>
      <c r="C17" s="179"/>
      <c r="D17" s="179"/>
      <c r="E17" s="179"/>
      <c r="F17" s="45"/>
      <c r="G17" s="179"/>
      <c r="H17" s="179"/>
      <c r="I17" s="179"/>
      <c r="J17" s="179"/>
      <c r="K17" s="179"/>
      <c r="L17" s="179"/>
      <c r="M17" s="179"/>
      <c r="N17" s="179"/>
      <c r="O17" s="179"/>
      <c r="P17" s="199">
        <v>-60</v>
      </c>
      <c r="Q17" s="179"/>
      <c r="R17" s="179"/>
      <c r="S17" s="179"/>
      <c r="T17" s="179"/>
      <c r="U17" s="179"/>
      <c r="V17" s="123">
        <f t="shared" si="0"/>
        <v>0</v>
      </c>
    </row>
    <row r="18" spans="1:22" x14ac:dyDescent="0.25">
      <c r="A18" s="64" t="s">
        <v>320</v>
      </c>
      <c r="B18" s="23"/>
      <c r="C18" s="179"/>
      <c r="D18" s="179"/>
      <c r="E18" s="179"/>
      <c r="F18" s="178">
        <v>1</v>
      </c>
      <c r="G18" s="179"/>
      <c r="H18" s="179"/>
      <c r="I18" s="199">
        <v>-1</v>
      </c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23">
        <f t="shared" si="0"/>
        <v>0</v>
      </c>
    </row>
    <row r="19" spans="1:22" x14ac:dyDescent="0.25">
      <c r="A19" s="64" t="s">
        <v>321</v>
      </c>
      <c r="B19" s="23"/>
      <c r="C19" s="179"/>
      <c r="D19" s="179"/>
      <c r="E19" s="179"/>
      <c r="F19" s="178">
        <v>2</v>
      </c>
      <c r="G19" s="179"/>
      <c r="H19" s="179"/>
      <c r="I19" s="199">
        <v>-2</v>
      </c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23">
        <f t="shared" si="0"/>
        <v>0</v>
      </c>
    </row>
    <row r="20" spans="1:22" x14ac:dyDescent="0.25">
      <c r="A20" s="64" t="s">
        <v>322</v>
      </c>
      <c r="B20" s="23"/>
      <c r="C20" s="179"/>
      <c r="D20" s="179"/>
      <c r="E20" s="179"/>
      <c r="F20" s="178">
        <v>1</v>
      </c>
      <c r="G20" s="179"/>
      <c r="H20" s="179"/>
      <c r="I20" s="199">
        <v>-1</v>
      </c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23">
        <f t="shared" si="0"/>
        <v>0</v>
      </c>
    </row>
    <row r="21" spans="1:22" x14ac:dyDescent="0.25">
      <c r="A21" s="64" t="s">
        <v>323</v>
      </c>
      <c r="B21" s="23"/>
      <c r="C21" s="179"/>
      <c r="D21" s="179"/>
      <c r="E21" s="179"/>
      <c r="F21" s="178">
        <v>1</v>
      </c>
      <c r="G21" s="179"/>
      <c r="H21" s="179"/>
      <c r="I21" s="199">
        <v>-1</v>
      </c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23">
        <f t="shared" si="0"/>
        <v>0</v>
      </c>
    </row>
    <row r="22" spans="1:22" x14ac:dyDescent="0.25">
      <c r="A22" s="64" t="s">
        <v>260</v>
      </c>
      <c r="B22" s="23"/>
      <c r="C22" s="179"/>
      <c r="D22" s="179"/>
      <c r="E22" s="179"/>
      <c r="F22" s="45"/>
      <c r="G22" s="200">
        <v>1</v>
      </c>
      <c r="H22" s="179"/>
      <c r="I22" s="179"/>
      <c r="J22" s="199">
        <v>-1</v>
      </c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23">
        <f t="shared" si="0"/>
        <v>0</v>
      </c>
    </row>
    <row r="23" spans="1:22" x14ac:dyDescent="0.25">
      <c r="A23" s="64" t="s">
        <v>28</v>
      </c>
      <c r="B23" s="23"/>
      <c r="C23" s="179"/>
      <c r="D23" s="179"/>
      <c r="E23" s="179"/>
      <c r="F23" s="45"/>
      <c r="G23" s="179"/>
      <c r="H23" s="179"/>
      <c r="I23" s="179"/>
      <c r="J23" s="179"/>
      <c r="K23" s="179"/>
      <c r="L23" s="179"/>
      <c r="M23" s="179"/>
      <c r="N23" s="179"/>
      <c r="O23" s="200"/>
      <c r="P23" s="179"/>
      <c r="Q23" s="179"/>
      <c r="R23" s="200">
        <v>8</v>
      </c>
      <c r="S23" s="179"/>
      <c r="T23" s="179"/>
      <c r="U23" s="179"/>
      <c r="V23" s="123">
        <f t="shared" si="0"/>
        <v>8</v>
      </c>
    </row>
    <row r="24" spans="1:22" x14ac:dyDescent="0.25">
      <c r="A24" s="159" t="s">
        <v>126</v>
      </c>
      <c r="B24" s="23"/>
      <c r="C24" s="206">
        <v>0.38194444444444442</v>
      </c>
      <c r="D24" s="206">
        <v>0.16666666666666666</v>
      </c>
      <c r="E24" s="207">
        <v>0.38541666666666669</v>
      </c>
      <c r="F24" s="208">
        <v>9.7222222222222224E-2</v>
      </c>
      <c r="G24" s="207">
        <v>0.43055555555555558</v>
      </c>
      <c r="H24" s="207">
        <v>8.3333333333333329E-2</v>
      </c>
      <c r="I24" s="206">
        <v>0.4375</v>
      </c>
      <c r="J24" s="206">
        <v>6.1111111111111109E-2</v>
      </c>
      <c r="K24" s="188">
        <v>0.44791666666666669</v>
      </c>
      <c r="L24" s="207">
        <v>0.46319444444444446</v>
      </c>
      <c r="M24" s="188">
        <v>0.38055555555555554</v>
      </c>
      <c r="N24" s="188">
        <v>0.375</v>
      </c>
      <c r="O24" s="207">
        <v>0.5</v>
      </c>
      <c r="P24" s="188">
        <v>0.43402777777777779</v>
      </c>
      <c r="Q24" s="188">
        <v>0.47916666666666669</v>
      </c>
      <c r="R24" s="207">
        <v>0.15555555555555556</v>
      </c>
      <c r="S24" s="206">
        <v>0.15486111111111112</v>
      </c>
      <c r="T24" s="206">
        <v>0.4236111111111111</v>
      </c>
      <c r="U24" s="207">
        <v>0.4375</v>
      </c>
      <c r="V24" s="124"/>
    </row>
    <row r="25" spans="1:22" ht="15.75" thickBot="1" x14ac:dyDescent="0.3">
      <c r="A25" s="160" t="s">
        <v>127</v>
      </c>
      <c r="B25" s="189"/>
      <c r="C25" s="209" t="s">
        <v>324</v>
      </c>
      <c r="D25" s="209" t="s">
        <v>324</v>
      </c>
      <c r="E25" s="210" t="s">
        <v>324</v>
      </c>
      <c r="F25" s="210" t="s">
        <v>324</v>
      </c>
      <c r="G25" s="210" t="s">
        <v>324</v>
      </c>
      <c r="H25" s="210" t="s">
        <v>324</v>
      </c>
      <c r="I25" s="209" t="s">
        <v>324</v>
      </c>
      <c r="J25" s="209" t="s">
        <v>324</v>
      </c>
      <c r="K25" s="161" t="s">
        <v>324</v>
      </c>
      <c r="L25" s="210" t="s">
        <v>324</v>
      </c>
      <c r="M25" s="161" t="s">
        <v>324</v>
      </c>
      <c r="N25" s="161" t="s">
        <v>324</v>
      </c>
      <c r="O25" s="211" t="s">
        <v>324</v>
      </c>
      <c r="P25" s="190" t="s">
        <v>324</v>
      </c>
      <c r="Q25" s="190" t="s">
        <v>324</v>
      </c>
      <c r="R25" s="211" t="s">
        <v>324</v>
      </c>
      <c r="S25" s="212" t="s">
        <v>324</v>
      </c>
      <c r="T25" s="212" t="s">
        <v>324</v>
      </c>
      <c r="U25" s="211" t="s">
        <v>324</v>
      </c>
      <c r="V25" s="191"/>
    </row>
    <row r="26" spans="1:22" x14ac:dyDescent="0.25">
      <c r="C26" s="213" t="s">
        <v>325</v>
      </c>
      <c r="I26" s="214" t="s">
        <v>346</v>
      </c>
      <c r="M26" s="215" t="s">
        <v>326</v>
      </c>
      <c r="Q26" s="192" t="s">
        <v>327</v>
      </c>
      <c r="R26" s="192"/>
      <c r="S26" s="213" t="s">
        <v>328</v>
      </c>
      <c r="T26" s="192"/>
      <c r="U26" s="192"/>
      <c r="V26" s="192"/>
    </row>
    <row r="27" spans="1:22" x14ac:dyDescent="0.25">
      <c r="M27" s="213" t="s">
        <v>347</v>
      </c>
      <c r="Q27" s="192" t="s">
        <v>329</v>
      </c>
      <c r="R27" s="192"/>
      <c r="S27" s="192"/>
      <c r="T27" s="192"/>
      <c r="U27" s="192"/>
      <c r="V27" s="192"/>
    </row>
    <row r="30" spans="1:22" ht="15.75" thickBot="1" x14ac:dyDescent="0.3"/>
    <row r="31" spans="1:22" ht="18" x14ac:dyDescent="0.25">
      <c r="A31" s="321" t="s">
        <v>330</v>
      </c>
      <c r="B31" s="322"/>
      <c r="C31" s="322"/>
      <c r="D31" s="322"/>
      <c r="E31" s="322"/>
      <c r="F31" s="322"/>
      <c r="G31" s="323"/>
    </row>
    <row r="32" spans="1:22" ht="18" x14ac:dyDescent="0.25">
      <c r="A32" s="263" t="s">
        <v>239</v>
      </c>
      <c r="B32" s="264"/>
      <c r="C32" s="264"/>
      <c r="D32" s="264"/>
      <c r="E32" s="264"/>
      <c r="F32" s="264"/>
      <c r="G32" s="265"/>
    </row>
    <row r="33" spans="1:7" x14ac:dyDescent="0.25">
      <c r="A33" s="251" t="s">
        <v>3</v>
      </c>
      <c r="B33" s="252" t="s">
        <v>4</v>
      </c>
      <c r="C33" s="252"/>
      <c r="D33" s="252"/>
      <c r="E33" s="252" t="s">
        <v>5</v>
      </c>
      <c r="F33" s="252"/>
      <c r="G33" s="324" t="s">
        <v>67</v>
      </c>
    </row>
    <row r="34" spans="1:7" x14ac:dyDescent="0.25">
      <c r="A34" s="251"/>
      <c r="B34" s="1" t="s">
        <v>6</v>
      </c>
      <c r="C34" s="1" t="s">
        <v>7</v>
      </c>
      <c r="D34" s="1" t="s">
        <v>8</v>
      </c>
      <c r="E34" s="1" t="s">
        <v>9</v>
      </c>
      <c r="F34" s="193" t="s">
        <v>331</v>
      </c>
      <c r="G34" s="325"/>
    </row>
    <row r="35" spans="1:7" x14ac:dyDescent="0.25">
      <c r="A35" s="3" t="s">
        <v>154</v>
      </c>
      <c r="B35" s="180">
        <v>5</v>
      </c>
      <c r="C35" s="5">
        <v>44</v>
      </c>
      <c r="D35" s="78">
        <v>150</v>
      </c>
      <c r="E35" s="7">
        <f t="shared" ref="E35:E54" si="1">C35*D35</f>
        <v>6600</v>
      </c>
      <c r="F35" s="7">
        <f t="shared" ref="F35:F54" si="2">B35*E35</f>
        <v>33000</v>
      </c>
      <c r="G35" s="195" t="s">
        <v>339</v>
      </c>
    </row>
    <row r="36" spans="1:7" x14ac:dyDescent="0.25">
      <c r="A36" s="3" t="s">
        <v>154</v>
      </c>
      <c r="B36" s="180">
        <v>14</v>
      </c>
      <c r="C36" s="5">
        <v>11</v>
      </c>
      <c r="D36" s="78">
        <v>150</v>
      </c>
      <c r="E36" s="7">
        <f t="shared" si="1"/>
        <v>1650</v>
      </c>
      <c r="F36" s="7">
        <f t="shared" si="2"/>
        <v>23100</v>
      </c>
      <c r="G36" s="196" t="s">
        <v>340</v>
      </c>
    </row>
    <row r="37" spans="1:7" x14ac:dyDescent="0.25">
      <c r="A37" s="3" t="s">
        <v>154</v>
      </c>
      <c r="B37" s="180">
        <v>5</v>
      </c>
      <c r="C37" s="5">
        <v>8</v>
      </c>
      <c r="D37" s="78">
        <v>150</v>
      </c>
      <c r="E37" s="7">
        <f t="shared" si="1"/>
        <v>1200</v>
      </c>
      <c r="F37" s="7">
        <f t="shared" si="2"/>
        <v>6000</v>
      </c>
      <c r="G37" s="198" t="s">
        <v>341</v>
      </c>
    </row>
    <row r="38" spans="1:7" x14ac:dyDescent="0.25">
      <c r="A38" s="3" t="s">
        <v>154</v>
      </c>
      <c r="B38" s="180">
        <v>6</v>
      </c>
      <c r="C38" s="5">
        <v>5</v>
      </c>
      <c r="D38" s="78">
        <v>150</v>
      </c>
      <c r="E38" s="7">
        <f t="shared" si="1"/>
        <v>750</v>
      </c>
      <c r="F38" s="7">
        <f t="shared" si="2"/>
        <v>4500</v>
      </c>
      <c r="G38" s="196" t="s">
        <v>342</v>
      </c>
    </row>
    <row r="39" spans="1:7" x14ac:dyDescent="0.25">
      <c r="A39" s="3" t="s">
        <v>348</v>
      </c>
      <c r="B39" s="180">
        <v>21</v>
      </c>
      <c r="C39" s="5">
        <v>4</v>
      </c>
      <c r="D39" s="78">
        <v>140</v>
      </c>
      <c r="E39" s="7">
        <f t="shared" si="1"/>
        <v>560</v>
      </c>
      <c r="F39" s="7">
        <f t="shared" si="2"/>
        <v>11760</v>
      </c>
      <c r="G39" s="197" t="s">
        <v>349</v>
      </c>
    </row>
    <row r="40" spans="1:7" x14ac:dyDescent="0.25">
      <c r="A40" s="3" t="s">
        <v>332</v>
      </c>
      <c r="B40" s="180">
        <v>5</v>
      </c>
      <c r="C40" s="5">
        <v>4</v>
      </c>
      <c r="D40" s="78">
        <v>140</v>
      </c>
      <c r="E40" s="7">
        <f t="shared" si="1"/>
        <v>560</v>
      </c>
      <c r="F40" s="7">
        <f t="shared" si="2"/>
        <v>2800</v>
      </c>
      <c r="G40" s="197" t="s">
        <v>339</v>
      </c>
    </row>
    <row r="41" spans="1:7" x14ac:dyDescent="0.25">
      <c r="A41" s="3" t="s">
        <v>333</v>
      </c>
      <c r="B41" s="180">
        <v>5</v>
      </c>
      <c r="C41" s="5">
        <v>20</v>
      </c>
      <c r="D41" s="78">
        <v>300</v>
      </c>
      <c r="E41" s="7">
        <f t="shared" si="1"/>
        <v>6000</v>
      </c>
      <c r="F41" s="7">
        <f t="shared" si="2"/>
        <v>30000</v>
      </c>
      <c r="G41" s="197" t="s">
        <v>351</v>
      </c>
    </row>
    <row r="42" spans="1:7" x14ac:dyDescent="0.25">
      <c r="A42" s="3" t="s">
        <v>334</v>
      </c>
      <c r="B42" s="180">
        <v>6</v>
      </c>
      <c r="C42" s="5">
        <v>39</v>
      </c>
      <c r="D42" s="78">
        <v>180</v>
      </c>
      <c r="E42" s="7">
        <f t="shared" si="1"/>
        <v>7020</v>
      </c>
      <c r="F42" s="7">
        <f t="shared" si="2"/>
        <v>42120</v>
      </c>
      <c r="G42" s="197" t="s">
        <v>352</v>
      </c>
    </row>
    <row r="43" spans="1:7" x14ac:dyDescent="0.25">
      <c r="A43" s="3" t="s">
        <v>334</v>
      </c>
      <c r="B43" s="180">
        <v>11</v>
      </c>
      <c r="C43" s="5">
        <v>24</v>
      </c>
      <c r="D43" s="78">
        <v>180</v>
      </c>
      <c r="E43" s="7">
        <f t="shared" si="1"/>
        <v>4320</v>
      </c>
      <c r="F43" s="7">
        <f t="shared" si="2"/>
        <v>47520</v>
      </c>
      <c r="G43" s="197" t="s">
        <v>354</v>
      </c>
    </row>
    <row r="44" spans="1:7" x14ac:dyDescent="0.25">
      <c r="A44" s="3" t="s">
        <v>334</v>
      </c>
      <c r="B44" s="180">
        <v>9</v>
      </c>
      <c r="C44" s="5">
        <v>10</v>
      </c>
      <c r="D44" s="78">
        <v>180</v>
      </c>
      <c r="E44" s="7">
        <f t="shared" si="1"/>
        <v>1800</v>
      </c>
      <c r="F44" s="7">
        <f t="shared" si="2"/>
        <v>16200</v>
      </c>
      <c r="G44" s="197" t="s">
        <v>355</v>
      </c>
    </row>
    <row r="45" spans="1:7" x14ac:dyDescent="0.25">
      <c r="A45" s="3" t="s">
        <v>334</v>
      </c>
      <c r="B45" s="180">
        <v>4</v>
      </c>
      <c r="C45" s="5">
        <v>5</v>
      </c>
      <c r="D45" s="78">
        <v>180</v>
      </c>
      <c r="E45" s="7">
        <f t="shared" si="1"/>
        <v>900</v>
      </c>
      <c r="F45" s="7">
        <f t="shared" si="2"/>
        <v>3600</v>
      </c>
      <c r="G45" s="197" t="s">
        <v>356</v>
      </c>
    </row>
    <row r="46" spans="1:7" x14ac:dyDescent="0.25">
      <c r="A46" s="3" t="s">
        <v>49</v>
      </c>
      <c r="B46" s="180">
        <v>6</v>
      </c>
      <c r="C46" s="5">
        <v>5</v>
      </c>
      <c r="D46" s="78">
        <v>160</v>
      </c>
      <c r="E46" s="7">
        <f t="shared" si="1"/>
        <v>800</v>
      </c>
      <c r="F46" s="7">
        <f t="shared" si="2"/>
        <v>4800</v>
      </c>
      <c r="G46" s="197" t="s">
        <v>352</v>
      </c>
    </row>
    <row r="47" spans="1:7" x14ac:dyDescent="0.25">
      <c r="A47" s="3" t="s">
        <v>49</v>
      </c>
      <c r="B47" s="180">
        <v>3</v>
      </c>
      <c r="C47" s="5">
        <v>1</v>
      </c>
      <c r="D47" s="78">
        <v>160</v>
      </c>
      <c r="E47" s="7">
        <f t="shared" ref="E47" si="3">C47*D47</f>
        <v>160</v>
      </c>
      <c r="F47" s="7">
        <f t="shared" ref="F47" si="4">B47*E47</f>
        <v>480</v>
      </c>
      <c r="G47" s="197" t="s">
        <v>357</v>
      </c>
    </row>
    <row r="48" spans="1:7" x14ac:dyDescent="0.25">
      <c r="A48" s="3" t="s">
        <v>335</v>
      </c>
      <c r="B48" s="180">
        <v>4</v>
      </c>
      <c r="C48" s="5">
        <v>2</v>
      </c>
      <c r="D48" s="78">
        <v>200</v>
      </c>
      <c r="E48" s="7">
        <f>C48*D48</f>
        <v>400</v>
      </c>
      <c r="F48" s="7">
        <f>B48*E48</f>
        <v>1600</v>
      </c>
      <c r="G48" s="196" t="s">
        <v>350</v>
      </c>
    </row>
    <row r="49" spans="1:7" x14ac:dyDescent="0.25">
      <c r="A49" s="3" t="s">
        <v>335</v>
      </c>
      <c r="B49" s="180">
        <v>26</v>
      </c>
      <c r="C49" s="5">
        <v>1</v>
      </c>
      <c r="D49" s="78">
        <v>200</v>
      </c>
      <c r="E49" s="7">
        <f>C49*D49</f>
        <v>200</v>
      </c>
      <c r="F49" s="7">
        <f>B49*E49</f>
        <v>5200</v>
      </c>
      <c r="G49" s="196" t="s">
        <v>358</v>
      </c>
    </row>
    <row r="50" spans="1:7" x14ac:dyDescent="0.25">
      <c r="A50" s="3" t="s">
        <v>336</v>
      </c>
      <c r="B50" s="180">
        <v>8</v>
      </c>
      <c r="C50" s="5">
        <v>3</v>
      </c>
      <c r="D50" s="78">
        <v>220</v>
      </c>
      <c r="E50" s="7">
        <f t="shared" si="1"/>
        <v>660</v>
      </c>
      <c r="F50" s="7">
        <f t="shared" si="2"/>
        <v>5280</v>
      </c>
      <c r="G50" s="196" t="s">
        <v>359</v>
      </c>
    </row>
    <row r="51" spans="1:7" x14ac:dyDescent="0.25">
      <c r="A51" s="3" t="s">
        <v>337</v>
      </c>
      <c r="B51" s="180">
        <v>14</v>
      </c>
      <c r="C51" s="9">
        <v>29</v>
      </c>
      <c r="D51" s="78">
        <v>320</v>
      </c>
      <c r="E51" s="7">
        <f t="shared" si="1"/>
        <v>9280</v>
      </c>
      <c r="F51" s="7">
        <f t="shared" si="2"/>
        <v>129920</v>
      </c>
      <c r="G51" s="197" t="s">
        <v>353</v>
      </c>
    </row>
    <row r="52" spans="1:7" x14ac:dyDescent="0.25">
      <c r="A52" s="3" t="s">
        <v>338</v>
      </c>
      <c r="B52" s="180">
        <v>30</v>
      </c>
      <c r="C52" s="9">
        <v>2</v>
      </c>
      <c r="D52" s="78">
        <v>235</v>
      </c>
      <c r="E52" s="7">
        <f t="shared" si="1"/>
        <v>470</v>
      </c>
      <c r="F52" s="7">
        <f t="shared" si="2"/>
        <v>14100</v>
      </c>
      <c r="G52" s="197" t="s">
        <v>360</v>
      </c>
    </row>
    <row r="53" spans="1:7" x14ac:dyDescent="0.25">
      <c r="A53" s="3" t="s">
        <v>79</v>
      </c>
      <c r="B53" s="180">
        <v>12</v>
      </c>
      <c r="C53" s="9">
        <v>60</v>
      </c>
      <c r="D53" s="78">
        <v>25</v>
      </c>
      <c r="E53" s="7">
        <f t="shared" si="1"/>
        <v>1500</v>
      </c>
      <c r="F53" s="7">
        <f t="shared" si="2"/>
        <v>18000</v>
      </c>
      <c r="G53" s="197" t="s">
        <v>361</v>
      </c>
    </row>
    <row r="54" spans="1:7" x14ac:dyDescent="0.25">
      <c r="A54" s="3" t="s">
        <v>362</v>
      </c>
      <c r="B54" s="180">
        <v>5</v>
      </c>
      <c r="C54" s="9">
        <v>1</v>
      </c>
      <c r="D54" s="78">
        <v>280</v>
      </c>
      <c r="E54" s="7">
        <f t="shared" si="1"/>
        <v>280</v>
      </c>
      <c r="F54" s="7">
        <f t="shared" si="2"/>
        <v>1400</v>
      </c>
      <c r="G54" s="197" t="s">
        <v>363</v>
      </c>
    </row>
    <row r="55" spans="1:7" x14ac:dyDescent="0.25">
      <c r="A55" s="3" t="s">
        <v>364</v>
      </c>
      <c r="B55" s="180">
        <v>5</v>
      </c>
      <c r="C55" s="9">
        <v>2</v>
      </c>
      <c r="D55" s="78">
        <v>500</v>
      </c>
      <c r="E55" s="7">
        <f t="shared" ref="E55" si="5">C55*D55</f>
        <v>1000</v>
      </c>
      <c r="F55" s="7">
        <f t="shared" ref="F55" si="6">B55*E55</f>
        <v>5000</v>
      </c>
      <c r="G55" s="197" t="s">
        <v>363</v>
      </c>
    </row>
    <row r="56" spans="1:7" x14ac:dyDescent="0.25">
      <c r="A56" s="3" t="s">
        <v>365</v>
      </c>
      <c r="B56" s="180">
        <v>5</v>
      </c>
      <c r="C56" s="9">
        <v>1</v>
      </c>
      <c r="D56" s="78">
        <v>400</v>
      </c>
      <c r="E56" s="7">
        <f t="shared" ref="E56:E58" si="7">C56*D56</f>
        <v>400</v>
      </c>
      <c r="F56" s="7">
        <f t="shared" ref="F56:F58" si="8">B56*E56</f>
        <v>2000</v>
      </c>
      <c r="G56" s="197" t="s">
        <v>363</v>
      </c>
    </row>
    <row r="57" spans="1:7" x14ac:dyDescent="0.25">
      <c r="A57" s="216" t="s">
        <v>366</v>
      </c>
      <c r="B57" s="217">
        <v>5</v>
      </c>
      <c r="C57" s="218">
        <v>1</v>
      </c>
      <c r="D57" s="219">
        <v>240</v>
      </c>
      <c r="E57" s="220">
        <f t="shared" si="7"/>
        <v>240</v>
      </c>
      <c r="F57" s="90">
        <f t="shared" si="8"/>
        <v>1200</v>
      </c>
      <c r="G57" s="197" t="s">
        <v>363</v>
      </c>
    </row>
    <row r="58" spans="1:7" x14ac:dyDescent="0.25">
      <c r="A58" s="3" t="s">
        <v>367</v>
      </c>
      <c r="B58" s="180">
        <v>5</v>
      </c>
      <c r="C58" s="9">
        <v>1</v>
      </c>
      <c r="D58" s="78">
        <v>240</v>
      </c>
      <c r="E58" s="7">
        <f t="shared" si="7"/>
        <v>240</v>
      </c>
      <c r="F58" s="7">
        <f t="shared" si="8"/>
        <v>1200</v>
      </c>
      <c r="G58" s="197" t="s">
        <v>363</v>
      </c>
    </row>
    <row r="59" spans="1:7" x14ac:dyDescent="0.25">
      <c r="A59" s="3" t="s">
        <v>368</v>
      </c>
      <c r="B59" s="180">
        <v>7</v>
      </c>
      <c r="C59" s="9">
        <v>8</v>
      </c>
      <c r="D59" s="78">
        <v>235</v>
      </c>
      <c r="E59" s="7">
        <f t="shared" ref="E59" si="9">C59*D59</f>
        <v>1880</v>
      </c>
      <c r="F59" s="7">
        <f t="shared" ref="F59" si="10">B59*E59</f>
        <v>13160</v>
      </c>
      <c r="G59" s="197" t="s">
        <v>369</v>
      </c>
    </row>
    <row r="60" spans="1:7" ht="20.25" thickBot="1" x14ac:dyDescent="0.45">
      <c r="A60" s="326" t="s">
        <v>239</v>
      </c>
      <c r="B60" s="327"/>
      <c r="C60" s="270"/>
      <c r="D60" s="328"/>
      <c r="E60" s="271"/>
      <c r="F60" s="47">
        <f>SUM(F35:F59)</f>
        <v>423940</v>
      </c>
      <c r="G60" s="194"/>
    </row>
  </sheetData>
  <mergeCells count="12">
    <mergeCell ref="A33:A34"/>
    <mergeCell ref="B33:D33"/>
    <mergeCell ref="E33:F33"/>
    <mergeCell ref="G33:G34"/>
    <mergeCell ref="A60:B60"/>
    <mergeCell ref="C60:E60"/>
    <mergeCell ref="A32:G32"/>
    <mergeCell ref="A1:V1"/>
    <mergeCell ref="A2:V2"/>
    <mergeCell ref="A3:V3"/>
    <mergeCell ref="A4:A5"/>
    <mergeCell ref="A31:G31"/>
  </mergeCells>
  <pageMargins left="0.70866141732283472" right="0.70866141732283472" top="0.74803149606299213" bottom="0.74803149606299213" header="0.31496062992125984" footer="0.31496062992125984"/>
  <pageSetup paperSize="9" scale="42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3212B-7A9B-4E85-B31C-A676CE4E5111}">
  <dimension ref="A1:G17"/>
  <sheetViews>
    <sheetView topLeftCell="A9" workbookViewId="0">
      <selection activeCell="A19" sqref="A19"/>
    </sheetView>
  </sheetViews>
  <sheetFormatPr baseColWidth="10" defaultRowHeight="15" x14ac:dyDescent="0.25"/>
  <cols>
    <col min="1" max="1" width="28.5703125" bestFit="1" customWidth="1"/>
    <col min="5" max="5" width="16.7109375" bestFit="1" customWidth="1"/>
  </cols>
  <sheetData>
    <row r="1" spans="1:7" x14ac:dyDescent="0.25">
      <c r="A1" s="242" t="s">
        <v>370</v>
      </c>
      <c r="B1" s="243"/>
      <c r="C1" s="243"/>
      <c r="D1" s="243"/>
      <c r="E1" s="243"/>
      <c r="F1" s="243"/>
      <c r="G1" s="244"/>
    </row>
    <row r="2" spans="1:7" x14ac:dyDescent="0.25">
      <c r="A2" s="245" t="s">
        <v>371</v>
      </c>
      <c r="B2" s="246"/>
      <c r="C2" s="246"/>
      <c r="D2" s="246"/>
      <c r="E2" s="246"/>
      <c r="F2" s="246"/>
      <c r="G2" s="247"/>
    </row>
    <row r="3" spans="1:7" ht="18" x14ac:dyDescent="0.25">
      <c r="A3" s="248" t="s">
        <v>372</v>
      </c>
      <c r="B3" s="249"/>
      <c r="C3" s="249"/>
      <c r="D3" s="249"/>
      <c r="E3" s="249"/>
      <c r="F3" s="249"/>
      <c r="G3" s="250"/>
    </row>
    <row r="4" spans="1:7" x14ac:dyDescent="0.25">
      <c r="A4" s="251" t="s">
        <v>3</v>
      </c>
      <c r="B4" s="252" t="s">
        <v>4</v>
      </c>
      <c r="C4" s="252"/>
      <c r="D4" s="252"/>
      <c r="E4" s="252" t="s">
        <v>5</v>
      </c>
      <c r="F4" s="252"/>
      <c r="G4" s="253" t="s">
        <v>67</v>
      </c>
    </row>
    <row r="5" spans="1:7" x14ac:dyDescent="0.25">
      <c r="A5" s="251"/>
      <c r="B5" s="1" t="s">
        <v>6</v>
      </c>
      <c r="C5" s="225" t="s">
        <v>7</v>
      </c>
      <c r="D5" s="1" t="s">
        <v>8</v>
      </c>
      <c r="E5" s="1" t="s">
        <v>9</v>
      </c>
      <c r="F5" s="1" t="s">
        <v>10</v>
      </c>
      <c r="G5" s="253"/>
    </row>
    <row r="6" spans="1:7" x14ac:dyDescent="0.25">
      <c r="A6" s="226" t="s">
        <v>94</v>
      </c>
      <c r="B6" s="227">
        <v>30</v>
      </c>
      <c r="C6" s="228">
        <v>53</v>
      </c>
      <c r="D6" s="229">
        <v>350</v>
      </c>
      <c r="E6" s="7">
        <f>C6*D6</f>
        <v>18550</v>
      </c>
      <c r="F6" s="7">
        <f>B6*E6</f>
        <v>556500</v>
      </c>
      <c r="G6" s="89"/>
    </row>
    <row r="7" spans="1:7" x14ac:dyDescent="0.25">
      <c r="A7" s="226" t="s">
        <v>373</v>
      </c>
      <c r="B7" s="227">
        <v>30</v>
      </c>
      <c r="C7" s="228">
        <v>2</v>
      </c>
      <c r="D7" s="229">
        <v>320</v>
      </c>
      <c r="E7" s="7">
        <f t="shared" ref="E7:E15" si="0">C7*D7</f>
        <v>640</v>
      </c>
      <c r="F7" s="7">
        <f t="shared" ref="F7:F15" si="1">B7*E7</f>
        <v>19200</v>
      </c>
      <c r="G7" s="89"/>
    </row>
    <row r="8" spans="1:7" x14ac:dyDescent="0.25">
      <c r="A8" s="3" t="s">
        <v>374</v>
      </c>
      <c r="B8" s="230">
        <v>30</v>
      </c>
      <c r="C8" s="228">
        <v>5</v>
      </c>
      <c r="D8" s="78">
        <v>220</v>
      </c>
      <c r="E8" s="7">
        <f t="shared" si="0"/>
        <v>1100</v>
      </c>
      <c r="F8" s="7">
        <f t="shared" si="1"/>
        <v>33000</v>
      </c>
      <c r="G8" s="89"/>
    </row>
    <row r="9" spans="1:7" x14ac:dyDescent="0.25">
      <c r="A9" s="3" t="s">
        <v>156</v>
      </c>
      <c r="B9" s="230">
        <v>30</v>
      </c>
      <c r="C9" s="228">
        <v>6</v>
      </c>
      <c r="D9" s="78">
        <v>300</v>
      </c>
      <c r="E9" s="7">
        <f t="shared" si="0"/>
        <v>1800</v>
      </c>
      <c r="F9" s="7">
        <f t="shared" si="1"/>
        <v>54000</v>
      </c>
      <c r="G9" s="89"/>
    </row>
    <row r="10" spans="1:7" x14ac:dyDescent="0.25">
      <c r="A10" s="3" t="s">
        <v>375</v>
      </c>
      <c r="B10" s="230">
        <v>30</v>
      </c>
      <c r="C10" s="5">
        <v>60</v>
      </c>
      <c r="D10" s="78">
        <v>200</v>
      </c>
      <c r="E10" s="7">
        <f t="shared" si="0"/>
        <v>12000</v>
      </c>
      <c r="F10" s="7">
        <f t="shared" si="1"/>
        <v>360000</v>
      </c>
      <c r="G10" s="89"/>
    </row>
    <row r="11" spans="1:7" x14ac:dyDescent="0.25">
      <c r="A11" s="3" t="s">
        <v>105</v>
      </c>
      <c r="B11" s="230">
        <v>30</v>
      </c>
      <c r="C11" s="5">
        <v>25</v>
      </c>
      <c r="D11" s="78">
        <v>180</v>
      </c>
      <c r="E11" s="7">
        <f t="shared" si="0"/>
        <v>4500</v>
      </c>
      <c r="F11" s="7">
        <f t="shared" si="1"/>
        <v>135000</v>
      </c>
      <c r="G11" s="89"/>
    </row>
    <row r="12" spans="1:7" x14ac:dyDescent="0.25">
      <c r="A12" s="3" t="s">
        <v>376</v>
      </c>
      <c r="B12" s="230">
        <v>30</v>
      </c>
      <c r="C12" s="5">
        <v>3</v>
      </c>
      <c r="D12" s="78">
        <v>180</v>
      </c>
      <c r="E12" s="7">
        <f t="shared" si="0"/>
        <v>540</v>
      </c>
      <c r="F12" s="7">
        <f t="shared" si="1"/>
        <v>16200</v>
      </c>
      <c r="G12" s="89"/>
    </row>
    <row r="13" spans="1:7" x14ac:dyDescent="0.25">
      <c r="A13" s="3" t="s">
        <v>377</v>
      </c>
      <c r="B13" s="230">
        <v>30</v>
      </c>
      <c r="C13" s="5">
        <v>6</v>
      </c>
      <c r="D13" s="78">
        <v>175</v>
      </c>
      <c r="E13" s="7">
        <f t="shared" si="0"/>
        <v>1050</v>
      </c>
      <c r="F13" s="7">
        <f t="shared" si="1"/>
        <v>31500</v>
      </c>
      <c r="G13" s="89"/>
    </row>
    <row r="14" spans="1:7" x14ac:dyDescent="0.25">
      <c r="A14" s="3" t="s">
        <v>378</v>
      </c>
      <c r="B14" s="230">
        <v>30</v>
      </c>
      <c r="C14" s="5">
        <v>6</v>
      </c>
      <c r="D14" s="78">
        <v>1500</v>
      </c>
      <c r="E14" s="7">
        <f t="shared" si="0"/>
        <v>9000</v>
      </c>
      <c r="F14" s="7">
        <f t="shared" si="1"/>
        <v>270000</v>
      </c>
      <c r="G14" s="89"/>
    </row>
    <row r="15" spans="1:7" x14ac:dyDescent="0.25">
      <c r="A15" s="3" t="s">
        <v>109</v>
      </c>
      <c r="B15" s="230">
        <v>30</v>
      </c>
      <c r="C15" s="5">
        <v>6</v>
      </c>
      <c r="D15" s="78">
        <v>1000</v>
      </c>
      <c r="E15" s="7">
        <f t="shared" si="0"/>
        <v>6000</v>
      </c>
      <c r="F15" s="7">
        <f t="shared" si="1"/>
        <v>180000</v>
      </c>
      <c r="G15" s="89"/>
    </row>
    <row r="16" spans="1:7" ht="18.75" x14ac:dyDescent="0.4">
      <c r="A16" s="232" t="s">
        <v>379</v>
      </c>
      <c r="B16" s="233"/>
      <c r="C16" s="236" t="s">
        <v>20</v>
      </c>
      <c r="D16" s="236"/>
      <c r="E16" s="84">
        <f>SUM(F6:F15)</f>
        <v>1655400</v>
      </c>
      <c r="F16" s="237"/>
      <c r="G16" s="238"/>
    </row>
    <row r="17" spans="1:7" ht="19.5" thickBot="1" x14ac:dyDescent="0.45">
      <c r="A17" s="234"/>
      <c r="B17" s="235"/>
      <c r="C17" s="241" t="s">
        <v>264</v>
      </c>
      <c r="D17" s="241"/>
      <c r="E17" s="231"/>
      <c r="F17" s="239"/>
      <c r="G17" s="240"/>
    </row>
  </sheetData>
  <mergeCells count="11">
    <mergeCell ref="A16:B17"/>
    <mergeCell ref="C16:D16"/>
    <mergeCell ref="F16:G17"/>
    <mergeCell ref="C17:D17"/>
    <mergeCell ref="A1:G1"/>
    <mergeCell ref="A2:G2"/>
    <mergeCell ref="A3:G3"/>
    <mergeCell ref="A4:A5"/>
    <mergeCell ref="B4:D4"/>
    <mergeCell ref="E4:F4"/>
    <mergeCell ref="G4:G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D8DA-49CC-44B4-A149-BFDF7B186A68}">
  <dimension ref="A1:G20"/>
  <sheetViews>
    <sheetView workbookViewId="0">
      <selection activeCell="I12" sqref="I12"/>
    </sheetView>
  </sheetViews>
  <sheetFormatPr baseColWidth="10" defaultRowHeight="15" x14ac:dyDescent="0.25"/>
  <cols>
    <col min="1" max="1" width="31.140625" bestFit="1" customWidth="1"/>
    <col min="7" max="7" width="25.85546875" bestFit="1" customWidth="1"/>
  </cols>
  <sheetData>
    <row r="1" spans="1:7" ht="18.75" x14ac:dyDescent="0.3">
      <c r="A1" s="254" t="s">
        <v>248</v>
      </c>
      <c r="B1" s="255"/>
      <c r="C1" s="255"/>
      <c r="D1" s="255"/>
      <c r="E1" s="255"/>
      <c r="F1" s="255"/>
      <c r="G1" s="256"/>
    </row>
    <row r="2" spans="1:7" ht="18" x14ac:dyDescent="0.25">
      <c r="A2" s="248" t="s">
        <v>245</v>
      </c>
      <c r="B2" s="249"/>
      <c r="C2" s="249"/>
      <c r="D2" s="249"/>
      <c r="E2" s="249"/>
      <c r="F2" s="249"/>
      <c r="G2" s="250"/>
    </row>
    <row r="3" spans="1:7" ht="18.75" x14ac:dyDescent="0.3">
      <c r="A3" s="257" t="s">
        <v>254</v>
      </c>
      <c r="B3" s="258"/>
      <c r="C3" s="258"/>
      <c r="D3" s="258"/>
      <c r="E3" s="258"/>
      <c r="F3" s="258"/>
      <c r="G3" s="259"/>
    </row>
    <row r="4" spans="1:7" x14ac:dyDescent="0.25">
      <c r="A4" s="315" t="s">
        <v>3</v>
      </c>
      <c r="B4" s="106" t="s">
        <v>24</v>
      </c>
      <c r="C4" s="29"/>
      <c r="D4" s="106"/>
      <c r="E4" s="106"/>
      <c r="F4" s="106"/>
      <c r="G4" s="157" t="s">
        <v>116</v>
      </c>
    </row>
    <row r="5" spans="1:7" x14ac:dyDescent="0.25">
      <c r="A5" s="316"/>
      <c r="B5" s="20">
        <v>46054</v>
      </c>
      <c r="C5" s="20"/>
      <c r="D5" s="20"/>
      <c r="E5" s="20"/>
      <c r="F5" s="20"/>
      <c r="G5" s="158">
        <v>46203</v>
      </c>
    </row>
    <row r="6" spans="1:7" x14ac:dyDescent="0.25">
      <c r="A6" s="64" t="s">
        <v>249</v>
      </c>
      <c r="B6" s="107">
        <v>7</v>
      </c>
      <c r="C6" s="45"/>
      <c r="D6" s="45"/>
      <c r="E6" s="45"/>
      <c r="F6" s="45"/>
      <c r="G6" s="123">
        <f>SUM(B6:F6)</f>
        <v>7</v>
      </c>
    </row>
    <row r="7" spans="1:7" x14ac:dyDescent="0.25">
      <c r="A7" s="64" t="s">
        <v>250</v>
      </c>
      <c r="B7" s="107">
        <v>1</v>
      </c>
      <c r="C7" s="45"/>
      <c r="D7" s="45"/>
      <c r="E7" s="45"/>
      <c r="F7" s="45"/>
      <c r="G7" s="123">
        <f t="shared" ref="G7:G9" si="0">SUM(B7:F7)</f>
        <v>1</v>
      </c>
    </row>
    <row r="8" spans="1:7" x14ac:dyDescent="0.25">
      <c r="A8" s="64" t="s">
        <v>251</v>
      </c>
      <c r="B8" s="107">
        <v>4</v>
      </c>
      <c r="C8" s="45"/>
      <c r="D8" s="45"/>
      <c r="E8" s="45"/>
      <c r="F8" s="45"/>
      <c r="G8" s="123">
        <f t="shared" si="0"/>
        <v>4</v>
      </c>
    </row>
    <row r="9" spans="1:7" x14ac:dyDescent="0.25">
      <c r="A9" s="64" t="s">
        <v>252</v>
      </c>
      <c r="B9" s="107">
        <v>2</v>
      </c>
      <c r="C9" s="45"/>
      <c r="D9" s="45"/>
      <c r="E9" s="45"/>
      <c r="F9" s="45"/>
      <c r="G9" s="123">
        <f t="shared" si="0"/>
        <v>2</v>
      </c>
    </row>
    <row r="10" spans="1:7" x14ac:dyDescent="0.25">
      <c r="A10" s="159" t="s">
        <v>29</v>
      </c>
      <c r="B10" s="28"/>
      <c r="C10" s="27"/>
      <c r="D10" s="27"/>
      <c r="E10" s="150"/>
      <c r="F10" s="150"/>
      <c r="G10" s="124"/>
    </row>
    <row r="11" spans="1:7" ht="15.75" thickBot="1" x14ac:dyDescent="0.3">
      <c r="A11" s="160" t="s">
        <v>127</v>
      </c>
      <c r="B11" s="161"/>
      <c r="C11" s="162"/>
      <c r="D11" s="162"/>
      <c r="E11" s="162"/>
      <c r="F11" s="161"/>
      <c r="G11" s="126"/>
    </row>
    <row r="14" spans="1:7" ht="18" x14ac:dyDescent="0.25">
      <c r="A14" s="248" t="s">
        <v>244</v>
      </c>
      <c r="B14" s="249"/>
      <c r="C14" s="249"/>
      <c r="D14" s="249"/>
      <c r="E14" s="249"/>
      <c r="F14" s="249"/>
      <c r="G14" s="250"/>
    </row>
    <row r="15" spans="1:7" ht="18" x14ac:dyDescent="0.25">
      <c r="A15" s="248" t="s">
        <v>245</v>
      </c>
      <c r="B15" s="249"/>
      <c r="C15" s="249"/>
      <c r="D15" s="249"/>
      <c r="E15" s="249"/>
      <c r="F15" s="249"/>
      <c r="G15" s="250"/>
    </row>
    <row r="16" spans="1:7" x14ac:dyDescent="0.25">
      <c r="A16" s="251" t="s">
        <v>3</v>
      </c>
      <c r="B16" s="252" t="s">
        <v>4</v>
      </c>
      <c r="C16" s="252"/>
      <c r="D16" s="252"/>
      <c r="E16" s="252" t="s">
        <v>5</v>
      </c>
      <c r="F16" s="252"/>
      <c r="G16" s="253"/>
    </row>
    <row r="17" spans="1:7" x14ac:dyDescent="0.25">
      <c r="A17" s="251"/>
      <c r="B17" s="1" t="s">
        <v>6</v>
      </c>
      <c r="C17" s="1" t="s">
        <v>7</v>
      </c>
      <c r="D17" s="1" t="s">
        <v>8</v>
      </c>
      <c r="E17" s="1" t="s">
        <v>9</v>
      </c>
      <c r="F17" s="1" t="s">
        <v>234</v>
      </c>
      <c r="G17" s="253"/>
    </row>
    <row r="18" spans="1:7" ht="15.75" x14ac:dyDescent="0.25">
      <c r="A18" s="151" t="s">
        <v>243</v>
      </c>
      <c r="B18" s="152">
        <v>166</v>
      </c>
      <c r="C18" s="153">
        <v>3.5</v>
      </c>
      <c r="D18" s="154">
        <v>1200</v>
      </c>
      <c r="E18" s="155">
        <f>C18*D18</f>
        <v>4200</v>
      </c>
      <c r="F18" s="155">
        <f>B18*E18</f>
        <v>697200</v>
      </c>
      <c r="G18" s="97" t="s">
        <v>253</v>
      </c>
    </row>
    <row r="19" spans="1:7" ht="15.75" x14ac:dyDescent="0.25">
      <c r="A19" s="151" t="s">
        <v>247</v>
      </c>
      <c r="B19" s="152">
        <v>166</v>
      </c>
      <c r="C19" s="153">
        <v>2</v>
      </c>
      <c r="D19" s="154">
        <v>700</v>
      </c>
      <c r="E19" s="155">
        <f>C19*D19</f>
        <v>1400</v>
      </c>
      <c r="F19" s="155">
        <f>B19*E19</f>
        <v>232400</v>
      </c>
      <c r="G19" s="97" t="s">
        <v>246</v>
      </c>
    </row>
    <row r="20" spans="1:7" ht="19.5" thickBot="1" x14ac:dyDescent="0.45">
      <c r="A20" s="311" t="s">
        <v>255</v>
      </c>
      <c r="B20" s="312"/>
      <c r="C20" s="241"/>
      <c r="D20" s="241"/>
      <c r="E20" s="313">
        <f>F18+F19</f>
        <v>929600</v>
      </c>
      <c r="F20" s="314"/>
      <c r="G20" s="156"/>
    </row>
  </sheetData>
  <mergeCells count="13">
    <mergeCell ref="A20:B20"/>
    <mergeCell ref="C20:D20"/>
    <mergeCell ref="E20:F20"/>
    <mergeCell ref="A1:G1"/>
    <mergeCell ref="A2:G2"/>
    <mergeCell ref="A3:G3"/>
    <mergeCell ref="A4:A5"/>
    <mergeCell ref="A14:G14"/>
    <mergeCell ref="A15:G15"/>
    <mergeCell ref="A16:A17"/>
    <mergeCell ref="B16:D16"/>
    <mergeCell ref="E16:F16"/>
    <mergeCell ref="G16:G17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4A45E-6996-4768-BD40-40FDD5804AFC}">
  <sheetPr>
    <pageSetUpPr fitToPage="1"/>
  </sheetPr>
  <dimension ref="A1:J54"/>
  <sheetViews>
    <sheetView topLeftCell="A36" workbookViewId="0">
      <selection activeCell="C55" sqref="C55"/>
    </sheetView>
  </sheetViews>
  <sheetFormatPr baseColWidth="10" defaultRowHeight="15" x14ac:dyDescent="0.25"/>
  <cols>
    <col min="1" max="1" width="21.85546875" bestFit="1" customWidth="1"/>
    <col min="5" max="5" width="16.7109375" bestFit="1" customWidth="1"/>
    <col min="6" max="6" width="14.140625" bestFit="1" customWidth="1"/>
    <col min="7" max="7" width="18.28515625" customWidth="1"/>
  </cols>
  <sheetData>
    <row r="1" spans="1:10" ht="15.75" thickBot="1" x14ac:dyDescent="0.3"/>
    <row r="2" spans="1:10" ht="18.75" x14ac:dyDescent="0.3">
      <c r="A2" s="254" t="s">
        <v>256</v>
      </c>
      <c r="B2" s="255"/>
      <c r="C2" s="255"/>
      <c r="D2" s="255"/>
      <c r="E2" s="255"/>
      <c r="F2" s="255"/>
      <c r="G2" s="255"/>
      <c r="H2" s="255"/>
      <c r="I2" s="255"/>
      <c r="J2" s="256"/>
    </row>
    <row r="3" spans="1:10" ht="18.75" x14ac:dyDescent="0.3">
      <c r="A3" s="275" t="s">
        <v>47</v>
      </c>
      <c r="B3" s="258"/>
      <c r="C3" s="258"/>
      <c r="D3" s="258"/>
      <c r="E3" s="258"/>
      <c r="F3" s="258"/>
      <c r="G3" s="258"/>
      <c r="H3" s="258"/>
      <c r="I3" s="258"/>
      <c r="J3" s="259"/>
    </row>
    <row r="4" spans="1:10" ht="18.75" x14ac:dyDescent="0.3">
      <c r="A4" s="257" t="s">
        <v>277</v>
      </c>
      <c r="B4" s="258"/>
      <c r="C4" s="258"/>
      <c r="D4" s="258"/>
      <c r="E4" s="258"/>
      <c r="F4" s="258"/>
      <c r="G4" s="258"/>
      <c r="H4" s="258"/>
      <c r="I4" s="258"/>
      <c r="J4" s="258"/>
    </row>
    <row r="5" spans="1:10" x14ac:dyDescent="0.25">
      <c r="A5" s="17" t="s">
        <v>3</v>
      </c>
      <c r="B5" s="18">
        <v>13764</v>
      </c>
      <c r="C5" s="18">
        <v>13768</v>
      </c>
      <c r="D5" s="18">
        <v>13773</v>
      </c>
      <c r="E5" s="18">
        <v>13703</v>
      </c>
      <c r="F5" s="18">
        <v>13416</v>
      </c>
      <c r="G5" s="18">
        <v>13470</v>
      </c>
      <c r="H5" s="18">
        <v>13474</v>
      </c>
      <c r="I5" s="18">
        <v>13477</v>
      </c>
      <c r="J5" s="56" t="s">
        <v>24</v>
      </c>
    </row>
    <row r="6" spans="1:10" x14ac:dyDescent="0.25">
      <c r="A6" s="19"/>
      <c r="B6" s="20">
        <v>46174</v>
      </c>
      <c r="C6" s="20">
        <v>46175</v>
      </c>
      <c r="D6" s="20">
        <v>46175</v>
      </c>
      <c r="E6" s="20">
        <v>46185</v>
      </c>
      <c r="F6" s="20">
        <v>46192</v>
      </c>
      <c r="G6" s="20">
        <v>46209</v>
      </c>
      <c r="H6" s="20">
        <v>46210</v>
      </c>
      <c r="I6" s="20">
        <v>46211</v>
      </c>
      <c r="J6" s="57">
        <v>46212</v>
      </c>
    </row>
    <row r="7" spans="1:10" x14ac:dyDescent="0.25">
      <c r="A7" s="22" t="s">
        <v>89</v>
      </c>
      <c r="B7" s="23">
        <v>21</v>
      </c>
      <c r="C7" s="24"/>
      <c r="D7" s="24">
        <v>5</v>
      </c>
      <c r="E7" s="24"/>
      <c r="F7" s="24"/>
      <c r="G7" s="24"/>
      <c r="H7" s="24"/>
      <c r="I7" s="24">
        <v>-26</v>
      </c>
      <c r="J7" s="25">
        <f>SUM(B7:I7)</f>
        <v>0</v>
      </c>
    </row>
    <row r="8" spans="1:10" x14ac:dyDescent="0.25">
      <c r="A8" s="22" t="s">
        <v>25</v>
      </c>
      <c r="B8" s="23">
        <v>28</v>
      </c>
      <c r="C8" s="24">
        <v>56</v>
      </c>
      <c r="D8" s="24">
        <v>14</v>
      </c>
      <c r="E8" s="24"/>
      <c r="F8" s="24"/>
      <c r="G8" s="66">
        <v>-34</v>
      </c>
      <c r="H8" s="66">
        <v>-64</v>
      </c>
      <c r="I8" s="24"/>
      <c r="J8" s="25">
        <f t="shared" ref="J8:J19" si="0">SUM(B8:I8)</f>
        <v>0</v>
      </c>
    </row>
    <row r="9" spans="1:10" x14ac:dyDescent="0.25">
      <c r="A9" s="22" t="s">
        <v>179</v>
      </c>
      <c r="B9" s="23">
        <v>40</v>
      </c>
      <c r="C9" s="24"/>
      <c r="D9" s="24">
        <v>40</v>
      </c>
      <c r="E9" s="24"/>
      <c r="F9" s="24"/>
      <c r="G9" s="66">
        <v>-47</v>
      </c>
      <c r="H9" s="24"/>
      <c r="I9" s="24">
        <v>-33</v>
      </c>
      <c r="J9" s="25">
        <f t="shared" si="0"/>
        <v>0</v>
      </c>
    </row>
    <row r="10" spans="1:10" x14ac:dyDescent="0.25">
      <c r="A10" s="22" t="s">
        <v>79</v>
      </c>
      <c r="B10" s="23">
        <v>200</v>
      </c>
      <c r="C10" s="24">
        <v>400</v>
      </c>
      <c r="D10" s="24">
        <v>200</v>
      </c>
      <c r="E10" s="24">
        <v>300</v>
      </c>
      <c r="F10" s="24">
        <v>-300</v>
      </c>
      <c r="G10" s="66">
        <v>-300</v>
      </c>
      <c r="H10" s="24"/>
      <c r="I10" s="24">
        <v>-500</v>
      </c>
      <c r="J10" s="25">
        <f t="shared" si="0"/>
        <v>0</v>
      </c>
    </row>
    <row r="11" spans="1:10" x14ac:dyDescent="0.25">
      <c r="A11" s="22" t="s">
        <v>11</v>
      </c>
      <c r="B11" s="23"/>
      <c r="C11" s="24">
        <v>10</v>
      </c>
      <c r="D11" s="24"/>
      <c r="E11" s="24">
        <v>5</v>
      </c>
      <c r="F11" s="24"/>
      <c r="G11" s="66">
        <v>-11</v>
      </c>
      <c r="H11" s="66">
        <v>-4</v>
      </c>
      <c r="I11" s="24"/>
      <c r="J11" s="25">
        <f t="shared" si="0"/>
        <v>0</v>
      </c>
    </row>
    <row r="12" spans="1:10" x14ac:dyDescent="0.25">
      <c r="A12" s="22" t="s">
        <v>257</v>
      </c>
      <c r="B12" s="23"/>
      <c r="C12" s="24">
        <v>7</v>
      </c>
      <c r="D12" s="24">
        <v>3</v>
      </c>
      <c r="E12" s="24"/>
      <c r="F12" s="24"/>
      <c r="G12" s="66">
        <v>-6</v>
      </c>
      <c r="H12" s="24">
        <v>-4</v>
      </c>
      <c r="I12" s="24"/>
      <c r="J12" s="25">
        <f t="shared" si="0"/>
        <v>0</v>
      </c>
    </row>
    <row r="13" spans="1:10" x14ac:dyDescent="0.25">
      <c r="A13" s="22" t="s">
        <v>182</v>
      </c>
      <c r="B13" s="23"/>
      <c r="C13" s="24">
        <v>31</v>
      </c>
      <c r="D13" s="24"/>
      <c r="E13" s="24">
        <v>4</v>
      </c>
      <c r="F13" s="24"/>
      <c r="G13" s="66">
        <v>-30</v>
      </c>
      <c r="H13" s="66">
        <v>-5</v>
      </c>
      <c r="I13" s="24"/>
      <c r="J13" s="25">
        <f t="shared" si="0"/>
        <v>0</v>
      </c>
    </row>
    <row r="14" spans="1:10" x14ac:dyDescent="0.25">
      <c r="A14" s="22" t="s">
        <v>27</v>
      </c>
      <c r="B14" s="23"/>
      <c r="C14" s="24">
        <v>10</v>
      </c>
      <c r="D14" s="24"/>
      <c r="E14" s="24"/>
      <c r="F14" s="24"/>
      <c r="G14" s="66">
        <v>-2</v>
      </c>
      <c r="H14" s="66">
        <v>-8</v>
      </c>
      <c r="I14" s="24"/>
      <c r="J14" s="25">
        <f t="shared" si="0"/>
        <v>0</v>
      </c>
    </row>
    <row r="15" spans="1:10" x14ac:dyDescent="0.25">
      <c r="A15" s="22" t="s">
        <v>258</v>
      </c>
      <c r="B15" s="23"/>
      <c r="C15" s="24">
        <v>1</v>
      </c>
      <c r="D15" s="24">
        <v>1</v>
      </c>
      <c r="E15" s="24"/>
      <c r="F15" s="24"/>
      <c r="G15" s="66">
        <v>-1</v>
      </c>
      <c r="H15" s="24"/>
      <c r="I15" s="24">
        <v>-1</v>
      </c>
      <c r="J15" s="25">
        <f t="shared" si="0"/>
        <v>0</v>
      </c>
    </row>
    <row r="16" spans="1:10" x14ac:dyDescent="0.25">
      <c r="A16" s="22" t="s">
        <v>259</v>
      </c>
      <c r="B16" s="23"/>
      <c r="C16" s="24">
        <v>1</v>
      </c>
      <c r="D16" s="24"/>
      <c r="E16" s="24">
        <v>2</v>
      </c>
      <c r="F16" s="24"/>
      <c r="G16" s="66">
        <v>-3</v>
      </c>
      <c r="H16" s="24"/>
      <c r="I16" s="24"/>
      <c r="J16" s="25">
        <f t="shared" si="0"/>
        <v>0</v>
      </c>
    </row>
    <row r="17" spans="1:10" x14ac:dyDescent="0.25">
      <c r="A17" s="22" t="s">
        <v>14</v>
      </c>
      <c r="B17" s="23"/>
      <c r="C17" s="24"/>
      <c r="D17" s="24"/>
      <c r="E17" s="24">
        <v>32</v>
      </c>
      <c r="F17" s="24">
        <v>-32</v>
      </c>
      <c r="G17" s="24"/>
      <c r="H17" s="24"/>
      <c r="I17" s="24"/>
      <c r="J17" s="25">
        <f t="shared" si="0"/>
        <v>0</v>
      </c>
    </row>
    <row r="18" spans="1:10" x14ac:dyDescent="0.25">
      <c r="A18" s="22" t="s">
        <v>13</v>
      </c>
      <c r="B18" s="23"/>
      <c r="C18" s="24"/>
      <c r="D18" s="24"/>
      <c r="E18" s="24">
        <v>16</v>
      </c>
      <c r="F18" s="24">
        <v>-16</v>
      </c>
      <c r="G18" s="24"/>
      <c r="H18" s="24"/>
      <c r="I18" s="24"/>
      <c r="J18" s="25">
        <f t="shared" si="0"/>
        <v>0</v>
      </c>
    </row>
    <row r="19" spans="1:10" x14ac:dyDescent="0.25">
      <c r="A19" s="22" t="s">
        <v>260</v>
      </c>
      <c r="B19" s="23"/>
      <c r="C19" s="24"/>
      <c r="D19" s="24"/>
      <c r="E19" s="24">
        <v>4</v>
      </c>
      <c r="F19" s="24">
        <v>-4</v>
      </c>
      <c r="G19" s="24"/>
      <c r="H19" s="24"/>
      <c r="I19" s="24"/>
      <c r="J19" s="25">
        <f t="shared" si="0"/>
        <v>0</v>
      </c>
    </row>
    <row r="20" spans="1:10" x14ac:dyDescent="0.25">
      <c r="A20" s="19" t="s">
        <v>29</v>
      </c>
      <c r="B20" s="27">
        <v>0.4375</v>
      </c>
      <c r="C20" s="28">
        <v>0.33333333333333331</v>
      </c>
      <c r="D20" s="28">
        <v>0.46875</v>
      </c>
      <c r="E20" s="28">
        <v>0.14583333333333334</v>
      </c>
      <c r="F20" s="28">
        <v>0.35416666666666669</v>
      </c>
      <c r="G20" s="28">
        <v>7.6388888888888895E-2</v>
      </c>
      <c r="H20" s="28">
        <v>0.44444444444444442</v>
      </c>
      <c r="I20" s="28">
        <v>0.30555555555555558</v>
      </c>
      <c r="J20" s="29"/>
    </row>
    <row r="21" spans="1:10" x14ac:dyDescent="0.25">
      <c r="A21" s="19" t="s">
        <v>30</v>
      </c>
      <c r="B21" s="58" t="s">
        <v>274</v>
      </c>
      <c r="C21" s="58" t="s">
        <v>274</v>
      </c>
      <c r="D21" s="30" t="s">
        <v>274</v>
      </c>
      <c r="E21" s="30">
        <v>45000</v>
      </c>
      <c r="F21" s="30">
        <v>45000</v>
      </c>
      <c r="G21" s="30" t="s">
        <v>261</v>
      </c>
      <c r="H21" s="30" t="s">
        <v>261</v>
      </c>
      <c r="I21" s="30" t="s">
        <v>261</v>
      </c>
      <c r="J21" s="31">
        <f>SUM(E21:F21)</f>
        <v>90000</v>
      </c>
    </row>
    <row r="24" spans="1:10" x14ac:dyDescent="0.25">
      <c r="A24" s="333" t="s">
        <v>262</v>
      </c>
      <c r="B24" s="333"/>
      <c r="C24" s="333"/>
      <c r="D24" s="333"/>
      <c r="E24" s="333"/>
      <c r="F24" s="333"/>
      <c r="G24" s="333"/>
    </row>
    <row r="25" spans="1:10" x14ac:dyDescent="0.25">
      <c r="A25" s="246" t="s">
        <v>263</v>
      </c>
      <c r="B25" s="246"/>
      <c r="C25" s="246"/>
      <c r="D25" s="246"/>
      <c r="E25" s="246"/>
      <c r="F25" s="246"/>
      <c r="G25" s="246"/>
    </row>
    <row r="26" spans="1:10" ht="18" x14ac:dyDescent="0.25">
      <c r="A26" s="249" t="s">
        <v>269</v>
      </c>
      <c r="B26" s="249"/>
      <c r="C26" s="249"/>
      <c r="D26" s="249"/>
      <c r="E26" s="249"/>
      <c r="F26" s="249"/>
      <c r="G26" s="249"/>
    </row>
    <row r="27" spans="1:10" x14ac:dyDescent="0.25">
      <c r="A27" s="236" t="s">
        <v>3</v>
      </c>
      <c r="B27" s="252" t="s">
        <v>4</v>
      </c>
      <c r="C27" s="252"/>
      <c r="D27" s="252"/>
      <c r="E27" s="252" t="s">
        <v>5</v>
      </c>
      <c r="F27" s="252"/>
      <c r="G27" s="309" t="s">
        <v>67</v>
      </c>
    </row>
    <row r="28" spans="1:10" x14ac:dyDescent="0.25">
      <c r="A28" s="236"/>
      <c r="B28" s="1" t="s">
        <v>6</v>
      </c>
      <c r="C28" s="1" t="s">
        <v>7</v>
      </c>
      <c r="D28" s="1" t="s">
        <v>8</v>
      </c>
      <c r="E28" s="1" t="s">
        <v>9</v>
      </c>
      <c r="F28" s="1" t="s">
        <v>10</v>
      </c>
      <c r="G28" s="309"/>
    </row>
    <row r="29" spans="1:10" x14ac:dyDescent="0.25">
      <c r="A29" s="144" t="s">
        <v>89</v>
      </c>
      <c r="B29" s="9">
        <v>1</v>
      </c>
      <c r="C29" s="4">
        <v>21</v>
      </c>
      <c r="D29" s="78">
        <v>200</v>
      </c>
      <c r="E29" s="7">
        <f t="shared" ref="E29:E47" si="1">C29*D29</f>
        <v>4200</v>
      </c>
      <c r="F29" s="7">
        <f t="shared" ref="F29:F47" si="2">B29*E29</f>
        <v>4200</v>
      </c>
      <c r="G29" s="144" t="s">
        <v>267</v>
      </c>
    </row>
    <row r="30" spans="1:10" x14ac:dyDescent="0.25">
      <c r="A30" s="144" t="s">
        <v>89</v>
      </c>
      <c r="B30" s="9">
        <v>35</v>
      </c>
      <c r="C30" s="4">
        <v>26</v>
      </c>
      <c r="D30" s="78">
        <v>200</v>
      </c>
      <c r="E30" s="7">
        <f t="shared" si="1"/>
        <v>5200</v>
      </c>
      <c r="F30" s="7">
        <f t="shared" si="2"/>
        <v>182000</v>
      </c>
      <c r="G30" s="144" t="s">
        <v>268</v>
      </c>
    </row>
    <row r="31" spans="1:10" x14ac:dyDescent="0.25">
      <c r="A31" s="167" t="s">
        <v>25</v>
      </c>
      <c r="B31" s="9">
        <v>1</v>
      </c>
      <c r="C31" s="9">
        <v>28</v>
      </c>
      <c r="D31" s="78">
        <v>450</v>
      </c>
      <c r="E31" s="7">
        <f t="shared" si="1"/>
        <v>12600</v>
      </c>
      <c r="F31" s="7">
        <f t="shared" si="2"/>
        <v>12600</v>
      </c>
      <c r="G31" s="144" t="s">
        <v>267</v>
      </c>
      <c r="J31" t="s">
        <v>270</v>
      </c>
    </row>
    <row r="32" spans="1:10" x14ac:dyDescent="0.25">
      <c r="A32" s="167" t="s">
        <v>25</v>
      </c>
      <c r="B32" s="9">
        <v>35</v>
      </c>
      <c r="C32" s="9">
        <v>98</v>
      </c>
      <c r="D32" s="78">
        <v>450</v>
      </c>
      <c r="E32" s="7">
        <f t="shared" si="1"/>
        <v>44100</v>
      </c>
      <c r="F32" s="7">
        <f t="shared" si="2"/>
        <v>1543500</v>
      </c>
      <c r="G32" s="144" t="s">
        <v>268</v>
      </c>
    </row>
    <row r="33" spans="1:7" x14ac:dyDescent="0.25">
      <c r="A33" s="167" t="s">
        <v>266</v>
      </c>
      <c r="B33" s="9">
        <v>1</v>
      </c>
      <c r="C33" s="9">
        <v>40</v>
      </c>
      <c r="D33" s="78">
        <v>200</v>
      </c>
      <c r="E33" s="7">
        <f t="shared" si="1"/>
        <v>8000</v>
      </c>
      <c r="F33" s="7">
        <f t="shared" si="2"/>
        <v>8000</v>
      </c>
      <c r="G33" s="144" t="s">
        <v>267</v>
      </c>
    </row>
    <row r="34" spans="1:7" x14ac:dyDescent="0.25">
      <c r="A34" s="167" t="s">
        <v>266</v>
      </c>
      <c r="B34" s="9">
        <v>35</v>
      </c>
      <c r="C34" s="9">
        <v>80</v>
      </c>
      <c r="D34" s="78">
        <v>200</v>
      </c>
      <c r="E34" s="7">
        <f t="shared" si="1"/>
        <v>16000</v>
      </c>
      <c r="F34" s="7">
        <f t="shared" si="2"/>
        <v>560000</v>
      </c>
      <c r="G34" s="144" t="s">
        <v>268</v>
      </c>
    </row>
    <row r="35" spans="1:7" x14ac:dyDescent="0.25">
      <c r="A35" s="167" t="s">
        <v>16</v>
      </c>
      <c r="B35" s="9">
        <v>1</v>
      </c>
      <c r="C35" s="9">
        <v>200</v>
      </c>
      <c r="D35" s="78">
        <v>28</v>
      </c>
      <c r="E35" s="7">
        <f t="shared" si="1"/>
        <v>5600</v>
      </c>
      <c r="F35" s="7">
        <f t="shared" si="2"/>
        <v>5600</v>
      </c>
      <c r="G35" s="144" t="s">
        <v>267</v>
      </c>
    </row>
    <row r="36" spans="1:7" x14ac:dyDescent="0.25">
      <c r="A36" s="167" t="s">
        <v>16</v>
      </c>
      <c r="B36" s="9">
        <v>11</v>
      </c>
      <c r="C36" s="9">
        <v>800</v>
      </c>
      <c r="D36" s="78">
        <v>28</v>
      </c>
      <c r="E36" s="7">
        <f t="shared" si="1"/>
        <v>22400</v>
      </c>
      <c r="F36" s="7">
        <f t="shared" si="2"/>
        <v>246400</v>
      </c>
      <c r="G36" s="144" t="s">
        <v>273</v>
      </c>
    </row>
    <row r="37" spans="1:7" x14ac:dyDescent="0.25">
      <c r="A37" s="167" t="s">
        <v>16</v>
      </c>
      <c r="B37" s="9">
        <v>6</v>
      </c>
      <c r="C37" s="9">
        <v>1100</v>
      </c>
      <c r="D37" s="78">
        <v>28</v>
      </c>
      <c r="E37" s="7">
        <f t="shared" si="1"/>
        <v>30800</v>
      </c>
      <c r="F37" s="7">
        <f t="shared" si="2"/>
        <v>184800</v>
      </c>
      <c r="G37" s="144" t="s">
        <v>280</v>
      </c>
    </row>
    <row r="38" spans="1:7" x14ac:dyDescent="0.25">
      <c r="A38" s="167" t="s">
        <v>16</v>
      </c>
      <c r="B38" s="9">
        <v>18</v>
      </c>
      <c r="C38" s="9">
        <v>800</v>
      </c>
      <c r="D38" s="78">
        <v>28</v>
      </c>
      <c r="E38" s="7">
        <f t="shared" si="1"/>
        <v>22400</v>
      </c>
      <c r="F38" s="7">
        <f t="shared" si="2"/>
        <v>403200</v>
      </c>
      <c r="G38" s="144" t="s">
        <v>281</v>
      </c>
    </row>
    <row r="39" spans="1:7" x14ac:dyDescent="0.25">
      <c r="A39" s="167" t="s">
        <v>11</v>
      </c>
      <c r="B39" s="9">
        <v>11</v>
      </c>
      <c r="C39" s="9">
        <v>10</v>
      </c>
      <c r="D39" s="78">
        <v>320</v>
      </c>
      <c r="E39" s="7">
        <f t="shared" si="1"/>
        <v>3200</v>
      </c>
      <c r="F39" s="7">
        <f t="shared" si="2"/>
        <v>35200</v>
      </c>
      <c r="G39" s="144" t="s">
        <v>271</v>
      </c>
    </row>
    <row r="40" spans="1:7" x14ac:dyDescent="0.25">
      <c r="A40" s="167" t="s">
        <v>11</v>
      </c>
      <c r="B40" s="9">
        <v>24</v>
      </c>
      <c r="C40" s="9">
        <v>15</v>
      </c>
      <c r="D40" s="78">
        <v>320</v>
      </c>
      <c r="E40" s="7">
        <f t="shared" si="1"/>
        <v>4800</v>
      </c>
      <c r="F40" s="7">
        <f t="shared" si="2"/>
        <v>115200</v>
      </c>
      <c r="G40" s="144" t="s">
        <v>272</v>
      </c>
    </row>
    <row r="41" spans="1:7" x14ac:dyDescent="0.25">
      <c r="A41" s="167" t="s">
        <v>257</v>
      </c>
      <c r="B41" s="9">
        <v>35</v>
      </c>
      <c r="C41" s="9">
        <v>10</v>
      </c>
      <c r="D41" s="78">
        <v>360</v>
      </c>
      <c r="E41" s="7">
        <f t="shared" si="1"/>
        <v>3600</v>
      </c>
      <c r="F41" s="7">
        <f t="shared" si="2"/>
        <v>126000</v>
      </c>
      <c r="G41" s="144" t="s">
        <v>268</v>
      </c>
    </row>
    <row r="42" spans="1:7" x14ac:dyDescent="0.25">
      <c r="A42" s="167" t="s">
        <v>182</v>
      </c>
      <c r="B42" s="9">
        <v>11</v>
      </c>
      <c r="C42" s="9">
        <v>31</v>
      </c>
      <c r="D42" s="78">
        <v>260</v>
      </c>
      <c r="E42" s="7">
        <f t="shared" si="1"/>
        <v>8060</v>
      </c>
      <c r="F42" s="7">
        <f t="shared" si="2"/>
        <v>88660</v>
      </c>
      <c r="G42" s="144" t="s">
        <v>275</v>
      </c>
    </row>
    <row r="43" spans="1:7" x14ac:dyDescent="0.25">
      <c r="A43" s="167" t="s">
        <v>182</v>
      </c>
      <c r="B43" s="9">
        <v>24</v>
      </c>
      <c r="C43" s="9">
        <v>35</v>
      </c>
      <c r="D43" s="78">
        <v>260</v>
      </c>
      <c r="E43" s="7">
        <f t="shared" si="1"/>
        <v>9100</v>
      </c>
      <c r="F43" s="7">
        <f t="shared" si="2"/>
        <v>218400</v>
      </c>
      <c r="G43" s="144" t="s">
        <v>272</v>
      </c>
    </row>
    <row r="44" spans="1:7" x14ac:dyDescent="0.25">
      <c r="A44" s="167" t="s">
        <v>27</v>
      </c>
      <c r="B44" s="9">
        <v>35</v>
      </c>
      <c r="C44" s="9">
        <v>10</v>
      </c>
      <c r="D44" s="78">
        <v>280</v>
      </c>
      <c r="E44" s="7">
        <f t="shared" si="1"/>
        <v>2800</v>
      </c>
      <c r="F44" s="7">
        <f t="shared" si="2"/>
        <v>98000</v>
      </c>
      <c r="G44" s="144" t="s">
        <v>268</v>
      </c>
    </row>
    <row r="45" spans="1:7" x14ac:dyDescent="0.25">
      <c r="A45" s="167" t="s">
        <v>14</v>
      </c>
      <c r="B45" s="9">
        <v>6</v>
      </c>
      <c r="C45" s="9">
        <v>32</v>
      </c>
      <c r="D45" s="78">
        <v>100</v>
      </c>
      <c r="E45" s="7">
        <f t="shared" si="1"/>
        <v>3200</v>
      </c>
      <c r="F45" s="7">
        <f t="shared" si="2"/>
        <v>19200</v>
      </c>
      <c r="G45" s="144" t="s">
        <v>276</v>
      </c>
    </row>
    <row r="46" spans="1:7" x14ac:dyDescent="0.25">
      <c r="A46" s="167" t="s">
        <v>13</v>
      </c>
      <c r="B46" s="9">
        <v>6</v>
      </c>
      <c r="C46" s="9">
        <v>16</v>
      </c>
      <c r="D46" s="78">
        <v>120</v>
      </c>
      <c r="E46" s="7">
        <f t="shared" si="1"/>
        <v>1920</v>
      </c>
      <c r="F46" s="7">
        <f t="shared" si="2"/>
        <v>11520</v>
      </c>
      <c r="G46" s="144" t="s">
        <v>276</v>
      </c>
    </row>
    <row r="47" spans="1:7" x14ac:dyDescent="0.25">
      <c r="A47" s="167" t="s">
        <v>260</v>
      </c>
      <c r="B47" s="9">
        <v>6</v>
      </c>
      <c r="C47" s="9">
        <v>4</v>
      </c>
      <c r="D47" s="78">
        <v>350</v>
      </c>
      <c r="E47" s="7">
        <f t="shared" si="1"/>
        <v>1400</v>
      </c>
      <c r="F47" s="7">
        <f t="shared" si="2"/>
        <v>8400</v>
      </c>
      <c r="G47" s="144" t="s">
        <v>276</v>
      </c>
    </row>
    <row r="48" spans="1:7" ht="18.75" x14ac:dyDescent="0.4">
      <c r="A48" s="233" t="s">
        <v>269</v>
      </c>
      <c r="B48" s="233"/>
      <c r="C48" s="236" t="s">
        <v>264</v>
      </c>
      <c r="D48" s="236"/>
      <c r="E48" s="84">
        <f>SUM(E29:E46)</f>
        <v>207980</v>
      </c>
      <c r="F48" s="237"/>
      <c r="G48" s="329"/>
    </row>
    <row r="49" spans="1:7" ht="18.75" x14ac:dyDescent="0.4">
      <c r="A49" s="233"/>
      <c r="B49" s="233"/>
      <c r="C49" s="236" t="s">
        <v>265</v>
      </c>
      <c r="D49" s="236"/>
      <c r="E49" s="166">
        <f>SUM(F29:F47)</f>
        <v>3870880</v>
      </c>
      <c r="F49" s="286"/>
      <c r="G49" s="330"/>
    </row>
    <row r="50" spans="1:7" ht="18.75" x14ac:dyDescent="0.3">
      <c r="A50" s="233"/>
      <c r="B50" s="233"/>
      <c r="C50" s="252" t="s">
        <v>43</v>
      </c>
      <c r="D50" s="252"/>
      <c r="E50" s="165">
        <v>440000</v>
      </c>
      <c r="F50" s="286"/>
      <c r="G50" s="330"/>
    </row>
    <row r="51" spans="1:7" ht="18.75" x14ac:dyDescent="0.3">
      <c r="A51" s="233"/>
      <c r="B51" s="233"/>
      <c r="C51" s="252" t="s">
        <v>200</v>
      </c>
      <c r="D51" s="252"/>
      <c r="E51" s="147">
        <f>E49+E50</f>
        <v>4310880</v>
      </c>
      <c r="F51" s="331"/>
      <c r="G51" s="332"/>
    </row>
    <row r="52" spans="1:7" ht="18.75" x14ac:dyDescent="0.4">
      <c r="A52" s="32" t="s">
        <v>21</v>
      </c>
      <c r="B52" s="32"/>
      <c r="C52" s="32"/>
      <c r="D52" s="32"/>
      <c r="E52" s="34">
        <v>2000000</v>
      </c>
    </row>
    <row r="53" spans="1:7" ht="18.75" x14ac:dyDescent="0.4">
      <c r="A53" s="32" t="s">
        <v>278</v>
      </c>
      <c r="B53" s="32"/>
      <c r="C53" s="32"/>
      <c r="D53" s="32"/>
      <c r="E53" s="33">
        <f>E51-E52</f>
        <v>2310880</v>
      </c>
    </row>
    <row r="54" spans="1:7" ht="18.75" x14ac:dyDescent="0.4">
      <c r="A54" s="32" t="s">
        <v>282</v>
      </c>
      <c r="B54" s="32"/>
      <c r="C54" s="168">
        <v>39630</v>
      </c>
      <c r="D54" s="32"/>
      <c r="E54" s="34">
        <v>2310880</v>
      </c>
    </row>
  </sheetData>
  <mergeCells count="16">
    <mergeCell ref="A24:G24"/>
    <mergeCell ref="A2:J2"/>
    <mergeCell ref="A3:J3"/>
    <mergeCell ref="A4:J4"/>
    <mergeCell ref="A25:G25"/>
    <mergeCell ref="A26:G26"/>
    <mergeCell ref="G27:G28"/>
    <mergeCell ref="F48:G51"/>
    <mergeCell ref="A27:A28"/>
    <mergeCell ref="B27:D27"/>
    <mergeCell ref="E27:F27"/>
    <mergeCell ref="A48:B51"/>
    <mergeCell ref="C48:D48"/>
    <mergeCell ref="C49:D49"/>
    <mergeCell ref="C50:D50"/>
    <mergeCell ref="C51:D51"/>
  </mergeCells>
  <pageMargins left="0.7" right="0.7" top="0.75" bottom="0.75" header="0.3" footer="0.3"/>
  <pageSetup paperSize="9" scale="60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F1CC-B008-4F15-BFF2-06FA79BFE1EA}">
  <dimension ref="A1:H39"/>
  <sheetViews>
    <sheetView topLeftCell="A21" workbookViewId="0">
      <selection activeCell="K34" sqref="K34"/>
    </sheetView>
  </sheetViews>
  <sheetFormatPr baseColWidth="10" defaultRowHeight="15" x14ac:dyDescent="0.25"/>
  <cols>
    <col min="1" max="1" width="29.7109375" customWidth="1"/>
    <col min="4" max="4" width="16.28515625" customWidth="1"/>
    <col min="5" max="5" width="15.5703125" bestFit="1" customWidth="1"/>
    <col min="6" max="6" width="14.140625" customWidth="1"/>
  </cols>
  <sheetData>
    <row r="1" spans="1:6" ht="18.75" x14ac:dyDescent="0.3">
      <c r="A1" s="254" t="s">
        <v>141</v>
      </c>
      <c r="B1" s="255"/>
      <c r="C1" s="255"/>
      <c r="D1" s="255"/>
      <c r="E1" s="255"/>
      <c r="F1" s="255"/>
    </row>
    <row r="2" spans="1:6" ht="18.75" x14ac:dyDescent="0.3">
      <c r="A2" s="257" t="s">
        <v>142</v>
      </c>
      <c r="B2" s="258"/>
      <c r="C2" s="258"/>
      <c r="D2" s="258"/>
      <c r="E2" s="258"/>
      <c r="F2" s="258"/>
    </row>
    <row r="3" spans="1:6" ht="18.75" x14ac:dyDescent="0.3">
      <c r="A3" s="257" t="s">
        <v>23</v>
      </c>
      <c r="B3" s="258"/>
      <c r="C3" s="258"/>
      <c r="D3" s="258"/>
      <c r="E3" s="258"/>
      <c r="F3" s="258"/>
    </row>
    <row r="4" spans="1:6" x14ac:dyDescent="0.25">
      <c r="A4" s="17" t="s">
        <v>3</v>
      </c>
      <c r="B4" s="18">
        <v>13708</v>
      </c>
      <c r="C4" s="18">
        <v>13447</v>
      </c>
      <c r="D4" s="18"/>
      <c r="E4" s="18"/>
      <c r="F4" s="18" t="s">
        <v>116</v>
      </c>
    </row>
    <row r="5" spans="1:6" x14ac:dyDescent="0.25">
      <c r="A5" s="19"/>
      <c r="B5" s="28">
        <v>0.53125</v>
      </c>
      <c r="C5" s="20">
        <v>46199</v>
      </c>
      <c r="D5" s="20"/>
      <c r="E5" s="20"/>
      <c r="F5" s="20">
        <v>46203</v>
      </c>
    </row>
    <row r="6" spans="1:6" x14ac:dyDescent="0.25">
      <c r="A6" s="22" t="s">
        <v>101</v>
      </c>
      <c r="B6" s="23">
        <v>3</v>
      </c>
      <c r="C6" s="24">
        <v>-3</v>
      </c>
      <c r="D6" s="24"/>
      <c r="E6" s="24"/>
      <c r="F6" s="25">
        <f>SUM(B6:E6)</f>
        <v>0</v>
      </c>
    </row>
    <row r="7" spans="1:6" x14ac:dyDescent="0.25">
      <c r="A7" s="22" t="s">
        <v>86</v>
      </c>
      <c r="B7" s="23">
        <v>2</v>
      </c>
      <c r="C7" s="24">
        <v>-2</v>
      </c>
      <c r="D7" s="24"/>
      <c r="E7" s="24"/>
      <c r="F7" s="25">
        <f t="shared" ref="F7:F10" si="0">SUM(B7:E7)</f>
        <v>0</v>
      </c>
    </row>
    <row r="8" spans="1:6" x14ac:dyDescent="0.25">
      <c r="A8" s="22" t="s">
        <v>87</v>
      </c>
      <c r="B8" s="23">
        <v>1</v>
      </c>
      <c r="C8" s="24">
        <v>-1</v>
      </c>
      <c r="D8" s="24"/>
      <c r="E8" s="24"/>
      <c r="F8" s="25">
        <f t="shared" si="0"/>
        <v>0</v>
      </c>
    </row>
    <row r="9" spans="1:6" x14ac:dyDescent="0.25">
      <c r="A9" s="22" t="s">
        <v>143</v>
      </c>
      <c r="B9" s="23">
        <v>2</v>
      </c>
      <c r="C9" s="24">
        <v>-2</v>
      </c>
      <c r="D9" s="24"/>
      <c r="E9" s="24"/>
      <c r="F9" s="25">
        <f t="shared" si="0"/>
        <v>0</v>
      </c>
    </row>
    <row r="10" spans="1:6" x14ac:dyDescent="0.25">
      <c r="A10" s="22" t="s">
        <v>144</v>
      </c>
      <c r="B10" s="23">
        <v>3</v>
      </c>
      <c r="C10" s="24">
        <v>-3</v>
      </c>
      <c r="D10" s="24"/>
      <c r="E10" s="24"/>
      <c r="F10" s="25">
        <f t="shared" si="0"/>
        <v>0</v>
      </c>
    </row>
    <row r="11" spans="1:6" x14ac:dyDescent="0.25">
      <c r="A11" s="22" t="s">
        <v>94</v>
      </c>
      <c r="B11" s="23">
        <v>6</v>
      </c>
      <c r="C11" s="24">
        <v>-6</v>
      </c>
      <c r="D11" s="24"/>
      <c r="E11" s="24"/>
      <c r="F11" s="25">
        <f>SUM(B11:E11)</f>
        <v>0</v>
      </c>
    </row>
    <row r="12" spans="1:6" x14ac:dyDescent="0.25">
      <c r="A12" s="22" t="s">
        <v>145</v>
      </c>
      <c r="B12" s="23">
        <v>1</v>
      </c>
      <c r="C12" s="24">
        <v>-1</v>
      </c>
      <c r="D12" s="24"/>
      <c r="E12" s="24"/>
      <c r="F12" s="25">
        <f>SUM(B12:E12)</f>
        <v>0</v>
      </c>
    </row>
    <row r="13" spans="1:6" x14ac:dyDescent="0.25">
      <c r="A13" s="19" t="s">
        <v>29</v>
      </c>
      <c r="B13" s="116">
        <v>0.53125</v>
      </c>
      <c r="C13" s="28">
        <v>0.14583333333333334</v>
      </c>
      <c r="D13" s="28"/>
      <c r="E13" s="28"/>
      <c r="F13" s="29"/>
    </row>
    <row r="14" spans="1:6" x14ac:dyDescent="0.25">
      <c r="A14" s="19" t="s">
        <v>30</v>
      </c>
      <c r="B14" s="30">
        <v>55000</v>
      </c>
      <c r="C14" s="30">
        <v>55000</v>
      </c>
      <c r="D14" s="30"/>
      <c r="E14" s="30"/>
      <c r="F14" s="31">
        <f>SUM(B14:E14)</f>
        <v>110000</v>
      </c>
    </row>
    <row r="15" spans="1:6" x14ac:dyDescent="0.25">
      <c r="B15" s="117" t="s">
        <v>146</v>
      </c>
      <c r="C15" s="117"/>
    </row>
    <row r="21" spans="1:8" ht="15.75" thickBot="1" x14ac:dyDescent="0.3"/>
    <row r="22" spans="1:8" x14ac:dyDescent="0.25">
      <c r="A22" s="260" t="s">
        <v>64</v>
      </c>
      <c r="B22" s="261"/>
      <c r="C22" s="261"/>
      <c r="D22" s="261"/>
      <c r="E22" s="261"/>
      <c r="F22" s="262"/>
    </row>
    <row r="23" spans="1:8" x14ac:dyDescent="0.25">
      <c r="A23" s="303" t="s">
        <v>130</v>
      </c>
      <c r="B23" s="304"/>
      <c r="C23" s="304"/>
      <c r="D23" s="304"/>
      <c r="E23" s="304"/>
      <c r="F23" s="305"/>
    </row>
    <row r="24" spans="1:8" ht="18" x14ac:dyDescent="0.25">
      <c r="A24" s="263" t="s">
        <v>131</v>
      </c>
      <c r="B24" s="264"/>
      <c r="C24" s="264"/>
      <c r="D24" s="264"/>
      <c r="E24" s="264"/>
      <c r="F24" s="265"/>
      <c r="G24" s="110" t="s">
        <v>132</v>
      </c>
      <c r="H24" s="110"/>
    </row>
    <row r="25" spans="1:8" x14ac:dyDescent="0.25">
      <c r="A25" s="251" t="s">
        <v>3</v>
      </c>
      <c r="B25" s="252" t="s">
        <v>4</v>
      </c>
      <c r="C25" s="252"/>
      <c r="D25" s="252"/>
      <c r="E25" s="252" t="s">
        <v>5</v>
      </c>
      <c r="F25" s="274"/>
    </row>
    <row r="26" spans="1:8" x14ac:dyDescent="0.25">
      <c r="A26" s="251"/>
      <c r="B26" s="1" t="s">
        <v>6</v>
      </c>
      <c r="C26" s="1" t="s">
        <v>7</v>
      </c>
      <c r="D26" s="1" t="s">
        <v>8</v>
      </c>
      <c r="E26" s="1" t="s">
        <v>9</v>
      </c>
      <c r="F26" s="2" t="s">
        <v>10</v>
      </c>
    </row>
    <row r="27" spans="1:8" x14ac:dyDescent="0.25">
      <c r="A27" s="3" t="s">
        <v>133</v>
      </c>
      <c r="B27" s="5">
        <v>13</v>
      </c>
      <c r="C27" s="111">
        <v>3</v>
      </c>
      <c r="D27" s="78">
        <v>6500</v>
      </c>
      <c r="E27" s="7">
        <f t="shared" ref="E27:E33" si="1">C27*D27</f>
        <v>19500</v>
      </c>
      <c r="F27" s="8">
        <f>B27*E27</f>
        <v>253500</v>
      </c>
      <c r="G27">
        <v>85</v>
      </c>
      <c r="H27">
        <f>G27*C27</f>
        <v>255</v>
      </c>
    </row>
    <row r="28" spans="1:8" x14ac:dyDescent="0.25">
      <c r="A28" s="3" t="s">
        <v>86</v>
      </c>
      <c r="B28" s="5">
        <v>13</v>
      </c>
      <c r="C28" s="111">
        <v>2</v>
      </c>
      <c r="D28" s="78">
        <v>600</v>
      </c>
      <c r="E28" s="7">
        <f t="shared" si="1"/>
        <v>1200</v>
      </c>
      <c r="F28" s="8">
        <f t="shared" ref="F28:F33" si="2">B28*E28</f>
        <v>15600</v>
      </c>
      <c r="G28">
        <v>50</v>
      </c>
      <c r="H28">
        <f t="shared" ref="H28:H33" si="3">G28*C28</f>
        <v>100</v>
      </c>
    </row>
    <row r="29" spans="1:8" x14ac:dyDescent="0.25">
      <c r="A29" s="3" t="s">
        <v>93</v>
      </c>
      <c r="B29" s="5">
        <v>13</v>
      </c>
      <c r="C29" s="111">
        <v>1</v>
      </c>
      <c r="D29" s="78">
        <v>500</v>
      </c>
      <c r="E29" s="7">
        <f t="shared" si="1"/>
        <v>500</v>
      </c>
      <c r="F29" s="8">
        <f t="shared" si="2"/>
        <v>6500</v>
      </c>
      <c r="G29">
        <v>27</v>
      </c>
      <c r="H29">
        <f t="shared" si="3"/>
        <v>27</v>
      </c>
    </row>
    <row r="30" spans="1:8" x14ac:dyDescent="0.25">
      <c r="A30" s="3" t="s">
        <v>134</v>
      </c>
      <c r="B30" s="5">
        <v>13</v>
      </c>
      <c r="C30" s="111">
        <v>2</v>
      </c>
      <c r="D30" s="78">
        <v>600</v>
      </c>
      <c r="E30" s="7">
        <f t="shared" si="1"/>
        <v>1200</v>
      </c>
      <c r="F30" s="8">
        <f t="shared" si="2"/>
        <v>15600</v>
      </c>
      <c r="G30">
        <v>50</v>
      </c>
      <c r="H30">
        <f t="shared" si="3"/>
        <v>100</v>
      </c>
    </row>
    <row r="31" spans="1:8" x14ac:dyDescent="0.25">
      <c r="A31" s="3" t="s">
        <v>135</v>
      </c>
      <c r="B31" s="5">
        <v>13</v>
      </c>
      <c r="C31" s="111">
        <v>6</v>
      </c>
      <c r="D31" s="78">
        <v>400</v>
      </c>
      <c r="E31" s="7">
        <f t="shared" si="1"/>
        <v>2400</v>
      </c>
      <c r="F31" s="8">
        <f t="shared" si="2"/>
        <v>31200</v>
      </c>
      <c r="G31">
        <v>26</v>
      </c>
      <c r="H31">
        <f t="shared" si="3"/>
        <v>156</v>
      </c>
    </row>
    <row r="32" spans="1:8" x14ac:dyDescent="0.25">
      <c r="A32" s="3" t="s">
        <v>136</v>
      </c>
      <c r="B32" s="5">
        <v>13</v>
      </c>
      <c r="C32" s="111">
        <v>1</v>
      </c>
      <c r="D32" s="78">
        <v>400</v>
      </c>
      <c r="E32" s="7">
        <f t="shared" si="1"/>
        <v>400</v>
      </c>
      <c r="F32" s="8">
        <f t="shared" si="2"/>
        <v>5200</v>
      </c>
      <c r="G32">
        <v>26</v>
      </c>
      <c r="H32">
        <f t="shared" si="3"/>
        <v>26</v>
      </c>
    </row>
    <row r="33" spans="1:8" x14ac:dyDescent="0.25">
      <c r="A33" s="3" t="s">
        <v>137</v>
      </c>
      <c r="B33" s="5">
        <v>13</v>
      </c>
      <c r="C33" s="111">
        <v>3</v>
      </c>
      <c r="D33" s="78">
        <v>200</v>
      </c>
      <c r="E33" s="7">
        <f t="shared" si="1"/>
        <v>600</v>
      </c>
      <c r="F33" s="44">
        <f t="shared" si="2"/>
        <v>7800</v>
      </c>
      <c r="G33">
        <v>29</v>
      </c>
      <c r="H33">
        <f t="shared" si="3"/>
        <v>87</v>
      </c>
    </row>
    <row r="34" spans="1:8" ht="18.75" x14ac:dyDescent="0.4">
      <c r="A34" s="232"/>
      <c r="B34" s="233"/>
      <c r="C34" s="236" t="s">
        <v>138</v>
      </c>
      <c r="D34" s="236"/>
      <c r="E34" s="10">
        <f>SUM(E27:E33)</f>
        <v>25800</v>
      </c>
      <c r="F34" s="11"/>
      <c r="H34" s="110">
        <f>SUM(H27:H33)</f>
        <v>751</v>
      </c>
    </row>
    <row r="35" spans="1:8" ht="19.5" thickBot="1" x14ac:dyDescent="0.45">
      <c r="A35" s="272"/>
      <c r="B35" s="273"/>
      <c r="C35" s="241" t="s">
        <v>20</v>
      </c>
      <c r="D35" s="241"/>
      <c r="E35" s="12">
        <f>SUM(F27:F33)</f>
        <v>335400</v>
      </c>
      <c r="F35" s="13"/>
    </row>
    <row r="36" spans="1:8" ht="18.75" x14ac:dyDescent="0.4">
      <c r="A36" s="272"/>
      <c r="B36" s="273"/>
      <c r="C36" s="268" t="s">
        <v>43</v>
      </c>
      <c r="D36" s="269"/>
      <c r="E36" s="112">
        <v>110000</v>
      </c>
      <c r="F36" s="13"/>
    </row>
    <row r="37" spans="1:8" ht="19.5" thickBot="1" x14ac:dyDescent="0.45">
      <c r="A37" s="234"/>
      <c r="B37" s="235"/>
      <c r="C37" s="241" t="s">
        <v>20</v>
      </c>
      <c r="D37" s="241"/>
      <c r="E37" s="50">
        <f>SUM(E35:E36)</f>
        <v>445400</v>
      </c>
      <c r="F37" s="51"/>
    </row>
    <row r="38" spans="1:8" ht="21" x14ac:dyDescent="0.35">
      <c r="A38" s="53" t="s">
        <v>139</v>
      </c>
      <c r="E38" s="113">
        <v>900000</v>
      </c>
    </row>
    <row r="39" spans="1:8" ht="18.75" x14ac:dyDescent="0.3">
      <c r="A39" s="114" t="s">
        <v>140</v>
      </c>
      <c r="E39" s="115">
        <f>E38-E37</f>
        <v>454600</v>
      </c>
    </row>
  </sheetData>
  <mergeCells count="14">
    <mergeCell ref="A24:F24"/>
    <mergeCell ref="A25:A26"/>
    <mergeCell ref="B25:D25"/>
    <mergeCell ref="E25:F25"/>
    <mergeCell ref="A1:F1"/>
    <mergeCell ref="A2:F2"/>
    <mergeCell ref="A3:F3"/>
    <mergeCell ref="A22:F22"/>
    <mergeCell ref="A23:F23"/>
    <mergeCell ref="A34:B37"/>
    <mergeCell ref="C34:D34"/>
    <mergeCell ref="C35:D35"/>
    <mergeCell ref="C36:D36"/>
    <mergeCell ref="C37:D37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CD2A-32CF-4653-9BAD-5316EF69BD7F}">
  <dimension ref="A1:H18"/>
  <sheetViews>
    <sheetView tabSelected="1" workbookViewId="0">
      <selection activeCell="A12" sqref="A12:G12"/>
    </sheetView>
  </sheetViews>
  <sheetFormatPr baseColWidth="10" defaultRowHeight="15" x14ac:dyDescent="0.25"/>
  <cols>
    <col min="1" max="1" width="20.28515625" bestFit="1" customWidth="1"/>
    <col min="5" max="5" width="16.42578125" bestFit="1" customWidth="1"/>
  </cols>
  <sheetData>
    <row r="1" spans="1:8" ht="18.75" x14ac:dyDescent="0.3">
      <c r="A1" s="288" t="s">
        <v>380</v>
      </c>
      <c r="B1" s="258"/>
      <c r="C1" s="258"/>
      <c r="D1" s="258"/>
      <c r="E1" s="258"/>
      <c r="F1" s="258"/>
      <c r="G1" s="258"/>
      <c r="H1" s="289"/>
    </row>
    <row r="2" spans="1:8" ht="18.75" x14ac:dyDescent="0.3">
      <c r="A2" s="288" t="s">
        <v>381</v>
      </c>
      <c r="B2" s="258"/>
      <c r="C2" s="258"/>
      <c r="D2" s="258"/>
      <c r="E2" s="258"/>
      <c r="F2" s="258"/>
      <c r="G2" s="258"/>
      <c r="H2" s="289"/>
    </row>
    <row r="3" spans="1:8" x14ac:dyDescent="0.25">
      <c r="A3" s="290" t="s">
        <v>3</v>
      </c>
      <c r="B3" s="106" t="s">
        <v>24</v>
      </c>
      <c r="C3" s="29">
        <v>13429</v>
      </c>
      <c r="D3" s="29"/>
      <c r="E3" s="29"/>
      <c r="F3" s="29"/>
      <c r="G3" s="29"/>
      <c r="H3" s="106" t="s">
        <v>116</v>
      </c>
    </row>
    <row r="4" spans="1:8" x14ac:dyDescent="0.25">
      <c r="A4" s="291"/>
      <c r="B4" s="20">
        <v>46172</v>
      </c>
      <c r="C4" s="20">
        <v>46195</v>
      </c>
      <c r="D4" s="20"/>
      <c r="E4" s="20"/>
      <c r="F4" s="20"/>
      <c r="G4" s="20"/>
      <c r="H4" s="20">
        <v>46172</v>
      </c>
    </row>
    <row r="5" spans="1:8" x14ac:dyDescent="0.25">
      <c r="A5" s="80" t="s">
        <v>14</v>
      </c>
      <c r="B5" s="107">
        <v>31</v>
      </c>
      <c r="C5" s="45">
        <v>-25</v>
      </c>
      <c r="D5" s="45"/>
      <c r="E5" s="45"/>
      <c r="F5" s="45"/>
      <c r="G5" s="45"/>
      <c r="H5" s="25">
        <f>SUM( B5:G5)</f>
        <v>6</v>
      </c>
    </row>
    <row r="6" spans="1:8" x14ac:dyDescent="0.25">
      <c r="A6" s="80" t="s">
        <v>15</v>
      </c>
      <c r="B6" s="107">
        <v>5</v>
      </c>
      <c r="C6" s="45">
        <v>-5</v>
      </c>
      <c r="D6" s="45"/>
      <c r="E6" s="45"/>
      <c r="F6" s="45"/>
      <c r="G6" s="45"/>
      <c r="H6" s="25">
        <f t="shared" ref="H6" si="0">SUM( B6:G6)</f>
        <v>0</v>
      </c>
    </row>
    <row r="7" spans="1:8" x14ac:dyDescent="0.25">
      <c r="A7" s="108" t="s">
        <v>126</v>
      </c>
      <c r="B7" s="334"/>
      <c r="C7" s="27">
        <v>8.3333333333333329E-2</v>
      </c>
      <c r="D7" s="27"/>
      <c r="E7" s="27"/>
      <c r="F7" s="27"/>
      <c r="G7" s="27"/>
      <c r="H7" s="29"/>
    </row>
    <row r="8" spans="1:8" x14ac:dyDescent="0.25">
      <c r="A8" s="108" t="s">
        <v>127</v>
      </c>
      <c r="B8" s="335"/>
      <c r="C8" s="336" t="s">
        <v>382</v>
      </c>
      <c r="D8" s="336"/>
      <c r="E8" s="336"/>
      <c r="F8" s="336"/>
      <c r="G8" s="336"/>
      <c r="H8" s="337"/>
    </row>
    <row r="9" spans="1:8" ht="15.75" thickBot="1" x14ac:dyDescent="0.3"/>
    <row r="10" spans="1:8" x14ac:dyDescent="0.25">
      <c r="A10" s="338" t="s">
        <v>262</v>
      </c>
      <c r="B10" s="339"/>
      <c r="C10" s="339"/>
      <c r="D10" s="339"/>
      <c r="E10" s="339"/>
      <c r="F10" s="339"/>
      <c r="G10" s="340"/>
    </row>
    <row r="11" spans="1:8" ht="18" x14ac:dyDescent="0.25">
      <c r="A11" s="248" t="s">
        <v>239</v>
      </c>
      <c r="B11" s="249"/>
      <c r="C11" s="249"/>
      <c r="D11" s="249"/>
      <c r="E11" s="249"/>
      <c r="F11" s="249"/>
      <c r="G11" s="250"/>
    </row>
    <row r="12" spans="1:8" x14ac:dyDescent="0.25">
      <c r="A12" s="341" t="s">
        <v>383</v>
      </c>
      <c r="B12" s="342"/>
      <c r="C12" s="342"/>
      <c r="D12" s="342"/>
      <c r="E12" s="342"/>
      <c r="F12" s="342"/>
      <c r="G12" s="343"/>
    </row>
    <row r="13" spans="1:8" x14ac:dyDescent="0.25">
      <c r="A13" s="251" t="s">
        <v>3</v>
      </c>
      <c r="B13" s="252" t="s">
        <v>4</v>
      </c>
      <c r="C13" s="252"/>
      <c r="D13" s="252"/>
      <c r="E13" s="252" t="s">
        <v>5</v>
      </c>
      <c r="F13" s="252"/>
      <c r="G13" s="253" t="s">
        <v>67</v>
      </c>
    </row>
    <row r="14" spans="1:8" x14ac:dyDescent="0.25">
      <c r="A14" s="251"/>
      <c r="B14" s="1" t="s">
        <v>6</v>
      </c>
      <c r="C14" s="1" t="s">
        <v>7</v>
      </c>
      <c r="D14" s="1" t="s">
        <v>8</v>
      </c>
      <c r="E14" s="1" t="s">
        <v>9</v>
      </c>
      <c r="F14" s="193" t="s">
        <v>331</v>
      </c>
      <c r="G14" s="253"/>
    </row>
    <row r="15" spans="1:8" x14ac:dyDescent="0.25">
      <c r="A15" s="3" t="s">
        <v>384</v>
      </c>
      <c r="B15" s="4">
        <v>22</v>
      </c>
      <c r="C15" s="180">
        <v>31</v>
      </c>
      <c r="D15" s="78">
        <v>90</v>
      </c>
      <c r="E15" s="7">
        <f t="shared" ref="E15:E17" si="1">C15*D15</f>
        <v>2790</v>
      </c>
      <c r="F15" s="7">
        <f t="shared" ref="F15:F17" si="2">B15*E15</f>
        <v>61380</v>
      </c>
      <c r="G15" s="197" t="s">
        <v>387</v>
      </c>
    </row>
    <row r="16" spans="1:8" x14ac:dyDescent="0.25">
      <c r="A16" s="3" t="s">
        <v>384</v>
      </c>
      <c r="B16" s="4">
        <v>8</v>
      </c>
      <c r="C16" s="180">
        <v>6</v>
      </c>
      <c r="D16" s="78">
        <v>90</v>
      </c>
      <c r="E16" s="7">
        <f t="shared" ref="E16" si="3">C16*D16</f>
        <v>540</v>
      </c>
      <c r="F16" s="7">
        <f t="shared" ref="F16" si="4">B16*E16</f>
        <v>4320</v>
      </c>
      <c r="G16" s="197" t="s">
        <v>369</v>
      </c>
    </row>
    <row r="17" spans="1:7" x14ac:dyDescent="0.25">
      <c r="A17" s="3" t="s">
        <v>385</v>
      </c>
      <c r="B17" s="4">
        <v>22</v>
      </c>
      <c r="C17" s="180">
        <v>5</v>
      </c>
      <c r="D17" s="78">
        <v>160</v>
      </c>
      <c r="E17" s="7">
        <f t="shared" si="1"/>
        <v>800</v>
      </c>
      <c r="F17" s="7">
        <f t="shared" si="2"/>
        <v>17600</v>
      </c>
      <c r="G17" s="197" t="s">
        <v>387</v>
      </c>
    </row>
    <row r="18" spans="1:7" ht="32.25" thickBot="1" x14ac:dyDescent="0.5">
      <c r="A18" s="344"/>
      <c r="B18" s="345"/>
      <c r="C18" s="241" t="s">
        <v>386</v>
      </c>
      <c r="D18" s="241"/>
      <c r="E18" s="346">
        <f>SUM(F15:F17)</f>
        <v>83300</v>
      </c>
      <c r="F18" s="239"/>
      <c r="G18" s="240"/>
    </row>
  </sheetData>
  <mergeCells count="13">
    <mergeCell ref="A13:A14"/>
    <mergeCell ref="B13:D13"/>
    <mergeCell ref="E13:F13"/>
    <mergeCell ref="G13:G14"/>
    <mergeCell ref="A18:B18"/>
    <mergeCell ref="C18:D18"/>
    <mergeCell ref="F18:G18"/>
    <mergeCell ref="A1:H1"/>
    <mergeCell ref="A2:H2"/>
    <mergeCell ref="A3:A4"/>
    <mergeCell ref="A10:G10"/>
    <mergeCell ref="A11:G11"/>
    <mergeCell ref="A12:G12"/>
  </mergeCells>
  <hyperlinks>
    <hyperlink ref="A12" r:id="rId1" display="TEL:3142352448" xr:uid="{3752D4A2-17EE-4BAC-A9F8-BF23DE6D8C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CESAR AUGUSTO</vt:lpstr>
      <vt:lpstr>YAZMIN PACHECO</vt:lpstr>
      <vt:lpstr>ADRIAN BRAVO</vt:lpstr>
      <vt:lpstr>LUZ MARINA DUARTE</vt:lpstr>
      <vt:lpstr>MAESTRO VIDAL</vt:lpstr>
      <vt:lpstr>ALFONSO GARCIA</vt:lpstr>
      <vt:lpstr>LUDWING ANGULO</vt:lpstr>
      <vt:lpstr>ALQUIOBRAS</vt:lpstr>
      <vt:lpstr>DOUGLAS LEAL</vt:lpstr>
      <vt:lpstr>CLAUDIA GIL</vt:lpstr>
      <vt:lpstr>ANDREI</vt:lpstr>
      <vt:lpstr>LA PLACA</vt:lpstr>
      <vt:lpstr>SERGIO MIRADORES</vt:lpstr>
      <vt:lpstr>NELSON PADILLA</vt:lpstr>
      <vt:lpstr>POLIMYS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Jaimes</dc:creator>
  <cp:lastModifiedBy>Jimmy Jaimes</cp:lastModifiedBy>
  <cp:lastPrinted>2026-07-14T16:05:22Z</cp:lastPrinted>
  <dcterms:created xsi:type="dcterms:W3CDTF">2015-06-05T18:19:34Z</dcterms:created>
  <dcterms:modified xsi:type="dcterms:W3CDTF">2026-07-27T17:55:17Z</dcterms:modified>
</cp:coreProperties>
</file>
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LIO 2026\"/>
    </mc:Choice>
  </mc:AlternateContent>
  <xr:revisionPtr revIDLastSave="0" documentId="13_ncr:1_{BF2AA0C6-C01D-4484-BC42-7E6FB15863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DREI CADENA" sheetId="1" r:id="rId1"/>
    <sheet name="LUDWING PABON" sheetId="2" r:id="rId2"/>
    <sheet name="LUZ MARINA PEREZ" sheetId="3" r:id="rId3"/>
    <sheet name="YURANIS" sheetId="4" r:id="rId4"/>
    <sheet name="ANGELIK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F45" i="1"/>
  <c r="E45" i="1"/>
  <c r="E44" i="1"/>
  <c r="F44" i="1" s="1"/>
  <c r="E43" i="1"/>
  <c r="F43" i="1" s="1"/>
  <c r="E42" i="1"/>
  <c r="F42" i="1" s="1"/>
  <c r="E30" i="1"/>
  <c r="F30" i="1" s="1"/>
  <c r="E29" i="1"/>
  <c r="F29" i="1" s="1"/>
  <c r="E61" i="1" l="1"/>
  <c r="E63" i="1" s="1"/>
  <c r="E32" i="1"/>
  <c r="E34" i="1" s="1"/>
  <c r="E65" i="1" s="1"/>
  <c r="E60" i="1"/>
  <c r="E31" i="1"/>
  <c r="E121" i="1" l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233" i="1" l="1"/>
  <c r="F233" i="1" s="1"/>
  <c r="E231" i="1" l="1"/>
  <c r="F231" i="1" s="1"/>
  <c r="E229" i="1"/>
  <c r="F229" i="1" s="1"/>
  <c r="E225" i="1"/>
  <c r="F225" i="1" s="1"/>
  <c r="E227" i="1"/>
  <c r="F227" i="1" s="1"/>
  <c r="E223" i="1"/>
  <c r="F223" i="1" s="1"/>
  <c r="E222" i="1"/>
  <c r="F222" i="1" s="1"/>
  <c r="E230" i="1"/>
  <c r="F230" i="1" s="1"/>
  <c r="E232" i="1"/>
  <c r="F232" i="1" s="1"/>
  <c r="E228" i="1"/>
  <c r="F228" i="1" s="1"/>
  <c r="E224" i="1"/>
  <c r="F224" i="1" s="1"/>
  <c r="E236" i="1"/>
  <c r="F236" i="1" s="1"/>
  <c r="E235" i="1"/>
  <c r="F235" i="1" s="1"/>
  <c r="E234" i="1"/>
  <c r="F234" i="1" s="1"/>
  <c r="E226" i="1"/>
  <c r="F226" i="1" s="1"/>
  <c r="J212" i="1"/>
  <c r="J211" i="1"/>
  <c r="J210" i="1"/>
  <c r="J209" i="1"/>
  <c r="J208" i="1"/>
  <c r="J207" i="1"/>
  <c r="J206" i="1"/>
  <c r="J205" i="1"/>
  <c r="J204" i="1"/>
  <c r="J203" i="1"/>
  <c r="J202" i="1"/>
  <c r="E237" i="1" l="1"/>
  <c r="E239" i="1" s="1"/>
  <c r="E181" i="1" l="1"/>
  <c r="F181" i="1" s="1"/>
  <c r="E182" i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70" i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0" i="1"/>
  <c r="F150" i="1" s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E191" i="1" l="1"/>
  <c r="F182" i="1"/>
  <c r="E192" i="1" s="1"/>
  <c r="E194" i="1" s="1"/>
  <c r="E171" i="1"/>
  <c r="F170" i="1"/>
  <c r="E172" i="1"/>
  <c r="E174" i="1" s="1"/>
  <c r="E152" i="1"/>
  <c r="E151" i="1"/>
  <c r="E138" i="1" l="1"/>
  <c r="F138" i="1" s="1"/>
  <c r="E137" i="1"/>
  <c r="F137" i="1" s="1"/>
  <c r="E136" i="1"/>
  <c r="F136" i="1" s="1"/>
  <c r="E135" i="1"/>
  <c r="F135" i="1" s="1"/>
  <c r="E134" i="1"/>
  <c r="F134" i="1" s="1"/>
  <c r="E110" i="5"/>
  <c r="E109" i="5"/>
  <c r="F107" i="5"/>
  <c r="F108" i="5"/>
  <c r="E107" i="5"/>
  <c r="E108" i="5"/>
  <c r="E140" i="1" l="1"/>
  <c r="E142" i="1" s="1"/>
  <c r="E195" i="1" s="1"/>
  <c r="E139" i="1"/>
  <c r="E241" i="1" l="1"/>
  <c r="E243" i="1" s="1"/>
  <c r="E106" i="5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F106" i="5" l="1"/>
  <c r="E112" i="5" s="1"/>
  <c r="E95" i="5"/>
  <c r="E96" i="5"/>
  <c r="E98" i="5" s="1"/>
  <c r="H29" i="5" l="1"/>
  <c r="H30" i="5"/>
  <c r="H31" i="5"/>
  <c r="H32" i="5"/>
  <c r="H28" i="5"/>
  <c r="H68" i="5"/>
  <c r="H69" i="5"/>
  <c r="H70" i="5"/>
  <c r="H71" i="5"/>
  <c r="H72" i="5"/>
  <c r="H67" i="5"/>
  <c r="E69" i="5"/>
  <c r="F69" i="5" s="1"/>
  <c r="E72" i="5"/>
  <c r="F72" i="5" s="1"/>
  <c r="E71" i="5"/>
  <c r="F71" i="5" s="1"/>
  <c r="E70" i="5"/>
  <c r="F70" i="5" s="1"/>
  <c r="E68" i="5"/>
  <c r="F68" i="5" s="1"/>
  <c r="E67" i="5"/>
  <c r="F67" i="5" s="1"/>
  <c r="H73" i="5" l="1"/>
  <c r="H33" i="5"/>
  <c r="E74" i="5"/>
  <c r="E76" i="5" s="1"/>
  <c r="E73" i="5"/>
  <c r="E53" i="5" l="1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32" i="5"/>
  <c r="F32" i="5" s="1"/>
  <c r="E31" i="5"/>
  <c r="F31" i="5" s="1"/>
  <c r="E30" i="5"/>
  <c r="F30" i="5" s="1"/>
  <c r="E29" i="5"/>
  <c r="F29" i="5" s="1"/>
  <c r="E28" i="5"/>
  <c r="F20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11" i="4"/>
  <c r="F9" i="4"/>
  <c r="F8" i="4"/>
  <c r="F7" i="4"/>
  <c r="F6" i="4"/>
  <c r="F24" i="4"/>
  <c r="E24" i="4"/>
  <c r="E23" i="4"/>
  <c r="F23" i="4" s="1"/>
  <c r="F22" i="4"/>
  <c r="E22" i="4"/>
  <c r="E21" i="4"/>
  <c r="E25" i="4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E26" i="3"/>
  <c r="F26" i="3"/>
  <c r="E27" i="3"/>
  <c r="F27" i="3" s="1"/>
  <c r="E40" i="3" s="1"/>
  <c r="E42" i="3" s="1"/>
  <c r="E44" i="3" s="1"/>
  <c r="E49" i="3" s="1"/>
  <c r="E28" i="3"/>
  <c r="F28" i="3"/>
  <c r="E29" i="3"/>
  <c r="F29" i="3" s="1"/>
  <c r="E30" i="3"/>
  <c r="F30" i="3"/>
  <c r="E31" i="3"/>
  <c r="F31" i="3" s="1"/>
  <c r="E32" i="3"/>
  <c r="F32" i="3"/>
  <c r="E33" i="3"/>
  <c r="F33" i="3" s="1"/>
  <c r="E34" i="3"/>
  <c r="F34" i="3"/>
  <c r="E35" i="3"/>
  <c r="F35" i="3" s="1"/>
  <c r="E36" i="3"/>
  <c r="F36" i="3"/>
  <c r="E37" i="3"/>
  <c r="F37" i="3" s="1"/>
  <c r="E38" i="3"/>
  <c r="F38" i="3"/>
  <c r="E39" i="3"/>
  <c r="E48" i="3"/>
  <c r="F27" i="2"/>
  <c r="F28" i="2"/>
  <c r="F29" i="2"/>
  <c r="F30" i="2"/>
  <c r="F31" i="2"/>
  <c r="F32" i="2"/>
  <c r="F33" i="2"/>
  <c r="F34" i="2"/>
  <c r="F35" i="2"/>
  <c r="F36" i="2"/>
  <c r="F37" i="2"/>
  <c r="F38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33" i="5" l="1"/>
  <c r="E55" i="5"/>
  <c r="E57" i="5" s="1"/>
  <c r="E59" i="5" s="1"/>
  <c r="E54" i="5"/>
  <c r="F28" i="5"/>
  <c r="E34" i="5" s="1"/>
  <c r="E37" i="5" s="1"/>
  <c r="E39" i="5" s="1"/>
  <c r="E60" i="5" s="1"/>
  <c r="E78" i="5" s="1"/>
  <c r="F21" i="4"/>
  <c r="E26" i="4" s="1"/>
  <c r="E28" i="4" s="1"/>
  <c r="E39" i="2"/>
  <c r="F26" i="2"/>
  <c r="E40" i="2" s="1"/>
  <c r="E42" i="2" s="1"/>
  <c r="I6" i="1" l="1"/>
  <c r="I7" i="1"/>
  <c r="I8" i="1"/>
  <c r="I9" i="1"/>
  <c r="I10" i="1"/>
  <c r="I11" i="1"/>
  <c r="I14" i="1"/>
  <c r="I15" i="1"/>
  <c r="I16" i="1"/>
  <c r="I17" i="1"/>
  <c r="I18" i="1"/>
  <c r="I19" i="1"/>
  <c r="I20" i="1"/>
  <c r="I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tc={722B3279-EA9E-4D2E-B7B3-E54829012614}</author>
  </authors>
  <commentList>
    <comment ref="C87" authorId="0" shapeId="0" xr:uid="{D97FCF0A-553A-4E21-AB36-998A194126D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 DE 25*25
</t>
        </r>
      </text>
    </comment>
    <comment ref="C96" authorId="0" shapeId="0" xr:uid="{A1D7F438-5646-432F-9FBD-7A792A8AB69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6de 30*60y 3 de 60*60
</t>
        </r>
      </text>
    </comment>
    <comment ref="E100" authorId="0" shapeId="0" xr:uid="{E6CA8608-FC25-47AC-B330-12530026599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ADICIONAL
</t>
        </r>
      </text>
    </comment>
    <comment ref="D104" authorId="1" shapeId="0" xr:uid="{722B3279-EA9E-4D2E-B7B3-E548290126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POLIMYS</t>
      </text>
    </comment>
    <comment ref="A183" authorId="0" shapeId="0" xr:uid="{6D172D3D-43BB-475C-B752-04BB55E8043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DE 45 Y 5
</t>
        </r>
      </text>
    </comment>
  </commentList>
</comments>
</file>

<file path=xl/sharedStrings.xml><?xml version="1.0" encoding="utf-8"?>
<sst xmlns="http://schemas.openxmlformats.org/spreadsheetml/2006/main" count="604" uniqueCount="216">
  <si>
    <t>JIMMMYJAIMES</t>
  </si>
  <si>
    <t>ANDREI CADENA: 3167941308</t>
  </si>
  <si>
    <t>CARRERA 17A # 60-17. RICAURTE</t>
  </si>
  <si>
    <t>MATERIAL</t>
  </si>
  <si>
    <t>DETALLES</t>
  </si>
  <si>
    <t>COSTOS</t>
  </si>
  <si>
    <t>PERIODO</t>
  </si>
  <si>
    <t>DIAS</t>
  </si>
  <si>
    <t>CANTIDAD</t>
  </si>
  <si>
    <t>VALOR</t>
  </si>
  <si>
    <t>COSTO DIARIO</t>
  </si>
  <si>
    <t>PRECIO DIARIO</t>
  </si>
  <si>
    <t>TABLEROS DE MADERA  70*1,40</t>
  </si>
  <si>
    <t>CERCHAS DE 3 MTROS</t>
  </si>
  <si>
    <t xml:space="preserve">TOTAL DIAS </t>
  </si>
  <si>
    <t>HDM-837</t>
  </si>
  <si>
    <t>Transporte</t>
  </si>
  <si>
    <t>HORA</t>
  </si>
  <si>
    <t>FORMALETA DE 5*1,20</t>
  </si>
  <si>
    <t>FORMALETA DE 15*1,20</t>
  </si>
  <si>
    <t>FORMALETA DE 25*60</t>
  </si>
  <si>
    <t>FORMALETA DE 30*60</t>
  </si>
  <si>
    <t>BANDA DE MADERA DE 40*1,40</t>
  </si>
  <si>
    <t>BANDA DE MADERA DE 40*1,20</t>
  </si>
  <si>
    <t>TABLERO DE MADERA DE 50*1 MTRO</t>
  </si>
  <si>
    <t>CERCHAS DE 2 MTROS</t>
  </si>
  <si>
    <t>CERCHAS DE 1,50</t>
  </si>
  <si>
    <t>TABREROS DE MADERA 70*1,40</t>
  </si>
  <si>
    <t>PARALES DE 4 MTROS</t>
  </si>
  <si>
    <t>TABLONES DE 3 MTRS</t>
  </si>
  <si>
    <t>CRUCETAS DE 2,40</t>
  </si>
  <si>
    <t>MARCOS DE ANDAMIOS 1,50 AZULES</t>
  </si>
  <si>
    <t>SALDO</t>
  </si>
  <si>
    <t xml:space="preserve">SALDO </t>
  </si>
  <si>
    <t>MOVIMIENTO:JUNIO /2026</t>
  </si>
  <si>
    <t>CRA 17A #60-17 RICAUTE</t>
  </si>
  <si>
    <t>ANDREI CADENA</t>
  </si>
  <si>
    <t>JUNIO 26 A JULIO 10</t>
  </si>
  <si>
    <t>LUZBIN PABON</t>
  </si>
  <si>
    <t>CRA 23 # 47-14 APARTAMENTO 501</t>
  </si>
  <si>
    <t>MOVIMIENTO: JULIO/2026</t>
  </si>
  <si>
    <t>POLEAS</t>
  </si>
  <si>
    <t>ANGULOS DE 6 MTROS</t>
  </si>
  <si>
    <t>PASAMANOS DE 6 MRS</t>
  </si>
  <si>
    <t>ANGULOS DE 3 MTROS</t>
  </si>
  <si>
    <t>PASAMANOS DE 3 MTRS</t>
  </si>
  <si>
    <t>TABLEROS DE MADERA DE 70*1,40</t>
  </si>
  <si>
    <t>TABLERO DE MADERA DE 70*1 MTRO</t>
  </si>
  <si>
    <t xml:space="preserve">CERCHAS DE 3 MTROS </t>
  </si>
  <si>
    <t xml:space="preserve">ARNES DE SEGURIDAD </t>
  </si>
  <si>
    <t xml:space="preserve">LINEA DE VIDA </t>
  </si>
  <si>
    <t>JIMMY JAIMES</t>
  </si>
  <si>
    <t>LUDWING PABON: 3123605913</t>
  </si>
  <si>
    <t>CARRERA 23 CON CALLE 47</t>
  </si>
  <si>
    <t xml:space="preserve">POLEAS </t>
  </si>
  <si>
    <t xml:space="preserve">ANGULOS DE 6 MTROS </t>
  </si>
  <si>
    <t>PASAMANOS DE 6 MTROS</t>
  </si>
  <si>
    <t>TABLEROS DE 70*1,40</t>
  </si>
  <si>
    <t>TABLERO DE  1 MTRO</t>
  </si>
  <si>
    <t xml:space="preserve">CERCHAS DE 3 MTROS LIVIANA </t>
  </si>
  <si>
    <t>ARNES DE SEGURIDAD</t>
  </si>
  <si>
    <t xml:space="preserve">TOTAL DIARIO </t>
  </si>
  <si>
    <t>LLEVADA Y RECOGIDA</t>
  </si>
  <si>
    <t>JULIO 3 A JULIO 8-20026</t>
  </si>
  <si>
    <t>JULIO 9-2026</t>
  </si>
  <si>
    <t xml:space="preserve">ANGULOS DE 3 </t>
  </si>
  <si>
    <t>JULIO 3 A JULIO 9-2026</t>
  </si>
  <si>
    <t xml:space="preserve">PASAMANOS DE 3 </t>
  </si>
  <si>
    <t xml:space="preserve">LINEA DE VIDA LAZO </t>
  </si>
  <si>
    <t xml:space="preserve">A FAVOR </t>
  </si>
  <si>
    <t>TOTAL ABONO</t>
  </si>
  <si>
    <t>NEQUI</t>
  </si>
  <si>
    <t>DEPOSITO</t>
  </si>
  <si>
    <t>TOTAL ADEUDADO</t>
  </si>
  <si>
    <t>DAÑO DEL MARCO</t>
  </si>
  <si>
    <t>VALOR  TOTAL</t>
  </si>
  <si>
    <t>TRANSPORTE LLEVADA Y TRAIDA</t>
  </si>
  <si>
    <t>VALOR 15 DIAS SIN IVA</t>
  </si>
  <si>
    <t xml:space="preserve">VALOR DIARIOIVA INCLUIDO </t>
  </si>
  <si>
    <t>JUNIO 10 AL 27</t>
  </si>
  <si>
    <t xml:space="preserve">TABLONES DE MADERA </t>
  </si>
  <si>
    <t>JUNIO 28 A JULIO 6</t>
  </si>
  <si>
    <t>SECCION DE ANDAMIOS 1,50</t>
  </si>
  <si>
    <t>LINEA DE VIDA</t>
  </si>
  <si>
    <t xml:space="preserve">ARNES CON SLINGA </t>
  </si>
  <si>
    <t>TABLEROS DE MADERA 70*1,40</t>
  </si>
  <si>
    <t xml:space="preserve">PASAMANOS DE 3 MTROS </t>
  </si>
  <si>
    <t>CRA 8 B #10B 04</t>
  </si>
  <si>
    <t>LUZ MARINA  TEL: 3125382648</t>
  </si>
  <si>
    <t>JIMMY JAIMES CARRILLO</t>
  </si>
  <si>
    <t>TDK-092</t>
  </si>
  <si>
    <t>TRANSPORTE</t>
  </si>
  <si>
    <t>Hora</t>
  </si>
  <si>
    <t>CERCHAS DE 3 MTRS</t>
  </si>
  <si>
    <t>CRUCETAS 2,40</t>
  </si>
  <si>
    <t>MARCOS DE ANDAMIOS 1,50</t>
  </si>
  <si>
    <t>LINEAS DE VIDA</t>
  </si>
  <si>
    <t xml:space="preserve">ARNES SLINGAS ROJA </t>
  </si>
  <si>
    <t>PASAMANOS DE 3 MTRO</t>
  </si>
  <si>
    <t xml:space="preserve">PASAMANOS DE 6 MTROS </t>
  </si>
  <si>
    <t xml:space="preserve">ANGULOS DE 3 MTROS </t>
  </si>
  <si>
    <t>ANGULOS DE 6 MTRS</t>
  </si>
  <si>
    <t xml:space="preserve">POLEAS COLGANTES </t>
  </si>
  <si>
    <t>MOVIMIENTO:JUNIO / 2025</t>
  </si>
  <si>
    <t>CRA 8B #10B-04 TEL: 3125382648</t>
  </si>
  <si>
    <t>LUZ MARINA</t>
  </si>
  <si>
    <t>YURANIS TEL:3127909590</t>
  </si>
  <si>
    <t>PARQUEADERO CHOROLO-COLORADOS</t>
  </si>
  <si>
    <t xml:space="preserve">CERCHAS DE 3 MTEROS </t>
  </si>
  <si>
    <t>PARALES DE 3 MTRS</t>
  </si>
  <si>
    <t>BANDAS DE 40*1,40</t>
  </si>
  <si>
    <t>YURANIS</t>
  </si>
  <si>
    <t>COLORADOS</t>
  </si>
  <si>
    <t>PARALES DE 3 MTROS</t>
  </si>
  <si>
    <t>CERCHAS DE3 MTROS</t>
  </si>
  <si>
    <t>JULIO 7 AL 13</t>
  </si>
  <si>
    <t xml:space="preserve">ANGELICA </t>
  </si>
  <si>
    <t>CRA 17B #48-07 LA CONCORDIA</t>
  </si>
  <si>
    <t>MOVIMIENTO: JUNIO/2026</t>
  </si>
  <si>
    <t>FORMALETA DE 30*1,20</t>
  </si>
  <si>
    <t>FORMALETA DE 35*1,20</t>
  </si>
  <si>
    <t>FORMALETA DE 10*1,20</t>
  </si>
  <si>
    <t>ANGULOS DE 60</t>
  </si>
  <si>
    <t>ANGULOS DE 1,20</t>
  </si>
  <si>
    <t xml:space="preserve">CHAPETAS </t>
  </si>
  <si>
    <t xml:space="preserve">PARALES DE 3 MTROS </t>
  </si>
  <si>
    <t xml:space="preserve">CAJAS METALICAS </t>
  </si>
  <si>
    <t>VALDE</t>
  </si>
  <si>
    <t>FORMALETA DE 60*1,20</t>
  </si>
  <si>
    <t>****</t>
  </si>
  <si>
    <t>JIMMY A. JAIMES CARRILLO</t>
  </si>
  <si>
    <t>ANGELICA LA CONCORDIA TEL :3044772306</t>
  </si>
  <si>
    <t>TABLEROS DE MADERA 70 X 140</t>
  </si>
  <si>
    <t xml:space="preserve">ANGULOS DE 60 </t>
  </si>
  <si>
    <t>CERCHAS DE 3 MTS</t>
  </si>
  <si>
    <t>TOTAL DIARIO</t>
  </si>
  <si>
    <t>15 DIAS</t>
  </si>
  <si>
    <t xml:space="preserve">LLEVADA Y RECOGIDA </t>
  </si>
  <si>
    <t>LLEVADA TABLEROS DE MADERA Y RECOGIDA METALICA</t>
  </si>
  <si>
    <t>VALOR  CONSIGNADO</t>
  </si>
  <si>
    <t>JULIO 1 AL 15</t>
  </si>
  <si>
    <t>JUNIO 25 A JULIO 15</t>
  </si>
  <si>
    <t>ADEUDADO</t>
  </si>
  <si>
    <t>ADEUDADO A JULIO 15</t>
  </si>
  <si>
    <t>TOTAL ADEUDADOA 15 JULIO 2026</t>
  </si>
  <si>
    <t>FORMALETA DE 45*1,20</t>
  </si>
  <si>
    <t>JULIO 16 AL 31</t>
  </si>
  <si>
    <t>FORMALETA DE 50*1,20</t>
  </si>
  <si>
    <t>FORMALETA DE 40*1,20</t>
  </si>
  <si>
    <t>CERCHAS DE 1 MTYS</t>
  </si>
  <si>
    <t>16 DIAS</t>
  </si>
  <si>
    <t xml:space="preserve">SI NO PUEDE QUE COMPLETE </t>
  </si>
  <si>
    <t>TOTAL A DEPOSITAR</t>
  </si>
  <si>
    <t>FORMALETA DE 55*1,20</t>
  </si>
  <si>
    <t>RINCONERAS 10*10*60</t>
  </si>
  <si>
    <t>RINCONERA DE 10*10*1,20</t>
  </si>
  <si>
    <t>FORMALETA DE 60*60</t>
  </si>
  <si>
    <t>FORMALETA DE  45*1,20</t>
  </si>
  <si>
    <t>FORMALETA DE 25*1,20</t>
  </si>
  <si>
    <t>FORMALETA DE 20*60</t>
  </si>
  <si>
    <t>FORMALKETAS 60 X 120</t>
  </si>
  <si>
    <t xml:space="preserve">LLEVADA Y RECODA </t>
  </si>
  <si>
    <t>FORAMLETA DE 15*1,20</t>
  </si>
  <si>
    <t>FORMALETA DE  20*60</t>
  </si>
  <si>
    <t>RINCONERA DE 10*10*60</t>
  </si>
  <si>
    <t>FORMALETA DE 10*80</t>
  </si>
  <si>
    <t>RINCONETA DE 10*10*1,20</t>
  </si>
  <si>
    <t>ANGULOS DE 120</t>
  </si>
  <si>
    <t>CHAPETAS</t>
  </si>
  <si>
    <t>CAJAS METALICAS</t>
  </si>
  <si>
    <t xml:space="preserve">FORMALETA DE 35*80 CORTA </t>
  </si>
  <si>
    <t>FORMALETA DE 30*80</t>
  </si>
  <si>
    <t>FORMALETA DE 25*60 CORTA</t>
  </si>
  <si>
    <t xml:space="preserve">FORMALETA DE 35*60 CORTA </t>
  </si>
  <si>
    <t>RINCONERA  PQ</t>
  </si>
  <si>
    <t>RINCONERA MEDIANA 10*10*20,30,,,</t>
  </si>
  <si>
    <t>RINCONERA DE 15*15*1,20</t>
  </si>
  <si>
    <t>hora</t>
  </si>
  <si>
    <t>CTZ</t>
  </si>
  <si>
    <t>BUC-015</t>
  </si>
  <si>
    <t>FORMALETA DE 35*80</t>
  </si>
  <si>
    <t>FORMALETA DE 35*60</t>
  </si>
  <si>
    <t>RINCONERAS PQ</t>
  </si>
  <si>
    <t>RINCONERAS MEDIANAS</t>
  </si>
  <si>
    <t xml:space="preserve">CAJA METALICA </t>
  </si>
  <si>
    <t>FORMALETA DE 10*80 CORTA</t>
  </si>
  <si>
    <t>RINCONERAS DE 15*1,20</t>
  </si>
  <si>
    <t xml:space="preserve">TOTAL ADEUDADO EN FORMALETA A JULIO 16 </t>
  </si>
  <si>
    <t>TABLEROS DE MADERA  50*1,00</t>
  </si>
  <si>
    <t>BANDAS DE 40*1,20</t>
  </si>
  <si>
    <t>PARALES DE 4MTROS</t>
  </si>
  <si>
    <t>CERCHAS DE 2 MTRO</t>
  </si>
  <si>
    <t xml:space="preserve">CERCHAS DE 1,5 MTROS </t>
  </si>
  <si>
    <t xml:space="preserve">SECCION DE ANDAMIOS </t>
  </si>
  <si>
    <t>JULIO 11 AL 31</t>
  </si>
  <si>
    <t>JULIO 11AL 16</t>
  </si>
  <si>
    <t>JULIO 17 AL 31</t>
  </si>
  <si>
    <t>JULIO11AL 31</t>
  </si>
  <si>
    <t>TOTALADEUDADO</t>
  </si>
  <si>
    <t>JULIO 9 AL 15</t>
  </si>
  <si>
    <t>JULIO 10 AL 15</t>
  </si>
  <si>
    <t>JULIO 14AL 15</t>
  </si>
  <si>
    <t>CANCELADO</t>
  </si>
  <si>
    <t>DAVIPLATA</t>
  </si>
  <si>
    <t>JULIO 8 AL 12</t>
  </si>
  <si>
    <t>CARRERA 17A # 60-17. RICAURTE COLUMNAS</t>
  </si>
  <si>
    <t>PESO MATERIAL</t>
  </si>
  <si>
    <t>KGS</t>
  </si>
  <si>
    <t>JIMMMYJAIMES TIEMPO  ADICIONAL CIMENTACION 3 PISO</t>
  </si>
  <si>
    <t>TIEMPO ADICIONAL PEDIDO JULIO 7 CIMENTACION 3 PISO ANDREI</t>
  </si>
  <si>
    <t>RECOGIDA ADICIONAL</t>
  </si>
  <si>
    <t>ESTA RECOGIDA ES ADICIONAL EL DIA QUE ADEMAS ME ENTREGO ALGUNAS CERCHAS Y TABLEROS Y PARALES</t>
  </si>
  <si>
    <t>JULIO13 AL 15</t>
  </si>
  <si>
    <t>PLACA JULIO 11 AL 31 2026</t>
  </si>
  <si>
    <t>SALDO AL 31 JULIO</t>
  </si>
  <si>
    <t xml:space="preserve">CANCELADO JULIO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</si>
</sst>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(&quot;$&quot;\ * #,##0_);_(&quot;$&quot;\ * \(#,##0\);_(&quot;$&quot;\ * &quot;-&quot;??_);_(@_)"/>
    <numFmt numFmtId="166" formatCode="h:mm:ss;@"/>
    <numFmt numFmtId="167" formatCode="_-&quot;$&quot;\ * #,##0.0_-;\-&quot;$&quot;\ * #,##0.0_-;_-&quot;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0" fontId="0" fillId="4" borderId="1" xfId="0" applyFill="1" applyBorder="1" applyAlignment="1">
      <alignment horizontal="center"/>
    </xf>
    <xf numFmtId="165" fontId="0" fillId="6" borderId="1" xfId="1" applyNumberFormat="1" applyFont="1" applyFill="1" applyBorder="1"/>
    <xf numFmtId="0" fontId="0" fillId="5" borderId="1" xfId="0" applyFill="1" applyBorder="1" applyAlignment="1">
      <alignment horizontal="center"/>
    </xf>
    <xf numFmtId="165" fontId="6" fillId="7" borderId="1" xfId="1" applyNumberFormat="1" applyFont="1" applyFill="1" applyBorder="1"/>
    <xf numFmtId="164" fontId="2" fillId="9" borderId="1" xfId="1" applyNumberFormat="1" applyFont="1" applyFill="1" applyBorder="1" applyAlignment="1">
      <alignment horizontal="center" vertical="center"/>
    </xf>
    <xf numFmtId="165" fontId="2" fillId="9" borderId="1" xfId="1" applyNumberFormat="1" applyFont="1" applyFill="1" applyBorder="1" applyAlignment="1">
      <alignment horizontal="right" vertical="center"/>
    </xf>
    <xf numFmtId="164" fontId="2" fillId="10" borderId="1" xfId="1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1" fontId="2" fillId="9" borderId="1" xfId="0" applyNumberFormat="1" applyFont="1" applyFill="1" applyBorder="1" applyAlignment="1">
      <alignment horizontal="center" vertical="center"/>
    </xf>
    <xf numFmtId="20" fontId="2" fillId="9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6" fontId="2" fillId="10" borderId="1" xfId="0" applyNumberFormat="1" applyFont="1" applyFill="1" applyBorder="1" applyAlignment="1">
      <alignment horizontal="center" vertical="center"/>
    </xf>
    <xf numFmtId="16" fontId="2" fillId="9" borderId="1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5" fontId="6" fillId="8" borderId="1" xfId="1" applyNumberFormat="1" applyFont="1" applyFill="1" applyBorder="1"/>
    <xf numFmtId="1" fontId="2" fillId="5" borderId="1" xfId="0" applyNumberFormat="1" applyFont="1" applyFill="1" applyBorder="1" applyAlignment="1">
      <alignment horizontal="center" vertical="center"/>
    </xf>
    <xf numFmtId="166" fontId="2" fillId="9" borderId="1" xfId="2" applyNumberFormat="1" applyFont="1" applyFill="1" applyBorder="1" applyAlignment="1">
      <alignment horizontal="center" vertical="center"/>
    </xf>
    <xf numFmtId="165" fontId="2" fillId="9" borderId="1" xfId="2" applyNumberFormat="1" applyFont="1" applyFill="1" applyBorder="1" applyAlignment="1">
      <alignment horizontal="right" vertical="center"/>
    </xf>
    <xf numFmtId="164" fontId="2" fillId="9" borderId="1" xfId="2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/>
    </xf>
    <xf numFmtId="165" fontId="6" fillId="7" borderId="14" xfId="1" applyNumberFormat="1" applyFont="1" applyFill="1" applyBorder="1"/>
    <xf numFmtId="165" fontId="6" fillId="8" borderId="13" xfId="1" applyNumberFormat="1" applyFont="1" applyFill="1" applyBorder="1"/>
    <xf numFmtId="165" fontId="6" fillId="11" borderId="14" xfId="1" applyNumberFormat="1" applyFont="1" applyFill="1" applyBorder="1"/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9" xfId="1" applyNumberFormat="1" applyFont="1" applyBorder="1"/>
    <xf numFmtId="0" fontId="0" fillId="5" borderId="0" xfId="0" applyFill="1"/>
    <xf numFmtId="0" fontId="0" fillId="12" borderId="1" xfId="0" applyFill="1" applyBorder="1" applyAlignment="1">
      <alignment horizontal="center"/>
    </xf>
    <xf numFmtId="165" fontId="6" fillId="5" borderId="1" xfId="1" applyNumberFormat="1" applyFont="1" applyFill="1" applyBorder="1"/>
    <xf numFmtId="0" fontId="0" fillId="0" borderId="20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7" fontId="0" fillId="0" borderId="0" xfId="0" applyNumberFormat="1"/>
    <xf numFmtId="17" fontId="0" fillId="0" borderId="0" xfId="1" applyNumberFormat="1" applyFont="1"/>
    <xf numFmtId="165" fontId="6" fillId="4" borderId="1" xfId="1" applyNumberFormat="1" applyFont="1" applyFill="1" applyBorder="1"/>
    <xf numFmtId="165" fontId="6" fillId="13" borderId="1" xfId="1" applyNumberFormat="1" applyFont="1" applyFill="1" applyBorder="1"/>
    <xf numFmtId="165" fontId="6" fillId="10" borderId="1" xfId="1" applyNumberFormat="1" applyFont="1" applyFill="1" applyBorder="1"/>
    <xf numFmtId="0" fontId="0" fillId="14" borderId="1" xfId="0" applyFill="1" applyBorder="1" applyAlignment="1">
      <alignment horizontal="center"/>
    </xf>
    <xf numFmtId="164" fontId="2" fillId="9" borderId="1" xfId="1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166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165" fontId="6" fillId="5" borderId="13" xfId="1" applyNumberFormat="1" applyFont="1" applyFill="1" applyBorder="1"/>
    <xf numFmtId="16" fontId="2" fillId="9" borderId="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6" fontId="2" fillId="9" borderId="1" xfId="1" applyNumberFormat="1" applyFont="1" applyFill="1" applyBorder="1" applyAlignment="1">
      <alignment horizontal="center" vertical="center"/>
    </xf>
    <xf numFmtId="165" fontId="0" fillId="6" borderId="27" xfId="1" applyNumberFormat="1" applyFont="1" applyFill="1" applyBorder="1"/>
    <xf numFmtId="0" fontId="0" fillId="6" borderId="1" xfId="0" applyFill="1" applyBorder="1" applyAlignment="1">
      <alignment horizontal="center"/>
    </xf>
    <xf numFmtId="165" fontId="0" fillId="0" borderId="20" xfId="1" applyNumberFormat="1" applyFont="1" applyBorder="1"/>
    <xf numFmtId="165" fontId="6" fillId="10" borderId="14" xfId="1" applyNumberFormat="1" applyFont="1" applyFill="1" applyBorder="1"/>
    <xf numFmtId="165" fontId="6" fillId="15" borderId="14" xfId="1" applyNumberFormat="1" applyFont="1" applyFill="1" applyBorder="1"/>
    <xf numFmtId="0" fontId="0" fillId="0" borderId="31" xfId="0" applyBorder="1" applyAlignment="1">
      <alignment horizontal="center"/>
    </xf>
    <xf numFmtId="164" fontId="2" fillId="6" borderId="0" xfId="1" applyNumberFormat="1" applyFont="1" applyFill="1" applyBorder="1" applyAlignment="1">
      <alignment horizontal="center" vertical="center"/>
    </xf>
    <xf numFmtId="164" fontId="6" fillId="6" borderId="0" xfId="1" applyNumberFormat="1" applyFont="1" applyFill="1" applyBorder="1"/>
    <xf numFmtId="0" fontId="0" fillId="6" borderId="0" xfId="0" applyFill="1" applyAlignment="1">
      <alignment horizontal="center"/>
    </xf>
    <xf numFmtId="164" fontId="6" fillId="0" borderId="0" xfId="1" applyNumberFormat="1" applyFont="1" applyFill="1" applyBorder="1"/>
    <xf numFmtId="164" fontId="6" fillId="0" borderId="0" xfId="1" applyNumberFormat="1" applyFont="1"/>
    <xf numFmtId="165" fontId="2" fillId="5" borderId="1" xfId="1" applyNumberFormat="1" applyFont="1" applyFill="1" applyBorder="1" applyAlignment="1">
      <alignment horizontal="right" vertical="center"/>
    </xf>
    <xf numFmtId="0" fontId="6" fillId="0" borderId="0" xfId="0" applyFont="1"/>
    <xf numFmtId="16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16" fontId="0" fillId="13" borderId="0" xfId="0" applyNumberFormat="1" applyFill="1"/>
    <xf numFmtId="0" fontId="2" fillId="0" borderId="27" xfId="0" applyFont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2" fillId="8" borderId="1" xfId="0" applyFont="1" applyFill="1" applyBorder="1" applyAlignment="1">
      <alignment horizontal="center"/>
    </xf>
    <xf numFmtId="164" fontId="1" fillId="5" borderId="1" xfId="1" applyNumberFormat="1" applyFont="1" applyFill="1" applyBorder="1" applyAlignment="1">
      <alignment horizontal="center"/>
    </xf>
    <xf numFmtId="165" fontId="0" fillId="5" borderId="1" xfId="1" applyNumberFormat="1" applyFont="1" applyFill="1" applyBorder="1"/>
    <xf numFmtId="165" fontId="6" fillId="5" borderId="28" xfId="1" applyNumberFormat="1" applyFont="1" applyFill="1" applyBorder="1"/>
    <xf numFmtId="165" fontId="0" fillId="0" borderId="25" xfId="1" applyNumberFormat="1" applyFont="1" applyBorder="1"/>
    <xf numFmtId="165" fontId="6" fillId="7" borderId="29" xfId="1" applyNumberFormat="1" applyFont="1" applyFill="1" applyBorder="1"/>
    <xf numFmtId="165" fontId="0" fillId="0" borderId="23" xfId="1" applyNumberFormat="1" applyFont="1" applyBorder="1"/>
    <xf numFmtId="165" fontId="6" fillId="8" borderId="26" xfId="1" applyNumberFormat="1" applyFont="1" applyFill="1" applyBorder="1"/>
    <xf numFmtId="165" fontId="6" fillId="11" borderId="29" xfId="1" applyNumberFormat="1" applyFont="1" applyFill="1" applyBorder="1"/>
    <xf numFmtId="165" fontId="0" fillId="0" borderId="33" xfId="1" applyNumberFormat="1" applyFont="1" applyBorder="1"/>
    <xf numFmtId="0" fontId="2" fillId="3" borderId="1" xfId="0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65" fontId="0" fillId="0" borderId="28" xfId="1" applyNumberFormat="1" applyFont="1" applyBorder="1"/>
    <xf numFmtId="165" fontId="6" fillId="11" borderId="1" xfId="1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6" borderId="0" xfId="0" applyFill="1"/>
    <xf numFmtId="0" fontId="6" fillId="6" borderId="0" xfId="0" applyFont="1" applyFill="1"/>
    <xf numFmtId="16" fontId="6" fillId="6" borderId="0" xfId="0" applyNumberFormat="1" applyFont="1" applyFill="1"/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0" borderId="0" xfId="0" applyFont="1" applyAlignment="1">
      <alignment horizontal="center"/>
    </xf>
    <xf numFmtId="165" fontId="6" fillId="13" borderId="26" xfId="1" applyNumberFormat="1" applyFont="1" applyFill="1" applyBorder="1"/>
    <xf numFmtId="165" fontId="2" fillId="13" borderId="1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5" fillId="5" borderId="10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5" borderId="9" xfId="0" applyNumberFormat="1" applyFont="1" applyFill="1" applyBorder="1" applyAlignment="1">
      <alignment horizontal="center" vertical="center" wrapText="1"/>
    </xf>
    <xf numFmtId="14" fontId="5" fillId="5" borderId="13" xfId="0" applyNumberFormat="1" applyFont="1" applyFill="1" applyBorder="1" applyAlignment="1">
      <alignment horizontal="center" vertical="center" wrapText="1"/>
    </xf>
    <xf numFmtId="14" fontId="5" fillId="5" borderId="17" xfId="0" applyNumberFormat="1" applyFont="1" applyFill="1" applyBorder="1" applyAlignment="1">
      <alignment horizontal="center" vertical="center" wrapText="1"/>
    </xf>
    <xf numFmtId="14" fontId="5" fillId="5" borderId="1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6" fillId="13" borderId="26" xfId="0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0" fontId="6" fillId="13" borderId="24" xfId="0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4" fontId="8" fillId="5" borderId="1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64" fontId="6" fillId="6" borderId="32" xfId="1" applyNumberFormat="1" applyFont="1" applyFill="1" applyBorder="1" applyAlignment="1">
      <alignment horizontal="center" vertical="center" wrapText="1"/>
    </xf>
    <xf numFmtId="167" fontId="6" fillId="0" borderId="0" xfId="1" applyNumberFormat="1" applyFont="1"/>
  </cellXfs>
  <cellStyles count="3">
    <cellStyle name="Moneda" xfId="1" builtinId="4"/>
    <cellStyle name="Moneda 2 2" xfId="2" xr:uid="{DDCF47D0-7D4D-4A02-87E8-B005CA985F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2F4933E1-DFCE-4EE0-8F13-663F83CA09FA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4" dT="2026-07-15T22:29:12.26" personId="{2F4933E1-DFCE-4EE0-8F13-663F83CA09FA}" id="{722B3279-EA9E-4D2E-B7B3-E54829012614}">
    <text>POLIMYS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4"/>
  <sheetViews>
    <sheetView tabSelected="1" topLeftCell="A233" workbookViewId="0">
      <selection activeCell="E244" sqref="E244"/>
    </sheetView>
  </sheetViews>
  <sheetFormatPr baseColWidth="10" defaultColWidth="9.140625" defaultRowHeight="15" x14ac:dyDescent="0.25"/>
  <cols>
    <col min="1" max="1" width="33.7109375" bestFit="1" customWidth="1"/>
    <col min="4" max="4" width="12.7109375" customWidth="1"/>
    <col min="5" max="5" width="20" bestFit="1" customWidth="1"/>
    <col min="6" max="6" width="14.140625" bestFit="1" customWidth="1"/>
    <col min="7" max="7" width="23.7109375" customWidth="1"/>
  </cols>
  <sheetData>
    <row r="1" spans="1:9" ht="18.75" x14ac:dyDescent="0.3">
      <c r="A1" s="149" t="s">
        <v>36</v>
      </c>
      <c r="B1" s="150"/>
      <c r="C1" s="150"/>
      <c r="D1" s="150"/>
      <c r="E1" s="150"/>
      <c r="F1" s="150"/>
      <c r="G1" s="150"/>
      <c r="H1" s="150"/>
      <c r="I1" s="151"/>
    </row>
    <row r="2" spans="1:9" ht="18.75" x14ac:dyDescent="0.3">
      <c r="A2" s="152" t="s">
        <v>35</v>
      </c>
      <c r="B2" s="153"/>
      <c r="C2" s="153"/>
      <c r="D2" s="153"/>
      <c r="E2" s="153"/>
      <c r="F2" s="153"/>
      <c r="G2" s="153"/>
      <c r="H2" s="153"/>
      <c r="I2" s="154"/>
    </row>
    <row r="3" spans="1:9" ht="18.75" x14ac:dyDescent="0.3">
      <c r="A3" s="152" t="s">
        <v>34</v>
      </c>
      <c r="B3" s="153"/>
      <c r="C3" s="153"/>
      <c r="D3" s="153"/>
      <c r="E3" s="153"/>
      <c r="F3" s="153"/>
      <c r="G3" s="153"/>
      <c r="H3" s="153"/>
      <c r="I3" s="153"/>
    </row>
    <row r="4" spans="1:9" x14ac:dyDescent="0.25">
      <c r="A4" s="27" t="s">
        <v>3</v>
      </c>
      <c r="B4" s="26" t="s">
        <v>33</v>
      </c>
      <c r="C4" s="26">
        <v>13765</v>
      </c>
      <c r="D4" s="26">
        <v>13395</v>
      </c>
      <c r="E4" s="26">
        <v>13741</v>
      </c>
      <c r="F4" s="26"/>
      <c r="G4" s="26"/>
      <c r="H4" s="26"/>
      <c r="I4" s="25" t="s">
        <v>32</v>
      </c>
    </row>
    <row r="5" spans="1:9" x14ac:dyDescent="0.25">
      <c r="A5" s="14"/>
      <c r="B5" s="24">
        <v>46142</v>
      </c>
      <c r="C5" s="24">
        <v>46174</v>
      </c>
      <c r="D5" s="24">
        <v>46184</v>
      </c>
      <c r="E5" s="24">
        <v>46199</v>
      </c>
      <c r="F5" s="24"/>
      <c r="G5" s="24"/>
      <c r="H5" s="24"/>
      <c r="I5" s="23">
        <v>46203</v>
      </c>
    </row>
    <row r="6" spans="1:9" x14ac:dyDescent="0.25">
      <c r="A6" s="21" t="s">
        <v>31</v>
      </c>
      <c r="B6" s="22">
        <v>12</v>
      </c>
      <c r="C6" s="19"/>
      <c r="D6" s="19"/>
      <c r="E6" s="19"/>
      <c r="F6" s="19"/>
      <c r="G6" s="19"/>
      <c r="H6" s="19"/>
      <c r="I6" s="18">
        <f t="shared" ref="I6:I11" si="0">SUM(B6:H6)</f>
        <v>12</v>
      </c>
    </row>
    <row r="7" spans="1:9" x14ac:dyDescent="0.25">
      <c r="A7" s="21" t="s">
        <v>30</v>
      </c>
      <c r="B7" s="22">
        <v>12</v>
      </c>
      <c r="C7" s="19"/>
      <c r="D7" s="19"/>
      <c r="E7" s="19"/>
      <c r="F7" s="19"/>
      <c r="G7" s="19"/>
      <c r="H7" s="19"/>
      <c r="I7" s="18">
        <f t="shared" si="0"/>
        <v>12</v>
      </c>
    </row>
    <row r="8" spans="1:9" x14ac:dyDescent="0.25">
      <c r="A8" s="21" t="s">
        <v>29</v>
      </c>
      <c r="B8" s="22">
        <v>6</v>
      </c>
      <c r="C8" s="19"/>
      <c r="D8" s="19"/>
      <c r="E8" s="19"/>
      <c r="F8" s="19"/>
      <c r="G8" s="19"/>
      <c r="H8" s="19"/>
      <c r="I8" s="18">
        <f t="shared" si="0"/>
        <v>6</v>
      </c>
    </row>
    <row r="9" spans="1:9" x14ac:dyDescent="0.25">
      <c r="A9" s="21" t="s">
        <v>28</v>
      </c>
      <c r="B9" s="22">
        <v>60</v>
      </c>
      <c r="C9" s="19"/>
      <c r="D9" s="19"/>
      <c r="E9" s="19"/>
      <c r="F9" s="19"/>
      <c r="G9" s="19"/>
      <c r="H9" s="19"/>
      <c r="I9" s="18">
        <f t="shared" si="0"/>
        <v>60</v>
      </c>
    </row>
    <row r="10" spans="1:9" x14ac:dyDescent="0.25">
      <c r="A10" s="21" t="s">
        <v>27</v>
      </c>
      <c r="B10" s="22">
        <v>53</v>
      </c>
      <c r="C10" s="19"/>
      <c r="D10" s="19"/>
      <c r="E10" s="31">
        <v>20</v>
      </c>
      <c r="F10" s="19"/>
      <c r="G10" s="19"/>
      <c r="H10" s="19"/>
      <c r="I10" s="18">
        <f t="shared" si="0"/>
        <v>73</v>
      </c>
    </row>
    <row r="11" spans="1:9" x14ac:dyDescent="0.25">
      <c r="A11" s="21" t="s">
        <v>13</v>
      </c>
      <c r="B11" s="22">
        <v>25</v>
      </c>
      <c r="C11" s="19"/>
      <c r="D11" s="19"/>
      <c r="E11" s="31">
        <v>20</v>
      </c>
      <c r="F11" s="19"/>
      <c r="G11" s="19"/>
      <c r="H11" s="19"/>
      <c r="I11" s="18">
        <f t="shared" si="0"/>
        <v>45</v>
      </c>
    </row>
    <row r="12" spans="1:9" x14ac:dyDescent="0.25">
      <c r="A12" s="21" t="s">
        <v>26</v>
      </c>
      <c r="B12" s="22">
        <v>6</v>
      </c>
      <c r="C12" s="19"/>
      <c r="D12" s="19"/>
      <c r="E12" s="19"/>
      <c r="F12" s="19"/>
      <c r="G12" s="19"/>
      <c r="H12" s="19"/>
      <c r="I12" s="18">
        <v>6</v>
      </c>
    </row>
    <row r="13" spans="1:9" x14ac:dyDescent="0.25">
      <c r="A13" s="21" t="s">
        <v>25</v>
      </c>
      <c r="B13" s="22">
        <v>3</v>
      </c>
      <c r="C13" s="19"/>
      <c r="D13" s="19"/>
      <c r="E13" s="19"/>
      <c r="F13" s="19"/>
      <c r="G13" s="19"/>
      <c r="H13" s="19"/>
      <c r="I13" s="18">
        <v>3</v>
      </c>
    </row>
    <row r="14" spans="1:9" x14ac:dyDescent="0.25">
      <c r="A14" s="21" t="s">
        <v>24</v>
      </c>
      <c r="B14" s="22">
        <v>2</v>
      </c>
      <c r="C14" s="19"/>
      <c r="D14" s="19"/>
      <c r="E14" s="19"/>
      <c r="F14" s="19"/>
      <c r="G14" s="19"/>
      <c r="H14" s="19"/>
      <c r="I14" s="18">
        <f>SUM(B14:H14)</f>
        <v>2</v>
      </c>
    </row>
    <row r="15" spans="1:9" x14ac:dyDescent="0.25">
      <c r="A15" s="21" t="s">
        <v>23</v>
      </c>
      <c r="B15" s="22">
        <v>5</v>
      </c>
      <c r="C15" s="19"/>
      <c r="D15" s="19"/>
      <c r="E15" s="19"/>
      <c r="F15" s="19"/>
      <c r="G15" s="19"/>
      <c r="H15" s="19"/>
      <c r="I15" s="18">
        <f>SUM(B15:H15)</f>
        <v>5</v>
      </c>
    </row>
    <row r="16" spans="1:9" x14ac:dyDescent="0.25">
      <c r="A16" s="21" t="s">
        <v>22</v>
      </c>
      <c r="B16" s="22">
        <v>6</v>
      </c>
      <c r="C16" s="19"/>
      <c r="D16" s="19"/>
      <c r="E16" s="19"/>
      <c r="F16" s="19"/>
      <c r="G16" s="19"/>
      <c r="H16" s="19"/>
      <c r="I16" s="18">
        <f>SUM(B16:H16)</f>
        <v>6</v>
      </c>
    </row>
    <row r="17" spans="1:9" x14ac:dyDescent="0.25">
      <c r="A17" s="21" t="s">
        <v>21</v>
      </c>
      <c r="B17" s="20"/>
      <c r="C17" s="19">
        <v>3</v>
      </c>
      <c r="D17" s="19">
        <v>-3</v>
      </c>
      <c r="E17" s="19"/>
      <c r="F17" s="19"/>
      <c r="G17" s="19"/>
      <c r="H17" s="19"/>
      <c r="I17" s="18">
        <f>SUM(C17:H17)</f>
        <v>0</v>
      </c>
    </row>
    <row r="18" spans="1:9" x14ac:dyDescent="0.25">
      <c r="A18" s="21" t="s">
        <v>20</v>
      </c>
      <c r="B18" s="20"/>
      <c r="C18" s="19">
        <v>6</v>
      </c>
      <c r="D18" s="19">
        <v>-6</v>
      </c>
      <c r="E18" s="19"/>
      <c r="F18" s="19"/>
      <c r="G18" s="19"/>
      <c r="H18" s="19"/>
      <c r="I18" s="18">
        <f>SUM(C18:H18)</f>
        <v>0</v>
      </c>
    </row>
    <row r="19" spans="1:9" x14ac:dyDescent="0.25">
      <c r="A19" s="21" t="s">
        <v>19</v>
      </c>
      <c r="B19" s="20"/>
      <c r="C19" s="19">
        <v>6</v>
      </c>
      <c r="D19" s="19">
        <v>-6</v>
      </c>
      <c r="E19" s="19"/>
      <c r="F19" s="19"/>
      <c r="G19" s="19"/>
      <c r="H19" s="19"/>
      <c r="I19" s="18">
        <f>SUM(C19:H19)</f>
        <v>0</v>
      </c>
    </row>
    <row r="20" spans="1:9" x14ac:dyDescent="0.25">
      <c r="A20" s="21" t="s">
        <v>18</v>
      </c>
      <c r="B20" s="20"/>
      <c r="C20" s="19">
        <v>6</v>
      </c>
      <c r="D20" s="19">
        <v>-6</v>
      </c>
      <c r="E20" s="19"/>
      <c r="F20" s="19"/>
      <c r="G20" s="19"/>
      <c r="H20" s="19"/>
      <c r="I20" s="18">
        <f>SUM(C20:H20)</f>
        <v>0</v>
      </c>
    </row>
    <row r="21" spans="1:9" x14ac:dyDescent="0.25">
      <c r="A21" s="14" t="s">
        <v>17</v>
      </c>
      <c r="B21" s="17"/>
      <c r="C21" s="16">
        <v>0.45833333333333331</v>
      </c>
      <c r="D21" s="16">
        <v>0.14930555555555555</v>
      </c>
      <c r="E21" s="16">
        <v>0.3611111111111111</v>
      </c>
      <c r="F21" s="16"/>
      <c r="G21" s="16"/>
      <c r="H21" s="16"/>
      <c r="I21" s="15"/>
    </row>
    <row r="22" spans="1:9" x14ac:dyDescent="0.25">
      <c r="A22" s="14" t="s">
        <v>16</v>
      </c>
      <c r="B22" s="13"/>
      <c r="C22" s="12" t="s">
        <v>15</v>
      </c>
      <c r="D22" s="12" t="s">
        <v>15</v>
      </c>
      <c r="E22" s="12">
        <v>60000</v>
      </c>
      <c r="F22" s="12"/>
      <c r="G22" s="12"/>
      <c r="H22" s="12"/>
      <c r="I22" s="11">
        <f>SUM(B22:H22)</f>
        <v>60000</v>
      </c>
    </row>
    <row r="24" spans="1:9" ht="15.75" thickBot="1" x14ac:dyDescent="0.3">
      <c r="A24" s="116" t="s">
        <v>0</v>
      </c>
      <c r="B24" s="117"/>
      <c r="C24" s="117"/>
      <c r="D24" s="117"/>
      <c r="E24" s="117"/>
      <c r="F24" s="118"/>
    </row>
    <row r="25" spans="1:9" s="105" customFormat="1" x14ac:dyDescent="0.25">
      <c r="A25" s="119" t="s">
        <v>1</v>
      </c>
      <c r="B25" s="120"/>
      <c r="C25" s="120"/>
      <c r="D25" s="120"/>
      <c r="E25" s="120"/>
      <c r="F25" s="121"/>
      <c r="G25" s="108"/>
    </row>
    <row r="26" spans="1:9" s="105" customFormat="1" ht="18" x14ac:dyDescent="0.25">
      <c r="A26" s="122" t="s">
        <v>205</v>
      </c>
      <c r="B26" s="123"/>
      <c r="C26" s="123"/>
      <c r="D26" s="123"/>
      <c r="E26" s="123"/>
      <c r="F26" s="124"/>
      <c r="G26" s="108"/>
    </row>
    <row r="27" spans="1:9" s="105" customFormat="1" ht="18" x14ac:dyDescent="0.25">
      <c r="A27" s="125" t="s">
        <v>3</v>
      </c>
      <c r="B27" s="126" t="s">
        <v>4</v>
      </c>
      <c r="C27" s="126"/>
      <c r="D27" s="126"/>
      <c r="E27" s="126" t="s">
        <v>5</v>
      </c>
      <c r="F27" s="127"/>
      <c r="G27" s="109"/>
    </row>
    <row r="28" spans="1:9" s="105" customFormat="1" x14ac:dyDescent="0.25">
      <c r="A28" s="125"/>
      <c r="B28" s="1" t="s">
        <v>7</v>
      </c>
      <c r="C28" s="2" t="s">
        <v>8</v>
      </c>
      <c r="D28" s="1" t="s">
        <v>9</v>
      </c>
      <c r="E28" s="1" t="s">
        <v>10</v>
      </c>
      <c r="F28" s="1" t="s">
        <v>11</v>
      </c>
      <c r="G28" s="77"/>
    </row>
    <row r="29" spans="1:9" s="105" customFormat="1" x14ac:dyDescent="0.25">
      <c r="A29" s="88" t="s">
        <v>48</v>
      </c>
      <c r="B29" s="4">
        <v>15</v>
      </c>
      <c r="C29" s="4">
        <v>32</v>
      </c>
      <c r="D29" s="5">
        <v>180</v>
      </c>
      <c r="E29" s="6">
        <f>C29*D29</f>
        <v>5760</v>
      </c>
      <c r="F29" s="6">
        <f>B29*E29</f>
        <v>86400</v>
      </c>
      <c r="G29" s="77"/>
    </row>
    <row r="30" spans="1:9" s="105" customFormat="1" x14ac:dyDescent="0.25">
      <c r="A30" s="88" t="s">
        <v>85</v>
      </c>
      <c r="B30" s="4">
        <v>15</v>
      </c>
      <c r="C30" s="4">
        <v>20</v>
      </c>
      <c r="D30" s="5">
        <v>280</v>
      </c>
      <c r="E30" s="6">
        <f>C30*D30</f>
        <v>5600</v>
      </c>
      <c r="F30" s="6">
        <f>B30*E30</f>
        <v>84000</v>
      </c>
    </row>
    <row r="31" spans="1:9" s="105" customFormat="1" ht="18.75" x14ac:dyDescent="0.4">
      <c r="A31" s="131" t="s">
        <v>37</v>
      </c>
      <c r="B31" s="132"/>
      <c r="C31" s="115" t="s">
        <v>61</v>
      </c>
      <c r="D31" s="115"/>
      <c r="E31" s="46">
        <f>SUM(E29:E30)</f>
        <v>11360</v>
      </c>
      <c r="F31" s="110"/>
    </row>
    <row r="32" spans="1:9" s="105" customFormat="1" ht="18.75" customHeight="1" thickBot="1" x14ac:dyDescent="0.45">
      <c r="A32" s="133"/>
      <c r="B32" s="134"/>
      <c r="C32" s="128" t="s">
        <v>14</v>
      </c>
      <c r="D32" s="128"/>
      <c r="E32" s="37">
        <f>SUM(F29:F30)</f>
        <v>170400</v>
      </c>
      <c r="F32"/>
      <c r="G32" s="77"/>
    </row>
    <row r="33" spans="1:7" s="105" customFormat="1" ht="18.75" customHeight="1" x14ac:dyDescent="0.4">
      <c r="A33" s="133"/>
      <c r="B33" s="134"/>
      <c r="C33" s="129" t="s">
        <v>137</v>
      </c>
      <c r="D33" s="130"/>
      <c r="E33" s="38">
        <v>120000</v>
      </c>
      <c r="F33" s="110"/>
      <c r="G33" s="77"/>
    </row>
    <row r="34" spans="1:7" s="105" customFormat="1" ht="18.75" customHeight="1" thickBot="1" x14ac:dyDescent="0.45">
      <c r="A34" s="135"/>
      <c r="B34" s="136"/>
      <c r="C34" s="128" t="s">
        <v>14</v>
      </c>
      <c r="D34" s="128"/>
      <c r="E34" s="39">
        <f>SUM(E32:E33)</f>
        <v>290400</v>
      </c>
      <c r="F34" s="111"/>
      <c r="G34" s="77"/>
    </row>
    <row r="35" spans="1:7" s="105" customFormat="1" x14ac:dyDescent="0.25">
      <c r="A35"/>
      <c r="B35"/>
      <c r="C35"/>
      <c r="D35"/>
      <c r="E35"/>
      <c r="F35"/>
    </row>
    <row r="36" spans="1:7" s="105" customFormat="1" ht="15.75" thickBot="1" x14ac:dyDescent="0.3">
      <c r="A36"/>
      <c r="B36"/>
      <c r="C36"/>
      <c r="D36"/>
      <c r="E36"/>
      <c r="F36"/>
    </row>
    <row r="37" spans="1:7" s="105" customFormat="1" ht="15.75" thickBot="1" x14ac:dyDescent="0.3">
      <c r="A37" s="119" t="s">
        <v>0</v>
      </c>
      <c r="B37" s="120"/>
      <c r="C37" s="120"/>
      <c r="D37" s="120"/>
      <c r="E37" s="120"/>
      <c r="F37" s="121"/>
    </row>
    <row r="38" spans="1:7" s="105" customFormat="1" x14ac:dyDescent="0.25">
      <c r="A38" s="119" t="s">
        <v>1</v>
      </c>
      <c r="B38" s="120"/>
      <c r="C38" s="120"/>
      <c r="D38" s="120"/>
      <c r="E38" s="120"/>
      <c r="F38" s="121"/>
    </row>
    <row r="39" spans="1:7" s="105" customFormat="1" ht="18" x14ac:dyDescent="0.25">
      <c r="A39" s="137" t="s">
        <v>2</v>
      </c>
      <c r="B39" s="123"/>
      <c r="C39" s="123"/>
      <c r="D39" s="123"/>
      <c r="E39" s="123"/>
      <c r="F39" s="138"/>
    </row>
    <row r="40" spans="1:7" s="105" customFormat="1" x14ac:dyDescent="0.25">
      <c r="A40" s="125" t="s">
        <v>3</v>
      </c>
      <c r="B40" s="126" t="s">
        <v>4</v>
      </c>
      <c r="C40" s="126"/>
      <c r="D40" s="126"/>
      <c r="E40" s="126" t="s">
        <v>5</v>
      </c>
      <c r="F40" s="139"/>
    </row>
    <row r="41" spans="1:7" s="105" customFormat="1" x14ac:dyDescent="0.25">
      <c r="A41" s="125"/>
      <c r="B41" s="1" t="s">
        <v>7</v>
      </c>
      <c r="C41" s="2" t="s">
        <v>8</v>
      </c>
      <c r="D41" s="1" t="s">
        <v>9</v>
      </c>
      <c r="E41" s="1" t="s">
        <v>10</v>
      </c>
      <c r="F41" s="41" t="s">
        <v>11</v>
      </c>
    </row>
    <row r="42" spans="1:7" s="105" customFormat="1" x14ac:dyDescent="0.25">
      <c r="A42" s="88" t="s">
        <v>19</v>
      </c>
      <c r="B42" s="1">
        <v>5</v>
      </c>
      <c r="C42" s="89">
        <v>6</v>
      </c>
      <c r="D42" s="90">
        <v>280</v>
      </c>
      <c r="E42" s="6">
        <f t="shared" ref="E42:E59" si="1">C42*D42</f>
        <v>1680</v>
      </c>
      <c r="F42" s="43">
        <f t="shared" ref="F42:F59" si="2">B42*E42</f>
        <v>8400</v>
      </c>
    </row>
    <row r="43" spans="1:7" s="105" customFormat="1" x14ac:dyDescent="0.25">
      <c r="A43" s="88" t="s">
        <v>119</v>
      </c>
      <c r="B43" s="1">
        <v>5</v>
      </c>
      <c r="C43" s="89">
        <v>5</v>
      </c>
      <c r="D43" s="90">
        <v>300</v>
      </c>
      <c r="E43" s="6">
        <f t="shared" si="1"/>
        <v>1500</v>
      </c>
      <c r="F43" s="43">
        <f t="shared" si="2"/>
        <v>7500</v>
      </c>
    </row>
    <row r="44" spans="1:7" s="105" customFormat="1" x14ac:dyDescent="0.25">
      <c r="A44" s="88" t="s">
        <v>21</v>
      </c>
      <c r="B44" s="1">
        <v>5</v>
      </c>
      <c r="C44" s="89">
        <v>1</v>
      </c>
      <c r="D44" s="90">
        <v>300</v>
      </c>
      <c r="E44" s="6">
        <f t="shared" si="1"/>
        <v>300</v>
      </c>
      <c r="F44" s="43">
        <f t="shared" si="2"/>
        <v>1500</v>
      </c>
    </row>
    <row r="45" spans="1:7" s="105" customFormat="1" x14ac:dyDescent="0.25">
      <c r="A45" s="35" t="s">
        <v>124</v>
      </c>
      <c r="B45" s="1">
        <v>5</v>
      </c>
      <c r="C45" s="89">
        <v>450</v>
      </c>
      <c r="D45" s="91">
        <v>28</v>
      </c>
      <c r="E45" s="6">
        <f t="shared" si="1"/>
        <v>12600</v>
      </c>
      <c r="F45" s="43">
        <f t="shared" si="2"/>
        <v>63000</v>
      </c>
    </row>
    <row r="46" spans="1:7" s="105" customFormat="1" x14ac:dyDescent="0.25">
      <c r="A46" s="35" t="s">
        <v>154</v>
      </c>
      <c r="B46" s="1">
        <v>5</v>
      </c>
      <c r="C46" s="89">
        <v>10</v>
      </c>
      <c r="D46" s="91">
        <v>300</v>
      </c>
      <c r="E46" s="6">
        <f t="shared" si="1"/>
        <v>3000</v>
      </c>
      <c r="F46" s="43">
        <f t="shared" si="2"/>
        <v>15000</v>
      </c>
    </row>
    <row r="47" spans="1:7" s="105" customFormat="1" x14ac:dyDescent="0.25">
      <c r="A47" s="35" t="s">
        <v>155</v>
      </c>
      <c r="B47" s="1">
        <v>5</v>
      </c>
      <c r="C47" s="89">
        <v>32</v>
      </c>
      <c r="D47" s="91">
        <v>300</v>
      </c>
      <c r="E47" s="6">
        <f t="shared" si="1"/>
        <v>9600</v>
      </c>
      <c r="F47" s="43">
        <f t="shared" si="2"/>
        <v>48000</v>
      </c>
    </row>
    <row r="48" spans="1:7" s="105" customFormat="1" x14ac:dyDescent="0.25">
      <c r="A48" s="35" t="s">
        <v>156</v>
      </c>
      <c r="B48" s="1">
        <v>5</v>
      </c>
      <c r="C48" s="89">
        <v>6</v>
      </c>
      <c r="D48" s="91">
        <v>320</v>
      </c>
      <c r="E48" s="6">
        <f t="shared" si="1"/>
        <v>1920</v>
      </c>
      <c r="F48" s="43">
        <f t="shared" si="2"/>
        <v>9600</v>
      </c>
    </row>
    <row r="49" spans="1:6" s="105" customFormat="1" x14ac:dyDescent="0.25">
      <c r="A49" s="35" t="s">
        <v>157</v>
      </c>
      <c r="B49" s="1">
        <v>5</v>
      </c>
      <c r="C49" s="89">
        <v>23</v>
      </c>
      <c r="D49" s="91">
        <v>360</v>
      </c>
      <c r="E49" s="6">
        <f t="shared" si="1"/>
        <v>8280</v>
      </c>
      <c r="F49" s="43">
        <f t="shared" si="2"/>
        <v>41400</v>
      </c>
    </row>
    <row r="50" spans="1:6" s="105" customFormat="1" x14ac:dyDescent="0.25">
      <c r="A50" s="35" t="s">
        <v>148</v>
      </c>
      <c r="B50" s="1">
        <v>5</v>
      </c>
      <c r="C50" s="89">
        <v>17</v>
      </c>
      <c r="D50" s="91">
        <v>350</v>
      </c>
      <c r="E50" s="6">
        <f t="shared" si="1"/>
        <v>5950</v>
      </c>
      <c r="F50" s="43">
        <f t="shared" si="2"/>
        <v>29750</v>
      </c>
    </row>
    <row r="51" spans="1:6" s="105" customFormat="1" x14ac:dyDescent="0.25">
      <c r="A51" s="35" t="s">
        <v>147</v>
      </c>
      <c r="B51" s="1">
        <v>5</v>
      </c>
      <c r="C51" s="89">
        <v>8</v>
      </c>
      <c r="D51" s="91">
        <v>400</v>
      </c>
      <c r="E51" s="6">
        <f t="shared" si="1"/>
        <v>3200</v>
      </c>
      <c r="F51" s="6">
        <f t="shared" si="2"/>
        <v>16000</v>
      </c>
    </row>
    <row r="52" spans="1:6" s="105" customFormat="1" x14ac:dyDescent="0.25">
      <c r="A52" s="35" t="s">
        <v>153</v>
      </c>
      <c r="B52" s="1">
        <v>5</v>
      </c>
      <c r="C52" s="89">
        <v>10</v>
      </c>
      <c r="D52" s="91">
        <v>410</v>
      </c>
      <c r="E52" s="6">
        <f t="shared" si="1"/>
        <v>4100</v>
      </c>
      <c r="F52" s="6">
        <f t="shared" si="2"/>
        <v>20500</v>
      </c>
    </row>
    <row r="53" spans="1:6" s="105" customFormat="1" x14ac:dyDescent="0.25">
      <c r="A53" s="35" t="s">
        <v>158</v>
      </c>
      <c r="B53" s="1">
        <v>5</v>
      </c>
      <c r="C53" s="89">
        <v>17</v>
      </c>
      <c r="D53" s="91">
        <v>320</v>
      </c>
      <c r="E53" s="6">
        <f t="shared" si="1"/>
        <v>5440</v>
      </c>
      <c r="F53" s="6">
        <f t="shared" si="2"/>
        <v>27200</v>
      </c>
    </row>
    <row r="54" spans="1:6" s="105" customFormat="1" x14ac:dyDescent="0.25">
      <c r="A54" s="35" t="s">
        <v>159</v>
      </c>
      <c r="B54" s="1">
        <v>5</v>
      </c>
      <c r="C54" s="89">
        <v>8</v>
      </c>
      <c r="D54" s="91">
        <v>300</v>
      </c>
      <c r="E54" s="6">
        <f t="shared" si="1"/>
        <v>2400</v>
      </c>
      <c r="F54" s="6">
        <f t="shared" si="2"/>
        <v>12000</v>
      </c>
    </row>
    <row r="55" spans="1:6" s="105" customFormat="1" x14ac:dyDescent="0.25">
      <c r="A55" s="35" t="s">
        <v>18</v>
      </c>
      <c r="B55" s="1">
        <v>5</v>
      </c>
      <c r="C55" s="89">
        <v>20</v>
      </c>
      <c r="D55" s="91">
        <v>230</v>
      </c>
      <c r="E55" s="6">
        <f t="shared" si="1"/>
        <v>4600</v>
      </c>
      <c r="F55" s="6">
        <f t="shared" si="2"/>
        <v>23000</v>
      </c>
    </row>
    <row r="56" spans="1:6" s="105" customFormat="1" x14ac:dyDescent="0.25">
      <c r="A56" s="35" t="s">
        <v>122</v>
      </c>
      <c r="B56" s="1">
        <v>5</v>
      </c>
      <c r="C56" s="89">
        <v>4</v>
      </c>
      <c r="D56" s="91">
        <v>90</v>
      </c>
      <c r="E56" s="6">
        <f t="shared" si="1"/>
        <v>360</v>
      </c>
      <c r="F56" s="6">
        <f t="shared" si="2"/>
        <v>1800</v>
      </c>
    </row>
    <row r="57" spans="1:6" s="105" customFormat="1" x14ac:dyDescent="0.25">
      <c r="A57" s="35" t="s">
        <v>123</v>
      </c>
      <c r="B57" s="1">
        <v>5</v>
      </c>
      <c r="C57" s="89">
        <v>8</v>
      </c>
      <c r="D57" s="91">
        <v>120</v>
      </c>
      <c r="E57" s="6">
        <f t="shared" si="1"/>
        <v>960</v>
      </c>
      <c r="F57" s="6">
        <f t="shared" si="2"/>
        <v>4800</v>
      </c>
    </row>
    <row r="58" spans="1:6" s="105" customFormat="1" x14ac:dyDescent="0.25">
      <c r="A58" s="35" t="s">
        <v>120</v>
      </c>
      <c r="B58" s="1">
        <v>5</v>
      </c>
      <c r="C58" s="89">
        <v>14</v>
      </c>
      <c r="D58" s="91">
        <v>330</v>
      </c>
      <c r="E58" s="6">
        <f t="shared" si="1"/>
        <v>4620</v>
      </c>
      <c r="F58" s="6">
        <f t="shared" si="2"/>
        <v>23100</v>
      </c>
    </row>
    <row r="59" spans="1:6" s="105" customFormat="1" ht="18.75" customHeight="1" x14ac:dyDescent="0.25">
      <c r="A59" s="35" t="s">
        <v>160</v>
      </c>
      <c r="B59" s="1">
        <v>5</v>
      </c>
      <c r="C59" s="89">
        <v>5</v>
      </c>
      <c r="D59" s="91">
        <v>450</v>
      </c>
      <c r="E59" s="6">
        <f t="shared" si="1"/>
        <v>2250</v>
      </c>
      <c r="F59" s="6">
        <f t="shared" si="2"/>
        <v>11250</v>
      </c>
    </row>
    <row r="60" spans="1:6" s="105" customFormat="1" ht="18.75" customHeight="1" x14ac:dyDescent="0.4">
      <c r="A60" s="131" t="s">
        <v>204</v>
      </c>
      <c r="B60" s="132"/>
      <c r="C60" s="115" t="s">
        <v>61</v>
      </c>
      <c r="D60" s="115"/>
      <c r="E60" s="92">
        <f>SUM(E42:E59)</f>
        <v>72760</v>
      </c>
      <c r="F60" s="93"/>
    </row>
    <row r="61" spans="1:6" s="105" customFormat="1" ht="18.75" customHeight="1" thickBot="1" x14ac:dyDescent="0.45">
      <c r="A61" s="133"/>
      <c r="B61" s="134"/>
      <c r="C61" s="128" t="s">
        <v>14</v>
      </c>
      <c r="D61" s="128"/>
      <c r="E61" s="94">
        <f>SUM(F42:F59)</f>
        <v>363800</v>
      </c>
      <c r="F61" s="95"/>
    </row>
    <row r="62" spans="1:6" s="105" customFormat="1" ht="18.75" customHeight="1" x14ac:dyDescent="0.4">
      <c r="A62" s="133"/>
      <c r="B62" s="134"/>
      <c r="C62" s="129" t="s">
        <v>161</v>
      </c>
      <c r="D62" s="130"/>
      <c r="E62" s="96">
        <v>150000</v>
      </c>
      <c r="F62" s="95"/>
    </row>
    <row r="63" spans="1:6" s="105" customFormat="1" ht="19.5" thickBot="1" x14ac:dyDescent="0.45">
      <c r="A63" s="135"/>
      <c r="B63" s="136"/>
      <c r="C63" s="128" t="s">
        <v>14</v>
      </c>
      <c r="D63" s="128"/>
      <c r="E63" s="97">
        <f>SUM(E61:E62)</f>
        <v>513800</v>
      </c>
      <c r="F63" s="98"/>
    </row>
    <row r="64" spans="1:6" s="105" customFormat="1" x14ac:dyDescent="0.25">
      <c r="A64" t="s">
        <v>206</v>
      </c>
      <c r="B64" s="112">
        <v>2700</v>
      </c>
      <c r="C64" t="s">
        <v>207</v>
      </c>
      <c r="D64"/>
      <c r="E64"/>
      <c r="F64"/>
    </row>
    <row r="65" spans="1:10" s="105" customFormat="1" ht="18.75" x14ac:dyDescent="0.4">
      <c r="A65" s="81" t="s">
        <v>73</v>
      </c>
      <c r="B65" s="81"/>
      <c r="C65" s="81"/>
      <c r="D65" s="81"/>
      <c r="E65" s="83">
        <f>E34+E63</f>
        <v>804200</v>
      </c>
      <c r="F65"/>
    </row>
    <row r="66" spans="1:10" x14ac:dyDescent="0.25">
      <c r="A66" t="s">
        <v>215</v>
      </c>
      <c r="B66" t="s">
        <v>203</v>
      </c>
      <c r="E66" s="52">
        <v>804200</v>
      </c>
    </row>
    <row r="68" spans="1:10" ht="15.75" thickBot="1" x14ac:dyDescent="0.3"/>
    <row r="69" spans="1:10" ht="18.75" x14ac:dyDescent="0.3">
      <c r="A69" s="149" t="s">
        <v>36</v>
      </c>
      <c r="B69" s="150"/>
      <c r="C69" s="150"/>
      <c r="D69" s="150"/>
      <c r="E69" s="150"/>
      <c r="F69" s="150"/>
      <c r="G69" s="150"/>
      <c r="H69" s="150"/>
      <c r="I69" s="150"/>
      <c r="J69" s="151"/>
    </row>
    <row r="70" spans="1:10" ht="18.75" x14ac:dyDescent="0.3">
      <c r="A70" s="152" t="s">
        <v>35</v>
      </c>
      <c r="B70" s="153"/>
      <c r="C70" s="153"/>
      <c r="D70" s="153"/>
      <c r="E70" s="153"/>
      <c r="F70" s="153"/>
      <c r="G70" s="153"/>
      <c r="H70" s="153"/>
      <c r="I70" s="153"/>
      <c r="J70" s="154"/>
    </row>
    <row r="71" spans="1:10" ht="18.75" x14ac:dyDescent="0.3">
      <c r="A71" s="152" t="s">
        <v>34</v>
      </c>
      <c r="B71" s="153"/>
      <c r="C71" s="153"/>
      <c r="D71" s="153"/>
      <c r="E71" s="153"/>
      <c r="F71" s="153"/>
      <c r="G71" s="153"/>
      <c r="H71" s="153"/>
      <c r="I71" s="153"/>
      <c r="J71" s="153"/>
    </row>
    <row r="72" spans="1:10" x14ac:dyDescent="0.25">
      <c r="A72" s="27" t="s">
        <v>3</v>
      </c>
      <c r="B72" s="26" t="s">
        <v>33</v>
      </c>
      <c r="C72" s="26">
        <v>13829</v>
      </c>
      <c r="D72" s="26">
        <v>13830</v>
      </c>
      <c r="E72" s="26">
        <v>13839</v>
      </c>
      <c r="F72" s="26">
        <v>13843</v>
      </c>
      <c r="G72" s="26">
        <v>13848</v>
      </c>
      <c r="H72" s="26">
        <v>13494</v>
      </c>
      <c r="I72" s="26">
        <v>13497</v>
      </c>
      <c r="J72" s="25" t="s">
        <v>32</v>
      </c>
    </row>
    <row r="73" spans="1:10" x14ac:dyDescent="0.25">
      <c r="A73" s="14"/>
      <c r="B73" s="24">
        <v>46203</v>
      </c>
      <c r="C73" s="24">
        <v>46210</v>
      </c>
      <c r="D73" s="24">
        <v>46211</v>
      </c>
      <c r="E73" s="24">
        <v>46212</v>
      </c>
      <c r="F73" s="24">
        <v>46213</v>
      </c>
      <c r="G73" s="24">
        <v>46217</v>
      </c>
      <c r="H73" s="24">
        <v>46218</v>
      </c>
      <c r="I73" s="24">
        <v>46219</v>
      </c>
      <c r="J73" s="23">
        <v>46234</v>
      </c>
    </row>
    <row r="74" spans="1:10" x14ac:dyDescent="0.25">
      <c r="A74" s="21" t="s">
        <v>31</v>
      </c>
      <c r="B74" s="22">
        <v>12</v>
      </c>
      <c r="C74" s="19"/>
      <c r="D74" s="19"/>
      <c r="E74" s="19"/>
      <c r="F74" s="19"/>
      <c r="G74" s="19"/>
      <c r="H74" s="19"/>
      <c r="I74" s="19"/>
      <c r="J74" s="18">
        <f t="shared" ref="J74:J111" si="3">SUM(B74:I74)</f>
        <v>12</v>
      </c>
    </row>
    <row r="75" spans="1:10" x14ac:dyDescent="0.25">
      <c r="A75" s="21" t="s">
        <v>30</v>
      </c>
      <c r="B75" s="22">
        <v>12</v>
      </c>
      <c r="C75" s="19"/>
      <c r="D75" s="19"/>
      <c r="E75" s="19"/>
      <c r="F75" s="19"/>
      <c r="G75" s="19"/>
      <c r="H75" s="19"/>
      <c r="I75" s="19"/>
      <c r="J75" s="18">
        <f t="shared" si="3"/>
        <v>12</v>
      </c>
    </row>
    <row r="76" spans="1:10" x14ac:dyDescent="0.25">
      <c r="A76" s="21" t="s">
        <v>29</v>
      </c>
      <c r="B76" s="22">
        <v>6</v>
      </c>
      <c r="C76" s="19"/>
      <c r="D76" s="19"/>
      <c r="E76" s="19"/>
      <c r="F76" s="19"/>
      <c r="G76" s="19"/>
      <c r="H76" s="19"/>
      <c r="I76" s="19"/>
      <c r="J76" s="18">
        <f t="shared" si="3"/>
        <v>6</v>
      </c>
    </row>
    <row r="77" spans="1:10" x14ac:dyDescent="0.25">
      <c r="A77" s="21" t="s">
        <v>28</v>
      </c>
      <c r="B77" s="22">
        <v>60</v>
      </c>
      <c r="C77" s="19"/>
      <c r="D77" s="19"/>
      <c r="E77" s="19"/>
      <c r="F77" s="19"/>
      <c r="G77" s="19"/>
      <c r="H77" s="19"/>
      <c r="I77" s="100">
        <v>-5</v>
      </c>
      <c r="J77" s="18">
        <f t="shared" si="3"/>
        <v>55</v>
      </c>
    </row>
    <row r="78" spans="1:10" x14ac:dyDescent="0.25">
      <c r="A78" s="21" t="s">
        <v>27</v>
      </c>
      <c r="B78" s="99">
        <v>73</v>
      </c>
      <c r="C78" s="19"/>
      <c r="D78" s="19"/>
      <c r="E78" s="19"/>
      <c r="F78" s="19"/>
      <c r="G78" s="19"/>
      <c r="H78" s="19"/>
      <c r="I78" s="100">
        <v>-14</v>
      </c>
      <c r="J78" s="18">
        <f t="shared" si="3"/>
        <v>59</v>
      </c>
    </row>
    <row r="79" spans="1:10" x14ac:dyDescent="0.25">
      <c r="A79" s="21" t="s">
        <v>13</v>
      </c>
      <c r="B79" s="99">
        <v>45</v>
      </c>
      <c r="C79" s="19"/>
      <c r="D79" s="19"/>
      <c r="E79" s="19"/>
      <c r="F79" s="19"/>
      <c r="G79" s="19"/>
      <c r="H79" s="19"/>
      <c r="I79" s="100">
        <v>-7</v>
      </c>
      <c r="J79" s="18">
        <f t="shared" si="3"/>
        <v>38</v>
      </c>
    </row>
    <row r="80" spans="1:10" x14ac:dyDescent="0.25">
      <c r="A80" s="21" t="s">
        <v>26</v>
      </c>
      <c r="B80" s="22">
        <v>6</v>
      </c>
      <c r="C80" s="19"/>
      <c r="D80" s="19"/>
      <c r="E80" s="19"/>
      <c r="F80" s="19"/>
      <c r="G80" s="19"/>
      <c r="H80" s="19"/>
      <c r="I80" s="100">
        <v>-4</v>
      </c>
      <c r="J80" s="18">
        <f t="shared" si="3"/>
        <v>2</v>
      </c>
    </row>
    <row r="81" spans="1:10" x14ac:dyDescent="0.25">
      <c r="A81" s="21" t="s">
        <v>25</v>
      </c>
      <c r="B81" s="22">
        <v>3</v>
      </c>
      <c r="C81" s="19"/>
      <c r="D81" s="19"/>
      <c r="E81" s="19"/>
      <c r="F81" s="19"/>
      <c r="G81" s="19"/>
      <c r="H81" s="19"/>
      <c r="I81" s="100">
        <v>-2</v>
      </c>
      <c r="J81" s="18">
        <f t="shared" si="3"/>
        <v>1</v>
      </c>
    </row>
    <row r="82" spans="1:10" x14ac:dyDescent="0.25">
      <c r="A82" s="21" t="s">
        <v>24</v>
      </c>
      <c r="B82" s="22">
        <v>2</v>
      </c>
      <c r="C82" s="19"/>
      <c r="D82" s="19"/>
      <c r="E82" s="19"/>
      <c r="F82" s="19"/>
      <c r="G82" s="19"/>
      <c r="H82" s="19"/>
      <c r="I82" s="100">
        <v>-2</v>
      </c>
      <c r="J82" s="18">
        <f t="shared" si="3"/>
        <v>0</v>
      </c>
    </row>
    <row r="83" spans="1:10" x14ac:dyDescent="0.25">
      <c r="A83" s="21" t="s">
        <v>23</v>
      </c>
      <c r="B83" s="22">
        <v>5</v>
      </c>
      <c r="C83" s="19"/>
      <c r="D83" s="19"/>
      <c r="E83" s="19"/>
      <c r="F83" s="19"/>
      <c r="G83" s="19"/>
      <c r="H83" s="19"/>
      <c r="I83" s="19"/>
      <c r="J83" s="18">
        <f t="shared" si="3"/>
        <v>5</v>
      </c>
    </row>
    <row r="84" spans="1:10" x14ac:dyDescent="0.25">
      <c r="A84" s="21" t="s">
        <v>22</v>
      </c>
      <c r="B84" s="22">
        <v>6</v>
      </c>
      <c r="C84" s="19"/>
      <c r="D84" s="19"/>
      <c r="E84" s="19"/>
      <c r="F84" s="19"/>
      <c r="G84" s="19"/>
      <c r="H84" s="19"/>
      <c r="I84" s="19"/>
      <c r="J84" s="18">
        <f t="shared" si="3"/>
        <v>6</v>
      </c>
    </row>
    <row r="85" spans="1:10" x14ac:dyDescent="0.25">
      <c r="A85" s="21" t="s">
        <v>128</v>
      </c>
      <c r="B85" s="22"/>
      <c r="C85" s="100">
        <v>5</v>
      </c>
      <c r="D85" s="19"/>
      <c r="E85" s="19"/>
      <c r="F85" s="31">
        <v>3</v>
      </c>
      <c r="G85" s="100">
        <v>1</v>
      </c>
      <c r="H85" s="100">
        <v>-9</v>
      </c>
      <c r="I85" s="100"/>
      <c r="J85" s="18">
        <f t="shared" si="3"/>
        <v>0</v>
      </c>
    </row>
    <row r="86" spans="1:10" x14ac:dyDescent="0.25">
      <c r="A86" s="21" t="s">
        <v>153</v>
      </c>
      <c r="B86" s="22"/>
      <c r="C86" s="100">
        <v>10</v>
      </c>
      <c r="D86" s="19"/>
      <c r="E86" s="19"/>
      <c r="F86" s="19"/>
      <c r="G86" s="19"/>
      <c r="H86" s="100">
        <v>-9</v>
      </c>
      <c r="I86" s="100">
        <v>-1</v>
      </c>
      <c r="J86" s="18">
        <f t="shared" si="3"/>
        <v>0</v>
      </c>
    </row>
    <row r="87" spans="1:10" x14ac:dyDescent="0.25">
      <c r="A87" s="21" t="s">
        <v>147</v>
      </c>
      <c r="B87" s="22"/>
      <c r="C87" s="100">
        <v>8</v>
      </c>
      <c r="D87" s="19"/>
      <c r="E87" s="19"/>
      <c r="F87" s="19"/>
      <c r="G87" s="100">
        <v>3</v>
      </c>
      <c r="H87" s="100">
        <v>-11</v>
      </c>
      <c r="I87" s="100"/>
      <c r="J87" s="18">
        <f t="shared" si="3"/>
        <v>0</v>
      </c>
    </row>
    <row r="88" spans="1:10" x14ac:dyDescent="0.25">
      <c r="A88" s="21" t="s">
        <v>145</v>
      </c>
      <c r="B88" s="22"/>
      <c r="C88" s="100">
        <v>23</v>
      </c>
      <c r="D88" s="19"/>
      <c r="E88" s="19"/>
      <c r="F88" s="19"/>
      <c r="G88" s="19"/>
      <c r="H88" s="100">
        <v>-22</v>
      </c>
      <c r="I88" s="100">
        <v>-1</v>
      </c>
      <c r="J88" s="18">
        <f t="shared" si="3"/>
        <v>0</v>
      </c>
    </row>
    <row r="89" spans="1:10" x14ac:dyDescent="0.25">
      <c r="A89" s="21" t="s">
        <v>148</v>
      </c>
      <c r="B89" s="22"/>
      <c r="C89" s="100">
        <v>17</v>
      </c>
      <c r="D89" s="19"/>
      <c r="E89" s="19"/>
      <c r="F89" s="19"/>
      <c r="G89" s="19"/>
      <c r="H89" s="100">
        <v>-17</v>
      </c>
      <c r="I89" s="100"/>
      <c r="J89" s="18">
        <f t="shared" si="3"/>
        <v>0</v>
      </c>
    </row>
    <row r="90" spans="1:10" x14ac:dyDescent="0.25">
      <c r="A90" s="21" t="s">
        <v>158</v>
      </c>
      <c r="B90" s="22"/>
      <c r="C90" s="100">
        <v>17</v>
      </c>
      <c r="D90" s="19"/>
      <c r="E90" s="19"/>
      <c r="F90" s="19"/>
      <c r="G90" s="100">
        <v>3</v>
      </c>
      <c r="H90" s="100">
        <v>-19</v>
      </c>
      <c r="I90" s="100">
        <v>-1</v>
      </c>
      <c r="J90" s="18">
        <f t="shared" si="3"/>
        <v>0</v>
      </c>
    </row>
    <row r="91" spans="1:10" x14ac:dyDescent="0.25">
      <c r="A91" s="21" t="s">
        <v>119</v>
      </c>
      <c r="B91" s="22"/>
      <c r="C91" s="100">
        <v>5</v>
      </c>
      <c r="D91" s="19"/>
      <c r="E91" s="19"/>
      <c r="F91" s="100">
        <v>5</v>
      </c>
      <c r="G91" s="100">
        <v>12</v>
      </c>
      <c r="H91" s="100">
        <v>-20</v>
      </c>
      <c r="I91" s="100">
        <v>-2</v>
      </c>
      <c r="J91" s="18">
        <f t="shared" si="3"/>
        <v>0</v>
      </c>
    </row>
    <row r="92" spans="1:10" x14ac:dyDescent="0.25">
      <c r="A92" s="21" t="s">
        <v>162</v>
      </c>
      <c r="B92" s="22"/>
      <c r="C92" s="100">
        <v>6</v>
      </c>
      <c r="D92" s="19"/>
      <c r="E92" s="19"/>
      <c r="F92" s="19"/>
      <c r="G92" s="100">
        <v>21</v>
      </c>
      <c r="H92" s="19"/>
      <c r="I92" s="19">
        <v>-27</v>
      </c>
      <c r="J92" s="18">
        <f t="shared" si="3"/>
        <v>0</v>
      </c>
    </row>
    <row r="93" spans="1:10" x14ac:dyDescent="0.25">
      <c r="A93" s="21" t="s">
        <v>18</v>
      </c>
      <c r="B93" s="22"/>
      <c r="C93" s="100">
        <v>20</v>
      </c>
      <c r="D93" s="19"/>
      <c r="E93" s="19"/>
      <c r="F93" s="19"/>
      <c r="G93" s="100">
        <v>5</v>
      </c>
      <c r="H93" s="100">
        <v>-6</v>
      </c>
      <c r="I93" s="100">
        <v>-19</v>
      </c>
      <c r="J93" s="18">
        <f t="shared" si="3"/>
        <v>0</v>
      </c>
    </row>
    <row r="94" spans="1:10" x14ac:dyDescent="0.25">
      <c r="A94" s="21" t="s">
        <v>163</v>
      </c>
      <c r="B94" s="22"/>
      <c r="C94" s="100">
        <v>8</v>
      </c>
      <c r="D94" s="19"/>
      <c r="E94" s="19"/>
      <c r="F94" s="19"/>
      <c r="G94" s="19"/>
      <c r="H94" s="100">
        <v>-3</v>
      </c>
      <c r="I94" s="100">
        <v>-5</v>
      </c>
      <c r="J94" s="18">
        <f t="shared" si="3"/>
        <v>0</v>
      </c>
    </row>
    <row r="95" spans="1:10" x14ac:dyDescent="0.25">
      <c r="A95" s="21" t="s">
        <v>164</v>
      </c>
      <c r="B95" s="22"/>
      <c r="C95" s="100">
        <v>10</v>
      </c>
      <c r="D95" s="19"/>
      <c r="E95" s="19"/>
      <c r="F95" s="19"/>
      <c r="G95" s="19"/>
      <c r="H95" s="100">
        <v>-3</v>
      </c>
      <c r="I95" s="100">
        <v>-7</v>
      </c>
      <c r="J95" s="18">
        <f t="shared" si="3"/>
        <v>0</v>
      </c>
    </row>
    <row r="96" spans="1:10" x14ac:dyDescent="0.25">
      <c r="A96" s="21" t="s">
        <v>156</v>
      </c>
      <c r="B96" s="22"/>
      <c r="C96" s="100">
        <v>6</v>
      </c>
      <c r="D96" s="19"/>
      <c r="E96" s="19"/>
      <c r="F96" s="19"/>
      <c r="G96" s="19"/>
      <c r="H96" s="100">
        <v>-6</v>
      </c>
      <c r="I96" s="100"/>
      <c r="J96" s="18">
        <f t="shared" si="3"/>
        <v>0</v>
      </c>
    </row>
    <row r="97" spans="1:10" x14ac:dyDescent="0.25">
      <c r="A97" s="21" t="s">
        <v>21</v>
      </c>
      <c r="B97" s="22"/>
      <c r="C97" s="100">
        <v>1</v>
      </c>
      <c r="D97" s="19"/>
      <c r="E97" s="19"/>
      <c r="F97" s="100">
        <v>2</v>
      </c>
      <c r="G97" s="19"/>
      <c r="H97" s="100">
        <v>-2</v>
      </c>
      <c r="I97" s="100">
        <v>-1</v>
      </c>
      <c r="J97" s="18">
        <f t="shared" si="3"/>
        <v>0</v>
      </c>
    </row>
    <row r="98" spans="1:10" x14ac:dyDescent="0.25">
      <c r="A98" s="21" t="s">
        <v>165</v>
      </c>
      <c r="B98" s="22"/>
      <c r="C98" s="19"/>
      <c r="D98" s="19"/>
      <c r="E98" s="19"/>
      <c r="F98" s="101"/>
      <c r="G98" s="100">
        <v>2</v>
      </c>
      <c r="H98" s="100">
        <v>-2</v>
      </c>
      <c r="I98" s="100"/>
      <c r="J98" s="18">
        <f t="shared" si="3"/>
        <v>0</v>
      </c>
    </row>
    <row r="99" spans="1:10" x14ac:dyDescent="0.25">
      <c r="A99" s="21" t="s">
        <v>166</v>
      </c>
      <c r="B99" s="22"/>
      <c r="C99" s="100">
        <v>32</v>
      </c>
      <c r="D99" s="19"/>
      <c r="E99" s="19"/>
      <c r="F99" s="19"/>
      <c r="G99" s="19"/>
      <c r="H99" s="100">
        <v>-11</v>
      </c>
      <c r="I99" s="100">
        <v>-21</v>
      </c>
      <c r="J99" s="18">
        <f t="shared" si="3"/>
        <v>0</v>
      </c>
    </row>
    <row r="100" spans="1:10" x14ac:dyDescent="0.25">
      <c r="A100" s="21" t="s">
        <v>122</v>
      </c>
      <c r="B100" s="22"/>
      <c r="C100" s="100">
        <v>4</v>
      </c>
      <c r="D100" s="19"/>
      <c r="E100" s="100">
        <v>30</v>
      </c>
      <c r="F100" s="19"/>
      <c r="G100" s="19"/>
      <c r="H100" s="19"/>
      <c r="I100" s="19">
        <v>-34</v>
      </c>
      <c r="J100" s="18">
        <f t="shared" si="3"/>
        <v>0</v>
      </c>
    </row>
    <row r="101" spans="1:10" x14ac:dyDescent="0.25">
      <c r="A101" s="21" t="s">
        <v>167</v>
      </c>
      <c r="B101" s="22"/>
      <c r="C101" s="100">
        <v>8</v>
      </c>
      <c r="D101" s="19"/>
      <c r="E101" s="19"/>
      <c r="F101" s="19"/>
      <c r="G101" s="19"/>
      <c r="H101" s="19"/>
      <c r="I101" s="19">
        <v>-8</v>
      </c>
      <c r="J101" s="18">
        <f t="shared" si="3"/>
        <v>0</v>
      </c>
    </row>
    <row r="102" spans="1:10" x14ac:dyDescent="0.25">
      <c r="A102" s="21" t="s">
        <v>168</v>
      </c>
      <c r="B102" s="22"/>
      <c r="C102" s="100">
        <v>450</v>
      </c>
      <c r="D102" s="19"/>
      <c r="E102" s="19"/>
      <c r="F102" s="100">
        <v>200</v>
      </c>
      <c r="G102" s="100">
        <v>50</v>
      </c>
      <c r="H102" s="19"/>
      <c r="I102" s="19">
        <v>-666</v>
      </c>
      <c r="J102" s="31">
        <f t="shared" si="3"/>
        <v>34</v>
      </c>
    </row>
    <row r="103" spans="1:10" x14ac:dyDescent="0.25">
      <c r="A103" s="21" t="s">
        <v>169</v>
      </c>
      <c r="B103" s="22"/>
      <c r="C103" s="100">
        <v>2</v>
      </c>
      <c r="D103" s="19"/>
      <c r="E103" s="19"/>
      <c r="F103" s="100">
        <v>1</v>
      </c>
      <c r="G103" s="19"/>
      <c r="H103" s="19"/>
      <c r="I103" s="19">
        <v>-3</v>
      </c>
      <c r="J103" s="18">
        <f t="shared" si="3"/>
        <v>0</v>
      </c>
    </row>
    <row r="104" spans="1:10" x14ac:dyDescent="0.25">
      <c r="A104" s="21" t="s">
        <v>120</v>
      </c>
      <c r="B104" s="22"/>
      <c r="C104" s="19"/>
      <c r="D104" s="100">
        <v>14</v>
      </c>
      <c r="E104" s="19"/>
      <c r="F104" s="19"/>
      <c r="G104" s="100">
        <v>6</v>
      </c>
      <c r="H104" s="100">
        <v>-20</v>
      </c>
      <c r="I104" s="100"/>
      <c r="J104" s="18">
        <f t="shared" si="3"/>
        <v>0</v>
      </c>
    </row>
    <row r="105" spans="1:10" x14ac:dyDescent="0.25">
      <c r="A105" s="21" t="s">
        <v>170</v>
      </c>
      <c r="B105" s="22"/>
      <c r="C105" s="19"/>
      <c r="D105" s="19"/>
      <c r="E105" s="19"/>
      <c r="F105" s="31">
        <v>2</v>
      </c>
      <c r="G105" s="19"/>
      <c r="H105" s="100">
        <v>-2</v>
      </c>
      <c r="I105" s="100"/>
      <c r="J105" s="18">
        <f t="shared" si="3"/>
        <v>0</v>
      </c>
    </row>
    <row r="106" spans="1:10" x14ac:dyDescent="0.25">
      <c r="A106" s="21" t="s">
        <v>171</v>
      </c>
      <c r="B106" s="22"/>
      <c r="C106" s="19"/>
      <c r="D106" s="19"/>
      <c r="E106" s="19"/>
      <c r="F106" s="100">
        <v>1</v>
      </c>
      <c r="G106" s="19"/>
      <c r="H106" s="19"/>
      <c r="I106" s="19">
        <v>-1</v>
      </c>
      <c r="J106" s="18">
        <f t="shared" si="3"/>
        <v>0</v>
      </c>
    </row>
    <row r="107" spans="1:10" x14ac:dyDescent="0.25">
      <c r="A107" s="21" t="s">
        <v>172</v>
      </c>
      <c r="B107" s="22"/>
      <c r="C107" s="19"/>
      <c r="D107" s="19"/>
      <c r="E107" s="19"/>
      <c r="F107" s="100">
        <v>14</v>
      </c>
      <c r="G107" s="19"/>
      <c r="H107" s="100">
        <v>-4</v>
      </c>
      <c r="I107" s="100">
        <v>-9</v>
      </c>
      <c r="J107" s="31">
        <f t="shared" si="3"/>
        <v>1</v>
      </c>
    </row>
    <row r="108" spans="1:10" x14ac:dyDescent="0.25">
      <c r="A108" s="21" t="s">
        <v>173</v>
      </c>
      <c r="B108" s="22"/>
      <c r="C108" s="19"/>
      <c r="D108" s="19"/>
      <c r="E108" s="19"/>
      <c r="F108" s="100">
        <v>2</v>
      </c>
      <c r="G108" s="19"/>
      <c r="H108" s="100">
        <v>-2</v>
      </c>
      <c r="I108" s="100"/>
      <c r="J108" s="18">
        <f t="shared" si="3"/>
        <v>0</v>
      </c>
    </row>
    <row r="109" spans="1:10" x14ac:dyDescent="0.25">
      <c r="A109" s="21" t="s">
        <v>174</v>
      </c>
      <c r="B109" s="22"/>
      <c r="C109" s="19"/>
      <c r="D109" s="19"/>
      <c r="E109" s="19"/>
      <c r="F109" s="100">
        <v>28</v>
      </c>
      <c r="G109" s="19"/>
      <c r="H109" s="19"/>
      <c r="I109" s="19">
        <v>-28</v>
      </c>
      <c r="J109" s="18">
        <f t="shared" si="3"/>
        <v>0</v>
      </c>
    </row>
    <row r="110" spans="1:10" x14ac:dyDescent="0.25">
      <c r="A110" s="21" t="s">
        <v>175</v>
      </c>
      <c r="B110" s="22"/>
      <c r="C110" s="19"/>
      <c r="D110" s="19"/>
      <c r="E110" s="19"/>
      <c r="F110" s="100">
        <v>15</v>
      </c>
      <c r="G110" s="19"/>
      <c r="H110" s="19"/>
      <c r="I110" s="19">
        <v>-15</v>
      </c>
      <c r="J110" s="18">
        <f t="shared" si="3"/>
        <v>0</v>
      </c>
    </row>
    <row r="111" spans="1:10" x14ac:dyDescent="0.25">
      <c r="A111" s="21" t="s">
        <v>176</v>
      </c>
      <c r="B111" s="22"/>
      <c r="C111" s="19"/>
      <c r="D111" s="19"/>
      <c r="E111" s="19"/>
      <c r="F111" s="100"/>
      <c r="G111" s="100">
        <v>9</v>
      </c>
      <c r="H111" s="19"/>
      <c r="I111" s="19">
        <v>-9</v>
      </c>
      <c r="J111" s="18">
        <f t="shared" si="3"/>
        <v>0</v>
      </c>
    </row>
    <row r="112" spans="1:10" x14ac:dyDescent="0.25">
      <c r="A112" s="14" t="s">
        <v>177</v>
      </c>
      <c r="B112" s="17"/>
      <c r="C112" s="16">
        <v>7.6388888888888895E-2</v>
      </c>
      <c r="D112" s="16">
        <v>0.45833333333333331</v>
      </c>
      <c r="E112" s="16">
        <v>0.37152777777777779</v>
      </c>
      <c r="F112" s="16">
        <v>0.13541666666666666</v>
      </c>
      <c r="G112" s="16">
        <v>0.49305555555555558</v>
      </c>
      <c r="H112" s="16">
        <v>8.3333333333333329E-2</v>
      </c>
      <c r="I112" s="16">
        <v>0.33333333333333331</v>
      </c>
      <c r="J112" s="15"/>
    </row>
    <row r="113" spans="1:10" x14ac:dyDescent="0.25">
      <c r="A113" s="14" t="s">
        <v>16</v>
      </c>
      <c r="B113" s="13"/>
      <c r="C113" s="12" t="s">
        <v>178</v>
      </c>
      <c r="D113" s="12" t="s">
        <v>178</v>
      </c>
      <c r="E113" s="16" t="s">
        <v>15</v>
      </c>
      <c r="F113" s="16" t="s">
        <v>15</v>
      </c>
      <c r="G113" s="16" t="s">
        <v>179</v>
      </c>
      <c r="H113" s="12" t="s">
        <v>178</v>
      </c>
      <c r="I113" s="114">
        <v>75000</v>
      </c>
      <c r="J113" s="11"/>
    </row>
    <row r="114" spans="1:10" ht="15.75" thickBot="1" x14ac:dyDescent="0.3"/>
    <row r="115" spans="1:10" ht="15.75" thickBot="1" x14ac:dyDescent="0.3">
      <c r="A115" s="155" t="s">
        <v>0</v>
      </c>
      <c r="B115" s="156"/>
      <c r="C115" s="156"/>
      <c r="D115" s="156"/>
      <c r="E115" s="156"/>
      <c r="F115" s="157"/>
    </row>
    <row r="116" spans="1:10" ht="15.75" thickBot="1" x14ac:dyDescent="0.3">
      <c r="A116" s="155" t="s">
        <v>209</v>
      </c>
      <c r="B116" s="156"/>
      <c r="C116" s="156"/>
      <c r="D116" s="156"/>
      <c r="E116" s="156"/>
      <c r="F116" s="157"/>
    </row>
    <row r="117" spans="1:10" x14ac:dyDescent="0.25">
      <c r="A117" s="119" t="s">
        <v>1</v>
      </c>
      <c r="B117" s="120"/>
      <c r="C117" s="120"/>
      <c r="D117" s="120"/>
      <c r="E117" s="120"/>
      <c r="F117" s="121"/>
    </row>
    <row r="118" spans="1:10" ht="18" customHeight="1" x14ac:dyDescent="0.25">
      <c r="A118" s="137" t="s">
        <v>2</v>
      </c>
      <c r="B118" s="123"/>
      <c r="C118" s="123"/>
      <c r="D118" s="123"/>
      <c r="E118" s="123"/>
      <c r="F118" s="138"/>
    </row>
    <row r="119" spans="1:10" x14ac:dyDescent="0.25">
      <c r="A119" s="160" t="s">
        <v>3</v>
      </c>
      <c r="B119" s="127" t="s">
        <v>4</v>
      </c>
      <c r="C119" s="162"/>
      <c r="D119" s="163"/>
      <c r="E119" s="127" t="s">
        <v>5</v>
      </c>
      <c r="F119" s="164"/>
    </row>
    <row r="120" spans="1:10" x14ac:dyDescent="0.25">
      <c r="A120" s="161"/>
      <c r="B120" s="1" t="s">
        <v>7</v>
      </c>
      <c r="C120" s="2" t="s">
        <v>8</v>
      </c>
      <c r="D120" s="1" t="s">
        <v>9</v>
      </c>
      <c r="E120" s="1" t="s">
        <v>10</v>
      </c>
      <c r="F120" s="41" t="s">
        <v>11</v>
      </c>
    </row>
    <row r="121" spans="1:10" x14ac:dyDescent="0.25">
      <c r="A121" s="88" t="s">
        <v>19</v>
      </c>
      <c r="B121" s="1">
        <v>3</v>
      </c>
      <c r="C121" s="89">
        <v>6</v>
      </c>
      <c r="D121" s="90">
        <v>280</v>
      </c>
      <c r="E121" s="6">
        <f>C121*D121</f>
        <v>1680</v>
      </c>
      <c r="F121" s="43">
        <f>B121*E121</f>
        <v>5040</v>
      </c>
    </row>
    <row r="122" spans="1:10" x14ac:dyDescent="0.25">
      <c r="A122" s="88" t="s">
        <v>119</v>
      </c>
      <c r="B122" s="1">
        <v>3</v>
      </c>
      <c r="C122" s="89">
        <v>5</v>
      </c>
      <c r="D122" s="90">
        <v>300</v>
      </c>
      <c r="E122" s="6">
        <f t="shared" ref="E122:E138" si="4">C122*D122</f>
        <v>1500</v>
      </c>
      <c r="F122" s="43">
        <f>B122*E122</f>
        <v>4500</v>
      </c>
    </row>
    <row r="123" spans="1:10" x14ac:dyDescent="0.25">
      <c r="A123" s="88" t="s">
        <v>21</v>
      </c>
      <c r="B123" s="1">
        <v>3</v>
      </c>
      <c r="C123" s="89">
        <v>1</v>
      </c>
      <c r="D123" s="90">
        <v>300</v>
      </c>
      <c r="E123" s="6">
        <f t="shared" si="4"/>
        <v>300</v>
      </c>
      <c r="F123" s="43">
        <f t="shared" ref="F123:F138" si="5">B123*E123</f>
        <v>900</v>
      </c>
    </row>
    <row r="124" spans="1:10" x14ac:dyDescent="0.25">
      <c r="A124" s="35" t="s">
        <v>124</v>
      </c>
      <c r="B124" s="1">
        <v>3</v>
      </c>
      <c r="C124" s="89">
        <v>450</v>
      </c>
      <c r="D124" s="91">
        <v>28</v>
      </c>
      <c r="E124" s="6">
        <f t="shared" si="4"/>
        <v>12600</v>
      </c>
      <c r="F124" s="43">
        <f t="shared" si="5"/>
        <v>37800</v>
      </c>
    </row>
    <row r="125" spans="1:10" x14ac:dyDescent="0.25">
      <c r="A125" s="35" t="s">
        <v>154</v>
      </c>
      <c r="B125" s="1">
        <v>3</v>
      </c>
      <c r="C125" s="89">
        <v>10</v>
      </c>
      <c r="D125" s="91">
        <v>300</v>
      </c>
      <c r="E125" s="6">
        <f t="shared" si="4"/>
        <v>3000</v>
      </c>
      <c r="F125" s="43">
        <f t="shared" si="5"/>
        <v>9000</v>
      </c>
    </row>
    <row r="126" spans="1:10" x14ac:dyDescent="0.25">
      <c r="A126" s="35" t="s">
        <v>155</v>
      </c>
      <c r="B126" s="1">
        <v>3</v>
      </c>
      <c r="C126" s="89">
        <v>32</v>
      </c>
      <c r="D126" s="91">
        <v>300</v>
      </c>
      <c r="E126" s="6">
        <f t="shared" si="4"/>
        <v>9600</v>
      </c>
      <c r="F126" s="43">
        <f t="shared" si="5"/>
        <v>28800</v>
      </c>
    </row>
    <row r="127" spans="1:10" x14ac:dyDescent="0.25">
      <c r="A127" s="35" t="s">
        <v>156</v>
      </c>
      <c r="B127" s="1">
        <v>3</v>
      </c>
      <c r="C127" s="89">
        <v>6</v>
      </c>
      <c r="D127" s="91">
        <v>320</v>
      </c>
      <c r="E127" s="6">
        <f t="shared" si="4"/>
        <v>1920</v>
      </c>
      <c r="F127" s="43">
        <f t="shared" si="5"/>
        <v>5760</v>
      </c>
    </row>
    <row r="128" spans="1:10" x14ac:dyDescent="0.25">
      <c r="A128" s="35" t="s">
        <v>157</v>
      </c>
      <c r="B128" s="1">
        <v>3</v>
      </c>
      <c r="C128" s="89">
        <v>23</v>
      </c>
      <c r="D128" s="91">
        <v>360</v>
      </c>
      <c r="E128" s="6">
        <f t="shared" si="4"/>
        <v>8280</v>
      </c>
      <c r="F128" s="43">
        <f t="shared" si="5"/>
        <v>24840</v>
      </c>
    </row>
    <row r="129" spans="1:15" x14ac:dyDescent="0.25">
      <c r="A129" s="35" t="s">
        <v>148</v>
      </c>
      <c r="B129" s="1">
        <v>3</v>
      </c>
      <c r="C129" s="89">
        <v>17</v>
      </c>
      <c r="D129" s="91">
        <v>350</v>
      </c>
      <c r="E129" s="6">
        <f t="shared" si="4"/>
        <v>5950</v>
      </c>
      <c r="F129" s="43">
        <f t="shared" si="5"/>
        <v>17850</v>
      </c>
    </row>
    <row r="130" spans="1:15" x14ac:dyDescent="0.25">
      <c r="A130" s="35" t="s">
        <v>147</v>
      </c>
      <c r="B130" s="1">
        <v>3</v>
      </c>
      <c r="C130" s="89">
        <v>8</v>
      </c>
      <c r="D130" s="91">
        <v>400</v>
      </c>
      <c r="E130" s="6">
        <f t="shared" si="4"/>
        <v>3200</v>
      </c>
      <c r="F130" s="6">
        <f t="shared" si="5"/>
        <v>9600</v>
      </c>
    </row>
    <row r="131" spans="1:15" x14ac:dyDescent="0.25">
      <c r="A131" s="35" t="s">
        <v>153</v>
      </c>
      <c r="B131" s="1">
        <v>3</v>
      </c>
      <c r="C131" s="89">
        <v>10</v>
      </c>
      <c r="D131" s="91">
        <v>410</v>
      </c>
      <c r="E131" s="6">
        <f t="shared" si="4"/>
        <v>4100</v>
      </c>
      <c r="F131" s="6">
        <f t="shared" si="5"/>
        <v>12300</v>
      </c>
    </row>
    <row r="132" spans="1:15" x14ac:dyDescent="0.25">
      <c r="A132" s="35" t="s">
        <v>158</v>
      </c>
      <c r="B132" s="1">
        <v>3</v>
      </c>
      <c r="C132" s="89">
        <v>17</v>
      </c>
      <c r="D132" s="91">
        <v>320</v>
      </c>
      <c r="E132" s="6">
        <f t="shared" si="4"/>
        <v>5440</v>
      </c>
      <c r="F132" s="6">
        <f t="shared" si="5"/>
        <v>16320</v>
      </c>
    </row>
    <row r="133" spans="1:15" x14ac:dyDescent="0.25">
      <c r="A133" s="35" t="s">
        <v>159</v>
      </c>
      <c r="B133" s="1">
        <v>3</v>
      </c>
      <c r="C133" s="89">
        <v>8</v>
      </c>
      <c r="D133" s="91">
        <v>300</v>
      </c>
      <c r="E133" s="6">
        <f t="shared" si="4"/>
        <v>2400</v>
      </c>
      <c r="F133" s="6">
        <f t="shared" si="5"/>
        <v>7200</v>
      </c>
    </row>
    <row r="134" spans="1:15" x14ac:dyDescent="0.25">
      <c r="A134" s="35" t="s">
        <v>18</v>
      </c>
      <c r="B134" s="1">
        <v>3</v>
      </c>
      <c r="C134" s="89">
        <v>20</v>
      </c>
      <c r="D134" s="91">
        <v>230</v>
      </c>
      <c r="E134" s="6">
        <f t="shared" si="4"/>
        <v>4600</v>
      </c>
      <c r="F134" s="6">
        <f t="shared" si="5"/>
        <v>13800</v>
      </c>
    </row>
    <row r="135" spans="1:15" x14ac:dyDescent="0.25">
      <c r="A135" s="35" t="s">
        <v>122</v>
      </c>
      <c r="B135" s="1">
        <v>3</v>
      </c>
      <c r="C135" s="89">
        <v>4</v>
      </c>
      <c r="D135" s="91">
        <v>90</v>
      </c>
      <c r="E135" s="6">
        <f t="shared" si="4"/>
        <v>360</v>
      </c>
      <c r="F135" s="6">
        <f t="shared" si="5"/>
        <v>1080</v>
      </c>
    </row>
    <row r="136" spans="1:15" x14ac:dyDescent="0.25">
      <c r="A136" s="35" t="s">
        <v>123</v>
      </c>
      <c r="B136" s="1">
        <v>3</v>
      </c>
      <c r="C136" s="89">
        <v>8</v>
      </c>
      <c r="D136" s="91">
        <v>120</v>
      </c>
      <c r="E136" s="6">
        <f t="shared" si="4"/>
        <v>960</v>
      </c>
      <c r="F136" s="6">
        <f t="shared" si="5"/>
        <v>2880</v>
      </c>
    </row>
    <row r="137" spans="1:15" x14ac:dyDescent="0.25">
      <c r="A137" s="35" t="s">
        <v>120</v>
      </c>
      <c r="B137" s="1">
        <v>3</v>
      </c>
      <c r="C137" s="89">
        <v>14</v>
      </c>
      <c r="D137" s="91">
        <v>330</v>
      </c>
      <c r="E137" s="6">
        <f t="shared" si="4"/>
        <v>4620</v>
      </c>
      <c r="F137" s="6">
        <f t="shared" si="5"/>
        <v>13860</v>
      </c>
    </row>
    <row r="138" spans="1:15" x14ac:dyDescent="0.25">
      <c r="A138" s="35" t="s">
        <v>160</v>
      </c>
      <c r="B138" s="1">
        <v>3</v>
      </c>
      <c r="C138" s="89">
        <v>5</v>
      </c>
      <c r="D138" s="91">
        <v>450</v>
      </c>
      <c r="E138" s="6">
        <f t="shared" si="4"/>
        <v>2250</v>
      </c>
      <c r="F138" s="6">
        <f t="shared" si="5"/>
        <v>6750</v>
      </c>
    </row>
    <row r="139" spans="1:15" ht="18.75" x14ac:dyDescent="0.4">
      <c r="A139" s="131" t="s">
        <v>212</v>
      </c>
      <c r="B139" s="132"/>
      <c r="C139" s="115" t="s">
        <v>61</v>
      </c>
      <c r="D139" s="115"/>
      <c r="E139" s="92">
        <f>SUM(E121:E138)</f>
        <v>72760</v>
      </c>
      <c r="F139" s="93"/>
    </row>
    <row r="140" spans="1:15" ht="19.5" thickBot="1" x14ac:dyDescent="0.45">
      <c r="A140" s="133"/>
      <c r="B140" s="134"/>
      <c r="C140" s="128" t="s">
        <v>14</v>
      </c>
      <c r="D140" s="128"/>
      <c r="E140" s="94">
        <f>SUM(F121:F138)</f>
        <v>218280</v>
      </c>
      <c r="F140" s="95"/>
    </row>
    <row r="141" spans="1:15" ht="18.75" x14ac:dyDescent="0.4">
      <c r="A141" s="133"/>
      <c r="B141" s="134"/>
      <c r="C141" s="129" t="s">
        <v>210</v>
      </c>
      <c r="D141" s="130"/>
      <c r="E141" s="113">
        <v>75000</v>
      </c>
      <c r="F141" s="95"/>
      <c r="G141" s="158" t="s">
        <v>211</v>
      </c>
      <c r="H141" s="159"/>
      <c r="I141" s="159"/>
      <c r="J141" s="159"/>
      <c r="K141" s="159"/>
      <c r="L141" s="159"/>
      <c r="M141" s="159"/>
      <c r="N141" s="159"/>
      <c r="O141" s="159"/>
    </row>
    <row r="142" spans="1:15" ht="19.5" thickBot="1" x14ac:dyDescent="0.45">
      <c r="A142" s="135"/>
      <c r="B142" s="136"/>
      <c r="C142" s="128" t="s">
        <v>14</v>
      </c>
      <c r="D142" s="128"/>
      <c r="E142" s="97">
        <f>SUM(E140:E141)</f>
        <v>293280</v>
      </c>
      <c r="F142" s="98"/>
    </row>
    <row r="144" spans="1:15" ht="15.75" thickBot="1" x14ac:dyDescent="0.3">
      <c r="E144" s="50"/>
    </row>
    <row r="145" spans="1:6" ht="15.75" thickBot="1" x14ac:dyDescent="0.3">
      <c r="A145" s="119" t="s">
        <v>0</v>
      </c>
      <c r="B145" s="120"/>
      <c r="C145" s="120"/>
      <c r="D145" s="120"/>
      <c r="E145" s="120"/>
      <c r="F145" s="121"/>
    </row>
    <row r="146" spans="1:6" x14ac:dyDescent="0.25">
      <c r="A146" s="119" t="s">
        <v>1</v>
      </c>
      <c r="B146" s="120"/>
      <c r="C146" s="120"/>
      <c r="D146" s="120"/>
      <c r="E146" s="120"/>
      <c r="F146" s="121"/>
    </row>
    <row r="147" spans="1:6" ht="18" x14ac:dyDescent="0.25">
      <c r="A147" s="137" t="s">
        <v>2</v>
      </c>
      <c r="B147" s="123"/>
      <c r="C147" s="123"/>
      <c r="D147" s="123"/>
      <c r="E147" s="123"/>
      <c r="F147" s="138"/>
    </row>
    <row r="148" spans="1:6" x14ac:dyDescent="0.25">
      <c r="A148" s="125" t="s">
        <v>3</v>
      </c>
      <c r="B148" s="126" t="s">
        <v>4</v>
      </c>
      <c r="C148" s="126"/>
      <c r="D148" s="126"/>
      <c r="E148" s="126" t="s">
        <v>5</v>
      </c>
      <c r="F148" s="139"/>
    </row>
    <row r="149" spans="1:6" x14ac:dyDescent="0.25">
      <c r="A149" s="125"/>
      <c r="B149" s="1" t="s">
        <v>7</v>
      </c>
      <c r="C149" s="2" t="s">
        <v>8</v>
      </c>
      <c r="D149" s="1" t="s">
        <v>9</v>
      </c>
      <c r="E149" s="1" t="s">
        <v>10</v>
      </c>
      <c r="F149" s="41" t="s">
        <v>11</v>
      </c>
    </row>
    <row r="150" spans="1:6" x14ac:dyDescent="0.25">
      <c r="A150" s="35" t="s">
        <v>122</v>
      </c>
      <c r="B150" s="1">
        <v>7</v>
      </c>
      <c r="C150" s="89">
        <v>30</v>
      </c>
      <c r="D150" s="91">
        <v>90</v>
      </c>
      <c r="E150" s="6">
        <f t="shared" ref="E150" si="6">C150*D150</f>
        <v>2700</v>
      </c>
      <c r="F150" s="6">
        <f t="shared" ref="F150" si="7">B150*E150</f>
        <v>18900</v>
      </c>
    </row>
    <row r="151" spans="1:6" ht="18.75" x14ac:dyDescent="0.4">
      <c r="A151" s="131" t="s">
        <v>199</v>
      </c>
      <c r="B151" s="132"/>
      <c r="C151" s="115" t="s">
        <v>61</v>
      </c>
      <c r="D151" s="115"/>
      <c r="E151" s="92">
        <f>SUM(E150:E150)</f>
        <v>2700</v>
      </c>
      <c r="F151" s="93"/>
    </row>
    <row r="152" spans="1:6" ht="19.5" thickBot="1" x14ac:dyDescent="0.45">
      <c r="A152" s="133"/>
      <c r="B152" s="134"/>
      <c r="C152" s="128" t="s">
        <v>14</v>
      </c>
      <c r="D152" s="128"/>
      <c r="E152" s="94">
        <f>SUM(F150:F150)</f>
        <v>18900</v>
      </c>
      <c r="F152" s="95"/>
    </row>
    <row r="154" spans="1:6" ht="15.75" thickBot="1" x14ac:dyDescent="0.3"/>
    <row r="155" spans="1:6" ht="15.75" thickBot="1" x14ac:dyDescent="0.3">
      <c r="A155" s="119" t="s">
        <v>208</v>
      </c>
      <c r="B155" s="120"/>
      <c r="C155" s="120"/>
      <c r="D155" s="120"/>
      <c r="E155" s="120"/>
      <c r="F155" s="121"/>
    </row>
    <row r="156" spans="1:6" x14ac:dyDescent="0.25">
      <c r="A156" s="119" t="s">
        <v>1</v>
      </c>
      <c r="B156" s="120"/>
      <c r="C156" s="120"/>
      <c r="D156" s="120"/>
      <c r="E156" s="120"/>
      <c r="F156" s="121"/>
    </row>
    <row r="157" spans="1:6" ht="18" customHeight="1" x14ac:dyDescent="0.25">
      <c r="A157" s="137" t="s">
        <v>2</v>
      </c>
      <c r="B157" s="123"/>
      <c r="C157" s="123"/>
      <c r="D157" s="123"/>
      <c r="E157" s="123"/>
      <c r="F157" s="138"/>
    </row>
    <row r="158" spans="1:6" x14ac:dyDescent="0.25">
      <c r="A158" s="125" t="s">
        <v>3</v>
      </c>
      <c r="B158" s="126" t="s">
        <v>4</v>
      </c>
      <c r="C158" s="126"/>
      <c r="D158" s="126"/>
      <c r="E158" s="126" t="s">
        <v>5</v>
      </c>
      <c r="F158" s="139"/>
    </row>
    <row r="159" spans="1:6" x14ac:dyDescent="0.25">
      <c r="A159" s="125"/>
      <c r="B159" s="1" t="s">
        <v>7</v>
      </c>
      <c r="C159" s="2" t="s">
        <v>8</v>
      </c>
      <c r="D159" s="1" t="s">
        <v>9</v>
      </c>
      <c r="E159" s="1" t="s">
        <v>10</v>
      </c>
      <c r="F159" s="41" t="s">
        <v>11</v>
      </c>
    </row>
    <row r="160" spans="1:6" x14ac:dyDescent="0.25">
      <c r="A160" s="88" t="s">
        <v>180</v>
      </c>
      <c r="B160" s="1">
        <v>6</v>
      </c>
      <c r="C160" s="4">
        <v>2</v>
      </c>
      <c r="D160" s="90">
        <v>300</v>
      </c>
      <c r="E160" s="6">
        <f>C160*D160</f>
        <v>600</v>
      </c>
      <c r="F160" s="43">
        <f>B160*E160</f>
        <v>3600</v>
      </c>
    </row>
    <row r="161" spans="1:6" x14ac:dyDescent="0.25">
      <c r="A161" s="88" t="s">
        <v>21</v>
      </c>
      <c r="B161" s="1">
        <v>6</v>
      </c>
      <c r="C161" s="4">
        <v>2</v>
      </c>
      <c r="D161" s="90">
        <v>300</v>
      </c>
      <c r="E161" s="6">
        <f t="shared" ref="E161:E170" si="8">C161*D161</f>
        <v>600</v>
      </c>
      <c r="F161" s="43">
        <f>B161*E161</f>
        <v>3600</v>
      </c>
    </row>
    <row r="162" spans="1:6" x14ac:dyDescent="0.25">
      <c r="A162" s="88" t="s">
        <v>171</v>
      </c>
      <c r="B162" s="1">
        <v>6</v>
      </c>
      <c r="C162" s="4">
        <v>1</v>
      </c>
      <c r="D162" s="90">
        <v>300</v>
      </c>
      <c r="E162" s="6">
        <f t="shared" si="8"/>
        <v>300</v>
      </c>
      <c r="F162" s="43">
        <f t="shared" ref="F162:F170" si="9">B162*E162</f>
        <v>1800</v>
      </c>
    </row>
    <row r="163" spans="1:6" x14ac:dyDescent="0.25">
      <c r="A163" s="35" t="s">
        <v>20</v>
      </c>
      <c r="B163" s="1">
        <v>6</v>
      </c>
      <c r="C163" s="4">
        <v>14</v>
      </c>
      <c r="D163" s="91">
        <v>300</v>
      </c>
      <c r="E163" s="6">
        <f t="shared" si="8"/>
        <v>4200</v>
      </c>
      <c r="F163" s="43">
        <f t="shared" si="9"/>
        <v>25200</v>
      </c>
    </row>
    <row r="164" spans="1:6" x14ac:dyDescent="0.25">
      <c r="A164" s="35" t="s">
        <v>128</v>
      </c>
      <c r="B164" s="1">
        <v>6</v>
      </c>
      <c r="C164" s="4">
        <v>3</v>
      </c>
      <c r="D164" s="91">
        <v>450</v>
      </c>
      <c r="E164" s="6">
        <f t="shared" si="8"/>
        <v>1350</v>
      </c>
      <c r="F164" s="43">
        <f t="shared" si="9"/>
        <v>8100</v>
      </c>
    </row>
    <row r="165" spans="1:6" x14ac:dyDescent="0.25">
      <c r="A165" s="35" t="s">
        <v>119</v>
      </c>
      <c r="B165" s="1">
        <v>6</v>
      </c>
      <c r="C165" s="4">
        <v>5</v>
      </c>
      <c r="D165" s="91">
        <v>300</v>
      </c>
      <c r="E165" s="6">
        <f t="shared" si="8"/>
        <v>1500</v>
      </c>
      <c r="F165" s="43">
        <f t="shared" si="9"/>
        <v>9000</v>
      </c>
    </row>
    <row r="166" spans="1:6" x14ac:dyDescent="0.25">
      <c r="A166" s="35" t="s">
        <v>181</v>
      </c>
      <c r="B166" s="1">
        <v>6</v>
      </c>
      <c r="C166" s="4">
        <v>2</v>
      </c>
      <c r="D166" s="91">
        <v>300</v>
      </c>
      <c r="E166" s="6">
        <f t="shared" si="8"/>
        <v>600</v>
      </c>
      <c r="F166" s="43">
        <f t="shared" si="9"/>
        <v>3600</v>
      </c>
    </row>
    <row r="167" spans="1:6" x14ac:dyDescent="0.25">
      <c r="A167" s="35" t="s">
        <v>182</v>
      </c>
      <c r="B167" s="1">
        <v>6</v>
      </c>
      <c r="C167" s="4">
        <v>28</v>
      </c>
      <c r="D167" s="91">
        <v>300</v>
      </c>
      <c r="E167" s="6">
        <f t="shared" si="8"/>
        <v>8400</v>
      </c>
      <c r="F167" s="43">
        <f t="shared" si="9"/>
        <v>50400</v>
      </c>
    </row>
    <row r="168" spans="1:6" x14ac:dyDescent="0.25">
      <c r="A168" s="35" t="s">
        <v>183</v>
      </c>
      <c r="B168" s="1">
        <v>6</v>
      </c>
      <c r="C168" s="4">
        <v>15</v>
      </c>
      <c r="D168" s="91">
        <v>300</v>
      </c>
      <c r="E168" s="6">
        <f t="shared" si="8"/>
        <v>4500</v>
      </c>
      <c r="F168" s="43">
        <f t="shared" si="9"/>
        <v>27000</v>
      </c>
    </row>
    <row r="169" spans="1:6" x14ac:dyDescent="0.25">
      <c r="A169" s="35" t="s">
        <v>124</v>
      </c>
      <c r="B169" s="1">
        <v>6</v>
      </c>
      <c r="C169" s="4">
        <v>200</v>
      </c>
      <c r="D169" s="91">
        <v>28</v>
      </c>
      <c r="E169" s="6">
        <f t="shared" si="8"/>
        <v>5600</v>
      </c>
      <c r="F169" s="6">
        <f t="shared" si="9"/>
        <v>33600</v>
      </c>
    </row>
    <row r="170" spans="1:6" x14ac:dyDescent="0.25">
      <c r="A170" s="35" t="s">
        <v>184</v>
      </c>
      <c r="B170" s="1">
        <v>6</v>
      </c>
      <c r="C170" s="89">
        <v>1</v>
      </c>
      <c r="D170" s="91">
        <v>0</v>
      </c>
      <c r="E170" s="102">
        <f t="shared" si="8"/>
        <v>0</v>
      </c>
      <c r="F170" s="93">
        <f t="shared" si="9"/>
        <v>0</v>
      </c>
    </row>
    <row r="171" spans="1:6" ht="18.75" x14ac:dyDescent="0.4">
      <c r="A171" s="131" t="s">
        <v>200</v>
      </c>
      <c r="B171" s="132"/>
      <c r="C171" s="115" t="s">
        <v>61</v>
      </c>
      <c r="D171" s="115"/>
      <c r="E171" s="92">
        <f>SUM(E160:E170)</f>
        <v>27650</v>
      </c>
      <c r="F171" s="93"/>
    </row>
    <row r="172" spans="1:6" ht="19.5" thickBot="1" x14ac:dyDescent="0.45">
      <c r="A172" s="133"/>
      <c r="B172" s="134"/>
      <c r="C172" s="128" t="s">
        <v>14</v>
      </c>
      <c r="D172" s="128"/>
      <c r="E172" s="94">
        <f>SUM(F160:F169)</f>
        <v>165900</v>
      </c>
      <c r="F172" s="95"/>
    </row>
    <row r="173" spans="1:6" ht="18.75" x14ac:dyDescent="0.4">
      <c r="A173" s="133"/>
      <c r="B173" s="134"/>
      <c r="C173" s="129" t="s">
        <v>161</v>
      </c>
      <c r="D173" s="130"/>
      <c r="E173" s="96"/>
      <c r="F173" s="95"/>
    </row>
    <row r="174" spans="1:6" ht="19.5" thickBot="1" x14ac:dyDescent="0.45">
      <c r="A174" s="135"/>
      <c r="B174" s="136"/>
      <c r="C174" s="128" t="s">
        <v>14</v>
      </c>
      <c r="D174" s="128"/>
      <c r="E174" s="97">
        <f>SUM(E172:E173)</f>
        <v>165900</v>
      </c>
      <c r="F174" s="98"/>
    </row>
    <row r="175" spans="1:6" ht="15.75" thickBot="1" x14ac:dyDescent="0.3"/>
    <row r="176" spans="1:6" ht="15.75" thickBot="1" x14ac:dyDescent="0.3">
      <c r="A176" s="119" t="s">
        <v>0</v>
      </c>
      <c r="B176" s="120"/>
      <c r="C176" s="120"/>
      <c r="D176" s="120"/>
      <c r="E176" s="120"/>
      <c r="F176" s="121"/>
    </row>
    <row r="177" spans="1:6" x14ac:dyDescent="0.25">
      <c r="A177" s="119" t="s">
        <v>1</v>
      </c>
      <c r="B177" s="120"/>
      <c r="C177" s="120"/>
      <c r="D177" s="120"/>
      <c r="E177" s="120"/>
      <c r="F177" s="121"/>
    </row>
    <row r="178" spans="1:6" ht="18" x14ac:dyDescent="0.25">
      <c r="A178" s="137" t="s">
        <v>2</v>
      </c>
      <c r="B178" s="123"/>
      <c r="C178" s="123"/>
      <c r="D178" s="123"/>
      <c r="E178" s="123"/>
      <c r="F178" s="138"/>
    </row>
    <row r="179" spans="1:6" x14ac:dyDescent="0.25">
      <c r="A179" s="125" t="s">
        <v>3</v>
      </c>
      <c r="B179" s="126" t="s">
        <v>4</v>
      </c>
      <c r="C179" s="126"/>
      <c r="D179" s="126"/>
      <c r="E179" s="126" t="s">
        <v>5</v>
      </c>
      <c r="F179" s="139"/>
    </row>
    <row r="180" spans="1:6" x14ac:dyDescent="0.25">
      <c r="A180" s="125"/>
      <c r="B180" s="1" t="s">
        <v>7</v>
      </c>
      <c r="C180" s="2" t="s">
        <v>8</v>
      </c>
      <c r="D180" s="1" t="s">
        <v>9</v>
      </c>
      <c r="E180" s="1" t="s">
        <v>10</v>
      </c>
      <c r="F180" s="41" t="s">
        <v>11</v>
      </c>
    </row>
    <row r="181" spans="1:6" x14ac:dyDescent="0.25">
      <c r="A181" s="88" t="s">
        <v>186</v>
      </c>
      <c r="B181" s="1">
        <v>5</v>
      </c>
      <c r="C181" s="89">
        <v>9</v>
      </c>
      <c r="D181" s="90">
        <v>300</v>
      </c>
      <c r="E181" s="6">
        <f t="shared" ref="E181:E190" si="10">C181*D181</f>
        <v>2700</v>
      </c>
      <c r="F181" s="43">
        <f t="shared" ref="F181:F190" si="11">B181*E181</f>
        <v>13500</v>
      </c>
    </row>
    <row r="182" spans="1:6" x14ac:dyDescent="0.25">
      <c r="A182" s="88" t="s">
        <v>18</v>
      </c>
      <c r="B182" s="1">
        <v>5</v>
      </c>
      <c r="C182" s="89">
        <v>5</v>
      </c>
      <c r="D182" s="90">
        <v>230</v>
      </c>
      <c r="E182" s="6">
        <f t="shared" si="10"/>
        <v>1150</v>
      </c>
      <c r="F182" s="43">
        <f t="shared" si="11"/>
        <v>5750</v>
      </c>
    </row>
    <row r="183" spans="1:6" x14ac:dyDescent="0.25">
      <c r="A183" s="88" t="s">
        <v>147</v>
      </c>
      <c r="B183" s="1">
        <v>5</v>
      </c>
      <c r="C183" s="89">
        <v>3</v>
      </c>
      <c r="D183" s="90">
        <v>400</v>
      </c>
      <c r="E183" s="6">
        <f t="shared" si="10"/>
        <v>1200</v>
      </c>
      <c r="F183" s="43">
        <f t="shared" si="11"/>
        <v>6000</v>
      </c>
    </row>
    <row r="184" spans="1:6" x14ac:dyDescent="0.25">
      <c r="A184" s="35" t="s">
        <v>119</v>
      </c>
      <c r="B184" s="1">
        <v>5</v>
      </c>
      <c r="C184" s="89">
        <v>12</v>
      </c>
      <c r="D184" s="91">
        <v>310</v>
      </c>
      <c r="E184" s="6">
        <f t="shared" si="10"/>
        <v>3720</v>
      </c>
      <c r="F184" s="43">
        <f t="shared" si="11"/>
        <v>18600</v>
      </c>
    </row>
    <row r="185" spans="1:6" x14ac:dyDescent="0.25">
      <c r="A185" s="35" t="s">
        <v>120</v>
      </c>
      <c r="B185" s="1">
        <v>5</v>
      </c>
      <c r="C185" s="89">
        <v>6</v>
      </c>
      <c r="D185" s="91">
        <v>330</v>
      </c>
      <c r="E185" s="6">
        <f t="shared" si="10"/>
        <v>1980</v>
      </c>
      <c r="F185" s="43">
        <f t="shared" si="11"/>
        <v>9900</v>
      </c>
    </row>
    <row r="186" spans="1:6" x14ac:dyDescent="0.25">
      <c r="A186" s="35" t="s">
        <v>19</v>
      </c>
      <c r="B186" s="1">
        <v>5</v>
      </c>
      <c r="C186" s="89">
        <v>21</v>
      </c>
      <c r="D186" s="91">
        <v>280</v>
      </c>
      <c r="E186" s="6">
        <f t="shared" si="10"/>
        <v>5880</v>
      </c>
      <c r="F186" s="43">
        <f t="shared" si="11"/>
        <v>29400</v>
      </c>
    </row>
    <row r="187" spans="1:6" x14ac:dyDescent="0.25">
      <c r="A187" s="35" t="s">
        <v>185</v>
      </c>
      <c r="B187" s="1">
        <v>5</v>
      </c>
      <c r="C187" s="89">
        <v>2</v>
      </c>
      <c r="D187" s="91">
        <v>250</v>
      </c>
      <c r="E187" s="6">
        <f t="shared" si="10"/>
        <v>500</v>
      </c>
      <c r="F187" s="43">
        <f t="shared" si="11"/>
        <v>2500</v>
      </c>
    </row>
    <row r="188" spans="1:6" x14ac:dyDescent="0.25">
      <c r="A188" s="35" t="s">
        <v>158</v>
      </c>
      <c r="B188" s="1">
        <v>5</v>
      </c>
      <c r="C188" s="89">
        <v>3</v>
      </c>
      <c r="D188" s="91">
        <v>300</v>
      </c>
      <c r="E188" s="6">
        <f t="shared" si="10"/>
        <v>900</v>
      </c>
      <c r="F188" s="43">
        <f t="shared" si="11"/>
        <v>4500</v>
      </c>
    </row>
    <row r="189" spans="1:6" x14ac:dyDescent="0.25">
      <c r="A189" s="35" t="s">
        <v>128</v>
      </c>
      <c r="B189" s="1">
        <v>5</v>
      </c>
      <c r="C189" s="89">
        <v>1</v>
      </c>
      <c r="D189" s="91">
        <v>450</v>
      </c>
      <c r="E189" s="6">
        <f t="shared" si="10"/>
        <v>450</v>
      </c>
      <c r="F189" s="43">
        <f t="shared" si="11"/>
        <v>2250</v>
      </c>
    </row>
    <row r="190" spans="1:6" x14ac:dyDescent="0.25">
      <c r="A190" s="35" t="s">
        <v>124</v>
      </c>
      <c r="B190" s="1">
        <v>5</v>
      </c>
      <c r="C190" s="89">
        <v>50</v>
      </c>
      <c r="D190" s="91">
        <v>28</v>
      </c>
      <c r="E190" s="6">
        <f t="shared" si="10"/>
        <v>1400</v>
      </c>
      <c r="F190" s="6">
        <f t="shared" si="11"/>
        <v>7000</v>
      </c>
    </row>
    <row r="191" spans="1:6" ht="18.75" x14ac:dyDescent="0.4">
      <c r="A191" s="131" t="s">
        <v>201</v>
      </c>
      <c r="B191" s="132"/>
      <c r="C191" s="115" t="s">
        <v>61</v>
      </c>
      <c r="D191" s="115"/>
      <c r="E191" s="92">
        <f>SUM(E181:E190)</f>
        <v>19880</v>
      </c>
      <c r="F191" s="93"/>
    </row>
    <row r="192" spans="1:6" ht="19.5" thickBot="1" x14ac:dyDescent="0.45">
      <c r="A192" s="133"/>
      <c r="B192" s="134"/>
      <c r="C192" s="128" t="s">
        <v>14</v>
      </c>
      <c r="D192" s="128"/>
      <c r="E192" s="94">
        <f>SUM(F181:F190)</f>
        <v>99400</v>
      </c>
      <c r="F192" s="95"/>
    </row>
    <row r="193" spans="1:10" ht="18.75" x14ac:dyDescent="0.4">
      <c r="A193" s="133"/>
      <c r="B193" s="134"/>
      <c r="C193" s="129" t="s">
        <v>161</v>
      </c>
      <c r="D193" s="130"/>
      <c r="E193" s="96"/>
      <c r="F193" s="95"/>
    </row>
    <row r="194" spans="1:10" ht="19.5" thickBot="1" x14ac:dyDescent="0.45">
      <c r="A194" s="135"/>
      <c r="B194" s="136"/>
      <c r="C194" s="128" t="s">
        <v>14</v>
      </c>
      <c r="D194" s="128"/>
      <c r="E194" s="97">
        <f>SUM(E192:E193)</f>
        <v>99400</v>
      </c>
      <c r="F194" s="98"/>
    </row>
    <row r="195" spans="1:10" ht="18.75" x14ac:dyDescent="0.4">
      <c r="A195" s="81" t="s">
        <v>187</v>
      </c>
      <c r="B195" s="81"/>
      <c r="C195" s="81"/>
      <c r="D195" s="81"/>
      <c r="E195" s="83">
        <f>E142+E152+E174+E194</f>
        <v>577480</v>
      </c>
    </row>
    <row r="197" spans="1:10" ht="18.75" hidden="1" x14ac:dyDescent="0.3">
      <c r="A197" s="149" t="s">
        <v>36</v>
      </c>
      <c r="B197" s="150"/>
      <c r="C197" s="150"/>
      <c r="D197" s="150"/>
      <c r="E197" s="150"/>
      <c r="F197" s="150"/>
      <c r="G197" s="150"/>
      <c r="H197" s="150"/>
      <c r="I197" s="150"/>
      <c r="J197" s="151"/>
    </row>
    <row r="198" spans="1:10" ht="18.75" hidden="1" x14ac:dyDescent="0.3">
      <c r="A198" s="152" t="s">
        <v>35</v>
      </c>
      <c r="B198" s="153"/>
      <c r="C198" s="153"/>
      <c r="D198" s="153"/>
      <c r="E198" s="153"/>
      <c r="F198" s="153"/>
      <c r="G198" s="153"/>
      <c r="H198" s="153"/>
      <c r="I198" s="153"/>
      <c r="J198" s="154"/>
    </row>
    <row r="199" spans="1:10" ht="18.75" hidden="1" x14ac:dyDescent="0.3">
      <c r="A199" s="152" t="s">
        <v>34</v>
      </c>
      <c r="B199" s="153"/>
      <c r="C199" s="153"/>
      <c r="D199" s="153"/>
      <c r="E199" s="153"/>
      <c r="F199" s="153"/>
      <c r="G199" s="153"/>
      <c r="H199" s="153"/>
      <c r="I199" s="153"/>
      <c r="J199" s="153"/>
    </row>
    <row r="200" spans="1:10" hidden="1" x14ac:dyDescent="0.25">
      <c r="A200" s="27" t="s">
        <v>3</v>
      </c>
      <c r="B200" s="26" t="s">
        <v>33</v>
      </c>
      <c r="C200" s="26">
        <v>13829</v>
      </c>
      <c r="D200" s="26">
        <v>13830</v>
      </c>
      <c r="E200" s="26">
        <v>13839</v>
      </c>
      <c r="F200" s="26">
        <v>13843</v>
      </c>
      <c r="G200" s="26">
        <v>13848</v>
      </c>
      <c r="H200" s="26">
        <v>13494</v>
      </c>
      <c r="I200" s="26">
        <v>13497</v>
      </c>
      <c r="J200" s="25" t="s">
        <v>32</v>
      </c>
    </row>
    <row r="201" spans="1:10" hidden="1" x14ac:dyDescent="0.25">
      <c r="A201" s="14"/>
      <c r="B201" s="24">
        <v>46203</v>
      </c>
      <c r="C201" s="24">
        <v>46210</v>
      </c>
      <c r="D201" s="24">
        <v>46211</v>
      </c>
      <c r="E201" s="24">
        <v>46212</v>
      </c>
      <c r="F201" s="24">
        <v>46213</v>
      </c>
      <c r="G201" s="24">
        <v>46217</v>
      </c>
      <c r="H201" s="24">
        <v>46218</v>
      </c>
      <c r="I201" s="24">
        <v>46219</v>
      </c>
      <c r="J201" s="23">
        <v>46234</v>
      </c>
    </row>
    <row r="202" spans="1:10" hidden="1" x14ac:dyDescent="0.25">
      <c r="A202" s="21" t="s">
        <v>31</v>
      </c>
      <c r="B202" s="104">
        <v>12</v>
      </c>
      <c r="C202" s="19"/>
      <c r="D202" s="19"/>
      <c r="E202" s="19"/>
      <c r="F202" s="19"/>
      <c r="G202" s="19"/>
      <c r="H202" s="19"/>
      <c r="I202" s="19"/>
      <c r="J202" s="18">
        <f>SUM(B202:I202)</f>
        <v>12</v>
      </c>
    </row>
    <row r="203" spans="1:10" hidden="1" x14ac:dyDescent="0.25">
      <c r="A203" s="21" t="s">
        <v>30</v>
      </c>
      <c r="B203" s="104">
        <v>12</v>
      </c>
      <c r="C203" s="19"/>
      <c r="D203" s="19"/>
      <c r="E203" s="19"/>
      <c r="F203" s="19"/>
      <c r="G203" s="19"/>
      <c r="H203" s="19"/>
      <c r="I203" s="19"/>
      <c r="J203" s="18">
        <f t="shared" ref="J203:J212" si="12">SUM(B203:I203)</f>
        <v>12</v>
      </c>
    </row>
    <row r="204" spans="1:10" hidden="1" x14ac:dyDescent="0.25">
      <c r="A204" s="21" t="s">
        <v>29</v>
      </c>
      <c r="B204" s="104">
        <v>6</v>
      </c>
      <c r="C204" s="19"/>
      <c r="D204" s="19"/>
      <c r="E204" s="19"/>
      <c r="F204" s="19"/>
      <c r="G204" s="19"/>
      <c r="H204" s="19"/>
      <c r="I204" s="19"/>
      <c r="J204" s="18">
        <f t="shared" si="12"/>
        <v>6</v>
      </c>
    </row>
    <row r="205" spans="1:10" hidden="1" x14ac:dyDescent="0.25">
      <c r="A205" s="21" t="s">
        <v>28</v>
      </c>
      <c r="B205" s="104">
        <v>60</v>
      </c>
      <c r="C205" s="19"/>
      <c r="D205" s="19"/>
      <c r="E205" s="19"/>
      <c r="F205" s="19"/>
      <c r="G205" s="19"/>
      <c r="H205" s="19"/>
      <c r="I205" s="19">
        <v>-5</v>
      </c>
      <c r="J205" s="18">
        <f t="shared" si="12"/>
        <v>55</v>
      </c>
    </row>
    <row r="206" spans="1:10" hidden="1" x14ac:dyDescent="0.25">
      <c r="A206" s="21" t="s">
        <v>27</v>
      </c>
      <c r="B206" s="104">
        <v>73</v>
      </c>
      <c r="C206" s="19"/>
      <c r="D206" s="19"/>
      <c r="E206" s="19"/>
      <c r="F206" s="19"/>
      <c r="G206" s="19"/>
      <c r="H206" s="19"/>
      <c r="I206" s="19">
        <v>-14</v>
      </c>
      <c r="J206" s="18">
        <f t="shared" si="12"/>
        <v>59</v>
      </c>
    </row>
    <row r="207" spans="1:10" hidden="1" x14ac:dyDescent="0.25">
      <c r="A207" s="21" t="s">
        <v>13</v>
      </c>
      <c r="B207" s="104">
        <v>45</v>
      </c>
      <c r="C207" s="19"/>
      <c r="D207" s="19"/>
      <c r="E207" s="19"/>
      <c r="F207" s="19"/>
      <c r="G207" s="19"/>
      <c r="H207" s="19"/>
      <c r="I207" s="19">
        <v>-7</v>
      </c>
      <c r="J207" s="18">
        <f t="shared" si="12"/>
        <v>38</v>
      </c>
    </row>
    <row r="208" spans="1:10" hidden="1" x14ac:dyDescent="0.25">
      <c r="A208" s="21" t="s">
        <v>26</v>
      </c>
      <c r="B208" s="104">
        <v>6</v>
      </c>
      <c r="C208" s="19"/>
      <c r="D208" s="19"/>
      <c r="E208" s="19"/>
      <c r="F208" s="19"/>
      <c r="G208" s="19"/>
      <c r="H208" s="19"/>
      <c r="I208" s="19">
        <v>-4</v>
      </c>
      <c r="J208" s="18">
        <f t="shared" si="12"/>
        <v>2</v>
      </c>
    </row>
    <row r="209" spans="1:10" hidden="1" x14ac:dyDescent="0.25">
      <c r="A209" s="21" t="s">
        <v>25</v>
      </c>
      <c r="B209" s="104">
        <v>3</v>
      </c>
      <c r="C209" s="19"/>
      <c r="D209" s="19"/>
      <c r="E209" s="19"/>
      <c r="F209" s="19"/>
      <c r="G209" s="19"/>
      <c r="H209" s="19"/>
      <c r="I209" s="19">
        <v>-2</v>
      </c>
      <c r="J209" s="18">
        <f t="shared" si="12"/>
        <v>1</v>
      </c>
    </row>
    <row r="210" spans="1:10" hidden="1" x14ac:dyDescent="0.25">
      <c r="A210" s="21" t="s">
        <v>24</v>
      </c>
      <c r="B210" s="104">
        <v>2</v>
      </c>
      <c r="C210" s="19"/>
      <c r="D210" s="19"/>
      <c r="E210" s="19"/>
      <c r="F210" s="19"/>
      <c r="G210" s="19"/>
      <c r="H210" s="19"/>
      <c r="I210" s="19">
        <v>-2</v>
      </c>
      <c r="J210" s="18">
        <f t="shared" si="12"/>
        <v>0</v>
      </c>
    </row>
    <row r="211" spans="1:10" hidden="1" x14ac:dyDescent="0.25">
      <c r="A211" s="21" t="s">
        <v>23</v>
      </c>
      <c r="B211" s="104">
        <v>5</v>
      </c>
      <c r="C211" s="19"/>
      <c r="D211" s="19"/>
      <c r="E211" s="19"/>
      <c r="F211" s="19"/>
      <c r="G211" s="19"/>
      <c r="H211" s="19"/>
      <c r="I211" s="19"/>
      <c r="J211" s="18">
        <f t="shared" si="12"/>
        <v>5</v>
      </c>
    </row>
    <row r="212" spans="1:10" hidden="1" x14ac:dyDescent="0.25">
      <c r="A212" s="21" t="s">
        <v>22</v>
      </c>
      <c r="B212" s="104">
        <v>6</v>
      </c>
      <c r="C212" s="19"/>
      <c r="D212" s="19"/>
      <c r="E212" s="19"/>
      <c r="F212" s="19"/>
      <c r="G212" s="19"/>
      <c r="H212" s="19"/>
      <c r="I212" s="19"/>
      <c r="J212" s="18">
        <f t="shared" si="12"/>
        <v>6</v>
      </c>
    </row>
    <row r="213" spans="1:10" hidden="1" x14ac:dyDescent="0.25">
      <c r="A213" s="14" t="s">
        <v>177</v>
      </c>
      <c r="B213" s="17"/>
      <c r="C213" s="16">
        <v>7.6388888888888895E-2</v>
      </c>
      <c r="D213" s="16">
        <v>0.45833333333333331</v>
      </c>
      <c r="E213" s="16">
        <v>0.37152777777777779</v>
      </c>
      <c r="F213" s="16">
        <v>0.13541666666666666</v>
      </c>
      <c r="G213" s="16">
        <v>0.49305555555555558</v>
      </c>
      <c r="H213" s="16">
        <v>8.3333333333333329E-2</v>
      </c>
      <c r="I213" s="16">
        <v>0.33333333333333331</v>
      </c>
      <c r="J213" s="15"/>
    </row>
    <row r="214" spans="1:10" hidden="1" x14ac:dyDescent="0.25">
      <c r="A214" s="14" t="s">
        <v>16</v>
      </c>
      <c r="B214" s="13"/>
      <c r="C214" s="12" t="s">
        <v>178</v>
      </c>
      <c r="D214" s="12" t="s">
        <v>178</v>
      </c>
      <c r="E214" s="16" t="s">
        <v>15</v>
      </c>
      <c r="F214" s="16" t="s">
        <v>15</v>
      </c>
      <c r="G214" s="16" t="s">
        <v>179</v>
      </c>
      <c r="H214" s="12" t="s">
        <v>178</v>
      </c>
      <c r="I214" s="12">
        <v>75000</v>
      </c>
      <c r="J214" s="11"/>
    </row>
    <row r="217" spans="1:10" x14ac:dyDescent="0.25">
      <c r="A217" s="146" t="s">
        <v>0</v>
      </c>
      <c r="B217" s="146"/>
      <c r="C217" s="146"/>
      <c r="D217" s="146"/>
      <c r="E217" s="146"/>
      <c r="F217" s="146"/>
      <c r="G217" s="146"/>
    </row>
    <row r="218" spans="1:10" x14ac:dyDescent="0.25">
      <c r="A218" s="146" t="s">
        <v>1</v>
      </c>
      <c r="B218" s="146"/>
      <c r="C218" s="146"/>
      <c r="D218" s="146"/>
      <c r="E218" s="146"/>
      <c r="F218" s="146"/>
      <c r="G218" s="146"/>
    </row>
    <row r="219" spans="1:10" ht="18" x14ac:dyDescent="0.25">
      <c r="A219" s="147" t="s">
        <v>2</v>
      </c>
      <c r="B219" s="147"/>
      <c r="C219" s="147"/>
      <c r="D219" s="147"/>
      <c r="E219" s="147"/>
      <c r="F219" s="147"/>
      <c r="G219" s="147"/>
    </row>
    <row r="220" spans="1:10" x14ac:dyDescent="0.25">
      <c r="A220" s="115" t="s">
        <v>3</v>
      </c>
      <c r="B220" s="126" t="s">
        <v>4</v>
      </c>
      <c r="C220" s="126"/>
      <c r="D220" s="126"/>
      <c r="E220" s="126" t="s">
        <v>5</v>
      </c>
      <c r="F220" s="126"/>
      <c r="G220" s="148" t="s">
        <v>6</v>
      </c>
    </row>
    <row r="221" spans="1:10" x14ac:dyDescent="0.25">
      <c r="A221" s="115"/>
      <c r="B221" s="1" t="s">
        <v>7</v>
      </c>
      <c r="C221" s="2" t="s">
        <v>8</v>
      </c>
      <c r="D221" s="1" t="s">
        <v>9</v>
      </c>
      <c r="E221" s="1" t="s">
        <v>10</v>
      </c>
      <c r="F221" s="1" t="s">
        <v>11</v>
      </c>
      <c r="G221" s="148"/>
    </row>
    <row r="222" spans="1:10" x14ac:dyDescent="0.25">
      <c r="A222" s="29" t="s">
        <v>193</v>
      </c>
      <c r="B222" s="7">
        <v>21</v>
      </c>
      <c r="C222" s="7">
        <v>6</v>
      </c>
      <c r="D222" s="8">
        <v>1500</v>
      </c>
      <c r="E222" s="6">
        <f t="shared" ref="E222:E233" si="13">C222*D222</f>
        <v>9000</v>
      </c>
      <c r="F222" s="6">
        <f t="shared" ref="F222:F233" si="14">B222*E222</f>
        <v>189000</v>
      </c>
      <c r="G222" s="29" t="s">
        <v>194</v>
      </c>
    </row>
    <row r="223" spans="1:10" x14ac:dyDescent="0.25">
      <c r="A223" s="29" t="s">
        <v>80</v>
      </c>
      <c r="B223" s="7">
        <v>21</v>
      </c>
      <c r="C223" s="7">
        <v>6</v>
      </c>
      <c r="D223" s="8">
        <v>1000</v>
      </c>
      <c r="E223" s="6">
        <f t="shared" si="13"/>
        <v>6000</v>
      </c>
      <c r="F223" s="6">
        <f t="shared" si="14"/>
        <v>126000</v>
      </c>
      <c r="G223" s="29" t="s">
        <v>194</v>
      </c>
    </row>
    <row r="224" spans="1:10" x14ac:dyDescent="0.25">
      <c r="A224" s="29" t="s">
        <v>190</v>
      </c>
      <c r="B224" s="7">
        <v>6</v>
      </c>
      <c r="C224" s="7">
        <v>60</v>
      </c>
      <c r="D224" s="8">
        <v>200</v>
      </c>
      <c r="E224" s="6">
        <f t="shared" si="13"/>
        <v>12000</v>
      </c>
      <c r="F224" s="6">
        <f t="shared" si="14"/>
        <v>72000</v>
      </c>
      <c r="G224" s="29" t="s">
        <v>195</v>
      </c>
    </row>
    <row r="225" spans="1:7" x14ac:dyDescent="0.25">
      <c r="A225" s="29" t="s">
        <v>190</v>
      </c>
      <c r="B225" s="7">
        <v>15</v>
      </c>
      <c r="C225" s="7">
        <v>55</v>
      </c>
      <c r="D225" s="8">
        <v>200</v>
      </c>
      <c r="E225" s="6">
        <f t="shared" si="13"/>
        <v>11000</v>
      </c>
      <c r="F225" s="6">
        <f t="shared" si="14"/>
        <v>165000</v>
      </c>
      <c r="G225" s="29" t="s">
        <v>196</v>
      </c>
    </row>
    <row r="226" spans="1:7" x14ac:dyDescent="0.25">
      <c r="A226" s="28" t="s">
        <v>12</v>
      </c>
      <c r="B226" s="3">
        <v>6</v>
      </c>
      <c r="C226" s="3">
        <v>73</v>
      </c>
      <c r="D226" s="5">
        <v>380</v>
      </c>
      <c r="E226" s="6">
        <f t="shared" si="13"/>
        <v>27740</v>
      </c>
      <c r="F226" s="6">
        <f t="shared" si="14"/>
        <v>166440</v>
      </c>
      <c r="G226" s="29" t="s">
        <v>195</v>
      </c>
    </row>
    <row r="227" spans="1:7" x14ac:dyDescent="0.25">
      <c r="A227" s="28" t="s">
        <v>12</v>
      </c>
      <c r="B227" s="3">
        <v>15</v>
      </c>
      <c r="C227" s="3">
        <v>59</v>
      </c>
      <c r="D227" s="5">
        <v>380</v>
      </c>
      <c r="E227" s="6">
        <f t="shared" si="13"/>
        <v>22420</v>
      </c>
      <c r="F227" s="6">
        <f t="shared" si="14"/>
        <v>336300</v>
      </c>
      <c r="G227" s="29" t="s">
        <v>196</v>
      </c>
    </row>
    <row r="228" spans="1:7" x14ac:dyDescent="0.25">
      <c r="A228" s="29" t="s">
        <v>13</v>
      </c>
      <c r="B228" s="7">
        <v>6</v>
      </c>
      <c r="C228" s="7">
        <v>45</v>
      </c>
      <c r="D228" s="8">
        <v>180</v>
      </c>
      <c r="E228" s="6">
        <f t="shared" si="13"/>
        <v>8100</v>
      </c>
      <c r="F228" s="6">
        <f t="shared" si="14"/>
        <v>48600</v>
      </c>
      <c r="G228" s="29" t="s">
        <v>195</v>
      </c>
    </row>
    <row r="229" spans="1:7" x14ac:dyDescent="0.25">
      <c r="A229" s="29" t="s">
        <v>13</v>
      </c>
      <c r="B229" s="7">
        <v>15</v>
      </c>
      <c r="C229" s="7">
        <v>38</v>
      </c>
      <c r="D229" s="8">
        <v>180</v>
      </c>
      <c r="E229" s="6">
        <f t="shared" si="13"/>
        <v>6840</v>
      </c>
      <c r="F229" s="6">
        <f t="shared" si="14"/>
        <v>102600</v>
      </c>
      <c r="G229" s="29" t="s">
        <v>196</v>
      </c>
    </row>
    <row r="230" spans="1:7" x14ac:dyDescent="0.25">
      <c r="A230" s="29" t="s">
        <v>192</v>
      </c>
      <c r="B230" s="7">
        <v>6</v>
      </c>
      <c r="C230" s="7">
        <v>6</v>
      </c>
      <c r="D230" s="8">
        <v>175</v>
      </c>
      <c r="E230" s="6">
        <f t="shared" si="13"/>
        <v>1050</v>
      </c>
      <c r="F230" s="6">
        <f t="shared" si="14"/>
        <v>6300</v>
      </c>
      <c r="G230" s="29" t="s">
        <v>195</v>
      </c>
    </row>
    <row r="231" spans="1:7" x14ac:dyDescent="0.25">
      <c r="A231" s="29" t="s">
        <v>192</v>
      </c>
      <c r="B231" s="7">
        <v>15</v>
      </c>
      <c r="C231" s="7">
        <v>2</v>
      </c>
      <c r="D231" s="8">
        <v>175</v>
      </c>
      <c r="E231" s="6">
        <f t="shared" si="13"/>
        <v>350</v>
      </c>
      <c r="F231" s="6">
        <f t="shared" si="14"/>
        <v>5250</v>
      </c>
      <c r="G231" s="29" t="s">
        <v>196</v>
      </c>
    </row>
    <row r="232" spans="1:7" x14ac:dyDescent="0.25">
      <c r="A232" s="29" t="s">
        <v>191</v>
      </c>
      <c r="B232" s="7">
        <v>6</v>
      </c>
      <c r="C232" s="7">
        <v>3</v>
      </c>
      <c r="D232" s="8">
        <v>180</v>
      </c>
      <c r="E232" s="6">
        <f t="shared" si="13"/>
        <v>540</v>
      </c>
      <c r="F232" s="6">
        <f t="shared" si="14"/>
        <v>3240</v>
      </c>
      <c r="G232" s="29" t="s">
        <v>195</v>
      </c>
    </row>
    <row r="233" spans="1:7" x14ac:dyDescent="0.25">
      <c r="A233" s="29" t="s">
        <v>191</v>
      </c>
      <c r="B233" s="7">
        <v>15</v>
      </c>
      <c r="C233" s="7">
        <v>1</v>
      </c>
      <c r="D233" s="8">
        <v>180</v>
      </c>
      <c r="E233" s="6">
        <f t="shared" si="13"/>
        <v>180</v>
      </c>
      <c r="F233" s="6">
        <f t="shared" si="14"/>
        <v>2700</v>
      </c>
      <c r="G233" s="29" t="s">
        <v>196</v>
      </c>
    </row>
    <row r="234" spans="1:7" x14ac:dyDescent="0.25">
      <c r="A234" s="28" t="s">
        <v>188</v>
      </c>
      <c r="B234" s="3">
        <v>6</v>
      </c>
      <c r="C234" s="3">
        <v>2</v>
      </c>
      <c r="D234" s="5">
        <v>320</v>
      </c>
      <c r="E234" s="6">
        <f t="shared" ref="E234:E236" si="15">C234*D234</f>
        <v>640</v>
      </c>
      <c r="F234" s="6">
        <f t="shared" ref="F234:F236" si="16">B234*E234</f>
        <v>3840</v>
      </c>
      <c r="G234" s="29" t="s">
        <v>195</v>
      </c>
    </row>
    <row r="235" spans="1:7" x14ac:dyDescent="0.25">
      <c r="A235" s="29" t="s">
        <v>189</v>
      </c>
      <c r="B235" s="7">
        <v>21</v>
      </c>
      <c r="C235" s="3">
        <v>5</v>
      </c>
      <c r="D235" s="8">
        <v>220</v>
      </c>
      <c r="E235" s="6">
        <f t="shared" si="15"/>
        <v>1100</v>
      </c>
      <c r="F235" s="6">
        <f t="shared" si="16"/>
        <v>23100</v>
      </c>
      <c r="G235" s="29" t="s">
        <v>194</v>
      </c>
    </row>
    <row r="236" spans="1:7" x14ac:dyDescent="0.25">
      <c r="A236" s="29" t="s">
        <v>110</v>
      </c>
      <c r="B236" s="7">
        <v>21</v>
      </c>
      <c r="C236" s="3">
        <v>6</v>
      </c>
      <c r="D236" s="8">
        <v>300</v>
      </c>
      <c r="E236" s="6">
        <f t="shared" si="15"/>
        <v>1800</v>
      </c>
      <c r="F236" s="6">
        <f t="shared" si="16"/>
        <v>37800</v>
      </c>
      <c r="G236" s="29" t="s">
        <v>194</v>
      </c>
    </row>
    <row r="237" spans="1:7" ht="18.75" x14ac:dyDescent="0.4">
      <c r="A237" s="132" t="s">
        <v>197</v>
      </c>
      <c r="B237" s="132"/>
      <c r="C237" s="115" t="s">
        <v>14</v>
      </c>
      <c r="D237" s="115"/>
      <c r="E237" s="10">
        <f>SUM(F226:F236)</f>
        <v>736170</v>
      </c>
      <c r="F237" s="140" t="s">
        <v>213</v>
      </c>
      <c r="G237" s="141"/>
    </row>
    <row r="238" spans="1:7" ht="18.75" x14ac:dyDescent="0.4">
      <c r="A238" s="132"/>
      <c r="B238" s="132"/>
      <c r="C238" s="115"/>
      <c r="D238" s="115"/>
      <c r="E238" s="30"/>
      <c r="F238" s="142"/>
      <c r="G238" s="143"/>
    </row>
    <row r="239" spans="1:7" ht="18.75" x14ac:dyDescent="0.4">
      <c r="A239" s="132"/>
      <c r="B239" s="132"/>
      <c r="C239" s="115" t="s">
        <v>14</v>
      </c>
      <c r="D239" s="115"/>
      <c r="E239" s="103">
        <f>SUM(E237:E238)</f>
        <v>736170</v>
      </c>
      <c r="F239" s="144"/>
      <c r="G239" s="145"/>
    </row>
    <row r="240" spans="1:7" x14ac:dyDescent="0.25">
      <c r="B240" s="105"/>
    </row>
    <row r="241" spans="1:6" ht="18.75" x14ac:dyDescent="0.4">
      <c r="A241" s="81" t="s">
        <v>198</v>
      </c>
      <c r="B241" s="106"/>
      <c r="C241" s="81"/>
      <c r="D241" s="81"/>
      <c r="E241" s="83">
        <f>E195+E239</f>
        <v>1313650</v>
      </c>
      <c r="F241" s="81"/>
    </row>
    <row r="242" spans="1:6" ht="18.75" x14ac:dyDescent="0.4">
      <c r="A242" s="81" t="s">
        <v>202</v>
      </c>
      <c r="B242" s="107">
        <v>46224</v>
      </c>
      <c r="C242" s="82" t="s">
        <v>203</v>
      </c>
      <c r="D242" s="81"/>
      <c r="E242" s="79">
        <v>1000000</v>
      </c>
    </row>
    <row r="243" spans="1:6" ht="18.75" x14ac:dyDescent="0.4">
      <c r="A243" s="81" t="s">
        <v>214</v>
      </c>
      <c r="B243" s="106"/>
      <c r="C243" s="81"/>
      <c r="D243" s="81"/>
      <c r="E243" s="83">
        <f>E241-E242</f>
        <v>313650</v>
      </c>
    </row>
    <row r="244" spans="1:6" ht="18.75" x14ac:dyDescent="0.4">
      <c r="A244" s="81" t="s">
        <v>202</v>
      </c>
      <c r="B244" s="82">
        <v>46225</v>
      </c>
      <c r="C244" s="81" t="s">
        <v>203</v>
      </c>
      <c r="D244" s="81"/>
      <c r="E244" s="191">
        <v>313650</v>
      </c>
    </row>
  </sheetData>
  <mergeCells count="87">
    <mergeCell ref="B119:D119"/>
    <mergeCell ref="E119:F119"/>
    <mergeCell ref="A1:I1"/>
    <mergeCell ref="A2:I2"/>
    <mergeCell ref="A3:I3"/>
    <mergeCell ref="C34:D34"/>
    <mergeCell ref="C32:D32"/>
    <mergeCell ref="C33:D33"/>
    <mergeCell ref="A31:B34"/>
    <mergeCell ref="A69:J69"/>
    <mergeCell ref="A70:J70"/>
    <mergeCell ref="A71:J71"/>
    <mergeCell ref="A145:F145"/>
    <mergeCell ref="A146:F146"/>
    <mergeCell ref="A116:F116"/>
    <mergeCell ref="G141:O141"/>
    <mergeCell ref="A139:B142"/>
    <mergeCell ref="C139:D139"/>
    <mergeCell ref="C140:D140"/>
    <mergeCell ref="C141:D141"/>
    <mergeCell ref="C142:D142"/>
    <mergeCell ref="A115:F115"/>
    <mergeCell ref="A117:F117"/>
    <mergeCell ref="A118:F118"/>
    <mergeCell ref="A119:A120"/>
    <mergeCell ref="A147:F147"/>
    <mergeCell ref="A148:A149"/>
    <mergeCell ref="B148:D148"/>
    <mergeCell ref="E148:F148"/>
    <mergeCell ref="A151:B152"/>
    <mergeCell ref="C151:D151"/>
    <mergeCell ref="C152:D152"/>
    <mergeCell ref="A155:F155"/>
    <mergeCell ref="A156:F156"/>
    <mergeCell ref="A157:F157"/>
    <mergeCell ref="A158:A159"/>
    <mergeCell ref="B158:D158"/>
    <mergeCell ref="E158:F158"/>
    <mergeCell ref="A171:B174"/>
    <mergeCell ref="C171:D171"/>
    <mergeCell ref="C172:D172"/>
    <mergeCell ref="C173:D173"/>
    <mergeCell ref="C174:D174"/>
    <mergeCell ref="A176:F176"/>
    <mergeCell ref="A177:F177"/>
    <mergeCell ref="A197:J197"/>
    <mergeCell ref="A198:J198"/>
    <mergeCell ref="A199:J199"/>
    <mergeCell ref="A191:B194"/>
    <mergeCell ref="C191:D191"/>
    <mergeCell ref="C192:D192"/>
    <mergeCell ref="C193:D193"/>
    <mergeCell ref="C194:D194"/>
    <mergeCell ref="A178:F178"/>
    <mergeCell ref="A179:A180"/>
    <mergeCell ref="B179:D179"/>
    <mergeCell ref="E179:F179"/>
    <mergeCell ref="A217:G217"/>
    <mergeCell ref="A218:G218"/>
    <mergeCell ref="A219:G219"/>
    <mergeCell ref="A220:A221"/>
    <mergeCell ref="B220:D220"/>
    <mergeCell ref="E220:F220"/>
    <mergeCell ref="G220:G221"/>
    <mergeCell ref="A237:B239"/>
    <mergeCell ref="F237:G239"/>
    <mergeCell ref="C237:D237"/>
    <mergeCell ref="C238:D238"/>
    <mergeCell ref="C239:D239"/>
    <mergeCell ref="A37:F37"/>
    <mergeCell ref="A38:F38"/>
    <mergeCell ref="A39:F39"/>
    <mergeCell ref="A40:A41"/>
    <mergeCell ref="B40:D40"/>
    <mergeCell ref="E40:F40"/>
    <mergeCell ref="C60:D60"/>
    <mergeCell ref="C61:D61"/>
    <mergeCell ref="C62:D62"/>
    <mergeCell ref="A60:B63"/>
    <mergeCell ref="C63:D63"/>
    <mergeCell ref="C31:D31"/>
    <mergeCell ref="A24:F24"/>
    <mergeCell ref="A25:F25"/>
    <mergeCell ref="A26:F26"/>
    <mergeCell ref="A27:A28"/>
    <mergeCell ref="B27:D27"/>
    <mergeCell ref="E27:F27"/>
  </mergeCells>
  <pageMargins left="0.70866141732283472" right="0.70866141732283472" top="0.74803149606299213" bottom="0.74803149606299213" header="0.31496062992125984" footer="0.31496062992125984"/>
  <pageSetup paperSize="9" scale="2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5A28-2BDD-4137-A915-6FD22731310E}">
  <sheetPr>
    <pageSetUpPr fitToPage="1"/>
  </sheetPr>
  <dimension ref="A1:H42"/>
  <sheetViews>
    <sheetView topLeftCell="B40" workbookViewId="0">
      <selection activeCell="A19" sqref="A19"/>
    </sheetView>
  </sheetViews>
  <sheetFormatPr baseColWidth="10" defaultRowHeight="15" x14ac:dyDescent="0.25"/>
  <cols>
    <col min="1" max="1" width="33.42578125" bestFit="1" customWidth="1"/>
    <col min="5" max="5" width="14.42578125" bestFit="1" customWidth="1"/>
  </cols>
  <sheetData>
    <row r="1" spans="1:6" ht="18.75" x14ac:dyDescent="0.3">
      <c r="A1" s="149" t="s">
        <v>38</v>
      </c>
      <c r="B1" s="150"/>
      <c r="C1" s="150"/>
      <c r="D1" s="150"/>
      <c r="E1" s="150"/>
      <c r="F1" s="150"/>
    </row>
    <row r="2" spans="1:6" ht="18.75" x14ac:dyDescent="0.3">
      <c r="A2" s="152" t="s">
        <v>39</v>
      </c>
      <c r="B2" s="153"/>
      <c r="C2" s="153"/>
      <c r="D2" s="153"/>
      <c r="E2" s="153"/>
      <c r="F2" s="153"/>
    </row>
    <row r="3" spans="1:6" ht="18.75" x14ac:dyDescent="0.3">
      <c r="A3" s="152" t="s">
        <v>40</v>
      </c>
      <c r="B3" s="153"/>
      <c r="C3" s="153"/>
      <c r="D3" s="153"/>
      <c r="E3" s="153"/>
      <c r="F3" s="153"/>
    </row>
    <row r="4" spans="1:6" x14ac:dyDescent="0.25">
      <c r="A4" s="27" t="s">
        <v>3</v>
      </c>
      <c r="B4" s="26">
        <v>13811</v>
      </c>
      <c r="C4" s="26">
        <v>13478</v>
      </c>
      <c r="D4" s="26">
        <v>13480</v>
      </c>
      <c r="E4" s="26"/>
      <c r="F4" s="26" t="s">
        <v>33</v>
      </c>
    </row>
    <row r="5" spans="1:6" x14ac:dyDescent="0.25">
      <c r="A5" s="14"/>
      <c r="B5" s="24">
        <v>46206</v>
      </c>
      <c r="C5" s="24">
        <v>46211</v>
      </c>
      <c r="D5" s="24">
        <v>46213</v>
      </c>
      <c r="E5" s="24"/>
      <c r="F5" s="24">
        <v>46234</v>
      </c>
    </row>
    <row r="6" spans="1:6" x14ac:dyDescent="0.25">
      <c r="A6" s="21" t="s">
        <v>41</v>
      </c>
      <c r="B6" s="20">
        <v>4</v>
      </c>
      <c r="C6" s="31">
        <v>-2</v>
      </c>
      <c r="D6" s="19">
        <v>-2</v>
      </c>
      <c r="E6" s="19"/>
      <c r="F6" s="18">
        <v>0</v>
      </c>
    </row>
    <row r="7" spans="1:6" x14ac:dyDescent="0.25">
      <c r="A7" s="21" t="s">
        <v>42</v>
      </c>
      <c r="B7" s="20">
        <v>4</v>
      </c>
      <c r="C7" s="31">
        <v>-4</v>
      </c>
      <c r="D7" s="19"/>
      <c r="E7" s="19"/>
      <c r="F7" s="18">
        <v>0</v>
      </c>
    </row>
    <row r="8" spans="1:6" x14ac:dyDescent="0.25">
      <c r="A8" s="21" t="s">
        <v>43</v>
      </c>
      <c r="B8" s="20">
        <v>2</v>
      </c>
      <c r="C8" s="31">
        <v>-2</v>
      </c>
      <c r="D8" s="19"/>
      <c r="E8" s="19"/>
      <c r="F8" s="18">
        <v>0</v>
      </c>
    </row>
    <row r="9" spans="1:6" x14ac:dyDescent="0.25">
      <c r="A9" s="21" t="s">
        <v>44</v>
      </c>
      <c r="B9" s="20">
        <v>2</v>
      </c>
      <c r="C9" s="19"/>
      <c r="D9" s="19">
        <v>-2</v>
      </c>
      <c r="E9" s="19"/>
      <c r="F9" s="18">
        <v>0</v>
      </c>
    </row>
    <row r="10" spans="1:6" x14ac:dyDescent="0.25">
      <c r="A10" s="21" t="s">
        <v>45</v>
      </c>
      <c r="B10" s="20">
        <v>1</v>
      </c>
      <c r="C10" s="19"/>
      <c r="D10" s="19">
        <v>-1</v>
      </c>
      <c r="E10" s="19"/>
      <c r="F10" s="18">
        <v>0</v>
      </c>
    </row>
    <row r="11" spans="1:6" x14ac:dyDescent="0.25">
      <c r="A11" s="21" t="s">
        <v>46</v>
      </c>
      <c r="B11" s="20">
        <v>6</v>
      </c>
      <c r="C11" s="31">
        <v>-5</v>
      </c>
      <c r="D11" s="19">
        <v>-1</v>
      </c>
      <c r="E11" s="19"/>
      <c r="F11" s="18">
        <v>0</v>
      </c>
    </row>
    <row r="12" spans="1:6" x14ac:dyDescent="0.25">
      <c r="A12" s="21" t="s">
        <v>47</v>
      </c>
      <c r="B12" s="20">
        <v>2</v>
      </c>
      <c r="C12" s="19"/>
      <c r="D12" s="19">
        <v>-2</v>
      </c>
      <c r="E12" s="19"/>
      <c r="F12" s="18">
        <v>0</v>
      </c>
    </row>
    <row r="13" spans="1:6" x14ac:dyDescent="0.25">
      <c r="A13" s="21" t="s">
        <v>48</v>
      </c>
      <c r="B13" s="20">
        <v>4</v>
      </c>
      <c r="C13" s="31">
        <v>-2</v>
      </c>
      <c r="D13" s="19">
        <v>-2</v>
      </c>
      <c r="E13" s="19"/>
      <c r="F13" s="18">
        <v>0</v>
      </c>
    </row>
    <row r="14" spans="1:6" x14ac:dyDescent="0.25">
      <c r="A14" s="21" t="s">
        <v>49</v>
      </c>
      <c r="B14" s="20">
        <v>1</v>
      </c>
      <c r="C14" s="19"/>
      <c r="D14" s="19">
        <v>-1</v>
      </c>
      <c r="E14" s="19"/>
      <c r="F14" s="18">
        <v>0</v>
      </c>
    </row>
    <row r="15" spans="1:6" x14ac:dyDescent="0.25">
      <c r="A15" s="21" t="s">
        <v>50</v>
      </c>
      <c r="B15" s="20">
        <v>1</v>
      </c>
      <c r="C15" s="19"/>
      <c r="D15" s="19">
        <v>-1</v>
      </c>
      <c r="E15" s="19"/>
      <c r="F15" s="18">
        <v>0</v>
      </c>
    </row>
    <row r="16" spans="1:6" x14ac:dyDescent="0.25">
      <c r="A16" s="21"/>
      <c r="B16" s="20"/>
      <c r="C16" s="19"/>
      <c r="D16" s="19"/>
      <c r="E16" s="19"/>
      <c r="F16" s="18">
        <v>0</v>
      </c>
    </row>
    <row r="17" spans="1:8" x14ac:dyDescent="0.25">
      <c r="A17" s="14" t="s">
        <v>17</v>
      </c>
      <c r="B17" s="32">
        <v>0.3125</v>
      </c>
      <c r="C17" s="16">
        <v>0.14861111111111111</v>
      </c>
      <c r="D17" s="16">
        <v>0.3576388888888889</v>
      </c>
      <c r="E17" s="16"/>
      <c r="F17" s="15"/>
    </row>
    <row r="18" spans="1:8" x14ac:dyDescent="0.25">
      <c r="A18" s="14" t="s">
        <v>16</v>
      </c>
      <c r="B18" s="33">
        <v>60000</v>
      </c>
      <c r="C18" s="33">
        <v>50000</v>
      </c>
      <c r="D18" s="33">
        <v>35000</v>
      </c>
      <c r="E18" s="33"/>
      <c r="F18" s="34">
        <v>145000</v>
      </c>
    </row>
    <row r="21" spans="1:8" x14ac:dyDescent="0.25">
      <c r="A21" s="166" t="s">
        <v>51</v>
      </c>
      <c r="B21" s="167"/>
      <c r="C21" s="167"/>
      <c r="D21" s="167"/>
      <c r="E21" s="167"/>
      <c r="F21" s="167"/>
      <c r="G21" s="167"/>
    </row>
    <row r="22" spans="1:8" x14ac:dyDescent="0.25">
      <c r="A22" s="166" t="s">
        <v>52</v>
      </c>
      <c r="B22" s="167"/>
      <c r="C22" s="167"/>
      <c r="D22" s="167"/>
      <c r="E22" s="167"/>
      <c r="F22" s="167"/>
      <c r="G22" s="167"/>
    </row>
    <row r="23" spans="1:8" ht="18" customHeight="1" x14ac:dyDescent="0.25">
      <c r="A23" s="168" t="s">
        <v>53</v>
      </c>
      <c r="B23" s="169"/>
      <c r="C23" s="169"/>
      <c r="D23" s="169"/>
      <c r="E23" s="169"/>
      <c r="F23" s="169"/>
      <c r="G23" s="169"/>
    </row>
    <row r="24" spans="1:8" x14ac:dyDescent="0.25">
      <c r="A24" s="125" t="s">
        <v>3</v>
      </c>
      <c r="B24" s="126" t="s">
        <v>4</v>
      </c>
      <c r="C24" s="126"/>
      <c r="D24" s="126"/>
      <c r="E24" s="126" t="s">
        <v>5</v>
      </c>
      <c r="F24" s="139"/>
      <c r="G24" s="165" t="s">
        <v>6</v>
      </c>
    </row>
    <row r="25" spans="1:8" x14ac:dyDescent="0.25">
      <c r="A25" s="125"/>
      <c r="B25" s="1" t="s">
        <v>7</v>
      </c>
      <c r="C25" s="1" t="s">
        <v>8</v>
      </c>
      <c r="D25" s="1" t="s">
        <v>9</v>
      </c>
      <c r="E25" s="1" t="s">
        <v>10</v>
      </c>
      <c r="F25" s="41" t="s">
        <v>11</v>
      </c>
      <c r="G25" s="165"/>
    </row>
    <row r="26" spans="1:8" x14ac:dyDescent="0.25">
      <c r="A26" s="35" t="s">
        <v>54</v>
      </c>
      <c r="B26" s="9">
        <v>6</v>
      </c>
      <c r="C26" s="42">
        <v>4</v>
      </c>
      <c r="D26" s="8">
        <v>6500</v>
      </c>
      <c r="E26" s="6">
        <f t="shared" ref="E26:E38" si="0">C26*D26</f>
        <v>26000</v>
      </c>
      <c r="F26" s="43">
        <f>B26*E26</f>
        <v>156000</v>
      </c>
      <c r="G26" t="s">
        <v>63</v>
      </c>
    </row>
    <row r="27" spans="1:8" x14ac:dyDescent="0.25">
      <c r="A27" s="35" t="s">
        <v>54</v>
      </c>
      <c r="B27" s="9">
        <v>1</v>
      </c>
      <c r="C27" s="42">
        <v>2</v>
      </c>
      <c r="D27" s="8">
        <v>6500</v>
      </c>
      <c r="E27" s="6">
        <f t="shared" si="0"/>
        <v>13000</v>
      </c>
      <c r="F27" s="43">
        <f t="shared" ref="F27:F38" si="1">B27*E27</f>
        <v>13000</v>
      </c>
      <c r="G27" s="44" t="s">
        <v>64</v>
      </c>
    </row>
    <row r="28" spans="1:8" x14ac:dyDescent="0.25">
      <c r="A28" s="35" t="s">
        <v>55</v>
      </c>
      <c r="B28" s="9">
        <v>6</v>
      </c>
      <c r="C28" s="42">
        <v>4</v>
      </c>
      <c r="D28" s="8">
        <v>600</v>
      </c>
      <c r="E28" s="6">
        <f t="shared" si="0"/>
        <v>2400</v>
      </c>
      <c r="F28" s="43">
        <f t="shared" si="1"/>
        <v>14400</v>
      </c>
      <c r="G28" t="s">
        <v>63</v>
      </c>
    </row>
    <row r="29" spans="1:8" x14ac:dyDescent="0.25">
      <c r="A29" s="35" t="s">
        <v>56</v>
      </c>
      <c r="B29" s="9">
        <v>6</v>
      </c>
      <c r="C29" s="42">
        <v>2</v>
      </c>
      <c r="D29" s="8">
        <v>500</v>
      </c>
      <c r="E29" s="6">
        <f t="shared" si="0"/>
        <v>1000</v>
      </c>
      <c r="F29" s="43">
        <f t="shared" si="1"/>
        <v>6000</v>
      </c>
      <c r="G29" t="s">
        <v>63</v>
      </c>
    </row>
    <row r="30" spans="1:8" x14ac:dyDescent="0.25">
      <c r="A30" s="35" t="s">
        <v>65</v>
      </c>
      <c r="B30" s="45">
        <v>7</v>
      </c>
      <c r="C30" s="42">
        <v>2</v>
      </c>
      <c r="D30" s="8">
        <v>600</v>
      </c>
      <c r="E30" s="6">
        <f t="shared" si="0"/>
        <v>1200</v>
      </c>
      <c r="F30" s="43">
        <f t="shared" si="1"/>
        <v>8400</v>
      </c>
      <c r="G30" s="44" t="s">
        <v>66</v>
      </c>
      <c r="H30" s="44"/>
    </row>
    <row r="31" spans="1:8" x14ac:dyDescent="0.25">
      <c r="A31" s="35" t="s">
        <v>67</v>
      </c>
      <c r="B31" s="9">
        <v>7</v>
      </c>
      <c r="C31" s="42">
        <v>1</v>
      </c>
      <c r="D31" s="8">
        <v>500</v>
      </c>
      <c r="E31" s="6">
        <f t="shared" si="0"/>
        <v>500</v>
      </c>
      <c r="F31" s="43">
        <f t="shared" si="1"/>
        <v>3500</v>
      </c>
      <c r="G31" s="44" t="s">
        <v>66</v>
      </c>
      <c r="H31" s="44"/>
    </row>
    <row r="32" spans="1:8" x14ac:dyDescent="0.25">
      <c r="A32" s="35" t="s">
        <v>57</v>
      </c>
      <c r="B32" s="9">
        <v>6</v>
      </c>
      <c r="C32" s="42">
        <v>6</v>
      </c>
      <c r="D32" s="8">
        <v>500</v>
      </c>
      <c r="E32" s="6">
        <f t="shared" si="0"/>
        <v>3000</v>
      </c>
      <c r="F32" s="43">
        <f t="shared" si="1"/>
        <v>18000</v>
      </c>
      <c r="G32" t="s">
        <v>63</v>
      </c>
    </row>
    <row r="33" spans="1:8" x14ac:dyDescent="0.25">
      <c r="A33" s="35" t="s">
        <v>57</v>
      </c>
      <c r="B33" s="9">
        <v>1</v>
      </c>
      <c r="C33" s="42">
        <v>1</v>
      </c>
      <c r="D33" s="8">
        <v>500</v>
      </c>
      <c r="E33" s="6">
        <f t="shared" si="0"/>
        <v>500</v>
      </c>
      <c r="F33" s="43">
        <f t="shared" si="1"/>
        <v>500</v>
      </c>
      <c r="G33" s="44" t="s">
        <v>64</v>
      </c>
    </row>
    <row r="34" spans="1:8" x14ac:dyDescent="0.25">
      <c r="A34" s="35" t="s">
        <v>58</v>
      </c>
      <c r="B34" s="45">
        <v>7</v>
      </c>
      <c r="C34" s="42">
        <v>2</v>
      </c>
      <c r="D34" s="8">
        <v>400</v>
      </c>
      <c r="E34" s="6">
        <f t="shared" si="0"/>
        <v>800</v>
      </c>
      <c r="F34" s="43">
        <f t="shared" si="1"/>
        <v>5600</v>
      </c>
      <c r="G34" s="44" t="s">
        <v>66</v>
      </c>
      <c r="H34" s="44"/>
    </row>
    <row r="35" spans="1:8" x14ac:dyDescent="0.25">
      <c r="A35" s="35" t="s">
        <v>59</v>
      </c>
      <c r="B35" s="9">
        <v>6</v>
      </c>
      <c r="C35" s="42">
        <v>4</v>
      </c>
      <c r="D35" s="8">
        <v>200</v>
      </c>
      <c r="E35" s="6">
        <f t="shared" si="0"/>
        <v>800</v>
      </c>
      <c r="F35" s="43">
        <f t="shared" si="1"/>
        <v>4800</v>
      </c>
      <c r="G35" t="s">
        <v>63</v>
      </c>
    </row>
    <row r="36" spans="1:8" x14ac:dyDescent="0.25">
      <c r="A36" s="35" t="s">
        <v>48</v>
      </c>
      <c r="B36" s="9">
        <v>1</v>
      </c>
      <c r="C36" s="42">
        <v>2</v>
      </c>
      <c r="D36" s="8">
        <v>200</v>
      </c>
      <c r="E36" s="6">
        <f t="shared" si="0"/>
        <v>400</v>
      </c>
      <c r="F36" s="43">
        <f t="shared" si="1"/>
        <v>400</v>
      </c>
      <c r="G36" s="44" t="s">
        <v>64</v>
      </c>
    </row>
    <row r="37" spans="1:8" x14ac:dyDescent="0.25">
      <c r="A37" s="35" t="s">
        <v>60</v>
      </c>
      <c r="B37" s="45">
        <v>7</v>
      </c>
      <c r="C37" s="42">
        <v>1</v>
      </c>
      <c r="D37" s="8">
        <v>3000</v>
      </c>
      <c r="E37" s="6">
        <f t="shared" si="0"/>
        <v>3000</v>
      </c>
      <c r="F37" s="43">
        <f t="shared" si="1"/>
        <v>21000</v>
      </c>
      <c r="G37" s="44" t="s">
        <v>66</v>
      </c>
      <c r="H37" s="44"/>
    </row>
    <row r="38" spans="1:8" x14ac:dyDescent="0.25">
      <c r="A38" s="35" t="s">
        <v>68</v>
      </c>
      <c r="B38" s="45">
        <v>7</v>
      </c>
      <c r="C38" s="42">
        <v>1</v>
      </c>
      <c r="D38" s="8">
        <v>3000</v>
      </c>
      <c r="E38" s="6">
        <f t="shared" si="0"/>
        <v>3000</v>
      </c>
      <c r="F38" s="43">
        <f t="shared" si="1"/>
        <v>21000</v>
      </c>
      <c r="G38" s="44" t="s">
        <v>66</v>
      </c>
      <c r="H38" s="44"/>
    </row>
    <row r="39" spans="1:8" ht="18.75" x14ac:dyDescent="0.4">
      <c r="A39" s="131"/>
      <c r="B39" s="132"/>
      <c r="C39" s="115" t="s">
        <v>61</v>
      </c>
      <c r="D39" s="115"/>
      <c r="E39" s="46">
        <f>SUM(E26:E38)</f>
        <v>55600</v>
      </c>
      <c r="F39" s="47"/>
    </row>
    <row r="40" spans="1:8" ht="19.5" thickBot="1" x14ac:dyDescent="0.45">
      <c r="A40" s="133"/>
      <c r="B40" s="134"/>
      <c r="C40" s="128" t="s">
        <v>14</v>
      </c>
      <c r="D40" s="128"/>
      <c r="E40" s="37">
        <f>SUM(F26:F38)</f>
        <v>272600</v>
      </c>
      <c r="F40" s="36"/>
    </row>
    <row r="41" spans="1:8" ht="18.75" x14ac:dyDescent="0.4">
      <c r="A41" s="133"/>
      <c r="B41" s="134"/>
      <c r="C41" s="129" t="s">
        <v>62</v>
      </c>
      <c r="D41" s="130"/>
      <c r="E41" s="38">
        <v>145000</v>
      </c>
      <c r="F41" s="36"/>
    </row>
    <row r="42" spans="1:8" ht="19.5" thickBot="1" x14ac:dyDescent="0.45">
      <c r="A42" s="135"/>
      <c r="B42" s="136"/>
      <c r="C42" s="128" t="s">
        <v>14</v>
      </c>
      <c r="D42" s="128"/>
      <c r="E42" s="39">
        <f>SUM(E40:E41)</f>
        <v>417600</v>
      </c>
      <c r="F42" s="40"/>
    </row>
  </sheetData>
  <mergeCells count="15">
    <mergeCell ref="A1:F1"/>
    <mergeCell ref="A2:F2"/>
    <mergeCell ref="A3:F3"/>
    <mergeCell ref="G24:G25"/>
    <mergeCell ref="A24:A25"/>
    <mergeCell ref="B24:D24"/>
    <mergeCell ref="E24:F24"/>
    <mergeCell ref="A21:G21"/>
    <mergeCell ref="A22:G22"/>
    <mergeCell ref="A23:G23"/>
    <mergeCell ref="A39:B42"/>
    <mergeCell ref="C39:D39"/>
    <mergeCell ref="C40:D40"/>
    <mergeCell ref="C41:D41"/>
    <mergeCell ref="C42:D42"/>
  </mergeCells>
  <pageMargins left="0.7" right="0.7" top="0.75" bottom="0.75" header="0.3" footer="0.3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5C3E-07B7-457C-8412-44521664072A}">
  <dimension ref="A1:G49"/>
  <sheetViews>
    <sheetView topLeftCell="A40" workbookViewId="0">
      <selection activeCell="K4" sqref="K4"/>
    </sheetView>
  </sheetViews>
  <sheetFormatPr baseColWidth="10" defaultRowHeight="15" x14ac:dyDescent="0.25"/>
  <cols>
    <col min="1" max="1" width="31" bestFit="1" customWidth="1"/>
    <col min="5" max="5" width="18.42578125" customWidth="1"/>
    <col min="7" max="7" width="18.85546875" customWidth="1"/>
  </cols>
  <sheetData>
    <row r="1" spans="1:6" ht="18.75" x14ac:dyDescent="0.3">
      <c r="A1" s="172" t="s">
        <v>105</v>
      </c>
      <c r="B1" s="153"/>
      <c r="C1" s="153"/>
      <c r="D1" s="153"/>
      <c r="E1" s="153"/>
      <c r="F1" s="173"/>
    </row>
    <row r="2" spans="1:6" ht="18.75" x14ac:dyDescent="0.3">
      <c r="A2" s="172" t="s">
        <v>104</v>
      </c>
      <c r="B2" s="153"/>
      <c r="C2" s="153"/>
      <c r="D2" s="153"/>
      <c r="E2" s="153"/>
      <c r="F2" s="173"/>
    </row>
    <row r="3" spans="1:6" ht="18.75" x14ac:dyDescent="0.3">
      <c r="A3" s="172" t="s">
        <v>103</v>
      </c>
      <c r="B3" s="153"/>
      <c r="C3" s="153"/>
      <c r="D3" s="153"/>
      <c r="E3" s="153"/>
      <c r="F3" s="173"/>
    </row>
    <row r="4" spans="1:6" x14ac:dyDescent="0.25">
      <c r="A4" s="174" t="s">
        <v>3</v>
      </c>
      <c r="B4" s="64">
        <v>13792</v>
      </c>
      <c r="C4" s="15">
        <v>13455</v>
      </c>
      <c r="D4" s="15">
        <v>13472</v>
      </c>
      <c r="E4" s="15"/>
      <c r="F4" s="64" t="s">
        <v>33</v>
      </c>
    </row>
    <row r="5" spans="1:6" x14ac:dyDescent="0.25">
      <c r="A5" s="175"/>
      <c r="B5" s="24">
        <v>46182</v>
      </c>
      <c r="C5" s="24">
        <v>46200</v>
      </c>
      <c r="D5" s="24">
        <v>46209</v>
      </c>
      <c r="E5" s="24"/>
      <c r="F5" s="24">
        <v>46203</v>
      </c>
    </row>
    <row r="6" spans="1:6" x14ac:dyDescent="0.25">
      <c r="A6" s="63" t="s">
        <v>102</v>
      </c>
      <c r="B6" s="62">
        <v>3</v>
      </c>
      <c r="C6" s="48">
        <v>-3</v>
      </c>
      <c r="D6" s="48"/>
      <c r="E6" s="48"/>
      <c r="F6" s="18">
        <f t="shared" ref="F6:F18" si="0">SUM(B6:E6)</f>
        <v>0</v>
      </c>
    </row>
    <row r="7" spans="1:6" x14ac:dyDescent="0.25">
      <c r="A7" s="63" t="s">
        <v>101</v>
      </c>
      <c r="B7" s="62">
        <v>2</v>
      </c>
      <c r="C7" s="48">
        <v>-2</v>
      </c>
      <c r="D7" s="48"/>
      <c r="E7" s="48"/>
      <c r="F7" s="18">
        <f t="shared" si="0"/>
        <v>0</v>
      </c>
    </row>
    <row r="8" spans="1:6" x14ac:dyDescent="0.25">
      <c r="A8" s="63" t="s">
        <v>100</v>
      </c>
      <c r="B8" s="62">
        <v>2</v>
      </c>
      <c r="C8" s="48">
        <v>-2</v>
      </c>
      <c r="D8" s="48"/>
      <c r="E8" s="48"/>
      <c r="F8" s="18">
        <f t="shared" si="0"/>
        <v>0</v>
      </c>
    </row>
    <row r="9" spans="1:6" x14ac:dyDescent="0.25">
      <c r="A9" s="63" t="s">
        <v>99</v>
      </c>
      <c r="B9" s="62">
        <v>1</v>
      </c>
      <c r="C9" s="48">
        <v>-1</v>
      </c>
      <c r="D9" s="48"/>
      <c r="E9" s="48"/>
      <c r="F9" s="18">
        <f t="shared" si="0"/>
        <v>0</v>
      </c>
    </row>
    <row r="10" spans="1:6" x14ac:dyDescent="0.25">
      <c r="A10" s="63" t="s">
        <v>98</v>
      </c>
      <c r="B10" s="62">
        <v>1</v>
      </c>
      <c r="C10" s="48">
        <v>-1</v>
      </c>
      <c r="D10" s="48"/>
      <c r="E10" s="48"/>
      <c r="F10" s="18">
        <f t="shared" si="0"/>
        <v>0</v>
      </c>
    </row>
    <row r="11" spans="1:6" x14ac:dyDescent="0.25">
      <c r="A11" s="63" t="s">
        <v>97</v>
      </c>
      <c r="B11" s="62">
        <v>1</v>
      </c>
      <c r="C11" s="48">
        <v>-1</v>
      </c>
      <c r="D11" s="48"/>
      <c r="E11" s="48"/>
      <c r="F11" s="18">
        <f t="shared" si="0"/>
        <v>0</v>
      </c>
    </row>
    <row r="12" spans="1:6" x14ac:dyDescent="0.25">
      <c r="A12" s="63" t="s">
        <v>96</v>
      </c>
      <c r="B12" s="62">
        <v>2</v>
      </c>
      <c r="C12" s="48">
        <v>-1</v>
      </c>
      <c r="D12" s="48">
        <v>-1</v>
      </c>
      <c r="E12" s="48"/>
      <c r="F12" s="18">
        <f t="shared" si="0"/>
        <v>0</v>
      </c>
    </row>
    <row r="13" spans="1:6" x14ac:dyDescent="0.25">
      <c r="A13" s="63" t="s">
        <v>95</v>
      </c>
      <c r="B13" s="62">
        <v>6</v>
      </c>
      <c r="C13" s="48"/>
      <c r="D13" s="48">
        <v>-6</v>
      </c>
      <c r="E13" s="48"/>
      <c r="F13" s="18">
        <f t="shared" si="0"/>
        <v>0</v>
      </c>
    </row>
    <row r="14" spans="1:6" x14ac:dyDescent="0.25">
      <c r="A14" s="63" t="s">
        <v>94</v>
      </c>
      <c r="B14" s="62">
        <v>6</v>
      </c>
      <c r="C14" s="48"/>
      <c r="D14" s="48">
        <v>-6</v>
      </c>
      <c r="E14" s="48"/>
      <c r="F14" s="18">
        <f t="shared" si="0"/>
        <v>0</v>
      </c>
    </row>
    <row r="15" spans="1:6" x14ac:dyDescent="0.25">
      <c r="A15" s="63" t="s">
        <v>93</v>
      </c>
      <c r="B15" s="62">
        <v>3</v>
      </c>
      <c r="C15" s="48">
        <v>-3</v>
      </c>
      <c r="D15" s="48"/>
      <c r="E15" s="48"/>
      <c r="F15" s="18">
        <f t="shared" si="0"/>
        <v>0</v>
      </c>
    </row>
    <row r="16" spans="1:6" x14ac:dyDescent="0.25">
      <c r="A16" s="63" t="s">
        <v>46</v>
      </c>
      <c r="B16" s="62">
        <v>5</v>
      </c>
      <c r="C16" s="48">
        <v>-5</v>
      </c>
      <c r="D16" s="48"/>
      <c r="E16" s="48"/>
      <c r="F16" s="18">
        <f t="shared" si="0"/>
        <v>0</v>
      </c>
    </row>
    <row r="17" spans="1:7" x14ac:dyDescent="0.25">
      <c r="A17" s="60" t="s">
        <v>92</v>
      </c>
      <c r="B17" s="16">
        <v>0.20833333333333334</v>
      </c>
      <c r="C17" s="61">
        <v>4.1666666666666664E-2</v>
      </c>
      <c r="D17" s="61">
        <v>0.14583333333333334</v>
      </c>
      <c r="E17" s="61"/>
      <c r="F17" s="15">
        <f t="shared" si="0"/>
        <v>0.39583333333333337</v>
      </c>
    </row>
    <row r="18" spans="1:7" x14ac:dyDescent="0.25">
      <c r="A18" s="60" t="s">
        <v>91</v>
      </c>
      <c r="B18" s="59">
        <v>100000</v>
      </c>
      <c r="C18" s="59">
        <v>100000</v>
      </c>
      <c r="D18" s="59" t="s">
        <v>90</v>
      </c>
      <c r="E18" s="59"/>
      <c r="F18" s="11">
        <f t="shared" si="0"/>
        <v>200000</v>
      </c>
    </row>
    <row r="21" spans="1:7" ht="18.75" x14ac:dyDescent="0.4">
      <c r="A21" s="182" t="s">
        <v>89</v>
      </c>
      <c r="B21" s="182"/>
      <c r="C21" s="182"/>
      <c r="D21" s="182"/>
      <c r="E21" s="182"/>
      <c r="F21" s="182"/>
      <c r="G21" s="182"/>
    </row>
    <row r="22" spans="1:7" x14ac:dyDescent="0.25">
      <c r="A22" s="146" t="s">
        <v>88</v>
      </c>
      <c r="B22" s="146"/>
      <c r="C22" s="146"/>
      <c r="D22" s="146"/>
      <c r="E22" s="146"/>
      <c r="F22" s="146"/>
      <c r="G22" s="146"/>
    </row>
    <row r="23" spans="1:7" ht="18" x14ac:dyDescent="0.25">
      <c r="A23" s="147" t="s">
        <v>87</v>
      </c>
      <c r="B23" s="147"/>
      <c r="C23" s="147"/>
      <c r="D23" s="147"/>
      <c r="E23" s="147"/>
      <c r="F23" s="147"/>
      <c r="G23" s="147"/>
    </row>
    <row r="24" spans="1:7" x14ac:dyDescent="0.25">
      <c r="A24" s="115" t="s">
        <v>3</v>
      </c>
      <c r="B24" s="126" t="s">
        <v>4</v>
      </c>
      <c r="C24" s="126"/>
      <c r="D24" s="126"/>
      <c r="E24" s="126" t="s">
        <v>5</v>
      </c>
      <c r="F24" s="126"/>
      <c r="G24" s="148" t="s">
        <v>6</v>
      </c>
    </row>
    <row r="25" spans="1:7" x14ac:dyDescent="0.25">
      <c r="A25" s="115"/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48"/>
    </row>
    <row r="26" spans="1:7" x14ac:dyDescent="0.25">
      <c r="A26" s="29" t="s">
        <v>41</v>
      </c>
      <c r="B26" s="49">
        <v>18</v>
      </c>
      <c r="C26" s="58">
        <v>3</v>
      </c>
      <c r="D26" s="8">
        <v>6000</v>
      </c>
      <c r="E26" s="6">
        <f t="shared" ref="E26:E38" si="1">C26*D26</f>
        <v>18000</v>
      </c>
      <c r="F26" s="6">
        <f t="shared" ref="F26:F38" si="2">B26*E26</f>
        <v>324000</v>
      </c>
      <c r="G26" s="29" t="s">
        <v>79</v>
      </c>
    </row>
    <row r="27" spans="1:7" x14ac:dyDescent="0.25">
      <c r="A27" s="29" t="s">
        <v>42</v>
      </c>
      <c r="B27" s="49">
        <v>18</v>
      </c>
      <c r="C27" s="58">
        <v>2</v>
      </c>
      <c r="D27" s="8">
        <v>550</v>
      </c>
      <c r="E27" s="6">
        <f t="shared" si="1"/>
        <v>1100</v>
      </c>
      <c r="F27" s="6">
        <f t="shared" si="2"/>
        <v>19800</v>
      </c>
      <c r="G27" s="29" t="s">
        <v>79</v>
      </c>
    </row>
    <row r="28" spans="1:7" x14ac:dyDescent="0.25">
      <c r="A28" s="29" t="s">
        <v>65</v>
      </c>
      <c r="B28" s="49">
        <v>18</v>
      </c>
      <c r="C28" s="58">
        <v>2</v>
      </c>
      <c r="D28" s="8">
        <v>500</v>
      </c>
      <c r="E28" s="6">
        <f t="shared" si="1"/>
        <v>1000</v>
      </c>
      <c r="F28" s="6">
        <f t="shared" si="2"/>
        <v>18000</v>
      </c>
      <c r="G28" s="29" t="s">
        <v>79</v>
      </c>
    </row>
    <row r="29" spans="1:7" x14ac:dyDescent="0.25">
      <c r="A29" s="29" t="s">
        <v>56</v>
      </c>
      <c r="B29" s="49">
        <v>18</v>
      </c>
      <c r="C29" s="58">
        <v>1</v>
      </c>
      <c r="D29" s="8">
        <v>500</v>
      </c>
      <c r="E29" s="6">
        <f t="shared" si="1"/>
        <v>500</v>
      </c>
      <c r="F29" s="6">
        <f t="shared" si="2"/>
        <v>9000</v>
      </c>
      <c r="G29" s="29" t="s">
        <v>79</v>
      </c>
    </row>
    <row r="30" spans="1:7" x14ac:dyDescent="0.25">
      <c r="A30" s="29" t="s">
        <v>86</v>
      </c>
      <c r="B30" s="49">
        <v>18</v>
      </c>
      <c r="C30" s="58">
        <v>1</v>
      </c>
      <c r="D30" s="8">
        <v>400</v>
      </c>
      <c r="E30" s="6">
        <f t="shared" si="1"/>
        <v>400</v>
      </c>
      <c r="F30" s="6">
        <f t="shared" si="2"/>
        <v>7200</v>
      </c>
      <c r="G30" s="29" t="s">
        <v>79</v>
      </c>
    </row>
    <row r="31" spans="1:7" x14ac:dyDescent="0.25">
      <c r="A31" s="29" t="s">
        <v>13</v>
      </c>
      <c r="B31" s="49">
        <v>18</v>
      </c>
      <c r="C31" s="58">
        <v>3</v>
      </c>
      <c r="D31" s="8">
        <v>180</v>
      </c>
      <c r="E31" s="6">
        <f t="shared" si="1"/>
        <v>540</v>
      </c>
      <c r="F31" s="6">
        <f t="shared" si="2"/>
        <v>9720</v>
      </c>
      <c r="G31" s="29" t="s">
        <v>79</v>
      </c>
    </row>
    <row r="32" spans="1:7" x14ac:dyDescent="0.25">
      <c r="A32" s="29" t="s">
        <v>85</v>
      </c>
      <c r="B32" s="49">
        <v>18</v>
      </c>
      <c r="C32" s="58">
        <v>5</v>
      </c>
      <c r="D32" s="8">
        <v>350</v>
      </c>
      <c r="E32" s="6">
        <f t="shared" si="1"/>
        <v>1750</v>
      </c>
      <c r="F32" s="6">
        <f t="shared" si="2"/>
        <v>31500</v>
      </c>
      <c r="G32" s="29" t="s">
        <v>79</v>
      </c>
    </row>
    <row r="33" spans="1:7" x14ac:dyDescent="0.25">
      <c r="A33" s="29" t="s">
        <v>84</v>
      </c>
      <c r="B33" s="49">
        <v>18</v>
      </c>
      <c r="C33" s="58">
        <v>1</v>
      </c>
      <c r="D33" s="8">
        <v>2500</v>
      </c>
      <c r="E33" s="6">
        <f t="shared" si="1"/>
        <v>2500</v>
      </c>
      <c r="F33" s="6">
        <f t="shared" si="2"/>
        <v>45000</v>
      </c>
      <c r="G33" s="29" t="s">
        <v>79</v>
      </c>
    </row>
    <row r="34" spans="1:7" x14ac:dyDescent="0.25">
      <c r="A34" s="29" t="s">
        <v>83</v>
      </c>
      <c r="B34" s="49">
        <v>18</v>
      </c>
      <c r="C34" s="58">
        <v>2</v>
      </c>
      <c r="D34" s="8">
        <v>2000</v>
      </c>
      <c r="E34" s="6">
        <f t="shared" si="1"/>
        <v>4000</v>
      </c>
      <c r="F34" s="6">
        <f t="shared" si="2"/>
        <v>72000</v>
      </c>
      <c r="G34" s="29" t="s">
        <v>79</v>
      </c>
    </row>
    <row r="35" spans="1:7" x14ac:dyDescent="0.25">
      <c r="A35" s="29" t="s">
        <v>83</v>
      </c>
      <c r="B35" s="49">
        <v>9</v>
      </c>
      <c r="C35" s="58">
        <v>1</v>
      </c>
      <c r="D35" s="8">
        <v>2000</v>
      </c>
      <c r="E35" s="6">
        <f t="shared" si="1"/>
        <v>2000</v>
      </c>
      <c r="F35" s="6">
        <f t="shared" si="2"/>
        <v>18000</v>
      </c>
      <c r="G35" s="29" t="s">
        <v>79</v>
      </c>
    </row>
    <row r="36" spans="1:7" x14ac:dyDescent="0.25">
      <c r="A36" s="29" t="s">
        <v>82</v>
      </c>
      <c r="B36" s="49">
        <v>18</v>
      </c>
      <c r="C36" s="58">
        <v>3</v>
      </c>
      <c r="D36" s="8">
        <v>1300</v>
      </c>
      <c r="E36" s="6">
        <f t="shared" si="1"/>
        <v>3900</v>
      </c>
      <c r="F36" s="6">
        <f t="shared" si="2"/>
        <v>70200</v>
      </c>
      <c r="G36" s="29" t="s">
        <v>79</v>
      </c>
    </row>
    <row r="37" spans="1:7" x14ac:dyDescent="0.25">
      <c r="A37" s="29" t="s">
        <v>82</v>
      </c>
      <c r="B37" s="49">
        <v>9</v>
      </c>
      <c r="C37" s="58">
        <v>3</v>
      </c>
      <c r="D37" s="8">
        <v>1300</v>
      </c>
      <c r="E37" s="6">
        <f t="shared" si="1"/>
        <v>3900</v>
      </c>
      <c r="F37" s="6">
        <f t="shared" si="2"/>
        <v>35100</v>
      </c>
      <c r="G37" s="29" t="s">
        <v>81</v>
      </c>
    </row>
    <row r="38" spans="1:7" x14ac:dyDescent="0.25">
      <c r="A38" s="29" t="s">
        <v>80</v>
      </c>
      <c r="B38" s="49">
        <v>18</v>
      </c>
      <c r="C38" s="58">
        <v>4</v>
      </c>
      <c r="D38" s="8">
        <v>750</v>
      </c>
      <c r="E38" s="6">
        <f t="shared" si="1"/>
        <v>3000</v>
      </c>
      <c r="F38" s="6">
        <f t="shared" si="2"/>
        <v>54000</v>
      </c>
      <c r="G38" s="29" t="s">
        <v>79</v>
      </c>
    </row>
    <row r="39" spans="1:7" ht="18.75" x14ac:dyDescent="0.4">
      <c r="A39" s="183"/>
      <c r="B39" s="183"/>
      <c r="C39" s="171" t="s">
        <v>78</v>
      </c>
      <c r="D39" s="171"/>
      <c r="E39" s="57">
        <f>SUM(E26:E38)</f>
        <v>42590</v>
      </c>
      <c r="F39" s="176"/>
      <c r="G39" s="177"/>
    </row>
    <row r="40" spans="1:7" ht="18.75" x14ac:dyDescent="0.4">
      <c r="A40" s="183"/>
      <c r="B40" s="183"/>
      <c r="C40" s="171" t="s">
        <v>77</v>
      </c>
      <c r="D40" s="171"/>
      <c r="E40" s="56">
        <f>SUM(F26:F38)</f>
        <v>713520</v>
      </c>
      <c r="F40" s="178"/>
      <c r="G40" s="179"/>
    </row>
    <row r="41" spans="1:7" ht="18.75" x14ac:dyDescent="0.4">
      <c r="A41" s="183"/>
      <c r="B41" s="183"/>
      <c r="C41" s="171" t="s">
        <v>76</v>
      </c>
      <c r="D41" s="171"/>
      <c r="E41" s="55">
        <v>200000</v>
      </c>
      <c r="F41" s="178"/>
      <c r="G41" s="179"/>
    </row>
    <row r="42" spans="1:7" ht="18.75" x14ac:dyDescent="0.4">
      <c r="A42" s="183"/>
      <c r="B42" s="183"/>
      <c r="C42" s="115" t="s">
        <v>75</v>
      </c>
      <c r="D42" s="115"/>
      <c r="E42" s="46">
        <f>SUM(E40:E41)</f>
        <v>913520</v>
      </c>
      <c r="F42" s="180"/>
      <c r="G42" s="181"/>
    </row>
    <row r="43" spans="1:7" x14ac:dyDescent="0.25">
      <c r="A43" t="s">
        <v>74</v>
      </c>
      <c r="E43" s="52">
        <v>60000</v>
      </c>
    </row>
    <row r="44" spans="1:7" x14ac:dyDescent="0.25">
      <c r="A44" t="s">
        <v>73</v>
      </c>
      <c r="E44" s="50">
        <f>E42+E43</f>
        <v>973520</v>
      </c>
    </row>
    <row r="45" spans="1:7" x14ac:dyDescent="0.25">
      <c r="A45" s="170" t="s">
        <v>72</v>
      </c>
      <c r="B45" s="170"/>
      <c r="C45" s="170"/>
      <c r="D45" s="170"/>
      <c r="E45" s="170"/>
    </row>
    <row r="46" spans="1:7" x14ac:dyDescent="0.25">
      <c r="A46" s="54">
        <v>40330</v>
      </c>
      <c r="B46" t="s">
        <v>71</v>
      </c>
      <c r="E46" s="52">
        <v>700000</v>
      </c>
    </row>
    <row r="47" spans="1:7" x14ac:dyDescent="0.25">
      <c r="A47" s="53">
        <v>40330</v>
      </c>
      <c r="B47" t="s">
        <v>71</v>
      </c>
      <c r="E47" s="52">
        <v>300000</v>
      </c>
    </row>
    <row r="48" spans="1:7" x14ac:dyDescent="0.25">
      <c r="A48" t="s">
        <v>70</v>
      </c>
      <c r="E48" s="51">
        <f>SUM(E46:E47)</f>
        <v>1000000</v>
      </c>
    </row>
    <row r="49" spans="1:5" x14ac:dyDescent="0.25">
      <c r="A49" t="s">
        <v>69</v>
      </c>
      <c r="E49" s="50">
        <f>E44-E48</f>
        <v>-26480</v>
      </c>
    </row>
  </sheetData>
  <mergeCells count="18">
    <mergeCell ref="A1:F1"/>
    <mergeCell ref="A2:F2"/>
    <mergeCell ref="A3:F3"/>
    <mergeCell ref="A4:A5"/>
    <mergeCell ref="C39:D39"/>
    <mergeCell ref="F39:G42"/>
    <mergeCell ref="G24:G25"/>
    <mergeCell ref="A21:G21"/>
    <mergeCell ref="A22:G22"/>
    <mergeCell ref="A23:G23"/>
    <mergeCell ref="A39:B42"/>
    <mergeCell ref="A24:A25"/>
    <mergeCell ref="B24:D24"/>
    <mergeCell ref="E24:F24"/>
    <mergeCell ref="A45:E45"/>
    <mergeCell ref="C40:D40"/>
    <mergeCell ref="C41:D41"/>
    <mergeCell ref="C42:D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B7DA-D3CD-4D8E-815E-302C9B1A906D}">
  <dimension ref="A1:F28"/>
  <sheetViews>
    <sheetView topLeftCell="A15" workbookViewId="0">
      <selection activeCell="L23" sqref="L23"/>
    </sheetView>
  </sheetViews>
  <sheetFormatPr baseColWidth="10" defaultRowHeight="15" x14ac:dyDescent="0.25"/>
  <cols>
    <col min="1" max="1" width="30.85546875" bestFit="1" customWidth="1"/>
    <col min="5" max="5" width="14.42578125" bestFit="1" customWidth="1"/>
  </cols>
  <sheetData>
    <row r="1" spans="1:6" ht="18.75" x14ac:dyDescent="0.3">
      <c r="A1" s="149" t="s">
        <v>111</v>
      </c>
      <c r="B1" s="150"/>
      <c r="C1" s="150"/>
      <c r="D1" s="150"/>
      <c r="E1" s="150"/>
      <c r="F1" s="151"/>
    </row>
    <row r="2" spans="1:6" ht="18.75" x14ac:dyDescent="0.3">
      <c r="A2" s="152" t="s">
        <v>112</v>
      </c>
      <c r="B2" s="153"/>
      <c r="C2" s="153"/>
      <c r="D2" s="153"/>
      <c r="E2" s="153"/>
      <c r="F2" s="154"/>
    </row>
    <row r="3" spans="1:6" ht="18.75" x14ac:dyDescent="0.3">
      <c r="A3" s="152" t="s">
        <v>40</v>
      </c>
      <c r="B3" s="153"/>
      <c r="C3" s="153"/>
      <c r="D3" s="153"/>
      <c r="E3" s="153"/>
      <c r="F3" s="153"/>
    </row>
    <row r="4" spans="1:6" x14ac:dyDescent="0.25">
      <c r="A4" s="27" t="s">
        <v>3</v>
      </c>
      <c r="B4" s="26">
        <v>13825</v>
      </c>
      <c r="C4" s="26">
        <v>13491</v>
      </c>
      <c r="D4" s="26"/>
      <c r="E4" s="26"/>
      <c r="F4" s="26" t="s">
        <v>32</v>
      </c>
    </row>
    <row r="5" spans="1:6" x14ac:dyDescent="0.25">
      <c r="A5" s="14"/>
      <c r="B5" s="24">
        <v>46210</v>
      </c>
      <c r="C5" s="66">
        <v>46217</v>
      </c>
      <c r="D5" s="24"/>
      <c r="E5" s="24"/>
      <c r="F5" s="24">
        <v>46173</v>
      </c>
    </row>
    <row r="6" spans="1:6" x14ac:dyDescent="0.25">
      <c r="A6" s="21" t="s">
        <v>46</v>
      </c>
      <c r="B6" s="20">
        <v>4</v>
      </c>
      <c r="C6" s="19">
        <v>-4</v>
      </c>
      <c r="D6" s="19"/>
      <c r="E6" s="19"/>
      <c r="F6" s="18">
        <f t="shared" ref="F6:F9" si="0">SUM(B6:E6)</f>
        <v>0</v>
      </c>
    </row>
    <row r="7" spans="1:6" x14ac:dyDescent="0.25">
      <c r="A7" s="21" t="s">
        <v>113</v>
      </c>
      <c r="B7" s="20">
        <v>10</v>
      </c>
      <c r="C7" s="19">
        <v>-10</v>
      </c>
      <c r="D7" s="19"/>
      <c r="E7" s="19"/>
      <c r="F7" s="18">
        <f t="shared" si="0"/>
        <v>0</v>
      </c>
    </row>
    <row r="8" spans="1:6" x14ac:dyDescent="0.25">
      <c r="A8" s="21" t="s">
        <v>110</v>
      </c>
      <c r="B8" s="20">
        <v>4</v>
      </c>
      <c r="C8" s="19">
        <v>-4</v>
      </c>
      <c r="D8" s="19"/>
      <c r="E8" s="19"/>
      <c r="F8" s="18">
        <f t="shared" si="0"/>
        <v>0</v>
      </c>
    </row>
    <row r="9" spans="1:6" x14ac:dyDescent="0.25">
      <c r="A9" s="21" t="s">
        <v>114</v>
      </c>
      <c r="B9" s="20">
        <v>5</v>
      </c>
      <c r="C9" s="19">
        <v>-5</v>
      </c>
      <c r="D9" s="19"/>
      <c r="E9" s="19"/>
      <c r="F9" s="18">
        <f t="shared" si="0"/>
        <v>0</v>
      </c>
    </row>
    <row r="10" spans="1:6" x14ac:dyDescent="0.25">
      <c r="A10" s="14" t="s">
        <v>17</v>
      </c>
      <c r="B10" s="61">
        <v>0.35416666666666669</v>
      </c>
      <c r="C10" s="16"/>
      <c r="D10" s="16"/>
      <c r="E10" s="16"/>
      <c r="F10" s="15"/>
    </row>
    <row r="11" spans="1:6" x14ac:dyDescent="0.25">
      <c r="A11" s="14" t="s">
        <v>16</v>
      </c>
      <c r="B11" s="11">
        <v>40000</v>
      </c>
      <c r="C11" s="12">
        <v>40000</v>
      </c>
      <c r="D11" s="12"/>
      <c r="E11" s="12"/>
      <c r="F11" s="11">
        <f>SUM(B11:C11)</f>
        <v>80000</v>
      </c>
    </row>
    <row r="16" spans="1:6" x14ac:dyDescent="0.25">
      <c r="A16" s="116" t="s">
        <v>51</v>
      </c>
      <c r="B16" s="117"/>
      <c r="C16" s="117"/>
      <c r="D16" s="117"/>
      <c r="E16" s="117"/>
      <c r="F16" s="118"/>
    </row>
    <row r="17" spans="1:6" x14ac:dyDescent="0.25">
      <c r="A17" s="116" t="s">
        <v>106</v>
      </c>
      <c r="B17" s="117"/>
      <c r="C17" s="117"/>
      <c r="D17" s="117"/>
      <c r="E17" s="117"/>
      <c r="F17" s="118"/>
    </row>
    <row r="18" spans="1:6" ht="18" x14ac:dyDescent="0.25">
      <c r="A18" s="122" t="s">
        <v>107</v>
      </c>
      <c r="B18" s="123"/>
      <c r="C18" s="123"/>
      <c r="D18" s="123"/>
      <c r="E18" s="123"/>
      <c r="F18" s="124"/>
    </row>
    <row r="19" spans="1:6" x14ac:dyDescent="0.25">
      <c r="A19" s="125" t="s">
        <v>3</v>
      </c>
      <c r="B19" s="126" t="s">
        <v>4</v>
      </c>
      <c r="C19" s="126"/>
      <c r="D19" s="126"/>
      <c r="E19" s="126" t="s">
        <v>5</v>
      </c>
      <c r="F19" s="127"/>
    </row>
    <row r="20" spans="1:6" x14ac:dyDescent="0.25">
      <c r="A20" s="125"/>
      <c r="B20" s="1" t="s">
        <v>7</v>
      </c>
      <c r="C20" s="1" t="s">
        <v>8</v>
      </c>
      <c r="D20" s="1" t="s">
        <v>9</v>
      </c>
      <c r="E20" s="1" t="s">
        <v>10</v>
      </c>
      <c r="F20" s="41" t="s">
        <v>11</v>
      </c>
    </row>
    <row r="21" spans="1:6" x14ac:dyDescent="0.25">
      <c r="A21" s="35" t="s">
        <v>108</v>
      </c>
      <c r="B21" s="9">
        <v>7</v>
      </c>
      <c r="C21" s="49">
        <v>5</v>
      </c>
      <c r="D21" s="8">
        <v>200</v>
      </c>
      <c r="E21" s="6">
        <f t="shared" ref="E21:E24" si="1">C21*D21</f>
        <v>1000</v>
      </c>
      <c r="F21" s="43">
        <f t="shared" ref="F21:F24" si="2">B21*E21</f>
        <v>7000</v>
      </c>
    </row>
    <row r="22" spans="1:6" x14ac:dyDescent="0.25">
      <c r="A22" s="35" t="s">
        <v>109</v>
      </c>
      <c r="B22" s="9">
        <v>7</v>
      </c>
      <c r="C22" s="49">
        <v>10</v>
      </c>
      <c r="D22" s="8">
        <v>200</v>
      </c>
      <c r="E22" s="6">
        <f t="shared" si="1"/>
        <v>2000</v>
      </c>
      <c r="F22" s="43">
        <f t="shared" si="2"/>
        <v>14000</v>
      </c>
    </row>
    <row r="23" spans="1:6" x14ac:dyDescent="0.25">
      <c r="A23" s="35" t="s">
        <v>46</v>
      </c>
      <c r="B23" s="9">
        <v>7</v>
      </c>
      <c r="C23" s="49">
        <v>4</v>
      </c>
      <c r="D23" s="8">
        <v>450</v>
      </c>
      <c r="E23" s="6">
        <f t="shared" si="1"/>
        <v>1800</v>
      </c>
      <c r="F23" s="43">
        <f t="shared" si="2"/>
        <v>12600</v>
      </c>
    </row>
    <row r="24" spans="1:6" x14ac:dyDescent="0.25">
      <c r="A24" s="35" t="s">
        <v>110</v>
      </c>
      <c r="B24" s="9">
        <v>7</v>
      </c>
      <c r="C24" s="49">
        <v>4</v>
      </c>
      <c r="D24" s="8">
        <v>350</v>
      </c>
      <c r="E24" s="6">
        <f t="shared" si="1"/>
        <v>1400</v>
      </c>
      <c r="F24" s="43">
        <f t="shared" si="2"/>
        <v>9800</v>
      </c>
    </row>
    <row r="25" spans="1:6" ht="18.75" x14ac:dyDescent="0.4">
      <c r="A25" s="131" t="s">
        <v>115</v>
      </c>
      <c r="B25" s="132"/>
      <c r="C25" s="115" t="s">
        <v>61</v>
      </c>
      <c r="D25" s="115"/>
      <c r="E25" s="46">
        <f>SUM(E21:E24)</f>
        <v>6200</v>
      </c>
      <c r="F25" s="47"/>
    </row>
    <row r="26" spans="1:6" ht="19.5" thickBot="1" x14ac:dyDescent="0.45">
      <c r="A26" s="133"/>
      <c r="B26" s="134"/>
      <c r="C26" s="128" t="s">
        <v>14</v>
      </c>
      <c r="D26" s="128"/>
      <c r="E26" s="37">
        <f>SUM(F21:F24)</f>
        <v>43400</v>
      </c>
      <c r="F26" s="36"/>
    </row>
    <row r="27" spans="1:6" ht="18.75" x14ac:dyDescent="0.4">
      <c r="A27" s="133"/>
      <c r="B27" s="134"/>
      <c r="C27" s="129" t="s">
        <v>62</v>
      </c>
      <c r="D27" s="130"/>
      <c r="E27" s="65">
        <v>80000</v>
      </c>
      <c r="F27" s="36"/>
    </row>
    <row r="28" spans="1:6" ht="19.5" thickBot="1" x14ac:dyDescent="0.45">
      <c r="A28" s="135"/>
      <c r="B28" s="136"/>
      <c r="C28" s="128" t="s">
        <v>14</v>
      </c>
      <c r="D28" s="128"/>
      <c r="E28" s="39">
        <f>SUM(E26:E27)</f>
        <v>123400</v>
      </c>
      <c r="F28" s="40"/>
    </row>
  </sheetData>
  <mergeCells count="14">
    <mergeCell ref="A18:F18"/>
    <mergeCell ref="A19:A20"/>
    <mergeCell ref="B19:D19"/>
    <mergeCell ref="E19:F19"/>
    <mergeCell ref="A1:F1"/>
    <mergeCell ref="A2:F2"/>
    <mergeCell ref="A3:F3"/>
    <mergeCell ref="A16:F16"/>
    <mergeCell ref="A17:F17"/>
    <mergeCell ref="A25:B28"/>
    <mergeCell ref="C25:D25"/>
    <mergeCell ref="C26:D26"/>
    <mergeCell ref="C27:D27"/>
    <mergeCell ref="C28:D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790F-D27E-47E1-8698-6FA1B224374A}">
  <sheetPr>
    <pageSetUpPr fitToPage="1"/>
  </sheetPr>
  <dimension ref="A1:H112"/>
  <sheetViews>
    <sheetView topLeftCell="A105" workbookViewId="0">
      <selection activeCell="I106" sqref="I106"/>
    </sheetView>
  </sheetViews>
  <sheetFormatPr baseColWidth="10" defaultRowHeight="15" x14ac:dyDescent="0.25"/>
  <cols>
    <col min="1" max="1" width="31" bestFit="1" customWidth="1"/>
    <col min="4" max="4" width="15.140625" customWidth="1"/>
    <col min="5" max="5" width="19.7109375" customWidth="1"/>
    <col min="6" max="6" width="15.5703125" customWidth="1"/>
  </cols>
  <sheetData>
    <row r="1" spans="1:6" ht="18.75" x14ac:dyDescent="0.3">
      <c r="A1" s="149" t="s">
        <v>116</v>
      </c>
      <c r="B1" s="150"/>
      <c r="C1" s="150"/>
      <c r="D1" s="150"/>
      <c r="E1" s="150"/>
      <c r="F1" s="150"/>
    </row>
    <row r="2" spans="1:6" ht="18.75" x14ac:dyDescent="0.3">
      <c r="A2" s="152" t="s">
        <v>117</v>
      </c>
      <c r="B2" s="153"/>
      <c r="C2" s="153"/>
      <c r="D2" s="153"/>
      <c r="E2" s="153"/>
      <c r="F2" s="153"/>
    </row>
    <row r="3" spans="1:6" ht="18.75" x14ac:dyDescent="0.3">
      <c r="A3" s="152" t="s">
        <v>118</v>
      </c>
      <c r="B3" s="153"/>
      <c r="C3" s="153"/>
      <c r="D3" s="153"/>
      <c r="E3" s="153"/>
      <c r="F3" s="153"/>
    </row>
    <row r="4" spans="1:6" x14ac:dyDescent="0.25">
      <c r="A4" s="27" t="s">
        <v>3</v>
      </c>
      <c r="B4" s="26">
        <v>13736</v>
      </c>
      <c r="C4" s="26">
        <v>13805</v>
      </c>
      <c r="D4" s="26">
        <v>13808</v>
      </c>
      <c r="E4" s="26">
        <v>13458</v>
      </c>
      <c r="F4" s="26" t="s">
        <v>33</v>
      </c>
    </row>
    <row r="5" spans="1:6" x14ac:dyDescent="0.25">
      <c r="A5" s="14"/>
      <c r="B5" s="24">
        <v>46198</v>
      </c>
      <c r="C5" s="24">
        <v>46204</v>
      </c>
      <c r="D5" s="24">
        <v>46205</v>
      </c>
      <c r="E5" s="24">
        <v>46205</v>
      </c>
      <c r="F5" s="24">
        <v>46203</v>
      </c>
    </row>
    <row r="6" spans="1:6" x14ac:dyDescent="0.25">
      <c r="A6" s="21" t="s">
        <v>119</v>
      </c>
      <c r="B6" s="20">
        <v>38</v>
      </c>
      <c r="C6" s="19"/>
      <c r="D6" s="19"/>
      <c r="E6" s="19"/>
      <c r="F6" s="18">
        <f>SUM(B6:E6)</f>
        <v>38</v>
      </c>
    </row>
    <row r="7" spans="1:6" x14ac:dyDescent="0.25">
      <c r="A7" s="21" t="s">
        <v>120</v>
      </c>
      <c r="B7" s="20">
        <v>38</v>
      </c>
      <c r="C7" s="19"/>
      <c r="D7" s="19"/>
      <c r="E7" s="19"/>
      <c r="F7" s="18">
        <f t="shared" ref="F7:F18" si="0">SUM(B7:E7)</f>
        <v>38</v>
      </c>
    </row>
    <row r="8" spans="1:6" x14ac:dyDescent="0.25">
      <c r="A8" s="21" t="s">
        <v>121</v>
      </c>
      <c r="B8" s="20">
        <v>20</v>
      </c>
      <c r="C8" s="19"/>
      <c r="D8" s="19"/>
      <c r="E8" s="19"/>
      <c r="F8" s="18">
        <f t="shared" si="0"/>
        <v>20</v>
      </c>
    </row>
    <row r="9" spans="1:6" x14ac:dyDescent="0.25">
      <c r="A9" s="21" t="s">
        <v>128</v>
      </c>
      <c r="B9" s="20"/>
      <c r="C9" s="31">
        <v>32</v>
      </c>
      <c r="D9" s="19"/>
      <c r="E9" s="19">
        <v>-32</v>
      </c>
      <c r="F9" s="18">
        <f>SUM(B9:E9)</f>
        <v>0</v>
      </c>
    </row>
    <row r="10" spans="1:6" x14ac:dyDescent="0.25">
      <c r="A10" s="21" t="s">
        <v>122</v>
      </c>
      <c r="B10" s="20">
        <v>22</v>
      </c>
      <c r="C10" s="31">
        <v>15</v>
      </c>
      <c r="D10" s="19"/>
      <c r="E10" s="19"/>
      <c r="F10" s="18">
        <f t="shared" si="0"/>
        <v>37</v>
      </c>
    </row>
    <row r="11" spans="1:6" x14ac:dyDescent="0.25">
      <c r="A11" s="21" t="s">
        <v>123</v>
      </c>
      <c r="B11" s="20">
        <v>42</v>
      </c>
      <c r="C11" s="19"/>
      <c r="D11" s="19"/>
      <c r="E11" s="19"/>
      <c r="F11" s="18">
        <f t="shared" si="0"/>
        <v>42</v>
      </c>
    </row>
    <row r="12" spans="1:6" x14ac:dyDescent="0.25">
      <c r="A12" s="21" t="s">
        <v>124</v>
      </c>
      <c r="B12" s="20">
        <v>700</v>
      </c>
      <c r="C12" s="31">
        <v>400</v>
      </c>
      <c r="D12" s="19"/>
      <c r="E12" s="19"/>
      <c r="F12" s="18">
        <f t="shared" si="0"/>
        <v>1100</v>
      </c>
    </row>
    <row r="13" spans="1:6" x14ac:dyDescent="0.25">
      <c r="A13" s="21" t="s">
        <v>125</v>
      </c>
      <c r="B13" s="20">
        <v>20</v>
      </c>
      <c r="C13" s="31">
        <v>56</v>
      </c>
      <c r="D13" s="19"/>
      <c r="E13" s="19"/>
      <c r="F13" s="18">
        <f t="shared" si="0"/>
        <v>76</v>
      </c>
    </row>
    <row r="14" spans="1:6" x14ac:dyDescent="0.25">
      <c r="A14" s="21" t="s">
        <v>126</v>
      </c>
      <c r="B14" s="20">
        <v>2</v>
      </c>
      <c r="C14" s="31">
        <v>2</v>
      </c>
      <c r="D14" s="19"/>
      <c r="E14" s="19"/>
      <c r="F14" s="18">
        <f t="shared" si="0"/>
        <v>4</v>
      </c>
    </row>
    <row r="15" spans="1:6" x14ac:dyDescent="0.25">
      <c r="A15" s="21" t="s">
        <v>127</v>
      </c>
      <c r="B15" s="20">
        <v>1</v>
      </c>
      <c r="C15" s="19"/>
      <c r="D15" s="19"/>
      <c r="E15" s="19"/>
      <c r="F15" s="18">
        <f t="shared" si="0"/>
        <v>1</v>
      </c>
    </row>
    <row r="16" spans="1:6" x14ac:dyDescent="0.25">
      <c r="A16" s="21" t="s">
        <v>48</v>
      </c>
      <c r="B16" s="20"/>
      <c r="C16" s="31">
        <v>28</v>
      </c>
      <c r="D16" s="19"/>
      <c r="E16" s="19"/>
      <c r="F16" s="18">
        <f t="shared" si="0"/>
        <v>28</v>
      </c>
    </row>
    <row r="17" spans="1:8" x14ac:dyDescent="0.25">
      <c r="A17" s="21" t="s">
        <v>46</v>
      </c>
      <c r="B17" s="20"/>
      <c r="C17" s="19"/>
      <c r="D17" s="19">
        <v>32</v>
      </c>
      <c r="E17" s="19"/>
      <c r="F17" s="18">
        <f t="shared" si="0"/>
        <v>32</v>
      </c>
    </row>
    <row r="18" spans="1:8" x14ac:dyDescent="0.25">
      <c r="A18" s="21"/>
      <c r="B18" s="20"/>
      <c r="C18" s="19"/>
      <c r="D18" s="19"/>
      <c r="E18" s="19"/>
      <c r="F18" s="18">
        <f t="shared" si="0"/>
        <v>0</v>
      </c>
    </row>
    <row r="19" spans="1:8" x14ac:dyDescent="0.25">
      <c r="A19" s="14" t="s">
        <v>17</v>
      </c>
      <c r="B19" s="68">
        <v>0.375</v>
      </c>
      <c r="C19" s="16">
        <v>0.41666666666666669</v>
      </c>
      <c r="D19" s="16">
        <v>0.36805555555555558</v>
      </c>
      <c r="E19" s="16">
        <v>0.41666666666666669</v>
      </c>
      <c r="F19" s="15"/>
    </row>
    <row r="20" spans="1:8" x14ac:dyDescent="0.25">
      <c r="A20" s="14" t="s">
        <v>16</v>
      </c>
      <c r="B20" s="80">
        <v>70000</v>
      </c>
      <c r="C20" s="80">
        <v>80000</v>
      </c>
      <c r="D20" s="80">
        <v>40000</v>
      </c>
      <c r="E20" s="12" t="s">
        <v>129</v>
      </c>
      <c r="F20" s="11">
        <f>SUM(B20:E20)</f>
        <v>190000</v>
      </c>
    </row>
    <row r="22" spans="1:8" ht="15.75" thickBot="1" x14ac:dyDescent="0.3"/>
    <row r="23" spans="1:8" x14ac:dyDescent="0.25">
      <c r="A23" s="119" t="s">
        <v>130</v>
      </c>
      <c r="B23" s="120"/>
      <c r="C23" s="120"/>
      <c r="D23" s="120"/>
      <c r="E23" s="120"/>
      <c r="F23" s="121"/>
    </row>
    <row r="24" spans="1:8" ht="18" x14ac:dyDescent="0.25">
      <c r="A24" s="137" t="s">
        <v>131</v>
      </c>
      <c r="B24" s="123"/>
      <c r="C24" s="123"/>
      <c r="D24" s="123"/>
      <c r="E24" s="123"/>
      <c r="F24" s="138"/>
    </row>
    <row r="25" spans="1:8" ht="18" x14ac:dyDescent="0.25">
      <c r="A25" s="137"/>
      <c r="B25" s="123"/>
      <c r="C25" s="123"/>
      <c r="D25" s="123"/>
      <c r="E25" s="123"/>
      <c r="F25" s="138"/>
    </row>
    <row r="26" spans="1:8" x14ac:dyDescent="0.25">
      <c r="A26" s="125" t="s">
        <v>3</v>
      </c>
      <c r="B26" s="126" t="s">
        <v>4</v>
      </c>
      <c r="C26" s="126"/>
      <c r="D26" s="126"/>
      <c r="E26" s="126" t="s">
        <v>5</v>
      </c>
      <c r="F26" s="139"/>
    </row>
    <row r="27" spans="1:8" x14ac:dyDescent="0.25">
      <c r="A27" s="125"/>
      <c r="B27" s="1" t="s">
        <v>7</v>
      </c>
      <c r="C27" s="1" t="s">
        <v>8</v>
      </c>
      <c r="D27" s="1" t="s">
        <v>9</v>
      </c>
      <c r="E27" s="1" t="s">
        <v>10</v>
      </c>
      <c r="F27" s="41" t="s">
        <v>11</v>
      </c>
    </row>
    <row r="28" spans="1:8" x14ac:dyDescent="0.25">
      <c r="A28" s="35" t="s">
        <v>132</v>
      </c>
      <c r="B28" s="49">
        <v>15</v>
      </c>
      <c r="C28" s="9">
        <v>32</v>
      </c>
      <c r="D28" s="69">
        <v>400</v>
      </c>
      <c r="E28" s="6">
        <f>C28*D28</f>
        <v>12800</v>
      </c>
      <c r="F28" s="43">
        <f>B28*E28</f>
        <v>192000</v>
      </c>
      <c r="G28">
        <v>25</v>
      </c>
      <c r="H28">
        <f>C28*G28</f>
        <v>800</v>
      </c>
    </row>
    <row r="29" spans="1:8" x14ac:dyDescent="0.25">
      <c r="A29" s="35" t="s">
        <v>133</v>
      </c>
      <c r="B29" s="49">
        <v>15</v>
      </c>
      <c r="C29" s="9">
        <v>15</v>
      </c>
      <c r="D29" s="69">
        <v>100</v>
      </c>
      <c r="E29" s="6">
        <f t="shared" ref="E29:E32" si="1">C29*D29</f>
        <v>1500</v>
      </c>
      <c r="F29" s="43">
        <f t="shared" ref="F29:F32" si="2">B29*E29</f>
        <v>22500</v>
      </c>
      <c r="G29">
        <v>1</v>
      </c>
      <c r="H29">
        <f t="shared" ref="H29:H32" si="3">C29*G29</f>
        <v>15</v>
      </c>
    </row>
    <row r="30" spans="1:8" x14ac:dyDescent="0.25">
      <c r="A30" s="35" t="s">
        <v>134</v>
      </c>
      <c r="B30" s="49">
        <v>15</v>
      </c>
      <c r="C30" s="9">
        <v>28</v>
      </c>
      <c r="D30" s="69">
        <v>200</v>
      </c>
      <c r="E30" s="6">
        <f t="shared" si="1"/>
        <v>5600</v>
      </c>
      <c r="F30" s="43">
        <f t="shared" si="2"/>
        <v>84000</v>
      </c>
      <c r="G30">
        <v>29</v>
      </c>
      <c r="H30">
        <f t="shared" si="3"/>
        <v>812</v>
      </c>
    </row>
    <row r="31" spans="1:8" x14ac:dyDescent="0.25">
      <c r="A31" s="35" t="s">
        <v>124</v>
      </c>
      <c r="B31" s="70">
        <v>15</v>
      </c>
      <c r="C31" s="9">
        <v>400</v>
      </c>
      <c r="D31" s="69">
        <v>28</v>
      </c>
      <c r="E31" s="6">
        <f t="shared" si="1"/>
        <v>11200</v>
      </c>
      <c r="F31" s="43">
        <f t="shared" si="2"/>
        <v>168000</v>
      </c>
      <c r="G31">
        <v>0.1</v>
      </c>
      <c r="H31">
        <f t="shared" si="3"/>
        <v>40</v>
      </c>
    </row>
    <row r="32" spans="1:8" x14ac:dyDescent="0.25">
      <c r="A32" s="35" t="s">
        <v>125</v>
      </c>
      <c r="B32" s="70">
        <v>15</v>
      </c>
      <c r="C32" s="9">
        <v>56</v>
      </c>
      <c r="D32" s="69">
        <v>200</v>
      </c>
      <c r="E32" s="6">
        <f t="shared" si="1"/>
        <v>11200</v>
      </c>
      <c r="F32" s="71">
        <f t="shared" si="2"/>
        <v>168000</v>
      </c>
      <c r="G32">
        <v>13.5</v>
      </c>
      <c r="H32">
        <f t="shared" si="3"/>
        <v>756</v>
      </c>
    </row>
    <row r="33" spans="1:8" ht="18.75" x14ac:dyDescent="0.4">
      <c r="A33" s="131" t="s">
        <v>140</v>
      </c>
      <c r="B33" s="132"/>
      <c r="C33" s="184" t="s">
        <v>135</v>
      </c>
      <c r="D33" s="185"/>
      <c r="E33" s="46">
        <f>SUM(E28:E32)</f>
        <v>42300</v>
      </c>
      <c r="F33" s="47"/>
      <c r="H33">
        <f>SUM(H28:H32)</f>
        <v>2423</v>
      </c>
    </row>
    <row r="34" spans="1:8" ht="19.5" thickBot="1" x14ac:dyDescent="0.45">
      <c r="A34" s="133"/>
      <c r="B34" s="134"/>
      <c r="C34" s="128" t="s">
        <v>136</v>
      </c>
      <c r="D34" s="128"/>
      <c r="E34" s="37">
        <f>SUM(F28:F32)</f>
        <v>634500</v>
      </c>
      <c r="F34" s="36"/>
    </row>
    <row r="35" spans="1:8" ht="19.5" thickBot="1" x14ac:dyDescent="0.45">
      <c r="A35" s="133"/>
      <c r="B35" s="134"/>
      <c r="C35" s="129" t="s">
        <v>137</v>
      </c>
      <c r="D35" s="130"/>
      <c r="E35" s="37">
        <v>160000</v>
      </c>
      <c r="F35" s="36"/>
    </row>
    <row r="36" spans="1:8" ht="19.5" thickBot="1" x14ac:dyDescent="0.45">
      <c r="A36" s="133"/>
      <c r="B36" s="134"/>
      <c r="C36" s="188" t="s">
        <v>138</v>
      </c>
      <c r="D36" s="189"/>
      <c r="E36" s="72">
        <v>40000</v>
      </c>
      <c r="F36" s="36"/>
    </row>
    <row r="37" spans="1:8" ht="19.5" thickBot="1" x14ac:dyDescent="0.45">
      <c r="A37" s="135"/>
      <c r="B37" s="136"/>
      <c r="C37" s="186" t="s">
        <v>14</v>
      </c>
      <c r="D37" s="187"/>
      <c r="E37" s="73">
        <f>SUM(E34:E36)</f>
        <v>834500</v>
      </c>
      <c r="F37" s="74"/>
    </row>
    <row r="38" spans="1:8" ht="18.75" x14ac:dyDescent="0.4">
      <c r="A38" s="190" t="s">
        <v>139</v>
      </c>
      <c r="B38" s="190"/>
      <c r="C38" s="75"/>
      <c r="D38" s="75">
        <v>0.14285714285714285</v>
      </c>
      <c r="E38" s="76">
        <v>511200</v>
      </c>
      <c r="F38" s="77"/>
    </row>
    <row r="39" spans="1:8" ht="18.75" x14ac:dyDescent="0.4">
      <c r="A39" s="78" t="s">
        <v>142</v>
      </c>
      <c r="B39" s="79"/>
      <c r="C39" s="79"/>
      <c r="D39" s="79"/>
      <c r="E39" s="79">
        <f>E37-E38</f>
        <v>323300</v>
      </c>
    </row>
    <row r="41" spans="1:8" ht="15.75" thickBot="1" x14ac:dyDescent="0.3"/>
    <row r="42" spans="1:8" x14ac:dyDescent="0.25">
      <c r="A42" s="119" t="s">
        <v>130</v>
      </c>
      <c r="B42" s="120"/>
      <c r="C42" s="120"/>
      <c r="D42" s="120"/>
      <c r="E42" s="120"/>
      <c r="F42" s="121"/>
    </row>
    <row r="43" spans="1:8" ht="18" x14ac:dyDescent="0.25">
      <c r="A43" s="137" t="s">
        <v>131</v>
      </c>
      <c r="B43" s="123"/>
      <c r="C43" s="123"/>
      <c r="D43" s="123"/>
      <c r="E43" s="123"/>
      <c r="F43" s="138"/>
    </row>
    <row r="44" spans="1:8" ht="18" x14ac:dyDescent="0.25">
      <c r="A44" s="137"/>
      <c r="B44" s="123"/>
      <c r="C44" s="123"/>
      <c r="D44" s="123"/>
      <c r="E44" s="123"/>
      <c r="F44" s="138"/>
    </row>
    <row r="45" spans="1:8" x14ac:dyDescent="0.25">
      <c r="A45" s="125" t="s">
        <v>3</v>
      </c>
      <c r="B45" s="126" t="s">
        <v>4</v>
      </c>
      <c r="C45" s="126"/>
      <c r="D45" s="126"/>
      <c r="E45" s="126" t="s">
        <v>5</v>
      </c>
      <c r="F45" s="139"/>
    </row>
    <row r="46" spans="1:8" x14ac:dyDescent="0.25">
      <c r="A46" s="125"/>
      <c r="B46" s="1" t="s">
        <v>7</v>
      </c>
      <c r="C46" s="1" t="s">
        <v>8</v>
      </c>
      <c r="D46" s="1" t="s">
        <v>9</v>
      </c>
      <c r="E46" s="1" t="s">
        <v>10</v>
      </c>
      <c r="F46" s="41" t="s">
        <v>11</v>
      </c>
    </row>
    <row r="47" spans="1:8" x14ac:dyDescent="0.25">
      <c r="A47" s="35" t="s">
        <v>119</v>
      </c>
      <c r="B47" s="49">
        <v>21</v>
      </c>
      <c r="C47" s="7">
        <v>38</v>
      </c>
      <c r="D47" s="69">
        <v>320</v>
      </c>
      <c r="E47" s="6">
        <f>C47*D47</f>
        <v>12160</v>
      </c>
      <c r="F47" s="43">
        <f>B47*E47</f>
        <v>255360</v>
      </c>
    </row>
    <row r="48" spans="1:8" x14ac:dyDescent="0.25">
      <c r="A48" s="35" t="s">
        <v>120</v>
      </c>
      <c r="B48" s="49">
        <v>21</v>
      </c>
      <c r="C48" s="7">
        <v>38</v>
      </c>
      <c r="D48" s="69">
        <v>350</v>
      </c>
      <c r="E48" s="6">
        <f t="shared" ref="E48:E53" si="4">C48*D48</f>
        <v>13300</v>
      </c>
      <c r="F48" s="43">
        <f t="shared" ref="F48:F53" si="5">B48*E48</f>
        <v>279300</v>
      </c>
    </row>
    <row r="49" spans="1:7" x14ac:dyDescent="0.25">
      <c r="A49" s="35" t="s">
        <v>121</v>
      </c>
      <c r="B49" s="49">
        <v>21</v>
      </c>
      <c r="C49" s="7">
        <v>20</v>
      </c>
      <c r="D49" s="69">
        <v>290</v>
      </c>
      <c r="E49" s="6">
        <f t="shared" si="4"/>
        <v>5800</v>
      </c>
      <c r="F49" s="43">
        <f t="shared" si="5"/>
        <v>121800</v>
      </c>
    </row>
    <row r="50" spans="1:7" x14ac:dyDescent="0.25">
      <c r="A50" s="35" t="s">
        <v>133</v>
      </c>
      <c r="B50" s="49">
        <v>21</v>
      </c>
      <c r="C50" s="7">
        <v>22</v>
      </c>
      <c r="D50" s="69">
        <v>100</v>
      </c>
      <c r="E50" s="6">
        <f t="shared" si="4"/>
        <v>2200</v>
      </c>
      <c r="F50" s="43">
        <f t="shared" si="5"/>
        <v>46200</v>
      </c>
    </row>
    <row r="51" spans="1:7" x14ac:dyDescent="0.25">
      <c r="A51" s="35" t="s">
        <v>123</v>
      </c>
      <c r="B51" s="49">
        <v>21</v>
      </c>
      <c r="C51" s="7">
        <v>42</v>
      </c>
      <c r="D51" s="69">
        <v>120</v>
      </c>
      <c r="E51" s="6">
        <f t="shared" si="4"/>
        <v>5040</v>
      </c>
      <c r="F51" s="43">
        <f t="shared" si="5"/>
        <v>105840</v>
      </c>
    </row>
    <row r="52" spans="1:7" x14ac:dyDescent="0.25">
      <c r="A52" s="35" t="s">
        <v>124</v>
      </c>
      <c r="B52" s="70">
        <v>21</v>
      </c>
      <c r="C52" s="7">
        <v>700</v>
      </c>
      <c r="D52" s="69">
        <v>28</v>
      </c>
      <c r="E52" s="6">
        <f t="shared" si="4"/>
        <v>19600</v>
      </c>
      <c r="F52" s="43">
        <f t="shared" si="5"/>
        <v>411600</v>
      </c>
    </row>
    <row r="53" spans="1:7" x14ac:dyDescent="0.25">
      <c r="A53" s="35" t="s">
        <v>125</v>
      </c>
      <c r="B53" s="70">
        <v>21</v>
      </c>
      <c r="C53" s="7">
        <v>20</v>
      </c>
      <c r="D53" s="69">
        <v>200</v>
      </c>
      <c r="E53" s="6">
        <f t="shared" si="4"/>
        <v>4000</v>
      </c>
      <c r="F53" s="71">
        <f t="shared" si="5"/>
        <v>84000</v>
      </c>
    </row>
    <row r="54" spans="1:7" ht="18.75" x14ac:dyDescent="0.4">
      <c r="A54" s="131" t="s">
        <v>141</v>
      </c>
      <c r="B54" s="132"/>
      <c r="C54" s="184" t="s">
        <v>135</v>
      </c>
      <c r="D54" s="185"/>
      <c r="E54" s="46">
        <f>SUM(E47:E53)</f>
        <v>62100</v>
      </c>
      <c r="F54" s="47"/>
    </row>
    <row r="55" spans="1:7" ht="19.5" thickBot="1" x14ac:dyDescent="0.45">
      <c r="A55" s="133"/>
      <c r="B55" s="134"/>
      <c r="C55" s="128" t="s">
        <v>136</v>
      </c>
      <c r="D55" s="128"/>
      <c r="E55" s="37">
        <f>SUM(F47:F53)</f>
        <v>1304100</v>
      </c>
      <c r="F55" s="36"/>
    </row>
    <row r="56" spans="1:7" ht="19.5" thickBot="1" x14ac:dyDescent="0.45">
      <c r="A56" s="133"/>
      <c r="B56" s="134"/>
      <c r="C56" s="129" t="s">
        <v>137</v>
      </c>
      <c r="D56" s="130"/>
      <c r="E56" s="37">
        <v>140000</v>
      </c>
      <c r="F56" s="36"/>
    </row>
    <row r="57" spans="1:7" ht="19.5" thickBot="1" x14ac:dyDescent="0.45">
      <c r="A57" s="135"/>
      <c r="B57" s="136"/>
      <c r="C57" s="186" t="s">
        <v>14</v>
      </c>
      <c r="D57" s="187"/>
      <c r="E57" s="73">
        <f>SUM(E55:E56)</f>
        <v>1444100</v>
      </c>
      <c r="F57" s="74"/>
    </row>
    <row r="58" spans="1:7" ht="18.75" x14ac:dyDescent="0.4">
      <c r="A58" s="81" t="s">
        <v>72</v>
      </c>
      <c r="B58" s="81"/>
      <c r="C58" s="82">
        <v>46197</v>
      </c>
      <c r="D58" s="81"/>
      <c r="E58" s="79">
        <v>800000</v>
      </c>
    </row>
    <row r="59" spans="1:7" ht="18.75" x14ac:dyDescent="0.4">
      <c r="A59" s="81" t="s">
        <v>143</v>
      </c>
      <c r="B59" s="81"/>
      <c r="C59" s="81"/>
      <c r="D59" s="81"/>
      <c r="E59" s="83">
        <f>E57-E58</f>
        <v>644100</v>
      </c>
    </row>
    <row r="60" spans="1:7" ht="18.75" x14ac:dyDescent="0.4">
      <c r="A60" s="81" t="s">
        <v>144</v>
      </c>
      <c r="B60" s="81"/>
      <c r="C60" s="81"/>
      <c r="D60" s="81"/>
      <c r="E60" s="84">
        <f>E39+E59</f>
        <v>967400</v>
      </c>
    </row>
    <row r="61" spans="1:7" ht="15.75" thickBot="1" x14ac:dyDescent="0.3"/>
    <row r="62" spans="1:7" x14ac:dyDescent="0.25">
      <c r="A62" s="119" t="s">
        <v>130</v>
      </c>
      <c r="B62" s="120"/>
      <c r="C62" s="120"/>
      <c r="D62" s="120"/>
      <c r="E62" s="120"/>
      <c r="F62" s="121"/>
      <c r="G62" s="85">
        <v>46219</v>
      </c>
    </row>
    <row r="63" spans="1:7" ht="18" x14ac:dyDescent="0.25">
      <c r="A63" s="137" t="s">
        <v>131</v>
      </c>
      <c r="B63" s="123"/>
      <c r="C63" s="123"/>
      <c r="D63" s="123"/>
      <c r="E63" s="123"/>
      <c r="F63" s="138"/>
    </row>
    <row r="64" spans="1:7" ht="18" x14ac:dyDescent="0.25">
      <c r="A64" s="137"/>
      <c r="B64" s="123"/>
      <c r="C64" s="123"/>
      <c r="D64" s="123"/>
      <c r="E64" s="123"/>
      <c r="F64" s="138"/>
    </row>
    <row r="65" spans="1:8" x14ac:dyDescent="0.25">
      <c r="A65" s="125" t="s">
        <v>3</v>
      </c>
      <c r="B65" s="126" t="s">
        <v>4</v>
      </c>
      <c r="C65" s="126"/>
      <c r="D65" s="126"/>
      <c r="E65" s="126" t="s">
        <v>5</v>
      </c>
      <c r="F65" s="139"/>
    </row>
    <row r="66" spans="1:8" x14ac:dyDescent="0.25">
      <c r="A66" s="125"/>
      <c r="B66" s="1" t="s">
        <v>7</v>
      </c>
      <c r="C66" s="1" t="s">
        <v>8</v>
      </c>
      <c r="D66" s="1" t="s">
        <v>9</v>
      </c>
      <c r="E66" s="1" t="s">
        <v>10</v>
      </c>
      <c r="F66" s="41" t="s">
        <v>11</v>
      </c>
    </row>
    <row r="67" spans="1:8" x14ac:dyDescent="0.25">
      <c r="A67" s="35" t="s">
        <v>145</v>
      </c>
      <c r="B67" s="49">
        <v>16</v>
      </c>
      <c r="C67" s="7">
        <v>22</v>
      </c>
      <c r="D67" s="69">
        <v>400</v>
      </c>
      <c r="E67" s="6">
        <f t="shared" ref="E67:E72" si="6">C67*D67</f>
        <v>8800</v>
      </c>
      <c r="F67" s="43">
        <f t="shared" ref="F67:F72" si="7">B67*E67</f>
        <v>140800</v>
      </c>
      <c r="G67">
        <v>20</v>
      </c>
      <c r="H67">
        <f>C67*G67</f>
        <v>440</v>
      </c>
    </row>
    <row r="68" spans="1:8" x14ac:dyDescent="0.25">
      <c r="A68" s="35" t="s">
        <v>147</v>
      </c>
      <c r="B68" s="49">
        <v>16</v>
      </c>
      <c r="C68" s="7">
        <v>11</v>
      </c>
      <c r="D68" s="69">
        <v>430</v>
      </c>
      <c r="E68" s="6">
        <f t="shared" si="6"/>
        <v>4730</v>
      </c>
      <c r="F68" s="43">
        <f t="shared" si="7"/>
        <v>75680</v>
      </c>
      <c r="G68">
        <v>21</v>
      </c>
      <c r="H68">
        <f t="shared" ref="H68:H72" si="8">C68*G68</f>
        <v>231</v>
      </c>
    </row>
    <row r="69" spans="1:8" x14ac:dyDescent="0.25">
      <c r="A69" s="35" t="s">
        <v>148</v>
      </c>
      <c r="B69" s="49">
        <v>16</v>
      </c>
      <c r="C69" s="7">
        <v>17</v>
      </c>
      <c r="D69" s="69">
        <v>380</v>
      </c>
      <c r="E69" s="6">
        <f t="shared" ref="E69" si="9">C69*D69</f>
        <v>6460</v>
      </c>
      <c r="F69" s="43">
        <f t="shared" ref="F69" si="10">B69*E69</f>
        <v>103360</v>
      </c>
      <c r="G69">
        <v>18.5</v>
      </c>
      <c r="H69">
        <f t="shared" si="8"/>
        <v>314.5</v>
      </c>
    </row>
    <row r="70" spans="1:8" x14ac:dyDescent="0.25">
      <c r="A70" s="35" t="s">
        <v>134</v>
      </c>
      <c r="B70" s="49">
        <v>16</v>
      </c>
      <c r="C70" s="7">
        <v>15</v>
      </c>
      <c r="D70" s="69">
        <v>200</v>
      </c>
      <c r="E70" s="6">
        <f t="shared" si="6"/>
        <v>3000</v>
      </c>
      <c r="F70" s="43">
        <f t="shared" si="7"/>
        <v>48000</v>
      </c>
      <c r="G70">
        <v>29</v>
      </c>
      <c r="H70">
        <f t="shared" si="8"/>
        <v>435</v>
      </c>
    </row>
    <row r="71" spans="1:8" x14ac:dyDescent="0.25">
      <c r="A71" s="35" t="s">
        <v>149</v>
      </c>
      <c r="B71" s="70">
        <v>16</v>
      </c>
      <c r="C71" s="7">
        <v>7</v>
      </c>
      <c r="D71" s="69">
        <v>200</v>
      </c>
      <c r="E71" s="6">
        <f t="shared" si="6"/>
        <v>1400</v>
      </c>
      <c r="F71" s="43">
        <f t="shared" si="7"/>
        <v>22400</v>
      </c>
      <c r="G71">
        <v>11</v>
      </c>
      <c r="H71">
        <f t="shared" si="8"/>
        <v>77</v>
      </c>
    </row>
    <row r="72" spans="1:8" x14ac:dyDescent="0.25">
      <c r="A72" s="35" t="s">
        <v>125</v>
      </c>
      <c r="B72" s="70">
        <v>16</v>
      </c>
      <c r="C72" s="7">
        <v>50</v>
      </c>
      <c r="D72" s="69">
        <v>200</v>
      </c>
      <c r="E72" s="6">
        <f t="shared" si="6"/>
        <v>10000</v>
      </c>
      <c r="F72" s="71">
        <f t="shared" si="7"/>
        <v>160000</v>
      </c>
      <c r="G72">
        <v>13.5</v>
      </c>
      <c r="H72">
        <f t="shared" si="8"/>
        <v>675</v>
      </c>
    </row>
    <row r="73" spans="1:8" ht="18.75" x14ac:dyDescent="0.4">
      <c r="A73" s="131" t="s">
        <v>146</v>
      </c>
      <c r="B73" s="132"/>
      <c r="C73" s="184" t="s">
        <v>135</v>
      </c>
      <c r="D73" s="185"/>
      <c r="E73" s="46">
        <f>SUM(E67:E72)</f>
        <v>34390</v>
      </c>
      <c r="F73" s="47"/>
      <c r="H73">
        <f>SUM(H67:H72)</f>
        <v>2172.5</v>
      </c>
    </row>
    <row r="74" spans="1:8" ht="19.5" thickBot="1" x14ac:dyDescent="0.45">
      <c r="A74" s="133"/>
      <c r="B74" s="134"/>
      <c r="C74" s="128" t="s">
        <v>150</v>
      </c>
      <c r="D74" s="128"/>
      <c r="E74" s="37">
        <f>SUM(F67:F72)</f>
        <v>550240</v>
      </c>
      <c r="F74" s="36"/>
    </row>
    <row r="75" spans="1:8" ht="19.5" thickBot="1" x14ac:dyDescent="0.45">
      <c r="A75" s="133"/>
      <c r="B75" s="134"/>
      <c r="C75" s="129" t="s">
        <v>137</v>
      </c>
      <c r="D75" s="130"/>
      <c r="E75" s="37">
        <v>200000</v>
      </c>
      <c r="F75" s="36"/>
    </row>
    <row r="76" spans="1:8" ht="19.5" thickBot="1" x14ac:dyDescent="0.45">
      <c r="A76" s="135"/>
      <c r="B76" s="136"/>
      <c r="C76" s="186" t="s">
        <v>14</v>
      </c>
      <c r="D76" s="187"/>
      <c r="E76" s="73">
        <f>SUM(E74:E75)</f>
        <v>750240</v>
      </c>
      <c r="F76" s="74"/>
    </row>
    <row r="78" spans="1:8" ht="18.75" x14ac:dyDescent="0.4">
      <c r="A78" s="81" t="s">
        <v>152</v>
      </c>
      <c r="B78" s="81"/>
      <c r="C78" s="81"/>
      <c r="D78" s="81"/>
      <c r="E78" s="84">
        <f>E60+E76</f>
        <v>1717640</v>
      </c>
    </row>
    <row r="80" spans="1:8" x14ac:dyDescent="0.25">
      <c r="A80" t="s">
        <v>151</v>
      </c>
      <c r="E80" s="52">
        <v>1500000</v>
      </c>
    </row>
    <row r="82" spans="1:6" ht="15.75" thickBot="1" x14ac:dyDescent="0.3"/>
    <row r="83" spans="1:6" x14ac:dyDescent="0.25">
      <c r="A83" s="119" t="s">
        <v>130</v>
      </c>
      <c r="B83" s="120"/>
      <c r="C83" s="120"/>
      <c r="D83" s="120"/>
      <c r="E83" s="120"/>
      <c r="F83" s="121"/>
    </row>
    <row r="84" spans="1:6" ht="18" x14ac:dyDescent="0.25">
      <c r="A84" s="137" t="s">
        <v>131</v>
      </c>
      <c r="B84" s="123"/>
      <c r="C84" s="123"/>
      <c r="D84" s="123"/>
      <c r="E84" s="123"/>
      <c r="F84" s="138"/>
    </row>
    <row r="85" spans="1:6" ht="18" x14ac:dyDescent="0.25">
      <c r="A85" s="137"/>
      <c r="B85" s="123"/>
      <c r="C85" s="123"/>
      <c r="D85" s="123"/>
      <c r="E85" s="123"/>
      <c r="F85" s="138"/>
    </row>
    <row r="86" spans="1:6" x14ac:dyDescent="0.25">
      <c r="A86" s="125" t="s">
        <v>3</v>
      </c>
      <c r="B86" s="126" t="s">
        <v>4</v>
      </c>
      <c r="C86" s="126"/>
      <c r="D86" s="126"/>
      <c r="E86" s="126" t="s">
        <v>5</v>
      </c>
      <c r="F86" s="139"/>
    </row>
    <row r="87" spans="1:6" x14ac:dyDescent="0.25">
      <c r="A87" s="125"/>
      <c r="B87" s="1" t="s">
        <v>7</v>
      </c>
      <c r="C87" s="1" t="s">
        <v>8</v>
      </c>
      <c r="D87" s="1" t="s">
        <v>9</v>
      </c>
      <c r="E87" s="1" t="s">
        <v>10</v>
      </c>
      <c r="F87" s="41" t="s">
        <v>11</v>
      </c>
    </row>
    <row r="88" spans="1:6" x14ac:dyDescent="0.25">
      <c r="A88" s="67"/>
      <c r="B88" s="1"/>
      <c r="C88" s="1"/>
      <c r="D88" s="86"/>
      <c r="E88" s="1"/>
      <c r="F88" s="41"/>
    </row>
    <row r="89" spans="1:6" x14ac:dyDescent="0.25">
      <c r="A89" s="35" t="s">
        <v>145</v>
      </c>
      <c r="B89" s="49">
        <v>16</v>
      </c>
      <c r="C89" s="7">
        <v>22</v>
      </c>
      <c r="D89" s="69">
        <v>400</v>
      </c>
      <c r="E89" s="6">
        <f t="shared" ref="E89:E94" si="11">C89*D89</f>
        <v>8800</v>
      </c>
      <c r="F89" s="43">
        <f t="shared" ref="F89:F94" si="12">B89*E89</f>
        <v>140800</v>
      </c>
    </row>
    <row r="90" spans="1:6" x14ac:dyDescent="0.25">
      <c r="A90" s="35" t="s">
        <v>147</v>
      </c>
      <c r="B90" s="49">
        <v>16</v>
      </c>
      <c r="C90" s="7">
        <v>13</v>
      </c>
      <c r="D90" s="69">
        <v>430</v>
      </c>
      <c r="E90" s="6">
        <f t="shared" si="11"/>
        <v>5590</v>
      </c>
      <c r="F90" s="43">
        <f t="shared" si="12"/>
        <v>89440</v>
      </c>
    </row>
    <row r="91" spans="1:6" x14ac:dyDescent="0.25">
      <c r="A91" s="35" t="s">
        <v>148</v>
      </c>
      <c r="B91" s="49">
        <v>16</v>
      </c>
      <c r="C91" s="7">
        <v>15</v>
      </c>
      <c r="D91" s="69">
        <v>380</v>
      </c>
      <c r="E91" s="6">
        <f t="shared" si="11"/>
        <v>5700</v>
      </c>
      <c r="F91" s="43">
        <f t="shared" si="12"/>
        <v>91200</v>
      </c>
    </row>
    <row r="92" spans="1:6" x14ac:dyDescent="0.25">
      <c r="A92" s="35" t="s">
        <v>134</v>
      </c>
      <c r="B92" s="49">
        <v>16</v>
      </c>
      <c r="C92" s="7">
        <v>15</v>
      </c>
      <c r="D92" s="69">
        <v>200</v>
      </c>
      <c r="E92" s="6">
        <f t="shared" si="11"/>
        <v>3000</v>
      </c>
      <c r="F92" s="43">
        <f t="shared" si="12"/>
        <v>48000</v>
      </c>
    </row>
    <row r="93" spans="1:6" x14ac:dyDescent="0.25">
      <c r="A93" s="35" t="s">
        <v>149</v>
      </c>
      <c r="B93" s="70">
        <v>16</v>
      </c>
      <c r="C93" s="7">
        <v>7</v>
      </c>
      <c r="D93" s="69">
        <v>200</v>
      </c>
      <c r="E93" s="6">
        <f t="shared" si="11"/>
        <v>1400</v>
      </c>
      <c r="F93" s="43">
        <f t="shared" si="12"/>
        <v>22400</v>
      </c>
    </row>
    <row r="94" spans="1:6" x14ac:dyDescent="0.25">
      <c r="A94" s="35" t="s">
        <v>125</v>
      </c>
      <c r="B94" s="70">
        <v>16</v>
      </c>
      <c r="C94" s="7">
        <v>50</v>
      </c>
      <c r="D94" s="69">
        <v>200</v>
      </c>
      <c r="E94" s="6">
        <f t="shared" si="11"/>
        <v>10000</v>
      </c>
      <c r="F94" s="71">
        <f t="shared" si="12"/>
        <v>160000</v>
      </c>
    </row>
    <row r="95" spans="1:6" ht="18.75" x14ac:dyDescent="0.4">
      <c r="A95" s="131" t="s">
        <v>146</v>
      </c>
      <c r="B95" s="132"/>
      <c r="C95" s="184" t="s">
        <v>135</v>
      </c>
      <c r="D95" s="185"/>
      <c r="E95" s="46">
        <f>SUM(E89:E94)</f>
        <v>34490</v>
      </c>
      <c r="F95" s="47"/>
    </row>
    <row r="96" spans="1:6" ht="19.5" thickBot="1" x14ac:dyDescent="0.45">
      <c r="A96" s="133"/>
      <c r="B96" s="134"/>
      <c r="C96" s="128" t="s">
        <v>150</v>
      </c>
      <c r="D96" s="128"/>
      <c r="E96" s="37">
        <f>SUM(F89:F94)</f>
        <v>551840</v>
      </c>
      <c r="F96" s="36"/>
    </row>
    <row r="97" spans="1:6" ht="19.5" thickBot="1" x14ac:dyDescent="0.45">
      <c r="A97" s="133"/>
      <c r="B97" s="134"/>
      <c r="C97" s="129" t="s">
        <v>137</v>
      </c>
      <c r="D97" s="130"/>
      <c r="E97" s="37">
        <v>200000</v>
      </c>
      <c r="F97" s="36"/>
    </row>
    <row r="98" spans="1:6" ht="19.5" thickBot="1" x14ac:dyDescent="0.45">
      <c r="A98" s="135"/>
      <c r="B98" s="136"/>
      <c r="C98" s="186" t="s">
        <v>14</v>
      </c>
      <c r="D98" s="187"/>
      <c r="E98" s="73">
        <f>SUM(E96:E97)</f>
        <v>751840</v>
      </c>
      <c r="F98" s="74"/>
    </row>
    <row r="100" spans="1:6" ht="15.75" thickBot="1" x14ac:dyDescent="0.3"/>
    <row r="101" spans="1:6" x14ac:dyDescent="0.25">
      <c r="A101" s="119" t="s">
        <v>130</v>
      </c>
      <c r="B101" s="120"/>
      <c r="C101" s="120"/>
      <c r="D101" s="120"/>
      <c r="E101" s="120"/>
      <c r="F101" s="121"/>
    </row>
    <row r="102" spans="1:6" ht="18" x14ac:dyDescent="0.25">
      <c r="A102" s="137" t="s">
        <v>131</v>
      </c>
      <c r="B102" s="123"/>
      <c r="C102" s="123"/>
      <c r="D102" s="123"/>
      <c r="E102" s="123"/>
      <c r="F102" s="138"/>
    </row>
    <row r="103" spans="1:6" ht="18" x14ac:dyDescent="0.25">
      <c r="A103" s="137"/>
      <c r="B103" s="123"/>
      <c r="C103" s="123"/>
      <c r="D103" s="123"/>
      <c r="E103" s="123"/>
      <c r="F103" s="138"/>
    </row>
    <row r="104" spans="1:6" x14ac:dyDescent="0.25">
      <c r="A104" s="125" t="s">
        <v>3</v>
      </c>
      <c r="B104" s="126" t="s">
        <v>4</v>
      </c>
      <c r="C104" s="126"/>
      <c r="D104" s="126"/>
      <c r="E104" s="126" t="s">
        <v>5</v>
      </c>
      <c r="F104" s="139"/>
    </row>
    <row r="105" spans="1:6" x14ac:dyDescent="0.25">
      <c r="A105" s="125"/>
      <c r="B105" s="1" t="s">
        <v>7</v>
      </c>
      <c r="C105" s="1" t="s">
        <v>8</v>
      </c>
      <c r="D105" s="1" t="s">
        <v>9</v>
      </c>
      <c r="E105" s="1" t="s">
        <v>10</v>
      </c>
      <c r="F105" s="41" t="s">
        <v>11</v>
      </c>
    </row>
    <row r="106" spans="1:6" x14ac:dyDescent="0.25">
      <c r="A106" s="35" t="s">
        <v>46</v>
      </c>
      <c r="B106" s="49">
        <v>16</v>
      </c>
      <c r="C106" s="7">
        <v>20</v>
      </c>
      <c r="D106" s="69">
        <v>400</v>
      </c>
      <c r="E106" s="6">
        <f t="shared" ref="E106:E108" si="13">C106*D106</f>
        <v>8000</v>
      </c>
      <c r="F106" s="43">
        <f t="shared" ref="F106:F108" si="14">B106*E106</f>
        <v>128000</v>
      </c>
    </row>
    <row r="107" spans="1:6" x14ac:dyDescent="0.25">
      <c r="A107" s="35" t="s">
        <v>153</v>
      </c>
      <c r="B107" s="49">
        <v>16</v>
      </c>
      <c r="C107" s="87">
        <v>2</v>
      </c>
      <c r="D107" s="69">
        <v>380</v>
      </c>
      <c r="E107" s="6">
        <f t="shared" si="13"/>
        <v>760</v>
      </c>
      <c r="F107" s="43">
        <f t="shared" si="14"/>
        <v>12160</v>
      </c>
    </row>
    <row r="108" spans="1:6" x14ac:dyDescent="0.25">
      <c r="A108" s="35" t="s">
        <v>145</v>
      </c>
      <c r="B108" s="49">
        <v>16</v>
      </c>
      <c r="C108" s="87">
        <v>1</v>
      </c>
      <c r="D108" s="69">
        <v>400</v>
      </c>
      <c r="E108" s="6">
        <f t="shared" si="13"/>
        <v>400</v>
      </c>
      <c r="F108" s="43">
        <f t="shared" si="14"/>
        <v>6400</v>
      </c>
    </row>
    <row r="109" spans="1:6" ht="18.75" x14ac:dyDescent="0.4">
      <c r="A109" s="131" t="s">
        <v>146</v>
      </c>
      <c r="B109" s="132"/>
      <c r="C109" s="184" t="s">
        <v>135</v>
      </c>
      <c r="D109" s="185"/>
      <c r="E109" s="46">
        <f>SUM(E106:E108)</f>
        <v>9160</v>
      </c>
      <c r="F109" s="47"/>
    </row>
    <row r="110" spans="1:6" ht="19.5" thickBot="1" x14ac:dyDescent="0.45">
      <c r="A110" s="133"/>
      <c r="B110" s="134"/>
      <c r="C110" s="128" t="s">
        <v>150</v>
      </c>
      <c r="D110" s="128"/>
      <c r="E110" s="37">
        <f>SUM(F106:F108)</f>
        <v>146560</v>
      </c>
      <c r="F110" s="36"/>
    </row>
    <row r="111" spans="1:6" ht="19.5" thickBot="1" x14ac:dyDescent="0.45">
      <c r="A111" s="133"/>
      <c r="B111" s="134"/>
      <c r="C111" s="129" t="s">
        <v>137</v>
      </c>
      <c r="D111" s="130"/>
      <c r="E111" s="37"/>
      <c r="F111" s="36"/>
    </row>
    <row r="112" spans="1:6" ht="19.5" thickBot="1" x14ac:dyDescent="0.45">
      <c r="A112" s="135"/>
      <c r="B112" s="136"/>
      <c r="C112" s="186" t="s">
        <v>14</v>
      </c>
      <c r="D112" s="187"/>
      <c r="E112" s="73">
        <f>SUM(E110:E111)</f>
        <v>146560</v>
      </c>
      <c r="F112" s="74"/>
    </row>
  </sheetData>
  <mergeCells count="60">
    <mergeCell ref="A63:F63"/>
    <mergeCell ref="A64:F64"/>
    <mergeCell ref="A65:A66"/>
    <mergeCell ref="B65:D65"/>
    <mergeCell ref="E65:F65"/>
    <mergeCell ref="A73:B76"/>
    <mergeCell ref="C73:D73"/>
    <mergeCell ref="C74:D74"/>
    <mergeCell ref="C75:D75"/>
    <mergeCell ref="C76:D76"/>
    <mergeCell ref="A62:F62"/>
    <mergeCell ref="A38:B38"/>
    <mergeCell ref="A42:F42"/>
    <mergeCell ref="A43:F43"/>
    <mergeCell ref="A44:F44"/>
    <mergeCell ref="A45:A46"/>
    <mergeCell ref="B45:D45"/>
    <mergeCell ref="E45:F45"/>
    <mergeCell ref="A54:B57"/>
    <mergeCell ref="C54:D54"/>
    <mergeCell ref="C55:D55"/>
    <mergeCell ref="C56:D56"/>
    <mergeCell ref="C57:D57"/>
    <mergeCell ref="A1:F1"/>
    <mergeCell ref="A2:F2"/>
    <mergeCell ref="A3:F3"/>
    <mergeCell ref="A23:F23"/>
    <mergeCell ref="A24:F24"/>
    <mergeCell ref="A25:F25"/>
    <mergeCell ref="A83:F83"/>
    <mergeCell ref="A84:F84"/>
    <mergeCell ref="A85:F85"/>
    <mergeCell ref="A86:A87"/>
    <mergeCell ref="B86:D86"/>
    <mergeCell ref="E86:F86"/>
    <mergeCell ref="A26:A27"/>
    <mergeCell ref="B26:D26"/>
    <mergeCell ref="E26:F26"/>
    <mergeCell ref="A33:B37"/>
    <mergeCell ref="C33:D33"/>
    <mergeCell ref="C34:D34"/>
    <mergeCell ref="C35:D35"/>
    <mergeCell ref="C36:D36"/>
    <mergeCell ref="C37:D37"/>
    <mergeCell ref="A95:B98"/>
    <mergeCell ref="C95:D95"/>
    <mergeCell ref="C96:D96"/>
    <mergeCell ref="C97:D97"/>
    <mergeCell ref="C98:D98"/>
    <mergeCell ref="A101:F101"/>
    <mergeCell ref="A102:F102"/>
    <mergeCell ref="A103:F103"/>
    <mergeCell ref="A104:A105"/>
    <mergeCell ref="B104:D104"/>
    <mergeCell ref="E104:F104"/>
    <mergeCell ref="A109:B112"/>
    <mergeCell ref="C109:D109"/>
    <mergeCell ref="C110:D110"/>
    <mergeCell ref="C111:D111"/>
    <mergeCell ref="C112:D112"/>
  </mergeCells>
  <pageMargins left="0.7" right="0.7" top="0.75" bottom="0.75" header="0.3" footer="0.3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ANDREI CADENA</vt:lpstr>
      <vt:lpstr>LUDWING PABON</vt:lpstr>
      <vt:lpstr>LUZ MARINA PEREZ</vt:lpstr>
      <vt:lpstr>YURANIS</vt:lpstr>
      <vt:lpstr>ANGELIKA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2026-07-21T20:40:57Z</cp:lastPrinted>
  <dcterms:created xsi:type="dcterms:W3CDTF">2015-06-05T18:19:34Z</dcterms:created>
  <dcterms:modified xsi:type="dcterms:W3CDTF">2026-07-22T19:15:16Z</dcterms:modified>
</cp:coreProperties>
</file>
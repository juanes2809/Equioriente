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LIO 2026\"/>
    </mc:Choice>
  </mc:AlternateContent>
  <xr:revisionPtr revIDLastSave="0" documentId="13_ncr:1_{82740E90-A083-482A-A6D5-9E99BCEDBEF8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GIOVANY HERNAN TORRADO" sheetId="1" r:id="rId1"/>
    <sheet name="JAZMIN PACHECO" sheetId="2" r:id="rId2"/>
    <sheet name="ALFONSO GARCIA" sheetId="10" r:id="rId3"/>
    <sheet name="POLIMYS" sheetId="23" r:id="rId4"/>
    <sheet name="DIEGO BARRIOS" sheetId="29" r:id="rId5"/>
    <sheet name="HARBEY" sheetId="24" r:id="rId6"/>
    <sheet name="MAESTRO VIDAL" sheetId="11" r:id="rId7"/>
    <sheet name="ANDREI CADENA" sheetId="32" r:id="rId8"/>
    <sheet name="CESAR AUGUSTO MIRADORES " sheetId="3" r:id="rId9"/>
    <sheet name="EDUARDO TOLOZA" sheetId="41" r:id="rId10"/>
    <sheet name="PEDRO ROSAS" sheetId="30" r:id="rId11"/>
    <sheet name="MARIO LOPEZ" sheetId="42" r:id="rId12"/>
    <sheet name="JOSE IVAN" sheetId="37" r:id="rId13"/>
    <sheet name="FELIZ CARILLO" sheetId="44" r:id="rId14"/>
    <sheet name="MIGUEL FLOREZ" sheetId="46" r:id="rId15"/>
    <sheet name="ALIRIO SUAREZ" sheetId="47" r:id="rId16"/>
    <sheet name="JHON ORIGUA" sheetId="39" r:id="rId17"/>
    <sheet name="JAVIER MALDONADO" sheetId="38" r:id="rId18"/>
    <sheet name="PRODUCTOS ALINA " sheetId="45" r:id="rId19"/>
    <sheet name="LEONARDO " sheetId="31" r:id="rId20"/>
    <sheet name="CLAUDIA GIL" sheetId="19" r:id="rId21"/>
    <sheet name="NELSON PADILLA" sheetId="36" r:id="rId22"/>
    <sheet name="WILMER RONDON" sheetId="49" r:id="rId23"/>
    <sheet name="CARLOS MIGUEL" sheetId="4" r:id="rId24"/>
    <sheet name="FREDDY MEZA" sheetId="43" r:id="rId25"/>
    <sheet name="ANGELICA" sheetId="12" r:id="rId26"/>
    <sheet name="YURANIS" sheetId="27" r:id="rId27"/>
    <sheet name="ELIAS RIOS " sheetId="40" r:id="rId28"/>
    <sheet name="ALFONSO LOZANO" sheetId="33" r:id="rId29"/>
    <sheet name="LUIS ERNESTO" sheetId="34" r:id="rId30"/>
    <sheet name="WILSON PAEZ" sheetId="35" r:id="rId31"/>
    <sheet name="JOSE DAVID" sheetId="28" r:id="rId32"/>
    <sheet name="ROSA" sheetId="48" r:id="rId33"/>
    <sheet name="SERGIO LUIS" sheetId="25" r:id="rId34"/>
    <sheet name="LUZBIN PABON" sheetId="15" r:id="rId35"/>
    <sheet name="HERNAN TORRADO " sheetId="13" r:id="rId36"/>
    <sheet name="LUZ MARINA " sheetId="22" r:id="rId37"/>
    <sheet name="GIOVANY SIERRA" sheetId="14" r:id="rId38"/>
    <sheet name="ALQUIOBRAS" sheetId="20" r:id="rId39"/>
    <sheet name="NELSON BERNAL" sheetId="18" r:id="rId40"/>
    <sheet name="EVER HERRERA" sheetId="21" r:id="rId41"/>
    <sheet name="CONSORCIO LA VICTORIA" sheetId="16" r:id="rId42"/>
    <sheet name="CICOM INGENIEROS KARIME" sheetId="17" r:id="rId43"/>
    <sheet name="ANDREA PAOLA" sheetId="5" r:id="rId44"/>
    <sheet name="FREDY MENDOZA" sheetId="8" r:id="rId45"/>
    <sheet name="LUZ MARINA" sheetId="9" r:id="rId46"/>
    <sheet name="ANTONIO GUTIERREZ" sheetId="6" r:id="rId47"/>
    <sheet name="DIEGO GUTIERREZ" sheetId="7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1" l="1"/>
  <c r="H19" i="11"/>
  <c r="H20" i="11"/>
  <c r="H21" i="11"/>
  <c r="H22" i="11"/>
  <c r="P14" i="13" l="1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6" i="16"/>
  <c r="M11" i="14" l="1"/>
  <c r="M8" i="14"/>
  <c r="M7" i="14"/>
  <c r="F11" i="47"/>
  <c r="F12" i="47"/>
  <c r="F13" i="47"/>
  <c r="F14" i="47"/>
  <c r="F15" i="47"/>
  <c r="F16" i="47"/>
  <c r="F17" i="47"/>
  <c r="F11" i="49"/>
  <c r="F10" i="49"/>
  <c r="F12" i="49"/>
  <c r="F9" i="49"/>
  <c r="F8" i="49"/>
  <c r="F7" i="49"/>
  <c r="F6" i="49"/>
  <c r="O10" i="19"/>
  <c r="K16" i="35" l="1"/>
  <c r="G14" i="48"/>
  <c r="G13" i="48"/>
  <c r="G12" i="48"/>
  <c r="G11" i="48"/>
  <c r="G10" i="48"/>
  <c r="G9" i="48"/>
  <c r="G8" i="48"/>
  <c r="G7" i="48"/>
  <c r="G6" i="48"/>
  <c r="P7" i="13" l="1"/>
  <c r="P8" i="13"/>
  <c r="P9" i="13"/>
  <c r="P10" i="13"/>
  <c r="P11" i="13"/>
  <c r="P12" i="13"/>
  <c r="P13" i="13"/>
  <c r="P15" i="13"/>
  <c r="P16" i="13"/>
  <c r="P17" i="13"/>
  <c r="P18" i="13"/>
  <c r="P19" i="13"/>
  <c r="P6" i="13"/>
  <c r="G52" i="28"/>
  <c r="G51" i="28"/>
  <c r="G50" i="28"/>
  <c r="G49" i="28"/>
  <c r="G48" i="28"/>
  <c r="G47" i="28"/>
  <c r="G46" i="28"/>
  <c r="K7" i="35"/>
  <c r="K8" i="35"/>
  <c r="K9" i="35"/>
  <c r="K10" i="35"/>
  <c r="K11" i="35"/>
  <c r="K12" i="35"/>
  <c r="K13" i="35"/>
  <c r="K14" i="35"/>
  <c r="K15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6" i="35"/>
  <c r="O22" i="19"/>
  <c r="J16" i="7"/>
  <c r="J17" i="7"/>
  <c r="J26" i="7"/>
  <c r="J25" i="7"/>
  <c r="J24" i="7"/>
  <c r="J7" i="7"/>
  <c r="J8" i="7"/>
  <c r="J9" i="7"/>
  <c r="J10" i="7"/>
  <c r="J11" i="7"/>
  <c r="J12" i="7"/>
  <c r="J13" i="7"/>
  <c r="J14" i="7"/>
  <c r="J15" i="7"/>
  <c r="J18" i="7"/>
  <c r="J19" i="7"/>
  <c r="J20" i="7"/>
  <c r="J21" i="7"/>
  <c r="J22" i="7"/>
  <c r="J23" i="7"/>
  <c r="J27" i="7"/>
  <c r="F9" i="47"/>
  <c r="F10" i="47"/>
  <c r="F8" i="47"/>
  <c r="F7" i="47"/>
  <c r="F6" i="47"/>
  <c r="F8" i="46"/>
  <c r="F7" i="46"/>
  <c r="F6" i="46"/>
  <c r="F10" i="40"/>
  <c r="M9" i="14"/>
  <c r="M10" i="14"/>
  <c r="M12" i="14"/>
  <c r="M6" i="14"/>
  <c r="F6" i="45"/>
  <c r="F8" i="45"/>
  <c r="F10" i="45"/>
  <c r="F7" i="45"/>
  <c r="F7" i="44"/>
  <c r="F8" i="44"/>
  <c r="F9" i="44"/>
  <c r="F10" i="44"/>
  <c r="F6" i="44"/>
  <c r="J7" i="3" l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6" i="3"/>
  <c r="F9" i="43" l="1"/>
  <c r="F7" i="43"/>
  <c r="F6" i="43"/>
  <c r="O21" i="19" l="1"/>
  <c r="F9" i="42" l="1"/>
  <c r="F8" i="42"/>
  <c r="F7" i="42"/>
  <c r="F6" i="42"/>
  <c r="K39" i="32" l="1"/>
  <c r="K23" i="32"/>
  <c r="K34" i="32"/>
  <c r="G13" i="41"/>
  <c r="G10" i="41"/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E31" i="41"/>
  <c r="G31" i="41" s="1"/>
  <c r="E30" i="41"/>
  <c r="G30" i="41" s="1"/>
  <c r="E29" i="41"/>
  <c r="G29" i="41" s="1"/>
  <c r="E28" i="41"/>
  <c r="G28" i="41" s="1"/>
  <c r="E27" i="41"/>
  <c r="G27" i="41" s="1"/>
  <c r="E26" i="41"/>
  <c r="G26" i="41" s="1"/>
  <c r="E25" i="41"/>
  <c r="G25" i="41" s="1"/>
  <c r="E24" i="41"/>
  <c r="G24" i="41" s="1"/>
  <c r="E23" i="41"/>
  <c r="G23" i="41" s="1"/>
  <c r="G12" i="41"/>
  <c r="G11" i="41"/>
  <c r="G9" i="41"/>
  <c r="G8" i="41"/>
  <c r="G7" i="41"/>
  <c r="G6" i="41"/>
  <c r="E33" i="41" l="1"/>
  <c r="E35" i="41" s="1"/>
  <c r="E32" i="41"/>
  <c r="G21" i="12" l="1"/>
  <c r="G22" i="12"/>
  <c r="G18" i="12"/>
  <c r="G19" i="12"/>
  <c r="G20" i="12"/>
  <c r="G7" i="12"/>
  <c r="G8" i="12"/>
  <c r="G9" i="12"/>
  <c r="G10" i="12"/>
  <c r="G11" i="12"/>
  <c r="G12" i="12"/>
  <c r="G13" i="12"/>
  <c r="G14" i="12"/>
  <c r="G15" i="12"/>
  <c r="G16" i="12"/>
  <c r="G17" i="12"/>
  <c r="G6" i="12"/>
  <c r="G37" i="28"/>
  <c r="G27" i="28"/>
  <c r="G28" i="28"/>
  <c r="G29" i="28"/>
  <c r="G30" i="28"/>
  <c r="G31" i="28"/>
  <c r="G32" i="28"/>
  <c r="G33" i="28"/>
  <c r="G34" i="28"/>
  <c r="G35" i="28"/>
  <c r="G36" i="28"/>
  <c r="G26" i="28"/>
  <c r="G11" i="28"/>
  <c r="G12" i="28"/>
  <c r="G7" i="28"/>
  <c r="G8" i="28"/>
  <c r="G9" i="28"/>
  <c r="G10" i="28"/>
  <c r="G13" i="28"/>
  <c r="G14" i="28"/>
  <c r="G15" i="28"/>
  <c r="G16" i="28"/>
  <c r="G6" i="28"/>
  <c r="F12" i="40"/>
  <c r="F9" i="40"/>
  <c r="F8" i="40"/>
  <c r="F7" i="40"/>
  <c r="F6" i="40"/>
  <c r="F9" i="39"/>
  <c r="F6" i="39"/>
  <c r="F8" i="38"/>
  <c r="F6" i="38"/>
  <c r="F9" i="37"/>
  <c r="F7" i="37"/>
  <c r="F6" i="37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4" i="32"/>
  <c r="K25" i="32"/>
  <c r="K26" i="32"/>
  <c r="K27" i="32"/>
  <c r="K28" i="32"/>
  <c r="K29" i="32"/>
  <c r="K30" i="32"/>
  <c r="K31" i="32"/>
  <c r="K32" i="32"/>
  <c r="K33" i="32"/>
  <c r="K35" i="32"/>
  <c r="K36" i="32"/>
  <c r="K37" i="32"/>
  <c r="K38" i="32"/>
  <c r="K40" i="32"/>
  <c r="K41" i="32"/>
  <c r="K42" i="32"/>
  <c r="K43" i="32"/>
  <c r="K6" i="32"/>
  <c r="I7" i="17" l="1"/>
  <c r="I8" i="17"/>
  <c r="I9" i="17"/>
  <c r="I10" i="17"/>
  <c r="I11" i="17"/>
  <c r="I12" i="17"/>
  <c r="I13" i="17"/>
  <c r="I14" i="17"/>
  <c r="I15" i="17"/>
  <c r="I16" i="17"/>
  <c r="I17" i="17"/>
  <c r="I18" i="17"/>
  <c r="I19" i="17"/>
  <c r="I6" i="17"/>
  <c r="O20" i="19" l="1"/>
  <c r="F11" i="27"/>
  <c r="F7" i="2" l="1"/>
  <c r="F8" i="2"/>
  <c r="F9" i="2"/>
  <c r="F10" i="2"/>
  <c r="F11" i="2"/>
  <c r="F12" i="2"/>
  <c r="F13" i="2"/>
  <c r="F14" i="2"/>
  <c r="F15" i="2"/>
  <c r="F16" i="2"/>
  <c r="F6" i="2"/>
  <c r="H17" i="11" l="1"/>
  <c r="H15" i="11"/>
  <c r="H16" i="11"/>
  <c r="F11" i="36"/>
  <c r="F9" i="36"/>
  <c r="F8" i="36"/>
  <c r="F7" i="36"/>
  <c r="F6" i="36"/>
  <c r="F9" i="34" l="1"/>
  <c r="F8" i="34"/>
  <c r="F7" i="34"/>
  <c r="F6" i="34"/>
  <c r="F9" i="33"/>
  <c r="F8" i="33"/>
  <c r="F7" i="33"/>
  <c r="F6" i="33"/>
  <c r="G20" i="6"/>
  <c r="G13" i="6"/>
  <c r="G14" i="6"/>
  <c r="G15" i="6"/>
  <c r="G16" i="6"/>
  <c r="G17" i="6"/>
  <c r="G18" i="6"/>
  <c r="G19" i="6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6" i="25"/>
  <c r="O7" i="19" l="1"/>
  <c r="O8" i="19"/>
  <c r="O9" i="19"/>
  <c r="O11" i="19"/>
  <c r="O12" i="19"/>
  <c r="O13" i="19"/>
  <c r="O14" i="19"/>
  <c r="O15" i="19"/>
  <c r="O16" i="19"/>
  <c r="O17" i="19"/>
  <c r="O18" i="19"/>
  <c r="O19" i="19"/>
  <c r="F8" i="31"/>
  <c r="F10" i="31"/>
  <c r="F7" i="31"/>
  <c r="F6" i="31"/>
  <c r="F9" i="30"/>
  <c r="F8" i="30"/>
  <c r="F7" i="30"/>
  <c r="F6" i="30"/>
  <c r="L6" i="3"/>
  <c r="L21" i="3" s="1"/>
  <c r="H6" i="29"/>
  <c r="G18" i="28"/>
  <c r="F9" i="27"/>
  <c r="F8" i="27"/>
  <c r="F7" i="27"/>
  <c r="F6" i="27"/>
  <c r="J21" i="25"/>
  <c r="H6" i="24"/>
  <c r="H6" i="23"/>
  <c r="F10" i="22"/>
  <c r="F9" i="22"/>
  <c r="F8" i="22"/>
  <c r="F7" i="22"/>
  <c r="F6" i="22"/>
  <c r="G10" i="21"/>
  <c r="G8" i="21"/>
  <c r="G7" i="21"/>
  <c r="G6" i="21"/>
  <c r="H6" i="20"/>
  <c r="I8" i="8" l="1"/>
  <c r="I7" i="8"/>
  <c r="J4" i="8"/>
  <c r="I6" i="8"/>
  <c r="I20" i="5"/>
  <c r="I18" i="5"/>
  <c r="I17" i="5"/>
  <c r="I16" i="5"/>
  <c r="O6" i="19" l="1"/>
  <c r="G10" i="18" l="1"/>
  <c r="G8" i="18"/>
  <c r="G7" i="18"/>
  <c r="G6" i="18"/>
  <c r="D28" i="17"/>
  <c r="D27" i="17"/>
  <c r="B29" i="17" s="1"/>
  <c r="M14" i="14" l="1"/>
  <c r="B20" i="13"/>
  <c r="H8" i="11"/>
  <c r="H9" i="11"/>
  <c r="H10" i="11"/>
  <c r="H11" i="11"/>
  <c r="H12" i="11"/>
  <c r="H13" i="11"/>
  <c r="H14" i="11"/>
  <c r="H24" i="11"/>
  <c r="H7" i="11"/>
  <c r="H6" i="11"/>
  <c r="G8" i="10" l="1"/>
  <c r="G9" i="10"/>
  <c r="G10" i="10"/>
  <c r="G11" i="10"/>
  <c r="G12" i="10"/>
  <c r="G13" i="10"/>
  <c r="G14" i="10"/>
  <c r="G16" i="10"/>
  <c r="G7" i="10"/>
  <c r="G6" i="10"/>
  <c r="H15" i="2"/>
  <c r="H16" i="2"/>
  <c r="F10" i="9"/>
  <c r="F8" i="9"/>
  <c r="F7" i="9"/>
  <c r="F6" i="9"/>
  <c r="J28" i="7"/>
  <c r="J6" i="7"/>
  <c r="G21" i="6"/>
  <c r="G12" i="6"/>
  <c r="G11" i="6"/>
  <c r="G10" i="6"/>
  <c r="G9" i="6"/>
  <c r="G8" i="6"/>
  <c r="G7" i="6"/>
  <c r="G6" i="6"/>
  <c r="F9" i="5"/>
  <c r="F7" i="5"/>
  <c r="F6" i="5"/>
  <c r="H14" i="2" l="1"/>
  <c r="H13" i="2"/>
  <c r="J11" i="4"/>
  <c r="J9" i="4"/>
  <c r="J8" i="4"/>
  <c r="J7" i="4"/>
  <c r="J6" i="4"/>
  <c r="J22" i="3" l="1"/>
  <c r="F18" i="2" l="1"/>
  <c r="F17" i="2"/>
  <c r="H12" i="2"/>
  <c r="H11" i="2"/>
  <c r="H10" i="2"/>
  <c r="H9" i="2"/>
  <c r="H8" i="2"/>
  <c r="H7" i="2"/>
  <c r="H6" i="2"/>
  <c r="G7" i="1"/>
  <c r="G8" i="1"/>
  <c r="G10" i="1"/>
  <c r="G6" i="1"/>
  <c r="H1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22" authorId="0" shapeId="0" xr:uid="{B2943CC1-EA35-4DA7-A85E-453D73AFADE1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1 DE LS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tc={6E5D6522-3A0D-4337-B49B-1E25C8729B15}</author>
  </authors>
  <commentList>
    <comment ref="C19" authorId="0" shapeId="0" xr:uid="{05D64676-0251-430A-AEE3-9F74262C1D0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 DE 25*25
</t>
        </r>
      </text>
    </comment>
    <comment ref="C28" authorId="0" shapeId="0" xr:uid="{B0241E55-05A0-4507-8AA8-A15959AAC90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6de 30*60y 3 de 60*60
</t>
        </r>
      </text>
    </comment>
    <comment ref="E32" authorId="0" shapeId="0" xr:uid="{3D5F9699-E487-4F1C-9709-41A11495462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ADICIONAL
</t>
        </r>
      </text>
    </comment>
    <comment ref="D36" authorId="1" shapeId="0" xr:uid="{6E5D6522-3A0D-4337-B49B-1E25C8729B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POLIMYS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7" authorId="0" shapeId="0" xr:uid="{193A7BE5-3DF4-4546-B058-C20AB8C64B5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17 CP
</t>
        </r>
      </text>
    </comment>
    <comment ref="F13" authorId="0" shapeId="0" xr:uid="{926A58FB-09C2-48DC-8D29-2C01CC9A80E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REDONDAS
</t>
        </r>
      </text>
    </comment>
    <comment ref="C15" authorId="0" shapeId="0" xr:uid="{4F707B38-2D51-42B7-92E0-D093E9DF65B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PLATINA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E3719278-7002-4A0F-98F7-6AE35832D2D0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2 DE LS
</t>
        </r>
      </text>
    </comment>
    <comment ref="B7" authorId="0" shapeId="0" xr:uid="{05891C27-F888-4DE8-A973-683D98B6B1D7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LS
</t>
        </r>
      </text>
    </comment>
    <comment ref="B8" authorId="0" shapeId="0" xr:uid="{CC064A00-5BE4-4608-96F1-47232E1BACA1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2 DE LS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9999B264-B968-4DF6-B760-D93D4E50126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0" shapeId="0" xr:uid="{AC7175EE-5BCF-48BB-80A4-DDEFF80DDEA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29 5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M17" authorId="0" shapeId="0" xr:uid="{CCBDE4F6-90B5-41FC-98F9-495A3FFE329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59B5B9CB-42A4-444D-BB0A-131C4C071B1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7 DE 50
6 DE 25
3 DE 45*1,20
3 DE 5*1,20
6 DE 25*1,20
7 DE 50*1,20
</t>
        </r>
      </text>
    </comment>
    <comment ref="F21" authorId="0" shapeId="0" xr:uid="{1C34F6A9-57A7-4CFD-B335-241054F5BE5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DE 20*1,20
11 DE 40*1,20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tc={3CA02270-58E9-48ED-ACF9-F9EA45DC8887}</author>
    <author>tc={A015B395-5F99-4F73-A3D9-507027F6B184}</author>
  </authors>
  <commentList>
    <comment ref="B6" authorId="0" shapeId="0" xr:uid="{D4F76731-613A-41C0-8531-A8A8AAC8312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19 CG
</t>
        </r>
      </text>
    </comment>
    <comment ref="C7" authorId="1" shapeId="0" xr:uid="{3CA02270-58E9-48ED-ACF9-F9EA45DC88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2CG</t>
      </text>
    </comment>
    <comment ref="C8" authorId="2" shapeId="0" xr:uid="{A015B395-5F99-4F73-A3D9-507027F6B1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2CG</t>
      </text>
    </comment>
    <comment ref="I9" authorId="0" shapeId="0" xr:uid="{10744E2B-1916-47DC-86C7-A36CABA7920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CG
</t>
        </r>
      </text>
    </comment>
    <comment ref="I16" authorId="0" shapeId="0" xr:uid="{FF8ABC8B-A7FB-4FA2-AA79-BC418F948AB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ALQUIOBRAS </t>
        </r>
      </text>
    </comment>
    <comment ref="G30" authorId="0" shapeId="0" xr:uid="{AA524024-1B79-4170-945C-0CD06A987BE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ENRR5IQUE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26" authorId="0" shapeId="0" xr:uid="{AA259D73-8631-4BDA-B452-3ECDF9A1070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CUENTA ATRASADA
</t>
        </r>
      </text>
    </comment>
    <comment ref="B54" authorId="0" shapeId="0" xr:uid="{59FD25E0-4041-435E-A1AA-8D604310959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SOI-CTZ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6" authorId="0" shapeId="0" xr:uid="{A4DCB31C-08D6-4087-8E21-B553082572B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PLATINA
</t>
        </r>
      </text>
    </comment>
    <comment ref="D11" authorId="0" shapeId="0" xr:uid="{4F0B7042-6F7B-4F1F-AC6D-173934BFCD2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DE 25*1,20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J15" authorId="0" shapeId="0" xr:uid="{6CB039E2-24F0-4E8D-9AF8-30DF3993AB3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LA PAGO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4" authorId="0" shapeId="0" xr:uid="{07AAB4B3-D767-4F89-926C-31C2B0A0E2C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SAN RAFAEL
</t>
        </r>
      </text>
    </comment>
    <comment ref="C5" authorId="0" shapeId="0" xr:uid="{D9B0C958-10B6-4518-B0CF-9E4B440D39A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LA 22
</t>
        </r>
      </text>
    </comment>
    <comment ref="D5" authorId="0" shapeId="0" xr:uid="{123A4B19-1280-49AA-A01A-C9E65562CC6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SAN RAFAEL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0C46F036-A3D9-494D-AEE8-ED73B04AB10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LS
6 ALQ</t>
        </r>
      </text>
    </comment>
    <comment ref="H9" authorId="0" shapeId="0" xr:uid="{6F912192-5C4C-48B9-A65E-015EF1E94F1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 DE 45 Y 1 DE 50*1,20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5" authorId="0" shapeId="0" xr:uid="{DD312393-9A23-442D-A1DA-E6142ED9DBB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9" authorId="0" shapeId="0" xr:uid="{DF72FD15-622A-412A-BE13-B9045DFF6B0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LA LLEVO DON JAVIER Y SE LE PAGO A EL AL TRANSPORTE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15" authorId="0" shapeId="0" xr:uid="{5230CC36-B8F5-40C1-90E2-3E8DA6A5145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FORMALETA DE 15=14
</t>
        </r>
      </text>
    </comment>
    <comment ref="D24" authorId="0" shapeId="0" xr:uid="{341728B3-AB83-4628-AB83-AFA10D1BD0A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SACO
</t>
        </r>
      </text>
    </comment>
  </commentList>
</comments>
</file>

<file path=xl/sharedStrings.xml><?xml version="1.0" encoding="utf-8"?>
<sst xmlns="http://schemas.openxmlformats.org/spreadsheetml/2006/main" count="936" uniqueCount="399">
  <si>
    <t>MATERIAL</t>
  </si>
  <si>
    <t>SALDO</t>
  </si>
  <si>
    <t>HORA</t>
  </si>
  <si>
    <t>Transporte</t>
  </si>
  <si>
    <t>GIOVANI MARTINEZ/HERNAN TORRADO</t>
  </si>
  <si>
    <t xml:space="preserve">CALLE 8 #18-16 COMUNEROS </t>
  </si>
  <si>
    <t>MOVIMIENTO: JULIO 2026</t>
  </si>
  <si>
    <t>MARCOS DE ANDAMIOS 1,50</t>
  </si>
  <si>
    <t>CRUCETAS DE 2,40</t>
  </si>
  <si>
    <t xml:space="preserve">TABLONES DE MADERA DE 3 MTROS </t>
  </si>
  <si>
    <t>OSD 693</t>
  </si>
  <si>
    <t xml:space="preserve">JAZMIN PACHECO </t>
  </si>
  <si>
    <t xml:space="preserve">MIRADORES DE LA UIS </t>
  </si>
  <si>
    <t>MOVIMIENTO:JUNIO /2026</t>
  </si>
  <si>
    <t xml:space="preserve">CHAPETAS </t>
  </si>
  <si>
    <t>PARALES DE 3 MTROS</t>
  </si>
  <si>
    <t>ANGULOS DE 60</t>
  </si>
  <si>
    <t>ANGULOS DE 1,20</t>
  </si>
  <si>
    <t>CESAR AUGUSTO</t>
  </si>
  <si>
    <t>PUERTO RICO</t>
  </si>
  <si>
    <t>FORMALETA DE 60*1,20</t>
  </si>
  <si>
    <t>FORMALETA DE 15*1,20</t>
  </si>
  <si>
    <t>FORMALETA DE 12*1,20</t>
  </si>
  <si>
    <t xml:space="preserve">PARALES DE 3 MTROS </t>
  </si>
  <si>
    <t>CAJA METALICA</t>
  </si>
  <si>
    <t>FORMALETA DE 20*1,20</t>
  </si>
  <si>
    <t xml:space="preserve">CERCHAS DE 3 MTROS </t>
  </si>
  <si>
    <t xml:space="preserve">CERCHAS DE 2 MTROS </t>
  </si>
  <si>
    <t xml:space="preserve">PARALES DE 4 MTROS </t>
  </si>
  <si>
    <t>CTZ</t>
  </si>
  <si>
    <t>MOVIMIENTO: JULIO/2026</t>
  </si>
  <si>
    <t xml:space="preserve">ALINEADORES DE 6 MTROS </t>
  </si>
  <si>
    <t xml:space="preserve">TENSORES </t>
  </si>
  <si>
    <t>CARLOS MIGUEL /BELMAN</t>
  </si>
  <si>
    <t>CALLE 8 #16-20</t>
  </si>
  <si>
    <t>CERCHAS DE 3 MTRS</t>
  </si>
  <si>
    <t>CERCHAS DE 2 MTRS</t>
  </si>
  <si>
    <t>9:AM</t>
  </si>
  <si>
    <t>DGZ-325</t>
  </si>
  <si>
    <t>TABLERO DE MADERA DE 70*1,40</t>
  </si>
  <si>
    <t>FORMALETA DE 25*1,20</t>
  </si>
  <si>
    <t>BANDAS DE 40*1,40</t>
  </si>
  <si>
    <t xml:space="preserve">CERHAS DE 3 MTROS </t>
  </si>
  <si>
    <t>MOVIMIENTO: JULIO /2026</t>
  </si>
  <si>
    <t>ESCALERA DE TIJERA 9 PASOS  ALUMINIO</t>
  </si>
  <si>
    <t>CALLE 20#22-69</t>
  </si>
  <si>
    <t>ANTONIO GUTIERREZ</t>
  </si>
  <si>
    <t>BERLIN</t>
  </si>
  <si>
    <t>TABLEROS DE MADERA 70*1,40</t>
  </si>
  <si>
    <t>CERCHAS DE 1,50</t>
  </si>
  <si>
    <t>CERCHAS DE 1,20</t>
  </si>
  <si>
    <t>BANDAS DE MADERA DE 40*1,40</t>
  </si>
  <si>
    <t xml:space="preserve">SALDO </t>
  </si>
  <si>
    <t xml:space="preserve">JUNIO </t>
  </si>
  <si>
    <t>DIEGO GUTIERREZ</t>
  </si>
  <si>
    <t>FERRETERIA VENADO DE ORO</t>
  </si>
  <si>
    <t>TABLEROS DE MADERA DE 70*1,40</t>
  </si>
  <si>
    <t>CERCHAS DE 3 MTROS</t>
  </si>
  <si>
    <t>CERCHAS DE 1,50  MTROS</t>
  </si>
  <si>
    <t>PARALES DE 4 MTROS</t>
  </si>
  <si>
    <t>PARALES DE 6 MTROS</t>
  </si>
  <si>
    <t>1 GANCHO</t>
  </si>
  <si>
    <t>3 TABLAS DAÑADAS</t>
  </si>
  <si>
    <t>2 TABLAS PARTIDAS</t>
  </si>
  <si>
    <t>MOVIMIENTO:JULIO /2026</t>
  </si>
  <si>
    <t>MOVIMIENTO:JULIO/2026</t>
  </si>
  <si>
    <t>FREDY MENDOZA</t>
  </si>
  <si>
    <t xml:space="preserve">CRA 18 #5-75 COMUNEROS </t>
  </si>
  <si>
    <t xml:space="preserve">ALINEADORES DE 2 MTROS </t>
  </si>
  <si>
    <t>ZORRA</t>
  </si>
  <si>
    <t>A PIE</t>
  </si>
  <si>
    <t>LUZ MARINA</t>
  </si>
  <si>
    <t>CRA 8B #10B-04 TEL: 3125382648</t>
  </si>
  <si>
    <t>MOVIMIENTO:JUNIO / 2025</t>
  </si>
  <si>
    <t>LINEAS DE VIDA</t>
  </si>
  <si>
    <t>CRUCETAS 2,40</t>
  </si>
  <si>
    <t>Hora</t>
  </si>
  <si>
    <t>TRANSPORTE</t>
  </si>
  <si>
    <t>ALFONSO GARCIA/MAESTRO JHON</t>
  </si>
  <si>
    <t>PUERTO RICO  TEL: 3022556577</t>
  </si>
  <si>
    <t>FORMALETA DE 40*1,20</t>
  </si>
  <si>
    <t>FORMALETA DE 10*1,20</t>
  </si>
  <si>
    <t>CORBATAS DE 40</t>
  </si>
  <si>
    <t xml:space="preserve">PINES </t>
  </si>
  <si>
    <t xml:space="preserve">CAJA METALICA </t>
  </si>
  <si>
    <t xml:space="preserve">MAESTRO VIDAL </t>
  </si>
  <si>
    <t>MIRADORES DE LA UIS TEL: 3138758759</t>
  </si>
  <si>
    <t>TABLEROS DE MADERA DE 70*1,4</t>
  </si>
  <si>
    <t>JUNIO</t>
  </si>
  <si>
    <t xml:space="preserve">ANGELICA </t>
  </si>
  <si>
    <t>CRA 17B #48-07 LA CONCORDIA</t>
  </si>
  <si>
    <t>MOVIMIENTO: JUNIO/2026</t>
  </si>
  <si>
    <t>FORMALETA DE 30*1,20</t>
  </si>
  <si>
    <t>FORMALETA DE 35*1,20</t>
  </si>
  <si>
    <t xml:space="preserve">CAJAS METALICAS </t>
  </si>
  <si>
    <t>VALDE</t>
  </si>
  <si>
    <t>****</t>
  </si>
  <si>
    <t xml:space="preserve"> </t>
  </si>
  <si>
    <t>HERNAN TORRADO</t>
  </si>
  <si>
    <t>TABLONES DE 3 MTROS GRUESOS</t>
  </si>
  <si>
    <t>SLINGAS CON GANCHO</t>
  </si>
  <si>
    <t>RUEDAS DE ANDAMIOS</t>
  </si>
  <si>
    <t xml:space="preserve">POLEAS COLGANTES </t>
  </si>
  <si>
    <t xml:space="preserve">PASAMANOS DE 6 MTROS </t>
  </si>
  <si>
    <t xml:space="preserve">ANGULOS DE 6 MTROS </t>
  </si>
  <si>
    <t>***</t>
  </si>
  <si>
    <t>GIONANNY SIERRA</t>
  </si>
  <si>
    <t>CRA 13 #6-26  SAN RAFAEL</t>
  </si>
  <si>
    <t xml:space="preserve">MARCOS DE ANDAMIOS 1,50 NARANJAS </t>
  </si>
  <si>
    <t xml:space="preserve">CRUCETAS DE 2 MTROS </t>
  </si>
  <si>
    <t xml:space="preserve">TABLONES DE 3 MTROS </t>
  </si>
  <si>
    <t xml:space="preserve">PARALES DE 6 MTROS </t>
  </si>
  <si>
    <t>LTZ-832</t>
  </si>
  <si>
    <t>LUZBIN PABON</t>
  </si>
  <si>
    <t>CRA 23 # 47-14 APARTAMENTO 501</t>
  </si>
  <si>
    <t>POLEAS</t>
  </si>
  <si>
    <t>ANGULOS DE 6 MTROS</t>
  </si>
  <si>
    <t>PASAMANOS DE 6 MRS</t>
  </si>
  <si>
    <t>ANGULOS DE 3 MTROS</t>
  </si>
  <si>
    <t>PASAMANOS DE 3 MTRS</t>
  </si>
  <si>
    <t>TABLERO DE MADERA DE 70*1 MTRO</t>
  </si>
  <si>
    <t xml:space="preserve">ARNES DE SEGURIDAD </t>
  </si>
  <si>
    <t xml:space="preserve">LINEA DE VIDA </t>
  </si>
  <si>
    <t xml:space="preserve">PARAL DE 3 MTROS </t>
  </si>
  <si>
    <t xml:space="preserve">MARCOS DE ANDAMIOS DE  0,90*2 MTROS </t>
  </si>
  <si>
    <t>WOL-101</t>
  </si>
  <si>
    <t>MOVIMIENTO:JULIO2026</t>
  </si>
  <si>
    <t>CONSORCIO LA VICTORIA</t>
  </si>
  <si>
    <t>CRA 13 CON CALLE 69 VICTORIA</t>
  </si>
  <si>
    <t>EN OBRA</t>
  </si>
  <si>
    <t>ALINEADORES DE 6 MTROS</t>
  </si>
  <si>
    <t>COBRAR LA FORMALETA DE 60 NO SE RECIBIO PERO SE ANEXA PARA RECORDAR EN INVENTARIO</t>
  </si>
  <si>
    <t>ALINEADORES DE 3 MTROS</t>
  </si>
  <si>
    <t>FORAMLETA DE 50*1,20</t>
  </si>
  <si>
    <t>FORMALETA DE 30 1,20</t>
  </si>
  <si>
    <t>COBRAR LA FORMALETA DE 30 NO SE RECIBIO PERO SE ANEXA PARA RECORDAR EN INVENTARIO</t>
  </si>
  <si>
    <t>CHAPETAS</t>
  </si>
  <si>
    <t>RINCONERAS 10*10*1,20</t>
  </si>
  <si>
    <t>PARALES DE 1 MTRO</t>
  </si>
  <si>
    <t>PINES</t>
  </si>
  <si>
    <t>3:30PM</t>
  </si>
  <si>
    <t>MOVIMIENTO:JULIO/ 2026</t>
  </si>
  <si>
    <t>KARIME</t>
  </si>
  <si>
    <t>CRA 17 #5-35 COMUNEROS TEL: 3184228009</t>
  </si>
  <si>
    <t>ALINEADOR DE 1 MTRO</t>
  </si>
  <si>
    <t>PARALES DE 4 MTRS</t>
  </si>
  <si>
    <t xml:space="preserve">BASE DE PARAL DE 3 MTROS </t>
  </si>
  <si>
    <t xml:space="preserve">ALINEADOR DE 4 MTROS </t>
  </si>
  <si>
    <t>TENSORES</t>
  </si>
  <si>
    <t>AWG-768</t>
  </si>
  <si>
    <t>CWG-768</t>
  </si>
  <si>
    <t>RDR-416</t>
  </si>
  <si>
    <t>MATERIAL NO ENTREGADO</t>
  </si>
  <si>
    <t xml:space="preserve">CANTIDAD </t>
  </si>
  <si>
    <t xml:space="preserve">VALOR </t>
  </si>
  <si>
    <t>TOTAL</t>
  </si>
  <si>
    <t xml:space="preserve">UNITARIO </t>
  </si>
  <si>
    <t>ANGULO DE 60</t>
  </si>
  <si>
    <t>PARAL DE 4 MTROS</t>
  </si>
  <si>
    <t xml:space="preserve">BASE DE PARAL </t>
  </si>
  <si>
    <t>TOTAL MATERIAL A LA FECHA</t>
  </si>
  <si>
    <t>MOVIMIENTO:JULIO 2026</t>
  </si>
  <si>
    <t xml:space="preserve">NELSON BERNAL </t>
  </si>
  <si>
    <t xml:space="preserve">CALLE 8 # 24-55 COMUNEROS </t>
  </si>
  <si>
    <t xml:space="preserve">MARCOS DE ANDAMIOS 0,90*2 MTROS </t>
  </si>
  <si>
    <t xml:space="preserve">TABLONES CORTOS </t>
  </si>
  <si>
    <t>FORMALETA DE 50*1,20</t>
  </si>
  <si>
    <t>CLAUDIA GIL</t>
  </si>
  <si>
    <t>GIRARDOT</t>
  </si>
  <si>
    <t>31-06</t>
  </si>
  <si>
    <t>CERCHAS DE 3 MTROS PLATINA</t>
  </si>
  <si>
    <t xml:space="preserve">CERCHAS DE 1 MTROS </t>
  </si>
  <si>
    <t>BANDAS DE 50*1,20</t>
  </si>
  <si>
    <t xml:space="preserve">cte 1 07-paral </t>
  </si>
  <si>
    <t>cte02-07 fmat de 25</t>
  </si>
  <si>
    <t xml:space="preserve">ANDREA PAOLA </t>
  </si>
  <si>
    <t>ANDREA PAOLA</t>
  </si>
  <si>
    <t>CALLE 22#22-69</t>
  </si>
  <si>
    <t>MARCOS DE ANDAMIOS 0,90*2 MTROS</t>
  </si>
  <si>
    <t>CCL-358</t>
  </si>
  <si>
    <t>CERCOS PARTIDOS 1</t>
  </si>
  <si>
    <t>TABLA DE 70 CM FALTANTES 10</t>
  </si>
  <si>
    <t>ALQUIOBRAS-SANTANDER</t>
  </si>
  <si>
    <t>CALLE 14#19-37TEL:3164176674/3165134059</t>
  </si>
  <si>
    <t>MOVIMIENTO: JULIO / 2026</t>
  </si>
  <si>
    <t>TTTU-924</t>
  </si>
  <si>
    <t xml:space="preserve">LSP-YIA </t>
  </si>
  <si>
    <t>EVER HERRERA</t>
  </si>
  <si>
    <t>CRA 29 #33-66</t>
  </si>
  <si>
    <t xml:space="preserve">ESCALERA DE ALUMINIO AMARILLA DE EXTENSION 4 A 8 MTROS </t>
  </si>
  <si>
    <t>3.30</t>
  </si>
  <si>
    <t>TDK 092</t>
  </si>
  <si>
    <t>CRA 16 #16-46</t>
  </si>
  <si>
    <t>POLIMYS</t>
  </si>
  <si>
    <t>MOVIMIENTO JULIO / 2025</t>
  </si>
  <si>
    <t>HARBEY</t>
  </si>
  <si>
    <t>SERGIO /LUIS MARTIN FORERO</t>
  </si>
  <si>
    <t>MOVIMIENTO: JUNIO /2026</t>
  </si>
  <si>
    <t>PARALES DE 3,5</t>
  </si>
  <si>
    <t>VALDE PLASTICO</t>
  </si>
  <si>
    <t xml:space="preserve">VALDES PLASTIOS </t>
  </si>
  <si>
    <t>ctz</t>
  </si>
  <si>
    <t>YURANIS</t>
  </si>
  <si>
    <t>COLORADOS</t>
  </si>
  <si>
    <t>CERCHAS DE3 MTROS</t>
  </si>
  <si>
    <t>JOSE DAVID</t>
  </si>
  <si>
    <t>MIRADORES DE LA UIS</t>
  </si>
  <si>
    <t xml:space="preserve">MARCOS DE ANDAMIOS 1,50 AZULES </t>
  </si>
  <si>
    <t xml:space="preserve">CRUCETAS DE </t>
  </si>
  <si>
    <t>CHAPETTAS</t>
  </si>
  <si>
    <t>PARALES DE 4 MTRSO</t>
  </si>
  <si>
    <t xml:space="preserve">DIEGO BARRIOS </t>
  </si>
  <si>
    <t>CALLE 7 CON CRA 19 ADVENTISTA</t>
  </si>
  <si>
    <t xml:space="preserve">TABLON DE 3 MTROS </t>
  </si>
  <si>
    <t>PARAL DE 6 MTRS</t>
  </si>
  <si>
    <t>POLEAS IZQUIERDA Y DERECHA</t>
  </si>
  <si>
    <t>********</t>
  </si>
  <si>
    <t>PEDRO ROSAS</t>
  </si>
  <si>
    <t>CRA 28 #12A ESQUINA</t>
  </si>
  <si>
    <t xml:space="preserve">LEONARDO </t>
  </si>
  <si>
    <t>CALLE 9 #26-46</t>
  </si>
  <si>
    <t xml:space="preserve">MARCOS DE ANDAMIOS DE 1,50 NARANJAS </t>
  </si>
  <si>
    <t>JAVIER</t>
  </si>
  <si>
    <t>ANDREI CADENA</t>
  </si>
  <si>
    <t>CRA 17A #60-17 RICAUTE</t>
  </si>
  <si>
    <t>MARCOS DE ANDAMIOS 1,50 AZULES</t>
  </si>
  <si>
    <t>TABLONES DE 3 MTRS</t>
  </si>
  <si>
    <t>TABREROS DE MADERA 70*1,40</t>
  </si>
  <si>
    <t>CERCHAS DE 2 MTROS</t>
  </si>
  <si>
    <t>TABLERO DE MADERA DE 50*1 MTRO</t>
  </si>
  <si>
    <t>BANDA DE MADERA DE 40*1,20</t>
  </si>
  <si>
    <t>BANDA DE MADERA DE 40*1,40</t>
  </si>
  <si>
    <t>FORMALETA DE 30*60</t>
  </si>
  <si>
    <t>FORMALETA DE 5*1,20</t>
  </si>
  <si>
    <t>FORMALETA DE 55*1,20</t>
  </si>
  <si>
    <t>FORMALETA DE 45*1,20</t>
  </si>
  <si>
    <t>FORAMLETA DE 15*1,20</t>
  </si>
  <si>
    <t>FORMALETA DE  20*60</t>
  </si>
  <si>
    <t>RINCONERA DE 10*10*60</t>
  </si>
  <si>
    <t>FORMALETA DE 60*60</t>
  </si>
  <si>
    <t>RINCONETA DE 10*10*1,20</t>
  </si>
  <si>
    <t>ANGULOS DE 120</t>
  </si>
  <si>
    <t>CAJAS METALICAS</t>
  </si>
  <si>
    <t>hora</t>
  </si>
  <si>
    <t>ESCALERA DE TIJERA VERDE</t>
  </si>
  <si>
    <t>A</t>
  </si>
  <si>
    <t xml:space="preserve">FORMALETA DE 40*40 </t>
  </si>
  <si>
    <t>ESK-323</t>
  </si>
  <si>
    <t>HDM-837</t>
  </si>
  <si>
    <t>ALFONSO LOZANO</t>
  </si>
  <si>
    <t xml:space="preserve">CALLE 10#25-17 TEL: </t>
  </si>
  <si>
    <t xml:space="preserve">ESCALERA DE ALUMINIO 3 A 6 MTROS </t>
  </si>
  <si>
    <t>675-AEY</t>
  </si>
  <si>
    <t>DEPOSITO DE 400,000</t>
  </si>
  <si>
    <t xml:space="preserve">TABLONES DE 3 MROS </t>
  </si>
  <si>
    <t>LUIS ERNESTO</t>
  </si>
  <si>
    <t>CALLE 21 #30-55 TEL: 3124088066</t>
  </si>
  <si>
    <t>WILSON PAEZ</t>
  </si>
  <si>
    <t>MIRAMANGA MORRORICO</t>
  </si>
  <si>
    <t>FORMALETAS DE 25*1,20</t>
  </si>
  <si>
    <t xml:space="preserve">RUEDAS PARA ANDAMIOS </t>
  </si>
  <si>
    <t>CANCELO 10000</t>
  </si>
  <si>
    <t>CORTE AL 8</t>
  </si>
  <si>
    <t>CTE AL 8</t>
  </si>
  <si>
    <t>MOVIMIENTO/JULIO 2026</t>
  </si>
  <si>
    <t xml:space="preserve">NELSON PADILLA </t>
  </si>
  <si>
    <t>CALLE 1B#18-08 TEL: 3172731407</t>
  </si>
  <si>
    <t xml:space="preserve">MARCOS DE ANDAMIOS 0,90*2MTROS </t>
  </si>
  <si>
    <t xml:space="preserve">VALDE AMARILLO </t>
  </si>
  <si>
    <t>MOTO</t>
  </si>
  <si>
    <t xml:space="preserve">FORMALETA DE 35*80 CORTA </t>
  </si>
  <si>
    <t>FORMALETA DE 30*80</t>
  </si>
  <si>
    <t>FORMALETA DE 25*60 CORTA</t>
  </si>
  <si>
    <t xml:space="preserve">FORMALETA DE 35*60 CORTA </t>
  </si>
  <si>
    <t>RINCONERA  PQ</t>
  </si>
  <si>
    <t>RINCONERA MEDIANA 10*10*20,30,,,</t>
  </si>
  <si>
    <t>CRA 18 CON CALLE 8</t>
  </si>
  <si>
    <t>8;00</t>
  </si>
  <si>
    <t>10&lt;.50</t>
  </si>
  <si>
    <t xml:space="preserve">BALDE </t>
  </si>
  <si>
    <t>a pie</t>
  </si>
  <si>
    <t>FRMALETA DE 20*1,20</t>
  </si>
  <si>
    <t>WFC-275</t>
  </si>
  <si>
    <t xml:space="preserve">TABLON CORTO </t>
  </si>
  <si>
    <t>RINCONERA DE 15*15*1,20</t>
  </si>
  <si>
    <t>FORMALETA DE 10*80</t>
  </si>
  <si>
    <t>BUC-015</t>
  </si>
  <si>
    <t>TTU-924</t>
  </si>
  <si>
    <t>CTE AL 10-06</t>
  </si>
  <si>
    <t>ALINEADORES DE 9 MTROS</t>
  </si>
  <si>
    <t xml:space="preserve">ALINEADORES DE 3 MTROS </t>
  </si>
  <si>
    <t xml:space="preserve">BALDE NEGRO </t>
  </si>
  <si>
    <t>DUCTOLON</t>
  </si>
  <si>
    <t>70MTRO</t>
  </si>
  <si>
    <t>JIMMY JAIMES</t>
  </si>
  <si>
    <t>DETALLES</t>
  </si>
  <si>
    <t>COSTOS</t>
  </si>
  <si>
    <t>DIAS</t>
  </si>
  <si>
    <t>CANTIDAD</t>
  </si>
  <si>
    <t>VALOR</t>
  </si>
  <si>
    <t>COSTO DIARIO</t>
  </si>
  <si>
    <t>PRECIO DIARIO</t>
  </si>
  <si>
    <t>ANGULOS 1,20</t>
  </si>
  <si>
    <t xml:space="preserve">JOSE IVAN </t>
  </si>
  <si>
    <t>CALLE 6 CON 20</t>
  </si>
  <si>
    <t>PARALES DE 80MROS</t>
  </si>
  <si>
    <t xml:space="preserve">PARALES DE 1 MTRO </t>
  </si>
  <si>
    <t>CWJ-374</t>
  </si>
  <si>
    <t>DEPOSITO $200,000</t>
  </si>
  <si>
    <t>JAVIER MALDONADO</t>
  </si>
  <si>
    <t>CALLE 19 CON CRA 20</t>
  </si>
  <si>
    <t>TROMPO DESEEL</t>
  </si>
  <si>
    <t>JHON ORIGUA</t>
  </si>
  <si>
    <t xml:space="preserve">CABECERA </t>
  </si>
  <si>
    <t xml:space="preserve">RUEDAS DE ANDAMIOS </t>
  </si>
  <si>
    <t xml:space="preserve">ELIAS RIOS </t>
  </si>
  <si>
    <t xml:space="preserve">SANTOS BAJOS </t>
  </si>
  <si>
    <t>FORMALET DE 25*1,20</t>
  </si>
  <si>
    <t>ANGULOS DE 2,40</t>
  </si>
  <si>
    <t>COA-566</t>
  </si>
  <si>
    <t>FORMALETA DE 20*60</t>
  </si>
  <si>
    <t xml:space="preserve">             </t>
  </si>
  <si>
    <t>CERCHAS DE 1 MTRS</t>
  </si>
  <si>
    <t xml:space="preserve">PESO </t>
  </si>
  <si>
    <t>EDUARDO TOLOZA</t>
  </si>
  <si>
    <t>CRA 18AW#60-43 TEL: 3187500243</t>
  </si>
  <si>
    <t xml:space="preserve">CERCHAS DE 1 MTRO </t>
  </si>
  <si>
    <t>TABLEROS  DE MADERA 70*1,40</t>
  </si>
  <si>
    <t>BANDAS DE MADERA 50*1,40</t>
  </si>
  <si>
    <t>*****</t>
  </si>
  <si>
    <t>PRADOS DEL MUTIS</t>
  </si>
  <si>
    <t>JUNIO 6 A JUNIO 16-2026</t>
  </si>
  <si>
    <t xml:space="preserve">CERCHAS DE 2 MTOS </t>
  </si>
  <si>
    <t xml:space="preserve">CERCHAS DE 1 MTOS </t>
  </si>
  <si>
    <t>JUNIO 17 A JULIO 16-2026</t>
  </si>
  <si>
    <t>BANDAS DE MADERA DE 50*1,40</t>
  </si>
  <si>
    <t>JUNIO 6 A JULIO 16-2026</t>
  </si>
  <si>
    <t>VALOR DIARIO</t>
  </si>
  <si>
    <t xml:space="preserve">DIAS </t>
  </si>
  <si>
    <t>recogida del 16-06-2026</t>
  </si>
  <si>
    <t>RECOGIDA</t>
  </si>
  <si>
    <t>RECOGIDA DEL DIA 17-07-2026</t>
  </si>
  <si>
    <t>TOTAL DIAS</t>
  </si>
  <si>
    <t>MARIO LOPEZ</t>
  </si>
  <si>
    <t>DEPOSITO  $100,000</t>
  </si>
  <si>
    <t>CERCHAS DE 2 MTTS</t>
  </si>
  <si>
    <t>M</t>
  </si>
  <si>
    <t>ALINEADORES DE 6 MTRS</t>
  </si>
  <si>
    <t>ALINEADORES DE1,50</t>
  </si>
  <si>
    <t>FREDDY MEZZA</t>
  </si>
  <si>
    <t>CRA 19 7-55</t>
  </si>
  <si>
    <t xml:space="preserve">TABLONES </t>
  </si>
  <si>
    <t>A  PIE</t>
  </si>
  <si>
    <t xml:space="preserve">                                                                                                                                           </t>
  </si>
  <si>
    <t>zorra</t>
  </si>
  <si>
    <t>FELIZ CARRILLO</t>
  </si>
  <si>
    <t>RADIO TAXIX LIBRES</t>
  </si>
  <si>
    <t xml:space="preserve">MARCOS DE ANDAMIOS  AMARILLOS </t>
  </si>
  <si>
    <t xml:space="preserve">ZORRA </t>
  </si>
  <si>
    <t>MOVIMIENTO: JUNIO/ JULIO2026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</si>
  <si>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</si>
  <si>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ALINA </t>
  </si>
  <si>
    <t>CRA 19 #5-21</t>
  </si>
  <si>
    <t xml:space="preserve">TABLONES DE MADERA </t>
  </si>
  <si>
    <t>MIGUEL FLOREZ</t>
  </si>
  <si>
    <t>CRA 25 #8A-24 UNIVERSIDAD</t>
  </si>
  <si>
    <t>MOVIMIENTO: / JULIO2026</t>
  </si>
  <si>
    <t xml:space="preserve">CRUCETAS DE 2.40 MTROS </t>
  </si>
  <si>
    <t>CERCHAS DE 3 MTRO</t>
  </si>
  <si>
    <t>CERCHAS DE 1 MTRO</t>
  </si>
  <si>
    <t>PARALES DE 3 MTRO</t>
  </si>
  <si>
    <t>SOZ-202</t>
  </si>
  <si>
    <t>ALIRIO SUAREZ</t>
  </si>
  <si>
    <t>MIRAMANGA TEL:    3157356885</t>
  </si>
  <si>
    <t>RINCONERAS DE 10*10*60</t>
  </si>
  <si>
    <t>RINCONERAS DE 10*10*1,20</t>
  </si>
  <si>
    <t>PARAL DE 1 METRO</t>
  </si>
  <si>
    <t xml:space="preserve">ALINEADORES DE 6 MTRO </t>
  </si>
  <si>
    <t>SOI-790</t>
  </si>
  <si>
    <t>FORMALETA DE 25*60</t>
  </si>
  <si>
    <t>******</t>
  </si>
  <si>
    <t>CAMIONETA</t>
  </si>
  <si>
    <t>TABLEROS DE MADERA DE 7*1,40</t>
  </si>
  <si>
    <t xml:space="preserve">CERCHAS DE 2 MTRO </t>
  </si>
  <si>
    <t>ALINEADORES DE 6</t>
  </si>
  <si>
    <t>PAGO HASTA EL 24 DE JULIO 2026</t>
  </si>
  <si>
    <t xml:space="preserve">ROSA </t>
  </si>
  <si>
    <t>INDEPENDENCIA</t>
  </si>
  <si>
    <t>ANGULS DE 1,20</t>
  </si>
  <si>
    <t>PARALES DE 4 MTRO</t>
  </si>
  <si>
    <t>CARRO</t>
  </si>
  <si>
    <t>PASAMANOS DE 6 MTRS</t>
  </si>
  <si>
    <t>TTR-220</t>
  </si>
  <si>
    <t>CARRO NUE</t>
  </si>
  <si>
    <t>CTE 24-07</t>
  </si>
  <si>
    <t>WILMER RONDON</t>
  </si>
  <si>
    <t xml:space="preserve">ANGULOS DE 6 MTRO </t>
  </si>
  <si>
    <t>PASAMANOS DE 6 METROS</t>
  </si>
  <si>
    <t>TABLEROS DE 70*1,40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</si>
</sst>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h:mm:ss;@"/>
    <numFmt numFmtId="165" formatCode="_-&quot;$&quot;\ * #,##0_-;\-&quot;$&quot;\ * #,##0_-;_-&quot;$&quot;\ * &quot;-&quot;??_-;_-@_-"/>
    <numFmt numFmtId="166" formatCode="_(&quot;$&quot;\ * #,##0_);_(&quot;$&quot;\ * \(#,##0\);_(&quot;$&quot;\ * &quot;-&quot;??_);_(@_)"/>
    <numFmt numFmtId="167" formatCode="hh:mm:ss;@"/>
    <numFmt numFmtId="168" formatCode="[$-F400]h:mm:ss\ AM/P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9">
    <xf numFmtId="0" fontId="0" fillId="0" borderId="0" xfId="0"/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6" fontId="2" fillId="3" borderId="8" xfId="0" applyNumberFormat="1" applyFont="1" applyFill="1" applyBorder="1" applyAlignment="1">
      <alignment horizontal="center" vertical="center"/>
    </xf>
    <xf numFmtId="16" fontId="2" fillId="4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right" vertical="center"/>
    </xf>
    <xf numFmtId="166" fontId="2" fillId="3" borderId="8" xfId="1" applyNumberFormat="1" applyFont="1" applyFill="1" applyBorder="1" applyAlignment="1">
      <alignment horizontal="right" vertical="center"/>
    </xf>
    <xf numFmtId="165" fontId="2" fillId="3" borderId="8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64" fontId="2" fillId="4" borderId="8" xfId="0" applyNumberFormat="1" applyFont="1" applyFill="1" applyBorder="1" applyAlignment="1">
      <alignment horizontal="center" vertical="center"/>
    </xf>
    <xf numFmtId="165" fontId="2" fillId="4" borderId="8" xfId="1" applyNumberFormat="1" applyFont="1" applyFill="1" applyBorder="1" applyAlignment="1">
      <alignment horizontal="right" vertical="center"/>
    </xf>
    <xf numFmtId="0" fontId="0" fillId="2" borderId="0" xfId="0" applyFill="1"/>
    <xf numFmtId="164" fontId="2" fillId="3" borderId="8" xfId="1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165" fontId="2" fillId="3" borderId="8" xfId="1" applyNumberFormat="1" applyFont="1" applyFill="1" applyBorder="1" applyAlignment="1">
      <alignment vertical="center"/>
    </xf>
    <xf numFmtId="20" fontId="2" fillId="4" borderId="8" xfId="0" applyNumberFormat="1" applyFont="1" applyFill="1" applyBorder="1" applyAlignment="1">
      <alignment horizontal="center" vertical="center"/>
    </xf>
    <xf numFmtId="165" fontId="2" fillId="4" borderId="8" xfId="1" applyNumberFormat="1" applyFont="1" applyFill="1" applyBorder="1" applyAlignment="1">
      <alignment vertical="center"/>
    </xf>
    <xf numFmtId="1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1" fontId="2" fillId="2" borderId="8" xfId="0" applyNumberFormat="1" applyFont="1" applyFill="1" applyBorder="1" applyAlignment="1">
      <alignment horizontal="center" vertical="center"/>
    </xf>
    <xf numFmtId="164" fontId="2" fillId="4" borderId="8" xfId="1" applyNumberFormat="1" applyFont="1" applyFill="1" applyBorder="1" applyAlignment="1">
      <alignment horizontal="center" vertical="center"/>
    </xf>
    <xf numFmtId="166" fontId="2" fillId="4" borderId="8" xfId="1" applyNumberFormat="1" applyFont="1" applyFill="1" applyBorder="1" applyAlignment="1">
      <alignment horizontal="right" vertical="center"/>
    </xf>
    <xf numFmtId="16" fontId="2" fillId="3" borderId="7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7" borderId="8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0" fillId="6" borderId="0" xfId="0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16" fontId="7" fillId="3" borderId="8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/>
    </xf>
    <xf numFmtId="1" fontId="2" fillId="8" borderId="16" xfId="0" applyNumberFormat="1" applyFont="1" applyFill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left" vertical="center"/>
    </xf>
    <xf numFmtId="166" fontId="2" fillId="4" borderId="18" xfId="1" applyNumberFormat="1" applyFont="1" applyFill="1" applyBorder="1" applyAlignment="1">
      <alignment horizontal="right" vertical="center"/>
    </xf>
    <xf numFmtId="166" fontId="2" fillId="3" borderId="18" xfId="1" applyNumberFormat="1" applyFont="1" applyFill="1" applyBorder="1" applyAlignment="1">
      <alignment horizontal="right" vertical="center"/>
    </xf>
    <xf numFmtId="1" fontId="2" fillId="3" borderId="19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/>
    </xf>
    <xf numFmtId="0" fontId="0" fillId="9" borderId="8" xfId="0" applyFill="1" applyBorder="1"/>
    <xf numFmtId="0" fontId="2" fillId="9" borderId="8" xfId="0" applyFont="1" applyFill="1" applyBorder="1"/>
    <xf numFmtId="0" fontId="0" fillId="0" borderId="8" xfId="0" applyBorder="1"/>
    <xf numFmtId="165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/>
    <xf numFmtId="165" fontId="0" fillId="0" borderId="8" xfId="0" applyNumberFormat="1" applyBorder="1"/>
    <xf numFmtId="0" fontId="8" fillId="9" borderId="8" xfId="0" applyFont="1" applyFill="1" applyBorder="1"/>
    <xf numFmtId="16" fontId="2" fillId="10" borderId="16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" fontId="2" fillId="3" borderId="9" xfId="0" applyNumberFormat="1" applyFont="1" applyFill="1" applyBorder="1" applyAlignment="1">
      <alignment horizontal="center" vertical="center"/>
    </xf>
    <xf numFmtId="16" fontId="2" fillId="4" borderId="16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" fontId="2" fillId="4" borderId="16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167" fontId="2" fillId="3" borderId="9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165" fontId="2" fillId="4" borderId="18" xfId="1" applyNumberFormat="1" applyFont="1" applyFill="1" applyBorder="1" applyAlignment="1">
      <alignment vertical="center"/>
    </xf>
    <xf numFmtId="165" fontId="2" fillId="3" borderId="18" xfId="1" applyNumberFormat="1" applyFont="1" applyFill="1" applyBorder="1" applyAlignment="1">
      <alignment vertical="center"/>
    </xf>
    <xf numFmtId="165" fontId="2" fillId="3" borderId="21" xfId="1" applyNumberFormat="1" applyFont="1" applyFill="1" applyBorder="1" applyAlignment="1">
      <alignment horizontal="center" vertical="center"/>
    </xf>
    <xf numFmtId="1" fontId="0" fillId="0" borderId="0" xfId="0" applyNumberFormat="1"/>
    <xf numFmtId="167" fontId="2" fillId="3" borderId="8" xfId="0" applyNumberFormat="1" applyFont="1" applyFill="1" applyBorder="1" applyAlignment="1">
      <alignment horizontal="center" vertical="center"/>
    </xf>
    <xf numFmtId="165" fontId="2" fillId="4" borderId="8" xfId="2" applyNumberFormat="1" applyFont="1" applyFill="1" applyBorder="1" applyAlignment="1">
      <alignment vertical="center"/>
    </xf>
    <xf numFmtId="165" fontId="2" fillId="3" borderId="8" xfId="2" applyNumberFormat="1" applyFont="1" applyFill="1" applyBorder="1" applyAlignment="1">
      <alignment vertical="center"/>
    </xf>
    <xf numFmtId="165" fontId="2" fillId="3" borderId="8" xfId="2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8" xfId="0" applyFill="1" applyBorder="1"/>
    <xf numFmtId="166" fontId="2" fillId="3" borderId="8" xfId="8" applyNumberFormat="1" applyFont="1" applyFill="1" applyBorder="1" applyAlignment="1">
      <alignment horizontal="right" vertical="center"/>
    </xf>
    <xf numFmtId="165" fontId="2" fillId="3" borderId="8" xfId="8" applyNumberFormat="1" applyFont="1" applyFill="1" applyBorder="1" applyAlignment="1">
      <alignment horizontal="center" vertical="center"/>
    </xf>
    <xf numFmtId="164" fontId="2" fillId="3" borderId="8" xfId="8" applyNumberFormat="1" applyFont="1" applyFill="1" applyBorder="1" applyAlignment="1">
      <alignment horizontal="center" vertical="center"/>
    </xf>
    <xf numFmtId="1" fontId="2" fillId="11" borderId="8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0" fontId="2" fillId="3" borderId="9" xfId="0" applyNumberFormat="1" applyFont="1" applyFill="1" applyBorder="1" applyAlignment="1">
      <alignment horizontal="center" vertical="center"/>
    </xf>
    <xf numFmtId="1" fontId="2" fillId="6" borderId="16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15" xfId="0" applyBorder="1"/>
    <xf numFmtId="0" fontId="0" fillId="6" borderId="8" xfId="0" applyFill="1" applyBorder="1" applyAlignment="1">
      <alignment horizontal="center"/>
    </xf>
    <xf numFmtId="166" fontId="0" fillId="5" borderId="8" xfId="1" applyNumberFormat="1" applyFont="1" applyFill="1" applyBorder="1"/>
    <xf numFmtId="166" fontId="0" fillId="0" borderId="8" xfId="1" applyNumberFormat="1" applyFont="1" applyBorder="1"/>
    <xf numFmtId="0" fontId="0" fillId="0" borderId="20" xfId="0" applyBorder="1"/>
    <xf numFmtId="0" fontId="0" fillId="6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6" fontId="0" fillId="5" borderId="11" xfId="1" applyNumberFormat="1" applyFont="1" applyFill="1" applyBorder="1"/>
    <xf numFmtId="166" fontId="0" fillId="0" borderId="11" xfId="1" applyNumberFormat="1" applyFont="1" applyBorder="1"/>
    <xf numFmtId="166" fontId="12" fillId="12" borderId="18" xfId="1" applyNumberFormat="1" applyFont="1" applyFill="1" applyBorder="1"/>
    <xf numFmtId="1" fontId="2" fillId="14" borderId="8" xfId="0" applyNumberFormat="1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/>
    </xf>
    <xf numFmtId="1" fontId="2" fillId="15" borderId="8" xfId="0" applyNumberFormat="1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168" fontId="2" fillId="3" borderId="8" xfId="1" applyNumberFormat="1" applyFont="1" applyFill="1" applyBorder="1" applyAlignment="1">
      <alignment horizontal="center" vertical="center"/>
    </xf>
    <xf numFmtId="0" fontId="13" fillId="3" borderId="0" xfId="0" applyFont="1" applyFill="1"/>
    <xf numFmtId="0" fontId="2" fillId="0" borderId="1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2" borderId="11" xfId="1" applyNumberFormat="1" applyFont="1" applyFill="1" applyBorder="1"/>
    <xf numFmtId="166" fontId="0" fillId="2" borderId="8" xfId="1" applyNumberFormat="1" applyFont="1" applyFill="1" applyBorder="1"/>
    <xf numFmtId="166" fontId="0" fillId="2" borderId="9" xfId="1" applyNumberFormat="1" applyFont="1" applyFill="1" applyBorder="1"/>
    <xf numFmtId="0" fontId="0" fillId="0" borderId="24" xfId="0" applyBorder="1" applyAlignment="1">
      <alignment horizontal="center"/>
    </xf>
    <xf numFmtId="166" fontId="12" fillId="13" borderId="11" xfId="1" applyNumberFormat="1" applyFont="1" applyFill="1" applyBorder="1"/>
    <xf numFmtId="166" fontId="3" fillId="16" borderId="8" xfId="0" applyNumberFormat="1" applyFont="1" applyFill="1" applyBorder="1"/>
    <xf numFmtId="166" fontId="3" fillId="4" borderId="18" xfId="0" applyNumberFormat="1" applyFont="1" applyFill="1" applyBorder="1"/>
    <xf numFmtId="0" fontId="0" fillId="0" borderId="27" xfId="0" applyBorder="1" applyAlignment="1">
      <alignment horizontal="center"/>
    </xf>
    <xf numFmtId="0" fontId="2" fillId="17" borderId="0" xfId="0" applyFont="1" applyFill="1"/>
    <xf numFmtId="166" fontId="0" fillId="2" borderId="12" xfId="1" applyNumberFormat="1" applyFont="1" applyFill="1" applyBorder="1"/>
    <xf numFmtId="166" fontId="12" fillId="12" borderId="28" xfId="1" applyNumberFormat="1" applyFont="1" applyFill="1" applyBorder="1"/>
    <xf numFmtId="166" fontId="12" fillId="13" borderId="28" xfId="1" applyNumberFormat="1" applyFont="1" applyFill="1" applyBorder="1"/>
    <xf numFmtId="166" fontId="3" fillId="16" borderId="28" xfId="0" applyNumberFormat="1" applyFont="1" applyFill="1" applyBorder="1"/>
    <xf numFmtId="166" fontId="3" fillId="4" borderId="29" xfId="0" applyNumberFormat="1" applyFont="1" applyFill="1" applyBorder="1"/>
    <xf numFmtId="0" fontId="2" fillId="18" borderId="23" xfId="0" applyFont="1" applyFill="1" applyBorder="1" applyAlignment="1">
      <alignment horizontal="left" vertical="center"/>
    </xf>
    <xf numFmtId="16" fontId="2" fillId="0" borderId="8" xfId="0" applyNumberFormat="1" applyFont="1" applyBorder="1" applyAlignment="1">
      <alignment horizontal="center" vertical="center"/>
    </xf>
    <xf numFmtId="16" fontId="7" fillId="3" borderId="0" xfId="0" applyNumberFormat="1" applyFont="1" applyFill="1" applyAlignment="1">
      <alignment horizontal="center"/>
    </xf>
    <xf numFmtId="0" fontId="0" fillId="19" borderId="0" xfId="0" applyFill="1"/>
    <xf numFmtId="0" fontId="2" fillId="16" borderId="8" xfId="0" applyFont="1" applyFill="1" applyBorder="1" applyAlignment="1">
      <alignment horizontal="left" vertical="center"/>
    </xf>
    <xf numFmtId="165" fontId="2" fillId="3" borderId="12" xfId="1" applyNumberFormat="1" applyFont="1" applyFill="1" applyBorder="1" applyAlignment="1">
      <alignment vertical="center"/>
    </xf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11" fillId="6" borderId="20" xfId="0" applyNumberFormat="1" applyFont="1" applyFill="1" applyBorder="1" applyAlignment="1">
      <alignment horizontal="center" vertical="center" wrapText="1"/>
    </xf>
    <xf numFmtId="14" fontId="11" fillId="6" borderId="11" xfId="0" applyNumberFormat="1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center" vertical="center" wrapText="1"/>
    </xf>
    <xf numFmtId="14" fontId="11" fillId="6" borderId="18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5" fontId="8" fillId="9" borderId="9" xfId="0" applyNumberFormat="1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</cellXfs>
  <cellStyles count="9">
    <cellStyle name="Moneda" xfId="1" builtinId="4"/>
    <cellStyle name="Moneda 2" xfId="2" xr:uid="{622A9AE1-BB36-41DA-B497-7FC63CFF1C98}"/>
    <cellStyle name="Moneda 2 2" xfId="8" xr:uid="{A4BE5BB0-74E0-4A31-8B1A-ADC6AA8E2571}"/>
    <cellStyle name="Moneda 2 3" xfId="5" xr:uid="{D64529E9-EC11-4875-A49C-F47CBDD3CAA2}"/>
    <cellStyle name="Moneda 3" xfId="4" xr:uid="{BF273042-79F2-4CAB-BBBA-62277C8DA082}"/>
    <cellStyle name="Moneda 4" xfId="6" xr:uid="{D1B5A961-6557-444A-932C-C715FD7230FB}"/>
    <cellStyle name="Moneda 5" xfId="7" xr:uid="{415764CD-57FB-45F8-852A-BA8EEE9C9AAD}"/>
    <cellStyle name="Moneda 6" xfId="3" xr:uid="{362E201C-BE3D-4999-AD8F-53714D683E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385FEB53-3B42-42CA-BF3A-070688E0A3B0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6-07-15T22:29:12.26" personId="{385FEB53-3B42-42CA-BF3A-070688E0A3B0}" id="{6E5D6522-3A0D-4337-B49B-1E25C8729B15}">
    <text>POLIMYS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6-07-17T22:29:32.05" personId="{385FEB53-3B42-42CA-BF3A-070688E0A3B0}" id="{3CA02270-58E9-48ED-ACF9-F9EA45DC8887}">
    <text>2CG</text>
  </threadedComment>
  <threadedComment ref="C8" dT="2026-07-17T22:29:19.53" personId="{385FEB53-3B42-42CA-BF3A-070688E0A3B0}" id="{A015B395-5F99-4F73-A3D9-507027F6B184}">
    <text>2CG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36.28515625" customWidth="1"/>
    <col min="2" max="2" width="13.85546875" customWidth="1"/>
    <col min="3" max="3" width="13.28515625" customWidth="1"/>
    <col min="4" max="4" width="13.85546875" customWidth="1"/>
    <col min="5" max="5" width="12.7109375" customWidth="1"/>
    <col min="6" max="6" width="12.140625" customWidth="1"/>
    <col min="7" max="7" width="16.42578125" customWidth="1"/>
  </cols>
  <sheetData>
    <row r="1" spans="1:7" ht="18.75" x14ac:dyDescent="0.3">
      <c r="A1" s="131" t="s">
        <v>4</v>
      </c>
      <c r="B1" s="132"/>
      <c r="C1" s="132"/>
      <c r="D1" s="132"/>
      <c r="E1" s="132"/>
      <c r="F1" s="132"/>
      <c r="G1" s="135"/>
    </row>
    <row r="2" spans="1:7" ht="18.75" x14ac:dyDescent="0.3">
      <c r="A2" s="133" t="s">
        <v>5</v>
      </c>
      <c r="B2" s="134"/>
      <c r="C2" s="134"/>
      <c r="D2" s="134"/>
      <c r="E2" s="134"/>
      <c r="F2" s="134"/>
      <c r="G2" s="136"/>
    </row>
    <row r="3" spans="1:7" ht="18.75" x14ac:dyDescent="0.3">
      <c r="A3" s="133" t="s">
        <v>6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13801</v>
      </c>
      <c r="C4" s="2"/>
      <c r="D4" s="2"/>
      <c r="E4" s="2"/>
      <c r="F4" s="2"/>
      <c r="G4" s="3" t="s">
        <v>1</v>
      </c>
    </row>
    <row r="5" spans="1:7" x14ac:dyDescent="0.25">
      <c r="A5" s="4"/>
      <c r="B5" s="5">
        <v>46203</v>
      </c>
      <c r="C5" s="5"/>
      <c r="D5" s="5"/>
      <c r="E5" s="5"/>
      <c r="F5" s="5"/>
      <c r="G5" s="6">
        <v>46203</v>
      </c>
    </row>
    <row r="6" spans="1:7" x14ac:dyDescent="0.25">
      <c r="A6" s="7" t="s">
        <v>7</v>
      </c>
      <c r="B6" s="8">
        <v>8</v>
      </c>
      <c r="C6" s="9"/>
      <c r="D6" s="9"/>
      <c r="E6" s="9"/>
      <c r="F6" s="9"/>
      <c r="G6" s="10">
        <f>SUM(B6:F6)</f>
        <v>8</v>
      </c>
    </row>
    <row r="7" spans="1:7" x14ac:dyDescent="0.25">
      <c r="A7" s="7" t="s">
        <v>8</v>
      </c>
      <c r="B7" s="8">
        <v>8</v>
      </c>
      <c r="C7" s="9"/>
      <c r="D7" s="9"/>
      <c r="E7" s="9"/>
      <c r="F7" s="9"/>
      <c r="G7" s="10">
        <f>SUM(B7:F7)</f>
        <v>8</v>
      </c>
    </row>
    <row r="8" spans="1:7" x14ac:dyDescent="0.25">
      <c r="A8" s="7" t="s">
        <v>9</v>
      </c>
      <c r="B8" s="8">
        <v>2</v>
      </c>
      <c r="C8" s="9"/>
      <c r="D8" s="9"/>
      <c r="E8" s="9"/>
      <c r="F8" s="9"/>
      <c r="G8" s="10">
        <f>SUM(B8:F8)</f>
        <v>2</v>
      </c>
    </row>
    <row r="9" spans="1:7" x14ac:dyDescent="0.25">
      <c r="A9" s="4" t="s">
        <v>2</v>
      </c>
      <c r="B9" s="11">
        <v>0.10416666666666667</v>
      </c>
      <c r="C9" s="12"/>
      <c r="D9" s="12"/>
      <c r="E9" s="12"/>
      <c r="F9" s="12"/>
      <c r="G9" s="13"/>
    </row>
    <row r="10" spans="1:7" x14ac:dyDescent="0.25">
      <c r="A10" s="4" t="s">
        <v>3</v>
      </c>
      <c r="B10" s="14" t="s">
        <v>10</v>
      </c>
      <c r="C10" s="15"/>
      <c r="D10" s="15"/>
      <c r="E10" s="15"/>
      <c r="F10" s="15"/>
      <c r="G10" s="16">
        <f>SUM(B10:F10)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5FB2-E58C-4779-9EDD-C397C28DBF7B}">
  <dimension ref="A1:H18"/>
  <sheetViews>
    <sheetView workbookViewId="0">
      <selection activeCell="H2" sqref="H2"/>
    </sheetView>
  </sheetViews>
  <sheetFormatPr baseColWidth="10" defaultRowHeight="15" x14ac:dyDescent="0.25"/>
  <cols>
    <col min="1" max="1" width="34.140625" customWidth="1"/>
    <col min="2" max="2" width="20.7109375" customWidth="1"/>
    <col min="3" max="3" width="16.7109375" customWidth="1"/>
    <col min="4" max="5" width="19.5703125" customWidth="1"/>
    <col min="6" max="6" width="26.28515625" customWidth="1"/>
  </cols>
  <sheetData>
    <row r="1" spans="1:8" ht="18.75" x14ac:dyDescent="0.3">
      <c r="A1" s="131" t="s">
        <v>11</v>
      </c>
      <c r="B1" s="132"/>
      <c r="C1" s="132"/>
      <c r="D1" s="132"/>
      <c r="E1" s="132"/>
      <c r="F1" s="135"/>
    </row>
    <row r="2" spans="1:8" ht="18.75" x14ac:dyDescent="0.3">
      <c r="A2" s="137" t="s">
        <v>12</v>
      </c>
      <c r="B2" s="134"/>
      <c r="C2" s="134"/>
      <c r="D2" s="134"/>
      <c r="E2" s="134"/>
      <c r="F2" s="136"/>
    </row>
    <row r="3" spans="1:8" ht="18.75" x14ac:dyDescent="0.3">
      <c r="A3" s="133" t="s">
        <v>65</v>
      </c>
      <c r="B3" s="134"/>
      <c r="C3" s="134"/>
      <c r="D3" s="134"/>
      <c r="E3" s="134"/>
      <c r="F3" s="134"/>
    </row>
    <row r="4" spans="1:8" x14ac:dyDescent="0.25">
      <c r="A4" s="1" t="s">
        <v>0</v>
      </c>
      <c r="B4" s="2">
        <v>13748</v>
      </c>
      <c r="C4" s="2">
        <v>13802</v>
      </c>
      <c r="D4" s="2">
        <v>13486</v>
      </c>
      <c r="E4" s="2">
        <v>13489</v>
      </c>
      <c r="F4" s="3" t="s">
        <v>1</v>
      </c>
    </row>
    <row r="5" spans="1:8" x14ac:dyDescent="0.25">
      <c r="A5" s="4"/>
      <c r="B5" s="5">
        <v>46203</v>
      </c>
      <c r="C5" s="5">
        <v>46203</v>
      </c>
      <c r="D5" s="5">
        <v>46214</v>
      </c>
      <c r="E5" s="5">
        <v>46214</v>
      </c>
      <c r="F5" s="6">
        <v>46203</v>
      </c>
    </row>
    <row r="6" spans="1:8" x14ac:dyDescent="0.25">
      <c r="A6" s="7" t="s">
        <v>39</v>
      </c>
      <c r="B6" s="8">
        <v>52</v>
      </c>
      <c r="C6" s="9"/>
      <c r="D6" s="9">
        <v>-46</v>
      </c>
      <c r="E6" s="9">
        <v>-6</v>
      </c>
      <c r="F6" s="10">
        <f>SUM(B6:E6)</f>
        <v>0</v>
      </c>
      <c r="G6">
        <v>25</v>
      </c>
      <c r="H6">
        <f>F6*G6</f>
        <v>0</v>
      </c>
    </row>
    <row r="7" spans="1:8" x14ac:dyDescent="0.25">
      <c r="A7" s="7" t="s">
        <v>25</v>
      </c>
      <c r="B7" s="8">
        <v>4</v>
      </c>
      <c r="C7" s="9"/>
      <c r="D7" s="9"/>
      <c r="E7" s="9">
        <v>-4</v>
      </c>
      <c r="F7" s="10">
        <f t="shared" ref="F7:F16" si="0">SUM(B7:E7)</f>
        <v>0</v>
      </c>
      <c r="G7">
        <v>9.5</v>
      </c>
      <c r="H7">
        <f t="shared" ref="H7:H16" si="1">F7*G7</f>
        <v>0</v>
      </c>
    </row>
    <row r="8" spans="1:8" x14ac:dyDescent="0.25">
      <c r="A8" s="7" t="s">
        <v>40</v>
      </c>
      <c r="B8" s="8">
        <v>4</v>
      </c>
      <c r="C8" s="9"/>
      <c r="D8" s="9"/>
      <c r="E8" s="9">
        <v>-4</v>
      </c>
      <c r="F8" s="10">
        <f t="shared" si="0"/>
        <v>0</v>
      </c>
      <c r="G8">
        <v>11</v>
      </c>
      <c r="H8">
        <f t="shared" si="1"/>
        <v>0</v>
      </c>
    </row>
    <row r="9" spans="1:8" x14ac:dyDescent="0.25">
      <c r="A9" s="7" t="s">
        <v>41</v>
      </c>
      <c r="B9" s="8">
        <v>8</v>
      </c>
      <c r="C9" s="9"/>
      <c r="D9" s="9">
        <v>-8</v>
      </c>
      <c r="E9" s="9"/>
      <c r="F9" s="10">
        <f t="shared" si="0"/>
        <v>0</v>
      </c>
      <c r="G9">
        <v>16</v>
      </c>
      <c r="H9">
        <f t="shared" si="1"/>
        <v>0</v>
      </c>
    </row>
    <row r="10" spans="1:8" x14ac:dyDescent="0.25">
      <c r="A10" s="7" t="s">
        <v>16</v>
      </c>
      <c r="B10" s="8">
        <v>8</v>
      </c>
      <c r="C10" s="9"/>
      <c r="D10" s="9"/>
      <c r="E10" s="9">
        <v>-8</v>
      </c>
      <c r="F10" s="10">
        <f t="shared" si="0"/>
        <v>0</v>
      </c>
      <c r="G10">
        <v>1</v>
      </c>
      <c r="H10">
        <f t="shared" si="1"/>
        <v>0</v>
      </c>
    </row>
    <row r="11" spans="1:8" x14ac:dyDescent="0.25">
      <c r="A11" s="7" t="s">
        <v>17</v>
      </c>
      <c r="B11" s="8">
        <v>4</v>
      </c>
      <c r="C11" s="9"/>
      <c r="D11" s="9"/>
      <c r="E11" s="9">
        <v>-4</v>
      </c>
      <c r="F11" s="10">
        <f t="shared" si="0"/>
        <v>0</v>
      </c>
      <c r="G11">
        <v>3</v>
      </c>
      <c r="H11">
        <f t="shared" si="1"/>
        <v>0</v>
      </c>
    </row>
    <row r="12" spans="1:8" x14ac:dyDescent="0.25">
      <c r="A12" s="7" t="s">
        <v>14</v>
      </c>
      <c r="B12" s="8">
        <v>80</v>
      </c>
      <c r="C12" s="9"/>
      <c r="D12" s="9"/>
      <c r="E12" s="9">
        <v>-80</v>
      </c>
      <c r="F12" s="10">
        <f t="shared" si="0"/>
        <v>0</v>
      </c>
      <c r="G12">
        <v>0.1</v>
      </c>
      <c r="H12">
        <f t="shared" si="1"/>
        <v>0</v>
      </c>
    </row>
    <row r="13" spans="1:8" x14ac:dyDescent="0.25">
      <c r="A13" s="7" t="s">
        <v>23</v>
      </c>
      <c r="B13" s="8">
        <v>42</v>
      </c>
      <c r="C13" s="9"/>
      <c r="D13" s="9"/>
      <c r="E13" s="9">
        <v>-42</v>
      </c>
      <c r="F13" s="10">
        <f t="shared" si="0"/>
        <v>0</v>
      </c>
      <c r="G13">
        <v>13.5</v>
      </c>
      <c r="H13">
        <f t="shared" si="1"/>
        <v>0</v>
      </c>
    </row>
    <row r="14" spans="1:8" x14ac:dyDescent="0.25">
      <c r="A14" s="7" t="s">
        <v>42</v>
      </c>
      <c r="B14" s="8">
        <v>10</v>
      </c>
      <c r="C14" s="9"/>
      <c r="D14" s="9">
        <v>-9</v>
      </c>
      <c r="E14" s="9">
        <v>-1</v>
      </c>
      <c r="F14" s="10">
        <f t="shared" si="0"/>
        <v>0</v>
      </c>
      <c r="G14">
        <v>29</v>
      </c>
      <c r="H14">
        <f t="shared" si="1"/>
        <v>0</v>
      </c>
    </row>
    <row r="15" spans="1:8" x14ac:dyDescent="0.25">
      <c r="A15" s="7" t="s">
        <v>27</v>
      </c>
      <c r="B15" s="8"/>
      <c r="C15" s="9">
        <v>10</v>
      </c>
      <c r="D15" s="9">
        <v>-1</v>
      </c>
      <c r="E15" s="9">
        <v>-9</v>
      </c>
      <c r="F15" s="10">
        <f t="shared" si="0"/>
        <v>0</v>
      </c>
      <c r="G15">
        <v>16</v>
      </c>
      <c r="H15">
        <f t="shared" si="1"/>
        <v>0</v>
      </c>
    </row>
    <row r="16" spans="1:8" x14ac:dyDescent="0.25">
      <c r="A16" s="7" t="s">
        <v>28</v>
      </c>
      <c r="B16" s="8"/>
      <c r="C16" s="9">
        <v>2</v>
      </c>
      <c r="D16" s="9"/>
      <c r="E16" s="9">
        <v>-2</v>
      </c>
      <c r="F16" s="10">
        <f t="shared" si="0"/>
        <v>0</v>
      </c>
      <c r="G16">
        <v>18.5</v>
      </c>
      <c r="H16">
        <f t="shared" si="1"/>
        <v>0</v>
      </c>
    </row>
    <row r="17" spans="1:8" x14ac:dyDescent="0.25">
      <c r="A17" s="4" t="s">
        <v>2</v>
      </c>
      <c r="B17" s="11">
        <v>0.47916666666666669</v>
      </c>
      <c r="C17" s="12">
        <v>0.125</v>
      </c>
      <c r="D17" s="12" t="s">
        <v>277</v>
      </c>
      <c r="E17" s="12" t="s">
        <v>278</v>
      </c>
      <c r="F17" s="13">
        <f t="shared" ref="F17:F18" si="2">SUM(B17:D17)</f>
        <v>0.60416666666666674</v>
      </c>
      <c r="H17">
        <f>SUM(H6:H16)</f>
        <v>0</v>
      </c>
    </row>
    <row r="18" spans="1:8" x14ac:dyDescent="0.25">
      <c r="A18" s="4" t="s">
        <v>3</v>
      </c>
      <c r="B18" s="14" t="s">
        <v>29</v>
      </c>
      <c r="C18" s="14" t="s">
        <v>29</v>
      </c>
      <c r="D18" s="15" t="s">
        <v>29</v>
      </c>
      <c r="E18" s="15" t="s">
        <v>29</v>
      </c>
      <c r="F18" s="16">
        <f t="shared" si="2"/>
        <v>0</v>
      </c>
    </row>
  </sheetData>
  <mergeCells count="3">
    <mergeCell ref="A1:F1"/>
    <mergeCell ref="A2:F2"/>
    <mergeCell ref="A3:F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4372-E63F-4FE2-BEF5-A2B57672970D}">
  <sheetPr>
    <pageSetUpPr fitToPage="1"/>
  </sheetPr>
  <dimension ref="A1:H16"/>
  <sheetViews>
    <sheetView topLeftCell="A3" workbookViewId="0">
      <selection activeCell="J14" sqref="J14"/>
    </sheetView>
  </sheetViews>
  <sheetFormatPr baseColWidth="10" defaultRowHeight="15" x14ac:dyDescent="0.25"/>
  <cols>
    <col min="1" max="1" width="32.140625" customWidth="1"/>
    <col min="2" max="2" width="17.5703125" customWidth="1"/>
    <col min="3" max="3" width="17" customWidth="1"/>
    <col min="4" max="4" width="17.140625" customWidth="1"/>
    <col min="5" max="5" width="14.85546875" customWidth="1"/>
    <col min="6" max="6" width="16.140625" customWidth="1"/>
    <col min="7" max="7" width="18.42578125" customWidth="1"/>
  </cols>
  <sheetData>
    <row r="1" spans="1:8" ht="18.75" x14ac:dyDescent="0.3">
      <c r="A1" s="131" t="s">
        <v>78</v>
      </c>
      <c r="B1" s="132"/>
      <c r="C1" s="132"/>
      <c r="D1" s="132"/>
      <c r="E1" s="132"/>
      <c r="F1" s="132"/>
      <c r="G1" s="135"/>
    </row>
    <row r="2" spans="1:8" ht="18.75" x14ac:dyDescent="0.3">
      <c r="A2" s="137" t="s">
        <v>79</v>
      </c>
      <c r="B2" s="134"/>
      <c r="C2" s="134"/>
      <c r="D2" s="134"/>
      <c r="E2" s="134"/>
      <c r="F2" s="134"/>
      <c r="G2" s="136"/>
    </row>
    <row r="3" spans="1:8" ht="18.75" x14ac:dyDescent="0.3">
      <c r="A3" s="133" t="s">
        <v>65</v>
      </c>
      <c r="B3" s="134"/>
      <c r="C3" s="134"/>
      <c r="D3" s="134"/>
      <c r="E3" s="134"/>
      <c r="F3" s="134"/>
      <c r="G3" s="134"/>
    </row>
    <row r="4" spans="1:8" x14ac:dyDescent="0.25">
      <c r="A4" s="1" t="s">
        <v>0</v>
      </c>
      <c r="B4" s="2" t="s">
        <v>1</v>
      </c>
      <c r="C4" s="2">
        <v>13806</v>
      </c>
      <c r="D4" s="2">
        <v>13471</v>
      </c>
      <c r="E4" s="2"/>
      <c r="F4" s="2"/>
      <c r="G4" s="3" t="s">
        <v>1</v>
      </c>
    </row>
    <row r="5" spans="1:8" x14ac:dyDescent="0.25">
      <c r="A5" s="4"/>
      <c r="B5" s="5">
        <v>46204</v>
      </c>
      <c r="C5" s="5">
        <v>46204</v>
      </c>
      <c r="D5" s="5">
        <v>46210</v>
      </c>
      <c r="E5" s="5"/>
      <c r="F5" s="5"/>
      <c r="G5" s="6">
        <v>46234</v>
      </c>
    </row>
    <row r="6" spans="1:8" x14ac:dyDescent="0.25">
      <c r="A6" s="7" t="s">
        <v>82</v>
      </c>
      <c r="B6" s="30">
        <v>4</v>
      </c>
      <c r="C6" s="9"/>
      <c r="D6" s="9">
        <v>-3</v>
      </c>
      <c r="E6" s="9"/>
      <c r="F6" s="9"/>
      <c r="G6" s="29">
        <f t="shared" ref="G6:G7" si="0">SUM(B6:F6)</f>
        <v>1</v>
      </c>
      <c r="H6" t="s">
        <v>261</v>
      </c>
    </row>
    <row r="7" spans="1:8" x14ac:dyDescent="0.25">
      <c r="A7" s="7" t="s">
        <v>83</v>
      </c>
      <c r="B7" s="30">
        <v>3</v>
      </c>
      <c r="C7" s="9"/>
      <c r="D7" s="9">
        <v>-3</v>
      </c>
      <c r="E7" s="9"/>
      <c r="F7" s="9"/>
      <c r="G7" s="10">
        <f t="shared" si="0"/>
        <v>0</v>
      </c>
    </row>
    <row r="8" spans="1:8" x14ac:dyDescent="0.25">
      <c r="A8" s="7" t="s">
        <v>14</v>
      </c>
      <c r="B8" s="8"/>
      <c r="C8" s="9">
        <v>300</v>
      </c>
      <c r="D8" s="9">
        <v>-300</v>
      </c>
      <c r="E8" s="9"/>
      <c r="F8" s="9"/>
      <c r="G8" s="10">
        <f t="shared" ref="G8:G14" si="1">SUM(C8:F8)</f>
        <v>0</v>
      </c>
    </row>
    <row r="9" spans="1:8" x14ac:dyDescent="0.25">
      <c r="A9" s="7" t="s">
        <v>80</v>
      </c>
      <c r="B9" s="8"/>
      <c r="C9" s="9">
        <v>12</v>
      </c>
      <c r="D9" s="9">
        <v>-12</v>
      </c>
      <c r="E9" s="9"/>
      <c r="F9" s="9"/>
      <c r="G9" s="10">
        <f t="shared" si="1"/>
        <v>0</v>
      </c>
    </row>
    <row r="10" spans="1:8" x14ac:dyDescent="0.25">
      <c r="A10" s="7" t="s">
        <v>25</v>
      </c>
      <c r="B10" s="8"/>
      <c r="C10" s="9">
        <v>12</v>
      </c>
      <c r="D10" s="9">
        <v>-12</v>
      </c>
      <c r="E10" s="9"/>
      <c r="F10" s="9"/>
      <c r="G10" s="10">
        <f t="shared" si="1"/>
        <v>0</v>
      </c>
    </row>
    <row r="11" spans="1:8" x14ac:dyDescent="0.25">
      <c r="A11" s="7" t="s">
        <v>81</v>
      </c>
      <c r="B11" s="8"/>
      <c r="C11" s="9">
        <v>12</v>
      </c>
      <c r="D11" s="9">
        <v>-12</v>
      </c>
      <c r="E11" s="9"/>
      <c r="F11" s="9"/>
      <c r="G11" s="10">
        <f t="shared" si="1"/>
        <v>0</v>
      </c>
    </row>
    <row r="12" spans="1:8" x14ac:dyDescent="0.25">
      <c r="A12" s="7" t="s">
        <v>84</v>
      </c>
      <c r="B12" s="8"/>
      <c r="C12" s="9">
        <v>1</v>
      </c>
      <c r="D12" s="9">
        <v>-1</v>
      </c>
      <c r="E12" s="9"/>
      <c r="F12" s="9"/>
      <c r="G12" s="10">
        <f t="shared" si="1"/>
        <v>0</v>
      </c>
    </row>
    <row r="13" spans="1:8" x14ac:dyDescent="0.25">
      <c r="A13" s="7" t="s">
        <v>16</v>
      </c>
      <c r="B13" s="8"/>
      <c r="C13" s="9">
        <v>24</v>
      </c>
      <c r="D13" s="9">
        <v>-24</v>
      </c>
      <c r="E13" s="9"/>
      <c r="F13" s="9"/>
      <c r="G13" s="10">
        <f t="shared" si="1"/>
        <v>0</v>
      </c>
    </row>
    <row r="14" spans="1:8" x14ac:dyDescent="0.25">
      <c r="A14" s="7" t="s">
        <v>17</v>
      </c>
      <c r="B14" s="8"/>
      <c r="C14" s="9">
        <v>12</v>
      </c>
      <c r="D14" s="9">
        <v>-12</v>
      </c>
      <c r="E14" s="9"/>
      <c r="F14" s="9"/>
      <c r="G14" s="10">
        <f t="shared" si="1"/>
        <v>0</v>
      </c>
    </row>
    <row r="15" spans="1:8" x14ac:dyDescent="0.25">
      <c r="A15" s="4" t="s">
        <v>2</v>
      </c>
      <c r="B15" s="11" t="s">
        <v>37</v>
      </c>
      <c r="C15" s="12">
        <v>0.10416666666666667</v>
      </c>
      <c r="D15" s="12">
        <v>0.39583333333333331</v>
      </c>
      <c r="E15" s="12"/>
      <c r="F15" s="12"/>
      <c r="G15" s="13"/>
    </row>
    <row r="16" spans="1:8" x14ac:dyDescent="0.25">
      <c r="A16" s="4" t="s">
        <v>3</v>
      </c>
      <c r="B16" s="14">
        <v>60000</v>
      </c>
      <c r="C16" s="14">
        <v>60000</v>
      </c>
      <c r="D16" s="15">
        <v>60000</v>
      </c>
      <c r="E16" s="15"/>
      <c r="F16" s="15"/>
      <c r="G16" s="16">
        <f>SUM(B16:F16)</f>
        <v>180000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scale="9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2028-DC47-469E-A087-7A556013C856}">
  <dimension ref="A1:H8"/>
  <sheetViews>
    <sheetView workbookViewId="0">
      <selection activeCell="F13" sqref="F13"/>
    </sheetView>
  </sheetViews>
  <sheetFormatPr baseColWidth="10" defaultRowHeight="15" x14ac:dyDescent="0.25"/>
  <cols>
    <col min="1" max="1" width="35.5703125" customWidth="1"/>
  </cols>
  <sheetData>
    <row r="1" spans="1:8" ht="18.75" x14ac:dyDescent="0.3">
      <c r="A1" s="138" t="s">
        <v>193</v>
      </c>
      <c r="B1" s="134"/>
      <c r="C1" s="134"/>
      <c r="D1" s="134"/>
      <c r="E1" s="134"/>
      <c r="F1" s="134"/>
      <c r="G1" s="134"/>
      <c r="H1" s="139"/>
    </row>
    <row r="2" spans="1:8" ht="18.75" x14ac:dyDescent="0.3">
      <c r="A2" s="134" t="s">
        <v>192</v>
      </c>
      <c r="B2" s="134"/>
      <c r="C2" s="134"/>
      <c r="D2" s="134"/>
      <c r="E2" s="134"/>
      <c r="F2" s="134"/>
      <c r="G2" s="134"/>
      <c r="H2" s="139"/>
    </row>
    <row r="3" spans="1:8" ht="18.75" x14ac:dyDescent="0.3">
      <c r="A3" s="138" t="s">
        <v>194</v>
      </c>
      <c r="B3" s="134"/>
      <c r="C3" s="134"/>
      <c r="D3" s="134"/>
      <c r="E3" s="134"/>
      <c r="F3" s="134"/>
      <c r="G3" s="134"/>
      <c r="H3" s="139"/>
    </row>
    <row r="4" spans="1:8" x14ac:dyDescent="0.25">
      <c r="A4" s="140" t="s">
        <v>0</v>
      </c>
      <c r="B4" s="22" t="s">
        <v>1</v>
      </c>
      <c r="C4" s="13"/>
      <c r="D4" s="13"/>
      <c r="E4" s="13"/>
      <c r="F4" s="13"/>
      <c r="G4" s="13"/>
      <c r="H4" s="22" t="s">
        <v>52</v>
      </c>
    </row>
    <row r="5" spans="1:8" x14ac:dyDescent="0.25">
      <c r="A5" s="141"/>
      <c r="B5" s="5" t="s">
        <v>169</v>
      </c>
      <c r="C5" s="5"/>
      <c r="D5" s="5"/>
      <c r="E5" s="5"/>
      <c r="F5" s="5"/>
      <c r="G5" s="5"/>
      <c r="H5" s="5">
        <v>46172</v>
      </c>
    </row>
    <row r="6" spans="1:8" x14ac:dyDescent="0.25">
      <c r="A6" s="17" t="s">
        <v>16</v>
      </c>
      <c r="B6" s="23">
        <v>6</v>
      </c>
      <c r="C6" s="24"/>
      <c r="D6" s="24"/>
      <c r="E6" s="24"/>
      <c r="F6" s="24"/>
      <c r="G6" s="24"/>
      <c r="H6" s="10">
        <f>SUM( B6:G6)</f>
        <v>6</v>
      </c>
    </row>
    <row r="7" spans="1:8" x14ac:dyDescent="0.25">
      <c r="A7" s="25" t="s">
        <v>76</v>
      </c>
      <c r="B7" s="27"/>
      <c r="C7" s="11"/>
      <c r="D7" s="11"/>
      <c r="E7" s="11"/>
      <c r="F7" s="11"/>
      <c r="G7" s="11"/>
      <c r="H7" s="13"/>
    </row>
    <row r="8" spans="1:8" x14ac:dyDescent="0.25">
      <c r="A8" s="25" t="s">
        <v>77</v>
      </c>
      <c r="B8" s="76"/>
      <c r="C8" s="77"/>
      <c r="D8" s="77"/>
      <c r="E8" s="77"/>
      <c r="F8" s="77"/>
      <c r="G8" s="77"/>
      <c r="H8" s="78"/>
    </row>
  </sheetData>
  <mergeCells count="4">
    <mergeCell ref="A1:H1"/>
    <mergeCell ref="A3:H3"/>
    <mergeCell ref="A4:A5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4A8A-8DF5-4FEF-BDEC-FC34352571B1}">
  <dimension ref="A1:H8"/>
  <sheetViews>
    <sheetView workbookViewId="0">
      <selection activeCell="F13" sqref="F13"/>
    </sheetView>
  </sheetViews>
  <sheetFormatPr baseColWidth="10" defaultRowHeight="15" x14ac:dyDescent="0.25"/>
  <cols>
    <col min="1" max="1" width="45.140625" customWidth="1"/>
  </cols>
  <sheetData>
    <row r="1" spans="1:8" ht="18.75" x14ac:dyDescent="0.3">
      <c r="A1" s="138" t="s">
        <v>211</v>
      </c>
      <c r="B1" s="134"/>
      <c r="C1" s="134"/>
      <c r="D1" s="134"/>
      <c r="E1" s="134"/>
      <c r="F1" s="134"/>
      <c r="G1" s="134"/>
      <c r="H1" s="139"/>
    </row>
    <row r="2" spans="1:8" ht="18.75" x14ac:dyDescent="0.3">
      <c r="A2" s="134" t="s">
        <v>212</v>
      </c>
      <c r="B2" s="134"/>
      <c r="C2" s="134"/>
      <c r="D2" s="134"/>
      <c r="E2" s="134"/>
      <c r="F2" s="134"/>
      <c r="G2" s="134"/>
      <c r="H2" s="139"/>
    </row>
    <row r="3" spans="1:8" ht="18.75" x14ac:dyDescent="0.3">
      <c r="A3" s="138" t="s">
        <v>194</v>
      </c>
      <c r="B3" s="134"/>
      <c r="C3" s="134"/>
      <c r="D3" s="134"/>
      <c r="E3" s="134"/>
      <c r="F3" s="134"/>
      <c r="G3" s="134"/>
      <c r="H3" s="139"/>
    </row>
    <row r="4" spans="1:8" x14ac:dyDescent="0.25">
      <c r="A4" s="140" t="s">
        <v>0</v>
      </c>
      <c r="B4" s="22">
        <v>13822</v>
      </c>
      <c r="C4" s="13">
        <v>13822</v>
      </c>
      <c r="D4" s="13"/>
      <c r="E4" s="13"/>
      <c r="F4" s="13"/>
      <c r="G4" s="13"/>
      <c r="H4" s="22" t="s">
        <v>52</v>
      </c>
    </row>
    <row r="5" spans="1:8" x14ac:dyDescent="0.25">
      <c r="A5" s="141"/>
      <c r="B5" s="5">
        <v>46209</v>
      </c>
      <c r="C5" s="5">
        <v>46211</v>
      </c>
      <c r="D5" s="5"/>
      <c r="E5" s="5"/>
      <c r="F5" s="5"/>
      <c r="G5" s="5"/>
      <c r="H5" s="5">
        <v>46172</v>
      </c>
    </row>
    <row r="6" spans="1:8" x14ac:dyDescent="0.25">
      <c r="A6" s="17" t="s">
        <v>213</v>
      </c>
      <c r="B6" s="23">
        <v>1</v>
      </c>
      <c r="C6" s="24">
        <v>-1</v>
      </c>
      <c r="D6" s="24"/>
      <c r="E6" s="24"/>
      <c r="F6" s="24"/>
      <c r="G6" s="24"/>
      <c r="H6" s="10">
        <f>SUM( B6:G6)</f>
        <v>0</v>
      </c>
    </row>
    <row r="7" spans="1:8" x14ac:dyDescent="0.25">
      <c r="A7" s="25" t="s">
        <v>76</v>
      </c>
      <c r="B7" s="27"/>
      <c r="C7" s="11"/>
      <c r="D7" s="11"/>
      <c r="E7" s="11"/>
      <c r="F7" s="11"/>
      <c r="G7" s="11"/>
      <c r="H7" s="13"/>
    </row>
    <row r="8" spans="1:8" x14ac:dyDescent="0.25">
      <c r="A8" s="25" t="s">
        <v>77</v>
      </c>
      <c r="B8" s="76"/>
      <c r="C8" s="77"/>
      <c r="D8" s="77"/>
      <c r="E8" s="77"/>
      <c r="F8" s="77"/>
      <c r="G8" s="77"/>
      <c r="H8" s="78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219E-5605-4203-8413-39E567E1527E}">
  <dimension ref="A1:H8"/>
  <sheetViews>
    <sheetView workbookViewId="0">
      <selection activeCell="I15" sqref="I15"/>
    </sheetView>
  </sheetViews>
  <sheetFormatPr baseColWidth="10" defaultRowHeight="15" x14ac:dyDescent="0.25"/>
  <cols>
    <col min="1" max="1" width="39.140625" customWidth="1"/>
  </cols>
  <sheetData>
    <row r="1" spans="1:8" ht="18.75" x14ac:dyDescent="0.3">
      <c r="A1" s="138" t="s">
        <v>195</v>
      </c>
      <c r="B1" s="134"/>
      <c r="C1" s="134"/>
      <c r="D1" s="134"/>
      <c r="E1" s="134"/>
      <c r="F1" s="134"/>
      <c r="G1" s="134"/>
      <c r="H1" s="139"/>
    </row>
    <row r="2" spans="1:8" ht="18.75" x14ac:dyDescent="0.3">
      <c r="A2" s="134" t="s">
        <v>192</v>
      </c>
      <c r="B2" s="134"/>
      <c r="C2" s="134"/>
      <c r="D2" s="134"/>
      <c r="E2" s="134"/>
      <c r="F2" s="134"/>
      <c r="G2" s="134"/>
      <c r="H2" s="139"/>
    </row>
    <row r="3" spans="1:8" ht="18.75" x14ac:dyDescent="0.3">
      <c r="A3" s="138" t="s">
        <v>194</v>
      </c>
      <c r="B3" s="134"/>
      <c r="C3" s="134"/>
      <c r="D3" s="134"/>
      <c r="E3" s="134"/>
      <c r="F3" s="134"/>
      <c r="G3" s="134"/>
      <c r="H3" s="139"/>
    </row>
    <row r="4" spans="1:8" x14ac:dyDescent="0.25">
      <c r="A4" s="140" t="s">
        <v>0</v>
      </c>
      <c r="B4" s="22">
        <v>13824</v>
      </c>
      <c r="C4" s="13"/>
      <c r="D4" s="13"/>
      <c r="E4" s="13"/>
      <c r="F4" s="13"/>
      <c r="G4" s="13"/>
      <c r="H4" s="22" t="s">
        <v>52</v>
      </c>
    </row>
    <row r="5" spans="1:8" x14ac:dyDescent="0.25">
      <c r="A5" s="141"/>
      <c r="B5" s="5">
        <v>46210</v>
      </c>
      <c r="C5" s="5"/>
      <c r="D5" s="5"/>
      <c r="E5" s="5"/>
      <c r="F5" s="5"/>
      <c r="G5" s="5"/>
      <c r="H5" s="5">
        <v>46234</v>
      </c>
    </row>
    <row r="6" spans="1:8" x14ac:dyDescent="0.25">
      <c r="A6" s="17" t="s">
        <v>56</v>
      </c>
      <c r="B6" s="23">
        <v>14</v>
      </c>
      <c r="C6" s="24"/>
      <c r="D6" s="24"/>
      <c r="E6" s="24"/>
      <c r="F6" s="24"/>
      <c r="G6" s="24"/>
      <c r="H6" s="10">
        <f>SUM( B6:G6)</f>
        <v>14</v>
      </c>
    </row>
    <row r="7" spans="1:8" x14ac:dyDescent="0.25">
      <c r="A7" s="25" t="s">
        <v>76</v>
      </c>
      <c r="B7" s="12">
        <v>0.33333333333333331</v>
      </c>
      <c r="C7" s="11"/>
      <c r="D7" s="11"/>
      <c r="E7" s="11"/>
      <c r="F7" s="11"/>
      <c r="G7" s="11"/>
      <c r="H7" s="13"/>
    </row>
    <row r="8" spans="1:8" x14ac:dyDescent="0.25">
      <c r="A8" s="25" t="s">
        <v>77</v>
      </c>
      <c r="B8" s="77">
        <v>35000</v>
      </c>
      <c r="C8" s="77"/>
      <c r="D8" s="77"/>
      <c r="E8" s="77"/>
      <c r="F8" s="77"/>
      <c r="G8" s="77"/>
      <c r="H8" s="78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73B2-D19A-4C32-B45F-BDA006749395}">
  <dimension ref="A1:H24"/>
  <sheetViews>
    <sheetView tabSelected="1" workbookViewId="0">
      <selection activeCell="J12" sqref="J12"/>
    </sheetView>
  </sheetViews>
  <sheetFormatPr baseColWidth="10" defaultRowHeight="15" x14ac:dyDescent="0.25"/>
  <cols>
    <col min="1" max="1" width="36" customWidth="1"/>
    <col min="2" max="2" width="16.140625" customWidth="1"/>
    <col min="3" max="3" width="15.7109375" customWidth="1"/>
  </cols>
  <sheetData>
    <row r="1" spans="1:8" ht="18.75" x14ac:dyDescent="0.3">
      <c r="A1" s="131" t="s">
        <v>85</v>
      </c>
      <c r="B1" s="132"/>
      <c r="C1" s="132"/>
      <c r="D1" s="132"/>
      <c r="E1" s="132"/>
      <c r="F1" s="132"/>
      <c r="G1" s="132"/>
      <c r="H1" s="135"/>
    </row>
    <row r="2" spans="1:8" ht="18.75" x14ac:dyDescent="0.3">
      <c r="A2" s="133" t="s">
        <v>86</v>
      </c>
      <c r="B2" s="134"/>
      <c r="C2" s="134"/>
      <c r="D2" s="134"/>
      <c r="E2" s="134"/>
      <c r="F2" s="134"/>
      <c r="G2" s="134"/>
      <c r="H2" s="136"/>
    </row>
    <row r="3" spans="1:8" ht="18.75" x14ac:dyDescent="0.3">
      <c r="A3" s="133" t="s">
        <v>65</v>
      </c>
      <c r="B3" s="134"/>
      <c r="C3" s="134"/>
      <c r="D3" s="134"/>
      <c r="E3" s="134"/>
      <c r="F3" s="134"/>
      <c r="G3" s="134"/>
      <c r="H3" s="134"/>
    </row>
    <row r="4" spans="1:8" x14ac:dyDescent="0.25">
      <c r="A4" s="1" t="s">
        <v>0</v>
      </c>
      <c r="B4" s="2" t="s">
        <v>1</v>
      </c>
      <c r="C4" s="2">
        <v>13807</v>
      </c>
      <c r="D4" s="2">
        <v>13473</v>
      </c>
      <c r="E4" s="2">
        <v>13840</v>
      </c>
      <c r="F4" s="2">
        <v>13492</v>
      </c>
      <c r="G4" s="2">
        <v>13877</v>
      </c>
      <c r="H4" s="3" t="s">
        <v>1</v>
      </c>
    </row>
    <row r="5" spans="1:8" x14ac:dyDescent="0.25">
      <c r="A5" s="4"/>
      <c r="B5" s="5">
        <v>46203</v>
      </c>
      <c r="C5" s="5">
        <v>46204</v>
      </c>
      <c r="D5" s="5">
        <v>46210</v>
      </c>
      <c r="E5" s="5">
        <v>46212</v>
      </c>
      <c r="F5" s="5">
        <v>46217</v>
      </c>
      <c r="G5" s="5">
        <v>46227</v>
      </c>
      <c r="H5" s="6">
        <v>46203</v>
      </c>
    </row>
    <row r="6" spans="1:8" x14ac:dyDescent="0.25">
      <c r="A6" s="7" t="s">
        <v>87</v>
      </c>
      <c r="B6" s="8">
        <v>1</v>
      </c>
      <c r="C6" s="9"/>
      <c r="D6" s="9"/>
      <c r="E6" s="9"/>
      <c r="F6" s="9"/>
      <c r="G6" s="9"/>
      <c r="H6" s="29">
        <f t="shared" ref="H6:H7" si="0">SUM(B6:F6)</f>
        <v>1</v>
      </c>
    </row>
    <row r="7" spans="1:8" x14ac:dyDescent="0.25">
      <c r="A7" s="7" t="s">
        <v>41</v>
      </c>
      <c r="B7" s="8">
        <v>4</v>
      </c>
      <c r="C7" s="9"/>
      <c r="D7" s="9"/>
      <c r="E7" s="9"/>
      <c r="F7" s="9"/>
      <c r="G7" s="9"/>
      <c r="H7" s="29">
        <f t="shared" si="0"/>
        <v>4</v>
      </c>
    </row>
    <row r="8" spans="1:8" x14ac:dyDescent="0.25">
      <c r="A8" s="7" t="s">
        <v>40</v>
      </c>
      <c r="B8" s="8"/>
      <c r="C8" s="9">
        <v>12</v>
      </c>
      <c r="D8" s="9">
        <v>-12</v>
      </c>
      <c r="E8" s="9"/>
      <c r="F8" s="9"/>
      <c r="G8" s="9"/>
      <c r="H8" s="10">
        <f t="shared" ref="H8:H14" si="1">SUM(C8:F8)</f>
        <v>0</v>
      </c>
    </row>
    <row r="9" spans="1:8" x14ac:dyDescent="0.25">
      <c r="A9" s="7" t="s">
        <v>80</v>
      </c>
      <c r="B9" s="8"/>
      <c r="C9" s="9">
        <v>12</v>
      </c>
      <c r="D9" s="9">
        <v>-12</v>
      </c>
      <c r="E9" s="9"/>
      <c r="F9" s="9"/>
      <c r="G9" s="9"/>
      <c r="H9" s="10">
        <f t="shared" si="1"/>
        <v>0</v>
      </c>
    </row>
    <row r="10" spans="1:8" x14ac:dyDescent="0.25">
      <c r="A10" s="7" t="s">
        <v>14</v>
      </c>
      <c r="B10" s="8"/>
      <c r="C10" s="9">
        <v>277</v>
      </c>
      <c r="D10" s="9">
        <v>-277</v>
      </c>
      <c r="E10" s="9">
        <v>400</v>
      </c>
      <c r="F10" s="9">
        <v>-400</v>
      </c>
      <c r="G10" s="9"/>
      <c r="H10" s="10">
        <f t="shared" si="1"/>
        <v>0</v>
      </c>
    </row>
    <row r="11" spans="1:8" x14ac:dyDescent="0.25">
      <c r="A11" s="7" t="s">
        <v>17</v>
      </c>
      <c r="B11" s="8"/>
      <c r="C11" s="9">
        <v>12</v>
      </c>
      <c r="D11" s="9">
        <v>-12</v>
      </c>
      <c r="E11" s="9">
        <v>16</v>
      </c>
      <c r="F11" s="9">
        <v>-16</v>
      </c>
      <c r="G11" s="9"/>
      <c r="H11" s="10">
        <f t="shared" si="1"/>
        <v>0</v>
      </c>
    </row>
    <row r="12" spans="1:8" x14ac:dyDescent="0.25">
      <c r="A12" s="7" t="s">
        <v>16</v>
      </c>
      <c r="B12" s="8"/>
      <c r="C12" s="9">
        <v>24</v>
      </c>
      <c r="D12" s="9">
        <v>-24</v>
      </c>
      <c r="E12" s="9">
        <v>32</v>
      </c>
      <c r="F12" s="9">
        <v>-32</v>
      </c>
      <c r="G12" s="9"/>
      <c r="H12" s="10">
        <f t="shared" si="1"/>
        <v>0</v>
      </c>
    </row>
    <row r="13" spans="1:8" x14ac:dyDescent="0.25">
      <c r="A13" s="7" t="s">
        <v>15</v>
      </c>
      <c r="B13" s="8"/>
      <c r="C13" s="9">
        <v>12</v>
      </c>
      <c r="D13" s="9">
        <v>-12</v>
      </c>
      <c r="E13" s="9">
        <v>16</v>
      </c>
      <c r="F13" s="9">
        <v>-16</v>
      </c>
      <c r="G13" s="9"/>
      <c r="H13" s="10">
        <f t="shared" si="1"/>
        <v>0</v>
      </c>
    </row>
    <row r="14" spans="1:8" x14ac:dyDescent="0.25">
      <c r="A14" s="7" t="s">
        <v>24</v>
      </c>
      <c r="B14" s="8"/>
      <c r="C14" s="9">
        <v>1</v>
      </c>
      <c r="D14" s="9">
        <v>-1</v>
      </c>
      <c r="E14" s="9">
        <v>1</v>
      </c>
      <c r="F14" s="9">
        <v>-1</v>
      </c>
      <c r="G14" s="9"/>
      <c r="H14" s="10">
        <f t="shared" si="1"/>
        <v>0</v>
      </c>
    </row>
    <row r="15" spans="1:8" x14ac:dyDescent="0.25">
      <c r="A15" s="7" t="s">
        <v>92</v>
      </c>
      <c r="B15" s="8"/>
      <c r="C15" s="9"/>
      <c r="D15" s="9"/>
      <c r="E15" s="9">
        <v>16</v>
      </c>
      <c r="F15" s="9">
        <v>-16</v>
      </c>
      <c r="G15" s="9"/>
      <c r="H15" s="10">
        <f>SUM(E15:F15)</f>
        <v>0</v>
      </c>
    </row>
    <row r="16" spans="1:8" x14ac:dyDescent="0.25">
      <c r="A16" s="7" t="s">
        <v>281</v>
      </c>
      <c r="B16" s="8"/>
      <c r="C16" s="9"/>
      <c r="D16" s="9"/>
      <c r="E16" s="9">
        <v>16</v>
      </c>
      <c r="F16" s="9">
        <v>-16</v>
      </c>
      <c r="G16" s="9"/>
      <c r="H16" s="10">
        <f>SUM(E16:F16)</f>
        <v>0</v>
      </c>
    </row>
    <row r="17" spans="1:8" x14ac:dyDescent="0.25">
      <c r="A17" s="7" t="s">
        <v>268</v>
      </c>
      <c r="B17" s="8"/>
      <c r="C17" s="9"/>
      <c r="D17" s="9"/>
      <c r="E17" s="9">
        <v>1</v>
      </c>
      <c r="F17" s="9">
        <v>-1</v>
      </c>
      <c r="G17" s="9"/>
      <c r="H17" s="10">
        <f>SUM(B17:F17)</f>
        <v>0</v>
      </c>
    </row>
    <row r="18" spans="1:8" x14ac:dyDescent="0.25">
      <c r="A18" s="128" t="s">
        <v>102</v>
      </c>
      <c r="B18" s="8"/>
      <c r="C18" s="9"/>
      <c r="D18" s="9"/>
      <c r="E18" s="9"/>
      <c r="F18" s="9"/>
      <c r="G18" s="9">
        <v>5</v>
      </c>
      <c r="H18" s="10">
        <f>SUM(G18)</f>
        <v>5</v>
      </c>
    </row>
    <row r="19" spans="1:8" x14ac:dyDescent="0.25">
      <c r="A19" s="128" t="s">
        <v>104</v>
      </c>
      <c r="B19" s="8"/>
      <c r="C19" s="9"/>
      <c r="D19" s="9"/>
      <c r="E19" s="9"/>
      <c r="F19" s="9"/>
      <c r="G19" s="9">
        <v>8</v>
      </c>
      <c r="H19" s="10">
        <f>SUM(G19)</f>
        <v>8</v>
      </c>
    </row>
    <row r="20" spans="1:8" x14ac:dyDescent="0.25">
      <c r="A20" s="128" t="s">
        <v>26</v>
      </c>
      <c r="B20" s="8"/>
      <c r="C20" s="9"/>
      <c r="D20" s="9"/>
      <c r="E20" s="9"/>
      <c r="F20" s="9"/>
      <c r="G20" s="9">
        <v>6</v>
      </c>
      <c r="H20" s="10">
        <f>SUM(G20)</f>
        <v>6</v>
      </c>
    </row>
    <row r="21" spans="1:8" x14ac:dyDescent="0.25">
      <c r="A21" s="128" t="s">
        <v>56</v>
      </c>
      <c r="B21" s="8"/>
      <c r="C21" s="9"/>
      <c r="D21" s="9"/>
      <c r="E21" s="9"/>
      <c r="F21" s="9"/>
      <c r="G21" s="9">
        <v>30</v>
      </c>
      <c r="H21" s="10">
        <f>SUM(G21)</f>
        <v>30</v>
      </c>
    </row>
    <row r="22" spans="1:8" x14ac:dyDescent="0.25">
      <c r="A22" s="128" t="s">
        <v>391</v>
      </c>
      <c r="B22" s="8"/>
      <c r="C22" s="9"/>
      <c r="D22" s="9"/>
      <c r="E22" s="9"/>
      <c r="F22" s="9"/>
      <c r="G22" s="9">
        <v>4</v>
      </c>
      <c r="H22" s="10">
        <f>SUM(G22)</f>
        <v>4</v>
      </c>
    </row>
    <row r="23" spans="1:8" x14ac:dyDescent="0.25">
      <c r="A23" s="4" t="s">
        <v>2</v>
      </c>
      <c r="B23" s="18"/>
      <c r="C23" s="12">
        <v>0.10416666666666667</v>
      </c>
      <c r="D23" s="12">
        <v>0.35416666666666669</v>
      </c>
      <c r="E23" s="12">
        <v>0.4375</v>
      </c>
      <c r="F23" s="12">
        <v>0.125</v>
      </c>
      <c r="G23" s="12">
        <v>0.15694444444444444</v>
      </c>
      <c r="H23" s="13"/>
    </row>
    <row r="24" spans="1:8" x14ac:dyDescent="0.25">
      <c r="A24" s="4" t="s">
        <v>3</v>
      </c>
      <c r="B24" s="19"/>
      <c r="C24" s="15" t="s">
        <v>29</v>
      </c>
      <c r="D24" s="15" t="s">
        <v>29</v>
      </c>
      <c r="E24" s="15">
        <v>60000</v>
      </c>
      <c r="F24" s="15">
        <v>60000</v>
      </c>
      <c r="G24" s="15" t="s">
        <v>392</v>
      </c>
      <c r="H24" s="16">
        <f>SUM(B24:F24)</f>
        <v>120000</v>
      </c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AA77-A83D-4CA1-8ABA-349A909CA0AE}">
  <sheetPr>
    <pageSetUpPr fitToPage="1"/>
  </sheetPr>
  <dimension ref="A1:L46"/>
  <sheetViews>
    <sheetView topLeftCell="A9" workbookViewId="0">
      <selection activeCell="M15" sqref="M15"/>
    </sheetView>
  </sheetViews>
  <sheetFormatPr baseColWidth="10" defaultRowHeight="15" x14ac:dyDescent="0.25"/>
  <cols>
    <col min="1" max="1" width="34.140625" customWidth="1"/>
  </cols>
  <sheetData>
    <row r="1" spans="1:11" ht="18.75" x14ac:dyDescent="0.3">
      <c r="A1" s="131" t="s">
        <v>223</v>
      </c>
      <c r="B1" s="132"/>
      <c r="C1" s="132"/>
      <c r="D1" s="132"/>
      <c r="E1" s="132"/>
      <c r="F1" s="132"/>
      <c r="G1" s="132"/>
      <c r="H1" s="132"/>
      <c r="I1" s="132"/>
      <c r="J1" s="132"/>
      <c r="K1" s="135"/>
    </row>
    <row r="2" spans="1:11" ht="18.75" x14ac:dyDescent="0.3">
      <c r="A2" s="133" t="s">
        <v>224</v>
      </c>
      <c r="B2" s="134"/>
      <c r="C2" s="134"/>
      <c r="D2" s="134"/>
      <c r="E2" s="134"/>
      <c r="F2" s="134"/>
      <c r="G2" s="134"/>
      <c r="H2" s="134"/>
      <c r="I2" s="134"/>
      <c r="J2" s="134"/>
      <c r="K2" s="136"/>
    </row>
    <row r="3" spans="1:11" ht="18.75" x14ac:dyDescent="0.3">
      <c r="A3" s="133" t="s">
        <v>13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1" x14ac:dyDescent="0.25">
      <c r="A4" s="1" t="s">
        <v>0</v>
      </c>
      <c r="B4" s="2" t="s">
        <v>52</v>
      </c>
      <c r="C4" s="2">
        <v>13829</v>
      </c>
      <c r="D4" s="2">
        <v>13830</v>
      </c>
      <c r="E4" s="2">
        <v>13839</v>
      </c>
      <c r="F4" s="2">
        <v>13843</v>
      </c>
      <c r="G4" s="2">
        <v>13848</v>
      </c>
      <c r="H4" s="2">
        <v>13494</v>
      </c>
      <c r="I4" s="2">
        <v>13497</v>
      </c>
      <c r="J4" s="2"/>
      <c r="K4" s="3" t="s">
        <v>1</v>
      </c>
    </row>
    <row r="5" spans="1:11" x14ac:dyDescent="0.25">
      <c r="A5" s="4"/>
      <c r="B5" s="5">
        <v>46203</v>
      </c>
      <c r="C5" s="5">
        <v>46210</v>
      </c>
      <c r="D5" s="5">
        <v>46211</v>
      </c>
      <c r="E5" s="5">
        <v>46212</v>
      </c>
      <c r="F5" s="5">
        <v>46213</v>
      </c>
      <c r="G5" s="5">
        <v>46217</v>
      </c>
      <c r="H5" s="5">
        <v>46218</v>
      </c>
      <c r="I5" s="5">
        <v>46219</v>
      </c>
      <c r="J5" s="5"/>
      <c r="K5" s="6">
        <v>46234</v>
      </c>
    </row>
    <row r="6" spans="1:11" x14ac:dyDescent="0.25">
      <c r="A6" s="7" t="s">
        <v>225</v>
      </c>
      <c r="B6" s="30">
        <v>12</v>
      </c>
      <c r="C6" s="9"/>
      <c r="D6" s="9"/>
      <c r="E6" s="9"/>
      <c r="F6" s="9"/>
      <c r="G6" s="9"/>
      <c r="H6" s="9"/>
      <c r="I6" s="9"/>
      <c r="J6" s="9"/>
      <c r="K6" s="10">
        <f>SUM(B6:I6)</f>
        <v>12</v>
      </c>
    </row>
    <row r="7" spans="1:11" x14ac:dyDescent="0.25">
      <c r="A7" s="7" t="s">
        <v>8</v>
      </c>
      <c r="B7" s="30">
        <v>12</v>
      </c>
      <c r="C7" s="9"/>
      <c r="D7" s="9"/>
      <c r="E7" s="9"/>
      <c r="F7" s="9"/>
      <c r="G7" s="9"/>
      <c r="H7" s="9"/>
      <c r="I7" s="9"/>
      <c r="J7" s="9"/>
      <c r="K7" s="10">
        <f t="shared" ref="K7:K43" si="0">SUM(B7:I7)</f>
        <v>12</v>
      </c>
    </row>
    <row r="8" spans="1:11" x14ac:dyDescent="0.25">
      <c r="A8" s="7" t="s">
        <v>226</v>
      </c>
      <c r="B8" s="30">
        <v>6</v>
      </c>
      <c r="C8" s="9"/>
      <c r="D8" s="9"/>
      <c r="E8" s="9"/>
      <c r="F8" s="9"/>
      <c r="G8" s="9"/>
      <c r="H8" s="9"/>
      <c r="I8" s="9"/>
      <c r="J8" s="9"/>
      <c r="K8" s="10">
        <f t="shared" si="0"/>
        <v>6</v>
      </c>
    </row>
    <row r="9" spans="1:11" x14ac:dyDescent="0.25">
      <c r="A9" s="7" t="s">
        <v>59</v>
      </c>
      <c r="B9" s="30">
        <v>60</v>
      </c>
      <c r="C9" s="9"/>
      <c r="D9" s="9"/>
      <c r="E9" s="9"/>
      <c r="F9" s="9"/>
      <c r="G9" s="9"/>
      <c r="H9" s="9"/>
      <c r="I9" s="9">
        <v>-5</v>
      </c>
      <c r="J9" s="9"/>
      <c r="K9" s="10">
        <f t="shared" si="0"/>
        <v>55</v>
      </c>
    </row>
    <row r="10" spans="1:11" x14ac:dyDescent="0.25">
      <c r="A10" s="7" t="s">
        <v>227</v>
      </c>
      <c r="B10" s="79">
        <v>73</v>
      </c>
      <c r="C10" s="9"/>
      <c r="D10" s="9"/>
      <c r="E10" s="9"/>
      <c r="F10" s="9"/>
      <c r="G10" s="9"/>
      <c r="H10" s="9"/>
      <c r="I10" s="9">
        <v>-14</v>
      </c>
      <c r="J10" s="9"/>
      <c r="K10" s="10">
        <f t="shared" si="0"/>
        <v>59</v>
      </c>
    </row>
    <row r="11" spans="1:11" x14ac:dyDescent="0.25">
      <c r="A11" s="7" t="s">
        <v>57</v>
      </c>
      <c r="B11" s="79">
        <v>45</v>
      </c>
      <c r="C11" s="9"/>
      <c r="D11" s="9"/>
      <c r="E11" s="9"/>
      <c r="F11" s="9"/>
      <c r="G11" s="9"/>
      <c r="H11" s="9"/>
      <c r="I11" s="9">
        <v>-7</v>
      </c>
      <c r="J11" s="9"/>
      <c r="K11" s="10">
        <f t="shared" si="0"/>
        <v>38</v>
      </c>
    </row>
    <row r="12" spans="1:11" x14ac:dyDescent="0.25">
      <c r="A12" s="7" t="s">
        <v>49</v>
      </c>
      <c r="B12" s="30">
        <v>6</v>
      </c>
      <c r="C12" s="9"/>
      <c r="D12" s="9"/>
      <c r="E12" s="9"/>
      <c r="F12" s="9"/>
      <c r="G12" s="9"/>
      <c r="H12" s="9"/>
      <c r="I12" s="9">
        <v>-4</v>
      </c>
      <c r="J12" s="9"/>
      <c r="K12" s="10">
        <f t="shared" si="0"/>
        <v>2</v>
      </c>
    </row>
    <row r="13" spans="1:11" x14ac:dyDescent="0.25">
      <c r="A13" s="7" t="s">
        <v>228</v>
      </c>
      <c r="B13" s="30">
        <v>3</v>
      </c>
      <c r="C13" s="9"/>
      <c r="D13" s="9"/>
      <c r="E13" s="9"/>
      <c r="F13" s="9"/>
      <c r="G13" s="9"/>
      <c r="H13" s="9"/>
      <c r="I13" s="9">
        <v>-2</v>
      </c>
      <c r="J13" s="9"/>
      <c r="K13" s="10">
        <f t="shared" si="0"/>
        <v>1</v>
      </c>
    </row>
    <row r="14" spans="1:11" x14ac:dyDescent="0.25">
      <c r="A14" s="7" t="s">
        <v>229</v>
      </c>
      <c r="B14" s="30">
        <v>2</v>
      </c>
      <c r="C14" s="9"/>
      <c r="D14" s="9"/>
      <c r="E14" s="9"/>
      <c r="F14" s="9"/>
      <c r="G14" s="9"/>
      <c r="H14" s="9"/>
      <c r="I14" s="9">
        <v>-2</v>
      </c>
      <c r="J14" s="9"/>
      <c r="K14" s="10">
        <f t="shared" si="0"/>
        <v>0</v>
      </c>
    </row>
    <row r="15" spans="1:11" x14ac:dyDescent="0.25">
      <c r="A15" s="7" t="s">
        <v>230</v>
      </c>
      <c r="B15" s="30">
        <v>5</v>
      </c>
      <c r="C15" s="9"/>
      <c r="D15" s="9"/>
      <c r="E15" s="9"/>
      <c r="F15" s="9"/>
      <c r="G15" s="9"/>
      <c r="H15" s="9"/>
      <c r="I15" s="9"/>
      <c r="J15" s="9"/>
      <c r="K15" s="10">
        <f t="shared" si="0"/>
        <v>5</v>
      </c>
    </row>
    <row r="16" spans="1:11" x14ac:dyDescent="0.25">
      <c r="A16" s="7" t="s">
        <v>231</v>
      </c>
      <c r="B16" s="30">
        <v>6</v>
      </c>
      <c r="C16" s="9"/>
      <c r="D16" s="9"/>
      <c r="E16" s="9"/>
      <c r="F16" s="9"/>
      <c r="G16" s="9"/>
      <c r="H16" s="9"/>
      <c r="I16" s="9"/>
      <c r="J16" s="9"/>
      <c r="K16" s="10">
        <f t="shared" si="0"/>
        <v>6</v>
      </c>
    </row>
    <row r="17" spans="1:11" x14ac:dyDescent="0.25">
      <c r="A17" s="7" t="s">
        <v>20</v>
      </c>
      <c r="B17" s="30"/>
      <c r="C17" s="100">
        <v>5</v>
      </c>
      <c r="D17" s="9"/>
      <c r="E17" s="9"/>
      <c r="F17" s="100">
        <v>3</v>
      </c>
      <c r="G17" s="100">
        <v>1</v>
      </c>
      <c r="H17" s="100">
        <v>-9</v>
      </c>
      <c r="I17" s="100"/>
      <c r="J17" s="9"/>
      <c r="K17" s="10">
        <f t="shared" si="0"/>
        <v>0</v>
      </c>
    </row>
    <row r="18" spans="1:11" x14ac:dyDescent="0.25">
      <c r="A18" s="7" t="s">
        <v>234</v>
      </c>
      <c r="B18" s="30"/>
      <c r="C18" s="100">
        <v>10</v>
      </c>
      <c r="D18" s="9"/>
      <c r="E18" s="9"/>
      <c r="F18" s="9"/>
      <c r="G18" s="9"/>
      <c r="H18" s="100">
        <v>-9</v>
      </c>
      <c r="I18" s="100">
        <v>-1</v>
      </c>
      <c r="J18" s="9"/>
      <c r="K18" s="10">
        <f t="shared" si="0"/>
        <v>0</v>
      </c>
    </row>
    <row r="19" spans="1:11" x14ac:dyDescent="0.25">
      <c r="A19" s="7" t="s">
        <v>166</v>
      </c>
      <c r="B19" s="30"/>
      <c r="C19" s="100">
        <v>8</v>
      </c>
      <c r="D19" s="9"/>
      <c r="E19" s="9"/>
      <c r="F19" s="9"/>
      <c r="G19" s="100">
        <v>3</v>
      </c>
      <c r="H19" s="100">
        <v>-11</v>
      </c>
      <c r="I19" s="100"/>
      <c r="J19" s="9"/>
      <c r="K19" s="10">
        <f t="shared" si="0"/>
        <v>0</v>
      </c>
    </row>
    <row r="20" spans="1:11" x14ac:dyDescent="0.25">
      <c r="A20" s="7" t="s">
        <v>235</v>
      </c>
      <c r="B20" s="30"/>
      <c r="C20" s="100">
        <v>23</v>
      </c>
      <c r="D20" s="9"/>
      <c r="E20" s="9"/>
      <c r="F20" s="9"/>
      <c r="G20" s="9"/>
      <c r="H20" s="100">
        <v>-22</v>
      </c>
      <c r="I20" s="100">
        <v>-1</v>
      </c>
      <c r="J20" s="9"/>
      <c r="K20" s="10">
        <f t="shared" si="0"/>
        <v>0</v>
      </c>
    </row>
    <row r="21" spans="1:11" x14ac:dyDescent="0.25">
      <c r="A21" s="7" t="s">
        <v>80</v>
      </c>
      <c r="B21" s="30"/>
      <c r="C21" s="100">
        <v>17</v>
      </c>
      <c r="D21" s="9"/>
      <c r="E21" s="9"/>
      <c r="F21" s="9"/>
      <c r="G21" s="9"/>
      <c r="H21" s="100">
        <v>-17</v>
      </c>
      <c r="I21" s="100"/>
      <c r="J21" s="9"/>
      <c r="K21" s="10">
        <f t="shared" si="0"/>
        <v>0</v>
      </c>
    </row>
    <row r="22" spans="1:11" x14ac:dyDescent="0.25">
      <c r="A22" s="7" t="s">
        <v>40</v>
      </c>
      <c r="B22" s="30"/>
      <c r="C22" s="100">
        <v>17</v>
      </c>
      <c r="D22" s="9"/>
      <c r="E22" s="9"/>
      <c r="F22" s="9"/>
      <c r="G22" s="100">
        <v>3</v>
      </c>
      <c r="H22" s="100">
        <v>-19</v>
      </c>
      <c r="I22" s="100">
        <v>-1</v>
      </c>
      <c r="J22" s="9"/>
      <c r="K22" s="10">
        <f t="shared" si="0"/>
        <v>0</v>
      </c>
    </row>
    <row r="23" spans="1:11" x14ac:dyDescent="0.25">
      <c r="A23" s="7" t="s">
        <v>92</v>
      </c>
      <c r="B23" s="30"/>
      <c r="C23" s="100">
        <v>5</v>
      </c>
      <c r="D23" s="9"/>
      <c r="E23" s="9"/>
      <c r="F23" s="100">
        <v>5</v>
      </c>
      <c r="G23" s="100">
        <v>12</v>
      </c>
      <c r="H23" s="100">
        <v>-20</v>
      </c>
      <c r="I23" s="100">
        <v>-2</v>
      </c>
      <c r="J23" s="9"/>
      <c r="K23" s="10">
        <f>SUM(B23:J23)</f>
        <v>0</v>
      </c>
    </row>
    <row r="24" spans="1:11" x14ac:dyDescent="0.25">
      <c r="A24" s="7" t="s">
        <v>236</v>
      </c>
      <c r="B24" s="30"/>
      <c r="C24" s="100">
        <v>6</v>
      </c>
      <c r="D24" s="9"/>
      <c r="E24" s="9"/>
      <c r="F24" s="9"/>
      <c r="G24" s="100">
        <v>21</v>
      </c>
      <c r="H24" s="9"/>
      <c r="I24" s="9">
        <v>-27</v>
      </c>
      <c r="J24" s="9"/>
      <c r="K24" s="10">
        <f t="shared" si="0"/>
        <v>0</v>
      </c>
    </row>
    <row r="25" spans="1:11" x14ac:dyDescent="0.25">
      <c r="A25" s="7" t="s">
        <v>233</v>
      </c>
      <c r="B25" s="30"/>
      <c r="C25" s="100">
        <v>20</v>
      </c>
      <c r="D25" s="9"/>
      <c r="E25" s="9"/>
      <c r="F25" s="9"/>
      <c r="G25" s="100">
        <v>5</v>
      </c>
      <c r="H25" s="100">
        <v>-6</v>
      </c>
      <c r="I25" s="100">
        <v>-19</v>
      </c>
      <c r="J25" s="9"/>
      <c r="K25" s="10">
        <f t="shared" si="0"/>
        <v>0</v>
      </c>
    </row>
    <row r="26" spans="1:11" x14ac:dyDescent="0.25">
      <c r="A26" s="7" t="s">
        <v>237</v>
      </c>
      <c r="B26" s="30"/>
      <c r="C26" s="100">
        <v>8</v>
      </c>
      <c r="D26" s="9"/>
      <c r="E26" s="9"/>
      <c r="F26" s="9"/>
      <c r="G26" s="9"/>
      <c r="H26" s="100">
        <v>-3</v>
      </c>
      <c r="I26" s="100">
        <v>-5</v>
      </c>
      <c r="J26" s="9"/>
      <c r="K26" s="10">
        <f t="shared" si="0"/>
        <v>0</v>
      </c>
    </row>
    <row r="27" spans="1:11" x14ac:dyDescent="0.25">
      <c r="A27" s="7" t="s">
        <v>238</v>
      </c>
      <c r="B27" s="30"/>
      <c r="C27" s="100">
        <v>10</v>
      </c>
      <c r="D27" s="9"/>
      <c r="E27" s="9"/>
      <c r="F27" s="9"/>
      <c r="G27" s="9"/>
      <c r="H27" s="100">
        <v>-3</v>
      </c>
      <c r="I27" s="100">
        <v>-7</v>
      </c>
      <c r="J27" s="9"/>
      <c r="K27" s="10">
        <f t="shared" si="0"/>
        <v>0</v>
      </c>
    </row>
    <row r="28" spans="1:11" x14ac:dyDescent="0.25">
      <c r="A28" s="7" t="s">
        <v>239</v>
      </c>
      <c r="B28" s="30"/>
      <c r="C28" s="100">
        <v>6</v>
      </c>
      <c r="D28" s="9"/>
      <c r="E28" s="9"/>
      <c r="F28" s="9"/>
      <c r="G28" s="9"/>
      <c r="H28" s="100">
        <v>-6</v>
      </c>
      <c r="I28" s="100"/>
      <c r="J28" s="9"/>
      <c r="K28" s="10">
        <f t="shared" si="0"/>
        <v>0</v>
      </c>
    </row>
    <row r="29" spans="1:11" x14ac:dyDescent="0.25">
      <c r="A29" s="7" t="s">
        <v>232</v>
      </c>
      <c r="B29" s="30"/>
      <c r="C29" s="100">
        <v>1</v>
      </c>
      <c r="D29" s="9"/>
      <c r="E29" s="9"/>
      <c r="F29" s="100">
        <v>2</v>
      </c>
      <c r="G29" s="9"/>
      <c r="H29" s="100">
        <v>-2</v>
      </c>
      <c r="I29" s="100">
        <v>-1</v>
      </c>
      <c r="J29" s="9"/>
      <c r="K29" s="10">
        <f t="shared" si="0"/>
        <v>0</v>
      </c>
    </row>
    <row r="30" spans="1:11" x14ac:dyDescent="0.25">
      <c r="A30" s="7" t="s">
        <v>285</v>
      </c>
      <c r="B30" s="30"/>
      <c r="C30" s="9"/>
      <c r="D30" s="9"/>
      <c r="E30" s="9"/>
      <c r="F30" s="84"/>
      <c r="G30" s="100">
        <v>2</v>
      </c>
      <c r="H30" s="100">
        <v>-2</v>
      </c>
      <c r="I30" s="100"/>
      <c r="J30" s="9"/>
      <c r="K30" s="10">
        <f t="shared" si="0"/>
        <v>0</v>
      </c>
    </row>
    <row r="31" spans="1:11" x14ac:dyDescent="0.25">
      <c r="A31" s="7" t="s">
        <v>240</v>
      </c>
      <c r="B31" s="30"/>
      <c r="C31" s="100">
        <v>32</v>
      </c>
      <c r="D31" s="9"/>
      <c r="E31" s="9"/>
      <c r="F31" s="9"/>
      <c r="G31" s="9"/>
      <c r="H31" s="100">
        <v>-11</v>
      </c>
      <c r="I31" s="100">
        <v>-21</v>
      </c>
      <c r="J31" s="9"/>
      <c r="K31" s="10">
        <f t="shared" si="0"/>
        <v>0</v>
      </c>
    </row>
    <row r="32" spans="1:11" x14ac:dyDescent="0.25">
      <c r="A32" s="7" t="s">
        <v>16</v>
      </c>
      <c r="B32" s="30"/>
      <c r="C32" s="100">
        <v>4</v>
      </c>
      <c r="D32" s="9"/>
      <c r="E32" s="100">
        <v>30</v>
      </c>
      <c r="F32" s="9"/>
      <c r="G32" s="9"/>
      <c r="H32" s="9"/>
      <c r="I32" s="9">
        <v>-34</v>
      </c>
      <c r="J32" s="9"/>
      <c r="K32" s="10">
        <f t="shared" si="0"/>
        <v>0</v>
      </c>
    </row>
    <row r="33" spans="1:12" x14ac:dyDescent="0.25">
      <c r="A33" s="7" t="s">
        <v>241</v>
      </c>
      <c r="B33" s="30"/>
      <c r="C33" s="100">
        <v>8</v>
      </c>
      <c r="D33" s="9"/>
      <c r="E33" s="9"/>
      <c r="F33" s="9"/>
      <c r="G33" s="9"/>
      <c r="H33" s="9"/>
      <c r="I33" s="9">
        <v>-8</v>
      </c>
      <c r="J33" s="9"/>
      <c r="K33" s="10">
        <f t="shared" si="0"/>
        <v>0</v>
      </c>
    </row>
    <row r="34" spans="1:12" x14ac:dyDescent="0.25">
      <c r="A34" s="7" t="s">
        <v>136</v>
      </c>
      <c r="B34" s="30"/>
      <c r="C34" s="100">
        <v>450</v>
      </c>
      <c r="D34" s="9"/>
      <c r="E34" s="9"/>
      <c r="F34" s="100">
        <v>200</v>
      </c>
      <c r="G34" s="100">
        <v>50</v>
      </c>
      <c r="H34" s="9"/>
      <c r="I34" s="9">
        <v>-666</v>
      </c>
      <c r="J34" s="9">
        <v>-34</v>
      </c>
      <c r="K34" s="10">
        <f>SUM(B34:J34)</f>
        <v>0</v>
      </c>
    </row>
    <row r="35" spans="1:12" x14ac:dyDescent="0.25">
      <c r="A35" s="7" t="s">
        <v>242</v>
      </c>
      <c r="B35" s="30"/>
      <c r="C35" s="100">
        <v>2</v>
      </c>
      <c r="D35" s="9"/>
      <c r="E35" s="9"/>
      <c r="F35" s="100">
        <v>1</v>
      </c>
      <c r="G35" s="9"/>
      <c r="H35" s="9"/>
      <c r="I35" s="9">
        <v>-3</v>
      </c>
      <c r="J35" s="9"/>
      <c r="K35" s="10">
        <f t="shared" si="0"/>
        <v>0</v>
      </c>
    </row>
    <row r="36" spans="1:12" x14ac:dyDescent="0.25">
      <c r="A36" s="7" t="s">
        <v>93</v>
      </c>
      <c r="B36" s="30"/>
      <c r="C36" s="9"/>
      <c r="D36" s="100">
        <v>14</v>
      </c>
      <c r="E36" s="9"/>
      <c r="F36" s="9"/>
      <c r="G36" s="100">
        <v>6</v>
      </c>
      <c r="H36" s="100">
        <v>-20</v>
      </c>
      <c r="I36" s="100"/>
      <c r="J36" s="9"/>
      <c r="K36" s="10">
        <f t="shared" si="0"/>
        <v>0</v>
      </c>
    </row>
    <row r="37" spans="1:12" x14ac:dyDescent="0.25">
      <c r="A37" s="7" t="s">
        <v>270</v>
      </c>
      <c r="B37" s="30"/>
      <c r="C37" s="9"/>
      <c r="D37" s="9"/>
      <c r="E37" s="9"/>
      <c r="F37" s="100">
        <v>2</v>
      </c>
      <c r="G37" s="9"/>
      <c r="H37" s="100">
        <v>-2</v>
      </c>
      <c r="I37" s="100"/>
      <c r="J37" s="9"/>
      <c r="K37" s="10">
        <f t="shared" si="0"/>
        <v>0</v>
      </c>
    </row>
    <row r="38" spans="1:12" x14ac:dyDescent="0.25">
      <c r="A38" s="7" t="s">
        <v>271</v>
      </c>
      <c r="B38" s="30"/>
      <c r="C38" s="9"/>
      <c r="D38" s="9"/>
      <c r="E38" s="9"/>
      <c r="F38" s="100">
        <v>1</v>
      </c>
      <c r="G38" s="9"/>
      <c r="H38" s="9"/>
      <c r="I38" s="9">
        <v>-1</v>
      </c>
      <c r="J38" s="9"/>
      <c r="K38" s="10">
        <f t="shared" si="0"/>
        <v>0</v>
      </c>
    </row>
    <row r="39" spans="1:12" x14ac:dyDescent="0.25">
      <c r="A39" s="7" t="s">
        <v>272</v>
      </c>
      <c r="B39" s="30"/>
      <c r="C39" s="9"/>
      <c r="D39" s="9"/>
      <c r="E39" s="9"/>
      <c r="F39" s="100">
        <v>14</v>
      </c>
      <c r="G39" s="9"/>
      <c r="H39" s="100">
        <v>-4</v>
      </c>
      <c r="I39" s="100">
        <v>-9</v>
      </c>
      <c r="J39" s="9">
        <v>-1</v>
      </c>
      <c r="K39" s="10">
        <f>SUM(B39:J39)</f>
        <v>0</v>
      </c>
    </row>
    <row r="40" spans="1:12" x14ac:dyDescent="0.25">
      <c r="A40" s="7" t="s">
        <v>273</v>
      </c>
      <c r="B40" s="30"/>
      <c r="C40" s="9"/>
      <c r="D40" s="9"/>
      <c r="E40" s="9"/>
      <c r="F40" s="100">
        <v>2</v>
      </c>
      <c r="G40" s="9"/>
      <c r="H40" s="100">
        <v>-2</v>
      </c>
      <c r="I40" s="100"/>
      <c r="J40" s="9"/>
      <c r="K40" s="10">
        <f t="shared" si="0"/>
        <v>0</v>
      </c>
    </row>
    <row r="41" spans="1:12" x14ac:dyDescent="0.25">
      <c r="A41" s="7" t="s">
        <v>274</v>
      </c>
      <c r="B41" s="30"/>
      <c r="C41" s="9"/>
      <c r="D41" s="9"/>
      <c r="E41" s="9"/>
      <c r="F41" s="100">
        <v>28</v>
      </c>
      <c r="G41" s="9"/>
      <c r="H41" s="9"/>
      <c r="I41" s="9">
        <v>-28</v>
      </c>
      <c r="J41" s="9"/>
      <c r="K41" s="10">
        <f t="shared" si="0"/>
        <v>0</v>
      </c>
    </row>
    <row r="42" spans="1:12" x14ac:dyDescent="0.25">
      <c r="A42" s="7" t="s">
        <v>275</v>
      </c>
      <c r="B42" s="30"/>
      <c r="C42" s="9"/>
      <c r="D42" s="9"/>
      <c r="E42" s="9"/>
      <c r="F42" s="100">
        <v>15</v>
      </c>
      <c r="G42" s="9"/>
      <c r="H42" s="9"/>
      <c r="I42" s="9">
        <v>-15</v>
      </c>
      <c r="J42" s="9"/>
      <c r="K42" s="10">
        <f t="shared" si="0"/>
        <v>0</v>
      </c>
    </row>
    <row r="43" spans="1:12" x14ac:dyDescent="0.25">
      <c r="A43" s="7" t="s">
        <v>284</v>
      </c>
      <c r="B43" s="30"/>
      <c r="C43" s="9"/>
      <c r="D43" s="9"/>
      <c r="E43" s="9"/>
      <c r="F43" s="100"/>
      <c r="G43" s="100">
        <v>9</v>
      </c>
      <c r="H43" s="9"/>
      <c r="I43" s="9">
        <v>-9</v>
      </c>
      <c r="J43" s="9"/>
      <c r="K43" s="10">
        <f t="shared" si="0"/>
        <v>0</v>
      </c>
    </row>
    <row r="44" spans="1:12" x14ac:dyDescent="0.25">
      <c r="A44" s="4" t="s">
        <v>243</v>
      </c>
      <c r="B44" s="18"/>
      <c r="C44" s="12">
        <v>7.6388888888888895E-2</v>
      </c>
      <c r="D44" s="12">
        <v>0.45833333333333331</v>
      </c>
      <c r="E44" s="12">
        <v>0.37152777777777779</v>
      </c>
      <c r="F44" s="12">
        <v>0.13541666666666666</v>
      </c>
      <c r="G44" s="12">
        <v>0.49305555555555558</v>
      </c>
      <c r="H44" s="12">
        <v>8.3333333333333329E-2</v>
      </c>
      <c r="I44" s="12">
        <v>0.33333333333333331</v>
      </c>
      <c r="J44" s="12">
        <v>0.52638888888888891</v>
      </c>
      <c r="K44" s="13"/>
    </row>
    <row r="45" spans="1:12" x14ac:dyDescent="0.25">
      <c r="A45" s="4" t="s">
        <v>3</v>
      </c>
      <c r="B45" s="19"/>
      <c r="C45" s="15" t="s">
        <v>29</v>
      </c>
      <c r="D45" s="15" t="s">
        <v>29</v>
      </c>
      <c r="E45" s="12" t="s">
        <v>248</v>
      </c>
      <c r="F45" s="12" t="s">
        <v>248</v>
      </c>
      <c r="G45" s="12" t="s">
        <v>286</v>
      </c>
      <c r="H45" s="15" t="s">
        <v>29</v>
      </c>
      <c r="I45" s="15">
        <v>75000</v>
      </c>
      <c r="J45" s="12" t="s">
        <v>248</v>
      </c>
      <c r="K45" s="16"/>
    </row>
    <row r="46" spans="1:12" x14ac:dyDescent="0.25">
      <c r="I46" s="40"/>
      <c r="J46" s="40"/>
      <c r="K46" s="40"/>
      <c r="L46" s="40"/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69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8EFE-0AAB-45D3-8099-7EFD901E1075}">
  <sheetPr>
    <pageSetUpPr fitToPage="1"/>
  </sheetPr>
  <dimension ref="A1:L22"/>
  <sheetViews>
    <sheetView topLeftCell="A5" workbookViewId="0">
      <selection activeCell="I23" sqref="I23"/>
    </sheetView>
  </sheetViews>
  <sheetFormatPr baseColWidth="10" defaultRowHeight="15" x14ac:dyDescent="0.25"/>
  <cols>
    <col min="1" max="1" width="27" customWidth="1"/>
    <col min="2" max="2" width="15.5703125" customWidth="1"/>
    <col min="9" max="9" width="14.7109375" customWidth="1"/>
    <col min="10" max="10" width="17.7109375" customWidth="1"/>
  </cols>
  <sheetData>
    <row r="1" spans="1:12" ht="18.75" x14ac:dyDescent="0.3">
      <c r="A1" s="131" t="s">
        <v>18</v>
      </c>
      <c r="B1" s="132"/>
      <c r="C1" s="132"/>
      <c r="D1" s="132"/>
      <c r="E1" s="132"/>
      <c r="F1" s="132"/>
      <c r="G1" s="132"/>
      <c r="H1" s="132"/>
      <c r="I1" s="132"/>
      <c r="J1" s="135"/>
    </row>
    <row r="2" spans="1:12" ht="18.75" x14ac:dyDescent="0.3">
      <c r="A2" s="133" t="s">
        <v>19</v>
      </c>
      <c r="B2" s="134"/>
      <c r="C2" s="134"/>
      <c r="D2" s="134"/>
      <c r="E2" s="134"/>
      <c r="F2" s="134"/>
      <c r="G2" s="134"/>
      <c r="H2" s="134"/>
      <c r="I2" s="134"/>
      <c r="J2" s="136"/>
    </row>
    <row r="3" spans="1:12" ht="18.75" x14ac:dyDescent="0.3">
      <c r="A3" s="133" t="s">
        <v>30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2" x14ac:dyDescent="0.25">
      <c r="A4" s="1" t="s">
        <v>0</v>
      </c>
      <c r="B4" s="2">
        <v>13746</v>
      </c>
      <c r="C4" s="2">
        <v>13750</v>
      </c>
      <c r="D4" s="2">
        <v>13803</v>
      </c>
      <c r="E4" s="2">
        <v>13816</v>
      </c>
      <c r="F4" s="2">
        <v>13831</v>
      </c>
      <c r="G4" s="2">
        <v>13502</v>
      </c>
      <c r="H4" s="2">
        <v>13503</v>
      </c>
      <c r="I4" s="2">
        <v>13504</v>
      </c>
      <c r="J4" s="2" t="s">
        <v>1</v>
      </c>
    </row>
    <row r="5" spans="1:12" x14ac:dyDescent="0.25">
      <c r="A5" s="4"/>
      <c r="B5" s="5">
        <v>46203</v>
      </c>
      <c r="C5" s="5">
        <v>46203</v>
      </c>
      <c r="D5" s="5">
        <v>46204</v>
      </c>
      <c r="E5" s="5">
        <v>46206</v>
      </c>
      <c r="F5" s="5">
        <v>46210</v>
      </c>
      <c r="G5" s="5">
        <v>46220</v>
      </c>
      <c r="H5" s="5">
        <v>46221</v>
      </c>
      <c r="I5" s="5">
        <v>46221</v>
      </c>
      <c r="J5" s="5">
        <v>46203</v>
      </c>
      <c r="K5" t="s">
        <v>323</v>
      </c>
    </row>
    <row r="6" spans="1:12" x14ac:dyDescent="0.25">
      <c r="A6" s="7" t="s">
        <v>20</v>
      </c>
      <c r="B6" s="9">
        <v>40</v>
      </c>
      <c r="C6" s="9">
        <v>10</v>
      </c>
      <c r="D6" s="9">
        <v>65</v>
      </c>
      <c r="E6" s="9"/>
      <c r="F6" s="9">
        <v>3</v>
      </c>
      <c r="G6" s="9">
        <v>-84</v>
      </c>
      <c r="H6" s="9"/>
      <c r="I6" s="9">
        <v>-34</v>
      </c>
      <c r="J6" s="10">
        <f>SUM(B6:I6)</f>
        <v>0</v>
      </c>
      <c r="K6">
        <v>26</v>
      </c>
      <c r="L6">
        <f>K6*J6</f>
        <v>0</v>
      </c>
    </row>
    <row r="7" spans="1:12" x14ac:dyDescent="0.25">
      <c r="A7" s="7" t="s">
        <v>21</v>
      </c>
      <c r="B7" s="9"/>
      <c r="C7" s="9">
        <v>23</v>
      </c>
      <c r="D7" s="9"/>
      <c r="E7" s="9"/>
      <c r="F7" s="9"/>
      <c r="G7" s="9"/>
      <c r="H7" s="9"/>
      <c r="I7" s="9">
        <v>-23</v>
      </c>
      <c r="J7" s="10">
        <f t="shared" ref="J7:J20" si="0">SUM(B7:I7)</f>
        <v>0</v>
      </c>
      <c r="K7">
        <v>7</v>
      </c>
      <c r="L7">
        <f t="shared" ref="L7:L20" si="1">K7*J7</f>
        <v>0</v>
      </c>
    </row>
    <row r="8" spans="1:12" x14ac:dyDescent="0.25">
      <c r="A8" s="7" t="s">
        <v>22</v>
      </c>
      <c r="B8" s="9"/>
      <c r="C8" s="9">
        <v>11</v>
      </c>
      <c r="D8" s="9"/>
      <c r="E8" s="9"/>
      <c r="F8" s="9"/>
      <c r="G8" s="9"/>
      <c r="H8" s="9"/>
      <c r="I8" s="9">
        <v>-11</v>
      </c>
      <c r="J8" s="10">
        <f t="shared" si="0"/>
        <v>0</v>
      </c>
      <c r="K8">
        <v>6</v>
      </c>
      <c r="L8">
        <f t="shared" si="1"/>
        <v>0</v>
      </c>
    </row>
    <row r="9" spans="1:12" x14ac:dyDescent="0.25">
      <c r="A9" s="7" t="s">
        <v>166</v>
      </c>
      <c r="B9" s="9"/>
      <c r="C9" s="9"/>
      <c r="D9" s="9"/>
      <c r="E9" s="9">
        <v>7</v>
      </c>
      <c r="F9" s="9"/>
      <c r="G9" s="9"/>
      <c r="H9" s="9"/>
      <c r="I9" s="9">
        <v>-7</v>
      </c>
      <c r="J9" s="10">
        <f t="shared" si="0"/>
        <v>0</v>
      </c>
      <c r="K9">
        <v>21</v>
      </c>
      <c r="L9">
        <f t="shared" si="1"/>
        <v>0</v>
      </c>
    </row>
    <row r="10" spans="1:12" x14ac:dyDescent="0.25">
      <c r="A10" s="7" t="s">
        <v>80</v>
      </c>
      <c r="B10" s="9"/>
      <c r="C10" s="9"/>
      <c r="D10" s="9"/>
      <c r="E10" s="9">
        <v>1</v>
      </c>
      <c r="F10" s="9"/>
      <c r="G10" s="9"/>
      <c r="H10" s="9"/>
      <c r="I10" s="9">
        <v>-1</v>
      </c>
      <c r="J10" s="10">
        <f t="shared" si="0"/>
        <v>0</v>
      </c>
      <c r="K10">
        <v>18.5</v>
      </c>
      <c r="L10">
        <f t="shared" si="1"/>
        <v>0</v>
      </c>
    </row>
    <row r="11" spans="1:12" x14ac:dyDescent="0.25">
      <c r="A11" s="7" t="s">
        <v>92</v>
      </c>
      <c r="B11" s="9"/>
      <c r="C11" s="9"/>
      <c r="D11" s="9"/>
      <c r="E11" s="9">
        <v>6</v>
      </c>
      <c r="F11" s="9">
        <v>3</v>
      </c>
      <c r="G11" s="9"/>
      <c r="H11" s="9"/>
      <c r="I11" s="9">
        <v>-9</v>
      </c>
      <c r="J11" s="10">
        <f t="shared" si="0"/>
        <v>0</v>
      </c>
      <c r="K11">
        <v>13.5</v>
      </c>
      <c r="L11">
        <f t="shared" si="1"/>
        <v>0</v>
      </c>
    </row>
    <row r="12" spans="1:12" x14ac:dyDescent="0.25">
      <c r="A12" s="7" t="s">
        <v>40</v>
      </c>
      <c r="B12" s="9"/>
      <c r="C12" s="9"/>
      <c r="D12" s="9"/>
      <c r="E12" s="9">
        <v>2</v>
      </c>
      <c r="F12" s="9"/>
      <c r="G12" s="9"/>
      <c r="H12" s="9"/>
      <c r="I12" s="9">
        <v>-2</v>
      </c>
      <c r="J12" s="10">
        <f t="shared" si="0"/>
        <v>0</v>
      </c>
      <c r="K12">
        <v>11</v>
      </c>
      <c r="L12">
        <f t="shared" si="1"/>
        <v>0</v>
      </c>
    </row>
    <row r="13" spans="1:12" x14ac:dyDescent="0.25">
      <c r="A13" s="7" t="s">
        <v>14</v>
      </c>
      <c r="B13" s="9"/>
      <c r="C13" s="9">
        <v>200</v>
      </c>
      <c r="D13" s="9">
        <v>200</v>
      </c>
      <c r="E13" s="9"/>
      <c r="F13" s="9">
        <v>30</v>
      </c>
      <c r="G13" s="9"/>
      <c r="H13" s="9">
        <v>-430</v>
      </c>
      <c r="I13" s="9"/>
      <c r="J13" s="10">
        <f t="shared" si="0"/>
        <v>0</v>
      </c>
      <c r="K13">
        <v>0.2</v>
      </c>
      <c r="L13">
        <f t="shared" si="1"/>
        <v>0</v>
      </c>
    </row>
    <row r="14" spans="1:12" x14ac:dyDescent="0.25">
      <c r="A14" s="7" t="s">
        <v>24</v>
      </c>
      <c r="B14" s="9"/>
      <c r="C14" s="9">
        <v>1</v>
      </c>
      <c r="D14" s="9">
        <v>1</v>
      </c>
      <c r="E14" s="9"/>
      <c r="F14" s="9"/>
      <c r="G14" s="9"/>
      <c r="H14" s="9">
        <v>-2</v>
      </c>
      <c r="I14" s="9"/>
      <c r="J14" s="10">
        <f t="shared" si="0"/>
        <v>0</v>
      </c>
      <c r="K14">
        <v>0.5</v>
      </c>
      <c r="L14">
        <f t="shared" si="1"/>
        <v>0</v>
      </c>
    </row>
    <row r="15" spans="1:12" x14ac:dyDescent="0.25">
      <c r="A15" s="7" t="s">
        <v>26</v>
      </c>
      <c r="B15" s="9">
        <v>14</v>
      </c>
      <c r="C15" s="9">
        <v>10</v>
      </c>
      <c r="D15" s="9"/>
      <c r="E15" s="9"/>
      <c r="F15" s="9"/>
      <c r="G15" s="9"/>
      <c r="H15" s="9">
        <v>-24</v>
      </c>
      <c r="I15" s="9"/>
      <c r="J15" s="10">
        <f t="shared" si="0"/>
        <v>0</v>
      </c>
      <c r="K15">
        <v>29</v>
      </c>
      <c r="L15">
        <f t="shared" si="1"/>
        <v>0</v>
      </c>
    </row>
    <row r="16" spans="1:12" x14ac:dyDescent="0.25">
      <c r="A16" s="7" t="s">
        <v>27</v>
      </c>
      <c r="B16" s="9"/>
      <c r="C16" s="9">
        <v>12</v>
      </c>
      <c r="D16" s="9"/>
      <c r="E16" s="9"/>
      <c r="F16" s="9"/>
      <c r="G16" s="9"/>
      <c r="H16" s="9">
        <v>-3</v>
      </c>
      <c r="I16" s="9">
        <v>-9</v>
      </c>
      <c r="J16" s="10">
        <f t="shared" si="0"/>
        <v>0</v>
      </c>
      <c r="K16">
        <v>15</v>
      </c>
      <c r="L16">
        <f t="shared" si="1"/>
        <v>0</v>
      </c>
    </row>
    <row r="17" spans="1:12" x14ac:dyDescent="0.25">
      <c r="A17" s="7" t="s">
        <v>28</v>
      </c>
      <c r="B17" s="9">
        <v>30</v>
      </c>
      <c r="C17" s="9">
        <v>55</v>
      </c>
      <c r="D17" s="9"/>
      <c r="E17" s="9"/>
      <c r="F17" s="9"/>
      <c r="G17" s="9"/>
      <c r="H17" s="9">
        <v>-85</v>
      </c>
      <c r="I17" s="9"/>
      <c r="J17" s="10">
        <f t="shared" si="0"/>
        <v>0</v>
      </c>
      <c r="K17">
        <v>18.5</v>
      </c>
      <c r="L17">
        <f t="shared" si="1"/>
        <v>0</v>
      </c>
    </row>
    <row r="18" spans="1:12" x14ac:dyDescent="0.25">
      <c r="A18" s="7" t="s">
        <v>214</v>
      </c>
      <c r="B18" s="9"/>
      <c r="C18" s="9"/>
      <c r="D18" s="9"/>
      <c r="E18" s="9"/>
      <c r="F18" s="9">
        <v>1</v>
      </c>
      <c r="G18" s="9"/>
      <c r="H18" s="9">
        <v>-1</v>
      </c>
      <c r="I18" s="9"/>
      <c r="J18" s="10">
        <f t="shared" si="0"/>
        <v>0</v>
      </c>
      <c r="K18">
        <v>25</v>
      </c>
      <c r="L18">
        <f t="shared" si="1"/>
        <v>0</v>
      </c>
    </row>
    <row r="19" spans="1:12" x14ac:dyDescent="0.25">
      <c r="A19" s="7" t="s">
        <v>31</v>
      </c>
      <c r="B19" s="9"/>
      <c r="C19" s="9"/>
      <c r="D19" s="9">
        <v>6</v>
      </c>
      <c r="E19" s="9"/>
      <c r="F19" s="9"/>
      <c r="G19" s="9"/>
      <c r="H19" s="9"/>
      <c r="I19" s="9">
        <v>-6</v>
      </c>
      <c r="J19" s="10">
        <f t="shared" si="0"/>
        <v>0</v>
      </c>
      <c r="K19">
        <v>27</v>
      </c>
      <c r="L19">
        <f t="shared" si="1"/>
        <v>0</v>
      </c>
    </row>
    <row r="20" spans="1:12" x14ac:dyDescent="0.25">
      <c r="A20" s="7" t="s">
        <v>32</v>
      </c>
      <c r="B20" s="9"/>
      <c r="C20" s="9"/>
      <c r="D20" s="9">
        <v>34</v>
      </c>
      <c r="E20" s="9"/>
      <c r="F20" s="9"/>
      <c r="G20" s="9"/>
      <c r="H20" s="9"/>
      <c r="I20" s="9">
        <v>-34</v>
      </c>
      <c r="J20" s="10">
        <f t="shared" si="0"/>
        <v>0</v>
      </c>
      <c r="K20">
        <v>0.5</v>
      </c>
      <c r="L20">
        <f t="shared" si="1"/>
        <v>0</v>
      </c>
    </row>
    <row r="21" spans="1:12" x14ac:dyDescent="0.25">
      <c r="A21" s="4" t="s">
        <v>2</v>
      </c>
      <c r="B21" s="12">
        <v>0.15277777777777779</v>
      </c>
      <c r="C21" s="12">
        <v>0.125</v>
      </c>
      <c r="D21" s="12">
        <v>0.3263888888888889</v>
      </c>
      <c r="E21" s="12">
        <v>7.6388888888888895E-2</v>
      </c>
      <c r="F21" s="12">
        <v>6.9444444444444448E-2</v>
      </c>
      <c r="G21" s="12">
        <v>0.14583333333333334</v>
      </c>
      <c r="H21" s="12">
        <v>0.2986111111111111</v>
      </c>
      <c r="I21" s="12">
        <v>0.38194444444444442</v>
      </c>
      <c r="J21" s="13"/>
      <c r="L21" s="118">
        <f>SUM(L6:L20)</f>
        <v>0</v>
      </c>
    </row>
    <row r="22" spans="1:12" x14ac:dyDescent="0.25">
      <c r="A22" s="4" t="s">
        <v>3</v>
      </c>
      <c r="B22" s="15" t="s">
        <v>29</v>
      </c>
      <c r="C22" s="15" t="s">
        <v>29</v>
      </c>
      <c r="D22" s="15"/>
      <c r="E22" s="15">
        <v>35000</v>
      </c>
      <c r="F22" s="15">
        <v>30000</v>
      </c>
      <c r="G22" s="15" t="s">
        <v>201</v>
      </c>
      <c r="H22" s="15" t="s">
        <v>29</v>
      </c>
      <c r="I22" s="15" t="s">
        <v>201</v>
      </c>
      <c r="J22" s="16">
        <f t="shared" ref="J22" si="2">SUM(B22:F22)</f>
        <v>65000</v>
      </c>
    </row>
  </sheetData>
  <mergeCells count="3">
    <mergeCell ref="A1:J1"/>
    <mergeCell ref="A2:J2"/>
    <mergeCell ref="A3:J3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9347-8A42-4652-AEFE-77028565F86F}">
  <sheetPr>
    <pageSetUpPr fitToPage="1"/>
  </sheetPr>
  <dimension ref="A1:I35"/>
  <sheetViews>
    <sheetView topLeftCell="A15" workbookViewId="0">
      <selection activeCell="L34" sqref="L34"/>
    </sheetView>
  </sheetViews>
  <sheetFormatPr baseColWidth="10" defaultRowHeight="15" x14ac:dyDescent="0.25"/>
  <cols>
    <col min="1" max="1" width="32.85546875" bestFit="1" customWidth="1"/>
    <col min="5" max="6" width="17.5703125" customWidth="1"/>
    <col min="7" max="7" width="15.42578125" customWidth="1"/>
  </cols>
  <sheetData>
    <row r="1" spans="1:7" ht="18.75" x14ac:dyDescent="0.3">
      <c r="A1" s="138" t="s">
        <v>324</v>
      </c>
      <c r="B1" s="134"/>
      <c r="C1" s="134"/>
      <c r="D1" s="134"/>
      <c r="E1" s="134"/>
      <c r="F1" s="134"/>
      <c r="G1" s="139"/>
    </row>
    <row r="2" spans="1:7" ht="18.75" x14ac:dyDescent="0.3">
      <c r="A2" s="138" t="s">
        <v>325</v>
      </c>
      <c r="B2" s="134"/>
      <c r="C2" s="134"/>
      <c r="D2" s="134"/>
      <c r="E2" s="134"/>
      <c r="F2" s="134"/>
      <c r="G2" s="139"/>
    </row>
    <row r="3" spans="1:7" ht="18.75" x14ac:dyDescent="0.3">
      <c r="A3" s="138" t="s">
        <v>73</v>
      </c>
      <c r="B3" s="134"/>
      <c r="C3" s="134"/>
      <c r="D3" s="134"/>
      <c r="E3" s="134"/>
      <c r="F3" s="134"/>
      <c r="G3" s="139"/>
    </row>
    <row r="4" spans="1:7" x14ac:dyDescent="0.25">
      <c r="A4" s="140" t="s">
        <v>0</v>
      </c>
      <c r="B4" s="22">
        <v>13540</v>
      </c>
      <c r="C4" s="13">
        <v>13382</v>
      </c>
      <c r="D4" s="13">
        <v>13782</v>
      </c>
      <c r="E4" s="13">
        <v>13406</v>
      </c>
      <c r="F4" s="13">
        <v>13500</v>
      </c>
      <c r="G4" s="22" t="s">
        <v>52</v>
      </c>
    </row>
    <row r="5" spans="1:7" x14ac:dyDescent="0.25">
      <c r="A5" s="141"/>
      <c r="B5" s="5">
        <v>46120</v>
      </c>
      <c r="C5" s="5">
        <v>46179</v>
      </c>
      <c r="D5" s="5">
        <v>46179</v>
      </c>
      <c r="E5" s="5">
        <v>46189</v>
      </c>
      <c r="F5" s="5">
        <v>46220</v>
      </c>
      <c r="G5" s="5">
        <v>46203</v>
      </c>
    </row>
    <row r="6" spans="1:7" x14ac:dyDescent="0.25">
      <c r="A6" s="17" t="s">
        <v>57</v>
      </c>
      <c r="B6" s="23">
        <v>17</v>
      </c>
      <c r="C6" s="24">
        <v>-15</v>
      </c>
      <c r="D6" s="24"/>
      <c r="E6" s="24">
        <v>-2</v>
      </c>
      <c r="F6" s="24"/>
      <c r="G6" s="10">
        <f t="shared" ref="G6:G12" si="0">SUM(B6:E6)</f>
        <v>0</v>
      </c>
    </row>
    <row r="7" spans="1:7" x14ac:dyDescent="0.25">
      <c r="A7" s="17" t="s">
        <v>228</v>
      </c>
      <c r="B7" s="23">
        <v>2</v>
      </c>
      <c r="C7" s="24"/>
      <c r="D7" s="24"/>
      <c r="E7" s="24">
        <v>-2</v>
      </c>
      <c r="F7" s="24"/>
      <c r="G7" s="10">
        <f t="shared" si="0"/>
        <v>0</v>
      </c>
    </row>
    <row r="8" spans="1:7" x14ac:dyDescent="0.25">
      <c r="A8" s="17" t="s">
        <v>326</v>
      </c>
      <c r="B8" s="23">
        <v>0</v>
      </c>
      <c r="C8" s="24"/>
      <c r="D8" s="24"/>
      <c r="E8" s="24"/>
      <c r="F8" s="24"/>
      <c r="G8" s="10">
        <f t="shared" si="0"/>
        <v>0</v>
      </c>
    </row>
    <row r="9" spans="1:7" x14ac:dyDescent="0.25">
      <c r="A9" s="17" t="s">
        <v>327</v>
      </c>
      <c r="B9" s="23">
        <v>34</v>
      </c>
      <c r="C9" s="24">
        <v>-32</v>
      </c>
      <c r="D9" s="24"/>
      <c r="E9" s="24">
        <v>-2</v>
      </c>
      <c r="F9" s="24"/>
      <c r="G9" s="10">
        <f t="shared" si="0"/>
        <v>0</v>
      </c>
    </row>
    <row r="10" spans="1:7" x14ac:dyDescent="0.25">
      <c r="A10" s="17" t="s">
        <v>15</v>
      </c>
      <c r="B10" s="23">
        <v>60</v>
      </c>
      <c r="C10" s="24">
        <v>-50</v>
      </c>
      <c r="D10" s="24"/>
      <c r="E10" s="24">
        <v>-6</v>
      </c>
      <c r="F10" s="24">
        <v>-4</v>
      </c>
      <c r="G10" s="29">
        <f>SUM(B10:F10)</f>
        <v>0</v>
      </c>
    </row>
    <row r="11" spans="1:7" x14ac:dyDescent="0.25">
      <c r="A11" s="17" t="s">
        <v>328</v>
      </c>
      <c r="B11" s="23">
        <v>2</v>
      </c>
      <c r="C11" s="24"/>
      <c r="D11" s="24"/>
      <c r="E11" s="24">
        <v>-2</v>
      </c>
      <c r="F11" s="24"/>
      <c r="G11" s="10">
        <f t="shared" si="0"/>
        <v>0</v>
      </c>
    </row>
    <row r="12" spans="1:7" x14ac:dyDescent="0.25">
      <c r="A12" s="17" t="s">
        <v>51</v>
      </c>
      <c r="B12" s="23">
        <v>20</v>
      </c>
      <c r="C12" s="24">
        <v>-17</v>
      </c>
      <c r="D12" s="24"/>
      <c r="E12" s="24">
        <v>-3</v>
      </c>
      <c r="F12" s="24"/>
      <c r="G12" s="10">
        <f t="shared" si="0"/>
        <v>0</v>
      </c>
    </row>
    <row r="13" spans="1:7" x14ac:dyDescent="0.25">
      <c r="A13" s="17" t="s">
        <v>110</v>
      </c>
      <c r="B13" s="23"/>
      <c r="C13" s="24"/>
      <c r="D13" s="24">
        <v>4</v>
      </c>
      <c r="E13" s="24"/>
      <c r="F13" s="24">
        <v>-4</v>
      </c>
      <c r="G13" s="29">
        <f>SUM(B13:F13)</f>
        <v>0</v>
      </c>
    </row>
    <row r="14" spans="1:7" x14ac:dyDescent="0.25">
      <c r="A14" s="25" t="s">
        <v>76</v>
      </c>
      <c r="B14" s="12">
        <v>0.10416666666666667</v>
      </c>
      <c r="C14" s="11">
        <v>0.41666666666666669</v>
      </c>
      <c r="D14" s="11">
        <v>0.36805555555555558</v>
      </c>
      <c r="E14" s="11">
        <v>0.10416666666666667</v>
      </c>
      <c r="F14" s="11">
        <v>0.49305555555555558</v>
      </c>
      <c r="G14" s="13"/>
    </row>
    <row r="15" spans="1:7" x14ac:dyDescent="0.25">
      <c r="A15" s="25" t="s">
        <v>77</v>
      </c>
      <c r="B15" s="26">
        <v>90000</v>
      </c>
      <c r="C15" s="26"/>
      <c r="D15" s="26" t="s">
        <v>329</v>
      </c>
      <c r="E15" s="26">
        <v>50000</v>
      </c>
      <c r="F15" s="26">
        <v>35000</v>
      </c>
      <c r="G15" s="16"/>
    </row>
    <row r="17" spans="1:9" ht="15.75" thickBot="1" x14ac:dyDescent="0.3"/>
    <row r="18" spans="1:9" x14ac:dyDescent="0.25">
      <c r="A18" s="145" t="s">
        <v>294</v>
      </c>
      <c r="B18" s="146"/>
      <c r="C18" s="146"/>
      <c r="D18" s="146"/>
      <c r="E18" s="146"/>
      <c r="F18" s="146"/>
      <c r="G18" s="147"/>
    </row>
    <row r="19" spans="1:9" x14ac:dyDescent="0.25">
      <c r="A19" s="142" t="s">
        <v>324</v>
      </c>
      <c r="B19" s="143"/>
      <c r="C19" s="143"/>
      <c r="D19" s="143"/>
      <c r="E19" s="143"/>
      <c r="F19" s="143"/>
      <c r="G19" s="144"/>
    </row>
    <row r="20" spans="1:9" ht="18" x14ac:dyDescent="0.25">
      <c r="A20" s="148" t="s">
        <v>330</v>
      </c>
      <c r="B20" s="149"/>
      <c r="C20" s="149"/>
      <c r="D20" s="149"/>
      <c r="E20" s="149"/>
      <c r="F20" s="149"/>
      <c r="G20" s="150"/>
    </row>
    <row r="21" spans="1:9" x14ac:dyDescent="0.25">
      <c r="A21" s="151" t="s">
        <v>0</v>
      </c>
      <c r="B21" s="152" t="s">
        <v>295</v>
      </c>
      <c r="C21" s="152"/>
      <c r="D21" s="152"/>
      <c r="E21" s="152" t="s">
        <v>296</v>
      </c>
      <c r="F21" s="153"/>
      <c r="G21" s="154"/>
    </row>
    <row r="22" spans="1:9" x14ac:dyDescent="0.25">
      <c r="A22" s="151"/>
      <c r="B22" s="89" t="s">
        <v>297</v>
      </c>
      <c r="C22" s="89" t="s">
        <v>298</v>
      </c>
      <c r="D22" s="89" t="s">
        <v>299</v>
      </c>
      <c r="E22" s="89" t="s">
        <v>300</v>
      </c>
      <c r="F22" s="102"/>
      <c r="G22" s="107" t="s">
        <v>301</v>
      </c>
    </row>
    <row r="23" spans="1:9" x14ac:dyDescent="0.25">
      <c r="A23" s="90" t="s">
        <v>26</v>
      </c>
      <c r="B23" s="91">
        <v>10</v>
      </c>
      <c r="C23" s="108">
        <v>2</v>
      </c>
      <c r="D23" s="92">
        <v>200</v>
      </c>
      <c r="E23" s="93">
        <f t="shared" ref="E23:E31" si="1">C23*D23</f>
        <v>400</v>
      </c>
      <c r="F23" s="93"/>
      <c r="G23" s="93">
        <f t="shared" ref="G23:G31" si="2">B23*E23</f>
        <v>4000</v>
      </c>
      <c r="H23" t="s">
        <v>331</v>
      </c>
    </row>
    <row r="24" spans="1:9" x14ac:dyDescent="0.25">
      <c r="A24" s="90" t="s">
        <v>332</v>
      </c>
      <c r="B24" s="91">
        <v>10</v>
      </c>
      <c r="C24" s="108">
        <v>2</v>
      </c>
      <c r="D24" s="92">
        <v>200</v>
      </c>
      <c r="E24" s="93">
        <f t="shared" si="1"/>
        <v>400</v>
      </c>
      <c r="F24" s="93"/>
      <c r="G24" s="93">
        <f t="shared" si="2"/>
        <v>4000</v>
      </c>
      <c r="H24" t="s">
        <v>331</v>
      </c>
    </row>
    <row r="25" spans="1:9" x14ac:dyDescent="0.25">
      <c r="A25" s="90" t="s">
        <v>333</v>
      </c>
      <c r="B25" s="91">
        <v>10</v>
      </c>
      <c r="C25" s="108">
        <v>2</v>
      </c>
      <c r="D25" s="92">
        <v>180</v>
      </c>
      <c r="E25" s="93">
        <f t="shared" si="1"/>
        <v>360</v>
      </c>
      <c r="F25" s="93"/>
      <c r="G25" s="93">
        <f t="shared" si="2"/>
        <v>3600</v>
      </c>
      <c r="H25" t="s">
        <v>331</v>
      </c>
    </row>
    <row r="26" spans="1:9" x14ac:dyDescent="0.25">
      <c r="A26" s="90" t="s">
        <v>48</v>
      </c>
      <c r="B26" s="91">
        <v>10</v>
      </c>
      <c r="C26" s="108">
        <v>2</v>
      </c>
      <c r="D26" s="92">
        <v>430</v>
      </c>
      <c r="E26" s="93">
        <f t="shared" si="1"/>
        <v>860</v>
      </c>
      <c r="F26" s="93"/>
      <c r="G26" s="93">
        <f t="shared" si="2"/>
        <v>8600</v>
      </c>
      <c r="H26" t="s">
        <v>331</v>
      </c>
    </row>
    <row r="27" spans="1:9" x14ac:dyDescent="0.25">
      <c r="A27" s="94" t="s">
        <v>15</v>
      </c>
      <c r="B27" s="95">
        <v>10</v>
      </c>
      <c r="C27" s="109">
        <v>10</v>
      </c>
      <c r="D27" s="97">
        <v>200</v>
      </c>
      <c r="E27" s="98">
        <f t="shared" si="1"/>
        <v>2000</v>
      </c>
      <c r="F27" s="98"/>
      <c r="G27" s="93">
        <f t="shared" si="2"/>
        <v>20000</v>
      </c>
      <c r="H27" t="s">
        <v>331</v>
      </c>
    </row>
    <row r="28" spans="1:9" x14ac:dyDescent="0.25">
      <c r="A28" s="94" t="s">
        <v>15</v>
      </c>
      <c r="B28" s="96">
        <v>30</v>
      </c>
      <c r="C28" s="96">
        <v>4</v>
      </c>
      <c r="D28" s="110">
        <v>200</v>
      </c>
      <c r="E28" s="110">
        <f t="shared" si="1"/>
        <v>800</v>
      </c>
      <c r="F28" s="110"/>
      <c r="G28" s="111">
        <f t="shared" si="2"/>
        <v>24000</v>
      </c>
      <c r="H28" s="20" t="s">
        <v>334</v>
      </c>
      <c r="I28" s="20"/>
    </row>
    <row r="29" spans="1:9" x14ac:dyDescent="0.25">
      <c r="A29" s="94" t="s">
        <v>335</v>
      </c>
      <c r="B29" s="95">
        <v>10</v>
      </c>
      <c r="C29" s="109">
        <v>2</v>
      </c>
      <c r="D29" s="97">
        <v>250</v>
      </c>
      <c r="E29" s="98">
        <f t="shared" si="1"/>
        <v>500</v>
      </c>
      <c r="F29" s="98"/>
      <c r="G29" s="93">
        <f t="shared" si="2"/>
        <v>5000</v>
      </c>
      <c r="H29" t="s">
        <v>331</v>
      </c>
    </row>
    <row r="30" spans="1:9" x14ac:dyDescent="0.25">
      <c r="A30" s="94" t="s">
        <v>51</v>
      </c>
      <c r="B30" s="95">
        <v>10</v>
      </c>
      <c r="C30" s="109">
        <v>3</v>
      </c>
      <c r="D30" s="97">
        <v>250</v>
      </c>
      <c r="E30" s="98">
        <f t="shared" si="1"/>
        <v>750</v>
      </c>
      <c r="F30" s="98"/>
      <c r="G30" s="93">
        <f t="shared" si="2"/>
        <v>7500</v>
      </c>
      <c r="H30" t="s">
        <v>331</v>
      </c>
    </row>
    <row r="31" spans="1:9" x14ac:dyDescent="0.25">
      <c r="A31" s="94" t="s">
        <v>9</v>
      </c>
      <c r="B31" s="96">
        <v>41</v>
      </c>
      <c r="C31" s="96">
        <v>4</v>
      </c>
      <c r="D31" s="110">
        <v>1000</v>
      </c>
      <c r="E31" s="110">
        <f t="shared" si="1"/>
        <v>4000</v>
      </c>
      <c r="F31" s="119"/>
      <c r="G31" s="112">
        <f t="shared" si="2"/>
        <v>164000</v>
      </c>
      <c r="H31" s="20" t="s">
        <v>336</v>
      </c>
      <c r="I31" s="20"/>
    </row>
    <row r="32" spans="1:9" ht="19.5" thickBot="1" x14ac:dyDescent="0.45">
      <c r="A32" s="155"/>
      <c r="B32" s="156"/>
      <c r="C32" s="159" t="s">
        <v>337</v>
      </c>
      <c r="D32" s="159"/>
      <c r="E32" s="99">
        <f>SUM(E23:E31)</f>
        <v>10070</v>
      </c>
      <c r="F32" s="120"/>
      <c r="G32" s="113"/>
    </row>
    <row r="33" spans="1:8" ht="18.75" x14ac:dyDescent="0.4">
      <c r="A33" s="155"/>
      <c r="B33" s="156"/>
      <c r="C33" s="160" t="s">
        <v>338</v>
      </c>
      <c r="D33" s="160"/>
      <c r="E33" s="114">
        <f>SUM(G23:G31)</f>
        <v>240700</v>
      </c>
      <c r="F33" s="121"/>
      <c r="G33" s="113"/>
      <c r="H33" t="s">
        <v>339</v>
      </c>
    </row>
    <row r="34" spans="1:8" ht="18.75" x14ac:dyDescent="0.3">
      <c r="A34" s="155"/>
      <c r="B34" s="156"/>
      <c r="C34" s="153" t="s">
        <v>340</v>
      </c>
      <c r="D34" s="161"/>
      <c r="E34" s="115">
        <v>85000</v>
      </c>
      <c r="F34" s="122"/>
      <c r="G34" s="113"/>
      <c r="H34" t="s">
        <v>341</v>
      </c>
    </row>
    <row r="35" spans="1:8" ht="19.5" thickBot="1" x14ac:dyDescent="0.35">
      <c r="A35" s="157"/>
      <c r="B35" s="158"/>
      <c r="C35" s="162" t="s">
        <v>342</v>
      </c>
      <c r="D35" s="163"/>
      <c r="E35" s="116">
        <f>E33+E34</f>
        <v>325700</v>
      </c>
      <c r="F35" s="123"/>
      <c r="G35" s="117"/>
    </row>
  </sheetData>
  <mergeCells count="15">
    <mergeCell ref="A20:G20"/>
    <mergeCell ref="A21:A22"/>
    <mergeCell ref="B21:D21"/>
    <mergeCell ref="E21:G21"/>
    <mergeCell ref="A32:B35"/>
    <mergeCell ref="C32:D32"/>
    <mergeCell ref="C33:D33"/>
    <mergeCell ref="C34:D34"/>
    <mergeCell ref="C35:D35"/>
    <mergeCell ref="A19:G19"/>
    <mergeCell ref="A1:G1"/>
    <mergeCell ref="A2:G2"/>
    <mergeCell ref="A3:G3"/>
    <mergeCell ref="A4:A5"/>
    <mergeCell ref="A18:G18"/>
  </mergeCells>
  <pageMargins left="0.7" right="0.7" top="0.75" bottom="0.75" header="0.3" footer="0.3"/>
  <pageSetup paperSize="9"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2910-51EF-4EC9-8C79-697EF3D1CCF1}">
  <dimension ref="A1:F9"/>
  <sheetViews>
    <sheetView workbookViewId="0">
      <selection activeCell="A18" sqref="A18"/>
    </sheetView>
  </sheetViews>
  <sheetFormatPr baseColWidth="10" defaultRowHeight="15" x14ac:dyDescent="0.25"/>
  <cols>
    <col min="1" max="1" width="39.7109375" customWidth="1"/>
    <col min="2" max="2" width="17.140625" customWidth="1"/>
    <col min="3" max="3" width="15.85546875" customWidth="1"/>
    <col min="4" max="4" width="15" customWidth="1"/>
    <col min="5" max="5" width="13.5703125" customWidth="1"/>
    <col min="6" max="6" width="16.7109375" customWidth="1"/>
  </cols>
  <sheetData>
    <row r="1" spans="1:6" ht="18.75" x14ac:dyDescent="0.3">
      <c r="A1" s="131" t="s">
        <v>217</v>
      </c>
      <c r="B1" s="132"/>
      <c r="C1" s="132"/>
      <c r="D1" s="132"/>
      <c r="E1" s="132"/>
      <c r="F1" s="132"/>
    </row>
    <row r="2" spans="1:6" ht="18.75" x14ac:dyDescent="0.3">
      <c r="A2" s="133" t="s">
        <v>218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13828</v>
      </c>
      <c r="C4" s="2"/>
      <c r="D4" s="2"/>
      <c r="E4" s="2"/>
      <c r="F4" s="2" t="s">
        <v>52</v>
      </c>
    </row>
    <row r="5" spans="1:6" x14ac:dyDescent="0.25">
      <c r="A5" s="4"/>
      <c r="B5" s="5">
        <v>46210</v>
      </c>
      <c r="C5" s="5"/>
      <c r="D5" s="5"/>
      <c r="E5" s="5"/>
      <c r="F5" s="5">
        <v>46203</v>
      </c>
    </row>
    <row r="6" spans="1:6" x14ac:dyDescent="0.25">
      <c r="A6" s="7" t="s">
        <v>215</v>
      </c>
      <c r="B6" s="8">
        <v>2</v>
      </c>
      <c r="C6" s="9"/>
      <c r="D6" s="9"/>
      <c r="E6" s="9"/>
      <c r="F6" s="10">
        <f>SUM(B6:E6)</f>
        <v>2</v>
      </c>
    </row>
    <row r="7" spans="1:6" x14ac:dyDescent="0.25">
      <c r="A7" s="7"/>
      <c r="B7" s="8"/>
      <c r="C7" s="9"/>
      <c r="D7" s="9"/>
      <c r="E7" s="9"/>
      <c r="F7" s="10">
        <f t="shared" ref="F7:F9" si="0">SUM(B7:E7)</f>
        <v>0</v>
      </c>
    </row>
    <row r="8" spans="1:6" x14ac:dyDescent="0.25">
      <c r="A8" s="4" t="s">
        <v>2</v>
      </c>
      <c r="B8" s="21">
        <v>0.35972222222222222</v>
      </c>
      <c r="C8" s="12"/>
      <c r="D8" s="12"/>
      <c r="E8" s="12"/>
      <c r="F8" s="13">
        <f t="shared" si="0"/>
        <v>0.35972222222222222</v>
      </c>
    </row>
    <row r="9" spans="1:6" x14ac:dyDescent="0.25">
      <c r="A9" s="4" t="s">
        <v>3</v>
      </c>
      <c r="B9" s="15" t="s">
        <v>216</v>
      </c>
      <c r="C9" s="15"/>
      <c r="D9" s="15"/>
      <c r="E9" s="15"/>
      <c r="F9" s="16">
        <f t="shared" si="0"/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5686-C434-4E38-8472-B1131B8F8ED0}">
  <dimension ref="A1:F10"/>
  <sheetViews>
    <sheetView workbookViewId="0">
      <selection activeCell="C11" sqref="B11:C12"/>
    </sheetView>
  </sheetViews>
  <sheetFormatPr baseColWidth="10" defaultRowHeight="15" x14ac:dyDescent="0.25"/>
  <cols>
    <col min="1" max="1" width="33.85546875" customWidth="1"/>
  </cols>
  <sheetData>
    <row r="1" spans="1:6" ht="18.75" x14ac:dyDescent="0.3">
      <c r="A1" s="131" t="s">
        <v>343</v>
      </c>
      <c r="B1" s="132"/>
      <c r="C1" s="132"/>
      <c r="D1" s="132"/>
      <c r="E1" s="132"/>
      <c r="F1" s="132"/>
    </row>
    <row r="2" spans="1:6" ht="18.75" x14ac:dyDescent="0.3">
      <c r="A2" s="133" t="s">
        <v>218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13862</v>
      </c>
      <c r="C4" s="2">
        <v>13862</v>
      </c>
      <c r="D4" s="2"/>
      <c r="E4" s="2"/>
      <c r="F4" s="2" t="s">
        <v>52</v>
      </c>
    </row>
    <row r="5" spans="1:6" x14ac:dyDescent="0.25">
      <c r="A5" s="4"/>
      <c r="B5" s="5">
        <v>46220</v>
      </c>
      <c r="C5" s="5"/>
      <c r="D5" s="5"/>
      <c r="E5" s="5"/>
      <c r="F5" s="5">
        <v>46203</v>
      </c>
    </row>
    <row r="6" spans="1:6" x14ac:dyDescent="0.25">
      <c r="A6" s="7" t="s">
        <v>28</v>
      </c>
      <c r="B6" s="8">
        <v>4</v>
      </c>
      <c r="C6" s="9">
        <v>-4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 t="shared" ref="F7:F9" si="0">SUM(B7:E7)</f>
        <v>0</v>
      </c>
    </row>
    <row r="8" spans="1:6" x14ac:dyDescent="0.25">
      <c r="A8" s="4" t="s">
        <v>2</v>
      </c>
      <c r="B8" s="21">
        <v>0.14583333333333334</v>
      </c>
      <c r="C8" s="12"/>
      <c r="D8" s="12"/>
      <c r="E8" s="12"/>
      <c r="F8" s="13">
        <f t="shared" si="0"/>
        <v>0.14583333333333334</v>
      </c>
    </row>
    <row r="9" spans="1:6" x14ac:dyDescent="0.25">
      <c r="A9" s="4" t="s">
        <v>3</v>
      </c>
      <c r="B9" s="15" t="s">
        <v>69</v>
      </c>
      <c r="C9" s="15"/>
      <c r="D9" s="15"/>
      <c r="E9" s="15"/>
      <c r="F9" s="16">
        <f t="shared" si="0"/>
        <v>0</v>
      </c>
    </row>
    <row r="10" spans="1:6" x14ac:dyDescent="0.25">
      <c r="A10" s="124" t="s">
        <v>344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5B90-A145-4ECD-9EC6-2405877A6F95}">
  <dimension ref="A1:F10"/>
  <sheetViews>
    <sheetView workbookViewId="0">
      <selection activeCell="L8" sqref="L8"/>
    </sheetView>
  </sheetViews>
  <sheetFormatPr baseColWidth="10" defaultRowHeight="15" x14ac:dyDescent="0.25"/>
  <cols>
    <col min="1" max="1" width="33.85546875" customWidth="1"/>
  </cols>
  <sheetData>
    <row r="1" spans="1:6" ht="18.75" x14ac:dyDescent="0.3">
      <c r="A1" s="131" t="s">
        <v>303</v>
      </c>
      <c r="B1" s="132"/>
      <c r="C1" s="132"/>
      <c r="D1" s="132"/>
      <c r="E1" s="132"/>
      <c r="F1" s="132"/>
    </row>
    <row r="2" spans="1:6" ht="18.75" x14ac:dyDescent="0.3">
      <c r="A2" s="133" t="s">
        <v>304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13857</v>
      </c>
      <c r="C4" s="2">
        <v>13506</v>
      </c>
      <c r="D4" s="2"/>
      <c r="E4" s="2"/>
      <c r="F4" s="2" t="s">
        <v>52</v>
      </c>
    </row>
    <row r="5" spans="1:6" x14ac:dyDescent="0.25">
      <c r="A5" s="4"/>
      <c r="B5" s="5">
        <v>46219</v>
      </c>
      <c r="C5" s="5">
        <v>46224</v>
      </c>
      <c r="D5" s="5"/>
      <c r="E5" s="5"/>
      <c r="F5" s="5">
        <v>46203</v>
      </c>
    </row>
    <row r="6" spans="1:6" x14ac:dyDescent="0.25">
      <c r="A6" s="7" t="s">
        <v>305</v>
      </c>
      <c r="B6" s="8">
        <v>2</v>
      </c>
      <c r="C6" s="9">
        <v>-2</v>
      </c>
      <c r="D6" s="9"/>
      <c r="E6" s="9"/>
      <c r="F6" s="10">
        <f>SUM(B6:E6)</f>
        <v>0</v>
      </c>
    </row>
    <row r="7" spans="1:6" x14ac:dyDescent="0.25">
      <c r="A7" s="7" t="s">
        <v>306</v>
      </c>
      <c r="B7" s="8">
        <v>2</v>
      </c>
      <c r="C7" s="9">
        <v>-2</v>
      </c>
      <c r="D7" s="9"/>
      <c r="E7" s="9"/>
      <c r="F7" s="10">
        <f t="shared" ref="F7:F9" si="0">SUM(B7:E7)</f>
        <v>0</v>
      </c>
    </row>
    <row r="8" spans="1:6" x14ac:dyDescent="0.25">
      <c r="A8" s="4" t="s">
        <v>2</v>
      </c>
      <c r="B8" s="21">
        <v>0.12638888888888888</v>
      </c>
      <c r="C8" s="12">
        <v>0.36319444444444443</v>
      </c>
      <c r="D8" s="12"/>
      <c r="E8" s="12"/>
      <c r="F8" s="13"/>
    </row>
    <row r="9" spans="1:6" x14ac:dyDescent="0.25">
      <c r="A9" s="4" t="s">
        <v>3</v>
      </c>
      <c r="B9" s="15" t="s">
        <v>307</v>
      </c>
      <c r="C9" s="15" t="s">
        <v>307</v>
      </c>
      <c r="D9" s="15"/>
      <c r="E9" s="15"/>
      <c r="F9" s="16">
        <f t="shared" si="0"/>
        <v>0</v>
      </c>
    </row>
    <row r="10" spans="1:6" x14ac:dyDescent="0.25">
      <c r="A10" s="101" t="s">
        <v>308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A7F5-BD70-41D0-AE88-31D20C97D4E9}">
  <dimension ref="A1:L15"/>
  <sheetViews>
    <sheetView workbookViewId="0">
      <selection activeCell="I10" sqref="I10"/>
    </sheetView>
  </sheetViews>
  <sheetFormatPr baseColWidth="10" defaultRowHeight="15" x14ac:dyDescent="0.25"/>
  <cols>
    <col min="1" max="1" width="34.28515625" bestFit="1" customWidth="1"/>
  </cols>
  <sheetData>
    <row r="1" spans="1:12" ht="18.75" x14ac:dyDescent="0.3">
      <c r="A1" s="131" t="s">
        <v>355</v>
      </c>
      <c r="B1" s="132"/>
      <c r="C1" s="132"/>
      <c r="D1" s="132"/>
      <c r="E1" s="132"/>
      <c r="F1" s="135"/>
    </row>
    <row r="2" spans="1:12" ht="18.75" x14ac:dyDescent="0.3">
      <c r="A2" s="133" t="s">
        <v>356</v>
      </c>
      <c r="B2" s="134"/>
      <c r="C2" s="134"/>
      <c r="D2" s="134"/>
      <c r="E2" s="134"/>
      <c r="F2" s="136"/>
    </row>
    <row r="3" spans="1:12" ht="18.75" x14ac:dyDescent="0.3">
      <c r="A3" s="133" t="s">
        <v>359</v>
      </c>
      <c r="B3" s="134"/>
      <c r="C3" s="134"/>
      <c r="D3" s="134"/>
      <c r="E3" s="134"/>
      <c r="F3" s="134"/>
    </row>
    <row r="4" spans="1:12" x14ac:dyDescent="0.25">
      <c r="A4" s="1" t="s">
        <v>0</v>
      </c>
      <c r="B4" s="2">
        <v>13726</v>
      </c>
      <c r="C4" s="2">
        <v>13866</v>
      </c>
      <c r="D4" s="2"/>
      <c r="E4" s="2"/>
      <c r="F4" s="2" t="s">
        <v>1</v>
      </c>
    </row>
    <row r="5" spans="1:12" x14ac:dyDescent="0.25">
      <c r="A5" s="4"/>
      <c r="B5" s="5">
        <v>46192</v>
      </c>
      <c r="C5" s="35">
        <v>46224</v>
      </c>
      <c r="D5" s="5"/>
      <c r="E5" s="5"/>
      <c r="F5" s="5">
        <v>46112</v>
      </c>
    </row>
    <row r="6" spans="1:12" x14ac:dyDescent="0.25">
      <c r="A6" s="7" t="s">
        <v>357</v>
      </c>
      <c r="B6" s="8">
        <v>4</v>
      </c>
      <c r="C6" s="9"/>
      <c r="D6" s="9"/>
      <c r="E6" s="9"/>
      <c r="F6" s="10">
        <f>SUM(B6:E6)</f>
        <v>4</v>
      </c>
    </row>
    <row r="7" spans="1:12" x14ac:dyDescent="0.25">
      <c r="A7" s="7" t="s">
        <v>109</v>
      </c>
      <c r="B7" s="8">
        <v>4</v>
      </c>
      <c r="C7" s="9"/>
      <c r="D7" s="9"/>
      <c r="E7" s="9"/>
      <c r="F7" s="10">
        <f t="shared" ref="F7:F10" si="0">SUM(B7:E7)</f>
        <v>4</v>
      </c>
    </row>
    <row r="8" spans="1:12" x14ac:dyDescent="0.25">
      <c r="A8" s="7" t="s">
        <v>314</v>
      </c>
      <c r="B8" s="8">
        <v>4</v>
      </c>
      <c r="C8" s="9"/>
      <c r="D8" s="9"/>
      <c r="E8" s="9"/>
      <c r="F8" s="10">
        <f t="shared" si="0"/>
        <v>4</v>
      </c>
    </row>
    <row r="9" spans="1:12" x14ac:dyDescent="0.25">
      <c r="A9" s="7" t="s">
        <v>165</v>
      </c>
      <c r="B9" s="8">
        <v>2</v>
      </c>
      <c r="C9" s="9">
        <v>1</v>
      </c>
      <c r="D9" s="9"/>
      <c r="E9" s="9"/>
      <c r="F9" s="10">
        <f t="shared" si="0"/>
        <v>3</v>
      </c>
    </row>
    <row r="10" spans="1:12" x14ac:dyDescent="0.25">
      <c r="A10" s="7" t="s">
        <v>28</v>
      </c>
      <c r="B10" s="8"/>
      <c r="C10" s="9">
        <v>2</v>
      </c>
      <c r="D10" s="9"/>
      <c r="E10" s="9"/>
      <c r="F10" s="10">
        <f t="shared" si="0"/>
        <v>2</v>
      </c>
    </row>
    <row r="11" spans="1:12" x14ac:dyDescent="0.25">
      <c r="A11" s="4" t="s">
        <v>2</v>
      </c>
      <c r="B11" s="11">
        <v>0.4513888888888889</v>
      </c>
      <c r="C11" s="12">
        <v>0.46180555555555558</v>
      </c>
      <c r="D11" s="12"/>
      <c r="E11" s="12"/>
      <c r="F11" s="13"/>
    </row>
    <row r="12" spans="1:12" x14ac:dyDescent="0.25">
      <c r="A12" s="4" t="s">
        <v>3</v>
      </c>
      <c r="B12" s="15" t="s">
        <v>358</v>
      </c>
      <c r="C12" s="15" t="s">
        <v>70</v>
      </c>
      <c r="D12" s="15"/>
      <c r="E12" s="15"/>
      <c r="F12" s="13"/>
    </row>
    <row r="15" spans="1:12" x14ac:dyDescent="0.25">
      <c r="L15" t="s">
        <v>360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A55D-6AC0-45F4-B50A-9621D3EE5232}">
  <dimension ref="A1:F10"/>
  <sheetViews>
    <sheetView workbookViewId="0">
      <selection sqref="A1:F10"/>
    </sheetView>
  </sheetViews>
  <sheetFormatPr baseColWidth="10" defaultRowHeight="15" x14ac:dyDescent="0.25"/>
  <cols>
    <col min="1" max="1" width="37.28515625" customWidth="1"/>
    <col min="6" max="6" width="22.28515625" customWidth="1"/>
  </cols>
  <sheetData>
    <row r="1" spans="1:6" ht="18.75" x14ac:dyDescent="0.3">
      <c r="A1" s="131" t="s">
        <v>364</v>
      </c>
      <c r="B1" s="132"/>
      <c r="C1" s="132"/>
      <c r="D1" s="132"/>
      <c r="E1" s="132"/>
      <c r="F1" s="135"/>
    </row>
    <row r="2" spans="1:6" ht="18.75" x14ac:dyDescent="0.3">
      <c r="A2" s="133" t="s">
        <v>365</v>
      </c>
      <c r="B2" s="134"/>
      <c r="C2" s="134"/>
      <c r="D2" s="134"/>
      <c r="E2" s="134"/>
      <c r="F2" s="136"/>
    </row>
    <row r="3" spans="1:6" ht="18.75" x14ac:dyDescent="0.3">
      <c r="A3" s="133" t="s">
        <v>366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13872</v>
      </c>
      <c r="C4" s="2"/>
      <c r="D4" s="2"/>
      <c r="E4" s="2"/>
      <c r="F4" s="2" t="s">
        <v>1</v>
      </c>
    </row>
    <row r="5" spans="1:6" x14ac:dyDescent="0.25">
      <c r="A5" s="4"/>
      <c r="B5" s="5">
        <v>46225</v>
      </c>
      <c r="C5" s="35"/>
      <c r="D5" s="5"/>
      <c r="E5" s="5"/>
      <c r="F5" s="5">
        <v>46234</v>
      </c>
    </row>
    <row r="6" spans="1:6" x14ac:dyDescent="0.25">
      <c r="A6" s="7" t="s">
        <v>357</v>
      </c>
      <c r="B6" s="8">
        <v>10</v>
      </c>
      <c r="C6" s="9"/>
      <c r="D6" s="9"/>
      <c r="E6" s="9"/>
      <c r="F6" s="10">
        <f>SUM(B6:E6)</f>
        <v>10</v>
      </c>
    </row>
    <row r="7" spans="1:6" x14ac:dyDescent="0.25">
      <c r="A7" s="7" t="s">
        <v>367</v>
      </c>
      <c r="B7" s="8">
        <v>10</v>
      </c>
      <c r="C7" s="9"/>
      <c r="D7" s="9"/>
      <c r="E7" s="9"/>
      <c r="F7" s="10">
        <f t="shared" ref="F7:F8" si="0">SUM(B7:E7)</f>
        <v>10</v>
      </c>
    </row>
    <row r="8" spans="1:6" x14ac:dyDescent="0.25">
      <c r="A8" s="7" t="s">
        <v>110</v>
      </c>
      <c r="B8" s="8">
        <v>10</v>
      </c>
      <c r="C8" s="9"/>
      <c r="D8" s="9"/>
      <c r="E8" s="9"/>
      <c r="F8" s="10">
        <f t="shared" si="0"/>
        <v>10</v>
      </c>
    </row>
    <row r="9" spans="1:6" x14ac:dyDescent="0.25">
      <c r="A9" s="4" t="s">
        <v>2</v>
      </c>
      <c r="B9" s="11">
        <v>0.40277777777777779</v>
      </c>
      <c r="C9" s="12"/>
      <c r="D9" s="12"/>
      <c r="E9" s="12"/>
      <c r="F9" s="13"/>
    </row>
    <row r="10" spans="1:6" x14ac:dyDescent="0.25">
      <c r="A10" s="4" t="s">
        <v>3</v>
      </c>
      <c r="B10" s="15">
        <v>25000</v>
      </c>
      <c r="C10" s="15"/>
      <c r="D10" s="15"/>
      <c r="E10" s="15"/>
      <c r="F10" s="1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954E-0FDD-48EA-A0AB-940EF61CFEAC}">
  <dimension ref="A1:F19"/>
  <sheetViews>
    <sheetView topLeftCell="A3" workbookViewId="0">
      <selection activeCell="L11" sqref="L11"/>
    </sheetView>
  </sheetViews>
  <sheetFormatPr baseColWidth="10" defaultRowHeight="15" x14ac:dyDescent="0.25"/>
  <cols>
    <col min="1" max="1" width="37.85546875" customWidth="1"/>
  </cols>
  <sheetData>
    <row r="1" spans="1:6" ht="18.75" x14ac:dyDescent="0.3">
      <c r="A1" s="131" t="s">
        <v>372</v>
      </c>
      <c r="B1" s="132"/>
      <c r="C1" s="132"/>
      <c r="D1" s="132"/>
      <c r="E1" s="132"/>
      <c r="F1" s="135"/>
    </row>
    <row r="2" spans="1:6" ht="18.75" x14ac:dyDescent="0.3">
      <c r="A2" s="133" t="s">
        <v>373</v>
      </c>
      <c r="B2" s="134"/>
      <c r="C2" s="134"/>
      <c r="D2" s="134"/>
      <c r="E2" s="134"/>
      <c r="F2" s="136"/>
    </row>
    <row r="3" spans="1:6" ht="18.75" x14ac:dyDescent="0.3">
      <c r="A3" s="133" t="s">
        <v>366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13870</v>
      </c>
      <c r="C4" s="2">
        <v>13878</v>
      </c>
      <c r="D4" s="2"/>
      <c r="E4" s="2"/>
      <c r="F4" s="2" t="s">
        <v>1</v>
      </c>
    </row>
    <row r="5" spans="1:6" x14ac:dyDescent="0.25">
      <c r="A5" s="4"/>
      <c r="B5" s="5">
        <v>46225</v>
      </c>
      <c r="C5" s="35">
        <v>46230</v>
      </c>
      <c r="D5" s="5"/>
      <c r="E5" s="5"/>
      <c r="F5" s="5">
        <v>46234</v>
      </c>
    </row>
    <row r="6" spans="1:6" x14ac:dyDescent="0.25">
      <c r="A6" s="7" t="s">
        <v>20</v>
      </c>
      <c r="B6" s="8">
        <v>100</v>
      </c>
      <c r="C6" s="9"/>
      <c r="D6" s="9"/>
      <c r="E6" s="9"/>
      <c r="F6" s="10">
        <f>SUM(B6:E6)</f>
        <v>100</v>
      </c>
    </row>
    <row r="7" spans="1:6" x14ac:dyDescent="0.25">
      <c r="A7" s="7" t="s">
        <v>368</v>
      </c>
      <c r="B7" s="8">
        <v>24</v>
      </c>
      <c r="C7" s="9">
        <v>1</v>
      </c>
      <c r="D7" s="9"/>
      <c r="E7" s="9"/>
      <c r="F7" s="10">
        <f t="shared" ref="F7:F8" si="0">SUM(B7:E7)</f>
        <v>25</v>
      </c>
    </row>
    <row r="8" spans="1:6" x14ac:dyDescent="0.25">
      <c r="A8" s="7" t="s">
        <v>369</v>
      </c>
      <c r="B8" s="8">
        <v>6</v>
      </c>
      <c r="C8" s="9"/>
      <c r="D8" s="9"/>
      <c r="E8" s="9"/>
      <c r="F8" s="10">
        <f t="shared" si="0"/>
        <v>6</v>
      </c>
    </row>
    <row r="9" spans="1:6" x14ac:dyDescent="0.25">
      <c r="A9" s="7" t="s">
        <v>370</v>
      </c>
      <c r="B9" s="8">
        <v>50</v>
      </c>
      <c r="C9" s="9">
        <v>10</v>
      </c>
      <c r="D9" s="9"/>
      <c r="E9" s="9"/>
      <c r="F9" s="10">
        <f t="shared" ref="F9:F17" si="1">SUM(B9:E9)</f>
        <v>60</v>
      </c>
    </row>
    <row r="10" spans="1:6" x14ac:dyDescent="0.25">
      <c r="A10" s="7" t="s">
        <v>14</v>
      </c>
      <c r="B10" s="8">
        <v>100</v>
      </c>
      <c r="C10" s="9">
        <v>50</v>
      </c>
      <c r="D10" s="9"/>
      <c r="E10" s="9"/>
      <c r="F10" s="10">
        <f t="shared" si="1"/>
        <v>150</v>
      </c>
    </row>
    <row r="11" spans="1:6" x14ac:dyDescent="0.25">
      <c r="A11" s="7" t="s">
        <v>130</v>
      </c>
      <c r="B11" s="8"/>
      <c r="C11" s="9">
        <v>3</v>
      </c>
      <c r="D11" s="9"/>
      <c r="E11" s="9"/>
      <c r="F11" s="10">
        <f t="shared" si="1"/>
        <v>3</v>
      </c>
    </row>
    <row r="12" spans="1:6" x14ac:dyDescent="0.25">
      <c r="A12" s="7" t="s">
        <v>80</v>
      </c>
      <c r="B12" s="8"/>
      <c r="C12" s="9">
        <v>3</v>
      </c>
      <c r="D12" s="9"/>
      <c r="E12" s="9"/>
      <c r="F12" s="10">
        <f t="shared" si="1"/>
        <v>3</v>
      </c>
    </row>
    <row r="13" spans="1:6" x14ac:dyDescent="0.25">
      <c r="A13" s="7" t="s">
        <v>92</v>
      </c>
      <c r="B13" s="8"/>
      <c r="C13" s="9">
        <v>1</v>
      </c>
      <c r="D13" s="9"/>
      <c r="E13" s="9"/>
      <c r="F13" s="10">
        <f t="shared" si="1"/>
        <v>1</v>
      </c>
    </row>
    <row r="14" spans="1:6" x14ac:dyDescent="0.25">
      <c r="A14" s="7" t="s">
        <v>40</v>
      </c>
      <c r="B14" s="8"/>
      <c r="C14" s="9">
        <v>1</v>
      </c>
      <c r="D14" s="9"/>
      <c r="E14" s="9"/>
      <c r="F14" s="10">
        <f t="shared" si="1"/>
        <v>1</v>
      </c>
    </row>
    <row r="15" spans="1:6" x14ac:dyDescent="0.25">
      <c r="A15" s="7" t="s">
        <v>21</v>
      </c>
      <c r="B15" s="8"/>
      <c r="C15" s="9">
        <v>3</v>
      </c>
      <c r="D15" s="9"/>
      <c r="E15" s="9"/>
      <c r="F15" s="10">
        <f t="shared" si="1"/>
        <v>3</v>
      </c>
    </row>
    <row r="16" spans="1:6" x14ac:dyDescent="0.25">
      <c r="A16" s="7" t="s">
        <v>25</v>
      </c>
      <c r="B16" s="8"/>
      <c r="C16" s="9">
        <v>18</v>
      </c>
      <c r="D16" s="9"/>
      <c r="E16" s="9"/>
      <c r="F16" s="10">
        <f t="shared" si="1"/>
        <v>18</v>
      </c>
    </row>
    <row r="17" spans="1:6" x14ac:dyDescent="0.25">
      <c r="A17" s="7" t="s">
        <v>22</v>
      </c>
      <c r="B17" s="8"/>
      <c r="C17" s="9">
        <v>5</v>
      </c>
      <c r="D17" s="9"/>
      <c r="E17" s="9"/>
      <c r="F17" s="10">
        <f t="shared" si="1"/>
        <v>5</v>
      </c>
    </row>
    <row r="18" spans="1:6" x14ac:dyDescent="0.25">
      <c r="A18" s="4" t="s">
        <v>2</v>
      </c>
      <c r="B18" s="11">
        <v>0.33680555555555558</v>
      </c>
      <c r="C18" s="12">
        <v>0.375</v>
      </c>
      <c r="D18" s="12"/>
      <c r="E18" s="12"/>
      <c r="F18" s="13"/>
    </row>
    <row r="19" spans="1:6" x14ac:dyDescent="0.25">
      <c r="A19" s="4" t="s">
        <v>3</v>
      </c>
      <c r="B19" s="15" t="s">
        <v>371</v>
      </c>
      <c r="C19" s="15" t="s">
        <v>371</v>
      </c>
      <c r="D19" s="15"/>
      <c r="E19" s="15"/>
      <c r="F19" s="1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7F2B-C75D-4567-AE64-EE4B9D629E77}">
  <dimension ref="A1:F9"/>
  <sheetViews>
    <sheetView workbookViewId="0">
      <selection activeCell="E14" sqref="E14"/>
    </sheetView>
  </sheetViews>
  <sheetFormatPr baseColWidth="10" defaultRowHeight="15" x14ac:dyDescent="0.25"/>
  <cols>
    <col min="1" max="1" width="35" customWidth="1"/>
  </cols>
  <sheetData>
    <row r="1" spans="1:6" ht="18.75" x14ac:dyDescent="0.3">
      <c r="A1" s="131" t="s">
        <v>312</v>
      </c>
      <c r="B1" s="132"/>
      <c r="C1" s="132"/>
      <c r="D1" s="132"/>
      <c r="E1" s="132"/>
      <c r="F1" s="132"/>
    </row>
    <row r="2" spans="1:6" ht="18.75" x14ac:dyDescent="0.3">
      <c r="A2" s="133" t="s">
        <v>313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/>
      <c r="C4" s="2">
        <v>13496</v>
      </c>
      <c r="D4" s="2"/>
      <c r="E4" s="2"/>
      <c r="F4" s="2" t="s">
        <v>52</v>
      </c>
    </row>
    <row r="5" spans="1:6" x14ac:dyDescent="0.25">
      <c r="A5" s="4"/>
      <c r="B5" s="5"/>
      <c r="C5" s="5">
        <v>46218</v>
      </c>
      <c r="D5" s="5"/>
      <c r="E5" s="5"/>
      <c r="F5" s="5">
        <v>46234</v>
      </c>
    </row>
    <row r="6" spans="1:6" x14ac:dyDescent="0.25">
      <c r="A6" s="7" t="s">
        <v>314</v>
      </c>
      <c r="B6" s="8">
        <v>8</v>
      </c>
      <c r="C6" s="9">
        <v>-4</v>
      </c>
      <c r="D6" s="9"/>
      <c r="E6" s="9"/>
      <c r="F6" s="10">
        <f>SUM(B6:E6)</f>
        <v>4</v>
      </c>
    </row>
    <row r="7" spans="1:6" x14ac:dyDescent="0.25">
      <c r="A7" s="7"/>
      <c r="B7" s="8"/>
      <c r="C7" s="9"/>
      <c r="D7" s="9"/>
      <c r="E7" s="9"/>
      <c r="F7" s="10"/>
    </row>
    <row r="8" spans="1:6" x14ac:dyDescent="0.25">
      <c r="A8" s="4" t="s">
        <v>2</v>
      </c>
      <c r="B8" s="21"/>
      <c r="C8" s="12"/>
      <c r="D8" s="12"/>
      <c r="E8" s="12"/>
      <c r="F8" s="13"/>
    </row>
    <row r="9" spans="1:6" x14ac:dyDescent="0.25">
      <c r="A9" s="4" t="s">
        <v>3</v>
      </c>
      <c r="B9" s="15"/>
      <c r="C9" s="15"/>
      <c r="D9" s="15"/>
      <c r="E9" s="15"/>
      <c r="F9" s="16">
        <f t="shared" ref="F9" si="0">SUM(B9:E9)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E262-2D0B-46FB-B41C-153E7B6F25E8}">
  <dimension ref="A1:F8"/>
  <sheetViews>
    <sheetView workbookViewId="0">
      <selection activeCell="A15" sqref="A15"/>
    </sheetView>
  </sheetViews>
  <sheetFormatPr baseColWidth="10" defaultRowHeight="15" x14ac:dyDescent="0.25"/>
  <cols>
    <col min="1" max="1" width="30.28515625" customWidth="1"/>
  </cols>
  <sheetData>
    <row r="1" spans="1:6" ht="18.75" x14ac:dyDescent="0.3">
      <c r="A1" s="131" t="s">
        <v>309</v>
      </c>
      <c r="B1" s="132"/>
      <c r="C1" s="132"/>
      <c r="D1" s="132"/>
      <c r="E1" s="132"/>
      <c r="F1" s="132"/>
    </row>
    <row r="2" spans="1:6" ht="18.75" x14ac:dyDescent="0.3">
      <c r="A2" s="133" t="s">
        <v>310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13854</v>
      </c>
      <c r="C4" s="2">
        <v>13507</v>
      </c>
      <c r="D4" s="2"/>
      <c r="E4" s="2"/>
      <c r="F4" s="2" t="s">
        <v>52</v>
      </c>
    </row>
    <row r="5" spans="1:6" x14ac:dyDescent="0.25">
      <c r="A5" s="4"/>
      <c r="B5" s="5">
        <v>46219</v>
      </c>
      <c r="C5" s="5">
        <v>46224</v>
      </c>
      <c r="D5" s="5"/>
      <c r="E5" s="5"/>
      <c r="F5" s="5">
        <v>46234</v>
      </c>
    </row>
    <row r="6" spans="1:6" x14ac:dyDescent="0.25">
      <c r="A6" s="7" t="s">
        <v>311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6" x14ac:dyDescent="0.25">
      <c r="A7" s="4" t="s">
        <v>2</v>
      </c>
      <c r="B7" s="21">
        <v>0.3125</v>
      </c>
      <c r="C7" s="12">
        <v>0.39583333333333331</v>
      </c>
      <c r="D7" s="12"/>
      <c r="E7" s="12"/>
      <c r="F7" s="13"/>
    </row>
    <row r="8" spans="1:6" x14ac:dyDescent="0.25">
      <c r="A8" s="4" t="s">
        <v>3</v>
      </c>
      <c r="B8" s="15">
        <v>25000</v>
      </c>
      <c r="C8" s="15">
        <v>25000</v>
      </c>
      <c r="D8" s="15"/>
      <c r="E8" s="15"/>
      <c r="F8" s="16">
        <f t="shared" ref="F8" si="0">SUM(B8:E8)</f>
        <v>50000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97E6-01F7-48B9-8048-4D35BCFCCEDB}">
  <dimension ref="A1:F10"/>
  <sheetViews>
    <sheetView workbookViewId="0">
      <selection activeCell="I7" sqref="I7"/>
    </sheetView>
  </sheetViews>
  <sheetFormatPr baseColWidth="10" defaultRowHeight="15" x14ac:dyDescent="0.25"/>
  <cols>
    <col min="1" max="1" width="31.7109375" customWidth="1"/>
    <col min="3" max="3" width="10.28515625" customWidth="1"/>
  </cols>
  <sheetData>
    <row r="1" spans="1:6" ht="18.75" x14ac:dyDescent="0.3">
      <c r="A1" s="131" t="s">
        <v>361</v>
      </c>
      <c r="B1" s="132"/>
      <c r="C1" s="132"/>
      <c r="D1" s="132"/>
      <c r="E1" s="132"/>
      <c r="F1" s="132"/>
    </row>
    <row r="2" spans="1:6" ht="18.75" x14ac:dyDescent="0.3">
      <c r="A2" s="133" t="s">
        <v>362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13867</v>
      </c>
      <c r="C4" s="2">
        <v>13517</v>
      </c>
      <c r="D4" s="2"/>
      <c r="E4" s="2"/>
      <c r="F4" s="2" t="s">
        <v>52</v>
      </c>
    </row>
    <row r="5" spans="1:6" x14ac:dyDescent="0.25">
      <c r="A5" s="4"/>
      <c r="B5" s="5">
        <v>46224</v>
      </c>
      <c r="C5" s="5">
        <v>46228</v>
      </c>
      <c r="D5" s="5"/>
      <c r="E5" s="5"/>
      <c r="F5" s="5">
        <v>46234</v>
      </c>
    </row>
    <row r="6" spans="1:6" x14ac:dyDescent="0.25">
      <c r="A6" s="17" t="s">
        <v>7</v>
      </c>
      <c r="B6" s="10">
        <v>4</v>
      </c>
      <c r="C6" s="24">
        <v>-4</v>
      </c>
      <c r="D6" s="125"/>
      <c r="E6" s="125"/>
      <c r="F6" s="10">
        <f>SUM(B6:E6)</f>
        <v>0</v>
      </c>
    </row>
    <row r="7" spans="1:6" x14ac:dyDescent="0.25">
      <c r="A7" s="7" t="s">
        <v>8</v>
      </c>
      <c r="B7" s="8">
        <v>4</v>
      </c>
      <c r="C7" s="24">
        <v>-4</v>
      </c>
      <c r="D7" s="9"/>
      <c r="E7" s="9"/>
      <c r="F7" s="10">
        <f>SUM(B7:E7)</f>
        <v>0</v>
      </c>
    </row>
    <row r="8" spans="1:6" x14ac:dyDescent="0.25">
      <c r="A8" s="7" t="s">
        <v>363</v>
      </c>
      <c r="B8" s="8">
        <v>2</v>
      </c>
      <c r="C8" s="9">
        <v>-2</v>
      </c>
      <c r="D8" s="9"/>
      <c r="E8" s="9"/>
      <c r="F8" s="10">
        <f>SUM(B8:E8)</f>
        <v>0</v>
      </c>
    </row>
    <row r="9" spans="1:6" x14ac:dyDescent="0.25">
      <c r="A9" s="4" t="s">
        <v>2</v>
      </c>
      <c r="B9" s="21">
        <v>0.16666666666666666</v>
      </c>
      <c r="C9" s="12">
        <v>0.38541666666666669</v>
      </c>
      <c r="D9" s="12"/>
      <c r="E9" s="12"/>
      <c r="F9" s="13"/>
    </row>
    <row r="10" spans="1:6" x14ac:dyDescent="0.25">
      <c r="A10" s="4" t="s">
        <v>3</v>
      </c>
      <c r="B10" s="15">
        <v>8000</v>
      </c>
      <c r="C10" s="15">
        <v>8000</v>
      </c>
      <c r="D10" s="15"/>
      <c r="E10" s="15"/>
      <c r="F10" s="16">
        <f t="shared" ref="F10" si="0">SUM(B10:E10)</f>
        <v>16000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6302-EA77-4BB9-8850-8524541C89A1}">
  <dimension ref="A1:F10"/>
  <sheetViews>
    <sheetView workbookViewId="0">
      <selection activeCell="B5" sqref="B5"/>
    </sheetView>
  </sheetViews>
  <sheetFormatPr baseColWidth="10" defaultRowHeight="15" x14ac:dyDescent="0.25"/>
  <cols>
    <col min="1" max="1" width="39.5703125" customWidth="1"/>
  </cols>
  <sheetData>
    <row r="1" spans="1:6" ht="18.75" x14ac:dyDescent="0.3">
      <c r="A1" s="131" t="s">
        <v>219</v>
      </c>
      <c r="B1" s="132"/>
      <c r="C1" s="132"/>
      <c r="D1" s="132"/>
      <c r="E1" s="132"/>
      <c r="F1" s="132"/>
    </row>
    <row r="2" spans="1:6" ht="18.75" x14ac:dyDescent="0.3">
      <c r="A2" s="133" t="s">
        <v>220</v>
      </c>
      <c r="B2" s="134"/>
      <c r="C2" s="134"/>
      <c r="D2" s="134"/>
      <c r="E2" s="134"/>
      <c r="F2" s="134"/>
    </row>
    <row r="3" spans="1:6" ht="18.75" x14ac:dyDescent="0.3">
      <c r="A3" s="133" t="s">
        <v>91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13826</v>
      </c>
      <c r="C4" s="2"/>
      <c r="D4" s="2"/>
      <c r="E4" s="2"/>
      <c r="F4" s="2" t="s">
        <v>52</v>
      </c>
    </row>
    <row r="5" spans="1:6" x14ac:dyDescent="0.25">
      <c r="A5" s="4"/>
      <c r="B5" s="5">
        <v>46210</v>
      </c>
      <c r="C5" s="5"/>
      <c r="D5" s="5"/>
      <c r="E5" s="5"/>
      <c r="F5" s="5">
        <v>46203</v>
      </c>
    </row>
    <row r="6" spans="1:6" x14ac:dyDescent="0.25">
      <c r="A6" s="7" t="s">
        <v>221</v>
      </c>
      <c r="B6" s="8">
        <v>8</v>
      </c>
      <c r="C6" s="9"/>
      <c r="D6" s="9"/>
      <c r="E6" s="9"/>
      <c r="F6" s="10">
        <f>SUM(B6:E6)</f>
        <v>8</v>
      </c>
    </row>
    <row r="7" spans="1:6" x14ac:dyDescent="0.25">
      <c r="A7" s="7" t="s">
        <v>8</v>
      </c>
      <c r="B7" s="8">
        <v>8</v>
      </c>
      <c r="C7" s="9"/>
      <c r="D7" s="9"/>
      <c r="E7" s="9"/>
      <c r="F7" s="10">
        <f t="shared" ref="F7:F10" si="0">SUM(B7:E7)</f>
        <v>8</v>
      </c>
    </row>
    <row r="8" spans="1:6" x14ac:dyDescent="0.25">
      <c r="A8" s="7" t="s">
        <v>110</v>
      </c>
      <c r="B8" s="8">
        <v>4</v>
      </c>
      <c r="C8" s="9"/>
      <c r="D8" s="9"/>
      <c r="E8" s="9"/>
      <c r="F8" s="10">
        <f>SUM(B8:E8)</f>
        <v>4</v>
      </c>
    </row>
    <row r="9" spans="1:6" x14ac:dyDescent="0.25">
      <c r="A9" s="4" t="s">
        <v>2</v>
      </c>
      <c r="B9" s="21">
        <v>0.3125</v>
      </c>
      <c r="C9" s="12"/>
      <c r="D9" s="12"/>
      <c r="E9" s="12"/>
      <c r="F9" s="13"/>
    </row>
    <row r="10" spans="1:6" x14ac:dyDescent="0.25">
      <c r="A10" s="4" t="s">
        <v>3</v>
      </c>
      <c r="B10" s="15" t="s">
        <v>222</v>
      </c>
      <c r="C10" s="15"/>
      <c r="D10" s="15"/>
      <c r="E10" s="15"/>
      <c r="F10" s="16">
        <f t="shared" si="0"/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EEF6-85BA-4341-9589-59746423B403}">
  <dimension ref="A1:O26"/>
  <sheetViews>
    <sheetView topLeftCell="A9" workbookViewId="0">
      <selection activeCell="K29" sqref="K29"/>
    </sheetView>
  </sheetViews>
  <sheetFormatPr baseColWidth="10" defaultRowHeight="15" x14ac:dyDescent="0.25"/>
  <cols>
    <col min="1" max="1" width="31" customWidth="1"/>
  </cols>
  <sheetData>
    <row r="1" spans="1:15" ht="18.75" x14ac:dyDescent="0.3">
      <c r="A1" s="131" t="s">
        <v>167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5" ht="18.75" x14ac:dyDescent="0.3">
      <c r="A2" s="133" t="s">
        <v>168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8.75" x14ac:dyDescent="0.3">
      <c r="A3" s="133" t="s">
        <v>264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x14ac:dyDescent="0.25">
      <c r="A4" s="164" t="s">
        <v>167</v>
      </c>
      <c r="B4" s="8" t="s">
        <v>1</v>
      </c>
      <c r="C4" s="13">
        <v>13463</v>
      </c>
      <c r="D4" s="61">
        <v>13827</v>
      </c>
      <c r="E4" s="61">
        <v>13476</v>
      </c>
      <c r="F4" s="61">
        <v>13482</v>
      </c>
      <c r="G4" s="61">
        <v>13481</v>
      </c>
      <c r="H4" s="61">
        <v>13850</v>
      </c>
      <c r="I4" s="61">
        <v>13846</v>
      </c>
      <c r="J4" s="61">
        <v>13853</v>
      </c>
      <c r="K4" s="61">
        <v>13858</v>
      </c>
      <c r="L4" s="61">
        <v>13865</v>
      </c>
      <c r="M4" s="61">
        <v>13512</v>
      </c>
      <c r="N4" s="61">
        <v>13518</v>
      </c>
      <c r="O4" s="62" t="s">
        <v>1</v>
      </c>
    </row>
    <row r="5" spans="1:15" x14ac:dyDescent="0.25">
      <c r="A5" s="165"/>
      <c r="B5" s="6">
        <v>46203</v>
      </c>
      <c r="C5" s="5">
        <v>46206</v>
      </c>
      <c r="D5" s="63">
        <v>46210</v>
      </c>
      <c r="E5" s="63">
        <v>46210</v>
      </c>
      <c r="F5" s="63">
        <v>46212</v>
      </c>
      <c r="G5" s="63">
        <v>46212</v>
      </c>
      <c r="H5" s="63">
        <v>46218</v>
      </c>
      <c r="I5" s="63">
        <v>46217</v>
      </c>
      <c r="J5" s="63">
        <v>46218</v>
      </c>
      <c r="K5" s="63">
        <v>46219</v>
      </c>
      <c r="L5" s="63">
        <v>46221</v>
      </c>
      <c r="M5" s="63">
        <v>46225</v>
      </c>
      <c r="N5" s="63">
        <v>46230</v>
      </c>
      <c r="O5" s="64" t="s">
        <v>169</v>
      </c>
    </row>
    <row r="6" spans="1:15" x14ac:dyDescent="0.25">
      <c r="A6" s="65" t="s">
        <v>170</v>
      </c>
      <c r="B6" s="23">
        <v>5</v>
      </c>
      <c r="C6" s="24"/>
      <c r="D6" s="66"/>
      <c r="E6" s="66"/>
      <c r="F6" s="66"/>
      <c r="G6" s="66"/>
      <c r="H6" s="66">
        <v>5</v>
      </c>
      <c r="I6" s="66"/>
      <c r="J6" s="66">
        <v>3</v>
      </c>
      <c r="K6" s="66"/>
      <c r="L6" s="66"/>
      <c r="M6" s="66"/>
      <c r="N6" s="66"/>
      <c r="O6" s="67">
        <f>SUM(B6:L6)</f>
        <v>13</v>
      </c>
    </row>
    <row r="7" spans="1:15" x14ac:dyDescent="0.25">
      <c r="A7" s="65" t="s">
        <v>49</v>
      </c>
      <c r="B7" s="23">
        <v>3</v>
      </c>
      <c r="C7" s="24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>
        <f t="shared" ref="O7:O19" si="0">SUM(B7:L7)</f>
        <v>3</v>
      </c>
    </row>
    <row r="8" spans="1:15" x14ac:dyDescent="0.25">
      <c r="A8" s="65" t="s">
        <v>171</v>
      </c>
      <c r="B8" s="23">
        <v>4</v>
      </c>
      <c r="C8" s="24"/>
      <c r="D8" s="66"/>
      <c r="E8" s="66">
        <v>-3</v>
      </c>
      <c r="F8" s="66">
        <v>-1</v>
      </c>
      <c r="G8" s="66"/>
      <c r="H8" s="66"/>
      <c r="I8" s="66"/>
      <c r="J8" s="66"/>
      <c r="K8" s="66"/>
      <c r="L8" s="66"/>
      <c r="M8" s="66"/>
      <c r="N8" s="66"/>
      <c r="O8" s="67">
        <f t="shared" si="0"/>
        <v>0</v>
      </c>
    </row>
    <row r="9" spans="1:15" x14ac:dyDescent="0.25">
      <c r="A9" s="65" t="s">
        <v>27</v>
      </c>
      <c r="B9" s="23">
        <v>0</v>
      </c>
      <c r="C9" s="24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7">
        <f t="shared" si="0"/>
        <v>0</v>
      </c>
    </row>
    <row r="10" spans="1:15" x14ac:dyDescent="0.25">
      <c r="A10" s="65" t="s">
        <v>138</v>
      </c>
      <c r="B10" s="23">
        <v>1</v>
      </c>
      <c r="C10" s="24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>
        <v>-1</v>
      </c>
      <c r="O10" s="67">
        <f>SUM(B10:N10)</f>
        <v>0</v>
      </c>
    </row>
    <row r="11" spans="1:15" x14ac:dyDescent="0.25">
      <c r="A11" s="65" t="s">
        <v>59</v>
      </c>
      <c r="B11" s="23">
        <v>9</v>
      </c>
      <c r="C11" s="24">
        <v>-1</v>
      </c>
      <c r="D11" s="66"/>
      <c r="E11" s="66">
        <v>-1</v>
      </c>
      <c r="F11" s="66"/>
      <c r="G11" s="66"/>
      <c r="H11" s="66"/>
      <c r="I11" s="66"/>
      <c r="J11" s="66"/>
      <c r="K11" s="66"/>
      <c r="L11" s="66"/>
      <c r="M11" s="66"/>
      <c r="N11" s="66"/>
      <c r="O11" s="67">
        <f t="shared" si="0"/>
        <v>7</v>
      </c>
    </row>
    <row r="12" spans="1:15" x14ac:dyDescent="0.25">
      <c r="A12" s="65" t="s">
        <v>23</v>
      </c>
      <c r="B12" s="23">
        <v>1</v>
      </c>
      <c r="C12" s="24"/>
      <c r="D12" s="66"/>
      <c r="E12" s="66"/>
      <c r="F12" s="66"/>
      <c r="G12" s="66"/>
      <c r="H12" s="66"/>
      <c r="I12" s="66"/>
      <c r="J12" s="66"/>
      <c r="K12" s="66">
        <v>30</v>
      </c>
      <c r="L12" s="66"/>
      <c r="M12" s="66"/>
      <c r="N12" s="66"/>
      <c r="O12" s="67">
        <f t="shared" si="0"/>
        <v>31</v>
      </c>
    </row>
    <row r="13" spans="1:15" x14ac:dyDescent="0.25">
      <c r="A13" s="65" t="s">
        <v>111</v>
      </c>
      <c r="B13" s="23"/>
      <c r="C13" s="24"/>
      <c r="D13" s="66">
        <v>20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7">
        <f t="shared" si="0"/>
        <v>20</v>
      </c>
    </row>
    <row r="14" spans="1:15" x14ac:dyDescent="0.25">
      <c r="A14" s="65" t="s">
        <v>25</v>
      </c>
      <c r="B14" s="8">
        <v>0</v>
      </c>
      <c r="C14" s="24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7">
        <f t="shared" si="0"/>
        <v>0</v>
      </c>
    </row>
    <row r="15" spans="1:15" x14ac:dyDescent="0.25">
      <c r="A15" s="65" t="s">
        <v>41</v>
      </c>
      <c r="B15" s="8">
        <v>1</v>
      </c>
      <c r="C15" s="24"/>
      <c r="D15" s="66"/>
      <c r="E15" s="66"/>
      <c r="F15" s="66">
        <v>-1</v>
      </c>
      <c r="G15" s="66"/>
      <c r="H15" s="66"/>
      <c r="I15" s="66"/>
      <c r="J15" s="66"/>
      <c r="K15" s="66"/>
      <c r="L15" s="66"/>
      <c r="M15" s="66"/>
      <c r="N15" s="66"/>
      <c r="O15" s="67">
        <f t="shared" si="0"/>
        <v>0</v>
      </c>
    </row>
    <row r="16" spans="1:15" x14ac:dyDescent="0.25">
      <c r="A16" s="65" t="s">
        <v>172</v>
      </c>
      <c r="B16" s="8">
        <v>0</v>
      </c>
      <c r="C16" s="24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7">
        <f t="shared" si="0"/>
        <v>0</v>
      </c>
    </row>
    <row r="17" spans="1:15" x14ac:dyDescent="0.25">
      <c r="A17" s="65" t="s">
        <v>20</v>
      </c>
      <c r="B17" s="8">
        <v>8</v>
      </c>
      <c r="C17" s="24"/>
      <c r="D17" s="66"/>
      <c r="E17" s="66"/>
      <c r="F17" s="66"/>
      <c r="G17" s="66"/>
      <c r="H17" s="66">
        <v>26</v>
      </c>
      <c r="I17" s="66"/>
      <c r="J17" s="66"/>
      <c r="K17" s="66"/>
      <c r="L17" s="66"/>
      <c r="M17" s="66"/>
      <c r="N17" s="66"/>
      <c r="O17" s="67">
        <f t="shared" si="0"/>
        <v>34</v>
      </c>
    </row>
    <row r="18" spans="1:15" x14ac:dyDescent="0.25">
      <c r="A18" s="65" t="s">
        <v>92</v>
      </c>
      <c r="B18" s="8">
        <v>2</v>
      </c>
      <c r="C18" s="24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>
        <f t="shared" si="0"/>
        <v>2</v>
      </c>
    </row>
    <row r="19" spans="1:15" x14ac:dyDescent="0.25">
      <c r="A19" s="65" t="s">
        <v>40</v>
      </c>
      <c r="B19" s="8">
        <v>8</v>
      </c>
      <c r="C19" s="24">
        <v>-7</v>
      </c>
      <c r="D19" s="66"/>
      <c r="E19" s="66"/>
      <c r="F19" s="66"/>
      <c r="G19" s="66">
        <v>-1</v>
      </c>
      <c r="H19" s="66"/>
      <c r="I19" s="66"/>
      <c r="J19" s="66"/>
      <c r="K19" s="66"/>
      <c r="L19" s="66"/>
      <c r="M19" s="66"/>
      <c r="N19" s="66"/>
      <c r="O19" s="67">
        <f t="shared" si="0"/>
        <v>0</v>
      </c>
    </row>
    <row r="20" spans="1:15" x14ac:dyDescent="0.25">
      <c r="A20" s="65" t="s">
        <v>283</v>
      </c>
      <c r="B20" s="8"/>
      <c r="C20" s="24"/>
      <c r="D20" s="66"/>
      <c r="E20" s="66"/>
      <c r="F20" s="66"/>
      <c r="G20" s="66"/>
      <c r="H20" s="66"/>
      <c r="I20" s="66">
        <v>1</v>
      </c>
      <c r="J20" s="66"/>
      <c r="K20" s="66"/>
      <c r="L20" s="66"/>
      <c r="M20" s="66"/>
      <c r="N20" s="66"/>
      <c r="O20" s="67">
        <f>SUM(B20:L20)</f>
        <v>1</v>
      </c>
    </row>
    <row r="21" spans="1:15" x14ac:dyDescent="0.25">
      <c r="A21" s="65" t="s">
        <v>347</v>
      </c>
      <c r="B21" s="8"/>
      <c r="C21" s="24"/>
      <c r="D21" s="66"/>
      <c r="E21" s="66"/>
      <c r="F21" s="66"/>
      <c r="G21" s="66"/>
      <c r="H21" s="66"/>
      <c r="I21" s="66"/>
      <c r="J21" s="66"/>
      <c r="K21" s="66"/>
      <c r="L21" s="66">
        <v>2</v>
      </c>
      <c r="M21" s="66">
        <v>-2</v>
      </c>
      <c r="N21" s="66"/>
      <c r="O21" s="67">
        <f t="shared" ref="O21" si="1">SUM(B21:L21)</f>
        <v>2</v>
      </c>
    </row>
    <row r="22" spans="1:15" x14ac:dyDescent="0.25">
      <c r="A22" s="65" t="s">
        <v>348</v>
      </c>
      <c r="B22" s="8"/>
      <c r="C22" s="24"/>
      <c r="D22" s="66"/>
      <c r="E22" s="66"/>
      <c r="F22" s="66"/>
      <c r="G22" s="66"/>
      <c r="H22" s="66"/>
      <c r="I22" s="66"/>
      <c r="J22" s="66"/>
      <c r="K22" s="66"/>
      <c r="L22" s="66">
        <v>2</v>
      </c>
      <c r="M22" s="66">
        <v>-2</v>
      </c>
      <c r="N22" s="66"/>
      <c r="O22" s="67">
        <f>SUM(B22:M22)</f>
        <v>0</v>
      </c>
    </row>
    <row r="23" spans="1:15" x14ac:dyDescent="0.25">
      <c r="A23" s="68" t="s">
        <v>76</v>
      </c>
      <c r="B23" s="8"/>
      <c r="C23" s="11">
        <v>0.1701388888888889</v>
      </c>
      <c r="D23" s="69">
        <v>0.33680555555555558</v>
      </c>
      <c r="E23" s="69">
        <v>9.0277777777777776E-2</v>
      </c>
      <c r="F23" s="69">
        <v>7.6388888888888895E-2</v>
      </c>
      <c r="G23" s="69">
        <v>0.3263888888888889</v>
      </c>
      <c r="H23" s="69">
        <v>0.35069444444444442</v>
      </c>
      <c r="I23" s="69">
        <v>0.37847222222222221</v>
      </c>
      <c r="J23" s="69">
        <v>0.11666666666666667</v>
      </c>
      <c r="K23" s="69">
        <v>0.14166666666666666</v>
      </c>
      <c r="L23" s="69">
        <v>0.33333333333333331</v>
      </c>
      <c r="M23" s="69">
        <v>0.10416666666666667</v>
      </c>
      <c r="N23" s="69">
        <v>0.37569444444444444</v>
      </c>
      <c r="O23" s="47"/>
    </row>
    <row r="24" spans="1:15" ht="15.75" thickBot="1" x14ac:dyDescent="0.3">
      <c r="A24" s="70" t="s">
        <v>77</v>
      </c>
      <c r="B24" s="71"/>
      <c r="C24" s="72" t="s">
        <v>282</v>
      </c>
      <c r="D24" s="72" t="s">
        <v>282</v>
      </c>
      <c r="E24" s="72" t="s">
        <v>282</v>
      </c>
      <c r="F24" s="72" t="s">
        <v>282</v>
      </c>
      <c r="G24" s="72" t="s">
        <v>282</v>
      </c>
      <c r="H24" s="72" t="s">
        <v>282</v>
      </c>
      <c r="I24" s="72" t="s">
        <v>282</v>
      </c>
      <c r="J24" s="72" t="s">
        <v>282</v>
      </c>
      <c r="K24" s="72" t="s">
        <v>282</v>
      </c>
      <c r="L24" s="72" t="s">
        <v>282</v>
      </c>
      <c r="M24" s="72" t="s">
        <v>282</v>
      </c>
      <c r="N24" s="129" t="s">
        <v>393</v>
      </c>
      <c r="O24" s="73"/>
    </row>
    <row r="25" spans="1:15" x14ac:dyDescent="0.25">
      <c r="C25" t="s">
        <v>173</v>
      </c>
      <c r="F25" s="80" t="s">
        <v>263</v>
      </c>
      <c r="G25" s="40" t="s">
        <v>262</v>
      </c>
      <c r="N25" s="130" t="s">
        <v>394</v>
      </c>
    </row>
    <row r="26" spans="1:15" x14ac:dyDescent="0.25">
      <c r="C26" t="s">
        <v>174</v>
      </c>
    </row>
  </sheetData>
  <mergeCells count="4">
    <mergeCell ref="A1:O1"/>
    <mergeCell ref="A2:O2"/>
    <mergeCell ref="A3:O3"/>
    <mergeCell ref="A4:A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9D73-F572-4DDD-A377-269C51F1EB6A}">
  <dimension ref="A1:F11"/>
  <sheetViews>
    <sheetView workbookViewId="0">
      <selection activeCell="D17" sqref="D17"/>
    </sheetView>
  </sheetViews>
  <sheetFormatPr baseColWidth="10" defaultRowHeight="15" x14ac:dyDescent="0.25"/>
  <cols>
    <col min="1" max="1" width="37.5703125" customWidth="1"/>
    <col min="6" max="6" width="13.42578125" customWidth="1"/>
  </cols>
  <sheetData>
    <row r="1" spans="1:6" ht="18.75" x14ac:dyDescent="0.3">
      <c r="A1" s="131" t="s">
        <v>265</v>
      </c>
      <c r="B1" s="132"/>
      <c r="C1" s="132"/>
      <c r="D1" s="132"/>
      <c r="E1" s="132"/>
      <c r="F1" s="132"/>
    </row>
    <row r="2" spans="1:6" ht="18.75" x14ac:dyDescent="0.3">
      <c r="A2" s="133" t="s">
        <v>266</v>
      </c>
      <c r="B2" s="134"/>
      <c r="C2" s="134"/>
      <c r="D2" s="134"/>
      <c r="E2" s="134"/>
      <c r="F2" s="134"/>
    </row>
    <row r="3" spans="1:6" ht="18.75" x14ac:dyDescent="0.3">
      <c r="A3" s="133" t="s">
        <v>91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13838</v>
      </c>
      <c r="C4" s="2">
        <v>13516</v>
      </c>
      <c r="D4" s="2"/>
      <c r="E4" s="2"/>
      <c r="F4" s="2" t="s">
        <v>52</v>
      </c>
    </row>
    <row r="5" spans="1:6" x14ac:dyDescent="0.25">
      <c r="A5" s="4"/>
      <c r="B5" s="5">
        <v>46212</v>
      </c>
      <c r="C5" s="5">
        <v>46227</v>
      </c>
      <c r="D5" s="5"/>
      <c r="E5" s="5"/>
      <c r="F5" s="5">
        <v>46203</v>
      </c>
    </row>
    <row r="6" spans="1:6" x14ac:dyDescent="0.25">
      <c r="A6" s="7" t="s">
        <v>267</v>
      </c>
      <c r="B6" s="8">
        <v>12</v>
      </c>
      <c r="C6" s="9">
        <v>-10</v>
      </c>
      <c r="D6" s="9"/>
      <c r="E6" s="9"/>
      <c r="F6" s="10">
        <f>SUM(B6:E6)</f>
        <v>2</v>
      </c>
    </row>
    <row r="7" spans="1:6" x14ac:dyDescent="0.25">
      <c r="A7" s="7" t="s">
        <v>110</v>
      </c>
      <c r="B7" s="8">
        <v>6</v>
      </c>
      <c r="C7" s="9">
        <v>-6</v>
      </c>
      <c r="D7" s="9"/>
      <c r="E7" s="9"/>
      <c r="F7" s="10">
        <f t="shared" ref="F7:F9" si="0">SUM(B7:E7)</f>
        <v>0</v>
      </c>
    </row>
    <row r="8" spans="1:6" x14ac:dyDescent="0.25">
      <c r="A8" s="7" t="s">
        <v>8</v>
      </c>
      <c r="B8" s="8">
        <v>12</v>
      </c>
      <c r="C8" s="9">
        <v>-8</v>
      </c>
      <c r="D8" s="9"/>
      <c r="E8" s="9"/>
      <c r="F8" s="10">
        <f t="shared" si="0"/>
        <v>4</v>
      </c>
    </row>
    <row r="9" spans="1:6" x14ac:dyDescent="0.25">
      <c r="A9" s="7"/>
      <c r="B9" s="8"/>
      <c r="C9" s="9"/>
      <c r="D9" s="9"/>
      <c r="E9" s="9"/>
      <c r="F9" s="10">
        <f t="shared" si="0"/>
        <v>0</v>
      </c>
    </row>
    <row r="10" spans="1:6" x14ac:dyDescent="0.25">
      <c r="A10" s="4" t="s">
        <v>2</v>
      </c>
      <c r="B10" s="21">
        <v>0.36805555555555558</v>
      </c>
      <c r="C10" s="12">
        <v>0.20833333333333334</v>
      </c>
      <c r="D10" s="12"/>
      <c r="E10" s="12"/>
      <c r="F10" s="13"/>
    </row>
    <row r="11" spans="1:6" x14ac:dyDescent="0.25">
      <c r="A11" s="4" t="s">
        <v>3</v>
      </c>
      <c r="B11" s="15">
        <v>45000</v>
      </c>
      <c r="C11" s="15">
        <v>45000</v>
      </c>
      <c r="D11" s="15"/>
      <c r="E11" s="15"/>
      <c r="F11" s="16">
        <f>SUM(B11:E11)</f>
        <v>90000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D187-4014-4685-AD75-3F9B80A200BC}">
  <dimension ref="A1:F12"/>
  <sheetViews>
    <sheetView workbookViewId="0">
      <selection activeCell="H18" sqref="H18"/>
    </sheetView>
  </sheetViews>
  <sheetFormatPr baseColWidth="10" defaultRowHeight="15" x14ac:dyDescent="0.25"/>
  <cols>
    <col min="1" max="1" width="40.42578125" customWidth="1"/>
  </cols>
  <sheetData>
    <row r="1" spans="1:6" ht="18.75" x14ac:dyDescent="0.3">
      <c r="A1" s="131" t="s">
        <v>395</v>
      </c>
      <c r="B1" s="132"/>
      <c r="C1" s="132"/>
      <c r="D1" s="132"/>
      <c r="E1" s="132"/>
      <c r="F1" s="132"/>
    </row>
    <row r="2" spans="1:6" ht="18.75" x14ac:dyDescent="0.3">
      <c r="A2" s="133" t="s">
        <v>206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13876</v>
      </c>
      <c r="C4" s="2"/>
      <c r="D4" s="2"/>
      <c r="E4" s="2"/>
      <c r="F4" s="2" t="s">
        <v>52</v>
      </c>
    </row>
    <row r="5" spans="1:6" x14ac:dyDescent="0.25">
      <c r="A5" s="4"/>
      <c r="B5" s="5">
        <v>46227</v>
      </c>
      <c r="C5" s="5"/>
      <c r="D5" s="5"/>
      <c r="E5" s="5"/>
      <c r="F5" s="5">
        <v>46203</v>
      </c>
    </row>
    <row r="6" spans="1:6" x14ac:dyDescent="0.25">
      <c r="A6" s="7" t="s">
        <v>115</v>
      </c>
      <c r="B6" s="8">
        <v>4</v>
      </c>
      <c r="C6" s="9"/>
      <c r="D6" s="9"/>
      <c r="E6" s="9"/>
      <c r="F6" s="10">
        <f>SUM(B6:E6)</f>
        <v>4</v>
      </c>
    </row>
    <row r="7" spans="1:6" x14ac:dyDescent="0.25">
      <c r="A7" s="7" t="s">
        <v>396</v>
      </c>
      <c r="B7" s="8">
        <v>4</v>
      </c>
      <c r="C7" s="9"/>
      <c r="D7" s="9"/>
      <c r="E7" s="9"/>
      <c r="F7" s="10">
        <f t="shared" ref="F7:F11" si="0">SUM(B7:E7)</f>
        <v>4</v>
      </c>
    </row>
    <row r="8" spans="1:6" x14ac:dyDescent="0.25">
      <c r="A8" s="7" t="s">
        <v>397</v>
      </c>
      <c r="B8" s="8">
        <v>2</v>
      </c>
      <c r="C8" s="9"/>
      <c r="D8" s="9"/>
      <c r="E8" s="9"/>
      <c r="F8" s="10">
        <f t="shared" si="0"/>
        <v>2</v>
      </c>
    </row>
    <row r="9" spans="1:6" x14ac:dyDescent="0.25">
      <c r="A9" s="7" t="s">
        <v>398</v>
      </c>
      <c r="B9" s="8">
        <v>9</v>
      </c>
      <c r="C9" s="9"/>
      <c r="D9" s="9"/>
      <c r="E9" s="9"/>
      <c r="F9" s="10">
        <f t="shared" si="0"/>
        <v>9</v>
      </c>
    </row>
    <row r="10" spans="1:6" x14ac:dyDescent="0.25">
      <c r="A10" s="7" t="s">
        <v>57</v>
      </c>
      <c r="B10" s="8">
        <v>5</v>
      </c>
      <c r="C10" s="9"/>
      <c r="D10" s="9"/>
      <c r="E10" s="9"/>
      <c r="F10" s="10">
        <f t="shared" si="0"/>
        <v>5</v>
      </c>
    </row>
    <row r="11" spans="1:6" x14ac:dyDescent="0.25">
      <c r="A11" s="4" t="s">
        <v>2</v>
      </c>
      <c r="B11" s="21">
        <v>0.125</v>
      </c>
      <c r="C11" s="12"/>
      <c r="D11" s="12"/>
      <c r="E11" s="12"/>
      <c r="F11" s="13">
        <f t="shared" si="0"/>
        <v>0.125</v>
      </c>
    </row>
    <row r="12" spans="1:6" x14ac:dyDescent="0.25">
      <c r="A12" s="4" t="s">
        <v>3</v>
      </c>
      <c r="B12" s="15">
        <v>100000</v>
      </c>
      <c r="C12" s="15"/>
      <c r="D12" s="15"/>
      <c r="E12" s="15"/>
      <c r="F12" s="16">
        <f>SUM(B12:E12)</f>
        <v>100000</v>
      </c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1052-98EA-4978-BA35-83CA3F884869}">
  <dimension ref="A1:J11"/>
  <sheetViews>
    <sheetView workbookViewId="0">
      <selection activeCell="A15" sqref="A15"/>
    </sheetView>
  </sheetViews>
  <sheetFormatPr baseColWidth="10" defaultRowHeight="15" x14ac:dyDescent="0.25"/>
  <cols>
    <col min="1" max="1" width="29" customWidth="1"/>
    <col min="4" max="4" width="12" bestFit="1" customWidth="1"/>
  </cols>
  <sheetData>
    <row r="1" spans="1:10" ht="18.75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5"/>
    </row>
    <row r="2" spans="1:10" ht="18.75" x14ac:dyDescent="0.3">
      <c r="A2" s="133" t="s">
        <v>34</v>
      </c>
      <c r="B2" s="134"/>
      <c r="C2" s="134"/>
      <c r="D2" s="134"/>
      <c r="E2" s="134"/>
      <c r="F2" s="134"/>
      <c r="G2" s="134"/>
      <c r="H2" s="134"/>
      <c r="I2" s="134"/>
      <c r="J2" s="136"/>
    </row>
    <row r="3" spans="1:10" ht="18.75" x14ac:dyDescent="0.3">
      <c r="A3" s="133" t="s">
        <v>30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x14ac:dyDescent="0.25">
      <c r="A4" s="1" t="s">
        <v>0</v>
      </c>
      <c r="B4" s="2">
        <v>13756</v>
      </c>
      <c r="C4" s="2">
        <v>13804</v>
      </c>
      <c r="D4" s="2">
        <v>13469</v>
      </c>
      <c r="E4" s="2"/>
      <c r="F4" s="2"/>
      <c r="G4" s="2"/>
      <c r="H4" s="2"/>
      <c r="I4" s="2"/>
      <c r="J4" s="2" t="s">
        <v>1</v>
      </c>
    </row>
    <row r="5" spans="1:10" x14ac:dyDescent="0.25">
      <c r="A5" s="4"/>
      <c r="B5" s="5">
        <v>46171</v>
      </c>
      <c r="C5" s="5">
        <v>46204</v>
      </c>
      <c r="D5" s="5">
        <v>46209</v>
      </c>
      <c r="E5" s="5"/>
      <c r="F5" s="5"/>
      <c r="G5" s="5"/>
      <c r="H5" s="5"/>
      <c r="I5" s="5"/>
      <c r="J5" s="5">
        <v>46234</v>
      </c>
    </row>
    <row r="6" spans="1:10" x14ac:dyDescent="0.25">
      <c r="A6" s="17" t="s">
        <v>35</v>
      </c>
      <c r="B6" s="8">
        <v>2</v>
      </c>
      <c r="C6" s="9"/>
      <c r="D6" s="9">
        <v>-2</v>
      </c>
      <c r="E6" s="9"/>
      <c r="F6" s="9"/>
      <c r="G6" s="9"/>
      <c r="H6" s="9"/>
      <c r="I6" s="9"/>
      <c r="J6" s="10">
        <f t="shared" ref="J6:J9" si="0">SUM(B6:H6)</f>
        <v>0</v>
      </c>
    </row>
    <row r="7" spans="1:10" x14ac:dyDescent="0.25">
      <c r="A7" s="17" t="s">
        <v>36</v>
      </c>
      <c r="B7" s="8">
        <v>1</v>
      </c>
      <c r="C7" s="9"/>
      <c r="D7" s="9">
        <v>-1</v>
      </c>
      <c r="E7" s="9"/>
      <c r="F7" s="9"/>
      <c r="G7" s="9"/>
      <c r="H7" s="9"/>
      <c r="I7" s="9"/>
      <c r="J7" s="10">
        <f t="shared" si="0"/>
        <v>0</v>
      </c>
    </row>
    <row r="8" spans="1:10" x14ac:dyDescent="0.25">
      <c r="A8" s="17" t="s">
        <v>23</v>
      </c>
      <c r="B8" s="8"/>
      <c r="C8" s="9">
        <v>6</v>
      </c>
      <c r="D8" s="9">
        <v>-6</v>
      </c>
      <c r="E8" s="9"/>
      <c r="F8" s="9"/>
      <c r="G8" s="9"/>
      <c r="H8" s="9"/>
      <c r="I8" s="9"/>
      <c r="J8" s="10">
        <f t="shared" si="0"/>
        <v>0</v>
      </c>
    </row>
    <row r="9" spans="1:10" x14ac:dyDescent="0.25">
      <c r="A9" s="17"/>
      <c r="B9" s="8"/>
      <c r="C9" s="9"/>
      <c r="D9" s="9"/>
      <c r="E9" s="9"/>
      <c r="F9" s="9"/>
      <c r="G9" s="9"/>
      <c r="H9" s="9"/>
      <c r="I9" s="9"/>
      <c r="J9" s="10">
        <f t="shared" si="0"/>
        <v>0</v>
      </c>
    </row>
    <row r="10" spans="1:10" x14ac:dyDescent="0.25">
      <c r="A10" s="4" t="s">
        <v>2</v>
      </c>
      <c r="B10" s="11">
        <v>0.32361111111111113</v>
      </c>
      <c r="C10" s="12" t="s">
        <v>37</v>
      </c>
      <c r="D10" s="12">
        <v>0.4861111111111111</v>
      </c>
      <c r="E10" s="12"/>
      <c r="F10" s="12"/>
      <c r="G10" s="12"/>
      <c r="H10" s="12"/>
      <c r="I10" s="12"/>
      <c r="J10" s="13"/>
    </row>
    <row r="11" spans="1:10" x14ac:dyDescent="0.25">
      <c r="A11" s="4" t="s">
        <v>3</v>
      </c>
      <c r="B11" s="11" t="s">
        <v>38</v>
      </c>
      <c r="C11" s="11" t="s">
        <v>38</v>
      </c>
      <c r="D11" s="16">
        <v>20000</v>
      </c>
      <c r="E11" s="15"/>
      <c r="F11" s="15"/>
      <c r="G11" s="15"/>
      <c r="H11" s="15"/>
      <c r="I11" s="15"/>
      <c r="J11" s="16">
        <f>SUM(C11:F11)</f>
        <v>20000</v>
      </c>
    </row>
  </sheetData>
  <mergeCells count="3">
    <mergeCell ref="A1:J1"/>
    <mergeCell ref="A2:J2"/>
    <mergeCell ref="A3:J3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0B05-1435-4042-A50C-9F86DA08B800}">
  <dimension ref="A1:F12"/>
  <sheetViews>
    <sheetView workbookViewId="0">
      <selection activeCell="B6" sqref="B6"/>
    </sheetView>
  </sheetViews>
  <sheetFormatPr baseColWidth="10" defaultRowHeight="15" x14ac:dyDescent="0.25"/>
  <cols>
    <col min="1" max="1" width="25" customWidth="1"/>
  </cols>
  <sheetData>
    <row r="1" spans="1:6" ht="18.75" x14ac:dyDescent="0.3">
      <c r="A1" s="131" t="s">
        <v>349</v>
      </c>
      <c r="B1" s="132"/>
      <c r="C1" s="132"/>
      <c r="D1" s="132"/>
      <c r="E1" s="132"/>
      <c r="F1" s="135"/>
    </row>
    <row r="2" spans="1:6" ht="18.75" x14ac:dyDescent="0.3">
      <c r="A2" s="133" t="s">
        <v>350</v>
      </c>
      <c r="B2" s="134"/>
      <c r="C2" s="134"/>
      <c r="D2" s="134"/>
      <c r="E2" s="134"/>
      <c r="F2" s="136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13863</v>
      </c>
      <c r="C4" s="2"/>
      <c r="D4" s="2"/>
      <c r="E4" s="2"/>
      <c r="F4" s="2" t="s">
        <v>1</v>
      </c>
    </row>
    <row r="5" spans="1:6" x14ac:dyDescent="0.25">
      <c r="A5" s="4"/>
      <c r="B5" s="5">
        <v>46220</v>
      </c>
      <c r="C5" s="5"/>
      <c r="D5" s="5"/>
      <c r="E5" s="5"/>
      <c r="F5" s="5">
        <v>46234</v>
      </c>
    </row>
    <row r="6" spans="1:6" x14ac:dyDescent="0.25">
      <c r="A6" s="17" t="s">
        <v>351</v>
      </c>
      <c r="B6" s="8">
        <v>2</v>
      </c>
      <c r="C6" s="9"/>
      <c r="D6" s="9"/>
      <c r="E6" s="9"/>
      <c r="F6" s="10">
        <f>SUM(B6:E6)</f>
        <v>2</v>
      </c>
    </row>
    <row r="7" spans="1:6" x14ac:dyDescent="0.25">
      <c r="A7" s="17"/>
      <c r="B7" s="8"/>
      <c r="C7" s="9"/>
      <c r="D7" s="9"/>
      <c r="E7" s="9"/>
      <c r="F7" s="10">
        <f>SUM(B7:E7)</f>
        <v>0</v>
      </c>
    </row>
    <row r="8" spans="1:6" x14ac:dyDescent="0.25">
      <c r="A8" s="4" t="s">
        <v>2</v>
      </c>
      <c r="B8" s="11">
        <v>0.19791666666666666</v>
      </c>
      <c r="C8" s="12"/>
      <c r="D8" s="12"/>
      <c r="E8" s="12"/>
      <c r="F8" s="13"/>
    </row>
    <row r="9" spans="1:6" x14ac:dyDescent="0.25">
      <c r="A9" s="4" t="s">
        <v>3</v>
      </c>
      <c r="B9" s="11" t="s">
        <v>352</v>
      </c>
      <c r="C9" s="11"/>
      <c r="D9" s="16"/>
      <c r="E9" s="15"/>
      <c r="F9" s="16">
        <f>SUM(C9:E9)</f>
        <v>0</v>
      </c>
    </row>
    <row r="12" spans="1:6" x14ac:dyDescent="0.25">
      <c r="C12" t="s">
        <v>353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45F0-8009-4764-AE50-6B19FBF6AD17}">
  <dimension ref="A1:M25"/>
  <sheetViews>
    <sheetView topLeftCell="A6" workbookViewId="0">
      <selection activeCell="A17" sqref="A17:XFD17"/>
    </sheetView>
  </sheetViews>
  <sheetFormatPr baseColWidth="10" defaultRowHeight="15" x14ac:dyDescent="0.25"/>
  <cols>
    <col min="1" max="1" width="40.7109375" customWidth="1"/>
  </cols>
  <sheetData>
    <row r="1" spans="1:7" ht="18.75" x14ac:dyDescent="0.3">
      <c r="A1" s="131" t="s">
        <v>89</v>
      </c>
      <c r="B1" s="132"/>
      <c r="C1" s="132"/>
      <c r="D1" s="132"/>
      <c r="E1" s="132"/>
      <c r="F1" s="132"/>
      <c r="G1" s="132"/>
    </row>
    <row r="2" spans="1:7" ht="18.75" x14ac:dyDescent="0.3">
      <c r="A2" s="133" t="s">
        <v>90</v>
      </c>
      <c r="B2" s="134"/>
      <c r="C2" s="134"/>
      <c r="D2" s="134"/>
      <c r="E2" s="134"/>
      <c r="F2" s="134"/>
      <c r="G2" s="134"/>
    </row>
    <row r="3" spans="1:7" ht="18.75" x14ac:dyDescent="0.3">
      <c r="A3" s="133" t="s">
        <v>91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13736</v>
      </c>
      <c r="C4" s="2">
        <v>13805</v>
      </c>
      <c r="D4" s="2">
        <v>13808</v>
      </c>
      <c r="E4" s="2">
        <v>13458</v>
      </c>
      <c r="F4" s="2">
        <v>13859</v>
      </c>
      <c r="G4" s="2" t="s">
        <v>52</v>
      </c>
    </row>
    <row r="5" spans="1:7" x14ac:dyDescent="0.25">
      <c r="A5" s="4"/>
      <c r="B5" s="5">
        <v>46198</v>
      </c>
      <c r="C5" s="5">
        <v>46204</v>
      </c>
      <c r="D5" s="5">
        <v>46205</v>
      </c>
      <c r="E5" s="5">
        <v>46205</v>
      </c>
      <c r="F5" s="5">
        <v>46219</v>
      </c>
      <c r="G5" s="5">
        <v>46203</v>
      </c>
    </row>
    <row r="6" spans="1:7" x14ac:dyDescent="0.25">
      <c r="A6" s="7" t="s">
        <v>92</v>
      </c>
      <c r="B6" s="8">
        <v>38</v>
      </c>
      <c r="C6" s="9"/>
      <c r="D6" s="9"/>
      <c r="E6" s="9"/>
      <c r="F6" s="9"/>
      <c r="G6" s="10">
        <f>SUM(B6:F6)</f>
        <v>38</v>
      </c>
    </row>
    <row r="7" spans="1:7" x14ac:dyDescent="0.25">
      <c r="A7" s="7" t="s">
        <v>93</v>
      </c>
      <c r="B7" s="8">
        <v>38</v>
      </c>
      <c r="C7" s="9"/>
      <c r="D7" s="9"/>
      <c r="E7" s="9"/>
      <c r="F7" s="9"/>
      <c r="G7" s="10">
        <f t="shared" ref="G7:G17" si="0">SUM(B7:F7)</f>
        <v>38</v>
      </c>
    </row>
    <row r="8" spans="1:7" x14ac:dyDescent="0.25">
      <c r="A8" s="7" t="s">
        <v>81</v>
      </c>
      <c r="B8" s="8">
        <v>20</v>
      </c>
      <c r="C8" s="9"/>
      <c r="D8" s="9"/>
      <c r="E8" s="9"/>
      <c r="F8" s="9"/>
      <c r="G8" s="10">
        <f t="shared" si="0"/>
        <v>20</v>
      </c>
    </row>
    <row r="9" spans="1:7" x14ac:dyDescent="0.25">
      <c r="A9" s="7" t="s">
        <v>20</v>
      </c>
      <c r="B9" s="8"/>
      <c r="C9" s="9">
        <v>32</v>
      </c>
      <c r="D9" s="9"/>
      <c r="E9" s="9">
        <v>-32</v>
      </c>
      <c r="F9" s="9"/>
      <c r="G9" s="10">
        <f t="shared" si="0"/>
        <v>0</v>
      </c>
    </row>
    <row r="10" spans="1:7" x14ac:dyDescent="0.25">
      <c r="A10" s="7" t="s">
        <v>16</v>
      </c>
      <c r="B10" s="8">
        <v>22</v>
      </c>
      <c r="C10" s="9">
        <v>15</v>
      </c>
      <c r="D10" s="9"/>
      <c r="E10" s="9"/>
      <c r="F10" s="9"/>
      <c r="G10" s="10">
        <f t="shared" si="0"/>
        <v>37</v>
      </c>
    </row>
    <row r="11" spans="1:7" x14ac:dyDescent="0.25">
      <c r="A11" s="7" t="s">
        <v>17</v>
      </c>
      <c r="B11" s="8">
        <v>42</v>
      </c>
      <c r="C11" s="9"/>
      <c r="D11" s="9"/>
      <c r="E11" s="9"/>
      <c r="F11" s="9"/>
      <c r="G11" s="10">
        <f t="shared" si="0"/>
        <v>42</v>
      </c>
    </row>
    <row r="12" spans="1:7" x14ac:dyDescent="0.25">
      <c r="A12" s="7" t="s">
        <v>14</v>
      </c>
      <c r="B12" s="8">
        <v>700</v>
      </c>
      <c r="C12" s="9">
        <v>400</v>
      </c>
      <c r="D12" s="9"/>
      <c r="E12" s="9"/>
      <c r="F12" s="9"/>
      <c r="G12" s="10">
        <f t="shared" si="0"/>
        <v>1100</v>
      </c>
    </row>
    <row r="13" spans="1:7" x14ac:dyDescent="0.25">
      <c r="A13" s="7" t="s">
        <v>23</v>
      </c>
      <c r="B13" s="8">
        <v>20</v>
      </c>
      <c r="C13" s="9">
        <v>56</v>
      </c>
      <c r="D13" s="9"/>
      <c r="E13" s="9"/>
      <c r="F13" s="9">
        <v>50</v>
      </c>
      <c r="G13" s="10">
        <f t="shared" si="0"/>
        <v>126</v>
      </c>
    </row>
    <row r="14" spans="1:7" x14ac:dyDescent="0.25">
      <c r="A14" s="7" t="s">
        <v>94</v>
      </c>
      <c r="B14" s="8">
        <v>2</v>
      </c>
      <c r="C14" s="9">
        <v>2</v>
      </c>
      <c r="D14" s="9"/>
      <c r="E14" s="9"/>
      <c r="F14" s="9"/>
      <c r="G14" s="10">
        <f t="shared" si="0"/>
        <v>4</v>
      </c>
    </row>
    <row r="15" spans="1:7" x14ac:dyDescent="0.25">
      <c r="A15" s="7" t="s">
        <v>95</v>
      </c>
      <c r="B15" s="8">
        <v>1</v>
      </c>
      <c r="C15" s="9"/>
      <c r="D15" s="9"/>
      <c r="E15" s="9"/>
      <c r="F15" s="9"/>
      <c r="G15" s="10">
        <f t="shared" si="0"/>
        <v>1</v>
      </c>
    </row>
    <row r="16" spans="1:7" x14ac:dyDescent="0.25">
      <c r="A16" s="7" t="s">
        <v>26</v>
      </c>
      <c r="B16" s="8"/>
      <c r="C16" s="9">
        <v>28</v>
      </c>
      <c r="D16" s="9"/>
      <c r="E16" s="9"/>
      <c r="F16" s="9">
        <v>15</v>
      </c>
      <c r="G16" s="10">
        <f t="shared" si="0"/>
        <v>43</v>
      </c>
    </row>
    <row r="17" spans="1:13" x14ac:dyDescent="0.25">
      <c r="A17" s="7" t="s">
        <v>56</v>
      </c>
      <c r="B17" s="8"/>
      <c r="C17" s="9"/>
      <c r="D17" s="9">
        <v>32</v>
      </c>
      <c r="E17" s="9"/>
      <c r="F17" s="9">
        <v>20</v>
      </c>
      <c r="G17" s="10">
        <f t="shared" si="0"/>
        <v>52</v>
      </c>
    </row>
    <row r="18" spans="1:13" x14ac:dyDescent="0.25">
      <c r="A18" s="7" t="s">
        <v>234</v>
      </c>
      <c r="B18" s="8"/>
      <c r="C18" s="9"/>
      <c r="D18" s="9"/>
      <c r="E18" s="9"/>
      <c r="F18" s="9">
        <v>2</v>
      </c>
      <c r="G18" s="10">
        <f>SUM(F18)</f>
        <v>2</v>
      </c>
    </row>
    <row r="19" spans="1:13" x14ac:dyDescent="0.25">
      <c r="A19" s="7" t="s">
        <v>235</v>
      </c>
      <c r="B19" s="8"/>
      <c r="C19" s="9"/>
      <c r="D19" s="9"/>
      <c r="E19" s="9"/>
      <c r="F19" s="9">
        <v>23</v>
      </c>
      <c r="G19" s="10">
        <f>SUM(F19)</f>
        <v>23</v>
      </c>
    </row>
    <row r="20" spans="1:13" x14ac:dyDescent="0.25">
      <c r="A20" s="7" t="s">
        <v>133</v>
      </c>
      <c r="B20" s="8"/>
      <c r="C20" s="9"/>
      <c r="D20" s="9"/>
      <c r="E20" s="9"/>
      <c r="F20" s="9">
        <v>13</v>
      </c>
      <c r="G20" s="10">
        <f>SUM(F20)</f>
        <v>13</v>
      </c>
    </row>
    <row r="21" spans="1:13" x14ac:dyDescent="0.25">
      <c r="A21" s="7" t="s">
        <v>80</v>
      </c>
      <c r="B21" s="8"/>
      <c r="C21" s="9"/>
      <c r="D21" s="9"/>
      <c r="E21" s="9"/>
      <c r="F21" s="9">
        <v>15</v>
      </c>
      <c r="G21" s="10">
        <f>SUM(F21)</f>
        <v>15</v>
      </c>
    </row>
    <row r="22" spans="1:13" x14ac:dyDescent="0.25">
      <c r="A22" s="7" t="s">
        <v>322</v>
      </c>
      <c r="B22" s="8"/>
      <c r="C22" s="9"/>
      <c r="D22" s="9"/>
      <c r="E22" s="9"/>
      <c r="F22" s="9">
        <v>7</v>
      </c>
      <c r="G22" s="10">
        <f>SUM(F22)</f>
        <v>7</v>
      </c>
    </row>
    <row r="23" spans="1:13" x14ac:dyDescent="0.25">
      <c r="A23" s="4" t="s">
        <v>2</v>
      </c>
      <c r="B23" s="21">
        <v>0.375</v>
      </c>
      <c r="C23" s="12">
        <v>0.41666666666666669</v>
      </c>
      <c r="D23" s="12">
        <v>0.36805555555555558</v>
      </c>
      <c r="E23" s="12">
        <v>0.41666666666666669</v>
      </c>
      <c r="F23" s="12">
        <v>0.3611111111111111</v>
      </c>
      <c r="G23" s="13"/>
    </row>
    <row r="24" spans="1:13" x14ac:dyDescent="0.25">
      <c r="A24" s="4" t="s">
        <v>3</v>
      </c>
      <c r="B24" s="15">
        <v>70000</v>
      </c>
      <c r="C24" s="15">
        <v>80000</v>
      </c>
      <c r="D24" s="15">
        <v>40000</v>
      </c>
      <c r="E24" s="15" t="s">
        <v>96</v>
      </c>
      <c r="F24" s="15">
        <v>100000</v>
      </c>
      <c r="G24" s="16"/>
    </row>
    <row r="25" spans="1:13" x14ac:dyDescent="0.25">
      <c r="E25" t="s">
        <v>97</v>
      </c>
    </row>
  </sheetData>
  <mergeCells count="3">
    <mergeCell ref="A3:G3"/>
    <mergeCell ref="A1:G1"/>
    <mergeCell ref="A2:G2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3329-F709-4B85-B57E-892C265DC905}">
  <dimension ref="A1:F11"/>
  <sheetViews>
    <sheetView workbookViewId="0">
      <selection sqref="A1:F11"/>
    </sheetView>
  </sheetViews>
  <sheetFormatPr baseColWidth="10" defaultRowHeight="15" x14ac:dyDescent="0.25"/>
  <cols>
    <col min="1" max="1" width="37" customWidth="1"/>
    <col min="6" max="6" width="12" bestFit="1" customWidth="1"/>
  </cols>
  <sheetData>
    <row r="1" spans="1:6" ht="18.75" x14ac:dyDescent="0.3">
      <c r="A1" s="131" t="s">
        <v>202</v>
      </c>
      <c r="B1" s="132"/>
      <c r="C1" s="132"/>
      <c r="D1" s="132"/>
      <c r="E1" s="132"/>
      <c r="F1" s="135"/>
    </row>
    <row r="2" spans="1:6" ht="18.75" x14ac:dyDescent="0.3">
      <c r="A2" s="133" t="s">
        <v>203</v>
      </c>
      <c r="B2" s="134"/>
      <c r="C2" s="134"/>
      <c r="D2" s="134"/>
      <c r="E2" s="134"/>
      <c r="F2" s="136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13825</v>
      </c>
      <c r="C4" s="2">
        <v>13491</v>
      </c>
      <c r="D4" s="2"/>
      <c r="E4" s="2"/>
      <c r="F4" s="2" t="s">
        <v>1</v>
      </c>
    </row>
    <row r="5" spans="1:6" x14ac:dyDescent="0.25">
      <c r="A5" s="4"/>
      <c r="B5" s="5">
        <v>46210</v>
      </c>
      <c r="C5" s="35">
        <v>46217</v>
      </c>
      <c r="D5" s="5"/>
      <c r="E5" s="5"/>
      <c r="F5" s="5">
        <v>46173</v>
      </c>
    </row>
    <row r="6" spans="1:6" x14ac:dyDescent="0.25">
      <c r="A6" s="7" t="s">
        <v>56</v>
      </c>
      <c r="B6" s="8">
        <v>4</v>
      </c>
      <c r="C6" s="9">
        <v>-4</v>
      </c>
      <c r="D6" s="9"/>
      <c r="E6" s="9"/>
      <c r="F6" s="10">
        <f t="shared" ref="F6:F9" si="0">SUM(B6:E6)</f>
        <v>0</v>
      </c>
    </row>
    <row r="7" spans="1:6" x14ac:dyDescent="0.25">
      <c r="A7" s="7" t="s">
        <v>15</v>
      </c>
      <c r="B7" s="8">
        <v>10</v>
      </c>
      <c r="C7" s="9">
        <v>-10</v>
      </c>
      <c r="D7" s="9"/>
      <c r="E7" s="9"/>
      <c r="F7" s="10">
        <f t="shared" si="0"/>
        <v>0</v>
      </c>
    </row>
    <row r="8" spans="1:6" x14ac:dyDescent="0.25">
      <c r="A8" s="7" t="s">
        <v>41</v>
      </c>
      <c r="B8" s="8">
        <v>4</v>
      </c>
      <c r="C8" s="9">
        <v>-4</v>
      </c>
      <c r="D8" s="9"/>
      <c r="E8" s="9"/>
      <c r="F8" s="10">
        <f t="shared" si="0"/>
        <v>0</v>
      </c>
    </row>
    <row r="9" spans="1:6" x14ac:dyDescent="0.25">
      <c r="A9" s="7" t="s">
        <v>204</v>
      </c>
      <c r="B9" s="8">
        <v>5</v>
      </c>
      <c r="C9" s="9">
        <v>-5</v>
      </c>
      <c r="D9" s="9"/>
      <c r="E9" s="9"/>
      <c r="F9" s="10">
        <f t="shared" si="0"/>
        <v>0</v>
      </c>
    </row>
    <row r="10" spans="1:6" x14ac:dyDescent="0.25">
      <c r="A10" s="4" t="s">
        <v>2</v>
      </c>
      <c r="B10" s="11">
        <v>0.35416666666666669</v>
      </c>
      <c r="C10" s="12"/>
      <c r="D10" s="12"/>
      <c r="E10" s="12"/>
      <c r="F10" s="13"/>
    </row>
    <row r="11" spans="1:6" x14ac:dyDescent="0.25">
      <c r="A11" s="4" t="s">
        <v>3</v>
      </c>
      <c r="B11" s="16">
        <v>40000</v>
      </c>
      <c r="C11" s="15">
        <v>40000</v>
      </c>
      <c r="D11" s="15"/>
      <c r="E11" s="15"/>
      <c r="F11" s="16">
        <f>SUM(B11:C11)</f>
        <v>80000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AF14-7CB8-4344-BD0F-7F1FCB5050FA}">
  <dimension ref="A1:F12"/>
  <sheetViews>
    <sheetView workbookViewId="0">
      <selection activeCell="L11" sqref="L11"/>
    </sheetView>
  </sheetViews>
  <sheetFormatPr baseColWidth="10" defaultRowHeight="15" x14ac:dyDescent="0.25"/>
  <cols>
    <col min="1" max="1" width="37.42578125" customWidth="1"/>
  </cols>
  <sheetData>
    <row r="1" spans="1:6" ht="18.75" x14ac:dyDescent="0.3">
      <c r="A1" s="131" t="s">
        <v>315</v>
      </c>
      <c r="B1" s="132"/>
      <c r="C1" s="132"/>
      <c r="D1" s="132"/>
      <c r="E1" s="132"/>
      <c r="F1" s="135"/>
    </row>
    <row r="2" spans="1:6" ht="18.75" x14ac:dyDescent="0.3">
      <c r="A2" s="133" t="s">
        <v>316</v>
      </c>
      <c r="B2" s="134"/>
      <c r="C2" s="134"/>
      <c r="D2" s="134"/>
      <c r="E2" s="134"/>
      <c r="F2" s="136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13855</v>
      </c>
      <c r="C4" s="2"/>
      <c r="D4" s="2"/>
      <c r="E4" s="2"/>
      <c r="F4" s="2" t="s">
        <v>1</v>
      </c>
    </row>
    <row r="5" spans="1:6" x14ac:dyDescent="0.25">
      <c r="A5" s="4"/>
      <c r="B5" s="5">
        <v>46219</v>
      </c>
      <c r="C5" s="35"/>
      <c r="D5" s="5"/>
      <c r="E5" s="5"/>
      <c r="F5" s="5">
        <v>46173</v>
      </c>
    </row>
    <row r="6" spans="1:6" x14ac:dyDescent="0.25">
      <c r="A6" s="7" t="s">
        <v>92</v>
      </c>
      <c r="B6" s="8">
        <v>8</v>
      </c>
      <c r="C6" s="9"/>
      <c r="D6" s="9"/>
      <c r="E6" s="9"/>
      <c r="F6" s="10">
        <f t="shared" ref="F6:F9" si="0">SUM(B6:E6)</f>
        <v>8</v>
      </c>
    </row>
    <row r="7" spans="1:6" x14ac:dyDescent="0.25">
      <c r="A7" s="7" t="s">
        <v>317</v>
      </c>
      <c r="B7" s="8">
        <v>8</v>
      </c>
      <c r="C7" s="9"/>
      <c r="D7" s="9"/>
      <c r="E7" s="9"/>
      <c r="F7" s="10">
        <f t="shared" si="0"/>
        <v>8</v>
      </c>
    </row>
    <row r="8" spans="1:6" x14ac:dyDescent="0.25">
      <c r="A8" s="7" t="s">
        <v>318</v>
      </c>
      <c r="B8" s="8">
        <v>8</v>
      </c>
      <c r="C8" s="9"/>
      <c r="D8" s="9"/>
      <c r="E8" s="9"/>
      <c r="F8" s="10">
        <f t="shared" si="0"/>
        <v>8</v>
      </c>
    </row>
    <row r="9" spans="1:6" x14ac:dyDescent="0.25">
      <c r="A9" s="7" t="s">
        <v>14</v>
      </c>
      <c r="B9" s="8">
        <v>100</v>
      </c>
      <c r="C9" s="9"/>
      <c r="D9" s="9"/>
      <c r="E9" s="9"/>
      <c r="F9" s="10">
        <f t="shared" si="0"/>
        <v>100</v>
      </c>
    </row>
    <row r="10" spans="1:6" x14ac:dyDescent="0.25">
      <c r="A10" s="7" t="s">
        <v>15</v>
      </c>
      <c r="B10" s="8">
        <v>6</v>
      </c>
      <c r="C10" s="9"/>
      <c r="D10" s="9"/>
      <c r="E10" s="9"/>
      <c r="F10" s="10">
        <f>SUM(B10:E10)</f>
        <v>6</v>
      </c>
    </row>
    <row r="11" spans="1:6" x14ac:dyDescent="0.25">
      <c r="A11" s="4" t="s">
        <v>2</v>
      </c>
      <c r="B11" s="11">
        <v>0.46944444444444444</v>
      </c>
      <c r="C11" s="12"/>
      <c r="D11" s="12"/>
      <c r="E11" s="12"/>
      <c r="F11" s="13"/>
    </row>
    <row r="12" spans="1:6" x14ac:dyDescent="0.25">
      <c r="A12" s="4" t="s">
        <v>3</v>
      </c>
      <c r="B12" s="16" t="s">
        <v>319</v>
      </c>
      <c r="C12" s="15"/>
      <c r="D12" s="15"/>
      <c r="E12" s="15"/>
      <c r="F12" s="16">
        <f>SUM(B12:C12)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DA5B-8D21-420D-8511-B272C468B51A}">
  <dimension ref="A1:F12"/>
  <sheetViews>
    <sheetView workbookViewId="0">
      <selection activeCell="I18" sqref="I18"/>
    </sheetView>
  </sheetViews>
  <sheetFormatPr baseColWidth="10" defaultRowHeight="15" x14ac:dyDescent="0.25"/>
  <cols>
    <col min="1" max="1" width="34.7109375" bestFit="1" customWidth="1"/>
  </cols>
  <sheetData>
    <row r="1" spans="1:6" ht="18.75" x14ac:dyDescent="0.3">
      <c r="A1" s="131" t="s">
        <v>249</v>
      </c>
      <c r="B1" s="132"/>
      <c r="C1" s="132"/>
      <c r="D1" s="132"/>
      <c r="E1" s="132"/>
      <c r="F1" s="135"/>
    </row>
    <row r="2" spans="1:6" ht="18.75" x14ac:dyDescent="0.3">
      <c r="A2" s="133" t="s">
        <v>250</v>
      </c>
      <c r="B2" s="134"/>
      <c r="C2" s="134"/>
      <c r="D2" s="134"/>
      <c r="E2" s="134"/>
      <c r="F2" s="136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13837</v>
      </c>
      <c r="C4" s="2">
        <v>13484</v>
      </c>
      <c r="D4" s="2"/>
      <c r="E4" s="2"/>
      <c r="F4" s="2" t="s">
        <v>1</v>
      </c>
    </row>
    <row r="5" spans="1:6" x14ac:dyDescent="0.25">
      <c r="A5" s="4"/>
      <c r="B5" s="5">
        <v>46212</v>
      </c>
      <c r="C5" s="35">
        <v>46213</v>
      </c>
      <c r="D5" s="5"/>
      <c r="E5" s="5"/>
      <c r="F5" s="5">
        <v>46173</v>
      </c>
    </row>
    <row r="6" spans="1:6" x14ac:dyDescent="0.25">
      <c r="A6" s="7" t="s">
        <v>251</v>
      </c>
      <c r="B6" s="8">
        <v>1</v>
      </c>
      <c r="C6" s="9">
        <v>-1</v>
      </c>
      <c r="D6" s="9"/>
      <c r="E6" s="9"/>
      <c r="F6" s="10">
        <f t="shared" ref="F6:F9" si="0">SUM(B6:E6)</f>
        <v>0</v>
      </c>
    </row>
    <row r="7" spans="1:6" x14ac:dyDescent="0.25">
      <c r="A7" s="7"/>
      <c r="B7" s="8"/>
      <c r="C7" s="9"/>
      <c r="D7" s="9"/>
      <c r="E7" s="9"/>
      <c r="F7" s="10">
        <f t="shared" si="0"/>
        <v>0</v>
      </c>
    </row>
    <row r="8" spans="1:6" x14ac:dyDescent="0.25">
      <c r="A8" s="7"/>
      <c r="B8" s="8"/>
      <c r="C8" s="9"/>
      <c r="D8" s="9"/>
      <c r="E8" s="9"/>
      <c r="F8" s="10">
        <f t="shared" si="0"/>
        <v>0</v>
      </c>
    </row>
    <row r="9" spans="1:6" x14ac:dyDescent="0.25">
      <c r="A9" s="7"/>
      <c r="B9" s="8"/>
      <c r="C9" s="9"/>
      <c r="D9" s="9"/>
      <c r="E9" s="9"/>
      <c r="F9" s="10">
        <f t="shared" si="0"/>
        <v>0</v>
      </c>
    </row>
    <row r="10" spans="1:6" x14ac:dyDescent="0.25">
      <c r="A10" s="4" t="s">
        <v>2</v>
      </c>
      <c r="B10" s="11">
        <v>0.35416666666666669</v>
      </c>
      <c r="C10" s="12">
        <v>0.44444444444444442</v>
      </c>
      <c r="D10" s="12"/>
      <c r="E10" s="12"/>
      <c r="F10" s="13"/>
    </row>
    <row r="11" spans="1:6" x14ac:dyDescent="0.25">
      <c r="A11" s="4" t="s">
        <v>3</v>
      </c>
      <c r="B11" s="16" t="s">
        <v>252</v>
      </c>
      <c r="C11" s="15" t="s">
        <v>70</v>
      </c>
      <c r="D11" s="15"/>
      <c r="E11" s="15"/>
      <c r="F11" s="13"/>
    </row>
    <row r="12" spans="1:6" x14ac:dyDescent="0.25">
      <c r="A12" t="s">
        <v>253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D373-8584-40C6-BE2F-45EB377EA6B5}">
  <dimension ref="A1:F11"/>
  <sheetViews>
    <sheetView workbookViewId="0">
      <selection activeCell="F14" sqref="F14"/>
    </sheetView>
  </sheetViews>
  <sheetFormatPr baseColWidth="10" defaultRowHeight="15" x14ac:dyDescent="0.25"/>
  <cols>
    <col min="1" max="1" width="38.28515625" customWidth="1"/>
    <col min="2" max="2" width="15.5703125" customWidth="1"/>
  </cols>
  <sheetData>
    <row r="1" spans="1:6" ht="18.75" x14ac:dyDescent="0.3">
      <c r="A1" s="131" t="s">
        <v>255</v>
      </c>
      <c r="B1" s="132"/>
      <c r="C1" s="132"/>
      <c r="D1" s="132"/>
      <c r="E1" s="132"/>
      <c r="F1" s="135"/>
    </row>
    <row r="2" spans="1:6" ht="18.75" x14ac:dyDescent="0.3">
      <c r="A2" s="133" t="s">
        <v>256</v>
      </c>
      <c r="B2" s="134"/>
      <c r="C2" s="134"/>
      <c r="D2" s="134"/>
      <c r="E2" s="134"/>
      <c r="F2" s="136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13835</v>
      </c>
      <c r="C4" s="2">
        <v>13493</v>
      </c>
      <c r="D4" s="2"/>
      <c r="E4" s="2"/>
      <c r="F4" s="2" t="s">
        <v>1</v>
      </c>
    </row>
    <row r="5" spans="1:6" x14ac:dyDescent="0.25">
      <c r="A5" s="4"/>
      <c r="B5" s="5">
        <v>46212</v>
      </c>
      <c r="C5" s="35">
        <v>46217</v>
      </c>
      <c r="D5" s="5"/>
      <c r="E5" s="5"/>
      <c r="F5" s="5">
        <v>46173</v>
      </c>
    </row>
    <row r="6" spans="1:6" x14ac:dyDescent="0.25">
      <c r="A6" s="7" t="s">
        <v>207</v>
      </c>
      <c r="B6" s="8">
        <v>4</v>
      </c>
      <c r="C6" s="9">
        <v>-4</v>
      </c>
      <c r="D6" s="9"/>
      <c r="E6" s="9"/>
      <c r="F6" s="10">
        <f t="shared" ref="F6:F9" si="0">SUM(B6:E6)</f>
        <v>0</v>
      </c>
    </row>
    <row r="7" spans="1:6" x14ac:dyDescent="0.25">
      <c r="A7" s="7" t="s">
        <v>8</v>
      </c>
      <c r="B7" s="8">
        <v>4</v>
      </c>
      <c r="C7" s="9">
        <v>-4</v>
      </c>
      <c r="D7" s="9"/>
      <c r="E7" s="9"/>
      <c r="F7" s="10">
        <f t="shared" si="0"/>
        <v>0</v>
      </c>
    </row>
    <row r="8" spans="1:6" x14ac:dyDescent="0.25">
      <c r="A8" s="7" t="s">
        <v>254</v>
      </c>
      <c r="B8" s="8">
        <v>3</v>
      </c>
      <c r="C8" s="9">
        <v>-3</v>
      </c>
      <c r="D8" s="9"/>
      <c r="E8" s="9"/>
      <c r="F8" s="10">
        <f t="shared" si="0"/>
        <v>0</v>
      </c>
    </row>
    <row r="9" spans="1:6" x14ac:dyDescent="0.25">
      <c r="A9" s="7"/>
      <c r="B9" s="8"/>
      <c r="C9" s="9"/>
      <c r="D9" s="9"/>
      <c r="E9" s="9"/>
      <c r="F9" s="10">
        <f t="shared" si="0"/>
        <v>0</v>
      </c>
    </row>
    <row r="10" spans="1:6" x14ac:dyDescent="0.25">
      <c r="A10" s="4" t="s">
        <v>2</v>
      </c>
      <c r="B10" s="11">
        <v>0.32291666666666669</v>
      </c>
      <c r="C10" s="12">
        <v>0.11458333333333333</v>
      </c>
      <c r="D10" s="12"/>
      <c r="E10" s="12"/>
      <c r="F10" s="13"/>
    </row>
    <row r="11" spans="1:6" x14ac:dyDescent="0.25">
      <c r="A11" s="4" t="s">
        <v>3</v>
      </c>
      <c r="B11" s="16">
        <v>25000</v>
      </c>
      <c r="C11" s="15">
        <v>25000</v>
      </c>
      <c r="D11" s="15"/>
      <c r="E11" s="15"/>
      <c r="F11" s="1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55E7-1F07-43A8-A06D-BCEF3BF3DAC7}">
  <dimension ref="A1:L30"/>
  <sheetViews>
    <sheetView topLeftCell="A3" workbookViewId="0">
      <selection activeCell="H31" sqref="H31"/>
    </sheetView>
  </sheetViews>
  <sheetFormatPr baseColWidth="10" defaultRowHeight="15" x14ac:dyDescent="0.25"/>
  <cols>
    <col min="1" max="1" width="35.140625" customWidth="1"/>
    <col min="2" max="2" width="16.5703125" customWidth="1"/>
    <col min="3" max="3" width="13.28515625" customWidth="1"/>
    <col min="5" max="10" width="15.140625" customWidth="1"/>
    <col min="11" max="11" width="14.5703125" customWidth="1"/>
  </cols>
  <sheetData>
    <row r="1" spans="1:12" ht="18.75" x14ac:dyDescent="0.3">
      <c r="A1" s="131" t="s">
        <v>257</v>
      </c>
      <c r="B1" s="132"/>
      <c r="C1" s="132"/>
      <c r="D1" s="132"/>
      <c r="E1" s="132"/>
      <c r="F1" s="132"/>
      <c r="G1" s="132"/>
      <c r="H1" s="132"/>
      <c r="I1" s="132"/>
      <c r="J1" s="132"/>
      <c r="K1" s="135"/>
    </row>
    <row r="2" spans="1:12" ht="18.75" x14ac:dyDescent="0.3">
      <c r="A2" s="133" t="s">
        <v>258</v>
      </c>
      <c r="B2" s="134"/>
      <c r="C2" s="134"/>
      <c r="D2" s="134"/>
      <c r="E2" s="134"/>
      <c r="F2" s="134"/>
      <c r="G2" s="134"/>
      <c r="H2" s="134"/>
      <c r="I2" s="134"/>
      <c r="J2" s="134"/>
      <c r="K2" s="136"/>
    </row>
    <row r="3" spans="1:12" ht="18.75" x14ac:dyDescent="0.3">
      <c r="A3" s="133" t="s">
        <v>30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2" x14ac:dyDescent="0.25">
      <c r="A4" s="1" t="s">
        <v>0</v>
      </c>
      <c r="B4" s="2">
        <v>13834</v>
      </c>
      <c r="C4" s="2">
        <v>13842</v>
      </c>
      <c r="D4" s="2">
        <v>13849</v>
      </c>
      <c r="E4" s="2">
        <v>13851</v>
      </c>
      <c r="F4" s="2">
        <v>13501</v>
      </c>
      <c r="G4" s="2">
        <v>13861</v>
      </c>
      <c r="H4" s="2">
        <v>13511</v>
      </c>
      <c r="I4" s="2">
        <v>13871</v>
      </c>
      <c r="J4" s="2">
        <v>13519</v>
      </c>
      <c r="K4" s="2" t="s">
        <v>1</v>
      </c>
    </row>
    <row r="5" spans="1:12" x14ac:dyDescent="0.25">
      <c r="A5" s="4"/>
      <c r="B5" s="5">
        <v>46212</v>
      </c>
      <c r="C5" s="35">
        <v>46217</v>
      </c>
      <c r="D5" s="5">
        <v>46218</v>
      </c>
      <c r="E5" s="5">
        <v>46218</v>
      </c>
      <c r="F5" s="5">
        <v>46220</v>
      </c>
      <c r="G5" s="5">
        <v>46220</v>
      </c>
      <c r="H5" s="5">
        <v>46225</v>
      </c>
      <c r="I5" s="5">
        <v>46225</v>
      </c>
      <c r="J5" s="5">
        <v>46230</v>
      </c>
      <c r="K5" s="5">
        <v>46173</v>
      </c>
    </row>
    <row r="6" spans="1:12" x14ac:dyDescent="0.25">
      <c r="A6" s="7" t="s">
        <v>259</v>
      </c>
      <c r="B6" s="8">
        <v>46</v>
      </c>
      <c r="C6" s="9">
        <v>-46</v>
      </c>
      <c r="D6" s="9"/>
      <c r="E6" s="9"/>
      <c r="F6" s="9"/>
      <c r="G6" s="9"/>
      <c r="H6" s="9"/>
      <c r="I6" s="9"/>
      <c r="J6" s="9"/>
      <c r="K6" s="10">
        <f>SUM(B6:I6)</f>
        <v>0</v>
      </c>
    </row>
    <row r="7" spans="1:12" x14ac:dyDescent="0.25">
      <c r="A7" s="7" t="s">
        <v>25</v>
      </c>
      <c r="B7" s="8"/>
      <c r="C7" s="9">
        <v>20</v>
      </c>
      <c r="D7" s="9">
        <v>6</v>
      </c>
      <c r="E7" s="9"/>
      <c r="F7" s="9">
        <v>-20</v>
      </c>
      <c r="G7" s="9"/>
      <c r="H7" s="9"/>
      <c r="I7" s="9">
        <v>6</v>
      </c>
      <c r="J7" s="9"/>
      <c r="K7" s="10">
        <f t="shared" ref="K7:K9" si="0">SUM(B7:I7)</f>
        <v>12</v>
      </c>
    </row>
    <row r="8" spans="1:12" x14ac:dyDescent="0.25">
      <c r="A8" s="7" t="s">
        <v>80</v>
      </c>
      <c r="B8" s="8"/>
      <c r="C8" s="9">
        <v>20</v>
      </c>
      <c r="D8" s="9"/>
      <c r="E8" s="9"/>
      <c r="F8" s="9">
        <v>-20</v>
      </c>
      <c r="G8" s="9"/>
      <c r="H8" s="9"/>
      <c r="I8" s="9"/>
      <c r="J8" s="9"/>
      <c r="K8" s="10">
        <f t="shared" si="0"/>
        <v>0</v>
      </c>
    </row>
    <row r="9" spans="1:12" x14ac:dyDescent="0.25">
      <c r="A9" s="7" t="s">
        <v>92</v>
      </c>
      <c r="B9" s="8"/>
      <c r="C9" s="9"/>
      <c r="D9" s="9"/>
      <c r="E9" s="9"/>
      <c r="F9" s="9"/>
      <c r="G9" s="9"/>
      <c r="H9" s="9"/>
      <c r="I9" s="9">
        <v>2</v>
      </c>
      <c r="J9" s="9"/>
      <c r="K9" s="10">
        <f t="shared" si="0"/>
        <v>2</v>
      </c>
    </row>
    <row r="10" spans="1:12" x14ac:dyDescent="0.25">
      <c r="A10" s="7" t="s">
        <v>17</v>
      </c>
      <c r="B10" s="8"/>
      <c r="C10" s="9">
        <v>40</v>
      </c>
      <c r="D10" s="9">
        <v>12</v>
      </c>
      <c r="E10" s="9"/>
      <c r="F10" s="9">
        <v>-40</v>
      </c>
      <c r="G10" s="9"/>
      <c r="H10" s="9">
        <v>-4</v>
      </c>
      <c r="I10" s="9"/>
      <c r="J10" s="9"/>
      <c r="K10" s="10">
        <f t="shared" ref="K10:K28" si="1">SUM(B10:I10)</f>
        <v>8</v>
      </c>
    </row>
    <row r="11" spans="1:12" x14ac:dyDescent="0.25">
      <c r="A11" s="7" t="s">
        <v>15</v>
      </c>
      <c r="B11" s="8"/>
      <c r="C11" s="9">
        <v>10</v>
      </c>
      <c r="D11" s="9">
        <v>10</v>
      </c>
      <c r="E11" s="9">
        <v>30</v>
      </c>
      <c r="F11" s="9"/>
      <c r="G11" s="9">
        <v>50</v>
      </c>
      <c r="H11" s="9"/>
      <c r="I11" s="9"/>
      <c r="J11" s="9"/>
      <c r="K11" s="10">
        <f t="shared" si="1"/>
        <v>100</v>
      </c>
      <c r="L11" t="s">
        <v>346</v>
      </c>
    </row>
    <row r="12" spans="1:12" x14ac:dyDescent="0.25">
      <c r="A12" s="7" t="s">
        <v>14</v>
      </c>
      <c r="B12" s="8"/>
      <c r="C12" s="9">
        <v>400</v>
      </c>
      <c r="D12" s="9">
        <v>500</v>
      </c>
      <c r="E12" s="9"/>
      <c r="F12" s="9"/>
      <c r="G12" s="9"/>
      <c r="H12" s="9"/>
      <c r="I12" s="9"/>
      <c r="J12" s="9"/>
      <c r="K12" s="10">
        <f t="shared" si="1"/>
        <v>900</v>
      </c>
    </row>
    <row r="13" spans="1:12" x14ac:dyDescent="0.25">
      <c r="A13" s="7" t="s">
        <v>24</v>
      </c>
      <c r="B13" s="8"/>
      <c r="C13" s="9">
        <v>1</v>
      </c>
      <c r="D13" s="9">
        <v>1</v>
      </c>
      <c r="E13" s="9"/>
      <c r="F13" s="9"/>
      <c r="G13" s="9"/>
      <c r="H13" s="9">
        <v>-1</v>
      </c>
      <c r="I13" s="9"/>
      <c r="J13" s="9"/>
      <c r="K13" s="10">
        <f t="shared" si="1"/>
        <v>1</v>
      </c>
    </row>
    <row r="14" spans="1:12" x14ac:dyDescent="0.25">
      <c r="A14" s="7" t="s">
        <v>279</v>
      </c>
      <c r="B14" s="8"/>
      <c r="C14" s="9">
        <v>1</v>
      </c>
      <c r="D14" s="9">
        <v>1</v>
      </c>
      <c r="E14" s="9"/>
      <c r="F14" s="9"/>
      <c r="G14" s="9"/>
      <c r="H14" s="9"/>
      <c r="I14" s="9"/>
      <c r="J14" s="9"/>
      <c r="K14" s="10">
        <f t="shared" si="1"/>
        <v>2</v>
      </c>
    </row>
    <row r="15" spans="1:12" x14ac:dyDescent="0.25">
      <c r="A15" s="7" t="s">
        <v>20</v>
      </c>
      <c r="B15" s="8"/>
      <c r="C15" s="9"/>
      <c r="D15" s="9">
        <v>56</v>
      </c>
      <c r="E15" s="9"/>
      <c r="F15" s="9"/>
      <c r="G15" s="9">
        <v>100</v>
      </c>
      <c r="H15" s="9">
        <v>-9</v>
      </c>
      <c r="I15" s="9"/>
      <c r="J15" s="9"/>
      <c r="K15" s="10">
        <f t="shared" si="1"/>
        <v>147</v>
      </c>
    </row>
    <row r="16" spans="1:12" x14ac:dyDescent="0.25">
      <c r="A16" s="7" t="s">
        <v>81</v>
      </c>
      <c r="B16" s="8"/>
      <c r="C16" s="9"/>
      <c r="D16" s="9"/>
      <c r="E16" s="9"/>
      <c r="F16" s="9"/>
      <c r="G16" s="9"/>
      <c r="H16" s="9"/>
      <c r="I16" s="9">
        <v>12</v>
      </c>
      <c r="J16" s="9">
        <v>-7</v>
      </c>
      <c r="K16" s="10">
        <f>SUM(B16:J16)</f>
        <v>5</v>
      </c>
    </row>
    <row r="17" spans="1:11" x14ac:dyDescent="0.25">
      <c r="A17" s="7" t="s">
        <v>289</v>
      </c>
      <c r="B17" s="8"/>
      <c r="C17" s="9"/>
      <c r="D17" s="9"/>
      <c r="E17" s="9">
        <v>9</v>
      </c>
      <c r="F17" s="9"/>
      <c r="G17" s="9"/>
      <c r="H17" s="9"/>
      <c r="I17" s="9"/>
      <c r="J17" s="9"/>
      <c r="K17" s="10">
        <f t="shared" si="1"/>
        <v>9</v>
      </c>
    </row>
    <row r="18" spans="1:11" x14ac:dyDescent="0.25">
      <c r="A18" s="7" t="s">
        <v>290</v>
      </c>
      <c r="B18" s="8"/>
      <c r="C18" s="9"/>
      <c r="D18" s="9"/>
      <c r="E18" s="9">
        <v>2</v>
      </c>
      <c r="F18" s="9"/>
      <c r="G18" s="9"/>
      <c r="H18" s="9"/>
      <c r="I18" s="9"/>
      <c r="J18" s="9"/>
      <c r="K18" s="10">
        <f t="shared" si="1"/>
        <v>2</v>
      </c>
    </row>
    <row r="19" spans="1:11" x14ac:dyDescent="0.25">
      <c r="A19" s="7" t="s">
        <v>68</v>
      </c>
      <c r="B19" s="8"/>
      <c r="C19" s="9"/>
      <c r="D19" s="9"/>
      <c r="E19" s="9">
        <v>2</v>
      </c>
      <c r="F19" s="9"/>
      <c r="G19" s="9"/>
      <c r="H19" s="9"/>
      <c r="I19" s="9"/>
      <c r="J19" s="9"/>
      <c r="K19" s="10">
        <f t="shared" si="1"/>
        <v>2</v>
      </c>
    </row>
    <row r="20" spans="1:11" x14ac:dyDescent="0.25">
      <c r="A20" s="7" t="s">
        <v>7</v>
      </c>
      <c r="B20" s="8"/>
      <c r="C20" s="9"/>
      <c r="D20" s="9"/>
      <c r="E20" s="9">
        <v>4</v>
      </c>
      <c r="F20" s="9"/>
      <c r="G20" s="9"/>
      <c r="H20" s="9">
        <v>-4</v>
      </c>
      <c r="I20" s="9"/>
      <c r="J20" s="9"/>
      <c r="K20" s="10">
        <f t="shared" si="1"/>
        <v>0</v>
      </c>
    </row>
    <row r="21" spans="1:11" x14ac:dyDescent="0.25">
      <c r="A21" s="7" t="s">
        <v>75</v>
      </c>
      <c r="B21" s="8"/>
      <c r="C21" s="9"/>
      <c r="D21" s="9"/>
      <c r="E21" s="9">
        <v>4</v>
      </c>
      <c r="F21" s="9"/>
      <c r="G21" s="9"/>
      <c r="H21" s="9">
        <v>-4</v>
      </c>
      <c r="I21" s="9"/>
      <c r="J21" s="9"/>
      <c r="K21" s="10">
        <f t="shared" si="1"/>
        <v>0</v>
      </c>
    </row>
    <row r="22" spans="1:11" x14ac:dyDescent="0.25">
      <c r="A22" s="7" t="s">
        <v>110</v>
      </c>
      <c r="B22" s="8"/>
      <c r="C22" s="9"/>
      <c r="D22" s="9"/>
      <c r="E22" s="9">
        <v>2</v>
      </c>
      <c r="F22" s="9"/>
      <c r="G22" s="9"/>
      <c r="H22" s="9">
        <v>-2</v>
      </c>
      <c r="I22" s="9"/>
      <c r="J22" s="9"/>
      <c r="K22" s="10">
        <f t="shared" si="1"/>
        <v>0</v>
      </c>
    </row>
    <row r="23" spans="1:11" x14ac:dyDescent="0.25">
      <c r="A23" s="7" t="s">
        <v>32</v>
      </c>
      <c r="B23" s="8"/>
      <c r="C23" s="9"/>
      <c r="D23" s="9"/>
      <c r="E23" s="9">
        <v>50</v>
      </c>
      <c r="F23" s="9"/>
      <c r="G23" s="9"/>
      <c r="H23" s="9">
        <v>-13</v>
      </c>
      <c r="I23" s="9"/>
      <c r="J23" s="9"/>
      <c r="K23" s="10">
        <f t="shared" si="1"/>
        <v>37</v>
      </c>
    </row>
    <row r="24" spans="1:11" x14ac:dyDescent="0.25">
      <c r="A24" s="7" t="s">
        <v>139</v>
      </c>
      <c r="B24" s="8"/>
      <c r="C24" s="9"/>
      <c r="D24" s="9"/>
      <c r="E24" s="9">
        <v>500</v>
      </c>
      <c r="F24" s="9"/>
      <c r="G24" s="9"/>
      <c r="H24" s="9">
        <v>-200</v>
      </c>
      <c r="I24" s="9"/>
      <c r="J24" s="9"/>
      <c r="K24" s="10">
        <f t="shared" si="1"/>
        <v>300</v>
      </c>
    </row>
    <row r="25" spans="1:11" x14ac:dyDescent="0.25">
      <c r="A25" s="7" t="s">
        <v>291</v>
      </c>
      <c r="B25" s="8"/>
      <c r="C25" s="9"/>
      <c r="D25" s="9"/>
      <c r="E25" s="9">
        <v>1</v>
      </c>
      <c r="F25" s="9"/>
      <c r="G25" s="9"/>
      <c r="H25" s="9"/>
      <c r="I25" s="9"/>
      <c r="J25" s="9"/>
      <c r="K25" s="10">
        <f t="shared" si="1"/>
        <v>1</v>
      </c>
    </row>
    <row r="26" spans="1:11" x14ac:dyDescent="0.25">
      <c r="A26" s="7" t="s">
        <v>292</v>
      </c>
      <c r="B26" s="8"/>
      <c r="C26" s="9"/>
      <c r="D26" s="9"/>
      <c r="E26" s="9" t="s">
        <v>293</v>
      </c>
      <c r="F26" s="9"/>
      <c r="G26" s="9"/>
      <c r="H26" s="9"/>
      <c r="I26" s="9"/>
      <c r="J26" s="9"/>
      <c r="K26" s="10">
        <f t="shared" si="1"/>
        <v>0</v>
      </c>
    </row>
    <row r="27" spans="1:11" x14ac:dyDescent="0.25">
      <c r="A27" s="7" t="s">
        <v>26</v>
      </c>
      <c r="B27" s="8"/>
      <c r="C27" s="9"/>
      <c r="D27" s="9"/>
      <c r="E27" s="9"/>
      <c r="F27" s="9"/>
      <c r="G27" s="9">
        <v>24</v>
      </c>
      <c r="H27" s="9"/>
      <c r="I27" s="9"/>
      <c r="J27" s="9"/>
      <c r="K27" s="10">
        <f t="shared" si="1"/>
        <v>24</v>
      </c>
    </row>
    <row r="28" spans="1:11" x14ac:dyDescent="0.25">
      <c r="A28" s="7" t="s">
        <v>345</v>
      </c>
      <c r="B28" s="8"/>
      <c r="C28" s="9"/>
      <c r="D28" s="9"/>
      <c r="E28" s="9"/>
      <c r="F28" s="9"/>
      <c r="G28" s="9">
        <v>7</v>
      </c>
      <c r="H28" s="9"/>
      <c r="I28" s="9"/>
      <c r="J28" s="9"/>
      <c r="K28" s="10">
        <f t="shared" si="1"/>
        <v>7</v>
      </c>
    </row>
    <row r="29" spans="1:11" x14ac:dyDescent="0.25">
      <c r="A29" s="4" t="s">
        <v>2</v>
      </c>
      <c r="B29" s="11">
        <v>0.33333333333333331</v>
      </c>
      <c r="C29" s="12">
        <v>0.375</v>
      </c>
      <c r="D29" s="12">
        <v>0.33333333333333331</v>
      </c>
      <c r="E29" s="12">
        <v>0.45833333333333331</v>
      </c>
      <c r="F29" s="12">
        <v>0.125</v>
      </c>
      <c r="G29" s="12">
        <v>0.125</v>
      </c>
      <c r="H29" s="12">
        <v>0.39583333333333331</v>
      </c>
      <c r="I29" s="12">
        <v>0.38333333333333336</v>
      </c>
      <c r="J29" s="12">
        <v>0.4152777777777778</v>
      </c>
      <c r="K29" s="13"/>
    </row>
    <row r="30" spans="1:11" x14ac:dyDescent="0.25">
      <c r="A30" s="4" t="s">
        <v>3</v>
      </c>
      <c r="B30" s="16">
        <v>60000</v>
      </c>
      <c r="C30" s="15">
        <v>60000</v>
      </c>
      <c r="D30" s="15">
        <v>60000</v>
      </c>
      <c r="E30" s="15">
        <v>60000</v>
      </c>
      <c r="F30" s="15" t="s">
        <v>29</v>
      </c>
      <c r="G30" s="15">
        <v>200000</v>
      </c>
      <c r="H30" s="15">
        <v>60000</v>
      </c>
      <c r="I30" s="15" t="s">
        <v>380</v>
      </c>
      <c r="J30" s="15" t="s">
        <v>390</v>
      </c>
      <c r="K30" s="13"/>
    </row>
  </sheetData>
  <mergeCells count="3">
    <mergeCell ref="A1:K1"/>
    <mergeCell ref="A2:K2"/>
    <mergeCell ref="A3:K3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D884-A048-4FF6-8FC9-65B5EECD0AAA}">
  <dimension ref="A1:K54"/>
  <sheetViews>
    <sheetView topLeftCell="A37" workbookViewId="0">
      <selection activeCell="I46" sqref="I46"/>
    </sheetView>
  </sheetViews>
  <sheetFormatPr baseColWidth="10" defaultRowHeight="15" x14ac:dyDescent="0.25"/>
  <cols>
    <col min="1" max="1" width="35" customWidth="1"/>
    <col min="2" max="2" width="15.28515625" customWidth="1"/>
    <col min="5" max="5" width="20" customWidth="1"/>
    <col min="6" max="6" width="16.140625" customWidth="1"/>
    <col min="7" max="7" width="20.5703125" customWidth="1"/>
  </cols>
  <sheetData>
    <row r="1" spans="1:7" ht="18.75" x14ac:dyDescent="0.3">
      <c r="A1" s="131" t="s">
        <v>205</v>
      </c>
      <c r="B1" s="132"/>
      <c r="C1" s="132"/>
      <c r="D1" s="132"/>
      <c r="E1" s="132"/>
      <c r="F1" s="132"/>
      <c r="G1" s="132"/>
    </row>
    <row r="2" spans="1:7" ht="18.75" x14ac:dyDescent="0.3">
      <c r="A2" s="133" t="s">
        <v>206</v>
      </c>
      <c r="B2" s="134"/>
      <c r="C2" s="134"/>
      <c r="D2" s="134"/>
      <c r="E2" s="134"/>
      <c r="F2" s="134"/>
      <c r="G2" s="134"/>
    </row>
    <row r="3" spans="1:7" ht="18.75" x14ac:dyDescent="0.3">
      <c r="A3" s="133" t="s">
        <v>30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13725</v>
      </c>
      <c r="C4" s="2">
        <v>13821</v>
      </c>
      <c r="D4" s="2">
        <v>13823</v>
      </c>
      <c r="E4" s="2">
        <v>13844</v>
      </c>
      <c r="F4" s="2">
        <v>13499</v>
      </c>
      <c r="G4" s="2" t="s">
        <v>52</v>
      </c>
    </row>
    <row r="5" spans="1:7" x14ac:dyDescent="0.25">
      <c r="A5" s="4"/>
      <c r="B5" s="5">
        <v>46192</v>
      </c>
      <c r="C5" s="5">
        <v>46209</v>
      </c>
      <c r="D5" s="5">
        <v>46210</v>
      </c>
      <c r="E5" s="5">
        <v>46214</v>
      </c>
      <c r="F5" s="5">
        <v>46219</v>
      </c>
      <c r="G5" s="5">
        <v>46203</v>
      </c>
    </row>
    <row r="6" spans="1:7" x14ac:dyDescent="0.25">
      <c r="A6" s="7" t="s">
        <v>207</v>
      </c>
      <c r="B6" s="8">
        <v>2</v>
      </c>
      <c r="C6" s="9"/>
      <c r="D6" s="9"/>
      <c r="E6" s="9"/>
      <c r="F6" s="9"/>
      <c r="G6" s="103">
        <f>SUM(B6:F6)</f>
        <v>2</v>
      </c>
    </row>
    <row r="7" spans="1:7" x14ac:dyDescent="0.25">
      <c r="A7" s="7" t="s">
        <v>208</v>
      </c>
      <c r="B7" s="8">
        <v>2</v>
      </c>
      <c r="C7" s="9"/>
      <c r="D7" s="9"/>
      <c r="E7" s="9"/>
      <c r="F7" s="9"/>
      <c r="G7" s="103">
        <f t="shared" ref="G7:G16" si="0">SUM(B7:F7)</f>
        <v>2</v>
      </c>
    </row>
    <row r="8" spans="1:7" x14ac:dyDescent="0.25">
      <c r="A8" s="7" t="s">
        <v>80</v>
      </c>
      <c r="B8" s="8"/>
      <c r="C8" s="9">
        <v>6</v>
      </c>
      <c r="D8" s="9">
        <v>6</v>
      </c>
      <c r="E8" s="9"/>
      <c r="F8" s="9"/>
      <c r="G8" s="32">
        <f t="shared" si="0"/>
        <v>12</v>
      </c>
    </row>
    <row r="9" spans="1:7" x14ac:dyDescent="0.25">
      <c r="A9" s="7" t="s">
        <v>302</v>
      </c>
      <c r="B9" s="8"/>
      <c r="C9" s="9"/>
      <c r="D9" s="9"/>
      <c r="E9" s="9">
        <v>8</v>
      </c>
      <c r="F9" s="9"/>
      <c r="G9" s="32">
        <f t="shared" si="0"/>
        <v>8</v>
      </c>
    </row>
    <row r="10" spans="1:7" x14ac:dyDescent="0.25">
      <c r="A10" s="7" t="s">
        <v>209</v>
      </c>
      <c r="B10" s="8"/>
      <c r="C10" s="9">
        <v>200</v>
      </c>
      <c r="D10" s="9">
        <v>200</v>
      </c>
      <c r="E10" s="9"/>
      <c r="F10" s="9"/>
      <c r="G10" s="32">
        <f t="shared" si="0"/>
        <v>400</v>
      </c>
    </row>
    <row r="11" spans="1:7" x14ac:dyDescent="0.25">
      <c r="A11" s="7" t="s">
        <v>35</v>
      </c>
      <c r="B11" s="8"/>
      <c r="C11" s="9">
        <v>7</v>
      </c>
      <c r="D11" s="9">
        <v>7</v>
      </c>
      <c r="E11" s="9"/>
      <c r="F11" s="9">
        <v>-14</v>
      </c>
      <c r="G11" s="10">
        <f t="shared" si="0"/>
        <v>0</v>
      </c>
    </row>
    <row r="12" spans="1:7" x14ac:dyDescent="0.25">
      <c r="A12" s="7" t="s">
        <v>49</v>
      </c>
      <c r="B12" s="8"/>
      <c r="C12" s="9">
        <v>3</v>
      </c>
      <c r="D12" s="9"/>
      <c r="E12" s="9"/>
      <c r="F12" s="9">
        <v>-3</v>
      </c>
      <c r="G12" s="10">
        <f t="shared" si="0"/>
        <v>0</v>
      </c>
    </row>
    <row r="13" spans="1:7" x14ac:dyDescent="0.25">
      <c r="A13" s="7" t="s">
        <v>210</v>
      </c>
      <c r="B13" s="8"/>
      <c r="C13" s="9">
        <v>20</v>
      </c>
      <c r="D13" s="9">
        <v>20</v>
      </c>
      <c r="E13" s="9"/>
      <c r="F13" s="9">
        <v>-20</v>
      </c>
      <c r="G13" s="32">
        <f t="shared" si="0"/>
        <v>20</v>
      </c>
    </row>
    <row r="14" spans="1:7" x14ac:dyDescent="0.25">
      <c r="A14" s="7" t="s">
        <v>31</v>
      </c>
      <c r="B14" s="8"/>
      <c r="C14" s="9">
        <v>4</v>
      </c>
      <c r="D14" s="9">
        <v>2</v>
      </c>
      <c r="E14" s="9"/>
      <c r="F14" s="9">
        <v>-6</v>
      </c>
      <c r="G14" s="10">
        <f t="shared" si="0"/>
        <v>0</v>
      </c>
    </row>
    <row r="15" spans="1:7" x14ac:dyDescent="0.25">
      <c r="A15" s="7" t="s">
        <v>32</v>
      </c>
      <c r="B15" s="8"/>
      <c r="C15" s="9"/>
      <c r="D15" s="9">
        <v>20</v>
      </c>
      <c r="E15" s="9"/>
      <c r="F15" s="9">
        <v>-20</v>
      </c>
      <c r="G15" s="10">
        <f t="shared" si="0"/>
        <v>0</v>
      </c>
    </row>
    <row r="16" spans="1:7" x14ac:dyDescent="0.25">
      <c r="A16" s="7" t="s">
        <v>95</v>
      </c>
      <c r="B16" s="8"/>
      <c r="C16" s="9">
        <v>1</v>
      </c>
      <c r="D16" s="9"/>
      <c r="E16" s="9"/>
      <c r="F16" s="9"/>
      <c r="G16" s="29">
        <f t="shared" si="0"/>
        <v>1</v>
      </c>
    </row>
    <row r="17" spans="1:11" x14ac:dyDescent="0.25">
      <c r="A17" s="4" t="s">
        <v>2</v>
      </c>
      <c r="B17" s="21"/>
      <c r="C17" s="21">
        <v>0.125</v>
      </c>
      <c r="D17" s="12">
        <v>0.3263888888888889</v>
      </c>
      <c r="E17" s="12">
        <v>0.3125</v>
      </c>
      <c r="F17" s="12">
        <v>6.25E-2</v>
      </c>
      <c r="G17" s="13"/>
    </row>
    <row r="18" spans="1:11" x14ac:dyDescent="0.25">
      <c r="A18" s="4" t="s">
        <v>3</v>
      </c>
      <c r="B18" s="15"/>
      <c r="C18" s="15" t="s">
        <v>29</v>
      </c>
      <c r="D18" s="15" t="s">
        <v>29</v>
      </c>
      <c r="E18" s="15" t="s">
        <v>29</v>
      </c>
      <c r="F18" s="15" t="s">
        <v>29</v>
      </c>
      <c r="G18" s="16">
        <f t="shared" ref="G18" si="1">SUM(B18:E18)</f>
        <v>0</v>
      </c>
    </row>
    <row r="20" spans="1:11" ht="15.75" thickBot="1" x14ac:dyDescent="0.3"/>
    <row r="21" spans="1:11" ht="18.75" x14ac:dyDescent="0.3">
      <c r="A21" s="131" t="s">
        <v>205</v>
      </c>
      <c r="B21" s="132"/>
      <c r="C21" s="132"/>
      <c r="D21" s="132"/>
      <c r="E21" s="132"/>
      <c r="F21" s="132"/>
      <c r="G21" s="132"/>
    </row>
    <row r="22" spans="1:11" ht="18.75" x14ac:dyDescent="0.3">
      <c r="A22" s="133" t="s">
        <v>206</v>
      </c>
      <c r="B22" s="134"/>
      <c r="C22" s="134"/>
      <c r="D22" s="134"/>
      <c r="E22" s="134"/>
      <c r="F22" s="134"/>
      <c r="G22" s="134"/>
    </row>
    <row r="23" spans="1:11" ht="18.75" x14ac:dyDescent="0.3">
      <c r="A23" s="133" t="s">
        <v>30</v>
      </c>
      <c r="B23" s="134"/>
      <c r="C23" s="134"/>
      <c r="D23" s="134"/>
      <c r="E23" s="134"/>
      <c r="F23" s="134"/>
      <c r="G23" s="134"/>
    </row>
    <row r="24" spans="1:11" x14ac:dyDescent="0.25">
      <c r="A24" s="1" t="s">
        <v>0</v>
      </c>
      <c r="B24" s="2">
        <v>13856</v>
      </c>
      <c r="C24" s="5"/>
      <c r="D24" s="2"/>
      <c r="E24" s="2"/>
      <c r="F24" s="2"/>
      <c r="G24" s="2" t="s">
        <v>52</v>
      </c>
    </row>
    <row r="25" spans="1:11" x14ac:dyDescent="0.25">
      <c r="A25" s="4"/>
      <c r="B25" s="5">
        <v>46219</v>
      </c>
      <c r="C25" s="106"/>
      <c r="D25" s="5"/>
      <c r="E25" s="5"/>
      <c r="F25" s="5"/>
      <c r="G25" s="5">
        <v>46234</v>
      </c>
    </row>
    <row r="26" spans="1:11" x14ac:dyDescent="0.25">
      <c r="A26" s="7" t="s">
        <v>207</v>
      </c>
      <c r="B26" s="104">
        <v>2</v>
      </c>
      <c r="C26" s="9"/>
      <c r="D26" s="9"/>
      <c r="E26" s="9"/>
      <c r="F26" s="9"/>
      <c r="G26" s="103">
        <f>SUM(B26:F26)</f>
        <v>2</v>
      </c>
    </row>
    <row r="27" spans="1:11" x14ac:dyDescent="0.25">
      <c r="A27" s="7" t="s">
        <v>208</v>
      </c>
      <c r="B27" s="104">
        <v>2</v>
      </c>
      <c r="C27" s="9"/>
      <c r="D27" s="9"/>
      <c r="E27" s="9"/>
      <c r="F27" s="9"/>
      <c r="G27" s="103">
        <f t="shared" ref="G27:G35" si="2">SUM(B27:F27)</f>
        <v>2</v>
      </c>
    </row>
    <row r="28" spans="1:11" x14ac:dyDescent="0.25">
      <c r="A28" s="7" t="s">
        <v>92</v>
      </c>
      <c r="B28" s="8">
        <v>24</v>
      </c>
      <c r="C28" s="9"/>
      <c r="D28" s="9"/>
      <c r="E28" s="9"/>
      <c r="F28" s="9"/>
      <c r="G28" s="10">
        <f t="shared" si="2"/>
        <v>24</v>
      </c>
      <c r="K28" t="s">
        <v>321</v>
      </c>
    </row>
    <row r="29" spans="1:11" x14ac:dyDescent="0.25">
      <c r="A29" s="7" t="s">
        <v>80</v>
      </c>
      <c r="B29" s="8">
        <v>16</v>
      </c>
      <c r="C29" s="9"/>
      <c r="D29" s="9"/>
      <c r="E29" s="9"/>
      <c r="F29" s="9"/>
      <c r="G29" s="10">
        <f t="shared" si="2"/>
        <v>16</v>
      </c>
    </row>
    <row r="30" spans="1:11" x14ac:dyDescent="0.25">
      <c r="A30" s="7" t="s">
        <v>16</v>
      </c>
      <c r="B30" s="8">
        <v>32</v>
      </c>
      <c r="C30" s="9"/>
      <c r="D30" s="9"/>
      <c r="E30" s="9"/>
      <c r="F30" s="9"/>
      <c r="G30" s="10">
        <f t="shared" si="2"/>
        <v>32</v>
      </c>
    </row>
    <row r="31" spans="1:11" x14ac:dyDescent="0.25">
      <c r="A31" s="7" t="s">
        <v>17</v>
      </c>
      <c r="B31" s="8">
        <v>16</v>
      </c>
      <c r="C31" s="9"/>
      <c r="D31" s="9"/>
      <c r="E31" s="9"/>
      <c r="F31" s="9"/>
      <c r="G31" s="10">
        <f t="shared" si="2"/>
        <v>16</v>
      </c>
    </row>
    <row r="32" spans="1:11" x14ac:dyDescent="0.25">
      <c r="A32" s="7" t="s">
        <v>209</v>
      </c>
      <c r="B32" s="8">
        <v>500</v>
      </c>
      <c r="C32" s="9"/>
      <c r="D32" s="9"/>
      <c r="E32" s="9"/>
      <c r="F32" s="9"/>
      <c r="G32" s="10">
        <f t="shared" si="2"/>
        <v>500</v>
      </c>
    </row>
    <row r="33" spans="1:7" x14ac:dyDescent="0.25">
      <c r="A33" s="7" t="s">
        <v>28</v>
      </c>
      <c r="B33" s="8">
        <v>16</v>
      </c>
      <c r="C33" s="9"/>
      <c r="D33" s="9"/>
      <c r="E33" s="9"/>
      <c r="F33" s="9"/>
      <c r="G33" s="10">
        <f t="shared" si="2"/>
        <v>16</v>
      </c>
    </row>
    <row r="34" spans="1:7" x14ac:dyDescent="0.25">
      <c r="A34" s="7" t="s">
        <v>239</v>
      </c>
      <c r="B34" s="8">
        <v>6</v>
      </c>
      <c r="C34" s="9"/>
      <c r="D34" s="9"/>
      <c r="E34" s="9"/>
      <c r="F34" s="9"/>
      <c r="G34" s="10">
        <f t="shared" si="2"/>
        <v>6</v>
      </c>
    </row>
    <row r="35" spans="1:7" x14ac:dyDescent="0.25">
      <c r="A35" s="7" t="s">
        <v>320</v>
      </c>
      <c r="B35" s="8">
        <v>4</v>
      </c>
      <c r="C35" s="9"/>
      <c r="D35" s="9"/>
      <c r="E35" s="9"/>
      <c r="F35" s="9"/>
      <c r="G35" s="10">
        <f t="shared" si="2"/>
        <v>4</v>
      </c>
    </row>
    <row r="36" spans="1:7" x14ac:dyDescent="0.25">
      <c r="A36" s="7" t="s">
        <v>95</v>
      </c>
      <c r="B36" s="8">
        <v>1</v>
      </c>
      <c r="C36" s="9"/>
      <c r="D36" s="9"/>
      <c r="E36" s="9"/>
      <c r="F36" s="9"/>
      <c r="G36" s="29">
        <f t="shared" ref="G36:G37" si="3">SUM(B36:F36)</f>
        <v>1</v>
      </c>
    </row>
    <row r="37" spans="1:7" x14ac:dyDescent="0.25">
      <c r="A37" s="4" t="s">
        <v>2</v>
      </c>
      <c r="B37" s="105"/>
      <c r="C37" s="21"/>
      <c r="D37" s="12"/>
      <c r="E37" s="12"/>
      <c r="F37" s="12"/>
      <c r="G37" s="13">
        <f t="shared" si="3"/>
        <v>0</v>
      </c>
    </row>
    <row r="38" spans="1:7" x14ac:dyDescent="0.25">
      <c r="A38" s="4" t="s">
        <v>3</v>
      </c>
      <c r="B38" s="16">
        <v>60000</v>
      </c>
      <c r="C38" s="15"/>
      <c r="D38" s="15"/>
      <c r="E38" s="15"/>
      <c r="F38" s="15"/>
      <c r="G38" s="16"/>
    </row>
    <row r="40" spans="1:7" ht="15.75" thickBot="1" x14ac:dyDescent="0.3"/>
    <row r="41" spans="1:7" ht="18.75" x14ac:dyDescent="0.3">
      <c r="A41" s="131" t="s">
        <v>205</v>
      </c>
      <c r="B41" s="132"/>
      <c r="C41" s="132"/>
      <c r="D41" s="132"/>
      <c r="E41" s="132"/>
      <c r="F41" s="132"/>
      <c r="G41" s="132"/>
    </row>
    <row r="42" spans="1:7" ht="18.75" x14ac:dyDescent="0.3">
      <c r="A42" s="133" t="s">
        <v>206</v>
      </c>
      <c r="B42" s="134"/>
      <c r="C42" s="134"/>
      <c r="D42" s="134"/>
      <c r="E42" s="134"/>
      <c r="F42" s="134"/>
      <c r="G42" s="134"/>
    </row>
    <row r="43" spans="1:7" ht="18.75" x14ac:dyDescent="0.3">
      <c r="A43" s="133" t="s">
        <v>30</v>
      </c>
      <c r="B43" s="134"/>
      <c r="C43" s="134"/>
      <c r="D43" s="134"/>
      <c r="E43" s="134"/>
      <c r="F43" s="134"/>
      <c r="G43" s="134"/>
    </row>
    <row r="44" spans="1:7" x14ac:dyDescent="0.25">
      <c r="A44" s="1" t="s">
        <v>0</v>
      </c>
      <c r="B44" s="2">
        <v>13874</v>
      </c>
      <c r="C44" s="2">
        <v>13875</v>
      </c>
      <c r="D44" s="2"/>
      <c r="E44" s="2"/>
      <c r="F44" s="2"/>
      <c r="G44" s="2" t="s">
        <v>52</v>
      </c>
    </row>
    <row r="45" spans="1:7" x14ac:dyDescent="0.25">
      <c r="A45" s="4"/>
      <c r="B45" s="5">
        <v>46227</v>
      </c>
      <c r="C45" s="126">
        <v>46227</v>
      </c>
      <c r="D45" s="5"/>
      <c r="E45" s="5"/>
      <c r="F45" s="5"/>
      <c r="G45" s="5">
        <v>46234</v>
      </c>
    </row>
    <row r="46" spans="1:7" x14ac:dyDescent="0.25">
      <c r="A46" s="7" t="s">
        <v>382</v>
      </c>
      <c r="B46" s="8">
        <v>60</v>
      </c>
      <c r="C46" s="9">
        <v>38</v>
      </c>
      <c r="D46" s="9"/>
      <c r="E46" s="9"/>
      <c r="F46" s="9"/>
      <c r="G46" s="10">
        <f>SUM(B46:F46)</f>
        <v>98</v>
      </c>
    </row>
    <row r="47" spans="1:7" x14ac:dyDescent="0.25">
      <c r="A47" s="7" t="s">
        <v>26</v>
      </c>
      <c r="B47" s="8">
        <v>28</v>
      </c>
      <c r="C47" s="9">
        <v>19</v>
      </c>
      <c r="D47" s="9"/>
      <c r="E47" s="9"/>
      <c r="F47" s="9"/>
      <c r="G47" s="10">
        <f t="shared" ref="G47:G52" si="4">SUM(B47:F47)</f>
        <v>47</v>
      </c>
    </row>
    <row r="48" spans="1:7" x14ac:dyDescent="0.25">
      <c r="A48" s="7" t="s">
        <v>59</v>
      </c>
      <c r="B48" s="8">
        <v>50</v>
      </c>
      <c r="C48" s="9"/>
      <c r="D48" s="9"/>
      <c r="E48" s="9"/>
      <c r="F48" s="9"/>
      <c r="G48" s="10">
        <f t="shared" si="4"/>
        <v>50</v>
      </c>
    </row>
    <row r="49" spans="1:7" x14ac:dyDescent="0.25">
      <c r="A49" s="7" t="s">
        <v>383</v>
      </c>
      <c r="B49" s="8">
        <v>4</v>
      </c>
      <c r="C49" s="9"/>
      <c r="D49" s="9"/>
      <c r="E49" s="9"/>
      <c r="F49" s="9"/>
      <c r="G49" s="10">
        <f t="shared" si="4"/>
        <v>4</v>
      </c>
    </row>
    <row r="50" spans="1:7" x14ac:dyDescent="0.25">
      <c r="A50" s="7" t="s">
        <v>41</v>
      </c>
      <c r="B50" s="8"/>
      <c r="C50" s="9">
        <v>10</v>
      </c>
      <c r="D50" s="9"/>
      <c r="E50" s="9"/>
      <c r="F50" s="9"/>
      <c r="G50" s="10">
        <f t="shared" si="4"/>
        <v>10</v>
      </c>
    </row>
    <row r="51" spans="1:7" x14ac:dyDescent="0.25">
      <c r="A51" s="7" t="s">
        <v>28</v>
      </c>
      <c r="B51" s="8"/>
      <c r="C51" s="9">
        <v>40</v>
      </c>
      <c r="D51" s="9"/>
      <c r="E51" s="9"/>
      <c r="F51" s="9"/>
      <c r="G51" s="10">
        <f t="shared" si="4"/>
        <v>40</v>
      </c>
    </row>
    <row r="52" spans="1:7" x14ac:dyDescent="0.25">
      <c r="A52" s="7" t="s">
        <v>384</v>
      </c>
      <c r="B52" s="8"/>
      <c r="C52" s="9">
        <v>7</v>
      </c>
      <c r="D52" s="9"/>
      <c r="E52" s="9"/>
      <c r="F52" s="9"/>
      <c r="G52" s="10">
        <f t="shared" si="4"/>
        <v>7</v>
      </c>
    </row>
    <row r="53" spans="1:7" x14ac:dyDescent="0.25">
      <c r="A53" s="4" t="s">
        <v>2</v>
      </c>
      <c r="B53" s="105">
        <v>0.29166666666666669</v>
      </c>
      <c r="C53" s="21"/>
      <c r="D53" s="12"/>
      <c r="E53" s="12"/>
      <c r="F53" s="12"/>
      <c r="G53" s="13"/>
    </row>
    <row r="54" spans="1:7" x14ac:dyDescent="0.25">
      <c r="A54" s="4" t="s">
        <v>3</v>
      </c>
      <c r="B54" s="16">
        <v>160000</v>
      </c>
      <c r="C54" s="15"/>
      <c r="D54" s="15"/>
      <c r="E54" s="15"/>
      <c r="F54" s="15"/>
      <c r="G54" s="16"/>
    </row>
  </sheetData>
  <mergeCells count="9">
    <mergeCell ref="A41:G41"/>
    <mergeCell ref="A42:G42"/>
    <mergeCell ref="A43:G43"/>
    <mergeCell ref="A23:G23"/>
    <mergeCell ref="A1:G1"/>
    <mergeCell ref="A2:G2"/>
    <mergeCell ref="A3:G3"/>
    <mergeCell ref="A21:G21"/>
    <mergeCell ref="A22:G22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A4FE-B601-4746-AB98-954011C5B338}">
  <dimension ref="A1:G14"/>
  <sheetViews>
    <sheetView workbookViewId="0">
      <selection activeCell="F18" sqref="F18"/>
    </sheetView>
  </sheetViews>
  <sheetFormatPr baseColWidth="10" defaultRowHeight="15" x14ac:dyDescent="0.25"/>
  <cols>
    <col min="1" max="1" width="35" customWidth="1"/>
    <col min="2" max="2" width="13.42578125" customWidth="1"/>
    <col min="3" max="3" width="12.85546875" customWidth="1"/>
    <col min="4" max="4" width="13.42578125" customWidth="1"/>
    <col min="5" max="5" width="13.5703125" customWidth="1"/>
    <col min="6" max="6" width="14.42578125" customWidth="1"/>
    <col min="7" max="7" width="16.85546875" customWidth="1"/>
  </cols>
  <sheetData>
    <row r="1" spans="1:7" ht="18.75" x14ac:dyDescent="0.3">
      <c r="A1" s="131" t="s">
        <v>386</v>
      </c>
      <c r="B1" s="132"/>
      <c r="C1" s="132"/>
      <c r="D1" s="132"/>
      <c r="E1" s="132"/>
      <c r="F1" s="132"/>
      <c r="G1" s="132"/>
    </row>
    <row r="2" spans="1:7" ht="18.75" x14ac:dyDescent="0.3">
      <c r="A2" s="133" t="s">
        <v>387</v>
      </c>
      <c r="B2" s="134"/>
      <c r="C2" s="134"/>
      <c r="D2" s="134"/>
      <c r="E2" s="134"/>
      <c r="F2" s="134"/>
      <c r="G2" s="134"/>
    </row>
    <row r="3" spans="1:7" ht="18.75" x14ac:dyDescent="0.3">
      <c r="A3" s="133" t="s">
        <v>30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13873</v>
      </c>
      <c r="C4" s="2">
        <v>13509</v>
      </c>
      <c r="D4" s="2"/>
      <c r="E4" s="2"/>
      <c r="F4" s="2"/>
      <c r="G4" s="2" t="s">
        <v>52</v>
      </c>
    </row>
    <row r="5" spans="1:7" x14ac:dyDescent="0.25">
      <c r="A5" s="4"/>
      <c r="B5" s="5">
        <v>46226</v>
      </c>
      <c r="C5" s="126">
        <v>46230</v>
      </c>
      <c r="D5" s="5"/>
      <c r="E5" s="5"/>
      <c r="F5" s="5"/>
      <c r="G5" s="5">
        <v>46234</v>
      </c>
    </row>
    <row r="6" spans="1:7" x14ac:dyDescent="0.25">
      <c r="A6" s="7" t="s">
        <v>93</v>
      </c>
      <c r="B6" s="8">
        <v>12</v>
      </c>
      <c r="C6" s="9">
        <v>-12</v>
      </c>
      <c r="D6" s="9"/>
      <c r="E6" s="9"/>
      <c r="F6" s="9"/>
      <c r="G6" s="10">
        <f>SUM(B6:F6)</f>
        <v>0</v>
      </c>
    </row>
    <row r="7" spans="1:7" x14ac:dyDescent="0.25">
      <c r="A7" s="7" t="s">
        <v>92</v>
      </c>
      <c r="B7" s="8">
        <v>12</v>
      </c>
      <c r="C7" s="9">
        <v>-12</v>
      </c>
      <c r="D7" s="9"/>
      <c r="E7" s="9"/>
      <c r="F7" s="9"/>
      <c r="G7" s="10">
        <f t="shared" ref="G7:G14" si="0">SUM(B7:F7)</f>
        <v>0</v>
      </c>
    </row>
    <row r="8" spans="1:7" x14ac:dyDescent="0.25">
      <c r="A8" s="7" t="s">
        <v>16</v>
      </c>
      <c r="B8" s="8">
        <v>16</v>
      </c>
      <c r="C8" s="9">
        <v>-16</v>
      </c>
      <c r="D8" s="9"/>
      <c r="E8" s="9"/>
      <c r="F8" s="9"/>
      <c r="G8" s="10">
        <f t="shared" si="0"/>
        <v>0</v>
      </c>
    </row>
    <row r="9" spans="1:7" x14ac:dyDescent="0.25">
      <c r="A9" s="7" t="s">
        <v>388</v>
      </c>
      <c r="B9" s="8">
        <v>12</v>
      </c>
      <c r="C9" s="9">
        <v>-12</v>
      </c>
      <c r="D9" s="9"/>
      <c r="E9" s="9"/>
      <c r="F9" s="9"/>
      <c r="G9" s="10">
        <f t="shared" si="0"/>
        <v>0</v>
      </c>
    </row>
    <row r="10" spans="1:7" x14ac:dyDescent="0.25">
      <c r="A10" s="7" t="s">
        <v>14</v>
      </c>
      <c r="B10" s="8">
        <v>260</v>
      </c>
      <c r="C10" s="9">
        <v>-260</v>
      </c>
      <c r="D10" s="9"/>
      <c r="E10" s="9"/>
      <c r="F10" s="9"/>
      <c r="G10" s="10">
        <f t="shared" si="0"/>
        <v>0</v>
      </c>
    </row>
    <row r="11" spans="1:7" x14ac:dyDescent="0.25">
      <c r="A11" s="7" t="s">
        <v>389</v>
      </c>
      <c r="B11" s="8">
        <v>12</v>
      </c>
      <c r="C11" s="9">
        <v>-12</v>
      </c>
      <c r="D11" s="9"/>
      <c r="E11" s="9"/>
      <c r="F11" s="9"/>
      <c r="G11" s="10">
        <f t="shared" si="0"/>
        <v>0</v>
      </c>
    </row>
    <row r="12" spans="1:7" x14ac:dyDescent="0.25">
      <c r="A12" s="7" t="s">
        <v>84</v>
      </c>
      <c r="B12" s="8">
        <v>1</v>
      </c>
      <c r="C12" s="9">
        <v>-1</v>
      </c>
      <c r="D12" s="9"/>
      <c r="E12" s="9"/>
      <c r="F12" s="9"/>
      <c r="G12" s="10">
        <f t="shared" si="0"/>
        <v>0</v>
      </c>
    </row>
    <row r="13" spans="1:7" x14ac:dyDescent="0.25">
      <c r="A13" s="4" t="s">
        <v>2</v>
      </c>
      <c r="B13" s="105">
        <v>0.29166666666666669</v>
      </c>
      <c r="C13" s="21">
        <v>0.40972222222222221</v>
      </c>
      <c r="D13" s="12"/>
      <c r="E13" s="12"/>
      <c r="F13" s="12"/>
      <c r="G13" s="13">
        <f t="shared" si="0"/>
        <v>0.70138888888888884</v>
      </c>
    </row>
    <row r="14" spans="1:7" x14ac:dyDescent="0.25">
      <c r="A14" s="4" t="s">
        <v>3</v>
      </c>
      <c r="B14" s="16">
        <v>60000</v>
      </c>
      <c r="C14" s="15">
        <v>60000</v>
      </c>
      <c r="D14" s="15"/>
      <c r="E14" s="15"/>
      <c r="F14" s="15"/>
      <c r="G14" s="16">
        <f t="shared" si="0"/>
        <v>120000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5519-D58F-4815-B3F6-AF28E66AFBC0}">
  <dimension ref="A1:J21"/>
  <sheetViews>
    <sheetView topLeftCell="A3" workbookViewId="0">
      <selection activeCell="L14" sqref="L14"/>
    </sheetView>
  </sheetViews>
  <sheetFormatPr baseColWidth="10" defaultRowHeight="15" x14ac:dyDescent="0.25"/>
  <cols>
    <col min="1" max="1" width="24.5703125" customWidth="1"/>
  </cols>
  <sheetData>
    <row r="1" spans="1:10" ht="18.75" x14ac:dyDescent="0.3">
      <c r="A1" s="131" t="s">
        <v>196</v>
      </c>
      <c r="B1" s="132"/>
      <c r="C1" s="132"/>
      <c r="D1" s="132"/>
      <c r="E1" s="132"/>
      <c r="F1" s="132"/>
      <c r="G1" s="132"/>
      <c r="H1" s="132"/>
      <c r="I1" s="132"/>
      <c r="J1" s="135"/>
    </row>
    <row r="2" spans="1:10" ht="18.75" x14ac:dyDescent="0.3">
      <c r="A2" s="137" t="s">
        <v>12</v>
      </c>
      <c r="B2" s="134"/>
      <c r="C2" s="134"/>
      <c r="D2" s="134"/>
      <c r="E2" s="134"/>
      <c r="F2" s="134"/>
      <c r="G2" s="134"/>
      <c r="H2" s="134"/>
      <c r="I2" s="134"/>
      <c r="J2" s="136"/>
    </row>
    <row r="3" spans="1:10" ht="18.75" x14ac:dyDescent="0.3">
      <c r="A3" s="133" t="s">
        <v>197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x14ac:dyDescent="0.25">
      <c r="A4" s="1" t="s">
        <v>0</v>
      </c>
      <c r="B4" s="2">
        <v>13764</v>
      </c>
      <c r="C4" s="2">
        <v>13768</v>
      </c>
      <c r="D4" s="2">
        <v>13773</v>
      </c>
      <c r="E4" s="2">
        <v>13703</v>
      </c>
      <c r="F4" s="2">
        <v>13416</v>
      </c>
      <c r="G4" s="2">
        <v>13470</v>
      </c>
      <c r="H4" s="2">
        <v>13474</v>
      </c>
      <c r="I4" s="2">
        <v>13477</v>
      </c>
      <c r="J4" s="3" t="s">
        <v>1</v>
      </c>
    </row>
    <row r="5" spans="1:10" x14ac:dyDescent="0.25">
      <c r="A5" s="4"/>
      <c r="B5" s="5">
        <v>46174</v>
      </c>
      <c r="C5" s="5">
        <v>46175</v>
      </c>
      <c r="D5" s="5">
        <v>46175</v>
      </c>
      <c r="E5" s="5">
        <v>46185</v>
      </c>
      <c r="F5" s="5">
        <v>46192</v>
      </c>
      <c r="G5" s="5">
        <v>46209</v>
      </c>
      <c r="H5" s="5">
        <v>46210</v>
      </c>
      <c r="I5" s="5">
        <v>46211</v>
      </c>
      <c r="J5" s="6">
        <v>46203</v>
      </c>
    </row>
    <row r="6" spans="1:10" x14ac:dyDescent="0.25">
      <c r="A6" s="7" t="s">
        <v>26</v>
      </c>
      <c r="B6" s="8">
        <v>21</v>
      </c>
      <c r="C6" s="9"/>
      <c r="D6" s="9">
        <v>5</v>
      </c>
      <c r="E6" s="9"/>
      <c r="F6" s="9"/>
      <c r="G6" s="9"/>
      <c r="H6" s="9"/>
      <c r="I6" s="9">
        <v>-26</v>
      </c>
      <c r="J6" s="10">
        <f>SUM(B6:I6)</f>
        <v>0</v>
      </c>
    </row>
    <row r="7" spans="1:10" x14ac:dyDescent="0.25">
      <c r="A7" s="7" t="s">
        <v>20</v>
      </c>
      <c r="B7" s="8">
        <v>28</v>
      </c>
      <c r="C7" s="9">
        <v>56</v>
      </c>
      <c r="D7" s="9">
        <v>14</v>
      </c>
      <c r="E7" s="9"/>
      <c r="F7" s="9"/>
      <c r="G7" s="9">
        <v>-34</v>
      </c>
      <c r="H7" s="9">
        <v>-64</v>
      </c>
      <c r="I7" s="9"/>
      <c r="J7" s="10">
        <f t="shared" ref="J7:J19" si="0">SUM(B7:I7)</f>
        <v>0</v>
      </c>
    </row>
    <row r="8" spans="1:10" x14ac:dyDescent="0.25">
      <c r="A8" s="7" t="s">
        <v>198</v>
      </c>
      <c r="B8" s="8">
        <v>40</v>
      </c>
      <c r="C8" s="9"/>
      <c r="D8" s="9">
        <v>40</v>
      </c>
      <c r="E8" s="9"/>
      <c r="F8" s="9"/>
      <c r="G8" s="9">
        <v>-47</v>
      </c>
      <c r="H8" s="9"/>
      <c r="I8" s="9">
        <v>-33</v>
      </c>
      <c r="J8" s="10">
        <f t="shared" si="0"/>
        <v>0</v>
      </c>
    </row>
    <row r="9" spans="1:10" x14ac:dyDescent="0.25">
      <c r="A9" s="7" t="s">
        <v>136</v>
      </c>
      <c r="B9" s="8">
        <v>200</v>
      </c>
      <c r="C9" s="9">
        <v>400</v>
      </c>
      <c r="D9" s="9">
        <v>200</v>
      </c>
      <c r="E9" s="9">
        <v>300</v>
      </c>
      <c r="F9" s="9">
        <v>-300</v>
      </c>
      <c r="G9" s="9">
        <v>-300</v>
      </c>
      <c r="H9" s="9"/>
      <c r="I9" s="9">
        <v>-500</v>
      </c>
      <c r="J9" s="10">
        <f t="shared" si="0"/>
        <v>0</v>
      </c>
    </row>
    <row r="10" spans="1:10" x14ac:dyDescent="0.25">
      <c r="A10" s="7" t="s">
        <v>92</v>
      </c>
      <c r="B10" s="8"/>
      <c r="C10" s="9">
        <v>10</v>
      </c>
      <c r="D10" s="9"/>
      <c r="E10" s="9">
        <v>5</v>
      </c>
      <c r="F10" s="9"/>
      <c r="G10" s="9">
        <v>-11</v>
      </c>
      <c r="H10" s="9">
        <v>-5</v>
      </c>
      <c r="I10" s="9"/>
      <c r="J10" s="10">
        <f t="shared" si="0"/>
        <v>-1</v>
      </c>
    </row>
    <row r="11" spans="1:10" x14ac:dyDescent="0.25">
      <c r="A11" s="7" t="s">
        <v>166</v>
      </c>
      <c r="B11" s="8"/>
      <c r="C11" s="9">
        <v>7</v>
      </c>
      <c r="D11" s="9">
        <v>3</v>
      </c>
      <c r="E11" s="9"/>
      <c r="F11" s="9"/>
      <c r="G11" s="9">
        <v>-4</v>
      </c>
      <c r="H11" s="9">
        <v>-4</v>
      </c>
      <c r="I11" s="9"/>
      <c r="J11" s="10">
        <f t="shared" si="0"/>
        <v>2</v>
      </c>
    </row>
    <row r="12" spans="1:10" x14ac:dyDescent="0.25">
      <c r="A12" s="7" t="s">
        <v>21</v>
      </c>
      <c r="B12" s="8"/>
      <c r="C12" s="9">
        <v>31</v>
      </c>
      <c r="D12" s="9"/>
      <c r="E12" s="9">
        <v>4</v>
      </c>
      <c r="F12" s="9"/>
      <c r="G12" s="9">
        <v>-30</v>
      </c>
      <c r="H12" s="9">
        <v>-3</v>
      </c>
      <c r="I12" s="9"/>
      <c r="J12" s="10">
        <f t="shared" si="0"/>
        <v>2</v>
      </c>
    </row>
    <row r="13" spans="1:10" x14ac:dyDescent="0.25">
      <c r="A13" s="7" t="s">
        <v>25</v>
      </c>
      <c r="B13" s="8"/>
      <c r="C13" s="9">
        <v>10</v>
      </c>
      <c r="D13" s="9"/>
      <c r="E13" s="9"/>
      <c r="F13" s="9"/>
      <c r="G13" s="9">
        <v>-2</v>
      </c>
      <c r="H13" s="9">
        <v>-8</v>
      </c>
      <c r="I13" s="9"/>
      <c r="J13" s="10">
        <f t="shared" si="0"/>
        <v>0</v>
      </c>
    </row>
    <row r="14" spans="1:10" x14ac:dyDescent="0.25">
      <c r="A14" s="7" t="s">
        <v>84</v>
      </c>
      <c r="B14" s="8"/>
      <c r="C14" s="9">
        <v>1</v>
      </c>
      <c r="D14" s="9">
        <v>1</v>
      </c>
      <c r="E14" s="9"/>
      <c r="F14" s="9"/>
      <c r="G14" s="9">
        <v>-1</v>
      </c>
      <c r="H14" s="9"/>
      <c r="I14" s="9">
        <v>-1</v>
      </c>
      <c r="J14" s="10">
        <f t="shared" si="0"/>
        <v>0</v>
      </c>
    </row>
    <row r="15" spans="1:10" x14ac:dyDescent="0.25">
      <c r="A15" s="7" t="s">
        <v>199</v>
      </c>
      <c r="B15" s="8"/>
      <c r="C15" s="9">
        <v>1</v>
      </c>
      <c r="D15" s="9"/>
      <c r="E15" s="9"/>
      <c r="F15" s="9"/>
      <c r="G15" s="9">
        <v>-1</v>
      </c>
      <c r="H15" s="9"/>
      <c r="I15" s="9"/>
      <c r="J15" s="10">
        <f t="shared" si="0"/>
        <v>0</v>
      </c>
    </row>
    <row r="16" spans="1:10" x14ac:dyDescent="0.25">
      <c r="A16" s="7" t="s">
        <v>16</v>
      </c>
      <c r="B16" s="8"/>
      <c r="C16" s="9"/>
      <c r="D16" s="9"/>
      <c r="E16" s="9">
        <v>32</v>
      </c>
      <c r="F16" s="9">
        <v>-32</v>
      </c>
      <c r="G16" s="9"/>
      <c r="H16" s="9"/>
      <c r="I16" s="9"/>
      <c r="J16" s="10">
        <f t="shared" si="0"/>
        <v>0</v>
      </c>
    </row>
    <row r="17" spans="1:10" x14ac:dyDescent="0.25">
      <c r="A17" s="7" t="s">
        <v>17</v>
      </c>
      <c r="B17" s="8"/>
      <c r="C17" s="9"/>
      <c r="D17" s="9"/>
      <c r="E17" s="9">
        <v>16</v>
      </c>
      <c r="F17" s="9">
        <v>-16</v>
      </c>
      <c r="G17" s="9"/>
      <c r="H17" s="9"/>
      <c r="I17" s="9"/>
      <c r="J17" s="10">
        <f t="shared" si="0"/>
        <v>0</v>
      </c>
    </row>
    <row r="18" spans="1:10" x14ac:dyDescent="0.25">
      <c r="A18" s="7" t="s">
        <v>93</v>
      </c>
      <c r="B18" s="8"/>
      <c r="C18" s="9"/>
      <c r="D18" s="9"/>
      <c r="E18" s="9">
        <v>4</v>
      </c>
      <c r="F18" s="9">
        <v>-4</v>
      </c>
      <c r="G18" s="9"/>
      <c r="H18" s="9"/>
      <c r="I18" s="9"/>
      <c r="J18" s="10">
        <f t="shared" si="0"/>
        <v>0</v>
      </c>
    </row>
    <row r="19" spans="1:10" x14ac:dyDescent="0.25">
      <c r="A19" s="7" t="s">
        <v>200</v>
      </c>
      <c r="B19" s="8"/>
      <c r="C19" s="9"/>
      <c r="D19" s="9"/>
      <c r="E19" s="9">
        <v>2</v>
      </c>
      <c r="F19" s="9"/>
      <c r="G19" s="9">
        <v>-2</v>
      </c>
      <c r="H19" s="9"/>
      <c r="I19" s="9"/>
      <c r="J19" s="10">
        <f t="shared" si="0"/>
        <v>0</v>
      </c>
    </row>
    <row r="20" spans="1:10" x14ac:dyDescent="0.25">
      <c r="A20" s="4" t="s">
        <v>2</v>
      </c>
      <c r="B20" s="11">
        <v>0.4375</v>
      </c>
      <c r="C20" s="12">
        <v>0.33333333333333331</v>
      </c>
      <c r="D20" s="12">
        <v>5.2083333333333336E-2</v>
      </c>
      <c r="E20" s="12">
        <v>0.14583333333333334</v>
      </c>
      <c r="F20" s="12">
        <v>0.35416666666666669</v>
      </c>
      <c r="G20" s="12">
        <v>7.6388888888888895E-2</v>
      </c>
      <c r="H20" s="12">
        <v>0.44444444444444442</v>
      </c>
      <c r="I20" s="12">
        <v>0.30555555555555558</v>
      </c>
      <c r="J20" s="13"/>
    </row>
    <row r="21" spans="1:10" x14ac:dyDescent="0.25">
      <c r="A21" s="4" t="s">
        <v>3</v>
      </c>
      <c r="B21" s="14"/>
      <c r="C21" s="14"/>
      <c r="D21" s="15"/>
      <c r="E21" s="15">
        <v>45000</v>
      </c>
      <c r="F21" s="15">
        <v>45000</v>
      </c>
      <c r="G21" s="15" t="s">
        <v>201</v>
      </c>
      <c r="H21" s="15" t="s">
        <v>201</v>
      </c>
      <c r="I21" s="15"/>
      <c r="J21" s="16">
        <f>SUM(E21:F21)</f>
        <v>90000</v>
      </c>
    </row>
  </sheetData>
  <mergeCells count="3">
    <mergeCell ref="A1:J1"/>
    <mergeCell ref="A2:J2"/>
    <mergeCell ref="A3:J3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01BF-138A-4172-B567-6866697928AC}">
  <dimension ref="A1:F18"/>
  <sheetViews>
    <sheetView topLeftCell="A3" workbookViewId="0">
      <selection activeCell="I9" sqref="I9"/>
    </sheetView>
  </sheetViews>
  <sheetFormatPr baseColWidth="10" defaultRowHeight="15" x14ac:dyDescent="0.25"/>
  <cols>
    <col min="1" max="1" width="32.42578125" customWidth="1"/>
    <col min="2" max="2" width="15.7109375" customWidth="1"/>
    <col min="3" max="3" width="16.5703125" customWidth="1"/>
    <col min="4" max="4" width="15.7109375" customWidth="1"/>
    <col min="5" max="5" width="15.85546875" customWidth="1"/>
    <col min="6" max="6" width="17.5703125" customWidth="1"/>
  </cols>
  <sheetData>
    <row r="1" spans="1:6" ht="18.75" x14ac:dyDescent="0.3">
      <c r="A1" s="131" t="s">
        <v>113</v>
      </c>
      <c r="B1" s="132"/>
      <c r="C1" s="132"/>
      <c r="D1" s="132"/>
      <c r="E1" s="132"/>
      <c r="F1" s="132"/>
    </row>
    <row r="2" spans="1:6" ht="18.75" x14ac:dyDescent="0.3">
      <c r="A2" s="133" t="s">
        <v>114</v>
      </c>
      <c r="B2" s="134"/>
      <c r="C2" s="134"/>
      <c r="D2" s="134"/>
      <c r="E2" s="134"/>
      <c r="F2" s="134"/>
    </row>
    <row r="3" spans="1:6" ht="18.75" x14ac:dyDescent="0.3">
      <c r="A3" s="133" t="s">
        <v>30</v>
      </c>
      <c r="B3" s="134"/>
      <c r="C3" s="134"/>
      <c r="D3" s="134"/>
      <c r="E3" s="134"/>
      <c r="F3" s="134"/>
    </row>
    <row r="4" spans="1:6" x14ac:dyDescent="0.25">
      <c r="A4" s="1" t="s">
        <v>0</v>
      </c>
      <c r="B4" s="2">
        <v>13811</v>
      </c>
      <c r="C4" s="2">
        <v>13478</v>
      </c>
      <c r="D4" s="2">
        <v>13480</v>
      </c>
      <c r="E4" s="2"/>
      <c r="F4" s="2" t="s">
        <v>52</v>
      </c>
    </row>
    <row r="5" spans="1:6" x14ac:dyDescent="0.25">
      <c r="A5" s="4"/>
      <c r="B5" s="5">
        <v>46206</v>
      </c>
      <c r="C5" s="5">
        <v>46211</v>
      </c>
      <c r="D5" s="5">
        <v>46213</v>
      </c>
      <c r="E5" s="5"/>
      <c r="F5" s="5">
        <v>46234</v>
      </c>
    </row>
    <row r="6" spans="1:6" x14ac:dyDescent="0.25">
      <c r="A6" s="7" t="s">
        <v>115</v>
      </c>
      <c r="B6" s="8">
        <v>4</v>
      </c>
      <c r="C6" s="29">
        <v>-2</v>
      </c>
      <c r="D6" s="9">
        <v>-2</v>
      </c>
      <c r="E6" s="9"/>
      <c r="F6" s="10">
        <v>0</v>
      </c>
    </row>
    <row r="7" spans="1:6" x14ac:dyDescent="0.25">
      <c r="A7" s="7" t="s">
        <v>116</v>
      </c>
      <c r="B7" s="8">
        <v>4</v>
      </c>
      <c r="C7" s="29">
        <v>-4</v>
      </c>
      <c r="D7" s="9"/>
      <c r="E7" s="9"/>
      <c r="F7" s="10">
        <v>0</v>
      </c>
    </row>
    <row r="8" spans="1:6" x14ac:dyDescent="0.25">
      <c r="A8" s="7" t="s">
        <v>117</v>
      </c>
      <c r="B8" s="8">
        <v>2</v>
      </c>
      <c r="C8" s="29">
        <v>-2</v>
      </c>
      <c r="D8" s="9"/>
      <c r="E8" s="9"/>
      <c r="F8" s="10">
        <v>0</v>
      </c>
    </row>
    <row r="9" spans="1:6" x14ac:dyDescent="0.25">
      <c r="A9" s="7" t="s">
        <v>118</v>
      </c>
      <c r="B9" s="8">
        <v>2</v>
      </c>
      <c r="C9" s="9"/>
      <c r="D9" s="9">
        <v>-2</v>
      </c>
      <c r="E9" s="9"/>
      <c r="F9" s="10">
        <v>0</v>
      </c>
    </row>
    <row r="10" spans="1:6" x14ac:dyDescent="0.25">
      <c r="A10" s="7" t="s">
        <v>119</v>
      </c>
      <c r="B10" s="8">
        <v>1</v>
      </c>
      <c r="C10" s="9"/>
      <c r="D10" s="9">
        <v>-1</v>
      </c>
      <c r="E10" s="9"/>
      <c r="F10" s="10">
        <v>0</v>
      </c>
    </row>
    <row r="11" spans="1:6" x14ac:dyDescent="0.25">
      <c r="A11" s="7" t="s">
        <v>56</v>
      </c>
      <c r="B11" s="8">
        <v>6</v>
      </c>
      <c r="C11" s="29">
        <v>-5</v>
      </c>
      <c r="D11" s="9">
        <v>-1</v>
      </c>
      <c r="E11" s="9"/>
      <c r="F11" s="10">
        <v>0</v>
      </c>
    </row>
    <row r="12" spans="1:6" x14ac:dyDescent="0.25">
      <c r="A12" s="7" t="s">
        <v>120</v>
      </c>
      <c r="B12" s="8">
        <v>2</v>
      </c>
      <c r="C12" s="9"/>
      <c r="D12" s="9">
        <v>-2</v>
      </c>
      <c r="E12" s="9"/>
      <c r="F12" s="10">
        <v>0</v>
      </c>
    </row>
    <row r="13" spans="1:6" x14ac:dyDescent="0.25">
      <c r="A13" s="7" t="s">
        <v>26</v>
      </c>
      <c r="B13" s="8">
        <v>4</v>
      </c>
      <c r="C13" s="29">
        <v>-2</v>
      </c>
      <c r="D13" s="9">
        <v>-2</v>
      </c>
      <c r="E13" s="9"/>
      <c r="F13" s="10">
        <v>0</v>
      </c>
    </row>
    <row r="14" spans="1:6" x14ac:dyDescent="0.25">
      <c r="A14" s="7" t="s">
        <v>121</v>
      </c>
      <c r="B14" s="8">
        <v>1</v>
      </c>
      <c r="C14" s="9"/>
      <c r="D14" s="9">
        <v>-1</v>
      </c>
      <c r="E14" s="9"/>
      <c r="F14" s="10">
        <v>0</v>
      </c>
    </row>
    <row r="15" spans="1:6" x14ac:dyDescent="0.25">
      <c r="A15" s="7" t="s">
        <v>122</v>
      </c>
      <c r="B15" s="8">
        <v>1</v>
      </c>
      <c r="C15" s="9"/>
      <c r="D15" s="9">
        <v>-1</v>
      </c>
      <c r="E15" s="9"/>
      <c r="F15" s="10">
        <v>0</v>
      </c>
    </row>
    <row r="16" spans="1:6" x14ac:dyDescent="0.25">
      <c r="A16" s="7"/>
      <c r="B16" s="8"/>
      <c r="C16" s="9"/>
      <c r="D16" s="9"/>
      <c r="E16" s="9"/>
      <c r="F16" s="10">
        <v>0</v>
      </c>
    </row>
    <row r="17" spans="1:6" x14ac:dyDescent="0.25">
      <c r="A17" s="4" t="s">
        <v>2</v>
      </c>
      <c r="B17" s="83">
        <v>0.3125</v>
      </c>
      <c r="C17" s="12">
        <v>0.14861111111111111</v>
      </c>
      <c r="D17" s="12">
        <v>0.3576388888888889</v>
      </c>
      <c r="E17" s="12"/>
      <c r="F17" s="13"/>
    </row>
    <row r="18" spans="1:6" x14ac:dyDescent="0.25">
      <c r="A18" s="4" t="s">
        <v>3</v>
      </c>
      <c r="B18" s="81">
        <v>60000</v>
      </c>
      <c r="C18" s="81">
        <v>50000</v>
      </c>
      <c r="D18" s="81">
        <v>35000</v>
      </c>
      <c r="E18" s="81"/>
      <c r="F18" s="82">
        <v>145000</v>
      </c>
    </row>
  </sheetData>
  <mergeCells count="3">
    <mergeCell ref="A3:F3"/>
    <mergeCell ref="A1:F1"/>
    <mergeCell ref="A2:F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471-7E4C-4712-815E-429DB2D3E020}">
  <sheetPr>
    <pageSetUpPr fitToPage="1"/>
  </sheetPr>
  <dimension ref="A1:S22"/>
  <sheetViews>
    <sheetView topLeftCell="A3" workbookViewId="0">
      <selection activeCell="E23" sqref="E23"/>
    </sheetView>
  </sheetViews>
  <sheetFormatPr baseColWidth="10" defaultRowHeight="15" x14ac:dyDescent="0.25"/>
  <cols>
    <col min="1" max="1" width="39.140625" customWidth="1"/>
    <col min="3" max="5" width="11.140625" customWidth="1"/>
    <col min="6" max="6" width="11.42578125" customWidth="1"/>
  </cols>
  <sheetData>
    <row r="1" spans="1:19" ht="18.75" x14ac:dyDescent="0.3">
      <c r="A1" s="131" t="s">
        <v>98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2" spans="1:19" ht="18.75" x14ac:dyDescent="0.3">
      <c r="A2" s="133" t="s">
        <v>276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</row>
    <row r="3" spans="1:19" ht="18.75" x14ac:dyDescent="0.3">
      <c r="A3" s="133" t="s">
        <v>30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</row>
    <row r="4" spans="1:19" x14ac:dyDescent="0.25">
      <c r="A4" s="1" t="s">
        <v>0</v>
      </c>
      <c r="B4" s="2" t="s">
        <v>1</v>
      </c>
      <c r="C4" s="2">
        <v>13459</v>
      </c>
      <c r="D4" s="2">
        <v>13809</v>
      </c>
      <c r="E4" s="2">
        <v>13809</v>
      </c>
      <c r="F4" s="2">
        <v>13815</v>
      </c>
      <c r="G4" s="2">
        <v>13820</v>
      </c>
      <c r="H4" s="2">
        <v>13820</v>
      </c>
      <c r="I4" s="2">
        <v>13833</v>
      </c>
      <c r="J4" s="2">
        <v>13479</v>
      </c>
      <c r="K4" s="2">
        <v>13488</v>
      </c>
      <c r="L4" s="2">
        <v>13864</v>
      </c>
      <c r="M4" s="2">
        <v>13514</v>
      </c>
      <c r="N4" s="2">
        <v>13515</v>
      </c>
      <c r="O4" s="2">
        <v>13880</v>
      </c>
      <c r="P4" s="2" t="s">
        <v>52</v>
      </c>
    </row>
    <row r="5" spans="1:19" x14ac:dyDescent="0.25">
      <c r="A5" s="4"/>
      <c r="B5" s="5" t="s">
        <v>88</v>
      </c>
      <c r="C5" s="5">
        <v>46205</v>
      </c>
      <c r="D5" s="5">
        <v>46205</v>
      </c>
      <c r="E5" s="5">
        <v>46205</v>
      </c>
      <c r="F5" s="5">
        <v>46206</v>
      </c>
      <c r="G5" s="5">
        <v>46209</v>
      </c>
      <c r="H5" s="5">
        <v>46209</v>
      </c>
      <c r="I5" s="5">
        <v>46211</v>
      </c>
      <c r="J5" s="5">
        <v>46211</v>
      </c>
      <c r="K5" s="5">
        <v>46214</v>
      </c>
      <c r="L5" s="5">
        <v>46221</v>
      </c>
      <c r="M5" s="5">
        <v>46227</v>
      </c>
      <c r="N5" s="5">
        <v>46227</v>
      </c>
      <c r="O5" s="5">
        <v>46230</v>
      </c>
      <c r="P5" s="5">
        <v>46228</v>
      </c>
    </row>
    <row r="6" spans="1:19" x14ac:dyDescent="0.25">
      <c r="A6" s="17" t="s">
        <v>28</v>
      </c>
      <c r="B6" s="8">
        <v>2</v>
      </c>
      <c r="C6" s="24">
        <v>-2</v>
      </c>
      <c r="D6" s="24"/>
      <c r="E6" s="24"/>
      <c r="F6" s="24"/>
      <c r="G6" s="24">
        <v>2</v>
      </c>
      <c r="H6" s="24"/>
      <c r="I6" s="24"/>
      <c r="J6" s="24"/>
      <c r="K6" s="24"/>
      <c r="L6" s="24"/>
      <c r="M6" s="24"/>
      <c r="N6" s="24">
        <v>-2</v>
      </c>
      <c r="O6" s="24"/>
      <c r="P6" s="8">
        <f>SUM(B6:N6)</f>
        <v>0</v>
      </c>
    </row>
    <row r="7" spans="1:19" x14ac:dyDescent="0.25">
      <c r="A7" s="17" t="s">
        <v>123</v>
      </c>
      <c r="B7" s="8"/>
      <c r="C7" s="24"/>
      <c r="D7" s="24"/>
      <c r="E7" s="24"/>
      <c r="F7" s="24">
        <v>1</v>
      </c>
      <c r="G7" s="24"/>
      <c r="H7" s="24">
        <v>-1</v>
      </c>
      <c r="I7" s="24"/>
      <c r="J7" s="24"/>
      <c r="K7" s="24"/>
      <c r="L7" s="24"/>
      <c r="M7" s="24"/>
      <c r="N7" s="24"/>
      <c r="O7" s="24"/>
      <c r="P7" s="8">
        <f t="shared" ref="P7:P19" si="0">SUM(B7:N7)</f>
        <v>0</v>
      </c>
    </row>
    <row r="8" spans="1:19" x14ac:dyDescent="0.25">
      <c r="A8" s="7" t="s">
        <v>7</v>
      </c>
      <c r="B8" s="8">
        <v>4</v>
      </c>
      <c r="C8" s="9"/>
      <c r="D8" s="9"/>
      <c r="E8" s="9"/>
      <c r="F8" s="9"/>
      <c r="G8" s="9"/>
      <c r="H8" s="9"/>
      <c r="I8" s="9"/>
      <c r="J8" s="9"/>
      <c r="K8" s="9"/>
      <c r="L8" s="9">
        <v>6</v>
      </c>
      <c r="M8" s="9">
        <v>-8</v>
      </c>
      <c r="N8" s="9"/>
      <c r="O8" s="9"/>
      <c r="P8" s="8">
        <f t="shared" si="0"/>
        <v>2</v>
      </c>
    </row>
    <row r="9" spans="1:19" x14ac:dyDescent="0.25">
      <c r="A9" s="7" t="s">
        <v>8</v>
      </c>
      <c r="B9" s="8">
        <v>6</v>
      </c>
      <c r="C9" s="9"/>
      <c r="D9" s="9"/>
      <c r="E9" s="9"/>
      <c r="F9" s="9"/>
      <c r="G9" s="9"/>
      <c r="H9" s="9"/>
      <c r="I9" s="9"/>
      <c r="J9" s="9"/>
      <c r="K9" s="9">
        <v>-2</v>
      </c>
      <c r="L9" s="9">
        <v>6</v>
      </c>
      <c r="M9" s="9">
        <v>-8</v>
      </c>
      <c r="N9" s="9"/>
      <c r="O9" s="9"/>
      <c r="P9" s="8">
        <f t="shared" si="0"/>
        <v>2</v>
      </c>
      <c r="Q9" s="127"/>
      <c r="R9" s="127"/>
      <c r="S9" s="127"/>
    </row>
    <row r="10" spans="1:19" x14ac:dyDescent="0.25">
      <c r="A10" s="7" t="s">
        <v>99</v>
      </c>
      <c r="B10" s="8">
        <v>3</v>
      </c>
      <c r="C10" s="9"/>
      <c r="D10" s="9"/>
      <c r="E10" s="9"/>
      <c r="F10" s="9"/>
      <c r="G10" s="9"/>
      <c r="H10" s="9"/>
      <c r="I10" s="9"/>
      <c r="J10" s="9"/>
      <c r="K10" s="9">
        <v>-1</v>
      </c>
      <c r="L10" s="9">
        <v>5</v>
      </c>
      <c r="M10" s="9">
        <v>-2</v>
      </c>
      <c r="N10" s="9">
        <v>-4</v>
      </c>
      <c r="O10" s="9"/>
      <c r="P10" s="8">
        <f t="shared" si="0"/>
        <v>1</v>
      </c>
      <c r="Q10" s="127"/>
      <c r="R10" s="127"/>
      <c r="S10" s="127"/>
    </row>
    <row r="11" spans="1:19" x14ac:dyDescent="0.25">
      <c r="A11" s="7" t="s">
        <v>124</v>
      </c>
      <c r="B11" s="8"/>
      <c r="C11" s="9"/>
      <c r="D11" s="9">
        <v>2</v>
      </c>
      <c r="E11" s="9">
        <v>-2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8">
        <f t="shared" si="0"/>
        <v>0</v>
      </c>
    </row>
    <row r="12" spans="1:19" x14ac:dyDescent="0.25">
      <c r="A12" s="7" t="s">
        <v>8</v>
      </c>
      <c r="B12" s="8"/>
      <c r="C12" s="9"/>
      <c r="D12" s="9">
        <v>2</v>
      </c>
      <c r="E12" s="9">
        <v>-2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8">
        <f t="shared" si="0"/>
        <v>0</v>
      </c>
    </row>
    <row r="13" spans="1:19" x14ac:dyDescent="0.25">
      <c r="A13" s="7" t="s">
        <v>100</v>
      </c>
      <c r="B13" s="8">
        <v>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>
        <v>-1</v>
      </c>
      <c r="O13" s="9"/>
      <c r="P13" s="8">
        <f t="shared" si="0"/>
        <v>0</v>
      </c>
    </row>
    <row r="14" spans="1:19" x14ac:dyDescent="0.25">
      <c r="A14" s="7" t="s">
        <v>101</v>
      </c>
      <c r="B14" s="8">
        <v>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>
        <v>-4</v>
      </c>
      <c r="O14" s="9">
        <v>4</v>
      </c>
      <c r="P14" s="8">
        <f>SUM(B14:O14)</f>
        <v>4</v>
      </c>
    </row>
    <row r="15" spans="1:19" x14ac:dyDescent="0.25">
      <c r="A15" s="7" t="s">
        <v>244</v>
      </c>
      <c r="B15" s="8"/>
      <c r="C15" s="9"/>
      <c r="D15" s="9"/>
      <c r="E15" s="9"/>
      <c r="F15" s="9"/>
      <c r="G15" s="9"/>
      <c r="H15" s="9"/>
      <c r="I15" s="9">
        <v>1</v>
      </c>
      <c r="J15" s="9">
        <v>-1</v>
      </c>
      <c r="K15" s="9"/>
      <c r="L15" s="9"/>
      <c r="M15" s="9"/>
      <c r="N15" s="9"/>
      <c r="O15" s="9"/>
      <c r="P15" s="8">
        <f t="shared" si="0"/>
        <v>0</v>
      </c>
      <c r="S15" t="s">
        <v>97</v>
      </c>
    </row>
    <row r="16" spans="1:19" x14ac:dyDescent="0.25">
      <c r="A16" s="31" t="s">
        <v>102</v>
      </c>
      <c r="B16" s="8">
        <v>3</v>
      </c>
      <c r="C16" s="9">
        <v>-1</v>
      </c>
      <c r="D16" s="9"/>
      <c r="E16" s="9"/>
      <c r="F16" s="9"/>
      <c r="G16" s="9"/>
      <c r="H16" s="9"/>
      <c r="I16" s="9"/>
      <c r="J16" s="9"/>
      <c r="K16" s="9">
        <v>-2</v>
      </c>
      <c r="L16" s="9"/>
      <c r="M16" s="9"/>
      <c r="N16" s="9"/>
      <c r="O16" s="9"/>
      <c r="P16" s="8">
        <f t="shared" si="0"/>
        <v>0</v>
      </c>
    </row>
    <row r="17" spans="1:19" x14ac:dyDescent="0.25">
      <c r="A17" s="31" t="s">
        <v>56</v>
      </c>
      <c r="B17" s="8">
        <v>5</v>
      </c>
      <c r="C17" s="9"/>
      <c r="D17" s="9"/>
      <c r="E17" s="9"/>
      <c r="F17" s="9"/>
      <c r="G17" s="9"/>
      <c r="H17" s="9">
        <v>-2</v>
      </c>
      <c r="I17" s="9"/>
      <c r="J17" s="9"/>
      <c r="K17" s="9">
        <v>-3</v>
      </c>
      <c r="L17" s="9"/>
      <c r="M17" s="9"/>
      <c r="N17" s="9"/>
      <c r="O17" s="9"/>
      <c r="P17" s="8">
        <f t="shared" si="0"/>
        <v>0</v>
      </c>
    </row>
    <row r="18" spans="1:19" x14ac:dyDescent="0.25">
      <c r="A18" s="31" t="s">
        <v>103</v>
      </c>
      <c r="B18" s="8">
        <v>2</v>
      </c>
      <c r="C18" s="9"/>
      <c r="D18" s="9"/>
      <c r="E18" s="9"/>
      <c r="F18" s="9"/>
      <c r="G18" s="9"/>
      <c r="H18" s="9">
        <v>-2</v>
      </c>
      <c r="I18" s="9"/>
      <c r="J18" s="9"/>
      <c r="K18" s="9"/>
      <c r="L18" s="9"/>
      <c r="M18" s="9"/>
      <c r="N18" s="9"/>
      <c r="O18" s="9"/>
      <c r="P18" s="8">
        <f t="shared" si="0"/>
        <v>0</v>
      </c>
    </row>
    <row r="19" spans="1:19" x14ac:dyDescent="0.25">
      <c r="A19" s="31" t="s">
        <v>104</v>
      </c>
      <c r="B19" s="8">
        <v>4</v>
      </c>
      <c r="C19" s="9"/>
      <c r="D19" s="9"/>
      <c r="E19" s="9"/>
      <c r="F19" s="9"/>
      <c r="G19" s="9"/>
      <c r="H19" s="9">
        <v>-4</v>
      </c>
      <c r="I19" s="9"/>
      <c r="J19" s="9"/>
      <c r="K19" s="9"/>
      <c r="L19" s="9"/>
      <c r="M19" s="9"/>
      <c r="N19" s="9"/>
      <c r="O19" s="9"/>
      <c r="P19" s="8">
        <f t="shared" si="0"/>
        <v>0</v>
      </c>
    </row>
    <row r="20" spans="1:19" x14ac:dyDescent="0.25">
      <c r="A20" s="4" t="s">
        <v>2</v>
      </c>
      <c r="B20" s="33">
        <f>SUM(B8:B19)</f>
        <v>32</v>
      </c>
      <c r="C20" s="12">
        <v>0.47222222222222221</v>
      </c>
      <c r="D20" s="12">
        <v>0.4375</v>
      </c>
      <c r="E20" s="12">
        <v>0.15347222222222223</v>
      </c>
      <c r="F20" s="12">
        <v>0.46527777777777779</v>
      </c>
      <c r="G20" s="12">
        <v>8.3333333333333329E-2</v>
      </c>
      <c r="H20" s="12">
        <v>8.3333333333333329E-2</v>
      </c>
      <c r="I20" s="12">
        <v>0.38194444444444442</v>
      </c>
      <c r="J20" s="12">
        <v>0.1986111111111111</v>
      </c>
      <c r="K20" s="12">
        <v>0.40972222222222221</v>
      </c>
      <c r="L20" s="12">
        <v>0.40972222222222221</v>
      </c>
      <c r="M20" s="12">
        <v>0.43055555555555558</v>
      </c>
      <c r="N20" s="12">
        <v>0.15625</v>
      </c>
      <c r="O20" s="12">
        <v>0.15277777777777779</v>
      </c>
      <c r="P20" s="13"/>
    </row>
    <row r="21" spans="1:19" x14ac:dyDescent="0.25">
      <c r="A21" s="4" t="s">
        <v>3</v>
      </c>
      <c r="B21" s="34"/>
      <c r="C21" s="15" t="s">
        <v>105</v>
      </c>
      <c r="D21" s="15" t="s">
        <v>70</v>
      </c>
      <c r="E21" s="15" t="s">
        <v>70</v>
      </c>
      <c r="F21" s="15" t="s">
        <v>70</v>
      </c>
      <c r="G21" s="15"/>
      <c r="H21" s="15">
        <v>20000</v>
      </c>
      <c r="I21" s="15" t="s">
        <v>70</v>
      </c>
      <c r="J21" s="15" t="s">
        <v>70</v>
      </c>
      <c r="K21" s="15">
        <v>20000</v>
      </c>
      <c r="L21" s="15" t="s">
        <v>354</v>
      </c>
      <c r="M21" s="15" t="s">
        <v>381</v>
      </c>
      <c r="N21" s="15">
        <v>20000</v>
      </c>
      <c r="O21" s="15" t="s">
        <v>390</v>
      </c>
      <c r="P21" s="16"/>
      <c r="S21" t="s">
        <v>245</v>
      </c>
    </row>
    <row r="22" spans="1:19" x14ac:dyDescent="0.25">
      <c r="A22" s="101" t="s">
        <v>385</v>
      </c>
    </row>
  </sheetData>
  <mergeCells count="3">
    <mergeCell ref="A1:P1"/>
    <mergeCell ref="A2:P2"/>
    <mergeCell ref="A3:P3"/>
  </mergeCells>
  <pageMargins left="0.7" right="0.7" top="0.75" bottom="0.75" header="0.3" footer="0.3"/>
  <pageSetup paperSize="9" scale="59" orientation="landscape" horizontalDpi="0" verticalDpi="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EE98-0B5B-42D1-A8A0-E3FF1DBB0656}">
  <dimension ref="A1:F10"/>
  <sheetViews>
    <sheetView workbookViewId="0">
      <selection activeCell="E15" sqref="E15"/>
    </sheetView>
  </sheetViews>
  <sheetFormatPr baseColWidth="10" defaultRowHeight="15" x14ac:dyDescent="0.25"/>
  <cols>
    <col min="1" max="1" width="31" bestFit="1" customWidth="1"/>
  </cols>
  <sheetData>
    <row r="1" spans="1:6" ht="18.75" x14ac:dyDescent="0.3">
      <c r="A1" s="138" t="s">
        <v>71</v>
      </c>
      <c r="B1" s="134"/>
      <c r="C1" s="134"/>
      <c r="D1" s="134"/>
      <c r="E1" s="134"/>
      <c r="F1" s="139"/>
    </row>
    <row r="2" spans="1:6" ht="18.75" x14ac:dyDescent="0.3">
      <c r="A2" s="138" t="s">
        <v>72</v>
      </c>
      <c r="B2" s="134"/>
      <c r="C2" s="134"/>
      <c r="D2" s="134"/>
      <c r="E2" s="134"/>
      <c r="F2" s="139"/>
    </row>
    <row r="3" spans="1:6" ht="18.75" x14ac:dyDescent="0.3">
      <c r="A3" s="138" t="s">
        <v>73</v>
      </c>
      <c r="B3" s="134"/>
      <c r="C3" s="134"/>
      <c r="D3" s="134"/>
      <c r="E3" s="134"/>
      <c r="F3" s="139"/>
    </row>
    <row r="4" spans="1:6" x14ac:dyDescent="0.25">
      <c r="A4" s="140" t="s">
        <v>0</v>
      </c>
      <c r="B4" s="22">
        <v>13792</v>
      </c>
      <c r="C4" s="13">
        <v>13472</v>
      </c>
      <c r="D4" s="13"/>
      <c r="E4" s="13"/>
      <c r="F4" s="22" t="s">
        <v>52</v>
      </c>
    </row>
    <row r="5" spans="1:6" x14ac:dyDescent="0.25">
      <c r="A5" s="141"/>
      <c r="B5" s="5" t="s">
        <v>1</v>
      </c>
      <c r="C5" s="5">
        <v>46209</v>
      </c>
      <c r="D5" s="5"/>
      <c r="E5" s="5"/>
      <c r="F5" s="5">
        <v>46234</v>
      </c>
    </row>
    <row r="6" spans="1:6" x14ac:dyDescent="0.25">
      <c r="A6" s="17" t="s">
        <v>74</v>
      </c>
      <c r="B6" s="23">
        <v>1</v>
      </c>
      <c r="C6" s="24">
        <v>-1</v>
      </c>
      <c r="D6" s="24"/>
      <c r="E6" s="24"/>
      <c r="F6" s="10">
        <f t="shared" ref="F6:F10" si="0">SUM(B6:E6)</f>
        <v>0</v>
      </c>
    </row>
    <row r="7" spans="1:6" x14ac:dyDescent="0.25">
      <c r="A7" s="17" t="s">
        <v>7</v>
      </c>
      <c r="B7" s="23">
        <v>6</v>
      </c>
      <c r="C7" s="24">
        <v>-6</v>
      </c>
      <c r="D7" s="24"/>
      <c r="E7" s="24"/>
      <c r="F7" s="10">
        <f t="shared" si="0"/>
        <v>0</v>
      </c>
    </row>
    <row r="8" spans="1:6" x14ac:dyDescent="0.25">
      <c r="A8" s="17" t="s">
        <v>75</v>
      </c>
      <c r="B8" s="23">
        <v>6</v>
      </c>
      <c r="C8" s="24">
        <v>-6</v>
      </c>
      <c r="D8" s="24"/>
      <c r="E8" s="24"/>
      <c r="F8" s="10">
        <f t="shared" si="0"/>
        <v>0</v>
      </c>
    </row>
    <row r="9" spans="1:6" x14ac:dyDescent="0.25">
      <c r="A9" s="25" t="s">
        <v>76</v>
      </c>
      <c r="B9" s="12">
        <v>0.20833333333333334</v>
      </c>
      <c r="C9" s="11" t="s">
        <v>190</v>
      </c>
      <c r="D9" s="11"/>
      <c r="E9" s="11"/>
      <c r="F9" s="13">
        <f t="shared" si="0"/>
        <v>0.20833333333333334</v>
      </c>
    </row>
    <row r="10" spans="1:6" x14ac:dyDescent="0.25">
      <c r="A10" s="25" t="s">
        <v>77</v>
      </c>
      <c r="B10" s="26"/>
      <c r="C10" s="26" t="s">
        <v>191</v>
      </c>
      <c r="D10" s="26"/>
      <c r="E10" s="26"/>
      <c r="F10" s="16">
        <f t="shared" si="0"/>
        <v>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BBA6-1C7A-44E1-BDCB-9EC7CC0BE205}">
  <dimension ref="A1:M14"/>
  <sheetViews>
    <sheetView workbookViewId="0">
      <selection activeCell="G17" sqref="G17"/>
    </sheetView>
  </sheetViews>
  <sheetFormatPr baseColWidth="10" defaultRowHeight="15" x14ac:dyDescent="0.25"/>
  <cols>
    <col min="1" max="1" width="37.7109375" customWidth="1"/>
    <col min="4" max="4" width="13.7109375" customWidth="1"/>
    <col min="5" max="12" width="13" customWidth="1"/>
  </cols>
  <sheetData>
    <row r="1" spans="1:13" ht="18.75" x14ac:dyDescent="0.3">
      <c r="A1" s="131" t="s">
        <v>106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5"/>
    </row>
    <row r="2" spans="1:13" ht="18.75" x14ac:dyDescent="0.3">
      <c r="A2" s="133" t="s">
        <v>107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6"/>
    </row>
    <row r="3" spans="1:13" ht="18.75" x14ac:dyDescent="0.3">
      <c r="A3" s="133" t="s">
        <v>126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x14ac:dyDescent="0.25">
      <c r="A4" s="1" t="s">
        <v>0</v>
      </c>
      <c r="B4" s="2">
        <v>13721</v>
      </c>
      <c r="C4" s="2">
        <v>13733</v>
      </c>
      <c r="D4" s="2">
        <v>13740</v>
      </c>
      <c r="E4" s="2">
        <v>13461</v>
      </c>
      <c r="F4" s="2">
        <v>13812</v>
      </c>
      <c r="G4" s="2">
        <v>13465</v>
      </c>
      <c r="H4" s="2">
        <v>13836</v>
      </c>
      <c r="I4" s="2">
        <v>13860</v>
      </c>
      <c r="J4" s="2">
        <v>13505</v>
      </c>
      <c r="K4" s="2">
        <v>13508</v>
      </c>
      <c r="L4" s="2">
        <v>13520</v>
      </c>
      <c r="M4" s="2" t="s">
        <v>1</v>
      </c>
    </row>
    <row r="5" spans="1:13" x14ac:dyDescent="0.25">
      <c r="A5" s="4"/>
      <c r="B5" s="5">
        <v>46191</v>
      </c>
      <c r="C5" s="35">
        <v>46196</v>
      </c>
      <c r="D5" s="5">
        <v>46199</v>
      </c>
      <c r="E5" s="5">
        <v>46206</v>
      </c>
      <c r="F5" s="5">
        <v>46206</v>
      </c>
      <c r="G5" s="5">
        <v>46209</v>
      </c>
      <c r="H5" s="5">
        <v>46212</v>
      </c>
      <c r="I5" s="5">
        <v>46220</v>
      </c>
      <c r="J5" s="5">
        <v>46224</v>
      </c>
      <c r="K5" s="5">
        <v>46224</v>
      </c>
      <c r="L5" s="5">
        <v>46230</v>
      </c>
      <c r="M5" s="5">
        <v>46234</v>
      </c>
    </row>
    <row r="6" spans="1:13" x14ac:dyDescent="0.25">
      <c r="A6" s="7" t="s">
        <v>108</v>
      </c>
      <c r="B6" s="8">
        <v>8</v>
      </c>
      <c r="C6" s="9"/>
      <c r="D6" s="9"/>
      <c r="E6" s="9"/>
      <c r="F6" s="9">
        <v>8</v>
      </c>
      <c r="G6" s="9"/>
      <c r="H6" s="9"/>
      <c r="I6" s="9"/>
      <c r="J6" s="9"/>
      <c r="K6" s="9">
        <v>-6</v>
      </c>
      <c r="L6" s="9">
        <v>-10</v>
      </c>
      <c r="M6" s="10">
        <f>SUM(B6:K6)</f>
        <v>10</v>
      </c>
    </row>
    <row r="7" spans="1:13" x14ac:dyDescent="0.25">
      <c r="A7" s="7" t="s">
        <v>109</v>
      </c>
      <c r="B7" s="8">
        <v>8</v>
      </c>
      <c r="C7" s="9"/>
      <c r="D7" s="9"/>
      <c r="E7" s="9"/>
      <c r="F7" s="9">
        <v>8</v>
      </c>
      <c r="G7" s="9"/>
      <c r="H7" s="9"/>
      <c r="I7" s="9"/>
      <c r="J7" s="9"/>
      <c r="K7" s="9">
        <v>-7</v>
      </c>
      <c r="L7" s="9">
        <v>-9</v>
      </c>
      <c r="M7" s="10">
        <f>SUM(B7:L7)</f>
        <v>0</v>
      </c>
    </row>
    <row r="8" spans="1:13" x14ac:dyDescent="0.25">
      <c r="A8" s="7" t="s">
        <v>110</v>
      </c>
      <c r="B8" s="8">
        <v>4</v>
      </c>
      <c r="C8" s="9"/>
      <c r="D8" s="9"/>
      <c r="E8" s="9"/>
      <c r="F8" s="9">
        <v>4</v>
      </c>
      <c r="G8" s="9"/>
      <c r="H8" s="9"/>
      <c r="I8" s="9"/>
      <c r="J8" s="9"/>
      <c r="K8" s="9">
        <v>-4</v>
      </c>
      <c r="L8" s="9">
        <v>-3</v>
      </c>
      <c r="M8" s="10">
        <f>SUM(B8:L8)</f>
        <v>1</v>
      </c>
    </row>
    <row r="9" spans="1:13" x14ac:dyDescent="0.25">
      <c r="A9" s="7" t="s">
        <v>111</v>
      </c>
      <c r="B9" s="8"/>
      <c r="C9" s="9">
        <v>5</v>
      </c>
      <c r="D9" s="9">
        <v>8</v>
      </c>
      <c r="E9" s="9">
        <v>-8</v>
      </c>
      <c r="F9" s="9"/>
      <c r="G9" s="9">
        <v>-5</v>
      </c>
      <c r="H9" s="9"/>
      <c r="I9" s="9"/>
      <c r="J9" s="9"/>
      <c r="K9" s="9"/>
      <c r="L9" s="9"/>
      <c r="M9" s="10">
        <f t="shared" ref="M9:M12" si="0">SUM(B9:K9)</f>
        <v>0</v>
      </c>
    </row>
    <row r="10" spans="1:13" x14ac:dyDescent="0.25">
      <c r="A10" s="7" t="s">
        <v>23</v>
      </c>
      <c r="B10" s="8"/>
      <c r="C10" s="9">
        <v>12</v>
      </c>
      <c r="D10" s="9"/>
      <c r="E10" s="9"/>
      <c r="F10" s="9"/>
      <c r="G10" s="9">
        <v>-12</v>
      </c>
      <c r="H10" s="9"/>
      <c r="I10" s="9"/>
      <c r="J10" s="9"/>
      <c r="K10" s="9"/>
      <c r="L10" s="9"/>
      <c r="M10" s="10">
        <f t="shared" si="0"/>
        <v>0</v>
      </c>
    </row>
    <row r="11" spans="1:13" x14ac:dyDescent="0.25">
      <c r="A11" s="7" t="s">
        <v>260</v>
      </c>
      <c r="B11" s="8"/>
      <c r="C11" s="9"/>
      <c r="D11" s="9"/>
      <c r="E11" s="9"/>
      <c r="F11" s="9"/>
      <c r="G11" s="9"/>
      <c r="H11" s="9">
        <v>4</v>
      </c>
      <c r="I11" s="9"/>
      <c r="J11" s="9"/>
      <c r="K11" s="9"/>
      <c r="L11" s="9">
        <v>-4</v>
      </c>
      <c r="M11" s="10">
        <f>SUM(B11:L11)</f>
        <v>0</v>
      </c>
    </row>
    <row r="12" spans="1:13" x14ac:dyDescent="0.25">
      <c r="A12" s="7" t="s">
        <v>121</v>
      </c>
      <c r="B12" s="8"/>
      <c r="C12" s="9"/>
      <c r="D12" s="9"/>
      <c r="E12" s="9"/>
      <c r="F12" s="9"/>
      <c r="G12" s="9"/>
      <c r="H12" s="9"/>
      <c r="I12" s="9">
        <v>2</v>
      </c>
      <c r="J12" s="9">
        <v>-2</v>
      </c>
      <c r="K12" s="9"/>
      <c r="L12" s="9"/>
      <c r="M12" s="10">
        <f t="shared" si="0"/>
        <v>0</v>
      </c>
    </row>
    <row r="13" spans="1:13" x14ac:dyDescent="0.25">
      <c r="A13" s="4" t="s">
        <v>2</v>
      </c>
      <c r="B13" s="11">
        <v>0.41666666666666669</v>
      </c>
      <c r="C13" s="12">
        <v>0.41666666666666669</v>
      </c>
      <c r="D13" s="12">
        <v>0.33333333333333331</v>
      </c>
      <c r="E13" s="12">
        <v>0.34722222222222221</v>
      </c>
      <c r="F13" s="12">
        <v>0.34027777777777779</v>
      </c>
      <c r="G13" s="12">
        <v>0.43055555555555558</v>
      </c>
      <c r="H13" s="12">
        <v>0.3263888888888889</v>
      </c>
      <c r="I13" s="12">
        <v>0.36666666666666664</v>
      </c>
      <c r="J13" s="12">
        <v>0.35694444444444445</v>
      </c>
      <c r="K13" s="12">
        <v>0.37083333333333335</v>
      </c>
      <c r="L13" s="12">
        <v>0.41666666666666669</v>
      </c>
      <c r="M13" s="13"/>
    </row>
    <row r="14" spans="1:13" x14ac:dyDescent="0.25">
      <c r="A14" s="4" t="s">
        <v>3</v>
      </c>
      <c r="B14" s="15">
        <v>25000</v>
      </c>
      <c r="C14" s="15">
        <v>20000</v>
      </c>
      <c r="D14" s="15" t="s">
        <v>112</v>
      </c>
      <c r="E14" s="15" t="s">
        <v>125</v>
      </c>
      <c r="F14" s="15" t="s">
        <v>125</v>
      </c>
      <c r="G14" s="15">
        <v>20000</v>
      </c>
      <c r="H14" s="15" t="s">
        <v>112</v>
      </c>
      <c r="I14" s="15" t="s">
        <v>112</v>
      </c>
      <c r="J14" s="15" t="s">
        <v>112</v>
      </c>
      <c r="K14" s="15" t="s">
        <v>112</v>
      </c>
      <c r="L14" s="15">
        <v>20000</v>
      </c>
      <c r="M14" s="16">
        <f>SUM(B14:E14)</f>
        <v>45000</v>
      </c>
    </row>
  </sheetData>
  <mergeCells count="3">
    <mergeCell ref="A1:M1"/>
    <mergeCell ref="A2:M2"/>
    <mergeCell ref="A3:M3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F27D-2E9A-4C0E-8A38-C90441ACD45C}">
  <dimension ref="A1:H9"/>
  <sheetViews>
    <sheetView workbookViewId="0">
      <selection activeCell="H13" sqref="H13"/>
    </sheetView>
  </sheetViews>
  <sheetFormatPr baseColWidth="10" defaultRowHeight="15" x14ac:dyDescent="0.25"/>
  <cols>
    <col min="1" max="1" width="31" bestFit="1" customWidth="1"/>
  </cols>
  <sheetData>
    <row r="1" spans="1:8" ht="18.75" x14ac:dyDescent="0.3">
      <c r="A1" s="138" t="s">
        <v>182</v>
      </c>
      <c r="B1" s="134"/>
      <c r="C1" s="134"/>
      <c r="D1" s="134"/>
      <c r="E1" s="134"/>
      <c r="F1" s="134"/>
      <c r="G1" s="134"/>
      <c r="H1" s="139"/>
    </row>
    <row r="2" spans="1:8" ht="18.75" x14ac:dyDescent="0.3">
      <c r="A2" s="138" t="s">
        <v>183</v>
      </c>
      <c r="B2" s="134"/>
      <c r="C2" s="134"/>
      <c r="D2" s="134"/>
      <c r="E2" s="134"/>
      <c r="F2" s="134"/>
      <c r="G2" s="134"/>
      <c r="H2" s="139"/>
    </row>
    <row r="3" spans="1:8" ht="18.75" x14ac:dyDescent="0.3">
      <c r="A3" s="138" t="s">
        <v>184</v>
      </c>
      <c r="B3" s="134"/>
      <c r="C3" s="134"/>
      <c r="D3" s="134"/>
      <c r="E3" s="134"/>
      <c r="F3" s="134"/>
      <c r="G3" s="134"/>
      <c r="H3" s="139"/>
    </row>
    <row r="4" spans="1:8" x14ac:dyDescent="0.25">
      <c r="A4" s="140" t="s">
        <v>0</v>
      </c>
      <c r="B4" s="22" t="s">
        <v>1</v>
      </c>
      <c r="C4" s="13">
        <v>13468</v>
      </c>
      <c r="D4" s="22">
        <v>13490</v>
      </c>
      <c r="E4" s="22">
        <v>13498</v>
      </c>
      <c r="F4" s="22"/>
      <c r="G4" s="22"/>
      <c r="H4" s="22" t="s">
        <v>52</v>
      </c>
    </row>
    <row r="5" spans="1:8" x14ac:dyDescent="0.25">
      <c r="A5" s="141"/>
      <c r="B5" s="5">
        <v>46203</v>
      </c>
      <c r="C5" s="5">
        <v>46209</v>
      </c>
      <c r="D5" s="5">
        <v>46217</v>
      </c>
      <c r="E5" s="5">
        <v>46219</v>
      </c>
      <c r="F5" s="5"/>
      <c r="G5" s="5"/>
      <c r="H5" s="5">
        <v>46203</v>
      </c>
    </row>
    <row r="6" spans="1:8" x14ac:dyDescent="0.25">
      <c r="A6" s="17" t="s">
        <v>56</v>
      </c>
      <c r="B6" s="23">
        <v>8</v>
      </c>
      <c r="C6" s="24">
        <v>-1</v>
      </c>
      <c r="D6" s="24">
        <v>-5</v>
      </c>
      <c r="E6" s="24">
        <v>-1</v>
      </c>
      <c r="F6" s="24"/>
      <c r="G6" s="24"/>
      <c r="H6" s="10">
        <f>SUM(B6:G6)</f>
        <v>1</v>
      </c>
    </row>
    <row r="7" spans="1:8" x14ac:dyDescent="0.25">
      <c r="A7" s="25" t="s">
        <v>2</v>
      </c>
      <c r="B7" s="12"/>
      <c r="C7" s="11">
        <v>0.46875</v>
      </c>
      <c r="D7" s="11">
        <v>0.375</v>
      </c>
      <c r="E7" s="75">
        <v>0.45833333333333331</v>
      </c>
      <c r="F7" s="75"/>
      <c r="G7" s="75"/>
      <c r="H7" s="13"/>
    </row>
    <row r="8" spans="1:8" x14ac:dyDescent="0.25">
      <c r="A8" s="25" t="s">
        <v>77</v>
      </c>
      <c r="B8" s="26"/>
      <c r="C8" s="11" t="s">
        <v>185</v>
      </c>
      <c r="D8" s="11" t="s">
        <v>287</v>
      </c>
      <c r="E8" s="11" t="s">
        <v>287</v>
      </c>
      <c r="F8" s="26"/>
      <c r="G8" s="75"/>
      <c r="H8" s="16"/>
    </row>
    <row r="9" spans="1:8" x14ac:dyDescent="0.25">
      <c r="D9" t="s">
        <v>288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E43C-E6C8-4BFA-B632-B36DCC723CDB}">
  <dimension ref="A1:G10"/>
  <sheetViews>
    <sheetView workbookViewId="0">
      <selection activeCell="N12" sqref="N12"/>
    </sheetView>
  </sheetViews>
  <sheetFormatPr baseColWidth="10" defaultRowHeight="15" x14ac:dyDescent="0.25"/>
  <cols>
    <col min="1" max="1" width="41.140625" customWidth="1"/>
  </cols>
  <sheetData>
    <row r="1" spans="1:7" ht="18.75" x14ac:dyDescent="0.3">
      <c r="A1" s="131" t="s">
        <v>162</v>
      </c>
      <c r="B1" s="132"/>
      <c r="C1" s="132"/>
      <c r="D1" s="132"/>
      <c r="E1" s="132"/>
      <c r="F1" s="132"/>
      <c r="G1" s="135"/>
    </row>
    <row r="2" spans="1:7" ht="18.75" x14ac:dyDescent="0.3">
      <c r="A2" s="133" t="s">
        <v>163</v>
      </c>
      <c r="B2" s="134"/>
      <c r="C2" s="134"/>
      <c r="D2" s="134"/>
      <c r="E2" s="134"/>
      <c r="F2" s="134"/>
      <c r="G2" s="136"/>
    </row>
    <row r="3" spans="1:7" ht="18.75" x14ac:dyDescent="0.3">
      <c r="A3" s="133" t="s">
        <v>126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13813</v>
      </c>
      <c r="C4" s="2">
        <v>13475</v>
      </c>
      <c r="D4" s="2"/>
      <c r="E4" s="2"/>
      <c r="F4" s="2"/>
      <c r="G4" s="2" t="s">
        <v>1</v>
      </c>
    </row>
    <row r="5" spans="1:7" x14ac:dyDescent="0.25">
      <c r="A5" s="4"/>
      <c r="B5" s="5">
        <v>46206</v>
      </c>
      <c r="C5" s="35">
        <v>46210</v>
      </c>
      <c r="D5" s="5"/>
      <c r="E5" s="5"/>
      <c r="F5" s="5"/>
      <c r="G5" s="5">
        <v>46112</v>
      </c>
    </row>
    <row r="6" spans="1:7" x14ac:dyDescent="0.25">
      <c r="A6" s="7" t="s">
        <v>164</v>
      </c>
      <c r="B6" s="8">
        <v>6</v>
      </c>
      <c r="C6" s="9">
        <v>-6</v>
      </c>
      <c r="D6" s="9"/>
      <c r="E6" s="9"/>
      <c r="F6" s="9"/>
      <c r="G6" s="10">
        <f>SUM(B6:F6)</f>
        <v>0</v>
      </c>
    </row>
    <row r="7" spans="1:7" x14ac:dyDescent="0.25">
      <c r="A7" s="7" t="s">
        <v>8</v>
      </c>
      <c r="B7" s="8">
        <v>6</v>
      </c>
      <c r="C7" s="9">
        <v>-6</v>
      </c>
      <c r="D7" s="9"/>
      <c r="E7" s="9"/>
      <c r="F7" s="9"/>
      <c r="G7" s="10">
        <f>SUM(B7:F7)</f>
        <v>0</v>
      </c>
    </row>
    <row r="8" spans="1:7" x14ac:dyDescent="0.25">
      <c r="A8" s="7" t="s">
        <v>165</v>
      </c>
      <c r="B8" s="8">
        <v>4</v>
      </c>
      <c r="C8" s="9">
        <v>-4</v>
      </c>
      <c r="D8" s="9"/>
      <c r="E8" s="9"/>
      <c r="F8" s="9"/>
      <c r="G8" s="10">
        <f>SUM(B8:F8)</f>
        <v>0</v>
      </c>
    </row>
    <row r="9" spans="1:7" x14ac:dyDescent="0.25">
      <c r="A9" s="4" t="s">
        <v>2</v>
      </c>
      <c r="B9" s="11">
        <v>0.35416666666666669</v>
      </c>
      <c r="C9" s="12">
        <v>0.47916666666666669</v>
      </c>
      <c r="D9" s="12"/>
      <c r="E9" s="12"/>
      <c r="F9" s="12"/>
      <c r="G9" s="13"/>
    </row>
    <row r="10" spans="1:7" x14ac:dyDescent="0.25">
      <c r="A10" s="4" t="s">
        <v>3</v>
      </c>
      <c r="B10" s="15">
        <v>17500</v>
      </c>
      <c r="C10" s="15">
        <v>17500</v>
      </c>
      <c r="D10" s="15"/>
      <c r="E10" s="15"/>
      <c r="F10" s="15"/>
      <c r="G10" s="16">
        <f>SUM(B10:E10)</f>
        <v>35000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FC36-BB96-40E0-B8EE-77BD2903F346}">
  <dimension ref="A1:G10"/>
  <sheetViews>
    <sheetView workbookViewId="0">
      <selection activeCell="D12" sqref="D12"/>
    </sheetView>
  </sheetViews>
  <sheetFormatPr baseColWidth="10" defaultRowHeight="15" x14ac:dyDescent="0.25"/>
  <cols>
    <col min="1" max="1" width="58.5703125" customWidth="1"/>
  </cols>
  <sheetData>
    <row r="1" spans="1:7" ht="18.75" x14ac:dyDescent="0.3">
      <c r="A1" s="131" t="s">
        <v>187</v>
      </c>
      <c r="B1" s="132"/>
      <c r="C1" s="132"/>
      <c r="D1" s="132"/>
      <c r="E1" s="132"/>
      <c r="F1" s="132"/>
      <c r="G1" s="135"/>
    </row>
    <row r="2" spans="1:7" ht="18.75" x14ac:dyDescent="0.3">
      <c r="A2" s="133" t="s">
        <v>188</v>
      </c>
      <c r="B2" s="134"/>
      <c r="C2" s="134"/>
      <c r="D2" s="134"/>
      <c r="E2" s="134"/>
      <c r="F2" s="134"/>
      <c r="G2" s="136"/>
    </row>
    <row r="3" spans="1:7" ht="18.75" x14ac:dyDescent="0.3">
      <c r="A3" s="133" t="s">
        <v>126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>
        <v>13818</v>
      </c>
      <c r="C4" s="2">
        <v>13483</v>
      </c>
      <c r="D4" s="2"/>
      <c r="E4" s="2"/>
      <c r="F4" s="2"/>
      <c r="G4" s="2" t="s">
        <v>1</v>
      </c>
    </row>
    <row r="5" spans="1:7" x14ac:dyDescent="0.25">
      <c r="A5" s="4"/>
      <c r="B5" s="5">
        <v>46209</v>
      </c>
      <c r="C5" s="35">
        <v>46212</v>
      </c>
      <c r="D5" s="5"/>
      <c r="E5" s="5"/>
      <c r="F5" s="5"/>
      <c r="G5" s="5">
        <v>46112</v>
      </c>
    </row>
    <row r="6" spans="1:7" x14ac:dyDescent="0.25">
      <c r="A6" s="7" t="s">
        <v>189</v>
      </c>
      <c r="B6" s="8">
        <v>1</v>
      </c>
      <c r="C6" s="9">
        <v>-1</v>
      </c>
      <c r="D6" s="9"/>
      <c r="E6" s="9"/>
      <c r="F6" s="9"/>
      <c r="G6" s="10">
        <f>SUM(B6:F6)</f>
        <v>0</v>
      </c>
    </row>
    <row r="7" spans="1:7" x14ac:dyDescent="0.25">
      <c r="A7" s="7"/>
      <c r="B7" s="8"/>
      <c r="C7" s="9"/>
      <c r="D7" s="9"/>
      <c r="E7" s="9"/>
      <c r="F7" s="9"/>
      <c r="G7" s="10">
        <f>SUM(B7:F7)</f>
        <v>0</v>
      </c>
    </row>
    <row r="8" spans="1:7" x14ac:dyDescent="0.25">
      <c r="A8" s="7"/>
      <c r="B8" s="8"/>
      <c r="C8" s="9"/>
      <c r="D8" s="9"/>
      <c r="E8" s="9"/>
      <c r="F8" s="9"/>
      <c r="G8" s="10">
        <f>SUM(B8:F8)</f>
        <v>0</v>
      </c>
    </row>
    <row r="9" spans="1:7" x14ac:dyDescent="0.25">
      <c r="A9" s="4" t="s">
        <v>2</v>
      </c>
      <c r="B9" s="18">
        <v>0.32291666666666669</v>
      </c>
      <c r="C9" s="12">
        <v>0.22916666666666666</v>
      </c>
      <c r="D9" s="12"/>
      <c r="E9" s="12"/>
      <c r="F9" s="12"/>
      <c r="G9" s="13"/>
    </row>
    <row r="10" spans="1:7" x14ac:dyDescent="0.25">
      <c r="A10" s="4" t="s">
        <v>3</v>
      </c>
      <c r="B10" s="15" t="s">
        <v>269</v>
      </c>
      <c r="C10" s="15" t="s">
        <v>70</v>
      </c>
      <c r="D10" s="15"/>
      <c r="E10" s="15"/>
      <c r="F10" s="15"/>
      <c r="G10" s="16">
        <f>SUM(B10:E10)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C1CC-DA8E-41C1-8B28-45B3CA7742ED}">
  <dimension ref="A1:Q30"/>
  <sheetViews>
    <sheetView workbookViewId="0">
      <selection activeCell="A25" sqref="A25"/>
    </sheetView>
  </sheetViews>
  <sheetFormatPr baseColWidth="10" defaultRowHeight="15" x14ac:dyDescent="0.25"/>
  <cols>
    <col min="1" max="1" width="32.85546875" customWidth="1"/>
    <col min="2" max="2" width="19.7109375" customWidth="1"/>
    <col min="10" max="10" width="19.42578125" customWidth="1"/>
  </cols>
  <sheetData>
    <row r="1" spans="1:17" ht="18.75" x14ac:dyDescent="0.3">
      <c r="A1" s="138" t="s">
        <v>127</v>
      </c>
      <c r="B1" s="134"/>
      <c r="C1" s="134"/>
      <c r="D1" s="134"/>
      <c r="E1" s="134"/>
      <c r="F1" s="134"/>
      <c r="G1" s="134"/>
      <c r="H1" s="134"/>
      <c r="I1" s="134"/>
      <c r="J1" s="139"/>
    </row>
    <row r="2" spans="1:17" ht="18.75" x14ac:dyDescent="0.3">
      <c r="A2" s="138" t="s">
        <v>128</v>
      </c>
      <c r="B2" s="134"/>
      <c r="C2" s="134"/>
      <c r="D2" s="134"/>
      <c r="E2" s="134"/>
      <c r="F2" s="134"/>
      <c r="G2" s="134"/>
      <c r="H2" s="134"/>
      <c r="I2" s="134"/>
      <c r="J2" s="139"/>
    </row>
    <row r="3" spans="1:17" ht="18.75" x14ac:dyDescent="0.3">
      <c r="A3" s="138" t="s">
        <v>141</v>
      </c>
      <c r="B3" s="134"/>
      <c r="C3" s="134"/>
      <c r="D3" s="134"/>
      <c r="E3" s="134"/>
      <c r="F3" s="134"/>
      <c r="G3" s="134"/>
      <c r="H3" s="134"/>
      <c r="I3" s="134"/>
      <c r="J3" s="139"/>
    </row>
    <row r="4" spans="1:17" x14ac:dyDescent="0.25">
      <c r="A4" s="140" t="s">
        <v>127</v>
      </c>
      <c r="B4" s="13" t="s">
        <v>1</v>
      </c>
      <c r="C4" s="13">
        <v>13441</v>
      </c>
      <c r="D4" s="13">
        <v>13441</v>
      </c>
      <c r="E4" s="13">
        <v>13437</v>
      </c>
      <c r="F4" s="13">
        <v>13810</v>
      </c>
      <c r="G4" s="13">
        <v>13819</v>
      </c>
      <c r="H4" s="13">
        <v>13841</v>
      </c>
      <c r="I4" s="13">
        <v>13879</v>
      </c>
      <c r="J4" s="22" t="s">
        <v>129</v>
      </c>
    </row>
    <row r="5" spans="1:17" x14ac:dyDescent="0.25">
      <c r="A5" s="141"/>
      <c r="B5" s="5">
        <v>46142</v>
      </c>
      <c r="C5" s="5">
        <v>46197</v>
      </c>
      <c r="D5" s="5">
        <v>46197</v>
      </c>
      <c r="E5" s="5">
        <v>46197</v>
      </c>
      <c r="F5" s="5">
        <v>46206</v>
      </c>
      <c r="G5" s="5">
        <v>46209</v>
      </c>
      <c r="H5" s="5">
        <v>46212</v>
      </c>
      <c r="I5" s="5">
        <v>46230</v>
      </c>
      <c r="J5" s="5">
        <v>46203</v>
      </c>
    </row>
    <row r="6" spans="1:17" x14ac:dyDescent="0.25">
      <c r="A6" s="17" t="s">
        <v>130</v>
      </c>
      <c r="B6" s="36">
        <v>40</v>
      </c>
      <c r="C6" s="37">
        <v>-5</v>
      </c>
      <c r="D6" s="36"/>
      <c r="E6" s="24">
        <v>-24</v>
      </c>
      <c r="F6" s="24"/>
      <c r="G6" s="24"/>
      <c r="H6" s="24"/>
      <c r="I6" s="24"/>
      <c r="J6" s="38">
        <f>SUM(B6:I6)</f>
        <v>11</v>
      </c>
    </row>
    <row r="7" spans="1:17" x14ac:dyDescent="0.25">
      <c r="A7" s="17" t="s">
        <v>20</v>
      </c>
      <c r="B7" s="36">
        <v>110</v>
      </c>
      <c r="C7" s="39">
        <v>-2</v>
      </c>
      <c r="D7" s="36"/>
      <c r="E7" s="24">
        <v>-31</v>
      </c>
      <c r="F7" s="24"/>
      <c r="G7" s="24"/>
      <c r="H7" s="24"/>
      <c r="I7" s="24"/>
      <c r="J7" s="38">
        <f t="shared" ref="J7:J22" si="0">SUM(B7:I7)</f>
        <v>77</v>
      </c>
      <c r="K7" s="40" t="s">
        <v>131</v>
      </c>
      <c r="L7" s="40"/>
      <c r="M7" s="40"/>
      <c r="N7" s="40"/>
      <c r="O7" s="40"/>
      <c r="P7" s="40"/>
      <c r="Q7" s="40"/>
    </row>
    <row r="8" spans="1:17" x14ac:dyDescent="0.25">
      <c r="A8" s="17" t="s">
        <v>132</v>
      </c>
      <c r="B8" s="36">
        <v>8</v>
      </c>
      <c r="C8" s="36">
        <v>-4</v>
      </c>
      <c r="D8" s="36"/>
      <c r="E8" s="24"/>
      <c r="F8" s="24">
        <v>5</v>
      </c>
      <c r="G8" s="24"/>
      <c r="H8" s="24"/>
      <c r="I8" s="24"/>
      <c r="J8" s="38">
        <f t="shared" si="0"/>
        <v>9</v>
      </c>
    </row>
    <row r="9" spans="1:17" x14ac:dyDescent="0.25">
      <c r="A9" s="17" t="s">
        <v>133</v>
      </c>
      <c r="B9" s="36">
        <v>50</v>
      </c>
      <c r="C9" s="36"/>
      <c r="D9" s="36"/>
      <c r="E9" s="24">
        <v>-23</v>
      </c>
      <c r="F9" s="24"/>
      <c r="G9" s="24"/>
      <c r="H9" s="24">
        <v>8</v>
      </c>
      <c r="I9" s="24"/>
      <c r="J9" s="38">
        <f t="shared" si="0"/>
        <v>35</v>
      </c>
    </row>
    <row r="10" spans="1:17" x14ac:dyDescent="0.25">
      <c r="A10" s="17" t="s">
        <v>25</v>
      </c>
      <c r="B10" s="36">
        <v>60</v>
      </c>
      <c r="C10" s="36">
        <v>-33</v>
      </c>
      <c r="D10" s="36"/>
      <c r="E10" s="24">
        <v>-13</v>
      </c>
      <c r="F10" s="24"/>
      <c r="G10" s="24"/>
      <c r="H10" s="24"/>
      <c r="I10" s="24"/>
      <c r="J10" s="38">
        <f t="shared" si="0"/>
        <v>14</v>
      </c>
    </row>
    <row r="11" spans="1:17" x14ac:dyDescent="0.25">
      <c r="A11" s="17" t="s">
        <v>134</v>
      </c>
      <c r="B11" s="36">
        <v>46</v>
      </c>
      <c r="C11" s="36">
        <v>-18</v>
      </c>
      <c r="D11" s="36">
        <v>-1</v>
      </c>
      <c r="E11" s="24">
        <v>-20</v>
      </c>
      <c r="F11" s="24"/>
      <c r="G11" s="24"/>
      <c r="H11" s="24"/>
      <c r="I11" s="24"/>
      <c r="J11" s="38">
        <f t="shared" si="0"/>
        <v>7</v>
      </c>
      <c r="K11" s="40" t="s">
        <v>135</v>
      </c>
      <c r="L11" s="40"/>
      <c r="M11" s="40"/>
      <c r="N11" s="40"/>
      <c r="O11" s="40"/>
      <c r="P11" s="40"/>
      <c r="Q11" s="40"/>
    </row>
    <row r="12" spans="1:17" x14ac:dyDescent="0.25">
      <c r="A12" s="17" t="s">
        <v>40</v>
      </c>
      <c r="B12" s="36">
        <v>2</v>
      </c>
      <c r="C12" s="36"/>
      <c r="D12" s="36"/>
      <c r="E12" s="24">
        <v>-2</v>
      </c>
      <c r="F12" s="24"/>
      <c r="G12" s="24"/>
      <c r="H12" s="24"/>
      <c r="I12" s="24"/>
      <c r="J12" s="38">
        <f t="shared" si="0"/>
        <v>0</v>
      </c>
    </row>
    <row r="13" spans="1:17" x14ac:dyDescent="0.25">
      <c r="A13" s="17" t="s">
        <v>81</v>
      </c>
      <c r="B13" s="36"/>
      <c r="C13" s="36"/>
      <c r="D13" s="36"/>
      <c r="E13" s="24"/>
      <c r="F13" s="24">
        <v>2</v>
      </c>
      <c r="G13" s="24"/>
      <c r="H13" s="24">
        <v>10</v>
      </c>
      <c r="I13" s="24"/>
      <c r="J13" s="38">
        <f t="shared" si="0"/>
        <v>12</v>
      </c>
    </row>
    <row r="14" spans="1:17" x14ac:dyDescent="0.25">
      <c r="A14" s="17" t="s">
        <v>32</v>
      </c>
      <c r="B14" s="36">
        <v>120</v>
      </c>
      <c r="C14" s="36"/>
      <c r="D14" s="36"/>
      <c r="E14" s="24"/>
      <c r="F14" s="24"/>
      <c r="G14" s="24"/>
      <c r="H14" s="24">
        <v>50</v>
      </c>
      <c r="I14" s="24"/>
      <c r="J14" s="38">
        <f t="shared" si="0"/>
        <v>170</v>
      </c>
    </row>
    <row r="15" spans="1:17" x14ac:dyDescent="0.25">
      <c r="A15" s="17" t="s">
        <v>136</v>
      </c>
      <c r="B15" s="36">
        <v>1500</v>
      </c>
      <c r="C15" s="36"/>
      <c r="D15" s="36"/>
      <c r="E15" s="24"/>
      <c r="F15" s="24"/>
      <c r="G15" s="24"/>
      <c r="H15" s="24"/>
      <c r="I15" s="24"/>
      <c r="J15" s="38">
        <f t="shared" si="0"/>
        <v>1500</v>
      </c>
    </row>
    <row r="16" spans="1:17" x14ac:dyDescent="0.25">
      <c r="A16" s="17" t="s">
        <v>24</v>
      </c>
      <c r="B16" s="36">
        <v>5</v>
      </c>
      <c r="C16" s="36"/>
      <c r="D16" s="36"/>
      <c r="E16" s="24"/>
      <c r="F16" s="24"/>
      <c r="G16" s="24"/>
      <c r="H16" s="24"/>
      <c r="I16" s="24"/>
      <c r="J16" s="38">
        <f t="shared" si="0"/>
        <v>5</v>
      </c>
    </row>
    <row r="17" spans="1:10" x14ac:dyDescent="0.25">
      <c r="A17" s="17" t="s">
        <v>137</v>
      </c>
      <c r="B17" s="36">
        <v>2</v>
      </c>
      <c r="C17" s="36">
        <v>-1</v>
      </c>
      <c r="D17" s="36"/>
      <c r="E17" s="24"/>
      <c r="F17" s="24">
        <v>3</v>
      </c>
      <c r="G17" s="24"/>
      <c r="H17" s="24">
        <v>6</v>
      </c>
      <c r="I17" s="24"/>
      <c r="J17" s="38">
        <f t="shared" si="0"/>
        <v>10</v>
      </c>
    </row>
    <row r="18" spans="1:10" x14ac:dyDescent="0.25">
      <c r="A18" s="17" t="s">
        <v>17</v>
      </c>
      <c r="B18" s="36">
        <v>8</v>
      </c>
      <c r="C18" s="36"/>
      <c r="D18" s="36"/>
      <c r="E18" s="24"/>
      <c r="F18" s="24"/>
      <c r="G18" s="24">
        <v>8</v>
      </c>
      <c r="H18" s="24">
        <v>8</v>
      </c>
      <c r="I18" s="24">
        <v>44</v>
      </c>
      <c r="J18" s="38">
        <f t="shared" si="0"/>
        <v>68</v>
      </c>
    </row>
    <row r="19" spans="1:10" x14ac:dyDescent="0.25">
      <c r="A19" s="17" t="s">
        <v>59</v>
      </c>
      <c r="B19" s="36">
        <v>80</v>
      </c>
      <c r="C19" s="36">
        <v>-52</v>
      </c>
      <c r="D19" s="36"/>
      <c r="E19" s="24"/>
      <c r="F19" s="24"/>
      <c r="G19" s="24"/>
      <c r="H19" s="24"/>
      <c r="I19" s="24">
        <v>50</v>
      </c>
      <c r="J19" s="38">
        <f t="shared" si="0"/>
        <v>78</v>
      </c>
    </row>
    <row r="20" spans="1:10" x14ac:dyDescent="0.25">
      <c r="A20" s="17" t="s">
        <v>138</v>
      </c>
      <c r="B20" s="36">
        <v>40</v>
      </c>
      <c r="C20" s="36"/>
      <c r="D20" s="36"/>
      <c r="E20" s="24"/>
      <c r="F20" s="24"/>
      <c r="G20" s="24"/>
      <c r="H20" s="24"/>
      <c r="I20" s="24"/>
      <c r="J20" s="38">
        <f t="shared" si="0"/>
        <v>40</v>
      </c>
    </row>
    <row r="21" spans="1:10" x14ac:dyDescent="0.25">
      <c r="A21" s="17" t="s">
        <v>139</v>
      </c>
      <c r="B21" s="36">
        <v>700</v>
      </c>
      <c r="C21" s="36"/>
      <c r="D21" s="36"/>
      <c r="E21" s="24"/>
      <c r="F21" s="24"/>
      <c r="G21" s="24"/>
      <c r="H21" s="24"/>
      <c r="I21" s="24"/>
      <c r="J21" s="38">
        <f t="shared" si="0"/>
        <v>700</v>
      </c>
    </row>
    <row r="22" spans="1:10" x14ac:dyDescent="0.25">
      <c r="A22" s="17" t="s">
        <v>16</v>
      </c>
      <c r="B22" s="36"/>
      <c r="C22" s="36"/>
      <c r="D22" s="36"/>
      <c r="E22" s="24"/>
      <c r="F22" s="24"/>
      <c r="G22" s="24"/>
      <c r="H22" s="24">
        <v>16</v>
      </c>
      <c r="I22" s="24">
        <v>44</v>
      </c>
      <c r="J22" s="38">
        <f t="shared" si="0"/>
        <v>60</v>
      </c>
    </row>
    <row r="23" spans="1:10" x14ac:dyDescent="0.25">
      <c r="A23" s="25" t="s">
        <v>76</v>
      </c>
      <c r="B23" s="11"/>
      <c r="C23" s="11" t="s">
        <v>140</v>
      </c>
      <c r="D23" s="11"/>
      <c r="E23" s="11">
        <v>0.34722222222222221</v>
      </c>
      <c r="F23" s="11">
        <v>0.3263888888888889</v>
      </c>
      <c r="G23" s="11">
        <v>0.40625</v>
      </c>
      <c r="H23" s="11">
        <v>6.25E-2</v>
      </c>
      <c r="I23" s="11">
        <v>0.10416666666666667</v>
      </c>
      <c r="J23" s="13"/>
    </row>
    <row r="24" spans="1:10" x14ac:dyDescent="0.25">
      <c r="A24" s="25" t="s">
        <v>77</v>
      </c>
      <c r="B24" s="26"/>
      <c r="C24" s="26">
        <v>80000</v>
      </c>
      <c r="D24" s="26"/>
      <c r="E24" s="26">
        <v>80000</v>
      </c>
      <c r="F24" s="26">
        <v>30000</v>
      </c>
      <c r="G24" s="26" t="s">
        <v>186</v>
      </c>
      <c r="H24" s="26" t="s">
        <v>222</v>
      </c>
      <c r="I24" s="26">
        <v>60000</v>
      </c>
      <c r="J24" s="16"/>
    </row>
    <row r="28" spans="1:10" ht="18.75" customHeight="1" x14ac:dyDescent="0.25"/>
    <row r="29" spans="1:10" ht="18.75" customHeight="1" x14ac:dyDescent="0.25"/>
    <row r="30" spans="1:10" ht="18.75" customHeight="1" x14ac:dyDescent="0.25"/>
  </sheetData>
  <mergeCells count="4">
    <mergeCell ref="A1:J1"/>
    <mergeCell ref="A2:J2"/>
    <mergeCell ref="A3:J3"/>
    <mergeCell ref="A4:A5"/>
  </mergeCell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69DE-C965-4B02-A30F-B04DAD82E333}">
  <dimension ref="A1:J29"/>
  <sheetViews>
    <sheetView topLeftCell="A12" workbookViewId="0">
      <selection activeCell="K9" sqref="K9"/>
    </sheetView>
  </sheetViews>
  <sheetFormatPr baseColWidth="10" defaultRowHeight="15" x14ac:dyDescent="0.25"/>
  <cols>
    <col min="1" max="1" width="30" bestFit="1" customWidth="1"/>
  </cols>
  <sheetData>
    <row r="1" spans="1:10" ht="18.75" x14ac:dyDescent="0.3">
      <c r="A1" s="131" t="s">
        <v>142</v>
      </c>
      <c r="B1" s="132"/>
      <c r="C1" s="132"/>
      <c r="D1" s="132"/>
      <c r="E1" s="132"/>
      <c r="F1" s="132"/>
      <c r="G1" s="132"/>
      <c r="H1" s="132"/>
      <c r="I1" s="135"/>
    </row>
    <row r="2" spans="1:10" ht="18.75" x14ac:dyDescent="0.3">
      <c r="A2" s="133" t="s">
        <v>143</v>
      </c>
      <c r="B2" s="134"/>
      <c r="C2" s="134"/>
      <c r="D2" s="134"/>
      <c r="E2" s="134"/>
      <c r="F2" s="134"/>
      <c r="G2" s="134"/>
      <c r="H2" s="134"/>
      <c r="I2" s="136"/>
    </row>
    <row r="3" spans="1:10" ht="18.75" x14ac:dyDescent="0.3">
      <c r="A3" s="133" t="s">
        <v>161</v>
      </c>
      <c r="B3" s="134"/>
      <c r="C3" s="134"/>
      <c r="D3" s="134"/>
      <c r="E3" s="134"/>
      <c r="F3" s="134"/>
      <c r="G3" s="134"/>
      <c r="H3" s="134"/>
      <c r="I3" s="136"/>
    </row>
    <row r="4" spans="1:10" x14ac:dyDescent="0.25">
      <c r="A4" s="41" t="s">
        <v>0</v>
      </c>
      <c r="B4" s="2" t="s">
        <v>1</v>
      </c>
      <c r="C4" s="2">
        <v>13778</v>
      </c>
      <c r="D4" s="2">
        <v>13730</v>
      </c>
      <c r="E4" s="2">
        <v>13428</v>
      </c>
      <c r="F4" s="2">
        <v>13737</v>
      </c>
      <c r="G4" s="2">
        <v>13462</v>
      </c>
      <c r="H4" s="85">
        <v>13852</v>
      </c>
      <c r="I4" s="42" t="s">
        <v>1</v>
      </c>
    </row>
    <row r="5" spans="1:10" x14ac:dyDescent="0.25">
      <c r="A5" s="43"/>
      <c r="B5" s="5">
        <v>46128</v>
      </c>
      <c r="C5" s="35">
        <v>46176</v>
      </c>
      <c r="D5" s="44">
        <v>46195</v>
      </c>
      <c r="E5" s="5">
        <v>46195</v>
      </c>
      <c r="F5" s="5">
        <v>46198</v>
      </c>
      <c r="G5" s="5">
        <v>46206</v>
      </c>
      <c r="H5" s="63">
        <v>46218</v>
      </c>
      <c r="I5" s="60">
        <v>46234</v>
      </c>
    </row>
    <row r="6" spans="1:10" x14ac:dyDescent="0.25">
      <c r="A6" s="45" t="s">
        <v>92</v>
      </c>
      <c r="B6" s="8">
        <v>1</v>
      </c>
      <c r="C6" s="9"/>
      <c r="D6" s="9"/>
      <c r="E6" s="9"/>
      <c r="F6" s="9"/>
      <c r="G6" s="9"/>
      <c r="H6" s="86">
        <v>30</v>
      </c>
      <c r="I6" s="46">
        <f>SUM(B6:H6)</f>
        <v>31</v>
      </c>
      <c r="J6" s="40">
        <v>1</v>
      </c>
    </row>
    <row r="7" spans="1:10" x14ac:dyDescent="0.25">
      <c r="A7" s="45" t="s">
        <v>16</v>
      </c>
      <c r="B7" s="8">
        <v>1</v>
      </c>
      <c r="C7" s="9">
        <v>4</v>
      </c>
      <c r="D7" s="9"/>
      <c r="E7" s="9">
        <v>-4</v>
      </c>
      <c r="F7" s="9"/>
      <c r="G7" s="9"/>
      <c r="H7" s="86"/>
      <c r="I7" s="88">
        <f t="shared" ref="I7:I19" si="0">SUM(B7:H7)</f>
        <v>1</v>
      </c>
    </row>
    <row r="8" spans="1:10" x14ac:dyDescent="0.25">
      <c r="A8" s="45" t="s">
        <v>144</v>
      </c>
      <c r="B8" s="8">
        <v>1</v>
      </c>
      <c r="C8" s="9"/>
      <c r="D8" s="9"/>
      <c r="E8" s="9">
        <v>-1</v>
      </c>
      <c r="F8" s="9"/>
      <c r="G8" s="9"/>
      <c r="H8" s="86"/>
      <c r="I8" s="46">
        <f t="shared" si="0"/>
        <v>0</v>
      </c>
    </row>
    <row r="9" spans="1:10" x14ac:dyDescent="0.25">
      <c r="A9" s="45" t="s">
        <v>145</v>
      </c>
      <c r="B9" s="8">
        <v>2</v>
      </c>
      <c r="C9" s="9"/>
      <c r="D9" s="9"/>
      <c r="E9" s="9"/>
      <c r="F9" s="9"/>
      <c r="G9" s="9"/>
      <c r="H9" s="86"/>
      <c r="I9" s="88">
        <f t="shared" si="0"/>
        <v>2</v>
      </c>
    </row>
    <row r="10" spans="1:10" x14ac:dyDescent="0.25">
      <c r="A10" s="45" t="s">
        <v>146</v>
      </c>
      <c r="B10" s="8">
        <v>2</v>
      </c>
      <c r="C10" s="9"/>
      <c r="D10" s="9"/>
      <c r="E10" s="9"/>
      <c r="F10" s="9"/>
      <c r="G10" s="9"/>
      <c r="H10" s="86"/>
      <c r="I10" s="88">
        <f t="shared" si="0"/>
        <v>2</v>
      </c>
    </row>
    <row r="11" spans="1:10" x14ac:dyDescent="0.25">
      <c r="A11" s="45" t="s">
        <v>20</v>
      </c>
      <c r="B11" s="8"/>
      <c r="C11" s="9">
        <v>20</v>
      </c>
      <c r="D11" s="9"/>
      <c r="E11" s="9">
        <v>-20</v>
      </c>
      <c r="F11" s="9"/>
      <c r="G11" s="9"/>
      <c r="H11" s="86"/>
      <c r="I11" s="46">
        <f t="shared" si="0"/>
        <v>0</v>
      </c>
    </row>
    <row r="12" spans="1:10" x14ac:dyDescent="0.25">
      <c r="A12" s="45" t="s">
        <v>80</v>
      </c>
      <c r="B12" s="8"/>
      <c r="C12" s="9">
        <v>10</v>
      </c>
      <c r="D12" s="9"/>
      <c r="E12" s="9">
        <v>-10</v>
      </c>
      <c r="F12" s="9"/>
      <c r="G12" s="9"/>
      <c r="H12" s="86"/>
      <c r="I12" s="46">
        <f t="shared" si="0"/>
        <v>0</v>
      </c>
    </row>
    <row r="13" spans="1:10" x14ac:dyDescent="0.25">
      <c r="A13" s="45" t="s">
        <v>17</v>
      </c>
      <c r="B13" s="8"/>
      <c r="C13" s="9">
        <v>5</v>
      </c>
      <c r="D13" s="9"/>
      <c r="E13" s="9">
        <v>-5</v>
      </c>
      <c r="F13" s="9"/>
      <c r="G13" s="9"/>
      <c r="H13" s="86"/>
      <c r="I13" s="46">
        <f t="shared" si="0"/>
        <v>0</v>
      </c>
    </row>
    <row r="14" spans="1:10" x14ac:dyDescent="0.25">
      <c r="A14" s="45" t="s">
        <v>14</v>
      </c>
      <c r="B14" s="8"/>
      <c r="C14" s="9">
        <v>300</v>
      </c>
      <c r="D14" s="9"/>
      <c r="E14" s="9">
        <v>-300</v>
      </c>
      <c r="F14" s="9"/>
      <c r="G14" s="9"/>
      <c r="H14" s="86"/>
      <c r="I14" s="46">
        <f t="shared" si="0"/>
        <v>0</v>
      </c>
    </row>
    <row r="15" spans="1:10" x14ac:dyDescent="0.25">
      <c r="A15" s="45" t="s">
        <v>147</v>
      </c>
      <c r="B15" s="8"/>
      <c r="C15" s="9">
        <v>8</v>
      </c>
      <c r="D15" s="9"/>
      <c r="E15" s="9"/>
      <c r="F15" s="9"/>
      <c r="G15" s="9"/>
      <c r="H15" s="86"/>
      <c r="I15" s="88">
        <f t="shared" si="0"/>
        <v>8</v>
      </c>
    </row>
    <row r="16" spans="1:10" x14ac:dyDescent="0.25">
      <c r="A16" s="45" t="s">
        <v>148</v>
      </c>
      <c r="B16" s="8"/>
      <c r="C16" s="9">
        <v>40</v>
      </c>
      <c r="D16" s="9"/>
      <c r="E16" s="9">
        <v>-40</v>
      </c>
      <c r="F16" s="9"/>
      <c r="G16" s="9"/>
      <c r="H16" s="86"/>
      <c r="I16" s="46">
        <f t="shared" si="0"/>
        <v>0</v>
      </c>
    </row>
    <row r="17" spans="1:9" x14ac:dyDescent="0.25">
      <c r="A17" s="45" t="s">
        <v>25</v>
      </c>
      <c r="B17" s="8"/>
      <c r="C17" s="9"/>
      <c r="D17" s="9">
        <v>21</v>
      </c>
      <c r="E17" s="9"/>
      <c r="F17" s="9"/>
      <c r="G17" s="9"/>
      <c r="H17" s="86"/>
      <c r="I17" s="88">
        <f t="shared" si="0"/>
        <v>21</v>
      </c>
    </row>
    <row r="18" spans="1:9" x14ac:dyDescent="0.25">
      <c r="A18" s="45" t="s">
        <v>111</v>
      </c>
      <c r="B18" s="8"/>
      <c r="C18" s="9"/>
      <c r="D18" s="9"/>
      <c r="E18" s="9"/>
      <c r="F18" s="9">
        <v>10</v>
      </c>
      <c r="G18" s="9">
        <v>-10</v>
      </c>
      <c r="H18" s="86"/>
      <c r="I18" s="46">
        <f t="shared" si="0"/>
        <v>0</v>
      </c>
    </row>
    <row r="19" spans="1:9" x14ac:dyDescent="0.25">
      <c r="A19" s="45" t="s">
        <v>24</v>
      </c>
      <c r="B19" s="8"/>
      <c r="C19" s="9">
        <v>1</v>
      </c>
      <c r="D19" s="9"/>
      <c r="E19" s="9">
        <v>-1</v>
      </c>
      <c r="F19" s="9"/>
      <c r="G19" s="9"/>
      <c r="H19" s="86"/>
      <c r="I19" s="46">
        <f t="shared" si="0"/>
        <v>0</v>
      </c>
    </row>
    <row r="20" spans="1:9" x14ac:dyDescent="0.25">
      <c r="A20" s="43" t="s">
        <v>2</v>
      </c>
      <c r="B20" s="18"/>
      <c r="C20" s="12">
        <v>0.16666666666666666</v>
      </c>
      <c r="D20" s="12">
        <v>0.37777777777777777</v>
      </c>
      <c r="E20" s="12">
        <v>6.5972222222222224E-2</v>
      </c>
      <c r="F20" s="12">
        <v>0.3888888888888889</v>
      </c>
      <c r="G20" s="12">
        <v>0.40625</v>
      </c>
      <c r="H20" s="87">
        <v>0.45833333333333331</v>
      </c>
      <c r="I20" s="47"/>
    </row>
    <row r="21" spans="1:9" ht="15.75" thickBot="1" x14ac:dyDescent="0.3">
      <c r="A21" s="48" t="s">
        <v>3</v>
      </c>
      <c r="B21" s="49"/>
      <c r="C21" s="50" t="s">
        <v>149</v>
      </c>
      <c r="D21" s="50" t="s">
        <v>150</v>
      </c>
      <c r="E21" s="50" t="s">
        <v>150</v>
      </c>
      <c r="F21" s="50" t="s">
        <v>151</v>
      </c>
      <c r="G21" s="50" t="s">
        <v>150</v>
      </c>
      <c r="H21" s="50" t="s">
        <v>150</v>
      </c>
      <c r="I21" s="51"/>
    </row>
    <row r="23" spans="1:9" x14ac:dyDescent="0.25">
      <c r="A23" s="52" t="s">
        <v>152</v>
      </c>
      <c r="B23" s="52" t="s">
        <v>153</v>
      </c>
      <c r="C23" s="52" t="s">
        <v>154</v>
      </c>
      <c r="D23" s="52" t="s">
        <v>155</v>
      </c>
    </row>
    <row r="24" spans="1:9" x14ac:dyDescent="0.25">
      <c r="A24" s="53"/>
      <c r="B24" s="54"/>
      <c r="C24" s="52" t="s">
        <v>156</v>
      </c>
      <c r="D24" s="54"/>
    </row>
    <row r="25" spans="1:9" x14ac:dyDescent="0.25">
      <c r="A25" s="55" t="s">
        <v>92</v>
      </c>
      <c r="B25" s="55">
        <v>1</v>
      </c>
      <c r="C25" s="56">
        <v>140000</v>
      </c>
      <c r="D25" s="57">
        <v>140000</v>
      </c>
    </row>
    <row r="26" spans="1:9" x14ac:dyDescent="0.25">
      <c r="A26" s="55" t="s">
        <v>157</v>
      </c>
      <c r="B26" s="55">
        <v>1</v>
      </c>
      <c r="C26" s="58">
        <v>12000</v>
      </c>
      <c r="D26" s="58">
        <v>12000</v>
      </c>
    </row>
    <row r="27" spans="1:9" x14ac:dyDescent="0.25">
      <c r="A27" s="55" t="s">
        <v>158</v>
      </c>
      <c r="B27" s="55">
        <v>2</v>
      </c>
      <c r="C27" s="58">
        <v>180000</v>
      </c>
      <c r="D27" s="58">
        <f>B27*C27</f>
        <v>360000</v>
      </c>
    </row>
    <row r="28" spans="1:9" x14ac:dyDescent="0.25">
      <c r="A28" s="55" t="s">
        <v>159</v>
      </c>
      <c r="B28" s="55">
        <v>2</v>
      </c>
      <c r="C28" s="58">
        <v>100000</v>
      </c>
      <c r="D28" s="58">
        <f>B28*C28</f>
        <v>200000</v>
      </c>
    </row>
    <row r="29" spans="1:9" ht="15.75" x14ac:dyDescent="0.25">
      <c r="A29" s="59" t="s">
        <v>160</v>
      </c>
      <c r="B29" s="166">
        <f>SUM(D25:D28)</f>
        <v>712000</v>
      </c>
      <c r="C29" s="167"/>
      <c r="D29" s="168"/>
    </row>
  </sheetData>
  <mergeCells count="4">
    <mergeCell ref="A1:I1"/>
    <mergeCell ref="A2:I2"/>
    <mergeCell ref="A3:I3"/>
    <mergeCell ref="B29:D29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BFA3-E623-476B-A3BA-387FE3D01DBD}">
  <dimension ref="A1:I20"/>
  <sheetViews>
    <sheetView topLeftCell="A11" workbookViewId="0">
      <selection activeCell="M17" sqref="M17"/>
    </sheetView>
  </sheetViews>
  <sheetFormatPr baseColWidth="10" defaultRowHeight="15" x14ac:dyDescent="0.25"/>
  <cols>
    <col min="1" max="1" width="48.7109375" customWidth="1"/>
    <col min="2" max="3" width="12" bestFit="1" customWidth="1"/>
  </cols>
  <sheetData>
    <row r="1" spans="1:9" ht="18.75" x14ac:dyDescent="0.3">
      <c r="A1" s="131" t="s">
        <v>176</v>
      </c>
      <c r="B1" s="132"/>
      <c r="C1" s="132"/>
      <c r="D1" s="132"/>
      <c r="E1" s="132"/>
      <c r="F1" s="135"/>
    </row>
    <row r="2" spans="1:9" ht="18.75" x14ac:dyDescent="0.3">
      <c r="A2" s="133" t="s">
        <v>45</v>
      </c>
      <c r="B2" s="134"/>
      <c r="C2" s="134"/>
      <c r="D2" s="134"/>
      <c r="E2" s="134"/>
      <c r="F2" s="136"/>
    </row>
    <row r="3" spans="1:9" ht="18.75" x14ac:dyDescent="0.3">
      <c r="A3" s="133" t="s">
        <v>43</v>
      </c>
      <c r="B3" s="134"/>
      <c r="C3" s="134"/>
      <c r="D3" s="134"/>
      <c r="E3" s="134"/>
      <c r="F3" s="134"/>
    </row>
    <row r="4" spans="1:9" x14ac:dyDescent="0.25">
      <c r="A4" s="1" t="s">
        <v>0</v>
      </c>
      <c r="B4" s="2">
        <v>13744</v>
      </c>
      <c r="C4" s="2">
        <v>13495</v>
      </c>
      <c r="D4" s="2"/>
      <c r="E4" s="2"/>
      <c r="F4" s="2" t="s">
        <v>1</v>
      </c>
    </row>
    <row r="5" spans="1:9" x14ac:dyDescent="0.25">
      <c r="A5" s="4"/>
      <c r="B5" s="5">
        <v>46200</v>
      </c>
      <c r="C5" s="5">
        <v>46218</v>
      </c>
      <c r="D5" s="5"/>
      <c r="E5" s="5"/>
      <c r="F5" s="5">
        <v>46234</v>
      </c>
    </row>
    <row r="6" spans="1:9" x14ac:dyDescent="0.25">
      <c r="A6" s="17" t="s">
        <v>44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9" x14ac:dyDescent="0.25">
      <c r="A7" s="17"/>
      <c r="B7" s="8"/>
      <c r="C7" s="9"/>
      <c r="D7" s="9"/>
      <c r="E7" s="9"/>
      <c r="F7" s="10">
        <f>SUM(B7:E7)</f>
        <v>0</v>
      </c>
    </row>
    <row r="8" spans="1:9" x14ac:dyDescent="0.25">
      <c r="A8" s="4" t="s">
        <v>2</v>
      </c>
      <c r="B8" s="11">
        <v>0.3263888888888889</v>
      </c>
      <c r="C8" s="12">
        <v>8.3333333333333329E-2</v>
      </c>
      <c r="D8" s="12"/>
      <c r="E8" s="12"/>
      <c r="F8" s="13"/>
    </row>
    <row r="9" spans="1:9" x14ac:dyDescent="0.25">
      <c r="A9" s="4" t="s">
        <v>3</v>
      </c>
      <c r="B9" s="16">
        <v>40000</v>
      </c>
      <c r="C9" s="16">
        <v>20000</v>
      </c>
      <c r="D9" s="11"/>
      <c r="E9" s="15"/>
      <c r="F9" s="16">
        <f>SUM(C9:E9)</f>
        <v>20000</v>
      </c>
    </row>
    <row r="10" spans="1:9" ht="15.75" thickBot="1" x14ac:dyDescent="0.3"/>
    <row r="11" spans="1:9" ht="18.75" x14ac:dyDescent="0.3">
      <c r="A11" s="131" t="s">
        <v>175</v>
      </c>
      <c r="B11" s="132"/>
      <c r="C11" s="132"/>
      <c r="D11" s="132"/>
      <c r="E11" s="132"/>
      <c r="F11" s="132"/>
      <c r="G11" s="132"/>
      <c r="H11" s="132"/>
      <c r="I11" s="135"/>
    </row>
    <row r="12" spans="1:9" ht="18.75" x14ac:dyDescent="0.3">
      <c r="A12" s="133" t="s">
        <v>177</v>
      </c>
      <c r="B12" s="134"/>
      <c r="C12" s="134"/>
      <c r="D12" s="134"/>
      <c r="E12" s="134"/>
      <c r="F12" s="134"/>
      <c r="G12" s="134"/>
      <c r="H12" s="134"/>
      <c r="I12" s="136"/>
    </row>
    <row r="13" spans="1:9" ht="18.75" x14ac:dyDescent="0.3">
      <c r="A13" s="133" t="s">
        <v>43</v>
      </c>
      <c r="B13" s="134"/>
      <c r="C13" s="134"/>
      <c r="D13" s="134"/>
      <c r="E13" s="134"/>
      <c r="F13" s="134"/>
      <c r="G13" s="134"/>
      <c r="H13" s="134"/>
      <c r="I13" s="134"/>
    </row>
    <row r="14" spans="1:9" x14ac:dyDescent="0.25">
      <c r="A14" s="1" t="s">
        <v>0</v>
      </c>
      <c r="B14" s="2">
        <v>13817</v>
      </c>
      <c r="C14" s="2">
        <v>13495</v>
      </c>
      <c r="D14" s="2"/>
      <c r="E14" s="2"/>
      <c r="F14" s="2"/>
      <c r="G14" s="2"/>
      <c r="H14" s="2"/>
      <c r="I14" s="2" t="s">
        <v>1</v>
      </c>
    </row>
    <row r="15" spans="1:9" x14ac:dyDescent="0.25">
      <c r="A15" s="4"/>
      <c r="B15" s="5">
        <v>46207</v>
      </c>
      <c r="C15" s="35">
        <v>46218</v>
      </c>
      <c r="D15" s="5"/>
      <c r="E15" s="5"/>
      <c r="F15" s="5"/>
      <c r="G15" s="5"/>
      <c r="H15" s="5"/>
      <c r="I15" s="5">
        <v>46173</v>
      </c>
    </row>
    <row r="16" spans="1:9" x14ac:dyDescent="0.25">
      <c r="A16" s="7" t="s">
        <v>178</v>
      </c>
      <c r="B16" s="8">
        <v>4</v>
      </c>
      <c r="C16" s="9">
        <v>-4</v>
      </c>
      <c r="D16" s="9"/>
      <c r="E16" s="9"/>
      <c r="F16" s="9"/>
      <c r="G16" s="9"/>
      <c r="H16" s="9"/>
      <c r="I16" s="10">
        <f>SUM(B16:F16)</f>
        <v>0</v>
      </c>
    </row>
    <row r="17" spans="1:9" x14ac:dyDescent="0.25">
      <c r="A17" s="7" t="s">
        <v>8</v>
      </c>
      <c r="B17" s="8">
        <v>4</v>
      </c>
      <c r="C17" s="9">
        <v>-2</v>
      </c>
      <c r="D17" s="9"/>
      <c r="E17" s="9"/>
      <c r="F17" s="9"/>
      <c r="G17" s="9"/>
      <c r="H17" s="9"/>
      <c r="I17" s="29">
        <f>SUM(B17:F17)</f>
        <v>2</v>
      </c>
    </row>
    <row r="18" spans="1:9" x14ac:dyDescent="0.25">
      <c r="A18" s="7" t="s">
        <v>165</v>
      </c>
      <c r="B18" s="8">
        <v>2</v>
      </c>
      <c r="C18" s="9">
        <v>-2</v>
      </c>
      <c r="D18" s="9"/>
      <c r="E18" s="9"/>
      <c r="F18" s="9"/>
      <c r="G18" s="9"/>
      <c r="H18" s="9"/>
      <c r="I18" s="10">
        <f>SUM(B18:F18)</f>
        <v>0</v>
      </c>
    </row>
    <row r="19" spans="1:9" x14ac:dyDescent="0.25">
      <c r="A19" s="4" t="s">
        <v>2</v>
      </c>
      <c r="B19" s="11">
        <v>0.31944444444444442</v>
      </c>
      <c r="C19" s="12">
        <v>8.3333333333333329E-2</v>
      </c>
      <c r="D19" s="12"/>
      <c r="E19" s="12"/>
      <c r="F19" s="12"/>
      <c r="G19" s="12"/>
      <c r="H19" s="12"/>
      <c r="I19" s="13"/>
    </row>
    <row r="20" spans="1:9" x14ac:dyDescent="0.25">
      <c r="A20" s="4" t="s">
        <v>3</v>
      </c>
      <c r="B20" s="15">
        <v>20000</v>
      </c>
      <c r="C20" s="15">
        <v>20000</v>
      </c>
      <c r="D20" s="15"/>
      <c r="E20" s="15"/>
      <c r="F20" s="15"/>
      <c r="G20" s="15"/>
      <c r="H20" s="15"/>
      <c r="I20" s="16">
        <f>SUM(B20:E20)</f>
        <v>40000</v>
      </c>
    </row>
  </sheetData>
  <mergeCells count="6">
    <mergeCell ref="A13:I13"/>
    <mergeCell ref="A1:F1"/>
    <mergeCell ref="A2:F2"/>
    <mergeCell ref="A3:F3"/>
    <mergeCell ref="A11:I11"/>
    <mergeCell ref="A12:I12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0431-3803-4653-9FD8-24C2B826AC68}">
  <dimension ref="A1:J10"/>
  <sheetViews>
    <sheetView workbookViewId="0">
      <selection activeCell="E20" sqref="E20"/>
    </sheetView>
  </sheetViews>
  <sheetFormatPr baseColWidth="10" defaultRowHeight="15" x14ac:dyDescent="0.25"/>
  <cols>
    <col min="1" max="1" width="31" customWidth="1"/>
    <col min="9" max="9" width="19.85546875" customWidth="1"/>
  </cols>
  <sheetData>
    <row r="1" spans="1:10" ht="18.75" x14ac:dyDescent="0.3">
      <c r="A1" s="131" t="s">
        <v>66</v>
      </c>
      <c r="B1" s="132"/>
      <c r="C1" s="132"/>
      <c r="D1" s="132"/>
      <c r="E1" s="132"/>
      <c r="F1" s="132"/>
      <c r="G1" s="132"/>
      <c r="H1" s="132"/>
      <c r="I1" s="132"/>
    </row>
    <row r="2" spans="1:10" ht="18.75" x14ac:dyDescent="0.3">
      <c r="A2" s="133" t="s">
        <v>67</v>
      </c>
      <c r="B2" s="134"/>
      <c r="C2" s="134"/>
      <c r="D2" s="134"/>
      <c r="E2" s="134"/>
      <c r="F2" s="134"/>
      <c r="G2" s="134"/>
      <c r="H2" s="134"/>
      <c r="I2" s="134"/>
    </row>
    <row r="3" spans="1:10" ht="18.75" x14ac:dyDescent="0.3">
      <c r="A3" s="133" t="s">
        <v>30</v>
      </c>
      <c r="B3" s="134"/>
      <c r="C3" s="134"/>
      <c r="D3" s="134"/>
      <c r="E3" s="134"/>
      <c r="F3" s="134"/>
      <c r="G3" s="134"/>
      <c r="H3" s="134"/>
      <c r="I3" s="134"/>
    </row>
    <row r="4" spans="1:10" x14ac:dyDescent="0.25">
      <c r="A4" s="1" t="s">
        <v>0</v>
      </c>
      <c r="B4" s="2">
        <v>13738</v>
      </c>
      <c r="C4" s="2">
        <v>13739</v>
      </c>
      <c r="D4" s="2">
        <v>13742</v>
      </c>
      <c r="E4" s="2">
        <v>13749</v>
      </c>
      <c r="F4" s="2">
        <v>13460</v>
      </c>
      <c r="G4" s="2">
        <v>13814</v>
      </c>
      <c r="H4" s="2">
        <v>13466</v>
      </c>
      <c r="I4" s="2" t="s">
        <v>52</v>
      </c>
      <c r="J4">
        <f>SUM(B4:I4)</f>
        <v>95708</v>
      </c>
    </row>
    <row r="5" spans="1:10" x14ac:dyDescent="0.25">
      <c r="A5" s="4"/>
      <c r="B5" s="5">
        <v>46198</v>
      </c>
      <c r="C5" s="5">
        <v>46198</v>
      </c>
      <c r="D5" s="5">
        <v>46199</v>
      </c>
      <c r="E5" s="5">
        <v>46203</v>
      </c>
      <c r="F5" s="5">
        <v>46205</v>
      </c>
      <c r="G5" s="5">
        <v>46206</v>
      </c>
      <c r="H5" s="5">
        <v>46209</v>
      </c>
      <c r="I5" s="5">
        <v>46203</v>
      </c>
    </row>
    <row r="6" spans="1:10" x14ac:dyDescent="0.25">
      <c r="A6" s="7" t="s">
        <v>68</v>
      </c>
      <c r="B6" s="8">
        <v>8</v>
      </c>
      <c r="C6" s="9">
        <v>1</v>
      </c>
      <c r="D6" s="9">
        <v>1</v>
      </c>
      <c r="E6" s="9"/>
      <c r="F6" s="9">
        <v>-7</v>
      </c>
      <c r="G6" s="9">
        <v>2</v>
      </c>
      <c r="H6" s="9">
        <v>-5</v>
      </c>
      <c r="I6" s="10">
        <f>SUM(B6:H6)</f>
        <v>0</v>
      </c>
      <c r="J6" s="74"/>
    </row>
    <row r="7" spans="1:10" x14ac:dyDescent="0.25">
      <c r="A7" s="7" t="s">
        <v>28</v>
      </c>
      <c r="B7" s="8">
        <v>8</v>
      </c>
      <c r="C7" s="9">
        <v>4</v>
      </c>
      <c r="D7" s="9">
        <v>2</v>
      </c>
      <c r="E7" s="9"/>
      <c r="F7" s="9">
        <v>-11</v>
      </c>
      <c r="G7" s="9">
        <v>4</v>
      </c>
      <c r="H7" s="9">
        <v>-7</v>
      </c>
      <c r="I7" s="10">
        <f>SUM(B7:H7)</f>
        <v>0</v>
      </c>
    </row>
    <row r="8" spans="1:10" x14ac:dyDescent="0.25">
      <c r="A8" s="7" t="s">
        <v>23</v>
      </c>
      <c r="B8" s="8"/>
      <c r="C8" s="9"/>
      <c r="D8" s="9"/>
      <c r="E8" s="9">
        <v>6</v>
      </c>
      <c r="F8" s="9">
        <v>-3</v>
      </c>
      <c r="G8" s="9"/>
      <c r="H8" s="9">
        <v>-3</v>
      </c>
      <c r="I8" s="10">
        <f>SUM(B8:H8)</f>
        <v>0</v>
      </c>
    </row>
    <row r="9" spans="1:10" x14ac:dyDescent="0.25">
      <c r="A9" s="4" t="s">
        <v>2</v>
      </c>
      <c r="B9" s="21">
        <v>0.42916666666666664</v>
      </c>
      <c r="C9" s="12">
        <v>9.8611111111111108E-2</v>
      </c>
      <c r="D9" s="12">
        <v>0.19444444444444445</v>
      </c>
      <c r="E9" s="12">
        <v>0.4826388888888889</v>
      </c>
      <c r="F9" s="12">
        <v>0.14583333333333334</v>
      </c>
      <c r="G9" s="12">
        <v>0.4548611111111111</v>
      </c>
      <c r="H9" s="12">
        <v>0.4375</v>
      </c>
      <c r="I9" s="13"/>
    </row>
    <row r="10" spans="1:10" x14ac:dyDescent="0.25">
      <c r="A10" s="4" t="s">
        <v>3</v>
      </c>
      <c r="B10" s="15" t="s">
        <v>69</v>
      </c>
      <c r="C10" s="15" t="s">
        <v>70</v>
      </c>
      <c r="D10" s="15" t="s">
        <v>70</v>
      </c>
      <c r="E10" s="15" t="s">
        <v>69</v>
      </c>
      <c r="F10" s="15" t="s">
        <v>69</v>
      </c>
      <c r="G10" s="15" t="s">
        <v>69</v>
      </c>
      <c r="H10" s="15" t="s">
        <v>69</v>
      </c>
      <c r="I10" s="16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5506-47A2-4B59-B98A-55044FFF97E0}">
  <dimension ref="A1:F10"/>
  <sheetViews>
    <sheetView workbookViewId="0">
      <selection activeCell="I8" sqref="I8:I9"/>
    </sheetView>
  </sheetViews>
  <sheetFormatPr baseColWidth="10" defaultRowHeight="15" x14ac:dyDescent="0.25"/>
  <cols>
    <col min="1" max="1" width="31" bestFit="1" customWidth="1"/>
  </cols>
  <sheetData>
    <row r="1" spans="1:6" ht="18.75" x14ac:dyDescent="0.3">
      <c r="A1" s="138" t="s">
        <v>71</v>
      </c>
      <c r="B1" s="134"/>
      <c r="C1" s="134"/>
      <c r="D1" s="134"/>
      <c r="E1" s="134"/>
      <c r="F1" s="139"/>
    </row>
    <row r="2" spans="1:6" ht="18.75" x14ac:dyDescent="0.3">
      <c r="A2" s="138" t="s">
        <v>72</v>
      </c>
      <c r="B2" s="134"/>
      <c r="C2" s="134"/>
      <c r="D2" s="134"/>
      <c r="E2" s="134"/>
      <c r="F2" s="139"/>
    </row>
    <row r="3" spans="1:6" ht="18.75" x14ac:dyDescent="0.3">
      <c r="A3" s="138" t="s">
        <v>73</v>
      </c>
      <c r="B3" s="134"/>
      <c r="C3" s="134"/>
      <c r="D3" s="134"/>
      <c r="E3" s="134"/>
      <c r="F3" s="139"/>
    </row>
    <row r="4" spans="1:6" x14ac:dyDescent="0.25">
      <c r="A4" s="140" t="s">
        <v>0</v>
      </c>
      <c r="B4" s="22">
        <v>13792</v>
      </c>
      <c r="C4" s="13"/>
      <c r="D4" s="13"/>
      <c r="E4" s="13"/>
      <c r="F4" s="22" t="s">
        <v>52</v>
      </c>
    </row>
    <row r="5" spans="1:6" x14ac:dyDescent="0.25">
      <c r="A5" s="141"/>
      <c r="B5" s="5">
        <v>46182</v>
      </c>
      <c r="C5" s="5"/>
      <c r="D5" s="5"/>
      <c r="E5" s="5"/>
      <c r="F5" s="5">
        <v>46234</v>
      </c>
    </row>
    <row r="6" spans="1:6" x14ac:dyDescent="0.25">
      <c r="A6" s="17" t="s">
        <v>74</v>
      </c>
      <c r="B6" s="23">
        <v>2</v>
      </c>
      <c r="C6" s="24">
        <v>-2</v>
      </c>
      <c r="D6" s="24"/>
      <c r="E6" s="24"/>
      <c r="F6" s="10">
        <f t="shared" ref="F6" si="0">SUM(B6:E6)</f>
        <v>0</v>
      </c>
    </row>
    <row r="7" spans="1:6" x14ac:dyDescent="0.25">
      <c r="A7" s="17" t="s">
        <v>7</v>
      </c>
      <c r="B7" s="23">
        <v>6</v>
      </c>
      <c r="C7" s="24">
        <v>-6</v>
      </c>
      <c r="D7" s="24"/>
      <c r="E7" s="24"/>
      <c r="F7" s="10">
        <f>SUM(B7:E7)</f>
        <v>0</v>
      </c>
    </row>
    <row r="8" spans="1:6" x14ac:dyDescent="0.25">
      <c r="A8" s="17" t="s">
        <v>75</v>
      </c>
      <c r="B8" s="23">
        <v>6</v>
      </c>
      <c r="C8" s="24">
        <v>-6</v>
      </c>
      <c r="D8" s="24"/>
      <c r="E8" s="24"/>
      <c r="F8" s="10">
        <f>SUM(B8:E8)</f>
        <v>0</v>
      </c>
    </row>
    <row r="9" spans="1:6" x14ac:dyDescent="0.25">
      <c r="A9" s="25" t="s">
        <v>76</v>
      </c>
      <c r="B9" s="27"/>
      <c r="C9" s="11"/>
      <c r="D9" s="11"/>
      <c r="E9" s="11"/>
      <c r="F9" s="13"/>
    </row>
    <row r="10" spans="1:6" x14ac:dyDescent="0.25">
      <c r="A10" s="25" t="s">
        <v>77</v>
      </c>
      <c r="B10" s="28"/>
      <c r="C10" s="26"/>
      <c r="D10" s="26"/>
      <c r="E10" s="26"/>
      <c r="F10" s="16">
        <f>SUM(B10:E10)</f>
        <v>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0558-DC61-4D13-BCA1-E47E9C254221}">
  <dimension ref="A1:G21"/>
  <sheetViews>
    <sheetView topLeftCell="A2" workbookViewId="0">
      <selection activeCell="J5" sqref="J5"/>
    </sheetView>
  </sheetViews>
  <sheetFormatPr baseColWidth="10" defaultRowHeight="15" x14ac:dyDescent="0.25"/>
  <cols>
    <col min="1" max="1" width="29.5703125" bestFit="1" customWidth="1"/>
  </cols>
  <sheetData>
    <row r="1" spans="1:7" ht="18.75" x14ac:dyDescent="0.3">
      <c r="A1" s="131" t="s">
        <v>46</v>
      </c>
      <c r="B1" s="132"/>
      <c r="C1" s="132"/>
      <c r="D1" s="132"/>
      <c r="E1" s="132"/>
      <c r="F1" s="132"/>
      <c r="G1" s="135"/>
    </row>
    <row r="2" spans="1:7" ht="18.75" x14ac:dyDescent="0.3">
      <c r="A2" s="133" t="s">
        <v>47</v>
      </c>
      <c r="B2" s="134"/>
      <c r="C2" s="134"/>
      <c r="D2" s="134"/>
      <c r="E2" s="134"/>
      <c r="F2" s="134"/>
      <c r="G2" s="136"/>
    </row>
    <row r="3" spans="1:7" ht="18.75" x14ac:dyDescent="0.3">
      <c r="A3" s="133" t="s">
        <v>65</v>
      </c>
      <c r="B3" s="134"/>
      <c r="C3" s="134"/>
      <c r="D3" s="134"/>
      <c r="E3" s="134"/>
      <c r="F3" s="134"/>
      <c r="G3" s="134"/>
    </row>
    <row r="4" spans="1:7" x14ac:dyDescent="0.25">
      <c r="A4" s="1" t="s">
        <v>0</v>
      </c>
      <c r="B4" s="2" t="s">
        <v>52</v>
      </c>
      <c r="C4" s="2">
        <v>13832</v>
      </c>
      <c r="D4" s="2">
        <v>13847</v>
      </c>
      <c r="E4" s="2">
        <v>13513</v>
      </c>
      <c r="F4" s="2"/>
      <c r="G4" s="3" t="s">
        <v>1</v>
      </c>
    </row>
    <row r="5" spans="1:7" x14ac:dyDescent="0.25">
      <c r="A5" s="4"/>
      <c r="B5" s="5" t="s">
        <v>53</v>
      </c>
      <c r="C5" s="5">
        <v>46211</v>
      </c>
      <c r="D5" s="5">
        <v>46217</v>
      </c>
      <c r="E5" s="5">
        <v>46226</v>
      </c>
      <c r="F5" s="5"/>
      <c r="G5" s="6">
        <v>46234</v>
      </c>
    </row>
    <row r="6" spans="1:7" x14ac:dyDescent="0.25">
      <c r="A6" s="7" t="s">
        <v>23</v>
      </c>
      <c r="B6" s="8">
        <v>154</v>
      </c>
      <c r="C6" s="9"/>
      <c r="D6" s="9"/>
      <c r="E6" s="9"/>
      <c r="F6" s="9"/>
      <c r="G6" s="10">
        <f t="shared" ref="G6:G12" si="0">SUM(B6:F6)</f>
        <v>154</v>
      </c>
    </row>
    <row r="7" spans="1:7" x14ac:dyDescent="0.25">
      <c r="A7" s="7" t="s">
        <v>48</v>
      </c>
      <c r="B7" s="8">
        <v>100</v>
      </c>
      <c r="C7" s="9"/>
      <c r="D7" s="9"/>
      <c r="E7" s="9"/>
      <c r="F7" s="9"/>
      <c r="G7" s="10">
        <f t="shared" si="0"/>
        <v>100</v>
      </c>
    </row>
    <row r="8" spans="1:7" x14ac:dyDescent="0.25">
      <c r="A8" s="7" t="s">
        <v>27</v>
      </c>
      <c r="B8" s="8">
        <v>5</v>
      </c>
      <c r="C8" s="9"/>
      <c r="D8" s="9"/>
      <c r="E8" s="9"/>
      <c r="F8" s="9"/>
      <c r="G8" s="10">
        <f t="shared" si="0"/>
        <v>5</v>
      </c>
    </row>
    <row r="9" spans="1:7" x14ac:dyDescent="0.25">
      <c r="A9" s="7" t="s">
        <v>26</v>
      </c>
      <c r="B9" s="8">
        <v>65</v>
      </c>
      <c r="C9" s="9"/>
      <c r="D9" s="9"/>
      <c r="E9" s="9"/>
      <c r="F9" s="9"/>
      <c r="G9" s="10">
        <f t="shared" si="0"/>
        <v>65</v>
      </c>
    </row>
    <row r="10" spans="1:7" x14ac:dyDescent="0.25">
      <c r="A10" s="7" t="s">
        <v>49</v>
      </c>
      <c r="B10" s="8">
        <v>1</v>
      </c>
      <c r="C10" s="9"/>
      <c r="D10" s="9"/>
      <c r="E10" s="9"/>
      <c r="F10" s="9"/>
      <c r="G10" s="10">
        <f t="shared" si="0"/>
        <v>1</v>
      </c>
    </row>
    <row r="11" spans="1:7" x14ac:dyDescent="0.25">
      <c r="A11" s="7" t="s">
        <v>50</v>
      </c>
      <c r="B11" s="8">
        <v>2</v>
      </c>
      <c r="C11" s="9"/>
      <c r="D11" s="9"/>
      <c r="E11" s="9"/>
      <c r="F11" s="9"/>
      <c r="G11" s="10">
        <f t="shared" si="0"/>
        <v>2</v>
      </c>
    </row>
    <row r="12" spans="1:7" x14ac:dyDescent="0.25">
      <c r="A12" s="7" t="s">
        <v>51</v>
      </c>
      <c r="B12" s="8">
        <v>10</v>
      </c>
      <c r="C12" s="9"/>
      <c r="D12" s="9"/>
      <c r="E12" s="9"/>
      <c r="F12" s="9"/>
      <c r="G12" s="10">
        <f t="shared" si="0"/>
        <v>10</v>
      </c>
    </row>
    <row r="13" spans="1:7" x14ac:dyDescent="0.25">
      <c r="A13" s="7" t="s">
        <v>80</v>
      </c>
      <c r="B13" s="8"/>
      <c r="C13" s="9">
        <v>12</v>
      </c>
      <c r="D13" s="9"/>
      <c r="E13" s="9">
        <v>-12</v>
      </c>
      <c r="F13" s="9"/>
      <c r="G13" s="10">
        <f t="shared" ref="G13:G20" si="1">SUM(C13:F13)</f>
        <v>0</v>
      </c>
    </row>
    <row r="14" spans="1:7" x14ac:dyDescent="0.25">
      <c r="A14" s="7" t="s">
        <v>92</v>
      </c>
      <c r="B14" s="8"/>
      <c r="C14" s="9">
        <v>12</v>
      </c>
      <c r="D14" s="9"/>
      <c r="E14" s="9">
        <v>-12</v>
      </c>
      <c r="F14" s="9"/>
      <c r="G14" s="10">
        <f t="shared" si="1"/>
        <v>0</v>
      </c>
    </row>
    <row r="15" spans="1:7" x14ac:dyDescent="0.25">
      <c r="A15" s="7" t="s">
        <v>246</v>
      </c>
      <c r="B15" s="8"/>
      <c r="C15" s="9">
        <v>6</v>
      </c>
      <c r="D15" s="9"/>
      <c r="E15" s="9">
        <v>-6</v>
      </c>
      <c r="F15" s="9"/>
      <c r="G15" s="10">
        <f t="shared" si="1"/>
        <v>0</v>
      </c>
    </row>
    <row r="16" spans="1:7" x14ac:dyDescent="0.25">
      <c r="A16" s="7" t="s">
        <v>232</v>
      </c>
      <c r="B16" s="8"/>
      <c r="C16" s="9">
        <v>6</v>
      </c>
      <c r="D16" s="9"/>
      <c r="E16" s="9">
        <v>-6</v>
      </c>
      <c r="F16" s="9"/>
      <c r="G16" s="10">
        <f t="shared" si="1"/>
        <v>0</v>
      </c>
    </row>
    <row r="17" spans="1:7" x14ac:dyDescent="0.25">
      <c r="A17" s="7" t="s">
        <v>16</v>
      </c>
      <c r="B17" s="8"/>
      <c r="C17" s="9">
        <v>12</v>
      </c>
      <c r="D17" s="9"/>
      <c r="E17" s="9">
        <v>-12</v>
      </c>
      <c r="F17" s="9"/>
      <c r="G17" s="10">
        <f t="shared" si="1"/>
        <v>0</v>
      </c>
    </row>
    <row r="18" spans="1:7" x14ac:dyDescent="0.25">
      <c r="A18" s="7" t="s">
        <v>17</v>
      </c>
      <c r="B18" s="8"/>
      <c r="C18" s="9">
        <v>24</v>
      </c>
      <c r="D18" s="9">
        <v>3</v>
      </c>
      <c r="E18" s="9">
        <v>-27</v>
      </c>
      <c r="F18" s="9"/>
      <c r="G18" s="10">
        <f t="shared" si="1"/>
        <v>0</v>
      </c>
    </row>
    <row r="19" spans="1:7" x14ac:dyDescent="0.25">
      <c r="A19" s="7" t="s">
        <v>14</v>
      </c>
      <c r="B19" s="8"/>
      <c r="C19" s="9">
        <v>350</v>
      </c>
      <c r="D19" s="9"/>
      <c r="E19" s="9">
        <v>-350</v>
      </c>
      <c r="F19" s="9"/>
      <c r="G19" s="10">
        <f t="shared" si="1"/>
        <v>0</v>
      </c>
    </row>
    <row r="20" spans="1:7" x14ac:dyDescent="0.25">
      <c r="A20" s="4" t="s">
        <v>2</v>
      </c>
      <c r="B20" s="18"/>
      <c r="C20" s="12">
        <v>0.36805555555555558</v>
      </c>
      <c r="D20" s="12">
        <v>0.43402777777777779</v>
      </c>
      <c r="E20" s="12">
        <v>0.39583333333333331</v>
      </c>
      <c r="F20" s="12"/>
      <c r="G20" s="13">
        <f t="shared" si="1"/>
        <v>1.1979166666666667</v>
      </c>
    </row>
    <row r="21" spans="1:7" x14ac:dyDescent="0.25">
      <c r="A21" s="4" t="s">
        <v>3</v>
      </c>
      <c r="B21" s="19"/>
      <c r="C21" s="15" t="s">
        <v>247</v>
      </c>
      <c r="D21" s="15" t="s">
        <v>280</v>
      </c>
      <c r="E21" s="15" t="s">
        <v>179</v>
      </c>
      <c r="F21" s="15"/>
      <c r="G21" s="16">
        <f>SUM(B21:F21)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B86-A155-4B03-AFAE-94A229821D30}">
  <dimension ref="A1:K30"/>
  <sheetViews>
    <sheetView workbookViewId="0">
      <selection activeCell="L18" sqref="L18"/>
    </sheetView>
  </sheetViews>
  <sheetFormatPr baseColWidth="10" defaultRowHeight="15" x14ac:dyDescent="0.25"/>
  <cols>
    <col min="1" max="1" width="31" bestFit="1" customWidth="1"/>
    <col min="5" max="5" width="12.85546875" bestFit="1" customWidth="1"/>
  </cols>
  <sheetData>
    <row r="1" spans="1:10" ht="18.75" x14ac:dyDescent="0.3">
      <c r="A1" s="131" t="s">
        <v>54</v>
      </c>
      <c r="B1" s="132"/>
      <c r="C1" s="132"/>
      <c r="D1" s="132"/>
      <c r="E1" s="132"/>
      <c r="F1" s="132"/>
      <c r="G1" s="132"/>
      <c r="H1" s="132"/>
      <c r="I1" s="132"/>
      <c r="J1" s="135"/>
    </row>
    <row r="2" spans="1:10" ht="18.75" x14ac:dyDescent="0.3">
      <c r="A2" s="133" t="s">
        <v>55</v>
      </c>
      <c r="B2" s="134"/>
      <c r="C2" s="134"/>
      <c r="D2" s="134"/>
      <c r="E2" s="134"/>
      <c r="F2" s="134"/>
      <c r="G2" s="134"/>
      <c r="H2" s="134"/>
      <c r="I2" s="134"/>
      <c r="J2" s="136"/>
    </row>
    <row r="3" spans="1:10" ht="18.75" x14ac:dyDescent="0.3">
      <c r="A3" s="133" t="s">
        <v>64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x14ac:dyDescent="0.25">
      <c r="A4" s="1">
        <v>0</v>
      </c>
      <c r="B4" s="2" t="s">
        <v>1</v>
      </c>
      <c r="C4" s="2">
        <v>13464</v>
      </c>
      <c r="D4" s="2">
        <v>13868</v>
      </c>
      <c r="E4" s="2">
        <v>13869</v>
      </c>
      <c r="F4" s="2">
        <v>13510</v>
      </c>
      <c r="G4" s="2"/>
      <c r="H4" s="2"/>
      <c r="I4" s="2"/>
      <c r="J4" s="2" t="s">
        <v>1</v>
      </c>
    </row>
    <row r="5" spans="1:10" x14ac:dyDescent="0.25">
      <c r="A5" s="4"/>
      <c r="B5" s="5" t="s">
        <v>53</v>
      </c>
      <c r="C5" s="5">
        <v>46206</v>
      </c>
      <c r="D5" s="5">
        <v>46224</v>
      </c>
      <c r="E5" s="5">
        <v>46224</v>
      </c>
      <c r="F5" s="5">
        <v>46224</v>
      </c>
      <c r="G5" s="5"/>
      <c r="H5" s="5"/>
      <c r="I5" s="5"/>
      <c r="J5" s="5">
        <v>46234</v>
      </c>
    </row>
    <row r="6" spans="1:10" x14ac:dyDescent="0.25">
      <c r="A6" s="17" t="s">
        <v>56</v>
      </c>
      <c r="B6" s="8">
        <v>38</v>
      </c>
      <c r="C6" s="9">
        <v>-34</v>
      </c>
      <c r="D6" s="9"/>
      <c r="E6" s="9"/>
      <c r="F6" s="9"/>
      <c r="G6" s="9"/>
      <c r="H6" s="9"/>
      <c r="I6" s="9"/>
      <c r="J6" s="10">
        <f>SUM(B6:I6)</f>
        <v>4</v>
      </c>
    </row>
    <row r="7" spans="1:10" x14ac:dyDescent="0.25">
      <c r="A7" s="17" t="s">
        <v>57</v>
      </c>
      <c r="B7" s="8">
        <v>10</v>
      </c>
      <c r="C7" s="9">
        <v>-6</v>
      </c>
      <c r="D7" s="9">
        <v>8</v>
      </c>
      <c r="E7" s="9"/>
      <c r="F7" s="9"/>
      <c r="G7" s="9"/>
      <c r="H7" s="9"/>
      <c r="I7" s="9"/>
      <c r="J7" s="10">
        <f t="shared" ref="J7:J27" si="0">SUM(B7:I7)</f>
        <v>12</v>
      </c>
    </row>
    <row r="8" spans="1:10" x14ac:dyDescent="0.25">
      <c r="A8" s="17" t="s">
        <v>58</v>
      </c>
      <c r="B8" s="8">
        <v>6</v>
      </c>
      <c r="C8" s="9"/>
      <c r="D8" s="9"/>
      <c r="E8" s="9"/>
      <c r="F8" s="9"/>
      <c r="G8" s="9"/>
      <c r="H8" s="9"/>
      <c r="I8" s="9"/>
      <c r="J8" s="10">
        <f t="shared" si="0"/>
        <v>6</v>
      </c>
    </row>
    <row r="9" spans="1:10" x14ac:dyDescent="0.25">
      <c r="A9" s="17" t="s">
        <v>15</v>
      </c>
      <c r="B9" s="8">
        <v>4</v>
      </c>
      <c r="C9" s="9"/>
      <c r="D9" s="9">
        <v>8</v>
      </c>
      <c r="E9" s="9"/>
      <c r="F9" s="9"/>
      <c r="G9" s="9"/>
      <c r="H9" s="9"/>
      <c r="I9" s="9"/>
      <c r="J9" s="10">
        <f t="shared" si="0"/>
        <v>12</v>
      </c>
    </row>
    <row r="10" spans="1:10" x14ac:dyDescent="0.25">
      <c r="A10" s="17" t="s">
        <v>59</v>
      </c>
      <c r="B10" s="8">
        <v>11</v>
      </c>
      <c r="C10" s="9"/>
      <c r="D10" s="9">
        <v>8</v>
      </c>
      <c r="E10" s="9"/>
      <c r="F10" s="9">
        <v>-8</v>
      </c>
      <c r="G10" s="9"/>
      <c r="H10" s="9"/>
      <c r="I10" s="9"/>
      <c r="J10" s="10">
        <f t="shared" si="0"/>
        <v>11</v>
      </c>
    </row>
    <row r="11" spans="1:10" x14ac:dyDescent="0.25">
      <c r="A11" s="17" t="s">
        <v>60</v>
      </c>
      <c r="B11" s="8">
        <v>12</v>
      </c>
      <c r="C11" s="9">
        <v>-12</v>
      </c>
      <c r="D11" s="9"/>
      <c r="E11" s="9"/>
      <c r="F11" s="9"/>
      <c r="G11" s="9"/>
      <c r="H11" s="9"/>
      <c r="I11" s="9"/>
      <c r="J11" s="10">
        <f t="shared" si="0"/>
        <v>0</v>
      </c>
    </row>
    <row r="12" spans="1:10" x14ac:dyDescent="0.25">
      <c r="A12" s="17" t="s">
        <v>27</v>
      </c>
      <c r="B12" s="8">
        <v>5</v>
      </c>
      <c r="C12" s="9">
        <v>-5</v>
      </c>
      <c r="D12" s="9"/>
      <c r="E12" s="9"/>
      <c r="F12" s="9"/>
      <c r="G12" s="9"/>
      <c r="H12" s="9"/>
      <c r="I12" s="9"/>
      <c r="J12" s="10">
        <f t="shared" si="0"/>
        <v>0</v>
      </c>
    </row>
    <row r="13" spans="1:10" x14ac:dyDescent="0.25">
      <c r="A13" s="17" t="s">
        <v>20</v>
      </c>
      <c r="B13" s="8"/>
      <c r="C13" s="9"/>
      <c r="D13" s="9">
        <v>23</v>
      </c>
      <c r="E13" s="9"/>
      <c r="F13" s="9"/>
      <c r="G13" s="9"/>
      <c r="H13" s="9"/>
      <c r="I13" s="9"/>
      <c r="J13" s="10">
        <f t="shared" si="0"/>
        <v>23</v>
      </c>
    </row>
    <row r="14" spans="1:10" x14ac:dyDescent="0.25">
      <c r="A14" s="17" t="s">
        <v>80</v>
      </c>
      <c r="B14" s="8"/>
      <c r="C14" s="9"/>
      <c r="D14" s="9">
        <v>12</v>
      </c>
      <c r="E14" s="9"/>
      <c r="F14" s="9"/>
      <c r="G14" s="9"/>
      <c r="H14" s="9"/>
      <c r="I14" s="9"/>
      <c r="J14" s="10">
        <f t="shared" si="0"/>
        <v>12</v>
      </c>
    </row>
    <row r="15" spans="1:10" x14ac:dyDescent="0.25">
      <c r="A15" s="17" t="s">
        <v>92</v>
      </c>
      <c r="B15" s="8"/>
      <c r="C15" s="9"/>
      <c r="D15" s="9">
        <v>15</v>
      </c>
      <c r="E15" s="9">
        <v>18</v>
      </c>
      <c r="F15" s="9"/>
      <c r="G15" s="9"/>
      <c r="H15" s="9"/>
      <c r="I15" s="9"/>
      <c r="J15" s="10">
        <f t="shared" si="0"/>
        <v>33</v>
      </c>
    </row>
    <row r="16" spans="1:10" x14ac:dyDescent="0.25">
      <c r="A16" s="17" t="s">
        <v>40</v>
      </c>
      <c r="B16" s="8"/>
      <c r="C16" s="9"/>
      <c r="D16" s="9"/>
      <c r="E16" s="9">
        <v>12</v>
      </c>
      <c r="F16" s="9"/>
      <c r="G16" s="9"/>
      <c r="H16" s="9"/>
      <c r="I16" s="9"/>
      <c r="J16" s="10">
        <f>SUM(E16:I16)</f>
        <v>12</v>
      </c>
    </row>
    <row r="17" spans="1:11" x14ac:dyDescent="0.25">
      <c r="A17" s="17" t="s">
        <v>379</v>
      </c>
      <c r="B17" s="8"/>
      <c r="C17" s="9"/>
      <c r="D17" s="9"/>
      <c r="E17" s="9">
        <v>6</v>
      </c>
      <c r="F17" s="9"/>
      <c r="G17" s="9"/>
      <c r="H17" s="9"/>
      <c r="I17" s="9"/>
      <c r="J17" s="10">
        <f>SUM(E17:I17)</f>
        <v>6</v>
      </c>
    </row>
    <row r="18" spans="1:11" x14ac:dyDescent="0.25">
      <c r="A18" s="17" t="s">
        <v>374</v>
      </c>
      <c r="B18" s="8"/>
      <c r="C18" s="9"/>
      <c r="D18" s="9">
        <v>4</v>
      </c>
      <c r="E18" s="9"/>
      <c r="F18" s="9"/>
      <c r="G18" s="9"/>
      <c r="H18" s="9"/>
      <c r="I18" s="9"/>
      <c r="J18" s="10">
        <f t="shared" si="0"/>
        <v>4</v>
      </c>
    </row>
    <row r="19" spans="1:11" x14ac:dyDescent="0.25">
      <c r="A19" s="17" t="s">
        <v>375</v>
      </c>
      <c r="B19" s="8"/>
      <c r="C19" s="9"/>
      <c r="D19" s="9">
        <v>2</v>
      </c>
      <c r="E19" s="9"/>
      <c r="F19" s="9"/>
      <c r="G19" s="9"/>
      <c r="H19" s="9"/>
      <c r="I19" s="9"/>
      <c r="J19" s="10">
        <f t="shared" si="0"/>
        <v>2</v>
      </c>
    </row>
    <row r="20" spans="1:11" x14ac:dyDescent="0.25">
      <c r="A20" s="17" t="s">
        <v>376</v>
      </c>
      <c r="B20" s="8"/>
      <c r="C20" s="9"/>
      <c r="D20" s="9">
        <v>8</v>
      </c>
      <c r="E20" s="9"/>
      <c r="F20" s="9"/>
      <c r="G20" s="9"/>
      <c r="H20" s="9"/>
      <c r="I20" s="9"/>
      <c r="J20" s="10">
        <f t="shared" si="0"/>
        <v>8</v>
      </c>
    </row>
    <row r="21" spans="1:11" x14ac:dyDescent="0.25">
      <c r="A21" s="17" t="s">
        <v>17</v>
      </c>
      <c r="B21" s="8"/>
      <c r="C21" s="9"/>
      <c r="D21" s="9">
        <v>8</v>
      </c>
      <c r="E21" s="9">
        <v>24</v>
      </c>
      <c r="F21" s="9"/>
      <c r="G21" s="9"/>
      <c r="H21" s="9"/>
      <c r="I21" s="9"/>
      <c r="J21" s="10">
        <f t="shared" si="0"/>
        <v>32</v>
      </c>
    </row>
    <row r="22" spans="1:11" x14ac:dyDescent="0.25">
      <c r="A22" s="17" t="s">
        <v>16</v>
      </c>
      <c r="B22" s="8"/>
      <c r="C22" s="9"/>
      <c r="D22" s="9">
        <v>16</v>
      </c>
      <c r="E22" s="9">
        <v>12</v>
      </c>
      <c r="F22" s="9"/>
      <c r="G22" s="9"/>
      <c r="H22" s="9"/>
      <c r="I22" s="9"/>
      <c r="J22" s="10">
        <f t="shared" si="0"/>
        <v>28</v>
      </c>
    </row>
    <row r="23" spans="1:11" x14ac:dyDescent="0.25">
      <c r="A23" s="17" t="s">
        <v>148</v>
      </c>
      <c r="B23" s="8"/>
      <c r="C23" s="9"/>
      <c r="D23" s="9">
        <v>36</v>
      </c>
      <c r="E23" s="9"/>
      <c r="F23" s="9"/>
      <c r="G23" s="9"/>
      <c r="H23" s="9"/>
      <c r="I23" s="9"/>
      <c r="J23" s="10">
        <f t="shared" si="0"/>
        <v>36</v>
      </c>
    </row>
    <row r="24" spans="1:11" x14ac:dyDescent="0.25">
      <c r="A24" s="17" t="s">
        <v>14</v>
      </c>
      <c r="B24" s="8"/>
      <c r="C24" s="9"/>
      <c r="D24" s="9">
        <v>200</v>
      </c>
      <c r="E24" s="9"/>
      <c r="F24" s="9"/>
      <c r="G24" s="9"/>
      <c r="H24" s="9"/>
      <c r="I24" s="9"/>
      <c r="J24" s="10">
        <f t="shared" si="0"/>
        <v>200</v>
      </c>
    </row>
    <row r="25" spans="1:11" x14ac:dyDescent="0.25">
      <c r="A25" s="17" t="s">
        <v>290</v>
      </c>
      <c r="B25" s="8"/>
      <c r="C25" s="9"/>
      <c r="D25" s="9">
        <v>5</v>
      </c>
      <c r="E25" s="9"/>
      <c r="F25" s="9"/>
      <c r="G25" s="9"/>
      <c r="H25" s="9"/>
      <c r="I25" s="9"/>
      <c r="J25" s="10">
        <f t="shared" si="0"/>
        <v>5</v>
      </c>
    </row>
    <row r="26" spans="1:11" x14ac:dyDescent="0.25">
      <c r="A26" s="17" t="s">
        <v>377</v>
      </c>
      <c r="B26" s="8"/>
      <c r="C26" s="9"/>
      <c r="D26" s="9">
        <v>5</v>
      </c>
      <c r="E26" s="9"/>
      <c r="F26" s="9"/>
      <c r="G26" s="9"/>
      <c r="H26" s="9"/>
      <c r="I26" s="9"/>
      <c r="J26" s="10">
        <f t="shared" si="0"/>
        <v>5</v>
      </c>
    </row>
    <row r="27" spans="1:11" x14ac:dyDescent="0.25">
      <c r="A27" s="4" t="s">
        <v>2</v>
      </c>
      <c r="B27" s="18"/>
      <c r="C27" s="12">
        <v>0.41666666666666669</v>
      </c>
      <c r="D27" s="12">
        <v>0.11666666666666667</v>
      </c>
      <c r="E27" s="12">
        <v>0.125</v>
      </c>
      <c r="F27" s="12">
        <v>0.11458333333333333</v>
      </c>
      <c r="G27" s="12"/>
      <c r="H27" s="12"/>
      <c r="I27" s="12"/>
      <c r="J27" s="10">
        <f t="shared" si="0"/>
        <v>0.7729166666666667</v>
      </c>
    </row>
    <row r="28" spans="1:11" x14ac:dyDescent="0.25">
      <c r="A28" s="4" t="s">
        <v>3</v>
      </c>
      <c r="B28" s="19"/>
      <c r="C28" s="14" t="s">
        <v>179</v>
      </c>
      <c r="D28" s="14" t="s">
        <v>378</v>
      </c>
      <c r="E28" s="14" t="s">
        <v>378</v>
      </c>
      <c r="F28" s="14" t="s">
        <v>378</v>
      </c>
      <c r="G28" s="14"/>
      <c r="H28" s="14"/>
      <c r="I28" s="14"/>
      <c r="J28" s="16">
        <f>SUM(B28:F28)</f>
        <v>0</v>
      </c>
    </row>
    <row r="29" spans="1:11" x14ac:dyDescent="0.25">
      <c r="C29" t="s">
        <v>180</v>
      </c>
      <c r="D29" s="20"/>
      <c r="F29" s="20" t="s">
        <v>61</v>
      </c>
      <c r="H29" s="20" t="s">
        <v>62</v>
      </c>
      <c r="I29" s="20"/>
      <c r="J29" s="20" t="s">
        <v>63</v>
      </c>
      <c r="K29" s="20"/>
    </row>
    <row r="30" spans="1:11" x14ac:dyDescent="0.25">
      <c r="C30" t="s">
        <v>181</v>
      </c>
    </row>
  </sheetData>
  <mergeCells count="3">
    <mergeCell ref="A1:J1"/>
    <mergeCell ref="A2:J2"/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GIOVANY HERNAN TORRADO</vt:lpstr>
      <vt:lpstr>JAZMIN PACHECO</vt:lpstr>
      <vt:lpstr>ALFONSO GARCIA</vt:lpstr>
      <vt:lpstr>POLIMYS</vt:lpstr>
      <vt:lpstr>DIEGO BARRIOS</vt:lpstr>
      <vt:lpstr>HARBEY</vt:lpstr>
      <vt:lpstr>MAESTRO VIDAL</vt:lpstr>
      <vt:lpstr>ANDREI CADENA</vt:lpstr>
      <vt:lpstr>CESAR AUGUSTO MIRADORES </vt:lpstr>
      <vt:lpstr>EDUARDO TOLOZA</vt:lpstr>
      <vt:lpstr>PEDRO ROSAS</vt:lpstr>
      <vt:lpstr>MARIO LOPEZ</vt:lpstr>
      <vt:lpstr>JOSE IVAN</vt:lpstr>
      <vt:lpstr>FELIZ CARILLO</vt:lpstr>
      <vt:lpstr>MIGUEL FLOREZ</vt:lpstr>
      <vt:lpstr>ALIRIO SUAREZ</vt:lpstr>
      <vt:lpstr>JHON ORIGUA</vt:lpstr>
      <vt:lpstr>JAVIER MALDONADO</vt:lpstr>
      <vt:lpstr>PRODUCTOS ALINA </vt:lpstr>
      <vt:lpstr>LEONARDO </vt:lpstr>
      <vt:lpstr>CLAUDIA GIL</vt:lpstr>
      <vt:lpstr>NELSON PADILLA</vt:lpstr>
      <vt:lpstr>WILMER RONDON</vt:lpstr>
      <vt:lpstr>CARLOS MIGUEL</vt:lpstr>
      <vt:lpstr>FREDDY MEZA</vt:lpstr>
      <vt:lpstr>ANGELICA</vt:lpstr>
      <vt:lpstr>YURANIS</vt:lpstr>
      <vt:lpstr>ELIAS RIOS </vt:lpstr>
      <vt:lpstr>ALFONSO LOZANO</vt:lpstr>
      <vt:lpstr>LUIS ERNESTO</vt:lpstr>
      <vt:lpstr>WILSON PAEZ</vt:lpstr>
      <vt:lpstr>JOSE DAVID</vt:lpstr>
      <vt:lpstr>ROSA</vt:lpstr>
      <vt:lpstr>SERGIO LUIS</vt:lpstr>
      <vt:lpstr>LUZBIN PABON</vt:lpstr>
      <vt:lpstr>HERNAN TORRADO </vt:lpstr>
      <vt:lpstr>LUZ MARINA </vt:lpstr>
      <vt:lpstr>GIOVANY SIERRA</vt:lpstr>
      <vt:lpstr>ALQUIOBRAS</vt:lpstr>
      <vt:lpstr>NELSON BERNAL</vt:lpstr>
      <vt:lpstr>EVER HERRERA</vt:lpstr>
      <vt:lpstr>CONSORCIO LA VICTORIA</vt:lpstr>
      <vt:lpstr>CICOM INGENIEROS KARIME</vt:lpstr>
      <vt:lpstr>ANDREA PAOLA</vt:lpstr>
      <vt:lpstr>FREDY MENDOZA</vt:lpstr>
      <vt:lpstr>LUZ MARINA</vt:lpstr>
      <vt:lpstr>ANTONIO GUTIERREZ</vt:lpstr>
      <vt:lpstr>DIEGO GUTIERREZ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2026-07-24T20:21:18Z</cp:lastPrinted>
  <dcterms:created xsi:type="dcterms:W3CDTF">2015-06-05T18:19:34Z</dcterms:created>
  <dcterms:modified xsi:type="dcterms:W3CDTF">2026-07-28T13:52:50Z</dcterms:modified>
</cp:coreProperties>
</file>
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MAYO 2026\"/>
    </mc:Choice>
  </mc:AlternateContent>
  <xr:revisionPtr revIDLastSave="0" documentId="13_ncr:1_{7C39E2B3-8E24-4F02-BB24-4B902C441F0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ICOM KARIME" sheetId="1" r:id="rId1"/>
    <sheet name="JAVIER GELVIN" sheetId="37" r:id="rId2"/>
    <sheet name="CLAUDIA GIL" sheetId="2" r:id="rId3"/>
    <sheet name="MAESTRO RIGO" sheetId="5" r:id="rId4"/>
    <sheet name="GIOVANNY SIERRA" sheetId="47" r:id="rId5"/>
    <sheet name="PEDRO JULIO" sheetId="48" r:id="rId6"/>
    <sheet name="FREDY LENGUA" sheetId="42" r:id="rId7"/>
    <sheet name="DISQUINAL" sheetId="3" r:id="rId8"/>
    <sheet name="YESENIA MURILLO" sheetId="15" r:id="rId9"/>
    <sheet name="DANIELA" sheetId="46" r:id="rId10"/>
    <sheet name="JOSE SILVA" sheetId="20" r:id="rId11"/>
    <sheet name="HOLGUER CONTRERAS" sheetId="30" r:id="rId12"/>
    <sheet name="ADRIAN BRAVO" sheetId="31" r:id="rId13"/>
    <sheet name="ELISEO NELSON" sheetId="44" r:id="rId14"/>
    <sheet name="KEVIN ANDRES " sheetId="45" r:id="rId15"/>
    <sheet name="LUDWIN ANDGULO" sheetId="34" r:id="rId16"/>
    <sheet name="ELIAS RIOS" sheetId="12" r:id="rId17"/>
    <sheet name="CARLOS MIGUEL PINILLA" sheetId="49" r:id="rId18"/>
    <sheet name="IXA S.A.S" sheetId="24" r:id="rId19"/>
    <sheet name="ALQUIOBRAS " sheetId="18" r:id="rId20"/>
    <sheet name="DIEGO GUTIERREZ" sheetId="13" r:id="rId21"/>
    <sheet name="ANTONIO GUTIERREZ" sheetId="14" r:id="rId22"/>
    <sheet name="FREDY ESCALMILLA" sheetId="52" r:id="rId23"/>
    <sheet name="ANDREI CADENA " sheetId="4" r:id="rId24"/>
    <sheet name="TEJIDO" sheetId="54" r:id="rId25"/>
    <sheet name="JUAN LAMUS" sheetId="6" r:id="rId26"/>
    <sheet name="FIDEL CARO" sheetId="25" r:id="rId27"/>
    <sheet name="FELIZ  CARILLO" sheetId="27" r:id="rId28"/>
    <sheet name="GLASCOLL" sheetId="41" r:id="rId29"/>
    <sheet name="YAQUELINE MARIN" sheetId="35" r:id="rId30"/>
    <sheet name="EDINSON MEDINA" sheetId="33" r:id="rId31"/>
    <sheet name="JUAN DAVID ANGARITA" sheetId="28" r:id="rId32"/>
    <sheet name="MAESTRO VIDAL" sheetId="26" r:id="rId33"/>
    <sheet name="ROSA" sheetId="29" r:id="rId34"/>
    <sheet name="EDUARDO TOLOZA" sheetId="7" r:id="rId35"/>
    <sheet name="ELKIN HERRERA" sheetId="16" r:id="rId36"/>
    <sheet name="MAESTRO JHON" sheetId="51" r:id="rId37"/>
    <sheet name="YURANIS" sheetId="8" r:id="rId38"/>
    <sheet name="FREDDY ESCALMILLA " sheetId="53" r:id="rId39"/>
    <sheet name="RAMIRO DULCEY " sheetId="17" r:id="rId40"/>
    <sheet name="ANDRES GARCIA" sheetId="50" r:id="rId41"/>
    <sheet name="JORGE SAN FRANCISCO" sheetId="9" r:id="rId42"/>
    <sheet name="PRODUCTOS ALINA" sheetId="19" r:id="rId43"/>
    <sheet name="LADI" sheetId="21" r:id="rId44"/>
    <sheet name="wilmer rondon" sheetId="40" r:id="rId45"/>
    <sheet name="JHON JIMENEZ" sheetId="36" r:id="rId46"/>
    <sheet name="POLIMYS" sheetId="22" r:id="rId47"/>
    <sheet name="EDWIN BARBOSA" sheetId="23" r:id="rId48"/>
    <sheet name="ANDREA PAOLA" sheetId="10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6" i="1"/>
  <c r="G7" i="36"/>
  <c r="G8" i="36"/>
  <c r="G9" i="36"/>
  <c r="G10" i="36"/>
  <c r="G11" i="36"/>
  <c r="G12" i="36"/>
  <c r="G13" i="36"/>
  <c r="G14" i="36"/>
  <c r="G15" i="36"/>
  <c r="G16" i="36"/>
  <c r="G17" i="36"/>
  <c r="G52" i="31" l="1"/>
  <c r="G49" i="31"/>
  <c r="G48" i="31"/>
  <c r="G47" i="31"/>
  <c r="G46" i="31"/>
  <c r="G45" i="31"/>
  <c r="G44" i="31"/>
  <c r="H32" i="31" l="1"/>
  <c r="I17" i="10" l="1"/>
  <c r="I15" i="10"/>
  <c r="I16" i="10"/>
  <c r="I13" i="10"/>
  <c r="H16" i="31"/>
  <c r="H7" i="31"/>
  <c r="H8" i="31"/>
  <c r="H9" i="31"/>
  <c r="H10" i="31"/>
  <c r="H11" i="31"/>
  <c r="H12" i="31"/>
  <c r="H13" i="31"/>
  <c r="H14" i="31"/>
  <c r="H6" i="31"/>
  <c r="AA7" i="2" l="1"/>
  <c r="AA8" i="2"/>
  <c r="AA12" i="2"/>
  <c r="AA9" i="2"/>
  <c r="AA10" i="2"/>
  <c r="AA11" i="2"/>
  <c r="AA13" i="2"/>
  <c r="AA14" i="2"/>
  <c r="AA15" i="2"/>
  <c r="AA16" i="2"/>
  <c r="AA17" i="2"/>
  <c r="AA18" i="2"/>
  <c r="AA19" i="2"/>
  <c r="AA20" i="2"/>
  <c r="AA21" i="2"/>
  <c r="G15" i="54"/>
  <c r="G14" i="54"/>
  <c r="G13" i="54"/>
  <c r="G12" i="54"/>
  <c r="G11" i="54"/>
  <c r="G10" i="54"/>
  <c r="G9" i="54"/>
  <c r="G8" i="54"/>
  <c r="G7" i="54"/>
  <c r="G6" i="54"/>
  <c r="E33" i="29"/>
  <c r="G7" i="52" l="1"/>
  <c r="B20" i="30"/>
  <c r="C20" i="30"/>
  <c r="D20" i="30"/>
  <c r="E20" i="30"/>
  <c r="F20" i="30"/>
  <c r="G20" i="30"/>
  <c r="H20" i="30"/>
  <c r="I20" i="30"/>
  <c r="J20" i="30"/>
  <c r="K20" i="30"/>
  <c r="L20" i="30"/>
  <c r="M20" i="30"/>
  <c r="N20" i="30"/>
  <c r="N11" i="30"/>
  <c r="N8" i="30"/>
  <c r="N9" i="30"/>
  <c r="N10" i="30"/>
  <c r="N12" i="30"/>
  <c r="N13" i="30"/>
  <c r="N14" i="30"/>
  <c r="N15" i="30"/>
  <c r="N17" i="30"/>
  <c r="N18" i="30"/>
  <c r="N19" i="30"/>
  <c r="J7" i="46" l="1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G10" i="42" l="1"/>
  <c r="E26" i="8"/>
  <c r="F26" i="8" s="1"/>
  <c r="E25" i="8"/>
  <c r="F25" i="8" s="1"/>
  <c r="E24" i="8"/>
  <c r="F24" i="8" s="1"/>
  <c r="E23" i="8"/>
  <c r="F23" i="8" s="1"/>
  <c r="E22" i="8"/>
  <c r="E27" i="8" s="1"/>
  <c r="F22" i="8" l="1"/>
  <c r="E28" i="8" s="1"/>
  <c r="E30" i="8" s="1"/>
  <c r="I7" i="26" l="1"/>
  <c r="I8" i="26"/>
  <c r="I9" i="26"/>
  <c r="I10" i="26"/>
  <c r="I11" i="26"/>
  <c r="I12" i="26"/>
  <c r="I13" i="26"/>
  <c r="I14" i="26"/>
  <c r="I15" i="26"/>
  <c r="I16" i="26"/>
  <c r="I17" i="26"/>
  <c r="I18" i="26"/>
  <c r="I19" i="26"/>
  <c r="I6" i="26"/>
  <c r="L13" i="46"/>
  <c r="M14" i="46"/>
  <c r="L11" i="46"/>
  <c r="L12" i="46"/>
  <c r="L16" i="46"/>
  <c r="L18" i="46"/>
  <c r="L19" i="46"/>
  <c r="L20" i="46"/>
  <c r="L7" i="46"/>
  <c r="G16" i="51"/>
  <c r="L14" i="46" l="1"/>
  <c r="G7" i="51"/>
  <c r="G8" i="51"/>
  <c r="G9" i="51"/>
  <c r="G10" i="51"/>
  <c r="G11" i="51"/>
  <c r="G12" i="51"/>
  <c r="G13" i="51"/>
  <c r="G14" i="51"/>
  <c r="G15" i="51"/>
  <c r="K13" i="34"/>
  <c r="K7" i="34"/>
  <c r="K8" i="34"/>
  <c r="K9" i="34"/>
  <c r="K10" i="34"/>
  <c r="K11" i="34"/>
  <c r="K12" i="34"/>
  <c r="K14" i="34"/>
  <c r="K15" i="34"/>
  <c r="K16" i="34"/>
  <c r="K17" i="34"/>
  <c r="K18" i="34"/>
  <c r="K19" i="34"/>
  <c r="K20" i="34"/>
  <c r="K21" i="34"/>
  <c r="K22" i="34"/>
  <c r="K23" i="34"/>
  <c r="K6" i="34"/>
  <c r="E27" i="29" l="1"/>
  <c r="F27" i="29" s="1"/>
  <c r="F26" i="29"/>
  <c r="E26" i="29"/>
  <c r="E25" i="29"/>
  <c r="F25" i="29" s="1"/>
  <c r="F24" i="29"/>
  <c r="E24" i="29"/>
  <c r="E23" i="29"/>
  <c r="F23" i="29" s="1"/>
  <c r="F22" i="29"/>
  <c r="E22" i="29"/>
  <c r="E28" i="29" s="1"/>
  <c r="J24" i="46"/>
  <c r="E29" i="29" l="1"/>
  <c r="E31" i="29" s="1"/>
  <c r="AA6" i="2" l="1"/>
  <c r="I7" i="12" l="1"/>
  <c r="I8" i="12"/>
  <c r="I9" i="12"/>
  <c r="I10" i="12"/>
  <c r="I11" i="12"/>
  <c r="I12" i="12"/>
  <c r="I13" i="12"/>
  <c r="I14" i="12"/>
  <c r="F8" i="53"/>
  <c r="F7" i="53"/>
  <c r="F6" i="53"/>
  <c r="G9" i="52"/>
  <c r="G6" i="52"/>
  <c r="I12" i="13"/>
  <c r="I20" i="13"/>
  <c r="I21" i="13"/>
  <c r="I22" i="13"/>
  <c r="I23" i="13"/>
  <c r="L8" i="46" l="1"/>
  <c r="L9" i="46"/>
  <c r="L10" i="46"/>
  <c r="L15" i="46"/>
  <c r="L17" i="46"/>
  <c r="L21" i="46"/>
  <c r="J22" i="46"/>
  <c r="L22" i="46" s="1"/>
  <c r="J6" i="46"/>
  <c r="L23" i="46" l="1"/>
  <c r="G17" i="51"/>
  <c r="G6" i="51"/>
  <c r="I12" i="49" l="1"/>
  <c r="F8" i="50"/>
  <c r="F7" i="50"/>
  <c r="F6" i="50"/>
  <c r="I14" i="49"/>
  <c r="I11" i="49"/>
  <c r="I10" i="49"/>
  <c r="I9" i="49"/>
  <c r="I8" i="49"/>
  <c r="I7" i="49"/>
  <c r="I6" i="49"/>
  <c r="F10" i="48" l="1"/>
  <c r="F8" i="48"/>
  <c r="F7" i="48"/>
  <c r="F6" i="48"/>
  <c r="F16" i="47"/>
  <c r="F14" i="47"/>
  <c r="F13" i="47"/>
  <c r="F12" i="47"/>
  <c r="F11" i="47"/>
  <c r="F10" i="47"/>
  <c r="F9" i="47"/>
  <c r="F8" i="47"/>
  <c r="F7" i="47"/>
  <c r="F6" i="47"/>
  <c r="F6" i="45"/>
  <c r="F8" i="44" l="1"/>
  <c r="F7" i="44"/>
  <c r="F6" i="44"/>
  <c r="G24" i="37" l="1"/>
  <c r="G11" i="42" l="1"/>
  <c r="G9" i="42"/>
  <c r="G8" i="42"/>
  <c r="G7" i="42"/>
  <c r="G6" i="42"/>
  <c r="G9" i="41"/>
  <c r="G7" i="41"/>
  <c r="G6" i="41"/>
  <c r="E49" i="4"/>
  <c r="F49" i="4" s="1"/>
  <c r="E48" i="4"/>
  <c r="F48" i="4" s="1"/>
  <c r="E47" i="4"/>
  <c r="F47" i="4" s="1"/>
  <c r="E46" i="4"/>
  <c r="E50" i="4" l="1"/>
  <c r="F46" i="4"/>
  <c r="E51" i="4" s="1"/>
  <c r="E53" i="4" s="1"/>
  <c r="F14" i="40"/>
  <c r="F12" i="40"/>
  <c r="F11" i="40"/>
  <c r="F10" i="40"/>
  <c r="F9" i="40"/>
  <c r="F8" i="40"/>
  <c r="F7" i="40"/>
  <c r="F6" i="40"/>
  <c r="G25" i="37"/>
  <c r="G20" i="37"/>
  <c r="G18" i="37"/>
  <c r="G17" i="37"/>
  <c r="G16" i="37"/>
  <c r="G15" i="37"/>
  <c r="G14" i="37"/>
  <c r="G13" i="37"/>
  <c r="G12" i="37"/>
  <c r="G26" i="37"/>
  <c r="G23" i="37"/>
  <c r="G22" i="37"/>
  <c r="G21" i="37"/>
  <c r="G19" i="37"/>
  <c r="G11" i="37"/>
  <c r="G10" i="37"/>
  <c r="G9" i="37"/>
  <c r="G8" i="37"/>
  <c r="G7" i="37"/>
  <c r="G6" i="37"/>
  <c r="G6" i="36" l="1"/>
  <c r="G9" i="35" l="1"/>
  <c r="G7" i="35"/>
  <c r="G6" i="35"/>
  <c r="I28" i="10"/>
  <c r="I31" i="10"/>
  <c r="I29" i="10"/>
  <c r="I27" i="10"/>
  <c r="I12" i="10" l="1"/>
  <c r="I7" i="10"/>
  <c r="I8" i="10"/>
  <c r="I9" i="10"/>
  <c r="I10" i="10"/>
  <c r="I11" i="10"/>
  <c r="I14" i="10"/>
  <c r="I6" i="10"/>
  <c r="F13" i="8" l="1"/>
  <c r="K3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G14" i="9"/>
  <c r="K25" i="34"/>
  <c r="I19" i="10" l="1"/>
  <c r="H24" i="31" l="1"/>
  <c r="H25" i="31"/>
  <c r="H26" i="31"/>
  <c r="H27" i="31"/>
  <c r="H28" i="31"/>
  <c r="H29" i="31"/>
  <c r="N6" i="30" l="1"/>
  <c r="I13" i="20" l="1"/>
  <c r="G10" i="33" l="1"/>
  <c r="G7" i="33"/>
  <c r="G6" i="33"/>
  <c r="N22" i="30" l="1"/>
  <c r="G12" i="29" l="1"/>
  <c r="G15" i="29"/>
  <c r="G13" i="29"/>
  <c r="G11" i="29"/>
  <c r="G10" i="29"/>
  <c r="G9" i="29"/>
  <c r="G8" i="29"/>
  <c r="G7" i="29"/>
  <c r="G6" i="29"/>
  <c r="G10" i="28"/>
  <c r="G8" i="28"/>
  <c r="G7" i="28"/>
  <c r="G6" i="28"/>
  <c r="G10" i="27"/>
  <c r="G8" i="27"/>
  <c r="G7" i="27"/>
  <c r="G6" i="27"/>
  <c r="I21" i="26"/>
  <c r="G7" i="25"/>
  <c r="G8" i="25"/>
  <c r="G9" i="25"/>
  <c r="G11" i="25"/>
  <c r="G6" i="25"/>
  <c r="F13" i="7"/>
  <c r="F14" i="7"/>
  <c r="F15" i="7"/>
  <c r="F16" i="7"/>
  <c r="F17" i="7"/>
  <c r="F18" i="7"/>
  <c r="F19" i="7"/>
  <c r="I9" i="15"/>
  <c r="F6" i="24"/>
  <c r="H6" i="23" l="1"/>
  <c r="H7" i="22"/>
  <c r="H8" i="22"/>
  <c r="H6" i="22"/>
  <c r="G9" i="21"/>
  <c r="G8" i="21"/>
  <c r="G7" i="21"/>
  <c r="G6" i="21"/>
  <c r="I12" i="20" l="1"/>
  <c r="I11" i="20"/>
  <c r="I10" i="20"/>
  <c r="I9" i="20"/>
  <c r="I8" i="20"/>
  <c r="I7" i="20"/>
  <c r="I6" i="20"/>
  <c r="G7" i="5" l="1"/>
  <c r="G8" i="5"/>
  <c r="G9" i="5"/>
  <c r="G10" i="5"/>
  <c r="G11" i="5"/>
  <c r="G12" i="5"/>
  <c r="G13" i="5"/>
  <c r="G14" i="5"/>
  <c r="G6" i="5"/>
  <c r="G9" i="19"/>
  <c r="G8" i="19"/>
  <c r="G7" i="19"/>
  <c r="G6" i="19"/>
  <c r="H6" i="18"/>
  <c r="I6" i="12" l="1"/>
  <c r="F9" i="17" l="1"/>
  <c r="F8" i="17"/>
  <c r="F7" i="17"/>
  <c r="F6" i="17"/>
  <c r="G11" i="16"/>
  <c r="G9" i="16"/>
  <c r="G8" i="16"/>
  <c r="G7" i="16"/>
  <c r="G6" i="16"/>
  <c r="I11" i="15" l="1"/>
  <c r="I8" i="15"/>
  <c r="I7" i="15"/>
  <c r="I6" i="15"/>
  <c r="G16" i="5"/>
  <c r="G8" i="14" l="1"/>
  <c r="G6" i="14"/>
  <c r="I25" i="13"/>
  <c r="I19" i="13"/>
  <c r="I18" i="13"/>
  <c r="I17" i="13"/>
  <c r="I16" i="13"/>
  <c r="I15" i="13"/>
  <c r="I14" i="13"/>
  <c r="I13" i="13"/>
  <c r="I11" i="13"/>
  <c r="I10" i="13"/>
  <c r="I9" i="13"/>
  <c r="I8" i="13"/>
  <c r="I7" i="13"/>
  <c r="I6" i="13"/>
  <c r="I16" i="12" l="1"/>
  <c r="G6" i="9"/>
  <c r="G7" i="9"/>
  <c r="G8" i="9"/>
  <c r="G9" i="9"/>
  <c r="G10" i="9"/>
  <c r="G11" i="9"/>
  <c r="G12" i="9"/>
  <c r="G13" i="9"/>
  <c r="F12" i="8"/>
  <c r="F11" i="8"/>
  <c r="F10" i="8"/>
  <c r="F9" i="8"/>
  <c r="F8" i="8"/>
  <c r="F7" i="8"/>
  <c r="F6" i="8"/>
  <c r="F12" i="7"/>
  <c r="F11" i="7"/>
  <c r="F10" i="7"/>
  <c r="F9" i="7"/>
  <c r="F8" i="7"/>
  <c r="F7" i="7"/>
  <c r="F6" i="7"/>
  <c r="G11" i="6"/>
  <c r="G9" i="6"/>
  <c r="G8" i="6"/>
  <c r="G7" i="6"/>
  <c r="G6" i="6"/>
  <c r="I14" i="5" l="1"/>
  <c r="I13" i="5"/>
  <c r="I12" i="5"/>
  <c r="I11" i="5"/>
  <c r="I10" i="5"/>
  <c r="I9" i="5"/>
  <c r="I8" i="5"/>
  <c r="I7" i="5"/>
  <c r="I6" i="5"/>
  <c r="I15" i="5" l="1"/>
  <c r="K6" i="4"/>
  <c r="K38" i="4"/>
  <c r="I12" i="3"/>
  <c r="I10" i="3"/>
  <c r="I9" i="3"/>
  <c r="I8" i="3"/>
  <c r="I7" i="3"/>
  <c r="I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8" authorId="0" shapeId="0" xr:uid="{B01D5FC0-B8A6-4519-BEB4-A9D7D150F3E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18 CG
</t>
        </r>
      </text>
    </comment>
    <comment ref="C13" authorId="0" shapeId="0" xr:uid="{B41CD5C2-13C4-4E3B-B7AD-057CA81D613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20 ALQ
</t>
        </r>
      </text>
    </comment>
    <comment ref="C14" authorId="0" shapeId="0" xr:uid="{A2F8E8DC-87B4-4B22-95E2-157A1111896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61 ALQ
</t>
        </r>
      </text>
    </comment>
    <comment ref="G14" authorId="0" shapeId="0" xr:uid="{4087A47B-C1DD-4DD2-A366-F9450285917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14 SON ALQUIOPBRAS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6" authorId="0" shapeId="0" xr:uid="{CEC58733-2F05-4164-9002-34BC6BED71F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12 CG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11" authorId="0" shapeId="0" xr:uid="{D38B6583-9C42-4884-80FC-F3151A10551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LE PAGO A DON JAVIER
</t>
        </r>
      </text>
    </comment>
    <comment ref="C11" authorId="0" shapeId="0" xr:uid="{EF65B259-AAE2-4969-B1AF-764DAC16C38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LE PAGO A JAVIER
</t>
        </r>
      </text>
    </comment>
    <comment ref="D11" authorId="0" shapeId="0" xr:uid="{8E6E2974-DC06-4350-8EB4-71236B11C0A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JAVIER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2" authorId="0" shapeId="0" xr:uid="{EB6DB787-F650-4069-9E5F-EAE3379AC9F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 ALQ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7" authorId="0" shapeId="0" xr:uid="{D737341D-EAEE-4F1A-9EF4-35A9C07A10E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DE VARILLA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24" authorId="0" shapeId="0" xr:uid="{9F70754F-9F99-403C-A855-49920A56D67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26" authorId="0" shapeId="0" xr:uid="{170F94CD-BD9E-49E1-BC38-BBED5A1A945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44" authorId="0" shapeId="0" xr:uid="{08843FE8-41FA-45DC-BEBA-1653C9392E6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46" authorId="0" shapeId="0" xr:uid="{2451B7D2-DA04-427A-A99B-7EBBBFEF34A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8" authorId="0" shapeId="0" xr:uid="{8AAB9483-18D8-4FED-AC94-1B11D66D862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DE 3 MTROS
2 CORTOS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8" authorId="0" shapeId="0" xr:uid="{87094FC7-6103-4830-BF0E-BC2CAD6F11D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tc={7783C173-7093-438A-BEA2-8DE001309DAD}</author>
  </authors>
  <commentList>
    <comment ref="B8" authorId="0" shapeId="0" xr:uid="{6CF2CDEB-DD40-414E-B67F-60EB7F719C7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  <comment ref="G8" authorId="1" shapeId="0" xr:uid="{7783C173-7093-438A-BEA2-8DE001309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CLAUDIA JEREZ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DC7CC8E9-0220-4AA6-9DA6-DAA52DCA8CF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21 VARILLA</t>
        </r>
      </text>
    </comment>
    <comment ref="D7" authorId="0" shapeId="0" xr:uid="{28B6255C-5CC3-48E0-98E4-83ADBFB7CE6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VARILLA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18" authorId="0" shapeId="0" xr:uid="{5BE94FAC-0C22-41B9-A28C-86C2F7DC069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FMTA DE 10Y10=4
2 FMTA DE 25*1,20 CG
</t>
        </r>
      </text>
    </comment>
    <comment ref="G24" authorId="0" shapeId="0" xr:uid="{DFC8DD2A-1354-46BB-AF22-EBE0C71BB7E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DE 30
</t>
        </r>
      </text>
    </comment>
    <comment ref="G29" authorId="0" shapeId="0" xr:uid="{2B6F591F-B6FB-47DC-90C7-01E85B5AD8A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26F2542C-4FF0-475B-8B03-FDC9D032134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4" authorId="0" shapeId="0" xr:uid="{FFE7BF08-67FF-47B6-AD49-058179F6071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20 CG
</t>
        </r>
      </text>
    </comment>
    <comment ref="C15" authorId="0" shapeId="0" xr:uid="{31DD47CB-94CD-4F75-AD2F-C1ECED8F712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CG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6" authorId="0" shapeId="0" xr:uid="{29CC9603-0E98-4A85-90F4-BC321AA44E2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53 CG
</t>
        </r>
      </text>
    </comment>
    <comment ref="D17" authorId="0" shapeId="0" xr:uid="{8C5A93FB-9943-48CC-95D3-7ED12244C69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7 CG
5 LS
</t>
        </r>
      </text>
    </comment>
  </commentList>
</comments>
</file>

<file path=xl/sharedStrings.xml><?xml version="1.0" encoding="utf-8"?>
<sst xmlns="http://schemas.openxmlformats.org/spreadsheetml/2006/main" count="942" uniqueCount="386">
  <si>
    <t>KARIME</t>
  </si>
  <si>
    <t>CRA 17 #5-35 COMUNEROS TEL: 3184228009</t>
  </si>
  <si>
    <t>MATERIAL</t>
  </si>
  <si>
    <t>SALDO</t>
  </si>
  <si>
    <t>FORMALETA DE 60*1,20</t>
  </si>
  <si>
    <t>FORMALETA DE 40*1,20</t>
  </si>
  <si>
    <t>FORMALETA DE 30*1,20</t>
  </si>
  <si>
    <t>FORMALETA DE 25*1,20</t>
  </si>
  <si>
    <t>ANGULOS DE 1,20</t>
  </si>
  <si>
    <t>ANGULOS DE 60</t>
  </si>
  <si>
    <t>ALINEADOR DE 1 MTRO</t>
  </si>
  <si>
    <t>TENSORES</t>
  </si>
  <si>
    <t xml:space="preserve">CHAPETAS </t>
  </si>
  <si>
    <t>PARALES DE 3 MTROS</t>
  </si>
  <si>
    <t>PARALES DE 1 MTRO</t>
  </si>
  <si>
    <t>CAJAS METALICAS</t>
  </si>
  <si>
    <t>HORA</t>
  </si>
  <si>
    <t>Transporte</t>
  </si>
  <si>
    <t>BRU-315</t>
  </si>
  <si>
    <t>KGX-832</t>
  </si>
  <si>
    <r>
      <t>MOVIMIENTO /ABRIL</t>
    </r>
    <r>
      <rPr>
        <b/>
        <sz val="14"/>
        <color rgb="FFFF0000"/>
        <rFont val="Calibri"/>
        <family val="2"/>
        <scheme val="minor"/>
      </rPr>
      <t>/MAYO</t>
    </r>
  </si>
  <si>
    <t>PARALES DE 4 MTRS</t>
  </si>
  <si>
    <t>CWG-768</t>
  </si>
  <si>
    <t>CLAUDIA GIL</t>
  </si>
  <si>
    <t>GIRARDOT</t>
  </si>
  <si>
    <t>CERCHAS DE 3 MTROS PLATINA</t>
  </si>
  <si>
    <t>PARALES DE 4 MTROS</t>
  </si>
  <si>
    <t xml:space="preserve">PARALES DE 3 MTROS </t>
  </si>
  <si>
    <t xml:space="preserve">PARALES DE 6 MTROS </t>
  </si>
  <si>
    <t>FORMALETA DE 20*1,20</t>
  </si>
  <si>
    <t>TABLEROS DE MADERA 70*1,40</t>
  </si>
  <si>
    <t>BANDAS DE 40*1,40</t>
  </si>
  <si>
    <t>Hora</t>
  </si>
  <si>
    <t>TRANSPORTE</t>
  </si>
  <si>
    <t>DEVOLUCION</t>
  </si>
  <si>
    <t>PINK MAL ESTADO</t>
  </si>
  <si>
    <t>DISQUINAL S.A.S</t>
  </si>
  <si>
    <t>CRA 24 #12-20 SANFRANCISCO EDWAR TORRES:3144429616</t>
  </si>
  <si>
    <t>MOVIMIENTO: ABRIL/2025</t>
  </si>
  <si>
    <t>CRUCETAS DE 2,MTOS</t>
  </si>
  <si>
    <t>TABLONES  3 MTROS</t>
  </si>
  <si>
    <t>MARCOS DE ANDAMIO VERDES</t>
  </si>
  <si>
    <t>TABLONES CORTOS</t>
  </si>
  <si>
    <t>ANDREI CADENA</t>
  </si>
  <si>
    <t>CRA 17A #60-17 RICAUTE</t>
  </si>
  <si>
    <t>MOVIMIENTO:ABRIL /2026</t>
  </si>
  <si>
    <t>MARCOS DE ANDAMIOS 1,50 AZULES</t>
  </si>
  <si>
    <t>CRUCETAS DE 2,40</t>
  </si>
  <si>
    <t>TABLONES DE 3 MTRS</t>
  </si>
  <si>
    <t xml:space="preserve">SALDO </t>
  </si>
  <si>
    <t>MAESTRO RIGO</t>
  </si>
  <si>
    <t>COLORADOS</t>
  </si>
  <si>
    <t>FORMALTETA DE 45*1,20</t>
  </si>
  <si>
    <t>CERCHAS DE 3 MTROS</t>
  </si>
  <si>
    <t>ANGULOS DE 2,40</t>
  </si>
  <si>
    <t>MOVIMIENTO: ABRIL/MAYO 2026</t>
  </si>
  <si>
    <t>TABREROS DE MADERA 70*1,40</t>
  </si>
  <si>
    <t>CERCHAS DE 1,50</t>
  </si>
  <si>
    <t>CERCHAS DE 2 MTROS</t>
  </si>
  <si>
    <t xml:space="preserve">JUAN LAMUS </t>
  </si>
  <si>
    <t>CALLE 10 #19-20</t>
  </si>
  <si>
    <t>DUW-496</t>
  </si>
  <si>
    <t xml:space="preserve">ESCALERA  METALICA  LAZO </t>
  </si>
  <si>
    <t>MOVIMIENTO:MAYO /2026</t>
  </si>
  <si>
    <t>EDUARDO TOLOZA</t>
  </si>
  <si>
    <t>CRA 18AW#60-43 TEL: 3187500243</t>
  </si>
  <si>
    <t>MOVIMIENTO:MARZO/ 2025</t>
  </si>
  <si>
    <t xml:space="preserve">CERCHAS DE 1 MTRO </t>
  </si>
  <si>
    <t>TABLEROS  DE MADERA 70*1,40</t>
  </si>
  <si>
    <t>BANDAS DE MADERA 50*1,40</t>
  </si>
  <si>
    <t>BANDAS DE MADERA DE 40*1,40</t>
  </si>
  <si>
    <t>YURANIS</t>
  </si>
  <si>
    <t>TABLEROS DE MADERA DE 70*1,40</t>
  </si>
  <si>
    <t>CERCHAS DE 2,50</t>
  </si>
  <si>
    <t xml:space="preserve">TABLONES DE MADERA </t>
  </si>
  <si>
    <t>MARCOS DE ANDAMIOS 0,90*2 MTROS</t>
  </si>
  <si>
    <t xml:space="preserve">CRUCETAS </t>
  </si>
  <si>
    <t>MOVIMIENTO: MAYO /2026</t>
  </si>
  <si>
    <t xml:space="preserve">JORGE  </t>
  </si>
  <si>
    <t>CALLE 20 #22-69 SAN FRANCISCO</t>
  </si>
  <si>
    <t>PARALES DE 3MTROS</t>
  </si>
  <si>
    <t xml:space="preserve">POLEAS </t>
  </si>
  <si>
    <t>ANGILOS DE 6 MTROS</t>
  </si>
  <si>
    <t>ANGULOS DE 3 MTROS</t>
  </si>
  <si>
    <t>PASAMANOS DE 6 MTROS</t>
  </si>
  <si>
    <t xml:space="preserve">PASAMANOS DE 3 MTROS </t>
  </si>
  <si>
    <t>MOVIMIENTO: MAYO/2026</t>
  </si>
  <si>
    <t xml:space="preserve">ANDREA PAOLA </t>
  </si>
  <si>
    <t xml:space="preserve">CRA 17 A </t>
  </si>
  <si>
    <t>POLEAS</t>
  </si>
  <si>
    <t>ANGULOS DE 6 MTROS</t>
  </si>
  <si>
    <t xml:space="preserve">PASAMANOS DE 6 MTROS </t>
  </si>
  <si>
    <t xml:space="preserve">CERCHAS DE 3 MTROS </t>
  </si>
  <si>
    <t>MOVIMIENTO: MAYO/2025</t>
  </si>
  <si>
    <t>TABLERO DE MADERA DE 50*1 MTRO</t>
  </si>
  <si>
    <t>BANDA DE MADERA DE 40*1,40</t>
  </si>
  <si>
    <t>BANDA DE MADERA DE 40*1,20</t>
  </si>
  <si>
    <t xml:space="preserve">ELIAS RIOS  /ELIZABETH </t>
  </si>
  <si>
    <t>CARABINEROS VILL PRADO TEL: 3156754982</t>
  </si>
  <si>
    <t>FORMALETA DE 27,5*1,20</t>
  </si>
  <si>
    <t>FORMALETA DE 25*60</t>
  </si>
  <si>
    <t>SAI-AFD</t>
  </si>
  <si>
    <t>DIEGO GUTIERREZ</t>
  </si>
  <si>
    <t>FERRETERIA VENADO DE ORO</t>
  </si>
  <si>
    <t>CERCHAS DE 1,50  MTROS</t>
  </si>
  <si>
    <t>PARAL DE 3,5</t>
  </si>
  <si>
    <t xml:space="preserve">  BANDAS DE  40*1,40</t>
  </si>
  <si>
    <t xml:space="preserve">CERCHAS DE 2 MTROS </t>
  </si>
  <si>
    <t>CERCHAS DE 1 MTRS</t>
  </si>
  <si>
    <t xml:space="preserve">CERCOS DE TABLEROS DE MADERA </t>
  </si>
  <si>
    <t>PARALES DE 6 METROS</t>
  </si>
  <si>
    <t xml:space="preserve">RUEDAS DE ANDAMIOS </t>
  </si>
  <si>
    <t xml:space="preserve">CERCOS DE MADERA </t>
  </si>
  <si>
    <t>ANTONIO GUTIERREZ</t>
  </si>
  <si>
    <t>BERLIN</t>
  </si>
  <si>
    <t>CCL-358</t>
  </si>
  <si>
    <t>YESENIA MURILLO</t>
  </si>
  <si>
    <t>REGADEROS NORTE</t>
  </si>
  <si>
    <t xml:space="preserve">MARCOS DE ANDAMIO 1,50 AZULES </t>
  </si>
  <si>
    <t>1.45</t>
  </si>
  <si>
    <t>WFC-275</t>
  </si>
  <si>
    <t>ELKIN HERRERA</t>
  </si>
  <si>
    <t>CRA 19#5-50</t>
  </si>
  <si>
    <t>LAZO GRUESO LARGO</t>
  </si>
  <si>
    <t>A PIE</t>
  </si>
  <si>
    <t>MARCOS AMARILLOS 1,50</t>
  </si>
  <si>
    <t>CRUCETAS 2 MTROS</t>
  </si>
  <si>
    <t xml:space="preserve">TABLONES DE 3 MTROS </t>
  </si>
  <si>
    <t xml:space="preserve">TABLONES CORTOS </t>
  </si>
  <si>
    <t>MARCOS DE ANDAMIOS 1,50 NARANJA</t>
  </si>
  <si>
    <t>CRUCETAS  DE 2,40</t>
  </si>
  <si>
    <t xml:space="preserve">RAMIRO DULCEY </t>
  </si>
  <si>
    <t>CALLE 45 #29-63</t>
  </si>
  <si>
    <t>MARCOS DE ANDAMIO 1,50</t>
  </si>
  <si>
    <t>ESCOLAR</t>
  </si>
  <si>
    <t>ALQUIOBRAS-SANTANDER</t>
  </si>
  <si>
    <t>CALLE 14#19-37TEL:3164176674/3165134059</t>
  </si>
  <si>
    <t>MOVIMIENTO: MAYO/ 2026</t>
  </si>
  <si>
    <t>PRODUCTOS ALINA</t>
  </si>
  <si>
    <t>CRA 19 #5-21 TEL: 372212472</t>
  </si>
  <si>
    <t>MARCOS DE ANDAMIOS AZULES</t>
  </si>
  <si>
    <t>TABLONES DE MADERA 3 MTROS</t>
  </si>
  <si>
    <t>CARRO</t>
  </si>
  <si>
    <t>CTE AL 7</t>
  </si>
  <si>
    <t>ESCALERA 1 DIA</t>
  </si>
  <si>
    <t>FORMALETA DE 15*1,20</t>
  </si>
  <si>
    <t>SSY-356</t>
  </si>
  <si>
    <t>JOSE  SILVA</t>
  </si>
  <si>
    <t>BARRIO  VILLACARMELO</t>
  </si>
  <si>
    <t>CHAPETAS</t>
  </si>
  <si>
    <t>LADI</t>
  </si>
  <si>
    <t>CRA 19#7-67</t>
  </si>
  <si>
    <t>MARCOS DE ANDAMIOS 1,50</t>
  </si>
  <si>
    <t>POLIMYS</t>
  </si>
  <si>
    <t>CRA 16 #16-46</t>
  </si>
  <si>
    <t>XKG-898</t>
  </si>
  <si>
    <t>31-ABR</t>
  </si>
  <si>
    <t>MOVIMIENTO: MAYO/ 2025</t>
  </si>
  <si>
    <t>EDWIN BARBOSA</t>
  </si>
  <si>
    <t>MOVIMIENTO: ABRIL/2026</t>
  </si>
  <si>
    <t>BUR- 449</t>
  </si>
  <si>
    <t>591-AFD</t>
  </si>
  <si>
    <t>CALLE 7 CON CRA 19</t>
  </si>
  <si>
    <t>TABLONES DE 3 MTROS</t>
  </si>
  <si>
    <t>IXA S.A.S</t>
  </si>
  <si>
    <t>CTE 11-05</t>
  </si>
  <si>
    <t>ESCALERA AMARILLA 4 A 8 MTRO</t>
  </si>
  <si>
    <t>WFC-486</t>
  </si>
  <si>
    <t>10:AM</t>
  </si>
  <si>
    <t>FIDEL CARO</t>
  </si>
  <si>
    <t>CALLE 17 CON CRA 25 #25-67 TEL: 3153808644</t>
  </si>
  <si>
    <t>MARCOS DE ANDAMIOS 0,90*2MTRO</t>
  </si>
  <si>
    <t xml:space="preserve">MAESTRO VIDAL </t>
  </si>
  <si>
    <t>PUERTO RICO BAJO TEL: 3138758759</t>
  </si>
  <si>
    <t>FELIZ CARRILLO</t>
  </si>
  <si>
    <t>CRA 20 #8-37 TEL: 3214622071</t>
  </si>
  <si>
    <t xml:space="preserve">PARALES DE 4 MTROS </t>
  </si>
  <si>
    <t>CANCELO $40,000</t>
  </si>
  <si>
    <t>JUAN DAVID ANGARITA</t>
  </si>
  <si>
    <t>CALLE 5 #18-68 TEL: 3227863470</t>
  </si>
  <si>
    <t>CONSINO POR NEQUI   $ 300,000</t>
  </si>
  <si>
    <t xml:space="preserve">ROSA </t>
  </si>
  <si>
    <t>LA INDEPENDENCIA TEL:  3011525254LUIS MAESTRO TEL.3175022723</t>
  </si>
  <si>
    <t xml:space="preserve">HOLGUIER CONTRERAS </t>
  </si>
  <si>
    <t xml:space="preserve">INDEPENDENCIA </t>
  </si>
  <si>
    <t>FORMALETA DE 12*1,20</t>
  </si>
  <si>
    <t>FORMALETA DE 10*1,20</t>
  </si>
  <si>
    <t>FORMALETA PQ</t>
  </si>
  <si>
    <t>CAJA METALICA</t>
  </si>
  <si>
    <t>****</t>
  </si>
  <si>
    <t>MOTO</t>
  </si>
  <si>
    <t>FORMALETA DE 30*60</t>
  </si>
  <si>
    <t xml:space="preserve">CAJA METALICA </t>
  </si>
  <si>
    <t>RINCONERAS DE 10*10*60</t>
  </si>
  <si>
    <t>RINCONERAS DE 10*10*90</t>
  </si>
  <si>
    <t>RINCONERAS DE 10*10*1,20</t>
  </si>
  <si>
    <t>FORMALETAS DE 60*60</t>
  </si>
  <si>
    <t>FORMALETAS DE 45*1,20</t>
  </si>
  <si>
    <t>FORMALETA DE 50*1,20</t>
  </si>
  <si>
    <t>FORMALETA DE 55*1,20</t>
  </si>
  <si>
    <t>FORMALETA DE 20*60</t>
  </si>
  <si>
    <t>FORMALETA DE 5*1,20</t>
  </si>
  <si>
    <t>***</t>
  </si>
  <si>
    <t>ADRIAN BRAVO:3162771895</t>
  </si>
  <si>
    <t>CRA 2 #65B-35 CANELOS REAL DE MINAS</t>
  </si>
  <si>
    <t>CRUCETA DE 2,40</t>
  </si>
  <si>
    <t>ALINEADORES DE 2,50</t>
  </si>
  <si>
    <t xml:space="preserve">CERCHAS DE  3 MTROS </t>
  </si>
  <si>
    <t xml:space="preserve">CAJA  METALICA </t>
  </si>
  <si>
    <t xml:space="preserve">A PIE </t>
  </si>
  <si>
    <t>COBRAR A16-05</t>
  </si>
  <si>
    <t>,</t>
  </si>
  <si>
    <t xml:space="preserve">                                                                                   </t>
  </si>
  <si>
    <t>EDINSON CARIILLO</t>
  </si>
  <si>
    <t>CALLE 48 #26-63 POBLADO GIRON</t>
  </si>
  <si>
    <t>COTIZACION</t>
  </si>
  <si>
    <t>9:AM</t>
  </si>
  <si>
    <t>10.am</t>
  </si>
  <si>
    <t xml:space="preserve"> </t>
  </si>
  <si>
    <t>MOVIMIENTO / MAYO - POLEAS</t>
  </si>
  <si>
    <t>NOSOTROS</t>
  </si>
  <si>
    <t>LUDWIN</t>
  </si>
  <si>
    <t>ROSA</t>
  </si>
  <si>
    <t>FOTO</t>
  </si>
  <si>
    <t>SUD-154</t>
  </si>
  <si>
    <t>LUDWIN ANGULO DIAZ /ESPOSO ROSA</t>
  </si>
  <si>
    <t>INDEPENDENCIA</t>
  </si>
  <si>
    <t>MOVIMIENTO / MAYO  2026</t>
  </si>
  <si>
    <t>CERCHAS DE 3 MTRS</t>
  </si>
  <si>
    <t>*****</t>
  </si>
  <si>
    <t xml:space="preserve">POLEAS  </t>
  </si>
  <si>
    <t xml:space="preserve">ANGULOS DE 6 MTROS </t>
  </si>
  <si>
    <t xml:space="preserve">TABLEROS DE MADERA </t>
  </si>
  <si>
    <t>SOZ-465</t>
  </si>
  <si>
    <t xml:space="preserve">MARCOS DE ANDAMIOS </t>
  </si>
  <si>
    <t>WED-658</t>
  </si>
  <si>
    <t>FORMALETA DE 35*1,20</t>
  </si>
  <si>
    <t>SOY-AAZ</t>
  </si>
  <si>
    <t>AM</t>
  </si>
  <si>
    <t>CTE 19-05</t>
  </si>
  <si>
    <t>4 TABLAS DE 1 BANDA</t>
  </si>
  <si>
    <t>MARCOS DE ANDAMIOS 1,50 AMARILLOS-NARANAJAS</t>
  </si>
  <si>
    <t>CRUCETAS</t>
  </si>
  <si>
    <t>YAQUELINE MARIN</t>
  </si>
  <si>
    <t>CALLE 10 #16-40 TEL:3156964635</t>
  </si>
  <si>
    <t>ESCALERA DE TIJERA VERDE</t>
  </si>
  <si>
    <t>JHON JIMENEZ</t>
  </si>
  <si>
    <t xml:space="preserve">                                                 </t>
  </si>
  <si>
    <t>CALLE 55 CON CRA 13 ESQUINA  TEL: 3173324940</t>
  </si>
  <si>
    <t>JAVIER/GELVIN</t>
  </si>
  <si>
    <t>MANZANA C CASA 24VALLE DE LOS CABALLEROS VILLA PIS GIRON</t>
  </si>
  <si>
    <t>RINCONERAS DE 10*,10*1,20</t>
  </si>
  <si>
    <t xml:space="preserve">ALINEADORES DE 3 MTROS </t>
  </si>
  <si>
    <t>FORMALETA DE 40*60</t>
  </si>
  <si>
    <t>CORBATAS PARA MURO DE 20</t>
  </si>
  <si>
    <t xml:space="preserve">PINES </t>
  </si>
  <si>
    <t xml:space="preserve">RTENSORES </t>
  </si>
  <si>
    <t>RINCONERA PQ</t>
  </si>
  <si>
    <t>MARCOS DE ANDAMIOS  1,50</t>
  </si>
  <si>
    <t>WILMER RONDON</t>
  </si>
  <si>
    <t>PUERTO RICO</t>
  </si>
  <si>
    <t>JIMMMYJAIMES</t>
  </si>
  <si>
    <t>ANDREI CADENA: 3167941308</t>
  </si>
  <si>
    <t>CARRERA 17A # 60-17. RICAURTE COLUMNAS</t>
  </si>
  <si>
    <t>DETALLES</t>
  </si>
  <si>
    <t>COSTOS</t>
  </si>
  <si>
    <t>DIAS</t>
  </si>
  <si>
    <t>CANTIDAD</t>
  </si>
  <si>
    <t>VALOR</t>
  </si>
  <si>
    <t>COSTO DIARIO</t>
  </si>
  <si>
    <t>PRECIO DIARIO</t>
  </si>
  <si>
    <t>FORMALETA DE  25*1,20</t>
  </si>
  <si>
    <t>MAYO 14 AL 18</t>
  </si>
  <si>
    <t xml:space="preserve">TOTAL DIARIO </t>
  </si>
  <si>
    <t xml:space="preserve">TOTAL DIAS </t>
  </si>
  <si>
    <t xml:space="preserve">LLEVADA Y RECOGIDA </t>
  </si>
  <si>
    <t>GLASCOLL</t>
  </si>
  <si>
    <t>CALLE 8 #19-05</t>
  </si>
  <si>
    <t xml:space="preserve">ESCALERA AMARILLA ALUMINIO AMARILLA </t>
  </si>
  <si>
    <t>FREDY LENGUA</t>
  </si>
  <si>
    <t>CRA 31 #16-59 EDIFICIO LORAIN TEL: 3133417533</t>
  </si>
  <si>
    <t xml:space="preserve">SLINGAS CON ARNES </t>
  </si>
  <si>
    <t>MARCOS DE ANDAMIOS NARANJAS</t>
  </si>
  <si>
    <t>10am</t>
  </si>
  <si>
    <t>ELISEO NELSON BERNAL</t>
  </si>
  <si>
    <t>CRA 18 #17-35</t>
  </si>
  <si>
    <t xml:space="preserve">MOVIMIENTO / MAYO </t>
  </si>
  <si>
    <t xml:space="preserve">                                                               </t>
  </si>
  <si>
    <t xml:space="preserve">FORMALETA DE 10*40 CORTA </t>
  </si>
  <si>
    <t xml:space="preserve">FORMALETA DE 10*30CORTA </t>
  </si>
  <si>
    <t>8.40</t>
  </si>
  <si>
    <t>KEVIN ANDRES HOWARD</t>
  </si>
  <si>
    <t>CALLE 1O #19-49</t>
  </si>
  <si>
    <t xml:space="preserve">TABLON DE MADERA </t>
  </si>
  <si>
    <t>DEPOSITO $50,000</t>
  </si>
  <si>
    <t>DEPOSITO 100,000</t>
  </si>
  <si>
    <t>CERCHAS DE 3 MTRO PLATINA</t>
  </si>
  <si>
    <t>ALINEADOR DE 3 MTROS</t>
  </si>
  <si>
    <t>RINCONERA DE 10*10*1,20</t>
  </si>
  <si>
    <t>CHAPETAS CUADRADAS</t>
  </si>
  <si>
    <t xml:space="preserve">ALINEADORES DE 2 MTROS </t>
  </si>
  <si>
    <t>ANGULO DE 1,20</t>
  </si>
  <si>
    <t>ANGULO DE 60</t>
  </si>
  <si>
    <t>PARALES DE 1 MTROS</t>
  </si>
  <si>
    <t xml:space="preserve">TENSORES </t>
  </si>
  <si>
    <t xml:space="preserve"> PUERTO RICOTEL:301204111</t>
  </si>
  <si>
    <t>GIONANNY SIERRA</t>
  </si>
  <si>
    <t>CRA 13 #6-26  SAN RAFAEL</t>
  </si>
  <si>
    <t xml:space="preserve">PEDRO JULIO </t>
  </si>
  <si>
    <t xml:space="preserve">TABLON DE 3 MTROS </t>
  </si>
  <si>
    <t>DEPOSSITO DE $100,000</t>
  </si>
  <si>
    <t>COA 566</t>
  </si>
  <si>
    <t xml:space="preserve">CARLOS MIGUEL </t>
  </si>
  <si>
    <t>CALLE 8 #16-20</t>
  </si>
  <si>
    <t>Z</t>
  </si>
  <si>
    <t>DGZ-325</t>
  </si>
  <si>
    <t>ANDRES GARCIA</t>
  </si>
  <si>
    <t>CALLE 4 #15A -46 VILLA ELENA</t>
  </si>
  <si>
    <t xml:space="preserve">CERCHA DE 3 MTROS </t>
  </si>
  <si>
    <t>XLK-646</t>
  </si>
  <si>
    <t>MAESTRO JHON</t>
  </si>
  <si>
    <t>PUERTO RICO  TEL: 3022556577</t>
  </si>
  <si>
    <t>CORBATAS DE 40</t>
  </si>
  <si>
    <t>CORBATAS DE 20</t>
  </si>
  <si>
    <t>PINES</t>
  </si>
  <si>
    <t>KENEDDY OLAS BAJAS TEL: 3134213827</t>
  </si>
  <si>
    <t>DOS -929</t>
  </si>
  <si>
    <t>CORTE AL 26-05</t>
  </si>
  <si>
    <t>DANIELA</t>
  </si>
  <si>
    <t>MIRAR</t>
  </si>
  <si>
    <t>PARALES DE 6 MTROS</t>
  </si>
  <si>
    <t xml:space="preserve">FREDY ESCALMILLA </t>
  </si>
  <si>
    <t xml:space="preserve">FREDDY ESCALMILLA </t>
  </si>
  <si>
    <t>CORTE AL 29-05</t>
  </si>
  <si>
    <t>1 GANCHO DE PARAL FALTO</t>
  </si>
  <si>
    <t xml:space="preserve">     </t>
  </si>
  <si>
    <t>MOVIMIENTO: MAYO 27 a junio 2/2025</t>
  </si>
  <si>
    <t>JIMMY JAIMES</t>
  </si>
  <si>
    <t>MAESTRO LUIS SANCHEZ: 3175022723</t>
  </si>
  <si>
    <t>LA INDEPENDENCIA</t>
  </si>
  <si>
    <t>PARALES 3 MTS</t>
  </si>
  <si>
    <t>VALOR DIARIO</t>
  </si>
  <si>
    <t xml:space="preserve">DIAS </t>
  </si>
  <si>
    <t>LLEVADA Y RRECOGIDA</t>
  </si>
  <si>
    <t>TOTAL DIAS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</si>
  <si>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</si>
  <si>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</t>
  </si>
  <si>
    <t xml:space="preserve">                                 </t>
  </si>
  <si>
    <t>YURANIS TEL:3127909590</t>
  </si>
  <si>
    <t>PARQUEADERO CHOROLO-COLORADOS</t>
  </si>
  <si>
    <t>MAYO 19-2026</t>
  </si>
  <si>
    <t>CERCHAS DE 2.50</t>
  </si>
  <si>
    <t xml:space="preserve">TABLONES GRUESOS BUENOS </t>
  </si>
  <si>
    <t>MAYO 19 AL 29</t>
  </si>
  <si>
    <t>RECOGIDA</t>
  </si>
  <si>
    <t>BUR-449</t>
  </si>
  <si>
    <t>K</t>
  </si>
  <si>
    <t>{</t>
  </si>
  <si>
    <t>GIO-268</t>
  </si>
  <si>
    <t>MOVIMIENTO:MAYO/2026</t>
  </si>
  <si>
    <t>DEPOSITO</t>
  </si>
  <si>
    <t>A DEVOLVER</t>
  </si>
  <si>
    <t>EFECTIVO</t>
  </si>
  <si>
    <t>TEJIDO ARQUITECTONICO S.A.S</t>
  </si>
  <si>
    <t>CRA 38 #41-108</t>
  </si>
  <si>
    <t>MATERIAL EN OBRA</t>
  </si>
  <si>
    <t>MARCOS DE ANDAMIOS AZULES DE 1,50</t>
  </si>
  <si>
    <t>MARCOS DE ANDAMIOS AMARILLOS 1,50</t>
  </si>
  <si>
    <t xml:space="preserve">CRUCETAS DE 2,40 </t>
  </si>
  <si>
    <t xml:space="preserve">MARCOS DE ANDAMIOS NARANAJAS </t>
  </si>
  <si>
    <t>MARCOS DE ANDAMIOS (CG)</t>
  </si>
  <si>
    <t>CRUCETAS (CG)</t>
  </si>
  <si>
    <t xml:space="preserve">RUEDAS NIVELADORAS </t>
  </si>
  <si>
    <t>MOVIMIENTO/MAYO2026</t>
  </si>
  <si>
    <t>ESCALERA AMARILLA</t>
  </si>
  <si>
    <t>BANDAS DE 50*1,40</t>
  </si>
  <si>
    <t>COBRAR 15 MAYO</t>
  </si>
  <si>
    <t>MARCOS DE ANDAMIOS 2MTS</t>
  </si>
  <si>
    <t>MOVIMIENTO: MAYO 5 A JUNIO 19/2026</t>
  </si>
  <si>
    <t>MOVIMIENTO / MAYO 20 A JUNIO 13/2026- POLEAS</t>
  </si>
  <si>
    <t>31/04</t>
  </si>
  <si>
    <t>6 DE 15 X 120</t>
  </si>
  <si>
    <t>5 DE 30 X 120</t>
  </si>
  <si>
    <t>1 DE 30 X 60</t>
  </si>
  <si>
    <t>4 ANGULOS DE 60</t>
  </si>
  <si>
    <t>8 ANGULOS DE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</si>
</sst>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h:mm:ss;@"/>
    <numFmt numFmtId="165" formatCode="_(&quot;$&quot;\ * #,##0_);_(&quot;$&quot;\ * \(#,##0\);_(&quot;$&quot;\ * &quot;-&quot;??_);_(@_)"/>
    <numFmt numFmtId="166" formatCode="hh:mm:ss;@"/>
    <numFmt numFmtId="167" formatCode="_-&quot;$&quot;\ * #,##0_-;\-&quot;$&quot;\ * #,##0_-;_-&quot;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80">
    <xf numFmtId="0" fontId="0" fillId="0" borderId="0" xfId="0"/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6" fontId="2" fillId="3" borderId="8" xfId="0" applyNumberFormat="1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right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6" fontId="2" fillId="5" borderId="8" xfId="0" applyNumberFormat="1" applyFont="1" applyFill="1" applyBorder="1" applyAlignment="1">
      <alignment horizontal="center" vertical="center"/>
    </xf>
    <xf numFmtId="16" fontId="2" fillId="3" borderId="10" xfId="0" applyNumberFormat="1" applyFont="1" applyFill="1" applyBorder="1" applyAlignment="1">
      <alignment horizontal="center" vertical="center"/>
    </xf>
    <xf numFmtId="16" fontId="2" fillId="5" borderId="11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5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" fontId="2" fillId="5" borderId="11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166" fontId="2" fillId="3" borderId="10" xfId="0" applyNumberFormat="1" applyFont="1" applyFill="1" applyBorder="1" applyAlignment="1">
      <alignment horizontal="center" vertical="center"/>
    </xf>
    <xf numFmtId="1" fontId="2" fillId="3" borderId="11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/>
    </xf>
    <xf numFmtId="167" fontId="2" fillId="5" borderId="15" xfId="1" applyNumberFormat="1" applyFont="1" applyFill="1" applyBorder="1" applyAlignment="1">
      <alignment vertical="center"/>
    </xf>
    <xf numFmtId="167" fontId="2" fillId="3" borderId="15" xfId="1" applyNumberFormat="1" applyFont="1" applyFill="1" applyBorder="1" applyAlignment="1">
      <alignment vertical="center"/>
    </xf>
    <xf numFmtId="167" fontId="2" fillId="3" borderId="17" xfId="1" applyNumberFormat="1" applyFont="1" applyFill="1" applyBorder="1" applyAlignment="1">
      <alignment horizontal="center" vertical="center"/>
    </xf>
    <xf numFmtId="167" fontId="2" fillId="6" borderId="15" xfId="1" applyNumberFormat="1" applyFont="1" applyFill="1" applyBorder="1" applyAlignment="1">
      <alignment vertical="center"/>
    </xf>
    <xf numFmtId="0" fontId="0" fillId="6" borderId="0" xfId="0" applyFill="1"/>
    <xf numFmtId="0" fontId="2" fillId="0" borderId="8" xfId="0" applyFont="1" applyBorder="1" applyAlignment="1">
      <alignment horizontal="left" vertical="center"/>
    </xf>
    <xf numFmtId="164" fontId="2" fillId="5" borderId="8" xfId="0" applyNumberFormat="1" applyFont="1" applyFill="1" applyBorder="1" applyAlignment="1">
      <alignment horizontal="center" vertical="center"/>
    </xf>
    <xf numFmtId="165" fontId="2" fillId="5" borderId="8" xfId="1" applyNumberFormat="1" applyFont="1" applyFill="1" applyBorder="1" applyAlignment="1">
      <alignment horizontal="right" vertical="center"/>
    </xf>
    <xf numFmtId="167" fontId="2" fillId="3" borderId="8" xfId="1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67" fontId="2" fillId="5" borderId="8" xfId="1" applyNumberFormat="1" applyFont="1" applyFill="1" applyBorder="1" applyAlignment="1">
      <alignment horizontal="right" vertical="center"/>
    </xf>
    <xf numFmtId="167" fontId="2" fillId="3" borderId="8" xfId="1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/>
    </xf>
    <xf numFmtId="1" fontId="2" fillId="6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167" fontId="2" fillId="3" borderId="8" xfId="1" applyNumberFormat="1" applyFont="1" applyFill="1" applyBorder="1" applyAlignment="1">
      <alignment vertical="center"/>
    </xf>
    <xf numFmtId="167" fontId="2" fillId="5" borderId="8" xfId="1" applyNumberFormat="1" applyFont="1" applyFill="1" applyBorder="1" applyAlignment="1">
      <alignment horizontal="center" vertical="center"/>
    </xf>
    <xf numFmtId="0" fontId="2" fillId="0" borderId="0" xfId="0" applyFont="1"/>
    <xf numFmtId="166" fontId="2" fillId="3" borderId="8" xfId="0" applyNumberFormat="1" applyFont="1" applyFill="1" applyBorder="1" applyAlignment="1">
      <alignment horizontal="center" vertical="center"/>
    </xf>
    <xf numFmtId="20" fontId="2" fillId="5" borderId="8" xfId="0" applyNumberFormat="1" applyFont="1" applyFill="1" applyBorder="1" applyAlignment="1">
      <alignment horizontal="center" vertical="center"/>
    </xf>
    <xf numFmtId="167" fontId="2" fillId="5" borderId="8" xfId="2" applyNumberFormat="1" applyFont="1" applyFill="1" applyBorder="1" applyAlignment="1">
      <alignment vertical="center"/>
    </xf>
    <xf numFmtId="167" fontId="2" fillId="3" borderId="8" xfId="2" applyNumberFormat="1" applyFont="1" applyFill="1" applyBorder="1" applyAlignment="1">
      <alignment vertical="center"/>
    </xf>
    <xf numFmtId="167" fontId="2" fillId="3" borderId="8" xfId="2" applyNumberFormat="1" applyFont="1" applyFill="1" applyBorder="1" applyAlignment="1">
      <alignment horizontal="center" vertical="center"/>
    </xf>
    <xf numFmtId="164" fontId="2" fillId="3" borderId="8" xfId="2" applyNumberFormat="1" applyFont="1" applyFill="1" applyBorder="1" applyAlignment="1">
      <alignment horizontal="center" vertical="center"/>
    </xf>
    <xf numFmtId="165" fontId="2" fillId="3" borderId="8" xfId="2" applyNumberFormat="1" applyFont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/>
    </xf>
    <xf numFmtId="167" fontId="2" fillId="3" borderId="16" xfId="1" applyNumberFormat="1" applyFont="1" applyFill="1" applyBorder="1" applyAlignment="1">
      <alignment vertical="center"/>
    </xf>
    <xf numFmtId="0" fontId="0" fillId="5" borderId="8" xfId="0" applyFill="1" applyBorder="1"/>
    <xf numFmtId="0" fontId="0" fillId="5" borderId="0" xfId="0" applyFill="1"/>
    <xf numFmtId="1" fontId="2" fillId="2" borderId="8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left" vertical="center"/>
    </xf>
    <xf numFmtId="1" fontId="2" fillId="7" borderId="8" xfId="0" applyNumberFormat="1" applyFont="1" applyFill="1" applyBorder="1" applyAlignment="1">
      <alignment horizontal="center" vertical="center"/>
    </xf>
    <xf numFmtId="0" fontId="0" fillId="5" borderId="5" xfId="0" applyFill="1" applyBorder="1"/>
    <xf numFmtId="167" fontId="2" fillId="3" borderId="20" xfId="1" applyNumberFormat="1" applyFont="1" applyFill="1" applyBorder="1" applyAlignment="1">
      <alignment vertical="center"/>
    </xf>
    <xf numFmtId="20" fontId="2" fillId="6" borderId="8" xfId="0" applyNumberFormat="1" applyFont="1" applyFill="1" applyBorder="1" applyAlignment="1">
      <alignment horizontal="center" vertical="center"/>
    </xf>
    <xf numFmtId="165" fontId="2" fillId="6" borderId="8" xfId="1" applyNumberFormat="1" applyFont="1" applyFill="1" applyBorder="1" applyAlignment="1">
      <alignment horizontal="right" vertical="center"/>
    </xf>
    <xf numFmtId="1" fontId="2" fillId="0" borderId="19" xfId="0" applyNumberFormat="1" applyFont="1" applyBorder="1" applyAlignment="1">
      <alignment horizontal="center" vertical="center"/>
    </xf>
    <xf numFmtId="165" fontId="0" fillId="0" borderId="0" xfId="0" applyNumberFormat="1"/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6" borderId="8" xfId="0" applyFont="1" applyFill="1" applyBorder="1" applyAlignment="1">
      <alignment horizontal="center"/>
    </xf>
    <xf numFmtId="167" fontId="1" fillId="0" borderId="8" xfId="1" applyNumberFormat="1" applyFont="1" applyBorder="1" applyAlignment="1">
      <alignment horizontal="center"/>
    </xf>
    <xf numFmtId="165" fontId="0" fillId="0" borderId="8" xfId="1" applyNumberFormat="1" applyFont="1" applyBorder="1"/>
    <xf numFmtId="165" fontId="11" fillId="6" borderId="8" xfId="1" applyNumberFormat="1" applyFont="1" applyFill="1" applyBorder="1"/>
    <xf numFmtId="0" fontId="0" fillId="0" borderId="19" xfId="0" applyBorder="1" applyAlignment="1">
      <alignment horizontal="center"/>
    </xf>
    <xf numFmtId="165" fontId="11" fillId="9" borderId="15" xfId="1" applyNumberFormat="1" applyFont="1" applyFill="1" applyBorder="1"/>
    <xf numFmtId="165" fontId="11" fillId="10" borderId="16" xfId="1" applyNumberFormat="1" applyFont="1" applyFill="1" applyBorder="1"/>
    <xf numFmtId="165" fontId="11" fillId="11" borderId="15" xfId="1" applyNumberFormat="1" applyFont="1" applyFill="1" applyBorder="1"/>
    <xf numFmtId="0" fontId="0" fillId="0" borderId="23" xfId="0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0" fillId="0" borderId="0" xfId="0" quotePrefix="1"/>
    <xf numFmtId="0" fontId="2" fillId="11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" fontId="2" fillId="12" borderId="8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167" fontId="2" fillId="3" borderId="8" xfId="1" applyNumberFormat="1" applyFont="1" applyFill="1" applyBorder="1" applyAlignment="1">
      <alignment horizontal="left" vertical="center"/>
    </xf>
    <xf numFmtId="0" fontId="0" fillId="5" borderId="0" xfId="0" applyFill="1" applyAlignment="1">
      <alignment wrapText="1"/>
    </xf>
    <xf numFmtId="0" fontId="2" fillId="0" borderId="11" xfId="0" applyFont="1" applyBorder="1" applyAlignment="1">
      <alignment horizontal="center"/>
    </xf>
    <xf numFmtId="0" fontId="0" fillId="0" borderId="9" xfId="0" applyBorder="1"/>
    <xf numFmtId="0" fontId="0" fillId="2" borderId="1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5" fontId="0" fillId="4" borderId="24" xfId="1" applyNumberFormat="1" applyFont="1" applyFill="1" applyBorder="1"/>
    <xf numFmtId="165" fontId="0" fillId="0" borderId="11" xfId="1" applyNumberFormat="1" applyFont="1" applyBorder="1"/>
    <xf numFmtId="0" fontId="0" fillId="0" borderId="13" xfId="0" applyBorder="1"/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5" fontId="0" fillId="4" borderId="8" xfId="1" applyNumberFormat="1" applyFont="1" applyFill="1" applyBorder="1"/>
    <xf numFmtId="0" fontId="0" fillId="6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4" borderId="16" xfId="1" applyNumberFormat="1" applyFont="1" applyFill="1" applyBorder="1"/>
    <xf numFmtId="165" fontId="0" fillId="0" borderId="16" xfId="1" applyNumberFormat="1" applyFont="1" applyBorder="1"/>
    <xf numFmtId="0" fontId="0" fillId="0" borderId="25" xfId="0" applyBorder="1" applyAlignment="1">
      <alignment horizontal="center"/>
    </xf>
    <xf numFmtId="165" fontId="11" fillId="11" borderId="16" xfId="1" applyNumberFormat="1" applyFont="1" applyFill="1" applyBorder="1"/>
    <xf numFmtId="165" fontId="3" fillId="13" borderId="8" xfId="0" applyNumberFormat="1" applyFont="1" applyFill="1" applyBorder="1"/>
    <xf numFmtId="165" fontId="3" fillId="5" borderId="15" xfId="0" applyNumberFormat="1" applyFont="1" applyFill="1" applyBorder="1"/>
    <xf numFmtId="0" fontId="0" fillId="0" borderId="28" xfId="0" applyBorder="1" applyAlignment="1">
      <alignment horizontal="center"/>
    </xf>
    <xf numFmtId="16" fontId="0" fillId="0" borderId="0" xfId="0" applyNumberFormat="1"/>
    <xf numFmtId="165" fontId="0" fillId="0" borderId="17" xfId="1" applyNumberFormat="1" applyFont="1" applyBorder="1"/>
    <xf numFmtId="0" fontId="0" fillId="0" borderId="17" xfId="0" applyBorder="1" applyAlignment="1">
      <alignment horizontal="center"/>
    </xf>
    <xf numFmtId="165" fontId="11" fillId="6" borderId="16" xfId="1" applyNumberFormat="1" applyFont="1" applyFill="1" applyBorder="1"/>
    <xf numFmtId="1" fontId="2" fillId="14" borderId="8" xfId="0" applyNumberFormat="1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16" fontId="2" fillId="3" borderId="8" xfId="0" applyNumberFormat="1" applyFont="1" applyFill="1" applyBorder="1" applyAlignment="1">
      <alignment horizontal="left" vertical="center"/>
    </xf>
    <xf numFmtId="16" fontId="2" fillId="15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" fontId="2" fillId="15" borderId="8" xfId="0" applyNumberFormat="1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4" borderId="0" xfId="0" applyFill="1"/>
    <xf numFmtId="16" fontId="0" fillId="5" borderId="0" xfId="0" applyNumberFormat="1" applyFill="1" applyAlignment="1">
      <alignment wrapText="1"/>
    </xf>
    <xf numFmtId="0" fontId="2" fillId="2" borderId="8" xfId="0" applyFont="1" applyFill="1" applyBorder="1" applyAlignment="1">
      <alignment horizontal="center" vertical="center"/>
    </xf>
    <xf numFmtId="16" fontId="2" fillId="11" borderId="8" xfId="0" applyNumberFormat="1" applyFont="1" applyFill="1" applyBorder="1" applyAlignment="1">
      <alignment horizontal="center" vertical="center"/>
    </xf>
    <xf numFmtId="1" fontId="2" fillId="11" borderId="8" xfId="0" applyNumberFormat="1" applyFont="1" applyFill="1" applyBorder="1" applyAlignment="1">
      <alignment horizontal="center" vertical="center"/>
    </xf>
    <xf numFmtId="167" fontId="2" fillId="11" borderId="8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" fontId="2" fillId="16" borderId="8" xfId="0" applyNumberFormat="1" applyFont="1" applyFill="1" applyBorder="1" applyAlignment="1">
      <alignment horizontal="center" vertical="center"/>
    </xf>
    <xf numFmtId="1" fontId="2" fillId="13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4" fillId="2" borderId="4" xfId="3" applyFont="1" applyFill="1" applyBorder="1" applyAlignment="1">
      <alignment horizontal="center"/>
    </xf>
    <xf numFmtId="0" fontId="14" fillId="2" borderId="5" xfId="3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10" fillId="6" borderId="13" xfId="0" applyNumberFormat="1" applyFont="1" applyFill="1" applyBorder="1" applyAlignment="1">
      <alignment horizontal="center" vertical="center" wrapText="1"/>
    </xf>
    <xf numFmtId="14" fontId="10" fillId="6" borderId="8" xfId="0" applyNumberFormat="1" applyFont="1" applyFill="1" applyBorder="1" applyAlignment="1">
      <alignment horizontal="center" vertical="center" wrapText="1"/>
    </xf>
    <xf numFmtId="14" fontId="10" fillId="6" borderId="9" xfId="0" applyNumberFormat="1" applyFont="1" applyFill="1" applyBorder="1" applyAlignment="1">
      <alignment horizontal="center" vertical="center" wrapText="1"/>
    </xf>
    <xf numFmtId="14" fontId="10" fillId="6" borderId="16" xfId="0" applyNumberFormat="1" applyFont="1" applyFill="1" applyBorder="1" applyAlignment="1">
      <alignment horizontal="center" vertical="center" wrapText="1"/>
    </xf>
    <xf numFmtId="14" fontId="10" fillId="6" borderId="14" xfId="0" applyNumberFormat="1" applyFont="1" applyFill="1" applyBorder="1" applyAlignment="1">
      <alignment horizontal="center" vertical="center" wrapText="1"/>
    </xf>
    <xf numFmtId="14" fontId="10" fillId="6" borderId="15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</cellXfs>
  <cellStyles count="4">
    <cellStyle name="Hipervínculo" xfId="3" builtinId="8"/>
    <cellStyle name="Moneda" xfId="1" builtinId="4"/>
    <cellStyle name="Moneda 2" xfId="2" xr:uid="{2D816370-5A5B-44AB-A6E3-FD7105E821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30E71200-FFAF-4DCD-96FD-43F588FD0D97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6-04T15:20:36.09" personId="{30E71200-FFAF-4DCD-96FD-43F588FD0D97}" id="{7783C173-7093-438A-BEA2-8DE001309DAD}">
    <text>9 DE CLAUDIA JEREZ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301204111" TargetMode="External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workbookViewId="0">
      <pane xSplit="1" topLeftCell="K1" activePane="topRight" state="frozen"/>
      <selection pane="topRight" activeCell="M20" sqref="M20"/>
    </sheetView>
  </sheetViews>
  <sheetFormatPr baseColWidth="10" defaultColWidth="9.140625" defaultRowHeight="15" x14ac:dyDescent="0.25"/>
  <cols>
    <col min="1" max="1" width="21.85546875" bestFit="1" customWidth="1"/>
    <col min="2" max="2" width="15.85546875" customWidth="1"/>
    <col min="3" max="3" width="15.5703125" customWidth="1"/>
    <col min="4" max="4" width="14" customWidth="1"/>
    <col min="5" max="12" width="12.5703125" customWidth="1"/>
    <col min="13" max="13" width="17.28515625" customWidth="1"/>
  </cols>
  <sheetData>
    <row r="1" spans="1:15" ht="18.75" x14ac:dyDescent="0.3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5"/>
    </row>
    <row r="2" spans="1:15" ht="18.75" x14ac:dyDescent="0.3">
      <c r="A2" s="131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6"/>
    </row>
    <row r="3" spans="1:15" ht="18.75" x14ac:dyDescent="0.3">
      <c r="A3" s="131" t="s">
        <v>20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</row>
    <row r="4" spans="1:15" x14ac:dyDescent="0.25">
      <c r="A4" s="1" t="s">
        <v>2</v>
      </c>
      <c r="B4" s="81">
        <v>13573</v>
      </c>
      <c r="C4" s="81">
        <v>13578</v>
      </c>
      <c r="D4" s="81">
        <v>13621</v>
      </c>
      <c r="E4" s="82">
        <v>13308</v>
      </c>
      <c r="F4" s="82">
        <v>13316</v>
      </c>
      <c r="G4" s="82">
        <v>13317</v>
      </c>
      <c r="H4" s="81">
        <v>13657</v>
      </c>
      <c r="I4" s="82">
        <v>13342</v>
      </c>
      <c r="J4" s="81">
        <v>13686</v>
      </c>
      <c r="K4" s="83">
        <v>13353</v>
      </c>
      <c r="L4" s="83">
        <v>13356</v>
      </c>
      <c r="M4" s="2" t="s">
        <v>3</v>
      </c>
    </row>
    <row r="5" spans="1:15" x14ac:dyDescent="0.25">
      <c r="A5" s="3"/>
      <c r="B5" s="4">
        <v>46128</v>
      </c>
      <c r="C5" s="5">
        <v>46132</v>
      </c>
      <c r="D5" s="14">
        <v>46144</v>
      </c>
      <c r="E5" s="4">
        <v>46144</v>
      </c>
      <c r="F5" s="4">
        <v>46149</v>
      </c>
      <c r="G5" s="4">
        <v>46149</v>
      </c>
      <c r="H5" s="4">
        <v>46154</v>
      </c>
      <c r="I5" s="4">
        <v>46162</v>
      </c>
      <c r="J5" s="4">
        <v>46164</v>
      </c>
      <c r="K5" s="4">
        <v>46170</v>
      </c>
      <c r="L5" s="4">
        <v>46170</v>
      </c>
      <c r="M5" s="4">
        <v>46173</v>
      </c>
    </row>
    <row r="6" spans="1:15" x14ac:dyDescent="0.25">
      <c r="A6" s="6" t="s">
        <v>4</v>
      </c>
      <c r="B6" s="7">
        <v>4</v>
      </c>
      <c r="C6" s="8">
        <v>20</v>
      </c>
      <c r="D6" s="8"/>
      <c r="E6" s="8">
        <v>-4</v>
      </c>
      <c r="F6" s="8">
        <v>-12</v>
      </c>
      <c r="G6" s="8"/>
      <c r="H6" s="8"/>
      <c r="I6" s="8"/>
      <c r="J6" s="8"/>
      <c r="K6" s="8">
        <v>-8</v>
      </c>
      <c r="L6" s="8"/>
      <c r="M6" s="9">
        <f>SUM(B6:L6)</f>
        <v>0</v>
      </c>
      <c r="O6" t="s">
        <v>287</v>
      </c>
    </row>
    <row r="7" spans="1:15" x14ac:dyDescent="0.25">
      <c r="A7" s="6" t="s">
        <v>5</v>
      </c>
      <c r="B7" s="7">
        <v>3</v>
      </c>
      <c r="C7" s="8">
        <v>15</v>
      </c>
      <c r="D7" s="8"/>
      <c r="E7" s="8">
        <v>-7</v>
      </c>
      <c r="F7" s="8">
        <v>-2</v>
      </c>
      <c r="G7" s="8">
        <v>-9</v>
      </c>
      <c r="H7" s="8"/>
      <c r="I7" s="8"/>
      <c r="J7" s="8">
        <v>15</v>
      </c>
      <c r="K7" s="8">
        <v>-15</v>
      </c>
      <c r="L7" s="8"/>
      <c r="M7" s="9">
        <f t="shared" ref="M7:M20" si="0">SUM(B7:L7)</f>
        <v>0</v>
      </c>
    </row>
    <row r="8" spans="1:15" x14ac:dyDescent="0.25">
      <c r="A8" s="6" t="s">
        <v>6</v>
      </c>
      <c r="B8" s="7">
        <v>5</v>
      </c>
      <c r="C8" s="8">
        <v>25</v>
      </c>
      <c r="D8" s="8"/>
      <c r="E8" s="8">
        <v>-25</v>
      </c>
      <c r="F8" s="8">
        <v>-2</v>
      </c>
      <c r="G8" s="8"/>
      <c r="H8" s="8"/>
      <c r="I8" s="8"/>
      <c r="J8" s="8">
        <v>4</v>
      </c>
      <c r="K8" s="8">
        <v>-6</v>
      </c>
      <c r="L8" s="8"/>
      <c r="M8" s="9">
        <f t="shared" si="0"/>
        <v>1</v>
      </c>
    </row>
    <row r="9" spans="1:15" x14ac:dyDescent="0.25">
      <c r="A9" s="6" t="s">
        <v>7</v>
      </c>
      <c r="B9" s="7">
        <v>2</v>
      </c>
      <c r="C9" s="8">
        <v>16</v>
      </c>
      <c r="D9" s="8"/>
      <c r="E9" s="8">
        <v>-3</v>
      </c>
      <c r="F9" s="8">
        <v>-14</v>
      </c>
      <c r="G9" s="8"/>
      <c r="H9" s="8"/>
      <c r="I9" s="8"/>
      <c r="J9" s="8"/>
      <c r="K9" s="8">
        <v>-1</v>
      </c>
      <c r="L9" s="8"/>
      <c r="M9" s="9">
        <f t="shared" si="0"/>
        <v>0</v>
      </c>
    </row>
    <row r="10" spans="1:15" x14ac:dyDescent="0.25">
      <c r="A10" s="6" t="s">
        <v>29</v>
      </c>
      <c r="B10" s="7"/>
      <c r="C10" s="8"/>
      <c r="D10" s="8"/>
      <c r="E10" s="8"/>
      <c r="F10" s="8"/>
      <c r="G10" s="8"/>
      <c r="H10" s="8"/>
      <c r="I10" s="8"/>
      <c r="J10" s="8">
        <v>6</v>
      </c>
      <c r="K10" s="8">
        <v>-6</v>
      </c>
      <c r="L10" s="8"/>
      <c r="M10" s="9">
        <f t="shared" si="0"/>
        <v>0</v>
      </c>
    </row>
    <row r="11" spans="1:15" x14ac:dyDescent="0.25">
      <c r="A11" s="6" t="s">
        <v>8</v>
      </c>
      <c r="B11" s="7">
        <v>4</v>
      </c>
      <c r="C11" s="8">
        <v>20</v>
      </c>
      <c r="D11" s="8"/>
      <c r="E11" s="8"/>
      <c r="F11" s="8"/>
      <c r="G11" s="8"/>
      <c r="H11" s="8"/>
      <c r="I11" s="8"/>
      <c r="J11" s="8"/>
      <c r="K11" s="8">
        <v>-24</v>
      </c>
      <c r="L11" s="8"/>
      <c r="M11" s="9">
        <f t="shared" si="0"/>
        <v>0</v>
      </c>
    </row>
    <row r="12" spans="1:15" x14ac:dyDescent="0.25">
      <c r="A12" s="6" t="s">
        <v>9</v>
      </c>
      <c r="B12" s="7">
        <v>6</v>
      </c>
      <c r="C12" s="8">
        <v>30</v>
      </c>
      <c r="D12" s="8"/>
      <c r="E12" s="8"/>
      <c r="F12" s="8"/>
      <c r="G12" s="8"/>
      <c r="H12" s="8"/>
      <c r="I12" s="8"/>
      <c r="J12" s="8"/>
      <c r="K12" s="8">
        <v>-35</v>
      </c>
      <c r="L12" s="8"/>
      <c r="M12" s="9">
        <f t="shared" si="0"/>
        <v>1</v>
      </c>
    </row>
    <row r="13" spans="1:15" x14ac:dyDescent="0.25">
      <c r="A13" s="6" t="s">
        <v>10</v>
      </c>
      <c r="B13" s="7">
        <v>10</v>
      </c>
      <c r="C13" s="8">
        <v>50</v>
      </c>
      <c r="D13" s="8"/>
      <c r="E13" s="8"/>
      <c r="F13" s="8"/>
      <c r="G13" s="8"/>
      <c r="H13" s="8"/>
      <c r="I13" s="8"/>
      <c r="J13" s="8"/>
      <c r="K13" s="8">
        <v>-31</v>
      </c>
      <c r="L13" s="8">
        <v>-28</v>
      </c>
      <c r="M13" s="9">
        <f t="shared" si="0"/>
        <v>1</v>
      </c>
    </row>
    <row r="14" spans="1:15" x14ac:dyDescent="0.25">
      <c r="A14" s="6" t="s">
        <v>11</v>
      </c>
      <c r="B14" s="7">
        <v>40</v>
      </c>
      <c r="C14" s="8">
        <v>198</v>
      </c>
      <c r="D14" s="8"/>
      <c r="E14" s="8"/>
      <c r="F14" s="8"/>
      <c r="G14" s="8">
        <v>-181</v>
      </c>
      <c r="H14" s="8"/>
      <c r="I14" s="8"/>
      <c r="J14" s="8"/>
      <c r="K14" s="8">
        <v>-57</v>
      </c>
      <c r="L14" s="8"/>
      <c r="M14" s="9">
        <f t="shared" si="0"/>
        <v>0</v>
      </c>
    </row>
    <row r="15" spans="1:15" x14ac:dyDescent="0.25">
      <c r="A15" s="6" t="s">
        <v>12</v>
      </c>
      <c r="B15" s="7">
        <v>100</v>
      </c>
      <c r="C15" s="8">
        <v>500</v>
      </c>
      <c r="D15" s="8"/>
      <c r="E15" s="8"/>
      <c r="F15" s="8"/>
      <c r="G15" s="8">
        <v>-354</v>
      </c>
      <c r="H15" s="8"/>
      <c r="I15" s="8"/>
      <c r="J15" s="8"/>
      <c r="K15" s="8">
        <v>-246</v>
      </c>
      <c r="L15" s="8"/>
      <c r="M15" s="9">
        <f t="shared" si="0"/>
        <v>0</v>
      </c>
    </row>
    <row r="16" spans="1:15" x14ac:dyDescent="0.25">
      <c r="A16" s="6" t="s">
        <v>13</v>
      </c>
      <c r="B16" s="7">
        <v>16</v>
      </c>
      <c r="C16" s="8"/>
      <c r="D16" s="42">
        <v>14</v>
      </c>
      <c r="E16" s="8"/>
      <c r="F16" s="8"/>
      <c r="G16" s="8"/>
      <c r="H16" s="8"/>
      <c r="I16" s="8"/>
      <c r="J16" s="8"/>
      <c r="K16" s="8">
        <v>-30</v>
      </c>
      <c r="L16" s="8"/>
      <c r="M16" s="9">
        <f t="shared" si="0"/>
        <v>0</v>
      </c>
    </row>
    <row r="17" spans="1:13" x14ac:dyDescent="0.25">
      <c r="A17" s="6" t="s">
        <v>21</v>
      </c>
      <c r="B17" s="7"/>
      <c r="C17" s="8"/>
      <c r="D17" s="42">
        <v>14</v>
      </c>
      <c r="E17" s="8"/>
      <c r="F17" s="8"/>
      <c r="G17" s="8"/>
      <c r="H17" s="8"/>
      <c r="I17" s="8"/>
      <c r="J17" s="8"/>
      <c r="K17" s="8">
        <v>-12</v>
      </c>
      <c r="L17" s="8"/>
      <c r="M17" s="9">
        <f t="shared" si="0"/>
        <v>2</v>
      </c>
    </row>
    <row r="18" spans="1:13" x14ac:dyDescent="0.25">
      <c r="A18" s="6" t="s">
        <v>14</v>
      </c>
      <c r="B18" s="7">
        <v>10</v>
      </c>
      <c r="C18" s="8"/>
      <c r="D18" s="8"/>
      <c r="E18" s="8"/>
      <c r="F18" s="8"/>
      <c r="G18" s="8"/>
      <c r="H18" s="8"/>
      <c r="I18" s="8"/>
      <c r="J18" s="8"/>
      <c r="K18" s="8">
        <v>-10</v>
      </c>
      <c r="L18" s="8"/>
      <c r="M18" s="9">
        <f t="shared" si="0"/>
        <v>0</v>
      </c>
    </row>
    <row r="19" spans="1:13" x14ac:dyDescent="0.25">
      <c r="A19" s="6" t="s">
        <v>28</v>
      </c>
      <c r="B19" s="7"/>
      <c r="C19" s="8"/>
      <c r="D19" s="8"/>
      <c r="E19" s="8"/>
      <c r="F19" s="8"/>
      <c r="G19" s="8"/>
      <c r="H19" s="42">
        <v>60</v>
      </c>
      <c r="I19" s="42">
        <v>-36</v>
      </c>
      <c r="J19" s="8"/>
      <c r="K19" s="8">
        <v>-24</v>
      </c>
      <c r="L19" s="8"/>
      <c r="M19" s="9">
        <f t="shared" si="0"/>
        <v>0</v>
      </c>
    </row>
    <row r="20" spans="1:13" x14ac:dyDescent="0.25">
      <c r="A20" s="6" t="s">
        <v>15</v>
      </c>
      <c r="B20" s="7"/>
      <c r="C20" s="8">
        <v>2</v>
      </c>
      <c r="D20" s="8"/>
      <c r="E20" s="8"/>
      <c r="F20" s="8"/>
      <c r="G20" s="8">
        <v>-2</v>
      </c>
      <c r="H20" s="8"/>
      <c r="I20" s="8"/>
      <c r="J20" s="8"/>
      <c r="K20" s="8"/>
      <c r="L20" s="8"/>
      <c r="M20" s="9">
        <f t="shared" si="0"/>
        <v>0</v>
      </c>
    </row>
    <row r="21" spans="1:13" x14ac:dyDescent="0.25">
      <c r="A21" s="3" t="s">
        <v>16</v>
      </c>
      <c r="B21" s="10">
        <v>0.19444444444444445</v>
      </c>
      <c r="C21" s="11">
        <v>0.30208333333333331</v>
      </c>
      <c r="D21" s="11">
        <v>0.35416666666666669</v>
      </c>
      <c r="E21" s="11">
        <v>0.47916666666666669</v>
      </c>
      <c r="F21" s="11">
        <v>0.3125</v>
      </c>
      <c r="G21" s="11">
        <v>9.0277777777777776E-2</v>
      </c>
      <c r="H21" s="11">
        <v>0.4826388888888889</v>
      </c>
      <c r="I21" s="11">
        <v>0.1736111111111111</v>
      </c>
      <c r="J21" s="11">
        <v>9.375E-2</v>
      </c>
      <c r="K21" s="11">
        <v>0.30902777777777779</v>
      </c>
      <c r="L21" s="11">
        <v>9.0277777777777776E-2</v>
      </c>
      <c r="M21" s="12"/>
    </row>
    <row r="22" spans="1:13" x14ac:dyDescent="0.25">
      <c r="A22" s="3" t="s">
        <v>17</v>
      </c>
      <c r="B22" s="13" t="s">
        <v>18</v>
      </c>
      <c r="C22" s="13" t="s">
        <v>19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167</v>
      </c>
      <c r="I22" s="13" t="s">
        <v>233</v>
      </c>
      <c r="J22" s="13" t="s">
        <v>22</v>
      </c>
      <c r="K22" s="13" t="s">
        <v>167</v>
      </c>
      <c r="L22" s="13" t="s">
        <v>22</v>
      </c>
      <c r="M22" s="12"/>
    </row>
  </sheetData>
  <mergeCells count="3">
    <mergeCell ref="A1:M1"/>
    <mergeCell ref="A2:M2"/>
    <mergeCell ref="A3:M3"/>
  </mergeCells>
  <pageMargins left="0.7" right="0.7" top="0.75" bottom="0.75" header="0.3" footer="0.3"/>
  <pageSetup paperSize="9" scale="6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27DA-BA69-4D01-8987-02E5FA9663DA}">
  <dimension ref="A1:G26"/>
  <sheetViews>
    <sheetView workbookViewId="0">
      <selection activeCell="J10" sqref="J10"/>
    </sheetView>
  </sheetViews>
  <sheetFormatPr baseColWidth="10" defaultRowHeight="15" x14ac:dyDescent="0.25"/>
  <cols>
    <col min="1" max="1" width="31.5703125" customWidth="1"/>
    <col min="2" max="2" width="17" customWidth="1"/>
    <col min="5" max="5" width="14.42578125" customWidth="1"/>
    <col min="7" max="7" width="15.42578125" customWidth="1"/>
  </cols>
  <sheetData>
    <row r="1" spans="1:7" ht="18.75" x14ac:dyDescent="0.3">
      <c r="A1" s="129" t="s">
        <v>249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250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45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13682</v>
      </c>
      <c r="C4" s="2">
        <v>13348</v>
      </c>
      <c r="D4" s="2"/>
      <c r="E4" s="2"/>
      <c r="F4" s="2"/>
      <c r="G4" s="38" t="s">
        <v>3</v>
      </c>
    </row>
    <row r="5" spans="1:7" x14ac:dyDescent="0.25">
      <c r="A5" s="3"/>
      <c r="B5" s="4">
        <v>46163</v>
      </c>
      <c r="C5" s="4">
        <v>46167</v>
      </c>
      <c r="D5" s="4"/>
      <c r="E5" s="4"/>
      <c r="F5" s="4"/>
      <c r="G5" s="17">
        <v>46112</v>
      </c>
    </row>
    <row r="6" spans="1:7" x14ac:dyDescent="0.25">
      <c r="A6" s="6" t="s">
        <v>4</v>
      </c>
      <c r="B6" s="7">
        <v>43</v>
      </c>
      <c r="C6" s="8">
        <v>-43</v>
      </c>
      <c r="D6" s="8"/>
      <c r="E6" s="8"/>
      <c r="F6" s="8"/>
      <c r="G6" s="9">
        <f>SUM(B6:F6)</f>
        <v>0</v>
      </c>
    </row>
    <row r="7" spans="1:7" x14ac:dyDescent="0.25">
      <c r="A7" s="6" t="s">
        <v>29</v>
      </c>
      <c r="B7" s="7">
        <v>7</v>
      </c>
      <c r="C7" s="8">
        <v>-7</v>
      </c>
      <c r="D7" s="8"/>
      <c r="E7" s="8"/>
      <c r="F7" s="8"/>
      <c r="G7" s="9">
        <f t="shared" ref="G7:G25" si="0">SUM(B7:F7)</f>
        <v>0</v>
      </c>
    </row>
    <row r="8" spans="1:7" x14ac:dyDescent="0.25">
      <c r="A8" s="6" t="s">
        <v>6</v>
      </c>
      <c r="B8" s="7">
        <v>4</v>
      </c>
      <c r="C8" s="8">
        <v>-4</v>
      </c>
      <c r="D8" s="8"/>
      <c r="E8" s="8"/>
      <c r="F8" s="8"/>
      <c r="G8" s="9">
        <f t="shared" si="0"/>
        <v>0</v>
      </c>
    </row>
    <row r="9" spans="1:7" x14ac:dyDescent="0.25">
      <c r="A9" s="6" t="s">
        <v>5</v>
      </c>
      <c r="B9" s="7">
        <v>7</v>
      </c>
      <c r="C9" s="8">
        <v>-7</v>
      </c>
      <c r="D9" s="8"/>
      <c r="E9" s="8"/>
      <c r="F9" s="8"/>
      <c r="G9" s="9">
        <f t="shared" si="0"/>
        <v>0</v>
      </c>
    </row>
    <row r="10" spans="1:7" x14ac:dyDescent="0.25">
      <c r="A10" s="6" t="s">
        <v>198</v>
      </c>
      <c r="B10" s="7">
        <v>2</v>
      </c>
      <c r="C10" s="8">
        <v>-2</v>
      </c>
      <c r="D10" s="8"/>
      <c r="E10" s="8"/>
      <c r="F10" s="8"/>
      <c r="G10" s="9">
        <f t="shared" si="0"/>
        <v>0</v>
      </c>
    </row>
    <row r="11" spans="1:7" x14ac:dyDescent="0.25">
      <c r="A11" s="6" t="s">
        <v>253</v>
      </c>
      <c r="B11" s="7">
        <v>1</v>
      </c>
      <c r="C11" s="8">
        <v>-1</v>
      </c>
      <c r="D11" s="8"/>
      <c r="E11" s="8"/>
      <c r="F11" s="8"/>
      <c r="G11" s="9">
        <f t="shared" si="0"/>
        <v>0</v>
      </c>
    </row>
    <row r="12" spans="1:7" x14ac:dyDescent="0.25">
      <c r="A12" s="6" t="s">
        <v>191</v>
      </c>
      <c r="B12" s="7">
        <v>1</v>
      </c>
      <c r="C12" s="8">
        <v>-1</v>
      </c>
      <c r="D12" s="8"/>
      <c r="E12" s="8"/>
      <c r="F12" s="8"/>
      <c r="G12" s="9">
        <f t="shared" si="0"/>
        <v>0</v>
      </c>
    </row>
    <row r="13" spans="1:7" x14ac:dyDescent="0.25">
      <c r="A13" s="6" t="s">
        <v>254</v>
      </c>
      <c r="B13" s="7">
        <v>50</v>
      </c>
      <c r="C13" s="8">
        <v>-50</v>
      </c>
      <c r="D13" s="8"/>
      <c r="E13" s="8"/>
      <c r="F13" s="8"/>
      <c r="G13" s="9">
        <f t="shared" si="0"/>
        <v>0</v>
      </c>
    </row>
    <row r="14" spans="1:7" x14ac:dyDescent="0.25">
      <c r="A14" s="6" t="s">
        <v>255</v>
      </c>
      <c r="B14" s="7">
        <v>100</v>
      </c>
      <c r="C14" s="8">
        <v>-100</v>
      </c>
      <c r="D14" s="8"/>
      <c r="E14" s="8"/>
      <c r="F14" s="8"/>
      <c r="G14" s="9">
        <f t="shared" si="0"/>
        <v>0</v>
      </c>
    </row>
    <row r="15" spans="1:7" x14ac:dyDescent="0.25">
      <c r="A15" s="6" t="s">
        <v>149</v>
      </c>
      <c r="B15" s="7">
        <v>260</v>
      </c>
      <c r="C15" s="8">
        <v>-260</v>
      </c>
      <c r="D15" s="8"/>
      <c r="E15" s="8"/>
      <c r="F15" s="8"/>
      <c r="G15" s="9">
        <f t="shared" si="0"/>
        <v>0</v>
      </c>
    </row>
    <row r="16" spans="1:7" x14ac:dyDescent="0.25">
      <c r="A16" s="6" t="s">
        <v>15</v>
      </c>
      <c r="B16" s="7">
        <v>2</v>
      </c>
      <c r="C16" s="8">
        <v>-2</v>
      </c>
      <c r="D16" s="8"/>
      <c r="E16" s="8"/>
      <c r="F16" s="8"/>
      <c r="G16" s="9">
        <f t="shared" si="0"/>
        <v>0</v>
      </c>
    </row>
    <row r="17" spans="1:7" x14ac:dyDescent="0.25">
      <c r="A17" s="6" t="s">
        <v>252</v>
      </c>
      <c r="B17" s="7">
        <v>8</v>
      </c>
      <c r="C17" s="8">
        <v>-8</v>
      </c>
      <c r="D17" s="8"/>
      <c r="E17" s="8"/>
      <c r="F17" s="8"/>
      <c r="G17" s="9">
        <f t="shared" si="0"/>
        <v>0</v>
      </c>
    </row>
    <row r="18" spans="1:7" x14ac:dyDescent="0.25">
      <c r="A18" s="6" t="s">
        <v>256</v>
      </c>
      <c r="B18" s="7">
        <v>40</v>
      </c>
      <c r="C18" s="8">
        <v>-40</v>
      </c>
      <c r="D18" s="8"/>
      <c r="E18" s="8"/>
      <c r="F18" s="8"/>
      <c r="G18" s="9">
        <f t="shared" si="0"/>
        <v>0</v>
      </c>
    </row>
    <row r="19" spans="1:7" x14ac:dyDescent="0.25">
      <c r="A19" s="6" t="s">
        <v>251</v>
      </c>
      <c r="B19" s="7">
        <v>8</v>
      </c>
      <c r="C19" s="8">
        <v>-8</v>
      </c>
      <c r="D19" s="8"/>
      <c r="E19" s="8"/>
      <c r="F19" s="8"/>
      <c r="G19" s="9">
        <f t="shared" si="0"/>
        <v>0</v>
      </c>
    </row>
    <row r="20" spans="1:7" x14ac:dyDescent="0.25">
      <c r="A20" s="6" t="s">
        <v>257</v>
      </c>
      <c r="B20" s="7">
        <v>1</v>
      </c>
      <c r="C20" s="8">
        <v>-1</v>
      </c>
      <c r="D20" s="8"/>
      <c r="E20" s="8"/>
      <c r="F20" s="8"/>
      <c r="G20" s="9">
        <f t="shared" si="0"/>
        <v>0</v>
      </c>
    </row>
    <row r="21" spans="1:7" x14ac:dyDescent="0.25">
      <c r="A21" s="6" t="s">
        <v>8</v>
      </c>
      <c r="B21" s="7">
        <v>12</v>
      </c>
      <c r="C21" s="8">
        <v>-12</v>
      </c>
      <c r="D21" s="8"/>
      <c r="E21" s="8"/>
      <c r="F21" s="8"/>
      <c r="G21" s="9">
        <f t="shared" si="0"/>
        <v>0</v>
      </c>
    </row>
    <row r="22" spans="1:7" x14ac:dyDescent="0.25">
      <c r="A22" s="6" t="s">
        <v>258</v>
      </c>
      <c r="B22" s="7">
        <v>8</v>
      </c>
      <c r="C22" s="8">
        <v>-8</v>
      </c>
      <c r="D22" s="8"/>
      <c r="E22" s="8"/>
      <c r="F22" s="8"/>
      <c r="G22" s="9">
        <f t="shared" si="0"/>
        <v>0</v>
      </c>
    </row>
    <row r="23" spans="1:7" x14ac:dyDescent="0.25">
      <c r="A23" s="6" t="s">
        <v>47</v>
      </c>
      <c r="B23" s="7">
        <v>8</v>
      </c>
      <c r="C23" s="8">
        <v>-8</v>
      </c>
      <c r="D23" s="8"/>
      <c r="E23" s="8"/>
      <c r="F23" s="8"/>
      <c r="G23" s="9">
        <f t="shared" si="0"/>
        <v>0</v>
      </c>
    </row>
    <row r="24" spans="1:7" x14ac:dyDescent="0.25">
      <c r="A24" s="6" t="s">
        <v>13</v>
      </c>
      <c r="B24" s="7">
        <v>12</v>
      </c>
      <c r="C24" s="8">
        <v>-12</v>
      </c>
      <c r="D24" s="8"/>
      <c r="E24" s="8"/>
      <c r="F24" s="8"/>
      <c r="G24" s="9">
        <f t="shared" si="0"/>
        <v>0</v>
      </c>
    </row>
    <row r="25" spans="1:7" x14ac:dyDescent="0.25">
      <c r="A25" s="3" t="s">
        <v>16</v>
      </c>
      <c r="B25" s="10">
        <v>0.35416666666666669</v>
      </c>
      <c r="C25" s="11"/>
      <c r="D25" s="11"/>
      <c r="E25" s="11"/>
      <c r="F25" s="11"/>
      <c r="G25" s="12">
        <f t="shared" si="0"/>
        <v>0.35416666666666669</v>
      </c>
    </row>
    <row r="26" spans="1:7" x14ac:dyDescent="0.25">
      <c r="A26" s="3" t="s">
        <v>17</v>
      </c>
      <c r="B26" s="40"/>
      <c r="C26" s="13"/>
      <c r="D26" s="13"/>
      <c r="E26" s="13"/>
      <c r="F26" s="13"/>
      <c r="G26" s="37">
        <f>SUM(B26:F26)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75BD-7634-467C-8A82-D97A09422F1D}">
  <dimension ref="A1:AA25"/>
  <sheetViews>
    <sheetView tabSelected="1" workbookViewId="0">
      <pane xSplit="1" topLeftCell="O1" activePane="topRight" state="frozen"/>
      <selection pane="topRight" activeCell="A18" sqref="A18:XFD18"/>
    </sheetView>
  </sheetViews>
  <sheetFormatPr baseColWidth="10" defaultRowHeight="15" x14ac:dyDescent="0.25"/>
  <cols>
    <col min="1" max="1" width="33.7109375" customWidth="1"/>
    <col min="4" max="4" width="14" customWidth="1"/>
    <col min="14" max="14" width="15.28515625" customWidth="1"/>
  </cols>
  <sheetData>
    <row r="1" spans="1:27" ht="18.75" x14ac:dyDescent="0.3">
      <c r="A1" s="129" t="s">
        <v>23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</row>
    <row r="2" spans="1:27" ht="18.75" x14ac:dyDescent="0.3">
      <c r="A2" s="131" t="s">
        <v>24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 spans="1:27" ht="18.75" x14ac:dyDescent="0.3">
      <c r="A3" s="131" t="s">
        <v>373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 spans="1:27" x14ac:dyDescent="0.25">
      <c r="A4" s="133" t="s">
        <v>23</v>
      </c>
      <c r="B4" s="7" t="s">
        <v>3</v>
      </c>
      <c r="C4" s="12">
        <v>13623</v>
      </c>
      <c r="D4" s="15">
        <v>13310</v>
      </c>
      <c r="E4" s="15">
        <v>13626</v>
      </c>
      <c r="F4" s="15">
        <v>13313</v>
      </c>
      <c r="G4" s="15">
        <v>13630</v>
      </c>
      <c r="H4" s="15">
        <v>13644</v>
      </c>
      <c r="I4" s="15">
        <v>13648</v>
      </c>
      <c r="J4" s="15">
        <v>13320</v>
      </c>
      <c r="K4" s="15">
        <v>13321</v>
      </c>
      <c r="L4" s="15">
        <v>13324</v>
      </c>
      <c r="M4" s="15">
        <v>13660</v>
      </c>
      <c r="N4" s="15">
        <v>13668</v>
      </c>
      <c r="O4" s="15">
        <v>13338</v>
      </c>
      <c r="P4" s="15">
        <v>13675</v>
      </c>
      <c r="Q4" s="15">
        <v>13677</v>
      </c>
      <c r="R4" s="15">
        <v>13343</v>
      </c>
      <c r="S4" s="15">
        <v>13345</v>
      </c>
      <c r="T4" s="15">
        <v>13689</v>
      </c>
      <c r="U4" s="15">
        <v>13691</v>
      </c>
      <c r="V4" s="15">
        <v>13351</v>
      </c>
      <c r="W4" s="15">
        <v>13698</v>
      </c>
      <c r="X4" s="15">
        <v>13700</v>
      </c>
      <c r="Y4" s="15">
        <v>13357</v>
      </c>
      <c r="Z4" s="15">
        <v>13362</v>
      </c>
      <c r="AA4" s="16" t="s">
        <v>3</v>
      </c>
    </row>
    <row r="5" spans="1:27" x14ac:dyDescent="0.25">
      <c r="A5" s="134"/>
      <c r="B5" s="17">
        <v>46142</v>
      </c>
      <c r="C5" s="4">
        <v>46146</v>
      </c>
      <c r="D5" s="18">
        <v>46146</v>
      </c>
      <c r="E5" s="18">
        <v>46147</v>
      </c>
      <c r="F5" s="18">
        <v>46147</v>
      </c>
      <c r="G5" s="18">
        <v>46148</v>
      </c>
      <c r="H5" s="18">
        <v>46150</v>
      </c>
      <c r="I5" s="18">
        <v>46151</v>
      </c>
      <c r="J5" s="18">
        <v>46151</v>
      </c>
      <c r="K5" s="18">
        <v>46153</v>
      </c>
      <c r="L5" s="18">
        <v>46154</v>
      </c>
      <c r="M5" s="18">
        <v>46155</v>
      </c>
      <c r="N5" s="18">
        <v>46157</v>
      </c>
      <c r="O5" s="18">
        <v>46131</v>
      </c>
      <c r="P5" s="18">
        <v>46161</v>
      </c>
      <c r="Q5" s="18">
        <v>46162</v>
      </c>
      <c r="R5" s="18">
        <v>46162</v>
      </c>
      <c r="S5" s="18">
        <v>46163</v>
      </c>
      <c r="T5" s="18">
        <v>46167</v>
      </c>
      <c r="U5" s="18">
        <v>46167</v>
      </c>
      <c r="V5" s="18">
        <v>46167</v>
      </c>
      <c r="W5" s="18">
        <v>46169</v>
      </c>
      <c r="X5" s="18">
        <v>46169</v>
      </c>
      <c r="Y5" s="18">
        <v>46171</v>
      </c>
      <c r="Z5" s="18">
        <v>46172</v>
      </c>
      <c r="AA5" s="19">
        <v>46173</v>
      </c>
    </row>
    <row r="6" spans="1:27" x14ac:dyDescent="0.25">
      <c r="A6" s="20" t="s">
        <v>25</v>
      </c>
      <c r="B6" s="68">
        <v>41</v>
      </c>
      <c r="C6" s="79">
        <v>22</v>
      </c>
      <c r="D6" s="23">
        <v>-2</v>
      </c>
      <c r="E6" s="23"/>
      <c r="F6" s="23"/>
      <c r="G6" s="23"/>
      <c r="H6" s="23"/>
      <c r="I6" s="23"/>
      <c r="J6" s="119"/>
      <c r="K6" s="23"/>
      <c r="L6" s="119">
        <v>-22</v>
      </c>
      <c r="M6" s="23"/>
      <c r="N6" s="119">
        <v>33</v>
      </c>
      <c r="O6" s="23"/>
      <c r="P6" s="23"/>
      <c r="Q6" s="119">
        <v>5</v>
      </c>
      <c r="R6" s="23"/>
      <c r="S6" s="119">
        <v>-37</v>
      </c>
      <c r="T6" s="23"/>
      <c r="U6" s="23"/>
      <c r="V6" s="23"/>
      <c r="W6" s="119">
        <v>6</v>
      </c>
      <c r="X6" s="23"/>
      <c r="Y6" s="23"/>
      <c r="Z6" s="23"/>
      <c r="AA6" s="24">
        <f>SUM(B6:Z6)</f>
        <v>46</v>
      </c>
    </row>
    <row r="7" spans="1:27" x14ac:dyDescent="0.25">
      <c r="A7" s="20" t="s">
        <v>57</v>
      </c>
      <c r="B7" s="68">
        <v>4</v>
      </c>
      <c r="C7" s="22"/>
      <c r="D7" s="23"/>
      <c r="E7" s="23"/>
      <c r="F7" s="23"/>
      <c r="G7" s="23"/>
      <c r="H7" s="23"/>
      <c r="I7" s="23"/>
      <c r="J7" s="119">
        <v>-3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>
        <f t="shared" ref="AA7:AA21" si="0">SUM(B7:Z7)</f>
        <v>1</v>
      </c>
    </row>
    <row r="8" spans="1:27" x14ac:dyDescent="0.25">
      <c r="A8" s="20" t="s">
        <v>107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119">
        <v>4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19">
        <v>-1</v>
      </c>
      <c r="AA8" s="24">
        <f t="shared" si="0"/>
        <v>3</v>
      </c>
    </row>
    <row r="9" spans="1:27" x14ac:dyDescent="0.25">
      <c r="A9" s="20" t="s">
        <v>26</v>
      </c>
      <c r="B9" s="68">
        <v>40</v>
      </c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119">
        <v>-3</v>
      </c>
      <c r="P9" s="119">
        <v>3</v>
      </c>
      <c r="Q9" s="23"/>
      <c r="R9" s="23"/>
      <c r="S9" s="119">
        <v>-30</v>
      </c>
      <c r="T9" s="23"/>
      <c r="U9" s="23"/>
      <c r="V9" s="23"/>
      <c r="W9" s="23"/>
      <c r="X9" s="119">
        <v>27</v>
      </c>
      <c r="Y9" s="119">
        <v>-2</v>
      </c>
      <c r="Z9" s="23"/>
      <c r="AA9" s="24">
        <f t="shared" si="0"/>
        <v>35</v>
      </c>
    </row>
    <row r="10" spans="1:27" x14ac:dyDescent="0.25">
      <c r="A10" s="20" t="s">
        <v>27</v>
      </c>
      <c r="B10" s="68">
        <v>30</v>
      </c>
      <c r="C10" s="22"/>
      <c r="D10" s="23"/>
      <c r="E10" s="23"/>
      <c r="F10" s="23"/>
      <c r="G10" s="119">
        <v>5</v>
      </c>
      <c r="H10" s="23"/>
      <c r="I10" s="23"/>
      <c r="J10" s="119">
        <v>-30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>
        <f t="shared" si="0"/>
        <v>5</v>
      </c>
    </row>
    <row r="11" spans="1:27" x14ac:dyDescent="0.25">
      <c r="A11" s="20" t="s">
        <v>28</v>
      </c>
      <c r="B11" s="68">
        <v>6</v>
      </c>
      <c r="C11" s="22"/>
      <c r="D11" s="23"/>
      <c r="E11" s="23"/>
      <c r="F11" s="23"/>
      <c r="G11" s="23"/>
      <c r="H11" s="23"/>
      <c r="I11" s="23"/>
      <c r="J11" s="119">
        <v>-4</v>
      </c>
      <c r="K11" s="119">
        <v>-2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>
        <f t="shared" si="0"/>
        <v>0</v>
      </c>
    </row>
    <row r="12" spans="1:27" x14ac:dyDescent="0.25">
      <c r="A12" s="20" t="s">
        <v>14</v>
      </c>
      <c r="B12" s="68">
        <v>3</v>
      </c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119">
        <v>-3</v>
      </c>
      <c r="T12" s="23"/>
      <c r="U12" s="23"/>
      <c r="V12" s="23"/>
      <c r="W12" s="23"/>
      <c r="X12" s="23"/>
      <c r="Y12" s="23"/>
      <c r="Z12" s="23"/>
      <c r="AA12" s="24">
        <f>SUM(B12:Z12)</f>
        <v>0</v>
      </c>
    </row>
    <row r="13" spans="1:27" x14ac:dyDescent="0.25">
      <c r="A13" s="20" t="s">
        <v>29</v>
      </c>
      <c r="B13" s="122">
        <v>1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>
        <f t="shared" si="0"/>
        <v>1</v>
      </c>
    </row>
    <row r="14" spans="1:27" x14ac:dyDescent="0.25">
      <c r="A14" s="20" t="s">
        <v>145</v>
      </c>
      <c r="B14" s="7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119">
        <v>10</v>
      </c>
      <c r="N14" s="23"/>
      <c r="O14" s="119">
        <v>-10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>
        <f t="shared" si="0"/>
        <v>0</v>
      </c>
    </row>
    <row r="15" spans="1:27" x14ac:dyDescent="0.25">
      <c r="A15" s="20" t="s">
        <v>30</v>
      </c>
      <c r="B15" s="122">
        <v>7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9">
        <v>-6</v>
      </c>
      <c r="T15" s="23"/>
      <c r="U15" s="23"/>
      <c r="V15" s="119">
        <v>-1</v>
      </c>
      <c r="W15" s="23"/>
      <c r="X15" s="23"/>
      <c r="Y15" s="23"/>
      <c r="Z15" s="23"/>
      <c r="AA15" s="24">
        <f t="shared" si="0"/>
        <v>0</v>
      </c>
    </row>
    <row r="16" spans="1:27" x14ac:dyDescent="0.25">
      <c r="A16" s="20" t="s">
        <v>31</v>
      </c>
      <c r="B16" s="122">
        <v>13</v>
      </c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119">
        <v>-3</v>
      </c>
      <c r="S16" s="119">
        <v>-7</v>
      </c>
      <c r="T16" s="23"/>
      <c r="U16" s="23"/>
      <c r="V16" s="23"/>
      <c r="W16" s="23"/>
      <c r="X16" s="23"/>
      <c r="Y16" s="23"/>
      <c r="Z16" s="119">
        <v>-1</v>
      </c>
      <c r="AA16" s="24">
        <f t="shared" si="0"/>
        <v>2</v>
      </c>
    </row>
    <row r="17" spans="1:27" x14ac:dyDescent="0.25">
      <c r="A17" s="20" t="s">
        <v>375</v>
      </c>
      <c r="B17" s="122">
        <v>5</v>
      </c>
      <c r="C17" s="22"/>
      <c r="D17" s="23"/>
      <c r="E17" s="23"/>
      <c r="F17" s="23"/>
      <c r="G17" s="23"/>
      <c r="H17" s="23"/>
      <c r="I17" s="23"/>
      <c r="J17" s="119">
        <v>-4</v>
      </c>
      <c r="K17" s="119">
        <v>-1</v>
      </c>
      <c r="L17" s="23"/>
      <c r="M17" s="23"/>
      <c r="N17" s="23"/>
      <c r="O17" s="23"/>
      <c r="P17" s="23"/>
      <c r="Q17" s="23"/>
      <c r="R17" s="23"/>
      <c r="S17" s="23"/>
      <c r="T17" s="119">
        <v>3</v>
      </c>
      <c r="U17" s="23"/>
      <c r="V17" s="23"/>
      <c r="W17" s="23"/>
      <c r="X17" s="23"/>
      <c r="Y17" s="23"/>
      <c r="Z17" s="23"/>
      <c r="AA17" s="24">
        <f t="shared" si="0"/>
        <v>3</v>
      </c>
    </row>
    <row r="18" spans="1:27" x14ac:dyDescent="0.25">
      <c r="A18" s="20" t="s">
        <v>4</v>
      </c>
      <c r="B18" s="7"/>
      <c r="C18" s="22"/>
      <c r="D18" s="23"/>
      <c r="E18" s="23"/>
      <c r="F18" s="23"/>
      <c r="G18" s="23"/>
      <c r="H18" s="119">
        <v>18</v>
      </c>
      <c r="I18" s="23"/>
      <c r="J18" s="23"/>
      <c r="K18" s="23"/>
      <c r="L18" s="23"/>
      <c r="M18" s="23"/>
      <c r="N18" s="23"/>
      <c r="O18" s="119">
        <v>-7</v>
      </c>
      <c r="P18" s="23"/>
      <c r="Q18" s="23"/>
      <c r="R18" s="23"/>
      <c r="S18" s="119">
        <v>-11</v>
      </c>
      <c r="T18" s="23"/>
      <c r="U18" s="23"/>
      <c r="V18" s="23"/>
      <c r="W18" s="23"/>
      <c r="X18" s="23"/>
      <c r="Y18" s="23"/>
      <c r="Z18" s="23"/>
      <c r="AA18" s="24">
        <f t="shared" si="0"/>
        <v>0</v>
      </c>
    </row>
    <row r="19" spans="1:27" x14ac:dyDescent="0.25">
      <c r="A19" s="20" t="s">
        <v>6</v>
      </c>
      <c r="B19" s="7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119">
        <v>14</v>
      </c>
      <c r="U19" s="23"/>
      <c r="V19" s="23"/>
      <c r="W19" s="23"/>
      <c r="X19" s="23"/>
      <c r="Y19" s="23"/>
      <c r="Z19" s="23"/>
      <c r="AA19" s="24">
        <f t="shared" si="0"/>
        <v>14</v>
      </c>
    </row>
    <row r="20" spans="1:27" x14ac:dyDescent="0.25">
      <c r="A20" s="20" t="s">
        <v>12</v>
      </c>
      <c r="B20" s="7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119">
        <v>60</v>
      </c>
      <c r="V20" s="23"/>
      <c r="W20" s="23"/>
      <c r="X20" s="23"/>
      <c r="Y20" s="23"/>
      <c r="Z20" s="23"/>
      <c r="AA20" s="24">
        <f t="shared" si="0"/>
        <v>60</v>
      </c>
    </row>
    <row r="21" spans="1:27" x14ac:dyDescent="0.25">
      <c r="A21" s="20" t="s">
        <v>374</v>
      </c>
      <c r="B21" s="7">
        <v>0</v>
      </c>
      <c r="C21" s="22"/>
      <c r="D21" s="23"/>
      <c r="E21" s="119">
        <v>1</v>
      </c>
      <c r="F21" s="119">
        <v>-1</v>
      </c>
      <c r="G21" s="23"/>
      <c r="H21" s="23"/>
      <c r="I21" s="119">
        <v>1</v>
      </c>
      <c r="J21" s="23"/>
      <c r="K21" s="119">
        <v>-1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>
        <f t="shared" si="0"/>
        <v>0</v>
      </c>
    </row>
    <row r="22" spans="1:27" x14ac:dyDescent="0.25">
      <c r="A22" s="25" t="s">
        <v>32</v>
      </c>
      <c r="B22" s="7"/>
      <c r="C22" s="10">
        <v>0.40972222222222221</v>
      </c>
      <c r="D22" s="26">
        <v>0.40277777777777779</v>
      </c>
      <c r="E22" s="26">
        <v>0.33333333333333331</v>
      </c>
      <c r="F22" s="26">
        <v>0.1423611111111111</v>
      </c>
      <c r="G22" s="26">
        <v>0.47916666666666669</v>
      </c>
      <c r="H22" s="26">
        <v>0.125</v>
      </c>
      <c r="I22" s="26">
        <v>0.34722222222222221</v>
      </c>
      <c r="J22" s="26">
        <v>0.4548611111111111</v>
      </c>
      <c r="K22" s="26">
        <v>0.46527777777777779</v>
      </c>
      <c r="L22" s="26">
        <v>8.3333333333333329E-2</v>
      </c>
      <c r="M22" s="26">
        <v>0.375</v>
      </c>
      <c r="N22" s="26">
        <v>0.4861111111111111</v>
      </c>
      <c r="O22" s="26">
        <v>0.18611111111111112</v>
      </c>
      <c r="P22" s="26">
        <v>0.1875</v>
      </c>
      <c r="Q22" s="26">
        <v>0.39444444444444443</v>
      </c>
      <c r="R22" s="26" t="s">
        <v>238</v>
      </c>
      <c r="S22" s="26">
        <v>0.16666666666666666</v>
      </c>
      <c r="T22" s="26">
        <v>0.34027777777777779</v>
      </c>
      <c r="U22" s="26">
        <v>0.4375</v>
      </c>
      <c r="V22" s="26">
        <v>0.36805555555555558</v>
      </c>
      <c r="W22" s="26">
        <v>0.39583333333333331</v>
      </c>
      <c r="X22" s="26">
        <v>0.44791666666666669</v>
      </c>
      <c r="Y22" s="26">
        <v>0.35416666666666669</v>
      </c>
      <c r="Z22" s="26">
        <v>0.44444444444444442</v>
      </c>
      <c r="AA22" s="27"/>
    </row>
    <row r="23" spans="1:27" ht="15.75" thickBot="1" x14ac:dyDescent="0.3">
      <c r="A23" s="28" t="s">
        <v>33</v>
      </c>
      <c r="B23" s="29"/>
      <c r="C23" s="30" t="s">
        <v>120</v>
      </c>
      <c r="D23" s="32" t="s">
        <v>34</v>
      </c>
      <c r="E23" s="30" t="s">
        <v>120</v>
      </c>
      <c r="F23" s="30" t="s">
        <v>120</v>
      </c>
      <c r="G23" s="30" t="s">
        <v>120</v>
      </c>
      <c r="H23" s="30" t="s">
        <v>120</v>
      </c>
      <c r="I23" s="30" t="s">
        <v>120</v>
      </c>
      <c r="J23" s="55" t="s">
        <v>120</v>
      </c>
      <c r="K23" s="55" t="s">
        <v>120</v>
      </c>
      <c r="L23" s="55" t="s">
        <v>120</v>
      </c>
      <c r="M23" s="55" t="s">
        <v>120</v>
      </c>
      <c r="N23" s="55" t="s">
        <v>120</v>
      </c>
      <c r="O23" s="62" t="s">
        <v>220</v>
      </c>
      <c r="P23" s="62" t="s">
        <v>223</v>
      </c>
      <c r="Q23" s="62" t="s">
        <v>235</v>
      </c>
      <c r="R23" s="62" t="s">
        <v>220</v>
      </c>
      <c r="S23" s="62" t="s">
        <v>235</v>
      </c>
      <c r="T23" s="55" t="s">
        <v>120</v>
      </c>
      <c r="U23" s="55" t="s">
        <v>120</v>
      </c>
      <c r="V23" s="62" t="s">
        <v>220</v>
      </c>
      <c r="W23" s="55" t="s">
        <v>120</v>
      </c>
      <c r="X23" s="55" t="s">
        <v>120</v>
      </c>
      <c r="Y23" s="62" t="s">
        <v>120</v>
      </c>
      <c r="Z23" s="62" t="s">
        <v>120</v>
      </c>
      <c r="AA23" s="31"/>
    </row>
    <row r="24" spans="1:27" ht="30" x14ac:dyDescent="0.25">
      <c r="D24" s="33" t="s">
        <v>35</v>
      </c>
      <c r="J24" s="56" t="s">
        <v>143</v>
      </c>
      <c r="K24" s="56" t="s">
        <v>143</v>
      </c>
      <c r="L24" s="61" t="s">
        <v>165</v>
      </c>
      <c r="N24" s="57" t="s">
        <v>210</v>
      </c>
      <c r="O24" s="121" t="s">
        <v>376</v>
      </c>
      <c r="P24" s="120"/>
      <c r="Q24" s="120"/>
      <c r="R24" s="57" t="s">
        <v>239</v>
      </c>
      <c r="S24" s="57" t="s">
        <v>239</v>
      </c>
      <c r="Y24" s="87" t="s">
        <v>327</v>
      </c>
      <c r="Z24" s="87" t="s">
        <v>333</v>
      </c>
    </row>
    <row r="25" spans="1:27" x14ac:dyDescent="0.25">
      <c r="K25" s="56" t="s">
        <v>144</v>
      </c>
      <c r="S25" t="s">
        <v>240</v>
      </c>
    </row>
  </sheetData>
  <mergeCells count="4">
    <mergeCell ref="A1:AA1"/>
    <mergeCell ref="A2:AA2"/>
    <mergeCell ref="A3:AA3"/>
    <mergeCell ref="A4:A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32D4-D5D1-4A31-BB4C-1295BF339A7F}">
  <dimension ref="A1:I16"/>
  <sheetViews>
    <sheetView workbookViewId="0">
      <selection activeCell="L8" sqref="L8"/>
    </sheetView>
  </sheetViews>
  <sheetFormatPr baseColWidth="10" defaultRowHeight="15" x14ac:dyDescent="0.25"/>
  <cols>
    <col min="1" max="1" width="22.85546875" bestFit="1" customWidth="1"/>
    <col min="7" max="7" width="13" bestFit="1" customWidth="1"/>
  </cols>
  <sheetData>
    <row r="1" spans="1:9" ht="18.75" x14ac:dyDescent="0.3">
      <c r="A1" s="129" t="s">
        <v>50</v>
      </c>
      <c r="B1" s="130"/>
      <c r="C1" s="130"/>
      <c r="D1" s="130"/>
      <c r="E1" s="130"/>
      <c r="F1" s="130"/>
      <c r="G1" s="135"/>
    </row>
    <row r="2" spans="1:9" ht="18.75" x14ac:dyDescent="0.3">
      <c r="A2" s="131" t="s">
        <v>51</v>
      </c>
      <c r="B2" s="132"/>
      <c r="C2" s="132"/>
      <c r="D2" s="132"/>
      <c r="E2" s="132"/>
      <c r="F2" s="132"/>
      <c r="G2" s="136"/>
    </row>
    <row r="3" spans="1:9" ht="18.75" x14ac:dyDescent="0.3">
      <c r="A3" s="131" t="s">
        <v>55</v>
      </c>
      <c r="B3" s="132"/>
      <c r="C3" s="132"/>
      <c r="D3" s="132"/>
      <c r="E3" s="132"/>
      <c r="F3" s="132"/>
      <c r="G3" s="132"/>
    </row>
    <row r="4" spans="1:9" x14ac:dyDescent="0.25">
      <c r="A4" s="1" t="s">
        <v>2</v>
      </c>
      <c r="B4" s="2">
        <v>13588</v>
      </c>
      <c r="C4" s="2">
        <v>13592</v>
      </c>
      <c r="D4" s="2">
        <v>13625</v>
      </c>
      <c r="E4" s="2">
        <v>13318</v>
      </c>
      <c r="F4" s="2">
        <v>13319</v>
      </c>
      <c r="G4" s="2" t="s">
        <v>3</v>
      </c>
    </row>
    <row r="5" spans="1:9" x14ac:dyDescent="0.25">
      <c r="A5" s="3"/>
      <c r="B5" s="4">
        <v>46132</v>
      </c>
      <c r="C5" s="5">
        <v>46133</v>
      </c>
      <c r="D5" s="4">
        <v>46147</v>
      </c>
      <c r="E5" s="4">
        <v>46150</v>
      </c>
      <c r="F5" s="4">
        <v>46151</v>
      </c>
      <c r="G5" s="4">
        <v>46112</v>
      </c>
    </row>
    <row r="6" spans="1:9" x14ac:dyDescent="0.25">
      <c r="A6" s="6" t="s">
        <v>4</v>
      </c>
      <c r="B6" s="7">
        <v>20</v>
      </c>
      <c r="C6" s="8">
        <v>75</v>
      </c>
      <c r="D6" s="8"/>
      <c r="E6" s="8">
        <v>-66</v>
      </c>
      <c r="F6" s="8">
        <v>-29</v>
      </c>
      <c r="G6" s="9">
        <f t="shared" ref="G6:G14" si="0">SUM(B6:F6)</f>
        <v>0</v>
      </c>
      <c r="H6">
        <v>26</v>
      </c>
      <c r="I6">
        <f>G6*H6</f>
        <v>0</v>
      </c>
    </row>
    <row r="7" spans="1:9" x14ac:dyDescent="0.25">
      <c r="A7" s="6" t="s">
        <v>52</v>
      </c>
      <c r="B7" s="7"/>
      <c r="C7" s="8">
        <v>5</v>
      </c>
      <c r="D7" s="8"/>
      <c r="E7" s="8"/>
      <c r="F7" s="8">
        <v>-5</v>
      </c>
      <c r="G7" s="9">
        <f t="shared" si="0"/>
        <v>0</v>
      </c>
      <c r="H7">
        <v>20</v>
      </c>
      <c r="I7">
        <f t="shared" ref="I7:I14" si="1">G7*H7</f>
        <v>0</v>
      </c>
    </row>
    <row r="8" spans="1:9" x14ac:dyDescent="0.25">
      <c r="A8" s="6" t="s">
        <v>53</v>
      </c>
      <c r="B8" s="7">
        <v>28</v>
      </c>
      <c r="C8" s="8"/>
      <c r="D8" s="8"/>
      <c r="E8" s="8">
        <v>-15</v>
      </c>
      <c r="F8" s="8">
        <v>-13</v>
      </c>
      <c r="G8" s="9">
        <f t="shared" si="0"/>
        <v>0</v>
      </c>
      <c r="H8">
        <v>29</v>
      </c>
      <c r="I8">
        <f t="shared" si="1"/>
        <v>0</v>
      </c>
    </row>
    <row r="9" spans="1:9" x14ac:dyDescent="0.25">
      <c r="A9" s="6" t="s">
        <v>13</v>
      </c>
      <c r="B9" s="7">
        <v>65</v>
      </c>
      <c r="C9" s="8"/>
      <c r="D9" s="8"/>
      <c r="E9" s="8">
        <v>-25</v>
      </c>
      <c r="F9" s="8">
        <v>-40</v>
      </c>
      <c r="G9" s="9">
        <f t="shared" si="0"/>
        <v>0</v>
      </c>
      <c r="H9">
        <v>13.5</v>
      </c>
      <c r="I9">
        <f t="shared" si="1"/>
        <v>0</v>
      </c>
    </row>
    <row r="10" spans="1:9" x14ac:dyDescent="0.25">
      <c r="A10" s="6" t="s">
        <v>12</v>
      </c>
      <c r="B10" s="7"/>
      <c r="C10" s="8">
        <v>600</v>
      </c>
      <c r="D10" s="8"/>
      <c r="E10" s="8"/>
      <c r="F10" s="8">
        <v>-600</v>
      </c>
      <c r="G10" s="9">
        <f t="shared" si="0"/>
        <v>0</v>
      </c>
      <c r="H10">
        <v>0.1</v>
      </c>
      <c r="I10">
        <f t="shared" si="1"/>
        <v>0</v>
      </c>
    </row>
    <row r="11" spans="1:9" x14ac:dyDescent="0.25">
      <c r="A11" s="6" t="s">
        <v>15</v>
      </c>
      <c r="B11" s="7"/>
      <c r="C11" s="8">
        <v>3</v>
      </c>
      <c r="D11" s="8"/>
      <c r="E11" s="8"/>
      <c r="F11" s="8">
        <v>-3</v>
      </c>
      <c r="G11" s="9">
        <f t="shared" si="0"/>
        <v>0</v>
      </c>
      <c r="H11">
        <v>1</v>
      </c>
      <c r="I11">
        <f t="shared" si="1"/>
        <v>0</v>
      </c>
    </row>
    <row r="12" spans="1:9" x14ac:dyDescent="0.25">
      <c r="A12" s="6" t="s">
        <v>5</v>
      </c>
      <c r="B12" s="7"/>
      <c r="C12" s="8"/>
      <c r="D12" s="8">
        <v>16</v>
      </c>
      <c r="E12" s="8"/>
      <c r="F12" s="8">
        <v>-16</v>
      </c>
      <c r="G12" s="9">
        <f t="shared" si="0"/>
        <v>0</v>
      </c>
      <c r="H12">
        <v>18.5</v>
      </c>
      <c r="I12">
        <f t="shared" si="1"/>
        <v>0</v>
      </c>
    </row>
    <row r="13" spans="1:9" x14ac:dyDescent="0.25">
      <c r="A13" s="6" t="s">
        <v>29</v>
      </c>
      <c r="B13" s="7"/>
      <c r="C13" s="8"/>
      <c r="D13" s="8">
        <v>16</v>
      </c>
      <c r="E13" s="8"/>
      <c r="F13" s="8">
        <v>-16</v>
      </c>
      <c r="G13" s="9">
        <f t="shared" si="0"/>
        <v>0</v>
      </c>
      <c r="H13">
        <v>9.5</v>
      </c>
      <c r="I13">
        <f t="shared" si="1"/>
        <v>0</v>
      </c>
    </row>
    <row r="14" spans="1:9" x14ac:dyDescent="0.25">
      <c r="A14" s="6" t="s">
        <v>54</v>
      </c>
      <c r="B14" s="7"/>
      <c r="C14" s="8"/>
      <c r="D14" s="8">
        <v>16</v>
      </c>
      <c r="E14" s="8"/>
      <c r="F14" s="8">
        <v>-16</v>
      </c>
      <c r="G14" s="9">
        <f t="shared" si="0"/>
        <v>0</v>
      </c>
      <c r="H14">
        <v>6.5</v>
      </c>
      <c r="I14">
        <f t="shared" si="1"/>
        <v>0</v>
      </c>
    </row>
    <row r="15" spans="1:9" x14ac:dyDescent="0.25">
      <c r="A15" s="3" t="s">
        <v>16</v>
      </c>
      <c r="B15" s="10">
        <v>9.7222222222222224E-2</v>
      </c>
      <c r="C15" s="11">
        <v>0.34027777777777779</v>
      </c>
      <c r="D15" s="11">
        <v>0.10416666666666667</v>
      </c>
      <c r="E15" s="11">
        <v>0.3125</v>
      </c>
      <c r="F15" s="11">
        <v>0.36458333333333331</v>
      </c>
      <c r="G15" s="12"/>
      <c r="I15">
        <f>SUM(I6:I14)</f>
        <v>0</v>
      </c>
    </row>
    <row r="16" spans="1:9" x14ac:dyDescent="0.25">
      <c r="A16" s="3" t="s">
        <v>17</v>
      </c>
      <c r="B16" s="13">
        <v>170000</v>
      </c>
      <c r="C16" s="13">
        <v>170000</v>
      </c>
      <c r="D16" s="13">
        <v>60000</v>
      </c>
      <c r="E16" s="13">
        <v>60000</v>
      </c>
      <c r="F16" s="13"/>
      <c r="G16" s="37">
        <f>SUM(B16:F16)</f>
        <v>460000</v>
      </c>
    </row>
  </sheetData>
  <mergeCells count="3">
    <mergeCell ref="A1:G1"/>
    <mergeCell ref="A2:G2"/>
    <mergeCell ref="A3:G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3857-540B-45D5-A1C9-6BC9F2E19A13}">
  <dimension ref="A1:F16"/>
  <sheetViews>
    <sheetView workbookViewId="0">
      <selection activeCell="A15" sqref="A15"/>
    </sheetView>
  </sheetViews>
  <sheetFormatPr baseColWidth="10" defaultRowHeight="15" x14ac:dyDescent="0.25"/>
  <cols>
    <col min="1" max="1" width="28.7109375" customWidth="1"/>
  </cols>
  <sheetData>
    <row r="1" spans="1:6" ht="18.75" x14ac:dyDescent="0.3">
      <c r="A1" s="129" t="s">
        <v>306</v>
      </c>
      <c r="B1" s="130"/>
      <c r="C1" s="130"/>
      <c r="D1" s="130"/>
      <c r="E1" s="130"/>
      <c r="F1" s="135"/>
    </row>
    <row r="2" spans="1:6" ht="18.75" x14ac:dyDescent="0.3">
      <c r="A2" s="131" t="s">
        <v>307</v>
      </c>
      <c r="B2" s="132"/>
      <c r="C2" s="132"/>
      <c r="D2" s="132"/>
      <c r="E2" s="132"/>
      <c r="F2" s="136"/>
    </row>
    <row r="3" spans="1:6" ht="18.75" x14ac:dyDescent="0.3">
      <c r="A3" s="131" t="s">
        <v>55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13753</v>
      </c>
      <c r="C4" s="2">
        <v>13376</v>
      </c>
      <c r="D4" s="2"/>
      <c r="E4" s="2"/>
      <c r="F4" s="2" t="s">
        <v>3</v>
      </c>
    </row>
    <row r="5" spans="1:6" x14ac:dyDescent="0.25">
      <c r="A5" s="3"/>
      <c r="B5" s="4">
        <v>46169</v>
      </c>
      <c r="C5" s="5">
        <v>46177</v>
      </c>
      <c r="D5" s="4"/>
      <c r="E5" s="4"/>
      <c r="F5" s="4">
        <v>46112</v>
      </c>
    </row>
    <row r="6" spans="1:6" x14ac:dyDescent="0.25">
      <c r="A6" s="6" t="s">
        <v>176</v>
      </c>
      <c r="B6" s="7">
        <v>18</v>
      </c>
      <c r="C6" s="8">
        <v>-18</v>
      </c>
      <c r="D6" s="8"/>
      <c r="E6" s="8"/>
      <c r="F6" s="9">
        <f t="shared" ref="F6:F14" si="0">SUM(B6:E6)</f>
        <v>0</v>
      </c>
    </row>
    <row r="7" spans="1:6" x14ac:dyDescent="0.25">
      <c r="A7" s="6"/>
      <c r="B7" s="7"/>
      <c r="C7" s="8"/>
      <c r="D7" s="8"/>
      <c r="E7" s="8"/>
      <c r="F7" s="9">
        <f t="shared" si="0"/>
        <v>0</v>
      </c>
    </row>
    <row r="8" spans="1:6" x14ac:dyDescent="0.25">
      <c r="A8" s="6"/>
      <c r="B8" s="7"/>
      <c r="C8" s="8"/>
      <c r="D8" s="8"/>
      <c r="E8" s="8"/>
      <c r="F8" s="9">
        <f t="shared" si="0"/>
        <v>0</v>
      </c>
    </row>
    <row r="9" spans="1:6" x14ac:dyDescent="0.25">
      <c r="A9" s="6"/>
      <c r="B9" s="7"/>
      <c r="C9" s="8"/>
      <c r="D9" s="8"/>
      <c r="E9" s="8"/>
      <c r="F9" s="9">
        <f t="shared" si="0"/>
        <v>0</v>
      </c>
    </row>
    <row r="10" spans="1:6" x14ac:dyDescent="0.25">
      <c r="A10" s="6"/>
      <c r="B10" s="7"/>
      <c r="C10" s="8"/>
      <c r="D10" s="8"/>
      <c r="E10" s="8"/>
      <c r="F10" s="9">
        <f t="shared" si="0"/>
        <v>0</v>
      </c>
    </row>
    <row r="11" spans="1:6" x14ac:dyDescent="0.25">
      <c r="A11" s="6"/>
      <c r="B11" s="7"/>
      <c r="C11" s="8"/>
      <c r="D11" s="8"/>
      <c r="E11" s="8"/>
      <c r="F11" s="9">
        <f t="shared" si="0"/>
        <v>0</v>
      </c>
    </row>
    <row r="12" spans="1:6" x14ac:dyDescent="0.25">
      <c r="A12" s="6"/>
      <c r="B12" s="7"/>
      <c r="C12" s="8"/>
      <c r="D12" s="8"/>
      <c r="E12" s="8"/>
      <c r="F12" s="9">
        <f t="shared" si="0"/>
        <v>0</v>
      </c>
    </row>
    <row r="13" spans="1:6" x14ac:dyDescent="0.25">
      <c r="A13" s="6"/>
      <c r="B13" s="7"/>
      <c r="C13" s="8"/>
      <c r="D13" s="8"/>
      <c r="E13" s="8"/>
      <c r="F13" s="9">
        <f t="shared" si="0"/>
        <v>0</v>
      </c>
    </row>
    <row r="14" spans="1:6" x14ac:dyDescent="0.25">
      <c r="A14" s="6"/>
      <c r="B14" s="7"/>
      <c r="C14" s="8"/>
      <c r="D14" s="8"/>
      <c r="E14" s="8"/>
      <c r="F14" s="9">
        <f t="shared" si="0"/>
        <v>0</v>
      </c>
    </row>
    <row r="15" spans="1:6" x14ac:dyDescent="0.25">
      <c r="A15" s="3" t="s">
        <v>16</v>
      </c>
      <c r="B15" s="10">
        <v>0.16666666666666666</v>
      </c>
      <c r="C15" s="11">
        <v>0.3888888888888889</v>
      </c>
      <c r="D15" s="11"/>
      <c r="E15" s="11"/>
      <c r="F15" s="12"/>
    </row>
    <row r="16" spans="1:6" x14ac:dyDescent="0.25">
      <c r="A16" s="3" t="s">
        <v>17</v>
      </c>
      <c r="B16" s="13">
        <v>25000</v>
      </c>
      <c r="C16" s="13">
        <v>25000</v>
      </c>
      <c r="D16" s="13"/>
      <c r="E16" s="13"/>
      <c r="F16" s="37">
        <f>SUM(B16:E16)</f>
        <v>50000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3AA5-E9A2-4DE0-816B-DA027A6A27AB}">
  <dimension ref="A1:F11"/>
  <sheetViews>
    <sheetView workbookViewId="0">
      <selection activeCell="L5" sqref="L5"/>
    </sheetView>
  </sheetViews>
  <sheetFormatPr baseColWidth="10" defaultRowHeight="15" x14ac:dyDescent="0.25"/>
  <cols>
    <col min="1" max="1" width="37.7109375" customWidth="1"/>
  </cols>
  <sheetData>
    <row r="1" spans="1:6" ht="18.75" x14ac:dyDescent="0.3">
      <c r="A1" s="129" t="s">
        <v>308</v>
      </c>
      <c r="B1" s="130"/>
      <c r="C1" s="130"/>
      <c r="D1" s="130"/>
      <c r="E1" s="130"/>
      <c r="F1" s="135"/>
    </row>
    <row r="2" spans="1:6" ht="18.75" x14ac:dyDescent="0.3">
      <c r="A2" s="131" t="s">
        <v>325</v>
      </c>
      <c r="B2" s="132"/>
      <c r="C2" s="132"/>
      <c r="D2" s="132"/>
      <c r="E2" s="132"/>
      <c r="F2" s="136"/>
    </row>
    <row r="3" spans="1:6" ht="18.75" x14ac:dyDescent="0.3">
      <c r="A3" s="131" t="s">
        <v>55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13752</v>
      </c>
      <c r="C4" s="2">
        <v>13358</v>
      </c>
      <c r="D4" s="2"/>
      <c r="E4" s="2"/>
      <c r="F4" s="2" t="s">
        <v>3</v>
      </c>
    </row>
    <row r="5" spans="1:6" x14ac:dyDescent="0.25">
      <c r="A5" s="3"/>
      <c r="B5" s="4">
        <v>46169</v>
      </c>
      <c r="C5" s="5">
        <v>46171</v>
      </c>
      <c r="D5" s="4"/>
      <c r="E5" s="4"/>
      <c r="F5" s="4">
        <v>46112</v>
      </c>
    </row>
    <row r="6" spans="1:6" x14ac:dyDescent="0.25">
      <c r="A6" s="6" t="s">
        <v>75</v>
      </c>
      <c r="B6" s="7">
        <v>4</v>
      </c>
      <c r="C6" s="8">
        <v>-4</v>
      </c>
      <c r="D6" s="8"/>
      <c r="E6" s="8"/>
      <c r="F6" s="9">
        <f t="shared" ref="F6:F8" si="0">SUM(B6:E6)</f>
        <v>0</v>
      </c>
    </row>
    <row r="7" spans="1:6" x14ac:dyDescent="0.25">
      <c r="A7" s="6" t="s">
        <v>47</v>
      </c>
      <c r="B7" s="7">
        <v>4</v>
      </c>
      <c r="C7" s="8">
        <v>-4</v>
      </c>
      <c r="D7" s="8"/>
      <c r="E7" s="8"/>
      <c r="F7" s="9">
        <f t="shared" si="0"/>
        <v>0</v>
      </c>
    </row>
    <row r="8" spans="1:6" x14ac:dyDescent="0.25">
      <c r="A8" s="6" t="s">
        <v>309</v>
      </c>
      <c r="B8" s="7">
        <v>1</v>
      </c>
      <c r="C8" s="8">
        <v>-1</v>
      </c>
      <c r="D8" s="8"/>
      <c r="E8" s="8"/>
      <c r="F8" s="9">
        <f t="shared" si="0"/>
        <v>0</v>
      </c>
    </row>
    <row r="9" spans="1:6" x14ac:dyDescent="0.25">
      <c r="A9" s="3" t="s">
        <v>16</v>
      </c>
      <c r="B9" s="10">
        <v>0.15833333333333333</v>
      </c>
      <c r="C9" s="11">
        <v>4.1666666666666664E-2</v>
      </c>
      <c r="D9" s="11"/>
      <c r="E9" s="11"/>
      <c r="F9" s="12"/>
    </row>
    <row r="10" spans="1:6" x14ac:dyDescent="0.25">
      <c r="A10" s="3" t="s">
        <v>17</v>
      </c>
      <c r="B10" s="13" t="s">
        <v>326</v>
      </c>
      <c r="C10" s="13" t="s">
        <v>326</v>
      </c>
      <c r="D10" s="13"/>
      <c r="E10" s="13"/>
      <c r="F10" s="37">
        <f>SUM(B10:E10)</f>
        <v>0</v>
      </c>
    </row>
    <row r="11" spans="1:6" x14ac:dyDescent="0.25">
      <c r="A11" s="46" t="s">
        <v>310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4AFE-4629-4B57-9F9F-B386A675FBDC}">
  <dimension ref="A1:G11"/>
  <sheetViews>
    <sheetView workbookViewId="0">
      <selection activeCell="M9" sqref="M9"/>
    </sheetView>
  </sheetViews>
  <sheetFormatPr baseColWidth="10" defaultRowHeight="15" x14ac:dyDescent="0.25"/>
  <cols>
    <col min="1" max="1" width="35.42578125" customWidth="1"/>
  </cols>
  <sheetData>
    <row r="1" spans="1:7" ht="18.75" x14ac:dyDescent="0.3">
      <c r="A1" s="129" t="s">
        <v>279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280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77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13692</v>
      </c>
      <c r="C4" s="2">
        <v>13373</v>
      </c>
      <c r="D4" s="2"/>
      <c r="E4" s="2"/>
      <c r="F4" s="2"/>
      <c r="G4" s="2" t="s">
        <v>3</v>
      </c>
    </row>
    <row r="5" spans="1:7" x14ac:dyDescent="0.25">
      <c r="A5" s="3"/>
      <c r="B5" s="4">
        <v>46167</v>
      </c>
      <c r="C5" s="5">
        <v>46176</v>
      </c>
      <c r="D5" s="4"/>
      <c r="E5" s="4"/>
      <c r="F5" s="4"/>
      <c r="G5" s="4">
        <v>46112</v>
      </c>
    </row>
    <row r="6" spans="1:7" x14ac:dyDescent="0.25">
      <c r="A6" s="6" t="s">
        <v>281</v>
      </c>
      <c r="B6" s="7">
        <v>2</v>
      </c>
      <c r="C6" s="8">
        <v>-2</v>
      </c>
      <c r="D6" s="8"/>
      <c r="E6" s="8"/>
      <c r="F6" s="8"/>
      <c r="G6" s="9">
        <f t="shared" ref="G6:G10" si="0">SUM(B6:F6)</f>
        <v>0</v>
      </c>
    </row>
    <row r="7" spans="1:7" x14ac:dyDescent="0.25">
      <c r="A7" s="6" t="s">
        <v>282</v>
      </c>
      <c r="B7" s="7">
        <v>16</v>
      </c>
      <c r="C7" s="8">
        <v>-16</v>
      </c>
      <c r="D7" s="8"/>
      <c r="E7" s="8"/>
      <c r="F7" s="8"/>
      <c r="G7" s="9">
        <f t="shared" si="0"/>
        <v>0</v>
      </c>
    </row>
    <row r="8" spans="1:7" x14ac:dyDescent="0.25">
      <c r="A8" s="6" t="s">
        <v>47</v>
      </c>
      <c r="B8" s="7">
        <v>15</v>
      </c>
      <c r="C8" s="8">
        <v>-15</v>
      </c>
      <c r="D8" s="8"/>
      <c r="E8" s="8"/>
      <c r="F8" s="8"/>
      <c r="G8" s="9">
        <f t="shared" si="0"/>
        <v>0</v>
      </c>
    </row>
    <row r="9" spans="1:7" x14ac:dyDescent="0.25">
      <c r="A9" s="6" t="s">
        <v>127</v>
      </c>
      <c r="B9" s="7">
        <v>5</v>
      </c>
      <c r="C9" s="8">
        <v>-5</v>
      </c>
      <c r="D9" s="8"/>
      <c r="E9" s="8"/>
      <c r="F9" s="8"/>
      <c r="G9" s="9">
        <f t="shared" si="0"/>
        <v>0</v>
      </c>
    </row>
    <row r="10" spans="1:7" x14ac:dyDescent="0.25">
      <c r="A10" s="3" t="s">
        <v>16</v>
      </c>
      <c r="B10" s="10">
        <v>0.47916666666666669</v>
      </c>
      <c r="C10" s="11">
        <v>0.4375</v>
      </c>
      <c r="D10" s="11"/>
      <c r="E10" s="11"/>
      <c r="F10" s="11"/>
      <c r="G10" s="12">
        <f t="shared" si="0"/>
        <v>0.91666666666666674</v>
      </c>
    </row>
    <row r="11" spans="1:7" x14ac:dyDescent="0.25">
      <c r="A11" s="3" t="s">
        <v>17</v>
      </c>
      <c r="B11" s="13">
        <v>30000</v>
      </c>
      <c r="C11" s="13">
        <v>30000</v>
      </c>
      <c r="D11" s="13"/>
      <c r="E11" s="13"/>
      <c r="F11" s="13"/>
      <c r="G11" s="37">
        <f>SUM(B11:F11)</f>
        <v>60000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545D-FB72-47EC-95D7-C95B52D48FDA}">
  <dimension ref="A1:I12"/>
  <sheetViews>
    <sheetView workbookViewId="0">
      <selection activeCell="L12" sqref="L12"/>
    </sheetView>
  </sheetViews>
  <sheetFormatPr baseColWidth="10" defaultRowHeight="15" x14ac:dyDescent="0.25"/>
  <cols>
    <col min="1" max="1" width="39.5703125" customWidth="1"/>
  </cols>
  <sheetData>
    <row r="1" spans="1:9" ht="18.75" x14ac:dyDescent="0.3">
      <c r="A1" s="129" t="s">
        <v>36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37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38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 t="s">
        <v>3</v>
      </c>
      <c r="C4" s="2"/>
      <c r="D4" s="2"/>
      <c r="E4" s="2"/>
      <c r="F4" s="2"/>
      <c r="G4" s="2"/>
      <c r="H4" s="2"/>
      <c r="I4" s="2" t="s">
        <v>3</v>
      </c>
    </row>
    <row r="5" spans="1:9" x14ac:dyDescent="0.25">
      <c r="A5" s="3"/>
      <c r="B5" s="4">
        <v>46081</v>
      </c>
      <c r="C5" s="4"/>
      <c r="D5" s="4"/>
      <c r="E5" s="4"/>
      <c r="F5" s="4"/>
      <c r="G5" s="4"/>
      <c r="H5" s="4"/>
      <c r="I5" s="4">
        <v>46112</v>
      </c>
    </row>
    <row r="6" spans="1:9" x14ac:dyDescent="0.25">
      <c r="A6" s="34" t="s">
        <v>39</v>
      </c>
      <c r="B6" s="7">
        <v>1</v>
      </c>
      <c r="C6" s="8"/>
      <c r="D6" s="8"/>
      <c r="E6" s="8"/>
      <c r="F6" s="8"/>
      <c r="G6" s="8"/>
      <c r="H6" s="8"/>
      <c r="I6" s="9">
        <f t="shared" ref="I6:I10" si="0">SUM(B6:F6)</f>
        <v>1</v>
      </c>
    </row>
    <row r="7" spans="1:9" x14ac:dyDescent="0.25">
      <c r="A7" s="34" t="s">
        <v>40</v>
      </c>
      <c r="B7" s="7">
        <v>1</v>
      </c>
      <c r="C7" s="8"/>
      <c r="D7" s="8"/>
      <c r="E7" s="8"/>
      <c r="F7" s="8"/>
      <c r="G7" s="8"/>
      <c r="H7" s="8"/>
      <c r="I7" s="9">
        <f t="shared" si="0"/>
        <v>1</v>
      </c>
    </row>
    <row r="8" spans="1:9" x14ac:dyDescent="0.25">
      <c r="A8" s="34" t="s">
        <v>41</v>
      </c>
      <c r="B8" s="7">
        <v>0</v>
      </c>
      <c r="C8" s="8"/>
      <c r="D8" s="8"/>
      <c r="E8" s="8"/>
      <c r="F8" s="8"/>
      <c r="G8" s="8"/>
      <c r="H8" s="8"/>
      <c r="I8" s="9">
        <f t="shared" si="0"/>
        <v>0</v>
      </c>
    </row>
    <row r="9" spans="1:9" x14ac:dyDescent="0.25">
      <c r="A9" s="34" t="s">
        <v>12</v>
      </c>
      <c r="B9" s="7">
        <v>11</v>
      </c>
      <c r="C9" s="8"/>
      <c r="D9" s="8"/>
      <c r="E9" s="8"/>
      <c r="F9" s="8"/>
      <c r="G9" s="8"/>
      <c r="H9" s="8"/>
      <c r="I9" s="9">
        <f t="shared" si="0"/>
        <v>11</v>
      </c>
    </row>
    <row r="10" spans="1:9" x14ac:dyDescent="0.25">
      <c r="A10" s="34" t="s">
        <v>42</v>
      </c>
      <c r="B10" s="7">
        <v>2</v>
      </c>
      <c r="C10" s="8"/>
      <c r="D10" s="8"/>
      <c r="E10" s="8"/>
      <c r="F10" s="8"/>
      <c r="G10" s="8"/>
      <c r="H10" s="8"/>
      <c r="I10" s="9">
        <f t="shared" si="0"/>
        <v>2</v>
      </c>
    </row>
    <row r="11" spans="1:9" x14ac:dyDescent="0.25">
      <c r="A11" s="3" t="s">
        <v>16</v>
      </c>
      <c r="B11" s="35"/>
      <c r="C11" s="11"/>
      <c r="D11" s="11"/>
      <c r="E11" s="11"/>
      <c r="F11" s="11"/>
      <c r="G11" s="11"/>
      <c r="H11" s="11"/>
      <c r="I11" s="12"/>
    </row>
    <row r="12" spans="1:9" x14ac:dyDescent="0.25">
      <c r="A12" s="3" t="s">
        <v>17</v>
      </c>
      <c r="B12" s="36"/>
      <c r="C12" s="13"/>
      <c r="D12" s="13"/>
      <c r="E12" s="13"/>
      <c r="F12" s="13"/>
      <c r="G12" s="13"/>
      <c r="H12" s="13"/>
      <c r="I12" s="37">
        <f>SUM(C12:F12)</f>
        <v>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C89F-4508-4EA8-A4C4-0DB264750F08}">
  <dimension ref="A1:I11"/>
  <sheetViews>
    <sheetView workbookViewId="0">
      <selection activeCell="B16" sqref="B16"/>
    </sheetView>
  </sheetViews>
  <sheetFormatPr baseColWidth="10" defaultRowHeight="15" x14ac:dyDescent="0.25"/>
  <cols>
    <col min="1" max="1" width="33.42578125" customWidth="1"/>
  </cols>
  <sheetData>
    <row r="1" spans="1:9" ht="18.75" x14ac:dyDescent="0.3">
      <c r="A1" s="129" t="s">
        <v>116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117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38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>
        <v>13641</v>
      </c>
      <c r="C4" s="2">
        <v>13659</v>
      </c>
      <c r="D4" s="2">
        <v>13327</v>
      </c>
      <c r="E4" s="2"/>
      <c r="F4" s="2"/>
      <c r="G4" s="2"/>
      <c r="H4" s="2"/>
      <c r="I4" s="2" t="s">
        <v>3</v>
      </c>
    </row>
    <row r="5" spans="1:9" x14ac:dyDescent="0.25">
      <c r="A5" s="3"/>
      <c r="B5" s="4">
        <v>46150</v>
      </c>
      <c r="C5" s="4">
        <v>46155</v>
      </c>
      <c r="D5" s="4">
        <v>46157</v>
      </c>
      <c r="E5" s="4"/>
      <c r="F5" s="4"/>
      <c r="G5" s="4"/>
      <c r="H5" s="4"/>
      <c r="I5" s="4">
        <v>46112</v>
      </c>
    </row>
    <row r="6" spans="1:9" x14ac:dyDescent="0.25">
      <c r="A6" s="34" t="s">
        <v>47</v>
      </c>
      <c r="B6" s="7">
        <v>4</v>
      </c>
      <c r="C6" s="8"/>
      <c r="D6" s="8">
        <v>-4</v>
      </c>
      <c r="E6" s="8"/>
      <c r="F6" s="8"/>
      <c r="G6" s="8"/>
      <c r="H6" s="8"/>
      <c r="I6" s="9">
        <f t="shared" ref="I6:I8" si="0">SUM(B6:F6)</f>
        <v>0</v>
      </c>
    </row>
    <row r="7" spans="1:9" x14ac:dyDescent="0.25">
      <c r="A7" s="34" t="s">
        <v>40</v>
      </c>
      <c r="B7" s="7">
        <v>2</v>
      </c>
      <c r="C7" s="8"/>
      <c r="D7" s="8">
        <v>-2</v>
      </c>
      <c r="E7" s="8"/>
      <c r="F7" s="8"/>
      <c r="G7" s="8"/>
      <c r="H7" s="8"/>
      <c r="I7" s="9">
        <f t="shared" si="0"/>
        <v>0</v>
      </c>
    </row>
    <row r="8" spans="1:9" x14ac:dyDescent="0.25">
      <c r="A8" s="34" t="s">
        <v>118</v>
      </c>
      <c r="B8" s="7">
        <v>4</v>
      </c>
      <c r="C8" s="8"/>
      <c r="D8" s="8">
        <v>-4</v>
      </c>
      <c r="E8" s="8"/>
      <c r="F8" s="8"/>
      <c r="G8" s="8"/>
      <c r="H8" s="8"/>
      <c r="I8" s="9">
        <f t="shared" si="0"/>
        <v>0</v>
      </c>
    </row>
    <row r="9" spans="1:9" x14ac:dyDescent="0.25">
      <c r="A9" s="34" t="s">
        <v>166</v>
      </c>
      <c r="B9" s="7"/>
      <c r="C9" s="8">
        <v>1</v>
      </c>
      <c r="D9" s="8">
        <v>-1</v>
      </c>
      <c r="E9" s="8"/>
      <c r="F9" s="8"/>
      <c r="G9" s="8"/>
      <c r="H9" s="8"/>
      <c r="I9" s="9">
        <f>SUM(B9:H9)</f>
        <v>0</v>
      </c>
    </row>
    <row r="10" spans="1:9" x14ac:dyDescent="0.25">
      <c r="A10" s="3" t="s">
        <v>16</v>
      </c>
      <c r="B10" s="10" t="s">
        <v>119</v>
      </c>
      <c r="C10" s="11">
        <v>0.30208333333333331</v>
      </c>
      <c r="D10" s="11">
        <v>0.33333333333333331</v>
      </c>
      <c r="E10" s="11"/>
      <c r="F10" s="11"/>
      <c r="G10" s="11"/>
      <c r="H10" s="11"/>
      <c r="I10" s="12"/>
    </row>
    <row r="11" spans="1:9" x14ac:dyDescent="0.25">
      <c r="A11" s="3" t="s">
        <v>17</v>
      </c>
      <c r="B11" s="13">
        <v>25000</v>
      </c>
      <c r="C11" s="13">
        <v>25000</v>
      </c>
      <c r="D11" s="13">
        <v>25000</v>
      </c>
      <c r="E11" s="13"/>
      <c r="F11" s="13"/>
      <c r="G11" s="13"/>
      <c r="H11" s="13"/>
      <c r="I11" s="37">
        <f>SUM(C11:F11)</f>
        <v>50000</v>
      </c>
    </row>
  </sheetData>
  <mergeCells count="3">
    <mergeCell ref="A1:I1"/>
    <mergeCell ref="A2:I2"/>
    <mergeCell ref="A3:I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B4F8-6105-44BB-B725-3EAF9FAF078A}">
  <sheetPr>
    <pageSetUpPr fitToPage="1"/>
  </sheetPr>
  <dimension ref="A1:O24"/>
  <sheetViews>
    <sheetView topLeftCell="A8" workbookViewId="0">
      <selection activeCell="M19" sqref="M19"/>
    </sheetView>
  </sheetViews>
  <sheetFormatPr baseColWidth="10" defaultRowHeight="15" x14ac:dyDescent="0.25"/>
  <cols>
    <col min="1" max="1" width="29.28515625" bestFit="1" customWidth="1"/>
    <col min="2" max="2" width="13" customWidth="1"/>
  </cols>
  <sheetData>
    <row r="1" spans="1:15" ht="18.75" x14ac:dyDescent="0.3">
      <c r="A1" s="129" t="s">
        <v>328</v>
      </c>
      <c r="B1" s="130"/>
      <c r="C1" s="130"/>
      <c r="D1" s="130"/>
      <c r="E1" s="130"/>
      <c r="F1" s="130"/>
      <c r="G1" s="130"/>
      <c r="H1" s="130"/>
      <c r="I1" s="130"/>
      <c r="J1" s="135"/>
    </row>
    <row r="2" spans="1:15" ht="15.75" x14ac:dyDescent="0.25">
      <c r="A2" s="137" t="s">
        <v>305</v>
      </c>
      <c r="B2" s="138"/>
      <c r="C2" s="139"/>
      <c r="D2" s="139"/>
      <c r="E2" s="139"/>
      <c r="F2" s="139"/>
      <c r="G2" s="139"/>
      <c r="H2" s="139"/>
      <c r="I2" s="139"/>
      <c r="J2" s="140"/>
    </row>
    <row r="3" spans="1:15" ht="18.75" x14ac:dyDescent="0.3">
      <c r="A3" s="141" t="s">
        <v>336</v>
      </c>
      <c r="B3" s="142"/>
      <c r="C3" s="142"/>
      <c r="D3" s="142"/>
      <c r="E3" s="142"/>
      <c r="F3" s="142"/>
      <c r="G3" s="142"/>
      <c r="H3" s="142"/>
      <c r="I3" s="142"/>
      <c r="J3" s="142"/>
    </row>
    <row r="4" spans="1:15" x14ac:dyDescent="0.25">
      <c r="A4" s="1" t="s">
        <v>2</v>
      </c>
      <c r="B4" s="2">
        <v>13694</v>
      </c>
      <c r="C4" s="2">
        <v>13699</v>
      </c>
      <c r="D4" s="2">
        <v>13697</v>
      </c>
      <c r="E4" s="2">
        <v>13372</v>
      </c>
      <c r="F4" s="2">
        <v>13374</v>
      </c>
      <c r="G4" s="2">
        <v>13769</v>
      </c>
      <c r="H4" s="2">
        <v>13375</v>
      </c>
      <c r="I4" s="2"/>
      <c r="J4" s="2" t="s">
        <v>3</v>
      </c>
      <c r="M4" t="s">
        <v>357</v>
      </c>
    </row>
    <row r="5" spans="1:15" x14ac:dyDescent="0.25">
      <c r="A5" s="3"/>
      <c r="B5" s="4">
        <v>46168</v>
      </c>
      <c r="C5" s="4">
        <v>46169</v>
      </c>
      <c r="D5" s="4">
        <v>46169</v>
      </c>
      <c r="E5" s="4">
        <v>46176</v>
      </c>
      <c r="F5" s="4">
        <v>46145</v>
      </c>
      <c r="G5" s="4">
        <v>46175</v>
      </c>
      <c r="H5" s="4">
        <v>46176</v>
      </c>
      <c r="I5" s="4"/>
      <c r="J5" s="4">
        <v>46175</v>
      </c>
    </row>
    <row r="6" spans="1:15" x14ac:dyDescent="0.25">
      <c r="A6" s="34" t="s">
        <v>296</v>
      </c>
      <c r="B6" s="34"/>
      <c r="C6" s="22">
        <v>10</v>
      </c>
      <c r="D6" s="8">
        <v>5</v>
      </c>
      <c r="E6" s="8">
        <v>-15</v>
      </c>
      <c r="F6" s="8"/>
      <c r="G6" s="8"/>
      <c r="H6" s="8"/>
      <c r="I6" s="8"/>
      <c r="J6" s="9">
        <f>SUM(B6:I6)</f>
        <v>0</v>
      </c>
    </row>
    <row r="7" spans="1:15" x14ac:dyDescent="0.25">
      <c r="A7" s="34" t="s">
        <v>5</v>
      </c>
      <c r="B7" s="22"/>
      <c r="C7" s="22">
        <v>4</v>
      </c>
      <c r="D7" s="8"/>
      <c r="E7" s="8"/>
      <c r="F7" s="8"/>
      <c r="G7" s="8"/>
      <c r="H7" s="8">
        <v>-4</v>
      </c>
      <c r="I7" s="8"/>
      <c r="J7" s="9">
        <f t="shared" ref="J7:J21" si="0">SUM(B7:I7)</f>
        <v>0</v>
      </c>
      <c r="K7">
        <v>18.5</v>
      </c>
      <c r="L7">
        <f>J7*K7</f>
        <v>0</v>
      </c>
      <c r="O7" t="s">
        <v>347</v>
      </c>
    </row>
    <row r="8" spans="1:15" x14ac:dyDescent="0.25">
      <c r="A8" s="34" t="s">
        <v>29</v>
      </c>
      <c r="B8" s="22"/>
      <c r="C8" s="22">
        <v>2</v>
      </c>
      <c r="D8" s="8"/>
      <c r="E8" s="8"/>
      <c r="F8" s="8"/>
      <c r="G8" s="8"/>
      <c r="H8">
        <v>-2</v>
      </c>
      <c r="I8" s="8"/>
      <c r="J8" s="9">
        <f t="shared" si="0"/>
        <v>0</v>
      </c>
      <c r="K8">
        <v>9.5</v>
      </c>
      <c r="L8">
        <f t="shared" ref="L8:L22" si="1">J8*K8</f>
        <v>0</v>
      </c>
    </row>
    <row r="9" spans="1:15" x14ac:dyDescent="0.25">
      <c r="A9" s="34" t="s">
        <v>6</v>
      </c>
      <c r="B9" s="22">
        <v>48</v>
      </c>
      <c r="C9" s="22">
        <v>5</v>
      </c>
      <c r="D9" s="8"/>
      <c r="E9" s="8"/>
      <c r="F9" s="8">
        <v>-30</v>
      </c>
      <c r="G9" s="8"/>
      <c r="H9" s="8">
        <v>-23</v>
      </c>
      <c r="I9" s="8"/>
      <c r="J9" s="9">
        <f t="shared" si="0"/>
        <v>0</v>
      </c>
      <c r="K9">
        <v>13.5</v>
      </c>
      <c r="L9">
        <f t="shared" si="1"/>
        <v>0</v>
      </c>
    </row>
    <row r="10" spans="1:15" x14ac:dyDescent="0.25">
      <c r="A10" s="34" t="s">
        <v>4</v>
      </c>
      <c r="B10" s="22"/>
      <c r="C10" s="22"/>
      <c r="D10" s="8">
        <v>40</v>
      </c>
      <c r="E10" s="8"/>
      <c r="F10" s="8">
        <v>-40</v>
      </c>
      <c r="G10" s="8"/>
      <c r="H10" s="8"/>
      <c r="I10" s="8"/>
      <c r="J10" s="9">
        <f t="shared" si="0"/>
        <v>0</v>
      </c>
      <c r="K10">
        <v>26</v>
      </c>
      <c r="L10">
        <f t="shared" si="1"/>
        <v>0</v>
      </c>
    </row>
    <row r="11" spans="1:15" x14ac:dyDescent="0.25">
      <c r="A11" s="34" t="s">
        <v>13</v>
      </c>
      <c r="B11" s="22">
        <v>23</v>
      </c>
      <c r="C11" s="22">
        <v>15</v>
      </c>
      <c r="D11" s="8">
        <v>16</v>
      </c>
      <c r="E11" s="8">
        <v>-54</v>
      </c>
      <c r="F11" s="8"/>
      <c r="G11" s="8"/>
      <c r="H11" s="8"/>
      <c r="I11" s="8"/>
      <c r="J11" s="9">
        <f t="shared" si="0"/>
        <v>0</v>
      </c>
      <c r="L11">
        <f t="shared" si="1"/>
        <v>0</v>
      </c>
    </row>
    <row r="12" spans="1:15" x14ac:dyDescent="0.25">
      <c r="A12" s="34" t="s">
        <v>186</v>
      </c>
      <c r="B12" s="22"/>
      <c r="C12" s="22">
        <v>13</v>
      </c>
      <c r="D12" s="8"/>
      <c r="E12" s="8"/>
      <c r="F12" s="8"/>
      <c r="G12" s="8"/>
      <c r="H12" s="8">
        <v>-13</v>
      </c>
      <c r="I12" s="8"/>
      <c r="J12" s="9">
        <f t="shared" si="0"/>
        <v>0</v>
      </c>
      <c r="K12">
        <v>6</v>
      </c>
      <c r="L12">
        <f t="shared" si="1"/>
        <v>0</v>
      </c>
    </row>
    <row r="13" spans="1:15" x14ac:dyDescent="0.25">
      <c r="A13" s="34" t="s">
        <v>297</v>
      </c>
      <c r="B13" s="22"/>
      <c r="C13" s="22">
        <v>9</v>
      </c>
      <c r="D13" s="8"/>
      <c r="E13" s="8">
        <v>-9</v>
      </c>
      <c r="F13" s="8"/>
      <c r="G13" s="8"/>
      <c r="H13" s="8"/>
      <c r="I13" s="8"/>
      <c r="J13" s="9">
        <f t="shared" si="0"/>
        <v>0</v>
      </c>
      <c r="L13">
        <f t="shared" si="1"/>
        <v>0</v>
      </c>
    </row>
    <row r="14" spans="1:15" x14ac:dyDescent="0.25">
      <c r="A14" s="34" t="s">
        <v>298</v>
      </c>
      <c r="B14" s="22"/>
      <c r="C14" s="22">
        <v>7</v>
      </c>
      <c r="D14" s="8"/>
      <c r="E14" s="8"/>
      <c r="F14" s="8"/>
      <c r="G14" s="8">
        <v>7</v>
      </c>
      <c r="H14" s="8">
        <v>-14</v>
      </c>
      <c r="I14" s="8"/>
      <c r="J14" s="9">
        <f t="shared" si="0"/>
        <v>0</v>
      </c>
      <c r="L14">
        <f t="shared" si="1"/>
        <v>0</v>
      </c>
      <c r="M14">
        <f>SUM(C14:J14)</f>
        <v>0</v>
      </c>
    </row>
    <row r="15" spans="1:15" x14ac:dyDescent="0.25">
      <c r="A15" s="34" t="s">
        <v>299</v>
      </c>
      <c r="B15" s="22">
        <v>432</v>
      </c>
      <c r="C15" s="22">
        <v>298</v>
      </c>
      <c r="D15" s="8">
        <v>400</v>
      </c>
      <c r="E15" s="8"/>
      <c r="F15" s="8">
        <v>-1130</v>
      </c>
      <c r="G15" s="8"/>
      <c r="H15" s="8"/>
      <c r="I15" s="8"/>
      <c r="J15" s="9">
        <f t="shared" si="0"/>
        <v>0</v>
      </c>
      <c r="K15">
        <v>0.1</v>
      </c>
      <c r="L15">
        <f t="shared" si="1"/>
        <v>0</v>
      </c>
    </row>
    <row r="16" spans="1:15" x14ac:dyDescent="0.25">
      <c r="A16" s="34" t="s">
        <v>300</v>
      </c>
      <c r="B16" s="22"/>
      <c r="C16" s="22">
        <v>3</v>
      </c>
      <c r="D16" s="8"/>
      <c r="E16" s="8">
        <v>-3</v>
      </c>
      <c r="F16" s="8"/>
      <c r="G16" s="8"/>
      <c r="H16" s="8"/>
      <c r="I16" s="8"/>
      <c r="J16" s="9">
        <f t="shared" si="0"/>
        <v>0</v>
      </c>
      <c r="L16">
        <f t="shared" si="1"/>
        <v>0</v>
      </c>
    </row>
    <row r="17" spans="1:12" x14ac:dyDescent="0.25">
      <c r="A17" s="34" t="s">
        <v>15</v>
      </c>
      <c r="B17" s="22">
        <v>2</v>
      </c>
      <c r="C17" s="22">
        <v>2</v>
      </c>
      <c r="D17" s="8">
        <v>2</v>
      </c>
      <c r="E17" s="8"/>
      <c r="F17" s="8">
        <v>-6</v>
      </c>
      <c r="G17" s="8"/>
      <c r="H17" s="8"/>
      <c r="I17" s="8"/>
      <c r="J17" s="9">
        <f t="shared" si="0"/>
        <v>0</v>
      </c>
      <c r="K17">
        <v>1</v>
      </c>
      <c r="L17">
        <f t="shared" si="1"/>
        <v>0</v>
      </c>
    </row>
    <row r="18" spans="1:12" x14ac:dyDescent="0.25">
      <c r="A18" s="34" t="s">
        <v>54</v>
      </c>
      <c r="B18" s="22">
        <v>19</v>
      </c>
      <c r="C18" s="22"/>
      <c r="D18" s="8"/>
      <c r="E18" s="8"/>
      <c r="F18" s="8"/>
      <c r="G18" s="8"/>
      <c r="H18" s="8">
        <v>-19</v>
      </c>
      <c r="I18" s="8"/>
      <c r="J18" s="9">
        <f t="shared" si="0"/>
        <v>0</v>
      </c>
      <c r="K18">
        <v>6</v>
      </c>
      <c r="L18">
        <f t="shared" si="1"/>
        <v>0</v>
      </c>
    </row>
    <row r="19" spans="1:12" x14ac:dyDescent="0.25">
      <c r="A19" s="34" t="s">
        <v>301</v>
      </c>
      <c r="B19" s="22">
        <v>5</v>
      </c>
      <c r="C19" s="22">
        <v>9</v>
      </c>
      <c r="D19" s="8"/>
      <c r="E19" s="8"/>
      <c r="F19" s="8"/>
      <c r="G19" s="8"/>
      <c r="H19" s="8">
        <v>-14</v>
      </c>
      <c r="I19" s="8"/>
      <c r="J19" s="9">
        <f t="shared" si="0"/>
        <v>0</v>
      </c>
      <c r="K19">
        <v>3</v>
      </c>
      <c r="L19">
        <f t="shared" si="1"/>
        <v>0</v>
      </c>
    </row>
    <row r="20" spans="1:12" x14ac:dyDescent="0.25">
      <c r="A20" s="34" t="s">
        <v>302</v>
      </c>
      <c r="B20" s="22">
        <v>10</v>
      </c>
      <c r="C20" s="22">
        <v>18</v>
      </c>
      <c r="D20" s="8"/>
      <c r="E20" s="8"/>
      <c r="F20" s="8"/>
      <c r="G20" s="8"/>
      <c r="H20" s="8">
        <v>-28</v>
      </c>
      <c r="I20" s="8"/>
      <c r="J20" s="9">
        <f t="shared" si="0"/>
        <v>0</v>
      </c>
      <c r="K20">
        <v>1</v>
      </c>
      <c r="L20">
        <f t="shared" si="1"/>
        <v>0</v>
      </c>
    </row>
    <row r="21" spans="1:12" x14ac:dyDescent="0.25">
      <c r="A21" s="34" t="s">
        <v>303</v>
      </c>
      <c r="B21" s="22"/>
      <c r="C21" s="22">
        <v>10</v>
      </c>
      <c r="D21" s="8"/>
      <c r="E21" s="8"/>
      <c r="F21" s="8"/>
      <c r="G21" s="8"/>
      <c r="H21" s="8">
        <v>-10</v>
      </c>
      <c r="I21" s="8"/>
      <c r="J21" s="9">
        <f t="shared" si="0"/>
        <v>0</v>
      </c>
      <c r="K21">
        <v>10</v>
      </c>
      <c r="L21">
        <f t="shared" si="1"/>
        <v>0</v>
      </c>
    </row>
    <row r="22" spans="1:12" x14ac:dyDescent="0.25">
      <c r="A22" s="34" t="s">
        <v>304</v>
      </c>
      <c r="B22" s="22"/>
      <c r="C22" s="22">
        <v>84</v>
      </c>
      <c r="D22" s="8"/>
      <c r="E22" s="8"/>
      <c r="F22" s="8"/>
      <c r="G22" s="8"/>
      <c r="H22" s="8">
        <v>-84</v>
      </c>
      <c r="I22" s="8"/>
      <c r="J22" s="9">
        <f t="shared" ref="J22" si="2">SUM(B22:I22)</f>
        <v>0</v>
      </c>
      <c r="K22">
        <v>0.5</v>
      </c>
      <c r="L22">
        <f t="shared" si="1"/>
        <v>0</v>
      </c>
    </row>
    <row r="23" spans="1:12" x14ac:dyDescent="0.25">
      <c r="A23" s="3" t="s">
        <v>16</v>
      </c>
      <c r="B23" s="41">
        <v>13694</v>
      </c>
      <c r="C23" s="10">
        <v>0.34722222222222221</v>
      </c>
      <c r="D23" s="11">
        <v>0.39583333333333331</v>
      </c>
      <c r="E23" s="11">
        <v>0.4375</v>
      </c>
      <c r="F23" s="11"/>
      <c r="G23" s="11">
        <v>0.33333333333333331</v>
      </c>
      <c r="H23" s="11">
        <v>0.10416666666666667</v>
      </c>
      <c r="I23" s="11"/>
      <c r="J23" s="12"/>
      <c r="L23">
        <f>SUM(L7:L22)</f>
        <v>0</v>
      </c>
    </row>
    <row r="24" spans="1:12" x14ac:dyDescent="0.25">
      <c r="A24" s="3" t="s">
        <v>17</v>
      </c>
      <c r="B24" s="86">
        <v>60000</v>
      </c>
      <c r="C24" s="13">
        <v>80000</v>
      </c>
      <c r="D24" s="13">
        <v>60000</v>
      </c>
      <c r="E24" s="13">
        <v>60000</v>
      </c>
      <c r="F24" s="13"/>
      <c r="G24" s="13"/>
      <c r="H24" s="13"/>
      <c r="I24" s="13"/>
      <c r="J24" s="37">
        <f>SUM(B24:G24)</f>
        <v>260000</v>
      </c>
    </row>
  </sheetData>
  <mergeCells count="3">
    <mergeCell ref="A1:J1"/>
    <mergeCell ref="A2:J2"/>
    <mergeCell ref="A3:J3"/>
  </mergeCells>
  <hyperlinks>
    <hyperlink ref="A2" r:id="rId1" display="TEL:301204111" xr:uid="{423C0AA0-46DE-4104-9CAF-756D2B5F84D0}"/>
  </hyperlinks>
  <pageMargins left="0.70866141732283472" right="0.70866141732283472" top="0.74803149606299213" bottom="0.74803149606299213" header="0.31496062992125984" footer="0.31496062992125984"/>
  <pageSetup paperSize="9" scale="65" orientation="landscape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6BF9-36CA-4E81-92A8-9E04CB11B03C}">
  <dimension ref="A1:I13"/>
  <sheetViews>
    <sheetView workbookViewId="0">
      <selection activeCell="L9" sqref="L9"/>
    </sheetView>
  </sheetViews>
  <sheetFormatPr baseColWidth="10" defaultRowHeight="15" x14ac:dyDescent="0.25"/>
  <cols>
    <col min="1" max="1" width="30.42578125" customWidth="1"/>
  </cols>
  <sheetData>
    <row r="1" spans="1:9" ht="18.75" x14ac:dyDescent="0.3">
      <c r="A1" s="129" t="s">
        <v>147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148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93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>
        <v>13649</v>
      </c>
      <c r="C4" s="2">
        <v>13334</v>
      </c>
      <c r="D4" s="2"/>
      <c r="E4" s="2"/>
      <c r="F4" s="2"/>
      <c r="G4" s="2"/>
      <c r="H4" s="2"/>
      <c r="I4" s="2" t="s">
        <v>3</v>
      </c>
    </row>
    <row r="5" spans="1:9" x14ac:dyDescent="0.25">
      <c r="A5" s="3"/>
      <c r="B5" s="4">
        <v>46153</v>
      </c>
      <c r="C5" s="4">
        <v>46158</v>
      </c>
      <c r="D5" s="4"/>
      <c r="E5" s="4"/>
      <c r="F5" s="4"/>
      <c r="G5" s="4"/>
      <c r="H5" s="4"/>
      <c r="I5" s="4">
        <v>46112</v>
      </c>
    </row>
    <row r="6" spans="1:9" x14ac:dyDescent="0.25">
      <c r="A6" s="34" t="s">
        <v>6</v>
      </c>
      <c r="B6" s="7">
        <v>16</v>
      </c>
      <c r="C6" s="8">
        <v>-16</v>
      </c>
      <c r="D6" s="8"/>
      <c r="E6" s="8"/>
      <c r="F6" s="8"/>
      <c r="G6" s="8"/>
      <c r="H6" s="8"/>
      <c r="I6" s="9">
        <f t="shared" ref="I6:I12" si="0">SUM(B6:F6)</f>
        <v>0</v>
      </c>
    </row>
    <row r="7" spans="1:9" x14ac:dyDescent="0.25">
      <c r="A7" s="34" t="s">
        <v>29</v>
      </c>
      <c r="B7" s="7">
        <v>16</v>
      </c>
      <c r="C7" s="8">
        <v>-16</v>
      </c>
      <c r="D7" s="8"/>
      <c r="E7" s="8"/>
      <c r="F7" s="8"/>
      <c r="G7" s="8"/>
      <c r="H7" s="8"/>
      <c r="I7" s="9">
        <f t="shared" si="0"/>
        <v>0</v>
      </c>
    </row>
    <row r="8" spans="1:9" x14ac:dyDescent="0.25">
      <c r="A8" s="34" t="s">
        <v>54</v>
      </c>
      <c r="B8" s="7">
        <v>16</v>
      </c>
      <c r="C8" s="8">
        <v>-16</v>
      </c>
      <c r="D8" s="8"/>
      <c r="E8" s="8"/>
      <c r="F8" s="8"/>
      <c r="G8" s="8"/>
      <c r="H8" s="8"/>
      <c r="I8" s="9">
        <f t="shared" si="0"/>
        <v>0</v>
      </c>
    </row>
    <row r="9" spans="1:9" x14ac:dyDescent="0.25">
      <c r="A9" s="34" t="s">
        <v>13</v>
      </c>
      <c r="B9" s="7">
        <v>16</v>
      </c>
      <c r="C9" s="8">
        <v>-16</v>
      </c>
      <c r="D9" s="8"/>
      <c r="E9" s="8"/>
      <c r="F9" s="8"/>
      <c r="G9" s="8"/>
      <c r="H9" s="8"/>
      <c r="I9" s="9">
        <f t="shared" si="0"/>
        <v>0</v>
      </c>
    </row>
    <row r="10" spans="1:9" x14ac:dyDescent="0.25">
      <c r="A10" s="34" t="s">
        <v>149</v>
      </c>
      <c r="B10" s="7">
        <v>400</v>
      </c>
      <c r="C10" s="8">
        <v>-400</v>
      </c>
      <c r="D10" s="8"/>
      <c r="E10" s="8"/>
      <c r="F10" s="8"/>
      <c r="G10" s="8"/>
      <c r="H10" s="8"/>
      <c r="I10" s="9">
        <f t="shared" si="0"/>
        <v>0</v>
      </c>
    </row>
    <row r="11" spans="1:9" x14ac:dyDescent="0.25">
      <c r="A11" s="34" t="s">
        <v>15</v>
      </c>
      <c r="B11" s="7">
        <v>2</v>
      </c>
      <c r="C11" s="8">
        <v>-2</v>
      </c>
      <c r="D11" s="8"/>
      <c r="E11" s="8"/>
      <c r="F11" s="8"/>
      <c r="G11" s="8"/>
      <c r="H11" s="8"/>
      <c r="I11" s="9">
        <f t="shared" si="0"/>
        <v>0</v>
      </c>
    </row>
    <row r="12" spans="1:9" x14ac:dyDescent="0.25">
      <c r="A12" s="3" t="s">
        <v>16</v>
      </c>
      <c r="B12" s="10">
        <v>0.375</v>
      </c>
      <c r="C12" s="11"/>
      <c r="D12" s="11"/>
      <c r="E12" s="11"/>
      <c r="F12" s="11"/>
      <c r="G12" s="11"/>
      <c r="H12" s="11"/>
      <c r="I12" s="12">
        <f t="shared" si="0"/>
        <v>0.375</v>
      </c>
    </row>
    <row r="13" spans="1:9" x14ac:dyDescent="0.25">
      <c r="A13" s="3" t="s">
        <v>17</v>
      </c>
      <c r="B13" s="13">
        <v>70000</v>
      </c>
      <c r="C13" s="13">
        <v>70000</v>
      </c>
      <c r="D13" s="13"/>
      <c r="E13" s="13"/>
      <c r="F13" s="13"/>
      <c r="G13" s="13"/>
      <c r="H13" s="13"/>
      <c r="I13" s="37">
        <f>SUM(B13:F13)</f>
        <v>140000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DDF7-086F-45A0-A9E5-3970160F47EE}">
  <dimension ref="A1:O22"/>
  <sheetViews>
    <sheetView workbookViewId="0">
      <selection activeCell="O15" sqref="O15"/>
    </sheetView>
  </sheetViews>
  <sheetFormatPr baseColWidth="10" defaultRowHeight="15" x14ac:dyDescent="0.25"/>
  <cols>
    <col min="1" max="1" width="28.42578125" bestFit="1" customWidth="1"/>
  </cols>
  <sheetData>
    <row r="1" spans="1:15" ht="18.75" x14ac:dyDescent="0.3">
      <c r="A1" s="129" t="s">
        <v>183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5"/>
    </row>
    <row r="2" spans="1:15" ht="18.75" x14ac:dyDescent="0.3">
      <c r="A2" s="131" t="s">
        <v>184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6"/>
    </row>
    <row r="3" spans="1:15" ht="18.75" x14ac:dyDescent="0.3">
      <c r="A3" s="131" t="s">
        <v>45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1:15" x14ac:dyDescent="0.25">
      <c r="A4" s="1" t="s">
        <v>2</v>
      </c>
      <c r="B4" s="2">
        <v>13558</v>
      </c>
      <c r="C4" s="2">
        <v>13586</v>
      </c>
      <c r="D4" s="2">
        <v>13582</v>
      </c>
      <c r="E4" s="2">
        <v>13599</v>
      </c>
      <c r="F4" s="2">
        <v>13579</v>
      </c>
      <c r="G4" s="2">
        <v>13600</v>
      </c>
      <c r="H4" s="2">
        <v>13607</v>
      </c>
      <c r="I4" s="2">
        <v>13612</v>
      </c>
      <c r="J4" s="2">
        <v>13326</v>
      </c>
      <c r="K4" s="2">
        <v>13329</v>
      </c>
      <c r="L4" s="2">
        <v>13333</v>
      </c>
      <c r="M4" s="2" t="s">
        <v>221</v>
      </c>
      <c r="N4" s="38" t="s">
        <v>3</v>
      </c>
    </row>
    <row r="5" spans="1:15" x14ac:dyDescent="0.25">
      <c r="A5" s="3"/>
      <c r="B5" s="4">
        <v>46126</v>
      </c>
      <c r="C5" s="4">
        <v>46132</v>
      </c>
      <c r="D5" s="4">
        <v>46132</v>
      </c>
      <c r="E5" s="4">
        <v>46133</v>
      </c>
      <c r="F5" s="4">
        <v>46134</v>
      </c>
      <c r="G5" s="4">
        <v>46134</v>
      </c>
      <c r="H5" s="4">
        <v>46137</v>
      </c>
      <c r="I5" s="4">
        <v>46140</v>
      </c>
      <c r="J5" s="4">
        <v>46156</v>
      </c>
      <c r="K5" s="4">
        <v>46157</v>
      </c>
      <c r="L5" s="4">
        <v>46158</v>
      </c>
      <c r="M5" s="4">
        <v>46158</v>
      </c>
      <c r="N5" s="17">
        <v>46142</v>
      </c>
    </row>
    <row r="6" spans="1:15" x14ac:dyDescent="0.25">
      <c r="A6" s="6" t="s">
        <v>6</v>
      </c>
      <c r="B6" s="22">
        <v>24</v>
      </c>
      <c r="C6" s="8"/>
      <c r="D6" s="8"/>
      <c r="E6" s="8"/>
      <c r="F6" s="8"/>
      <c r="G6" s="8">
        <v>2</v>
      </c>
      <c r="H6" s="8"/>
      <c r="I6" s="8"/>
      <c r="J6" s="8"/>
      <c r="K6" s="8">
        <v>-19</v>
      </c>
      <c r="L6" s="8">
        <v>-7</v>
      </c>
      <c r="M6" s="8"/>
      <c r="N6" s="9">
        <f>SUM(B6:M6)</f>
        <v>0</v>
      </c>
    </row>
    <row r="7" spans="1:15" x14ac:dyDescent="0.25">
      <c r="A7" s="6" t="s">
        <v>4</v>
      </c>
      <c r="B7" s="22">
        <v>5</v>
      </c>
      <c r="C7" s="8">
        <v>56</v>
      </c>
      <c r="D7" s="8"/>
      <c r="E7" s="8">
        <v>15</v>
      </c>
      <c r="F7" s="8">
        <v>11</v>
      </c>
      <c r="G7" s="8"/>
      <c r="H7" s="8"/>
      <c r="I7" s="8"/>
      <c r="J7" s="8"/>
      <c r="K7" s="8">
        <v>-32</v>
      </c>
      <c r="L7" s="8">
        <v>-20</v>
      </c>
      <c r="M7" s="8">
        <v>-30</v>
      </c>
      <c r="N7" s="9">
        <v>0</v>
      </c>
    </row>
    <row r="8" spans="1:15" x14ac:dyDescent="0.25">
      <c r="A8" s="6" t="s">
        <v>185</v>
      </c>
      <c r="B8" s="22">
        <v>2</v>
      </c>
      <c r="C8" s="8"/>
      <c r="D8" s="8"/>
      <c r="E8" s="8"/>
      <c r="F8" s="8"/>
      <c r="G8" s="8"/>
      <c r="H8" s="8"/>
      <c r="I8" s="8"/>
      <c r="J8" s="8">
        <v>-1</v>
      </c>
      <c r="K8" s="8">
        <v>-1</v>
      </c>
      <c r="L8" s="8"/>
      <c r="M8" s="8"/>
      <c r="N8" s="9">
        <f t="shared" ref="N8:N19" si="0">SUM(B8:M8)</f>
        <v>0</v>
      </c>
    </row>
    <row r="9" spans="1:15" x14ac:dyDescent="0.25">
      <c r="A9" s="6" t="s">
        <v>186</v>
      </c>
      <c r="B9" s="22"/>
      <c r="C9" s="8"/>
      <c r="D9" s="8"/>
      <c r="E9" s="8"/>
      <c r="F9" s="8"/>
      <c r="G9" s="8"/>
      <c r="H9" s="8"/>
      <c r="I9" s="8">
        <v>2</v>
      </c>
      <c r="J9" s="8"/>
      <c r="K9" s="8"/>
      <c r="L9" s="8"/>
      <c r="M9" s="8">
        <v>-2</v>
      </c>
      <c r="N9" s="9">
        <f t="shared" si="0"/>
        <v>0</v>
      </c>
    </row>
    <row r="10" spans="1:15" x14ac:dyDescent="0.25">
      <c r="A10" s="6" t="s">
        <v>187</v>
      </c>
      <c r="B10" s="22"/>
      <c r="C10" s="8"/>
      <c r="D10" s="8"/>
      <c r="E10" s="8">
        <v>4</v>
      </c>
      <c r="F10" s="8"/>
      <c r="G10" s="8"/>
      <c r="H10" s="8"/>
      <c r="I10" s="8"/>
      <c r="J10" s="8"/>
      <c r="K10" s="8">
        <v>-4</v>
      </c>
      <c r="L10" s="8"/>
      <c r="M10" s="8"/>
      <c r="N10" s="9">
        <f t="shared" si="0"/>
        <v>0</v>
      </c>
    </row>
    <row r="11" spans="1:15" x14ac:dyDescent="0.25">
      <c r="A11" s="6" t="s">
        <v>145</v>
      </c>
      <c r="B11" s="22"/>
      <c r="C11" s="8"/>
      <c r="D11" s="8"/>
      <c r="E11" s="8">
        <v>10</v>
      </c>
      <c r="F11" s="8">
        <v>18</v>
      </c>
      <c r="G11" s="8">
        <v>7</v>
      </c>
      <c r="H11" s="8">
        <v>8</v>
      </c>
      <c r="I11" s="8"/>
      <c r="J11" s="8">
        <v>-25</v>
      </c>
      <c r="K11" s="8">
        <v>-13</v>
      </c>
      <c r="L11" s="8">
        <v>-3</v>
      </c>
      <c r="M11" s="8"/>
      <c r="N11" s="9">
        <f t="shared" si="0"/>
        <v>2</v>
      </c>
    </row>
    <row r="12" spans="1:15" x14ac:dyDescent="0.25">
      <c r="A12" s="6" t="s">
        <v>5</v>
      </c>
      <c r="B12" s="22"/>
      <c r="C12" s="8"/>
      <c r="D12" s="8"/>
      <c r="E12" s="8"/>
      <c r="F12" s="8"/>
      <c r="G12" s="8">
        <v>5</v>
      </c>
      <c r="H12" s="8"/>
      <c r="I12" s="8"/>
      <c r="J12" s="8"/>
      <c r="K12" s="8"/>
      <c r="L12" s="8">
        <v>-5</v>
      </c>
      <c r="M12" s="8"/>
      <c r="N12" s="9">
        <f t="shared" si="0"/>
        <v>0</v>
      </c>
    </row>
    <row r="13" spans="1:15" x14ac:dyDescent="0.25">
      <c r="A13" s="6" t="s">
        <v>27</v>
      </c>
      <c r="B13" s="22">
        <v>14</v>
      </c>
      <c r="C13" s="8"/>
      <c r="D13" s="8">
        <v>46</v>
      </c>
      <c r="E13" s="8"/>
      <c r="F13" s="8"/>
      <c r="G13" s="8"/>
      <c r="H13" s="8"/>
      <c r="I13" s="8">
        <v>5</v>
      </c>
      <c r="J13" s="8">
        <v>-19</v>
      </c>
      <c r="K13" s="8">
        <v>-19</v>
      </c>
      <c r="L13" s="8">
        <v>-1</v>
      </c>
      <c r="M13" s="8">
        <v>-20</v>
      </c>
      <c r="N13" s="9">
        <f t="shared" si="0"/>
        <v>6</v>
      </c>
      <c r="O13" s="65">
        <v>2</v>
      </c>
    </row>
    <row r="14" spans="1:15" x14ac:dyDescent="0.25">
      <c r="A14" s="6" t="s">
        <v>9</v>
      </c>
      <c r="B14" s="22">
        <v>24</v>
      </c>
      <c r="C14" s="8"/>
      <c r="D14" s="8"/>
      <c r="E14" s="8"/>
      <c r="F14" s="8"/>
      <c r="G14" s="8"/>
      <c r="H14" s="8"/>
      <c r="I14" s="8"/>
      <c r="J14" s="8">
        <v>-11</v>
      </c>
      <c r="K14" s="8"/>
      <c r="L14" s="8">
        <v>-13</v>
      </c>
      <c r="M14" s="8"/>
      <c r="N14" s="9">
        <f t="shared" si="0"/>
        <v>0</v>
      </c>
    </row>
    <row r="15" spans="1:15" x14ac:dyDescent="0.25">
      <c r="A15" s="6" t="s">
        <v>8</v>
      </c>
      <c r="B15" s="22">
        <v>12</v>
      </c>
      <c r="C15" s="8"/>
      <c r="D15" s="8"/>
      <c r="E15" s="8"/>
      <c r="F15" s="8"/>
      <c r="G15" s="8"/>
      <c r="H15" s="8">
        <v>24</v>
      </c>
      <c r="I15" s="8"/>
      <c r="J15" s="8">
        <v>-16</v>
      </c>
      <c r="K15" s="8"/>
      <c r="L15" s="8">
        <v>-20</v>
      </c>
      <c r="M15" s="8"/>
      <c r="N15" s="9">
        <f t="shared" si="0"/>
        <v>0</v>
      </c>
    </row>
    <row r="16" spans="1:15" x14ac:dyDescent="0.25">
      <c r="A16" s="6" t="s">
        <v>12</v>
      </c>
      <c r="B16" s="22">
        <v>320</v>
      </c>
      <c r="C16" s="8"/>
      <c r="D16" s="8"/>
      <c r="E16" s="8">
        <v>280</v>
      </c>
      <c r="F16" s="8"/>
      <c r="G16" s="8"/>
      <c r="H16" s="8">
        <v>100</v>
      </c>
      <c r="I16" s="8"/>
      <c r="J16" s="8">
        <v>-507</v>
      </c>
      <c r="K16" s="8"/>
      <c r="L16" s="8"/>
      <c r="M16" s="8">
        <v>-200</v>
      </c>
      <c r="N16" s="9">
        <v>0</v>
      </c>
    </row>
    <row r="17" spans="1:14" x14ac:dyDescent="0.25">
      <c r="A17" s="6" t="s">
        <v>25</v>
      </c>
      <c r="B17" s="22">
        <v>2</v>
      </c>
      <c r="C17" s="8"/>
      <c r="D17" s="8">
        <v>26</v>
      </c>
      <c r="E17" s="8"/>
      <c r="F17" s="8"/>
      <c r="G17" s="8"/>
      <c r="H17" s="8"/>
      <c r="I17" s="8"/>
      <c r="J17" s="8">
        <v>-2</v>
      </c>
      <c r="K17" s="8">
        <v>-9</v>
      </c>
      <c r="L17" s="8">
        <v>-7</v>
      </c>
      <c r="M17" s="8">
        <v>-8</v>
      </c>
      <c r="N17" s="9">
        <f t="shared" si="0"/>
        <v>2</v>
      </c>
    </row>
    <row r="18" spans="1:14" x14ac:dyDescent="0.25">
      <c r="A18" s="6" t="s">
        <v>188</v>
      </c>
      <c r="B18" s="22">
        <v>1</v>
      </c>
      <c r="C18" s="8"/>
      <c r="D18" s="8"/>
      <c r="E18" s="8">
        <v>1</v>
      </c>
      <c r="F18" s="8"/>
      <c r="G18" s="8"/>
      <c r="H18" s="8"/>
      <c r="I18" s="8"/>
      <c r="J18" s="8">
        <v>-2</v>
      </c>
      <c r="K18" s="8"/>
      <c r="L18" s="8"/>
      <c r="M18" s="8"/>
      <c r="N18" s="9">
        <f t="shared" si="0"/>
        <v>0</v>
      </c>
    </row>
    <row r="19" spans="1:14" x14ac:dyDescent="0.25">
      <c r="A19" s="6" t="s">
        <v>57</v>
      </c>
      <c r="B19" s="22"/>
      <c r="C19" s="8"/>
      <c r="D19" s="8"/>
      <c r="E19" s="8">
        <v>6</v>
      </c>
      <c r="F19" s="8"/>
      <c r="G19" s="8"/>
      <c r="H19" s="8"/>
      <c r="I19" s="8"/>
      <c r="J19" s="8"/>
      <c r="K19" s="8"/>
      <c r="L19" s="8"/>
      <c r="M19" s="8">
        <v>-6</v>
      </c>
      <c r="N19" s="9">
        <f t="shared" si="0"/>
        <v>0</v>
      </c>
    </row>
    <row r="20" spans="1:14" x14ac:dyDescent="0.25">
      <c r="A20" s="6"/>
      <c r="B20" s="22">
        <f t="shared" ref="B20:N20" si="1">SUM(B6:B19)</f>
        <v>404</v>
      </c>
      <c r="C20" s="8">
        <f t="shared" si="1"/>
        <v>56</v>
      </c>
      <c r="D20" s="8">
        <f t="shared" si="1"/>
        <v>72</v>
      </c>
      <c r="E20" s="8">
        <f t="shared" si="1"/>
        <v>316</v>
      </c>
      <c r="F20" s="8">
        <f t="shared" si="1"/>
        <v>29</v>
      </c>
      <c r="G20" s="8">
        <f t="shared" si="1"/>
        <v>14</v>
      </c>
      <c r="H20" s="8">
        <f t="shared" si="1"/>
        <v>132</v>
      </c>
      <c r="I20" s="8">
        <f t="shared" si="1"/>
        <v>7</v>
      </c>
      <c r="J20" s="8">
        <f t="shared" si="1"/>
        <v>-583</v>
      </c>
      <c r="K20" s="8">
        <f t="shared" si="1"/>
        <v>-97</v>
      </c>
      <c r="L20" s="8">
        <f t="shared" si="1"/>
        <v>-76</v>
      </c>
      <c r="M20" s="8">
        <f t="shared" si="1"/>
        <v>-266</v>
      </c>
      <c r="N20" s="9">
        <f t="shared" si="1"/>
        <v>10</v>
      </c>
    </row>
    <row r="21" spans="1:14" x14ac:dyDescent="0.25">
      <c r="A21" s="3" t="s">
        <v>16</v>
      </c>
      <c r="B21" s="10">
        <v>0.3125</v>
      </c>
      <c r="C21" s="11">
        <v>5.5555555555555552E-2</v>
      </c>
      <c r="D21" s="11">
        <v>0.40277777777777779</v>
      </c>
      <c r="E21" s="11">
        <v>0.14583333333333334</v>
      </c>
      <c r="F21" s="11">
        <v>0.47916666666666669</v>
      </c>
      <c r="G21" s="11">
        <v>9.7222222222222224E-2</v>
      </c>
      <c r="H21" s="11">
        <v>0.45833333333333331</v>
      </c>
      <c r="I21" s="11">
        <v>0.3125</v>
      </c>
      <c r="J21" s="11">
        <v>8.3333333333333329E-2</v>
      </c>
      <c r="K21" s="11">
        <v>7.6388888888888895E-2</v>
      </c>
      <c r="L21" s="11" t="s">
        <v>217</v>
      </c>
      <c r="M21" s="63">
        <v>7.9861111111111105E-2</v>
      </c>
      <c r="N21" s="12"/>
    </row>
    <row r="22" spans="1:14" x14ac:dyDescent="0.25">
      <c r="A22" s="3" t="s">
        <v>17</v>
      </c>
      <c r="B22" s="40">
        <v>60000</v>
      </c>
      <c r="C22" s="13"/>
      <c r="D22" s="13"/>
      <c r="E22" s="13"/>
      <c r="F22" s="13" t="s">
        <v>189</v>
      </c>
      <c r="G22" s="13">
        <v>30000</v>
      </c>
      <c r="H22" s="13" t="s">
        <v>190</v>
      </c>
      <c r="I22" s="13" t="s">
        <v>202</v>
      </c>
      <c r="J22" s="13"/>
      <c r="K22" s="13"/>
      <c r="L22" s="13"/>
      <c r="M22" s="64" t="s">
        <v>222</v>
      </c>
      <c r="N22" s="37">
        <f>SUM(B22:F22)</f>
        <v>60000</v>
      </c>
    </row>
  </sheetData>
  <mergeCells count="3">
    <mergeCell ref="A1:N1"/>
    <mergeCell ref="A2:N2"/>
    <mergeCell ref="A3:N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A51E-E493-4748-B352-5FB347C8AA73}">
  <dimension ref="A1:H52"/>
  <sheetViews>
    <sheetView workbookViewId="0">
      <selection activeCell="O10" sqref="O10"/>
    </sheetView>
  </sheetViews>
  <sheetFormatPr baseColWidth="10" defaultRowHeight="15" x14ac:dyDescent="0.25"/>
  <cols>
    <col min="1" max="1" width="29.7109375" customWidth="1"/>
  </cols>
  <sheetData>
    <row r="1" spans="1:8" ht="18.75" x14ac:dyDescent="0.3">
      <c r="A1" s="129" t="s">
        <v>203</v>
      </c>
      <c r="B1" s="130"/>
      <c r="C1" s="130"/>
      <c r="D1" s="130"/>
      <c r="E1" s="130"/>
      <c r="F1" s="130"/>
      <c r="G1" s="130"/>
      <c r="H1" s="130"/>
    </row>
    <row r="2" spans="1:8" ht="18.75" x14ac:dyDescent="0.3">
      <c r="A2" s="131" t="s">
        <v>204</v>
      </c>
      <c r="B2" s="132"/>
      <c r="C2" s="132"/>
      <c r="D2" s="132"/>
      <c r="E2" s="132"/>
      <c r="F2" s="132"/>
      <c r="G2" s="132"/>
      <c r="H2" s="132"/>
    </row>
    <row r="3" spans="1:8" ht="18.75" x14ac:dyDescent="0.3">
      <c r="A3" s="131" t="s">
        <v>378</v>
      </c>
      <c r="B3" s="132"/>
      <c r="C3" s="132"/>
      <c r="D3" s="132"/>
      <c r="E3" s="132"/>
      <c r="F3" s="132"/>
      <c r="G3" s="132"/>
      <c r="H3" s="132"/>
    </row>
    <row r="4" spans="1:8" x14ac:dyDescent="0.25">
      <c r="A4" s="1" t="s">
        <v>2</v>
      </c>
      <c r="B4" s="2" t="s">
        <v>3</v>
      </c>
      <c r="C4" s="126">
        <v>13667</v>
      </c>
      <c r="D4" s="2">
        <v>13676</v>
      </c>
      <c r="E4" s="2">
        <v>13755</v>
      </c>
      <c r="F4" s="2">
        <v>13354</v>
      </c>
      <c r="G4" s="2">
        <v>13400</v>
      </c>
      <c r="H4" s="81" t="s">
        <v>3</v>
      </c>
    </row>
    <row r="5" spans="1:8" x14ac:dyDescent="0.25">
      <c r="A5" s="3"/>
      <c r="B5" s="4">
        <v>46142</v>
      </c>
      <c r="C5" s="4">
        <v>46157</v>
      </c>
      <c r="D5" s="4">
        <v>46162</v>
      </c>
      <c r="E5" s="4">
        <v>46170</v>
      </c>
      <c r="F5" s="4">
        <v>46170</v>
      </c>
      <c r="G5" s="4">
        <v>46186</v>
      </c>
      <c r="H5" s="123">
        <v>46192</v>
      </c>
    </row>
    <row r="6" spans="1:8" x14ac:dyDescent="0.25">
      <c r="A6" s="34" t="s">
        <v>377</v>
      </c>
      <c r="B6" s="7">
        <v>4</v>
      </c>
      <c r="C6" s="8"/>
      <c r="D6" s="122">
        <v>-4</v>
      </c>
      <c r="E6" s="58">
        <v>2</v>
      </c>
      <c r="F6" s="8"/>
      <c r="G6" s="8"/>
      <c r="H6" s="124">
        <f>SUM(B6:G6)</f>
        <v>2</v>
      </c>
    </row>
    <row r="7" spans="1:8" x14ac:dyDescent="0.25">
      <c r="A7" s="34" t="s">
        <v>205</v>
      </c>
      <c r="B7" s="7">
        <v>4</v>
      </c>
      <c r="C7" s="8"/>
      <c r="D7" s="122">
        <v>-4</v>
      </c>
      <c r="E7" s="58">
        <v>2</v>
      </c>
      <c r="F7" s="8"/>
      <c r="G7" s="8"/>
      <c r="H7" s="124">
        <f t="shared" ref="H7:H14" si="0">SUM(B7:G7)</f>
        <v>2</v>
      </c>
    </row>
    <row r="8" spans="1:8" x14ac:dyDescent="0.25">
      <c r="A8" s="34" t="s">
        <v>163</v>
      </c>
      <c r="B8" s="7">
        <v>18</v>
      </c>
      <c r="C8" s="8"/>
      <c r="D8" s="122">
        <v>-16</v>
      </c>
      <c r="E8" s="58">
        <v>1</v>
      </c>
      <c r="F8" s="8"/>
      <c r="G8" s="8"/>
      <c r="H8" s="124">
        <f t="shared" si="0"/>
        <v>3</v>
      </c>
    </row>
    <row r="9" spans="1:8" x14ac:dyDescent="0.25">
      <c r="A9" s="34" t="s">
        <v>206</v>
      </c>
      <c r="B9" s="7">
        <v>3</v>
      </c>
      <c r="C9" s="8"/>
      <c r="D9" s="8"/>
      <c r="E9" s="8"/>
      <c r="F9" s="8"/>
      <c r="G9" s="8"/>
      <c r="H9" s="124">
        <f t="shared" si="0"/>
        <v>3</v>
      </c>
    </row>
    <row r="10" spans="1:8" x14ac:dyDescent="0.25">
      <c r="A10" s="34" t="s">
        <v>4</v>
      </c>
      <c r="B10" s="7"/>
      <c r="C10" s="60">
        <v>22</v>
      </c>
      <c r="D10" s="8"/>
      <c r="E10" s="8"/>
      <c r="F10" s="58">
        <v>-22</v>
      </c>
      <c r="G10" s="8"/>
      <c r="H10" s="124">
        <f t="shared" si="0"/>
        <v>0</v>
      </c>
    </row>
    <row r="11" spans="1:8" x14ac:dyDescent="0.25">
      <c r="A11" s="34" t="s">
        <v>207</v>
      </c>
      <c r="B11" s="7"/>
      <c r="C11" s="60">
        <v>10</v>
      </c>
      <c r="D11" s="8"/>
      <c r="E11" s="8"/>
      <c r="F11" s="58">
        <v>-10</v>
      </c>
      <c r="G11" s="8"/>
      <c r="H11" s="124">
        <f t="shared" si="0"/>
        <v>0</v>
      </c>
    </row>
    <row r="12" spans="1:8" x14ac:dyDescent="0.25">
      <c r="A12" s="34" t="s">
        <v>13</v>
      </c>
      <c r="B12" s="7">
        <v>11</v>
      </c>
      <c r="C12" s="60">
        <v>30</v>
      </c>
      <c r="D12" s="8"/>
      <c r="E12" s="8"/>
      <c r="F12" s="58">
        <v>-37</v>
      </c>
      <c r="G12" s="8">
        <v>-4</v>
      </c>
      <c r="H12" s="124">
        <f t="shared" si="0"/>
        <v>0</v>
      </c>
    </row>
    <row r="13" spans="1:8" x14ac:dyDescent="0.25">
      <c r="A13" s="34" t="s">
        <v>12</v>
      </c>
      <c r="B13" s="7"/>
      <c r="C13" s="60">
        <v>200</v>
      </c>
      <c r="D13" s="8"/>
      <c r="E13" s="8"/>
      <c r="F13" s="58">
        <v>-200</v>
      </c>
      <c r="G13" s="8"/>
      <c r="H13" s="124">
        <f t="shared" si="0"/>
        <v>0</v>
      </c>
    </row>
    <row r="14" spans="1:8" x14ac:dyDescent="0.25">
      <c r="A14" s="34" t="s">
        <v>208</v>
      </c>
      <c r="B14" s="7"/>
      <c r="C14" s="60">
        <v>1</v>
      </c>
      <c r="D14" s="8"/>
      <c r="E14" s="8"/>
      <c r="F14" s="58">
        <v>-1</v>
      </c>
      <c r="G14" s="8"/>
      <c r="H14" s="124">
        <f t="shared" si="0"/>
        <v>0</v>
      </c>
    </row>
    <row r="15" spans="1:8" x14ac:dyDescent="0.25">
      <c r="A15" s="3" t="s">
        <v>16</v>
      </c>
      <c r="B15" s="35"/>
      <c r="C15" s="11">
        <v>0.2986111111111111</v>
      </c>
      <c r="D15" s="10">
        <v>0.375</v>
      </c>
      <c r="E15" s="11" t="s">
        <v>290</v>
      </c>
      <c r="F15" s="11">
        <v>0.41666666666666669</v>
      </c>
      <c r="G15" s="11"/>
      <c r="H15" s="124"/>
    </row>
    <row r="16" spans="1:8" x14ac:dyDescent="0.25">
      <c r="A16" s="3" t="s">
        <v>17</v>
      </c>
      <c r="B16" s="36"/>
      <c r="C16" s="13">
        <v>35000</v>
      </c>
      <c r="D16" s="13" t="s">
        <v>229</v>
      </c>
      <c r="E16" s="13" t="s">
        <v>189</v>
      </c>
      <c r="F16" s="13">
        <v>35000</v>
      </c>
      <c r="G16" s="13"/>
      <c r="H16" s="125">
        <f>SUM(C16:G16)</f>
        <v>70000</v>
      </c>
    </row>
    <row r="18" spans="1:8" ht="15.75" thickBot="1" x14ac:dyDescent="0.3"/>
    <row r="19" spans="1:8" ht="18.75" x14ac:dyDescent="0.3">
      <c r="A19" s="129" t="s">
        <v>203</v>
      </c>
      <c r="B19" s="130"/>
      <c r="C19" s="130"/>
      <c r="D19" s="130"/>
      <c r="E19" s="130"/>
      <c r="F19" s="130"/>
      <c r="G19" s="130"/>
      <c r="H19" s="143"/>
    </row>
    <row r="20" spans="1:8" ht="18.75" x14ac:dyDescent="0.3">
      <c r="A20" s="131" t="s">
        <v>204</v>
      </c>
      <c r="B20" s="132"/>
      <c r="C20" s="132"/>
      <c r="D20" s="132"/>
      <c r="E20" s="132"/>
      <c r="F20" s="132"/>
      <c r="G20" s="132"/>
      <c r="H20" s="144"/>
    </row>
    <row r="21" spans="1:8" ht="18.75" x14ac:dyDescent="0.3">
      <c r="A21" s="131" t="s">
        <v>379</v>
      </c>
      <c r="B21" s="132"/>
      <c r="C21" s="132"/>
      <c r="D21" s="132"/>
      <c r="E21" s="132"/>
      <c r="F21" s="132"/>
      <c r="G21" s="132"/>
      <c r="H21" s="144"/>
    </row>
    <row r="22" spans="1:8" x14ac:dyDescent="0.25">
      <c r="A22" s="1" t="s">
        <v>218</v>
      </c>
      <c r="B22" s="2">
        <v>13676</v>
      </c>
      <c r="C22" s="2">
        <v>13354</v>
      </c>
      <c r="D22" s="2">
        <v>13400</v>
      </c>
      <c r="E22" s="2"/>
      <c r="F22" s="2"/>
      <c r="G22" s="2"/>
      <c r="H22" s="81" t="s">
        <v>3</v>
      </c>
    </row>
    <row r="23" spans="1:8" x14ac:dyDescent="0.25">
      <c r="A23" s="3" t="s">
        <v>2</v>
      </c>
      <c r="B23" s="4">
        <v>46162</v>
      </c>
      <c r="C23" s="4">
        <v>46170</v>
      </c>
      <c r="D23" s="4">
        <v>46186</v>
      </c>
      <c r="E23" s="4"/>
      <c r="F23" s="4"/>
      <c r="G23" s="4"/>
      <c r="H23" s="123">
        <v>46192</v>
      </c>
    </row>
    <row r="24" spans="1:8" x14ac:dyDescent="0.25">
      <c r="A24" s="34" t="s">
        <v>230</v>
      </c>
      <c r="B24" s="122">
        <v>2</v>
      </c>
      <c r="C24" s="8"/>
      <c r="D24" s="22">
        <v>-2</v>
      </c>
      <c r="E24" s="8"/>
      <c r="F24" s="8"/>
      <c r="G24" s="8"/>
      <c r="H24" s="124">
        <f t="shared" ref="H24:H29" si="1">SUM(B24:E24)</f>
        <v>0</v>
      </c>
    </row>
    <row r="25" spans="1:8" x14ac:dyDescent="0.25">
      <c r="A25" s="34" t="s">
        <v>231</v>
      </c>
      <c r="B25" s="122">
        <v>2</v>
      </c>
      <c r="C25" s="8"/>
      <c r="D25" s="22">
        <v>-2</v>
      </c>
      <c r="E25" s="8"/>
      <c r="F25" s="8"/>
      <c r="G25" s="8"/>
      <c r="H25" s="124">
        <f t="shared" si="1"/>
        <v>0</v>
      </c>
    </row>
    <row r="26" spans="1:8" x14ac:dyDescent="0.25">
      <c r="A26" s="34" t="s">
        <v>91</v>
      </c>
      <c r="B26" s="122">
        <v>1</v>
      </c>
      <c r="C26" s="8"/>
      <c r="D26" s="22">
        <v>-1</v>
      </c>
      <c r="E26" s="8"/>
      <c r="F26" s="8"/>
      <c r="G26" s="8"/>
      <c r="H26" s="124">
        <f t="shared" si="1"/>
        <v>0</v>
      </c>
    </row>
    <row r="27" spans="1:8" x14ac:dyDescent="0.25">
      <c r="A27" s="34" t="s">
        <v>232</v>
      </c>
      <c r="B27" s="122">
        <v>5</v>
      </c>
      <c r="C27" s="8"/>
      <c r="D27" s="8">
        <v>-4</v>
      </c>
      <c r="E27" s="8"/>
      <c r="F27" s="8"/>
      <c r="G27" s="8"/>
      <c r="H27" s="124">
        <f t="shared" si="1"/>
        <v>1</v>
      </c>
    </row>
    <row r="28" spans="1:8" x14ac:dyDescent="0.25">
      <c r="A28" s="34" t="s">
        <v>92</v>
      </c>
      <c r="B28" s="122">
        <v>4</v>
      </c>
      <c r="C28" s="8">
        <v>-2</v>
      </c>
      <c r="D28" s="22">
        <v>-2</v>
      </c>
      <c r="E28" s="8"/>
      <c r="F28" s="8"/>
      <c r="G28" s="8"/>
      <c r="H28" s="124">
        <f t="shared" si="1"/>
        <v>0</v>
      </c>
    </row>
    <row r="29" spans="1:8" x14ac:dyDescent="0.25">
      <c r="A29" s="34" t="s">
        <v>4</v>
      </c>
      <c r="B29" s="122">
        <v>3</v>
      </c>
      <c r="C29" s="8">
        <v>-3</v>
      </c>
      <c r="D29" s="8"/>
      <c r="E29" s="8"/>
      <c r="F29" s="8"/>
      <c r="G29" s="8"/>
      <c r="H29" s="124">
        <f t="shared" si="1"/>
        <v>0</v>
      </c>
    </row>
    <row r="30" spans="1:8" x14ac:dyDescent="0.25">
      <c r="A30" s="34"/>
      <c r="B30" s="7"/>
      <c r="C30" s="8"/>
      <c r="D30" s="8"/>
      <c r="E30" s="8"/>
      <c r="F30" s="8"/>
      <c r="G30" s="8"/>
      <c r="H30" s="124"/>
    </row>
    <row r="31" spans="1:8" x14ac:dyDescent="0.25">
      <c r="A31" s="3" t="s">
        <v>16</v>
      </c>
      <c r="B31" s="10">
        <v>0.375</v>
      </c>
      <c r="C31" s="11" t="s">
        <v>168</v>
      </c>
      <c r="D31" s="10">
        <v>0.36805555555555558</v>
      </c>
      <c r="E31" s="11"/>
      <c r="F31" s="11"/>
      <c r="G31" s="11"/>
      <c r="H31" s="12"/>
    </row>
    <row r="32" spans="1:8" x14ac:dyDescent="0.25">
      <c r="A32" s="3" t="s">
        <v>17</v>
      </c>
      <c r="B32" s="13">
        <v>40000</v>
      </c>
      <c r="C32" s="13"/>
      <c r="D32" s="13">
        <v>75000</v>
      </c>
      <c r="E32" s="13"/>
      <c r="F32" s="13"/>
      <c r="G32" s="13"/>
      <c r="H32" s="37">
        <f>SUM(B32:G32)</f>
        <v>115000</v>
      </c>
    </row>
    <row r="38" spans="1:7" ht="15.75" thickBot="1" x14ac:dyDescent="0.3"/>
    <row r="39" spans="1:7" ht="18.75" x14ac:dyDescent="0.3">
      <c r="A39" s="129" t="s">
        <v>203</v>
      </c>
      <c r="B39" s="130"/>
      <c r="C39" s="130"/>
      <c r="D39" s="130"/>
      <c r="E39" s="130"/>
      <c r="F39" s="130"/>
      <c r="G39" s="143"/>
    </row>
    <row r="40" spans="1:7" ht="18.75" x14ac:dyDescent="0.3">
      <c r="A40" s="131" t="s">
        <v>204</v>
      </c>
      <c r="B40" s="132"/>
      <c r="C40" s="132"/>
      <c r="D40" s="132"/>
      <c r="E40" s="132"/>
      <c r="F40" s="132"/>
      <c r="G40" s="144"/>
    </row>
    <row r="41" spans="1:7" ht="18.75" x14ac:dyDescent="0.3">
      <c r="A41" s="131" t="s">
        <v>219</v>
      </c>
      <c r="B41" s="132"/>
      <c r="C41" s="132"/>
      <c r="D41" s="132"/>
      <c r="E41" s="132"/>
      <c r="F41" s="132"/>
      <c r="G41" s="144"/>
    </row>
    <row r="42" spans="1:7" x14ac:dyDescent="0.25">
      <c r="A42" s="1" t="s">
        <v>218</v>
      </c>
      <c r="B42" s="2">
        <v>13676</v>
      </c>
      <c r="C42" s="2">
        <v>13354</v>
      </c>
      <c r="D42" s="2">
        <v>13400</v>
      </c>
      <c r="E42" s="2"/>
      <c r="F42" s="2"/>
      <c r="G42" s="2" t="s">
        <v>3</v>
      </c>
    </row>
    <row r="43" spans="1:7" x14ac:dyDescent="0.25">
      <c r="A43" s="3" t="s">
        <v>2</v>
      </c>
      <c r="B43" s="4">
        <v>46162</v>
      </c>
      <c r="C43" s="4">
        <v>46170</v>
      </c>
      <c r="D43" s="4">
        <v>46186</v>
      </c>
      <c r="E43" s="4"/>
      <c r="F43" s="4"/>
      <c r="G43" s="4">
        <v>46203</v>
      </c>
    </row>
    <row r="44" spans="1:7" x14ac:dyDescent="0.25">
      <c r="A44" s="34" t="s">
        <v>230</v>
      </c>
      <c r="B44" s="7">
        <v>2</v>
      </c>
      <c r="C44" s="8"/>
      <c r="D44" s="22">
        <v>-2</v>
      </c>
      <c r="E44" s="8"/>
      <c r="F44" s="8"/>
      <c r="G44" s="9">
        <f t="shared" ref="G44:G49" si="2">SUM(B44:E44)</f>
        <v>0</v>
      </c>
    </row>
    <row r="45" spans="1:7" x14ac:dyDescent="0.25">
      <c r="A45" s="34" t="s">
        <v>231</v>
      </c>
      <c r="B45" s="7">
        <v>2</v>
      </c>
      <c r="C45" s="8"/>
      <c r="D45" s="22">
        <v>-2</v>
      </c>
      <c r="E45" s="8"/>
      <c r="F45" s="8"/>
      <c r="G45" s="9">
        <f t="shared" si="2"/>
        <v>0</v>
      </c>
    </row>
    <row r="46" spans="1:7" x14ac:dyDescent="0.25">
      <c r="A46" s="34" t="s">
        <v>91</v>
      </c>
      <c r="B46" s="7">
        <v>1</v>
      </c>
      <c r="C46" s="8"/>
      <c r="D46" s="22">
        <v>-1</v>
      </c>
      <c r="E46" s="8"/>
      <c r="F46" s="8"/>
      <c r="G46" s="9">
        <f t="shared" si="2"/>
        <v>0</v>
      </c>
    </row>
    <row r="47" spans="1:7" x14ac:dyDescent="0.25">
      <c r="A47" s="34" t="s">
        <v>30</v>
      </c>
      <c r="B47" s="7">
        <v>5</v>
      </c>
      <c r="C47" s="8"/>
      <c r="D47" s="8">
        <v>-4</v>
      </c>
      <c r="E47" s="8"/>
      <c r="F47" s="8"/>
      <c r="G47" s="42">
        <f t="shared" si="2"/>
        <v>1</v>
      </c>
    </row>
    <row r="48" spans="1:7" x14ac:dyDescent="0.25">
      <c r="A48" s="34" t="s">
        <v>92</v>
      </c>
      <c r="B48" s="7">
        <v>4</v>
      </c>
      <c r="C48" s="8">
        <v>-2</v>
      </c>
      <c r="D48" s="22">
        <v>-2</v>
      </c>
      <c r="E48" s="8"/>
      <c r="F48" s="8"/>
      <c r="G48" s="9">
        <f t="shared" si="2"/>
        <v>0</v>
      </c>
    </row>
    <row r="49" spans="1:7" x14ac:dyDescent="0.25">
      <c r="A49" s="34" t="s">
        <v>4</v>
      </c>
      <c r="B49" s="7">
        <v>3</v>
      </c>
      <c r="C49" s="8">
        <v>-3</v>
      </c>
      <c r="D49" s="8"/>
      <c r="E49" s="8"/>
      <c r="F49" s="8"/>
      <c r="G49" s="9">
        <f t="shared" si="2"/>
        <v>0</v>
      </c>
    </row>
    <row r="50" spans="1:7" x14ac:dyDescent="0.25">
      <c r="A50" s="34"/>
      <c r="B50" s="7"/>
      <c r="C50" s="8"/>
      <c r="D50" s="8"/>
      <c r="E50" s="8"/>
      <c r="F50" s="8"/>
      <c r="G50" s="9"/>
    </row>
    <row r="51" spans="1:7" x14ac:dyDescent="0.25">
      <c r="A51" s="3" t="s">
        <v>16</v>
      </c>
      <c r="B51" s="10">
        <v>0.375</v>
      </c>
      <c r="C51" s="11" t="s">
        <v>168</v>
      </c>
      <c r="D51" s="10">
        <v>0.36805555555555558</v>
      </c>
      <c r="E51" s="11"/>
      <c r="F51" s="11"/>
      <c r="G51" s="12"/>
    </row>
    <row r="52" spans="1:7" x14ac:dyDescent="0.25">
      <c r="A52" s="3" t="s">
        <v>17</v>
      </c>
      <c r="B52" s="13">
        <v>40000</v>
      </c>
      <c r="C52" s="13"/>
      <c r="D52" s="13">
        <v>75000</v>
      </c>
      <c r="E52" s="13"/>
      <c r="F52" s="13"/>
      <c r="G52" s="37">
        <f>SUM(B52:D52)</f>
        <v>115000</v>
      </c>
    </row>
  </sheetData>
  <mergeCells count="9">
    <mergeCell ref="A39:G39"/>
    <mergeCell ref="A40:G40"/>
    <mergeCell ref="A41:G41"/>
    <mergeCell ref="A21:H21"/>
    <mergeCell ref="A1:H1"/>
    <mergeCell ref="A2:H2"/>
    <mergeCell ref="A3:H3"/>
    <mergeCell ref="A19:H19"/>
    <mergeCell ref="A20:H20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40B6-07CB-43C4-BC23-B660842C5E9B}">
  <dimension ref="A1:F11"/>
  <sheetViews>
    <sheetView workbookViewId="0">
      <selection sqref="A1:F10"/>
    </sheetView>
  </sheetViews>
  <sheetFormatPr baseColWidth="10" defaultRowHeight="15" x14ac:dyDescent="0.25"/>
  <cols>
    <col min="1" max="1" width="30.140625" customWidth="1"/>
  </cols>
  <sheetData>
    <row r="1" spans="1:6" ht="18.75" x14ac:dyDescent="0.3">
      <c r="A1" s="129" t="s">
        <v>284</v>
      </c>
      <c r="B1" s="130"/>
      <c r="C1" s="130"/>
      <c r="D1" s="130"/>
      <c r="E1" s="130"/>
      <c r="F1" s="143"/>
    </row>
    <row r="2" spans="1:6" ht="18.75" x14ac:dyDescent="0.3">
      <c r="A2" s="131" t="s">
        <v>285</v>
      </c>
      <c r="B2" s="132"/>
      <c r="C2" s="132"/>
      <c r="D2" s="132"/>
      <c r="E2" s="132"/>
      <c r="F2" s="144"/>
    </row>
    <row r="3" spans="1:6" ht="18.75" x14ac:dyDescent="0.3">
      <c r="A3" s="131" t="s">
        <v>286</v>
      </c>
      <c r="B3" s="132"/>
      <c r="C3" s="132"/>
      <c r="D3" s="132"/>
      <c r="E3" s="132"/>
      <c r="F3" s="144"/>
    </row>
    <row r="4" spans="1:6" x14ac:dyDescent="0.25">
      <c r="A4" s="1" t="s">
        <v>218</v>
      </c>
      <c r="B4" s="2">
        <v>13696</v>
      </c>
      <c r="C4" s="2"/>
      <c r="D4" s="2"/>
      <c r="E4" s="2"/>
      <c r="F4" s="2" t="s">
        <v>3</v>
      </c>
    </row>
    <row r="5" spans="1:6" x14ac:dyDescent="0.25">
      <c r="A5" s="3" t="s">
        <v>2</v>
      </c>
      <c r="B5" s="4">
        <v>46169</v>
      </c>
      <c r="C5" s="4"/>
      <c r="D5" s="4"/>
      <c r="E5" s="4"/>
      <c r="F5" s="4">
        <v>46173</v>
      </c>
    </row>
    <row r="6" spans="1:6" x14ac:dyDescent="0.25">
      <c r="A6" s="34" t="s">
        <v>234</v>
      </c>
      <c r="B6" s="7">
        <v>6</v>
      </c>
      <c r="C6" s="8"/>
      <c r="D6" s="22"/>
      <c r="E6" s="8"/>
      <c r="F6" s="9">
        <f t="shared" ref="F6:F8" si="0">SUM(B6:E6)</f>
        <v>6</v>
      </c>
    </row>
    <row r="7" spans="1:6" x14ac:dyDescent="0.25">
      <c r="A7" s="34" t="s">
        <v>47</v>
      </c>
      <c r="B7" s="7">
        <v>6</v>
      </c>
      <c r="C7" s="8"/>
      <c r="D7" s="22"/>
      <c r="E7" s="8"/>
      <c r="F7" s="9">
        <f t="shared" si="0"/>
        <v>6</v>
      </c>
    </row>
    <row r="8" spans="1:6" x14ac:dyDescent="0.25">
      <c r="A8" s="34" t="s">
        <v>127</v>
      </c>
      <c r="B8" s="7">
        <v>6</v>
      </c>
      <c r="C8" s="8"/>
      <c r="D8" s="22"/>
      <c r="E8" s="8"/>
      <c r="F8" s="9">
        <f t="shared" si="0"/>
        <v>6</v>
      </c>
    </row>
    <row r="9" spans="1:6" x14ac:dyDescent="0.25">
      <c r="A9" s="3" t="s">
        <v>16</v>
      </c>
      <c r="B9" s="10">
        <v>0.34375</v>
      </c>
      <c r="C9" s="11"/>
      <c r="D9" s="10"/>
      <c r="E9" s="11"/>
      <c r="F9" s="12"/>
    </row>
    <row r="10" spans="1:6" x14ac:dyDescent="0.25">
      <c r="A10" s="3" t="s">
        <v>17</v>
      </c>
      <c r="B10" s="13" t="s">
        <v>124</v>
      </c>
      <c r="C10" s="13"/>
      <c r="D10" s="13"/>
      <c r="E10" s="13"/>
      <c r="F10" s="37"/>
    </row>
    <row r="11" spans="1:6" x14ac:dyDescent="0.25">
      <c r="A11" t="s">
        <v>295</v>
      </c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7DFE-352F-432B-8379-70C83697F2C3}">
  <dimension ref="A1:F10"/>
  <sheetViews>
    <sheetView workbookViewId="0">
      <selection activeCell="A16" sqref="A16"/>
    </sheetView>
  </sheetViews>
  <sheetFormatPr baseColWidth="10" defaultRowHeight="15" x14ac:dyDescent="0.25"/>
  <cols>
    <col min="1" max="1" width="27.28515625" customWidth="1"/>
  </cols>
  <sheetData>
    <row r="1" spans="1:6" ht="18.75" x14ac:dyDescent="0.3">
      <c r="A1" s="129" t="s">
        <v>291</v>
      </c>
      <c r="B1" s="130"/>
      <c r="C1" s="130"/>
      <c r="D1" s="130"/>
      <c r="E1" s="130"/>
      <c r="F1" s="143"/>
    </row>
    <row r="2" spans="1:6" ht="18.75" x14ac:dyDescent="0.3">
      <c r="A2" s="131" t="s">
        <v>292</v>
      </c>
      <c r="B2" s="132"/>
      <c r="C2" s="132"/>
      <c r="D2" s="132"/>
      <c r="E2" s="132"/>
      <c r="F2" s="144"/>
    </row>
    <row r="3" spans="1:6" ht="18.75" x14ac:dyDescent="0.3">
      <c r="A3" s="131" t="s">
        <v>286</v>
      </c>
      <c r="B3" s="132"/>
      <c r="C3" s="132"/>
      <c r="D3" s="132"/>
      <c r="E3" s="132"/>
      <c r="F3" s="144"/>
    </row>
    <row r="4" spans="1:6" x14ac:dyDescent="0.25">
      <c r="A4" s="1" t="s">
        <v>218</v>
      </c>
      <c r="B4" s="2">
        <v>13757</v>
      </c>
      <c r="C4" s="2">
        <v>13757</v>
      </c>
      <c r="D4" s="2"/>
      <c r="E4" s="2"/>
      <c r="F4" s="2" t="s">
        <v>3</v>
      </c>
    </row>
    <row r="5" spans="1:6" x14ac:dyDescent="0.25">
      <c r="A5" s="3" t="s">
        <v>2</v>
      </c>
      <c r="B5" s="4">
        <v>46169</v>
      </c>
      <c r="C5" s="4">
        <v>46170</v>
      </c>
      <c r="D5" s="4"/>
      <c r="E5" s="4"/>
      <c r="F5" s="4">
        <v>46173</v>
      </c>
    </row>
    <row r="6" spans="1:6" x14ac:dyDescent="0.25">
      <c r="A6" s="34" t="s">
        <v>293</v>
      </c>
      <c r="B6" s="7">
        <v>1</v>
      </c>
      <c r="C6" s="8">
        <v>-1</v>
      </c>
      <c r="D6" s="22"/>
      <c r="E6" s="8"/>
      <c r="F6" s="9">
        <f t="shared" ref="F6" si="0">SUM(B6:E6)</f>
        <v>0</v>
      </c>
    </row>
    <row r="7" spans="1:6" x14ac:dyDescent="0.25">
      <c r="A7" s="34"/>
      <c r="B7" s="7"/>
      <c r="C7" s="8"/>
      <c r="D7" s="8"/>
      <c r="E7" s="8"/>
      <c r="F7" s="9"/>
    </row>
    <row r="8" spans="1:6" x14ac:dyDescent="0.25">
      <c r="A8" s="3" t="s">
        <v>16</v>
      </c>
      <c r="B8" s="10">
        <v>0.4375</v>
      </c>
      <c r="C8" s="11"/>
      <c r="D8" s="10"/>
      <c r="E8" s="11"/>
      <c r="F8" s="12"/>
    </row>
    <row r="9" spans="1:6" x14ac:dyDescent="0.25">
      <c r="A9" s="3" t="s">
        <v>17</v>
      </c>
      <c r="B9" s="13" t="s">
        <v>124</v>
      </c>
      <c r="C9" s="13"/>
      <c r="D9" s="13"/>
      <c r="E9" s="13"/>
      <c r="F9" s="37"/>
    </row>
    <row r="10" spans="1:6" x14ac:dyDescent="0.25">
      <c r="A10" s="85" t="s">
        <v>294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1C1D-269F-4D6E-99E1-BF333EF8CCCE}">
  <dimension ref="A1:M42"/>
  <sheetViews>
    <sheetView topLeftCell="A9" workbookViewId="0">
      <selection activeCell="L23" sqref="L23"/>
    </sheetView>
  </sheetViews>
  <sheetFormatPr baseColWidth="10" defaultRowHeight="15" x14ac:dyDescent="0.25"/>
  <cols>
    <col min="1" max="1" width="25" customWidth="1"/>
    <col min="11" max="11" width="20" customWidth="1"/>
  </cols>
  <sheetData>
    <row r="1" spans="1:11" ht="18.75" x14ac:dyDescent="0.3">
      <c r="A1" s="129" t="s">
        <v>225</v>
      </c>
      <c r="B1" s="130"/>
      <c r="C1" s="130"/>
      <c r="D1" s="130"/>
      <c r="E1" s="130"/>
      <c r="F1" s="130"/>
      <c r="G1" s="130"/>
      <c r="H1" s="130"/>
      <c r="I1" s="130"/>
      <c r="J1" s="130"/>
      <c r="K1" s="143"/>
    </row>
    <row r="2" spans="1:11" ht="18.75" x14ac:dyDescent="0.3">
      <c r="A2" s="131" t="s">
        <v>226</v>
      </c>
      <c r="B2" s="132"/>
      <c r="C2" s="132"/>
      <c r="D2" s="132"/>
      <c r="E2" s="132"/>
      <c r="F2" s="132"/>
      <c r="G2" s="132"/>
      <c r="H2" s="132"/>
      <c r="I2" s="132"/>
      <c r="J2" s="132"/>
      <c r="K2" s="144"/>
    </row>
    <row r="3" spans="1:11" ht="18.75" x14ac:dyDescent="0.3">
      <c r="A3" s="131" t="s">
        <v>227</v>
      </c>
      <c r="B3" s="132"/>
      <c r="C3" s="132"/>
      <c r="D3" s="132"/>
      <c r="E3" s="132"/>
      <c r="F3" s="132"/>
      <c r="G3" s="132"/>
      <c r="H3" s="132"/>
      <c r="I3" s="132"/>
      <c r="J3" s="132"/>
      <c r="K3" s="144"/>
    </row>
    <row r="4" spans="1:11" x14ac:dyDescent="0.25">
      <c r="A4" s="1" t="s">
        <v>218</v>
      </c>
      <c r="B4" s="2">
        <v>13669</v>
      </c>
      <c r="C4" s="2">
        <v>13679</v>
      </c>
      <c r="D4" s="2">
        <v>13693</v>
      </c>
      <c r="E4" s="2">
        <v>13695</v>
      </c>
      <c r="F4" s="2">
        <v>13758</v>
      </c>
      <c r="G4" s="2">
        <v>13349</v>
      </c>
      <c r="H4" s="2">
        <v>13365</v>
      </c>
      <c r="I4" s="2">
        <v>13365</v>
      </c>
      <c r="J4" s="2">
        <v>13367</v>
      </c>
      <c r="K4" s="2" t="s">
        <v>3</v>
      </c>
    </row>
    <row r="5" spans="1:11" x14ac:dyDescent="0.25">
      <c r="A5" s="3" t="s">
        <v>2</v>
      </c>
      <c r="B5" s="4">
        <v>46157</v>
      </c>
      <c r="C5" s="4">
        <v>46162</v>
      </c>
      <c r="D5" s="4">
        <v>46168</v>
      </c>
      <c r="E5" s="4">
        <v>46168</v>
      </c>
      <c r="F5" s="4">
        <v>46171</v>
      </c>
      <c r="G5" s="4">
        <v>46168</v>
      </c>
      <c r="H5" s="4">
        <v>46174</v>
      </c>
      <c r="I5" s="4">
        <v>46174</v>
      </c>
      <c r="J5" s="4">
        <v>46174</v>
      </c>
      <c r="K5" s="4">
        <v>46173</v>
      </c>
    </row>
    <row r="6" spans="1:11" x14ac:dyDescent="0.25">
      <c r="A6" s="34" t="s">
        <v>4</v>
      </c>
      <c r="B6" s="7">
        <v>30</v>
      </c>
      <c r="C6" s="8"/>
      <c r="D6" s="22"/>
      <c r="E6" s="8"/>
      <c r="F6" s="8"/>
      <c r="G6" s="8">
        <v>-1</v>
      </c>
      <c r="H6" s="8">
        <v>-29</v>
      </c>
      <c r="I6" s="8"/>
      <c r="J6" s="8"/>
      <c r="K6" s="9">
        <f>SUM(B6:I6)</f>
        <v>0</v>
      </c>
    </row>
    <row r="7" spans="1:11" x14ac:dyDescent="0.25">
      <c r="A7" s="34" t="s">
        <v>7</v>
      </c>
      <c r="B7" s="7"/>
      <c r="C7" s="8"/>
      <c r="D7" s="22">
        <v>8</v>
      </c>
      <c r="E7" s="8"/>
      <c r="F7" s="8"/>
      <c r="G7" s="8"/>
      <c r="H7" s="8"/>
      <c r="I7" s="8">
        <v>-8</v>
      </c>
      <c r="J7" s="8"/>
      <c r="K7" s="9">
        <f t="shared" ref="K7:K23" si="0">SUM(B7:I7)</f>
        <v>0</v>
      </c>
    </row>
    <row r="8" spans="1:11" x14ac:dyDescent="0.25">
      <c r="A8" s="34" t="s">
        <v>100</v>
      </c>
      <c r="B8" s="7"/>
      <c r="C8" s="8"/>
      <c r="D8" s="22">
        <v>6</v>
      </c>
      <c r="E8" s="8">
        <v>4</v>
      </c>
      <c r="F8" s="8"/>
      <c r="G8" s="8"/>
      <c r="H8" s="8"/>
      <c r="I8" s="8">
        <v>-10</v>
      </c>
      <c r="J8" s="8"/>
      <c r="K8" s="9">
        <f t="shared" si="0"/>
        <v>0</v>
      </c>
    </row>
    <row r="9" spans="1:11" x14ac:dyDescent="0.25">
      <c r="A9" s="34" t="s">
        <v>253</v>
      </c>
      <c r="B9" s="7"/>
      <c r="C9" s="8"/>
      <c r="D9" s="22">
        <v>6</v>
      </c>
      <c r="E9" s="8"/>
      <c r="F9" s="8"/>
      <c r="G9" s="8"/>
      <c r="H9" s="8"/>
      <c r="I9" s="8">
        <v>-6</v>
      </c>
      <c r="J9" s="8"/>
      <c r="K9" s="9">
        <f t="shared" si="0"/>
        <v>0</v>
      </c>
    </row>
    <row r="10" spans="1:11" x14ac:dyDescent="0.25">
      <c r="A10" s="34" t="s">
        <v>5</v>
      </c>
      <c r="B10" s="7"/>
      <c r="C10" s="8"/>
      <c r="D10" s="22">
        <v>12</v>
      </c>
      <c r="E10" s="8"/>
      <c r="F10" s="8"/>
      <c r="G10" s="8"/>
      <c r="H10" s="8"/>
      <c r="I10" s="8">
        <v>-12</v>
      </c>
      <c r="J10" s="8"/>
      <c r="K10" s="9">
        <f t="shared" si="0"/>
        <v>0</v>
      </c>
    </row>
    <row r="11" spans="1:11" x14ac:dyDescent="0.25">
      <c r="A11" s="34" t="s">
        <v>228</v>
      </c>
      <c r="B11" s="7">
        <v>8</v>
      </c>
      <c r="C11" s="8"/>
      <c r="D11" s="22"/>
      <c r="E11" s="8"/>
      <c r="F11" s="8"/>
      <c r="G11" s="8">
        <v>-2</v>
      </c>
      <c r="H11" s="8">
        <v>-6</v>
      </c>
      <c r="I11" s="8"/>
      <c r="J11" s="8"/>
      <c r="K11" s="9">
        <f t="shared" si="0"/>
        <v>0</v>
      </c>
    </row>
    <row r="12" spans="1:11" x14ac:dyDescent="0.25">
      <c r="A12" s="34" t="s">
        <v>57</v>
      </c>
      <c r="B12" s="7">
        <v>6</v>
      </c>
      <c r="C12" s="8"/>
      <c r="D12" s="22"/>
      <c r="E12" s="8"/>
      <c r="F12" s="8"/>
      <c r="G12" s="8"/>
      <c r="H12" s="8">
        <v>-6</v>
      </c>
      <c r="I12" s="8"/>
      <c r="J12" s="8"/>
      <c r="K12" s="9">
        <f t="shared" si="0"/>
        <v>0</v>
      </c>
    </row>
    <row r="13" spans="1:11" x14ac:dyDescent="0.25">
      <c r="A13" s="34" t="s">
        <v>13</v>
      </c>
      <c r="B13" s="7">
        <v>20</v>
      </c>
      <c r="C13" s="8"/>
      <c r="D13" s="8">
        <v>16</v>
      </c>
      <c r="E13" s="8"/>
      <c r="F13" s="8"/>
      <c r="G13" s="8"/>
      <c r="H13" s="8">
        <v>-20</v>
      </c>
      <c r="I13" s="8"/>
      <c r="J13" s="8">
        <v>-16</v>
      </c>
      <c r="K13" s="9">
        <f>SUM(B13:J13)</f>
        <v>0</v>
      </c>
    </row>
    <row r="14" spans="1:11" x14ac:dyDescent="0.25">
      <c r="A14" s="34" t="s">
        <v>12</v>
      </c>
      <c r="B14" s="7">
        <v>200</v>
      </c>
      <c r="C14" s="8"/>
      <c r="D14" s="22">
        <v>500</v>
      </c>
      <c r="E14" s="8"/>
      <c r="F14" s="8"/>
      <c r="G14" s="8"/>
      <c r="H14" s="8">
        <v>-200</v>
      </c>
      <c r="I14" s="8">
        <v>-500</v>
      </c>
      <c r="J14" s="8"/>
      <c r="K14" s="9">
        <f t="shared" si="0"/>
        <v>0</v>
      </c>
    </row>
    <row r="15" spans="1:11" x14ac:dyDescent="0.25">
      <c r="A15" s="34" t="s">
        <v>8</v>
      </c>
      <c r="B15" s="7">
        <v>4</v>
      </c>
      <c r="C15" s="8">
        <v>16</v>
      </c>
      <c r="D15" s="8">
        <v>16</v>
      </c>
      <c r="E15" s="8"/>
      <c r="F15" s="8">
        <v>8</v>
      </c>
      <c r="G15" s="8">
        <v>-8</v>
      </c>
      <c r="H15" s="8">
        <v>-12</v>
      </c>
      <c r="I15" s="8">
        <v>-24</v>
      </c>
      <c r="J15" s="8"/>
      <c r="K15" s="9">
        <f t="shared" si="0"/>
        <v>0</v>
      </c>
    </row>
    <row r="16" spans="1:11" x14ac:dyDescent="0.25">
      <c r="A16" s="34" t="s">
        <v>9</v>
      </c>
      <c r="B16" s="7"/>
      <c r="C16" s="8"/>
      <c r="D16" s="8">
        <v>8</v>
      </c>
      <c r="E16" s="8"/>
      <c r="F16" s="8">
        <v>4</v>
      </c>
      <c r="G16" s="8"/>
      <c r="H16" s="8"/>
      <c r="I16" s="8">
        <v>-12</v>
      </c>
      <c r="J16" s="8"/>
      <c r="K16" s="9">
        <f t="shared" si="0"/>
        <v>0</v>
      </c>
    </row>
    <row r="17" spans="1:13" x14ac:dyDescent="0.25">
      <c r="A17" s="34" t="s">
        <v>186</v>
      </c>
      <c r="B17" s="7">
        <v>2</v>
      </c>
      <c r="C17" s="8"/>
      <c r="D17" s="8"/>
      <c r="E17" s="8"/>
      <c r="F17" s="8"/>
      <c r="G17" s="8"/>
      <c r="H17" s="8">
        <v>-2</v>
      </c>
      <c r="I17" s="8"/>
      <c r="J17" s="8"/>
      <c r="K17" s="9">
        <f t="shared" si="0"/>
        <v>0</v>
      </c>
    </row>
    <row r="18" spans="1:13" x14ac:dyDescent="0.25">
      <c r="A18" s="34" t="s">
        <v>6</v>
      </c>
      <c r="B18" s="7"/>
      <c r="C18" s="8">
        <v>4</v>
      </c>
      <c r="D18" s="8"/>
      <c r="E18" s="8"/>
      <c r="F18" s="8"/>
      <c r="G18" s="8"/>
      <c r="H18" s="8">
        <v>-4</v>
      </c>
      <c r="I18" s="8"/>
      <c r="J18" s="8"/>
      <c r="K18" s="9">
        <f t="shared" si="0"/>
        <v>0</v>
      </c>
    </row>
    <row r="19" spans="1:13" x14ac:dyDescent="0.25">
      <c r="A19" s="34" t="s">
        <v>145</v>
      </c>
      <c r="B19" s="7"/>
      <c r="C19" s="8">
        <v>16</v>
      </c>
      <c r="D19" s="8"/>
      <c r="E19" s="8"/>
      <c r="F19" s="8"/>
      <c r="G19" s="8">
        <v>-2</v>
      </c>
      <c r="H19" s="8">
        <v>-10</v>
      </c>
      <c r="I19" s="8">
        <v>-4</v>
      </c>
      <c r="J19" s="8"/>
      <c r="K19" s="9">
        <f t="shared" si="0"/>
        <v>0</v>
      </c>
      <c r="M19" t="s">
        <v>345</v>
      </c>
    </row>
    <row r="20" spans="1:13" x14ac:dyDescent="0.25">
      <c r="A20" s="34" t="s">
        <v>234</v>
      </c>
      <c r="B20" s="7"/>
      <c r="C20" s="8">
        <v>2</v>
      </c>
      <c r="D20" s="8">
        <v>2</v>
      </c>
      <c r="E20" s="8"/>
      <c r="F20" s="8"/>
      <c r="G20" s="8">
        <v>-2</v>
      </c>
      <c r="H20" s="8"/>
      <c r="I20" s="8"/>
      <c r="J20" s="8"/>
      <c r="K20" s="42">
        <f t="shared" si="0"/>
        <v>2</v>
      </c>
    </row>
    <row r="21" spans="1:13" x14ac:dyDescent="0.25">
      <c r="A21" s="34" t="s">
        <v>47</v>
      </c>
      <c r="B21" s="7"/>
      <c r="C21" s="8">
        <v>2</v>
      </c>
      <c r="D21" s="8">
        <v>2</v>
      </c>
      <c r="E21" s="8"/>
      <c r="F21" s="8"/>
      <c r="G21" s="8">
        <v>-2</v>
      </c>
      <c r="H21" s="8"/>
      <c r="I21" s="8"/>
      <c r="J21" s="8"/>
      <c r="K21" s="42">
        <f t="shared" si="0"/>
        <v>2</v>
      </c>
    </row>
    <row r="22" spans="1:13" x14ac:dyDescent="0.25">
      <c r="A22" s="34" t="s">
        <v>127</v>
      </c>
      <c r="B22" s="7"/>
      <c r="C22" s="8">
        <v>2</v>
      </c>
      <c r="D22" s="8">
        <v>2</v>
      </c>
      <c r="E22" s="8"/>
      <c r="F22" s="8"/>
      <c r="G22" s="8">
        <v>-2</v>
      </c>
      <c r="H22" s="8"/>
      <c r="I22" s="8"/>
      <c r="J22" s="8"/>
      <c r="K22" s="42">
        <f t="shared" si="0"/>
        <v>2</v>
      </c>
    </row>
    <row r="23" spans="1:13" x14ac:dyDescent="0.25">
      <c r="A23" s="34" t="s">
        <v>15</v>
      </c>
      <c r="B23" s="7"/>
      <c r="C23" s="8"/>
      <c r="D23" s="8">
        <v>2</v>
      </c>
      <c r="E23" s="8"/>
      <c r="F23" s="8"/>
      <c r="G23" s="8"/>
      <c r="H23" s="8"/>
      <c r="I23" s="8"/>
      <c r="J23" s="8"/>
      <c r="K23" s="42">
        <f t="shared" si="0"/>
        <v>2</v>
      </c>
    </row>
    <row r="24" spans="1:13" x14ac:dyDescent="0.25">
      <c r="A24" s="3" t="s">
        <v>16</v>
      </c>
      <c r="B24" s="10">
        <v>7.9861111111111105E-2</v>
      </c>
      <c r="C24" s="11">
        <v>0.10416666666666667</v>
      </c>
      <c r="D24" s="10" t="s">
        <v>283</v>
      </c>
      <c r="E24" s="11">
        <v>0.125</v>
      </c>
      <c r="F24" s="11">
        <v>0.35416666666666669</v>
      </c>
      <c r="G24" s="11" t="s">
        <v>168</v>
      </c>
      <c r="H24" s="11">
        <v>0.45833333333333331</v>
      </c>
      <c r="I24" s="11">
        <v>0.45833333333333331</v>
      </c>
      <c r="J24" s="11"/>
      <c r="K24" s="12"/>
    </row>
    <row r="25" spans="1:13" x14ac:dyDescent="0.25">
      <c r="A25" s="3" t="s">
        <v>17</v>
      </c>
      <c r="B25" s="13">
        <v>50000</v>
      </c>
      <c r="C25" s="13">
        <v>30000</v>
      </c>
      <c r="D25" s="13" t="s">
        <v>329</v>
      </c>
      <c r="E25" s="13">
        <v>20000</v>
      </c>
      <c r="F25" s="13" t="s">
        <v>190</v>
      </c>
      <c r="G25" s="13"/>
      <c r="H25" s="13"/>
      <c r="I25" s="13"/>
      <c r="J25" s="13"/>
      <c r="K25" s="37">
        <f>SUM(B25:C25)</f>
        <v>80000</v>
      </c>
    </row>
    <row r="42" spans="6:6" x14ac:dyDescent="0.25">
      <c r="F42">
        <v>0</v>
      </c>
    </row>
  </sheetData>
  <mergeCells count="3">
    <mergeCell ref="A1:K1"/>
    <mergeCell ref="A2:K2"/>
    <mergeCell ref="A3:K3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93C3-608C-46D8-9E73-465C354BF405}">
  <dimension ref="A1:I17"/>
  <sheetViews>
    <sheetView workbookViewId="0">
      <selection activeCell="M7" sqref="M7"/>
    </sheetView>
  </sheetViews>
  <sheetFormatPr baseColWidth="10" defaultRowHeight="15" x14ac:dyDescent="0.25"/>
  <cols>
    <col min="1" max="1" width="31.140625" customWidth="1"/>
  </cols>
  <sheetData>
    <row r="1" spans="1:9" ht="18.75" x14ac:dyDescent="0.3">
      <c r="A1" s="129" t="s">
        <v>97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98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93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>
        <v>13633</v>
      </c>
      <c r="C4" s="2">
        <v>13639</v>
      </c>
      <c r="D4" s="2">
        <v>13647</v>
      </c>
      <c r="E4" s="2">
        <v>13653</v>
      </c>
      <c r="F4" s="2">
        <v>13352</v>
      </c>
      <c r="G4" s="2">
        <v>13363</v>
      </c>
      <c r="H4" s="2">
        <v>13378</v>
      </c>
      <c r="I4" s="2" t="s">
        <v>3</v>
      </c>
    </row>
    <row r="5" spans="1:9" x14ac:dyDescent="0.25">
      <c r="A5" s="3"/>
      <c r="B5" s="4">
        <v>46148</v>
      </c>
      <c r="C5" s="4">
        <v>46150</v>
      </c>
      <c r="D5" s="4">
        <v>46151</v>
      </c>
      <c r="E5" s="4">
        <v>46153</v>
      </c>
      <c r="F5" s="4">
        <v>46169</v>
      </c>
      <c r="G5" s="4">
        <v>46172</v>
      </c>
      <c r="H5" s="4">
        <v>46177</v>
      </c>
      <c r="I5" s="4">
        <v>46112</v>
      </c>
    </row>
    <row r="6" spans="1:9" x14ac:dyDescent="0.25">
      <c r="A6" s="34" t="s">
        <v>7</v>
      </c>
      <c r="B6" s="7">
        <v>40</v>
      </c>
      <c r="C6" s="8"/>
      <c r="D6" s="8"/>
      <c r="E6" s="8"/>
      <c r="F6" s="8">
        <v>-29</v>
      </c>
      <c r="G6" s="111">
        <v>-9</v>
      </c>
      <c r="H6" s="8">
        <v>-2</v>
      </c>
      <c r="I6" s="42">
        <f t="shared" ref="I6:I14" si="0">SUM(B6:H6)</f>
        <v>0</v>
      </c>
    </row>
    <row r="7" spans="1:9" x14ac:dyDescent="0.25">
      <c r="A7" s="34" t="s">
        <v>99</v>
      </c>
      <c r="B7" s="7">
        <v>20</v>
      </c>
      <c r="C7" s="8"/>
      <c r="D7" s="8"/>
      <c r="E7" s="8"/>
      <c r="F7" s="8">
        <v>-17</v>
      </c>
      <c r="G7" s="111">
        <v>-3</v>
      </c>
      <c r="H7" s="8"/>
      <c r="I7" s="9">
        <f t="shared" si="0"/>
        <v>0</v>
      </c>
    </row>
    <row r="8" spans="1:9" x14ac:dyDescent="0.25">
      <c r="A8" s="34" t="s">
        <v>100</v>
      </c>
      <c r="B8" s="7">
        <v>6</v>
      </c>
      <c r="C8" s="8"/>
      <c r="D8" s="8"/>
      <c r="E8" s="8">
        <v>8</v>
      </c>
      <c r="F8" s="8">
        <v>-3</v>
      </c>
      <c r="G8" s="111">
        <v>-9</v>
      </c>
      <c r="H8" s="8">
        <v>-2</v>
      </c>
      <c r="I8" s="9">
        <f t="shared" si="0"/>
        <v>0</v>
      </c>
    </row>
    <row r="9" spans="1:9" x14ac:dyDescent="0.25">
      <c r="A9" s="34" t="s">
        <v>29</v>
      </c>
      <c r="B9" s="7"/>
      <c r="C9" s="8">
        <v>10</v>
      </c>
      <c r="D9" s="8"/>
      <c r="E9" s="8">
        <v>2</v>
      </c>
      <c r="F9" s="8">
        <v>-7</v>
      </c>
      <c r="G9" s="8"/>
      <c r="H9" s="8">
        <v>-5</v>
      </c>
      <c r="I9" s="9">
        <f t="shared" si="0"/>
        <v>0</v>
      </c>
    </row>
    <row r="10" spans="1:9" x14ac:dyDescent="0.25">
      <c r="A10" s="34" t="s">
        <v>27</v>
      </c>
      <c r="B10" s="7">
        <v>30</v>
      </c>
      <c r="C10" s="8"/>
      <c r="D10" s="8"/>
      <c r="E10" s="8">
        <v>15</v>
      </c>
      <c r="F10" s="8">
        <v>-10</v>
      </c>
      <c r="G10" s="111">
        <v>-24</v>
      </c>
      <c r="H10" s="8">
        <v>-11</v>
      </c>
      <c r="I10" s="9">
        <f t="shared" si="0"/>
        <v>0</v>
      </c>
    </row>
    <row r="11" spans="1:9" x14ac:dyDescent="0.25">
      <c r="A11" s="34" t="s">
        <v>12</v>
      </c>
      <c r="B11" s="7">
        <v>130</v>
      </c>
      <c r="C11" s="8">
        <v>50</v>
      </c>
      <c r="D11" s="8">
        <v>50</v>
      </c>
      <c r="E11" s="8">
        <v>100</v>
      </c>
      <c r="F11" s="8">
        <v>-200</v>
      </c>
      <c r="G11" s="8"/>
      <c r="H11" s="8">
        <v>-129</v>
      </c>
      <c r="I11" s="42">
        <f t="shared" si="0"/>
        <v>1</v>
      </c>
    </row>
    <row r="12" spans="1:9" x14ac:dyDescent="0.25">
      <c r="A12" s="34" t="s">
        <v>54</v>
      </c>
      <c r="B12" s="7">
        <v>30</v>
      </c>
      <c r="C12" s="8"/>
      <c r="D12" s="8"/>
      <c r="E12" s="8"/>
      <c r="F12" s="8"/>
      <c r="G12" s="111">
        <v>-26</v>
      </c>
      <c r="H12" s="8">
        <v>-4</v>
      </c>
      <c r="I12" s="9">
        <f t="shared" si="0"/>
        <v>0</v>
      </c>
    </row>
    <row r="13" spans="1:9" x14ac:dyDescent="0.25">
      <c r="A13" s="34" t="s">
        <v>8</v>
      </c>
      <c r="B13" s="7"/>
      <c r="C13" s="8">
        <v>6</v>
      </c>
      <c r="D13" s="8"/>
      <c r="E13" s="8"/>
      <c r="F13" s="8"/>
      <c r="G13" s="8"/>
      <c r="H13" s="8">
        <v>-6</v>
      </c>
      <c r="I13" s="9">
        <f t="shared" si="0"/>
        <v>0</v>
      </c>
    </row>
    <row r="14" spans="1:9" x14ac:dyDescent="0.25">
      <c r="A14" s="34" t="s">
        <v>9</v>
      </c>
      <c r="B14" s="7"/>
      <c r="C14" s="8"/>
      <c r="D14" s="8"/>
      <c r="E14" s="8">
        <v>6</v>
      </c>
      <c r="F14" s="8"/>
      <c r="G14" s="111">
        <v>-2</v>
      </c>
      <c r="H14" s="8">
        <v>-2</v>
      </c>
      <c r="I14" s="42">
        <f t="shared" si="0"/>
        <v>2</v>
      </c>
    </row>
    <row r="15" spans="1:9" x14ac:dyDescent="0.25">
      <c r="A15" s="3" t="s">
        <v>16</v>
      </c>
      <c r="B15" s="10">
        <v>0.14583333333333334</v>
      </c>
      <c r="C15" s="11">
        <v>0.43055555555555558</v>
      </c>
      <c r="D15" s="11">
        <v>0.33333333333333331</v>
      </c>
      <c r="E15" s="11">
        <v>0.15625</v>
      </c>
      <c r="F15" s="11">
        <v>0.125</v>
      </c>
      <c r="G15" s="11">
        <v>0.45833333333333331</v>
      </c>
      <c r="H15" s="11">
        <v>0.10416666666666667</v>
      </c>
      <c r="I15" s="12"/>
    </row>
    <row r="16" spans="1:9" x14ac:dyDescent="0.25">
      <c r="A16" s="3" t="s">
        <v>17</v>
      </c>
      <c r="B16" s="10" t="s">
        <v>101</v>
      </c>
      <c r="C16" s="13" t="s">
        <v>134</v>
      </c>
      <c r="D16" s="13" t="s">
        <v>142</v>
      </c>
      <c r="E16" s="13" t="s">
        <v>161</v>
      </c>
      <c r="F16" s="13" t="s">
        <v>311</v>
      </c>
      <c r="G16" s="13" t="s">
        <v>161</v>
      </c>
      <c r="H16" s="13" t="s">
        <v>161</v>
      </c>
      <c r="I16" s="37">
        <f>SUM(C16:F16)</f>
        <v>0</v>
      </c>
    </row>
    <row r="17" spans="7:7" x14ac:dyDescent="0.25">
      <c r="G17" t="s">
        <v>334</v>
      </c>
    </row>
  </sheetData>
  <mergeCells count="3">
    <mergeCell ref="A1:I1"/>
    <mergeCell ref="A2:I2"/>
    <mergeCell ref="A3:I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F0BC-8DC2-4B4F-9C19-E355FF03BDE1}">
  <dimension ref="A1:L15"/>
  <sheetViews>
    <sheetView workbookViewId="0">
      <selection activeCell="B18" sqref="B18"/>
    </sheetView>
  </sheetViews>
  <sheetFormatPr baseColWidth="10" defaultRowHeight="15" x14ac:dyDescent="0.25"/>
  <cols>
    <col min="1" max="1" width="26.140625" customWidth="1"/>
  </cols>
  <sheetData>
    <row r="1" spans="1:12" ht="18.75" x14ac:dyDescent="0.3">
      <c r="A1" s="129" t="s">
        <v>312</v>
      </c>
      <c r="B1" s="130"/>
      <c r="C1" s="130"/>
      <c r="D1" s="130"/>
      <c r="E1" s="130"/>
      <c r="F1" s="130"/>
      <c r="G1" s="130"/>
      <c r="H1" s="130"/>
      <c r="I1" s="135"/>
    </row>
    <row r="2" spans="1:12" ht="18.75" x14ac:dyDescent="0.3">
      <c r="A2" s="131" t="s">
        <v>313</v>
      </c>
      <c r="B2" s="132"/>
      <c r="C2" s="132"/>
      <c r="D2" s="132"/>
      <c r="E2" s="132"/>
      <c r="F2" s="132"/>
      <c r="G2" s="132"/>
      <c r="H2" s="132"/>
      <c r="I2" s="136"/>
    </row>
    <row r="3" spans="1:12" ht="18.75" x14ac:dyDescent="0.3">
      <c r="A3" s="131" t="s">
        <v>93</v>
      </c>
      <c r="B3" s="132"/>
      <c r="C3" s="132"/>
      <c r="D3" s="132"/>
      <c r="E3" s="132"/>
      <c r="F3" s="132"/>
      <c r="G3" s="132"/>
      <c r="H3" s="132"/>
      <c r="I3" s="132"/>
    </row>
    <row r="4" spans="1:12" x14ac:dyDescent="0.25">
      <c r="A4" s="1" t="s">
        <v>2</v>
      </c>
      <c r="B4" s="2">
        <v>13756</v>
      </c>
      <c r="C4" s="2"/>
      <c r="D4" s="2"/>
      <c r="E4" s="2"/>
      <c r="F4" s="2"/>
      <c r="G4" s="2"/>
      <c r="H4" s="2"/>
      <c r="I4" s="2" t="s">
        <v>3</v>
      </c>
    </row>
    <row r="5" spans="1:12" x14ac:dyDescent="0.25">
      <c r="A5" s="3"/>
      <c r="B5" s="4">
        <v>46171</v>
      </c>
      <c r="C5" s="4"/>
      <c r="D5" s="4"/>
      <c r="E5" s="4"/>
      <c r="F5" s="4"/>
      <c r="G5" s="4"/>
      <c r="H5" s="4"/>
      <c r="I5" s="4">
        <v>46112</v>
      </c>
    </row>
    <row r="6" spans="1:12" x14ac:dyDescent="0.25">
      <c r="A6" s="34" t="s">
        <v>6</v>
      </c>
      <c r="B6" s="7">
        <v>30</v>
      </c>
      <c r="C6" s="8"/>
      <c r="D6" s="8"/>
      <c r="E6" s="8"/>
      <c r="F6" s="8"/>
      <c r="G6" s="8"/>
      <c r="H6" s="8"/>
      <c r="I6" s="9">
        <f t="shared" ref="I6:I12" si="0">SUM(B6:H6)</f>
        <v>30</v>
      </c>
    </row>
    <row r="7" spans="1:12" x14ac:dyDescent="0.25">
      <c r="A7" s="34" t="s">
        <v>29</v>
      </c>
      <c r="B7" s="7">
        <v>12</v>
      </c>
      <c r="C7" s="8"/>
      <c r="D7" s="8"/>
      <c r="E7" s="8"/>
      <c r="F7" s="8"/>
      <c r="G7" s="8"/>
      <c r="H7" s="8"/>
      <c r="I7" s="9">
        <f t="shared" si="0"/>
        <v>12</v>
      </c>
    </row>
    <row r="8" spans="1:12" x14ac:dyDescent="0.25">
      <c r="A8" s="34" t="s">
        <v>27</v>
      </c>
      <c r="B8" s="7">
        <v>20</v>
      </c>
      <c r="C8" s="8"/>
      <c r="D8" s="8"/>
      <c r="E8" s="8"/>
      <c r="F8" s="8"/>
      <c r="G8" s="8"/>
      <c r="H8" s="8"/>
      <c r="I8" s="9">
        <f t="shared" si="0"/>
        <v>20</v>
      </c>
    </row>
    <row r="9" spans="1:12" x14ac:dyDescent="0.25">
      <c r="A9" s="34" t="s">
        <v>12</v>
      </c>
      <c r="B9" s="7">
        <v>450</v>
      </c>
      <c r="C9" s="8"/>
      <c r="D9" s="8"/>
      <c r="E9" s="8"/>
      <c r="F9" s="8"/>
      <c r="G9" s="8"/>
      <c r="H9" s="8"/>
      <c r="I9" s="9">
        <f t="shared" si="0"/>
        <v>450</v>
      </c>
    </row>
    <row r="10" spans="1:12" x14ac:dyDescent="0.25">
      <c r="A10" s="34" t="s">
        <v>9</v>
      </c>
      <c r="B10" s="7">
        <v>48</v>
      </c>
      <c r="C10" s="8"/>
      <c r="D10" s="8"/>
      <c r="E10" s="8"/>
      <c r="F10" s="8"/>
      <c r="G10" s="8"/>
      <c r="H10" s="8"/>
      <c r="I10" s="9">
        <f t="shared" si="0"/>
        <v>48</v>
      </c>
    </row>
    <row r="11" spans="1:12" x14ac:dyDescent="0.25">
      <c r="A11" s="34" t="s">
        <v>8</v>
      </c>
      <c r="B11" s="7">
        <v>24</v>
      </c>
      <c r="C11" s="8"/>
      <c r="D11" s="8"/>
      <c r="E11" s="8"/>
      <c r="F11" s="8"/>
      <c r="G11" s="8"/>
      <c r="H11" s="8"/>
      <c r="I11" s="9">
        <f t="shared" si="0"/>
        <v>24</v>
      </c>
    </row>
    <row r="12" spans="1:12" x14ac:dyDescent="0.25">
      <c r="A12" s="34" t="s">
        <v>188</v>
      </c>
      <c r="B12" s="7">
        <v>1</v>
      </c>
      <c r="C12" s="8"/>
      <c r="D12" s="8"/>
      <c r="E12" s="8"/>
      <c r="F12" s="8"/>
      <c r="G12" s="8"/>
      <c r="H12" s="8"/>
      <c r="I12" s="9">
        <f t="shared" si="0"/>
        <v>1</v>
      </c>
    </row>
    <row r="13" spans="1:12" x14ac:dyDescent="0.25">
      <c r="A13" s="3" t="s">
        <v>16</v>
      </c>
      <c r="B13" s="10">
        <v>0.32361111111111113</v>
      </c>
      <c r="C13" s="11"/>
      <c r="D13" s="11"/>
      <c r="E13" s="11"/>
      <c r="F13" s="11"/>
      <c r="G13" s="11"/>
      <c r="H13" s="11"/>
      <c r="I13" s="12"/>
    </row>
    <row r="14" spans="1:12" x14ac:dyDescent="0.25">
      <c r="A14" s="3" t="s">
        <v>17</v>
      </c>
      <c r="B14" s="10" t="s">
        <v>315</v>
      </c>
      <c r="C14" s="13"/>
      <c r="D14" s="13"/>
      <c r="E14" s="13"/>
      <c r="F14" s="13"/>
      <c r="G14" s="13"/>
      <c r="H14" s="13"/>
      <c r="I14" s="37">
        <f>SUM(C14:F14)</f>
        <v>0</v>
      </c>
    </row>
    <row r="15" spans="1:12" x14ac:dyDescent="0.25">
      <c r="L15" t="s">
        <v>314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132F-EABF-4930-8DA9-E2342E6AE802}">
  <dimension ref="A1:F8"/>
  <sheetViews>
    <sheetView workbookViewId="0">
      <selection activeCell="C16" sqref="C16"/>
    </sheetView>
  </sheetViews>
  <sheetFormatPr baseColWidth="10" defaultRowHeight="15" x14ac:dyDescent="0.25"/>
  <cols>
    <col min="1" max="1" width="31.7109375" customWidth="1"/>
    <col min="2" max="2" width="12.85546875" customWidth="1"/>
    <col min="4" max="4" width="12.7109375" customWidth="1"/>
    <col min="5" max="5" width="13" customWidth="1"/>
    <col min="6" max="6" width="14.28515625" customWidth="1"/>
  </cols>
  <sheetData>
    <row r="1" spans="1:6" ht="18.75" x14ac:dyDescent="0.3">
      <c r="A1" s="129" t="s">
        <v>164</v>
      </c>
      <c r="B1" s="130"/>
      <c r="C1" s="130"/>
      <c r="D1" s="130"/>
      <c r="E1" s="130"/>
      <c r="F1" s="135"/>
    </row>
    <row r="2" spans="1:6" ht="18.75" x14ac:dyDescent="0.3">
      <c r="A2" s="131" t="s">
        <v>162</v>
      </c>
      <c r="B2" s="132"/>
      <c r="C2" s="132"/>
      <c r="D2" s="132"/>
      <c r="E2" s="132"/>
      <c r="F2" s="136"/>
    </row>
    <row r="3" spans="1:6" ht="18.75" x14ac:dyDescent="0.3">
      <c r="A3" s="131" t="s">
        <v>86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13666</v>
      </c>
      <c r="C4" s="2"/>
      <c r="D4" s="2"/>
      <c r="E4" s="2"/>
      <c r="F4" s="2" t="s">
        <v>3</v>
      </c>
    </row>
    <row r="5" spans="1:6" x14ac:dyDescent="0.25">
      <c r="A5" s="3"/>
      <c r="B5" s="4">
        <v>46155</v>
      </c>
      <c r="C5" s="5"/>
      <c r="D5" s="4"/>
      <c r="E5" s="4"/>
      <c r="F5" s="4">
        <v>46112</v>
      </c>
    </row>
    <row r="6" spans="1:6" x14ac:dyDescent="0.25">
      <c r="A6" s="6" t="s">
        <v>111</v>
      </c>
      <c r="B6" s="7">
        <v>4</v>
      </c>
      <c r="C6" s="8"/>
      <c r="D6" s="8"/>
      <c r="E6" s="8"/>
      <c r="F6" s="9">
        <f>SUM(B6:E6)</f>
        <v>4</v>
      </c>
    </row>
    <row r="7" spans="1:6" x14ac:dyDescent="0.25">
      <c r="A7" s="3" t="s">
        <v>16</v>
      </c>
      <c r="B7" s="10">
        <v>0.1111111111111111</v>
      </c>
      <c r="C7" s="11"/>
      <c r="D7" s="11"/>
      <c r="E7" s="11"/>
      <c r="F7" s="12"/>
    </row>
    <row r="8" spans="1:6" x14ac:dyDescent="0.25">
      <c r="A8" s="3" t="s">
        <v>17</v>
      </c>
      <c r="B8" s="13" t="s">
        <v>124</v>
      </c>
      <c r="C8" s="13"/>
      <c r="D8" s="13"/>
      <c r="E8" s="13"/>
      <c r="F8" s="1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A781-5DB1-464D-BC55-EFA719A8BB6C}">
  <dimension ref="A1:H8"/>
  <sheetViews>
    <sheetView workbookViewId="0">
      <selection activeCell="E13" sqref="E13"/>
    </sheetView>
  </sheetViews>
  <sheetFormatPr baseColWidth="10" defaultRowHeight="15" x14ac:dyDescent="0.25"/>
  <cols>
    <col min="1" max="1" width="32.28515625" customWidth="1"/>
  </cols>
  <sheetData>
    <row r="1" spans="1:8" ht="18.75" x14ac:dyDescent="0.3">
      <c r="A1" s="145" t="s">
        <v>135</v>
      </c>
      <c r="B1" s="132"/>
      <c r="C1" s="132"/>
      <c r="D1" s="132"/>
      <c r="E1" s="132"/>
      <c r="F1" s="132"/>
      <c r="G1" s="132"/>
      <c r="H1" s="144"/>
    </row>
    <row r="2" spans="1:8" ht="18.75" x14ac:dyDescent="0.3">
      <c r="A2" s="145" t="s">
        <v>136</v>
      </c>
      <c r="B2" s="132"/>
      <c r="C2" s="132"/>
      <c r="D2" s="132"/>
      <c r="E2" s="132"/>
      <c r="F2" s="132"/>
      <c r="G2" s="132"/>
      <c r="H2" s="144"/>
    </row>
    <row r="3" spans="1:8" ht="18.75" x14ac:dyDescent="0.3">
      <c r="A3" s="145" t="s">
        <v>137</v>
      </c>
      <c r="B3" s="132"/>
      <c r="C3" s="132"/>
      <c r="D3" s="132"/>
      <c r="E3" s="132"/>
      <c r="F3" s="132"/>
      <c r="G3" s="132"/>
      <c r="H3" s="144"/>
    </row>
    <row r="4" spans="1:8" x14ac:dyDescent="0.25">
      <c r="A4" s="146" t="s">
        <v>2</v>
      </c>
      <c r="B4" s="41" t="s">
        <v>3</v>
      </c>
      <c r="C4" s="12"/>
      <c r="D4" s="41"/>
      <c r="E4" s="41"/>
      <c r="F4" s="41"/>
      <c r="G4" s="41"/>
      <c r="H4" s="41" t="s">
        <v>49</v>
      </c>
    </row>
    <row r="5" spans="1:8" x14ac:dyDescent="0.25">
      <c r="A5" s="147"/>
      <c r="B5" s="4" t="s">
        <v>380</v>
      </c>
      <c r="C5" s="4"/>
      <c r="D5" s="4"/>
      <c r="E5" s="4"/>
      <c r="F5" s="4"/>
      <c r="G5" s="4"/>
      <c r="H5" s="4">
        <v>46173</v>
      </c>
    </row>
    <row r="6" spans="1:8" x14ac:dyDescent="0.25">
      <c r="A6" s="34" t="s">
        <v>72</v>
      </c>
      <c r="B6" s="21">
        <v>22</v>
      </c>
      <c r="C6" s="22"/>
      <c r="D6" s="22"/>
      <c r="E6" s="22"/>
      <c r="F6" s="22"/>
      <c r="G6" s="22"/>
      <c r="H6" s="9">
        <f>SUM(B6:G6)</f>
        <v>22</v>
      </c>
    </row>
    <row r="7" spans="1:8" x14ac:dyDescent="0.25">
      <c r="A7" s="43" t="s">
        <v>16</v>
      </c>
      <c r="B7" s="11"/>
      <c r="C7" s="10"/>
      <c r="D7" s="10"/>
      <c r="E7" s="47"/>
      <c r="F7" s="47"/>
      <c r="G7" s="47"/>
      <c r="H7" s="12"/>
    </row>
    <row r="8" spans="1:8" x14ac:dyDescent="0.25">
      <c r="A8" s="43" t="s">
        <v>33</v>
      </c>
      <c r="B8" s="44"/>
      <c r="C8" s="10"/>
      <c r="D8" s="10"/>
      <c r="E8" s="10"/>
      <c r="F8" s="44"/>
      <c r="G8" s="47"/>
      <c r="H8" s="37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74C4-4FC4-483D-B5C5-FAE6AEC8D9B6}">
  <dimension ref="A1:I25"/>
  <sheetViews>
    <sheetView topLeftCell="A7" workbookViewId="0">
      <pane xSplit="1" topLeftCell="H1" activePane="topRight" state="frozen"/>
      <selection pane="topRight" activeCell="T6" sqref="T6"/>
    </sheetView>
  </sheetViews>
  <sheetFormatPr baseColWidth="10" defaultRowHeight="15" x14ac:dyDescent="0.25"/>
  <cols>
    <col min="1" max="1" width="31.85546875" bestFit="1" customWidth="1"/>
  </cols>
  <sheetData>
    <row r="1" spans="1:9" ht="18.75" x14ac:dyDescent="0.3">
      <c r="A1" s="129" t="s">
        <v>102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103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359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 t="s">
        <v>3</v>
      </c>
      <c r="C4" s="2">
        <v>13315</v>
      </c>
      <c r="D4" s="2">
        <v>13635</v>
      </c>
      <c r="E4" s="2">
        <v>13652</v>
      </c>
      <c r="F4" s="2">
        <v>13336</v>
      </c>
      <c r="G4" s="2">
        <v>13760</v>
      </c>
      <c r="H4" s="2"/>
      <c r="I4" s="2" t="s">
        <v>3</v>
      </c>
    </row>
    <row r="5" spans="1:9" x14ac:dyDescent="0.25">
      <c r="A5" s="3"/>
      <c r="B5" s="4">
        <v>46142</v>
      </c>
      <c r="C5" s="4">
        <v>46148</v>
      </c>
      <c r="D5" s="4">
        <v>46149</v>
      </c>
      <c r="E5" s="4">
        <v>46153</v>
      </c>
      <c r="F5" s="4">
        <v>46161</v>
      </c>
      <c r="G5" s="4">
        <v>46171</v>
      </c>
      <c r="H5" s="4"/>
      <c r="I5" s="4">
        <v>46173</v>
      </c>
    </row>
    <row r="6" spans="1:9" x14ac:dyDescent="0.25">
      <c r="A6" s="34" t="s">
        <v>72</v>
      </c>
      <c r="B6" s="7">
        <v>98</v>
      </c>
      <c r="C6" s="8"/>
      <c r="D6" s="8">
        <v>70</v>
      </c>
      <c r="E6" s="8"/>
      <c r="F6" s="8"/>
      <c r="G6" s="8"/>
      <c r="H6" s="8"/>
      <c r="I6" s="9">
        <f t="shared" ref="I6:I19" si="0">SUM(B6:H6)</f>
        <v>168</v>
      </c>
    </row>
    <row r="7" spans="1:9" x14ac:dyDescent="0.25">
      <c r="A7" s="34" t="s">
        <v>53</v>
      </c>
      <c r="B7" s="7">
        <v>22</v>
      </c>
      <c r="C7" s="8"/>
      <c r="D7" s="8">
        <v>30</v>
      </c>
      <c r="E7" s="8"/>
      <c r="F7" s="8"/>
      <c r="G7" s="8"/>
      <c r="H7" s="8"/>
      <c r="I7" s="9">
        <f t="shared" si="0"/>
        <v>52</v>
      </c>
    </row>
    <row r="8" spans="1:9" x14ac:dyDescent="0.25">
      <c r="A8" s="34" t="s">
        <v>104</v>
      </c>
      <c r="B8" s="7">
        <v>6</v>
      </c>
      <c r="C8" s="8"/>
      <c r="D8" s="8"/>
      <c r="E8" s="8"/>
      <c r="F8" s="8"/>
      <c r="G8" s="8"/>
      <c r="H8" s="8"/>
      <c r="I8" s="9">
        <f t="shared" si="0"/>
        <v>6</v>
      </c>
    </row>
    <row r="9" spans="1:9" x14ac:dyDescent="0.25">
      <c r="A9" s="34" t="s">
        <v>13</v>
      </c>
      <c r="B9" s="7">
        <v>4</v>
      </c>
      <c r="C9" s="8"/>
      <c r="D9" s="8"/>
      <c r="E9" s="8"/>
      <c r="F9" s="8"/>
      <c r="G9" s="8"/>
      <c r="H9" s="8"/>
      <c r="I9" s="9">
        <f t="shared" si="0"/>
        <v>4</v>
      </c>
    </row>
    <row r="10" spans="1:9" x14ac:dyDescent="0.25">
      <c r="A10" s="34" t="s">
        <v>105</v>
      </c>
      <c r="B10" s="7">
        <v>0</v>
      </c>
      <c r="C10" s="8"/>
      <c r="D10" s="8"/>
      <c r="E10" s="8"/>
      <c r="F10" s="8"/>
      <c r="G10" s="8"/>
      <c r="H10" s="8"/>
      <c r="I10" s="9">
        <f t="shared" si="0"/>
        <v>0</v>
      </c>
    </row>
    <row r="11" spans="1:9" x14ac:dyDescent="0.25">
      <c r="A11" s="34" t="s">
        <v>26</v>
      </c>
      <c r="B11" s="7">
        <v>58</v>
      </c>
      <c r="C11" s="8"/>
      <c r="D11" s="8"/>
      <c r="E11" s="8"/>
      <c r="F11" s="8"/>
      <c r="G11" s="8"/>
      <c r="H11" s="8"/>
      <c r="I11" s="9">
        <f t="shared" si="0"/>
        <v>58</v>
      </c>
    </row>
    <row r="12" spans="1:9" x14ac:dyDescent="0.25">
      <c r="A12" s="34" t="s">
        <v>330</v>
      </c>
      <c r="B12" s="7"/>
      <c r="C12" s="8"/>
      <c r="D12" s="8"/>
      <c r="E12" s="8"/>
      <c r="F12" s="8"/>
      <c r="G12" s="8">
        <v>6</v>
      </c>
      <c r="H12" s="8"/>
      <c r="I12" s="9">
        <f>SUM(B12:H12)</f>
        <v>6</v>
      </c>
    </row>
    <row r="13" spans="1:9" x14ac:dyDescent="0.25">
      <c r="A13" s="34" t="s">
        <v>106</v>
      </c>
      <c r="B13" s="7">
        <v>5</v>
      </c>
      <c r="C13" s="8"/>
      <c r="D13" s="8"/>
      <c r="E13" s="8"/>
      <c r="F13" s="8"/>
      <c r="G13" s="8"/>
      <c r="H13" s="8"/>
      <c r="I13" s="9">
        <f t="shared" si="0"/>
        <v>5</v>
      </c>
    </row>
    <row r="14" spans="1:9" x14ac:dyDescent="0.25">
      <c r="A14" s="34" t="s">
        <v>107</v>
      </c>
      <c r="B14" s="7">
        <v>0</v>
      </c>
      <c r="C14" s="8"/>
      <c r="D14" s="8"/>
      <c r="E14" s="8"/>
      <c r="F14" s="8"/>
      <c r="G14" s="8">
        <v>5</v>
      </c>
      <c r="H14" s="8"/>
      <c r="I14" s="9">
        <f t="shared" si="0"/>
        <v>5</v>
      </c>
    </row>
    <row r="15" spans="1:9" x14ac:dyDescent="0.25">
      <c r="A15" s="34" t="s">
        <v>108</v>
      </c>
      <c r="B15" s="7">
        <v>7</v>
      </c>
      <c r="C15" s="8">
        <v>-5</v>
      </c>
      <c r="D15" s="8"/>
      <c r="E15" s="8"/>
      <c r="F15" s="8"/>
      <c r="G15" s="8"/>
      <c r="H15" s="8"/>
      <c r="I15" s="9">
        <f t="shared" si="0"/>
        <v>2</v>
      </c>
    </row>
    <row r="16" spans="1:9" x14ac:dyDescent="0.25">
      <c r="A16" s="34" t="s">
        <v>109</v>
      </c>
      <c r="B16" s="7">
        <v>0</v>
      </c>
      <c r="C16" s="8"/>
      <c r="D16" s="8"/>
      <c r="E16" s="8"/>
      <c r="F16" s="8"/>
      <c r="G16" s="8"/>
      <c r="H16" s="8"/>
      <c r="I16" s="9">
        <f t="shared" si="0"/>
        <v>0</v>
      </c>
    </row>
    <row r="17" spans="1:9" x14ac:dyDescent="0.25">
      <c r="A17" s="34" t="s">
        <v>110</v>
      </c>
      <c r="B17" s="7">
        <v>0</v>
      </c>
      <c r="C17" s="8"/>
      <c r="D17" s="8"/>
      <c r="E17" s="8"/>
      <c r="F17" s="8"/>
      <c r="G17" s="8"/>
      <c r="H17" s="8"/>
      <c r="I17" s="9">
        <f t="shared" si="0"/>
        <v>0</v>
      </c>
    </row>
    <row r="18" spans="1:9" x14ac:dyDescent="0.25">
      <c r="A18" s="34" t="s">
        <v>111</v>
      </c>
      <c r="B18" s="7">
        <v>0</v>
      </c>
      <c r="C18" s="8"/>
      <c r="D18" s="8"/>
      <c r="E18" s="8"/>
      <c r="F18" s="8"/>
      <c r="G18" s="8"/>
      <c r="H18" s="8"/>
      <c r="I18" s="9">
        <f t="shared" si="0"/>
        <v>0</v>
      </c>
    </row>
    <row r="19" spans="1:9" x14ac:dyDescent="0.25">
      <c r="A19" s="34" t="s">
        <v>112</v>
      </c>
      <c r="B19" s="7">
        <v>15</v>
      </c>
      <c r="C19" s="8"/>
      <c r="D19" s="8"/>
      <c r="E19" s="8"/>
      <c r="F19" s="8"/>
      <c r="G19" s="8"/>
      <c r="H19" s="8"/>
      <c r="I19" s="9">
        <f t="shared" si="0"/>
        <v>15</v>
      </c>
    </row>
    <row r="20" spans="1:9" x14ac:dyDescent="0.25">
      <c r="A20" s="34" t="s">
        <v>5</v>
      </c>
      <c r="B20" s="7"/>
      <c r="C20" s="8"/>
      <c r="D20" s="8"/>
      <c r="E20" s="8">
        <v>4</v>
      </c>
      <c r="F20" s="8">
        <v>-4</v>
      </c>
      <c r="G20" s="8"/>
      <c r="H20" s="8"/>
      <c r="I20" s="9">
        <f>SUM(B20:H20)</f>
        <v>0</v>
      </c>
    </row>
    <row r="21" spans="1:9" x14ac:dyDescent="0.25">
      <c r="A21" s="34" t="s">
        <v>145</v>
      </c>
      <c r="B21" s="7"/>
      <c r="C21" s="8"/>
      <c r="D21" s="8"/>
      <c r="E21" s="8">
        <v>8</v>
      </c>
      <c r="F21" s="8">
        <v>-8</v>
      </c>
      <c r="G21" s="8"/>
      <c r="H21" s="8"/>
      <c r="I21" s="9">
        <f>SUM(B21:H21)</f>
        <v>0</v>
      </c>
    </row>
    <row r="22" spans="1:9" x14ac:dyDescent="0.25">
      <c r="A22" s="34" t="s">
        <v>8</v>
      </c>
      <c r="B22" s="7"/>
      <c r="C22" s="8"/>
      <c r="D22" s="8"/>
      <c r="E22" s="8">
        <v>4</v>
      </c>
      <c r="F22" s="8">
        <v>-4</v>
      </c>
      <c r="G22" s="8"/>
      <c r="H22" s="8"/>
      <c r="I22" s="9">
        <f>SUM(B22:H22)</f>
        <v>0</v>
      </c>
    </row>
    <row r="23" spans="1:9" x14ac:dyDescent="0.25">
      <c r="A23" s="34" t="s">
        <v>9</v>
      </c>
      <c r="B23" s="7"/>
      <c r="C23" s="8"/>
      <c r="D23" s="8"/>
      <c r="E23" s="8">
        <v>8</v>
      </c>
      <c r="F23" s="8">
        <v>-8</v>
      </c>
      <c r="G23" s="8"/>
      <c r="H23" s="8"/>
      <c r="I23" s="9">
        <f>SUM(B23:H23)</f>
        <v>0</v>
      </c>
    </row>
    <row r="24" spans="1:9" x14ac:dyDescent="0.25">
      <c r="A24" s="3" t="s">
        <v>16</v>
      </c>
      <c r="B24" s="35"/>
      <c r="C24" s="11">
        <v>0.16666666666666666</v>
      </c>
      <c r="D24" s="11">
        <v>0.14583333333333334</v>
      </c>
      <c r="E24" s="11">
        <v>0.44791666666666669</v>
      </c>
      <c r="F24" s="11">
        <v>0.14583333333333334</v>
      </c>
      <c r="G24" s="11">
        <v>0.3576388888888889</v>
      </c>
      <c r="H24" s="11"/>
      <c r="I24" s="12"/>
    </row>
    <row r="25" spans="1:9" x14ac:dyDescent="0.25">
      <c r="A25" s="3" t="s">
        <v>17</v>
      </c>
      <c r="B25" s="39"/>
      <c r="C25" s="40" t="s">
        <v>115</v>
      </c>
      <c r="D25" s="40" t="s">
        <v>115</v>
      </c>
      <c r="E25" s="40" t="s">
        <v>146</v>
      </c>
      <c r="F25" s="40" t="s">
        <v>115</v>
      </c>
      <c r="G25" s="40" t="s">
        <v>115</v>
      </c>
      <c r="H25" s="40"/>
      <c r="I25" s="37">
        <f>SUM(B25:F25)</f>
        <v>0</v>
      </c>
    </row>
  </sheetData>
  <mergeCells count="3">
    <mergeCell ref="A1:I1"/>
    <mergeCell ref="A2:I2"/>
    <mergeCell ref="A3:I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DB8-66F7-403F-9FDA-E1FAF6490F83}">
  <dimension ref="A1:G8"/>
  <sheetViews>
    <sheetView workbookViewId="0">
      <selection activeCell="I11" sqref="I11"/>
    </sheetView>
  </sheetViews>
  <sheetFormatPr baseColWidth="10" defaultRowHeight="15" x14ac:dyDescent="0.25"/>
  <cols>
    <col min="1" max="1" width="23.42578125" customWidth="1"/>
    <col min="2" max="2" width="14.140625" customWidth="1"/>
    <col min="3" max="3" width="14.42578125" customWidth="1"/>
    <col min="7" max="7" width="12.42578125" customWidth="1"/>
  </cols>
  <sheetData>
    <row r="1" spans="1:7" ht="18.75" x14ac:dyDescent="0.3">
      <c r="A1" s="129" t="s">
        <v>113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114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45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13634</v>
      </c>
      <c r="C4" s="2">
        <v>13673</v>
      </c>
      <c r="D4" s="2"/>
      <c r="E4" s="2"/>
      <c r="F4" s="2"/>
      <c r="G4" s="38" t="s">
        <v>3</v>
      </c>
    </row>
    <row r="5" spans="1:7" x14ac:dyDescent="0.25">
      <c r="A5" s="3"/>
      <c r="B5" s="4">
        <v>46149</v>
      </c>
      <c r="C5" s="4">
        <v>46161</v>
      </c>
      <c r="D5" s="4"/>
      <c r="E5" s="4"/>
      <c r="F5" s="4"/>
      <c r="G5" s="17">
        <v>46142</v>
      </c>
    </row>
    <row r="6" spans="1:7" x14ac:dyDescent="0.25">
      <c r="A6" s="6" t="s">
        <v>27</v>
      </c>
      <c r="B6" s="7">
        <v>50</v>
      </c>
      <c r="C6" s="8">
        <v>50</v>
      </c>
      <c r="D6" s="8"/>
      <c r="E6" s="8"/>
      <c r="F6" s="8"/>
      <c r="G6" s="9">
        <f>SUM(B6:F6)</f>
        <v>100</v>
      </c>
    </row>
    <row r="7" spans="1:7" x14ac:dyDescent="0.25">
      <c r="A7" s="3" t="s">
        <v>16</v>
      </c>
      <c r="B7" s="10">
        <v>0.32291666666666669</v>
      </c>
      <c r="C7" s="11">
        <v>0.40277777777777779</v>
      </c>
      <c r="D7" s="11"/>
      <c r="E7" s="11"/>
      <c r="F7" s="11"/>
      <c r="G7" s="12"/>
    </row>
    <row r="8" spans="1:7" x14ac:dyDescent="0.25">
      <c r="A8" s="3" t="s">
        <v>17</v>
      </c>
      <c r="B8" s="40">
        <v>35000</v>
      </c>
      <c r="C8" s="13" t="s">
        <v>224</v>
      </c>
      <c r="D8" s="13"/>
      <c r="E8" s="13"/>
      <c r="F8" s="13"/>
      <c r="G8" s="37">
        <f>SUM(B8:F8)</f>
        <v>35000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55D1-9E38-4F57-BCB2-DF0798BA735E}">
  <dimension ref="A1:G9"/>
  <sheetViews>
    <sheetView workbookViewId="0">
      <selection activeCell="B12" sqref="B12"/>
    </sheetView>
  </sheetViews>
  <sheetFormatPr baseColWidth="10" defaultRowHeight="15" x14ac:dyDescent="0.25"/>
  <cols>
    <col min="1" max="1" width="26.42578125" customWidth="1"/>
  </cols>
  <sheetData>
    <row r="1" spans="1:7" ht="18.75" x14ac:dyDescent="0.3">
      <c r="A1" s="129" t="s">
        <v>331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51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45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13761</v>
      </c>
      <c r="C4" s="2"/>
      <c r="D4" s="2"/>
      <c r="E4" s="2"/>
      <c r="F4" s="2"/>
      <c r="G4" s="38" t="s">
        <v>3</v>
      </c>
    </row>
    <row r="5" spans="1:7" x14ac:dyDescent="0.25">
      <c r="A5" s="3"/>
      <c r="B5" s="4">
        <v>46171</v>
      </c>
      <c r="C5" s="4"/>
      <c r="D5" s="4"/>
      <c r="E5" s="4"/>
      <c r="F5" s="4"/>
      <c r="G5" s="17">
        <v>46142</v>
      </c>
    </row>
    <row r="6" spans="1:7" x14ac:dyDescent="0.25">
      <c r="A6" s="6" t="s">
        <v>27</v>
      </c>
      <c r="B6" s="7">
        <v>12</v>
      </c>
      <c r="C6" s="8"/>
      <c r="D6" s="8"/>
      <c r="E6" s="8"/>
      <c r="F6" s="8"/>
      <c r="G6" s="9">
        <f>SUM(B6:F6)</f>
        <v>12</v>
      </c>
    </row>
    <row r="7" spans="1:7" x14ac:dyDescent="0.25">
      <c r="A7" s="6" t="s">
        <v>92</v>
      </c>
      <c r="B7" s="7">
        <v>4</v>
      </c>
      <c r="C7" s="8"/>
      <c r="D7" s="8"/>
      <c r="E7" s="8"/>
      <c r="F7" s="8"/>
      <c r="G7" s="9">
        <f>SUM(B7:F7)</f>
        <v>4</v>
      </c>
    </row>
    <row r="8" spans="1:7" x14ac:dyDescent="0.25">
      <c r="A8" s="3" t="s">
        <v>16</v>
      </c>
      <c r="B8" s="10">
        <v>0.36805555555555558</v>
      </c>
      <c r="C8" s="11"/>
      <c r="D8" s="11"/>
      <c r="E8" s="11"/>
      <c r="F8" s="11"/>
      <c r="G8" s="12"/>
    </row>
    <row r="9" spans="1:7" x14ac:dyDescent="0.25">
      <c r="A9" s="3" t="s">
        <v>17</v>
      </c>
      <c r="B9" s="40" t="s">
        <v>358</v>
      </c>
      <c r="C9" s="13"/>
      <c r="D9" s="13"/>
      <c r="E9" s="13"/>
      <c r="F9" s="13"/>
      <c r="G9" s="37">
        <f>SUM(B9:F9)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9AD7-833F-49D5-AFEB-87DC52A4C505}">
  <sheetPr>
    <pageSetUpPr fitToPage="1"/>
  </sheetPr>
  <dimension ref="A1:M53"/>
  <sheetViews>
    <sheetView topLeftCell="A50" workbookViewId="0">
      <selection activeCell="M19" sqref="M19:M23"/>
    </sheetView>
  </sheetViews>
  <sheetFormatPr baseColWidth="10" defaultRowHeight="15" x14ac:dyDescent="0.25"/>
  <cols>
    <col min="1" max="1" width="33.7109375" bestFit="1" customWidth="1"/>
    <col min="5" max="5" width="15.28515625" customWidth="1"/>
  </cols>
  <sheetData>
    <row r="1" spans="1:11" ht="18.75" x14ac:dyDescent="0.3">
      <c r="A1" s="129" t="s">
        <v>43</v>
      </c>
      <c r="B1" s="130"/>
      <c r="C1" s="130"/>
      <c r="D1" s="130"/>
      <c r="E1" s="130"/>
      <c r="F1" s="130"/>
      <c r="G1" s="130"/>
      <c r="H1" s="130"/>
      <c r="I1" s="130"/>
      <c r="J1" s="130"/>
      <c r="K1" s="135"/>
    </row>
    <row r="2" spans="1:11" ht="18.75" x14ac:dyDescent="0.3">
      <c r="A2" s="131" t="s">
        <v>44</v>
      </c>
      <c r="B2" s="132"/>
      <c r="C2" s="132"/>
      <c r="D2" s="132"/>
      <c r="E2" s="132"/>
      <c r="F2" s="132"/>
      <c r="G2" s="132"/>
      <c r="H2" s="132"/>
      <c r="I2" s="132"/>
      <c r="J2" s="132"/>
      <c r="K2" s="136"/>
    </row>
    <row r="3" spans="1:11" ht="18.75" x14ac:dyDescent="0.3">
      <c r="A3" s="131" t="s">
        <v>359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4" spans="1:11" x14ac:dyDescent="0.25">
      <c r="A4" s="1" t="s">
        <v>2</v>
      </c>
      <c r="B4" s="2" t="s">
        <v>49</v>
      </c>
      <c r="C4" s="2">
        <v>13624</v>
      </c>
      <c r="D4" s="2">
        <v>13632</v>
      </c>
      <c r="E4" s="2">
        <v>13636</v>
      </c>
      <c r="F4" s="2">
        <v>13663</v>
      </c>
      <c r="G4" s="2">
        <v>13665</v>
      </c>
      <c r="H4" s="2">
        <v>13674</v>
      </c>
      <c r="I4" s="2">
        <v>13341</v>
      </c>
      <c r="J4" s="2">
        <v>13347</v>
      </c>
      <c r="K4" s="38" t="s">
        <v>3</v>
      </c>
    </row>
    <row r="5" spans="1:11" x14ac:dyDescent="0.25">
      <c r="A5" s="3"/>
      <c r="B5" s="4">
        <v>46142</v>
      </c>
      <c r="C5" s="4">
        <v>46146</v>
      </c>
      <c r="D5" s="4">
        <v>46148</v>
      </c>
      <c r="E5" s="4">
        <v>46150</v>
      </c>
      <c r="F5" s="4">
        <v>46155</v>
      </c>
      <c r="G5" s="4">
        <v>46155</v>
      </c>
      <c r="H5" s="4">
        <v>46161</v>
      </c>
      <c r="I5" s="4">
        <v>46163</v>
      </c>
      <c r="J5" s="4">
        <v>46165</v>
      </c>
      <c r="K5" s="17">
        <v>46173</v>
      </c>
    </row>
    <row r="6" spans="1:11" x14ac:dyDescent="0.25">
      <c r="A6" s="6" t="s">
        <v>46</v>
      </c>
      <c r="B6" s="7">
        <v>12</v>
      </c>
      <c r="C6" s="8"/>
      <c r="D6" s="8"/>
      <c r="E6" s="8"/>
      <c r="F6" s="8"/>
      <c r="G6" s="8"/>
      <c r="H6" s="8"/>
      <c r="I6" s="8"/>
      <c r="J6" s="8"/>
      <c r="K6" s="9">
        <f t="shared" ref="K6:K38" si="0">SUM(B6:J6)</f>
        <v>12</v>
      </c>
    </row>
    <row r="7" spans="1:11" x14ac:dyDescent="0.25">
      <c r="A7" s="6" t="s">
        <v>47</v>
      </c>
      <c r="B7" s="7">
        <v>12</v>
      </c>
      <c r="C7" s="8"/>
      <c r="D7" s="8"/>
      <c r="E7" s="8"/>
      <c r="F7" s="8"/>
      <c r="G7" s="8"/>
      <c r="H7" s="8"/>
      <c r="I7" s="8"/>
      <c r="J7" s="8"/>
      <c r="K7" s="9">
        <f t="shared" si="0"/>
        <v>12</v>
      </c>
    </row>
    <row r="8" spans="1:11" x14ac:dyDescent="0.25">
      <c r="A8" s="6" t="s">
        <v>48</v>
      </c>
      <c r="B8" s="7">
        <v>6</v>
      </c>
      <c r="C8" s="8"/>
      <c r="D8" s="8"/>
      <c r="E8" s="8"/>
      <c r="F8" s="8"/>
      <c r="G8" s="8"/>
      <c r="H8" s="8"/>
      <c r="I8" s="8"/>
      <c r="J8" s="8"/>
      <c r="K8" s="9">
        <f t="shared" si="0"/>
        <v>6</v>
      </c>
    </row>
    <row r="9" spans="1:11" x14ac:dyDescent="0.25">
      <c r="A9" s="6" t="s">
        <v>26</v>
      </c>
      <c r="B9" s="7"/>
      <c r="C9" s="8">
        <v>50</v>
      </c>
      <c r="D9" s="8"/>
      <c r="E9" s="8">
        <v>10</v>
      </c>
      <c r="F9" s="8"/>
      <c r="G9" s="8"/>
      <c r="H9" s="8"/>
      <c r="I9" s="8"/>
      <c r="J9" s="8"/>
      <c r="K9" s="9">
        <f t="shared" si="0"/>
        <v>60</v>
      </c>
    </row>
    <row r="10" spans="1:11" x14ac:dyDescent="0.25">
      <c r="A10" s="6" t="s">
        <v>56</v>
      </c>
      <c r="B10" s="7"/>
      <c r="C10" s="8">
        <v>41</v>
      </c>
      <c r="D10" s="8">
        <v>19</v>
      </c>
      <c r="E10" s="8"/>
      <c r="F10" s="8"/>
      <c r="G10" s="8"/>
      <c r="H10" s="8"/>
      <c r="I10" s="8"/>
      <c r="J10" s="8">
        <v>-7</v>
      </c>
      <c r="K10" s="9">
        <f t="shared" si="0"/>
        <v>53</v>
      </c>
    </row>
    <row r="11" spans="1:11" x14ac:dyDescent="0.25">
      <c r="A11" s="6" t="s">
        <v>53</v>
      </c>
      <c r="B11" s="7"/>
      <c r="C11" s="8">
        <v>18</v>
      </c>
      <c r="D11" s="8"/>
      <c r="E11" s="8">
        <v>8</v>
      </c>
      <c r="F11" s="8"/>
      <c r="G11" s="8"/>
      <c r="H11" s="8"/>
      <c r="I11" s="8"/>
      <c r="J11" s="8">
        <v>-1</v>
      </c>
      <c r="K11" s="9">
        <f t="shared" si="0"/>
        <v>25</v>
      </c>
    </row>
    <row r="12" spans="1:11" x14ac:dyDescent="0.25">
      <c r="A12" s="6" t="s">
        <v>57</v>
      </c>
      <c r="B12" s="7"/>
      <c r="C12" s="8">
        <v>6</v>
      </c>
      <c r="D12" s="8"/>
      <c r="E12" s="8"/>
      <c r="F12" s="8"/>
      <c r="G12" s="8"/>
      <c r="H12" s="8"/>
      <c r="I12" s="8"/>
      <c r="J12" s="8"/>
      <c r="K12" s="9">
        <f t="shared" si="0"/>
        <v>6</v>
      </c>
    </row>
    <row r="13" spans="1:11" x14ac:dyDescent="0.25">
      <c r="A13" s="6" t="s">
        <v>58</v>
      </c>
      <c r="B13" s="7"/>
      <c r="C13" s="8">
        <v>3</v>
      </c>
      <c r="D13" s="8"/>
      <c r="E13" s="8"/>
      <c r="F13" s="8"/>
      <c r="G13" s="8"/>
      <c r="H13" s="8"/>
      <c r="I13" s="8"/>
      <c r="J13" s="8"/>
      <c r="K13" s="9">
        <f t="shared" si="0"/>
        <v>3</v>
      </c>
    </row>
    <row r="14" spans="1:11" x14ac:dyDescent="0.25">
      <c r="A14" s="6" t="s">
        <v>94</v>
      </c>
      <c r="B14" s="7"/>
      <c r="C14" s="8"/>
      <c r="D14" s="8">
        <v>6</v>
      </c>
      <c r="E14" s="8"/>
      <c r="F14" s="8"/>
      <c r="G14" s="8"/>
      <c r="H14" s="8"/>
      <c r="I14" s="8"/>
      <c r="J14" s="8">
        <v>-4</v>
      </c>
      <c r="K14" s="9">
        <f t="shared" si="0"/>
        <v>2</v>
      </c>
    </row>
    <row r="15" spans="1:11" x14ac:dyDescent="0.25">
      <c r="A15" s="6" t="s">
        <v>96</v>
      </c>
      <c r="B15" s="7"/>
      <c r="C15" s="8"/>
      <c r="D15" s="8">
        <v>5</v>
      </c>
      <c r="E15" s="8"/>
      <c r="F15" s="8"/>
      <c r="G15" s="8"/>
      <c r="H15" s="8"/>
      <c r="I15" s="8"/>
      <c r="J15" s="8"/>
      <c r="K15" s="9">
        <f t="shared" si="0"/>
        <v>5</v>
      </c>
    </row>
    <row r="16" spans="1:11" x14ac:dyDescent="0.25">
      <c r="A16" s="6" t="s">
        <v>95</v>
      </c>
      <c r="B16" s="7"/>
      <c r="C16" s="8"/>
      <c r="D16" s="8">
        <v>6</v>
      </c>
      <c r="E16" s="8"/>
      <c r="F16" s="8"/>
      <c r="G16" s="8"/>
      <c r="H16" s="8"/>
      <c r="I16" s="8"/>
      <c r="J16" s="8"/>
      <c r="K16" s="9">
        <f t="shared" si="0"/>
        <v>6</v>
      </c>
    </row>
    <row r="17" spans="1:13" x14ac:dyDescent="0.25">
      <c r="A17" s="6" t="s">
        <v>6</v>
      </c>
      <c r="B17" s="7"/>
      <c r="C17" s="8"/>
      <c r="D17" s="8"/>
      <c r="E17" s="8"/>
      <c r="F17" s="42">
        <v>8</v>
      </c>
      <c r="G17" s="8"/>
      <c r="H17" s="8"/>
      <c r="I17" s="8">
        <v>-8</v>
      </c>
      <c r="J17" s="8"/>
      <c r="K17" s="9">
        <f t="shared" si="0"/>
        <v>0</v>
      </c>
    </row>
    <row r="18" spans="1:13" x14ac:dyDescent="0.25">
      <c r="A18" s="6" t="s">
        <v>29</v>
      </c>
      <c r="B18" s="7"/>
      <c r="C18" s="8"/>
      <c r="D18" s="8"/>
      <c r="E18" s="8"/>
      <c r="F18" s="42">
        <v>6</v>
      </c>
      <c r="G18" s="8"/>
      <c r="H18" s="8"/>
      <c r="I18" s="8">
        <v>-6</v>
      </c>
      <c r="J18" s="8"/>
      <c r="K18" s="9">
        <f t="shared" si="0"/>
        <v>0</v>
      </c>
    </row>
    <row r="19" spans="1:13" x14ac:dyDescent="0.25">
      <c r="A19" s="6" t="s">
        <v>191</v>
      </c>
      <c r="B19" s="7"/>
      <c r="C19" s="8"/>
      <c r="D19" s="8"/>
      <c r="E19" s="8"/>
      <c r="F19" s="42">
        <v>4</v>
      </c>
      <c r="G19" s="8"/>
      <c r="H19" s="8"/>
      <c r="I19" s="8">
        <v>-4</v>
      </c>
      <c r="J19" s="8"/>
      <c r="K19" s="9">
        <f t="shared" si="0"/>
        <v>0</v>
      </c>
      <c r="M19" s="33" t="s">
        <v>381</v>
      </c>
    </row>
    <row r="20" spans="1:13" x14ac:dyDescent="0.25">
      <c r="A20" s="6" t="s">
        <v>12</v>
      </c>
      <c r="B20" s="7"/>
      <c r="C20" s="8"/>
      <c r="D20" s="8"/>
      <c r="E20" s="8"/>
      <c r="F20" s="42">
        <v>300</v>
      </c>
      <c r="G20" s="8"/>
      <c r="H20" s="127">
        <v>150</v>
      </c>
      <c r="I20" s="8">
        <v>-400</v>
      </c>
      <c r="J20" s="8">
        <v>-50</v>
      </c>
      <c r="K20" s="42">
        <f t="shared" si="0"/>
        <v>0</v>
      </c>
      <c r="M20" s="33" t="s">
        <v>382</v>
      </c>
    </row>
    <row r="21" spans="1:13" x14ac:dyDescent="0.25">
      <c r="A21" s="6" t="s">
        <v>193</v>
      </c>
      <c r="B21" s="7"/>
      <c r="C21" s="8"/>
      <c r="D21" s="8"/>
      <c r="E21" s="8"/>
      <c r="F21" s="8"/>
      <c r="G21" s="9">
        <v>10</v>
      </c>
      <c r="H21" s="8"/>
      <c r="I21" s="8">
        <v>-10</v>
      </c>
      <c r="J21" s="8"/>
      <c r="K21" s="9">
        <f t="shared" si="0"/>
        <v>0</v>
      </c>
      <c r="M21" s="33" t="s">
        <v>383</v>
      </c>
    </row>
    <row r="22" spans="1:13" x14ac:dyDescent="0.25">
      <c r="A22" s="6" t="s">
        <v>194</v>
      </c>
      <c r="B22" s="7"/>
      <c r="C22" s="8"/>
      <c r="D22" s="8"/>
      <c r="E22" s="8"/>
      <c r="F22" s="8"/>
      <c r="G22" s="9">
        <v>8</v>
      </c>
      <c r="H22" s="8"/>
      <c r="I22" s="8">
        <v>-8</v>
      </c>
      <c r="J22" s="8"/>
      <c r="K22" s="9">
        <f t="shared" si="0"/>
        <v>0</v>
      </c>
      <c r="M22" s="33" t="s">
        <v>384</v>
      </c>
    </row>
    <row r="23" spans="1:13" x14ac:dyDescent="0.25">
      <c r="A23" s="6" t="s">
        <v>195</v>
      </c>
      <c r="B23" s="7"/>
      <c r="C23" s="8"/>
      <c r="D23" s="8"/>
      <c r="E23" s="8"/>
      <c r="F23" s="8"/>
      <c r="G23" s="9">
        <v>24</v>
      </c>
      <c r="H23" s="8"/>
      <c r="I23" s="8">
        <v>-23</v>
      </c>
      <c r="J23" s="8">
        <v>-1</v>
      </c>
      <c r="K23" s="9">
        <f t="shared" si="0"/>
        <v>0</v>
      </c>
      <c r="M23" s="33" t="s">
        <v>385</v>
      </c>
    </row>
    <row r="24" spans="1:13" x14ac:dyDescent="0.25">
      <c r="A24" s="6" t="s">
        <v>196</v>
      </c>
      <c r="B24" s="7"/>
      <c r="C24" s="8"/>
      <c r="D24" s="8"/>
      <c r="E24" s="8"/>
      <c r="F24" s="8"/>
      <c r="G24" s="9">
        <v>6</v>
      </c>
      <c r="H24" s="8"/>
      <c r="I24" s="8">
        <v>-6</v>
      </c>
      <c r="J24" s="8"/>
      <c r="K24" s="9">
        <f t="shared" si="0"/>
        <v>0</v>
      </c>
    </row>
    <row r="25" spans="1:13" x14ac:dyDescent="0.25">
      <c r="A25" s="6" t="s">
        <v>197</v>
      </c>
      <c r="B25" s="7"/>
      <c r="C25" s="8"/>
      <c r="D25" s="8"/>
      <c r="E25" s="8"/>
      <c r="F25" s="8"/>
      <c r="G25" s="9">
        <v>23</v>
      </c>
      <c r="H25" s="8"/>
      <c r="I25" s="8">
        <v>-23</v>
      </c>
      <c r="J25" s="8"/>
      <c r="K25" s="9">
        <f t="shared" si="0"/>
        <v>0</v>
      </c>
    </row>
    <row r="26" spans="1:13" x14ac:dyDescent="0.25">
      <c r="A26" s="6" t="s">
        <v>5</v>
      </c>
      <c r="B26" s="7"/>
      <c r="C26" s="8"/>
      <c r="D26" s="8"/>
      <c r="E26" s="8"/>
      <c r="F26" s="8"/>
      <c r="G26" s="9">
        <v>17</v>
      </c>
      <c r="H26" s="8"/>
      <c r="I26" s="8">
        <v>-17</v>
      </c>
      <c r="J26" s="8"/>
      <c r="K26" s="9">
        <f t="shared" si="0"/>
        <v>0</v>
      </c>
    </row>
    <row r="27" spans="1:13" x14ac:dyDescent="0.25">
      <c r="A27" s="6" t="s">
        <v>198</v>
      </c>
      <c r="B27" s="7"/>
      <c r="C27" s="8"/>
      <c r="D27" s="8"/>
      <c r="E27" s="8"/>
      <c r="F27" s="8"/>
      <c r="G27" s="9">
        <v>28</v>
      </c>
      <c r="H27" s="8"/>
      <c r="I27" s="8">
        <v>-28</v>
      </c>
      <c r="J27" s="8"/>
      <c r="K27" s="9">
        <f t="shared" si="0"/>
        <v>0</v>
      </c>
    </row>
    <row r="28" spans="1:13" x14ac:dyDescent="0.25">
      <c r="A28" s="6" t="s">
        <v>199</v>
      </c>
      <c r="B28" s="7"/>
      <c r="C28" s="8"/>
      <c r="D28" s="8"/>
      <c r="E28" s="8"/>
      <c r="F28" s="8"/>
      <c r="G28" s="9">
        <v>2</v>
      </c>
      <c r="H28" s="8"/>
      <c r="I28" s="8">
        <v>-2</v>
      </c>
      <c r="J28" s="8"/>
      <c r="K28" s="9">
        <f t="shared" si="0"/>
        <v>0</v>
      </c>
    </row>
    <row r="29" spans="1:13" x14ac:dyDescent="0.25">
      <c r="A29" s="6" t="s">
        <v>7</v>
      </c>
      <c r="B29" s="7"/>
      <c r="C29" s="8"/>
      <c r="D29" s="8"/>
      <c r="E29" s="8"/>
      <c r="F29" s="8"/>
      <c r="G29" s="9">
        <v>17</v>
      </c>
      <c r="H29" s="8"/>
      <c r="I29" s="8">
        <v>-17</v>
      </c>
      <c r="J29" s="8"/>
      <c r="K29" s="9">
        <f t="shared" si="0"/>
        <v>0</v>
      </c>
    </row>
    <row r="30" spans="1:13" x14ac:dyDescent="0.25">
      <c r="A30" s="6" t="s">
        <v>200</v>
      </c>
      <c r="B30" s="7"/>
      <c r="C30" s="8"/>
      <c r="D30" s="8"/>
      <c r="E30" s="8"/>
      <c r="F30" s="8"/>
      <c r="G30" s="9">
        <v>8</v>
      </c>
      <c r="H30" s="8"/>
      <c r="I30" s="8">
        <v>-8</v>
      </c>
      <c r="J30" s="8"/>
      <c r="K30" s="9">
        <f t="shared" si="0"/>
        <v>0</v>
      </c>
    </row>
    <row r="31" spans="1:13" x14ac:dyDescent="0.25">
      <c r="A31" s="6" t="s">
        <v>201</v>
      </c>
      <c r="B31" s="7"/>
      <c r="C31" s="8"/>
      <c r="D31" s="8"/>
      <c r="E31" s="8"/>
      <c r="F31" s="8"/>
      <c r="G31" s="9">
        <v>20</v>
      </c>
      <c r="H31" s="8"/>
      <c r="I31" s="8">
        <v>-18</v>
      </c>
      <c r="J31" s="8">
        <v>-2</v>
      </c>
      <c r="K31" s="9">
        <f t="shared" si="0"/>
        <v>0</v>
      </c>
    </row>
    <row r="32" spans="1:13" x14ac:dyDescent="0.25">
      <c r="A32" s="6" t="s">
        <v>9</v>
      </c>
      <c r="B32" s="7"/>
      <c r="C32" s="8"/>
      <c r="D32" s="8"/>
      <c r="E32" s="8"/>
      <c r="F32" s="8"/>
      <c r="G32" s="9">
        <v>1</v>
      </c>
      <c r="H32" s="8"/>
      <c r="I32" s="8">
        <v>-1</v>
      </c>
      <c r="J32" s="8"/>
      <c r="K32" s="9">
        <f t="shared" si="0"/>
        <v>0</v>
      </c>
    </row>
    <row r="33" spans="1:11" x14ac:dyDescent="0.25">
      <c r="A33" s="6" t="s">
        <v>8</v>
      </c>
      <c r="B33" s="7"/>
      <c r="C33" s="8"/>
      <c r="D33" s="8"/>
      <c r="E33" s="8"/>
      <c r="F33" s="8"/>
      <c r="G33" s="9">
        <v>5</v>
      </c>
      <c r="H33" s="8"/>
      <c r="I33" s="8">
        <v>-5</v>
      </c>
      <c r="J33" s="8"/>
      <c r="K33" s="9">
        <f t="shared" si="0"/>
        <v>0</v>
      </c>
    </row>
    <row r="34" spans="1:11" x14ac:dyDescent="0.25">
      <c r="A34" s="6" t="s">
        <v>236</v>
      </c>
      <c r="B34" s="7"/>
      <c r="C34" s="8"/>
      <c r="D34" s="8"/>
      <c r="E34" s="8"/>
      <c r="F34" s="8"/>
      <c r="G34" s="9"/>
      <c r="H34" s="128">
        <v>14</v>
      </c>
      <c r="I34" s="8">
        <v>-11</v>
      </c>
      <c r="J34" s="8">
        <v>-3</v>
      </c>
      <c r="K34" s="9">
        <f t="shared" si="0"/>
        <v>0</v>
      </c>
    </row>
    <row r="35" spans="1:11" x14ac:dyDescent="0.25">
      <c r="A35" s="6" t="s">
        <v>4</v>
      </c>
      <c r="B35" s="7"/>
      <c r="C35" s="8"/>
      <c r="D35" s="8"/>
      <c r="E35" s="8"/>
      <c r="F35" s="8"/>
      <c r="G35" s="9"/>
      <c r="H35" s="128">
        <v>5</v>
      </c>
      <c r="I35" s="8">
        <v>-5</v>
      </c>
      <c r="J35" s="8"/>
      <c r="K35" s="9">
        <f t="shared" si="0"/>
        <v>0</v>
      </c>
    </row>
    <row r="36" spans="1:11" x14ac:dyDescent="0.25">
      <c r="A36" s="6" t="s">
        <v>192</v>
      </c>
      <c r="B36" s="7"/>
      <c r="C36" s="8"/>
      <c r="D36" s="8"/>
      <c r="E36" s="8"/>
      <c r="F36" s="8">
        <v>1</v>
      </c>
      <c r="G36" s="9"/>
      <c r="H36" s="128">
        <v>1</v>
      </c>
      <c r="I36" s="8">
        <v>-2</v>
      </c>
      <c r="J36" s="8"/>
      <c r="K36" s="9">
        <f>SUM(B36:J36)</f>
        <v>0</v>
      </c>
    </row>
    <row r="37" spans="1:11" x14ac:dyDescent="0.25">
      <c r="A37" s="3" t="s">
        <v>16</v>
      </c>
      <c r="B37" s="35"/>
      <c r="C37" s="11">
        <v>0.14583333333333334</v>
      </c>
      <c r="D37" s="11">
        <v>0.10416666666666667</v>
      </c>
      <c r="E37" s="11">
        <v>0.3125</v>
      </c>
      <c r="F37" s="11">
        <v>0.60416666666666663</v>
      </c>
      <c r="G37" s="11">
        <v>0.57638888888888884</v>
      </c>
      <c r="H37" s="11">
        <v>0.49305555555555558</v>
      </c>
      <c r="I37" s="11">
        <v>0.5625</v>
      </c>
      <c r="J37" s="11">
        <v>0.39583333333333331</v>
      </c>
      <c r="K37" s="12"/>
    </row>
    <row r="38" spans="1:11" x14ac:dyDescent="0.25">
      <c r="A38" s="3" t="s">
        <v>17</v>
      </c>
      <c r="B38" s="39"/>
      <c r="C38" s="13">
        <v>65000</v>
      </c>
      <c r="D38" s="13">
        <v>65000</v>
      </c>
      <c r="E38" s="13">
        <v>30000</v>
      </c>
      <c r="F38" s="13"/>
      <c r="G38" s="13">
        <v>60000</v>
      </c>
      <c r="H38" s="13" t="s">
        <v>237</v>
      </c>
      <c r="I38" s="13">
        <v>60000</v>
      </c>
      <c r="J38" s="13"/>
      <c r="K38" s="37">
        <f t="shared" si="0"/>
        <v>280000</v>
      </c>
    </row>
    <row r="41" spans="1:11" ht="15.75" thickBot="1" x14ac:dyDescent="0.3">
      <c r="A41" s="148" t="s">
        <v>261</v>
      </c>
      <c r="B41" s="149"/>
      <c r="C41" s="149"/>
      <c r="D41" s="149"/>
      <c r="E41" s="149"/>
      <c r="F41" s="150"/>
    </row>
    <row r="42" spans="1:11" x14ac:dyDescent="0.25">
      <c r="A42" s="151" t="s">
        <v>262</v>
      </c>
      <c r="B42" s="152"/>
      <c r="C42" s="152"/>
      <c r="D42" s="152"/>
      <c r="E42" s="152"/>
      <c r="F42" s="153"/>
    </row>
    <row r="43" spans="1:11" ht="18" x14ac:dyDescent="0.25">
      <c r="A43" s="154" t="s">
        <v>263</v>
      </c>
      <c r="B43" s="155"/>
      <c r="C43" s="155"/>
      <c r="D43" s="155"/>
      <c r="E43" s="155"/>
      <c r="F43" s="156"/>
    </row>
    <row r="44" spans="1:11" x14ac:dyDescent="0.25">
      <c r="A44" s="157" t="s">
        <v>2</v>
      </c>
      <c r="B44" s="158" t="s">
        <v>264</v>
      </c>
      <c r="C44" s="158"/>
      <c r="D44" s="158"/>
      <c r="E44" s="158" t="s">
        <v>265</v>
      </c>
      <c r="F44" s="159"/>
    </row>
    <row r="45" spans="1:11" x14ac:dyDescent="0.25">
      <c r="A45" s="157"/>
      <c r="B45" s="67" t="s">
        <v>266</v>
      </c>
      <c r="C45" s="68" t="s">
        <v>267</v>
      </c>
      <c r="D45" s="67" t="s">
        <v>268</v>
      </c>
      <c r="E45" s="67" t="s">
        <v>269</v>
      </c>
      <c r="F45" s="67" t="s">
        <v>270</v>
      </c>
    </row>
    <row r="46" spans="1:11" x14ac:dyDescent="0.25">
      <c r="A46" s="69" t="s">
        <v>6</v>
      </c>
      <c r="B46" s="70">
        <v>5</v>
      </c>
      <c r="C46" s="70">
        <v>8</v>
      </c>
      <c r="D46" s="71">
        <v>300</v>
      </c>
      <c r="E46" s="72">
        <f>C46*D46</f>
        <v>2400</v>
      </c>
      <c r="F46" s="72">
        <f>B46*E46</f>
        <v>12000</v>
      </c>
    </row>
    <row r="47" spans="1:11" x14ac:dyDescent="0.25">
      <c r="A47" s="69" t="s">
        <v>271</v>
      </c>
      <c r="B47" s="70">
        <v>5</v>
      </c>
      <c r="C47" s="70">
        <v>6</v>
      </c>
      <c r="D47" s="71">
        <v>320</v>
      </c>
      <c r="E47" s="72">
        <f>C47*D47</f>
        <v>1920</v>
      </c>
      <c r="F47" s="72">
        <f>B47*E47</f>
        <v>9600</v>
      </c>
    </row>
    <row r="48" spans="1:11" x14ac:dyDescent="0.25">
      <c r="A48" s="69" t="s">
        <v>191</v>
      </c>
      <c r="B48" s="70">
        <v>5</v>
      </c>
      <c r="C48" s="70">
        <v>4</v>
      </c>
      <c r="D48" s="71">
        <v>300</v>
      </c>
      <c r="E48" s="72">
        <f t="shared" ref="E48:E49" si="1">C48*D48</f>
        <v>1200</v>
      </c>
      <c r="F48" s="72">
        <f t="shared" ref="F48:F49" si="2">B48*E48</f>
        <v>6000</v>
      </c>
    </row>
    <row r="49" spans="1:6" x14ac:dyDescent="0.25">
      <c r="A49" s="69" t="s">
        <v>12</v>
      </c>
      <c r="B49" s="70">
        <v>5</v>
      </c>
      <c r="C49" s="70">
        <v>300</v>
      </c>
      <c r="D49" s="71">
        <v>28</v>
      </c>
      <c r="E49" s="72">
        <f t="shared" si="1"/>
        <v>8400</v>
      </c>
      <c r="F49" s="72">
        <f t="shared" si="2"/>
        <v>42000</v>
      </c>
    </row>
    <row r="50" spans="1:6" ht="18.75" x14ac:dyDescent="0.4">
      <c r="A50" s="160" t="s">
        <v>272</v>
      </c>
      <c r="B50" s="161"/>
      <c r="C50" s="166" t="s">
        <v>273</v>
      </c>
      <c r="D50" s="166"/>
      <c r="E50" s="73">
        <f>SUM(E46:E49)</f>
        <v>13920</v>
      </c>
      <c r="F50" s="74"/>
    </row>
    <row r="51" spans="1:6" ht="19.5" thickBot="1" x14ac:dyDescent="0.45">
      <c r="A51" s="162"/>
      <c r="B51" s="163"/>
      <c r="C51" s="167" t="s">
        <v>274</v>
      </c>
      <c r="D51" s="167"/>
      <c r="E51" s="75">
        <f>SUM(F46:F49)</f>
        <v>69600</v>
      </c>
    </row>
    <row r="52" spans="1:6" ht="18.75" x14ac:dyDescent="0.4">
      <c r="A52" s="162"/>
      <c r="B52" s="163"/>
      <c r="C52" s="168" t="s">
        <v>275</v>
      </c>
      <c r="D52" s="169"/>
      <c r="E52" s="76"/>
      <c r="F52" s="74"/>
    </row>
    <row r="53" spans="1:6" ht="19.5" thickBot="1" x14ac:dyDescent="0.45">
      <c r="A53" s="164"/>
      <c r="B53" s="165"/>
      <c r="C53" s="167" t="s">
        <v>274</v>
      </c>
      <c r="D53" s="167"/>
      <c r="E53" s="77">
        <f>SUM(E51:E52)</f>
        <v>69600</v>
      </c>
      <c r="F53" s="78"/>
    </row>
  </sheetData>
  <mergeCells count="14">
    <mergeCell ref="A43:F43"/>
    <mergeCell ref="A44:A45"/>
    <mergeCell ref="B44:D44"/>
    <mergeCell ref="E44:F44"/>
    <mergeCell ref="A50:B53"/>
    <mergeCell ref="C50:D50"/>
    <mergeCell ref="C51:D51"/>
    <mergeCell ref="C52:D52"/>
    <mergeCell ref="C53:D53"/>
    <mergeCell ref="A1:K1"/>
    <mergeCell ref="A2:K2"/>
    <mergeCell ref="A3:K3"/>
    <mergeCell ref="A41:F41"/>
    <mergeCell ref="A42:F42"/>
  </mergeCells>
  <pageMargins left="0.70866141732283472" right="0.70866141732283472" top="0.74803149606299213" bottom="0.74803149606299213" header="0.31496062992125984" footer="0.31496062992125984"/>
  <pageSetup paperSize="9" scale="61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742C-7033-4524-BF63-6F731CB52E72}">
  <dimension ref="A1:G17"/>
  <sheetViews>
    <sheetView workbookViewId="0">
      <selection activeCell="I11" sqref="I11"/>
    </sheetView>
  </sheetViews>
  <sheetFormatPr baseColWidth="10" defaultRowHeight="15" x14ac:dyDescent="0.25"/>
  <cols>
    <col min="1" max="1" width="37.5703125" bestFit="1" customWidth="1"/>
  </cols>
  <sheetData>
    <row r="1" spans="1:7" ht="18.75" x14ac:dyDescent="0.3">
      <c r="A1" s="129" t="s">
        <v>363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364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77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1" t="s">
        <v>3</v>
      </c>
      <c r="C4" s="2"/>
      <c r="D4" s="2"/>
      <c r="E4" s="2"/>
      <c r="F4" s="2"/>
      <c r="G4" s="112" t="s">
        <v>365</v>
      </c>
    </row>
    <row r="5" spans="1:7" x14ac:dyDescent="0.25">
      <c r="A5" s="3"/>
      <c r="B5" s="113">
        <v>46142</v>
      </c>
      <c r="C5" s="4"/>
      <c r="D5" s="4"/>
      <c r="E5" s="4"/>
      <c r="F5" s="4"/>
      <c r="G5" s="114">
        <v>46173</v>
      </c>
    </row>
    <row r="6" spans="1:7" x14ac:dyDescent="0.25">
      <c r="A6" s="6" t="s">
        <v>366</v>
      </c>
      <c r="B6" s="115">
        <v>6</v>
      </c>
      <c r="C6" s="7"/>
      <c r="D6" s="8"/>
      <c r="E6" s="8"/>
      <c r="F6" s="8"/>
      <c r="G6" s="116">
        <f>SUM(B6:F6)</f>
        <v>6</v>
      </c>
    </row>
    <row r="7" spans="1:7" x14ac:dyDescent="0.25">
      <c r="A7" s="6" t="s">
        <v>47</v>
      </c>
      <c r="B7" s="115">
        <v>12</v>
      </c>
      <c r="C7" s="7"/>
      <c r="D7" s="8"/>
      <c r="E7" s="8"/>
      <c r="F7" s="8"/>
      <c r="G7" s="116">
        <f t="shared" ref="G7:G15" si="0">SUM(B7:F7)</f>
        <v>12</v>
      </c>
    </row>
    <row r="8" spans="1:7" x14ac:dyDescent="0.25">
      <c r="A8" s="6" t="s">
        <v>367</v>
      </c>
      <c r="B8" s="115">
        <v>6</v>
      </c>
      <c r="C8" s="7"/>
      <c r="D8" s="8"/>
      <c r="E8" s="8"/>
      <c r="F8" s="8"/>
      <c r="G8" s="116">
        <f t="shared" si="0"/>
        <v>6</v>
      </c>
    </row>
    <row r="9" spans="1:7" x14ac:dyDescent="0.25">
      <c r="A9" s="6" t="s">
        <v>368</v>
      </c>
      <c r="B9" s="115">
        <v>6</v>
      </c>
      <c r="C9" s="7"/>
      <c r="D9" s="8"/>
      <c r="E9" s="8"/>
      <c r="F9" s="8"/>
      <c r="G9" s="116">
        <f t="shared" si="0"/>
        <v>6</v>
      </c>
    </row>
    <row r="10" spans="1:7" x14ac:dyDescent="0.25">
      <c r="A10" s="6" t="s">
        <v>369</v>
      </c>
      <c r="B10" s="115">
        <v>4</v>
      </c>
      <c r="C10" s="7"/>
      <c r="D10" s="8"/>
      <c r="E10" s="8"/>
      <c r="F10" s="8"/>
      <c r="G10" s="116">
        <f t="shared" si="0"/>
        <v>4</v>
      </c>
    </row>
    <row r="11" spans="1:7" x14ac:dyDescent="0.25">
      <c r="A11" s="6" t="s">
        <v>47</v>
      </c>
      <c r="B11" s="115">
        <v>4</v>
      </c>
      <c r="C11" s="7"/>
      <c r="D11" s="8"/>
      <c r="E11" s="8"/>
      <c r="F11" s="8"/>
      <c r="G11" s="116">
        <f t="shared" si="0"/>
        <v>4</v>
      </c>
    </row>
    <row r="12" spans="1:7" x14ac:dyDescent="0.25">
      <c r="A12" s="6" t="s">
        <v>163</v>
      </c>
      <c r="B12" s="115">
        <v>16</v>
      </c>
      <c r="C12" s="7"/>
      <c r="D12" s="8"/>
      <c r="E12" s="8"/>
      <c r="F12" s="8"/>
      <c r="G12" s="116">
        <f t="shared" si="0"/>
        <v>16</v>
      </c>
    </row>
    <row r="13" spans="1:7" x14ac:dyDescent="0.25">
      <c r="A13" s="117" t="s">
        <v>370</v>
      </c>
      <c r="B13" s="118">
        <v>10</v>
      </c>
      <c r="C13" s="118"/>
      <c r="D13" s="8"/>
      <c r="E13" s="8"/>
      <c r="F13" s="8"/>
      <c r="G13" s="116">
        <f t="shared" si="0"/>
        <v>10</v>
      </c>
    </row>
    <row r="14" spans="1:7" x14ac:dyDescent="0.25">
      <c r="A14" s="117" t="s">
        <v>371</v>
      </c>
      <c r="B14" s="118">
        <v>3</v>
      </c>
      <c r="C14" s="118"/>
      <c r="D14" s="8"/>
      <c r="E14" s="8"/>
      <c r="F14" s="8"/>
      <c r="G14" s="116">
        <f t="shared" si="0"/>
        <v>3</v>
      </c>
    </row>
    <row r="15" spans="1:7" x14ac:dyDescent="0.25">
      <c r="A15" s="6" t="s">
        <v>372</v>
      </c>
      <c r="B15" s="115">
        <v>4</v>
      </c>
      <c r="C15" s="7"/>
      <c r="D15" s="8"/>
      <c r="E15" s="8"/>
      <c r="F15" s="8"/>
      <c r="G15" s="116">
        <f t="shared" si="0"/>
        <v>4</v>
      </c>
    </row>
    <row r="16" spans="1:7" x14ac:dyDescent="0.25">
      <c r="A16" s="3" t="s">
        <v>16</v>
      </c>
      <c r="B16" s="3"/>
      <c r="C16" s="10"/>
      <c r="D16" s="11"/>
      <c r="E16" s="11"/>
      <c r="F16" s="11"/>
      <c r="G16" s="12"/>
    </row>
    <row r="17" spans="1:7" x14ac:dyDescent="0.25">
      <c r="A17" s="3" t="s">
        <v>17</v>
      </c>
      <c r="B17" s="3"/>
      <c r="C17" s="13"/>
      <c r="D17" s="13"/>
      <c r="E17" s="13"/>
      <c r="F17" s="13"/>
      <c r="G17" s="37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4728-F325-4C56-A22C-E8651AA0F9A8}">
  <dimension ref="A1:G11"/>
  <sheetViews>
    <sheetView workbookViewId="0">
      <selection activeCell="J9" sqref="J9"/>
    </sheetView>
  </sheetViews>
  <sheetFormatPr baseColWidth="10" defaultRowHeight="15" x14ac:dyDescent="0.25"/>
  <cols>
    <col min="1" max="1" width="36" customWidth="1"/>
  </cols>
  <sheetData>
    <row r="1" spans="1:7" ht="18.75" x14ac:dyDescent="0.3">
      <c r="A1" s="129" t="s">
        <v>59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60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13628</v>
      </c>
      <c r="C4" s="2">
        <v>13628</v>
      </c>
      <c r="D4" s="2"/>
      <c r="E4" s="2"/>
      <c r="F4" s="2"/>
      <c r="G4" s="38" t="s">
        <v>3</v>
      </c>
    </row>
    <row r="5" spans="1:7" x14ac:dyDescent="0.25">
      <c r="A5" s="3"/>
      <c r="B5" s="4">
        <v>46148</v>
      </c>
      <c r="C5" s="4">
        <v>46148</v>
      </c>
      <c r="D5" s="4"/>
      <c r="E5" s="4"/>
      <c r="F5" s="4"/>
      <c r="G5" s="17">
        <v>46173</v>
      </c>
    </row>
    <row r="6" spans="1:7" x14ac:dyDescent="0.25">
      <c r="A6" s="6" t="s">
        <v>62</v>
      </c>
      <c r="B6" s="7">
        <v>1</v>
      </c>
      <c r="C6" s="8">
        <v>-1</v>
      </c>
      <c r="D6" s="8"/>
      <c r="E6" s="8"/>
      <c r="F6" s="8"/>
      <c r="G6" s="9">
        <f>SUM(B6:F6)</f>
        <v>0</v>
      </c>
    </row>
    <row r="7" spans="1:7" x14ac:dyDescent="0.25">
      <c r="A7" s="6"/>
      <c r="B7" s="7"/>
      <c r="C7" s="8"/>
      <c r="D7" s="8"/>
      <c r="E7" s="8"/>
      <c r="F7" s="8"/>
      <c r="G7" s="9">
        <f>SUM(C7:F7)</f>
        <v>0</v>
      </c>
    </row>
    <row r="8" spans="1:7" x14ac:dyDescent="0.25">
      <c r="A8" s="6"/>
      <c r="B8" s="7"/>
      <c r="C8" s="8"/>
      <c r="D8" s="8"/>
      <c r="E8" s="8"/>
      <c r="F8" s="8"/>
      <c r="G8" s="9">
        <f>SUM(C8:F8)</f>
        <v>0</v>
      </c>
    </row>
    <row r="9" spans="1:7" x14ac:dyDescent="0.25">
      <c r="A9" s="6"/>
      <c r="B9" s="7"/>
      <c r="C9" s="8"/>
      <c r="D9" s="8"/>
      <c r="E9" s="8"/>
      <c r="F9" s="8"/>
      <c r="G9" s="9">
        <f>SUM(C9:F9)</f>
        <v>0</v>
      </c>
    </row>
    <row r="10" spans="1:7" x14ac:dyDescent="0.25">
      <c r="A10" s="3" t="s">
        <v>16</v>
      </c>
      <c r="B10" s="10">
        <v>0.3125</v>
      </c>
      <c r="C10" s="11">
        <v>0.35416666666666669</v>
      </c>
      <c r="D10" s="11"/>
      <c r="E10" s="11"/>
      <c r="F10" s="11"/>
      <c r="G10" s="12"/>
    </row>
    <row r="11" spans="1:7" x14ac:dyDescent="0.25">
      <c r="A11" s="3" t="s">
        <v>17</v>
      </c>
      <c r="B11" s="40" t="s">
        <v>61</v>
      </c>
      <c r="C11" s="40" t="s">
        <v>61</v>
      </c>
      <c r="D11" s="13"/>
      <c r="E11" s="13"/>
      <c r="F11" s="13"/>
      <c r="G11" s="37">
        <f>SUM(B11:F11)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BC32-108C-4312-8A00-E2B78B284E9D}">
  <dimension ref="A1:G16"/>
  <sheetViews>
    <sheetView workbookViewId="0">
      <selection activeCell="I11" sqref="I11"/>
    </sheetView>
  </sheetViews>
  <sheetFormatPr baseColWidth="10" defaultRowHeight="15" x14ac:dyDescent="0.25"/>
  <cols>
    <col min="1" max="1" width="34.5703125" customWidth="1"/>
  </cols>
  <sheetData>
    <row r="1" spans="1:7" ht="18.75" x14ac:dyDescent="0.3">
      <c r="A1" s="129" t="s">
        <v>169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170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13655</v>
      </c>
      <c r="C4" s="2">
        <v>13331</v>
      </c>
      <c r="D4" s="2"/>
      <c r="E4" s="2"/>
      <c r="F4" s="2"/>
      <c r="G4" s="38" t="s">
        <v>3</v>
      </c>
    </row>
    <row r="5" spans="1:7" x14ac:dyDescent="0.25">
      <c r="A5" s="3"/>
      <c r="B5" s="4">
        <v>46154</v>
      </c>
      <c r="C5" s="4">
        <v>46158</v>
      </c>
      <c r="D5" s="4"/>
      <c r="E5" s="4"/>
      <c r="F5" s="4"/>
      <c r="G5" s="17">
        <v>46173</v>
      </c>
    </row>
    <row r="6" spans="1:7" x14ac:dyDescent="0.25">
      <c r="A6" s="6" t="s">
        <v>171</v>
      </c>
      <c r="B6" s="7">
        <v>6</v>
      </c>
      <c r="C6" s="8">
        <v>-6</v>
      </c>
      <c r="D6" s="8"/>
      <c r="E6" s="8"/>
      <c r="F6" s="8"/>
      <c r="G6" s="9">
        <f>SUM(B6:F6)</f>
        <v>0</v>
      </c>
    </row>
    <row r="7" spans="1:7" x14ac:dyDescent="0.25">
      <c r="A7" s="6" t="s">
        <v>130</v>
      </c>
      <c r="B7" s="7">
        <v>6</v>
      </c>
      <c r="C7" s="8">
        <v>-6</v>
      </c>
      <c r="D7" s="8"/>
      <c r="E7" s="8"/>
      <c r="F7" s="8"/>
      <c r="G7" s="9">
        <f>SUM(B7:F7)</f>
        <v>0</v>
      </c>
    </row>
    <row r="8" spans="1:7" x14ac:dyDescent="0.25">
      <c r="A8" s="6" t="s">
        <v>111</v>
      </c>
      <c r="B8" s="7">
        <v>4</v>
      </c>
      <c r="C8" s="8">
        <v>-4</v>
      </c>
      <c r="D8" s="8"/>
      <c r="E8" s="8"/>
      <c r="F8" s="8"/>
      <c r="G8" s="9">
        <f>SUM(B8:F8)</f>
        <v>0</v>
      </c>
    </row>
    <row r="9" spans="1:7" x14ac:dyDescent="0.25">
      <c r="A9" s="6" t="s">
        <v>42</v>
      </c>
      <c r="B9" s="7">
        <v>4</v>
      </c>
      <c r="C9" s="8">
        <v>-4</v>
      </c>
      <c r="D9" s="8"/>
      <c r="E9" s="8"/>
      <c r="F9" s="8"/>
      <c r="G9" s="9">
        <f>SUM(B9:F9)</f>
        <v>0</v>
      </c>
    </row>
    <row r="10" spans="1:7" x14ac:dyDescent="0.25">
      <c r="A10" s="3" t="s">
        <v>16</v>
      </c>
      <c r="B10" s="10" t="s">
        <v>212</v>
      </c>
      <c r="C10" s="11">
        <v>0.34722222222222221</v>
      </c>
      <c r="D10" s="11"/>
      <c r="E10" s="11"/>
      <c r="F10" s="11"/>
      <c r="G10" s="12"/>
    </row>
    <row r="11" spans="1:7" x14ac:dyDescent="0.25">
      <c r="A11" s="3" t="s">
        <v>17</v>
      </c>
      <c r="B11" s="40">
        <v>20000</v>
      </c>
      <c r="C11" s="40">
        <v>20000</v>
      </c>
      <c r="D11" s="13"/>
      <c r="E11" s="13"/>
      <c r="F11" s="13"/>
      <c r="G11" s="37">
        <f>SUM(B11:F11)</f>
        <v>40000</v>
      </c>
    </row>
    <row r="16" spans="1:7" x14ac:dyDescent="0.25">
      <c r="A16" t="s">
        <v>211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877B-A5E4-4D89-972A-8C045534F50A}">
  <dimension ref="A1:G11"/>
  <sheetViews>
    <sheetView workbookViewId="0">
      <selection sqref="A1:G10"/>
    </sheetView>
  </sheetViews>
  <sheetFormatPr baseColWidth="10" defaultRowHeight="15" x14ac:dyDescent="0.25"/>
  <cols>
    <col min="1" max="1" width="31.85546875" customWidth="1"/>
  </cols>
  <sheetData>
    <row r="1" spans="1:7" ht="18.75" x14ac:dyDescent="0.3">
      <c r="A1" s="129" t="s">
        <v>174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175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13664</v>
      </c>
      <c r="C4" s="2">
        <v>13328</v>
      </c>
      <c r="D4" s="2"/>
      <c r="E4" s="2"/>
      <c r="F4" s="2"/>
      <c r="G4" s="38" t="s">
        <v>3</v>
      </c>
    </row>
    <row r="5" spans="1:7" x14ac:dyDescent="0.25">
      <c r="A5" s="3"/>
      <c r="B5" s="4">
        <v>46155</v>
      </c>
      <c r="C5" s="4">
        <v>46157</v>
      </c>
      <c r="D5" s="4"/>
      <c r="E5" s="4"/>
      <c r="F5" s="4"/>
      <c r="G5" s="17">
        <v>46173</v>
      </c>
    </row>
    <row r="6" spans="1:7" x14ac:dyDescent="0.25">
      <c r="A6" s="6" t="s">
        <v>176</v>
      </c>
      <c r="B6" s="7">
        <v>6</v>
      </c>
      <c r="C6" s="8">
        <v>-6</v>
      </c>
      <c r="D6" s="8"/>
      <c r="E6" s="8"/>
      <c r="F6" s="8"/>
      <c r="G6" s="9">
        <f>SUM(B6:F6)</f>
        <v>0</v>
      </c>
    </row>
    <row r="7" spans="1:7" x14ac:dyDescent="0.25">
      <c r="A7" s="6" t="s">
        <v>25</v>
      </c>
      <c r="B7" s="7">
        <v>1</v>
      </c>
      <c r="C7" s="8">
        <v>-1</v>
      </c>
      <c r="D7" s="8"/>
      <c r="E7" s="8"/>
      <c r="F7" s="8"/>
      <c r="G7" s="9">
        <f>SUM(B7:F7)</f>
        <v>0</v>
      </c>
    </row>
    <row r="8" spans="1:7" x14ac:dyDescent="0.25">
      <c r="A8" s="6"/>
      <c r="B8" s="7"/>
      <c r="C8" s="8"/>
      <c r="D8" s="8"/>
      <c r="E8" s="8"/>
      <c r="F8" s="8"/>
      <c r="G8" s="9">
        <f>SUM(B8:F8)</f>
        <v>0</v>
      </c>
    </row>
    <row r="9" spans="1:7" x14ac:dyDescent="0.25">
      <c r="A9" s="3" t="s">
        <v>16</v>
      </c>
      <c r="B9" s="10">
        <v>0.47916666666666669</v>
      </c>
      <c r="C9" s="11">
        <v>0.14583333333333334</v>
      </c>
      <c r="D9" s="11"/>
      <c r="E9" s="11"/>
      <c r="F9" s="11"/>
      <c r="G9" s="12"/>
    </row>
    <row r="10" spans="1:7" x14ac:dyDescent="0.25">
      <c r="A10" s="3" t="s">
        <v>17</v>
      </c>
      <c r="B10" s="40" t="s">
        <v>124</v>
      </c>
      <c r="C10" s="40" t="s">
        <v>209</v>
      </c>
      <c r="D10" s="13"/>
      <c r="E10" s="13"/>
      <c r="F10" s="13"/>
      <c r="G10" s="37">
        <f>SUM(B10:F10)</f>
        <v>0</v>
      </c>
    </row>
    <row r="11" spans="1:7" x14ac:dyDescent="0.25">
      <c r="A11" s="59" t="s">
        <v>177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DEFE-0566-446E-87FF-3C9D85157498}">
  <dimension ref="A1:G9"/>
  <sheetViews>
    <sheetView workbookViewId="0">
      <selection activeCell="H14" sqref="H14"/>
    </sheetView>
  </sheetViews>
  <sheetFormatPr baseColWidth="10" defaultRowHeight="15" x14ac:dyDescent="0.25"/>
  <cols>
    <col min="1" max="1" width="38.7109375" customWidth="1"/>
  </cols>
  <sheetData>
    <row r="1" spans="1:7" ht="18.75" x14ac:dyDescent="0.3">
      <c r="A1" s="129" t="s">
        <v>276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277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13688</v>
      </c>
      <c r="C4" s="2">
        <v>13688</v>
      </c>
      <c r="D4" s="2"/>
      <c r="E4" s="2"/>
      <c r="F4" s="2"/>
      <c r="G4" s="38" t="s">
        <v>3</v>
      </c>
    </row>
    <row r="5" spans="1:7" x14ac:dyDescent="0.25">
      <c r="A5" s="3"/>
      <c r="B5" s="4">
        <v>46167</v>
      </c>
      <c r="C5" s="4">
        <v>46167</v>
      </c>
      <c r="D5" s="4"/>
      <c r="E5" s="4"/>
      <c r="F5" s="4"/>
      <c r="G5" s="17">
        <v>46173</v>
      </c>
    </row>
    <row r="6" spans="1:7" x14ac:dyDescent="0.25">
      <c r="A6" s="6" t="s">
        <v>278</v>
      </c>
      <c r="B6" s="7">
        <v>1</v>
      </c>
      <c r="C6" s="8">
        <v>-1</v>
      </c>
      <c r="D6" s="8"/>
      <c r="E6" s="8"/>
      <c r="F6" s="8"/>
      <c r="G6" s="9">
        <f>SUM(B6:F6)</f>
        <v>0</v>
      </c>
    </row>
    <row r="7" spans="1:7" x14ac:dyDescent="0.25">
      <c r="A7" s="6"/>
      <c r="B7" s="7"/>
      <c r="C7" s="8"/>
      <c r="D7" s="8"/>
      <c r="E7" s="8"/>
      <c r="F7" s="8"/>
      <c r="G7" s="9">
        <f>SUM(B7:F7)</f>
        <v>0</v>
      </c>
    </row>
    <row r="8" spans="1:7" x14ac:dyDescent="0.25">
      <c r="A8" s="3" t="s">
        <v>16</v>
      </c>
      <c r="B8" s="10">
        <v>0.2986111111111111</v>
      </c>
      <c r="C8" s="11">
        <v>0.4826388888888889</v>
      </c>
      <c r="D8" s="11"/>
      <c r="E8" s="11"/>
      <c r="F8" s="11"/>
      <c r="G8" s="12"/>
    </row>
    <row r="9" spans="1:7" x14ac:dyDescent="0.25">
      <c r="A9" s="3" t="s">
        <v>17</v>
      </c>
      <c r="B9" s="40" t="s">
        <v>124</v>
      </c>
      <c r="C9" s="40" t="s">
        <v>124</v>
      </c>
      <c r="D9" s="13"/>
      <c r="E9" s="13"/>
      <c r="F9" s="13"/>
      <c r="G9" s="37">
        <f>SUM(B9:F9)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72A5-C5A3-4C51-95A9-484096FE9F26}">
  <dimension ref="A1:G9"/>
  <sheetViews>
    <sheetView workbookViewId="0">
      <selection activeCell="J5" sqref="J5"/>
    </sheetView>
  </sheetViews>
  <sheetFormatPr baseColWidth="10" defaultRowHeight="15" x14ac:dyDescent="0.25"/>
  <cols>
    <col min="1" max="1" width="25.7109375" customWidth="1"/>
    <col min="2" max="2" width="14.5703125" customWidth="1"/>
  </cols>
  <sheetData>
    <row r="1" spans="1:7" ht="18.75" x14ac:dyDescent="0.3">
      <c r="A1" s="129" t="s">
        <v>243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244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13685</v>
      </c>
      <c r="C4" s="2">
        <v>13687</v>
      </c>
      <c r="D4" s="2"/>
      <c r="E4" s="2"/>
      <c r="F4" s="2"/>
      <c r="G4" s="38" t="s">
        <v>3</v>
      </c>
    </row>
    <row r="5" spans="1:7" x14ac:dyDescent="0.25">
      <c r="A5" s="3"/>
      <c r="B5" s="4">
        <v>46164</v>
      </c>
      <c r="C5" s="4">
        <v>46164</v>
      </c>
      <c r="D5" s="4"/>
      <c r="E5" s="4"/>
      <c r="F5" s="4"/>
      <c r="G5" s="17">
        <v>46173</v>
      </c>
    </row>
    <row r="6" spans="1:7" x14ac:dyDescent="0.25">
      <c r="A6" s="6" t="s">
        <v>245</v>
      </c>
      <c r="B6" s="7">
        <v>1</v>
      </c>
      <c r="C6" s="8">
        <v>-1</v>
      </c>
      <c r="D6" s="8"/>
      <c r="E6" s="8"/>
      <c r="F6" s="8"/>
      <c r="G6" s="9">
        <f>SUM(B6:F6)</f>
        <v>0</v>
      </c>
    </row>
    <row r="7" spans="1:7" x14ac:dyDescent="0.25">
      <c r="A7" s="6"/>
      <c r="B7" s="7"/>
      <c r="C7" s="8"/>
      <c r="D7" s="8"/>
      <c r="E7" s="8"/>
      <c r="F7" s="8"/>
      <c r="G7" s="9">
        <f>SUM(B7:F7)</f>
        <v>0</v>
      </c>
    </row>
    <row r="8" spans="1:7" x14ac:dyDescent="0.25">
      <c r="A8" s="3" t="s">
        <v>16</v>
      </c>
      <c r="B8" s="10">
        <v>0.35416666666666669</v>
      </c>
      <c r="C8" s="11">
        <v>0.1388888888888889</v>
      </c>
      <c r="D8" s="11"/>
      <c r="E8" s="11"/>
      <c r="F8" s="11"/>
      <c r="G8" s="12"/>
    </row>
    <row r="9" spans="1:7" x14ac:dyDescent="0.25">
      <c r="A9" s="3" t="s">
        <v>17</v>
      </c>
      <c r="B9" s="40" t="s">
        <v>124</v>
      </c>
      <c r="C9" s="40" t="s">
        <v>124</v>
      </c>
      <c r="D9" s="13"/>
      <c r="E9" s="13"/>
      <c r="F9" s="13"/>
      <c r="G9" s="37">
        <f>SUM(B9:F9)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419B-4DBD-44B2-8241-D2EAB0F38486}">
  <dimension ref="A1:G10"/>
  <sheetViews>
    <sheetView workbookViewId="0">
      <selection activeCell="L7" sqref="L7"/>
    </sheetView>
  </sheetViews>
  <sheetFormatPr baseColWidth="10" defaultRowHeight="15" x14ac:dyDescent="0.25"/>
  <cols>
    <col min="1" max="1" width="31.42578125" customWidth="1"/>
  </cols>
  <sheetData>
    <row r="1" spans="1:7" ht="18.75" x14ac:dyDescent="0.3">
      <c r="A1" s="129" t="s">
        <v>213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214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13670</v>
      </c>
      <c r="C4" s="2">
        <v>13671</v>
      </c>
      <c r="D4" s="2"/>
      <c r="E4" s="2"/>
      <c r="F4" s="2"/>
      <c r="G4" s="38" t="s">
        <v>3</v>
      </c>
    </row>
    <row r="5" spans="1:7" x14ac:dyDescent="0.25">
      <c r="A5" s="3"/>
      <c r="B5" s="4">
        <v>46157</v>
      </c>
      <c r="C5" s="4">
        <v>46158</v>
      </c>
      <c r="D5" s="4"/>
      <c r="E5" s="4"/>
      <c r="F5" s="4"/>
      <c r="G5" s="17">
        <v>46173</v>
      </c>
    </row>
    <row r="6" spans="1:7" x14ac:dyDescent="0.25">
      <c r="A6" s="6" t="s">
        <v>72</v>
      </c>
      <c r="B6" s="7">
        <v>80</v>
      </c>
      <c r="C6" s="8">
        <v>30</v>
      </c>
      <c r="D6" s="8"/>
      <c r="E6" s="8"/>
      <c r="F6" s="8"/>
      <c r="G6" s="9">
        <f>SUM(B6:F6)</f>
        <v>110</v>
      </c>
    </row>
    <row r="7" spans="1:7" x14ac:dyDescent="0.25">
      <c r="A7" s="6" t="s">
        <v>70</v>
      </c>
      <c r="B7" s="7">
        <v>10</v>
      </c>
      <c r="C7" s="8">
        <v>5</v>
      </c>
      <c r="D7" s="8"/>
      <c r="E7" s="8"/>
      <c r="F7" s="8"/>
      <c r="G7" s="9">
        <f>SUM(B7:F7)</f>
        <v>15</v>
      </c>
    </row>
    <row r="8" spans="1:7" x14ac:dyDescent="0.25">
      <c r="A8" s="6"/>
      <c r="B8" s="7"/>
      <c r="C8" s="8"/>
      <c r="D8" s="8"/>
      <c r="E8" s="8"/>
      <c r="F8" s="8"/>
      <c r="G8" s="9"/>
    </row>
    <row r="9" spans="1:7" x14ac:dyDescent="0.25">
      <c r="A9" s="3" t="s">
        <v>16</v>
      </c>
      <c r="B9" s="10">
        <v>0.20833333333333334</v>
      </c>
      <c r="C9" s="11">
        <v>0.35416666666666669</v>
      </c>
      <c r="D9" s="11"/>
      <c r="E9" s="11"/>
      <c r="F9" s="11"/>
      <c r="G9" s="12"/>
    </row>
    <row r="10" spans="1:7" x14ac:dyDescent="0.25">
      <c r="A10" s="3" t="s">
        <v>17</v>
      </c>
      <c r="B10" s="40" t="s">
        <v>215</v>
      </c>
      <c r="C10" s="40" t="s">
        <v>215</v>
      </c>
      <c r="D10" s="13"/>
      <c r="E10" s="13"/>
      <c r="F10" s="13"/>
      <c r="G10" s="37">
        <f>SUM(B10:F10)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9E88-F7DC-4EE0-A705-4B642E9EF389}">
  <dimension ref="A1:G11"/>
  <sheetViews>
    <sheetView workbookViewId="0">
      <selection activeCell="L16" sqref="L16"/>
    </sheetView>
  </sheetViews>
  <sheetFormatPr baseColWidth="10" defaultRowHeight="15" x14ac:dyDescent="0.25"/>
  <cols>
    <col min="1" max="1" width="28.85546875" customWidth="1"/>
  </cols>
  <sheetData>
    <row r="1" spans="1:7" ht="18.75" x14ac:dyDescent="0.3">
      <c r="A1" s="129" t="s">
        <v>178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179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13661</v>
      </c>
      <c r="C4" s="2"/>
      <c r="D4" s="2"/>
      <c r="E4" s="2"/>
      <c r="F4" s="2"/>
      <c r="G4" s="38" t="s">
        <v>3</v>
      </c>
    </row>
    <row r="5" spans="1:7" x14ac:dyDescent="0.25">
      <c r="A5" s="3"/>
      <c r="B5" s="4">
        <v>46155</v>
      </c>
      <c r="C5" s="4"/>
      <c r="D5" s="4"/>
      <c r="E5" s="4"/>
      <c r="F5" s="4"/>
      <c r="G5" s="17">
        <v>46173</v>
      </c>
    </row>
    <row r="6" spans="1:7" x14ac:dyDescent="0.25">
      <c r="A6" s="6" t="s">
        <v>152</v>
      </c>
      <c r="B6" s="7">
        <v>4</v>
      </c>
      <c r="C6" s="8"/>
      <c r="D6" s="8"/>
      <c r="E6" s="8"/>
      <c r="F6" s="8"/>
      <c r="G6" s="9">
        <f>SUM(B6:F6)</f>
        <v>4</v>
      </c>
    </row>
    <row r="7" spans="1:7" x14ac:dyDescent="0.25">
      <c r="A7" s="6" t="s">
        <v>47</v>
      </c>
      <c r="B7" s="7">
        <v>4</v>
      </c>
      <c r="C7" s="8"/>
      <c r="D7" s="8"/>
      <c r="E7" s="8"/>
      <c r="F7" s="8"/>
      <c r="G7" s="9">
        <f>SUM(B7:F7)</f>
        <v>4</v>
      </c>
    </row>
    <row r="8" spans="1:7" x14ac:dyDescent="0.25">
      <c r="A8" s="6" t="s">
        <v>163</v>
      </c>
      <c r="B8" s="7">
        <v>2</v>
      </c>
      <c r="C8" s="8"/>
      <c r="D8" s="8"/>
      <c r="E8" s="8"/>
      <c r="F8" s="8"/>
      <c r="G8" s="9">
        <f>SUM(B8:F8)</f>
        <v>2</v>
      </c>
    </row>
    <row r="9" spans="1:7" x14ac:dyDescent="0.25">
      <c r="A9" s="3" t="s">
        <v>16</v>
      </c>
      <c r="B9" s="10">
        <v>0.4236111111111111</v>
      </c>
      <c r="C9" s="11"/>
      <c r="D9" s="11"/>
      <c r="E9" s="11"/>
      <c r="F9" s="11"/>
      <c r="G9" s="12"/>
    </row>
    <row r="10" spans="1:7" x14ac:dyDescent="0.25">
      <c r="A10" s="3" t="s">
        <v>17</v>
      </c>
      <c r="B10" s="40" t="s">
        <v>124</v>
      </c>
      <c r="C10" s="40"/>
      <c r="D10" s="13"/>
      <c r="E10" s="13"/>
      <c r="F10" s="13"/>
      <c r="G10" s="37">
        <f>SUM(B10:F10)</f>
        <v>0</v>
      </c>
    </row>
    <row r="11" spans="1:7" x14ac:dyDescent="0.25">
      <c r="A11" s="59" t="s">
        <v>180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5210-ACD8-4F89-A5F0-BF04F6B09F9D}">
  <dimension ref="A1:I21"/>
  <sheetViews>
    <sheetView workbookViewId="0">
      <selection activeCell="K18" sqref="K18"/>
    </sheetView>
  </sheetViews>
  <sheetFormatPr baseColWidth="10" defaultRowHeight="15" x14ac:dyDescent="0.25"/>
  <cols>
    <col min="1" max="1" width="33.140625" customWidth="1"/>
  </cols>
  <sheetData>
    <row r="1" spans="1:9" ht="18.75" x14ac:dyDescent="0.3">
      <c r="A1" s="129" t="s">
        <v>172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173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63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>
        <v>13654</v>
      </c>
      <c r="C4" s="2">
        <v>13335</v>
      </c>
      <c r="D4" s="2">
        <v>13678</v>
      </c>
      <c r="E4" s="2">
        <v>13680</v>
      </c>
      <c r="F4" s="2">
        <v>13754</v>
      </c>
      <c r="G4" s="2">
        <v>13360</v>
      </c>
      <c r="H4" s="2">
        <v>13370</v>
      </c>
      <c r="I4" s="38" t="s">
        <v>3</v>
      </c>
    </row>
    <row r="5" spans="1:9" x14ac:dyDescent="0.25">
      <c r="A5" s="3"/>
      <c r="B5" s="4">
        <v>46154</v>
      </c>
      <c r="C5" s="4">
        <v>46161</v>
      </c>
      <c r="D5" s="4">
        <v>46162</v>
      </c>
      <c r="E5" s="4">
        <v>46162</v>
      </c>
      <c r="F5" s="4">
        <v>46170</v>
      </c>
      <c r="G5" s="4">
        <v>46171</v>
      </c>
      <c r="H5" s="11">
        <v>0.4375</v>
      </c>
      <c r="I5" s="17">
        <v>46173</v>
      </c>
    </row>
    <row r="6" spans="1:9" x14ac:dyDescent="0.25">
      <c r="A6" s="6" t="s">
        <v>6</v>
      </c>
      <c r="B6" s="7">
        <v>16</v>
      </c>
      <c r="C6" s="8">
        <v>-16</v>
      </c>
      <c r="D6" s="8"/>
      <c r="E6" s="8"/>
      <c r="F6" s="8">
        <v>12</v>
      </c>
      <c r="G6" s="8"/>
      <c r="H6" s="8">
        <v>-12</v>
      </c>
      <c r="I6" s="9">
        <f>SUM(B6:H6)</f>
        <v>0</v>
      </c>
    </row>
    <row r="7" spans="1:9" x14ac:dyDescent="0.25">
      <c r="A7" s="6" t="s">
        <v>5</v>
      </c>
      <c r="B7" s="7">
        <v>16</v>
      </c>
      <c r="C7" s="8">
        <v>-16</v>
      </c>
      <c r="D7" s="8"/>
      <c r="E7" s="8"/>
      <c r="F7" s="8">
        <v>12</v>
      </c>
      <c r="G7" s="8"/>
      <c r="H7" s="8">
        <v>-12</v>
      </c>
      <c r="I7" s="9">
        <f t="shared" ref="I7:I19" si="0">SUM(B7:H7)</f>
        <v>0</v>
      </c>
    </row>
    <row r="8" spans="1:9" x14ac:dyDescent="0.25">
      <c r="A8" s="6" t="s">
        <v>7</v>
      </c>
      <c r="B8" s="7">
        <v>12</v>
      </c>
      <c r="C8" s="8">
        <v>-12</v>
      </c>
      <c r="D8" s="8"/>
      <c r="E8" s="8"/>
      <c r="F8" s="8"/>
      <c r="G8" s="8"/>
      <c r="H8" s="8"/>
      <c r="I8" s="9">
        <f t="shared" si="0"/>
        <v>0</v>
      </c>
    </row>
    <row r="9" spans="1:9" x14ac:dyDescent="0.25">
      <c r="A9" s="6" t="s">
        <v>29</v>
      </c>
      <c r="B9" s="7">
        <v>12</v>
      </c>
      <c r="C9" s="8">
        <v>-12</v>
      </c>
      <c r="D9" s="8"/>
      <c r="E9" s="8"/>
      <c r="F9" s="8"/>
      <c r="G9" s="8"/>
      <c r="H9" s="8"/>
      <c r="I9" s="9">
        <f t="shared" si="0"/>
        <v>0</v>
      </c>
    </row>
    <row r="10" spans="1:9" x14ac:dyDescent="0.25">
      <c r="A10" s="6" t="s">
        <v>288</v>
      </c>
      <c r="B10" s="7"/>
      <c r="C10" s="8"/>
      <c r="D10" s="8"/>
      <c r="E10" s="8"/>
      <c r="F10" s="8">
        <v>6</v>
      </c>
      <c r="G10" s="8"/>
      <c r="H10" s="8">
        <v>-6</v>
      </c>
      <c r="I10" s="9">
        <f t="shared" si="0"/>
        <v>0</v>
      </c>
    </row>
    <row r="11" spans="1:9" x14ac:dyDescent="0.25">
      <c r="A11" s="6" t="s">
        <v>289</v>
      </c>
      <c r="B11" s="7"/>
      <c r="C11" s="8"/>
      <c r="D11" s="8"/>
      <c r="E11" s="8"/>
      <c r="F11" s="8">
        <v>6</v>
      </c>
      <c r="G11" s="8"/>
      <c r="H11" s="8">
        <v>-6</v>
      </c>
      <c r="I11" s="9">
        <f t="shared" si="0"/>
        <v>0</v>
      </c>
    </row>
    <row r="12" spans="1:9" x14ac:dyDescent="0.25">
      <c r="A12" s="6" t="s">
        <v>13</v>
      </c>
      <c r="B12" s="7">
        <v>28</v>
      </c>
      <c r="C12" s="8">
        <v>-28</v>
      </c>
      <c r="D12" s="8"/>
      <c r="E12" s="8"/>
      <c r="F12" s="8"/>
      <c r="G12" s="8"/>
      <c r="H12" s="8"/>
      <c r="I12" s="9">
        <f t="shared" si="0"/>
        <v>0</v>
      </c>
    </row>
    <row r="13" spans="1:9" x14ac:dyDescent="0.25">
      <c r="A13" s="6" t="s">
        <v>8</v>
      </c>
      <c r="B13" s="7">
        <v>28</v>
      </c>
      <c r="C13" s="8">
        <v>-28</v>
      </c>
      <c r="D13" s="8"/>
      <c r="E13" s="8"/>
      <c r="F13" s="8">
        <v>12</v>
      </c>
      <c r="G13" s="8"/>
      <c r="H13" s="8">
        <v>-12</v>
      </c>
      <c r="I13" s="9">
        <f t="shared" si="0"/>
        <v>0</v>
      </c>
    </row>
    <row r="14" spans="1:9" x14ac:dyDescent="0.25">
      <c r="A14" s="6" t="s">
        <v>9</v>
      </c>
      <c r="B14" s="7">
        <v>56</v>
      </c>
      <c r="C14" s="8">
        <v>-56</v>
      </c>
      <c r="D14" s="8"/>
      <c r="E14" s="8"/>
      <c r="F14" s="8">
        <v>24</v>
      </c>
      <c r="G14" s="8"/>
      <c r="H14" s="8">
        <v>-24</v>
      </c>
      <c r="I14" s="9">
        <f t="shared" si="0"/>
        <v>0</v>
      </c>
    </row>
    <row r="15" spans="1:9" x14ac:dyDescent="0.25">
      <c r="A15" s="6" t="s">
        <v>15</v>
      </c>
      <c r="B15" s="7">
        <v>2</v>
      </c>
      <c r="C15" s="8">
        <v>-2</v>
      </c>
      <c r="D15" s="8"/>
      <c r="E15" s="8"/>
      <c r="F15" s="8"/>
      <c r="G15" s="8"/>
      <c r="H15" s="8"/>
      <c r="I15" s="9">
        <f t="shared" si="0"/>
        <v>0</v>
      </c>
    </row>
    <row r="16" spans="1:9" x14ac:dyDescent="0.25">
      <c r="A16" s="6" t="s">
        <v>30</v>
      </c>
      <c r="B16" s="7"/>
      <c r="C16" s="8"/>
      <c r="D16" s="8">
        <v>35</v>
      </c>
      <c r="E16" s="8"/>
      <c r="F16" s="8"/>
      <c r="G16" s="8">
        <v>-35</v>
      </c>
      <c r="H16" s="8"/>
      <c r="I16" s="9">
        <f t="shared" si="0"/>
        <v>0</v>
      </c>
    </row>
    <row r="17" spans="1:9" x14ac:dyDescent="0.25">
      <c r="A17" s="6" t="s">
        <v>70</v>
      </c>
      <c r="B17" s="7"/>
      <c r="C17" s="8"/>
      <c r="D17" s="8">
        <v>10</v>
      </c>
      <c r="E17" s="8"/>
      <c r="F17" s="8"/>
      <c r="G17" s="8">
        <v>-10</v>
      </c>
      <c r="H17" s="8"/>
      <c r="I17" s="9">
        <f t="shared" si="0"/>
        <v>0</v>
      </c>
    </row>
    <row r="18" spans="1:9" x14ac:dyDescent="0.25">
      <c r="A18" s="6" t="s">
        <v>107</v>
      </c>
      <c r="B18" s="7"/>
      <c r="C18" s="8"/>
      <c r="D18" s="8">
        <v>12</v>
      </c>
      <c r="E18" s="8">
        <v>2</v>
      </c>
      <c r="F18" s="8"/>
      <c r="G18" s="8">
        <v>-14</v>
      </c>
      <c r="H18" s="8"/>
      <c r="I18" s="9">
        <f t="shared" si="0"/>
        <v>0</v>
      </c>
    </row>
    <row r="19" spans="1:9" x14ac:dyDescent="0.25">
      <c r="A19" s="6" t="s">
        <v>13</v>
      </c>
      <c r="B19" s="7"/>
      <c r="C19" s="8"/>
      <c r="D19" s="8">
        <v>12</v>
      </c>
      <c r="E19" s="8">
        <v>23</v>
      </c>
      <c r="F19" s="8"/>
      <c r="G19" s="8">
        <v>-23</v>
      </c>
      <c r="H19" s="8">
        <v>-12</v>
      </c>
      <c r="I19" s="9">
        <f t="shared" si="0"/>
        <v>0</v>
      </c>
    </row>
    <row r="20" spans="1:9" x14ac:dyDescent="0.25">
      <c r="A20" s="3" t="s">
        <v>16</v>
      </c>
      <c r="B20" s="10">
        <v>0.3125</v>
      </c>
      <c r="C20" s="11">
        <v>8.3333333333333329E-2</v>
      </c>
      <c r="D20" s="11">
        <v>0.4375</v>
      </c>
      <c r="E20" s="11">
        <v>0.10416666666666667</v>
      </c>
      <c r="F20" s="11">
        <v>0.375</v>
      </c>
      <c r="G20" s="11">
        <v>0.10069444444444445</v>
      </c>
      <c r="H20" s="11">
        <v>0.4375</v>
      </c>
      <c r="I20" s="12"/>
    </row>
    <row r="21" spans="1:9" x14ac:dyDescent="0.25">
      <c r="A21" s="3" t="s">
        <v>17</v>
      </c>
      <c r="B21" s="40"/>
      <c r="C21" s="13"/>
      <c r="D21" s="13">
        <v>80000</v>
      </c>
      <c r="E21" s="13" t="s">
        <v>202</v>
      </c>
      <c r="F21" s="13">
        <v>80000</v>
      </c>
      <c r="G21" s="13"/>
      <c r="H21" s="13"/>
      <c r="I21" s="37">
        <f t="shared" ref="I21" si="1">SUM(B21:F21)</f>
        <v>160000</v>
      </c>
    </row>
  </sheetData>
  <mergeCells count="3"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A6E8-5851-4222-9DAD-3C46F8525F50}">
  <dimension ref="A1:G33"/>
  <sheetViews>
    <sheetView topLeftCell="A21" workbookViewId="0">
      <selection activeCell="B33" sqref="B33"/>
    </sheetView>
  </sheetViews>
  <sheetFormatPr baseColWidth="10" defaultRowHeight="15" x14ac:dyDescent="0.25"/>
  <cols>
    <col min="1" max="1" width="21.85546875" bestFit="1" customWidth="1"/>
    <col min="2" max="2" width="14.42578125" customWidth="1"/>
    <col min="3" max="3" width="14.85546875" customWidth="1"/>
    <col min="5" max="5" width="16" customWidth="1"/>
    <col min="6" max="6" width="17.85546875" customWidth="1"/>
  </cols>
  <sheetData>
    <row r="1" spans="1:7" ht="18.75" x14ac:dyDescent="0.3">
      <c r="A1" s="129" t="s">
        <v>181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182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13658</v>
      </c>
      <c r="C4" s="2">
        <v>13332</v>
      </c>
      <c r="D4" s="2"/>
      <c r="E4" s="2"/>
      <c r="F4" s="2"/>
      <c r="G4" s="38" t="s">
        <v>3</v>
      </c>
    </row>
    <row r="5" spans="1:7" x14ac:dyDescent="0.25">
      <c r="A5" s="3"/>
      <c r="B5" s="4">
        <v>46155</v>
      </c>
      <c r="C5" s="4">
        <v>46158</v>
      </c>
      <c r="D5" s="4"/>
      <c r="E5" s="4"/>
      <c r="F5" s="4"/>
      <c r="G5" s="17">
        <v>46173</v>
      </c>
    </row>
    <row r="6" spans="1:7" x14ac:dyDescent="0.25">
      <c r="A6" s="6" t="s">
        <v>6</v>
      </c>
      <c r="B6" s="7">
        <v>16</v>
      </c>
      <c r="C6" s="8">
        <v>-16</v>
      </c>
      <c r="D6" s="8"/>
      <c r="E6" s="8"/>
      <c r="F6" s="8"/>
      <c r="G6" s="9">
        <f t="shared" ref="G6" si="0">SUM(B6:F6)</f>
        <v>0</v>
      </c>
    </row>
    <row r="7" spans="1:7" x14ac:dyDescent="0.25">
      <c r="A7" s="6" t="s">
        <v>29</v>
      </c>
      <c r="B7" s="7">
        <v>16</v>
      </c>
      <c r="C7" s="8">
        <v>-16</v>
      </c>
      <c r="D7" s="8"/>
      <c r="E7" s="8"/>
      <c r="F7" s="8"/>
      <c r="G7" s="9">
        <f t="shared" ref="G7:G15" si="1">SUM(B7:F7)</f>
        <v>0</v>
      </c>
    </row>
    <row r="8" spans="1:7" x14ac:dyDescent="0.25">
      <c r="A8" s="6" t="s">
        <v>12</v>
      </c>
      <c r="B8" s="7">
        <v>600</v>
      </c>
      <c r="C8" s="8">
        <v>-600</v>
      </c>
      <c r="D8" s="8"/>
      <c r="E8" s="8"/>
      <c r="F8" s="8"/>
      <c r="G8" s="9">
        <f t="shared" si="1"/>
        <v>0</v>
      </c>
    </row>
    <row r="9" spans="1:7" x14ac:dyDescent="0.25">
      <c r="A9" s="6" t="s">
        <v>13</v>
      </c>
      <c r="B9" s="7">
        <v>20</v>
      </c>
      <c r="C9" s="8">
        <v>-20</v>
      </c>
      <c r="D9" s="8"/>
      <c r="E9" s="8"/>
      <c r="F9" s="8"/>
      <c r="G9" s="9">
        <f t="shared" si="1"/>
        <v>0</v>
      </c>
    </row>
    <row r="10" spans="1:7" x14ac:dyDescent="0.25">
      <c r="A10" s="6" t="s">
        <v>8</v>
      </c>
      <c r="B10" s="7">
        <v>14</v>
      </c>
      <c r="C10" s="8">
        <v>-14</v>
      </c>
      <c r="D10" s="8"/>
      <c r="E10" s="8"/>
      <c r="F10" s="8"/>
      <c r="G10" s="9">
        <f t="shared" si="1"/>
        <v>0</v>
      </c>
    </row>
    <row r="11" spans="1:7" x14ac:dyDescent="0.25">
      <c r="A11" s="6" t="s">
        <v>9</v>
      </c>
      <c r="B11" s="7">
        <v>28</v>
      </c>
      <c r="C11" s="8">
        <v>-28</v>
      </c>
      <c r="D11" s="8"/>
      <c r="E11" s="8"/>
      <c r="F11" s="8"/>
      <c r="G11" s="9">
        <f t="shared" si="1"/>
        <v>0</v>
      </c>
    </row>
    <row r="12" spans="1:7" x14ac:dyDescent="0.25">
      <c r="A12" s="6" t="s">
        <v>54</v>
      </c>
      <c r="B12" s="7">
        <v>2</v>
      </c>
      <c r="C12" s="8">
        <v>-2</v>
      </c>
      <c r="D12" s="8"/>
      <c r="E12" s="8"/>
      <c r="F12" s="8"/>
      <c r="G12" s="9">
        <f t="shared" si="1"/>
        <v>0</v>
      </c>
    </row>
    <row r="13" spans="1:7" x14ac:dyDescent="0.25">
      <c r="A13" s="6" t="s">
        <v>15</v>
      </c>
      <c r="B13" s="7">
        <v>1</v>
      </c>
      <c r="C13" s="8">
        <v>-1</v>
      </c>
      <c r="D13" s="8"/>
      <c r="E13" s="8"/>
      <c r="F13" s="8"/>
      <c r="G13" s="9">
        <f t="shared" si="1"/>
        <v>0</v>
      </c>
    </row>
    <row r="14" spans="1:7" x14ac:dyDescent="0.25">
      <c r="A14" s="3" t="s">
        <v>16</v>
      </c>
      <c r="B14" s="10">
        <v>0.3125</v>
      </c>
      <c r="C14" s="11">
        <v>0.41666666666666669</v>
      </c>
      <c r="D14" s="11"/>
      <c r="E14" s="11"/>
      <c r="F14" s="11"/>
      <c r="G14" s="12"/>
    </row>
    <row r="15" spans="1:7" x14ac:dyDescent="0.25">
      <c r="A15" s="3" t="s">
        <v>17</v>
      </c>
      <c r="B15" s="40"/>
      <c r="C15" s="13"/>
      <c r="D15" s="13"/>
      <c r="E15" s="13"/>
      <c r="F15" s="13"/>
      <c r="G15" s="37">
        <f t="shared" si="1"/>
        <v>0</v>
      </c>
    </row>
    <row r="16" spans="1:7" ht="15.75" thickBot="1" x14ac:dyDescent="0.3"/>
    <row r="17" spans="1:7" x14ac:dyDescent="0.25">
      <c r="A17" s="151" t="s">
        <v>337</v>
      </c>
      <c r="B17" s="152"/>
      <c r="C17" s="152"/>
      <c r="D17" s="152"/>
      <c r="E17" s="152"/>
      <c r="F17" s="153"/>
    </row>
    <row r="18" spans="1:7" x14ac:dyDescent="0.25">
      <c r="A18" s="177" t="s">
        <v>338</v>
      </c>
      <c r="B18" s="149"/>
      <c r="C18" s="149"/>
      <c r="D18" s="149"/>
      <c r="E18" s="149"/>
      <c r="F18" s="178"/>
    </row>
    <row r="19" spans="1:7" ht="18" x14ac:dyDescent="0.25">
      <c r="A19" s="170" t="s">
        <v>339</v>
      </c>
      <c r="B19" s="155"/>
      <c r="C19" s="155"/>
      <c r="D19" s="155"/>
      <c r="E19" s="155"/>
      <c r="F19" s="171"/>
      <c r="G19" s="107">
        <v>46155</v>
      </c>
    </row>
    <row r="20" spans="1:7" x14ac:dyDescent="0.25">
      <c r="A20" s="157" t="s">
        <v>2</v>
      </c>
      <c r="B20" s="158" t="s">
        <v>264</v>
      </c>
      <c r="C20" s="158"/>
      <c r="D20" s="158"/>
      <c r="E20" s="158" t="s">
        <v>265</v>
      </c>
      <c r="F20" s="172"/>
    </row>
    <row r="21" spans="1:7" x14ac:dyDescent="0.25">
      <c r="A21" s="157"/>
      <c r="B21" s="67" t="s">
        <v>266</v>
      </c>
      <c r="C21" s="67" t="s">
        <v>267</v>
      </c>
      <c r="D21" s="67" t="s">
        <v>268</v>
      </c>
      <c r="E21" s="67" t="s">
        <v>269</v>
      </c>
      <c r="F21" s="88" t="s">
        <v>270</v>
      </c>
    </row>
    <row r="22" spans="1:7" x14ac:dyDescent="0.25">
      <c r="A22" s="89" t="s">
        <v>6</v>
      </c>
      <c r="B22" s="90">
        <v>5</v>
      </c>
      <c r="C22" s="91">
        <v>16</v>
      </c>
      <c r="D22" s="92">
        <v>320</v>
      </c>
      <c r="E22" s="72">
        <f t="shared" ref="E22:E27" si="2">C22*D22</f>
        <v>5120</v>
      </c>
      <c r="F22" s="93">
        <f t="shared" ref="F22:F27" si="3">B22*E22</f>
        <v>25600</v>
      </c>
    </row>
    <row r="23" spans="1:7" x14ac:dyDescent="0.25">
      <c r="A23" s="94" t="s">
        <v>29</v>
      </c>
      <c r="B23" s="95">
        <v>5</v>
      </c>
      <c r="C23" s="96">
        <v>16</v>
      </c>
      <c r="D23" s="97">
        <v>300</v>
      </c>
      <c r="E23" s="72">
        <f t="shared" si="2"/>
        <v>4800</v>
      </c>
      <c r="F23" s="72">
        <f t="shared" si="3"/>
        <v>24000</v>
      </c>
    </row>
    <row r="24" spans="1:7" x14ac:dyDescent="0.25">
      <c r="A24" s="94" t="s">
        <v>340</v>
      </c>
      <c r="B24" s="95">
        <v>5</v>
      </c>
      <c r="C24" s="96">
        <v>20</v>
      </c>
      <c r="D24" s="97">
        <v>200</v>
      </c>
      <c r="E24" s="72">
        <f t="shared" si="2"/>
        <v>4000</v>
      </c>
      <c r="F24" s="72">
        <f t="shared" si="3"/>
        <v>20000</v>
      </c>
    </row>
    <row r="25" spans="1:7" x14ac:dyDescent="0.25">
      <c r="A25" s="94" t="s">
        <v>8</v>
      </c>
      <c r="B25" s="95">
        <v>5</v>
      </c>
      <c r="C25" s="96">
        <v>16</v>
      </c>
      <c r="D25" s="97">
        <v>150</v>
      </c>
      <c r="E25" s="72">
        <f t="shared" si="2"/>
        <v>2400</v>
      </c>
      <c r="F25" s="72">
        <f t="shared" si="3"/>
        <v>12000</v>
      </c>
    </row>
    <row r="26" spans="1:7" x14ac:dyDescent="0.25">
      <c r="A26" s="89" t="s">
        <v>9</v>
      </c>
      <c r="B26" s="98">
        <v>5</v>
      </c>
      <c r="C26" s="99">
        <v>32</v>
      </c>
      <c r="D26" s="100">
        <v>90</v>
      </c>
      <c r="E26" s="101">
        <f t="shared" si="2"/>
        <v>2880</v>
      </c>
      <c r="F26" s="72">
        <f t="shared" si="3"/>
        <v>14400</v>
      </c>
    </row>
    <row r="27" spans="1:7" x14ac:dyDescent="0.25">
      <c r="A27" s="89" t="s">
        <v>149</v>
      </c>
      <c r="B27" s="98">
        <v>5</v>
      </c>
      <c r="C27" s="99">
        <v>600</v>
      </c>
      <c r="D27" s="100">
        <v>28</v>
      </c>
      <c r="E27" s="101">
        <f t="shared" si="2"/>
        <v>16800</v>
      </c>
      <c r="F27" s="72">
        <f t="shared" si="3"/>
        <v>84000</v>
      </c>
    </row>
    <row r="28" spans="1:7" ht="19.5" thickBot="1" x14ac:dyDescent="0.45">
      <c r="A28" s="162" t="s">
        <v>272</v>
      </c>
      <c r="B28" s="163"/>
      <c r="C28" s="167" t="s">
        <v>341</v>
      </c>
      <c r="D28" s="167"/>
      <c r="E28" s="75">
        <f>SUM(E22:E27)</f>
        <v>36000</v>
      </c>
      <c r="F28" s="102"/>
    </row>
    <row r="29" spans="1:7" ht="18.75" x14ac:dyDescent="0.4">
      <c r="A29" s="162"/>
      <c r="B29" s="163"/>
      <c r="C29" s="173" t="s">
        <v>342</v>
      </c>
      <c r="D29" s="173"/>
      <c r="E29" s="103">
        <f>SUM(F22:F27)</f>
        <v>180000</v>
      </c>
      <c r="F29" s="102"/>
    </row>
    <row r="30" spans="1:7" ht="18.75" x14ac:dyDescent="0.3">
      <c r="A30" s="162"/>
      <c r="B30" s="163"/>
      <c r="C30" s="159" t="s">
        <v>343</v>
      </c>
      <c r="D30" s="174"/>
      <c r="E30" s="104">
        <v>120000</v>
      </c>
      <c r="F30" s="102"/>
    </row>
    <row r="31" spans="1:7" ht="19.5" thickBot="1" x14ac:dyDescent="0.35">
      <c r="A31" s="164"/>
      <c r="B31" s="165"/>
      <c r="C31" s="175" t="s">
        <v>344</v>
      </c>
      <c r="D31" s="176"/>
      <c r="E31" s="105">
        <f>E29+E30</f>
        <v>300000</v>
      </c>
      <c r="F31" s="106"/>
    </row>
    <row r="32" spans="1:7" x14ac:dyDescent="0.25">
      <c r="A32" t="s">
        <v>360</v>
      </c>
      <c r="B32" t="s">
        <v>362</v>
      </c>
      <c r="C32" s="107">
        <v>46155</v>
      </c>
      <c r="E32">
        <v>500000</v>
      </c>
    </row>
    <row r="33" spans="1:5" x14ac:dyDescent="0.25">
      <c r="A33" t="s">
        <v>361</v>
      </c>
      <c r="E33" s="66">
        <f>E31-E32</f>
        <v>-200000</v>
      </c>
    </row>
  </sheetData>
  <mergeCells count="14">
    <mergeCell ref="A1:G1"/>
    <mergeCell ref="A2:G2"/>
    <mergeCell ref="A3:G3"/>
    <mergeCell ref="A17:F17"/>
    <mergeCell ref="A18:F18"/>
    <mergeCell ref="A19:F19"/>
    <mergeCell ref="A20:A21"/>
    <mergeCell ref="B20:D20"/>
    <mergeCell ref="E20:F20"/>
    <mergeCell ref="A28:B31"/>
    <mergeCell ref="C28:D28"/>
    <mergeCell ref="C29:D29"/>
    <mergeCell ref="C30:D30"/>
    <mergeCell ref="C31:D3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80BF-A245-4F31-BD6B-BE1D12AD4496}">
  <dimension ref="A1:F21"/>
  <sheetViews>
    <sheetView workbookViewId="0">
      <selection activeCell="A22" sqref="A22"/>
    </sheetView>
  </sheetViews>
  <sheetFormatPr baseColWidth="10" defaultRowHeight="15" x14ac:dyDescent="0.25"/>
  <cols>
    <col min="1" max="1" width="29.5703125" bestFit="1" customWidth="1"/>
  </cols>
  <sheetData>
    <row r="1" spans="1:6" ht="18.75" x14ac:dyDescent="0.3">
      <c r="A1" s="145" t="s">
        <v>64</v>
      </c>
      <c r="B1" s="132"/>
      <c r="C1" s="132"/>
      <c r="D1" s="132"/>
      <c r="E1" s="132"/>
      <c r="F1" s="144"/>
    </row>
    <row r="2" spans="1:6" ht="18.75" x14ac:dyDescent="0.3">
      <c r="A2" s="145" t="s">
        <v>65</v>
      </c>
      <c r="B2" s="132"/>
      <c r="C2" s="132"/>
      <c r="D2" s="132"/>
      <c r="E2" s="132"/>
      <c r="F2" s="144"/>
    </row>
    <row r="3" spans="1:6" ht="18.75" x14ac:dyDescent="0.3">
      <c r="A3" s="145" t="s">
        <v>66</v>
      </c>
      <c r="B3" s="132"/>
      <c r="C3" s="132"/>
      <c r="D3" s="132"/>
      <c r="E3" s="132"/>
      <c r="F3" s="144"/>
    </row>
    <row r="4" spans="1:6" x14ac:dyDescent="0.25">
      <c r="A4" s="146" t="s">
        <v>2</v>
      </c>
      <c r="B4" s="41">
        <v>13540</v>
      </c>
      <c r="C4" s="12">
        <v>13656</v>
      </c>
      <c r="D4" s="12"/>
      <c r="E4" s="12"/>
      <c r="F4" s="41" t="s">
        <v>49</v>
      </c>
    </row>
    <row r="5" spans="1:6" x14ac:dyDescent="0.25">
      <c r="A5" s="147"/>
      <c r="B5" s="4">
        <v>46120</v>
      </c>
      <c r="C5" s="4">
        <v>46154</v>
      </c>
      <c r="D5" s="4"/>
      <c r="E5" s="4"/>
      <c r="F5" s="4">
        <v>46173</v>
      </c>
    </row>
    <row r="6" spans="1:6" x14ac:dyDescent="0.25">
      <c r="A6" s="34" t="s">
        <v>53</v>
      </c>
      <c r="B6" s="21">
        <v>17</v>
      </c>
      <c r="C6" s="22"/>
      <c r="D6" s="22"/>
      <c r="E6" s="22"/>
      <c r="F6" s="42">
        <f t="shared" ref="F6:F12" si="0">SUM(B6:E6)</f>
        <v>17</v>
      </c>
    </row>
    <row r="7" spans="1:6" x14ac:dyDescent="0.25">
      <c r="A7" s="34" t="s">
        <v>58</v>
      </c>
      <c r="B7" s="21">
        <v>2</v>
      </c>
      <c r="C7" s="22"/>
      <c r="D7" s="22"/>
      <c r="E7" s="22"/>
      <c r="F7" s="42">
        <f t="shared" si="0"/>
        <v>2</v>
      </c>
    </row>
    <row r="8" spans="1:6" x14ac:dyDescent="0.25">
      <c r="A8" s="34" t="s">
        <v>67</v>
      </c>
      <c r="B8" s="21">
        <v>2</v>
      </c>
      <c r="C8" s="22"/>
      <c r="D8" s="22"/>
      <c r="E8" s="22"/>
      <c r="F8" s="42">
        <f t="shared" si="0"/>
        <v>2</v>
      </c>
    </row>
    <row r="9" spans="1:6" x14ac:dyDescent="0.25">
      <c r="A9" s="34" t="s">
        <v>68</v>
      </c>
      <c r="B9" s="21">
        <v>34</v>
      </c>
      <c r="C9" s="22"/>
      <c r="D9" s="22"/>
      <c r="E9" s="22"/>
      <c r="F9" s="42">
        <f t="shared" si="0"/>
        <v>34</v>
      </c>
    </row>
    <row r="10" spans="1:6" x14ac:dyDescent="0.25">
      <c r="A10" s="34" t="s">
        <v>13</v>
      </c>
      <c r="B10" s="21">
        <v>60</v>
      </c>
      <c r="C10" s="22"/>
      <c r="D10" s="22"/>
      <c r="E10" s="22"/>
      <c r="F10" s="42">
        <f t="shared" si="0"/>
        <v>60</v>
      </c>
    </row>
    <row r="11" spans="1:6" x14ac:dyDescent="0.25">
      <c r="A11" s="34" t="s">
        <v>69</v>
      </c>
      <c r="B11" s="21">
        <v>2</v>
      </c>
      <c r="C11" s="22"/>
      <c r="D11" s="22"/>
      <c r="E11" s="22"/>
      <c r="F11" s="42">
        <f t="shared" si="0"/>
        <v>2</v>
      </c>
    </row>
    <row r="12" spans="1:6" x14ac:dyDescent="0.25">
      <c r="A12" s="34" t="s">
        <v>70</v>
      </c>
      <c r="B12" s="21">
        <v>20</v>
      </c>
      <c r="C12" s="22"/>
      <c r="D12" s="22"/>
      <c r="E12" s="22"/>
      <c r="F12" s="42">
        <f t="shared" si="0"/>
        <v>20</v>
      </c>
    </row>
    <row r="13" spans="1:6" x14ac:dyDescent="0.25">
      <c r="A13" s="34" t="s">
        <v>5</v>
      </c>
      <c r="B13" s="21"/>
      <c r="C13" s="22">
        <v>10</v>
      </c>
      <c r="D13" s="22">
        <v>-10</v>
      </c>
      <c r="E13" s="22"/>
      <c r="F13" s="58">
        <f t="shared" ref="F13:F19" si="1">SUM(C13:E13)</f>
        <v>0</v>
      </c>
    </row>
    <row r="14" spans="1:6" x14ac:dyDescent="0.25">
      <c r="A14" s="34" t="s">
        <v>29</v>
      </c>
      <c r="B14" s="21"/>
      <c r="C14" s="22">
        <v>26</v>
      </c>
      <c r="D14" s="22">
        <v>-26</v>
      </c>
      <c r="E14" s="22"/>
      <c r="F14" s="58">
        <f t="shared" si="1"/>
        <v>0</v>
      </c>
    </row>
    <row r="15" spans="1:6" x14ac:dyDescent="0.25">
      <c r="A15" s="34" t="s">
        <v>7</v>
      </c>
      <c r="B15" s="21"/>
      <c r="C15" s="22">
        <v>8</v>
      </c>
      <c r="D15" s="22">
        <v>-8</v>
      </c>
      <c r="E15" s="22"/>
      <c r="F15" s="58">
        <f t="shared" si="1"/>
        <v>0</v>
      </c>
    </row>
    <row r="16" spans="1:6" x14ac:dyDescent="0.25">
      <c r="A16" s="34" t="s">
        <v>8</v>
      </c>
      <c r="B16" s="21"/>
      <c r="C16" s="22">
        <v>20</v>
      </c>
      <c r="D16" s="22">
        <v>-20</v>
      </c>
      <c r="E16" s="22"/>
      <c r="F16" s="58">
        <f t="shared" si="1"/>
        <v>0</v>
      </c>
    </row>
    <row r="17" spans="1:6" x14ac:dyDescent="0.25">
      <c r="A17" s="34" t="s">
        <v>9</v>
      </c>
      <c r="B17" s="21"/>
      <c r="C17" s="22">
        <v>34</v>
      </c>
      <c r="D17" s="22">
        <v>-34</v>
      </c>
      <c r="E17" s="22"/>
      <c r="F17" s="58">
        <f t="shared" si="1"/>
        <v>0</v>
      </c>
    </row>
    <row r="18" spans="1:6" x14ac:dyDescent="0.25">
      <c r="A18" s="34" t="s">
        <v>12</v>
      </c>
      <c r="B18" s="21"/>
      <c r="C18" s="22">
        <v>400</v>
      </c>
      <c r="D18" s="22">
        <v>-400</v>
      </c>
      <c r="E18" s="22"/>
      <c r="F18" s="58">
        <f t="shared" si="1"/>
        <v>0</v>
      </c>
    </row>
    <row r="19" spans="1:6" x14ac:dyDescent="0.25">
      <c r="A19" s="34" t="s">
        <v>15</v>
      </c>
      <c r="B19" s="21"/>
      <c r="C19" s="22">
        <v>2</v>
      </c>
      <c r="D19" s="22">
        <v>-2</v>
      </c>
      <c r="E19" s="22"/>
      <c r="F19" s="58">
        <f t="shared" si="1"/>
        <v>0</v>
      </c>
    </row>
    <row r="20" spans="1:6" x14ac:dyDescent="0.25">
      <c r="A20" s="43" t="s">
        <v>32</v>
      </c>
      <c r="B20" s="11">
        <v>0.10416666666666667</v>
      </c>
      <c r="C20" s="10" t="s">
        <v>168</v>
      </c>
      <c r="D20" s="10" t="s">
        <v>216</v>
      </c>
      <c r="E20" s="10"/>
      <c r="F20" s="12"/>
    </row>
    <row r="21" spans="1:6" x14ac:dyDescent="0.25">
      <c r="A21" s="43" t="s">
        <v>33</v>
      </c>
      <c r="B21" s="44">
        <v>90000</v>
      </c>
      <c r="C21" s="44">
        <v>50000</v>
      </c>
      <c r="D21" s="44">
        <v>50000</v>
      </c>
      <c r="E21" s="44"/>
      <c r="F21" s="37"/>
    </row>
  </sheetData>
  <mergeCells count="4">
    <mergeCell ref="A1:F1"/>
    <mergeCell ref="A2:F2"/>
    <mergeCell ref="A3:F3"/>
    <mergeCell ref="A4:A5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7AC7-990E-4CD2-8E49-4301342A6271}">
  <dimension ref="A1:G12"/>
  <sheetViews>
    <sheetView workbookViewId="0">
      <selection sqref="A1:G11"/>
    </sheetView>
  </sheetViews>
  <sheetFormatPr baseColWidth="10" defaultRowHeight="15" x14ac:dyDescent="0.25"/>
  <cols>
    <col min="1" max="1" width="25.7109375" bestFit="1" customWidth="1"/>
  </cols>
  <sheetData>
    <row r="1" spans="1:7" ht="18.75" x14ac:dyDescent="0.3">
      <c r="A1" s="129" t="s">
        <v>121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122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13642</v>
      </c>
      <c r="C4" s="2">
        <v>13642</v>
      </c>
      <c r="D4" s="2"/>
      <c r="E4" s="2"/>
      <c r="F4" s="2"/>
      <c r="G4" s="38" t="s">
        <v>3</v>
      </c>
    </row>
    <row r="5" spans="1:7" x14ac:dyDescent="0.25">
      <c r="A5" s="3"/>
      <c r="B5" s="4">
        <v>46150</v>
      </c>
      <c r="C5" s="4">
        <v>46150</v>
      </c>
      <c r="D5" s="4"/>
      <c r="E5" s="4"/>
      <c r="F5" s="4"/>
      <c r="G5" s="17">
        <v>46173</v>
      </c>
    </row>
    <row r="6" spans="1:7" x14ac:dyDescent="0.25">
      <c r="A6" s="6" t="s">
        <v>123</v>
      </c>
      <c r="B6" s="7">
        <v>1</v>
      </c>
      <c r="C6" s="8">
        <v>-1</v>
      </c>
      <c r="D6" s="8"/>
      <c r="E6" s="8"/>
      <c r="F6" s="8"/>
      <c r="G6" s="9">
        <f>SUM(B6:F6)</f>
        <v>0</v>
      </c>
    </row>
    <row r="7" spans="1:7" x14ac:dyDescent="0.25">
      <c r="A7" s="6"/>
      <c r="B7" s="7"/>
      <c r="C7" s="8"/>
      <c r="D7" s="8"/>
      <c r="E7" s="8"/>
      <c r="F7" s="8"/>
      <c r="G7" s="9">
        <f>SUM(C7:F7)</f>
        <v>0</v>
      </c>
    </row>
    <row r="8" spans="1:7" x14ac:dyDescent="0.25">
      <c r="A8" s="6"/>
      <c r="B8" s="7"/>
      <c r="C8" s="8"/>
      <c r="D8" s="8"/>
      <c r="E8" s="8"/>
      <c r="F8" s="8"/>
      <c r="G8" s="9">
        <f>SUM(C8:F8)</f>
        <v>0</v>
      </c>
    </row>
    <row r="9" spans="1:7" x14ac:dyDescent="0.25">
      <c r="A9" s="6"/>
      <c r="B9" s="7"/>
      <c r="C9" s="8"/>
      <c r="D9" s="8"/>
      <c r="E9" s="8"/>
      <c r="F9" s="8"/>
      <c r="G9" s="9">
        <f>SUM(C9:F9)</f>
        <v>0</v>
      </c>
    </row>
    <row r="10" spans="1:7" x14ac:dyDescent="0.25">
      <c r="A10" s="3" t="s">
        <v>16</v>
      </c>
      <c r="B10" s="10">
        <v>0.47916666666666669</v>
      </c>
      <c r="C10" s="11">
        <v>9.7222222222222224E-2</v>
      </c>
      <c r="D10" s="11"/>
      <c r="E10" s="11"/>
      <c r="F10" s="11"/>
      <c r="G10" s="12"/>
    </row>
    <row r="11" spans="1:7" x14ac:dyDescent="0.25">
      <c r="A11" s="3" t="s">
        <v>17</v>
      </c>
      <c r="B11" s="40" t="s">
        <v>124</v>
      </c>
      <c r="C11" s="40" t="s">
        <v>124</v>
      </c>
      <c r="D11" s="13"/>
      <c r="E11" s="13"/>
      <c r="F11" s="13"/>
      <c r="G11" s="37">
        <f>SUM(B11:F11)</f>
        <v>0</v>
      </c>
    </row>
    <row r="12" spans="1:7" x14ac:dyDescent="0.25">
      <c r="A12" s="46"/>
      <c r="B12" s="4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A520-4BEE-43C5-9C6B-DABC5186EB0B}">
  <sheetPr>
    <pageSetUpPr fitToPage="1"/>
  </sheetPr>
  <dimension ref="A1:L17"/>
  <sheetViews>
    <sheetView workbookViewId="0">
      <selection activeCell="J8" sqref="J8"/>
    </sheetView>
  </sheetViews>
  <sheetFormatPr baseColWidth="10" defaultRowHeight="15" x14ac:dyDescent="0.25"/>
  <cols>
    <col min="1" max="1" width="30.42578125" customWidth="1"/>
  </cols>
  <sheetData>
    <row r="1" spans="1:12" ht="18.75" x14ac:dyDescent="0.3">
      <c r="A1" s="129" t="s">
        <v>320</v>
      </c>
      <c r="B1" s="130"/>
      <c r="C1" s="130"/>
      <c r="D1" s="130"/>
      <c r="E1" s="130"/>
      <c r="F1" s="130"/>
      <c r="G1" s="135"/>
    </row>
    <row r="2" spans="1:12" ht="18.75" x14ac:dyDescent="0.3">
      <c r="A2" s="179" t="s">
        <v>321</v>
      </c>
      <c r="B2" s="132"/>
      <c r="C2" s="132"/>
      <c r="D2" s="132"/>
      <c r="E2" s="132"/>
      <c r="F2" s="132"/>
      <c r="G2" s="136"/>
    </row>
    <row r="3" spans="1:12" ht="18.75" x14ac:dyDescent="0.3">
      <c r="A3" s="131" t="s">
        <v>63</v>
      </c>
      <c r="B3" s="132"/>
      <c r="C3" s="132"/>
      <c r="D3" s="132"/>
      <c r="E3" s="132"/>
      <c r="F3" s="132"/>
      <c r="G3" s="132"/>
    </row>
    <row r="4" spans="1:12" x14ac:dyDescent="0.25">
      <c r="A4" s="1" t="s">
        <v>2</v>
      </c>
      <c r="B4" s="2">
        <v>13751</v>
      </c>
      <c r="C4" s="2">
        <v>13371</v>
      </c>
      <c r="D4" s="2"/>
      <c r="E4" s="2"/>
      <c r="F4" s="2"/>
      <c r="G4" s="38" t="s">
        <v>3</v>
      </c>
    </row>
    <row r="5" spans="1:12" x14ac:dyDescent="0.25">
      <c r="A5" s="3"/>
      <c r="B5" s="4">
        <v>46169</v>
      </c>
      <c r="C5" s="4">
        <v>46175</v>
      </c>
      <c r="D5" s="4"/>
      <c r="E5" s="4"/>
      <c r="F5" s="4"/>
      <c r="G5" s="17">
        <v>46173</v>
      </c>
    </row>
    <row r="6" spans="1:12" x14ac:dyDescent="0.25">
      <c r="A6" s="6" t="s">
        <v>5</v>
      </c>
      <c r="B6" s="7">
        <v>16</v>
      </c>
      <c r="C6" s="8">
        <v>-16</v>
      </c>
      <c r="D6" s="8"/>
      <c r="E6" s="8"/>
      <c r="F6" s="8"/>
      <c r="G6" s="9">
        <f t="shared" ref="G6:G16" si="0">SUM(B6:F6)</f>
        <v>0</v>
      </c>
    </row>
    <row r="7" spans="1:12" x14ac:dyDescent="0.25">
      <c r="A7" s="6" t="s">
        <v>29</v>
      </c>
      <c r="B7" s="7">
        <v>16</v>
      </c>
      <c r="C7" s="8">
        <v>-16</v>
      </c>
      <c r="D7" s="8"/>
      <c r="E7" s="8"/>
      <c r="F7" s="8"/>
      <c r="G7" s="9">
        <f t="shared" si="0"/>
        <v>0</v>
      </c>
    </row>
    <row r="8" spans="1:12" x14ac:dyDescent="0.25">
      <c r="A8" s="6" t="s">
        <v>12</v>
      </c>
      <c r="B8" s="7">
        <v>400</v>
      </c>
      <c r="C8" s="8">
        <v>-400</v>
      </c>
      <c r="D8" s="8"/>
      <c r="E8" s="8"/>
      <c r="F8" s="8"/>
      <c r="G8" s="9">
        <f t="shared" si="0"/>
        <v>0</v>
      </c>
    </row>
    <row r="9" spans="1:12" x14ac:dyDescent="0.25">
      <c r="A9" s="6" t="s">
        <v>27</v>
      </c>
      <c r="B9" s="7">
        <v>20</v>
      </c>
      <c r="C9" s="8">
        <v>-20</v>
      </c>
      <c r="D9" s="8"/>
      <c r="E9" s="8"/>
      <c r="F9" s="8"/>
      <c r="G9" s="9">
        <f t="shared" si="0"/>
        <v>0</v>
      </c>
    </row>
    <row r="10" spans="1:12" x14ac:dyDescent="0.25">
      <c r="A10" s="6" t="s">
        <v>322</v>
      </c>
      <c r="B10" s="7">
        <v>8</v>
      </c>
      <c r="C10" s="8">
        <v>-7</v>
      </c>
      <c r="D10" s="8"/>
      <c r="E10" s="8"/>
      <c r="F10" s="8"/>
      <c r="G10" s="42">
        <f t="shared" si="0"/>
        <v>1</v>
      </c>
    </row>
    <row r="11" spans="1:12" x14ac:dyDescent="0.25">
      <c r="A11" s="6" t="s">
        <v>323</v>
      </c>
      <c r="B11" s="7">
        <v>3</v>
      </c>
      <c r="C11" s="8">
        <v>-2</v>
      </c>
      <c r="D11" s="8"/>
      <c r="E11" s="8"/>
      <c r="F11" s="8"/>
      <c r="G11" s="42">
        <f t="shared" si="0"/>
        <v>1</v>
      </c>
      <c r="L11" t="s">
        <v>287</v>
      </c>
    </row>
    <row r="12" spans="1:12" x14ac:dyDescent="0.25">
      <c r="A12" s="6" t="s">
        <v>8</v>
      </c>
      <c r="B12" s="7">
        <v>16</v>
      </c>
      <c r="C12" s="8">
        <v>-16</v>
      </c>
      <c r="D12" s="8"/>
      <c r="E12" s="8"/>
      <c r="F12" s="8"/>
      <c r="G12" s="9">
        <f t="shared" si="0"/>
        <v>0</v>
      </c>
    </row>
    <row r="13" spans="1:12" x14ac:dyDescent="0.25">
      <c r="A13" s="6" t="s">
        <v>9</v>
      </c>
      <c r="B13" s="7">
        <v>32</v>
      </c>
      <c r="C13" s="8">
        <v>-32</v>
      </c>
      <c r="D13" s="8"/>
      <c r="E13" s="8"/>
      <c r="F13" s="8"/>
      <c r="G13" s="9">
        <f t="shared" si="0"/>
        <v>0</v>
      </c>
    </row>
    <row r="14" spans="1:12" x14ac:dyDescent="0.25">
      <c r="A14" s="6" t="s">
        <v>188</v>
      </c>
      <c r="B14" s="7">
        <v>1</v>
      </c>
      <c r="C14" s="8">
        <v>-1</v>
      </c>
      <c r="D14" s="8"/>
      <c r="E14" s="8"/>
      <c r="F14" s="8"/>
      <c r="G14" s="9">
        <f t="shared" si="0"/>
        <v>0</v>
      </c>
    </row>
    <row r="15" spans="1:12" x14ac:dyDescent="0.25">
      <c r="A15" s="6" t="s">
        <v>324</v>
      </c>
      <c r="B15" s="7">
        <v>22</v>
      </c>
      <c r="C15" s="8">
        <v>-22</v>
      </c>
      <c r="D15" s="8"/>
      <c r="E15" s="8"/>
      <c r="F15" s="8"/>
      <c r="G15" s="9">
        <f t="shared" si="0"/>
        <v>0</v>
      </c>
    </row>
    <row r="16" spans="1:12" x14ac:dyDescent="0.25">
      <c r="A16" s="3" t="s">
        <v>16</v>
      </c>
      <c r="B16" s="10">
        <v>8.3333333333333329E-2</v>
      </c>
      <c r="C16" s="11">
        <v>0.10416666666666667</v>
      </c>
      <c r="D16" s="11"/>
      <c r="E16" s="11"/>
      <c r="F16" s="11"/>
      <c r="G16" s="12">
        <f t="shared" si="0"/>
        <v>0.1875</v>
      </c>
    </row>
    <row r="17" spans="1:7" x14ac:dyDescent="0.25">
      <c r="A17" s="3" t="s">
        <v>17</v>
      </c>
      <c r="B17" s="40">
        <v>60000</v>
      </c>
      <c r="C17" s="40">
        <v>60000</v>
      </c>
      <c r="D17" s="13"/>
      <c r="E17" s="13"/>
      <c r="F17" s="13"/>
      <c r="G17" s="37">
        <f>SUM(B17:F17)</f>
        <v>120000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scale="73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68A5-81C0-4AE3-A853-7F0B96F4D363}">
  <dimension ref="A1:G30"/>
  <sheetViews>
    <sheetView topLeftCell="A24" workbookViewId="0">
      <selection activeCell="J32" sqref="J32"/>
    </sheetView>
  </sheetViews>
  <sheetFormatPr baseColWidth="10" defaultRowHeight="15" x14ac:dyDescent="0.25"/>
  <cols>
    <col min="1" max="1" width="35.5703125" bestFit="1" customWidth="1"/>
    <col min="5" max="5" width="15.85546875" customWidth="1"/>
  </cols>
  <sheetData>
    <row r="1" spans="1:6" ht="18.75" x14ac:dyDescent="0.3">
      <c r="A1" s="129" t="s">
        <v>71</v>
      </c>
      <c r="B1" s="130"/>
      <c r="C1" s="130"/>
      <c r="D1" s="130"/>
      <c r="E1" s="130"/>
      <c r="F1" s="135"/>
    </row>
    <row r="2" spans="1:6" ht="18.75" x14ac:dyDescent="0.3">
      <c r="A2" s="131" t="s">
        <v>51</v>
      </c>
      <c r="B2" s="132"/>
      <c r="C2" s="132"/>
      <c r="D2" s="132"/>
      <c r="E2" s="132"/>
      <c r="F2" s="136"/>
    </row>
    <row r="3" spans="1:6" ht="18.75" x14ac:dyDescent="0.3">
      <c r="A3" s="131" t="s">
        <v>77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 t="s">
        <v>3</v>
      </c>
      <c r="C4" s="2">
        <v>13337</v>
      </c>
      <c r="D4" s="2">
        <v>13336</v>
      </c>
      <c r="E4" s="2"/>
      <c r="F4" s="2" t="s">
        <v>3</v>
      </c>
    </row>
    <row r="5" spans="1:6" x14ac:dyDescent="0.25">
      <c r="A5" s="3"/>
      <c r="B5" s="4">
        <v>46132</v>
      </c>
      <c r="C5" s="5">
        <v>46161</v>
      </c>
      <c r="D5" s="4">
        <v>46174</v>
      </c>
      <c r="E5" s="4"/>
      <c r="F5" s="4">
        <v>46173</v>
      </c>
    </row>
    <row r="6" spans="1:6" x14ac:dyDescent="0.25">
      <c r="A6" s="6" t="s">
        <v>72</v>
      </c>
      <c r="B6" s="7">
        <v>5</v>
      </c>
      <c r="C6" s="8"/>
      <c r="D6" s="8">
        <v>-5</v>
      </c>
      <c r="E6" s="8"/>
      <c r="F6" s="9">
        <f t="shared" ref="F6:F13" si="0">SUM(B6:E6)</f>
        <v>0</v>
      </c>
    </row>
    <row r="7" spans="1:6" x14ac:dyDescent="0.25">
      <c r="A7" s="6" t="s">
        <v>73</v>
      </c>
      <c r="B7" s="7">
        <v>2</v>
      </c>
      <c r="C7" s="8"/>
      <c r="D7" s="8"/>
      <c r="E7" s="8"/>
      <c r="F7" s="84">
        <f t="shared" si="0"/>
        <v>2</v>
      </c>
    </row>
    <row r="8" spans="1:6" x14ac:dyDescent="0.25">
      <c r="A8" s="6" t="s">
        <v>13</v>
      </c>
      <c r="B8" s="7">
        <v>2</v>
      </c>
      <c r="C8" s="8"/>
      <c r="D8" s="8">
        <v>-2</v>
      </c>
      <c r="E8" s="8"/>
      <c r="F8" s="9">
        <f t="shared" si="0"/>
        <v>0</v>
      </c>
    </row>
    <row r="9" spans="1:6" x14ac:dyDescent="0.25">
      <c r="A9" s="6" t="s">
        <v>14</v>
      </c>
      <c r="B9" s="7">
        <v>2</v>
      </c>
      <c r="C9" s="8"/>
      <c r="D9" s="8">
        <v>-2</v>
      </c>
      <c r="E9" s="8"/>
      <c r="F9" s="9">
        <f t="shared" si="0"/>
        <v>0</v>
      </c>
    </row>
    <row r="10" spans="1:6" x14ac:dyDescent="0.25">
      <c r="A10" s="6" t="s">
        <v>74</v>
      </c>
      <c r="B10" s="7">
        <v>8</v>
      </c>
      <c r="C10" s="8">
        <v>-2</v>
      </c>
      <c r="D10" s="8">
        <v>-6</v>
      </c>
      <c r="E10" s="8"/>
      <c r="F10" s="9">
        <f t="shared" si="0"/>
        <v>0</v>
      </c>
    </row>
    <row r="11" spans="1:6" x14ac:dyDescent="0.25">
      <c r="A11" s="6" t="s">
        <v>75</v>
      </c>
      <c r="B11" s="7">
        <v>6</v>
      </c>
      <c r="C11" s="8">
        <v>-6</v>
      </c>
      <c r="D11" s="8"/>
      <c r="E11" s="8"/>
      <c r="F11" s="9">
        <f t="shared" si="0"/>
        <v>0</v>
      </c>
    </row>
    <row r="12" spans="1:6" x14ac:dyDescent="0.25">
      <c r="A12" s="6" t="s">
        <v>76</v>
      </c>
      <c r="B12" s="7">
        <v>6</v>
      </c>
      <c r="C12" s="8">
        <v>-6</v>
      </c>
      <c r="D12" s="8"/>
      <c r="E12" s="8"/>
      <c r="F12" s="9">
        <f t="shared" si="0"/>
        <v>0</v>
      </c>
    </row>
    <row r="13" spans="1:6" x14ac:dyDescent="0.25">
      <c r="A13" s="3" t="s">
        <v>16</v>
      </c>
      <c r="B13" s="35">
        <v>9.7222222222222224E-2</v>
      </c>
      <c r="C13" s="11">
        <v>0.1875</v>
      </c>
      <c r="D13" s="11">
        <v>0.14583333333333334</v>
      </c>
      <c r="E13" s="11"/>
      <c r="F13" s="12">
        <f t="shared" si="0"/>
        <v>0.43055555555555558</v>
      </c>
    </row>
    <row r="14" spans="1:6" x14ac:dyDescent="0.25">
      <c r="A14" s="3" t="s">
        <v>17</v>
      </c>
      <c r="B14" s="45">
        <v>35000</v>
      </c>
      <c r="C14" s="13"/>
      <c r="D14" s="13"/>
      <c r="E14" s="13"/>
      <c r="F14" s="12"/>
    </row>
    <row r="17" spans="1:7" x14ac:dyDescent="0.25">
      <c r="A17" s="148" t="s">
        <v>337</v>
      </c>
      <c r="B17" s="149"/>
      <c r="C17" s="149"/>
      <c r="D17" s="149"/>
      <c r="E17" s="149"/>
      <c r="F17" s="150"/>
    </row>
    <row r="18" spans="1:7" x14ac:dyDescent="0.25">
      <c r="A18" s="148" t="s">
        <v>348</v>
      </c>
      <c r="B18" s="149"/>
      <c r="C18" s="149"/>
      <c r="D18" s="149"/>
      <c r="E18" s="149"/>
      <c r="F18" s="150"/>
    </row>
    <row r="19" spans="1:7" ht="18" x14ac:dyDescent="0.25">
      <c r="A19" s="154" t="s">
        <v>349</v>
      </c>
      <c r="B19" s="155"/>
      <c r="C19" s="155"/>
      <c r="D19" s="155"/>
      <c r="E19" s="155"/>
      <c r="F19" s="156"/>
      <c r="G19" s="33" t="s">
        <v>350</v>
      </c>
    </row>
    <row r="20" spans="1:7" x14ac:dyDescent="0.25">
      <c r="A20" s="157" t="s">
        <v>2</v>
      </c>
      <c r="B20" s="158" t="s">
        <v>264</v>
      </c>
      <c r="C20" s="158"/>
      <c r="D20" s="158"/>
      <c r="E20" s="158" t="s">
        <v>265</v>
      </c>
      <c r="F20" s="159"/>
    </row>
    <row r="21" spans="1:7" x14ac:dyDescent="0.25">
      <c r="A21" s="157"/>
      <c r="B21" s="67" t="s">
        <v>266</v>
      </c>
      <c r="C21" s="67" t="s">
        <v>267</v>
      </c>
      <c r="D21" s="67" t="s">
        <v>268</v>
      </c>
      <c r="E21" s="67" t="s">
        <v>269</v>
      </c>
      <c r="F21" s="88" t="s">
        <v>270</v>
      </c>
    </row>
    <row r="22" spans="1:7" x14ac:dyDescent="0.25">
      <c r="A22" s="94" t="s">
        <v>72</v>
      </c>
      <c r="B22" s="95">
        <v>11</v>
      </c>
      <c r="C22" s="96">
        <v>5</v>
      </c>
      <c r="D22" s="97">
        <v>450</v>
      </c>
      <c r="E22" s="72">
        <f t="shared" ref="E22:E26" si="1">C22*D22</f>
        <v>2250</v>
      </c>
      <c r="F22" s="93">
        <f t="shared" ref="F22:F26" si="2">B22*E22</f>
        <v>24750</v>
      </c>
    </row>
    <row r="23" spans="1:7" x14ac:dyDescent="0.25">
      <c r="A23" s="94" t="s">
        <v>351</v>
      </c>
      <c r="B23" s="95">
        <v>11</v>
      </c>
      <c r="C23" s="96">
        <v>2</v>
      </c>
      <c r="D23" s="97">
        <v>200</v>
      </c>
      <c r="E23" s="72">
        <f t="shared" si="1"/>
        <v>400</v>
      </c>
      <c r="F23" s="93">
        <f t="shared" si="2"/>
        <v>4400</v>
      </c>
    </row>
    <row r="24" spans="1:7" x14ac:dyDescent="0.25">
      <c r="A24" s="94" t="s">
        <v>80</v>
      </c>
      <c r="B24" s="95">
        <v>11</v>
      </c>
      <c r="C24" s="96">
        <v>2</v>
      </c>
      <c r="D24" s="97">
        <v>200</v>
      </c>
      <c r="E24" s="72">
        <f t="shared" si="1"/>
        <v>400</v>
      </c>
      <c r="F24" s="93">
        <f t="shared" si="2"/>
        <v>4400</v>
      </c>
    </row>
    <row r="25" spans="1:7" x14ac:dyDescent="0.25">
      <c r="A25" s="94" t="s">
        <v>14</v>
      </c>
      <c r="B25" s="95">
        <v>11</v>
      </c>
      <c r="C25" s="96">
        <v>2</v>
      </c>
      <c r="D25" s="97">
        <v>160</v>
      </c>
      <c r="E25" s="72">
        <f t="shared" si="1"/>
        <v>320</v>
      </c>
      <c r="F25" s="93">
        <f t="shared" si="2"/>
        <v>3520</v>
      </c>
    </row>
    <row r="26" spans="1:7" x14ac:dyDescent="0.25">
      <c r="A26" s="94" t="s">
        <v>352</v>
      </c>
      <c r="B26" s="95">
        <v>11</v>
      </c>
      <c r="C26" s="96">
        <v>6</v>
      </c>
      <c r="D26" s="97">
        <v>1000</v>
      </c>
      <c r="E26" s="72">
        <f t="shared" si="1"/>
        <v>6000</v>
      </c>
      <c r="F26" s="108">
        <f t="shared" si="2"/>
        <v>66000</v>
      </c>
    </row>
    <row r="27" spans="1:7" ht="18.75" x14ac:dyDescent="0.4">
      <c r="A27" s="160" t="s">
        <v>353</v>
      </c>
      <c r="B27" s="161"/>
      <c r="C27" s="166" t="s">
        <v>273</v>
      </c>
      <c r="D27" s="166"/>
      <c r="E27" s="73">
        <f>SUM(E22:E26)</f>
        <v>9370</v>
      </c>
      <c r="F27" s="109"/>
    </row>
    <row r="28" spans="1:7" ht="19.5" thickBot="1" x14ac:dyDescent="0.45">
      <c r="A28" s="162"/>
      <c r="B28" s="163"/>
      <c r="C28" s="167" t="s">
        <v>274</v>
      </c>
      <c r="D28" s="167"/>
      <c r="E28" s="75">
        <f>SUM(F22:F26)</f>
        <v>103070</v>
      </c>
      <c r="F28" s="102"/>
    </row>
    <row r="29" spans="1:7" ht="18.75" x14ac:dyDescent="0.4">
      <c r="A29" s="162"/>
      <c r="B29" s="163"/>
      <c r="C29" s="168" t="s">
        <v>354</v>
      </c>
      <c r="D29" s="169"/>
      <c r="E29" s="110">
        <v>35000</v>
      </c>
      <c r="F29" s="102"/>
    </row>
    <row r="30" spans="1:7" ht="19.5" thickBot="1" x14ac:dyDescent="0.45">
      <c r="A30" s="164"/>
      <c r="B30" s="165"/>
      <c r="C30" s="167" t="s">
        <v>274</v>
      </c>
      <c r="D30" s="167"/>
      <c r="E30" s="77">
        <f>SUM(E28:E29)</f>
        <v>138070</v>
      </c>
      <c r="F30" s="106"/>
    </row>
  </sheetData>
  <mergeCells count="14">
    <mergeCell ref="A19:F19"/>
    <mergeCell ref="A20:A21"/>
    <mergeCell ref="B20:D20"/>
    <mergeCell ref="E20:F20"/>
    <mergeCell ref="A27:B30"/>
    <mergeCell ref="C27:D27"/>
    <mergeCell ref="C28:D28"/>
    <mergeCell ref="C29:D29"/>
    <mergeCell ref="C30:D30"/>
    <mergeCell ref="A1:F1"/>
    <mergeCell ref="A2:F2"/>
    <mergeCell ref="A3:F3"/>
    <mergeCell ref="A17:F17"/>
    <mergeCell ref="A18:F1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6891-84F7-42C5-A5A5-F0B7FD9336AE}">
  <dimension ref="A1:F9"/>
  <sheetViews>
    <sheetView workbookViewId="0">
      <selection activeCell="I3" sqref="I3"/>
    </sheetView>
  </sheetViews>
  <sheetFormatPr baseColWidth="10" defaultRowHeight="15" x14ac:dyDescent="0.25"/>
  <cols>
    <col min="1" max="1" width="35.28515625" customWidth="1"/>
  </cols>
  <sheetData>
    <row r="1" spans="1:6" ht="18.75" x14ac:dyDescent="0.3">
      <c r="A1" s="129" t="s">
        <v>332</v>
      </c>
      <c r="B1" s="130"/>
      <c r="C1" s="130"/>
      <c r="D1" s="130"/>
      <c r="E1" s="130"/>
      <c r="F1" s="135"/>
    </row>
    <row r="2" spans="1:6" ht="18.75" x14ac:dyDescent="0.3">
      <c r="A2" s="131" t="s">
        <v>51</v>
      </c>
      <c r="B2" s="132"/>
      <c r="C2" s="132"/>
      <c r="D2" s="132"/>
      <c r="E2" s="132"/>
      <c r="F2" s="136"/>
    </row>
    <row r="3" spans="1:6" ht="18.75" x14ac:dyDescent="0.3">
      <c r="A3" s="131" t="s">
        <v>77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13761</v>
      </c>
      <c r="C4" s="2"/>
      <c r="D4" s="2"/>
      <c r="E4" s="2"/>
      <c r="F4" s="2" t="s">
        <v>3</v>
      </c>
    </row>
    <row r="5" spans="1:6" x14ac:dyDescent="0.25">
      <c r="A5" s="3"/>
      <c r="B5" s="4">
        <v>46171</v>
      </c>
      <c r="C5" s="5"/>
      <c r="D5" s="4"/>
      <c r="E5" s="4"/>
      <c r="F5" s="4">
        <v>46173</v>
      </c>
    </row>
    <row r="6" spans="1:6" x14ac:dyDescent="0.25">
      <c r="A6" s="6" t="s">
        <v>13</v>
      </c>
      <c r="B6" s="7">
        <v>12</v>
      </c>
      <c r="C6" s="8"/>
      <c r="D6" s="8"/>
      <c r="E6" s="8"/>
      <c r="F6" s="9">
        <f t="shared" ref="F6:F8" si="0">SUM(B6:E6)</f>
        <v>12</v>
      </c>
    </row>
    <row r="7" spans="1:6" x14ac:dyDescent="0.25">
      <c r="A7" s="6" t="s">
        <v>92</v>
      </c>
      <c r="B7" s="7">
        <v>4</v>
      </c>
      <c r="C7" s="8"/>
      <c r="D7" s="8"/>
      <c r="E7" s="8"/>
      <c r="F7" s="9">
        <f t="shared" si="0"/>
        <v>4</v>
      </c>
    </row>
    <row r="8" spans="1:6" x14ac:dyDescent="0.25">
      <c r="A8" s="3" t="s">
        <v>16</v>
      </c>
      <c r="B8" s="10"/>
      <c r="C8" s="11"/>
      <c r="D8" s="11"/>
      <c r="E8" s="11"/>
      <c r="F8" s="12">
        <f t="shared" si="0"/>
        <v>0</v>
      </c>
    </row>
    <row r="9" spans="1:6" x14ac:dyDescent="0.25">
      <c r="A9" s="3" t="s">
        <v>17</v>
      </c>
      <c r="B9" s="37"/>
      <c r="C9" s="13"/>
      <c r="D9" s="13"/>
      <c r="E9" s="13"/>
      <c r="F9" s="1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921C-3AD0-4179-A78A-9FC3944F91AB}">
  <dimension ref="A1:F11"/>
  <sheetViews>
    <sheetView workbookViewId="0">
      <selection activeCell="C12" sqref="C12"/>
    </sheetView>
  </sheetViews>
  <sheetFormatPr baseColWidth="10" defaultRowHeight="15" x14ac:dyDescent="0.25"/>
  <cols>
    <col min="1" max="1" width="35.5703125" bestFit="1" customWidth="1"/>
  </cols>
  <sheetData>
    <row r="1" spans="1:6" ht="18.75" x14ac:dyDescent="0.3">
      <c r="A1" s="129" t="s">
        <v>131</v>
      </c>
      <c r="B1" s="130"/>
      <c r="C1" s="130"/>
      <c r="D1" s="130"/>
      <c r="E1" s="130"/>
      <c r="F1" s="135"/>
    </row>
    <row r="2" spans="1:6" ht="18.75" x14ac:dyDescent="0.3">
      <c r="A2" s="131" t="s">
        <v>132</v>
      </c>
      <c r="B2" s="132"/>
      <c r="C2" s="132"/>
      <c r="D2" s="132"/>
      <c r="E2" s="132"/>
      <c r="F2" s="136"/>
    </row>
    <row r="3" spans="1:6" ht="18.75" x14ac:dyDescent="0.3">
      <c r="A3" s="131" t="s">
        <v>77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13638</v>
      </c>
      <c r="C4" s="2">
        <v>13359</v>
      </c>
      <c r="D4" s="2"/>
      <c r="E4" s="2"/>
      <c r="F4" s="2" t="s">
        <v>3</v>
      </c>
    </row>
    <row r="5" spans="1:6" x14ac:dyDescent="0.25">
      <c r="A5" s="3"/>
      <c r="B5" s="4">
        <v>46150</v>
      </c>
      <c r="C5" s="5">
        <v>46171</v>
      </c>
      <c r="D5" s="4"/>
      <c r="E5" s="4"/>
      <c r="F5" s="4">
        <v>46173</v>
      </c>
    </row>
    <row r="6" spans="1:6" x14ac:dyDescent="0.25">
      <c r="A6" s="6" t="s">
        <v>133</v>
      </c>
      <c r="B6" s="7">
        <v>4</v>
      </c>
      <c r="C6" s="8">
        <v>-4</v>
      </c>
      <c r="D6" s="8"/>
      <c r="E6" s="8"/>
      <c r="F6" s="9">
        <f t="shared" ref="F6:F9" si="0">SUM(B6:E6)</f>
        <v>0</v>
      </c>
    </row>
    <row r="7" spans="1:6" x14ac:dyDescent="0.25">
      <c r="A7" s="6" t="s">
        <v>126</v>
      </c>
      <c r="B7" s="7">
        <v>4</v>
      </c>
      <c r="C7" s="8">
        <v>-4</v>
      </c>
      <c r="D7" s="8"/>
      <c r="E7" s="8"/>
      <c r="F7" s="9">
        <f t="shared" si="0"/>
        <v>0</v>
      </c>
    </row>
    <row r="8" spans="1:6" x14ac:dyDescent="0.25">
      <c r="A8" s="6" t="s">
        <v>127</v>
      </c>
      <c r="B8" s="7">
        <v>2</v>
      </c>
      <c r="C8" s="8">
        <v>-2</v>
      </c>
      <c r="D8" s="8"/>
      <c r="E8" s="8"/>
      <c r="F8" s="9">
        <f t="shared" si="0"/>
        <v>0</v>
      </c>
    </row>
    <row r="9" spans="1:6" x14ac:dyDescent="0.25">
      <c r="A9" s="6"/>
      <c r="B9" s="7"/>
      <c r="C9" s="8"/>
      <c r="D9" s="8"/>
      <c r="E9" s="8"/>
      <c r="F9" s="9">
        <f t="shared" si="0"/>
        <v>0</v>
      </c>
    </row>
    <row r="10" spans="1:6" x14ac:dyDescent="0.25">
      <c r="A10" s="3" t="s">
        <v>16</v>
      </c>
      <c r="B10" s="10">
        <v>0.41666666666666669</v>
      </c>
      <c r="C10" s="11">
        <v>6.9444444444444448E-2</v>
      </c>
      <c r="D10" s="11"/>
      <c r="E10" s="11"/>
      <c r="F10" s="12"/>
    </row>
    <row r="11" spans="1:6" x14ac:dyDescent="0.25">
      <c r="A11" s="3" t="s">
        <v>17</v>
      </c>
      <c r="B11" s="37">
        <v>35000</v>
      </c>
      <c r="C11" s="13">
        <v>35000</v>
      </c>
      <c r="D11" s="13"/>
      <c r="E11" s="13"/>
      <c r="F11" s="1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78F4-9673-416C-BE5B-5F06BD23B8C0}">
  <dimension ref="A1:F11"/>
  <sheetViews>
    <sheetView workbookViewId="0">
      <selection activeCell="I11" sqref="I11"/>
    </sheetView>
  </sheetViews>
  <sheetFormatPr baseColWidth="10" defaultRowHeight="15" x14ac:dyDescent="0.25"/>
  <cols>
    <col min="1" max="1" width="34.140625" customWidth="1"/>
  </cols>
  <sheetData>
    <row r="1" spans="1:6" ht="18.75" x14ac:dyDescent="0.3">
      <c r="A1" s="129" t="s">
        <v>316</v>
      </c>
      <c r="B1" s="130"/>
      <c r="C1" s="130"/>
      <c r="D1" s="130"/>
      <c r="E1" s="130"/>
      <c r="F1" s="135"/>
    </row>
    <row r="2" spans="1:6" ht="18.75" x14ac:dyDescent="0.3">
      <c r="A2" s="131" t="s">
        <v>317</v>
      </c>
      <c r="B2" s="132"/>
      <c r="C2" s="132"/>
      <c r="D2" s="132"/>
      <c r="E2" s="132"/>
      <c r="F2" s="136"/>
    </row>
    <row r="3" spans="1:6" ht="18.75" x14ac:dyDescent="0.3">
      <c r="A3" s="131" t="s">
        <v>77</v>
      </c>
      <c r="B3" s="132"/>
      <c r="C3" s="132"/>
      <c r="D3" s="132"/>
      <c r="E3" s="132"/>
      <c r="F3" s="132"/>
    </row>
    <row r="4" spans="1:6" x14ac:dyDescent="0.25">
      <c r="A4" s="1" t="s">
        <v>2</v>
      </c>
      <c r="B4" s="2">
        <v>13759</v>
      </c>
      <c r="C4" s="2">
        <v>13377</v>
      </c>
      <c r="D4" s="2"/>
      <c r="E4" s="2"/>
      <c r="F4" s="2" t="s">
        <v>3</v>
      </c>
    </row>
    <row r="5" spans="1:6" x14ac:dyDescent="0.25">
      <c r="A5" s="3"/>
      <c r="B5" s="4">
        <v>46171</v>
      </c>
      <c r="C5" s="5">
        <v>46177</v>
      </c>
      <c r="D5" s="4"/>
      <c r="E5" s="4"/>
      <c r="F5" s="4">
        <v>46173</v>
      </c>
    </row>
    <row r="6" spans="1:6" x14ac:dyDescent="0.25">
      <c r="A6" s="6" t="s">
        <v>107</v>
      </c>
      <c r="B6" s="7">
        <v>6</v>
      </c>
      <c r="C6" s="8">
        <v>-6</v>
      </c>
      <c r="D6" s="8"/>
      <c r="E6" s="8"/>
      <c r="F6" s="9">
        <f t="shared" ref="F6:F8" si="0">SUM(B6:E6)</f>
        <v>0</v>
      </c>
    </row>
    <row r="7" spans="1:6" x14ac:dyDescent="0.25">
      <c r="A7" s="6" t="s">
        <v>318</v>
      </c>
      <c r="B7" s="7">
        <v>3</v>
      </c>
      <c r="C7" s="8">
        <v>-3</v>
      </c>
      <c r="D7" s="8"/>
      <c r="E7" s="8"/>
      <c r="F7" s="9">
        <f t="shared" si="0"/>
        <v>0</v>
      </c>
    </row>
    <row r="8" spans="1:6" x14ac:dyDescent="0.25">
      <c r="A8" s="6" t="s">
        <v>176</v>
      </c>
      <c r="B8" s="7">
        <v>22</v>
      </c>
      <c r="C8" s="8">
        <v>-22</v>
      </c>
      <c r="D8" s="8"/>
      <c r="E8" s="8"/>
      <c r="F8" s="9">
        <f t="shared" si="0"/>
        <v>0</v>
      </c>
    </row>
    <row r="9" spans="1:6" x14ac:dyDescent="0.25">
      <c r="A9" s="6"/>
      <c r="B9" s="7"/>
      <c r="C9" s="8"/>
      <c r="D9" s="8"/>
      <c r="E9" s="8"/>
      <c r="F9" s="9"/>
    </row>
    <row r="10" spans="1:6" x14ac:dyDescent="0.25">
      <c r="A10" s="3" t="s">
        <v>16</v>
      </c>
      <c r="B10" s="10">
        <v>0.3527777777777778</v>
      </c>
      <c r="C10" s="11">
        <v>0.1111111111111111</v>
      </c>
      <c r="D10" s="11"/>
      <c r="E10" s="11"/>
      <c r="F10" s="12"/>
    </row>
    <row r="11" spans="1:6" x14ac:dyDescent="0.25">
      <c r="A11" s="3" t="s">
        <v>17</v>
      </c>
      <c r="B11" s="37" t="s">
        <v>319</v>
      </c>
      <c r="C11" s="13">
        <v>30000</v>
      </c>
      <c r="D11" s="13"/>
      <c r="E11" s="13"/>
      <c r="F11" s="1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7857-A934-48BB-8659-859695B862D1}">
  <dimension ref="A1:G16"/>
  <sheetViews>
    <sheetView workbookViewId="0">
      <selection activeCell="B18" sqref="B18"/>
    </sheetView>
  </sheetViews>
  <sheetFormatPr baseColWidth="10" defaultRowHeight="15" x14ac:dyDescent="0.25"/>
  <cols>
    <col min="1" max="1" width="30.85546875" customWidth="1"/>
  </cols>
  <sheetData>
    <row r="1" spans="1:7" ht="18.75" x14ac:dyDescent="0.3">
      <c r="A1" s="129" t="s">
        <v>78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79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86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13526</v>
      </c>
      <c r="C4" s="2">
        <v>13340</v>
      </c>
      <c r="D4" s="2"/>
      <c r="E4" s="2"/>
      <c r="F4" s="2"/>
      <c r="G4" s="2" t="s">
        <v>3</v>
      </c>
    </row>
    <row r="5" spans="1:7" x14ac:dyDescent="0.25">
      <c r="A5" s="3"/>
      <c r="B5" s="4">
        <v>46118</v>
      </c>
      <c r="C5" s="5">
        <v>46162</v>
      </c>
      <c r="D5" s="4"/>
      <c r="E5" s="4"/>
      <c r="F5" s="4"/>
      <c r="G5" s="4">
        <v>46173</v>
      </c>
    </row>
    <row r="6" spans="1:7" x14ac:dyDescent="0.25">
      <c r="A6" s="6" t="s">
        <v>25</v>
      </c>
      <c r="B6" s="7">
        <v>3</v>
      </c>
      <c r="C6" s="8">
        <v>-3</v>
      </c>
      <c r="D6" s="8"/>
      <c r="E6" s="8"/>
      <c r="F6" s="8"/>
      <c r="G6" s="9">
        <f t="shared" ref="G6:G14" si="0">SUM(B6:F6)</f>
        <v>0</v>
      </c>
    </row>
    <row r="7" spans="1:7" x14ac:dyDescent="0.25">
      <c r="A7" s="6" t="s">
        <v>80</v>
      </c>
      <c r="B7" s="7">
        <v>2</v>
      </c>
      <c r="C7" s="8">
        <v>-2</v>
      </c>
      <c r="D7" s="8"/>
      <c r="E7" s="8"/>
      <c r="F7" s="8"/>
      <c r="G7" s="9">
        <f t="shared" si="0"/>
        <v>0</v>
      </c>
    </row>
    <row r="8" spans="1:7" x14ac:dyDescent="0.25">
      <c r="A8" s="6" t="s">
        <v>81</v>
      </c>
      <c r="B8" s="7">
        <v>3</v>
      </c>
      <c r="C8" s="8">
        <v>-3</v>
      </c>
      <c r="D8" s="8"/>
      <c r="E8" s="8"/>
      <c r="F8" s="8"/>
      <c r="G8" s="9">
        <f t="shared" si="0"/>
        <v>0</v>
      </c>
    </row>
    <row r="9" spans="1:7" x14ac:dyDescent="0.25">
      <c r="A9" s="6" t="s">
        <v>82</v>
      </c>
      <c r="B9" s="7">
        <v>2</v>
      </c>
      <c r="C9" s="8">
        <v>-2</v>
      </c>
      <c r="D9" s="8"/>
      <c r="E9" s="8"/>
      <c r="F9" s="8"/>
      <c r="G9" s="9">
        <f t="shared" si="0"/>
        <v>0</v>
      </c>
    </row>
    <row r="10" spans="1:7" x14ac:dyDescent="0.25">
      <c r="A10" s="6" t="s">
        <v>83</v>
      </c>
      <c r="B10" s="7">
        <v>2</v>
      </c>
      <c r="C10" s="8">
        <v>-2</v>
      </c>
      <c r="D10" s="8"/>
      <c r="E10" s="8"/>
      <c r="F10" s="8"/>
      <c r="G10" s="9">
        <f t="shared" si="0"/>
        <v>0</v>
      </c>
    </row>
    <row r="11" spans="1:7" x14ac:dyDescent="0.25">
      <c r="A11" s="6" t="s">
        <v>84</v>
      </c>
      <c r="B11" s="7">
        <v>1</v>
      </c>
      <c r="C11" s="8">
        <v>-1</v>
      </c>
      <c r="D11" s="8"/>
      <c r="E11" s="8"/>
      <c r="F11" s="8"/>
      <c r="G11" s="9">
        <f t="shared" si="0"/>
        <v>0</v>
      </c>
    </row>
    <row r="12" spans="1:7" x14ac:dyDescent="0.25">
      <c r="A12" s="6" t="s">
        <v>85</v>
      </c>
      <c r="B12" s="7">
        <v>1</v>
      </c>
      <c r="C12" s="8">
        <v>-1</v>
      </c>
      <c r="D12" s="8"/>
      <c r="E12" s="8"/>
      <c r="F12" s="8"/>
      <c r="G12" s="9">
        <f t="shared" si="0"/>
        <v>0</v>
      </c>
    </row>
    <row r="13" spans="1:7" x14ac:dyDescent="0.25">
      <c r="A13" s="6" t="s">
        <v>30</v>
      </c>
      <c r="B13" s="7">
        <v>6</v>
      </c>
      <c r="C13" s="8">
        <v>-6</v>
      </c>
      <c r="D13" s="8"/>
      <c r="E13" s="8"/>
      <c r="F13" s="8"/>
      <c r="G13" s="9">
        <f t="shared" si="0"/>
        <v>0</v>
      </c>
    </row>
    <row r="14" spans="1:7" x14ac:dyDescent="0.25">
      <c r="A14" s="6" t="s">
        <v>80</v>
      </c>
      <c r="B14" s="7">
        <v>2</v>
      </c>
      <c r="C14" s="8">
        <v>-2</v>
      </c>
      <c r="D14" s="8"/>
      <c r="E14" s="8"/>
      <c r="F14" s="8"/>
      <c r="G14" s="9">
        <f t="shared" si="0"/>
        <v>0</v>
      </c>
    </row>
    <row r="15" spans="1:7" x14ac:dyDescent="0.25">
      <c r="A15" s="3" t="s">
        <v>16</v>
      </c>
      <c r="B15" s="10">
        <v>0.36805555555555558</v>
      </c>
      <c r="C15" s="11">
        <v>0.14583333333333334</v>
      </c>
      <c r="D15" s="11"/>
      <c r="E15" s="11"/>
      <c r="F15" s="11"/>
      <c r="G15" s="12">
        <v>0</v>
      </c>
    </row>
    <row r="16" spans="1:7" x14ac:dyDescent="0.25">
      <c r="A16" s="3" t="s">
        <v>17</v>
      </c>
      <c r="B16" s="13">
        <v>25000</v>
      </c>
      <c r="C16" s="13"/>
      <c r="D16" s="13"/>
      <c r="E16" s="13"/>
      <c r="F16" s="13"/>
      <c r="G16" s="37">
        <v>25000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EEF5-4F7D-45F3-BDA3-8674B64F4ED4}">
  <dimension ref="A1:G11"/>
  <sheetViews>
    <sheetView workbookViewId="0">
      <selection sqref="A1:G11"/>
    </sheetView>
  </sheetViews>
  <sheetFormatPr baseColWidth="10" defaultRowHeight="15" x14ac:dyDescent="0.25"/>
  <cols>
    <col min="1" max="1" width="33" customWidth="1"/>
  </cols>
  <sheetData>
    <row r="1" spans="1:7" ht="18.75" x14ac:dyDescent="0.3">
      <c r="A1" s="129" t="s">
        <v>138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139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86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13645</v>
      </c>
      <c r="C4" s="2">
        <v>13332</v>
      </c>
      <c r="D4" s="2"/>
      <c r="E4" s="2"/>
      <c r="F4" s="2"/>
      <c r="G4" s="2" t="s">
        <v>3</v>
      </c>
    </row>
    <row r="5" spans="1:7" x14ac:dyDescent="0.25">
      <c r="A5" s="3"/>
      <c r="B5" s="4">
        <v>46150</v>
      </c>
      <c r="C5" s="5">
        <v>46153</v>
      </c>
      <c r="D5" s="4"/>
      <c r="E5" s="4"/>
      <c r="F5" s="4"/>
      <c r="G5" s="4">
        <v>46173</v>
      </c>
    </row>
    <row r="6" spans="1:7" x14ac:dyDescent="0.25">
      <c r="A6" s="6" t="s">
        <v>140</v>
      </c>
      <c r="B6" s="7">
        <v>4</v>
      </c>
      <c r="C6" s="8">
        <v>-4</v>
      </c>
      <c r="D6" s="8"/>
      <c r="E6" s="8"/>
      <c r="F6" s="8"/>
      <c r="G6" s="9">
        <f t="shared" ref="G6:G9" si="0">SUM(B6:F6)</f>
        <v>0</v>
      </c>
    </row>
    <row r="7" spans="1:7" x14ac:dyDescent="0.25">
      <c r="A7" s="6" t="s">
        <v>47</v>
      </c>
      <c r="B7" s="7">
        <v>4</v>
      </c>
      <c r="C7" s="8">
        <v>-4</v>
      </c>
      <c r="D7" s="8"/>
      <c r="E7" s="8"/>
      <c r="F7" s="8"/>
      <c r="G7" s="9">
        <f t="shared" si="0"/>
        <v>0</v>
      </c>
    </row>
    <row r="8" spans="1:7" x14ac:dyDescent="0.25">
      <c r="A8" s="6" t="s">
        <v>141</v>
      </c>
      <c r="B8" s="7">
        <v>2</v>
      </c>
      <c r="C8" s="8">
        <v>-2</v>
      </c>
      <c r="D8" s="8"/>
      <c r="E8" s="8"/>
      <c r="F8" s="8"/>
      <c r="G8" s="9">
        <f t="shared" si="0"/>
        <v>0</v>
      </c>
    </row>
    <row r="9" spans="1:7" x14ac:dyDescent="0.25">
      <c r="A9" s="6"/>
      <c r="B9" s="7"/>
      <c r="C9" s="8"/>
      <c r="D9" s="8"/>
      <c r="E9" s="8"/>
      <c r="F9" s="8"/>
      <c r="G9" s="9">
        <f t="shared" si="0"/>
        <v>0</v>
      </c>
    </row>
    <row r="10" spans="1:7" x14ac:dyDescent="0.25">
      <c r="A10" s="3" t="s">
        <v>16</v>
      </c>
      <c r="B10" s="10">
        <v>0.19097222222222221</v>
      </c>
      <c r="C10" s="11">
        <v>0.47222222222222221</v>
      </c>
      <c r="D10" s="11"/>
      <c r="E10" s="11"/>
      <c r="F10" s="11"/>
      <c r="G10" s="12"/>
    </row>
    <row r="11" spans="1:7" x14ac:dyDescent="0.25">
      <c r="A11" s="3" t="s">
        <v>17</v>
      </c>
      <c r="B11" s="13">
        <v>8000</v>
      </c>
      <c r="C11" s="13">
        <v>8000</v>
      </c>
      <c r="D11" s="13"/>
      <c r="E11" s="13"/>
      <c r="F11" s="13"/>
      <c r="G11" s="37">
        <v>25000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D20D-075C-43E8-81E9-B2FC3F8A784C}">
  <dimension ref="A1:G11"/>
  <sheetViews>
    <sheetView workbookViewId="0">
      <selection sqref="A1:G11"/>
    </sheetView>
  </sheetViews>
  <sheetFormatPr baseColWidth="10" defaultRowHeight="15" x14ac:dyDescent="0.25"/>
  <cols>
    <col min="1" max="1" width="29.85546875" bestFit="1" customWidth="1"/>
  </cols>
  <sheetData>
    <row r="1" spans="1:7" ht="18.75" x14ac:dyDescent="0.3">
      <c r="A1" s="129" t="s">
        <v>150</v>
      </c>
      <c r="B1" s="130"/>
      <c r="C1" s="130"/>
      <c r="D1" s="130"/>
      <c r="E1" s="130"/>
      <c r="F1" s="130"/>
      <c r="G1" s="135"/>
    </row>
    <row r="2" spans="1:7" ht="18.75" x14ac:dyDescent="0.3">
      <c r="A2" s="131" t="s">
        <v>151</v>
      </c>
      <c r="B2" s="132"/>
      <c r="C2" s="132"/>
      <c r="D2" s="132"/>
      <c r="E2" s="132"/>
      <c r="F2" s="132"/>
      <c r="G2" s="136"/>
    </row>
    <row r="3" spans="1:7" ht="18.75" x14ac:dyDescent="0.3">
      <c r="A3" s="131" t="s">
        <v>86</v>
      </c>
      <c r="B3" s="132"/>
      <c r="C3" s="132"/>
      <c r="D3" s="132"/>
      <c r="E3" s="132"/>
      <c r="F3" s="132"/>
      <c r="G3" s="132"/>
    </row>
    <row r="4" spans="1:7" x14ac:dyDescent="0.25">
      <c r="A4" s="1" t="s">
        <v>2</v>
      </c>
      <c r="B4" s="2">
        <v>13650</v>
      </c>
      <c r="C4" s="2">
        <v>13325</v>
      </c>
      <c r="D4" s="2">
        <v>13325</v>
      </c>
      <c r="E4" s="2"/>
      <c r="F4" s="2"/>
      <c r="G4" s="2" t="s">
        <v>3</v>
      </c>
    </row>
    <row r="5" spans="1:7" x14ac:dyDescent="0.25">
      <c r="A5" s="3"/>
      <c r="B5" s="4">
        <v>46153</v>
      </c>
      <c r="C5" s="5">
        <v>46156</v>
      </c>
      <c r="D5" s="4">
        <v>46158</v>
      </c>
      <c r="E5" s="4"/>
      <c r="F5" s="4"/>
      <c r="G5" s="4">
        <v>46173</v>
      </c>
    </row>
    <row r="6" spans="1:7" x14ac:dyDescent="0.25">
      <c r="A6" s="6" t="s">
        <v>152</v>
      </c>
      <c r="B6" s="7">
        <v>8</v>
      </c>
      <c r="C6" s="8">
        <v>-4</v>
      </c>
      <c r="D6" s="8">
        <v>-4</v>
      </c>
      <c r="E6" s="8"/>
      <c r="F6" s="8"/>
      <c r="G6" s="9">
        <f t="shared" ref="G6:G9" si="0">SUM(B6:F6)</f>
        <v>0</v>
      </c>
    </row>
    <row r="7" spans="1:7" x14ac:dyDescent="0.25">
      <c r="A7" s="6" t="s">
        <v>47</v>
      </c>
      <c r="B7" s="7">
        <v>8</v>
      </c>
      <c r="C7" s="8">
        <v>-4</v>
      </c>
      <c r="D7" s="8">
        <v>-4</v>
      </c>
      <c r="E7" s="8"/>
      <c r="F7" s="8"/>
      <c r="G7" s="9">
        <f t="shared" si="0"/>
        <v>0</v>
      </c>
    </row>
    <row r="8" spans="1:7" x14ac:dyDescent="0.25">
      <c r="A8" s="6" t="s">
        <v>141</v>
      </c>
      <c r="B8" s="7">
        <v>2</v>
      </c>
      <c r="C8" s="8"/>
      <c r="D8" s="8">
        <v>-2</v>
      </c>
      <c r="E8" s="8"/>
      <c r="F8" s="8"/>
      <c r="G8" s="9">
        <f t="shared" si="0"/>
        <v>0</v>
      </c>
    </row>
    <row r="9" spans="1:7" x14ac:dyDescent="0.25">
      <c r="A9" s="6"/>
      <c r="B9" s="7"/>
      <c r="C9" s="8"/>
      <c r="D9" s="8"/>
      <c r="E9" s="8"/>
      <c r="F9" s="8"/>
      <c r="G9" s="9">
        <f t="shared" si="0"/>
        <v>0</v>
      </c>
    </row>
    <row r="10" spans="1:7" x14ac:dyDescent="0.25">
      <c r="A10" s="3" t="s">
        <v>16</v>
      </c>
      <c r="B10" s="10">
        <v>0.36458333333333331</v>
      </c>
      <c r="C10" s="11">
        <v>0.33958333333333335</v>
      </c>
      <c r="D10" s="11"/>
      <c r="E10" s="11"/>
      <c r="F10" s="11"/>
      <c r="G10" s="12"/>
    </row>
    <row r="11" spans="1:7" x14ac:dyDescent="0.25">
      <c r="A11" s="3" t="s">
        <v>17</v>
      </c>
      <c r="B11" s="13" t="s">
        <v>124</v>
      </c>
      <c r="C11" s="13" t="s">
        <v>124</v>
      </c>
      <c r="D11" s="13"/>
      <c r="E11" s="13"/>
      <c r="F11" s="13"/>
      <c r="G11" s="37">
        <v>25000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5D67-E487-4F85-BC75-ACF0308CEB8B}">
  <dimension ref="A1:G14"/>
  <sheetViews>
    <sheetView workbookViewId="0">
      <selection activeCell="C13" sqref="C13"/>
    </sheetView>
  </sheetViews>
  <sheetFormatPr baseColWidth="10" defaultRowHeight="15" x14ac:dyDescent="0.25"/>
  <cols>
    <col min="1" max="1" width="33.85546875" customWidth="1"/>
    <col min="2" max="2" width="12.85546875" customWidth="1"/>
    <col min="3" max="3" width="14.42578125" customWidth="1"/>
    <col min="4" max="4" width="14.140625" customWidth="1"/>
  </cols>
  <sheetData>
    <row r="1" spans="1:7" ht="18.75" x14ac:dyDescent="0.3">
      <c r="A1" s="129" t="s">
        <v>259</v>
      </c>
      <c r="B1" s="130"/>
      <c r="C1" s="130"/>
      <c r="D1" s="130"/>
      <c r="E1" s="130"/>
      <c r="F1" s="135"/>
    </row>
    <row r="2" spans="1:7" ht="18.75" x14ac:dyDescent="0.3">
      <c r="A2" s="131" t="s">
        <v>260</v>
      </c>
      <c r="B2" s="132"/>
      <c r="C2" s="132"/>
      <c r="D2" s="132"/>
      <c r="E2" s="132"/>
      <c r="F2" s="136"/>
    </row>
    <row r="3" spans="1:7" ht="18.75" x14ac:dyDescent="0.3">
      <c r="A3" s="131" t="s">
        <v>86</v>
      </c>
      <c r="B3" s="132"/>
      <c r="C3" s="132"/>
      <c r="D3" s="132"/>
      <c r="E3" s="132"/>
      <c r="F3" s="132"/>
    </row>
    <row r="4" spans="1:7" x14ac:dyDescent="0.25">
      <c r="A4" s="1" t="s">
        <v>2</v>
      </c>
      <c r="B4" s="2">
        <v>13684</v>
      </c>
      <c r="C4" s="2">
        <v>13350</v>
      </c>
      <c r="D4" s="2"/>
      <c r="E4" s="2"/>
      <c r="F4" s="2" t="s">
        <v>3</v>
      </c>
    </row>
    <row r="5" spans="1:7" x14ac:dyDescent="0.25">
      <c r="A5" s="3"/>
      <c r="B5" s="4">
        <v>46163</v>
      </c>
      <c r="C5" s="5">
        <v>46168</v>
      </c>
      <c r="D5" s="4"/>
      <c r="E5" s="4"/>
      <c r="F5" s="4">
        <v>46173</v>
      </c>
    </row>
    <row r="6" spans="1:7" x14ac:dyDescent="0.25">
      <c r="A6" s="6" t="s">
        <v>5</v>
      </c>
      <c r="B6" s="7">
        <v>16</v>
      </c>
      <c r="C6" s="8">
        <v>-16</v>
      </c>
      <c r="D6" s="8"/>
      <c r="E6" s="8"/>
      <c r="F6" s="9">
        <f t="shared" ref="F6:F12" si="0">SUM(B6:E6)</f>
        <v>0</v>
      </c>
    </row>
    <row r="7" spans="1:7" x14ac:dyDescent="0.25">
      <c r="A7" s="6" t="s">
        <v>29</v>
      </c>
      <c r="B7" s="7">
        <v>16</v>
      </c>
      <c r="C7" s="8">
        <v>-16</v>
      </c>
      <c r="D7" s="8"/>
      <c r="E7" s="8"/>
      <c r="F7" s="9">
        <f t="shared" si="0"/>
        <v>0</v>
      </c>
    </row>
    <row r="8" spans="1:7" x14ac:dyDescent="0.25">
      <c r="A8" s="6" t="s">
        <v>187</v>
      </c>
      <c r="B8" s="7">
        <v>8</v>
      </c>
      <c r="C8" s="8">
        <v>-8</v>
      </c>
      <c r="D8" s="8"/>
      <c r="E8" s="8"/>
      <c r="F8" s="9">
        <f t="shared" si="0"/>
        <v>0</v>
      </c>
    </row>
    <row r="9" spans="1:7" x14ac:dyDescent="0.25">
      <c r="A9" s="6" t="s">
        <v>8</v>
      </c>
      <c r="B9" s="7">
        <v>16</v>
      </c>
      <c r="C9" s="8">
        <v>-16</v>
      </c>
      <c r="D9" s="8"/>
      <c r="E9" s="8"/>
      <c r="F9" s="9">
        <f t="shared" si="0"/>
        <v>0</v>
      </c>
    </row>
    <row r="10" spans="1:7" x14ac:dyDescent="0.25">
      <c r="A10" s="6" t="s">
        <v>9</v>
      </c>
      <c r="B10" s="7">
        <v>32</v>
      </c>
      <c r="C10" s="8">
        <v>-32</v>
      </c>
      <c r="D10" s="8"/>
      <c r="E10" s="8"/>
      <c r="F10" s="9">
        <f t="shared" si="0"/>
        <v>0</v>
      </c>
    </row>
    <row r="11" spans="1:7" x14ac:dyDescent="0.25">
      <c r="A11" s="6" t="s">
        <v>12</v>
      </c>
      <c r="B11" s="7">
        <v>400</v>
      </c>
      <c r="C11" s="8">
        <v>-400</v>
      </c>
      <c r="D11" s="8"/>
      <c r="E11" s="8"/>
      <c r="F11" s="9">
        <f t="shared" si="0"/>
        <v>0</v>
      </c>
    </row>
    <row r="12" spans="1:7" x14ac:dyDescent="0.25">
      <c r="A12" s="6" t="s">
        <v>188</v>
      </c>
      <c r="B12" s="7">
        <v>2</v>
      </c>
      <c r="C12" s="8">
        <v>-2</v>
      </c>
      <c r="D12" s="8"/>
      <c r="E12" s="8"/>
      <c r="F12" s="9">
        <f t="shared" si="0"/>
        <v>0</v>
      </c>
    </row>
    <row r="13" spans="1:7" x14ac:dyDescent="0.25">
      <c r="A13" s="3" t="s">
        <v>16</v>
      </c>
      <c r="B13" s="10">
        <v>0.10416666666666667</v>
      </c>
      <c r="C13" s="11">
        <v>0.4375</v>
      </c>
      <c r="D13" s="11"/>
      <c r="E13" s="11"/>
      <c r="F13" s="12"/>
    </row>
    <row r="14" spans="1:7" x14ac:dyDescent="0.25">
      <c r="A14" s="3" t="s">
        <v>17</v>
      </c>
      <c r="B14" s="13">
        <v>60000</v>
      </c>
      <c r="C14" s="13"/>
      <c r="D14" s="13"/>
      <c r="E14" s="13"/>
      <c r="F14" s="37">
        <f>SUM(B14:E14)</f>
        <v>60000</v>
      </c>
      <c r="G14" s="6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BCF2-7904-4ADE-82E0-23E840BA96B5}">
  <dimension ref="A1:L19"/>
  <sheetViews>
    <sheetView workbookViewId="0">
      <pane xSplit="1" topLeftCell="F1" activePane="topRight" state="frozen"/>
      <selection activeCell="A3" sqref="A3"/>
      <selection pane="topRight" activeCell="F4" sqref="F4"/>
    </sheetView>
  </sheetViews>
  <sheetFormatPr baseColWidth="10" defaultRowHeight="15" x14ac:dyDescent="0.25"/>
  <cols>
    <col min="1" max="1" width="33.85546875" customWidth="1"/>
  </cols>
  <sheetData>
    <row r="1" spans="1:12" ht="18.75" x14ac:dyDescent="0.3">
      <c r="A1" s="129" t="s">
        <v>246</v>
      </c>
      <c r="B1" s="130"/>
      <c r="C1" s="130"/>
      <c r="D1" s="130"/>
      <c r="E1" s="130"/>
      <c r="F1" s="130"/>
      <c r="G1" s="135"/>
    </row>
    <row r="2" spans="1:12" ht="18.75" x14ac:dyDescent="0.3">
      <c r="A2" s="131" t="s">
        <v>248</v>
      </c>
      <c r="B2" s="132"/>
      <c r="C2" s="132"/>
      <c r="D2" s="132"/>
      <c r="E2" s="132"/>
      <c r="F2" s="132"/>
      <c r="G2" s="136"/>
    </row>
    <row r="3" spans="1:12" ht="18.75" x14ac:dyDescent="0.3">
      <c r="A3" s="131" t="s">
        <v>86</v>
      </c>
      <c r="B3" s="132"/>
      <c r="C3" s="132"/>
      <c r="D3" s="132"/>
      <c r="E3" s="132"/>
      <c r="F3" s="132"/>
      <c r="G3" s="132"/>
    </row>
    <row r="4" spans="1:12" x14ac:dyDescent="0.25">
      <c r="A4" s="1" t="s">
        <v>2</v>
      </c>
      <c r="B4" s="2">
        <v>13672</v>
      </c>
      <c r="C4" s="2">
        <v>13346</v>
      </c>
      <c r="D4" s="2">
        <v>13690</v>
      </c>
      <c r="E4" s="2"/>
      <c r="F4" s="2"/>
      <c r="G4" s="2" t="s">
        <v>3</v>
      </c>
    </row>
    <row r="5" spans="1:12" x14ac:dyDescent="0.25">
      <c r="A5" s="3"/>
      <c r="B5" s="4">
        <v>46161</v>
      </c>
      <c r="C5" s="5">
        <v>46165</v>
      </c>
      <c r="D5" s="4">
        <v>46167</v>
      </c>
      <c r="E5" s="4"/>
      <c r="F5" s="4"/>
      <c r="G5" s="4">
        <v>46173</v>
      </c>
    </row>
    <row r="6" spans="1:12" x14ac:dyDescent="0.25">
      <c r="A6" s="6" t="s">
        <v>6</v>
      </c>
      <c r="B6" s="7">
        <v>40</v>
      </c>
      <c r="C6" s="8">
        <v>-40</v>
      </c>
      <c r="D6" s="8"/>
      <c r="E6" s="8"/>
      <c r="F6" s="8"/>
      <c r="G6" s="9">
        <f t="shared" ref="G6:G14" si="0">SUM(B6:F6)</f>
        <v>0</v>
      </c>
    </row>
    <row r="7" spans="1:12" x14ac:dyDescent="0.25">
      <c r="A7" s="6" t="s">
        <v>236</v>
      </c>
      <c r="B7" s="7">
        <v>16</v>
      </c>
      <c r="C7" s="8">
        <v>-16</v>
      </c>
      <c r="D7" s="8"/>
      <c r="E7" s="8"/>
      <c r="F7" s="8"/>
      <c r="G7" s="9">
        <f t="shared" si="0"/>
        <v>0</v>
      </c>
    </row>
    <row r="8" spans="1:12" x14ac:dyDescent="0.25">
      <c r="A8" s="6" t="s">
        <v>9</v>
      </c>
      <c r="B8" s="7">
        <v>56</v>
      </c>
      <c r="C8" s="8">
        <v>-56</v>
      </c>
      <c r="D8" s="8"/>
      <c r="E8" s="8"/>
      <c r="F8" s="8"/>
      <c r="G8" s="9">
        <f t="shared" si="0"/>
        <v>0</v>
      </c>
    </row>
    <row r="9" spans="1:12" x14ac:dyDescent="0.25">
      <c r="A9" s="6" t="s">
        <v>8</v>
      </c>
      <c r="B9" s="7">
        <v>28</v>
      </c>
      <c r="C9" s="8">
        <v>-28</v>
      </c>
      <c r="D9" s="8"/>
      <c r="E9" s="8"/>
      <c r="F9" s="8"/>
      <c r="G9" s="9">
        <f t="shared" si="0"/>
        <v>0</v>
      </c>
    </row>
    <row r="10" spans="1:12" x14ac:dyDescent="0.25">
      <c r="A10" s="6" t="s">
        <v>12</v>
      </c>
      <c r="B10" s="7">
        <v>450</v>
      </c>
      <c r="C10" s="8">
        <v>-450</v>
      </c>
      <c r="D10" s="8"/>
      <c r="E10" s="8"/>
      <c r="F10" s="8"/>
      <c r="G10" s="9">
        <f t="shared" si="0"/>
        <v>0</v>
      </c>
      <c r="L10" t="s">
        <v>346</v>
      </c>
    </row>
    <row r="11" spans="1:12" x14ac:dyDescent="0.25">
      <c r="A11" s="6" t="s">
        <v>13</v>
      </c>
      <c r="B11" s="79">
        <v>36</v>
      </c>
      <c r="C11" s="8"/>
      <c r="D11" s="8">
        <v>30</v>
      </c>
      <c r="E11" s="8"/>
      <c r="F11" s="8"/>
      <c r="G11" s="42">
        <f t="shared" si="0"/>
        <v>66</v>
      </c>
      <c r="I11" s="80"/>
    </row>
    <row r="12" spans="1:12" x14ac:dyDescent="0.25">
      <c r="A12" s="6" t="s">
        <v>152</v>
      </c>
      <c r="B12" s="79">
        <v>2</v>
      </c>
      <c r="C12" s="8"/>
      <c r="D12" s="8"/>
      <c r="E12" s="8"/>
      <c r="F12" s="8"/>
      <c r="G12" s="42">
        <f t="shared" si="0"/>
        <v>2</v>
      </c>
    </row>
    <row r="13" spans="1:12" x14ac:dyDescent="0.25">
      <c r="A13" s="6" t="s">
        <v>163</v>
      </c>
      <c r="B13" s="79">
        <v>2</v>
      </c>
      <c r="C13" s="8"/>
      <c r="D13" s="8"/>
      <c r="E13" s="8"/>
      <c r="F13" s="8"/>
      <c r="G13" s="42">
        <f t="shared" si="0"/>
        <v>2</v>
      </c>
    </row>
    <row r="14" spans="1:12" x14ac:dyDescent="0.25">
      <c r="A14" s="6" t="s">
        <v>15</v>
      </c>
      <c r="B14" s="7">
        <v>2</v>
      </c>
      <c r="C14" s="8">
        <v>-2</v>
      </c>
      <c r="D14" s="8"/>
      <c r="E14" s="8"/>
      <c r="F14" s="8"/>
      <c r="G14" s="9">
        <f t="shared" si="0"/>
        <v>0</v>
      </c>
    </row>
    <row r="15" spans="1:12" x14ac:dyDescent="0.25">
      <c r="A15" s="6" t="s">
        <v>92</v>
      </c>
      <c r="B15" s="7"/>
      <c r="C15" s="8"/>
      <c r="D15" s="8">
        <v>19</v>
      </c>
      <c r="E15" s="8"/>
      <c r="F15" s="8"/>
      <c r="G15" s="42">
        <f>SUM(B15:F15)</f>
        <v>19</v>
      </c>
    </row>
    <row r="16" spans="1:12" x14ac:dyDescent="0.25">
      <c r="A16" s="6" t="s">
        <v>30</v>
      </c>
      <c r="B16" s="7"/>
      <c r="C16" s="8"/>
      <c r="D16" s="8">
        <v>60</v>
      </c>
      <c r="E16" s="8"/>
      <c r="F16" s="8"/>
      <c r="G16" s="42">
        <f>SUM(B16:F16)</f>
        <v>60</v>
      </c>
    </row>
    <row r="17" spans="1:7" x14ac:dyDescent="0.25">
      <c r="A17" s="6" t="s">
        <v>31</v>
      </c>
      <c r="B17" s="7"/>
      <c r="C17" s="8"/>
      <c r="D17" s="8">
        <v>20</v>
      </c>
      <c r="E17" s="8"/>
      <c r="F17" s="8"/>
      <c r="G17" s="42">
        <f>SUM(B17:F17)</f>
        <v>20</v>
      </c>
    </row>
    <row r="18" spans="1:7" x14ac:dyDescent="0.25">
      <c r="A18" s="3" t="s">
        <v>16</v>
      </c>
      <c r="B18" s="10">
        <v>0.34722222222222221</v>
      </c>
      <c r="C18" s="11">
        <v>0.33333333333333331</v>
      </c>
      <c r="D18" s="11">
        <v>0.39583333333333331</v>
      </c>
      <c r="E18" s="11"/>
      <c r="F18" s="11"/>
      <c r="G18" s="12"/>
    </row>
    <row r="19" spans="1:7" x14ac:dyDescent="0.25">
      <c r="A19" s="3" t="s">
        <v>17</v>
      </c>
      <c r="B19" s="13"/>
      <c r="C19" s="13"/>
      <c r="D19" s="13">
        <v>50000</v>
      </c>
      <c r="E19" s="13"/>
      <c r="F19" s="13"/>
      <c r="G19" s="37">
        <v>25000</v>
      </c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80B4-1992-42AA-9D4B-52142D4CB923}">
  <dimension ref="A1:H10"/>
  <sheetViews>
    <sheetView topLeftCell="A2" workbookViewId="0">
      <selection activeCell="A2" sqref="A2:H10"/>
    </sheetView>
  </sheetViews>
  <sheetFormatPr baseColWidth="10" defaultRowHeight="15" x14ac:dyDescent="0.25"/>
  <cols>
    <col min="1" max="1" width="28.140625" customWidth="1"/>
  </cols>
  <sheetData>
    <row r="1" spans="1:8" ht="18.75" x14ac:dyDescent="0.3">
      <c r="A1" s="145" t="s">
        <v>153</v>
      </c>
      <c r="B1" s="132"/>
      <c r="C1" s="132"/>
      <c r="D1" s="132"/>
      <c r="E1" s="132"/>
      <c r="F1" s="132"/>
      <c r="G1" s="132"/>
      <c r="H1" s="144"/>
    </row>
    <row r="2" spans="1:8" ht="18.75" x14ac:dyDescent="0.3">
      <c r="A2" s="145" t="s">
        <v>154</v>
      </c>
      <c r="B2" s="132"/>
      <c r="C2" s="132"/>
      <c r="D2" s="132"/>
      <c r="E2" s="132"/>
      <c r="F2" s="132"/>
      <c r="G2" s="132"/>
      <c r="H2" s="144"/>
    </row>
    <row r="3" spans="1:8" ht="18.75" x14ac:dyDescent="0.3">
      <c r="A3" s="145" t="s">
        <v>157</v>
      </c>
      <c r="B3" s="132"/>
      <c r="C3" s="132"/>
      <c r="D3" s="132"/>
      <c r="E3" s="132"/>
      <c r="F3" s="132"/>
      <c r="G3" s="132"/>
      <c r="H3" s="144"/>
    </row>
    <row r="4" spans="1:8" x14ac:dyDescent="0.25">
      <c r="A4" s="146" t="s">
        <v>2</v>
      </c>
      <c r="B4" s="41" t="s">
        <v>3</v>
      </c>
      <c r="C4" s="12">
        <v>13323</v>
      </c>
      <c r="D4" s="12"/>
      <c r="E4" s="12"/>
      <c r="F4" s="12"/>
      <c r="G4" s="12"/>
      <c r="H4" s="41" t="s">
        <v>49</v>
      </c>
    </row>
    <row r="5" spans="1:8" x14ac:dyDescent="0.25">
      <c r="A5" s="147"/>
      <c r="B5" s="4" t="s">
        <v>156</v>
      </c>
      <c r="C5" s="4">
        <v>46123</v>
      </c>
      <c r="D5" s="4"/>
      <c r="E5" s="4"/>
      <c r="F5" s="4"/>
      <c r="G5" s="4"/>
      <c r="H5" s="4">
        <v>46172</v>
      </c>
    </row>
    <row r="6" spans="1:8" x14ac:dyDescent="0.25">
      <c r="A6" s="34" t="s">
        <v>9</v>
      </c>
      <c r="B6" s="21">
        <v>31</v>
      </c>
      <c r="C6" s="22"/>
      <c r="D6" s="22"/>
      <c r="E6" s="22"/>
      <c r="F6" s="22"/>
      <c r="G6" s="22"/>
      <c r="H6" s="9">
        <f>SUM( B6:G6)</f>
        <v>31</v>
      </c>
    </row>
    <row r="7" spans="1:8" x14ac:dyDescent="0.25">
      <c r="A7" s="34" t="s">
        <v>12</v>
      </c>
      <c r="B7" s="21">
        <v>500</v>
      </c>
      <c r="C7" s="22">
        <v>-500</v>
      </c>
      <c r="D7" s="22"/>
      <c r="E7" s="22"/>
      <c r="F7" s="22"/>
      <c r="G7" s="22"/>
      <c r="H7" s="9">
        <f t="shared" ref="H7:H8" si="0">SUM( B7:G7)</f>
        <v>0</v>
      </c>
    </row>
    <row r="8" spans="1:8" x14ac:dyDescent="0.25">
      <c r="A8" s="34" t="s">
        <v>27</v>
      </c>
      <c r="B8" s="21">
        <v>5</v>
      </c>
      <c r="C8" s="22"/>
      <c r="D8" s="22"/>
      <c r="E8" s="22"/>
      <c r="F8" s="22"/>
      <c r="G8" s="22"/>
      <c r="H8" s="9">
        <f t="shared" si="0"/>
        <v>5</v>
      </c>
    </row>
    <row r="9" spans="1:8" x14ac:dyDescent="0.25">
      <c r="A9" s="43" t="s">
        <v>32</v>
      </c>
      <c r="B9" s="48"/>
      <c r="C9" s="10">
        <v>0.3576388888888889</v>
      </c>
      <c r="D9" s="10"/>
      <c r="E9" s="10"/>
      <c r="F9" s="10"/>
      <c r="G9" s="10"/>
      <c r="H9" s="12"/>
    </row>
    <row r="10" spans="1:8" x14ac:dyDescent="0.25">
      <c r="A10" s="43" t="s">
        <v>33</v>
      </c>
      <c r="B10" s="49"/>
      <c r="C10" s="50" t="s">
        <v>155</v>
      </c>
      <c r="D10" s="50"/>
      <c r="E10" s="50"/>
      <c r="F10" s="50"/>
      <c r="G10" s="50"/>
      <c r="H10" s="51"/>
    </row>
  </sheetData>
  <mergeCells count="4">
    <mergeCell ref="A2:H2"/>
    <mergeCell ref="A3:H3"/>
    <mergeCell ref="A4:A5"/>
    <mergeCell ref="A1:H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F0BE-9210-4013-8B12-62A1C7AB6DA6}">
  <dimension ref="A1:K9"/>
  <sheetViews>
    <sheetView workbookViewId="0">
      <selection activeCell="N3" sqref="N3:N4"/>
    </sheetView>
  </sheetViews>
  <sheetFormatPr baseColWidth="10" defaultRowHeight="15" x14ac:dyDescent="0.25"/>
  <cols>
    <col min="1" max="1" width="25.7109375" customWidth="1"/>
  </cols>
  <sheetData>
    <row r="1" spans="1:11" ht="18.75" x14ac:dyDescent="0.3">
      <c r="A1" s="129" t="s">
        <v>158</v>
      </c>
      <c r="B1" s="130"/>
      <c r="C1" s="130"/>
      <c r="D1" s="130"/>
      <c r="E1" s="130"/>
      <c r="F1" s="130"/>
      <c r="G1" s="130"/>
      <c r="H1" s="135"/>
    </row>
    <row r="2" spans="1:11" ht="18.75" x14ac:dyDescent="0.3">
      <c r="A2" s="131" t="s">
        <v>51</v>
      </c>
      <c r="B2" s="132"/>
      <c r="C2" s="132"/>
      <c r="D2" s="132"/>
      <c r="E2" s="132"/>
      <c r="F2" s="132"/>
      <c r="G2" s="132"/>
      <c r="H2" s="136"/>
    </row>
    <row r="3" spans="1:11" ht="18.75" x14ac:dyDescent="0.3">
      <c r="A3" s="131" t="s">
        <v>159</v>
      </c>
      <c r="B3" s="132"/>
      <c r="C3" s="132"/>
      <c r="D3" s="132"/>
      <c r="E3" s="132"/>
      <c r="F3" s="132"/>
      <c r="G3" s="132"/>
      <c r="H3" s="132"/>
    </row>
    <row r="4" spans="1:11" x14ac:dyDescent="0.25">
      <c r="A4" s="1" t="s">
        <v>2</v>
      </c>
      <c r="B4" s="2">
        <v>13651</v>
      </c>
      <c r="C4" s="2">
        <v>13368</v>
      </c>
      <c r="D4" s="2"/>
      <c r="E4" s="2"/>
      <c r="F4" s="2"/>
      <c r="G4" s="2"/>
      <c r="H4" s="2" t="s">
        <v>3</v>
      </c>
    </row>
    <row r="5" spans="1:11" x14ac:dyDescent="0.25">
      <c r="A5" s="3"/>
      <c r="B5" s="4">
        <v>46153</v>
      </c>
      <c r="C5" s="4">
        <v>46174</v>
      </c>
      <c r="D5" s="4"/>
      <c r="E5" s="4"/>
      <c r="F5" s="4"/>
      <c r="G5" s="4"/>
      <c r="H5" s="4">
        <v>46173</v>
      </c>
    </row>
    <row r="6" spans="1:11" x14ac:dyDescent="0.25">
      <c r="A6" s="54" t="s">
        <v>13</v>
      </c>
      <c r="B6" s="22">
        <v>40</v>
      </c>
      <c r="C6" s="22">
        <v>-40</v>
      </c>
      <c r="D6" s="8"/>
      <c r="E6" s="8"/>
      <c r="F6" s="8"/>
      <c r="G6" s="8"/>
      <c r="H6" s="9">
        <f>SUM(B6:G6)</f>
        <v>0</v>
      </c>
    </row>
    <row r="7" spans="1:11" x14ac:dyDescent="0.25">
      <c r="A7" s="3" t="s">
        <v>16</v>
      </c>
      <c r="B7" s="52">
        <v>0.40833333333333333</v>
      </c>
      <c r="C7" s="52">
        <v>9.375E-2</v>
      </c>
      <c r="D7" s="11"/>
      <c r="E7" s="11"/>
      <c r="F7" s="11"/>
      <c r="G7" s="11"/>
      <c r="H7" s="12"/>
    </row>
    <row r="8" spans="1:11" x14ac:dyDescent="0.25">
      <c r="A8" s="3" t="s">
        <v>17</v>
      </c>
      <c r="B8" s="53" t="s">
        <v>160</v>
      </c>
      <c r="C8" s="53" t="s">
        <v>355</v>
      </c>
      <c r="D8" s="53"/>
      <c r="E8" s="53"/>
      <c r="F8" s="53"/>
      <c r="G8" s="53"/>
      <c r="H8" s="12"/>
    </row>
    <row r="9" spans="1:11" x14ac:dyDescent="0.25">
      <c r="K9" t="s">
        <v>356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A29F-DE1A-47ED-B158-08613801CD54}">
  <dimension ref="A1:I34"/>
  <sheetViews>
    <sheetView topLeftCell="A29" workbookViewId="0">
      <selection activeCell="L9" sqref="L9"/>
    </sheetView>
  </sheetViews>
  <sheetFormatPr baseColWidth="10" defaultRowHeight="15" x14ac:dyDescent="0.25"/>
  <cols>
    <col min="1" max="1" width="52.28515625" customWidth="1"/>
  </cols>
  <sheetData>
    <row r="1" spans="1:9" ht="18.75" x14ac:dyDescent="0.3">
      <c r="A1" s="129" t="s">
        <v>87</v>
      </c>
      <c r="B1" s="130"/>
      <c r="C1" s="130"/>
      <c r="D1" s="130"/>
      <c r="E1" s="130"/>
      <c r="F1" s="130"/>
      <c r="G1" s="130"/>
      <c r="H1" s="130"/>
      <c r="I1" s="135"/>
    </row>
    <row r="2" spans="1:9" ht="18.75" x14ac:dyDescent="0.3">
      <c r="A2" s="131" t="s">
        <v>88</v>
      </c>
      <c r="B2" s="132"/>
      <c r="C2" s="132"/>
      <c r="D2" s="132"/>
      <c r="E2" s="132"/>
      <c r="F2" s="132"/>
      <c r="G2" s="132"/>
      <c r="H2" s="132"/>
      <c r="I2" s="136"/>
    </row>
    <row r="3" spans="1:9" ht="18.75" x14ac:dyDescent="0.3">
      <c r="A3" s="131" t="s">
        <v>86</v>
      </c>
      <c r="B3" s="132"/>
      <c r="C3" s="132"/>
      <c r="D3" s="132"/>
      <c r="E3" s="132"/>
      <c r="F3" s="132"/>
      <c r="G3" s="132"/>
      <c r="H3" s="132"/>
      <c r="I3" s="132"/>
    </row>
    <row r="4" spans="1:9" x14ac:dyDescent="0.25">
      <c r="A4" s="1" t="s">
        <v>2</v>
      </c>
      <c r="B4" s="2">
        <v>13629</v>
      </c>
      <c r="C4" s="2">
        <v>13637</v>
      </c>
      <c r="D4" s="2">
        <v>13643</v>
      </c>
      <c r="E4" s="2">
        <v>13646</v>
      </c>
      <c r="F4" s="2">
        <v>13334</v>
      </c>
      <c r="G4" s="2">
        <v>13314</v>
      </c>
      <c r="H4" s="2">
        <v>13340</v>
      </c>
      <c r="I4" s="2" t="s">
        <v>3</v>
      </c>
    </row>
    <row r="5" spans="1:9" x14ac:dyDescent="0.25">
      <c r="A5" s="3"/>
      <c r="B5" s="4">
        <v>46148</v>
      </c>
      <c r="C5" s="5">
        <v>46150</v>
      </c>
      <c r="D5" s="4">
        <v>46150</v>
      </c>
      <c r="E5" s="4">
        <v>46151</v>
      </c>
      <c r="F5" s="4">
        <v>46163</v>
      </c>
      <c r="G5" s="4">
        <v>46150</v>
      </c>
      <c r="H5" s="4">
        <v>46162</v>
      </c>
      <c r="I5" s="4">
        <v>46173</v>
      </c>
    </row>
    <row r="6" spans="1:9" x14ac:dyDescent="0.25">
      <c r="A6" s="6" t="s">
        <v>30</v>
      </c>
      <c r="B6" s="7">
        <v>10</v>
      </c>
      <c r="C6" s="8"/>
      <c r="D6" s="8"/>
      <c r="E6" s="8"/>
      <c r="F6" s="8">
        <v>-10</v>
      </c>
      <c r="G6" s="8"/>
      <c r="H6" s="8"/>
      <c r="I6" s="9">
        <f t="shared" ref="I6:I12" si="0">SUM(B6:F6)</f>
        <v>0</v>
      </c>
    </row>
    <row r="7" spans="1:9" x14ac:dyDescent="0.25">
      <c r="A7" s="6" t="s">
        <v>89</v>
      </c>
      <c r="B7" s="7">
        <v>3</v>
      </c>
      <c r="C7" s="8"/>
      <c r="D7" s="8"/>
      <c r="E7" s="8"/>
      <c r="F7" s="8">
        <v>-3</v>
      </c>
      <c r="G7" s="8"/>
      <c r="H7" s="8"/>
      <c r="I7" s="9">
        <f t="shared" si="0"/>
        <v>0</v>
      </c>
    </row>
    <row r="8" spans="1:9" x14ac:dyDescent="0.25">
      <c r="A8" s="6" t="s">
        <v>90</v>
      </c>
      <c r="B8" s="7">
        <v>4</v>
      </c>
      <c r="C8" s="8"/>
      <c r="D8" s="8"/>
      <c r="E8" s="8"/>
      <c r="F8" s="8">
        <v>-4</v>
      </c>
      <c r="G8" s="8"/>
      <c r="H8" s="8"/>
      <c r="I8" s="9">
        <f t="shared" si="0"/>
        <v>0</v>
      </c>
    </row>
    <row r="9" spans="1:9" x14ac:dyDescent="0.25">
      <c r="A9" s="6" t="s">
        <v>91</v>
      </c>
      <c r="B9" s="7">
        <v>2</v>
      </c>
      <c r="C9" s="8"/>
      <c r="D9" s="8"/>
      <c r="E9" s="8"/>
      <c r="F9" s="8">
        <v>-2</v>
      </c>
      <c r="G9" s="8"/>
      <c r="H9" s="8"/>
      <c r="I9" s="9">
        <f t="shared" si="0"/>
        <v>0</v>
      </c>
    </row>
    <row r="10" spans="1:9" x14ac:dyDescent="0.25">
      <c r="A10" s="6" t="s">
        <v>92</v>
      </c>
      <c r="B10" s="7">
        <v>3</v>
      </c>
      <c r="C10" s="8"/>
      <c r="D10" s="8"/>
      <c r="E10" s="8"/>
      <c r="F10" s="8">
        <v>-3</v>
      </c>
      <c r="G10" s="8"/>
      <c r="H10" s="8"/>
      <c r="I10" s="9">
        <f t="shared" si="0"/>
        <v>0</v>
      </c>
    </row>
    <row r="11" spans="1:9" x14ac:dyDescent="0.25">
      <c r="A11" s="6" t="s">
        <v>125</v>
      </c>
      <c r="B11" s="7"/>
      <c r="C11" s="8">
        <v>6</v>
      </c>
      <c r="D11" s="8"/>
      <c r="E11" s="8"/>
      <c r="F11" s="8">
        <v>-2</v>
      </c>
      <c r="G11" s="8"/>
      <c r="H11" s="8"/>
      <c r="I11" s="58">
        <f t="shared" si="0"/>
        <v>4</v>
      </c>
    </row>
    <row r="12" spans="1:9" x14ac:dyDescent="0.25">
      <c r="A12" s="6" t="s">
        <v>126</v>
      </c>
      <c r="B12" s="7"/>
      <c r="C12" s="8">
        <v>6</v>
      </c>
      <c r="D12" s="8"/>
      <c r="E12" s="8"/>
      <c r="F12" s="8">
        <v>-4</v>
      </c>
      <c r="G12" s="8"/>
      <c r="H12" s="8"/>
      <c r="I12" s="58">
        <f t="shared" si="0"/>
        <v>2</v>
      </c>
    </row>
    <row r="13" spans="1:9" x14ac:dyDescent="0.25">
      <c r="A13" s="6" t="s">
        <v>127</v>
      </c>
      <c r="B13" s="7"/>
      <c r="C13" s="8">
        <v>2</v>
      </c>
      <c r="D13" s="8"/>
      <c r="E13" s="8"/>
      <c r="F13" s="8"/>
      <c r="G13" s="8">
        <v>-2</v>
      </c>
      <c r="H13" s="8"/>
      <c r="I13" s="9">
        <f>SUM(B13:G13)</f>
        <v>0</v>
      </c>
    </row>
    <row r="14" spans="1:9" x14ac:dyDescent="0.25">
      <c r="A14" s="6" t="s">
        <v>129</v>
      </c>
      <c r="B14" s="7"/>
      <c r="C14" s="8"/>
      <c r="D14" s="8"/>
      <c r="E14" s="8"/>
      <c r="F14" s="8"/>
      <c r="G14" s="8"/>
      <c r="H14" s="8"/>
      <c r="I14" s="9">
        <f>SUM(B14:F14)</f>
        <v>0</v>
      </c>
    </row>
    <row r="15" spans="1:9" x14ac:dyDescent="0.25">
      <c r="A15" s="6" t="s">
        <v>128</v>
      </c>
      <c r="B15" s="7"/>
      <c r="C15" s="8"/>
      <c r="D15" s="8">
        <v>5</v>
      </c>
      <c r="E15" s="8">
        <v>2</v>
      </c>
      <c r="F15" s="8">
        <v>-4</v>
      </c>
      <c r="G15" s="8"/>
      <c r="H15" s="8">
        <v>-3</v>
      </c>
      <c r="I15" s="9">
        <f>SUM(B15:H15)</f>
        <v>0</v>
      </c>
    </row>
    <row r="16" spans="1:9" x14ac:dyDescent="0.25">
      <c r="A16" s="6" t="s">
        <v>129</v>
      </c>
      <c r="B16" s="7"/>
      <c r="C16" s="8"/>
      <c r="D16" s="8">
        <v>6</v>
      </c>
      <c r="E16" s="8"/>
      <c r="F16" s="8">
        <v>-2</v>
      </c>
      <c r="G16" s="8" t="s">
        <v>335</v>
      </c>
      <c r="H16" s="8">
        <v>-4</v>
      </c>
      <c r="I16" s="9">
        <f>SUM(B16:H16)</f>
        <v>0</v>
      </c>
    </row>
    <row r="17" spans="1:9" x14ac:dyDescent="0.25">
      <c r="A17" s="6" t="s">
        <v>130</v>
      </c>
      <c r="B17" s="7"/>
      <c r="C17" s="8"/>
      <c r="D17" s="8">
        <v>6</v>
      </c>
      <c r="E17" s="8"/>
      <c r="F17" s="8">
        <v>-4</v>
      </c>
      <c r="G17" s="8"/>
      <c r="H17" s="8">
        <v>-2</v>
      </c>
      <c r="I17" s="9">
        <f>SUM(B17:H17)</f>
        <v>0</v>
      </c>
    </row>
    <row r="18" spans="1:9" x14ac:dyDescent="0.25">
      <c r="A18" s="3" t="s">
        <v>16</v>
      </c>
      <c r="B18" s="10">
        <v>0.30555555555555558</v>
      </c>
      <c r="C18" s="11">
        <v>0.39583333333333331</v>
      </c>
      <c r="D18" s="11">
        <v>0.47916666666666669</v>
      </c>
      <c r="E18" s="11">
        <v>0.31944444444444442</v>
      </c>
      <c r="F18" s="11">
        <v>0.45833333333333331</v>
      </c>
      <c r="G18" s="11"/>
      <c r="H18" s="11"/>
      <c r="I18" s="12"/>
    </row>
    <row r="19" spans="1:9" x14ac:dyDescent="0.25">
      <c r="A19" s="3" t="s">
        <v>17</v>
      </c>
      <c r="B19" s="13">
        <v>20000</v>
      </c>
      <c r="C19" s="13">
        <v>20000</v>
      </c>
      <c r="D19" s="13">
        <v>30000</v>
      </c>
      <c r="E19" s="13">
        <v>15000</v>
      </c>
      <c r="F19" s="13"/>
      <c r="G19" s="13"/>
      <c r="H19" s="13"/>
      <c r="I19" s="37">
        <f>SUM(B19:E19)</f>
        <v>85000</v>
      </c>
    </row>
    <row r="21" spans="1:9" ht="15.75" thickBot="1" x14ac:dyDescent="0.3"/>
    <row r="22" spans="1:9" ht="18.75" x14ac:dyDescent="0.3">
      <c r="A22" s="129" t="s">
        <v>87</v>
      </c>
      <c r="B22" s="130"/>
      <c r="C22" s="130"/>
      <c r="D22" s="130"/>
      <c r="E22" s="130"/>
      <c r="F22" s="130"/>
      <c r="G22" s="130"/>
      <c r="H22" s="130"/>
      <c r="I22" s="135"/>
    </row>
    <row r="23" spans="1:9" ht="18.75" x14ac:dyDescent="0.3">
      <c r="A23" s="131" t="s">
        <v>88</v>
      </c>
      <c r="B23" s="132"/>
      <c r="C23" s="132"/>
      <c r="D23" s="132"/>
      <c r="E23" s="132"/>
      <c r="F23" s="132"/>
      <c r="G23" s="132"/>
      <c r="H23" s="132"/>
      <c r="I23" s="136"/>
    </row>
    <row r="24" spans="1:9" ht="18.75" x14ac:dyDescent="0.3">
      <c r="A24" s="131" t="s">
        <v>86</v>
      </c>
      <c r="B24" s="132"/>
      <c r="C24" s="132"/>
      <c r="D24" s="132"/>
      <c r="E24" s="132"/>
      <c r="F24" s="132"/>
      <c r="G24" s="132"/>
      <c r="H24" s="132"/>
      <c r="I24" s="132"/>
    </row>
    <row r="25" spans="1:9" x14ac:dyDescent="0.25">
      <c r="A25" s="1" t="s">
        <v>2</v>
      </c>
      <c r="B25" s="2">
        <v>13681</v>
      </c>
      <c r="C25" s="2">
        <v>13355</v>
      </c>
      <c r="D25" s="2"/>
      <c r="E25" s="2"/>
      <c r="F25" s="2"/>
      <c r="G25" s="2"/>
      <c r="H25" s="2"/>
      <c r="I25" s="2" t="s">
        <v>3</v>
      </c>
    </row>
    <row r="26" spans="1:9" x14ac:dyDescent="0.25">
      <c r="A26" s="3"/>
      <c r="B26" s="4">
        <v>46163</v>
      </c>
      <c r="C26" s="5">
        <v>46170</v>
      </c>
      <c r="D26" s="4"/>
      <c r="E26" s="4"/>
      <c r="F26" s="4"/>
      <c r="G26" s="4"/>
      <c r="H26" s="4"/>
      <c r="I26" s="4">
        <v>46173</v>
      </c>
    </row>
    <row r="27" spans="1:9" x14ac:dyDescent="0.25">
      <c r="A27" s="6" t="s">
        <v>241</v>
      </c>
      <c r="B27" s="7">
        <v>10</v>
      </c>
      <c r="C27" s="8">
        <v>-10</v>
      </c>
      <c r="D27" s="8"/>
      <c r="E27" s="8"/>
      <c r="F27" s="8"/>
      <c r="G27" s="8"/>
      <c r="H27" s="8"/>
      <c r="I27" s="9">
        <f>SUM(B27:F27)</f>
        <v>0</v>
      </c>
    </row>
    <row r="28" spans="1:9" x14ac:dyDescent="0.25">
      <c r="A28" s="6" t="s">
        <v>242</v>
      </c>
      <c r="B28" s="7">
        <v>10</v>
      </c>
      <c r="C28" s="8">
        <v>-10</v>
      </c>
      <c r="D28" s="8"/>
      <c r="E28" s="8"/>
      <c r="F28" s="8"/>
      <c r="G28" s="8"/>
      <c r="H28" s="8"/>
      <c r="I28" s="9">
        <f>SUM(B28:F28)</f>
        <v>0</v>
      </c>
    </row>
    <row r="29" spans="1:9" x14ac:dyDescent="0.25">
      <c r="A29" s="6" t="s">
        <v>128</v>
      </c>
      <c r="B29" s="7">
        <v>2</v>
      </c>
      <c r="C29" s="8">
        <v>-2</v>
      </c>
      <c r="D29" s="8"/>
      <c r="E29" s="8"/>
      <c r="F29" s="8"/>
      <c r="G29" s="8"/>
      <c r="H29" s="8"/>
      <c r="I29" s="9">
        <f>SUM(B29:F29)</f>
        <v>0</v>
      </c>
    </row>
    <row r="30" spans="1:9" x14ac:dyDescent="0.25">
      <c r="A30" s="3" t="s">
        <v>16</v>
      </c>
      <c r="B30" s="10">
        <v>0.30208333333333331</v>
      </c>
      <c r="C30" s="11">
        <v>0.4861111111111111</v>
      </c>
      <c r="D30" s="11"/>
      <c r="E30" s="11"/>
      <c r="F30" s="11"/>
      <c r="G30" s="11"/>
      <c r="H30" s="11"/>
      <c r="I30" s="12"/>
    </row>
    <row r="31" spans="1:9" x14ac:dyDescent="0.25">
      <c r="A31" s="3" t="s">
        <v>17</v>
      </c>
      <c r="B31" s="13">
        <v>15000</v>
      </c>
      <c r="C31" s="13">
        <v>15000</v>
      </c>
      <c r="D31" s="13"/>
      <c r="E31" s="13"/>
      <c r="F31" s="13"/>
      <c r="G31" s="13"/>
      <c r="H31" s="13"/>
      <c r="I31" s="37">
        <f>SUM(B31:E31)</f>
        <v>30000</v>
      </c>
    </row>
    <row r="34" spans="5:5" x14ac:dyDescent="0.25">
      <c r="E34" t="s">
        <v>247</v>
      </c>
    </row>
  </sheetData>
  <mergeCells count="6">
    <mergeCell ref="A24:I24"/>
    <mergeCell ref="A1:I1"/>
    <mergeCell ref="A2:I2"/>
    <mergeCell ref="A3:I3"/>
    <mergeCell ref="A22:I22"/>
    <mergeCell ref="A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49</vt:i4>
      </vt:variant>
    </vt:vector>
  </HeadingPairs>
  <TitlesOfParts>
    <vt:vector size="49" baseType="lpstr">
      <vt:lpstr>CICOM KARIME</vt:lpstr>
      <vt:lpstr>JAVIER GELVIN</vt:lpstr>
      <vt:lpstr>CLAUDIA GIL</vt:lpstr>
      <vt:lpstr>MAESTRO RIGO</vt:lpstr>
      <vt:lpstr>GIOVANNY SIERRA</vt:lpstr>
      <vt:lpstr>PEDRO JULIO</vt:lpstr>
      <vt:lpstr>FREDY LENGUA</vt:lpstr>
      <vt:lpstr>DISQUINAL</vt:lpstr>
      <vt:lpstr>YESENIA MURILLO</vt:lpstr>
      <vt:lpstr>DANIELA</vt:lpstr>
      <vt:lpstr>JOSE SILVA</vt:lpstr>
      <vt:lpstr>HOLGUER CONTRERAS</vt:lpstr>
      <vt:lpstr>ADRIAN BRAVO</vt:lpstr>
      <vt:lpstr>ELISEO NELSON</vt:lpstr>
      <vt:lpstr>KEVIN ANDRES </vt:lpstr>
      <vt:lpstr>LUDWIN ANDGULO</vt:lpstr>
      <vt:lpstr>ELIAS RIOS</vt:lpstr>
      <vt:lpstr>CARLOS MIGUEL PINILLA</vt:lpstr>
      <vt:lpstr>IXA S.A.S</vt:lpstr>
      <vt:lpstr>ALQUIOBRAS </vt:lpstr>
      <vt:lpstr>DIEGO GUTIERREZ</vt:lpstr>
      <vt:lpstr>ANTONIO GUTIERREZ</vt:lpstr>
      <vt:lpstr>FREDY ESCALMILLA</vt:lpstr>
      <vt:lpstr>ANDREI CADENA </vt:lpstr>
      <vt:lpstr>TEJIDO</vt:lpstr>
      <vt:lpstr>JUAN LAMUS</vt:lpstr>
      <vt:lpstr>FIDEL CARO</vt:lpstr>
      <vt:lpstr>FELIZ  CARILLO</vt:lpstr>
      <vt:lpstr>GLASCOLL</vt:lpstr>
      <vt:lpstr>YAQUELINE MARIN</vt:lpstr>
      <vt:lpstr>EDINSON MEDINA</vt:lpstr>
      <vt:lpstr>JUAN DAVID ANGARITA</vt:lpstr>
      <vt:lpstr>MAESTRO VIDAL</vt:lpstr>
      <vt:lpstr>ROSA</vt:lpstr>
      <vt:lpstr>EDUARDO TOLOZA</vt:lpstr>
      <vt:lpstr>ELKIN HERRERA</vt:lpstr>
      <vt:lpstr>MAESTRO JHON</vt:lpstr>
      <vt:lpstr>YURANIS</vt:lpstr>
      <vt:lpstr>FREDDY ESCALMILLA </vt:lpstr>
      <vt:lpstr>RAMIRO DULCEY </vt:lpstr>
      <vt:lpstr>ANDRES GARCIA</vt:lpstr>
      <vt:lpstr>JORGE SAN FRANCISCO</vt:lpstr>
      <vt:lpstr>PRODUCTOS ALINA</vt:lpstr>
      <vt:lpstr>LADI</vt:lpstr>
      <vt:lpstr>wilmer rondon</vt:lpstr>
      <vt:lpstr>JHON JIMENEZ</vt:lpstr>
      <vt:lpstr>POLIMYS</vt:lpstr>
      <vt:lpstr>EDWIN BARBOSA</vt:lpstr>
      <vt:lpstr>ANDREA PAOLA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2026-06-23T13:56:50Z</cp:lastPrinted>
  <dcterms:created xsi:type="dcterms:W3CDTF">2015-06-05T18:19:34Z</dcterms:created>
  <dcterms:modified xsi:type="dcterms:W3CDTF">2026-07-11T17:33:20Z</dcterms:modified>
</cp:coreProperties>
</file>
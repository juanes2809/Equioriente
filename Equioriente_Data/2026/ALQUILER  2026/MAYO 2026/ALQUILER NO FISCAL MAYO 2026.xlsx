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hreadedComments/threadedComment1.xml" ContentType="application/vnd.ms-excel.threaded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anus.EQUIORIENTE\Desktop\EQUIORIENTE\FACTURACION\2026\MAYO 2026\"/>
    </mc:Choice>
  </mc:AlternateContent>
  <xr:revisionPtr revIDLastSave="0" documentId="13_ncr:1_{DEA32D85-0D4E-477E-985F-5F383DDB7C08}" xr6:coauthVersionLast="47" xr6:coauthVersionMax="47" xr10:uidLastSave="{00000000-0000-0000-0000-000000000000}"/>
  <bookViews>
    <workbookView xWindow="-120" yWindow="-120" windowWidth="20730" windowHeight="11040" firstSheet="10" activeTab="12" xr2:uid="{00000000-000D-0000-FFFF-FFFF00000000}"/>
  </bookViews>
  <sheets>
    <sheet name="MAESTRO RIGO" sheetId="1" r:id="rId1"/>
    <sheet name="MAESTRO JOSE SILVA" sheetId="3" r:id="rId2"/>
    <sheet name="ANDREI CADENA" sheetId="4" r:id="rId3"/>
    <sheet name="ROSA VARGAS" sheetId="11" r:id="rId4"/>
    <sheet name="ADRIAN BRAVO" sheetId="10" r:id="rId5"/>
    <sheet name="ALQUIOBRAS" sheetId="13" r:id="rId6"/>
    <sheet name="MAESTRO VIDAL" sheetId="2" r:id="rId7"/>
    <sheet name="ELIAS RIOS" sheetId="9" r:id="rId8"/>
    <sheet name="JHON JIMENEZ" sheetId="6" r:id="rId9"/>
    <sheet name="CLAUDIA JEREZ" sheetId="12" r:id="rId10"/>
    <sheet name="DANIELA" sheetId="7" r:id="rId11"/>
    <sheet name="WILMER RONDON" sheetId="5" r:id="rId12"/>
    <sheet name="POLIMYS" sheetId="15" r:id="rId13"/>
    <sheet name="ALQUILER NO FISCALMAYO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5" l="1"/>
  <c r="H6" i="15"/>
  <c r="H5" i="15"/>
  <c r="E23" i="15" l="1"/>
  <c r="F23" i="15" s="1"/>
  <c r="E22" i="15"/>
  <c r="F22" i="15" s="1"/>
  <c r="E21" i="15"/>
  <c r="F21" i="15" s="1"/>
  <c r="F56" i="14"/>
  <c r="G56" i="14" s="1"/>
  <c r="B48" i="14"/>
  <c r="F48" i="14" s="1"/>
  <c r="F83" i="14"/>
  <c r="F79" i="14"/>
  <c r="F73" i="14"/>
  <c r="G73" i="14" s="1"/>
  <c r="F72" i="14"/>
  <c r="F71" i="14"/>
  <c r="G71" i="14" s="1"/>
  <c r="H71" i="14" s="1"/>
  <c r="F70" i="14"/>
  <c r="G70" i="14" s="1"/>
  <c r="F69" i="14"/>
  <c r="F68" i="14"/>
  <c r="G68" i="14" s="1"/>
  <c r="H68" i="14" s="1"/>
  <c r="F67" i="14"/>
  <c r="G67" i="14" s="1"/>
  <c r="H67" i="14" s="1"/>
  <c r="F66" i="14"/>
  <c r="G66" i="14" s="1"/>
  <c r="F65" i="14"/>
  <c r="F64" i="14"/>
  <c r="G64" i="14" s="1"/>
  <c r="H64" i="14" s="1"/>
  <c r="F63" i="14"/>
  <c r="G63" i="14" s="1"/>
  <c r="H63" i="14" s="1"/>
  <c r="F62" i="14"/>
  <c r="G62" i="14" s="1"/>
  <c r="F61" i="14"/>
  <c r="F60" i="14"/>
  <c r="G60" i="14" s="1"/>
  <c r="H60" i="14" s="1"/>
  <c r="F59" i="14"/>
  <c r="G59" i="14" s="1"/>
  <c r="H59" i="14" s="1"/>
  <c r="F58" i="14"/>
  <c r="F57" i="14"/>
  <c r="F55" i="14"/>
  <c r="G55" i="14" s="1"/>
  <c r="H55" i="14" s="1"/>
  <c r="F54" i="14"/>
  <c r="G54" i="14" s="1"/>
  <c r="H54" i="14" s="1"/>
  <c r="F53" i="14"/>
  <c r="G53" i="14" s="1"/>
  <c r="F52" i="14"/>
  <c r="F51" i="14"/>
  <c r="G51" i="14" s="1"/>
  <c r="H51" i="14" s="1"/>
  <c r="F50" i="14"/>
  <c r="G50" i="14" s="1"/>
  <c r="H50" i="14" s="1"/>
  <c r="F49" i="14"/>
  <c r="F41" i="14"/>
  <c r="F37" i="14"/>
  <c r="F31" i="14"/>
  <c r="G31" i="14" s="1"/>
  <c r="F30" i="14"/>
  <c r="F29" i="14"/>
  <c r="G29" i="14" s="1"/>
  <c r="H29" i="14" s="1"/>
  <c r="F28" i="14"/>
  <c r="G28" i="14" s="1"/>
  <c r="H28" i="14" s="1"/>
  <c r="F27" i="14"/>
  <c r="F26" i="14"/>
  <c r="F25" i="14"/>
  <c r="G25" i="14" s="1"/>
  <c r="H25" i="14" s="1"/>
  <c r="F24" i="14"/>
  <c r="G24" i="14" s="1"/>
  <c r="H24" i="14" s="1"/>
  <c r="F23" i="14"/>
  <c r="G23" i="14" s="1"/>
  <c r="F22" i="14"/>
  <c r="F21" i="14"/>
  <c r="G21" i="14" s="1"/>
  <c r="H21" i="14" s="1"/>
  <c r="F20" i="14"/>
  <c r="G20" i="14" s="1"/>
  <c r="H20" i="14" s="1"/>
  <c r="F19" i="14"/>
  <c r="F18" i="14"/>
  <c r="F17" i="14"/>
  <c r="G17" i="14" s="1"/>
  <c r="H17" i="14" s="1"/>
  <c r="F16" i="14"/>
  <c r="G16" i="14" s="1"/>
  <c r="H16" i="14" s="1"/>
  <c r="F15" i="14"/>
  <c r="F14" i="14"/>
  <c r="F13" i="14"/>
  <c r="G13" i="14" s="1"/>
  <c r="H13" i="14" s="1"/>
  <c r="F12" i="14"/>
  <c r="G12" i="14" s="1"/>
  <c r="H12" i="14" s="1"/>
  <c r="F11" i="14"/>
  <c r="G11" i="14" s="1"/>
  <c r="F10" i="14"/>
  <c r="F9" i="14"/>
  <c r="G9" i="14" s="1"/>
  <c r="H9" i="14" s="1"/>
  <c r="F8" i="14"/>
  <c r="G8" i="14" s="1"/>
  <c r="H8" i="14" s="1"/>
  <c r="F7" i="14"/>
  <c r="F6" i="14"/>
  <c r="F5" i="14"/>
  <c r="G5" i="14" s="1"/>
  <c r="H5" i="14" s="1"/>
  <c r="F4" i="14"/>
  <c r="G4" i="14" s="1"/>
  <c r="H4" i="14" s="1"/>
  <c r="F3" i="14"/>
  <c r="E96" i="13"/>
  <c r="E98" i="13" s="1"/>
  <c r="E93" i="13"/>
  <c r="F93" i="13" s="1"/>
  <c r="E92" i="13"/>
  <c r="F92" i="13" s="1"/>
  <c r="E91" i="13"/>
  <c r="F91" i="13" s="1"/>
  <c r="E94" i="13" s="1"/>
  <c r="G81" i="13"/>
  <c r="E56" i="13"/>
  <c r="F56" i="13" s="1"/>
  <c r="E55" i="13"/>
  <c r="F55" i="13" s="1"/>
  <c r="E57" i="13" s="1"/>
  <c r="G48" i="13"/>
  <c r="E40" i="13"/>
  <c r="F40" i="13" s="1"/>
  <c r="E39" i="13"/>
  <c r="F39" i="13" s="1"/>
  <c r="G29" i="13"/>
  <c r="G28" i="13"/>
  <c r="E24" i="15" l="1"/>
  <c r="H56" i="14"/>
  <c r="F32" i="14"/>
  <c r="F74" i="14"/>
  <c r="G49" i="14"/>
  <c r="H49" i="14" s="1"/>
  <c r="G58" i="14"/>
  <c r="H58" i="14" s="1"/>
  <c r="G48" i="14"/>
  <c r="G52" i="14"/>
  <c r="H52" i="14" s="1"/>
  <c r="H53" i="14"/>
  <c r="G57" i="14"/>
  <c r="H57" i="14" s="1"/>
  <c r="G61" i="14"/>
  <c r="H61" i="14" s="1"/>
  <c r="H62" i="14"/>
  <c r="G65" i="14"/>
  <c r="H65" i="14" s="1"/>
  <c r="H66" i="14"/>
  <c r="G69" i="14"/>
  <c r="H69" i="14" s="1"/>
  <c r="H70" i="14"/>
  <c r="G72" i="14"/>
  <c r="H72" i="14" s="1"/>
  <c r="H73" i="14"/>
  <c r="G3" i="14"/>
  <c r="G7" i="14"/>
  <c r="H7" i="14" s="1"/>
  <c r="G15" i="14"/>
  <c r="H15" i="14" s="1"/>
  <c r="G27" i="14"/>
  <c r="H27" i="14" s="1"/>
  <c r="H3" i="14"/>
  <c r="H11" i="14"/>
  <c r="G22" i="14"/>
  <c r="H22" i="14" s="1"/>
  <c r="H23" i="14"/>
  <c r="G26" i="14"/>
  <c r="H26" i="14" s="1"/>
  <c r="G30" i="14"/>
  <c r="H30" i="14" s="1"/>
  <c r="H31" i="14"/>
  <c r="G19" i="14"/>
  <c r="H19" i="14" s="1"/>
  <c r="G6" i="14"/>
  <c r="H6" i="14" s="1"/>
  <c r="G10" i="14"/>
  <c r="H10" i="14" s="1"/>
  <c r="G14" i="14"/>
  <c r="H14" i="14" s="1"/>
  <c r="G18" i="14"/>
  <c r="H18" i="14" s="1"/>
  <c r="E41" i="13"/>
  <c r="G74" i="14" l="1"/>
  <c r="F84" i="14" s="1"/>
  <c r="H48" i="14"/>
  <c r="H74" i="14" s="1"/>
  <c r="H32" i="14"/>
  <c r="G32" i="14"/>
  <c r="F42" i="14" s="1"/>
  <c r="E20" i="13"/>
  <c r="F20" i="13" s="1"/>
  <c r="E19" i="13"/>
  <c r="F19" i="13" s="1"/>
  <c r="E18" i="13"/>
  <c r="F18" i="13" s="1"/>
  <c r="G8" i="13"/>
  <c r="G7" i="13"/>
  <c r="G6" i="13"/>
  <c r="E21" i="13" l="1"/>
  <c r="E73" i="13" l="1"/>
  <c r="F73" i="13" s="1"/>
  <c r="E74" i="13" s="1"/>
  <c r="G65" i="13"/>
  <c r="E56" i="12"/>
  <c r="F56" i="12" s="1"/>
  <c r="F6" i="10"/>
  <c r="F7" i="10"/>
  <c r="F8" i="10"/>
  <c r="F9" i="10"/>
  <c r="F10" i="10"/>
  <c r="F11" i="10"/>
  <c r="F13" i="10"/>
  <c r="H144" i="10"/>
  <c r="H141" i="10"/>
  <c r="H140" i="10"/>
  <c r="H139" i="10"/>
  <c r="H138" i="10"/>
  <c r="H137" i="10"/>
  <c r="H136" i="10"/>
  <c r="F33" i="12" l="1"/>
  <c r="F34" i="12"/>
  <c r="F37" i="12"/>
  <c r="F38" i="12"/>
  <c r="F42" i="12"/>
  <c r="F45" i="12"/>
  <c r="F46" i="12"/>
  <c r="F49" i="12"/>
  <c r="F50" i="12"/>
  <c r="F53" i="12"/>
  <c r="F54" i="12"/>
  <c r="F58" i="12"/>
  <c r="F59" i="12"/>
  <c r="F62" i="12"/>
  <c r="E31" i="12"/>
  <c r="F31" i="12" s="1"/>
  <c r="E32" i="12"/>
  <c r="F32" i="12" s="1"/>
  <c r="E33" i="12"/>
  <c r="E34" i="12"/>
  <c r="E35" i="12"/>
  <c r="F35" i="12" s="1"/>
  <c r="E36" i="12"/>
  <c r="F36" i="12" s="1"/>
  <c r="E37" i="12"/>
  <c r="E38" i="12"/>
  <c r="E39" i="12"/>
  <c r="F39" i="12" s="1"/>
  <c r="E40" i="12"/>
  <c r="F40" i="12" s="1"/>
  <c r="E41" i="12"/>
  <c r="F41" i="12" s="1"/>
  <c r="E42" i="12"/>
  <c r="E43" i="12"/>
  <c r="F43" i="12" s="1"/>
  <c r="E44" i="12"/>
  <c r="F44" i="12" s="1"/>
  <c r="E45" i="12"/>
  <c r="E46" i="12"/>
  <c r="E47" i="12"/>
  <c r="F47" i="12" s="1"/>
  <c r="E48" i="12"/>
  <c r="F48" i="12" s="1"/>
  <c r="E49" i="12"/>
  <c r="E50" i="12"/>
  <c r="E51" i="12"/>
  <c r="F51" i="12" s="1"/>
  <c r="E52" i="12"/>
  <c r="F52" i="12" s="1"/>
  <c r="E53" i="12"/>
  <c r="E54" i="12"/>
  <c r="E55" i="12"/>
  <c r="F55" i="12" s="1"/>
  <c r="E57" i="12"/>
  <c r="F57" i="12" s="1"/>
  <c r="E58" i="12"/>
  <c r="E59" i="12"/>
  <c r="E60" i="12"/>
  <c r="F60" i="12" s="1"/>
  <c r="E61" i="12"/>
  <c r="F61" i="12" s="1"/>
  <c r="E62" i="12"/>
  <c r="E30" i="12"/>
  <c r="F30" i="12" s="1"/>
  <c r="F63" i="12" l="1"/>
  <c r="AA21" i="12" l="1"/>
  <c r="AA20" i="12"/>
  <c r="AA19" i="12"/>
  <c r="AA18" i="12"/>
  <c r="AA17" i="12"/>
  <c r="AA16" i="12"/>
  <c r="AA15" i="12"/>
  <c r="AA14" i="12"/>
  <c r="AA13" i="12"/>
  <c r="AA12" i="12"/>
  <c r="AA11" i="12"/>
  <c r="AA10" i="12"/>
  <c r="AA9" i="12"/>
  <c r="AA8" i="12"/>
  <c r="AA7" i="12"/>
  <c r="AA6" i="12"/>
  <c r="E72" i="6" l="1"/>
  <c r="G17" i="6"/>
  <c r="I17" i="6" s="1"/>
  <c r="G19" i="6"/>
  <c r="E67" i="6"/>
  <c r="F67" i="6" s="1"/>
  <c r="E66" i="6"/>
  <c r="F66" i="6" s="1"/>
  <c r="E65" i="6"/>
  <c r="F65" i="6" s="1"/>
  <c r="E64" i="6"/>
  <c r="F64" i="6" s="1"/>
  <c r="E63" i="6"/>
  <c r="F63" i="6" s="1"/>
  <c r="E62" i="6"/>
  <c r="E182" i="4"/>
  <c r="F182" i="4" s="1"/>
  <c r="E181" i="4"/>
  <c r="F181" i="4" s="1"/>
  <c r="E180" i="4"/>
  <c r="F180" i="4" s="1"/>
  <c r="E179" i="4"/>
  <c r="F179" i="4" s="1"/>
  <c r="E178" i="4"/>
  <c r="F178" i="4" s="1"/>
  <c r="E177" i="4"/>
  <c r="F177" i="4" s="1"/>
  <c r="E176" i="4"/>
  <c r="F176" i="4" s="1"/>
  <c r="E175" i="4"/>
  <c r="F175" i="4" s="1"/>
  <c r="E174" i="4"/>
  <c r="F174" i="4" s="1"/>
  <c r="E173" i="4"/>
  <c r="F173" i="4" s="1"/>
  <c r="L38" i="4"/>
  <c r="E154" i="4"/>
  <c r="F154" i="4" s="1"/>
  <c r="E153" i="4"/>
  <c r="F153" i="4" s="1"/>
  <c r="E152" i="4"/>
  <c r="F152" i="4" s="1"/>
  <c r="E151" i="4"/>
  <c r="F151" i="4" s="1"/>
  <c r="E142" i="4"/>
  <c r="E141" i="4"/>
  <c r="E140" i="4"/>
  <c r="E139" i="4"/>
  <c r="F62" i="6" l="1"/>
  <c r="E68" i="6" s="1"/>
  <c r="E70" i="6" s="1"/>
  <c r="E183" i="4"/>
  <c r="E155" i="4"/>
  <c r="E156" i="4"/>
  <c r="E158" i="4" s="1"/>
  <c r="E86" i="4" l="1"/>
  <c r="F86" i="4" s="1"/>
  <c r="E85" i="4"/>
  <c r="E130" i="4"/>
  <c r="F130" i="4" s="1"/>
  <c r="E129" i="4"/>
  <c r="F129" i="4" s="1"/>
  <c r="E128" i="4"/>
  <c r="F128" i="4" s="1"/>
  <c r="E127" i="4"/>
  <c r="F127" i="4" s="1"/>
  <c r="E126" i="4"/>
  <c r="F126" i="4" s="1"/>
  <c r="E125" i="4"/>
  <c r="F125" i="4" s="1"/>
  <c r="E124" i="4"/>
  <c r="F124" i="4" s="1"/>
  <c r="E123" i="4"/>
  <c r="F123" i="4" s="1"/>
  <c r="E122" i="4"/>
  <c r="F122" i="4" s="1"/>
  <c r="E121" i="4"/>
  <c r="F121" i="4" s="1"/>
  <c r="E120" i="4"/>
  <c r="F120" i="4" s="1"/>
  <c r="E119" i="4"/>
  <c r="F119" i="4" s="1"/>
  <c r="E118" i="4"/>
  <c r="F111" i="4"/>
  <c r="F109" i="4"/>
  <c r="F108" i="4"/>
  <c r="F107" i="4"/>
  <c r="F106" i="4"/>
  <c r="F105" i="4"/>
  <c r="F104" i="4"/>
  <c r="F103" i="4"/>
  <c r="F102" i="4"/>
  <c r="F101" i="4"/>
  <c r="F100" i="4"/>
  <c r="F99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E71" i="4"/>
  <c r="F71" i="4" s="1"/>
  <c r="L6" i="4"/>
  <c r="E30" i="10"/>
  <c r="F30" i="10" s="1"/>
  <c r="E29" i="10"/>
  <c r="F29" i="10" s="1"/>
  <c r="E28" i="10"/>
  <c r="F28" i="10" s="1"/>
  <c r="E27" i="10"/>
  <c r="F27" i="10" s="1"/>
  <c r="E26" i="10"/>
  <c r="F26" i="10" s="1"/>
  <c r="E25" i="10"/>
  <c r="F25" i="10" s="1"/>
  <c r="E24" i="10"/>
  <c r="F24" i="10" s="1"/>
  <c r="E23" i="10"/>
  <c r="F23" i="10" s="1"/>
  <c r="E22" i="10"/>
  <c r="F22" i="10" s="1"/>
  <c r="E21" i="10"/>
  <c r="F21" i="10" s="1"/>
  <c r="E20" i="10"/>
  <c r="F20" i="10" s="1"/>
  <c r="E87" i="4" l="1"/>
  <c r="F85" i="4"/>
  <c r="E88" i="4" s="1"/>
  <c r="E90" i="4" s="1"/>
  <c r="F118" i="4"/>
  <c r="E131" i="4" s="1"/>
  <c r="E133" i="4" s="1"/>
  <c r="E31" i="10"/>
  <c r="E33" i="10" s="1"/>
  <c r="E57" i="9" l="1"/>
  <c r="H131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E55" i="7"/>
  <c r="F55" i="7" s="1"/>
  <c r="E50" i="7"/>
  <c r="F50" i="7" s="1"/>
  <c r="F49" i="7"/>
  <c r="E49" i="7"/>
  <c r="E48" i="7"/>
  <c r="F48" i="7" s="1"/>
  <c r="F47" i="7"/>
  <c r="E47" i="7"/>
  <c r="E46" i="7"/>
  <c r="F46" i="7" s="1"/>
  <c r="F45" i="7"/>
  <c r="E45" i="7"/>
  <c r="E44" i="7"/>
  <c r="F44" i="7" s="1"/>
  <c r="F43" i="7"/>
  <c r="E43" i="7"/>
  <c r="E42" i="7"/>
  <c r="F42" i="7" s="1"/>
  <c r="F41" i="7"/>
  <c r="E41" i="7"/>
  <c r="E40" i="7"/>
  <c r="F40" i="7" s="1"/>
  <c r="F39" i="7"/>
  <c r="E39" i="7"/>
  <c r="E38" i="7"/>
  <c r="F38" i="7" s="1"/>
  <c r="F37" i="7"/>
  <c r="E37" i="7"/>
  <c r="E36" i="7"/>
  <c r="F36" i="7" s="1"/>
  <c r="F35" i="7"/>
  <c r="E35" i="7"/>
  <c r="E34" i="7"/>
  <c r="F34" i="7" s="1"/>
  <c r="F33" i="7"/>
  <c r="E33" i="7"/>
  <c r="E51" i="7" s="1"/>
  <c r="E53" i="9"/>
  <c r="E55" i="9" s="1"/>
  <c r="F51" i="9"/>
  <c r="E51" i="9"/>
  <c r="F50" i="9"/>
  <c r="E50" i="9"/>
  <c r="F49" i="9"/>
  <c r="E49" i="9"/>
  <c r="F48" i="9"/>
  <c r="E48" i="9"/>
  <c r="F47" i="9"/>
  <c r="E47" i="9"/>
  <c r="F46" i="9"/>
  <c r="E46" i="9"/>
  <c r="F45" i="9"/>
  <c r="E45" i="9"/>
  <c r="F44" i="9"/>
  <c r="E44" i="9"/>
  <c r="F43" i="9"/>
  <c r="E43" i="9"/>
  <c r="F42" i="9"/>
  <c r="E42" i="9"/>
  <c r="F41" i="9"/>
  <c r="E41" i="9"/>
  <c r="F40" i="9"/>
  <c r="E40" i="9"/>
  <c r="F39" i="9"/>
  <c r="E39" i="9"/>
  <c r="F38" i="9"/>
  <c r="E38" i="9"/>
  <c r="F37" i="9"/>
  <c r="E37" i="9"/>
  <c r="F36" i="9"/>
  <c r="E36" i="9"/>
  <c r="F35" i="9"/>
  <c r="E35" i="9"/>
  <c r="F34" i="9"/>
  <c r="E34" i="9"/>
  <c r="F33" i="9"/>
  <c r="E33" i="9"/>
  <c r="F32" i="9"/>
  <c r="E32" i="9"/>
  <c r="F31" i="9"/>
  <c r="E31" i="9"/>
  <c r="F30" i="9"/>
  <c r="E30" i="9"/>
  <c r="F29" i="9"/>
  <c r="E29" i="9"/>
  <c r="F28" i="9"/>
  <c r="E28" i="9"/>
  <c r="F27" i="9"/>
  <c r="E27" i="9"/>
  <c r="E52" i="9" s="1"/>
  <c r="I16" i="9"/>
  <c r="I14" i="9"/>
  <c r="I13" i="9"/>
  <c r="I12" i="9"/>
  <c r="I11" i="9"/>
  <c r="I10" i="9"/>
  <c r="I9" i="9"/>
  <c r="I8" i="9"/>
  <c r="I6" i="9"/>
  <c r="D105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J24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E50" i="6"/>
  <c r="F50" i="6" s="1"/>
  <c r="E49" i="6"/>
  <c r="F49" i="6" s="1"/>
  <c r="E48" i="6"/>
  <c r="F48" i="6" s="1"/>
  <c r="E47" i="6"/>
  <c r="F47" i="6" s="1"/>
  <c r="E46" i="6"/>
  <c r="F46" i="6" s="1"/>
  <c r="E45" i="6"/>
  <c r="F45" i="6" s="1"/>
  <c r="E33" i="6"/>
  <c r="F33" i="6" s="1"/>
  <c r="E32" i="6"/>
  <c r="F32" i="6" s="1"/>
  <c r="E31" i="6"/>
  <c r="F31" i="6" s="1"/>
  <c r="E30" i="6"/>
  <c r="F30" i="6" s="1"/>
  <c r="E29" i="6"/>
  <c r="F29" i="6" s="1"/>
  <c r="E28" i="6"/>
  <c r="F28" i="6" s="1"/>
  <c r="E27" i="6"/>
  <c r="F27" i="6" s="1"/>
  <c r="E26" i="6"/>
  <c r="F26" i="6" s="1"/>
  <c r="G16" i="6"/>
  <c r="I16" i="6" s="1"/>
  <c r="G15" i="6"/>
  <c r="I15" i="6" s="1"/>
  <c r="G14" i="6"/>
  <c r="G13" i="6"/>
  <c r="G12" i="6"/>
  <c r="I12" i="6" s="1"/>
  <c r="G11" i="6"/>
  <c r="I11" i="6" s="1"/>
  <c r="G10" i="6"/>
  <c r="G9" i="6"/>
  <c r="G8" i="6"/>
  <c r="G7" i="6"/>
  <c r="G6" i="6"/>
  <c r="E41" i="5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E52" i="6" l="1"/>
  <c r="I18" i="6"/>
  <c r="E51" i="6"/>
  <c r="E52" i="7"/>
  <c r="E54" i="7" s="1"/>
  <c r="E56" i="7" s="1"/>
  <c r="E58" i="7" s="1"/>
  <c r="E54" i="6"/>
  <c r="E35" i="6"/>
  <c r="E37" i="6" s="1"/>
  <c r="E71" i="6" s="1"/>
  <c r="E73" i="6" s="1"/>
  <c r="E34" i="6"/>
  <c r="E77" i="2"/>
  <c r="F77" i="2" s="1"/>
  <c r="E76" i="2"/>
  <c r="F76" i="2" s="1"/>
  <c r="E75" i="2"/>
  <c r="F75" i="2" s="1"/>
  <c r="E74" i="2"/>
  <c r="F74" i="2" s="1"/>
  <c r="E70" i="4"/>
  <c r="F70" i="4" s="1"/>
  <c r="E69" i="4"/>
  <c r="F69" i="4" s="1"/>
  <c r="E68" i="4"/>
  <c r="F68" i="4" s="1"/>
  <c r="E67" i="4"/>
  <c r="F67" i="4" s="1"/>
  <c r="E56" i="4"/>
  <c r="F56" i="4" s="1"/>
  <c r="E55" i="4"/>
  <c r="F55" i="4" s="1"/>
  <c r="E54" i="4"/>
  <c r="F54" i="4" s="1"/>
  <c r="E53" i="4"/>
  <c r="F53" i="4" s="1"/>
  <c r="E52" i="4"/>
  <c r="F52" i="4" s="1"/>
  <c r="E51" i="4"/>
  <c r="F51" i="4" s="1"/>
  <c r="E50" i="4"/>
  <c r="F50" i="4" s="1"/>
  <c r="E49" i="4"/>
  <c r="F49" i="4" s="1"/>
  <c r="E48" i="4"/>
  <c r="F48" i="4" s="1"/>
  <c r="E47" i="4"/>
  <c r="F47" i="4" s="1"/>
  <c r="E46" i="4"/>
  <c r="E57" i="4" l="1"/>
  <c r="E78" i="2"/>
  <c r="E79" i="2"/>
  <c r="E81" i="2" s="1"/>
  <c r="E83" i="2" s="1"/>
  <c r="E73" i="4"/>
  <c r="E75" i="4" s="1"/>
  <c r="F46" i="4"/>
  <c r="E58" i="4" s="1"/>
  <c r="E60" i="4" s="1"/>
  <c r="E72" i="4"/>
  <c r="E160" i="4" l="1"/>
  <c r="E164" i="4" s="1"/>
  <c r="E26" i="3"/>
  <c r="F26" i="3" s="1"/>
  <c r="E25" i="3"/>
  <c r="F25" i="3" s="1"/>
  <c r="E24" i="3"/>
  <c r="F24" i="3" s="1"/>
  <c r="E23" i="3"/>
  <c r="F23" i="3" s="1"/>
  <c r="E22" i="3"/>
  <c r="F13" i="3"/>
  <c r="F12" i="3"/>
  <c r="F11" i="3"/>
  <c r="F10" i="3"/>
  <c r="F9" i="3"/>
  <c r="F8" i="3"/>
  <c r="F7" i="3"/>
  <c r="F6" i="3"/>
  <c r="E27" i="3" l="1"/>
  <c r="F22" i="3"/>
  <c r="E28" i="3" s="1"/>
  <c r="E30" i="3" s="1"/>
  <c r="E31" i="3" s="1"/>
  <c r="G15" i="2"/>
  <c r="G14" i="2"/>
  <c r="G13" i="2"/>
  <c r="G12" i="2"/>
  <c r="G11" i="2"/>
  <c r="G10" i="2"/>
  <c r="G9" i="2"/>
  <c r="G8" i="2"/>
  <c r="G7" i="2"/>
  <c r="G6" i="2"/>
  <c r="G5" i="2"/>
  <c r="E37" i="2" l="1"/>
  <c r="E39" i="2" s="1"/>
  <c r="G49" i="1"/>
  <c r="G47" i="1"/>
  <c r="G46" i="1"/>
  <c r="G45" i="1"/>
  <c r="G44" i="1"/>
  <c r="G43" i="1"/>
  <c r="G42" i="1"/>
  <c r="G41" i="1"/>
  <c r="G40" i="1"/>
  <c r="G39" i="1"/>
  <c r="E66" i="1"/>
  <c r="E61" i="1"/>
  <c r="E63" i="1" s="1"/>
  <c r="E59" i="1"/>
  <c r="F59" i="1" s="1"/>
  <c r="E58" i="1"/>
  <c r="F58" i="1" s="1"/>
  <c r="E57" i="1"/>
  <c r="F57" i="1" s="1"/>
  <c r="F14" i="1"/>
  <c r="F13" i="1"/>
  <c r="F12" i="1"/>
  <c r="F11" i="1"/>
  <c r="F10" i="1"/>
  <c r="F9" i="1"/>
  <c r="F8" i="1"/>
  <c r="F7" i="1"/>
  <c r="F6" i="1"/>
  <c r="E27" i="1" l="1"/>
  <c r="F27" i="1" s="1"/>
  <c r="E26" i="1"/>
  <c r="F26" i="1" s="1"/>
  <c r="E25" i="1"/>
  <c r="F25" i="1" s="1"/>
  <c r="E24" i="1"/>
  <c r="F24" i="1" s="1"/>
  <c r="E23" i="1"/>
  <c r="E28" i="1" l="1"/>
  <c r="F23" i="1"/>
  <c r="E29" i="1" s="1"/>
  <c r="E31" i="1" s="1"/>
  <c r="E65" i="1" s="1"/>
  <c r="E6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C6" authorId="0" shapeId="0" xr:uid="{A41D1B6D-EF21-4CC8-AB76-076063E7CACE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12 CG
</t>
        </r>
      </text>
    </comment>
    <comment ref="C39" authorId="0" shapeId="0" xr:uid="{BB52E8D7-C622-44AF-9B2F-F53D6BFE0476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12 CG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F18" authorId="0" shapeId="0" xr:uid="{F1247DD2-EBC7-4D5D-B73A-9ED5F3C421BC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FMTA DE 10Y10=4
2 FMTA DE 25*1,20 CG
</t>
        </r>
      </text>
    </comment>
    <comment ref="G24" authorId="0" shapeId="0" xr:uid="{C7DADEDC-110B-4C62-85F2-1CE08B8441A9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8 DE 30
</t>
        </r>
      </text>
    </comment>
    <comment ref="G29" authorId="0" shapeId="0" xr:uid="{0333207C-4D90-42C0-A8AE-47AAB223E468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CG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B136" authorId="0" shapeId="0" xr:uid="{172A2C74-CDFD-49CC-AD87-0297F9E9AD5F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LS
</t>
        </r>
      </text>
    </comment>
    <comment ref="B138" authorId="0" shapeId="0" xr:uid="{0E99B448-C700-4EAD-991A-9332A98ABA06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LS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  <author>tc={578FDF67-18E6-440E-9039-6FC0CFEE7AE8}</author>
  </authors>
  <commentList>
    <comment ref="B8" authorId="0" shapeId="0" xr:uid="{7BC6D1B1-8A95-4E93-9700-265E344C7B7F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CG
</t>
        </r>
      </text>
    </comment>
    <comment ref="G8" authorId="1" shapeId="0" xr:uid="{578FDF67-18E6-440E-9039-6FC0CFEE7AE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9 DE CLAUDIA JEREZ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D16" authorId="0" shapeId="0" xr:uid="{B156FC07-4A2D-4F61-9A61-4FC7E45692B1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53 CG
</t>
        </r>
      </text>
    </comment>
    <comment ref="D17" authorId="0" shapeId="0" xr:uid="{76A6D41E-614A-4CB9-81A9-C19EA1E10FA9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7 CG
5 LS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C12" authorId="0" shapeId="0" xr:uid="{D11BEF14-252A-4A6B-9A8C-E3D725844394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5 ALQ
</t>
        </r>
      </text>
    </comment>
  </commentList>
</comments>
</file>

<file path=xl/sharedStrings.xml><?xml version="1.0" encoding="utf-8"?>
<sst xmlns="http://schemas.openxmlformats.org/spreadsheetml/2006/main" count="1243" uniqueCount="445">
  <si>
    <t>JIMMY JAIMES</t>
  </si>
  <si>
    <t>CAMPESTRE NORTE</t>
  </si>
  <si>
    <t>MAESTRO RIGO: 3232045166</t>
  </si>
  <si>
    <t>MATERIAL</t>
  </si>
  <si>
    <t>DETALLES</t>
  </si>
  <si>
    <t>COSTOS</t>
  </si>
  <si>
    <t>DIAS</t>
  </si>
  <si>
    <t>CANTIDAD</t>
  </si>
  <si>
    <t>VALOR</t>
  </si>
  <si>
    <t>COSTO DIARIO</t>
  </si>
  <si>
    <t>PRECIO DIARIO</t>
  </si>
  <si>
    <t>FORMALETA 60 X 120</t>
  </si>
  <si>
    <t>FORMALETAS 45 X 120</t>
  </si>
  <si>
    <t>CERCHAS DE 3MTRS</t>
  </si>
  <si>
    <t xml:space="preserve">PARALES DE 3 MTROS </t>
  </si>
  <si>
    <t>CHAPETAS</t>
  </si>
  <si>
    <t>TOTAL DIARIO</t>
  </si>
  <si>
    <t xml:space="preserve">TOTAL DIAS </t>
  </si>
  <si>
    <t>LLEVADA Y RECOGIDA</t>
  </si>
  <si>
    <t>MAESTRO RIGO</t>
  </si>
  <si>
    <t>COLORADOS</t>
  </si>
  <si>
    <t>MOVIMIENTO: ABRIL/2026</t>
  </si>
  <si>
    <t>SALDO</t>
  </si>
  <si>
    <t>FORMALETA DE 60*1,20</t>
  </si>
  <si>
    <t>FORMALTETA DE 45*1,20</t>
  </si>
  <si>
    <t>CERCHAS DE 3 MTROS</t>
  </si>
  <si>
    <t>PARALES DE 3 MTROS</t>
  </si>
  <si>
    <t xml:space="preserve">CHAPETAS </t>
  </si>
  <si>
    <t>CAJAS METALICAS</t>
  </si>
  <si>
    <t>FORMALETA DE 40*1,20</t>
  </si>
  <si>
    <t>FORMALETA DE 20*1,20</t>
  </si>
  <si>
    <t>ANGULOS DE 2,40</t>
  </si>
  <si>
    <t>HORA</t>
  </si>
  <si>
    <t>Transporte</t>
  </si>
  <si>
    <t>ABRIL 21 A MAYO 8</t>
  </si>
  <si>
    <t>4 COLUMNAS DE 40 X 20X 240</t>
  </si>
  <si>
    <t>FORMALETA 40 X 120</t>
  </si>
  <si>
    <t>FORMALETAS 20 X 120</t>
  </si>
  <si>
    <t>ANGULOS DE 240</t>
  </si>
  <si>
    <t>DEPOSITO</t>
  </si>
  <si>
    <t>TOTAL</t>
  </si>
  <si>
    <t>ABONADO</t>
  </si>
  <si>
    <t>A DEVOLVER</t>
  </si>
  <si>
    <t>MOVIMIENTO: ABRIL/MAYO 2026</t>
  </si>
  <si>
    <t>PUERTO RICO PARTE BAJA</t>
  </si>
  <si>
    <t>MAESTRO VIDAL:3138758759</t>
  </si>
  <si>
    <t>FORMALETA 30 X 120</t>
  </si>
  <si>
    <t>FORMALETAS 40X 120</t>
  </si>
  <si>
    <t>FORMALETA DE 25*1,20</t>
  </si>
  <si>
    <t>ANGULOS DE 1,20</t>
  </si>
  <si>
    <t>ANGULOS DE 60*1,20</t>
  </si>
  <si>
    <t>PAGO ALQUILER</t>
  </si>
  <si>
    <t>PUERTO RICO BAJO TEL: 3138758759</t>
  </si>
  <si>
    <t>MOVIMIENTO:MAYO /2026</t>
  </si>
  <si>
    <t>FORMALETA DE 30*1,20</t>
  </si>
  <si>
    <t>ANGULOS DE 60</t>
  </si>
  <si>
    <t>JOSE  SILVA</t>
  </si>
  <si>
    <t>BARRIO  VILLACARMELO</t>
  </si>
  <si>
    <t>VILLACARMELO</t>
  </si>
  <si>
    <t>4 COLUMNAS DE 30 X 20X 240</t>
  </si>
  <si>
    <t>MAESTERO JOSE SILVA: 3224706066/</t>
  </si>
  <si>
    <t>PARALES 3 MTS</t>
  </si>
  <si>
    <t>MOVIMIENTO: MAYO 11 AL 15/2025</t>
  </si>
  <si>
    <t>MAYO 11 AL 15</t>
  </si>
  <si>
    <t>JIMMMYJAIMES</t>
  </si>
  <si>
    <t>ANDREI CADENA: 3167941308</t>
  </si>
  <si>
    <t>CARRERA 17A # 60-17. RICAURTE</t>
  </si>
  <si>
    <t>FORMALETA DE 60*60</t>
  </si>
  <si>
    <t>FORMALETA DE 45*1,20</t>
  </si>
  <si>
    <t>FORMALETA DE 50*1,20</t>
  </si>
  <si>
    <t>FORMALETA DE  55*1,20</t>
  </si>
  <si>
    <t>FORMALETA DE 20*60</t>
  </si>
  <si>
    <t>FORMALETA DE 5 *1,20</t>
  </si>
  <si>
    <t xml:space="preserve">TOTAL DIARIO </t>
  </si>
  <si>
    <t xml:space="preserve">LLEVADA Y RECODA </t>
  </si>
  <si>
    <t>CARRERA 17A # 60-17. RICAURTE COLUMNAS</t>
  </si>
  <si>
    <t>FORMALETA DE  25*1,20</t>
  </si>
  <si>
    <t>FORMALETA DE 30*60</t>
  </si>
  <si>
    <t xml:space="preserve">LLEVADA Y RECOGIDA </t>
  </si>
  <si>
    <t>TABLERO DE MADERA DE 70*1,40</t>
  </si>
  <si>
    <t>BANDAS DE MADERA DE 40*1,40</t>
  </si>
  <si>
    <t xml:space="preserve">CERCHAS DE 2 MTROS </t>
  </si>
  <si>
    <t>A FAVOR</t>
  </si>
  <si>
    <t>A PAGAR</t>
  </si>
  <si>
    <t xml:space="preserve">LLEVADA </t>
  </si>
  <si>
    <t xml:space="preserve">MAESTRO VIDAL </t>
  </si>
  <si>
    <t>TABLEROS DE MADERA 70*1,40</t>
  </si>
  <si>
    <t>***</t>
  </si>
  <si>
    <t>MAESTRO WILMER RONDON: 3105566482</t>
  </si>
  <si>
    <t>PUERTO  RICO PLACA HUELLA</t>
  </si>
  <si>
    <t>FORMALETA DE40*1,20</t>
  </si>
  <si>
    <t>FORMALETA 10PEQUEÑAS</t>
  </si>
  <si>
    <t>DEPOSITO DE $500,000</t>
  </si>
  <si>
    <t>MAYO 22 AL 26</t>
  </si>
  <si>
    <t>VALOR DIARIO</t>
  </si>
  <si>
    <t xml:space="preserve">DIAS </t>
  </si>
  <si>
    <t>TOTAL DIAS</t>
  </si>
  <si>
    <t>NEQUI</t>
  </si>
  <si>
    <t>MAYO 20 AL 29</t>
  </si>
  <si>
    <t>JHON JIMENEZ</t>
  </si>
  <si>
    <t>CALLE 55 CON CRA 13 ESQUINA  TEL: 3173324940</t>
  </si>
  <si>
    <t>MOVIMIENTO: MAYO/2026</t>
  </si>
  <si>
    <t>FORMALETA DE 35*1,20</t>
  </si>
  <si>
    <t>MARCOS DE ANDAMIOS 1,50</t>
  </si>
  <si>
    <t>TABLONES DE 3 MTROS</t>
  </si>
  <si>
    <t xml:space="preserve">CERCHAS DE 3 MTROS </t>
  </si>
  <si>
    <t>BANDAS DE 40*1,40</t>
  </si>
  <si>
    <t>CALLE 55 CON CRA 13</t>
  </si>
  <si>
    <t>FORMALETA DE  3 0*1,20</t>
  </si>
  <si>
    <t xml:space="preserve">SECCION DE ANDAMIOS </t>
  </si>
  <si>
    <t xml:space="preserve">TABLONES  DE 3 MTROS </t>
  </si>
  <si>
    <t>DEPOSITO EN EFECTIVO</t>
  </si>
  <si>
    <t>MAYO 25 AL 31</t>
  </si>
  <si>
    <t>MAYO 23 AL 31</t>
  </si>
  <si>
    <t>JIMMY A. JAIMES CARRILLO : 72,185,935</t>
  </si>
  <si>
    <t>ARQUITECTA DANIELA: 3012040111</t>
  </si>
  <si>
    <t>PUERTO RICO PLACA HUELLA</t>
  </si>
  <si>
    <t>RINCONERAS 1,*10*1,20</t>
  </si>
  <si>
    <t>FORAMLETA DE 40*1,20</t>
  </si>
  <si>
    <t>FORAMLETA DE 10*1,20</t>
  </si>
  <si>
    <t xml:space="preserve">ALINEADORES DE 3 MTROS </t>
  </si>
  <si>
    <t>PARALES DE 1 MTROS</t>
  </si>
  <si>
    <t xml:space="preserve">ALINEADORES DE 2 MTROS </t>
  </si>
  <si>
    <t xml:space="preserve">TENSORES </t>
  </si>
  <si>
    <t>DANIELA</t>
  </si>
  <si>
    <t xml:space="preserve"> PUERTO RICOTEL:301204111</t>
  </si>
  <si>
    <t>MOVIMIENTO: MAYO/2025</t>
  </si>
  <si>
    <t>CERCHAS DE 3 MTRO PLATINA</t>
  </si>
  <si>
    <t>FORMALETA DE 10*1,20</t>
  </si>
  <si>
    <t>ALINEADOR DE 3 MTROS</t>
  </si>
  <si>
    <t>RINCONERA DE 10*10*1,20</t>
  </si>
  <si>
    <t>CHAPETAS CUADRADAS</t>
  </si>
  <si>
    <t>ANGULO DE 1,20</t>
  </si>
  <si>
    <t>ANGULO DE 60</t>
  </si>
  <si>
    <t xml:space="preserve">FORMALETA DE 10*40 CORTA </t>
  </si>
  <si>
    <t xml:space="preserve">FORMALETA DE 10*30CORTA </t>
  </si>
  <si>
    <t>MOVIMIENTO:MAYO 28 A JUNIO 1/2026</t>
  </si>
  <si>
    <t>MAESTRO VIDAL :3138758759</t>
  </si>
  <si>
    <t>COLUMNAS 2 PISO</t>
  </si>
  <si>
    <t xml:space="preserve">ELIAS RIOS  /ELIZABETH </t>
  </si>
  <si>
    <t>CARABINEROS VILL PRADO TEL: 3156754982</t>
  </si>
  <si>
    <t>MOVIMIENTO: MAYO 7 AL 31/2025</t>
  </si>
  <si>
    <t>FORMALETA DE 27,5*1,20</t>
  </si>
  <si>
    <t>FORMALETA DE 25*60</t>
  </si>
  <si>
    <t>SAI-AFD</t>
  </si>
  <si>
    <t>ESCOLAR</t>
  </si>
  <si>
    <t>CARRO</t>
  </si>
  <si>
    <t>591-AFD</t>
  </si>
  <si>
    <t>COA 566</t>
  </si>
  <si>
    <t>1 GANCHO DE PARAL FALTO</t>
  </si>
  <si>
    <t>ELIAS RIOS  TEL: 3156754982 ELIZABETH</t>
  </si>
  <si>
    <t>CARABINEROS VILLA PRADO</t>
  </si>
  <si>
    <t>PRECIO PERIODO</t>
  </si>
  <si>
    <t>MAYO 7 A MAYO 27-2026</t>
  </si>
  <si>
    <t>MAYO 28 A MAYO 29-2026</t>
  </si>
  <si>
    <t>MAYO 7 A MAYO 11-2026</t>
  </si>
  <si>
    <t>MAYO 12 A MAYO 27-2026</t>
  </si>
  <si>
    <t>FORAMLETA DE 25*60</t>
  </si>
  <si>
    <t>MAYO 28 A MAYO 31-2026</t>
  </si>
  <si>
    <t>MAYO 8 A MAYO  11-2026</t>
  </si>
  <si>
    <t>MAYO 30 A MAYO 31-2026</t>
  </si>
  <si>
    <t>|</t>
  </si>
  <si>
    <t>MAYO 9 A MAYO 11-2026</t>
  </si>
  <si>
    <t>ANGULOS 2,40</t>
  </si>
  <si>
    <t>MAYO 7 A MAYO 29-2026</t>
  </si>
  <si>
    <t>MAYO 8 A MAYO 31-2026</t>
  </si>
  <si>
    <t>MAYO 12 A MAYO29-2026</t>
  </si>
  <si>
    <t>GANCHO CDE PARAL</t>
  </si>
  <si>
    <t>MAYO 7 AL 31</t>
  </si>
  <si>
    <t>ABONO</t>
  </si>
  <si>
    <t>EFECTIVO</t>
  </si>
  <si>
    <t xml:space="preserve">RINCONERAS 10 X 10 X 120 </t>
  </si>
  <si>
    <t>VALOR TOTAL ADEUDADO</t>
  </si>
  <si>
    <t>A FAVOR DEL CLIENTE</t>
  </si>
  <si>
    <t>ADEUDADO 31 -05-2026</t>
  </si>
  <si>
    <t>ADRIAN BRAVO:3162771895</t>
  </si>
  <si>
    <t>CRA 2 #65B-35 CANELOS REAL DE MINAS</t>
  </si>
  <si>
    <t>MOVIMIENTO: MARZO 27 A MAYO 5/2026</t>
  </si>
  <si>
    <t>CRUCETA DE 2,40</t>
  </si>
  <si>
    <t>ALINEADORES DE 2,50</t>
  </si>
  <si>
    <t>CERCHA 2 MTS</t>
  </si>
  <si>
    <t>MAESTRO ADRIAN BRAVO TEL:3162771895</t>
  </si>
  <si>
    <t>CRA 2 #65b-35  REAL DE MINAS</t>
  </si>
  <si>
    <t>PERIODO</t>
  </si>
  <si>
    <t>SECCION DE ANDAMIOS 1,50</t>
  </si>
  <si>
    <t>MARZO 27 A ABRIL 21</t>
  </si>
  <si>
    <t>ABRIL 22 AL 29</t>
  </si>
  <si>
    <t>ABRIL 30 A MAYO 5</t>
  </si>
  <si>
    <t>TABLONES DE 3 MTRS</t>
  </si>
  <si>
    <t>MARZO 27 A ABRIL 12</t>
  </si>
  <si>
    <t>ABRIL 13 AL 21</t>
  </si>
  <si>
    <t>ABRIL  22 A MAYO 5</t>
  </si>
  <si>
    <t>ALINEADORES 2,5 MTS</t>
  </si>
  <si>
    <t>ABRIL 13 A MAYO 5</t>
  </si>
  <si>
    <t xml:space="preserve">PARALE  DE 3 MTROS </t>
  </si>
  <si>
    <t>MARZO 27 A MAYO 5</t>
  </si>
  <si>
    <t xml:space="preserve"> </t>
  </si>
  <si>
    <t xml:space="preserve">POLEAS  </t>
  </si>
  <si>
    <t xml:space="preserve">ANGULOS DE 6 MTROS </t>
  </si>
  <si>
    <t xml:space="preserve">PASAMANOS DE 6 MTROS </t>
  </si>
  <si>
    <t xml:space="preserve">TABLEROS DE MADERA </t>
  </si>
  <si>
    <t>10:AM</t>
  </si>
  <si>
    <t>TABLEROS DE MADERA  70*1,40</t>
  </si>
  <si>
    <t>RINCONERAS DE 60 X 120</t>
  </si>
  <si>
    <t>ANDREI CADENA</t>
  </si>
  <si>
    <t>CRA 17A #60-17 RICAUTE</t>
  </si>
  <si>
    <t xml:space="preserve">SALDO </t>
  </si>
  <si>
    <t>MARCOS DE ANDAMIOS 1,50 AZULES</t>
  </si>
  <si>
    <t>CRUCETAS DE 2,40</t>
  </si>
  <si>
    <t>PARALES DE 4 MTROS</t>
  </si>
  <si>
    <t>TABREROS DE MADERA 70*1,40</t>
  </si>
  <si>
    <t>CERCHAS DE 1,50</t>
  </si>
  <si>
    <t>CERCHAS DE 2 MTROS</t>
  </si>
  <si>
    <t>TABLERO DE MADERA DE 50*1 MTRO</t>
  </si>
  <si>
    <t>BANDA DE MADERA DE 40*1,20</t>
  </si>
  <si>
    <t>BANDA DE MADERA DE 40*1,40</t>
  </si>
  <si>
    <t>RINCONERAS DE 10*10*60</t>
  </si>
  <si>
    <t>RINCONERAS DE 10*10*90</t>
  </si>
  <si>
    <t>RINCONERAS DE 10*10*1,20</t>
  </si>
  <si>
    <t>FORMALETAS DE 60*60</t>
  </si>
  <si>
    <t>FORMALETAS DE 45*1,20</t>
  </si>
  <si>
    <t>FORMALETA DE 55*1,20</t>
  </si>
  <si>
    <t>FORMALETA DE 5*1,20</t>
  </si>
  <si>
    <t xml:space="preserve">CAJA METALICA </t>
  </si>
  <si>
    <t>SOY-AAZ</t>
  </si>
  <si>
    <t>TABLEROS DE MADERA  50*1,00</t>
  </si>
  <si>
    <t>BANDAS DE 40*1,20</t>
  </si>
  <si>
    <t>PARALES DE 4MTROS</t>
  </si>
  <si>
    <t>CERCHAS DE 2 MTRO</t>
  </si>
  <si>
    <t xml:space="preserve">CERCHAS DE 1,5 MTROS </t>
  </si>
  <si>
    <t xml:space="preserve">TABLONES DE MADERA </t>
  </si>
  <si>
    <t>MOVIMIENTO:MAYO 4 A JUNIO 3/2026</t>
  </si>
  <si>
    <t>MAYO 5 A MAYO 6-2026</t>
  </si>
  <si>
    <t>MAYO 5 A MAYO 7-2026</t>
  </si>
  <si>
    <t>CARRERA 17A # 60-17. RICAURTE CIMENTACION</t>
  </si>
  <si>
    <t>MAYO 13 AL 21</t>
  </si>
  <si>
    <t>MAYO 19 AL 23</t>
  </si>
  <si>
    <t>FORMALETA DE  60*1,20</t>
  </si>
  <si>
    <t>FORMALETA DE 15*1,20</t>
  </si>
  <si>
    <t>HDM-837</t>
  </si>
  <si>
    <t>MOVIMIENTO:JUNIO 1 AL 5 REMATES DE COLUMNAS/2026</t>
  </si>
  <si>
    <t>DAVIPLATA</t>
  </si>
  <si>
    <t>A FAVOR DE ANDREI A MAYO 3</t>
  </si>
  <si>
    <t>mayo 14 al 21</t>
  </si>
  <si>
    <t>LLEVADA  Y RECOGIDA</t>
  </si>
  <si>
    <t>MAYO 5 A JUNIO 5-2026</t>
  </si>
  <si>
    <t>TOTAL ADEUDADO MAYO 5 A JUNIO 5</t>
  </si>
  <si>
    <t>ADEUDADO A JUNIO 5 2026</t>
  </si>
  <si>
    <t>P.M.</t>
  </si>
  <si>
    <t>ALQUILER</t>
  </si>
  <si>
    <t>JUNIO 1 AL 5</t>
  </si>
  <si>
    <t>MAYO 4A JUNIO 5-2026</t>
  </si>
  <si>
    <t>MAYO 4 A JUNIO 5-2026</t>
  </si>
  <si>
    <t>MAYO 4 A JUNIO 5</t>
  </si>
  <si>
    <t>MAYO 8 A JUNIO 5-2026</t>
  </si>
  <si>
    <t>MAYO 7 A JUNIO 5-2026</t>
  </si>
  <si>
    <t>MAYO 7A JUNIO 5-2026</t>
  </si>
  <si>
    <t>MAYO 20 AL 21</t>
  </si>
  <si>
    <t>MOVIMIENTO:MAYO 4 A JUNIO 3 2026 PLACA/2026</t>
  </si>
  <si>
    <t>JUNIO 11 AJULIO 10</t>
  </si>
  <si>
    <t>LA RECOGIDA ESTA PAGO</t>
  </si>
  <si>
    <t>JUNIO 1 AL 11</t>
  </si>
  <si>
    <t>TOTAL FACTURADO</t>
  </si>
  <si>
    <t>TOTAL ABONADO</t>
  </si>
  <si>
    <t>ADEUDADO A JUNIO 11 2026</t>
  </si>
  <si>
    <t>CLAUDIA GIL</t>
  </si>
  <si>
    <t>GIRARDOT</t>
  </si>
  <si>
    <t>MOVIMIENTO/MAYO2026</t>
  </si>
  <si>
    <t>CERCHAS DE 3 MTROS PLATINA</t>
  </si>
  <si>
    <t>PARALES DE 1 MTRO</t>
  </si>
  <si>
    <t xml:space="preserve">PARALES DE 6 MTROS </t>
  </si>
  <si>
    <t>BANDAS DE 50*1,40</t>
  </si>
  <si>
    <t>ESCALERA AMARILLA</t>
  </si>
  <si>
    <t>Hora</t>
  </si>
  <si>
    <t>AM</t>
  </si>
  <si>
    <t>TRANSPORTE</t>
  </si>
  <si>
    <t>WFC-275</t>
  </si>
  <si>
    <t>DEVOLUCION</t>
  </si>
  <si>
    <t>NOSOTROS</t>
  </si>
  <si>
    <t>FOTO</t>
  </si>
  <si>
    <t>WED-658</t>
  </si>
  <si>
    <t>PINK MAL ESTADO</t>
  </si>
  <si>
    <t>CTE AL 7</t>
  </si>
  <si>
    <t>CTE 11-05</t>
  </si>
  <si>
    <t>COBRAR A16-05</t>
  </si>
  <si>
    <t>COBRAR 15 MAYO</t>
  </si>
  <si>
    <t>CTE 19-05</t>
  </si>
  <si>
    <t>CORTE AL 26-05</t>
  </si>
  <si>
    <t>CORTE AL 29-05</t>
  </si>
  <si>
    <t>ESCALERA 1 DIA</t>
  </si>
  <si>
    <t>4 TABLAS DE 1 BANDA</t>
  </si>
  <si>
    <t>CLAUDIA GIL 3142352448</t>
  </si>
  <si>
    <t>VALOR TOTAL</t>
  </si>
  <si>
    <t>PARALES DE4MTROS</t>
  </si>
  <si>
    <t>PARALES DE 6 MTROS</t>
  </si>
  <si>
    <t>FORMALETA 15X120</t>
  </si>
  <si>
    <t>FORMALETA 20X120</t>
  </si>
  <si>
    <t>TABLEROS DE MADERA 70 X 140</t>
  </si>
  <si>
    <t>BANDAS DE MADERA 40 X 140</t>
  </si>
  <si>
    <t>BANDAS DE MADERA 50 X 140</t>
  </si>
  <si>
    <t>CERCHAS 2 MTS</t>
  </si>
  <si>
    <t>CERCHAS 1,5  MTS</t>
  </si>
  <si>
    <t>ESCALERA 4M X 4M</t>
  </si>
  <si>
    <t>MAYO 1 AL 31</t>
  </si>
  <si>
    <t>MAYO 1 AL 3</t>
  </si>
  <si>
    <t>MAYO 4 AL 11</t>
  </si>
  <si>
    <t>MAYO 12 AL 15</t>
  </si>
  <si>
    <t>MAYO 16 AL 19</t>
  </si>
  <si>
    <t>MAYO 20 AL 26</t>
  </si>
  <si>
    <t xml:space="preserve">MAYO 27 AL 31 </t>
  </si>
  <si>
    <t>MAYO 1 AL 7</t>
  </si>
  <si>
    <t>MAYO 1 AL 5</t>
  </si>
  <si>
    <t>MAYO 16 AL 29</t>
  </si>
  <si>
    <t>MAYO 30 AL 31</t>
  </si>
  <si>
    <t>PARALES DE 1MTROS</t>
  </si>
  <si>
    <t>MAYO 1 AL 19</t>
  </si>
  <si>
    <t>MAYO 1 AL 15</t>
  </si>
  <si>
    <t>MAYO16 AL 19</t>
  </si>
  <si>
    <t>MAYO 6 AL 7</t>
  </si>
  <si>
    <t>MAYO 8 AL 31</t>
  </si>
  <si>
    <t>MAYO 13 AL 15</t>
  </si>
  <si>
    <t>MAYO 20 AL 24</t>
  </si>
  <si>
    <t>MAYO 9 AL 15</t>
  </si>
  <si>
    <t>FORMALETAS DE 30 X 120</t>
  </si>
  <si>
    <t>MAYO 5 AL 5</t>
  </si>
  <si>
    <t>MAYO 9 AL 9</t>
  </si>
  <si>
    <t>CALLE 55 CON CRA 13 COLUMNAS 3 PISO</t>
  </si>
  <si>
    <t>CALLE 55 CON CRA 13 PLACA 3 PISO</t>
  </si>
  <si>
    <t>MOVIMIENTO / MAYO 20 A JUNIO 13/2026- POLEAS</t>
  </si>
  <si>
    <t>ALQUIOBRAS-SANTANDER</t>
  </si>
  <si>
    <t>CALLE 14#19-37TEL:3164176674/3165134059</t>
  </si>
  <si>
    <t>MOVIMIENTO: MAYO/ 2026</t>
  </si>
  <si>
    <t>TABLEROS DE MADERA DE 70*1,40</t>
  </si>
  <si>
    <t>ALQUIOBRAS -SANTANDER</t>
  </si>
  <si>
    <t>PERIODO:ABRIL 2026</t>
  </si>
  <si>
    <t xml:space="preserve">VALOR </t>
  </si>
  <si>
    <t>ABRIL 1 AL 20</t>
  </si>
  <si>
    <t>ABRIL 21 AL 30</t>
  </si>
  <si>
    <t>ABRIL 1 AL 30</t>
  </si>
  <si>
    <t>31/04/2026</t>
  </si>
  <si>
    <t>PERIODO:MAYO 2026</t>
  </si>
  <si>
    <t>MOVIMIENTO: FEBRERO/ 2026</t>
  </si>
  <si>
    <t>FORMALETA DE 12*1,20</t>
  </si>
  <si>
    <t>TTU-924</t>
  </si>
  <si>
    <t>PERIODO:FEBRERO 2026</t>
  </si>
  <si>
    <t>FEBRERO 1 AL 25</t>
  </si>
  <si>
    <t>FEBRERO 1 AL 28</t>
  </si>
  <si>
    <t>FORMALETA DE12*1,20</t>
  </si>
  <si>
    <t>FEBRERO 25 AL 28</t>
  </si>
  <si>
    <t>JIMMY JAIMES CORREGIDO</t>
  </si>
  <si>
    <t>MOVIMIENTO: MARZO 1 AL 31/ 2026</t>
  </si>
  <si>
    <t>PERIODO:MARZO 2026</t>
  </si>
  <si>
    <t>MARZO 1 AL31</t>
  </si>
  <si>
    <t>MARZO 1 AL 25</t>
  </si>
  <si>
    <t>MARZO 1 AL 31</t>
  </si>
  <si>
    <t>MOVIMIENTO: ABRIL/ 2026</t>
  </si>
  <si>
    <t>TOTAL ADEUDADO FEBRERO 1 A MAYO 31</t>
  </si>
  <si>
    <t>P.M</t>
  </si>
  <si>
    <t>MOVIMIENTO: JUNIO/ 2026</t>
  </si>
  <si>
    <t>PERIODO:JUNIO2026</t>
  </si>
  <si>
    <t>JUNIO 1 AL 19</t>
  </si>
  <si>
    <t>JUNIO 20 AL 20</t>
  </si>
  <si>
    <t>JUNIO 1 AL 30</t>
  </si>
  <si>
    <t>TOTAL ADEUDADO FEBRERO 1 A JUNIO 30 /2026</t>
  </si>
  <si>
    <t>TOTAL ADEUDADO A ALQUIOBRAS A 30 JUNIO 2026</t>
  </si>
  <si>
    <t>ADEUDADO A EQUIORIENTE A JUNIO 30 2026</t>
  </si>
  <si>
    <t>JUNIO 9/2026</t>
  </si>
  <si>
    <t>TOTAL ALQUILER</t>
  </si>
  <si>
    <t>TOTAL CON PLACA A JUNIO 3</t>
  </si>
  <si>
    <t>ADEUDADO A JUNIO 3 SIN COLUMNAS</t>
  </si>
  <si>
    <t>JUNIO 20 AL 30</t>
  </si>
  <si>
    <t>ALQUILER NO  FISCAL ABRIL /   2026</t>
  </si>
  <si>
    <t>CLIENTE</t>
  </si>
  <si>
    <t>VENTA</t>
  </si>
  <si>
    <t>ACARREO</t>
  </si>
  <si>
    <t>CANCELADO</t>
  </si>
  <si>
    <t>DEUDAS A ABRIL/ 2026</t>
  </si>
  <si>
    <t>MARIA RUTH SAAVEDRA</t>
  </si>
  <si>
    <t>DUBAN ORTEGA</t>
  </si>
  <si>
    <t>JORGE ALEXANDER</t>
  </si>
  <si>
    <t>RAUL DELGADO</t>
  </si>
  <si>
    <t>EDWIN BARBOSA</t>
  </si>
  <si>
    <t>TILCIA DURAN</t>
  </si>
  <si>
    <t>YINA MARCELA RAMOS</t>
  </si>
  <si>
    <t>NARYAM BLANDON</t>
  </si>
  <si>
    <t>DIEGO GUTIERREZ</t>
  </si>
  <si>
    <t>ANTONIO GUTIERREZ</t>
  </si>
  <si>
    <t>YORGUIN JAIMES</t>
  </si>
  <si>
    <t>EDUARDO CORREDOR</t>
  </si>
  <si>
    <t>WILSON PARRA</t>
  </si>
  <si>
    <t>HERNANDO GARCIA</t>
  </si>
  <si>
    <t>BRYAN GARZON</t>
  </si>
  <si>
    <t>NELSON PADILLA</t>
  </si>
  <si>
    <t>HOLGUER PLACA</t>
  </si>
  <si>
    <t>LUIS CACERES</t>
  </si>
  <si>
    <t>GREGORIO HERNANDEZ</t>
  </si>
  <si>
    <t>CESAR AUGUSTO</t>
  </si>
  <si>
    <t>LUIS SANCHEZ</t>
  </si>
  <si>
    <t>EDUARDO TOLOZA</t>
  </si>
  <si>
    <t>ANDREI</t>
  </si>
  <si>
    <t>HERNAN TORRADO</t>
  </si>
  <si>
    <t>JOSE SILVA</t>
  </si>
  <si>
    <t xml:space="preserve">ELIAS RIOS </t>
  </si>
  <si>
    <t>LAURA ROCHA</t>
  </si>
  <si>
    <t>RAUL QUINTERO</t>
  </si>
  <si>
    <t>POLIMYS ENERO</t>
  </si>
  <si>
    <t>POLIMYS FEBRERO</t>
  </si>
  <si>
    <t>BERNABE FEBRERO</t>
  </si>
  <si>
    <t>FEBRERO CLAUDIA JEREZ</t>
  </si>
  <si>
    <t>TOTAL MESES ANTERIORES</t>
  </si>
  <si>
    <t>SACADOS NEQUI</t>
  </si>
  <si>
    <t>RETIRO BBVA</t>
  </si>
  <si>
    <t>TOTAL RETIRADO</t>
  </si>
  <si>
    <t>TOTAL EFECTIVO ABRIL 2026/2026</t>
  </si>
  <si>
    <t>ALQUILER NO  FISCAL MAYO /   2026</t>
  </si>
  <si>
    <t>DEUDAS AMAYO/ 2026</t>
  </si>
  <si>
    <t>TOTAL EFECTIVO MAYO 2026/2026</t>
  </si>
  <si>
    <t>YESENIA MURILLO</t>
  </si>
  <si>
    <t>RAMIRO DULCEY</t>
  </si>
  <si>
    <t>GUSTAVO AFANADOR</t>
  </si>
  <si>
    <t>ADRIAN BRAVO A MAYO 5</t>
  </si>
  <si>
    <t>VIDAL COLUMNAS</t>
  </si>
  <si>
    <t>RIGOBERTO VARELA</t>
  </si>
  <si>
    <t>JUAN DAVID GUTIERREZ</t>
  </si>
  <si>
    <t>LADY</t>
  </si>
  <si>
    <t>FIDEL CARO</t>
  </si>
  <si>
    <t>PEDRO</t>
  </si>
  <si>
    <t>WILMER RONDON COL.</t>
  </si>
  <si>
    <t>ESCALERA</t>
  </si>
  <si>
    <t>DIANA PUERTO RICO</t>
  </si>
  <si>
    <t>GIOVANY SIERRA</t>
  </si>
  <si>
    <t>FABIAN PORTILLA</t>
  </si>
  <si>
    <t>FREDY ESCAMILLA</t>
  </si>
  <si>
    <t>PEDRO JULIO</t>
  </si>
  <si>
    <t>VIDAL PLACA</t>
  </si>
  <si>
    <t>HERNAN TORRADO MAYO</t>
  </si>
  <si>
    <t>ROSA COLUMBNAS</t>
  </si>
  <si>
    <t>JIMMY ALFREDO JAIMES CARRILLO</t>
  </si>
  <si>
    <t>CRA 19#16-46 TEL:3174409576</t>
  </si>
  <si>
    <t>PARALE DE 3 MTS</t>
  </si>
  <si>
    <t xml:space="preserve"> GRANTOTAL</t>
  </si>
  <si>
    <t>CRA 16 #16-46</t>
  </si>
  <si>
    <t>MOVIMIENTO: MAYO/ 2025</t>
  </si>
  <si>
    <t>XKG-898</t>
  </si>
  <si>
    <t>MAYO 1 AL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</si>
</sst>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4" formatCode="_(&quot;$&quot;\ * #,##0_);_(&quot;$&quot;\ * \(#,##0\);_(&quot;$&quot;\ * &quot;-&quot;??_);_(@_)"/>
    <numFmt numFmtId="165" formatCode="_-&quot;$&quot;\ * #,##0_-;\-&quot;$&quot;\ * #,##0_-;_-&quot;$&quot;\ * &quot;-&quot;??_-;_-@_-"/>
    <numFmt numFmtId="166" formatCode="h:mm:ss;@"/>
    <numFmt numFmtId="167" formatCode="hh:mm:ss;@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6"/>
      <color theme="1"/>
      <name val="Arial Black"/>
      <family val="2"/>
    </font>
    <font>
      <sz val="11"/>
      <color theme="1"/>
      <name val="Arial Black"/>
      <family val="2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Arial Black"/>
      <family val="2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Arial Black"/>
      <family val="2"/>
    </font>
    <font>
      <sz val="12"/>
      <color theme="1"/>
      <name val="Calibri"/>
      <family val="2"/>
      <scheme val="minor"/>
    </font>
    <font>
      <sz val="9"/>
      <color theme="1"/>
      <name val="Arial Black"/>
      <family val="2"/>
    </font>
    <font>
      <i/>
      <sz val="11"/>
      <color theme="1"/>
      <name val="Arial Black"/>
      <family val="2"/>
    </font>
    <font>
      <b/>
      <sz val="10"/>
      <color theme="1"/>
      <name val="Arial"/>
      <family val="2"/>
    </font>
    <font>
      <b/>
      <sz val="6"/>
      <color theme="1"/>
      <name val="Arial"/>
      <family val="2"/>
    </font>
    <font>
      <b/>
      <sz val="8"/>
      <color theme="1"/>
      <name val="Arial"/>
      <family val="2"/>
    </font>
    <font>
      <b/>
      <i/>
      <sz val="10"/>
      <color theme="1"/>
      <name val="Arial"/>
      <family val="2"/>
    </font>
    <font>
      <sz val="11"/>
      <name val="Arial Black"/>
      <family val="2"/>
    </font>
    <font>
      <sz val="20"/>
      <color theme="1"/>
      <name val="Arial Black"/>
      <family val="2"/>
    </font>
    <font>
      <b/>
      <sz val="14"/>
      <color theme="1"/>
      <name val="Arial Black"/>
      <family val="2"/>
    </font>
  </fonts>
  <fills count="2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249977111117893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11" fillId="0" borderId="0" applyNumberForma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95">
    <xf numFmtId="0" fontId="0" fillId="0" borderId="0" xfId="0"/>
    <xf numFmtId="0" fontId="2" fillId="0" borderId="5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3" borderId="5" xfId="0" applyFill="1" applyBorder="1" applyAlignment="1">
      <alignment horizontal="center"/>
    </xf>
    <xf numFmtId="164" fontId="0" fillId="4" borderId="11" xfId="1" applyNumberFormat="1" applyFont="1" applyFill="1" applyBorder="1"/>
    <xf numFmtId="164" fontId="0" fillId="0" borderId="5" xfId="1" applyNumberFormat="1" applyFont="1" applyBorder="1"/>
    <xf numFmtId="164" fontId="0" fillId="0" borderId="10" xfId="1" applyNumberFormat="1" applyFont="1" applyBorder="1"/>
    <xf numFmtId="0" fontId="0" fillId="0" borderId="12" xfId="0" applyBorder="1"/>
    <xf numFmtId="0" fontId="0" fillId="0" borderId="13" xfId="0" applyBorder="1" applyAlignment="1">
      <alignment horizontal="center"/>
    </xf>
    <xf numFmtId="0" fontId="0" fillId="3" borderId="14" xfId="0" applyFill="1" applyBorder="1" applyAlignment="1">
      <alignment horizontal="center"/>
    </xf>
    <xf numFmtId="164" fontId="0" fillId="4" borderId="15" xfId="1" applyNumberFormat="1" applyFont="1" applyFill="1" applyBorder="1"/>
    <xf numFmtId="164" fontId="0" fillId="0" borderId="16" xfId="1" applyNumberFormat="1" applyFont="1" applyBorder="1"/>
    <xf numFmtId="164" fontId="6" fillId="5" borderId="5" xfId="1" applyNumberFormat="1" applyFont="1" applyFill="1" applyBorder="1"/>
    <xf numFmtId="0" fontId="0" fillId="0" borderId="16" xfId="0" applyBorder="1" applyAlignment="1">
      <alignment horizontal="center"/>
    </xf>
    <xf numFmtId="164" fontId="6" fillId="3" borderId="17" xfId="1" applyNumberFormat="1" applyFont="1" applyFill="1" applyBorder="1"/>
    <xf numFmtId="0" fontId="0" fillId="0" borderId="18" xfId="0" applyBorder="1" applyAlignment="1">
      <alignment horizontal="center"/>
    </xf>
    <xf numFmtId="164" fontId="6" fillId="6" borderId="13" xfId="1" applyNumberFormat="1" applyFont="1" applyFill="1" applyBorder="1"/>
    <xf numFmtId="165" fontId="0" fillId="0" borderId="18" xfId="1" applyNumberFormat="1" applyFont="1" applyBorder="1" applyAlignment="1">
      <alignment horizontal="center"/>
    </xf>
    <xf numFmtId="164" fontId="6" fillId="7" borderId="17" xfId="1" applyNumberFormat="1" applyFont="1" applyFill="1" applyBorder="1"/>
    <xf numFmtId="0" fontId="0" fillId="0" borderId="22" xfId="0" applyBorder="1" applyAlignment="1">
      <alignment horizontal="center"/>
    </xf>
    <xf numFmtId="0" fontId="2" fillId="5" borderId="14" xfId="0" applyFont="1" applyFill="1" applyBorder="1" applyAlignment="1">
      <alignment horizontal="left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left" vertical="center"/>
    </xf>
    <xf numFmtId="16" fontId="2" fillId="5" borderId="5" xfId="0" applyNumberFormat="1" applyFont="1" applyFill="1" applyBorder="1" applyAlignment="1">
      <alignment horizontal="center" vertical="center"/>
    </xf>
    <xf numFmtId="16" fontId="2" fillId="5" borderId="14" xfId="0" applyNumberFormat="1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left" vertical="center"/>
    </xf>
    <xf numFmtId="0" fontId="2" fillId="6" borderId="5" xfId="0" applyFont="1" applyFill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1" fontId="2" fillId="6" borderId="5" xfId="0" applyNumberFormat="1" applyFont="1" applyFill="1" applyBorder="1" applyAlignment="1">
      <alignment horizontal="center" vertical="center"/>
    </xf>
    <xf numFmtId="166" fontId="2" fillId="5" borderId="5" xfId="0" applyNumberFormat="1" applyFont="1" applyFill="1" applyBorder="1" applyAlignment="1">
      <alignment horizontal="center" vertical="center"/>
    </xf>
    <xf numFmtId="20" fontId="2" fillId="5" borderId="5" xfId="0" applyNumberFormat="1" applyFont="1" applyFill="1" applyBorder="1" applyAlignment="1">
      <alignment horizontal="center" vertical="center"/>
    </xf>
    <xf numFmtId="1" fontId="2" fillId="5" borderId="5" xfId="0" applyNumberFormat="1" applyFont="1" applyFill="1" applyBorder="1" applyAlignment="1">
      <alignment horizontal="center" vertical="center"/>
    </xf>
    <xf numFmtId="164" fontId="2" fillId="5" borderId="5" xfId="1" applyNumberFormat="1" applyFont="1" applyFill="1" applyBorder="1" applyAlignment="1">
      <alignment horizontal="right" vertical="center"/>
    </xf>
    <xf numFmtId="165" fontId="0" fillId="0" borderId="0" xfId="1" applyNumberFormat="1" applyFont="1"/>
    <xf numFmtId="164" fontId="0" fillId="0" borderId="0" xfId="0" applyNumberFormat="1"/>
    <xf numFmtId="165" fontId="0" fillId="0" borderId="0" xfId="0" applyNumberFormat="1"/>
    <xf numFmtId="165" fontId="2" fillId="5" borderId="5" xfId="1" applyNumberFormat="1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16" fontId="2" fillId="6" borderId="5" xfId="0" applyNumberFormat="1" applyFont="1" applyFill="1" applyBorder="1" applyAlignment="1">
      <alignment horizontal="center" vertical="center"/>
    </xf>
    <xf numFmtId="165" fontId="2" fillId="5" borderId="5" xfId="1" applyNumberFormat="1" applyFont="1" applyFill="1" applyBorder="1" applyAlignment="1">
      <alignment horizontal="right" vertical="center"/>
    </xf>
    <xf numFmtId="0" fontId="2" fillId="0" borderId="5" xfId="0" applyFont="1" applyBorder="1" applyAlignment="1">
      <alignment horizontal="left" vertical="center"/>
    </xf>
    <xf numFmtId="0" fontId="2" fillId="8" borderId="5" xfId="0" applyFont="1" applyFill="1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2" fillId="3" borderId="5" xfId="0" applyFont="1" applyFill="1" applyBorder="1" applyAlignment="1">
      <alignment horizontal="center"/>
    </xf>
    <xf numFmtId="165" fontId="1" fillId="0" borderId="5" xfId="1" applyNumberFormat="1" applyFont="1" applyBorder="1" applyAlignment="1">
      <alignment horizontal="center"/>
    </xf>
    <xf numFmtId="164" fontId="0" fillId="4" borderId="5" xfId="1" applyNumberFormat="1" applyFont="1" applyFill="1" applyBorder="1"/>
    <xf numFmtId="164" fontId="6" fillId="3" borderId="5" xfId="1" applyNumberFormat="1" applyFont="1" applyFill="1" applyBorder="1"/>
    <xf numFmtId="164" fontId="6" fillId="9" borderId="17" xfId="1" applyNumberFormat="1" applyFont="1" applyFill="1" applyBorder="1"/>
    <xf numFmtId="0" fontId="0" fillId="0" borderId="26" xfId="0" applyBorder="1"/>
    <xf numFmtId="164" fontId="6" fillId="10" borderId="13" xfId="1" applyNumberFormat="1" applyFont="1" applyFill="1" applyBorder="1"/>
    <xf numFmtId="0" fontId="2" fillId="0" borderId="6" xfId="0" applyFont="1" applyBorder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0" xfId="0" applyFont="1"/>
    <xf numFmtId="164" fontId="6" fillId="0" borderId="0" xfId="0" applyNumberFormat="1" applyFont="1"/>
    <xf numFmtId="164" fontId="0" fillId="0" borderId="0" xfId="1" applyNumberFormat="1" applyFont="1" applyBorder="1"/>
    <xf numFmtId="165" fontId="6" fillId="0" borderId="0" xfId="1" applyNumberFormat="1" applyFont="1"/>
    <xf numFmtId="0" fontId="0" fillId="3" borderId="13" xfId="0" applyFill="1" applyBorder="1" applyAlignment="1">
      <alignment horizontal="center"/>
    </xf>
    <xf numFmtId="164" fontId="0" fillId="4" borderId="0" xfId="1" applyNumberFormat="1" applyFont="1" applyFill="1" applyBorder="1"/>
    <xf numFmtId="164" fontId="0" fillId="0" borderId="30" xfId="1" applyNumberFormat="1" applyFont="1" applyBorder="1"/>
    <xf numFmtId="164" fontId="0" fillId="0" borderId="31" xfId="1" applyNumberFormat="1" applyFont="1" applyBorder="1"/>
    <xf numFmtId="164" fontId="10" fillId="4" borderId="0" xfId="1" applyNumberFormat="1" applyFont="1" applyFill="1" applyBorder="1"/>
    <xf numFmtId="164" fontId="10" fillId="0" borderId="0" xfId="1" applyNumberFormat="1" applyFont="1" applyBorder="1"/>
    <xf numFmtId="164" fontId="6" fillId="9" borderId="28" xfId="1" applyNumberFormat="1" applyFont="1" applyFill="1" applyBorder="1"/>
    <xf numFmtId="164" fontId="6" fillId="7" borderId="13" xfId="1" applyNumberFormat="1" applyFont="1" applyFill="1" applyBorder="1"/>
    <xf numFmtId="164" fontId="7" fillId="11" borderId="5" xfId="0" applyNumberFormat="1" applyFont="1" applyFill="1" applyBorder="1"/>
    <xf numFmtId="164" fontId="7" fillId="6" borderId="17" xfId="0" applyNumberFormat="1" applyFont="1" applyFill="1" applyBorder="1"/>
    <xf numFmtId="0" fontId="2" fillId="0" borderId="5" xfId="0" applyFont="1" applyBorder="1" applyAlignment="1">
      <alignment horizontal="center" vertical="center"/>
    </xf>
    <xf numFmtId="1" fontId="2" fillId="3" borderId="5" xfId="0" applyNumberFormat="1" applyFont="1" applyFill="1" applyBorder="1" applyAlignment="1">
      <alignment horizontal="center" vertical="center"/>
    </xf>
    <xf numFmtId="44" fontId="0" fillId="0" borderId="0" xfId="1" applyFont="1"/>
    <xf numFmtId="0" fontId="2" fillId="7" borderId="5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/>
    </xf>
    <xf numFmtId="1" fontId="2" fillId="7" borderId="5" xfId="0" applyNumberFormat="1" applyFont="1" applyFill="1" applyBorder="1" applyAlignment="1">
      <alignment horizontal="center" vertical="center"/>
    </xf>
    <xf numFmtId="0" fontId="0" fillId="8" borderId="5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165" fontId="2" fillId="5" borderId="5" xfId="1" applyNumberFormat="1" applyFont="1" applyFill="1" applyBorder="1" applyAlignment="1">
      <alignment horizontal="left" vertical="center"/>
    </xf>
    <xf numFmtId="20" fontId="0" fillId="5" borderId="5" xfId="0" applyNumberFormat="1" applyFill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5" borderId="34" xfId="0" applyFont="1" applyFill="1" applyBorder="1" applyAlignment="1">
      <alignment horizontal="left" vertical="center"/>
    </xf>
    <xf numFmtId="0" fontId="2" fillId="6" borderId="37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left" vertical="center"/>
    </xf>
    <xf numFmtId="16" fontId="2" fillId="6" borderId="10" xfId="0" applyNumberFormat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left" vertical="center"/>
    </xf>
    <xf numFmtId="1" fontId="2" fillId="6" borderId="10" xfId="0" applyNumberFormat="1" applyFont="1" applyFill="1" applyBorder="1" applyAlignment="1">
      <alignment horizontal="center" vertical="center"/>
    </xf>
    <xf numFmtId="1" fontId="2" fillId="3" borderId="10" xfId="0" applyNumberFormat="1" applyFont="1" applyFill="1" applyBorder="1" applyAlignment="1">
      <alignment horizontal="center" vertical="center"/>
    </xf>
    <xf numFmtId="1" fontId="2" fillId="5" borderId="10" xfId="0" applyNumberFormat="1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left" vertical="center"/>
    </xf>
    <xf numFmtId="164" fontId="2" fillId="5" borderId="17" xfId="1" applyNumberFormat="1" applyFont="1" applyFill="1" applyBorder="1" applyAlignment="1">
      <alignment horizontal="right" vertical="center"/>
    </xf>
    <xf numFmtId="165" fontId="2" fillId="5" borderId="36" xfId="1" applyNumberFormat="1" applyFont="1" applyFill="1" applyBorder="1" applyAlignment="1">
      <alignment horizontal="center" vertical="center"/>
    </xf>
    <xf numFmtId="1" fontId="2" fillId="12" borderId="5" xfId="0" applyNumberFormat="1" applyFont="1" applyFill="1" applyBorder="1" applyAlignment="1">
      <alignment horizontal="center" vertical="center"/>
    </xf>
    <xf numFmtId="14" fontId="5" fillId="4" borderId="0" xfId="0" applyNumberFormat="1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164" fontId="15" fillId="4" borderId="0" xfId="1" applyNumberFormat="1" applyFont="1" applyFill="1" applyBorder="1"/>
    <xf numFmtId="0" fontId="0" fillId="4" borderId="0" xfId="0" applyFill="1" applyAlignment="1">
      <alignment horizontal="center" shrinkToFit="1"/>
    </xf>
    <xf numFmtId="0" fontId="0" fillId="4" borderId="0" xfId="0" applyFill="1"/>
    <xf numFmtId="15" fontId="0" fillId="3" borderId="0" xfId="0" applyNumberFormat="1" applyFill="1"/>
    <xf numFmtId="0" fontId="2" fillId="5" borderId="12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shrinkToFit="1"/>
    </xf>
    <xf numFmtId="0" fontId="2" fillId="5" borderId="5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shrinkToFit="1"/>
    </xf>
    <xf numFmtId="0" fontId="0" fillId="0" borderId="5" xfId="0" applyBorder="1"/>
    <xf numFmtId="0" fontId="0" fillId="13" borderId="11" xfId="0" applyFill="1" applyBorder="1" applyAlignment="1">
      <alignment horizontal="center"/>
    </xf>
    <xf numFmtId="164" fontId="0" fillId="0" borderId="10" xfId="1" applyNumberFormat="1" applyFont="1" applyBorder="1" applyAlignment="1">
      <alignment shrinkToFit="1"/>
    </xf>
    <xf numFmtId="0" fontId="0" fillId="13" borderId="0" xfId="0" applyFill="1"/>
    <xf numFmtId="0" fontId="0" fillId="13" borderId="5" xfId="0" applyFill="1" applyBorder="1" applyAlignment="1">
      <alignment horizontal="center"/>
    </xf>
    <xf numFmtId="17" fontId="0" fillId="13" borderId="0" xfId="0" applyNumberFormat="1" applyFill="1"/>
    <xf numFmtId="0" fontId="0" fillId="0" borderId="14" xfId="0" applyBorder="1"/>
    <xf numFmtId="164" fontId="0" fillId="0" borderId="16" xfId="1" applyNumberFormat="1" applyFont="1" applyBorder="1" applyAlignment="1">
      <alignment shrinkToFit="1"/>
    </xf>
    <xf numFmtId="0" fontId="0" fillId="0" borderId="27" xfId="0" applyBorder="1"/>
    <xf numFmtId="0" fontId="0" fillId="13" borderId="31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6" xfId="0" applyBorder="1" applyAlignment="1">
      <alignment horizontal="center" shrinkToFit="1"/>
    </xf>
    <xf numFmtId="0" fontId="0" fillId="0" borderId="18" xfId="0" applyBorder="1" applyAlignment="1">
      <alignment horizontal="center" shrinkToFit="1"/>
    </xf>
    <xf numFmtId="164" fontId="6" fillId="3" borderId="13" xfId="1" applyNumberFormat="1" applyFont="1" applyFill="1" applyBorder="1"/>
    <xf numFmtId="164" fontId="15" fillId="3" borderId="17" xfId="1" applyNumberFormat="1" applyFont="1" applyFill="1" applyBorder="1"/>
    <xf numFmtId="0" fontId="0" fillId="0" borderId="22" xfId="0" applyBorder="1" applyAlignment="1">
      <alignment horizontal="center" shrinkToFit="1"/>
    </xf>
    <xf numFmtId="0" fontId="0" fillId="14" borderId="5" xfId="0" applyFill="1" applyBorder="1" applyAlignment="1">
      <alignment horizontal="center"/>
    </xf>
    <xf numFmtId="164" fontId="0" fillId="14" borderId="11" xfId="1" applyNumberFormat="1" applyFont="1" applyFill="1" applyBorder="1"/>
    <xf numFmtId="164" fontId="0" fillId="14" borderId="5" xfId="1" applyNumberFormat="1" applyFont="1" applyFill="1" applyBorder="1"/>
    <xf numFmtId="164" fontId="0" fillId="14" borderId="10" xfId="1" applyNumberFormat="1" applyFont="1" applyFill="1" applyBorder="1"/>
    <xf numFmtId="0" fontId="0" fillId="14" borderId="13" xfId="0" applyFill="1" applyBorder="1" applyAlignment="1">
      <alignment horizontal="center"/>
    </xf>
    <xf numFmtId="0" fontId="0" fillId="14" borderId="14" xfId="0" applyFill="1" applyBorder="1" applyAlignment="1">
      <alignment horizontal="center"/>
    </xf>
    <xf numFmtId="164" fontId="0" fillId="14" borderId="15" xfId="1" applyNumberFormat="1" applyFont="1" applyFill="1" applyBorder="1"/>
    <xf numFmtId="164" fontId="0" fillId="14" borderId="16" xfId="1" applyNumberFormat="1" applyFont="1" applyFill="1" applyBorder="1"/>
    <xf numFmtId="0" fontId="6" fillId="8" borderId="0" xfId="0" applyFont="1" applyFill="1" applyAlignment="1">
      <alignment horizontal="center"/>
    </xf>
    <xf numFmtId="44" fontId="6" fillId="0" borderId="0" xfId="1" applyFont="1"/>
    <xf numFmtId="165" fontId="6" fillId="0" borderId="0" xfId="0" applyNumberFormat="1" applyFont="1"/>
    <xf numFmtId="0" fontId="7" fillId="12" borderId="0" xfId="0" applyFont="1" applyFill="1"/>
    <xf numFmtId="164" fontId="7" fillId="12" borderId="0" xfId="0" applyNumberFormat="1" applyFont="1" applyFill="1"/>
    <xf numFmtId="166" fontId="2" fillId="6" borderId="5" xfId="0" applyNumberFormat="1" applyFont="1" applyFill="1" applyBorder="1" applyAlignment="1">
      <alignment horizontal="center" vertical="center"/>
    </xf>
    <xf numFmtId="164" fontId="2" fillId="6" borderId="5" xfId="1" applyNumberFormat="1" applyFont="1" applyFill="1" applyBorder="1" applyAlignment="1">
      <alignment horizontal="right" vertical="center"/>
    </xf>
    <xf numFmtId="0" fontId="0" fillId="0" borderId="10" xfId="0" applyBorder="1"/>
    <xf numFmtId="164" fontId="6" fillId="9" borderId="5" xfId="1" applyNumberFormat="1" applyFont="1" applyFill="1" applyBorder="1"/>
    <xf numFmtId="164" fontId="6" fillId="10" borderId="5" xfId="1" applyNumberFormat="1" applyFont="1" applyFill="1" applyBorder="1"/>
    <xf numFmtId="1" fontId="2" fillId="15" borderId="5" xfId="0" applyNumberFormat="1" applyFont="1" applyFill="1" applyBorder="1" applyAlignment="1">
      <alignment horizontal="center" vertical="center"/>
    </xf>
    <xf numFmtId="0" fontId="2" fillId="15" borderId="5" xfId="0" applyFont="1" applyFill="1" applyBorder="1" applyAlignment="1">
      <alignment horizontal="center"/>
    </xf>
    <xf numFmtId="0" fontId="0" fillId="15" borderId="5" xfId="0" applyFill="1" applyBorder="1" applyAlignment="1">
      <alignment horizontal="center"/>
    </xf>
    <xf numFmtId="165" fontId="2" fillId="6" borderId="17" xfId="1" applyNumberFormat="1" applyFont="1" applyFill="1" applyBorder="1" applyAlignment="1">
      <alignment horizontal="right" vertical="center"/>
    </xf>
    <xf numFmtId="1" fontId="2" fillId="15" borderId="10" xfId="0" applyNumberFormat="1" applyFont="1" applyFill="1" applyBorder="1" applyAlignment="1">
      <alignment horizontal="center" vertical="center"/>
    </xf>
    <xf numFmtId="16" fontId="2" fillId="15" borderId="10" xfId="0" applyNumberFormat="1" applyFont="1" applyFill="1" applyBorder="1" applyAlignment="1">
      <alignment horizontal="center" vertical="center"/>
    </xf>
    <xf numFmtId="20" fontId="2" fillId="5" borderId="10" xfId="0" applyNumberFormat="1" applyFont="1" applyFill="1" applyBorder="1" applyAlignment="1">
      <alignment horizontal="center" vertical="center"/>
    </xf>
    <xf numFmtId="164" fontId="2" fillId="5" borderId="36" xfId="1" applyNumberFormat="1" applyFont="1" applyFill="1" applyBorder="1" applyAlignment="1">
      <alignment horizontal="right" vertical="center"/>
    </xf>
    <xf numFmtId="16" fontId="6" fillId="0" borderId="0" xfId="0" applyNumberFormat="1" applyFont="1"/>
    <xf numFmtId="0" fontId="0" fillId="15" borderId="0" xfId="0" applyFill="1"/>
    <xf numFmtId="1" fontId="2" fillId="16" borderId="5" xfId="0" applyNumberFormat="1" applyFont="1" applyFill="1" applyBorder="1" applyAlignment="1">
      <alignment horizontal="center" vertical="center"/>
    </xf>
    <xf numFmtId="1" fontId="2" fillId="2" borderId="5" xfId="0" applyNumberFormat="1" applyFont="1" applyFill="1" applyBorder="1" applyAlignment="1">
      <alignment horizontal="center" vertical="center"/>
    </xf>
    <xf numFmtId="0" fontId="2" fillId="15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164" fontId="6" fillId="7" borderId="5" xfId="1" applyNumberFormat="1" applyFont="1" applyFill="1" applyBorder="1"/>
    <xf numFmtId="0" fontId="2" fillId="5" borderId="46" xfId="0" applyFont="1" applyFill="1" applyBorder="1" applyAlignment="1">
      <alignment horizontal="center" vertical="center"/>
    </xf>
    <xf numFmtId="16" fontId="2" fillId="5" borderId="6" xfId="0" applyNumberFormat="1" applyFont="1" applyFill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1" fontId="2" fillId="2" borderId="6" xfId="0" applyNumberFormat="1" applyFont="1" applyFill="1" applyBorder="1" applyAlignment="1">
      <alignment horizontal="center" vertical="center"/>
    </xf>
    <xf numFmtId="1" fontId="2" fillId="15" borderId="6" xfId="0" applyNumberFormat="1" applyFont="1" applyFill="1" applyBorder="1" applyAlignment="1">
      <alignment horizontal="center" vertical="center"/>
    </xf>
    <xf numFmtId="1" fontId="2" fillId="7" borderId="6" xfId="0" applyNumberFormat="1" applyFont="1" applyFill="1" applyBorder="1" applyAlignment="1">
      <alignment horizontal="center" vertical="center"/>
    </xf>
    <xf numFmtId="20" fontId="2" fillId="5" borderId="6" xfId="0" applyNumberFormat="1" applyFont="1" applyFill="1" applyBorder="1" applyAlignment="1">
      <alignment horizontal="center" vertical="center"/>
    </xf>
    <xf numFmtId="164" fontId="2" fillId="5" borderId="32" xfId="1" applyNumberFormat="1" applyFont="1" applyFill="1" applyBorder="1" applyAlignment="1">
      <alignment horizontal="right" vertical="center"/>
    </xf>
    <xf numFmtId="164" fontId="6" fillId="10" borderId="17" xfId="1" applyNumberFormat="1" applyFont="1" applyFill="1" applyBorder="1"/>
    <xf numFmtId="0" fontId="2" fillId="0" borderId="4" xfId="0" applyFont="1" applyBorder="1" applyAlignment="1">
      <alignment horizontal="left" vertical="center"/>
    </xf>
    <xf numFmtId="0" fontId="0" fillId="4" borderId="10" xfId="0" applyFill="1" applyBorder="1"/>
    <xf numFmtId="0" fontId="2" fillId="0" borderId="6" xfId="0" applyFont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/>
    </xf>
    <xf numFmtId="0" fontId="2" fillId="5" borderId="4" xfId="0" applyFont="1" applyFill="1" applyBorder="1" applyAlignment="1">
      <alignment vertical="center"/>
    </xf>
    <xf numFmtId="167" fontId="2" fillId="5" borderId="6" xfId="0" applyNumberFormat="1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vertical="center"/>
    </xf>
    <xf numFmtId="165" fontId="2" fillId="6" borderId="17" xfId="1" applyNumberFormat="1" applyFont="1" applyFill="1" applyBorder="1" applyAlignment="1">
      <alignment vertical="center"/>
    </xf>
    <xf numFmtId="165" fontId="2" fillId="5" borderId="17" xfId="1" applyNumberFormat="1" applyFont="1" applyFill="1" applyBorder="1" applyAlignment="1">
      <alignment vertical="center"/>
    </xf>
    <xf numFmtId="165" fontId="2" fillId="3" borderId="17" xfId="1" applyNumberFormat="1" applyFont="1" applyFill="1" applyBorder="1" applyAlignment="1">
      <alignment vertical="center"/>
    </xf>
    <xf numFmtId="165" fontId="2" fillId="5" borderId="13" xfId="1" applyNumberFormat="1" applyFont="1" applyFill="1" applyBorder="1" applyAlignment="1">
      <alignment vertical="center"/>
    </xf>
    <xf numFmtId="165" fontId="2" fillId="5" borderId="41" xfId="1" applyNumberFormat="1" applyFont="1" applyFill="1" applyBorder="1" applyAlignment="1">
      <alignment vertical="center"/>
    </xf>
    <xf numFmtId="165" fontId="2" fillId="5" borderId="16" xfId="1" applyNumberFormat="1" applyFont="1" applyFill="1" applyBorder="1" applyAlignment="1">
      <alignment horizontal="center" vertical="center"/>
    </xf>
    <xf numFmtId="0" fontId="0" fillId="3" borderId="0" xfId="0" applyFill="1"/>
    <xf numFmtId="0" fontId="0" fillId="6" borderId="5" xfId="0" applyFill="1" applyBorder="1"/>
    <xf numFmtId="0" fontId="0" fillId="6" borderId="8" xfId="0" applyFill="1" applyBorder="1"/>
    <xf numFmtId="0" fontId="0" fillId="6" borderId="0" xfId="0" applyFill="1"/>
    <xf numFmtId="16" fontId="0" fillId="6" borderId="0" xfId="0" applyNumberFormat="1" applyFill="1" applyAlignment="1">
      <alignment wrapText="1"/>
    </xf>
    <xf numFmtId="0" fontId="0" fillId="6" borderId="0" xfId="0" applyFill="1" applyAlignment="1">
      <alignment wrapText="1"/>
    </xf>
    <xf numFmtId="0" fontId="16" fillId="0" borderId="5" xfId="0" applyFont="1" applyBorder="1" applyAlignment="1">
      <alignment horizontal="center"/>
    </xf>
    <xf numFmtId="0" fontId="0" fillId="6" borderId="5" xfId="0" applyFill="1" applyBorder="1" applyAlignment="1">
      <alignment horizontal="center"/>
    </xf>
    <xf numFmtId="17" fontId="17" fillId="0" borderId="10" xfId="0" applyNumberFormat="1" applyFont="1" applyBorder="1"/>
    <xf numFmtId="0" fontId="17" fillId="0" borderId="10" xfId="0" applyFont="1" applyBorder="1"/>
    <xf numFmtId="0" fontId="17" fillId="0" borderId="36" xfId="0" applyFont="1" applyBorder="1"/>
    <xf numFmtId="0" fontId="0" fillId="4" borderId="5" xfId="0" applyFill="1" applyBorder="1" applyAlignment="1">
      <alignment horizontal="center"/>
    </xf>
    <xf numFmtId="0" fontId="2" fillId="7" borderId="14" xfId="0" applyFont="1" applyFill="1" applyBorder="1" applyAlignment="1">
      <alignment horizontal="center" vertical="center"/>
    </xf>
    <xf numFmtId="16" fontId="2" fillId="7" borderId="5" xfId="0" applyNumberFormat="1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vertical="center"/>
    </xf>
    <xf numFmtId="167" fontId="2" fillId="5" borderId="5" xfId="0" applyNumberFormat="1" applyFont="1" applyFill="1" applyBorder="1" applyAlignment="1">
      <alignment horizontal="center" vertical="center"/>
    </xf>
    <xf numFmtId="165" fontId="2" fillId="5" borderId="5" xfId="1" applyNumberFormat="1" applyFont="1" applyFill="1" applyBorder="1" applyAlignment="1">
      <alignment vertical="center"/>
    </xf>
    <xf numFmtId="0" fontId="19" fillId="0" borderId="4" xfId="0" applyFont="1" applyBorder="1"/>
    <xf numFmtId="0" fontId="19" fillId="0" borderId="5" xfId="0" applyFont="1" applyBorder="1" applyAlignment="1">
      <alignment horizontal="center"/>
    </xf>
    <xf numFmtId="0" fontId="19" fillId="6" borderId="5" xfId="0" applyFont="1" applyFill="1" applyBorder="1" applyAlignment="1">
      <alignment horizontal="center"/>
    </xf>
    <xf numFmtId="164" fontId="19" fillId="4" borderId="5" xfId="1" applyNumberFormat="1" applyFont="1" applyFill="1" applyBorder="1"/>
    <xf numFmtId="164" fontId="19" fillId="0" borderId="5" xfId="1" applyNumberFormat="1" applyFont="1" applyBorder="1"/>
    <xf numFmtId="0" fontId="0" fillId="0" borderId="49" xfId="0" applyBorder="1" applyAlignment="1">
      <alignment horizontal="center"/>
    </xf>
    <xf numFmtId="20" fontId="2" fillId="6" borderId="5" xfId="0" applyNumberFormat="1" applyFont="1" applyFill="1" applyBorder="1" applyAlignment="1">
      <alignment horizontal="center" vertical="center"/>
    </xf>
    <xf numFmtId="165" fontId="2" fillId="6" borderId="5" xfId="1" applyNumberFormat="1" applyFont="1" applyFill="1" applyBorder="1" applyAlignment="1">
      <alignment vertical="center"/>
    </xf>
    <xf numFmtId="0" fontId="2" fillId="0" borderId="27" xfId="0" applyFont="1" applyBorder="1" applyAlignment="1">
      <alignment horizontal="center" vertical="center"/>
    </xf>
    <xf numFmtId="0" fontId="0" fillId="15" borderId="5" xfId="0" applyFill="1" applyBorder="1"/>
    <xf numFmtId="0" fontId="0" fillId="15" borderId="10" xfId="0" applyFill="1" applyBorder="1"/>
    <xf numFmtId="164" fontId="0" fillId="15" borderId="5" xfId="1" applyNumberFormat="1" applyFont="1" applyFill="1" applyBorder="1"/>
    <xf numFmtId="0" fontId="2" fillId="5" borderId="10" xfId="0" applyFont="1" applyFill="1" applyBorder="1" applyAlignment="1">
      <alignment horizontal="center" vertical="center"/>
    </xf>
    <xf numFmtId="16" fontId="2" fillId="5" borderId="10" xfId="0" applyNumberFormat="1" applyFont="1" applyFill="1" applyBorder="1" applyAlignment="1">
      <alignment horizontal="center" vertical="center"/>
    </xf>
    <xf numFmtId="166" fontId="2" fillId="5" borderId="17" xfId="0" applyNumberFormat="1" applyFont="1" applyFill="1" applyBorder="1" applyAlignment="1">
      <alignment horizontal="center" vertical="center"/>
    </xf>
    <xf numFmtId="164" fontId="21" fillId="0" borderId="0" xfId="0" applyNumberFormat="1" applyFont="1"/>
    <xf numFmtId="17" fontId="0" fillId="0" borderId="0" xfId="0" applyNumberFormat="1"/>
    <xf numFmtId="0" fontId="0" fillId="0" borderId="0" xfId="0" applyAlignment="1">
      <alignment horizontal="left" vertical="center"/>
    </xf>
    <xf numFmtId="0" fontId="0" fillId="15" borderId="0" xfId="0" applyFill="1" applyAlignment="1">
      <alignment horizontal="left" vertical="center"/>
    </xf>
    <xf numFmtId="16" fontId="0" fillId="15" borderId="0" xfId="0" applyNumberFormat="1" applyFill="1"/>
    <xf numFmtId="165" fontId="0" fillId="15" borderId="0" xfId="3" applyNumberFormat="1" applyFont="1" applyFill="1"/>
    <xf numFmtId="0" fontId="22" fillId="4" borderId="4" xfId="0" applyFont="1" applyFill="1" applyBorder="1" applyAlignment="1">
      <alignment horizontal="center"/>
    </xf>
    <xf numFmtId="0" fontId="22" fillId="4" borderId="5" xfId="0" applyFont="1" applyFill="1" applyBorder="1" applyAlignment="1">
      <alignment horizontal="center"/>
    </xf>
    <xf numFmtId="0" fontId="23" fillId="4" borderId="5" xfId="0" applyFont="1" applyFill="1" applyBorder="1" applyAlignment="1">
      <alignment horizontal="center"/>
    </xf>
    <xf numFmtId="0" fontId="24" fillId="4" borderId="5" xfId="0" applyFont="1" applyFill="1" applyBorder="1" applyAlignment="1">
      <alignment horizontal="center"/>
    </xf>
    <xf numFmtId="0" fontId="24" fillId="4" borderId="10" xfId="0" applyFont="1" applyFill="1" applyBorder="1" applyAlignment="1">
      <alignment horizontal="center"/>
    </xf>
    <xf numFmtId="0" fontId="22" fillId="4" borderId="12" xfId="0" applyFont="1" applyFill="1" applyBorder="1" applyAlignment="1">
      <alignment horizontal="center"/>
    </xf>
    <xf numFmtId="164" fontId="22" fillId="4" borderId="13" xfId="5" applyNumberFormat="1" applyFont="1" applyFill="1" applyBorder="1"/>
    <xf numFmtId="165" fontId="22" fillId="4" borderId="13" xfId="1" applyNumberFormat="1" applyFont="1" applyFill="1" applyBorder="1"/>
    <xf numFmtId="164" fontId="22" fillId="3" borderId="5" xfId="0" applyNumberFormat="1" applyFont="1" applyFill="1" applyBorder="1" applyAlignment="1">
      <alignment horizontal="center"/>
    </xf>
    <xf numFmtId="164" fontId="22" fillId="17" borderId="5" xfId="0" applyNumberFormat="1" applyFont="1" applyFill="1" applyBorder="1" applyAlignment="1">
      <alignment horizontal="center"/>
    </xf>
    <xf numFmtId="164" fontId="24" fillId="18" borderId="10" xfId="0" applyNumberFormat="1" applyFont="1" applyFill="1" applyBorder="1" applyAlignment="1">
      <alignment horizontal="center"/>
    </xf>
    <xf numFmtId="164" fontId="22" fillId="3" borderId="13" xfId="0" applyNumberFormat="1" applyFont="1" applyFill="1" applyBorder="1" applyAlignment="1">
      <alignment horizontal="center"/>
    </xf>
    <xf numFmtId="164" fontId="22" fillId="17" borderId="13" xfId="0" applyNumberFormat="1" applyFont="1" applyFill="1" applyBorder="1" applyAlignment="1">
      <alignment horizontal="center"/>
    </xf>
    <xf numFmtId="164" fontId="24" fillId="18" borderId="16" xfId="0" applyNumberFormat="1" applyFont="1" applyFill="1" applyBorder="1" applyAlignment="1">
      <alignment horizontal="center"/>
    </xf>
    <xf numFmtId="0" fontId="22" fillId="16" borderId="21" xfId="0" applyFont="1" applyFill="1" applyBorder="1"/>
    <xf numFmtId="164" fontId="22" fillId="16" borderId="17" xfId="0" applyNumberFormat="1" applyFont="1" applyFill="1" applyBorder="1"/>
    <xf numFmtId="164" fontId="22" fillId="14" borderId="17" xfId="0" applyNumberFormat="1" applyFont="1" applyFill="1" applyBorder="1" applyAlignment="1">
      <alignment horizontal="center"/>
    </xf>
    <xf numFmtId="164" fontId="25" fillId="14" borderId="17" xfId="5" applyNumberFormat="1" applyFont="1" applyFill="1" applyBorder="1"/>
    <xf numFmtId="164" fontId="0" fillId="16" borderId="36" xfId="0" applyNumberFormat="1" applyFill="1" applyBorder="1"/>
    <xf numFmtId="0" fontId="22" fillId="4" borderId="0" xfId="0" applyFont="1" applyFill="1" applyAlignment="1">
      <alignment horizontal="center"/>
    </xf>
    <xf numFmtId="165" fontId="0" fillId="16" borderId="0" xfId="1" applyNumberFormat="1" applyFont="1" applyFill="1"/>
    <xf numFmtId="0" fontId="22" fillId="0" borderId="0" xfId="0" applyFont="1"/>
    <xf numFmtId="164" fontId="26" fillId="19" borderId="0" xfId="5" applyNumberFormat="1" applyFont="1" applyFill="1"/>
    <xf numFmtId="164" fontId="26" fillId="15" borderId="0" xfId="5" applyNumberFormat="1" applyFont="1" applyFill="1"/>
    <xf numFmtId="164" fontId="26" fillId="16" borderId="0" xfId="5" applyNumberFormat="1" applyFont="1" applyFill="1"/>
    <xf numFmtId="164" fontId="6" fillId="7" borderId="0" xfId="0" applyNumberFormat="1" applyFont="1" applyFill="1"/>
    <xf numFmtId="164" fontId="22" fillId="11" borderId="5" xfId="0" applyNumberFormat="1" applyFont="1" applyFill="1" applyBorder="1" applyAlignment="1">
      <alignment horizontal="center"/>
    </xf>
    <xf numFmtId="164" fontId="22" fillId="11" borderId="13" xfId="0" applyNumberFormat="1" applyFont="1" applyFill="1" applyBorder="1" applyAlignment="1">
      <alignment horizontal="center"/>
    </xf>
    <xf numFmtId="0" fontId="4" fillId="0" borderId="50" xfId="0" applyFont="1" applyBorder="1" applyAlignment="1">
      <alignment horizontal="center"/>
    </xf>
    <xf numFmtId="0" fontId="4" fillId="0" borderId="51" xfId="0" applyFont="1" applyBorder="1" applyAlignment="1">
      <alignment horizontal="center"/>
    </xf>
    <xf numFmtId="0" fontId="4" fillId="0" borderId="52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7" fillId="8" borderId="23" xfId="0" applyFont="1" applyFill="1" applyBorder="1" applyAlignment="1">
      <alignment horizontal="center"/>
    </xf>
    <xf numFmtId="0" fontId="7" fillId="8" borderId="24" xfId="0" applyFont="1" applyFill="1" applyBorder="1" applyAlignment="1">
      <alignment horizontal="center"/>
    </xf>
    <xf numFmtId="0" fontId="7" fillId="8" borderId="25" xfId="0" applyFont="1" applyFill="1" applyBorder="1" applyAlignment="1">
      <alignment horizontal="center"/>
    </xf>
    <xf numFmtId="0" fontId="7" fillId="8" borderId="7" xfId="0" applyFont="1" applyFill="1" applyBorder="1" applyAlignment="1">
      <alignment horizontal="center"/>
    </xf>
    <xf numFmtId="0" fontId="7" fillId="8" borderId="8" xfId="0" applyFont="1" applyFill="1" applyBorder="1" applyAlignment="1">
      <alignment horizontal="center"/>
    </xf>
    <xf numFmtId="0" fontId="7" fillId="8" borderId="9" xfId="0" applyFont="1" applyFill="1" applyBorder="1" applyAlignment="1">
      <alignment horizontal="center"/>
    </xf>
    <xf numFmtId="14" fontId="5" fillId="3" borderId="4" xfId="0" applyNumberFormat="1" applyFont="1" applyFill="1" applyBorder="1" applyAlignment="1">
      <alignment horizontal="center" vertical="center" wrapText="1"/>
    </xf>
    <xf numFmtId="14" fontId="5" fillId="3" borderId="5" xfId="0" applyNumberFormat="1" applyFont="1" applyFill="1" applyBorder="1" applyAlignment="1">
      <alignment horizontal="center" vertical="center" wrapText="1"/>
    </xf>
    <xf numFmtId="14" fontId="5" fillId="3" borderId="12" xfId="0" applyNumberFormat="1" applyFont="1" applyFill="1" applyBorder="1" applyAlignment="1">
      <alignment horizontal="center" vertical="center" wrapText="1"/>
    </xf>
    <xf numFmtId="14" fontId="5" fillId="3" borderId="13" xfId="0" applyNumberFormat="1" applyFont="1" applyFill="1" applyBorder="1" applyAlignment="1">
      <alignment horizontal="center" vertical="center" wrapText="1"/>
    </xf>
    <xf numFmtId="14" fontId="5" fillId="3" borderId="21" xfId="0" applyNumberFormat="1" applyFont="1" applyFill="1" applyBorder="1" applyAlignment="1">
      <alignment horizontal="center" vertical="center" wrapText="1"/>
    </xf>
    <xf numFmtId="14" fontId="5" fillId="3" borderId="17" xfId="0" applyNumberFormat="1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4" fillId="2" borderId="11" xfId="0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4" fillId="7" borderId="7" xfId="0" applyFont="1" applyFill="1" applyBorder="1" applyAlignment="1">
      <alignment horizontal="center" vertical="center" wrapText="1"/>
    </xf>
    <xf numFmtId="0" fontId="4" fillId="7" borderId="8" xfId="0" applyFont="1" applyFill="1" applyBorder="1" applyAlignment="1">
      <alignment horizontal="center" vertical="center" wrapText="1"/>
    </xf>
    <xf numFmtId="0" fontId="4" fillId="7" borderId="9" xfId="0" applyFont="1" applyFill="1" applyBorder="1" applyAlignment="1">
      <alignment horizontal="center" vertical="center" wrapText="1"/>
    </xf>
    <xf numFmtId="0" fontId="7" fillId="8" borderId="4" xfId="0" applyFont="1" applyFill="1" applyBorder="1" applyAlignment="1">
      <alignment horizontal="center"/>
    </xf>
    <xf numFmtId="0" fontId="7" fillId="8" borderId="5" xfId="0" applyFont="1" applyFill="1" applyBorder="1" applyAlignment="1">
      <alignment horizontal="center"/>
    </xf>
    <xf numFmtId="0" fontId="7" fillId="8" borderId="10" xfId="0" applyFont="1" applyFill="1" applyBorder="1" applyAlignment="1">
      <alignment horizontal="center"/>
    </xf>
    <xf numFmtId="0" fontId="3" fillId="7" borderId="23" xfId="0" applyFont="1" applyFill="1" applyBorder="1" applyAlignment="1">
      <alignment horizontal="center"/>
    </xf>
    <xf numFmtId="0" fontId="3" fillId="7" borderId="24" xfId="0" applyFont="1" applyFill="1" applyBorder="1" applyAlignment="1">
      <alignment horizontal="center"/>
    </xf>
    <xf numFmtId="0" fontId="3" fillId="7" borderId="25" xfId="0" applyFont="1" applyFill="1" applyBorder="1" applyAlignment="1">
      <alignment horizontal="center"/>
    </xf>
    <xf numFmtId="14" fontId="5" fillId="16" borderId="5" xfId="0" applyNumberFormat="1" applyFont="1" applyFill="1" applyBorder="1" applyAlignment="1">
      <alignment horizontal="center" vertical="center" wrapText="1"/>
    </xf>
    <xf numFmtId="14" fontId="5" fillId="7" borderId="4" xfId="0" applyNumberFormat="1" applyFont="1" applyFill="1" applyBorder="1" applyAlignment="1">
      <alignment horizontal="center" vertical="center" wrapText="1"/>
    </xf>
    <xf numFmtId="14" fontId="5" fillId="7" borderId="5" xfId="0" applyNumberFormat="1" applyFont="1" applyFill="1" applyBorder="1" applyAlignment="1">
      <alignment horizontal="center" vertical="center" wrapText="1"/>
    </xf>
    <xf numFmtId="14" fontId="5" fillId="7" borderId="12" xfId="0" applyNumberFormat="1" applyFont="1" applyFill="1" applyBorder="1" applyAlignment="1">
      <alignment horizontal="center" vertical="center" wrapText="1"/>
    </xf>
    <xf numFmtId="14" fontId="5" fillId="7" borderId="13" xfId="0" applyNumberFormat="1" applyFont="1" applyFill="1" applyBorder="1" applyAlignment="1">
      <alignment horizontal="center" vertical="center" wrapText="1"/>
    </xf>
    <xf numFmtId="14" fontId="5" fillId="7" borderId="21" xfId="0" applyNumberFormat="1" applyFont="1" applyFill="1" applyBorder="1" applyAlignment="1">
      <alignment horizontal="center" vertical="center" wrapText="1"/>
    </xf>
    <xf numFmtId="14" fontId="5" fillId="7" borderId="17" xfId="0" applyNumberFormat="1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/>
    </xf>
    <xf numFmtId="0" fontId="7" fillId="8" borderId="2" xfId="0" applyFont="1" applyFill="1" applyBorder="1" applyAlignment="1">
      <alignment horizontal="center"/>
    </xf>
    <xf numFmtId="0" fontId="7" fillId="8" borderId="3" xfId="0" applyFont="1" applyFill="1" applyBorder="1" applyAlignment="1">
      <alignment horizontal="center"/>
    </xf>
    <xf numFmtId="0" fontId="3" fillId="16" borderId="5" xfId="0" applyFont="1" applyFill="1" applyBorder="1" applyAlignment="1">
      <alignment horizontal="center"/>
    </xf>
    <xf numFmtId="0" fontId="4" fillId="16" borderId="5" xfId="0" applyFont="1" applyFill="1" applyBorder="1" applyAlignment="1">
      <alignment horizontal="center" vertical="center" wrapText="1"/>
    </xf>
    <xf numFmtId="0" fontId="3" fillId="15" borderId="23" xfId="0" applyFont="1" applyFill="1" applyBorder="1" applyAlignment="1">
      <alignment horizontal="center"/>
    </xf>
    <xf numFmtId="0" fontId="3" fillId="15" borderId="24" xfId="0" applyFont="1" applyFill="1" applyBorder="1" applyAlignment="1">
      <alignment horizontal="center"/>
    </xf>
    <xf numFmtId="0" fontId="3" fillId="15" borderId="25" xfId="0" applyFont="1" applyFill="1" applyBorder="1" applyAlignment="1">
      <alignment horizontal="center"/>
    </xf>
    <xf numFmtId="0" fontId="4" fillId="15" borderId="7" xfId="0" applyFont="1" applyFill="1" applyBorder="1" applyAlignment="1">
      <alignment horizontal="center" vertical="center" wrapText="1"/>
    </xf>
    <xf numFmtId="0" fontId="4" fillId="15" borderId="8" xfId="0" applyFont="1" applyFill="1" applyBorder="1" applyAlignment="1">
      <alignment horizontal="center" vertical="center" wrapText="1"/>
    </xf>
    <xf numFmtId="0" fontId="4" fillId="15" borderId="9" xfId="0" applyFont="1" applyFill="1" applyBorder="1" applyAlignment="1">
      <alignment horizontal="center" vertical="center" wrapText="1"/>
    </xf>
    <xf numFmtId="14" fontId="5" fillId="15" borderId="4" xfId="0" applyNumberFormat="1" applyFont="1" applyFill="1" applyBorder="1" applyAlignment="1">
      <alignment horizontal="center" vertical="center" wrapText="1"/>
    </xf>
    <xf numFmtId="14" fontId="5" fillId="15" borderId="5" xfId="0" applyNumberFormat="1" applyFont="1" applyFill="1" applyBorder="1" applyAlignment="1">
      <alignment horizontal="center" vertical="center" wrapText="1"/>
    </xf>
    <xf numFmtId="14" fontId="5" fillId="15" borderId="12" xfId="0" applyNumberFormat="1" applyFont="1" applyFill="1" applyBorder="1" applyAlignment="1">
      <alignment horizontal="center" vertical="center" wrapText="1"/>
    </xf>
    <xf numFmtId="14" fontId="5" fillId="15" borderId="13" xfId="0" applyNumberFormat="1" applyFont="1" applyFill="1" applyBorder="1" applyAlignment="1">
      <alignment horizontal="center" vertical="center" wrapText="1"/>
    </xf>
    <xf numFmtId="14" fontId="5" fillId="15" borderId="21" xfId="0" applyNumberFormat="1" applyFont="1" applyFill="1" applyBorder="1" applyAlignment="1">
      <alignment horizontal="center" vertical="center" wrapText="1"/>
    </xf>
    <xf numFmtId="14" fontId="5" fillId="15" borderId="17" xfId="0" applyNumberFormat="1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7" fillId="8" borderId="11" xfId="0" applyFont="1" applyFill="1" applyBorder="1" applyAlignment="1">
      <alignment horizontal="center"/>
    </xf>
    <xf numFmtId="0" fontId="7" fillId="8" borderId="20" xfId="0" applyFont="1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164" fontId="6" fillId="3" borderId="32" xfId="1" applyNumberFormat="1" applyFont="1" applyFill="1" applyBorder="1" applyAlignment="1">
      <alignment horizontal="center"/>
    </xf>
    <xf numFmtId="164" fontId="6" fillId="3" borderId="48" xfId="1" applyNumberFormat="1" applyFont="1" applyFill="1" applyBorder="1" applyAlignment="1">
      <alignment horizontal="center"/>
    </xf>
    <xf numFmtId="0" fontId="21" fillId="0" borderId="0" xfId="0" applyFont="1"/>
    <xf numFmtId="14" fontId="20" fillId="3" borderId="21" xfId="0" applyNumberFormat="1" applyFont="1" applyFill="1" applyBorder="1" applyAlignment="1">
      <alignment horizontal="center" vertical="center" wrapText="1"/>
    </xf>
    <xf numFmtId="14" fontId="20" fillId="3" borderId="17" xfId="0" applyNumberFormat="1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/>
    </xf>
    <xf numFmtId="0" fontId="2" fillId="5" borderId="34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9" xfId="0" applyBorder="1" applyAlignment="1">
      <alignment horizontal="center"/>
    </xf>
    <xf numFmtId="14" fontId="5" fillId="3" borderId="0" xfId="0" applyNumberFormat="1" applyFont="1" applyFill="1" applyAlignment="1">
      <alignment horizontal="center" vertical="center" wrapText="1"/>
    </xf>
    <xf numFmtId="14" fontId="5" fillId="3" borderId="31" xfId="0" applyNumberFormat="1" applyFont="1" applyFill="1" applyBorder="1" applyAlignment="1">
      <alignment horizontal="center" vertical="center" wrapText="1"/>
    </xf>
    <xf numFmtId="14" fontId="5" fillId="3" borderId="29" xfId="0" applyNumberFormat="1" applyFont="1" applyFill="1" applyBorder="1" applyAlignment="1">
      <alignment horizontal="center" vertical="center" wrapText="1"/>
    </xf>
    <xf numFmtId="14" fontId="5" fillId="3" borderId="35" xfId="0" applyNumberFormat="1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0" fontId="3" fillId="2" borderId="50" xfId="0" applyFont="1" applyFill="1" applyBorder="1" applyAlignment="1">
      <alignment horizontal="center"/>
    </xf>
    <xf numFmtId="0" fontId="3" fillId="2" borderId="51" xfId="0" applyFont="1" applyFill="1" applyBorder="1" applyAlignment="1">
      <alignment horizontal="center"/>
    </xf>
    <xf numFmtId="0" fontId="3" fillId="2" borderId="52" xfId="0" applyFont="1" applyFill="1" applyBorder="1" applyAlignment="1">
      <alignment horizontal="center"/>
    </xf>
    <xf numFmtId="14" fontId="18" fillId="3" borderId="47" xfId="0" applyNumberFormat="1" applyFont="1" applyFill="1" applyBorder="1" applyAlignment="1">
      <alignment horizontal="center" vertical="center" wrapText="1"/>
    </xf>
    <xf numFmtId="14" fontId="18" fillId="3" borderId="33" xfId="0" applyNumberFormat="1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0" fillId="0" borderId="37" xfId="0" applyBorder="1" applyAlignment="1">
      <alignment horizontal="center"/>
    </xf>
    <xf numFmtId="0" fontId="2" fillId="0" borderId="48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2" fillId="8" borderId="7" xfId="2" applyFont="1" applyFill="1" applyBorder="1" applyAlignment="1">
      <alignment horizontal="center"/>
    </xf>
    <xf numFmtId="0" fontId="12" fillId="8" borderId="8" xfId="2" applyFont="1" applyFill="1" applyBorder="1" applyAlignment="1">
      <alignment horizontal="center"/>
    </xf>
    <xf numFmtId="0" fontId="13" fillId="8" borderId="8" xfId="0" applyFont="1" applyFill="1" applyBorder="1" applyAlignment="1">
      <alignment horizontal="center"/>
    </xf>
    <xf numFmtId="0" fontId="13" fillId="8" borderId="9" xfId="0" applyFont="1" applyFill="1" applyBorder="1" applyAlignment="1">
      <alignment horizontal="center"/>
    </xf>
    <xf numFmtId="0" fontId="14" fillId="8" borderId="7" xfId="0" applyFont="1" applyFill="1" applyBorder="1" applyAlignment="1">
      <alignment horizontal="center"/>
    </xf>
    <xf numFmtId="0" fontId="14" fillId="8" borderId="8" xfId="0" applyFont="1" applyFill="1" applyBorder="1" applyAlignment="1">
      <alignment horizontal="center"/>
    </xf>
    <xf numFmtId="0" fontId="0" fillId="6" borderId="23" xfId="0" applyFill="1" applyBorder="1" applyAlignment="1">
      <alignment horizontal="center"/>
    </xf>
    <xf numFmtId="0" fontId="0" fillId="6" borderId="24" xfId="0" applyFill="1" applyBorder="1" applyAlignment="1">
      <alignment horizontal="center"/>
    </xf>
    <xf numFmtId="0" fontId="0" fillId="6" borderId="25" xfId="0" applyFill="1" applyBorder="1" applyAlignment="1">
      <alignment horizontal="center"/>
    </xf>
    <xf numFmtId="0" fontId="2" fillId="0" borderId="28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1" fillId="2" borderId="4" xfId="2" applyFill="1" applyBorder="1" applyAlignment="1">
      <alignment horizontal="center"/>
    </xf>
    <xf numFmtId="0" fontId="11" fillId="2" borderId="5" xfId="2" applyFill="1" applyBorder="1" applyAlignment="1">
      <alignment horizontal="center"/>
    </xf>
    <xf numFmtId="0" fontId="11" fillId="2" borderId="10" xfId="2" applyFill="1" applyBorder="1" applyAlignment="1">
      <alignment horizontal="center"/>
    </xf>
    <xf numFmtId="14" fontId="27" fillId="3" borderId="21" xfId="0" applyNumberFormat="1" applyFont="1" applyFill="1" applyBorder="1" applyAlignment="1">
      <alignment horizontal="center" vertical="center" wrapText="1"/>
    </xf>
    <xf numFmtId="14" fontId="27" fillId="3" borderId="17" xfId="0" applyNumberFormat="1" applyFont="1" applyFill="1" applyBorder="1" applyAlignment="1">
      <alignment horizontal="center" vertical="center" wrapText="1"/>
    </xf>
    <xf numFmtId="164" fontId="28" fillId="20" borderId="17" xfId="1" applyNumberFormat="1" applyFont="1" applyFill="1" applyBorder="1"/>
    <xf numFmtId="165" fontId="2" fillId="6" borderId="5" xfId="5" applyNumberFormat="1" applyFont="1" applyFill="1" applyBorder="1" applyAlignment="1">
      <alignment vertical="center"/>
    </xf>
    <xf numFmtId="165" fontId="2" fillId="5" borderId="5" xfId="5" applyNumberFormat="1" applyFont="1" applyFill="1" applyBorder="1" applyAlignment="1">
      <alignment vertical="center"/>
    </xf>
    <xf numFmtId="165" fontId="2" fillId="5" borderId="5" xfId="5" applyNumberFormat="1" applyFont="1" applyFill="1" applyBorder="1" applyAlignment="1">
      <alignment horizontal="center" vertical="center"/>
    </xf>
  </cellXfs>
  <cellStyles count="6">
    <cellStyle name="Hipervínculo" xfId="2" builtinId="8"/>
    <cellStyle name="Moneda" xfId="1" builtinId="4"/>
    <cellStyle name="Moneda 2" xfId="5" xr:uid="{41A73141-8970-47F5-95B3-67C2207A965F}"/>
    <cellStyle name="Moneda 3" xfId="4" xr:uid="{CE1CB4A0-8D29-4A7B-A49B-7961C9AC068D}"/>
    <cellStyle name="Moneda 4" xfId="3" xr:uid="{7370D9A0-34D4-4832-9F64-CB3C8EF4C11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immy Jaimes" id="{8240530C-828E-4001-BD77-66ED24F7B966}" userId="40a73f4e8d4104cd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8" dT="2026-06-04T15:20:36.09" personId="{8240530C-828E-4001-BD77-66ED24F7B966}" id="{578FDF67-18E6-440E-9039-6FC0CFEE7AE8}">
    <text>9 DE CLAUDIA JEREZ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TEL:301204111" TargetMode="External"/><Relationship Id="rId4" Type="http://schemas.openxmlformats.org/officeDocument/2006/relationships/comments" Target="../comments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tel:31423524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"/>
  <sheetViews>
    <sheetView topLeftCell="A59" workbookViewId="0">
      <selection activeCell="E67" sqref="E67"/>
    </sheetView>
  </sheetViews>
  <sheetFormatPr baseColWidth="10" defaultColWidth="9.140625" defaultRowHeight="15" x14ac:dyDescent="0.25"/>
  <cols>
    <col min="1" max="1" width="37.5703125" bestFit="1" customWidth="1"/>
    <col min="3" max="3" width="10.42578125" bestFit="1" customWidth="1"/>
    <col min="5" max="5" width="21.140625" bestFit="1" customWidth="1"/>
    <col min="6" max="6" width="12" bestFit="1" customWidth="1"/>
    <col min="7" max="7" width="26.42578125" customWidth="1"/>
  </cols>
  <sheetData>
    <row r="1" spans="1:6" ht="18.75" x14ac:dyDescent="0.3">
      <c r="A1" s="250" t="s">
        <v>19</v>
      </c>
      <c r="B1" s="251"/>
      <c r="C1" s="251"/>
      <c r="D1" s="251"/>
      <c r="E1" s="251"/>
      <c r="F1" s="252"/>
    </row>
    <row r="2" spans="1:6" ht="18.75" x14ac:dyDescent="0.3">
      <c r="A2" s="253" t="s">
        <v>20</v>
      </c>
      <c r="B2" s="254"/>
      <c r="C2" s="254"/>
      <c r="D2" s="254"/>
      <c r="E2" s="254"/>
      <c r="F2" s="255"/>
    </row>
    <row r="3" spans="1:6" ht="18.75" x14ac:dyDescent="0.3">
      <c r="A3" s="253" t="s">
        <v>21</v>
      </c>
      <c r="B3" s="254"/>
      <c r="C3" s="254"/>
      <c r="D3" s="254"/>
      <c r="E3" s="254"/>
      <c r="F3" s="254"/>
    </row>
    <row r="4" spans="1:6" x14ac:dyDescent="0.25">
      <c r="A4" s="22" t="s">
        <v>3</v>
      </c>
      <c r="B4" s="23">
        <v>13588</v>
      </c>
      <c r="C4" s="23">
        <v>13592</v>
      </c>
      <c r="D4" s="23">
        <v>13625</v>
      </c>
      <c r="E4" s="23"/>
      <c r="F4" s="23" t="s">
        <v>22</v>
      </c>
    </row>
    <row r="5" spans="1:6" x14ac:dyDescent="0.25">
      <c r="A5" s="24"/>
      <c r="B5" s="25">
        <v>46132</v>
      </c>
      <c r="C5" s="26">
        <v>46133</v>
      </c>
      <c r="D5" s="25">
        <v>46147</v>
      </c>
      <c r="E5" s="25"/>
      <c r="F5" s="25">
        <v>46112</v>
      </c>
    </row>
    <row r="6" spans="1:6" x14ac:dyDescent="0.25">
      <c r="A6" s="27" t="s">
        <v>23</v>
      </c>
      <c r="B6" s="28">
        <v>20</v>
      </c>
      <c r="C6" s="29">
        <v>75</v>
      </c>
      <c r="D6" s="29"/>
      <c r="E6" s="29"/>
      <c r="F6" s="30">
        <f t="shared" ref="F6:F11" si="0">SUM(B6:E6)</f>
        <v>95</v>
      </c>
    </row>
    <row r="7" spans="1:6" x14ac:dyDescent="0.25">
      <c r="A7" s="27" t="s">
        <v>24</v>
      </c>
      <c r="B7" s="28"/>
      <c r="C7" s="29">
        <v>5</v>
      </c>
      <c r="D7" s="29"/>
      <c r="E7" s="29"/>
      <c r="F7" s="30">
        <f t="shared" si="0"/>
        <v>5</v>
      </c>
    </row>
    <row r="8" spans="1:6" x14ac:dyDescent="0.25">
      <c r="A8" s="27" t="s">
        <v>25</v>
      </c>
      <c r="B8" s="28">
        <v>28</v>
      </c>
      <c r="C8" s="29"/>
      <c r="D8" s="29"/>
      <c r="E8" s="29"/>
      <c r="F8" s="30">
        <f t="shared" si="0"/>
        <v>28</v>
      </c>
    </row>
    <row r="9" spans="1:6" x14ac:dyDescent="0.25">
      <c r="A9" s="27" t="s">
        <v>26</v>
      </c>
      <c r="B9" s="28">
        <v>65</v>
      </c>
      <c r="C9" s="29"/>
      <c r="D9" s="29"/>
      <c r="E9" s="29"/>
      <c r="F9" s="30">
        <f t="shared" si="0"/>
        <v>65</v>
      </c>
    </row>
    <row r="10" spans="1:6" x14ac:dyDescent="0.25">
      <c r="A10" s="27" t="s">
        <v>27</v>
      </c>
      <c r="B10" s="28"/>
      <c r="C10" s="29">
        <v>600</v>
      </c>
      <c r="D10" s="29"/>
      <c r="E10" s="29"/>
      <c r="F10" s="30">
        <f t="shared" si="0"/>
        <v>600</v>
      </c>
    </row>
    <row r="11" spans="1:6" x14ac:dyDescent="0.25">
      <c r="A11" s="27" t="s">
        <v>28</v>
      </c>
      <c r="B11" s="28"/>
      <c r="C11" s="29">
        <v>3</v>
      </c>
      <c r="D11" s="29"/>
      <c r="E11" s="29"/>
      <c r="F11" s="30">
        <f t="shared" si="0"/>
        <v>3</v>
      </c>
    </row>
    <row r="12" spans="1:6" x14ac:dyDescent="0.25">
      <c r="A12" s="27" t="s">
        <v>29</v>
      </c>
      <c r="B12" s="28"/>
      <c r="C12" s="29"/>
      <c r="D12" s="29">
        <v>16</v>
      </c>
      <c r="E12" s="29"/>
      <c r="F12" s="30">
        <f>SUM(D12:E12)</f>
        <v>16</v>
      </c>
    </row>
    <row r="13" spans="1:6" x14ac:dyDescent="0.25">
      <c r="A13" s="27" t="s">
        <v>30</v>
      </c>
      <c r="B13" s="28"/>
      <c r="C13" s="29"/>
      <c r="D13" s="29">
        <v>16</v>
      </c>
      <c r="E13" s="29"/>
      <c r="F13" s="30">
        <f>SUM(D13:E13)</f>
        <v>16</v>
      </c>
    </row>
    <row r="14" spans="1:6" x14ac:dyDescent="0.25">
      <c r="A14" s="27" t="s">
        <v>31</v>
      </c>
      <c r="B14" s="28"/>
      <c r="C14" s="29"/>
      <c r="D14" s="29">
        <v>16</v>
      </c>
      <c r="E14" s="29"/>
      <c r="F14" s="30">
        <f>SUM(D14:E14)</f>
        <v>16</v>
      </c>
    </row>
    <row r="15" spans="1:6" x14ac:dyDescent="0.25">
      <c r="A15" s="24" t="s">
        <v>32</v>
      </c>
      <c r="B15" s="31">
        <v>9.7222222222222224E-2</v>
      </c>
      <c r="C15" s="32">
        <v>0.34027777777777779</v>
      </c>
      <c r="D15" s="32">
        <v>0.3125</v>
      </c>
      <c r="E15" s="32"/>
      <c r="F15" s="33"/>
    </row>
    <row r="16" spans="1:6" x14ac:dyDescent="0.25">
      <c r="A16" s="24" t="s">
        <v>33</v>
      </c>
      <c r="B16" s="31"/>
      <c r="C16" s="34">
        <v>340000</v>
      </c>
      <c r="D16" s="34"/>
      <c r="E16" s="34"/>
      <c r="F16" s="33"/>
    </row>
    <row r="17" spans="1:6" ht="15.75" thickBot="1" x14ac:dyDescent="0.3"/>
    <row r="18" spans="1:6" x14ac:dyDescent="0.25">
      <c r="A18" s="272" t="s">
        <v>0</v>
      </c>
      <c r="B18" s="273"/>
      <c r="C18" s="273"/>
      <c r="D18" s="273"/>
      <c r="E18" s="273"/>
      <c r="F18" s="274"/>
    </row>
    <row r="19" spans="1:6" ht="18" x14ac:dyDescent="0.25">
      <c r="A19" s="248" t="s">
        <v>1</v>
      </c>
      <c r="B19" s="249"/>
      <c r="C19" s="249"/>
      <c r="D19" s="249"/>
      <c r="E19" s="249"/>
      <c r="F19" s="249"/>
    </row>
    <row r="20" spans="1:6" ht="18" x14ac:dyDescent="0.25">
      <c r="A20" s="248" t="s">
        <v>2</v>
      </c>
      <c r="B20" s="249"/>
      <c r="C20" s="249"/>
      <c r="D20" s="249"/>
      <c r="E20" s="249"/>
      <c r="F20" s="275"/>
    </row>
    <row r="21" spans="1:6" x14ac:dyDescent="0.25">
      <c r="A21" s="276" t="s">
        <v>3</v>
      </c>
      <c r="B21" s="277" t="s">
        <v>4</v>
      </c>
      <c r="C21" s="277"/>
      <c r="D21" s="277"/>
      <c r="E21" s="277" t="s">
        <v>5</v>
      </c>
      <c r="F21" s="278"/>
    </row>
    <row r="22" spans="1:6" x14ac:dyDescent="0.25">
      <c r="A22" s="276"/>
      <c r="B22" s="1" t="s">
        <v>6</v>
      </c>
      <c r="C22" s="1" t="s">
        <v>7</v>
      </c>
      <c r="D22" s="1" t="s">
        <v>8</v>
      </c>
      <c r="E22" s="1" t="s">
        <v>9</v>
      </c>
      <c r="F22" s="2" t="s">
        <v>10</v>
      </c>
    </row>
    <row r="23" spans="1:6" x14ac:dyDescent="0.25">
      <c r="A23" s="3" t="s">
        <v>11</v>
      </c>
      <c r="B23" s="4">
        <v>18</v>
      </c>
      <c r="C23" s="5">
        <v>95</v>
      </c>
      <c r="D23" s="6">
        <v>450</v>
      </c>
      <c r="E23" s="7">
        <f t="shared" ref="E23:E27" si="1">C23*D23</f>
        <v>42750</v>
      </c>
      <c r="F23" s="8">
        <f t="shared" ref="F23:F27" si="2">B23*E23</f>
        <v>769500</v>
      </c>
    </row>
    <row r="24" spans="1:6" x14ac:dyDescent="0.25">
      <c r="A24" s="3" t="s">
        <v>12</v>
      </c>
      <c r="B24" s="4">
        <v>18</v>
      </c>
      <c r="C24" s="5">
        <v>5</v>
      </c>
      <c r="D24" s="6">
        <v>250</v>
      </c>
      <c r="E24" s="7">
        <f t="shared" si="1"/>
        <v>1250</v>
      </c>
      <c r="F24" s="8">
        <f t="shared" si="2"/>
        <v>22500</v>
      </c>
    </row>
    <row r="25" spans="1:6" x14ac:dyDescent="0.25">
      <c r="A25" s="9" t="s">
        <v>13</v>
      </c>
      <c r="B25" s="10">
        <v>18</v>
      </c>
      <c r="C25" s="11">
        <v>28</v>
      </c>
      <c r="D25" s="12">
        <v>200</v>
      </c>
      <c r="E25" s="7">
        <f t="shared" si="1"/>
        <v>5600</v>
      </c>
      <c r="F25" s="8">
        <f t="shared" si="2"/>
        <v>100800</v>
      </c>
    </row>
    <row r="26" spans="1:6" x14ac:dyDescent="0.25">
      <c r="A26" s="9" t="s">
        <v>14</v>
      </c>
      <c r="B26" s="10">
        <v>18</v>
      </c>
      <c r="C26" s="11">
        <v>65</v>
      </c>
      <c r="D26" s="12">
        <v>250</v>
      </c>
      <c r="E26" s="7">
        <f t="shared" si="1"/>
        <v>16250</v>
      </c>
      <c r="F26" s="8">
        <f t="shared" si="2"/>
        <v>292500</v>
      </c>
    </row>
    <row r="27" spans="1:6" x14ac:dyDescent="0.25">
      <c r="A27" s="9" t="s">
        <v>15</v>
      </c>
      <c r="B27" s="10">
        <v>18</v>
      </c>
      <c r="C27" s="11">
        <v>600</v>
      </c>
      <c r="D27" s="12">
        <v>28</v>
      </c>
      <c r="E27" s="7">
        <f t="shared" si="1"/>
        <v>16800</v>
      </c>
      <c r="F27" s="13">
        <f t="shared" si="2"/>
        <v>302400</v>
      </c>
    </row>
    <row r="28" spans="1:6" ht="18.75" x14ac:dyDescent="0.4">
      <c r="A28" s="256" t="s">
        <v>34</v>
      </c>
      <c r="B28" s="257"/>
      <c r="C28" s="262" t="s">
        <v>16</v>
      </c>
      <c r="D28" s="262"/>
      <c r="E28" s="14">
        <f>SUM(E23:E27)</f>
        <v>82650</v>
      </c>
      <c r="F28" s="15"/>
    </row>
    <row r="29" spans="1:6" ht="19.5" thickBot="1" x14ac:dyDescent="0.45">
      <c r="A29" s="258"/>
      <c r="B29" s="259"/>
      <c r="C29" s="263" t="s">
        <v>17</v>
      </c>
      <c r="D29" s="263"/>
      <c r="E29" s="16">
        <f>SUM(F23:F26)</f>
        <v>1185300</v>
      </c>
      <c r="F29" s="17"/>
    </row>
    <row r="30" spans="1:6" ht="18.75" x14ac:dyDescent="0.4">
      <c r="A30" s="258"/>
      <c r="B30" s="259"/>
      <c r="C30" s="264" t="s">
        <v>18</v>
      </c>
      <c r="D30" s="265"/>
      <c r="E30" s="18">
        <v>340000</v>
      </c>
      <c r="F30" s="19"/>
    </row>
    <row r="31" spans="1:6" ht="19.5" thickBot="1" x14ac:dyDescent="0.45">
      <c r="A31" s="260"/>
      <c r="B31" s="261"/>
      <c r="C31" s="263" t="s">
        <v>17</v>
      </c>
      <c r="D31" s="263"/>
      <c r="E31" s="20">
        <f>E29+E30</f>
        <v>1525300</v>
      </c>
      <c r="F31" s="21"/>
    </row>
    <row r="32" spans="1:6" x14ac:dyDescent="0.25">
      <c r="A32" t="s">
        <v>39</v>
      </c>
      <c r="E32" s="35">
        <v>1500000</v>
      </c>
    </row>
    <row r="33" spans="1:7" ht="15.75" thickBot="1" x14ac:dyDescent="0.3"/>
    <row r="34" spans="1:7" ht="18.75" x14ac:dyDescent="0.3">
      <c r="A34" s="250" t="s">
        <v>19</v>
      </c>
      <c r="B34" s="251"/>
      <c r="C34" s="251"/>
      <c r="D34" s="251"/>
      <c r="E34" s="251"/>
      <c r="F34" s="251"/>
      <c r="G34" s="252"/>
    </row>
    <row r="35" spans="1:7" ht="18.75" x14ac:dyDescent="0.3">
      <c r="A35" s="253" t="s">
        <v>20</v>
      </c>
      <c r="B35" s="254"/>
      <c r="C35" s="254"/>
      <c r="D35" s="254"/>
      <c r="E35" s="254"/>
      <c r="F35" s="254"/>
      <c r="G35" s="255"/>
    </row>
    <row r="36" spans="1:7" ht="18.75" x14ac:dyDescent="0.3">
      <c r="A36" s="253" t="s">
        <v>43</v>
      </c>
      <c r="B36" s="254"/>
      <c r="C36" s="254"/>
      <c r="D36" s="254"/>
      <c r="E36" s="254"/>
      <c r="F36" s="254"/>
      <c r="G36" s="254"/>
    </row>
    <row r="37" spans="1:7" x14ac:dyDescent="0.25">
      <c r="A37" s="22" t="s">
        <v>3</v>
      </c>
      <c r="B37" s="23">
        <v>13588</v>
      </c>
      <c r="C37" s="23">
        <v>13592</v>
      </c>
      <c r="D37" s="23">
        <v>13625</v>
      </c>
      <c r="E37" s="23"/>
      <c r="F37" s="23"/>
      <c r="G37" s="23" t="s">
        <v>22</v>
      </c>
    </row>
    <row r="38" spans="1:7" x14ac:dyDescent="0.25">
      <c r="A38" s="24"/>
      <c r="B38" s="25">
        <v>46132</v>
      </c>
      <c r="C38" s="26">
        <v>46133</v>
      </c>
      <c r="D38" s="25">
        <v>46147</v>
      </c>
      <c r="E38" s="25">
        <v>46150</v>
      </c>
      <c r="F38" s="25">
        <v>46151</v>
      </c>
      <c r="G38" s="25">
        <v>46112</v>
      </c>
    </row>
    <row r="39" spans="1:7" x14ac:dyDescent="0.25">
      <c r="A39" s="27" t="s">
        <v>23</v>
      </c>
      <c r="B39" s="28">
        <v>20</v>
      </c>
      <c r="C39" s="29">
        <v>75</v>
      </c>
      <c r="D39" s="29"/>
      <c r="E39" s="29"/>
      <c r="F39" s="29"/>
      <c r="G39" s="30">
        <f t="shared" ref="G39:G44" si="3">SUM(B39:E39)</f>
        <v>95</v>
      </c>
    </row>
    <row r="40" spans="1:7" x14ac:dyDescent="0.25">
      <c r="A40" s="27" t="s">
        <v>24</v>
      </c>
      <c r="B40" s="28"/>
      <c r="C40" s="29">
        <v>5</v>
      </c>
      <c r="D40" s="29"/>
      <c r="E40" s="29"/>
      <c r="F40" s="29"/>
      <c r="G40" s="30">
        <f t="shared" si="3"/>
        <v>5</v>
      </c>
    </row>
    <row r="41" spans="1:7" x14ac:dyDescent="0.25">
      <c r="A41" s="27" t="s">
        <v>25</v>
      </c>
      <c r="B41" s="28">
        <v>28</v>
      </c>
      <c r="C41" s="29"/>
      <c r="D41" s="29"/>
      <c r="E41" s="29"/>
      <c r="F41" s="29"/>
      <c r="G41" s="30">
        <f t="shared" si="3"/>
        <v>28</v>
      </c>
    </row>
    <row r="42" spans="1:7" x14ac:dyDescent="0.25">
      <c r="A42" s="27" t="s">
        <v>26</v>
      </c>
      <c r="B42" s="28">
        <v>65</v>
      </c>
      <c r="C42" s="29"/>
      <c r="D42" s="29"/>
      <c r="E42" s="29"/>
      <c r="F42" s="29"/>
      <c r="G42" s="30">
        <f t="shared" si="3"/>
        <v>65</v>
      </c>
    </row>
    <row r="43" spans="1:7" x14ac:dyDescent="0.25">
      <c r="A43" s="27" t="s">
        <v>27</v>
      </c>
      <c r="B43" s="28"/>
      <c r="C43" s="29">
        <v>600</v>
      </c>
      <c r="D43" s="29"/>
      <c r="E43" s="29"/>
      <c r="F43" s="29"/>
      <c r="G43" s="30">
        <f t="shared" si="3"/>
        <v>600</v>
      </c>
    </row>
    <row r="44" spans="1:7" x14ac:dyDescent="0.25">
      <c r="A44" s="27" t="s">
        <v>28</v>
      </c>
      <c r="B44" s="28"/>
      <c r="C44" s="29">
        <v>3</v>
      </c>
      <c r="D44" s="29"/>
      <c r="E44" s="29"/>
      <c r="F44" s="29"/>
      <c r="G44" s="30">
        <f t="shared" si="3"/>
        <v>3</v>
      </c>
    </row>
    <row r="45" spans="1:7" x14ac:dyDescent="0.25">
      <c r="A45" s="27" t="s">
        <v>29</v>
      </c>
      <c r="B45" s="28"/>
      <c r="C45" s="29"/>
      <c r="D45" s="29">
        <v>16</v>
      </c>
      <c r="E45" s="29"/>
      <c r="F45" s="29"/>
      <c r="G45" s="30">
        <f>SUM(D45:E45)</f>
        <v>16</v>
      </c>
    </row>
    <row r="46" spans="1:7" x14ac:dyDescent="0.25">
      <c r="A46" s="27" t="s">
        <v>30</v>
      </c>
      <c r="B46" s="28"/>
      <c r="C46" s="29"/>
      <c r="D46" s="29">
        <v>16</v>
      </c>
      <c r="E46" s="29"/>
      <c r="F46" s="29"/>
      <c r="G46" s="30">
        <f>SUM(D46:E46)</f>
        <v>16</v>
      </c>
    </row>
    <row r="47" spans="1:7" x14ac:dyDescent="0.25">
      <c r="A47" s="27" t="s">
        <v>31</v>
      </c>
      <c r="B47" s="28"/>
      <c r="C47" s="29"/>
      <c r="D47" s="29">
        <v>16</v>
      </c>
      <c r="E47" s="29"/>
      <c r="F47" s="29"/>
      <c r="G47" s="30">
        <f>SUM(D47:E47)</f>
        <v>16</v>
      </c>
    </row>
    <row r="48" spans="1:7" x14ac:dyDescent="0.25">
      <c r="A48" s="24" t="s">
        <v>32</v>
      </c>
      <c r="B48" s="31">
        <v>9.7222222222222224E-2</v>
      </c>
      <c r="C48" s="32">
        <v>0.34027777777777779</v>
      </c>
      <c r="D48" s="32">
        <v>0.3125</v>
      </c>
      <c r="E48" s="32"/>
      <c r="F48" s="32"/>
      <c r="G48" s="33"/>
    </row>
    <row r="49" spans="1:7" x14ac:dyDescent="0.25">
      <c r="A49" s="24" t="s">
        <v>33</v>
      </c>
      <c r="B49" s="31"/>
      <c r="C49" s="34">
        <v>170000</v>
      </c>
      <c r="D49" s="34">
        <v>60000</v>
      </c>
      <c r="E49" s="34">
        <v>170000</v>
      </c>
      <c r="F49" s="34">
        <v>60000</v>
      </c>
      <c r="G49" s="38">
        <f>SUM(C49:F49)</f>
        <v>460000</v>
      </c>
    </row>
    <row r="50" spans="1:7" ht="15.75" thickBot="1" x14ac:dyDescent="0.3"/>
    <row r="51" spans="1:7" x14ac:dyDescent="0.25">
      <c r="A51" s="266" t="s">
        <v>0</v>
      </c>
      <c r="B51" s="267"/>
      <c r="C51" s="267"/>
      <c r="D51" s="267"/>
      <c r="E51" s="267"/>
      <c r="F51" s="268"/>
    </row>
    <row r="52" spans="1:7" ht="18" x14ac:dyDescent="0.25">
      <c r="A52" s="269" t="s">
        <v>1</v>
      </c>
      <c r="B52" s="270"/>
      <c r="C52" s="270"/>
      <c r="D52" s="270"/>
      <c r="E52" s="270"/>
      <c r="F52" s="271"/>
    </row>
    <row r="53" spans="1:7" ht="18" x14ac:dyDescent="0.25">
      <c r="A53" s="248" t="s">
        <v>35</v>
      </c>
      <c r="B53" s="249"/>
      <c r="C53" s="249"/>
      <c r="D53" s="249"/>
      <c r="E53" s="249"/>
      <c r="F53" s="249"/>
    </row>
    <row r="54" spans="1:7" ht="18" x14ac:dyDescent="0.25">
      <c r="A54" s="248" t="s">
        <v>2</v>
      </c>
      <c r="B54" s="249"/>
      <c r="C54" s="249"/>
      <c r="D54" s="249"/>
      <c r="E54" s="249"/>
      <c r="F54" s="275"/>
    </row>
    <row r="55" spans="1:7" x14ac:dyDescent="0.25">
      <c r="A55" s="276" t="s">
        <v>3</v>
      </c>
      <c r="B55" s="277" t="s">
        <v>4</v>
      </c>
      <c r="C55" s="277"/>
      <c r="D55" s="277"/>
      <c r="E55" s="277" t="s">
        <v>5</v>
      </c>
      <c r="F55" s="278"/>
    </row>
    <row r="56" spans="1:7" x14ac:dyDescent="0.25">
      <c r="A56" s="276"/>
      <c r="B56" s="1" t="s">
        <v>6</v>
      </c>
      <c r="C56" s="1" t="s">
        <v>7</v>
      </c>
      <c r="D56" s="1" t="s">
        <v>8</v>
      </c>
      <c r="E56" s="1" t="s">
        <v>9</v>
      </c>
      <c r="F56" s="2" t="s">
        <v>10</v>
      </c>
    </row>
    <row r="57" spans="1:7" x14ac:dyDescent="0.25">
      <c r="A57" s="3" t="s">
        <v>36</v>
      </c>
      <c r="B57" s="4">
        <v>5</v>
      </c>
      <c r="C57" s="5">
        <v>16</v>
      </c>
      <c r="D57" s="6">
        <v>260</v>
      </c>
      <c r="E57" s="7">
        <f t="shared" ref="E57:E59" si="4">C57*D57</f>
        <v>4160</v>
      </c>
      <c r="F57" s="8">
        <f t="shared" ref="F57:F59" si="5">B57*E57</f>
        <v>20800</v>
      </c>
    </row>
    <row r="58" spans="1:7" x14ac:dyDescent="0.25">
      <c r="A58" s="3" t="s">
        <v>37</v>
      </c>
      <c r="B58" s="4">
        <v>5</v>
      </c>
      <c r="C58" s="5">
        <v>16</v>
      </c>
      <c r="D58" s="6">
        <v>230</v>
      </c>
      <c r="E58" s="7">
        <f t="shared" si="4"/>
        <v>3680</v>
      </c>
      <c r="F58" s="8">
        <f t="shared" si="5"/>
        <v>18400</v>
      </c>
    </row>
    <row r="59" spans="1:7" x14ac:dyDescent="0.25">
      <c r="A59" s="9" t="s">
        <v>38</v>
      </c>
      <c r="B59" s="10">
        <v>5</v>
      </c>
      <c r="C59" s="11">
        <v>16</v>
      </c>
      <c r="D59" s="12">
        <v>250</v>
      </c>
      <c r="E59" s="7">
        <f t="shared" si="4"/>
        <v>4000</v>
      </c>
      <c r="F59" s="13">
        <f t="shared" si="5"/>
        <v>20000</v>
      </c>
    </row>
    <row r="60" spans="1:7" ht="18.75" x14ac:dyDescent="0.4">
      <c r="A60" s="256"/>
      <c r="B60" s="257"/>
      <c r="C60" s="262" t="s">
        <v>16</v>
      </c>
      <c r="D60" s="262"/>
      <c r="E60" s="14">
        <v>12000</v>
      </c>
      <c r="F60" s="15"/>
    </row>
    <row r="61" spans="1:7" ht="19.5" thickBot="1" x14ac:dyDescent="0.45">
      <c r="A61" s="258"/>
      <c r="B61" s="259"/>
      <c r="C61" s="263" t="s">
        <v>17</v>
      </c>
      <c r="D61" s="263"/>
      <c r="E61" s="16">
        <f>E60*B59</f>
        <v>60000</v>
      </c>
      <c r="F61" s="17"/>
    </row>
    <row r="62" spans="1:7" ht="18.75" x14ac:dyDescent="0.4">
      <c r="A62" s="258"/>
      <c r="B62" s="259"/>
      <c r="C62" s="264" t="s">
        <v>18</v>
      </c>
      <c r="D62" s="265"/>
      <c r="E62" s="18">
        <v>120000</v>
      </c>
      <c r="F62" s="19"/>
    </row>
    <row r="63" spans="1:7" ht="19.5" thickBot="1" x14ac:dyDescent="0.45">
      <c r="A63" s="260"/>
      <c r="B63" s="261"/>
      <c r="C63" s="263" t="s">
        <v>17</v>
      </c>
      <c r="D63" s="263"/>
      <c r="E63" s="20">
        <f>E61+E62</f>
        <v>180000</v>
      </c>
      <c r="F63" s="21"/>
    </row>
    <row r="64" spans="1:7" x14ac:dyDescent="0.25">
      <c r="A64" t="s">
        <v>39</v>
      </c>
      <c r="E64" s="35">
        <v>250000</v>
      </c>
    </row>
    <row r="65" spans="1:5" x14ac:dyDescent="0.25">
      <c r="A65" t="s">
        <v>40</v>
      </c>
      <c r="E65" s="36">
        <f>E31+E63</f>
        <v>1705300</v>
      </c>
    </row>
    <row r="66" spans="1:5" x14ac:dyDescent="0.25">
      <c r="A66" t="s">
        <v>41</v>
      </c>
      <c r="E66" s="37">
        <f>E32+E64</f>
        <v>1750000</v>
      </c>
    </row>
    <row r="67" spans="1:5" x14ac:dyDescent="0.25">
      <c r="A67" t="s">
        <v>42</v>
      </c>
      <c r="E67" s="36">
        <f>E65-E66</f>
        <v>-44700</v>
      </c>
    </row>
  </sheetData>
  <mergeCells count="29">
    <mergeCell ref="A54:F54"/>
    <mergeCell ref="A55:A56"/>
    <mergeCell ref="B55:D55"/>
    <mergeCell ref="E55:F55"/>
    <mergeCell ref="A60:B63"/>
    <mergeCell ref="C60:D60"/>
    <mergeCell ref="C61:D61"/>
    <mergeCell ref="C62:D62"/>
    <mergeCell ref="C63:D63"/>
    <mergeCell ref="A1:F1"/>
    <mergeCell ref="A2:F2"/>
    <mergeCell ref="A3:F3"/>
    <mergeCell ref="A51:F51"/>
    <mergeCell ref="A52:F52"/>
    <mergeCell ref="A18:F18"/>
    <mergeCell ref="A19:F19"/>
    <mergeCell ref="A20:F20"/>
    <mergeCell ref="A21:A22"/>
    <mergeCell ref="B21:D21"/>
    <mergeCell ref="E21:F21"/>
    <mergeCell ref="A53:F53"/>
    <mergeCell ref="A34:G34"/>
    <mergeCell ref="A35:G35"/>
    <mergeCell ref="A36:G36"/>
    <mergeCell ref="A28:B31"/>
    <mergeCell ref="C28:D28"/>
    <mergeCell ref="C29:D29"/>
    <mergeCell ref="C30:D30"/>
    <mergeCell ref="C31:D31"/>
  </mergeCells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394CC-A9C8-412B-B0B7-1A58A6883572}">
  <dimension ref="A1:F31"/>
  <sheetViews>
    <sheetView topLeftCell="A18" workbookViewId="0">
      <selection sqref="A1:F31"/>
    </sheetView>
  </sheetViews>
  <sheetFormatPr baseColWidth="10" defaultRowHeight="15" x14ac:dyDescent="0.25"/>
  <cols>
    <col min="1" max="1" width="20.42578125" bestFit="1" customWidth="1"/>
    <col min="5" max="5" width="14.42578125" bestFit="1" customWidth="1"/>
    <col min="6" max="6" width="16" customWidth="1"/>
  </cols>
  <sheetData>
    <row r="1" spans="1:6" ht="18.75" x14ac:dyDescent="0.3">
      <c r="A1" s="250" t="s">
        <v>56</v>
      </c>
      <c r="B1" s="251"/>
      <c r="C1" s="251"/>
      <c r="D1" s="251"/>
      <c r="E1" s="251"/>
      <c r="F1" s="251"/>
    </row>
    <row r="2" spans="1:6" ht="18.75" x14ac:dyDescent="0.3">
      <c r="A2" s="253" t="s">
        <v>57</v>
      </c>
      <c r="B2" s="254"/>
      <c r="C2" s="254"/>
      <c r="D2" s="254"/>
      <c r="E2" s="254"/>
      <c r="F2" s="254"/>
    </row>
    <row r="3" spans="1:6" ht="18.75" x14ac:dyDescent="0.3">
      <c r="A3" s="253" t="s">
        <v>62</v>
      </c>
      <c r="B3" s="254"/>
      <c r="C3" s="254"/>
      <c r="D3" s="254"/>
      <c r="E3" s="254"/>
      <c r="F3" s="254"/>
    </row>
    <row r="4" spans="1:6" x14ac:dyDescent="0.25">
      <c r="A4" s="22" t="s">
        <v>3</v>
      </c>
      <c r="B4" s="23">
        <v>13649</v>
      </c>
      <c r="C4" s="23">
        <v>13334</v>
      </c>
      <c r="D4" s="23"/>
      <c r="E4" s="23"/>
      <c r="F4" s="23" t="s">
        <v>22</v>
      </c>
    </row>
    <row r="5" spans="1:6" x14ac:dyDescent="0.25">
      <c r="A5" s="24"/>
      <c r="B5" s="25">
        <v>46153</v>
      </c>
      <c r="C5" s="25">
        <v>46158</v>
      </c>
      <c r="D5" s="25"/>
      <c r="E5" s="25"/>
      <c r="F5" s="25">
        <v>46112</v>
      </c>
    </row>
    <row r="6" spans="1:6" x14ac:dyDescent="0.25">
      <c r="A6" s="42" t="s">
        <v>54</v>
      </c>
      <c r="B6" s="28">
        <v>16</v>
      </c>
      <c r="C6" s="29">
        <v>-16</v>
      </c>
      <c r="D6" s="29"/>
      <c r="E6" s="29"/>
      <c r="F6" s="30">
        <f t="shared" ref="F6:F13" si="0">SUM(B6:E6)</f>
        <v>0</v>
      </c>
    </row>
    <row r="7" spans="1:6" x14ac:dyDescent="0.25">
      <c r="A7" s="42" t="s">
        <v>30</v>
      </c>
      <c r="B7" s="28">
        <v>16</v>
      </c>
      <c r="C7" s="29">
        <v>-16</v>
      </c>
      <c r="D7" s="29"/>
      <c r="E7" s="29"/>
      <c r="F7" s="30">
        <f t="shared" si="0"/>
        <v>0</v>
      </c>
    </row>
    <row r="8" spans="1:6" x14ac:dyDescent="0.25">
      <c r="A8" s="42" t="s">
        <v>31</v>
      </c>
      <c r="B8" s="28">
        <v>16</v>
      </c>
      <c r="C8" s="29">
        <v>-16</v>
      </c>
      <c r="D8" s="29"/>
      <c r="E8" s="29"/>
      <c r="F8" s="30">
        <f t="shared" si="0"/>
        <v>0</v>
      </c>
    </row>
    <row r="9" spans="1:6" x14ac:dyDescent="0.25">
      <c r="A9" s="42" t="s">
        <v>26</v>
      </c>
      <c r="B9" s="28">
        <v>16</v>
      </c>
      <c r="C9" s="29">
        <v>-16</v>
      </c>
      <c r="D9" s="29"/>
      <c r="E9" s="29"/>
      <c r="F9" s="30">
        <f t="shared" si="0"/>
        <v>0</v>
      </c>
    </row>
    <row r="10" spans="1:6" x14ac:dyDescent="0.25">
      <c r="A10" s="42" t="s">
        <v>15</v>
      </c>
      <c r="B10" s="28">
        <v>400</v>
      </c>
      <c r="C10" s="29">
        <v>-400</v>
      </c>
      <c r="D10" s="29"/>
      <c r="E10" s="29"/>
      <c r="F10" s="30">
        <f t="shared" si="0"/>
        <v>0</v>
      </c>
    </row>
    <row r="11" spans="1:6" x14ac:dyDescent="0.25">
      <c r="A11" s="42" t="s">
        <v>28</v>
      </c>
      <c r="B11" s="28">
        <v>2</v>
      </c>
      <c r="C11" s="29">
        <v>-2</v>
      </c>
      <c r="D11" s="29"/>
      <c r="E11" s="29"/>
      <c r="F11" s="30">
        <f t="shared" si="0"/>
        <v>0</v>
      </c>
    </row>
    <row r="12" spans="1:6" x14ac:dyDescent="0.25">
      <c r="A12" s="24" t="s">
        <v>32</v>
      </c>
      <c r="B12" s="31">
        <v>0.375</v>
      </c>
      <c r="C12" s="32">
        <v>0.47916666666666669</v>
      </c>
      <c r="D12" s="32"/>
      <c r="E12" s="32"/>
      <c r="F12" s="33">
        <f t="shared" si="0"/>
        <v>0.85416666666666674</v>
      </c>
    </row>
    <row r="13" spans="1:6" x14ac:dyDescent="0.25">
      <c r="A13" s="24" t="s">
        <v>33</v>
      </c>
      <c r="B13" s="34">
        <v>70000</v>
      </c>
      <c r="C13" s="34">
        <v>70000</v>
      </c>
      <c r="D13" s="34"/>
      <c r="E13" s="34"/>
      <c r="F13" s="38">
        <f t="shared" si="0"/>
        <v>140000</v>
      </c>
    </row>
    <row r="15" spans="1:6" ht="15.75" thickBot="1" x14ac:dyDescent="0.3"/>
    <row r="16" spans="1:6" x14ac:dyDescent="0.25">
      <c r="A16" s="266" t="s">
        <v>0</v>
      </c>
      <c r="B16" s="267"/>
      <c r="C16" s="267"/>
      <c r="D16" s="267"/>
      <c r="E16" s="267"/>
      <c r="F16" s="267"/>
    </row>
    <row r="17" spans="1:6" ht="18" x14ac:dyDescent="0.25">
      <c r="A17" s="269" t="s">
        <v>58</v>
      </c>
      <c r="B17" s="270"/>
      <c r="C17" s="270"/>
      <c r="D17" s="270"/>
      <c r="E17" s="270"/>
      <c r="F17" s="270"/>
    </row>
    <row r="18" spans="1:6" ht="18" customHeight="1" x14ac:dyDescent="0.25">
      <c r="A18" s="248" t="s">
        <v>59</v>
      </c>
      <c r="B18" s="249"/>
      <c r="C18" s="249"/>
      <c r="D18" s="249"/>
      <c r="E18" s="249"/>
      <c r="F18" s="279"/>
    </row>
    <row r="19" spans="1:6" ht="18" x14ac:dyDescent="0.25">
      <c r="A19" s="248" t="s">
        <v>60</v>
      </c>
      <c r="B19" s="249"/>
      <c r="C19" s="249"/>
      <c r="D19" s="249"/>
      <c r="E19" s="249"/>
      <c r="F19" s="279"/>
    </row>
    <row r="20" spans="1:6" x14ac:dyDescent="0.25">
      <c r="A20" s="276" t="s">
        <v>3</v>
      </c>
      <c r="B20" s="277" t="s">
        <v>4</v>
      </c>
      <c r="C20" s="277"/>
      <c r="D20" s="277"/>
      <c r="E20" s="277" t="s">
        <v>5</v>
      </c>
      <c r="F20" s="278"/>
    </row>
    <row r="21" spans="1:6" x14ac:dyDescent="0.25">
      <c r="A21" s="276"/>
      <c r="B21" s="1" t="s">
        <v>6</v>
      </c>
      <c r="C21" s="1" t="s">
        <v>7</v>
      </c>
      <c r="D21" s="1" t="s">
        <v>8</v>
      </c>
      <c r="E21" s="1" t="s">
        <v>9</v>
      </c>
      <c r="F21" s="2" t="s">
        <v>10</v>
      </c>
    </row>
    <row r="22" spans="1:6" x14ac:dyDescent="0.25">
      <c r="A22" s="3" t="s">
        <v>46</v>
      </c>
      <c r="B22" s="4">
        <v>5</v>
      </c>
      <c r="C22" s="5">
        <v>16</v>
      </c>
      <c r="D22" s="6">
        <v>310</v>
      </c>
      <c r="E22" s="7">
        <f>C22*D22</f>
        <v>4960</v>
      </c>
      <c r="F22" s="8">
        <f>B22*E22</f>
        <v>24800</v>
      </c>
    </row>
    <row r="23" spans="1:6" x14ac:dyDescent="0.25">
      <c r="A23" s="3" t="s">
        <v>37</v>
      </c>
      <c r="B23" s="4">
        <v>5</v>
      </c>
      <c r="C23" s="5">
        <v>16</v>
      </c>
      <c r="D23" s="6">
        <v>280</v>
      </c>
      <c r="E23" s="7">
        <f>C23*D23</f>
        <v>4480</v>
      </c>
      <c r="F23" s="8">
        <f>B23*E23</f>
        <v>22400</v>
      </c>
    </row>
    <row r="24" spans="1:6" x14ac:dyDescent="0.25">
      <c r="A24" s="9" t="s">
        <v>38</v>
      </c>
      <c r="B24" s="10">
        <v>5</v>
      </c>
      <c r="C24" s="11">
        <v>16</v>
      </c>
      <c r="D24" s="12">
        <v>200</v>
      </c>
      <c r="E24" s="7">
        <f>C24*D24</f>
        <v>3200</v>
      </c>
      <c r="F24" s="13">
        <f>B24*E24</f>
        <v>16000</v>
      </c>
    </row>
    <row r="25" spans="1:6" x14ac:dyDescent="0.25">
      <c r="A25" s="9" t="s">
        <v>61</v>
      </c>
      <c r="B25" s="10">
        <v>5</v>
      </c>
      <c r="C25" s="11">
        <v>16</v>
      </c>
      <c r="D25" s="12">
        <v>200</v>
      </c>
      <c r="E25" s="7">
        <f>C25*D25</f>
        <v>3200</v>
      </c>
      <c r="F25" s="13">
        <f>B25*E25</f>
        <v>16000</v>
      </c>
    </row>
    <row r="26" spans="1:6" ht="18.75" customHeight="1" x14ac:dyDescent="0.25">
      <c r="A26" s="9" t="s">
        <v>15</v>
      </c>
      <c r="B26" s="10">
        <v>5</v>
      </c>
      <c r="C26" s="11">
        <v>400</v>
      </c>
      <c r="D26" s="12">
        <v>28</v>
      </c>
      <c r="E26" s="7">
        <f>C26*D26</f>
        <v>11200</v>
      </c>
      <c r="F26" s="13">
        <f>B26*E26</f>
        <v>56000</v>
      </c>
    </row>
    <row r="27" spans="1:6" ht="19.5" customHeight="1" x14ac:dyDescent="0.4">
      <c r="A27" s="256" t="s">
        <v>63</v>
      </c>
      <c r="B27" s="257"/>
      <c r="C27" s="262" t="s">
        <v>16</v>
      </c>
      <c r="D27" s="262"/>
      <c r="E27" s="14">
        <f>SUM(E22:E26)</f>
        <v>27040</v>
      </c>
      <c r="F27" s="15"/>
    </row>
    <row r="28" spans="1:6" ht="18.75" customHeight="1" thickBot="1" x14ac:dyDescent="0.45">
      <c r="A28" s="258"/>
      <c r="B28" s="259"/>
      <c r="C28" s="263" t="s">
        <v>17</v>
      </c>
      <c r="D28" s="263"/>
      <c r="E28" s="16">
        <f>SUM(F22:F26)</f>
        <v>135200</v>
      </c>
      <c r="F28" s="17"/>
    </row>
    <row r="29" spans="1:6" ht="19.5" customHeight="1" x14ac:dyDescent="0.4">
      <c r="A29" s="258"/>
      <c r="B29" s="259"/>
      <c r="C29" s="264" t="s">
        <v>18</v>
      </c>
      <c r="D29" s="265"/>
      <c r="E29" s="18">
        <v>140000</v>
      </c>
      <c r="F29" s="19"/>
    </row>
    <row r="30" spans="1:6" ht="19.5" thickBot="1" x14ac:dyDescent="0.45">
      <c r="A30" s="260"/>
      <c r="B30" s="261"/>
      <c r="C30" s="263" t="s">
        <v>17</v>
      </c>
      <c r="D30" s="263"/>
      <c r="E30" s="20">
        <f>E28+E29</f>
        <v>275200</v>
      </c>
      <c r="F30" s="21"/>
    </row>
    <row r="31" spans="1:6" x14ac:dyDescent="0.25">
      <c r="A31" t="s">
        <v>42</v>
      </c>
      <c r="E31" s="36">
        <f>E29-E30</f>
        <v>-135200</v>
      </c>
    </row>
  </sheetData>
  <mergeCells count="15">
    <mergeCell ref="C29:D29"/>
    <mergeCell ref="A27:B30"/>
    <mergeCell ref="C30:D30"/>
    <mergeCell ref="A1:F1"/>
    <mergeCell ref="A2:F2"/>
    <mergeCell ref="A3:F3"/>
    <mergeCell ref="C27:D27"/>
    <mergeCell ref="C28:D28"/>
    <mergeCell ref="A16:F16"/>
    <mergeCell ref="A17:F17"/>
    <mergeCell ref="A18:F18"/>
    <mergeCell ref="A19:F19"/>
    <mergeCell ref="A20:A21"/>
    <mergeCell ref="B20:D20"/>
    <mergeCell ref="E20:F2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E229B-F977-40D0-B2E9-356D01744035}">
  <sheetPr>
    <pageSetUpPr fitToPage="1"/>
  </sheetPr>
  <dimension ref="A1:M190"/>
  <sheetViews>
    <sheetView topLeftCell="A167" workbookViewId="0">
      <selection activeCell="A168" sqref="A168:G185"/>
    </sheetView>
  </sheetViews>
  <sheetFormatPr baseColWidth="10" defaultRowHeight="15" x14ac:dyDescent="0.25"/>
  <cols>
    <col min="1" max="1" width="42.85546875" bestFit="1" customWidth="1"/>
    <col min="5" max="5" width="16.7109375" bestFit="1" customWidth="1"/>
    <col min="6" max="6" width="16.5703125" customWidth="1"/>
    <col min="7" max="7" width="21.85546875" bestFit="1" customWidth="1"/>
    <col min="13" max="13" width="18.5703125" customWidth="1"/>
  </cols>
  <sheetData>
    <row r="1" spans="1:12" ht="18.75" x14ac:dyDescent="0.3">
      <c r="A1" s="304" t="s">
        <v>204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6"/>
    </row>
    <row r="2" spans="1:12" ht="18.75" x14ac:dyDescent="0.3">
      <c r="A2" s="291" t="s">
        <v>205</v>
      </c>
      <c r="B2" s="292"/>
      <c r="C2" s="292"/>
      <c r="D2" s="292"/>
      <c r="E2" s="292"/>
      <c r="F2" s="292"/>
      <c r="G2" s="292"/>
      <c r="H2" s="292"/>
      <c r="I2" s="292"/>
      <c r="J2" s="292"/>
      <c r="K2" s="292"/>
      <c r="L2" s="293"/>
    </row>
    <row r="3" spans="1:12" ht="18.75" x14ac:dyDescent="0.3">
      <c r="A3" s="291" t="s">
        <v>231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3"/>
    </row>
    <row r="4" spans="1:12" x14ac:dyDescent="0.25">
      <c r="A4" s="80" t="s">
        <v>3</v>
      </c>
      <c r="B4" s="23" t="s">
        <v>206</v>
      </c>
      <c r="C4" s="23">
        <v>13624</v>
      </c>
      <c r="D4" s="23">
        <v>13632</v>
      </c>
      <c r="E4" s="23">
        <v>13636</v>
      </c>
      <c r="F4" s="23">
        <v>13663</v>
      </c>
      <c r="G4" s="23">
        <v>13665</v>
      </c>
      <c r="H4" s="23">
        <v>13674</v>
      </c>
      <c r="I4" s="23">
        <v>13341</v>
      </c>
      <c r="J4" s="23">
        <v>13347</v>
      </c>
      <c r="K4" s="151"/>
      <c r="L4" s="81" t="s">
        <v>22</v>
      </c>
    </row>
    <row r="5" spans="1:12" x14ac:dyDescent="0.25">
      <c r="A5" s="82"/>
      <c r="B5" s="25">
        <v>46145</v>
      </c>
      <c r="C5" s="25">
        <v>46146</v>
      </c>
      <c r="D5" s="25">
        <v>46148</v>
      </c>
      <c r="E5" s="25">
        <v>46150</v>
      </c>
      <c r="F5" s="25">
        <v>46155</v>
      </c>
      <c r="G5" s="25">
        <v>46155</v>
      </c>
      <c r="H5" s="25">
        <v>46161</v>
      </c>
      <c r="I5" s="25">
        <v>46163</v>
      </c>
      <c r="J5" s="25">
        <v>46165</v>
      </c>
      <c r="K5" s="152">
        <v>46178</v>
      </c>
      <c r="L5" s="83">
        <v>46179</v>
      </c>
    </row>
    <row r="6" spans="1:12" x14ac:dyDescent="0.25">
      <c r="A6" s="84" t="s">
        <v>207</v>
      </c>
      <c r="B6" s="28">
        <v>12</v>
      </c>
      <c r="C6" s="29"/>
      <c r="D6" s="29"/>
      <c r="E6" s="29"/>
      <c r="F6" s="29"/>
      <c r="G6" s="29"/>
      <c r="H6" s="29"/>
      <c r="I6" s="29"/>
      <c r="J6" s="29"/>
      <c r="K6" s="153"/>
      <c r="L6" s="85">
        <f t="shared" ref="L6:L36" si="0">SUM(B6:J6)</f>
        <v>12</v>
      </c>
    </row>
    <row r="7" spans="1:12" x14ac:dyDescent="0.25">
      <c r="A7" s="84" t="s">
        <v>208</v>
      </c>
      <c r="B7" s="28">
        <v>12</v>
      </c>
      <c r="C7" s="29"/>
      <c r="D7" s="29"/>
      <c r="E7" s="29"/>
      <c r="F7" s="29"/>
      <c r="G7" s="29"/>
      <c r="H7" s="29"/>
      <c r="I7" s="29"/>
      <c r="J7" s="29"/>
      <c r="K7" s="153"/>
      <c r="L7" s="85">
        <f t="shared" si="0"/>
        <v>12</v>
      </c>
    </row>
    <row r="8" spans="1:12" x14ac:dyDescent="0.25">
      <c r="A8" s="84" t="s">
        <v>188</v>
      </c>
      <c r="B8" s="28">
        <v>6</v>
      </c>
      <c r="C8" s="29"/>
      <c r="D8" s="29"/>
      <c r="E8" s="29"/>
      <c r="F8" s="29"/>
      <c r="G8" s="29"/>
      <c r="H8" s="29"/>
      <c r="I8" s="29"/>
      <c r="J8" s="29"/>
      <c r="K8" s="153"/>
      <c r="L8" s="85">
        <f t="shared" si="0"/>
        <v>6</v>
      </c>
    </row>
    <row r="9" spans="1:12" x14ac:dyDescent="0.25">
      <c r="A9" s="84" t="s">
        <v>209</v>
      </c>
      <c r="B9" s="28"/>
      <c r="C9" s="29">
        <v>50</v>
      </c>
      <c r="D9" s="29"/>
      <c r="E9" s="29">
        <v>10</v>
      </c>
      <c r="F9" s="29"/>
      <c r="G9" s="29"/>
      <c r="H9" s="29"/>
      <c r="I9" s="29"/>
      <c r="J9" s="29"/>
      <c r="K9" s="153"/>
      <c r="L9" s="85">
        <f t="shared" si="0"/>
        <v>60</v>
      </c>
    </row>
    <row r="10" spans="1:12" x14ac:dyDescent="0.25">
      <c r="A10" s="84" t="s">
        <v>210</v>
      </c>
      <c r="B10" s="28"/>
      <c r="C10" s="29">
        <v>41</v>
      </c>
      <c r="D10" s="29">
        <v>19</v>
      </c>
      <c r="E10" s="29"/>
      <c r="F10" s="29"/>
      <c r="G10" s="29"/>
      <c r="H10" s="29"/>
      <c r="I10" s="29"/>
      <c r="J10" s="29">
        <v>-7</v>
      </c>
      <c r="K10" s="153"/>
      <c r="L10" s="85">
        <f t="shared" si="0"/>
        <v>53</v>
      </c>
    </row>
    <row r="11" spans="1:12" x14ac:dyDescent="0.25">
      <c r="A11" s="84" t="s">
        <v>25</v>
      </c>
      <c r="B11" s="28"/>
      <c r="C11" s="29">
        <v>18</v>
      </c>
      <c r="D11" s="29"/>
      <c r="E11" s="29">
        <v>8</v>
      </c>
      <c r="F11" s="29"/>
      <c r="G11" s="29"/>
      <c r="H11" s="29"/>
      <c r="I11" s="29"/>
      <c r="J11" s="29">
        <v>-1</v>
      </c>
      <c r="K11" s="153"/>
      <c r="L11" s="85">
        <f t="shared" si="0"/>
        <v>25</v>
      </c>
    </row>
    <row r="12" spans="1:12" x14ac:dyDescent="0.25">
      <c r="A12" s="84" t="s">
        <v>211</v>
      </c>
      <c r="B12" s="28"/>
      <c r="C12" s="29">
        <v>6</v>
      </c>
      <c r="D12" s="29"/>
      <c r="E12" s="29"/>
      <c r="F12" s="29"/>
      <c r="G12" s="29"/>
      <c r="H12" s="29"/>
      <c r="I12" s="29"/>
      <c r="J12" s="29"/>
      <c r="K12" s="153"/>
      <c r="L12" s="85">
        <f t="shared" si="0"/>
        <v>6</v>
      </c>
    </row>
    <row r="13" spans="1:12" x14ac:dyDescent="0.25">
      <c r="A13" s="84" t="s">
        <v>212</v>
      </c>
      <c r="B13" s="28"/>
      <c r="C13" s="29">
        <v>3</v>
      </c>
      <c r="D13" s="29"/>
      <c r="E13" s="29"/>
      <c r="F13" s="29"/>
      <c r="G13" s="29"/>
      <c r="H13" s="29"/>
      <c r="I13" s="29"/>
      <c r="J13" s="29"/>
      <c r="K13" s="153"/>
      <c r="L13" s="85">
        <f t="shared" si="0"/>
        <v>3</v>
      </c>
    </row>
    <row r="14" spans="1:12" x14ac:dyDescent="0.25">
      <c r="A14" s="84" t="s">
        <v>213</v>
      </c>
      <c r="B14" s="28"/>
      <c r="C14" s="29"/>
      <c r="D14" s="29">
        <v>6</v>
      </c>
      <c r="E14" s="29"/>
      <c r="F14" s="29"/>
      <c r="G14" s="29"/>
      <c r="H14" s="29"/>
      <c r="I14" s="29"/>
      <c r="J14" s="29">
        <v>-4</v>
      </c>
      <c r="K14" s="153"/>
      <c r="L14" s="85">
        <f t="shared" si="0"/>
        <v>2</v>
      </c>
    </row>
    <row r="15" spans="1:12" x14ac:dyDescent="0.25">
      <c r="A15" s="84" t="s">
        <v>214</v>
      </c>
      <c r="B15" s="28"/>
      <c r="C15" s="29"/>
      <c r="D15" s="29">
        <v>5</v>
      </c>
      <c r="E15" s="29"/>
      <c r="F15" s="29"/>
      <c r="G15" s="29"/>
      <c r="H15" s="29"/>
      <c r="I15" s="29"/>
      <c r="J15" s="29"/>
      <c r="K15" s="153"/>
      <c r="L15" s="85">
        <f t="shared" si="0"/>
        <v>5</v>
      </c>
    </row>
    <row r="16" spans="1:12" x14ac:dyDescent="0.25">
      <c r="A16" s="84" t="s">
        <v>215</v>
      </c>
      <c r="B16" s="28"/>
      <c r="C16" s="29"/>
      <c r="D16" s="29">
        <v>6</v>
      </c>
      <c r="E16" s="29"/>
      <c r="F16" s="29"/>
      <c r="G16" s="29"/>
      <c r="H16" s="29"/>
      <c r="I16" s="29"/>
      <c r="J16" s="29"/>
      <c r="K16" s="153"/>
      <c r="L16" s="85">
        <f t="shared" si="0"/>
        <v>6</v>
      </c>
    </row>
    <row r="17" spans="1:12" x14ac:dyDescent="0.25">
      <c r="A17" s="84" t="s">
        <v>54</v>
      </c>
      <c r="B17" s="28"/>
      <c r="C17" s="29"/>
      <c r="D17" s="29"/>
      <c r="E17" s="29"/>
      <c r="F17" s="146">
        <v>8</v>
      </c>
      <c r="G17" s="29"/>
      <c r="H17" s="29"/>
      <c r="I17" s="146">
        <v>-8</v>
      </c>
      <c r="J17" s="29"/>
      <c r="K17" s="153"/>
      <c r="L17" s="85">
        <f t="shared" si="0"/>
        <v>0</v>
      </c>
    </row>
    <row r="18" spans="1:12" x14ac:dyDescent="0.25">
      <c r="A18" s="84" t="s">
        <v>30</v>
      </c>
      <c r="B18" s="28"/>
      <c r="C18" s="29"/>
      <c r="D18" s="29"/>
      <c r="E18" s="29"/>
      <c r="F18" s="146">
        <v>6</v>
      </c>
      <c r="G18" s="29"/>
      <c r="H18" s="29"/>
      <c r="I18" s="146">
        <v>-6</v>
      </c>
      <c r="J18" s="29"/>
      <c r="K18" s="153"/>
      <c r="L18" s="85">
        <f t="shared" si="0"/>
        <v>0</v>
      </c>
    </row>
    <row r="19" spans="1:12" x14ac:dyDescent="0.25">
      <c r="A19" s="84" t="s">
        <v>77</v>
      </c>
      <c r="B19" s="28"/>
      <c r="C19" s="29"/>
      <c r="D19" s="29"/>
      <c r="E19" s="29"/>
      <c r="F19" s="146">
        <v>4</v>
      </c>
      <c r="G19" s="29"/>
      <c r="H19" s="29"/>
      <c r="I19" s="146">
        <v>-4</v>
      </c>
      <c r="J19" s="29"/>
      <c r="K19" s="153"/>
      <c r="L19" s="85">
        <f t="shared" si="0"/>
        <v>0</v>
      </c>
    </row>
    <row r="20" spans="1:12" x14ac:dyDescent="0.25">
      <c r="A20" s="84" t="s">
        <v>27</v>
      </c>
      <c r="B20" s="28"/>
      <c r="C20" s="29"/>
      <c r="D20" s="29"/>
      <c r="E20" s="29"/>
      <c r="F20" s="146">
        <v>300</v>
      </c>
      <c r="G20" s="29"/>
      <c r="H20" s="73">
        <v>150</v>
      </c>
      <c r="I20" s="146">
        <v>-400</v>
      </c>
      <c r="J20" s="29"/>
      <c r="K20" s="153"/>
      <c r="L20" s="85">
        <f t="shared" si="0"/>
        <v>50</v>
      </c>
    </row>
    <row r="21" spans="1:12" x14ac:dyDescent="0.25">
      <c r="A21" s="84" t="s">
        <v>216</v>
      </c>
      <c r="B21" s="28"/>
      <c r="C21" s="29"/>
      <c r="D21" s="29"/>
      <c r="E21" s="29"/>
      <c r="F21" s="29"/>
      <c r="G21" s="136">
        <v>10</v>
      </c>
      <c r="H21" s="29"/>
      <c r="I21" s="136">
        <v>-10</v>
      </c>
      <c r="J21" s="29"/>
      <c r="K21" s="153"/>
      <c r="L21" s="85">
        <f t="shared" si="0"/>
        <v>0</v>
      </c>
    </row>
    <row r="22" spans="1:12" x14ac:dyDescent="0.25">
      <c r="A22" s="84" t="s">
        <v>217</v>
      </c>
      <c r="B22" s="28"/>
      <c r="C22" s="29"/>
      <c r="D22" s="29"/>
      <c r="E22" s="29"/>
      <c r="F22" s="29"/>
      <c r="G22" s="136">
        <v>8</v>
      </c>
      <c r="H22" s="29"/>
      <c r="I22" s="136">
        <v>-8</v>
      </c>
      <c r="J22" s="29"/>
      <c r="K22" s="153"/>
      <c r="L22" s="85">
        <f t="shared" si="0"/>
        <v>0</v>
      </c>
    </row>
    <row r="23" spans="1:12" x14ac:dyDescent="0.25">
      <c r="A23" s="84" t="s">
        <v>218</v>
      </c>
      <c r="B23" s="28"/>
      <c r="C23" s="29"/>
      <c r="D23" s="29"/>
      <c r="E23" s="29"/>
      <c r="F23" s="29"/>
      <c r="G23" s="136">
        <v>24</v>
      </c>
      <c r="H23" s="29"/>
      <c r="I23" s="136">
        <v>-23</v>
      </c>
      <c r="J23" s="147">
        <v>-1</v>
      </c>
      <c r="K23" s="154"/>
      <c r="L23" s="85">
        <f t="shared" si="0"/>
        <v>0</v>
      </c>
    </row>
    <row r="24" spans="1:12" x14ac:dyDescent="0.25">
      <c r="A24" s="84" t="s">
        <v>219</v>
      </c>
      <c r="B24" s="28"/>
      <c r="C24" s="29"/>
      <c r="D24" s="29"/>
      <c r="E24" s="29"/>
      <c r="F24" s="29"/>
      <c r="G24" s="136">
        <v>6</v>
      </c>
      <c r="H24" s="29"/>
      <c r="I24" s="136">
        <v>-6</v>
      </c>
      <c r="J24" s="29"/>
      <c r="K24" s="153"/>
      <c r="L24" s="85">
        <f t="shared" si="0"/>
        <v>0</v>
      </c>
    </row>
    <row r="25" spans="1:12" x14ac:dyDescent="0.25">
      <c r="A25" s="84" t="s">
        <v>220</v>
      </c>
      <c r="B25" s="28"/>
      <c r="C25" s="29"/>
      <c r="D25" s="29"/>
      <c r="E25" s="29"/>
      <c r="F25" s="29"/>
      <c r="G25" s="136">
        <v>23</v>
      </c>
      <c r="H25" s="29"/>
      <c r="I25" s="136">
        <v>-23</v>
      </c>
      <c r="J25" s="29"/>
      <c r="K25" s="153"/>
      <c r="L25" s="85">
        <f t="shared" si="0"/>
        <v>0</v>
      </c>
    </row>
    <row r="26" spans="1:12" x14ac:dyDescent="0.25">
      <c r="A26" s="84" t="s">
        <v>29</v>
      </c>
      <c r="B26" s="28"/>
      <c r="C26" s="29"/>
      <c r="D26" s="29"/>
      <c r="E26" s="29"/>
      <c r="F26" s="29"/>
      <c r="G26" s="136">
        <v>17</v>
      </c>
      <c r="H26" s="29"/>
      <c r="I26" s="136">
        <v>-17</v>
      </c>
      <c r="J26" s="29"/>
      <c r="K26" s="153"/>
      <c r="L26" s="85">
        <f t="shared" si="0"/>
        <v>0</v>
      </c>
    </row>
    <row r="27" spans="1:12" x14ac:dyDescent="0.25">
      <c r="A27" s="84" t="s">
        <v>69</v>
      </c>
      <c r="B27" s="28"/>
      <c r="C27" s="29"/>
      <c r="D27" s="29"/>
      <c r="E27" s="29"/>
      <c r="F27" s="29"/>
      <c r="G27" s="136">
        <v>28</v>
      </c>
      <c r="H27" s="29"/>
      <c r="I27" s="136">
        <v>-28</v>
      </c>
      <c r="J27" s="29"/>
      <c r="K27" s="153"/>
      <c r="L27" s="85">
        <f t="shared" si="0"/>
        <v>0</v>
      </c>
    </row>
    <row r="28" spans="1:12" x14ac:dyDescent="0.25">
      <c r="A28" s="84" t="s">
        <v>221</v>
      </c>
      <c r="B28" s="28"/>
      <c r="C28" s="29"/>
      <c r="D28" s="29"/>
      <c r="E28" s="29"/>
      <c r="F28" s="29"/>
      <c r="G28" s="136">
        <v>2</v>
      </c>
      <c r="H28" s="29"/>
      <c r="I28" s="136">
        <v>-2</v>
      </c>
      <c r="J28" s="29"/>
      <c r="K28" s="153"/>
      <c r="L28" s="85">
        <f t="shared" si="0"/>
        <v>0</v>
      </c>
    </row>
    <row r="29" spans="1:12" x14ac:dyDescent="0.25">
      <c r="A29" s="84" t="s">
        <v>48</v>
      </c>
      <c r="B29" s="28"/>
      <c r="C29" s="29"/>
      <c r="D29" s="29"/>
      <c r="E29" s="29"/>
      <c r="F29" s="29"/>
      <c r="G29" s="136">
        <v>17</v>
      </c>
      <c r="H29" s="29"/>
      <c r="I29" s="136">
        <v>-17</v>
      </c>
      <c r="J29" s="29"/>
      <c r="K29" s="153"/>
      <c r="L29" s="85">
        <f t="shared" si="0"/>
        <v>0</v>
      </c>
    </row>
    <row r="30" spans="1:12" x14ac:dyDescent="0.25">
      <c r="A30" s="84" t="s">
        <v>71</v>
      </c>
      <c r="B30" s="28"/>
      <c r="C30" s="29"/>
      <c r="D30" s="29"/>
      <c r="E30" s="29"/>
      <c r="F30" s="29"/>
      <c r="G30" s="136">
        <v>8</v>
      </c>
      <c r="H30" s="29"/>
      <c r="I30" s="136">
        <v>-8</v>
      </c>
      <c r="J30" s="29"/>
      <c r="K30" s="153"/>
      <c r="L30" s="85">
        <f t="shared" si="0"/>
        <v>0</v>
      </c>
    </row>
    <row r="31" spans="1:12" x14ac:dyDescent="0.25">
      <c r="A31" s="84" t="s">
        <v>222</v>
      </c>
      <c r="B31" s="28"/>
      <c r="C31" s="29"/>
      <c r="D31" s="29"/>
      <c r="E31" s="29"/>
      <c r="F31" s="29"/>
      <c r="G31" s="136">
        <v>20</v>
      </c>
      <c r="H31" s="29"/>
      <c r="I31" s="136">
        <v>-18</v>
      </c>
      <c r="J31" s="136">
        <v>-2</v>
      </c>
      <c r="K31" s="155"/>
      <c r="L31" s="85">
        <f t="shared" si="0"/>
        <v>0</v>
      </c>
    </row>
    <row r="32" spans="1:12" x14ac:dyDescent="0.25">
      <c r="A32" s="84" t="s">
        <v>55</v>
      </c>
      <c r="B32" s="28"/>
      <c r="C32" s="29"/>
      <c r="D32" s="29"/>
      <c r="E32" s="29"/>
      <c r="F32" s="29"/>
      <c r="G32" s="136">
        <v>1</v>
      </c>
      <c r="H32" s="29"/>
      <c r="I32" s="136">
        <v>-1</v>
      </c>
      <c r="J32" s="29"/>
      <c r="K32" s="153"/>
      <c r="L32" s="85">
        <f t="shared" si="0"/>
        <v>0</v>
      </c>
    </row>
    <row r="33" spans="1:12" x14ac:dyDescent="0.25">
      <c r="A33" s="84" t="s">
        <v>49</v>
      </c>
      <c r="B33" s="28"/>
      <c r="C33" s="29"/>
      <c r="D33" s="29"/>
      <c r="E33" s="29"/>
      <c r="F33" s="29"/>
      <c r="G33" s="136">
        <v>5</v>
      </c>
      <c r="H33" s="29"/>
      <c r="I33" s="136">
        <v>-5</v>
      </c>
      <c r="J33" s="29"/>
      <c r="K33" s="153"/>
      <c r="L33" s="85">
        <f t="shared" si="0"/>
        <v>0</v>
      </c>
    </row>
    <row r="34" spans="1:12" x14ac:dyDescent="0.25">
      <c r="A34" s="84" t="s">
        <v>102</v>
      </c>
      <c r="B34" s="28"/>
      <c r="C34" s="29"/>
      <c r="D34" s="29"/>
      <c r="E34" s="29"/>
      <c r="F34" s="29"/>
      <c r="G34" s="30"/>
      <c r="H34" s="73">
        <v>14</v>
      </c>
      <c r="I34" s="73">
        <v>-11</v>
      </c>
      <c r="J34" s="73">
        <v>-3</v>
      </c>
      <c r="K34" s="156"/>
      <c r="L34" s="85">
        <f t="shared" si="0"/>
        <v>0</v>
      </c>
    </row>
    <row r="35" spans="1:12" x14ac:dyDescent="0.25">
      <c r="A35" s="84" t="s">
        <v>23</v>
      </c>
      <c r="B35" s="28"/>
      <c r="C35" s="29"/>
      <c r="D35" s="29"/>
      <c r="E35" s="29"/>
      <c r="F35" s="29"/>
      <c r="G35" s="30"/>
      <c r="H35" s="73">
        <v>5</v>
      </c>
      <c r="I35" s="73">
        <v>-5</v>
      </c>
      <c r="J35" s="136"/>
      <c r="K35" s="155"/>
      <c r="L35" s="85">
        <f t="shared" si="0"/>
        <v>0</v>
      </c>
    </row>
    <row r="36" spans="1:12" x14ac:dyDescent="0.25">
      <c r="A36" s="84" t="s">
        <v>223</v>
      </c>
      <c r="B36" s="28"/>
      <c r="C36" s="29"/>
      <c r="D36" s="29"/>
      <c r="E36" s="29"/>
      <c r="F36" s="136">
        <v>1</v>
      </c>
      <c r="G36" s="30"/>
      <c r="H36" s="73">
        <v>1</v>
      </c>
      <c r="I36" s="73">
        <v>-2</v>
      </c>
      <c r="J36" s="136"/>
      <c r="K36" s="155"/>
      <c r="L36" s="85">
        <f t="shared" si="0"/>
        <v>0</v>
      </c>
    </row>
    <row r="37" spans="1:12" x14ac:dyDescent="0.25">
      <c r="A37" s="82" t="s">
        <v>32</v>
      </c>
      <c r="B37" s="131"/>
      <c r="C37" s="32">
        <v>0.14583333333333334</v>
      </c>
      <c r="D37" s="32">
        <v>0.10416666666666667</v>
      </c>
      <c r="E37" s="32">
        <v>0.3125</v>
      </c>
      <c r="F37" s="32">
        <v>0.60416666666666663</v>
      </c>
      <c r="G37" s="32">
        <v>0.57638888888888884</v>
      </c>
      <c r="H37" s="32">
        <v>0.49305555555555558</v>
      </c>
      <c r="I37" s="32">
        <v>0.5625</v>
      </c>
      <c r="J37" s="32">
        <v>0.39583333333333331</v>
      </c>
      <c r="K37" s="157" t="s">
        <v>248</v>
      </c>
      <c r="L37" s="87"/>
    </row>
    <row r="38" spans="1:12" ht="15.75" thickBot="1" x14ac:dyDescent="0.3">
      <c r="A38" s="88" t="s">
        <v>33</v>
      </c>
      <c r="B38" s="139"/>
      <c r="C38" s="89">
        <v>65000</v>
      </c>
      <c r="D38" s="89">
        <v>65000</v>
      </c>
      <c r="E38" s="89">
        <v>30000</v>
      </c>
      <c r="F38" s="89"/>
      <c r="G38" s="89">
        <v>60000</v>
      </c>
      <c r="H38" s="89" t="s">
        <v>224</v>
      </c>
      <c r="I38" s="89">
        <v>60000</v>
      </c>
      <c r="J38" s="89"/>
      <c r="K38" s="158">
        <v>130000</v>
      </c>
      <c r="L38" s="90">
        <f>SUM(B38:K38)</f>
        <v>410000</v>
      </c>
    </row>
    <row r="40" spans="1:12" ht="15.75" thickBot="1" x14ac:dyDescent="0.3">
      <c r="A40" s="145"/>
      <c r="B40" s="145"/>
      <c r="C40" s="145"/>
      <c r="D40" s="145"/>
      <c r="E40" s="145"/>
      <c r="F40" s="145"/>
    </row>
    <row r="41" spans="1:12" ht="15.75" thickBot="1" x14ac:dyDescent="0.3">
      <c r="A41" s="309" t="s">
        <v>64</v>
      </c>
      <c r="B41" s="310"/>
      <c r="C41" s="310"/>
      <c r="D41" s="310"/>
      <c r="E41" s="310"/>
      <c r="F41" s="311"/>
    </row>
    <row r="42" spans="1:12" x14ac:dyDescent="0.25">
      <c r="A42" s="309" t="s">
        <v>65</v>
      </c>
      <c r="B42" s="310"/>
      <c r="C42" s="310"/>
      <c r="D42" s="310"/>
      <c r="E42" s="310"/>
      <c r="F42" s="311"/>
    </row>
    <row r="43" spans="1:12" ht="18" x14ac:dyDescent="0.25">
      <c r="A43" s="312" t="s">
        <v>234</v>
      </c>
      <c r="B43" s="313"/>
      <c r="C43" s="313"/>
      <c r="D43" s="313"/>
      <c r="E43" s="313"/>
      <c r="F43" s="314"/>
    </row>
    <row r="44" spans="1:12" x14ac:dyDescent="0.25">
      <c r="A44" s="276" t="s">
        <v>3</v>
      </c>
      <c r="B44" s="277" t="s">
        <v>4</v>
      </c>
      <c r="C44" s="277"/>
      <c r="D44" s="277"/>
      <c r="E44" s="277" t="s">
        <v>5</v>
      </c>
      <c r="F44" s="278"/>
    </row>
    <row r="45" spans="1:12" x14ac:dyDescent="0.25">
      <c r="A45" s="276"/>
      <c r="B45" s="1" t="s">
        <v>6</v>
      </c>
      <c r="C45" s="43" t="s">
        <v>7</v>
      </c>
      <c r="D45" s="1" t="s">
        <v>8</v>
      </c>
      <c r="E45" s="1" t="s">
        <v>9</v>
      </c>
      <c r="F45" s="2" t="s">
        <v>10</v>
      </c>
    </row>
    <row r="46" spans="1:12" x14ac:dyDescent="0.25">
      <c r="A46" s="44" t="s">
        <v>203</v>
      </c>
      <c r="B46" s="1">
        <v>8</v>
      </c>
      <c r="C46" s="137">
        <v>42</v>
      </c>
      <c r="D46" s="46">
        <v>300</v>
      </c>
      <c r="E46" s="7">
        <f>C46*D46</f>
        <v>12600</v>
      </c>
      <c r="F46" s="8">
        <f>B46*E46</f>
        <v>100800</v>
      </c>
    </row>
    <row r="47" spans="1:12" x14ac:dyDescent="0.25">
      <c r="A47" s="44" t="s">
        <v>67</v>
      </c>
      <c r="B47" s="1">
        <v>8</v>
      </c>
      <c r="C47" s="137">
        <v>6</v>
      </c>
      <c r="D47" s="46">
        <v>300</v>
      </c>
      <c r="E47" s="7">
        <f>C47*D47</f>
        <v>1800</v>
      </c>
      <c r="F47" s="8">
        <f>B47*E47</f>
        <v>14400</v>
      </c>
    </row>
    <row r="48" spans="1:12" x14ac:dyDescent="0.25">
      <c r="A48" s="44" t="s">
        <v>68</v>
      </c>
      <c r="B48" s="1">
        <v>8</v>
      </c>
      <c r="C48" s="137">
        <v>23</v>
      </c>
      <c r="D48" s="46">
        <v>320</v>
      </c>
      <c r="E48" s="7">
        <f t="shared" ref="E48:E56" si="1">C48*D48</f>
        <v>7360</v>
      </c>
      <c r="F48" s="8">
        <f t="shared" ref="F48:F56" si="2">B48*E48</f>
        <v>58880</v>
      </c>
    </row>
    <row r="49" spans="1:7" x14ac:dyDescent="0.25">
      <c r="A49" s="3" t="s">
        <v>69</v>
      </c>
      <c r="B49" s="4">
        <v>8</v>
      </c>
      <c r="C49" s="137">
        <v>28</v>
      </c>
      <c r="D49" s="47">
        <v>400</v>
      </c>
      <c r="E49" s="7">
        <f t="shared" si="1"/>
        <v>11200</v>
      </c>
      <c r="F49" s="8">
        <f t="shared" si="2"/>
        <v>89600</v>
      </c>
    </row>
    <row r="50" spans="1:7" x14ac:dyDescent="0.25">
      <c r="A50" s="3" t="s">
        <v>70</v>
      </c>
      <c r="B50" s="4">
        <v>8</v>
      </c>
      <c r="C50" s="137">
        <v>2</v>
      </c>
      <c r="D50" s="47">
        <v>410</v>
      </c>
      <c r="E50" s="7">
        <f t="shared" si="1"/>
        <v>820</v>
      </c>
      <c r="F50" s="8">
        <f t="shared" si="2"/>
        <v>6560</v>
      </c>
    </row>
    <row r="51" spans="1:7" x14ac:dyDescent="0.25">
      <c r="A51" s="3" t="s">
        <v>29</v>
      </c>
      <c r="B51" s="4">
        <v>8</v>
      </c>
      <c r="C51" s="137">
        <v>17</v>
      </c>
      <c r="D51" s="47">
        <v>350</v>
      </c>
      <c r="E51" s="7">
        <f t="shared" si="1"/>
        <v>5950</v>
      </c>
      <c r="F51" s="8">
        <f t="shared" si="2"/>
        <v>47600</v>
      </c>
    </row>
    <row r="52" spans="1:7" x14ac:dyDescent="0.25">
      <c r="A52" s="3" t="s">
        <v>48</v>
      </c>
      <c r="B52" s="4">
        <v>8</v>
      </c>
      <c r="C52" s="138">
        <v>17</v>
      </c>
      <c r="D52" s="47">
        <v>320</v>
      </c>
      <c r="E52" s="7">
        <f t="shared" si="1"/>
        <v>5440</v>
      </c>
      <c r="F52" s="8">
        <f t="shared" si="2"/>
        <v>43520</v>
      </c>
    </row>
    <row r="53" spans="1:7" x14ac:dyDescent="0.25">
      <c r="A53" s="3" t="s">
        <v>71</v>
      </c>
      <c r="B53" s="4">
        <v>8</v>
      </c>
      <c r="C53" s="138">
        <v>8</v>
      </c>
      <c r="D53" s="47">
        <v>300</v>
      </c>
      <c r="E53" s="7">
        <f t="shared" si="1"/>
        <v>2400</v>
      </c>
      <c r="F53" s="8">
        <f t="shared" si="2"/>
        <v>19200</v>
      </c>
    </row>
    <row r="54" spans="1:7" x14ac:dyDescent="0.25">
      <c r="A54" s="3" t="s">
        <v>72</v>
      </c>
      <c r="B54" s="4">
        <v>8</v>
      </c>
      <c r="C54" s="138">
        <v>20</v>
      </c>
      <c r="D54" s="47">
        <v>230</v>
      </c>
      <c r="E54" s="7">
        <f t="shared" si="1"/>
        <v>4600</v>
      </c>
      <c r="F54" s="8">
        <f t="shared" si="2"/>
        <v>36800</v>
      </c>
    </row>
    <row r="55" spans="1:7" x14ac:dyDescent="0.25">
      <c r="A55" s="3" t="s">
        <v>55</v>
      </c>
      <c r="B55" s="4">
        <v>8</v>
      </c>
      <c r="C55" s="138">
        <v>1</v>
      </c>
      <c r="D55" s="47">
        <v>90</v>
      </c>
      <c r="E55" s="7">
        <f t="shared" si="1"/>
        <v>90</v>
      </c>
      <c r="F55" s="8">
        <f t="shared" si="2"/>
        <v>720</v>
      </c>
    </row>
    <row r="56" spans="1:7" x14ac:dyDescent="0.25">
      <c r="A56" s="3" t="s">
        <v>49</v>
      </c>
      <c r="B56" s="4">
        <v>8</v>
      </c>
      <c r="C56" s="138">
        <v>5</v>
      </c>
      <c r="D56" s="47">
        <v>120</v>
      </c>
      <c r="E56" s="7">
        <f t="shared" si="1"/>
        <v>600</v>
      </c>
      <c r="F56" s="7">
        <f t="shared" si="2"/>
        <v>4800</v>
      </c>
    </row>
    <row r="57" spans="1:7" ht="18.75" x14ac:dyDescent="0.4">
      <c r="A57" s="315" t="s">
        <v>243</v>
      </c>
      <c r="B57" s="316"/>
      <c r="C57" s="262" t="s">
        <v>73</v>
      </c>
      <c r="D57" s="262"/>
      <c r="E57" s="48">
        <f>SUM(E46:E56)</f>
        <v>52860</v>
      </c>
      <c r="F57" s="17"/>
    </row>
    <row r="58" spans="1:7" ht="19.5" thickBot="1" x14ac:dyDescent="0.45">
      <c r="A58" s="317"/>
      <c r="B58" s="318"/>
      <c r="C58" s="263" t="s">
        <v>17</v>
      </c>
      <c r="D58" s="263"/>
      <c r="E58" s="49">
        <f>SUM(F46:F56)</f>
        <v>422880</v>
      </c>
      <c r="F58" s="50"/>
    </row>
    <row r="59" spans="1:7" ht="18.75" x14ac:dyDescent="0.4">
      <c r="A59" s="317"/>
      <c r="B59" s="318"/>
      <c r="C59" s="264" t="s">
        <v>74</v>
      </c>
      <c r="D59" s="265"/>
      <c r="E59" s="51">
        <v>120000</v>
      </c>
      <c r="F59" s="17"/>
    </row>
    <row r="60" spans="1:7" ht="19.5" thickBot="1" x14ac:dyDescent="0.45">
      <c r="A60" s="319"/>
      <c r="B60" s="320"/>
      <c r="C60" s="263" t="s">
        <v>17</v>
      </c>
      <c r="D60" s="263"/>
      <c r="E60" s="20">
        <f>SUM(E58:E59)</f>
        <v>542880</v>
      </c>
      <c r="F60" s="21"/>
    </row>
    <row r="62" spans="1:7" x14ac:dyDescent="0.25">
      <c r="A62" s="307" t="s">
        <v>64</v>
      </c>
      <c r="B62" s="307"/>
      <c r="C62" s="307"/>
      <c r="D62" s="307"/>
      <c r="E62" s="307"/>
      <c r="F62" s="307"/>
      <c r="G62" s="307"/>
    </row>
    <row r="63" spans="1:7" x14ac:dyDescent="0.25">
      <c r="A63" s="307" t="s">
        <v>65</v>
      </c>
      <c r="B63" s="307"/>
      <c r="C63" s="307"/>
      <c r="D63" s="307"/>
      <c r="E63" s="307"/>
      <c r="F63" s="307"/>
      <c r="G63" s="307"/>
    </row>
    <row r="64" spans="1:7" ht="18" customHeight="1" x14ac:dyDescent="0.25">
      <c r="A64" s="308" t="s">
        <v>75</v>
      </c>
      <c r="B64" s="308"/>
      <c r="C64" s="308"/>
      <c r="D64" s="308"/>
      <c r="E64" s="308"/>
      <c r="F64" s="308"/>
      <c r="G64" s="308"/>
    </row>
    <row r="65" spans="1:7" x14ac:dyDescent="0.25">
      <c r="A65" s="262" t="s">
        <v>3</v>
      </c>
      <c r="B65" s="277" t="s">
        <v>4</v>
      </c>
      <c r="C65" s="277"/>
      <c r="D65" s="277"/>
      <c r="E65" s="277" t="s">
        <v>5</v>
      </c>
      <c r="F65" s="277"/>
      <c r="G65" s="286" t="s">
        <v>183</v>
      </c>
    </row>
    <row r="66" spans="1:7" x14ac:dyDescent="0.25">
      <c r="A66" s="262"/>
      <c r="B66" s="1" t="s">
        <v>6</v>
      </c>
      <c r="C66" s="43" t="s">
        <v>7</v>
      </c>
      <c r="D66" s="1" t="s">
        <v>8</v>
      </c>
      <c r="E66" s="1" t="s">
        <v>9</v>
      </c>
      <c r="F66" s="1" t="s">
        <v>10</v>
      </c>
      <c r="G66" s="286"/>
    </row>
    <row r="67" spans="1:7" x14ac:dyDescent="0.25">
      <c r="A67" s="149" t="s">
        <v>54</v>
      </c>
      <c r="B67" s="45">
        <v>8</v>
      </c>
      <c r="C67" s="137">
        <v>8</v>
      </c>
      <c r="D67" s="46">
        <v>300</v>
      </c>
      <c r="E67" s="7">
        <f>C67*D67</f>
        <v>2400</v>
      </c>
      <c r="F67" s="7">
        <f>B67*E67</f>
        <v>19200</v>
      </c>
      <c r="G67" s="102" t="s">
        <v>235</v>
      </c>
    </row>
    <row r="68" spans="1:7" x14ac:dyDescent="0.25">
      <c r="A68" s="149" t="s">
        <v>76</v>
      </c>
      <c r="B68" s="45">
        <v>8</v>
      </c>
      <c r="C68" s="137">
        <v>6</v>
      </c>
      <c r="D68" s="46">
        <v>320</v>
      </c>
      <c r="E68" s="7">
        <f>C68*D68</f>
        <v>1920</v>
      </c>
      <c r="F68" s="7">
        <f>B68*E68</f>
        <v>15360</v>
      </c>
      <c r="G68" s="102" t="s">
        <v>235</v>
      </c>
    </row>
    <row r="69" spans="1:7" x14ac:dyDescent="0.25">
      <c r="A69" s="149" t="s">
        <v>77</v>
      </c>
      <c r="B69" s="45">
        <v>8</v>
      </c>
      <c r="C69" s="137">
        <v>4</v>
      </c>
      <c r="D69" s="46">
        <v>300</v>
      </c>
      <c r="E69" s="7">
        <f t="shared" ref="E69:E70" si="3">C69*D69</f>
        <v>1200</v>
      </c>
      <c r="F69" s="7">
        <f t="shared" ref="F69:F70" si="4">B69*E69</f>
        <v>9600</v>
      </c>
      <c r="G69" s="102" t="s">
        <v>235</v>
      </c>
    </row>
    <row r="70" spans="1:7" x14ac:dyDescent="0.25">
      <c r="A70" s="149" t="s">
        <v>27</v>
      </c>
      <c r="B70" s="45">
        <v>8</v>
      </c>
      <c r="C70" s="137">
        <v>300</v>
      </c>
      <c r="D70" s="46">
        <v>28</v>
      </c>
      <c r="E70" s="7">
        <f t="shared" si="3"/>
        <v>8400</v>
      </c>
      <c r="F70" s="7">
        <f t="shared" si="4"/>
        <v>67200</v>
      </c>
      <c r="G70" s="102" t="s">
        <v>235</v>
      </c>
    </row>
    <row r="71" spans="1:7" x14ac:dyDescent="0.25">
      <c r="A71" s="149" t="s">
        <v>27</v>
      </c>
      <c r="B71" s="137">
        <v>2</v>
      </c>
      <c r="C71" s="137">
        <v>150</v>
      </c>
      <c r="D71" s="46">
        <v>28</v>
      </c>
      <c r="E71" s="7">
        <f t="shared" ref="E71" si="5">C71*D71</f>
        <v>4200</v>
      </c>
      <c r="F71" s="7">
        <f t="shared" ref="F71" si="6">B71*E71</f>
        <v>8400</v>
      </c>
      <c r="G71" s="102" t="s">
        <v>257</v>
      </c>
    </row>
    <row r="72" spans="1:7" ht="18.75" x14ac:dyDescent="0.4">
      <c r="A72" s="297" t="s">
        <v>235</v>
      </c>
      <c r="B72" s="297"/>
      <c r="C72" s="262" t="s">
        <v>73</v>
      </c>
      <c r="D72" s="262"/>
      <c r="E72" s="48">
        <f>SUM(E67:E70)</f>
        <v>13920</v>
      </c>
      <c r="F72" s="280"/>
      <c r="G72" s="281"/>
    </row>
    <row r="73" spans="1:7" ht="18.75" x14ac:dyDescent="0.4">
      <c r="A73" s="297"/>
      <c r="B73" s="297"/>
      <c r="C73" s="262" t="s">
        <v>17</v>
      </c>
      <c r="D73" s="262"/>
      <c r="E73" s="134">
        <f>SUM(F67:F70)</f>
        <v>111360</v>
      </c>
      <c r="F73" s="282"/>
      <c r="G73" s="283"/>
    </row>
    <row r="74" spans="1:7" ht="18.75" x14ac:dyDescent="0.4">
      <c r="A74" s="297"/>
      <c r="B74" s="297"/>
      <c r="C74" s="262" t="s">
        <v>78</v>
      </c>
      <c r="D74" s="262"/>
      <c r="E74" s="135"/>
      <c r="F74" s="282"/>
      <c r="G74" s="283"/>
    </row>
    <row r="75" spans="1:7" ht="18.75" x14ac:dyDescent="0.4">
      <c r="A75" s="297"/>
      <c r="B75" s="297"/>
      <c r="C75" s="262" t="s">
        <v>17</v>
      </c>
      <c r="D75" s="262"/>
      <c r="E75" s="150">
        <f>SUM(E73:E74)</f>
        <v>111360</v>
      </c>
      <c r="F75" s="284"/>
      <c r="G75" s="285"/>
    </row>
    <row r="76" spans="1:7" ht="18.75" x14ac:dyDescent="0.4">
      <c r="A76" s="53"/>
      <c r="B76" s="54"/>
      <c r="C76" s="54"/>
      <c r="D76" s="54"/>
      <c r="E76" s="55"/>
    </row>
    <row r="79" spans="1:7" ht="15.75" thickBot="1" x14ac:dyDescent="0.3"/>
    <row r="80" spans="1:7" ht="15.75" thickBot="1" x14ac:dyDescent="0.3">
      <c r="A80" s="294" t="s">
        <v>64</v>
      </c>
      <c r="B80" s="295"/>
      <c r="C80" s="295"/>
      <c r="D80" s="295"/>
      <c r="E80" s="295"/>
      <c r="F80" s="296"/>
    </row>
    <row r="81" spans="1:7" x14ac:dyDescent="0.25">
      <c r="A81" s="294" t="s">
        <v>65</v>
      </c>
      <c r="B81" s="295"/>
      <c r="C81" s="295"/>
      <c r="D81" s="295"/>
      <c r="E81" s="295"/>
      <c r="F81" s="296"/>
    </row>
    <row r="82" spans="1:7" ht="18" x14ac:dyDescent="0.25">
      <c r="A82" s="288" t="s">
        <v>75</v>
      </c>
      <c r="B82" s="289"/>
      <c r="C82" s="289"/>
      <c r="D82" s="289"/>
      <c r="E82" s="289"/>
      <c r="F82" s="290"/>
    </row>
    <row r="83" spans="1:7" x14ac:dyDescent="0.25">
      <c r="A83" s="276" t="s">
        <v>3</v>
      </c>
      <c r="B83" s="277" t="s">
        <v>4</v>
      </c>
      <c r="C83" s="277"/>
      <c r="D83" s="277"/>
      <c r="E83" s="277" t="s">
        <v>5</v>
      </c>
      <c r="F83" s="278"/>
    </row>
    <row r="84" spans="1:7" x14ac:dyDescent="0.25">
      <c r="A84" s="276"/>
      <c r="B84" s="1" t="s">
        <v>6</v>
      </c>
      <c r="C84" s="43" t="s">
        <v>7</v>
      </c>
      <c r="D84" s="1" t="s">
        <v>8</v>
      </c>
      <c r="E84" s="1" t="s">
        <v>9</v>
      </c>
      <c r="F84" s="2" t="s">
        <v>10</v>
      </c>
    </row>
    <row r="85" spans="1:7" x14ac:dyDescent="0.25">
      <c r="A85" s="44" t="s">
        <v>102</v>
      </c>
      <c r="B85" s="45">
        <v>5</v>
      </c>
      <c r="C85" s="137">
        <v>14</v>
      </c>
      <c r="D85" s="46">
        <v>350</v>
      </c>
      <c r="E85" s="7">
        <f>C85*D85</f>
        <v>4900</v>
      </c>
      <c r="F85" s="8">
        <f>B85*E85</f>
        <v>24500</v>
      </c>
      <c r="G85" t="s">
        <v>236</v>
      </c>
    </row>
    <row r="86" spans="1:7" x14ac:dyDescent="0.25">
      <c r="A86" s="44" t="s">
        <v>237</v>
      </c>
      <c r="B86" s="45">
        <v>5</v>
      </c>
      <c r="C86" s="137">
        <v>5</v>
      </c>
      <c r="D86" s="46">
        <v>400</v>
      </c>
      <c r="E86" s="7">
        <f>C86*D86</f>
        <v>2000</v>
      </c>
      <c r="F86" s="8">
        <f>B86*E86</f>
        <v>10000</v>
      </c>
      <c r="G86" t="s">
        <v>236</v>
      </c>
    </row>
    <row r="87" spans="1:7" ht="18.75" x14ac:dyDescent="0.4">
      <c r="A87" s="298" t="s">
        <v>235</v>
      </c>
      <c r="B87" s="299"/>
      <c r="C87" s="262" t="s">
        <v>73</v>
      </c>
      <c r="D87" s="262"/>
      <c r="E87" s="48">
        <f>SUM(E85:E86)</f>
        <v>6900</v>
      </c>
      <c r="F87" s="17"/>
    </row>
    <row r="88" spans="1:7" ht="19.5" thickBot="1" x14ac:dyDescent="0.45">
      <c r="A88" s="300"/>
      <c r="B88" s="301"/>
      <c r="C88" s="263" t="s">
        <v>17</v>
      </c>
      <c r="D88" s="263"/>
      <c r="E88" s="49">
        <f>SUM(F85:F86)</f>
        <v>34500</v>
      </c>
      <c r="F88" s="50"/>
    </row>
    <row r="89" spans="1:7" ht="18.75" x14ac:dyDescent="0.4">
      <c r="A89" s="300"/>
      <c r="B89" s="301"/>
      <c r="C89" s="264" t="s">
        <v>78</v>
      </c>
      <c r="D89" s="265"/>
      <c r="E89" s="51"/>
      <c r="F89" s="17"/>
    </row>
    <row r="90" spans="1:7" ht="19.5" thickBot="1" x14ac:dyDescent="0.45">
      <c r="A90" s="302"/>
      <c r="B90" s="303"/>
      <c r="C90" s="263" t="s">
        <v>17</v>
      </c>
      <c r="D90" s="263"/>
      <c r="E90" s="20">
        <f>SUM(E88:E89)</f>
        <v>34500</v>
      </c>
      <c r="F90" s="21"/>
    </row>
    <row r="93" spans="1:7" ht="15.75" thickBot="1" x14ac:dyDescent="0.3"/>
    <row r="94" spans="1:7" ht="18.75" x14ac:dyDescent="0.3">
      <c r="A94" s="250" t="s">
        <v>204</v>
      </c>
      <c r="B94" s="251"/>
      <c r="C94" s="251"/>
      <c r="D94" s="251"/>
      <c r="E94" s="251"/>
      <c r="F94" s="252"/>
    </row>
    <row r="95" spans="1:7" ht="18.75" x14ac:dyDescent="0.3">
      <c r="A95" s="291" t="s">
        <v>205</v>
      </c>
      <c r="B95" s="292"/>
      <c r="C95" s="292"/>
      <c r="D95" s="292"/>
      <c r="E95" s="292"/>
      <c r="F95" s="293"/>
    </row>
    <row r="96" spans="1:7" ht="18.75" x14ac:dyDescent="0.3">
      <c r="A96" s="291" t="s">
        <v>258</v>
      </c>
      <c r="B96" s="292"/>
      <c r="C96" s="292"/>
      <c r="D96" s="292"/>
      <c r="E96" s="292"/>
      <c r="F96" s="293"/>
    </row>
    <row r="97" spans="1:6" x14ac:dyDescent="0.25">
      <c r="A97" s="82" t="s">
        <v>3</v>
      </c>
      <c r="B97" s="100" t="s">
        <v>206</v>
      </c>
      <c r="C97" s="100">
        <v>13624</v>
      </c>
      <c r="D97" s="100">
        <v>13632</v>
      </c>
      <c r="E97" s="100">
        <v>13636</v>
      </c>
      <c r="F97" s="141" t="s">
        <v>22</v>
      </c>
    </row>
    <row r="98" spans="1:6" x14ac:dyDescent="0.25">
      <c r="A98" s="82"/>
      <c r="B98" s="25">
        <v>46145</v>
      </c>
      <c r="C98" s="25">
        <v>46146</v>
      </c>
      <c r="D98" s="25">
        <v>46148</v>
      </c>
      <c r="E98" s="25">
        <v>46150</v>
      </c>
      <c r="F98" s="141">
        <v>46178</v>
      </c>
    </row>
    <row r="99" spans="1:6" x14ac:dyDescent="0.25">
      <c r="A99" s="84" t="s">
        <v>207</v>
      </c>
      <c r="B99" s="28">
        <v>12</v>
      </c>
      <c r="C99" s="29"/>
      <c r="D99" s="29"/>
      <c r="E99" s="29"/>
      <c r="F99" s="140">
        <f t="shared" ref="F99:F109" si="7">SUM(B99:E99)</f>
        <v>12</v>
      </c>
    </row>
    <row r="100" spans="1:6" x14ac:dyDescent="0.25">
      <c r="A100" s="84" t="s">
        <v>208</v>
      </c>
      <c r="B100" s="28">
        <v>12</v>
      </c>
      <c r="C100" s="29"/>
      <c r="D100" s="29"/>
      <c r="E100" s="29"/>
      <c r="F100" s="140">
        <f t="shared" si="7"/>
        <v>12</v>
      </c>
    </row>
    <row r="101" spans="1:6" x14ac:dyDescent="0.25">
      <c r="A101" s="84" t="s">
        <v>188</v>
      </c>
      <c r="B101" s="148">
        <v>6</v>
      </c>
      <c r="C101" s="29"/>
      <c r="D101" s="29"/>
      <c r="E101" s="29"/>
      <c r="F101" s="140">
        <f t="shared" si="7"/>
        <v>6</v>
      </c>
    </row>
    <row r="102" spans="1:6" x14ac:dyDescent="0.25">
      <c r="A102" s="84" t="s">
        <v>209</v>
      </c>
      <c r="B102" s="28"/>
      <c r="C102" s="136">
        <v>50</v>
      </c>
      <c r="D102" s="136"/>
      <c r="E102" s="136">
        <v>10</v>
      </c>
      <c r="F102" s="140">
        <f t="shared" si="7"/>
        <v>60</v>
      </c>
    </row>
    <row r="103" spans="1:6" x14ac:dyDescent="0.25">
      <c r="A103" s="84" t="s">
        <v>210</v>
      </c>
      <c r="B103" s="28"/>
      <c r="C103" s="136">
        <v>41</v>
      </c>
      <c r="D103" s="136">
        <v>19</v>
      </c>
      <c r="E103" s="29"/>
      <c r="F103" s="140">
        <f t="shared" si="7"/>
        <v>60</v>
      </c>
    </row>
    <row r="104" spans="1:6" x14ac:dyDescent="0.25">
      <c r="A104" s="84" t="s">
        <v>25</v>
      </c>
      <c r="B104" s="28"/>
      <c r="C104" s="136">
        <v>18</v>
      </c>
      <c r="D104" s="136"/>
      <c r="E104" s="136">
        <v>8</v>
      </c>
      <c r="F104" s="140">
        <f t="shared" si="7"/>
        <v>26</v>
      </c>
    </row>
    <row r="105" spans="1:6" x14ac:dyDescent="0.25">
      <c r="A105" s="84" t="s">
        <v>211</v>
      </c>
      <c r="B105" s="28"/>
      <c r="C105" s="136">
        <v>6</v>
      </c>
      <c r="D105" s="29"/>
      <c r="E105" s="29"/>
      <c r="F105" s="140">
        <f t="shared" si="7"/>
        <v>6</v>
      </c>
    </row>
    <row r="106" spans="1:6" x14ac:dyDescent="0.25">
      <c r="A106" s="84" t="s">
        <v>212</v>
      </c>
      <c r="B106" s="28"/>
      <c r="C106" s="136">
        <v>3</v>
      </c>
      <c r="D106" s="29"/>
      <c r="E106" s="29"/>
      <c r="F106" s="140">
        <f t="shared" si="7"/>
        <v>3</v>
      </c>
    </row>
    <row r="107" spans="1:6" x14ac:dyDescent="0.25">
      <c r="A107" s="84" t="s">
        <v>213</v>
      </c>
      <c r="B107" s="28"/>
      <c r="C107" s="29"/>
      <c r="D107" s="136">
        <v>6</v>
      </c>
      <c r="E107" s="29"/>
      <c r="F107" s="140">
        <f t="shared" si="7"/>
        <v>6</v>
      </c>
    </row>
    <row r="108" spans="1:6" x14ac:dyDescent="0.25">
      <c r="A108" s="84" t="s">
        <v>214</v>
      </c>
      <c r="B108" s="28"/>
      <c r="C108" s="29"/>
      <c r="D108" s="136">
        <v>5</v>
      </c>
      <c r="E108" s="29"/>
      <c r="F108" s="140">
        <f t="shared" si="7"/>
        <v>5</v>
      </c>
    </row>
    <row r="109" spans="1:6" x14ac:dyDescent="0.25">
      <c r="A109" s="84" t="s">
        <v>215</v>
      </c>
      <c r="B109" s="28"/>
      <c r="C109" s="29"/>
      <c r="D109" s="136">
        <v>6</v>
      </c>
      <c r="E109" s="29"/>
      <c r="F109" s="140">
        <f t="shared" si="7"/>
        <v>6</v>
      </c>
    </row>
    <row r="110" spans="1:6" x14ac:dyDescent="0.25">
      <c r="A110" s="82" t="s">
        <v>32</v>
      </c>
      <c r="B110" s="131"/>
      <c r="C110" s="32">
        <v>0.14583333333333334</v>
      </c>
      <c r="D110" s="32">
        <v>0.10416666666666667</v>
      </c>
      <c r="E110" s="32">
        <v>0.3125</v>
      </c>
      <c r="F110" s="87"/>
    </row>
    <row r="111" spans="1:6" ht="15.75" thickBot="1" x14ac:dyDescent="0.3">
      <c r="A111" s="88" t="s">
        <v>33</v>
      </c>
      <c r="B111" s="139"/>
      <c r="C111" s="89">
        <v>65000</v>
      </c>
      <c r="D111" s="89">
        <v>65000</v>
      </c>
      <c r="E111" s="89">
        <v>30000</v>
      </c>
      <c r="F111" s="90">
        <f>SUM(B111:E111)</f>
        <v>160000</v>
      </c>
    </row>
    <row r="113" spans="1:9" x14ac:dyDescent="0.25">
      <c r="A113" s="287" t="s">
        <v>64</v>
      </c>
      <c r="B113" s="287"/>
      <c r="C113" s="287"/>
      <c r="D113" s="287"/>
      <c r="E113" s="287"/>
      <c r="F113" s="287"/>
      <c r="G113" s="287"/>
    </row>
    <row r="114" spans="1:9" x14ac:dyDescent="0.25">
      <c r="A114" s="287" t="s">
        <v>65</v>
      </c>
      <c r="B114" s="287"/>
      <c r="C114" s="287"/>
      <c r="D114" s="287"/>
      <c r="E114" s="287"/>
      <c r="F114" s="287"/>
      <c r="G114" s="287"/>
    </row>
    <row r="115" spans="1:9" ht="18" customHeight="1" x14ac:dyDescent="0.25">
      <c r="A115" s="270" t="s">
        <v>66</v>
      </c>
      <c r="B115" s="270"/>
      <c r="C115" s="270"/>
      <c r="D115" s="270"/>
      <c r="E115" s="270"/>
      <c r="F115" s="270"/>
      <c r="G115" s="270"/>
    </row>
    <row r="116" spans="1:9" x14ac:dyDescent="0.25">
      <c r="A116" s="262" t="s">
        <v>3</v>
      </c>
      <c r="B116" s="277" t="s">
        <v>4</v>
      </c>
      <c r="C116" s="277"/>
      <c r="D116" s="277"/>
      <c r="E116" s="277" t="s">
        <v>5</v>
      </c>
      <c r="F116" s="277"/>
      <c r="G116" s="286" t="s">
        <v>183</v>
      </c>
    </row>
    <row r="117" spans="1:9" x14ac:dyDescent="0.25">
      <c r="A117" s="262"/>
      <c r="B117" s="1" t="s">
        <v>6</v>
      </c>
      <c r="C117" s="43" t="s">
        <v>7</v>
      </c>
      <c r="D117" s="1" t="s">
        <v>8</v>
      </c>
      <c r="E117" s="1" t="s">
        <v>9</v>
      </c>
      <c r="F117" s="1" t="s">
        <v>10</v>
      </c>
      <c r="G117" s="286"/>
    </row>
    <row r="118" spans="1:9" x14ac:dyDescent="0.25">
      <c r="A118" s="149" t="s">
        <v>202</v>
      </c>
      <c r="B118" s="137">
        <v>2</v>
      </c>
      <c r="C118" s="137">
        <v>41</v>
      </c>
      <c r="D118" s="46">
        <v>380</v>
      </c>
      <c r="E118" s="7">
        <f>C118*D118</f>
        <v>15580</v>
      </c>
      <c r="F118" s="7">
        <f>B118*E118</f>
        <v>31160</v>
      </c>
      <c r="G118" s="102" t="s">
        <v>232</v>
      </c>
      <c r="I118" s="145">
        <v>350</v>
      </c>
    </row>
    <row r="119" spans="1:9" x14ac:dyDescent="0.25">
      <c r="A119" s="149" t="s">
        <v>202</v>
      </c>
      <c r="B119" s="137">
        <v>28</v>
      </c>
      <c r="C119" s="137">
        <v>60</v>
      </c>
      <c r="D119" s="46">
        <v>380</v>
      </c>
      <c r="E119" s="7">
        <f>C119*D119</f>
        <v>22800</v>
      </c>
      <c r="F119" s="7">
        <f>B119*E119</f>
        <v>638400</v>
      </c>
      <c r="G119" s="102" t="s">
        <v>255</v>
      </c>
      <c r="I119" s="145"/>
    </row>
    <row r="120" spans="1:9" x14ac:dyDescent="0.25">
      <c r="A120" s="149" t="s">
        <v>225</v>
      </c>
      <c r="B120" s="137">
        <v>30</v>
      </c>
      <c r="C120" s="137">
        <v>6</v>
      </c>
      <c r="D120" s="46">
        <v>320</v>
      </c>
      <c r="E120" s="7">
        <f t="shared" ref="E120:E130" si="8">C120*D120</f>
        <v>1920</v>
      </c>
      <c r="F120" s="7">
        <f t="shared" ref="F120:F130" si="9">B120*E120</f>
        <v>57600</v>
      </c>
      <c r="G120" s="102" t="s">
        <v>256</v>
      </c>
      <c r="I120" s="145">
        <v>300</v>
      </c>
    </row>
    <row r="121" spans="1:9" x14ac:dyDescent="0.25">
      <c r="A121" s="102" t="s">
        <v>226</v>
      </c>
      <c r="B121" s="138">
        <v>30</v>
      </c>
      <c r="C121" s="137">
        <v>5</v>
      </c>
      <c r="D121" s="47">
        <v>220</v>
      </c>
      <c r="E121" s="7">
        <f t="shared" si="8"/>
        <v>1100</v>
      </c>
      <c r="F121" s="7">
        <f t="shared" si="9"/>
        <v>33000</v>
      </c>
      <c r="G121" s="102" t="s">
        <v>256</v>
      </c>
      <c r="I121" s="145"/>
    </row>
    <row r="122" spans="1:9" x14ac:dyDescent="0.25">
      <c r="A122" s="102" t="s">
        <v>106</v>
      </c>
      <c r="B122" s="138">
        <v>30</v>
      </c>
      <c r="C122" s="137">
        <v>6</v>
      </c>
      <c r="D122" s="47">
        <v>300</v>
      </c>
      <c r="E122" s="7">
        <f t="shared" si="8"/>
        <v>1800</v>
      </c>
      <c r="F122" s="7">
        <f t="shared" si="9"/>
        <v>54000</v>
      </c>
      <c r="G122" s="102" t="s">
        <v>256</v>
      </c>
      <c r="I122" s="145"/>
    </row>
    <row r="123" spans="1:9" x14ac:dyDescent="0.25">
      <c r="A123" s="102" t="s">
        <v>227</v>
      </c>
      <c r="B123" s="138">
        <v>3</v>
      </c>
      <c r="C123" s="138">
        <v>50</v>
      </c>
      <c r="D123" s="47">
        <v>200</v>
      </c>
      <c r="E123" s="7">
        <f t="shared" si="8"/>
        <v>10000</v>
      </c>
      <c r="F123" s="7">
        <f t="shared" si="9"/>
        <v>30000</v>
      </c>
      <c r="G123" s="102" t="s">
        <v>233</v>
      </c>
      <c r="I123" s="145">
        <v>180</v>
      </c>
    </row>
    <row r="124" spans="1:9" x14ac:dyDescent="0.25">
      <c r="A124" s="102" t="s">
        <v>227</v>
      </c>
      <c r="B124" s="138">
        <v>29</v>
      </c>
      <c r="C124" s="138">
        <v>60</v>
      </c>
      <c r="D124" s="47">
        <v>200</v>
      </c>
      <c r="E124" s="7">
        <f t="shared" si="8"/>
        <v>12000</v>
      </c>
      <c r="F124" s="7">
        <f t="shared" si="9"/>
        <v>348000</v>
      </c>
      <c r="G124" s="102" t="s">
        <v>254</v>
      </c>
      <c r="I124" s="145"/>
    </row>
    <row r="125" spans="1:9" x14ac:dyDescent="0.25">
      <c r="A125" s="102" t="s">
        <v>25</v>
      </c>
      <c r="B125" s="138">
        <v>3</v>
      </c>
      <c r="C125" s="138">
        <v>18</v>
      </c>
      <c r="D125" s="47">
        <v>180</v>
      </c>
      <c r="E125" s="7">
        <f t="shared" si="8"/>
        <v>3240</v>
      </c>
      <c r="F125" s="7">
        <f t="shared" si="9"/>
        <v>9720</v>
      </c>
      <c r="G125" s="102" t="s">
        <v>233</v>
      </c>
      <c r="I125" s="145"/>
    </row>
    <row r="126" spans="1:9" x14ac:dyDescent="0.25">
      <c r="A126" s="102" t="s">
        <v>25</v>
      </c>
      <c r="B126" s="138">
        <v>29</v>
      </c>
      <c r="C126" s="138">
        <v>26</v>
      </c>
      <c r="D126" s="47">
        <v>180</v>
      </c>
      <c r="E126" s="7">
        <f t="shared" si="8"/>
        <v>4680</v>
      </c>
      <c r="F126" s="7">
        <f t="shared" si="9"/>
        <v>135720</v>
      </c>
      <c r="G126" s="102" t="s">
        <v>254</v>
      </c>
      <c r="I126" s="145"/>
    </row>
    <row r="127" spans="1:9" x14ac:dyDescent="0.25">
      <c r="A127" s="102" t="s">
        <v>228</v>
      </c>
      <c r="B127" s="138">
        <v>32</v>
      </c>
      <c r="C127" s="138">
        <v>3</v>
      </c>
      <c r="D127" s="47">
        <v>180</v>
      </c>
      <c r="E127" s="7">
        <f t="shared" si="8"/>
        <v>540</v>
      </c>
      <c r="F127" s="7">
        <f t="shared" si="9"/>
        <v>17280</v>
      </c>
      <c r="G127" s="102" t="s">
        <v>245</v>
      </c>
      <c r="I127" s="145"/>
    </row>
    <row r="128" spans="1:9" x14ac:dyDescent="0.25">
      <c r="A128" s="102" t="s">
        <v>229</v>
      </c>
      <c r="B128" s="138">
        <v>32</v>
      </c>
      <c r="C128" s="138">
        <v>6</v>
      </c>
      <c r="D128" s="47">
        <v>175</v>
      </c>
      <c r="E128" s="7">
        <f t="shared" si="8"/>
        <v>1050</v>
      </c>
      <c r="F128" s="7">
        <f t="shared" si="9"/>
        <v>33600</v>
      </c>
      <c r="G128" s="102" t="s">
        <v>245</v>
      </c>
      <c r="I128" s="145"/>
    </row>
    <row r="129" spans="1:9" x14ac:dyDescent="0.25">
      <c r="A129" s="102" t="s">
        <v>109</v>
      </c>
      <c r="B129" s="138">
        <v>33</v>
      </c>
      <c r="C129" s="138">
        <v>6</v>
      </c>
      <c r="D129" s="47">
        <v>1500</v>
      </c>
      <c r="E129" s="7">
        <f t="shared" si="8"/>
        <v>9000</v>
      </c>
      <c r="F129" s="7">
        <f t="shared" si="9"/>
        <v>297000</v>
      </c>
      <c r="G129" s="102" t="s">
        <v>251</v>
      </c>
      <c r="I129" s="145">
        <v>1300</v>
      </c>
    </row>
    <row r="130" spans="1:9" x14ac:dyDescent="0.25">
      <c r="A130" s="102" t="s">
        <v>230</v>
      </c>
      <c r="B130" s="138">
        <v>33</v>
      </c>
      <c r="C130" s="138">
        <v>6</v>
      </c>
      <c r="D130" s="47">
        <v>1000</v>
      </c>
      <c r="E130" s="7">
        <f t="shared" si="8"/>
        <v>6000</v>
      </c>
      <c r="F130" s="7">
        <f t="shared" si="9"/>
        <v>198000</v>
      </c>
      <c r="G130" s="102" t="s">
        <v>252</v>
      </c>
      <c r="I130" s="145">
        <v>800</v>
      </c>
    </row>
    <row r="131" spans="1:9" ht="18.75" x14ac:dyDescent="0.4">
      <c r="A131" s="257" t="s">
        <v>253</v>
      </c>
      <c r="B131" s="257"/>
      <c r="C131" s="262" t="s">
        <v>17</v>
      </c>
      <c r="D131" s="262"/>
      <c r="E131" s="134">
        <f>SUM(F118:F130)</f>
        <v>1883480</v>
      </c>
      <c r="F131" s="280"/>
      <c r="G131" s="281"/>
    </row>
    <row r="132" spans="1:9" ht="18.75" x14ac:dyDescent="0.4">
      <c r="A132" s="257"/>
      <c r="B132" s="257"/>
      <c r="C132" s="262" t="s">
        <v>244</v>
      </c>
      <c r="D132" s="262"/>
      <c r="E132" s="135">
        <v>290000</v>
      </c>
      <c r="F132" s="282"/>
      <c r="G132" s="283"/>
      <c r="H132" s="96"/>
    </row>
    <row r="133" spans="1:9" ht="18.75" x14ac:dyDescent="0.4">
      <c r="A133" s="257"/>
      <c r="B133" s="257"/>
      <c r="C133" s="262" t="s">
        <v>17</v>
      </c>
      <c r="D133" s="262"/>
      <c r="E133" s="150">
        <f>SUM(E131:E132)</f>
        <v>2173480</v>
      </c>
      <c r="F133" s="284"/>
      <c r="G133" s="285"/>
    </row>
    <row r="134" spans="1:9" ht="15.75" thickBot="1" x14ac:dyDescent="0.3"/>
    <row r="135" spans="1:9" ht="18.75" x14ac:dyDescent="0.3">
      <c r="A135" s="250" t="s">
        <v>205</v>
      </c>
      <c r="B135" s="251"/>
      <c r="C135" s="251"/>
      <c r="D135" s="251"/>
      <c r="E135" s="252"/>
    </row>
    <row r="136" spans="1:9" ht="18.75" x14ac:dyDescent="0.3">
      <c r="A136" s="253" t="s">
        <v>240</v>
      </c>
      <c r="B136" s="254"/>
      <c r="C136" s="254"/>
      <c r="D136" s="254"/>
      <c r="E136" s="255"/>
    </row>
    <row r="137" spans="1:9" x14ac:dyDescent="0.25">
      <c r="A137" s="80" t="s">
        <v>3</v>
      </c>
      <c r="B137" s="23">
        <v>13765</v>
      </c>
      <c r="C137" s="23"/>
      <c r="D137" s="23"/>
      <c r="E137" s="81" t="s">
        <v>22</v>
      </c>
    </row>
    <row r="138" spans="1:9" x14ac:dyDescent="0.25">
      <c r="A138" s="82"/>
      <c r="B138" s="25">
        <v>46174</v>
      </c>
      <c r="C138" s="25"/>
      <c r="D138" s="25"/>
      <c r="E138" s="83">
        <v>46173</v>
      </c>
    </row>
    <row r="139" spans="1:9" x14ac:dyDescent="0.25">
      <c r="A139" s="84" t="s">
        <v>77</v>
      </c>
      <c r="B139" s="29">
        <v>3</v>
      </c>
      <c r="C139" s="29"/>
      <c r="D139" s="29"/>
      <c r="E139" s="85">
        <f>SUM(B139:D139)</f>
        <v>3</v>
      </c>
    </row>
    <row r="140" spans="1:9" x14ac:dyDescent="0.25">
      <c r="A140" s="84" t="s">
        <v>143</v>
      </c>
      <c r="B140" s="29">
        <v>6</v>
      </c>
      <c r="C140" s="29"/>
      <c r="D140" s="29"/>
      <c r="E140" s="85">
        <f>SUM(B140:D140)</f>
        <v>6</v>
      </c>
    </row>
    <row r="141" spans="1:9" x14ac:dyDescent="0.25">
      <c r="A141" s="84" t="s">
        <v>238</v>
      </c>
      <c r="B141" s="29">
        <v>6</v>
      </c>
      <c r="C141" s="29"/>
      <c r="D141" s="29"/>
      <c r="E141" s="85">
        <f>SUM(B141:D141)</f>
        <v>6</v>
      </c>
    </row>
    <row r="142" spans="1:9" x14ac:dyDescent="0.25">
      <c r="A142" s="84" t="s">
        <v>222</v>
      </c>
      <c r="B142" s="29">
        <v>6</v>
      </c>
      <c r="C142" s="29"/>
      <c r="D142" s="29"/>
      <c r="E142" s="85">
        <f>SUM(B142:D142)</f>
        <v>6</v>
      </c>
    </row>
    <row r="143" spans="1:9" x14ac:dyDescent="0.25">
      <c r="A143" s="82" t="s">
        <v>32</v>
      </c>
      <c r="B143" s="32">
        <v>0.45833333333333331</v>
      </c>
      <c r="C143" s="32"/>
      <c r="D143" s="32"/>
      <c r="E143" s="142"/>
    </row>
    <row r="144" spans="1:9" ht="15.75" thickBot="1" x14ac:dyDescent="0.3">
      <c r="A144" s="88" t="s">
        <v>33</v>
      </c>
      <c r="B144" s="89" t="s">
        <v>239</v>
      </c>
      <c r="C144" s="89"/>
      <c r="D144" s="89"/>
      <c r="E144" s="143"/>
    </row>
    <row r="145" spans="1:13" ht="15.75" thickBot="1" x14ac:dyDescent="0.3"/>
    <row r="146" spans="1:13" ht="15.75" thickBot="1" x14ac:dyDescent="0.3">
      <c r="A146" s="272" t="s">
        <v>64</v>
      </c>
      <c r="B146" s="273"/>
      <c r="C146" s="273"/>
      <c r="D146" s="273"/>
      <c r="E146" s="273"/>
      <c r="F146" s="274"/>
    </row>
    <row r="147" spans="1:13" x14ac:dyDescent="0.25">
      <c r="A147" s="272" t="s">
        <v>65</v>
      </c>
      <c r="B147" s="273"/>
      <c r="C147" s="273"/>
      <c r="D147" s="273"/>
      <c r="E147" s="273"/>
      <c r="F147" s="274"/>
    </row>
    <row r="148" spans="1:13" ht="18" x14ac:dyDescent="0.25">
      <c r="A148" s="248" t="s">
        <v>234</v>
      </c>
      <c r="B148" s="249"/>
      <c r="C148" s="249"/>
      <c r="D148" s="249"/>
      <c r="E148" s="249"/>
      <c r="F148" s="275"/>
    </row>
    <row r="149" spans="1:13" x14ac:dyDescent="0.25">
      <c r="A149" s="276" t="s">
        <v>3</v>
      </c>
      <c r="B149" s="277" t="s">
        <v>4</v>
      </c>
      <c r="C149" s="277"/>
      <c r="D149" s="277"/>
      <c r="E149" s="277" t="s">
        <v>5</v>
      </c>
      <c r="F149" s="278"/>
    </row>
    <row r="150" spans="1:13" x14ac:dyDescent="0.25">
      <c r="A150" s="276"/>
      <c r="B150" s="1" t="s">
        <v>6</v>
      </c>
      <c r="C150" s="43" t="s">
        <v>7</v>
      </c>
      <c r="D150" s="1" t="s">
        <v>8</v>
      </c>
      <c r="E150" s="1" t="s">
        <v>9</v>
      </c>
      <c r="F150" s="2" t="s">
        <v>10</v>
      </c>
    </row>
    <row r="151" spans="1:13" ht="18.75" x14ac:dyDescent="0.4">
      <c r="A151" s="44" t="s">
        <v>77</v>
      </c>
      <c r="B151" s="1">
        <v>5</v>
      </c>
      <c r="C151" s="137">
        <v>3</v>
      </c>
      <c r="D151" s="46">
        <v>300</v>
      </c>
      <c r="E151" s="7">
        <f>C151*D151</f>
        <v>900</v>
      </c>
      <c r="F151" s="8">
        <f>B151*E151</f>
        <v>4500</v>
      </c>
      <c r="I151" s="53" t="s">
        <v>367</v>
      </c>
      <c r="J151" s="54"/>
      <c r="K151" s="54"/>
      <c r="L151" s="54"/>
      <c r="M151" s="55">
        <v>453900</v>
      </c>
    </row>
    <row r="152" spans="1:13" x14ac:dyDescent="0.25">
      <c r="A152" s="3" t="s">
        <v>143</v>
      </c>
      <c r="B152" s="4">
        <v>5</v>
      </c>
      <c r="C152" s="138">
        <v>6</v>
      </c>
      <c r="D152" s="47">
        <v>300</v>
      </c>
      <c r="E152" s="7">
        <f>C152*D152</f>
        <v>1800</v>
      </c>
      <c r="F152" s="8">
        <f>B152*E152</f>
        <v>9000</v>
      </c>
      <c r="I152" s="212" t="s">
        <v>368</v>
      </c>
      <c r="M152" s="36">
        <v>2415840</v>
      </c>
    </row>
    <row r="153" spans="1:13" x14ac:dyDescent="0.25">
      <c r="A153" s="3" t="s">
        <v>238</v>
      </c>
      <c r="B153" s="4">
        <v>5</v>
      </c>
      <c r="C153" s="138">
        <v>6</v>
      </c>
      <c r="D153" s="47">
        <v>280</v>
      </c>
      <c r="E153" s="7">
        <f t="shared" ref="E153" si="10">C153*D153</f>
        <v>1680</v>
      </c>
      <c r="F153" s="8">
        <f t="shared" ref="F153" si="11">B153*E153</f>
        <v>8400</v>
      </c>
      <c r="I153" s="213" t="s">
        <v>169</v>
      </c>
      <c r="J153" s="214">
        <v>46139</v>
      </c>
      <c r="K153" s="145" t="s">
        <v>241</v>
      </c>
      <c r="L153" s="145"/>
      <c r="M153" s="215">
        <v>917540</v>
      </c>
    </row>
    <row r="154" spans="1:13" x14ac:dyDescent="0.25">
      <c r="A154" s="3" t="s">
        <v>222</v>
      </c>
      <c r="B154" s="4">
        <v>5</v>
      </c>
      <c r="C154" s="138">
        <v>6</v>
      </c>
      <c r="D154" s="47">
        <v>250</v>
      </c>
      <c r="E154" s="7">
        <f t="shared" ref="E154" si="12">C154*D154</f>
        <v>1500</v>
      </c>
      <c r="F154" s="8">
        <f t="shared" ref="F154" si="13">B154*E154</f>
        <v>7500</v>
      </c>
      <c r="I154" s="213" t="s">
        <v>242</v>
      </c>
      <c r="J154" s="145"/>
      <c r="K154" s="145"/>
      <c r="L154" s="145"/>
      <c r="M154" s="215">
        <v>231504</v>
      </c>
    </row>
    <row r="155" spans="1:13" ht="18.75" x14ac:dyDescent="0.4">
      <c r="A155" s="256" t="s">
        <v>250</v>
      </c>
      <c r="B155" s="257"/>
      <c r="C155" s="262" t="s">
        <v>73</v>
      </c>
      <c r="D155" s="262"/>
      <c r="E155" s="48">
        <f>SUM(E151:E154)</f>
        <v>5880</v>
      </c>
      <c r="F155" s="17"/>
      <c r="I155" s="53" t="s">
        <v>369</v>
      </c>
      <c r="J155" s="54"/>
      <c r="K155" s="54"/>
      <c r="L155" s="54"/>
      <c r="M155" s="55">
        <v>1720966</v>
      </c>
    </row>
    <row r="156" spans="1:13" ht="19.5" thickBot="1" x14ac:dyDescent="0.45">
      <c r="A156" s="258"/>
      <c r="B156" s="259"/>
      <c r="C156" s="263" t="s">
        <v>17</v>
      </c>
      <c r="D156" s="263"/>
      <c r="E156" s="49">
        <f>SUM(F151:F154)</f>
        <v>29400</v>
      </c>
      <c r="F156" s="50"/>
    </row>
    <row r="157" spans="1:13" ht="18.75" x14ac:dyDescent="0.4">
      <c r="A157" s="258"/>
      <c r="B157" s="259"/>
      <c r="C157" s="264" t="s">
        <v>74</v>
      </c>
      <c r="D157" s="265"/>
      <c r="E157" s="51"/>
      <c r="F157" s="17"/>
    </row>
    <row r="158" spans="1:13" ht="19.5" thickBot="1" x14ac:dyDescent="0.45">
      <c r="A158" s="260"/>
      <c r="B158" s="261"/>
      <c r="C158" s="263" t="s">
        <v>17</v>
      </c>
      <c r="D158" s="263"/>
      <c r="E158" s="20">
        <f>SUM(E156:E157)</f>
        <v>29400</v>
      </c>
      <c r="F158" s="21"/>
    </row>
    <row r="160" spans="1:13" ht="18.75" x14ac:dyDescent="0.4">
      <c r="A160" s="54" t="s">
        <v>246</v>
      </c>
      <c r="B160" s="54"/>
      <c r="C160" s="54"/>
      <c r="D160" s="54"/>
      <c r="E160" s="55">
        <f>E60+E75+E90+E133+E158</f>
        <v>2891620</v>
      </c>
    </row>
    <row r="161" spans="1:7" ht="18.75" x14ac:dyDescent="0.4">
      <c r="A161" s="53" t="s">
        <v>169</v>
      </c>
      <c r="B161" s="144">
        <v>46139</v>
      </c>
      <c r="C161" s="54" t="s">
        <v>241</v>
      </c>
      <c r="D161" s="54"/>
      <c r="E161" s="57">
        <v>917540</v>
      </c>
    </row>
    <row r="162" spans="1:7" ht="18.75" x14ac:dyDescent="0.4">
      <c r="A162" s="53" t="s">
        <v>242</v>
      </c>
      <c r="B162" s="54"/>
      <c r="C162" s="54"/>
      <c r="D162" s="54"/>
      <c r="E162" s="57">
        <v>231504</v>
      </c>
    </row>
    <row r="163" spans="1:7" ht="18.75" x14ac:dyDescent="0.4">
      <c r="A163" s="53" t="s">
        <v>169</v>
      </c>
      <c r="B163" s="144">
        <v>46146</v>
      </c>
      <c r="C163" s="54" t="s">
        <v>241</v>
      </c>
      <c r="D163" s="54"/>
      <c r="E163" s="57">
        <v>1740000</v>
      </c>
    </row>
    <row r="164" spans="1:7" ht="18.75" x14ac:dyDescent="0.25">
      <c r="A164" s="53" t="s">
        <v>247</v>
      </c>
      <c r="E164" s="36">
        <f>E160-(E161+E162+E163)</f>
        <v>2576</v>
      </c>
    </row>
    <row r="167" spans="1:7" ht="15.75" thickBot="1" x14ac:dyDescent="0.3"/>
    <row r="168" spans="1:7" x14ac:dyDescent="0.25">
      <c r="A168" s="266" t="s">
        <v>64</v>
      </c>
      <c r="B168" s="267"/>
      <c r="C168" s="267"/>
      <c r="D168" s="267"/>
      <c r="E168" s="267"/>
      <c r="F168" s="267"/>
      <c r="G168" s="268"/>
    </row>
    <row r="169" spans="1:7" x14ac:dyDescent="0.25">
      <c r="A169" s="324" t="s">
        <v>65</v>
      </c>
      <c r="B169" s="287"/>
      <c r="C169" s="287"/>
      <c r="D169" s="287"/>
      <c r="E169" s="287"/>
      <c r="F169" s="287"/>
      <c r="G169" s="325"/>
    </row>
    <row r="170" spans="1:7" ht="18" x14ac:dyDescent="0.25">
      <c r="A170" s="269" t="s">
        <v>66</v>
      </c>
      <c r="B170" s="270"/>
      <c r="C170" s="270"/>
      <c r="D170" s="270"/>
      <c r="E170" s="270"/>
      <c r="F170" s="270"/>
      <c r="G170" s="326"/>
    </row>
    <row r="171" spans="1:7" x14ac:dyDescent="0.25">
      <c r="A171" s="276" t="s">
        <v>3</v>
      </c>
      <c r="B171" s="277" t="s">
        <v>4</v>
      </c>
      <c r="C171" s="277"/>
      <c r="D171" s="277"/>
      <c r="E171" s="277" t="s">
        <v>5</v>
      </c>
      <c r="F171" s="277"/>
      <c r="G171" s="327" t="s">
        <v>183</v>
      </c>
    </row>
    <row r="172" spans="1:7" x14ac:dyDescent="0.25">
      <c r="A172" s="276"/>
      <c r="B172" s="1" t="s">
        <v>6</v>
      </c>
      <c r="C172" s="43" t="s">
        <v>7</v>
      </c>
      <c r="D172" s="1" t="s">
        <v>8</v>
      </c>
      <c r="E172" s="1" t="s">
        <v>9</v>
      </c>
      <c r="F172" s="1" t="s">
        <v>10</v>
      </c>
      <c r="G172" s="327"/>
    </row>
    <row r="173" spans="1:7" x14ac:dyDescent="0.25">
      <c r="A173" s="44" t="s">
        <v>202</v>
      </c>
      <c r="B173" s="137">
        <v>30</v>
      </c>
      <c r="C173" s="45">
        <v>53</v>
      </c>
      <c r="D173" s="46">
        <v>350</v>
      </c>
      <c r="E173" s="7">
        <f>C173*D173</f>
        <v>18550</v>
      </c>
      <c r="F173" s="7">
        <f>B173*E173</f>
        <v>556500</v>
      </c>
      <c r="G173" s="133"/>
    </row>
    <row r="174" spans="1:7" x14ac:dyDescent="0.25">
      <c r="A174" s="44" t="s">
        <v>225</v>
      </c>
      <c r="B174" s="137">
        <v>30</v>
      </c>
      <c r="C174" s="45">
        <v>2</v>
      </c>
      <c r="D174" s="46">
        <v>320</v>
      </c>
      <c r="E174" s="7">
        <f t="shared" ref="E174:E182" si="14">C174*D174</f>
        <v>640</v>
      </c>
      <c r="F174" s="7">
        <f t="shared" ref="F174:F182" si="15">B174*E174</f>
        <v>19200</v>
      </c>
      <c r="G174" s="133"/>
    </row>
    <row r="175" spans="1:7" x14ac:dyDescent="0.25">
      <c r="A175" s="3" t="s">
        <v>226</v>
      </c>
      <c r="B175" s="138">
        <v>30</v>
      </c>
      <c r="C175" s="45">
        <v>5</v>
      </c>
      <c r="D175" s="47">
        <v>220</v>
      </c>
      <c r="E175" s="7">
        <f t="shared" si="14"/>
        <v>1100</v>
      </c>
      <c r="F175" s="7">
        <f t="shared" si="15"/>
        <v>33000</v>
      </c>
      <c r="G175" s="133"/>
    </row>
    <row r="176" spans="1:7" x14ac:dyDescent="0.25">
      <c r="A176" s="3" t="s">
        <v>106</v>
      </c>
      <c r="B176" s="138">
        <v>30</v>
      </c>
      <c r="C176" s="45">
        <v>6</v>
      </c>
      <c r="D176" s="47">
        <v>300</v>
      </c>
      <c r="E176" s="7">
        <f t="shared" si="14"/>
        <v>1800</v>
      </c>
      <c r="F176" s="7">
        <f t="shared" si="15"/>
        <v>54000</v>
      </c>
      <c r="G176" s="133"/>
    </row>
    <row r="177" spans="1:7" x14ac:dyDescent="0.25">
      <c r="A177" s="3" t="s">
        <v>227</v>
      </c>
      <c r="B177" s="138">
        <v>30</v>
      </c>
      <c r="C177" s="5">
        <v>60</v>
      </c>
      <c r="D177" s="47">
        <v>200</v>
      </c>
      <c r="E177" s="7">
        <f t="shared" si="14"/>
        <v>12000</v>
      </c>
      <c r="F177" s="7">
        <f t="shared" si="15"/>
        <v>360000</v>
      </c>
      <c r="G177" s="133"/>
    </row>
    <row r="178" spans="1:7" x14ac:dyDescent="0.25">
      <c r="A178" s="3" t="s">
        <v>25</v>
      </c>
      <c r="B178" s="138">
        <v>30</v>
      </c>
      <c r="C178" s="5">
        <v>25</v>
      </c>
      <c r="D178" s="47">
        <v>180</v>
      </c>
      <c r="E178" s="7">
        <f t="shared" si="14"/>
        <v>4500</v>
      </c>
      <c r="F178" s="7">
        <f t="shared" si="15"/>
        <v>135000</v>
      </c>
      <c r="G178" s="133"/>
    </row>
    <row r="179" spans="1:7" x14ac:dyDescent="0.25">
      <c r="A179" s="3" t="s">
        <v>228</v>
      </c>
      <c r="B179" s="138">
        <v>30</v>
      </c>
      <c r="C179" s="5">
        <v>3</v>
      </c>
      <c r="D179" s="47">
        <v>180</v>
      </c>
      <c r="E179" s="7">
        <f t="shared" si="14"/>
        <v>540</v>
      </c>
      <c r="F179" s="7">
        <f t="shared" si="15"/>
        <v>16200</v>
      </c>
      <c r="G179" s="133"/>
    </row>
    <row r="180" spans="1:7" x14ac:dyDescent="0.25">
      <c r="A180" s="3" t="s">
        <v>229</v>
      </c>
      <c r="B180" s="138">
        <v>30</v>
      </c>
      <c r="C180" s="5">
        <v>6</v>
      </c>
      <c r="D180" s="47">
        <v>175</v>
      </c>
      <c r="E180" s="7">
        <f t="shared" si="14"/>
        <v>1050</v>
      </c>
      <c r="F180" s="7">
        <f t="shared" si="15"/>
        <v>31500</v>
      </c>
      <c r="G180" s="133"/>
    </row>
    <row r="181" spans="1:7" x14ac:dyDescent="0.25">
      <c r="A181" s="3" t="s">
        <v>109</v>
      </c>
      <c r="B181" s="138">
        <v>30</v>
      </c>
      <c r="C181" s="5">
        <v>6</v>
      </c>
      <c r="D181" s="47">
        <v>1500</v>
      </c>
      <c r="E181" s="7">
        <f t="shared" si="14"/>
        <v>9000</v>
      </c>
      <c r="F181" s="7">
        <f t="shared" si="15"/>
        <v>270000</v>
      </c>
      <c r="G181" s="133"/>
    </row>
    <row r="182" spans="1:7" x14ac:dyDescent="0.25">
      <c r="A182" s="3" t="s">
        <v>230</v>
      </c>
      <c r="B182" s="138">
        <v>30</v>
      </c>
      <c r="C182" s="5">
        <v>6</v>
      </c>
      <c r="D182" s="47">
        <v>1000</v>
      </c>
      <c r="E182" s="7">
        <f t="shared" si="14"/>
        <v>6000</v>
      </c>
      <c r="F182" s="7">
        <f t="shared" si="15"/>
        <v>180000</v>
      </c>
      <c r="G182" s="133"/>
    </row>
    <row r="183" spans="1:7" ht="18.75" x14ac:dyDescent="0.4">
      <c r="A183" s="256" t="s">
        <v>259</v>
      </c>
      <c r="B183" s="257"/>
      <c r="C183" s="262" t="s">
        <v>17</v>
      </c>
      <c r="D183" s="262"/>
      <c r="E183" s="134">
        <f>SUM(F173:F182)</f>
        <v>1655400</v>
      </c>
      <c r="F183" s="280"/>
      <c r="G183" s="321"/>
    </row>
    <row r="184" spans="1:7" ht="19.5" thickBot="1" x14ac:dyDescent="0.45">
      <c r="A184" s="260"/>
      <c r="B184" s="261"/>
      <c r="C184" s="263" t="s">
        <v>94</v>
      </c>
      <c r="D184" s="263"/>
      <c r="E184" s="159"/>
      <c r="F184" s="322"/>
      <c r="G184" s="323"/>
    </row>
    <row r="185" spans="1:7" x14ac:dyDescent="0.25">
      <c r="A185" t="s">
        <v>260</v>
      </c>
    </row>
    <row r="186" spans="1:7" x14ac:dyDescent="0.25">
      <c r="A186" s="211" t="s">
        <v>241</v>
      </c>
      <c r="C186" t="s">
        <v>366</v>
      </c>
      <c r="E186" s="35">
        <v>1000000</v>
      </c>
    </row>
    <row r="190" spans="1:7" ht="18" customHeight="1" x14ac:dyDescent="0.25"/>
  </sheetData>
  <mergeCells count="77">
    <mergeCell ref="A183:B184"/>
    <mergeCell ref="C183:D183"/>
    <mergeCell ref="F183:G184"/>
    <mergeCell ref="C184:D184"/>
    <mergeCell ref="A168:G168"/>
    <mergeCell ref="A169:G169"/>
    <mergeCell ref="A170:G170"/>
    <mergeCell ref="A171:A172"/>
    <mergeCell ref="B171:D171"/>
    <mergeCell ref="E171:F171"/>
    <mergeCell ref="G171:G172"/>
    <mergeCell ref="A1:L1"/>
    <mergeCell ref="A2:L2"/>
    <mergeCell ref="A3:L3"/>
    <mergeCell ref="G65:G66"/>
    <mergeCell ref="A62:G62"/>
    <mergeCell ref="A63:G63"/>
    <mergeCell ref="A64:G64"/>
    <mergeCell ref="A41:F41"/>
    <mergeCell ref="A42:F42"/>
    <mergeCell ref="A43:F43"/>
    <mergeCell ref="A44:A45"/>
    <mergeCell ref="B44:D44"/>
    <mergeCell ref="E44:F44"/>
    <mergeCell ref="A65:A66"/>
    <mergeCell ref="B65:D65"/>
    <mergeCell ref="A57:B60"/>
    <mergeCell ref="A155:B158"/>
    <mergeCell ref="C155:D155"/>
    <mergeCell ref="C156:D156"/>
    <mergeCell ref="C157:D157"/>
    <mergeCell ref="C158:D158"/>
    <mergeCell ref="A146:F146"/>
    <mergeCell ref="A147:F147"/>
    <mergeCell ref="A148:F148"/>
    <mergeCell ref="A149:A150"/>
    <mergeCell ref="B149:D149"/>
    <mergeCell ref="E149:F149"/>
    <mergeCell ref="A136:E136"/>
    <mergeCell ref="A87:B90"/>
    <mergeCell ref="C87:D87"/>
    <mergeCell ref="C88:D88"/>
    <mergeCell ref="C89:D89"/>
    <mergeCell ref="C90:D90"/>
    <mergeCell ref="A116:A117"/>
    <mergeCell ref="B116:D116"/>
    <mergeCell ref="E116:F116"/>
    <mergeCell ref="A131:B133"/>
    <mergeCell ref="C131:D131"/>
    <mergeCell ref="C132:D132"/>
    <mergeCell ref="C133:D133"/>
    <mergeCell ref="A94:F94"/>
    <mergeCell ref="A95:F95"/>
    <mergeCell ref="A81:F81"/>
    <mergeCell ref="C73:D73"/>
    <mergeCell ref="C74:D74"/>
    <mergeCell ref="C75:D75"/>
    <mergeCell ref="A135:E135"/>
    <mergeCell ref="F72:G75"/>
    <mergeCell ref="A80:F80"/>
    <mergeCell ref="A72:B75"/>
    <mergeCell ref="C57:D57"/>
    <mergeCell ref="C58:D58"/>
    <mergeCell ref="C59:D59"/>
    <mergeCell ref="C60:D60"/>
    <mergeCell ref="F131:G133"/>
    <mergeCell ref="E65:F65"/>
    <mergeCell ref="C72:D72"/>
    <mergeCell ref="G116:G117"/>
    <mergeCell ref="A113:G113"/>
    <mergeCell ref="A114:G114"/>
    <mergeCell ref="A115:G115"/>
    <mergeCell ref="A82:F82"/>
    <mergeCell ref="A83:A84"/>
    <mergeCell ref="B83:D83"/>
    <mergeCell ref="E83:F83"/>
    <mergeCell ref="A96:F96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5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61948-70A7-456A-B0B4-C0FB433B6384}">
  <dimension ref="A1:B1"/>
  <sheetViews>
    <sheetView workbookViewId="0">
      <selection activeCell="B13" sqref="B13"/>
    </sheetView>
  </sheetViews>
  <sheetFormatPr baseColWidth="10" defaultRowHeight="15" x14ac:dyDescent="0.25"/>
  <cols>
    <col min="2" max="2" width="13" bestFit="1" customWidth="1"/>
  </cols>
  <sheetData>
    <row r="1" spans="1:2" x14ac:dyDescent="0.25">
      <c r="A1" t="s">
        <v>249</v>
      </c>
      <c r="B1" s="35">
        <v>300000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B43A4-8F1D-4CD1-A640-86A17E615D15}">
  <sheetPr>
    <pageSetUpPr fitToPage="1"/>
  </sheetPr>
  <dimension ref="A1:H144"/>
  <sheetViews>
    <sheetView topLeftCell="A21" workbookViewId="0">
      <selection activeCell="A35" sqref="A35:I110"/>
    </sheetView>
  </sheetViews>
  <sheetFormatPr baseColWidth="10" defaultRowHeight="15" x14ac:dyDescent="0.25"/>
  <cols>
    <col min="1" max="1" width="30.42578125" customWidth="1"/>
    <col min="5" max="5" width="16.7109375" bestFit="1" customWidth="1"/>
    <col min="6" max="6" width="16.7109375" customWidth="1"/>
    <col min="7" max="7" width="21.85546875" customWidth="1"/>
  </cols>
  <sheetData>
    <row r="1" spans="1:7" ht="18.75" x14ac:dyDescent="0.3">
      <c r="A1" s="250" t="s">
        <v>175</v>
      </c>
      <c r="B1" s="251"/>
      <c r="C1" s="251"/>
      <c r="D1" s="251"/>
      <c r="E1" s="251"/>
      <c r="F1" s="251"/>
    </row>
    <row r="2" spans="1:7" ht="18.75" x14ac:dyDescent="0.3">
      <c r="A2" s="253" t="s">
        <v>176</v>
      </c>
      <c r="B2" s="254"/>
      <c r="C2" s="254"/>
      <c r="D2" s="254"/>
      <c r="E2" s="254"/>
      <c r="F2" s="254"/>
    </row>
    <row r="3" spans="1:7" ht="18.75" x14ac:dyDescent="0.3">
      <c r="A3" s="253" t="s">
        <v>177</v>
      </c>
      <c r="B3" s="254"/>
      <c r="C3" s="254"/>
      <c r="D3" s="254"/>
      <c r="E3" s="254"/>
      <c r="F3" s="254"/>
    </row>
    <row r="4" spans="1:7" x14ac:dyDescent="0.25">
      <c r="A4" s="22" t="s">
        <v>3</v>
      </c>
      <c r="B4" s="23" t="s">
        <v>22</v>
      </c>
      <c r="C4" s="23">
        <v>13556</v>
      </c>
      <c r="D4" s="23">
        <v>13595</v>
      </c>
      <c r="E4" s="23">
        <v>13302</v>
      </c>
      <c r="F4" s="23" t="s">
        <v>22</v>
      </c>
    </row>
    <row r="5" spans="1:7" x14ac:dyDescent="0.25">
      <c r="A5" s="24"/>
      <c r="B5" s="25">
        <v>46108</v>
      </c>
      <c r="C5" s="25">
        <v>46125</v>
      </c>
      <c r="D5" s="25">
        <v>46134</v>
      </c>
      <c r="E5" s="25">
        <v>46142</v>
      </c>
      <c r="F5" s="25">
        <v>46147</v>
      </c>
    </row>
    <row r="6" spans="1:7" x14ac:dyDescent="0.25">
      <c r="A6" s="42" t="s">
        <v>103</v>
      </c>
      <c r="B6" s="28">
        <v>4</v>
      </c>
      <c r="C6" s="29"/>
      <c r="D6" s="28">
        <v>8</v>
      </c>
      <c r="E6" s="29">
        <v>-4</v>
      </c>
      <c r="F6" s="30">
        <f t="shared" ref="F6:F11" si="0">SUM(B6:E6)</f>
        <v>8</v>
      </c>
    </row>
    <row r="7" spans="1:7" x14ac:dyDescent="0.25">
      <c r="A7" s="42" t="s">
        <v>178</v>
      </c>
      <c r="B7" s="28">
        <v>4</v>
      </c>
      <c r="C7" s="29"/>
      <c r="D7" s="28">
        <v>8</v>
      </c>
      <c r="E7" s="29">
        <v>-4</v>
      </c>
      <c r="F7" s="30">
        <f t="shared" si="0"/>
        <v>8</v>
      </c>
    </row>
    <row r="8" spans="1:7" x14ac:dyDescent="0.25">
      <c r="A8" s="42" t="s">
        <v>104</v>
      </c>
      <c r="B8" s="28">
        <v>4</v>
      </c>
      <c r="C8" s="29">
        <v>8</v>
      </c>
      <c r="D8" s="28">
        <v>6</v>
      </c>
      <c r="E8" s="29"/>
      <c r="F8" s="30">
        <f t="shared" si="0"/>
        <v>18</v>
      </c>
    </row>
    <row r="9" spans="1:7" x14ac:dyDescent="0.25">
      <c r="A9" s="42" t="s">
        <v>179</v>
      </c>
      <c r="B9" s="28"/>
      <c r="C9" s="29">
        <v>3</v>
      </c>
      <c r="D9" s="29"/>
      <c r="E9" s="29"/>
      <c r="F9" s="30">
        <f t="shared" si="0"/>
        <v>3</v>
      </c>
    </row>
    <row r="10" spans="1:7" x14ac:dyDescent="0.25">
      <c r="A10" s="42" t="s">
        <v>26</v>
      </c>
      <c r="B10" s="28"/>
      <c r="C10" s="29">
        <v>6</v>
      </c>
      <c r="D10" s="28">
        <v>15</v>
      </c>
      <c r="E10" s="29">
        <v>-10</v>
      </c>
      <c r="F10" s="30">
        <f t="shared" si="0"/>
        <v>11</v>
      </c>
    </row>
    <row r="11" spans="1:7" x14ac:dyDescent="0.25">
      <c r="A11" s="42" t="s">
        <v>180</v>
      </c>
      <c r="B11" s="28"/>
      <c r="C11" s="29"/>
      <c r="D11" s="29">
        <v>6</v>
      </c>
      <c r="E11" s="29">
        <v>-6</v>
      </c>
      <c r="F11" s="30">
        <f t="shared" si="0"/>
        <v>0</v>
      </c>
    </row>
    <row r="12" spans="1:7" x14ac:dyDescent="0.25">
      <c r="A12" s="24" t="s">
        <v>32</v>
      </c>
      <c r="B12" s="131"/>
      <c r="C12" s="32">
        <v>0.35833333333333334</v>
      </c>
      <c r="D12" s="31">
        <v>0.45833333333333331</v>
      </c>
      <c r="E12" s="32">
        <v>0.40972222222222221</v>
      </c>
      <c r="F12" s="33"/>
    </row>
    <row r="13" spans="1:7" x14ac:dyDescent="0.25">
      <c r="A13" s="24" t="s">
        <v>33</v>
      </c>
      <c r="B13" s="132"/>
      <c r="C13" s="34"/>
      <c r="D13" s="34">
        <v>35000</v>
      </c>
      <c r="E13" s="34">
        <v>35000</v>
      </c>
      <c r="F13" s="38">
        <f>SUM(C13:E13)</f>
        <v>70000</v>
      </c>
    </row>
    <row r="14" spans="1:7" ht="15.75" thickBot="1" x14ac:dyDescent="0.3"/>
    <row r="15" spans="1:7" x14ac:dyDescent="0.25">
      <c r="A15" s="272" t="s">
        <v>0</v>
      </c>
      <c r="B15" s="273"/>
      <c r="C15" s="273"/>
      <c r="D15" s="273"/>
      <c r="E15" s="273"/>
      <c r="F15" s="273"/>
      <c r="G15" s="274"/>
    </row>
    <row r="16" spans="1:7" x14ac:dyDescent="0.25">
      <c r="A16" s="331" t="s">
        <v>181</v>
      </c>
      <c r="B16" s="332"/>
      <c r="C16" s="332"/>
      <c r="D16" s="332"/>
      <c r="E16" s="332"/>
      <c r="F16" s="332"/>
      <c r="G16" s="333"/>
    </row>
    <row r="17" spans="1:7" ht="18" x14ac:dyDescent="0.25">
      <c r="A17" s="269" t="s">
        <v>182</v>
      </c>
      <c r="B17" s="270"/>
      <c r="C17" s="270"/>
      <c r="D17" s="270"/>
      <c r="E17" s="270"/>
      <c r="F17" s="270"/>
      <c r="G17" s="326"/>
    </row>
    <row r="18" spans="1:7" x14ac:dyDescent="0.25">
      <c r="A18" s="276" t="s">
        <v>3</v>
      </c>
      <c r="B18" s="277" t="s">
        <v>4</v>
      </c>
      <c r="C18" s="277"/>
      <c r="D18" s="277"/>
      <c r="E18" s="277" t="s">
        <v>5</v>
      </c>
      <c r="F18" s="277"/>
      <c r="G18" s="327" t="s">
        <v>183</v>
      </c>
    </row>
    <row r="19" spans="1:7" x14ac:dyDescent="0.25">
      <c r="A19" s="276"/>
      <c r="B19" s="1" t="s">
        <v>6</v>
      </c>
      <c r="C19" s="1" t="s">
        <v>7</v>
      </c>
      <c r="D19" s="1" t="s">
        <v>8</v>
      </c>
      <c r="E19" s="1" t="s">
        <v>9</v>
      </c>
      <c r="F19" s="1" t="s">
        <v>10</v>
      </c>
      <c r="G19" s="327"/>
    </row>
    <row r="20" spans="1:7" x14ac:dyDescent="0.25">
      <c r="A20" s="3" t="s">
        <v>184</v>
      </c>
      <c r="B20" s="5">
        <v>26</v>
      </c>
      <c r="C20" s="4">
        <v>2</v>
      </c>
      <c r="D20" s="47">
        <v>1500</v>
      </c>
      <c r="E20" s="7">
        <f t="shared" ref="E20:E30" si="1">C20*D20</f>
        <v>3000</v>
      </c>
      <c r="F20" s="7">
        <f t="shared" ref="F20:F30" si="2">B20*E20</f>
        <v>78000</v>
      </c>
      <c r="G20" s="161" t="s">
        <v>185</v>
      </c>
    </row>
    <row r="21" spans="1:7" x14ac:dyDescent="0.25">
      <c r="A21" s="3" t="s">
        <v>184</v>
      </c>
      <c r="B21" s="5">
        <v>8</v>
      </c>
      <c r="C21" s="4">
        <v>6</v>
      </c>
      <c r="D21" s="47">
        <v>1500</v>
      </c>
      <c r="E21" s="7">
        <f t="shared" si="1"/>
        <v>9000</v>
      </c>
      <c r="F21" s="7">
        <f t="shared" si="2"/>
        <v>72000</v>
      </c>
      <c r="G21" s="161" t="s">
        <v>186</v>
      </c>
    </row>
    <row r="22" spans="1:7" x14ac:dyDescent="0.25">
      <c r="A22" s="3" t="s">
        <v>184</v>
      </c>
      <c r="B22" s="5">
        <v>6</v>
      </c>
      <c r="C22" s="4">
        <v>4</v>
      </c>
      <c r="D22" s="47">
        <v>1500</v>
      </c>
      <c r="E22" s="7">
        <f t="shared" si="1"/>
        <v>6000</v>
      </c>
      <c r="F22" s="7">
        <f t="shared" si="2"/>
        <v>36000</v>
      </c>
      <c r="G22" s="161" t="s">
        <v>187</v>
      </c>
    </row>
    <row r="23" spans="1:7" x14ac:dyDescent="0.25">
      <c r="A23" s="3" t="s">
        <v>188</v>
      </c>
      <c r="B23" s="5">
        <v>17</v>
      </c>
      <c r="C23" s="4">
        <v>4</v>
      </c>
      <c r="D23" s="47">
        <v>1000</v>
      </c>
      <c r="E23" s="7">
        <f t="shared" si="1"/>
        <v>4000</v>
      </c>
      <c r="F23" s="7">
        <f t="shared" si="2"/>
        <v>68000</v>
      </c>
      <c r="G23" s="161" t="s">
        <v>189</v>
      </c>
    </row>
    <row r="24" spans="1:7" x14ac:dyDescent="0.25">
      <c r="A24" s="3" t="s">
        <v>188</v>
      </c>
      <c r="B24" s="5">
        <v>9</v>
      </c>
      <c r="C24" s="4">
        <v>12</v>
      </c>
      <c r="D24" s="47">
        <v>1000</v>
      </c>
      <c r="E24" s="7">
        <f t="shared" si="1"/>
        <v>12000</v>
      </c>
      <c r="F24" s="7">
        <f t="shared" si="2"/>
        <v>108000</v>
      </c>
      <c r="G24" s="161" t="s">
        <v>190</v>
      </c>
    </row>
    <row r="25" spans="1:7" x14ac:dyDescent="0.25">
      <c r="A25" s="3" t="s">
        <v>188</v>
      </c>
      <c r="B25" s="5">
        <v>14</v>
      </c>
      <c r="C25" s="4">
        <v>18</v>
      </c>
      <c r="D25" s="47">
        <v>1000</v>
      </c>
      <c r="E25" s="7">
        <f t="shared" si="1"/>
        <v>18000</v>
      </c>
      <c r="F25" s="7">
        <f t="shared" si="2"/>
        <v>252000</v>
      </c>
      <c r="G25" s="161" t="s">
        <v>191</v>
      </c>
    </row>
    <row r="26" spans="1:7" x14ac:dyDescent="0.25">
      <c r="A26" s="3" t="s">
        <v>192</v>
      </c>
      <c r="B26" s="5">
        <v>23</v>
      </c>
      <c r="C26" s="4">
        <v>3</v>
      </c>
      <c r="D26" s="47">
        <v>300</v>
      </c>
      <c r="E26" s="7">
        <f t="shared" si="1"/>
        <v>900</v>
      </c>
      <c r="F26" s="7">
        <f t="shared" si="2"/>
        <v>20700</v>
      </c>
      <c r="G26" s="133" t="s">
        <v>193</v>
      </c>
    </row>
    <row r="27" spans="1:7" x14ac:dyDescent="0.25">
      <c r="A27" s="3" t="s">
        <v>194</v>
      </c>
      <c r="B27" s="5">
        <v>8</v>
      </c>
      <c r="C27" s="4">
        <v>6</v>
      </c>
      <c r="D27" s="47">
        <v>200</v>
      </c>
      <c r="E27" s="7">
        <f t="shared" si="1"/>
        <v>1200</v>
      </c>
      <c r="F27" s="7">
        <f t="shared" si="2"/>
        <v>9600</v>
      </c>
      <c r="G27" s="133" t="s">
        <v>190</v>
      </c>
    </row>
    <row r="28" spans="1:7" x14ac:dyDescent="0.25">
      <c r="A28" s="3" t="s">
        <v>194</v>
      </c>
      <c r="B28" s="5">
        <v>8</v>
      </c>
      <c r="C28" s="4">
        <v>21</v>
      </c>
      <c r="D28" s="47">
        <v>200</v>
      </c>
      <c r="E28" s="7">
        <f t="shared" si="1"/>
        <v>4200</v>
      </c>
      <c r="F28" s="7">
        <f t="shared" si="2"/>
        <v>33600</v>
      </c>
      <c r="G28" s="133" t="s">
        <v>186</v>
      </c>
    </row>
    <row r="29" spans="1:7" x14ac:dyDescent="0.25">
      <c r="A29" s="3" t="s">
        <v>194</v>
      </c>
      <c r="B29" s="5">
        <v>6</v>
      </c>
      <c r="C29" s="4">
        <v>21</v>
      </c>
      <c r="D29" s="47">
        <v>200</v>
      </c>
      <c r="E29" s="7">
        <f t="shared" si="1"/>
        <v>4200</v>
      </c>
      <c r="F29" s="7">
        <f t="shared" si="2"/>
        <v>25200</v>
      </c>
      <c r="G29" s="133" t="s">
        <v>187</v>
      </c>
    </row>
    <row r="30" spans="1:7" x14ac:dyDescent="0.25">
      <c r="A30" s="3" t="s">
        <v>180</v>
      </c>
      <c r="B30" s="5">
        <v>8</v>
      </c>
      <c r="C30" s="4">
        <v>6</v>
      </c>
      <c r="D30" s="47">
        <v>180</v>
      </c>
      <c r="E30" s="7">
        <f t="shared" si="1"/>
        <v>1080</v>
      </c>
      <c r="F30" s="7">
        <f t="shared" si="2"/>
        <v>8640</v>
      </c>
      <c r="G30" s="133" t="s">
        <v>186</v>
      </c>
    </row>
    <row r="31" spans="1:7" ht="18.75" x14ac:dyDescent="0.4">
      <c r="A31" s="256" t="s">
        <v>195</v>
      </c>
      <c r="B31" s="257"/>
      <c r="C31" s="262" t="s">
        <v>17</v>
      </c>
      <c r="D31" s="262"/>
      <c r="E31" s="134">
        <f>SUM(F20:F30)</f>
        <v>711740</v>
      </c>
      <c r="F31" s="280"/>
      <c r="G31" s="321"/>
    </row>
    <row r="32" spans="1:7" ht="18.75" x14ac:dyDescent="0.4">
      <c r="A32" s="256"/>
      <c r="B32" s="257"/>
      <c r="C32" s="262" t="s">
        <v>18</v>
      </c>
      <c r="D32" s="262"/>
      <c r="E32" s="135">
        <v>70000</v>
      </c>
      <c r="F32" s="282"/>
      <c r="G32" s="330"/>
    </row>
    <row r="33" spans="1:7" ht="19.5" thickBot="1" x14ac:dyDescent="0.45">
      <c r="A33" s="260"/>
      <c r="B33" s="261"/>
      <c r="C33" s="263" t="s">
        <v>17</v>
      </c>
      <c r="D33" s="263"/>
      <c r="E33" s="20">
        <f>SUM(E31:E32)</f>
        <v>781740</v>
      </c>
      <c r="F33" s="322"/>
      <c r="G33" s="323"/>
    </row>
    <row r="51" s="96" customFormat="1" x14ac:dyDescent="0.25"/>
    <row r="52" s="96" customFormat="1" x14ac:dyDescent="0.25"/>
    <row r="53" s="96" customFormat="1" x14ac:dyDescent="0.25"/>
    <row r="98" ht="18" customHeight="1" x14ac:dyDescent="0.25"/>
    <row r="130" spans="1:8" ht="15.75" thickBot="1" x14ac:dyDescent="0.3"/>
    <row r="131" spans="1:8" ht="18.75" x14ac:dyDescent="0.3">
      <c r="A131" s="250" t="s">
        <v>175</v>
      </c>
      <c r="B131" s="251"/>
      <c r="C131" s="251"/>
      <c r="D131" s="251"/>
      <c r="E131" s="251"/>
      <c r="F131" s="251"/>
      <c r="G131" s="251"/>
      <c r="H131" s="329"/>
    </row>
    <row r="132" spans="1:8" ht="18.75" x14ac:dyDescent="0.3">
      <c r="A132" s="253" t="s">
        <v>176</v>
      </c>
      <c r="B132" s="254"/>
      <c r="C132" s="254"/>
      <c r="D132" s="254"/>
      <c r="E132" s="254"/>
      <c r="F132" s="254"/>
      <c r="G132" s="254"/>
      <c r="H132" s="328"/>
    </row>
    <row r="133" spans="1:8" ht="18.75" x14ac:dyDescent="0.3">
      <c r="A133" s="253" t="s">
        <v>328</v>
      </c>
      <c r="B133" s="254"/>
      <c r="C133" s="254"/>
      <c r="D133" s="254"/>
      <c r="E133" s="254"/>
      <c r="F133" s="254"/>
      <c r="G133" s="254"/>
      <c r="H133" s="328"/>
    </row>
    <row r="134" spans="1:8" x14ac:dyDescent="0.25">
      <c r="A134" s="22" t="s">
        <v>196</v>
      </c>
      <c r="B134" s="23">
        <v>13676</v>
      </c>
      <c r="C134" s="23">
        <v>13354</v>
      </c>
      <c r="D134" s="23">
        <v>13400</v>
      </c>
      <c r="E134" s="23"/>
      <c r="F134" s="23"/>
      <c r="G134" s="23"/>
      <c r="H134" s="189" t="s">
        <v>22</v>
      </c>
    </row>
    <row r="135" spans="1:8" x14ac:dyDescent="0.25">
      <c r="A135" s="24" t="s">
        <v>3</v>
      </c>
      <c r="B135" s="25">
        <v>46162</v>
      </c>
      <c r="C135" s="25">
        <v>46170</v>
      </c>
      <c r="D135" s="25">
        <v>46186</v>
      </c>
      <c r="E135" s="25"/>
      <c r="F135" s="25"/>
      <c r="G135" s="25"/>
      <c r="H135" s="190">
        <v>46192</v>
      </c>
    </row>
    <row r="136" spans="1:8" x14ac:dyDescent="0.25">
      <c r="A136" s="42" t="s">
        <v>197</v>
      </c>
      <c r="B136" s="191">
        <v>2</v>
      </c>
      <c r="C136" s="29"/>
      <c r="D136" s="68">
        <v>-2</v>
      </c>
      <c r="E136" s="29"/>
      <c r="F136" s="29"/>
      <c r="G136" s="29"/>
      <c r="H136" s="73">
        <f t="shared" ref="H136:H141" si="3">SUM(B136:E136)</f>
        <v>0</v>
      </c>
    </row>
    <row r="137" spans="1:8" x14ac:dyDescent="0.25">
      <c r="A137" s="42" t="s">
        <v>198</v>
      </c>
      <c r="B137" s="191">
        <v>2</v>
      </c>
      <c r="C137" s="29"/>
      <c r="D137" s="68">
        <v>-2</v>
      </c>
      <c r="E137" s="29"/>
      <c r="F137" s="29"/>
      <c r="G137" s="29"/>
      <c r="H137" s="73">
        <f t="shared" si="3"/>
        <v>0</v>
      </c>
    </row>
    <row r="138" spans="1:8" x14ac:dyDescent="0.25">
      <c r="A138" s="42" t="s">
        <v>199</v>
      </c>
      <c r="B138" s="191">
        <v>1</v>
      </c>
      <c r="C138" s="29"/>
      <c r="D138" s="68">
        <v>-1</v>
      </c>
      <c r="E138" s="29"/>
      <c r="F138" s="29"/>
      <c r="G138" s="29"/>
      <c r="H138" s="73">
        <f t="shared" si="3"/>
        <v>0</v>
      </c>
    </row>
    <row r="139" spans="1:8" x14ac:dyDescent="0.25">
      <c r="A139" s="42" t="s">
        <v>200</v>
      </c>
      <c r="B139" s="191">
        <v>5</v>
      </c>
      <c r="C139" s="29"/>
      <c r="D139" s="29">
        <v>-4</v>
      </c>
      <c r="E139" s="29"/>
      <c r="F139" s="29"/>
      <c r="G139" s="29"/>
      <c r="H139" s="73">
        <f t="shared" si="3"/>
        <v>1</v>
      </c>
    </row>
    <row r="140" spans="1:8" x14ac:dyDescent="0.25">
      <c r="A140" s="42" t="s">
        <v>105</v>
      </c>
      <c r="B140" s="191">
        <v>4</v>
      </c>
      <c r="C140" s="29">
        <v>-2</v>
      </c>
      <c r="D140" s="68">
        <v>-2</v>
      </c>
      <c r="E140" s="29"/>
      <c r="F140" s="29"/>
      <c r="G140" s="29"/>
      <c r="H140" s="73">
        <f t="shared" si="3"/>
        <v>0</v>
      </c>
    </row>
    <row r="141" spans="1:8" x14ac:dyDescent="0.25">
      <c r="A141" s="42" t="s">
        <v>23</v>
      </c>
      <c r="B141" s="191">
        <v>3</v>
      </c>
      <c r="C141" s="29">
        <v>-3</v>
      </c>
      <c r="D141" s="29"/>
      <c r="E141" s="29"/>
      <c r="F141" s="29"/>
      <c r="G141" s="29"/>
      <c r="H141" s="73">
        <f t="shared" si="3"/>
        <v>0</v>
      </c>
    </row>
    <row r="142" spans="1:8" x14ac:dyDescent="0.25">
      <c r="A142" s="42"/>
      <c r="B142" s="28"/>
      <c r="C142" s="29"/>
      <c r="D142" s="29"/>
      <c r="E142" s="29"/>
      <c r="F142" s="29"/>
      <c r="G142" s="29"/>
      <c r="H142" s="73"/>
    </row>
    <row r="143" spans="1:8" x14ac:dyDescent="0.25">
      <c r="A143" s="24" t="s">
        <v>32</v>
      </c>
      <c r="B143" s="31">
        <v>0.375</v>
      </c>
      <c r="C143" s="32" t="s">
        <v>201</v>
      </c>
      <c r="D143" s="31">
        <v>0.36805555555555558</v>
      </c>
      <c r="E143" s="32"/>
      <c r="F143" s="32"/>
      <c r="G143" s="32"/>
      <c r="H143" s="33"/>
    </row>
    <row r="144" spans="1:8" x14ac:dyDescent="0.25">
      <c r="A144" s="24" t="s">
        <v>33</v>
      </c>
      <c r="B144" s="34">
        <v>40000</v>
      </c>
      <c r="C144" s="34"/>
      <c r="D144" s="34">
        <v>75000</v>
      </c>
      <c r="E144" s="34"/>
      <c r="F144" s="34"/>
      <c r="G144" s="34"/>
      <c r="H144" s="38">
        <f>SUM(B144:G144)</f>
        <v>115000</v>
      </c>
    </row>
  </sheetData>
  <mergeCells count="18">
    <mergeCell ref="A16:G16"/>
    <mergeCell ref="A15:G15"/>
    <mergeCell ref="A3:F3"/>
    <mergeCell ref="A2:F2"/>
    <mergeCell ref="A1:F1"/>
    <mergeCell ref="A133:H133"/>
    <mergeCell ref="A131:H131"/>
    <mergeCell ref="A132:H132"/>
    <mergeCell ref="A17:G17"/>
    <mergeCell ref="A18:A19"/>
    <mergeCell ref="B18:D18"/>
    <mergeCell ref="E18:F18"/>
    <mergeCell ref="G18:G19"/>
    <mergeCell ref="A31:B33"/>
    <mergeCell ref="C31:D31"/>
    <mergeCell ref="F31:G33"/>
    <mergeCell ref="C32:D32"/>
    <mergeCell ref="C33:D33"/>
  </mergeCells>
  <pageMargins left="0.7" right="0.7" top="0.75" bottom="0.75" header="0.3" footer="0.3"/>
  <pageSetup paperSize="9" scale="34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BDE3B-6B28-4AB9-B079-2007FE953879}">
  <sheetPr>
    <pageSetUpPr fitToPage="1"/>
  </sheetPr>
  <dimension ref="A1:G98"/>
  <sheetViews>
    <sheetView topLeftCell="A86" workbookViewId="0">
      <selection sqref="A1:G98"/>
    </sheetView>
  </sheetViews>
  <sheetFormatPr baseColWidth="10" defaultRowHeight="15" x14ac:dyDescent="0.25"/>
  <cols>
    <col min="1" max="1" width="31" bestFit="1" customWidth="1"/>
    <col min="5" max="5" width="16.5703125" customWidth="1"/>
    <col min="7" max="7" width="18.140625" customWidth="1"/>
  </cols>
  <sheetData>
    <row r="1" spans="1:7" ht="18.75" x14ac:dyDescent="0.3">
      <c r="A1" s="343" t="s">
        <v>329</v>
      </c>
      <c r="B1" s="254"/>
      <c r="C1" s="254"/>
      <c r="D1" s="254"/>
      <c r="E1" s="254"/>
      <c r="F1" s="254"/>
      <c r="G1" s="254"/>
    </row>
    <row r="2" spans="1:7" ht="18.75" x14ac:dyDescent="0.3">
      <c r="A2" s="343" t="s">
        <v>330</v>
      </c>
      <c r="B2" s="254"/>
      <c r="C2" s="254"/>
      <c r="D2" s="254"/>
      <c r="E2" s="254"/>
      <c r="F2" s="254"/>
      <c r="G2" s="254"/>
    </row>
    <row r="3" spans="1:7" ht="18.75" x14ac:dyDescent="0.3">
      <c r="A3" s="343" t="s">
        <v>341</v>
      </c>
      <c r="B3" s="254"/>
      <c r="C3" s="254"/>
      <c r="D3" s="254"/>
      <c r="E3" s="254"/>
      <c r="F3" s="254"/>
      <c r="G3" s="254"/>
    </row>
    <row r="4" spans="1:7" x14ac:dyDescent="0.25">
      <c r="A4" s="341" t="s">
        <v>3</v>
      </c>
      <c r="B4" s="100" t="s">
        <v>22</v>
      </c>
      <c r="C4" s="33">
        <v>13414</v>
      </c>
      <c r="D4" s="100">
        <v>13133</v>
      </c>
      <c r="E4" s="100"/>
      <c r="F4" s="100"/>
      <c r="G4" s="100" t="s">
        <v>206</v>
      </c>
    </row>
    <row r="5" spans="1:7" x14ac:dyDescent="0.25">
      <c r="A5" s="342"/>
      <c r="B5" s="25">
        <v>46053</v>
      </c>
      <c r="C5" s="25">
        <v>46078</v>
      </c>
      <c r="D5" s="25">
        <v>46079</v>
      </c>
      <c r="E5" s="25"/>
      <c r="F5" s="25"/>
      <c r="G5" s="25">
        <v>46081</v>
      </c>
    </row>
    <row r="6" spans="1:7" x14ac:dyDescent="0.25">
      <c r="A6" s="42" t="s">
        <v>221</v>
      </c>
      <c r="B6" s="167">
        <v>8</v>
      </c>
      <c r="C6" s="68"/>
      <c r="D6" s="68">
        <v>-8</v>
      </c>
      <c r="E6" s="68"/>
      <c r="F6" s="68"/>
      <c r="G6" s="30">
        <f>SUM(B6:F6)</f>
        <v>0</v>
      </c>
    </row>
    <row r="7" spans="1:7" x14ac:dyDescent="0.25">
      <c r="A7" s="42" t="s">
        <v>332</v>
      </c>
      <c r="B7" s="167">
        <v>26</v>
      </c>
      <c r="C7" s="68"/>
      <c r="D7" s="68"/>
      <c r="E7" s="68"/>
      <c r="F7" s="68"/>
      <c r="G7" s="30">
        <f>SUM(B7:F7)</f>
        <v>26</v>
      </c>
    </row>
    <row r="8" spans="1:7" x14ac:dyDescent="0.25">
      <c r="A8" s="42" t="s">
        <v>342</v>
      </c>
      <c r="B8" s="167"/>
      <c r="C8" s="68">
        <v>12</v>
      </c>
      <c r="D8" s="68"/>
      <c r="E8" s="68"/>
      <c r="F8" s="68"/>
      <c r="G8" s="30">
        <f>SUM(B8:F8)</f>
        <v>12</v>
      </c>
    </row>
    <row r="9" spans="1:7" x14ac:dyDescent="0.25">
      <c r="A9" s="192" t="s">
        <v>32</v>
      </c>
      <c r="B9" s="201"/>
      <c r="C9" s="31">
        <v>0.44444444444444442</v>
      </c>
      <c r="D9" s="31">
        <v>0.40277777777777779</v>
      </c>
      <c r="E9" s="193"/>
      <c r="F9" s="193"/>
      <c r="G9" s="33"/>
    </row>
    <row r="10" spans="1:7" x14ac:dyDescent="0.25">
      <c r="A10" s="192" t="s">
        <v>275</v>
      </c>
      <c r="B10" s="202"/>
      <c r="C10" s="31" t="s">
        <v>343</v>
      </c>
      <c r="D10" s="31" t="s">
        <v>343</v>
      </c>
      <c r="E10" s="31"/>
      <c r="F10" s="194"/>
      <c r="G10" s="38"/>
    </row>
    <row r="11" spans="1:7" x14ac:dyDescent="0.25">
      <c r="D11" s="203"/>
    </row>
    <row r="12" spans="1:7" ht="15.75" thickBot="1" x14ac:dyDescent="0.3"/>
    <row r="13" spans="1:7" x14ac:dyDescent="0.25">
      <c r="A13" s="266" t="s">
        <v>349</v>
      </c>
      <c r="B13" s="267"/>
      <c r="C13" s="267"/>
      <c r="D13" s="267"/>
      <c r="E13" s="267"/>
      <c r="F13" s="267"/>
      <c r="G13" s="268"/>
    </row>
    <row r="14" spans="1:7" ht="18" x14ac:dyDescent="0.25">
      <c r="A14" s="269" t="s">
        <v>333</v>
      </c>
      <c r="B14" s="270"/>
      <c r="C14" s="270"/>
      <c r="D14" s="270"/>
      <c r="E14" s="270"/>
      <c r="F14" s="270"/>
      <c r="G14" s="326"/>
    </row>
    <row r="15" spans="1:7" ht="18" x14ac:dyDescent="0.25">
      <c r="A15" s="269" t="s">
        <v>344</v>
      </c>
      <c r="B15" s="270"/>
      <c r="C15" s="270"/>
      <c r="D15" s="270"/>
      <c r="E15" s="270"/>
      <c r="F15" s="270"/>
      <c r="G15" s="326"/>
    </row>
    <row r="16" spans="1:7" x14ac:dyDescent="0.25">
      <c r="A16" s="276" t="s">
        <v>3</v>
      </c>
      <c r="B16" s="277" t="s">
        <v>4</v>
      </c>
      <c r="C16" s="277"/>
      <c r="D16" s="277"/>
      <c r="E16" s="277" t="s">
        <v>5</v>
      </c>
      <c r="F16" s="277"/>
      <c r="G16" s="327"/>
    </row>
    <row r="17" spans="1:7" x14ac:dyDescent="0.25">
      <c r="A17" s="276"/>
      <c r="B17" s="1" t="s">
        <v>6</v>
      </c>
      <c r="C17" s="1" t="s">
        <v>7</v>
      </c>
      <c r="D17" s="1" t="s">
        <v>8</v>
      </c>
      <c r="E17" s="1" t="s">
        <v>9</v>
      </c>
      <c r="F17" s="1" t="s">
        <v>335</v>
      </c>
      <c r="G17" s="327"/>
    </row>
    <row r="18" spans="1:7" x14ac:dyDescent="0.25">
      <c r="A18" s="3" t="s">
        <v>221</v>
      </c>
      <c r="B18" s="4">
        <v>25</v>
      </c>
      <c r="C18" s="184">
        <v>8</v>
      </c>
      <c r="D18" s="47">
        <v>300</v>
      </c>
      <c r="E18" s="7">
        <f>C18*D18</f>
        <v>2400</v>
      </c>
      <c r="F18" s="7">
        <f>B18*E18</f>
        <v>60000</v>
      </c>
      <c r="G18" s="50" t="s">
        <v>345</v>
      </c>
    </row>
    <row r="19" spans="1:7" ht="15.75" x14ac:dyDescent="0.25">
      <c r="A19" s="195" t="s">
        <v>86</v>
      </c>
      <c r="B19" s="196">
        <v>28</v>
      </c>
      <c r="C19" s="197">
        <v>26</v>
      </c>
      <c r="D19" s="198">
        <v>200</v>
      </c>
      <c r="E19" s="199">
        <f>C19*D19</f>
        <v>5200</v>
      </c>
      <c r="F19" s="199">
        <f>B19*E19</f>
        <v>145600</v>
      </c>
      <c r="G19" s="50" t="s">
        <v>346</v>
      </c>
    </row>
    <row r="20" spans="1:7" x14ac:dyDescent="0.25">
      <c r="A20" s="3" t="s">
        <v>347</v>
      </c>
      <c r="B20" s="4">
        <v>4</v>
      </c>
      <c r="C20" s="184">
        <v>12</v>
      </c>
      <c r="D20" s="47">
        <v>250</v>
      </c>
      <c r="E20" s="7">
        <f>C20*D20</f>
        <v>3000</v>
      </c>
      <c r="F20" s="7">
        <f>B20*E20</f>
        <v>12000</v>
      </c>
      <c r="G20" s="50" t="s">
        <v>348</v>
      </c>
    </row>
    <row r="21" spans="1:7" ht="19.5" thickBot="1" x14ac:dyDescent="0.45">
      <c r="A21" s="337" t="s">
        <v>346</v>
      </c>
      <c r="B21" s="338"/>
      <c r="C21" s="263"/>
      <c r="D21" s="263"/>
      <c r="E21" s="16">
        <f>SUM(F18:F19)</f>
        <v>205600</v>
      </c>
      <c r="F21" s="344"/>
      <c r="G21" s="345"/>
    </row>
    <row r="23" spans="1:7" ht="18.75" x14ac:dyDescent="0.3">
      <c r="A23" s="343" t="s">
        <v>329</v>
      </c>
      <c r="B23" s="254"/>
      <c r="C23" s="254"/>
      <c r="D23" s="254"/>
      <c r="E23" s="254"/>
      <c r="F23" s="254"/>
      <c r="G23" s="254"/>
    </row>
    <row r="24" spans="1:7" ht="18.75" x14ac:dyDescent="0.3">
      <c r="A24" s="343" t="s">
        <v>330</v>
      </c>
      <c r="B24" s="254"/>
      <c r="C24" s="254"/>
      <c r="D24" s="254"/>
      <c r="E24" s="254"/>
      <c r="F24" s="254"/>
      <c r="G24" s="254"/>
    </row>
    <row r="25" spans="1:7" ht="18.75" x14ac:dyDescent="0.3">
      <c r="A25" s="343" t="s">
        <v>350</v>
      </c>
      <c r="B25" s="254"/>
      <c r="C25" s="254"/>
      <c r="D25" s="254"/>
      <c r="E25" s="254"/>
      <c r="F25" s="254"/>
      <c r="G25" s="254"/>
    </row>
    <row r="26" spans="1:7" x14ac:dyDescent="0.25">
      <c r="A26" s="341" t="s">
        <v>3</v>
      </c>
      <c r="B26" s="100" t="s">
        <v>22</v>
      </c>
      <c r="C26" s="33">
        <v>13221</v>
      </c>
      <c r="D26" s="100"/>
      <c r="E26" s="100"/>
      <c r="F26" s="100"/>
      <c r="G26" s="100" t="s">
        <v>206</v>
      </c>
    </row>
    <row r="27" spans="1:7" x14ac:dyDescent="0.25">
      <c r="A27" s="342"/>
      <c r="B27" s="25">
        <v>46081</v>
      </c>
      <c r="C27" s="25">
        <v>46108</v>
      </c>
      <c r="D27" s="25"/>
      <c r="E27" s="25"/>
      <c r="F27" s="25"/>
      <c r="G27" s="25">
        <v>46112</v>
      </c>
    </row>
    <row r="28" spans="1:7" x14ac:dyDescent="0.25">
      <c r="A28" s="42" t="s">
        <v>332</v>
      </c>
      <c r="B28" s="167">
        <v>26</v>
      </c>
      <c r="C28" s="68"/>
      <c r="D28" s="68"/>
      <c r="E28" s="68"/>
      <c r="F28" s="68"/>
      <c r="G28" s="30">
        <f>SUM(B28:F28)</f>
        <v>26</v>
      </c>
    </row>
    <row r="29" spans="1:7" x14ac:dyDescent="0.25">
      <c r="A29" s="42" t="s">
        <v>342</v>
      </c>
      <c r="B29" s="167">
        <v>12</v>
      </c>
      <c r="C29" s="68">
        <v>-12</v>
      </c>
      <c r="D29" s="68"/>
      <c r="E29" s="68"/>
      <c r="F29" s="68"/>
      <c r="G29" s="30">
        <f>SUM(B29:F29)</f>
        <v>0</v>
      </c>
    </row>
    <row r="30" spans="1:7" x14ac:dyDescent="0.25">
      <c r="A30" s="192" t="s">
        <v>32</v>
      </c>
      <c r="B30" s="201"/>
      <c r="C30" s="31">
        <v>0.33333333333333331</v>
      </c>
      <c r="D30" s="31"/>
      <c r="E30" s="193"/>
      <c r="F30" s="193"/>
      <c r="G30" s="33"/>
    </row>
    <row r="31" spans="1:7" x14ac:dyDescent="0.25">
      <c r="A31" s="192" t="s">
        <v>275</v>
      </c>
      <c r="B31" s="202"/>
      <c r="C31" s="31" t="s">
        <v>343</v>
      </c>
      <c r="D31" s="31"/>
      <c r="E31" s="31"/>
      <c r="F31" s="194"/>
      <c r="G31" s="38"/>
    </row>
    <row r="33" spans="1:7" ht="15.75" thickBot="1" x14ac:dyDescent="0.3"/>
    <row r="34" spans="1:7" x14ac:dyDescent="0.25">
      <c r="A34" s="266" t="s">
        <v>0</v>
      </c>
      <c r="B34" s="267"/>
      <c r="C34" s="267"/>
      <c r="D34" s="267"/>
      <c r="E34" s="267"/>
      <c r="F34" s="267"/>
      <c r="G34" s="268"/>
    </row>
    <row r="35" spans="1:7" ht="18" customHeight="1" x14ac:dyDescent="0.25">
      <c r="A35" s="269" t="s">
        <v>333</v>
      </c>
      <c r="B35" s="270"/>
      <c r="C35" s="270"/>
      <c r="D35" s="270"/>
      <c r="E35" s="270"/>
      <c r="F35" s="270"/>
      <c r="G35" s="326"/>
    </row>
    <row r="36" spans="1:7" ht="18" customHeight="1" x14ac:dyDescent="0.25">
      <c r="A36" s="269" t="s">
        <v>351</v>
      </c>
      <c r="B36" s="270"/>
      <c r="C36" s="270"/>
      <c r="D36" s="270"/>
      <c r="E36" s="270"/>
      <c r="F36" s="270"/>
      <c r="G36" s="326"/>
    </row>
    <row r="37" spans="1:7" x14ac:dyDescent="0.25">
      <c r="A37" s="276" t="s">
        <v>3</v>
      </c>
      <c r="B37" s="277" t="s">
        <v>4</v>
      </c>
      <c r="C37" s="277"/>
      <c r="D37" s="277"/>
      <c r="E37" s="277" t="s">
        <v>5</v>
      </c>
      <c r="F37" s="277"/>
      <c r="G37" s="327"/>
    </row>
    <row r="38" spans="1:7" x14ac:dyDescent="0.25">
      <c r="A38" s="276"/>
      <c r="B38" s="1" t="s">
        <v>6</v>
      </c>
      <c r="C38" s="1" t="s">
        <v>7</v>
      </c>
      <c r="D38" s="1" t="s">
        <v>8</v>
      </c>
      <c r="E38" s="1" t="s">
        <v>9</v>
      </c>
      <c r="F38" s="1" t="s">
        <v>335</v>
      </c>
      <c r="G38" s="327"/>
    </row>
    <row r="39" spans="1:7" ht="15.75" x14ac:dyDescent="0.25">
      <c r="A39" s="195" t="s">
        <v>86</v>
      </c>
      <c r="B39" s="196">
        <v>31</v>
      </c>
      <c r="C39" s="197">
        <v>26</v>
      </c>
      <c r="D39" s="198">
        <v>200</v>
      </c>
      <c r="E39" s="199">
        <f>C39*D39</f>
        <v>5200</v>
      </c>
      <c r="F39" s="199">
        <f>B39*E39</f>
        <v>161200</v>
      </c>
      <c r="G39" s="50" t="s">
        <v>352</v>
      </c>
    </row>
    <row r="40" spans="1:7" x14ac:dyDescent="0.25">
      <c r="A40" s="3" t="s">
        <v>347</v>
      </c>
      <c r="B40" s="4">
        <v>25</v>
      </c>
      <c r="C40" s="184">
        <v>12</v>
      </c>
      <c r="D40" s="47">
        <v>250</v>
      </c>
      <c r="E40" s="7">
        <f>C40*D40</f>
        <v>3000</v>
      </c>
      <c r="F40" s="7">
        <f>B40*E40</f>
        <v>75000</v>
      </c>
      <c r="G40" s="50" t="s">
        <v>353</v>
      </c>
    </row>
    <row r="41" spans="1:7" ht="19.5" thickBot="1" x14ac:dyDescent="0.45">
      <c r="A41" s="337" t="s">
        <v>354</v>
      </c>
      <c r="B41" s="338"/>
      <c r="C41" s="263"/>
      <c r="D41" s="263"/>
      <c r="E41" s="16">
        <f>SUM(F39:F40)</f>
        <v>236200</v>
      </c>
      <c r="F41" s="344"/>
      <c r="G41" s="345"/>
    </row>
    <row r="43" spans="1:7" ht="18.75" x14ac:dyDescent="0.3">
      <c r="A43" s="343" t="s">
        <v>329</v>
      </c>
      <c r="B43" s="254"/>
      <c r="C43" s="254"/>
      <c r="D43" s="254"/>
      <c r="E43" s="254"/>
      <c r="F43" s="254"/>
      <c r="G43" s="254"/>
    </row>
    <row r="44" spans="1:7" ht="18.75" x14ac:dyDescent="0.3">
      <c r="A44" s="343" t="s">
        <v>330</v>
      </c>
      <c r="B44" s="254"/>
      <c r="C44" s="254"/>
      <c r="D44" s="254"/>
      <c r="E44" s="254"/>
      <c r="F44" s="254"/>
      <c r="G44" s="254"/>
    </row>
    <row r="45" spans="1:7" ht="18.75" x14ac:dyDescent="0.3">
      <c r="A45" s="343" t="s">
        <v>355</v>
      </c>
      <c r="B45" s="254"/>
      <c r="C45" s="254"/>
      <c r="D45" s="254"/>
      <c r="E45" s="254"/>
      <c r="F45" s="254"/>
      <c r="G45" s="254"/>
    </row>
    <row r="46" spans="1:7" x14ac:dyDescent="0.25">
      <c r="A46" s="341" t="s">
        <v>3</v>
      </c>
      <c r="B46" s="100" t="s">
        <v>22</v>
      </c>
      <c r="C46" s="33">
        <v>13278</v>
      </c>
      <c r="D46" s="100"/>
      <c r="E46" s="100"/>
      <c r="F46" s="100"/>
      <c r="G46" s="100" t="s">
        <v>206</v>
      </c>
    </row>
    <row r="47" spans="1:7" x14ac:dyDescent="0.25">
      <c r="A47" s="342"/>
      <c r="B47" s="25">
        <v>46081</v>
      </c>
      <c r="C47" s="25">
        <v>46132</v>
      </c>
      <c r="D47" s="25"/>
      <c r="E47" s="25"/>
      <c r="F47" s="25"/>
      <c r="G47" s="25">
        <v>46142</v>
      </c>
    </row>
    <row r="48" spans="1:7" x14ac:dyDescent="0.25">
      <c r="A48" s="42" t="s">
        <v>332</v>
      </c>
      <c r="B48" s="167">
        <v>26</v>
      </c>
      <c r="C48" s="68">
        <v>-4</v>
      </c>
      <c r="D48" s="68"/>
      <c r="E48" s="68"/>
      <c r="F48" s="68"/>
      <c r="G48" s="30">
        <f>SUM(B48:F48)</f>
        <v>22</v>
      </c>
    </row>
    <row r="49" spans="1:7" x14ac:dyDescent="0.25">
      <c r="A49" s="192" t="s">
        <v>32</v>
      </c>
      <c r="B49" s="32"/>
      <c r="C49" s="31">
        <v>0.2013888888888889</v>
      </c>
      <c r="D49" s="31"/>
      <c r="E49" s="193"/>
      <c r="F49" s="193"/>
      <c r="G49" s="33"/>
    </row>
    <row r="50" spans="1:7" x14ac:dyDescent="0.25">
      <c r="A50" s="192" t="s">
        <v>275</v>
      </c>
      <c r="B50" s="194"/>
      <c r="C50" s="31" t="s">
        <v>343</v>
      </c>
      <c r="D50" s="31"/>
      <c r="E50" s="31"/>
      <c r="F50" s="194"/>
      <c r="G50" s="38"/>
    </row>
    <row r="51" spans="1:7" ht="18" x14ac:dyDescent="0.25">
      <c r="A51" s="269" t="s">
        <v>333</v>
      </c>
      <c r="B51" s="270"/>
      <c r="C51" s="270"/>
      <c r="D51" s="270"/>
      <c r="E51" s="270"/>
      <c r="F51" s="270"/>
      <c r="G51" s="326"/>
    </row>
    <row r="52" spans="1:7" ht="18" x14ac:dyDescent="0.25">
      <c r="A52" s="269" t="s">
        <v>334</v>
      </c>
      <c r="B52" s="270"/>
      <c r="C52" s="270"/>
      <c r="D52" s="270"/>
      <c r="E52" s="270"/>
      <c r="F52" s="270"/>
      <c r="G52" s="326"/>
    </row>
    <row r="53" spans="1:7" x14ac:dyDescent="0.25">
      <c r="A53" s="276" t="s">
        <v>3</v>
      </c>
      <c r="B53" s="277" t="s">
        <v>4</v>
      </c>
      <c r="C53" s="277"/>
      <c r="D53" s="277"/>
      <c r="E53" s="277" t="s">
        <v>5</v>
      </c>
      <c r="F53" s="277"/>
      <c r="G53" s="327"/>
    </row>
    <row r="54" spans="1:7" x14ac:dyDescent="0.25">
      <c r="A54" s="276"/>
      <c r="B54" s="1" t="s">
        <v>6</v>
      </c>
      <c r="C54" s="1" t="s">
        <v>7</v>
      </c>
      <c r="D54" s="1" t="s">
        <v>8</v>
      </c>
      <c r="E54" s="1" t="s">
        <v>9</v>
      </c>
      <c r="F54" s="1" t="s">
        <v>335</v>
      </c>
      <c r="G54" s="327"/>
    </row>
    <row r="55" spans="1:7" ht="15.75" x14ac:dyDescent="0.25">
      <c r="A55" s="195" t="s">
        <v>86</v>
      </c>
      <c r="B55" s="196">
        <v>20</v>
      </c>
      <c r="C55" s="197">
        <v>26</v>
      </c>
      <c r="D55" s="198">
        <v>200</v>
      </c>
      <c r="E55" s="199">
        <f>C55*D55</f>
        <v>5200</v>
      </c>
      <c r="F55" s="199">
        <f>B55*E55</f>
        <v>104000</v>
      </c>
      <c r="G55" s="50" t="s">
        <v>336</v>
      </c>
    </row>
    <row r="56" spans="1:7" ht="15.75" x14ac:dyDescent="0.25">
      <c r="A56" s="195" t="s">
        <v>86</v>
      </c>
      <c r="B56" s="196">
        <v>10</v>
      </c>
      <c r="C56" s="197">
        <v>22</v>
      </c>
      <c r="D56" s="198">
        <v>200</v>
      </c>
      <c r="E56" s="199">
        <f>C56*D56</f>
        <v>4400</v>
      </c>
      <c r="F56" s="199">
        <f>B56*E56</f>
        <v>44000</v>
      </c>
      <c r="G56" s="50" t="s">
        <v>337</v>
      </c>
    </row>
    <row r="57" spans="1:7" ht="19.5" thickBot="1" x14ac:dyDescent="0.45">
      <c r="A57" s="337" t="s">
        <v>338</v>
      </c>
      <c r="B57" s="338"/>
      <c r="C57" s="263"/>
      <c r="D57" s="263"/>
      <c r="E57" s="16">
        <f>SUM(F55:F55)</f>
        <v>104000</v>
      </c>
      <c r="F57" s="344"/>
      <c r="G57" s="345"/>
    </row>
    <row r="60" spans="1:7" ht="18.75" x14ac:dyDescent="0.3">
      <c r="A60" s="343" t="s">
        <v>329</v>
      </c>
      <c r="B60" s="254"/>
      <c r="C60" s="254"/>
      <c r="D60" s="254"/>
      <c r="E60" s="254"/>
      <c r="F60" s="254"/>
      <c r="G60" s="254"/>
    </row>
    <row r="61" spans="1:7" ht="18.75" x14ac:dyDescent="0.3">
      <c r="A61" s="343" t="s">
        <v>330</v>
      </c>
      <c r="B61" s="254"/>
      <c r="C61" s="254"/>
      <c r="D61" s="254"/>
      <c r="E61" s="254"/>
      <c r="F61" s="254"/>
      <c r="G61" s="254"/>
    </row>
    <row r="62" spans="1:7" ht="18.75" x14ac:dyDescent="0.3">
      <c r="A62" s="343" t="s">
        <v>331</v>
      </c>
      <c r="B62" s="254"/>
      <c r="C62" s="254"/>
      <c r="D62" s="254"/>
      <c r="E62" s="254"/>
      <c r="F62" s="254"/>
      <c r="G62" s="254"/>
    </row>
    <row r="63" spans="1:7" x14ac:dyDescent="0.25">
      <c r="A63" s="341" t="s">
        <v>3</v>
      </c>
      <c r="B63" s="100" t="s">
        <v>22</v>
      </c>
      <c r="C63" s="33"/>
      <c r="D63" s="100"/>
      <c r="E63" s="100"/>
      <c r="F63" s="100"/>
      <c r="G63" s="100" t="s">
        <v>206</v>
      </c>
    </row>
    <row r="64" spans="1:7" x14ac:dyDescent="0.25">
      <c r="A64" s="342"/>
      <c r="B64" s="25" t="s">
        <v>339</v>
      </c>
      <c r="C64" s="25"/>
      <c r="D64" s="25"/>
      <c r="E64" s="25"/>
      <c r="F64" s="25"/>
      <c r="G64" s="25">
        <v>46173</v>
      </c>
    </row>
    <row r="65" spans="1:7" x14ac:dyDescent="0.25">
      <c r="A65" s="42" t="s">
        <v>332</v>
      </c>
      <c r="B65" s="167">
        <v>22</v>
      </c>
      <c r="C65" s="68"/>
      <c r="D65" s="68"/>
      <c r="E65" s="68"/>
      <c r="F65" s="68"/>
      <c r="G65" s="30">
        <f>SUM(B65:F65)</f>
        <v>22</v>
      </c>
    </row>
    <row r="66" spans="1:7" x14ac:dyDescent="0.25">
      <c r="A66" s="192" t="s">
        <v>32</v>
      </c>
      <c r="B66" s="32"/>
      <c r="C66" s="31"/>
      <c r="D66" s="31"/>
      <c r="E66" s="193"/>
      <c r="F66" s="193"/>
      <c r="G66" s="33"/>
    </row>
    <row r="67" spans="1:7" x14ac:dyDescent="0.25">
      <c r="A67" s="192" t="s">
        <v>275</v>
      </c>
      <c r="B67" s="194"/>
      <c r="C67" s="31"/>
      <c r="D67" s="31"/>
      <c r="E67" s="31"/>
      <c r="F67" s="194"/>
      <c r="G67" s="38"/>
    </row>
    <row r="69" spans="1:7" ht="18" x14ac:dyDescent="0.25">
      <c r="A69" s="269" t="s">
        <v>333</v>
      </c>
      <c r="B69" s="270"/>
      <c r="C69" s="270"/>
      <c r="D69" s="270"/>
      <c r="E69" s="270"/>
      <c r="F69" s="270"/>
      <c r="G69" s="326"/>
    </row>
    <row r="70" spans="1:7" ht="18" x14ac:dyDescent="0.25">
      <c r="A70" s="269" t="s">
        <v>340</v>
      </c>
      <c r="B70" s="270"/>
      <c r="C70" s="270"/>
      <c r="D70" s="270"/>
      <c r="E70" s="270"/>
      <c r="F70" s="270"/>
      <c r="G70" s="326"/>
    </row>
    <row r="71" spans="1:7" x14ac:dyDescent="0.25">
      <c r="A71" s="276" t="s">
        <v>3</v>
      </c>
      <c r="B71" s="277" t="s">
        <v>4</v>
      </c>
      <c r="C71" s="277"/>
      <c r="D71" s="277"/>
      <c r="E71" s="277" t="s">
        <v>5</v>
      </c>
      <c r="F71" s="277"/>
      <c r="G71" s="327"/>
    </row>
    <row r="72" spans="1:7" x14ac:dyDescent="0.25">
      <c r="A72" s="276"/>
      <c r="B72" s="1" t="s">
        <v>6</v>
      </c>
      <c r="C72" s="1" t="s">
        <v>7</v>
      </c>
      <c r="D72" s="1" t="s">
        <v>8</v>
      </c>
      <c r="E72" s="1" t="s">
        <v>9</v>
      </c>
      <c r="F72" s="1" t="s">
        <v>335</v>
      </c>
      <c r="G72" s="327"/>
    </row>
    <row r="73" spans="1:7" ht="15.75" x14ac:dyDescent="0.25">
      <c r="A73" s="195" t="s">
        <v>86</v>
      </c>
      <c r="B73" s="196">
        <v>31</v>
      </c>
      <c r="C73" s="197">
        <v>22</v>
      </c>
      <c r="D73" s="198">
        <v>200</v>
      </c>
      <c r="E73" s="199">
        <f>C73*D73</f>
        <v>4400</v>
      </c>
      <c r="F73" s="199">
        <f>B73*E73</f>
        <v>136400</v>
      </c>
      <c r="G73" s="50" t="s">
        <v>303</v>
      </c>
    </row>
    <row r="74" spans="1:7" ht="19.5" thickBot="1" x14ac:dyDescent="0.45">
      <c r="A74" s="337" t="s">
        <v>303</v>
      </c>
      <c r="B74" s="338"/>
      <c r="C74" s="263"/>
      <c r="D74" s="263"/>
      <c r="E74" s="334">
        <f>F73</f>
        <v>136400</v>
      </c>
      <c r="F74" s="335"/>
      <c r="G74" s="200"/>
    </row>
    <row r="75" spans="1:7" ht="19.5" thickBot="1" x14ac:dyDescent="0.45">
      <c r="A75" s="54"/>
      <c r="B75" s="54"/>
      <c r="C75" s="54"/>
      <c r="D75" s="54"/>
      <c r="E75" s="54"/>
    </row>
    <row r="76" spans="1:7" ht="18.75" x14ac:dyDescent="0.3">
      <c r="A76" s="250" t="s">
        <v>329</v>
      </c>
      <c r="B76" s="251"/>
      <c r="C76" s="251"/>
      <c r="D76" s="251"/>
      <c r="E76" s="251"/>
      <c r="F76" s="251"/>
      <c r="G76" s="252"/>
    </row>
    <row r="77" spans="1:7" ht="18.75" x14ac:dyDescent="0.3">
      <c r="A77" s="253" t="s">
        <v>330</v>
      </c>
      <c r="B77" s="254"/>
      <c r="C77" s="254"/>
      <c r="D77" s="254"/>
      <c r="E77" s="254"/>
      <c r="F77" s="254"/>
      <c r="G77" s="255"/>
    </row>
    <row r="78" spans="1:7" ht="18.75" x14ac:dyDescent="0.3">
      <c r="A78" s="253" t="s">
        <v>358</v>
      </c>
      <c r="B78" s="254"/>
      <c r="C78" s="254"/>
      <c r="D78" s="254"/>
      <c r="E78" s="254"/>
      <c r="F78" s="254"/>
      <c r="G78" s="255"/>
    </row>
    <row r="79" spans="1:7" x14ac:dyDescent="0.25">
      <c r="A79" s="339" t="s">
        <v>3</v>
      </c>
      <c r="B79" s="100" t="s">
        <v>22</v>
      </c>
      <c r="C79" s="33">
        <v>13417</v>
      </c>
      <c r="D79" s="100">
        <v>13421</v>
      </c>
      <c r="E79" s="100"/>
      <c r="F79" s="100"/>
      <c r="G79" s="207" t="s">
        <v>206</v>
      </c>
    </row>
    <row r="80" spans="1:7" x14ac:dyDescent="0.25">
      <c r="A80" s="340"/>
      <c r="B80" s="25">
        <v>46173</v>
      </c>
      <c r="C80" s="25">
        <v>46192</v>
      </c>
      <c r="D80" s="25">
        <v>46193</v>
      </c>
      <c r="E80" s="25"/>
      <c r="F80" s="25"/>
      <c r="G80" s="208">
        <v>46203</v>
      </c>
    </row>
    <row r="81" spans="1:7" x14ac:dyDescent="0.25">
      <c r="A81" s="160" t="s">
        <v>332</v>
      </c>
      <c r="B81" s="167">
        <v>22</v>
      </c>
      <c r="C81" s="68">
        <v>-11</v>
      </c>
      <c r="D81" s="68">
        <v>-3</v>
      </c>
      <c r="E81" s="68"/>
      <c r="F81" s="68"/>
      <c r="G81" s="85">
        <f>SUM(B81:F81)</f>
        <v>8</v>
      </c>
    </row>
    <row r="82" spans="1:7" x14ac:dyDescent="0.25">
      <c r="A82" s="168" t="s">
        <v>32</v>
      </c>
      <c r="B82" s="32"/>
      <c r="C82" s="31">
        <v>0.375</v>
      </c>
      <c r="D82" s="31">
        <v>0.31319444444444444</v>
      </c>
      <c r="E82" s="193"/>
      <c r="F82" s="193"/>
      <c r="G82" s="87"/>
    </row>
    <row r="83" spans="1:7" ht="15.75" thickBot="1" x14ac:dyDescent="0.3">
      <c r="A83" s="170" t="s">
        <v>275</v>
      </c>
      <c r="B83" s="172"/>
      <c r="C83" s="209" t="s">
        <v>343</v>
      </c>
      <c r="D83" s="209" t="s">
        <v>343</v>
      </c>
      <c r="E83" s="209"/>
      <c r="F83" s="172"/>
      <c r="G83" s="90"/>
    </row>
    <row r="86" spans="1:7" ht="18" x14ac:dyDescent="0.25">
      <c r="A86" s="269" t="s">
        <v>333</v>
      </c>
      <c r="B86" s="270"/>
      <c r="C86" s="270"/>
      <c r="D86" s="270"/>
      <c r="E86" s="270"/>
      <c r="F86" s="270"/>
      <c r="G86" s="326"/>
    </row>
    <row r="87" spans="1:7" ht="18" x14ac:dyDescent="0.25">
      <c r="A87" s="269" t="s">
        <v>333</v>
      </c>
      <c r="B87" s="270"/>
      <c r="C87" s="270"/>
      <c r="D87" s="270"/>
      <c r="E87" s="270"/>
      <c r="F87" s="270"/>
      <c r="G87" s="326"/>
    </row>
    <row r="88" spans="1:7" ht="18" x14ac:dyDescent="0.25">
      <c r="A88" s="269" t="s">
        <v>359</v>
      </c>
      <c r="B88" s="270"/>
      <c r="C88" s="270"/>
      <c r="D88" s="270"/>
      <c r="E88" s="270"/>
      <c r="F88" s="270"/>
      <c r="G88" s="326"/>
    </row>
    <row r="89" spans="1:7" x14ac:dyDescent="0.25">
      <c r="A89" s="276" t="s">
        <v>3</v>
      </c>
      <c r="B89" s="277" t="s">
        <v>4</v>
      </c>
      <c r="C89" s="277"/>
      <c r="D89" s="277"/>
      <c r="E89" s="277" t="s">
        <v>5</v>
      </c>
      <c r="F89" s="277"/>
      <c r="G89" s="327"/>
    </row>
    <row r="90" spans="1:7" x14ac:dyDescent="0.25">
      <c r="A90" s="276"/>
      <c r="B90" s="1" t="s">
        <v>6</v>
      </c>
      <c r="C90" s="1" t="s">
        <v>7</v>
      </c>
      <c r="D90" s="1" t="s">
        <v>8</v>
      </c>
      <c r="E90" s="1" t="s">
        <v>9</v>
      </c>
      <c r="F90" s="1" t="s">
        <v>335</v>
      </c>
      <c r="G90" s="327"/>
    </row>
    <row r="91" spans="1:7" ht="15.75" x14ac:dyDescent="0.25">
      <c r="A91" s="195" t="s">
        <v>86</v>
      </c>
      <c r="B91" s="196">
        <v>18</v>
      </c>
      <c r="C91" s="197">
        <v>22</v>
      </c>
      <c r="D91" s="198">
        <v>200</v>
      </c>
      <c r="E91" s="199">
        <f>C91*D91</f>
        <v>4400</v>
      </c>
      <c r="F91" s="199">
        <f>B91*E91</f>
        <v>79200</v>
      </c>
      <c r="G91" s="50" t="s">
        <v>360</v>
      </c>
    </row>
    <row r="92" spans="1:7" ht="15.75" x14ac:dyDescent="0.25">
      <c r="A92" s="195" t="s">
        <v>86</v>
      </c>
      <c r="B92" s="196">
        <v>1</v>
      </c>
      <c r="C92" s="197">
        <v>11</v>
      </c>
      <c r="D92" s="198">
        <v>200</v>
      </c>
      <c r="E92" s="199">
        <f>C92*D92</f>
        <v>2200</v>
      </c>
      <c r="F92" s="199">
        <f>B92*E92</f>
        <v>2200</v>
      </c>
      <c r="G92" s="50" t="s">
        <v>361</v>
      </c>
    </row>
    <row r="93" spans="1:7" ht="15.75" x14ac:dyDescent="0.25">
      <c r="A93" s="195" t="s">
        <v>86</v>
      </c>
      <c r="B93" s="196">
        <v>11</v>
      </c>
      <c r="C93" s="197">
        <v>8</v>
      </c>
      <c r="D93" s="198">
        <v>200</v>
      </c>
      <c r="E93" s="199">
        <f>C93*D93</f>
        <v>1600</v>
      </c>
      <c r="F93" s="199">
        <f>B93*E93</f>
        <v>17600</v>
      </c>
      <c r="G93" s="50" t="s">
        <v>370</v>
      </c>
    </row>
    <row r="94" spans="1:7" ht="19.5" thickBot="1" x14ac:dyDescent="0.45">
      <c r="A94" s="337" t="s">
        <v>362</v>
      </c>
      <c r="B94" s="338"/>
      <c r="C94" s="263"/>
      <c r="D94" s="263"/>
      <c r="E94" s="334">
        <f>F91+F92+F93</f>
        <v>99000</v>
      </c>
      <c r="F94" s="335"/>
      <c r="G94" s="200"/>
    </row>
    <row r="95" spans="1:7" ht="18.75" x14ac:dyDescent="0.4">
      <c r="A95" s="54" t="s">
        <v>356</v>
      </c>
      <c r="B95" s="54"/>
      <c r="C95" s="54"/>
      <c r="D95" s="54"/>
      <c r="E95" s="55">
        <v>682200</v>
      </c>
    </row>
    <row r="96" spans="1:7" ht="18.75" x14ac:dyDescent="0.4">
      <c r="A96" s="54" t="s">
        <v>363</v>
      </c>
      <c r="B96" s="54"/>
      <c r="C96" s="54"/>
      <c r="D96" s="54"/>
      <c r="E96" s="55">
        <f>E94+E95</f>
        <v>781200</v>
      </c>
    </row>
    <row r="97" spans="1:5" ht="18.75" x14ac:dyDescent="0.4">
      <c r="A97" s="54" t="s">
        <v>364</v>
      </c>
      <c r="E97" s="57">
        <v>405650</v>
      </c>
    </row>
    <row r="98" spans="1:5" ht="18.75" x14ac:dyDescent="0.4">
      <c r="A98" s="336" t="s">
        <v>365</v>
      </c>
      <c r="B98" s="336"/>
      <c r="C98" s="336"/>
      <c r="D98" s="336"/>
      <c r="E98" s="210">
        <f>E96-E97</f>
        <v>375550</v>
      </c>
    </row>
  </sheetData>
  <mergeCells count="69">
    <mergeCell ref="A62:G62"/>
    <mergeCell ref="A46:A47"/>
    <mergeCell ref="A51:G51"/>
    <mergeCell ref="A52:G52"/>
    <mergeCell ref="A53:A54"/>
    <mergeCell ref="B53:D53"/>
    <mergeCell ref="E53:F53"/>
    <mergeCell ref="G53:G54"/>
    <mergeCell ref="A57:B57"/>
    <mergeCell ref="C57:D57"/>
    <mergeCell ref="F57:G57"/>
    <mergeCell ref="A60:G60"/>
    <mergeCell ref="A61:G61"/>
    <mergeCell ref="A45:G45"/>
    <mergeCell ref="A26:A27"/>
    <mergeCell ref="A34:G34"/>
    <mergeCell ref="A35:G35"/>
    <mergeCell ref="A36:G36"/>
    <mergeCell ref="A37:A38"/>
    <mergeCell ref="B37:D37"/>
    <mergeCell ref="E37:F37"/>
    <mergeCell ref="G37:G38"/>
    <mergeCell ref="A41:B41"/>
    <mergeCell ref="C41:D41"/>
    <mergeCell ref="F41:G41"/>
    <mergeCell ref="A43:G43"/>
    <mergeCell ref="A44:G44"/>
    <mergeCell ref="A21:B21"/>
    <mergeCell ref="C21:D21"/>
    <mergeCell ref="F21:G21"/>
    <mergeCell ref="A23:G23"/>
    <mergeCell ref="A24:G24"/>
    <mergeCell ref="A1:G1"/>
    <mergeCell ref="A2:G2"/>
    <mergeCell ref="A3:G3"/>
    <mergeCell ref="A4:A5"/>
    <mergeCell ref="A71:A72"/>
    <mergeCell ref="B71:D71"/>
    <mergeCell ref="E71:F71"/>
    <mergeCell ref="G71:G72"/>
    <mergeCell ref="A25:G25"/>
    <mergeCell ref="A13:G13"/>
    <mergeCell ref="A14:G14"/>
    <mergeCell ref="A15:G15"/>
    <mergeCell ref="A16:A17"/>
    <mergeCell ref="B16:D16"/>
    <mergeCell ref="E16:F16"/>
    <mergeCell ref="G16:G17"/>
    <mergeCell ref="A74:B74"/>
    <mergeCell ref="C74:D74"/>
    <mergeCell ref="E74:F74"/>
    <mergeCell ref="A63:A64"/>
    <mergeCell ref="A69:G69"/>
    <mergeCell ref="A70:G70"/>
    <mergeCell ref="A76:G76"/>
    <mergeCell ref="A77:G77"/>
    <mergeCell ref="A78:G78"/>
    <mergeCell ref="A79:A80"/>
    <mergeCell ref="A86:G86"/>
    <mergeCell ref="E94:F94"/>
    <mergeCell ref="A98:D98"/>
    <mergeCell ref="A87:G87"/>
    <mergeCell ref="A88:G88"/>
    <mergeCell ref="A89:A90"/>
    <mergeCell ref="B89:D89"/>
    <mergeCell ref="E89:F89"/>
    <mergeCell ref="G89:G90"/>
    <mergeCell ref="A94:B94"/>
    <mergeCell ref="C94:D9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5" scale="57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DF653-1BF4-48C1-B1FE-602F1C3140B6}">
  <dimension ref="A1:H131"/>
  <sheetViews>
    <sheetView topLeftCell="A120" workbookViewId="0">
      <selection activeCell="A111" sqref="A111:H131"/>
    </sheetView>
  </sheetViews>
  <sheetFormatPr baseColWidth="10" defaultRowHeight="15" x14ac:dyDescent="0.25"/>
  <cols>
    <col min="1" max="1" width="29.85546875" bestFit="1" customWidth="1"/>
    <col min="2" max="2" width="9.42578125" bestFit="1" customWidth="1"/>
    <col min="5" max="5" width="14.42578125" bestFit="1" customWidth="1"/>
  </cols>
  <sheetData>
    <row r="1" spans="1:7" ht="18.75" x14ac:dyDescent="0.3">
      <c r="A1" s="253" t="s">
        <v>52</v>
      </c>
      <c r="B1" s="254"/>
      <c r="C1" s="254"/>
      <c r="D1" s="254"/>
      <c r="E1" s="254"/>
      <c r="F1" s="254"/>
      <c r="G1" s="255"/>
    </row>
    <row r="2" spans="1:7" ht="18.75" x14ac:dyDescent="0.3">
      <c r="A2" s="253" t="s">
        <v>53</v>
      </c>
      <c r="B2" s="254"/>
      <c r="C2" s="254"/>
      <c r="D2" s="254"/>
      <c r="E2" s="254"/>
      <c r="F2" s="254"/>
      <c r="G2" s="254"/>
    </row>
    <row r="3" spans="1:7" x14ac:dyDescent="0.25">
      <c r="A3" s="22" t="s">
        <v>3</v>
      </c>
      <c r="B3" s="23">
        <v>13654</v>
      </c>
      <c r="C3" s="23"/>
      <c r="D3" s="23"/>
      <c r="E3" s="23"/>
      <c r="F3" s="23"/>
      <c r="G3" s="39" t="s">
        <v>22</v>
      </c>
    </row>
    <row r="4" spans="1:7" x14ac:dyDescent="0.25">
      <c r="A4" s="24"/>
      <c r="B4" s="25">
        <v>46154</v>
      </c>
      <c r="C4" s="25">
        <v>46158</v>
      </c>
      <c r="D4" s="25"/>
      <c r="E4" s="25"/>
      <c r="F4" s="25"/>
      <c r="G4" s="40">
        <v>46173</v>
      </c>
    </row>
    <row r="5" spans="1:7" x14ac:dyDescent="0.25">
      <c r="A5" s="27" t="s">
        <v>54</v>
      </c>
      <c r="B5" s="28">
        <v>16</v>
      </c>
      <c r="C5" s="29"/>
      <c r="D5" s="29"/>
      <c r="E5" s="29"/>
      <c r="F5" s="29"/>
      <c r="G5" s="30">
        <f t="shared" ref="G5:G15" si="0">SUM(B5:F5)</f>
        <v>16</v>
      </c>
    </row>
    <row r="6" spans="1:7" x14ac:dyDescent="0.25">
      <c r="A6" s="27" t="s">
        <v>29</v>
      </c>
      <c r="B6" s="28">
        <v>16</v>
      </c>
      <c r="C6" s="29"/>
      <c r="D6" s="29"/>
      <c r="E6" s="29"/>
      <c r="F6" s="29"/>
      <c r="G6" s="30">
        <f t="shared" si="0"/>
        <v>16</v>
      </c>
    </row>
    <row r="7" spans="1:7" x14ac:dyDescent="0.25">
      <c r="A7" s="27" t="s">
        <v>48</v>
      </c>
      <c r="B7" s="28">
        <v>12</v>
      </c>
      <c r="C7" s="29"/>
      <c r="D7" s="29"/>
      <c r="E7" s="29"/>
      <c r="F7" s="29"/>
      <c r="G7" s="30">
        <f t="shared" si="0"/>
        <v>12</v>
      </c>
    </row>
    <row r="8" spans="1:7" x14ac:dyDescent="0.25">
      <c r="A8" s="27" t="s">
        <v>30</v>
      </c>
      <c r="B8" s="28">
        <v>12</v>
      </c>
      <c r="C8" s="29"/>
      <c r="D8" s="29"/>
      <c r="E8" s="29"/>
      <c r="F8" s="29"/>
      <c r="G8" s="30">
        <f t="shared" si="0"/>
        <v>12</v>
      </c>
    </row>
    <row r="9" spans="1:7" x14ac:dyDescent="0.25">
      <c r="A9" s="27" t="s">
        <v>27</v>
      </c>
      <c r="B9" s="28">
        <v>700</v>
      </c>
      <c r="C9" s="29"/>
      <c r="D9" s="29"/>
      <c r="E9" s="29"/>
      <c r="F9" s="29"/>
      <c r="G9" s="30">
        <f t="shared" si="0"/>
        <v>700</v>
      </c>
    </row>
    <row r="10" spans="1:7" x14ac:dyDescent="0.25">
      <c r="A10" s="27" t="s">
        <v>26</v>
      </c>
      <c r="B10" s="28">
        <v>28</v>
      </c>
      <c r="C10" s="29"/>
      <c r="D10" s="29"/>
      <c r="E10" s="29"/>
      <c r="F10" s="29"/>
      <c r="G10" s="30">
        <f t="shared" si="0"/>
        <v>28</v>
      </c>
    </row>
    <row r="11" spans="1:7" x14ac:dyDescent="0.25">
      <c r="A11" s="27" t="s">
        <v>49</v>
      </c>
      <c r="B11" s="28">
        <v>28</v>
      </c>
      <c r="C11" s="29"/>
      <c r="D11" s="29"/>
      <c r="E11" s="29"/>
      <c r="F11" s="29"/>
      <c r="G11" s="30">
        <f t="shared" si="0"/>
        <v>28</v>
      </c>
    </row>
    <row r="12" spans="1:7" x14ac:dyDescent="0.25">
      <c r="A12" s="27" t="s">
        <v>55</v>
      </c>
      <c r="B12" s="28">
        <v>56</v>
      </c>
      <c r="C12" s="29"/>
      <c r="D12" s="29"/>
      <c r="E12" s="29"/>
      <c r="F12" s="29"/>
      <c r="G12" s="30">
        <f t="shared" si="0"/>
        <v>56</v>
      </c>
    </row>
    <row r="13" spans="1:7" x14ac:dyDescent="0.25">
      <c r="A13" s="27" t="s">
        <v>28</v>
      </c>
      <c r="B13" s="28">
        <v>2</v>
      </c>
      <c r="C13" s="29"/>
      <c r="D13" s="29"/>
      <c r="E13" s="29"/>
      <c r="F13" s="29"/>
      <c r="G13" s="30">
        <f t="shared" si="0"/>
        <v>2</v>
      </c>
    </row>
    <row r="14" spans="1:7" x14ac:dyDescent="0.25">
      <c r="A14" s="24" t="s">
        <v>32</v>
      </c>
      <c r="B14" s="31">
        <v>0.3125</v>
      </c>
      <c r="C14" s="32"/>
      <c r="D14" s="32"/>
      <c r="E14" s="32"/>
      <c r="F14" s="32"/>
      <c r="G14" s="33">
        <f t="shared" si="0"/>
        <v>0.3125</v>
      </c>
    </row>
    <row r="15" spans="1:7" x14ac:dyDescent="0.25">
      <c r="A15" s="24" t="s">
        <v>33</v>
      </c>
      <c r="B15" s="41">
        <v>70000</v>
      </c>
      <c r="C15" s="34"/>
      <c r="D15" s="34"/>
      <c r="E15" s="34"/>
      <c r="F15" s="34"/>
      <c r="G15" s="38">
        <f t="shared" si="0"/>
        <v>70000</v>
      </c>
    </row>
    <row r="22" spans="1:6" x14ac:dyDescent="0.25">
      <c r="A22" s="331" t="s">
        <v>44</v>
      </c>
      <c r="B22" s="332"/>
      <c r="C22" s="332"/>
      <c r="D22" s="332"/>
      <c r="E22" s="332"/>
      <c r="F22" s="333"/>
    </row>
    <row r="23" spans="1:6" ht="18" x14ac:dyDescent="0.25">
      <c r="A23" s="248" t="s">
        <v>45</v>
      </c>
      <c r="B23" s="249"/>
      <c r="C23" s="249"/>
      <c r="D23" s="249"/>
      <c r="E23" s="249"/>
      <c r="F23" s="275"/>
    </row>
    <row r="24" spans="1:6" x14ac:dyDescent="0.25">
      <c r="A24" s="276" t="s">
        <v>3</v>
      </c>
      <c r="B24" s="277" t="s">
        <v>4</v>
      </c>
      <c r="C24" s="277"/>
      <c r="D24" s="277"/>
      <c r="E24" s="277" t="s">
        <v>5</v>
      </c>
      <c r="F24" s="278"/>
    </row>
    <row r="25" spans="1:6" x14ac:dyDescent="0.25">
      <c r="A25" s="276"/>
      <c r="B25" s="1" t="s">
        <v>6</v>
      </c>
      <c r="C25" s="1" t="s">
        <v>7</v>
      </c>
      <c r="D25" s="1" t="s">
        <v>8</v>
      </c>
      <c r="E25" s="1" t="s">
        <v>9</v>
      </c>
      <c r="F25" s="2" t="s">
        <v>10</v>
      </c>
    </row>
    <row r="26" spans="1:6" x14ac:dyDescent="0.25">
      <c r="A26" s="3" t="s">
        <v>46</v>
      </c>
      <c r="B26" s="4">
        <v>5</v>
      </c>
      <c r="C26" s="5">
        <v>16</v>
      </c>
      <c r="D26" s="6"/>
      <c r="E26" s="7"/>
      <c r="F26" s="8"/>
    </row>
    <row r="27" spans="1:6" x14ac:dyDescent="0.25">
      <c r="A27" s="3" t="s">
        <v>47</v>
      </c>
      <c r="B27" s="4">
        <v>5</v>
      </c>
      <c r="C27" s="5">
        <v>16</v>
      </c>
      <c r="D27" s="6"/>
      <c r="E27" s="7"/>
      <c r="F27" s="8"/>
    </row>
    <row r="28" spans="1:6" x14ac:dyDescent="0.25">
      <c r="A28" s="9" t="s">
        <v>48</v>
      </c>
      <c r="B28" s="10">
        <v>5</v>
      </c>
      <c r="C28" s="11">
        <v>12</v>
      </c>
      <c r="D28" s="12"/>
      <c r="E28" s="7"/>
      <c r="F28" s="13"/>
    </row>
    <row r="29" spans="1:6" x14ac:dyDescent="0.25">
      <c r="A29" s="9" t="s">
        <v>30</v>
      </c>
      <c r="B29" s="10">
        <v>5</v>
      </c>
      <c r="C29" s="11">
        <v>12</v>
      </c>
      <c r="D29" s="12"/>
      <c r="E29" s="7"/>
      <c r="F29" s="13"/>
    </row>
    <row r="30" spans="1:6" x14ac:dyDescent="0.25">
      <c r="A30" s="9" t="s">
        <v>15</v>
      </c>
      <c r="B30" s="10">
        <v>5</v>
      </c>
      <c r="C30" s="11">
        <v>700</v>
      </c>
      <c r="D30" s="12"/>
      <c r="E30" s="7"/>
      <c r="F30" s="13"/>
    </row>
    <row r="31" spans="1:6" x14ac:dyDescent="0.25">
      <c r="A31" s="9" t="s">
        <v>26</v>
      </c>
      <c r="B31" s="10">
        <v>5</v>
      </c>
      <c r="C31" s="11">
        <v>28</v>
      </c>
      <c r="D31" s="12"/>
      <c r="E31" s="7"/>
      <c r="F31" s="13"/>
    </row>
    <row r="32" spans="1:6" x14ac:dyDescent="0.25">
      <c r="A32" s="9" t="s">
        <v>49</v>
      </c>
      <c r="B32" s="10">
        <v>5</v>
      </c>
      <c r="C32" s="11">
        <v>28</v>
      </c>
      <c r="D32" s="12"/>
      <c r="E32" s="7"/>
      <c r="F32" s="13"/>
    </row>
    <row r="33" spans="1:7" x14ac:dyDescent="0.25">
      <c r="A33" s="9" t="s">
        <v>50</v>
      </c>
      <c r="B33" s="10">
        <v>5</v>
      </c>
      <c r="C33" s="11">
        <v>56</v>
      </c>
      <c r="D33" s="12"/>
      <c r="E33" s="7"/>
      <c r="F33" s="13"/>
    </row>
    <row r="34" spans="1:7" ht="18.75" x14ac:dyDescent="0.4">
      <c r="A34" s="256"/>
      <c r="B34" s="257"/>
      <c r="C34" s="262" t="s">
        <v>16</v>
      </c>
      <c r="D34" s="262"/>
      <c r="E34" s="14">
        <v>52000</v>
      </c>
      <c r="F34" s="15"/>
    </row>
    <row r="35" spans="1:7" ht="19.5" thickBot="1" x14ac:dyDescent="0.45">
      <c r="A35" s="258"/>
      <c r="B35" s="259"/>
      <c r="C35" s="263" t="s">
        <v>17</v>
      </c>
      <c r="D35" s="263"/>
      <c r="E35" s="16">
        <v>260000</v>
      </c>
      <c r="F35" s="17"/>
    </row>
    <row r="36" spans="1:7" ht="18.75" x14ac:dyDescent="0.4">
      <c r="A36" s="258"/>
      <c r="B36" s="259"/>
      <c r="C36" s="264" t="s">
        <v>18</v>
      </c>
      <c r="D36" s="265"/>
      <c r="E36" s="18">
        <v>140000</v>
      </c>
      <c r="F36" s="19"/>
    </row>
    <row r="37" spans="1:7" ht="19.5" thickBot="1" x14ac:dyDescent="0.45">
      <c r="A37" s="260"/>
      <c r="B37" s="261"/>
      <c r="C37" s="263" t="s">
        <v>17</v>
      </c>
      <c r="D37" s="263"/>
      <c r="E37" s="20">
        <f>E35+E36</f>
        <v>400000</v>
      </c>
      <c r="F37" s="21"/>
    </row>
    <row r="38" spans="1:7" x14ac:dyDescent="0.25">
      <c r="A38" t="s">
        <v>51</v>
      </c>
      <c r="E38" s="35">
        <v>500000</v>
      </c>
    </row>
    <row r="39" spans="1:7" x14ac:dyDescent="0.25">
      <c r="A39" t="s">
        <v>42</v>
      </c>
      <c r="E39" s="36">
        <f>E37-E38</f>
        <v>-100000</v>
      </c>
    </row>
    <row r="41" spans="1:7" ht="15.75" thickBot="1" x14ac:dyDescent="0.3"/>
    <row r="42" spans="1:7" ht="18.75" x14ac:dyDescent="0.3">
      <c r="A42" s="250" t="s">
        <v>85</v>
      </c>
      <c r="B42" s="251"/>
      <c r="C42" s="251"/>
      <c r="D42" s="251"/>
      <c r="E42" s="251"/>
      <c r="F42" s="251"/>
      <c r="G42" s="252"/>
    </row>
    <row r="43" spans="1:7" ht="18.75" x14ac:dyDescent="0.3">
      <c r="A43" s="253" t="s">
        <v>52</v>
      </c>
      <c r="B43" s="254"/>
      <c r="C43" s="254"/>
      <c r="D43" s="254"/>
      <c r="E43" s="254"/>
      <c r="F43" s="254"/>
      <c r="G43" s="255"/>
    </row>
    <row r="44" spans="1:7" ht="18.75" x14ac:dyDescent="0.3">
      <c r="A44" s="253" t="s">
        <v>53</v>
      </c>
      <c r="B44" s="254"/>
      <c r="C44" s="254"/>
      <c r="D44" s="254"/>
      <c r="E44" s="254"/>
      <c r="F44" s="254"/>
      <c r="G44" s="254"/>
    </row>
    <row r="45" spans="1:7" x14ac:dyDescent="0.25">
      <c r="A45" s="22" t="s">
        <v>3</v>
      </c>
      <c r="B45" s="23">
        <v>13654</v>
      </c>
      <c r="C45" s="23">
        <v>13335</v>
      </c>
      <c r="D45" s="23">
        <v>13678</v>
      </c>
      <c r="E45" s="23">
        <v>13680</v>
      </c>
      <c r="F45" s="23"/>
      <c r="G45" s="39" t="s">
        <v>22</v>
      </c>
    </row>
    <row r="46" spans="1:7" x14ac:dyDescent="0.25">
      <c r="A46" s="24"/>
      <c r="B46" s="25">
        <v>46154</v>
      </c>
      <c r="C46" s="25">
        <v>46161</v>
      </c>
      <c r="D46" s="25">
        <v>46162</v>
      </c>
      <c r="E46" s="25">
        <v>46162</v>
      </c>
      <c r="F46" s="25"/>
      <c r="G46" s="40">
        <v>46173</v>
      </c>
    </row>
    <row r="47" spans="1:7" x14ac:dyDescent="0.25">
      <c r="A47" s="27" t="s">
        <v>54</v>
      </c>
      <c r="B47" s="28">
        <v>16</v>
      </c>
      <c r="C47" s="29">
        <v>-16</v>
      </c>
      <c r="D47" s="29"/>
      <c r="E47" s="29"/>
      <c r="F47" s="29"/>
      <c r="G47" s="30">
        <f t="shared" ref="G47:G61" si="1">SUM(B47:F47)</f>
        <v>0</v>
      </c>
    </row>
    <row r="48" spans="1:7" x14ac:dyDescent="0.25">
      <c r="A48" s="27" t="s">
        <v>29</v>
      </c>
      <c r="B48" s="28">
        <v>16</v>
      </c>
      <c r="C48" s="29">
        <v>-16</v>
      </c>
      <c r="D48" s="29"/>
      <c r="E48" s="29"/>
      <c r="F48" s="29"/>
      <c r="G48" s="30">
        <f t="shared" si="1"/>
        <v>0</v>
      </c>
    </row>
    <row r="49" spans="1:7" x14ac:dyDescent="0.25">
      <c r="A49" s="27" t="s">
        <v>48</v>
      </c>
      <c r="B49" s="28">
        <v>12</v>
      </c>
      <c r="C49" s="29">
        <v>-12</v>
      </c>
      <c r="D49" s="29"/>
      <c r="E49" s="29"/>
      <c r="F49" s="29"/>
      <c r="G49" s="30">
        <f t="shared" si="1"/>
        <v>0</v>
      </c>
    </row>
    <row r="50" spans="1:7" x14ac:dyDescent="0.25">
      <c r="A50" s="27" t="s">
        <v>30</v>
      </c>
      <c r="B50" s="28">
        <v>12</v>
      </c>
      <c r="C50" s="29">
        <v>-12</v>
      </c>
      <c r="D50" s="29"/>
      <c r="E50" s="29"/>
      <c r="F50" s="29"/>
      <c r="G50" s="30">
        <f t="shared" si="1"/>
        <v>0</v>
      </c>
    </row>
    <row r="51" spans="1:7" x14ac:dyDescent="0.25">
      <c r="A51" s="27" t="s">
        <v>27</v>
      </c>
      <c r="B51" s="28">
        <v>700</v>
      </c>
      <c r="C51" s="29">
        <v>-700</v>
      </c>
      <c r="D51" s="29"/>
      <c r="E51" s="29"/>
      <c r="F51" s="29"/>
      <c r="G51" s="30">
        <f t="shared" si="1"/>
        <v>0</v>
      </c>
    </row>
    <row r="52" spans="1:7" x14ac:dyDescent="0.25">
      <c r="A52" s="27" t="s">
        <v>26</v>
      </c>
      <c r="B52" s="28">
        <v>28</v>
      </c>
      <c r="C52" s="29">
        <v>-28</v>
      </c>
      <c r="D52" s="29"/>
      <c r="E52" s="29"/>
      <c r="F52" s="29"/>
      <c r="G52" s="30">
        <f t="shared" si="1"/>
        <v>0</v>
      </c>
    </row>
    <row r="53" spans="1:7" x14ac:dyDescent="0.25">
      <c r="A53" s="27" t="s">
        <v>49</v>
      </c>
      <c r="B53" s="28">
        <v>28</v>
      </c>
      <c r="C53" s="29">
        <v>-28</v>
      </c>
      <c r="D53" s="29"/>
      <c r="E53" s="29"/>
      <c r="F53" s="29"/>
      <c r="G53" s="30">
        <f t="shared" si="1"/>
        <v>0</v>
      </c>
    </row>
    <row r="54" spans="1:7" x14ac:dyDescent="0.25">
      <c r="A54" s="27" t="s">
        <v>55</v>
      </c>
      <c r="B54" s="28">
        <v>56</v>
      </c>
      <c r="C54" s="29">
        <v>-56</v>
      </c>
      <c r="D54" s="29"/>
      <c r="E54" s="29"/>
      <c r="F54" s="29"/>
      <c r="G54" s="30">
        <f t="shared" si="1"/>
        <v>0</v>
      </c>
    </row>
    <row r="55" spans="1:7" x14ac:dyDescent="0.25">
      <c r="A55" s="27" t="s">
        <v>28</v>
      </c>
      <c r="B55" s="28">
        <v>2</v>
      </c>
      <c r="C55" s="29">
        <v>-2</v>
      </c>
      <c r="D55" s="29"/>
      <c r="E55" s="29"/>
      <c r="F55" s="29"/>
      <c r="G55" s="30">
        <f t="shared" si="1"/>
        <v>0</v>
      </c>
    </row>
    <row r="56" spans="1:7" x14ac:dyDescent="0.25">
      <c r="A56" s="27" t="s">
        <v>86</v>
      </c>
      <c r="B56" s="28"/>
      <c r="C56" s="29"/>
      <c r="D56" s="29">
        <v>35</v>
      </c>
      <c r="E56" s="29"/>
      <c r="F56" s="29"/>
      <c r="G56" s="30">
        <f>SUM(D56:F56)</f>
        <v>35</v>
      </c>
    </row>
    <row r="57" spans="1:7" x14ac:dyDescent="0.25">
      <c r="A57" s="27" t="s">
        <v>80</v>
      </c>
      <c r="B57" s="28"/>
      <c r="C57" s="29"/>
      <c r="D57" s="29">
        <v>10</v>
      </c>
      <c r="E57" s="29"/>
      <c r="F57" s="29"/>
      <c r="G57" s="30">
        <f>SUM(D57:F57)</f>
        <v>10</v>
      </c>
    </row>
    <row r="58" spans="1:7" x14ac:dyDescent="0.25">
      <c r="A58" s="27" t="s">
        <v>81</v>
      </c>
      <c r="B58" s="28"/>
      <c r="C58" s="29"/>
      <c r="D58" s="29">
        <v>12</v>
      </c>
      <c r="E58" s="29">
        <v>2</v>
      </c>
      <c r="F58" s="29"/>
      <c r="G58" s="30">
        <f>SUM(D58:F58)</f>
        <v>14</v>
      </c>
    </row>
    <row r="59" spans="1:7" x14ac:dyDescent="0.25">
      <c r="A59" s="27" t="s">
        <v>26</v>
      </c>
      <c r="B59" s="28"/>
      <c r="C59" s="29"/>
      <c r="D59" s="29">
        <v>12</v>
      </c>
      <c r="E59" s="29">
        <v>23</v>
      </c>
      <c r="F59" s="29"/>
      <c r="G59" s="30">
        <f>SUM(D59:F59)</f>
        <v>35</v>
      </c>
    </row>
    <row r="60" spans="1:7" x14ac:dyDescent="0.25">
      <c r="A60" s="24" t="s">
        <v>32</v>
      </c>
      <c r="B60" s="31">
        <v>0.3125</v>
      </c>
      <c r="C60" s="32">
        <v>8.3333333333333329E-2</v>
      </c>
      <c r="D60" s="32">
        <v>0.4375</v>
      </c>
      <c r="E60" s="32">
        <v>0.10416666666666667</v>
      </c>
      <c r="F60" s="32"/>
      <c r="G60" s="33">
        <f>SUM(D60:F60)</f>
        <v>0.54166666666666663</v>
      </c>
    </row>
    <row r="61" spans="1:7" x14ac:dyDescent="0.25">
      <c r="A61" s="24" t="s">
        <v>33</v>
      </c>
      <c r="B61" s="41"/>
      <c r="C61" s="34"/>
      <c r="D61" s="34">
        <v>80000</v>
      </c>
      <c r="E61" s="34" t="s">
        <v>87</v>
      </c>
      <c r="F61" s="34"/>
      <c r="G61" s="38">
        <f t="shared" si="1"/>
        <v>80000</v>
      </c>
    </row>
    <row r="68" spans="1:6" ht="15.75" thickBot="1" x14ac:dyDescent="0.3"/>
    <row r="69" spans="1:6" x14ac:dyDescent="0.25">
      <c r="A69" s="272" t="s">
        <v>0</v>
      </c>
      <c r="B69" s="273"/>
      <c r="C69" s="273"/>
      <c r="D69" s="273"/>
      <c r="E69" s="273"/>
      <c r="F69" s="274"/>
    </row>
    <row r="70" spans="1:6" x14ac:dyDescent="0.25">
      <c r="A70" s="331" t="s">
        <v>44</v>
      </c>
      <c r="B70" s="332"/>
      <c r="C70" s="332"/>
      <c r="D70" s="332"/>
      <c r="E70" s="332"/>
      <c r="F70" s="333"/>
    </row>
    <row r="71" spans="1:6" ht="18" x14ac:dyDescent="0.25">
      <c r="A71" s="248" t="s">
        <v>45</v>
      </c>
      <c r="B71" s="249"/>
      <c r="C71" s="249"/>
      <c r="D71" s="249"/>
      <c r="E71" s="249"/>
      <c r="F71" s="275"/>
    </row>
    <row r="72" spans="1:6" x14ac:dyDescent="0.25">
      <c r="A72" s="276" t="s">
        <v>3</v>
      </c>
      <c r="B72" s="277" t="s">
        <v>4</v>
      </c>
      <c r="C72" s="277"/>
      <c r="D72" s="277"/>
      <c r="E72" s="277" t="s">
        <v>5</v>
      </c>
      <c r="F72" s="278"/>
    </row>
    <row r="73" spans="1:6" x14ac:dyDescent="0.25">
      <c r="A73" s="276"/>
      <c r="B73" s="1" t="s">
        <v>6</v>
      </c>
      <c r="C73" s="1" t="s">
        <v>7</v>
      </c>
      <c r="D73" s="1" t="s">
        <v>8</v>
      </c>
      <c r="E73" s="1" t="s">
        <v>9</v>
      </c>
      <c r="F73" s="2" t="s">
        <v>10</v>
      </c>
    </row>
    <row r="74" spans="1:6" x14ac:dyDescent="0.25">
      <c r="A74" s="3" t="s">
        <v>79</v>
      </c>
      <c r="B74" s="4">
        <v>10</v>
      </c>
      <c r="C74" s="5">
        <v>35</v>
      </c>
      <c r="D74" s="6">
        <v>450</v>
      </c>
      <c r="E74" s="7">
        <f t="shared" ref="E74:E77" si="2">C74*D74</f>
        <v>15750</v>
      </c>
      <c r="F74" s="8">
        <f t="shared" ref="F74:F77" si="3">B74*E74</f>
        <v>157500</v>
      </c>
    </row>
    <row r="75" spans="1:6" x14ac:dyDescent="0.25">
      <c r="A75" s="3" t="s">
        <v>80</v>
      </c>
      <c r="B75" s="4">
        <v>10</v>
      </c>
      <c r="C75" s="5">
        <v>10</v>
      </c>
      <c r="D75" s="6">
        <v>300</v>
      </c>
      <c r="E75" s="7">
        <f t="shared" si="2"/>
        <v>3000</v>
      </c>
      <c r="F75" s="8">
        <f t="shared" si="3"/>
        <v>30000</v>
      </c>
    </row>
    <row r="76" spans="1:6" x14ac:dyDescent="0.25">
      <c r="A76" s="9" t="s">
        <v>81</v>
      </c>
      <c r="B76" s="10">
        <v>10</v>
      </c>
      <c r="C76" s="11">
        <v>14</v>
      </c>
      <c r="D76" s="12">
        <v>200</v>
      </c>
      <c r="E76" s="7">
        <f t="shared" si="2"/>
        <v>2800</v>
      </c>
      <c r="F76" s="13">
        <f t="shared" si="3"/>
        <v>28000</v>
      </c>
    </row>
    <row r="77" spans="1:6" x14ac:dyDescent="0.25">
      <c r="A77" s="9" t="s">
        <v>14</v>
      </c>
      <c r="B77" s="10">
        <v>10</v>
      </c>
      <c r="C77" s="11">
        <v>35</v>
      </c>
      <c r="D77" s="12">
        <v>200</v>
      </c>
      <c r="E77" s="7">
        <f t="shared" si="2"/>
        <v>7000</v>
      </c>
      <c r="F77" s="13">
        <f t="shared" si="3"/>
        <v>70000</v>
      </c>
    </row>
    <row r="78" spans="1:6" ht="18.75" x14ac:dyDescent="0.4">
      <c r="A78" s="256" t="s">
        <v>98</v>
      </c>
      <c r="B78" s="257"/>
      <c r="C78" s="262" t="s">
        <v>16</v>
      </c>
      <c r="D78" s="262"/>
      <c r="E78" s="14">
        <f>SUM(E74:E77)</f>
        <v>28550</v>
      </c>
      <c r="F78" s="15"/>
    </row>
    <row r="79" spans="1:6" ht="19.5" thickBot="1" x14ac:dyDescent="0.45">
      <c r="A79" s="258"/>
      <c r="B79" s="259"/>
      <c r="C79" s="263" t="s">
        <v>17</v>
      </c>
      <c r="D79" s="263"/>
      <c r="E79" s="16">
        <f>SUM(F74:F77)</f>
        <v>285500</v>
      </c>
      <c r="F79" s="17"/>
    </row>
    <row r="80" spans="1:6" ht="18.75" x14ac:dyDescent="0.4">
      <c r="A80" s="258"/>
      <c r="B80" s="259"/>
      <c r="C80" s="264" t="s">
        <v>84</v>
      </c>
      <c r="D80" s="265"/>
      <c r="E80" s="18">
        <v>160000</v>
      </c>
      <c r="F80" s="19"/>
    </row>
    <row r="81" spans="1:6" ht="19.5" thickBot="1" x14ac:dyDescent="0.45">
      <c r="A81" s="260"/>
      <c r="B81" s="261"/>
      <c r="C81" s="263" t="s">
        <v>17</v>
      </c>
      <c r="D81" s="263"/>
      <c r="E81" s="20">
        <f>E79+E80</f>
        <v>445500</v>
      </c>
      <c r="F81" s="21"/>
    </row>
    <row r="82" spans="1:6" x14ac:dyDescent="0.25">
      <c r="A82" t="s">
        <v>82</v>
      </c>
      <c r="E82" s="35">
        <v>100000</v>
      </c>
    </row>
    <row r="83" spans="1:6" x14ac:dyDescent="0.25">
      <c r="A83" t="s">
        <v>83</v>
      </c>
      <c r="E83" s="36">
        <f>E81-E82</f>
        <v>345500</v>
      </c>
    </row>
    <row r="84" spans="1:6" ht="15.75" thickBot="1" x14ac:dyDescent="0.3"/>
    <row r="85" spans="1:6" ht="18.75" x14ac:dyDescent="0.3">
      <c r="A85" s="250" t="s">
        <v>137</v>
      </c>
      <c r="B85" s="251"/>
      <c r="C85" s="251"/>
      <c r="D85" s="252"/>
    </row>
    <row r="86" spans="1:6" ht="18.75" x14ac:dyDescent="0.3">
      <c r="A86" s="253" t="s">
        <v>138</v>
      </c>
      <c r="B86" s="254"/>
      <c r="C86" s="254"/>
      <c r="D86" s="255"/>
    </row>
    <row r="87" spans="1:6" ht="18.75" x14ac:dyDescent="0.3">
      <c r="A87" s="253" t="s">
        <v>136</v>
      </c>
      <c r="B87" s="254"/>
      <c r="C87" s="254"/>
      <c r="D87" s="255"/>
    </row>
    <row r="88" spans="1:6" x14ac:dyDescent="0.25">
      <c r="A88" s="80" t="s">
        <v>3</v>
      </c>
      <c r="B88" s="23">
        <v>13754</v>
      </c>
      <c r="C88" s="23"/>
      <c r="D88" s="81" t="s">
        <v>22</v>
      </c>
    </row>
    <row r="89" spans="1:6" x14ac:dyDescent="0.25">
      <c r="A89" s="82"/>
      <c r="B89" s="25">
        <v>46170</v>
      </c>
      <c r="C89" s="25">
        <v>46174</v>
      </c>
      <c r="D89" s="83">
        <v>46173</v>
      </c>
    </row>
    <row r="90" spans="1:6" x14ac:dyDescent="0.25">
      <c r="A90" s="84" t="s">
        <v>54</v>
      </c>
      <c r="B90" s="29">
        <v>12</v>
      </c>
      <c r="C90" s="29">
        <v>0.33333333333333331</v>
      </c>
      <c r="D90" s="85">
        <f>SUM(B90:C90)</f>
        <v>12.333333333333334</v>
      </c>
    </row>
    <row r="91" spans="1:6" x14ac:dyDescent="0.25">
      <c r="A91" s="84" t="s">
        <v>29</v>
      </c>
      <c r="B91" s="29">
        <v>12</v>
      </c>
      <c r="C91" s="29"/>
      <c r="D91" s="85">
        <f>SUM(B91:B91)</f>
        <v>12</v>
      </c>
    </row>
    <row r="92" spans="1:6" x14ac:dyDescent="0.25">
      <c r="A92" s="84" t="s">
        <v>48</v>
      </c>
      <c r="B92" s="29"/>
      <c r="C92" s="29"/>
      <c r="D92" s="85">
        <f>SUM(B92:B92)</f>
        <v>0</v>
      </c>
    </row>
    <row r="93" spans="1:6" x14ac:dyDescent="0.25">
      <c r="A93" s="84" t="s">
        <v>30</v>
      </c>
      <c r="B93" s="29"/>
      <c r="C93" s="29"/>
      <c r="D93" s="85">
        <f>SUM(B93:B93)</f>
        <v>0</v>
      </c>
    </row>
    <row r="94" spans="1:6" x14ac:dyDescent="0.25">
      <c r="A94" s="84" t="s">
        <v>134</v>
      </c>
      <c r="B94" s="29">
        <v>6</v>
      </c>
      <c r="C94" s="29"/>
      <c r="D94" s="85">
        <f>SUM(B94)</f>
        <v>6</v>
      </c>
    </row>
    <row r="95" spans="1:6" x14ac:dyDescent="0.25">
      <c r="A95" s="84" t="s">
        <v>135</v>
      </c>
      <c r="B95" s="29">
        <v>6</v>
      </c>
      <c r="C95" s="29"/>
      <c r="D95" s="85">
        <f>SUM(B95)</f>
        <v>6</v>
      </c>
    </row>
    <row r="96" spans="1:6" x14ac:dyDescent="0.25">
      <c r="A96" s="84" t="s">
        <v>26</v>
      </c>
      <c r="B96" s="29"/>
      <c r="C96" s="29"/>
      <c r="D96" s="85">
        <f>SUM(B96:B96)</f>
        <v>0</v>
      </c>
    </row>
    <row r="97" spans="1:8" x14ac:dyDescent="0.25">
      <c r="A97" s="84" t="s">
        <v>49</v>
      </c>
      <c r="B97" s="29">
        <v>12</v>
      </c>
      <c r="C97" s="29"/>
      <c r="D97" s="85">
        <f>SUM(B97:B97)</f>
        <v>12</v>
      </c>
    </row>
    <row r="98" spans="1:8" x14ac:dyDescent="0.25">
      <c r="A98" s="84" t="s">
        <v>55</v>
      </c>
      <c r="B98" s="29">
        <v>24</v>
      </c>
      <c r="C98" s="29"/>
      <c r="D98" s="85">
        <f>SUM(B98:B98)</f>
        <v>24</v>
      </c>
    </row>
    <row r="99" spans="1:8" x14ac:dyDescent="0.25">
      <c r="A99" s="84" t="s">
        <v>28</v>
      </c>
      <c r="B99" s="29"/>
      <c r="C99" s="29"/>
      <c r="D99" s="85">
        <f>SUM(B99:B99)</f>
        <v>0</v>
      </c>
    </row>
    <row r="100" spans="1:8" x14ac:dyDescent="0.25">
      <c r="A100" s="84" t="s">
        <v>86</v>
      </c>
      <c r="B100" s="29"/>
      <c r="C100" s="29"/>
      <c r="D100" s="85">
        <f>SUM(B100:C100)</f>
        <v>0</v>
      </c>
    </row>
    <row r="101" spans="1:8" x14ac:dyDescent="0.25">
      <c r="A101" s="84" t="s">
        <v>80</v>
      </c>
      <c r="B101" s="29"/>
      <c r="C101" s="29"/>
      <c r="D101" s="85">
        <f>SUM(B101:C101)</f>
        <v>0</v>
      </c>
    </row>
    <row r="102" spans="1:8" x14ac:dyDescent="0.25">
      <c r="A102" s="84" t="s">
        <v>81</v>
      </c>
      <c r="B102" s="29"/>
      <c r="C102" s="29"/>
      <c r="D102" s="85">
        <f>SUM(B102:C102)</f>
        <v>0</v>
      </c>
    </row>
    <row r="103" spans="1:8" x14ac:dyDescent="0.25">
      <c r="A103" s="84" t="s">
        <v>26</v>
      </c>
      <c r="B103" s="29"/>
      <c r="C103" s="29"/>
      <c r="D103" s="86">
        <f>SUM(B103:C103)</f>
        <v>0</v>
      </c>
    </row>
    <row r="104" spans="1:8" x14ac:dyDescent="0.25">
      <c r="A104" s="82" t="s">
        <v>32</v>
      </c>
      <c r="B104" s="32">
        <v>0.375</v>
      </c>
      <c r="C104" s="32"/>
      <c r="D104" s="87"/>
    </row>
    <row r="105" spans="1:8" ht="15.75" thickBot="1" x14ac:dyDescent="0.3">
      <c r="A105" s="88" t="s">
        <v>33</v>
      </c>
      <c r="B105" s="89">
        <v>80000</v>
      </c>
      <c r="C105" s="89">
        <v>80000</v>
      </c>
      <c r="D105" s="90">
        <f>SUM(B105:C105)</f>
        <v>160000</v>
      </c>
    </row>
    <row r="110" spans="1:8" ht="15.75" thickBot="1" x14ac:dyDescent="0.3"/>
    <row r="111" spans="1:8" ht="18.75" x14ac:dyDescent="0.3">
      <c r="A111" s="250" t="s">
        <v>85</v>
      </c>
      <c r="B111" s="251"/>
      <c r="C111" s="251"/>
      <c r="D111" s="251"/>
      <c r="E111" s="251"/>
      <c r="F111" s="251"/>
      <c r="G111" s="251"/>
      <c r="H111" s="252"/>
    </row>
    <row r="112" spans="1:8" ht="18.75" x14ac:dyDescent="0.3">
      <c r="A112" s="253" t="s">
        <v>52</v>
      </c>
      <c r="B112" s="254"/>
      <c r="C112" s="254"/>
      <c r="D112" s="254"/>
      <c r="E112" s="254"/>
      <c r="F112" s="254"/>
      <c r="G112" s="254"/>
      <c r="H112" s="255"/>
    </row>
    <row r="113" spans="1:8" ht="18" customHeight="1" x14ac:dyDescent="0.3">
      <c r="A113" s="253" t="s">
        <v>53</v>
      </c>
      <c r="B113" s="254"/>
      <c r="C113" s="254"/>
      <c r="D113" s="254"/>
      <c r="E113" s="254"/>
      <c r="F113" s="254"/>
      <c r="G113" s="254"/>
      <c r="H113" s="254"/>
    </row>
    <row r="114" spans="1:8" x14ac:dyDescent="0.25">
      <c r="A114" s="22" t="s">
        <v>3</v>
      </c>
      <c r="B114" s="23">
        <v>13654</v>
      </c>
      <c r="C114" s="23">
        <v>13335</v>
      </c>
      <c r="D114" s="23">
        <v>13678</v>
      </c>
      <c r="E114" s="23">
        <v>13680</v>
      </c>
      <c r="F114" s="23">
        <v>13754</v>
      </c>
      <c r="G114" s="23">
        <v>13360</v>
      </c>
      <c r="H114" s="39" t="s">
        <v>22</v>
      </c>
    </row>
    <row r="115" spans="1:8" x14ac:dyDescent="0.25">
      <c r="A115" s="24"/>
      <c r="B115" s="25">
        <v>46154</v>
      </c>
      <c r="C115" s="25">
        <v>46161</v>
      </c>
      <c r="D115" s="25">
        <v>46162</v>
      </c>
      <c r="E115" s="25">
        <v>46162</v>
      </c>
      <c r="F115" s="25">
        <v>46170</v>
      </c>
      <c r="G115" s="25">
        <v>46171</v>
      </c>
      <c r="H115" s="40">
        <v>46173</v>
      </c>
    </row>
    <row r="116" spans="1:8" x14ac:dyDescent="0.25">
      <c r="A116" s="27" t="s">
        <v>54</v>
      </c>
      <c r="B116" s="28">
        <v>16</v>
      </c>
      <c r="C116" s="29">
        <v>-16</v>
      </c>
      <c r="D116" s="29"/>
      <c r="E116" s="29"/>
      <c r="F116" s="29">
        <v>12</v>
      </c>
      <c r="G116" s="29"/>
      <c r="H116" s="30">
        <f>SUM(B116:G116)</f>
        <v>12</v>
      </c>
    </row>
    <row r="117" spans="1:8" x14ac:dyDescent="0.25">
      <c r="A117" s="27" t="s">
        <v>29</v>
      </c>
      <c r="B117" s="28">
        <v>16</v>
      </c>
      <c r="C117" s="29">
        <v>-16</v>
      </c>
      <c r="D117" s="29"/>
      <c r="E117" s="29"/>
      <c r="F117" s="29">
        <v>12</v>
      </c>
      <c r="G117" s="29"/>
      <c r="H117" s="30">
        <f t="shared" ref="H117:H131" si="4">SUM(B117:F117)</f>
        <v>12</v>
      </c>
    </row>
    <row r="118" spans="1:8" x14ac:dyDescent="0.25">
      <c r="A118" s="27" t="s">
        <v>48</v>
      </c>
      <c r="B118" s="28">
        <v>12</v>
      </c>
      <c r="C118" s="29">
        <v>-12</v>
      </c>
      <c r="D118" s="29"/>
      <c r="E118" s="29"/>
      <c r="F118" s="29"/>
      <c r="G118" s="29"/>
      <c r="H118" s="30">
        <f t="shared" si="4"/>
        <v>0</v>
      </c>
    </row>
    <row r="119" spans="1:8" x14ac:dyDescent="0.25">
      <c r="A119" s="27" t="s">
        <v>30</v>
      </c>
      <c r="B119" s="28">
        <v>12</v>
      </c>
      <c r="C119" s="29">
        <v>-12</v>
      </c>
      <c r="D119" s="29"/>
      <c r="E119" s="29"/>
      <c r="F119" s="29"/>
      <c r="G119" s="29"/>
      <c r="H119" s="30">
        <f t="shared" si="4"/>
        <v>0</v>
      </c>
    </row>
    <row r="120" spans="1:8" x14ac:dyDescent="0.25">
      <c r="A120" s="27" t="s">
        <v>134</v>
      </c>
      <c r="B120" s="28"/>
      <c r="C120" s="29"/>
      <c r="D120" s="29"/>
      <c r="E120" s="29"/>
      <c r="F120" s="29">
        <v>6</v>
      </c>
      <c r="G120" s="29"/>
      <c r="H120" s="30">
        <f>SUM(F120)</f>
        <v>6</v>
      </c>
    </row>
    <row r="121" spans="1:8" x14ac:dyDescent="0.25">
      <c r="A121" s="27" t="s">
        <v>135</v>
      </c>
      <c r="B121" s="28"/>
      <c r="C121" s="29"/>
      <c r="D121" s="29"/>
      <c r="E121" s="29"/>
      <c r="F121" s="29">
        <v>6</v>
      </c>
      <c r="G121" s="29"/>
      <c r="H121" s="30">
        <f>SUM(F121)</f>
        <v>6</v>
      </c>
    </row>
    <row r="122" spans="1:8" x14ac:dyDescent="0.25">
      <c r="A122" s="27" t="s">
        <v>26</v>
      </c>
      <c r="B122" s="28">
        <v>28</v>
      </c>
      <c r="C122" s="29">
        <v>-28</v>
      </c>
      <c r="D122" s="29"/>
      <c r="E122" s="29"/>
      <c r="F122" s="29"/>
      <c r="G122" s="29"/>
      <c r="H122" s="30">
        <f t="shared" si="4"/>
        <v>0</v>
      </c>
    </row>
    <row r="123" spans="1:8" ht="18.75" customHeight="1" x14ac:dyDescent="0.25">
      <c r="A123" s="27" t="s">
        <v>49</v>
      </c>
      <c r="B123" s="28">
        <v>28</v>
      </c>
      <c r="C123" s="29">
        <v>-28</v>
      </c>
      <c r="D123" s="29"/>
      <c r="E123" s="29"/>
      <c r="F123" s="29">
        <v>12</v>
      </c>
      <c r="G123" s="29"/>
      <c r="H123" s="30">
        <f t="shared" si="4"/>
        <v>12</v>
      </c>
    </row>
    <row r="124" spans="1:8" ht="19.5" customHeight="1" x14ac:dyDescent="0.25">
      <c r="A124" s="27" t="s">
        <v>55</v>
      </c>
      <c r="B124" s="28">
        <v>56</v>
      </c>
      <c r="C124" s="29">
        <v>-56</v>
      </c>
      <c r="D124" s="29"/>
      <c r="E124" s="29"/>
      <c r="F124" s="29">
        <v>24</v>
      </c>
      <c r="G124" s="29"/>
      <c r="H124" s="30">
        <f t="shared" si="4"/>
        <v>24</v>
      </c>
    </row>
    <row r="125" spans="1:8" ht="18.75" customHeight="1" x14ac:dyDescent="0.25">
      <c r="A125" s="27" t="s">
        <v>28</v>
      </c>
      <c r="B125" s="28">
        <v>2</v>
      </c>
      <c r="C125" s="29">
        <v>-2</v>
      </c>
      <c r="D125" s="29"/>
      <c r="E125" s="29"/>
      <c r="F125" s="29"/>
      <c r="G125" s="29"/>
      <c r="H125" s="30">
        <f t="shared" si="4"/>
        <v>0</v>
      </c>
    </row>
    <row r="126" spans="1:8" ht="19.5" customHeight="1" x14ac:dyDescent="0.25">
      <c r="A126" s="27" t="s">
        <v>86</v>
      </c>
      <c r="B126" s="28"/>
      <c r="C126" s="29"/>
      <c r="D126" s="29">
        <v>35</v>
      </c>
      <c r="E126" s="29"/>
      <c r="F126" s="29"/>
      <c r="G126" s="29">
        <v>-35</v>
      </c>
      <c r="H126" s="30">
        <f>SUM(B126:G126)</f>
        <v>0</v>
      </c>
    </row>
    <row r="127" spans="1:8" ht="19.5" customHeight="1" x14ac:dyDescent="0.25">
      <c r="A127" s="27" t="s">
        <v>80</v>
      </c>
      <c r="B127" s="28"/>
      <c r="C127" s="29"/>
      <c r="D127" s="29">
        <v>10</v>
      </c>
      <c r="E127" s="29"/>
      <c r="F127" s="29"/>
      <c r="G127" s="29">
        <v>-10</v>
      </c>
      <c r="H127" s="30">
        <f>SUM(B127:G127)</f>
        <v>0</v>
      </c>
    </row>
    <row r="128" spans="1:8" x14ac:dyDescent="0.25">
      <c r="A128" s="27" t="s">
        <v>81</v>
      </c>
      <c r="B128" s="28"/>
      <c r="C128" s="29"/>
      <c r="D128" s="29">
        <v>12</v>
      </c>
      <c r="E128" s="29">
        <v>2</v>
      </c>
      <c r="F128" s="29"/>
      <c r="G128" s="29">
        <v>-14</v>
      </c>
      <c r="H128" s="30">
        <f>SUM(B128:G128)</f>
        <v>0</v>
      </c>
    </row>
    <row r="129" spans="1:8" x14ac:dyDescent="0.25">
      <c r="A129" s="27" t="s">
        <v>26</v>
      </c>
      <c r="B129" s="28"/>
      <c r="C129" s="29"/>
      <c r="D129" s="29">
        <v>12</v>
      </c>
      <c r="E129" s="29">
        <v>23</v>
      </c>
      <c r="F129" s="29"/>
      <c r="G129" s="29">
        <v>-23</v>
      </c>
      <c r="H129" s="69">
        <f>SUM(B129:G129)</f>
        <v>12</v>
      </c>
    </row>
    <row r="130" spans="1:8" x14ac:dyDescent="0.25">
      <c r="A130" s="24" t="s">
        <v>32</v>
      </c>
      <c r="B130" s="31">
        <v>0.3125</v>
      </c>
      <c r="C130" s="32">
        <v>8.3333333333333329E-2</v>
      </c>
      <c r="D130" s="32">
        <v>0.4375</v>
      </c>
      <c r="E130" s="32">
        <v>0.10416666666666667</v>
      </c>
      <c r="F130" s="32">
        <v>0.375</v>
      </c>
      <c r="G130" s="32">
        <v>0.10069444444444445</v>
      </c>
      <c r="H130" s="33"/>
    </row>
    <row r="131" spans="1:8" x14ac:dyDescent="0.25">
      <c r="A131" s="24" t="s">
        <v>33</v>
      </c>
      <c r="B131" s="41"/>
      <c r="C131" s="34"/>
      <c r="D131" s="34">
        <v>80000</v>
      </c>
      <c r="E131" s="34" t="s">
        <v>87</v>
      </c>
      <c r="F131" s="34">
        <v>80000</v>
      </c>
      <c r="G131" s="34"/>
      <c r="H131" s="38">
        <f t="shared" si="4"/>
        <v>160000</v>
      </c>
    </row>
  </sheetData>
  <mergeCells count="32">
    <mergeCell ref="A78:B81"/>
    <mergeCell ref="C78:D78"/>
    <mergeCell ref="C79:D79"/>
    <mergeCell ref="C80:D80"/>
    <mergeCell ref="C81:D81"/>
    <mergeCell ref="A111:H111"/>
    <mergeCell ref="A112:H112"/>
    <mergeCell ref="A113:H113"/>
    <mergeCell ref="A85:D85"/>
    <mergeCell ref="A86:D86"/>
    <mergeCell ref="A87:D87"/>
    <mergeCell ref="E72:F72"/>
    <mergeCell ref="A34:B37"/>
    <mergeCell ref="C34:D34"/>
    <mergeCell ref="C35:D35"/>
    <mergeCell ref="C36:D36"/>
    <mergeCell ref="C37:D37"/>
    <mergeCell ref="A42:G42"/>
    <mergeCell ref="A43:G43"/>
    <mergeCell ref="A44:G44"/>
    <mergeCell ref="A69:F69"/>
    <mergeCell ref="A70:F70"/>
    <mergeCell ref="A71:F71"/>
    <mergeCell ref="A72:A73"/>
    <mergeCell ref="B72:D72"/>
    <mergeCell ref="A1:G1"/>
    <mergeCell ref="A2:G2"/>
    <mergeCell ref="A22:F22"/>
    <mergeCell ref="A23:F23"/>
    <mergeCell ref="A24:A25"/>
    <mergeCell ref="B24:D24"/>
    <mergeCell ref="E24:F2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2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49A23-E814-4FC5-8114-6E4763657CD0}">
  <dimension ref="A1:I57"/>
  <sheetViews>
    <sheetView topLeftCell="A43" workbookViewId="0">
      <selection activeCell="L6" sqref="L6"/>
    </sheetView>
  </sheetViews>
  <sheetFormatPr baseColWidth="10" defaultRowHeight="15" x14ac:dyDescent="0.25"/>
  <cols>
    <col min="1" max="1" width="23.42578125" bestFit="1" customWidth="1"/>
    <col min="5" max="5" width="28.85546875" customWidth="1"/>
  </cols>
  <sheetData>
    <row r="1" spans="1:9" ht="18.75" x14ac:dyDescent="0.3">
      <c r="A1" s="250" t="s">
        <v>139</v>
      </c>
      <c r="B1" s="251"/>
      <c r="C1" s="251"/>
      <c r="D1" s="251"/>
      <c r="E1" s="251"/>
      <c r="F1" s="251"/>
      <c r="G1" s="251"/>
      <c r="H1" s="251"/>
      <c r="I1" s="252"/>
    </row>
    <row r="2" spans="1:9" ht="18.75" x14ac:dyDescent="0.3">
      <c r="A2" s="253" t="s">
        <v>140</v>
      </c>
      <c r="B2" s="254"/>
      <c r="C2" s="254"/>
      <c r="D2" s="254"/>
      <c r="E2" s="254"/>
      <c r="F2" s="254"/>
      <c r="G2" s="254"/>
      <c r="H2" s="254"/>
      <c r="I2" s="255"/>
    </row>
    <row r="3" spans="1:9" ht="18.75" x14ac:dyDescent="0.3">
      <c r="A3" s="253" t="s">
        <v>141</v>
      </c>
      <c r="B3" s="254"/>
      <c r="C3" s="254"/>
      <c r="D3" s="254"/>
      <c r="E3" s="254"/>
      <c r="F3" s="254"/>
      <c r="G3" s="254"/>
      <c r="H3" s="254"/>
      <c r="I3" s="254"/>
    </row>
    <row r="4" spans="1:9" x14ac:dyDescent="0.25">
      <c r="A4" s="22" t="s">
        <v>3</v>
      </c>
      <c r="B4" s="23">
        <v>13633</v>
      </c>
      <c r="C4" s="23">
        <v>13639</v>
      </c>
      <c r="D4" s="23">
        <v>13647</v>
      </c>
      <c r="E4" s="23">
        <v>13653</v>
      </c>
      <c r="F4" s="23">
        <v>13352</v>
      </c>
      <c r="G4" s="23">
        <v>13363</v>
      </c>
      <c r="H4" s="23"/>
      <c r="I4" s="23" t="s">
        <v>22</v>
      </c>
    </row>
    <row r="5" spans="1:9" x14ac:dyDescent="0.25">
      <c r="A5" s="24"/>
      <c r="B5" s="25">
        <v>46148</v>
      </c>
      <c r="C5" s="25">
        <v>46150</v>
      </c>
      <c r="D5" s="25">
        <v>46151</v>
      </c>
      <c r="E5" s="25">
        <v>46153</v>
      </c>
      <c r="F5" s="25">
        <v>46169</v>
      </c>
      <c r="G5" s="25">
        <v>46172</v>
      </c>
      <c r="H5" s="25"/>
      <c r="I5" s="25">
        <v>46173</v>
      </c>
    </row>
    <row r="6" spans="1:9" x14ac:dyDescent="0.25">
      <c r="A6" s="42" t="s">
        <v>48</v>
      </c>
      <c r="B6" s="28">
        <v>40</v>
      </c>
      <c r="C6" s="29"/>
      <c r="D6" s="29"/>
      <c r="E6" s="29"/>
      <c r="F6" s="29">
        <v>-29</v>
      </c>
      <c r="G6" s="91">
        <v>-8</v>
      </c>
      <c r="H6" s="29"/>
      <c r="I6" s="30">
        <f t="shared" ref="I6:I14" si="0">SUM(B6:H6)</f>
        <v>3</v>
      </c>
    </row>
    <row r="7" spans="1:9" x14ac:dyDescent="0.25">
      <c r="A7" s="42" t="s">
        <v>142</v>
      </c>
      <c r="B7" s="28">
        <v>20</v>
      </c>
      <c r="C7" s="29"/>
      <c r="D7" s="29"/>
      <c r="E7" s="29"/>
      <c r="F7" s="29">
        <v>-17</v>
      </c>
      <c r="G7" s="91">
        <v>-4</v>
      </c>
      <c r="H7" s="29"/>
      <c r="I7" s="30">
        <v>0</v>
      </c>
    </row>
    <row r="8" spans="1:9" x14ac:dyDescent="0.25">
      <c r="A8" s="42" t="s">
        <v>143</v>
      </c>
      <c r="B8" s="28">
        <v>6</v>
      </c>
      <c r="C8" s="29"/>
      <c r="D8" s="29"/>
      <c r="E8" s="29">
        <v>8</v>
      </c>
      <c r="F8" s="29">
        <v>-3</v>
      </c>
      <c r="G8" s="91">
        <v>-9</v>
      </c>
      <c r="H8" s="29"/>
      <c r="I8" s="30">
        <f t="shared" si="0"/>
        <v>2</v>
      </c>
    </row>
    <row r="9" spans="1:9" x14ac:dyDescent="0.25">
      <c r="A9" s="42" t="s">
        <v>30</v>
      </c>
      <c r="B9" s="28"/>
      <c r="C9" s="29">
        <v>10</v>
      </c>
      <c r="D9" s="29"/>
      <c r="E9" s="29">
        <v>2</v>
      </c>
      <c r="F9" s="29">
        <v>-7</v>
      </c>
      <c r="G9" s="29"/>
      <c r="H9" s="29"/>
      <c r="I9" s="30">
        <f t="shared" si="0"/>
        <v>5</v>
      </c>
    </row>
    <row r="10" spans="1:9" x14ac:dyDescent="0.25">
      <c r="A10" s="42" t="s">
        <v>14</v>
      </c>
      <c r="B10" s="28">
        <v>30</v>
      </c>
      <c r="C10" s="29"/>
      <c r="D10" s="29"/>
      <c r="E10" s="29">
        <v>15</v>
      </c>
      <c r="F10" s="29">
        <v>-10</v>
      </c>
      <c r="G10" s="91">
        <v>-24</v>
      </c>
      <c r="H10" s="29"/>
      <c r="I10" s="30">
        <f t="shared" si="0"/>
        <v>11</v>
      </c>
    </row>
    <row r="11" spans="1:9" x14ac:dyDescent="0.25">
      <c r="A11" s="42" t="s">
        <v>27</v>
      </c>
      <c r="B11" s="28">
        <v>130</v>
      </c>
      <c r="C11" s="29">
        <v>50</v>
      </c>
      <c r="D11" s="29">
        <v>50</v>
      </c>
      <c r="E11" s="29">
        <v>100</v>
      </c>
      <c r="F11" s="29">
        <v>-200</v>
      </c>
      <c r="G11" s="29"/>
      <c r="H11" s="29"/>
      <c r="I11" s="30">
        <f t="shared" si="0"/>
        <v>130</v>
      </c>
    </row>
    <row r="12" spans="1:9" x14ac:dyDescent="0.25">
      <c r="A12" s="42" t="s">
        <v>31</v>
      </c>
      <c r="B12" s="28">
        <v>30</v>
      </c>
      <c r="C12" s="29"/>
      <c r="D12" s="29"/>
      <c r="E12" s="29"/>
      <c r="F12" s="29"/>
      <c r="G12" s="91">
        <v>-26</v>
      </c>
      <c r="H12" s="29"/>
      <c r="I12" s="30">
        <f t="shared" si="0"/>
        <v>4</v>
      </c>
    </row>
    <row r="13" spans="1:9" x14ac:dyDescent="0.25">
      <c r="A13" s="42" t="s">
        <v>49</v>
      </c>
      <c r="B13" s="28"/>
      <c r="C13" s="29">
        <v>6</v>
      </c>
      <c r="D13" s="29"/>
      <c r="E13" s="29"/>
      <c r="F13" s="29"/>
      <c r="G13" s="29"/>
      <c r="H13" s="29"/>
      <c r="I13" s="30">
        <f t="shared" si="0"/>
        <v>6</v>
      </c>
    </row>
    <row r="14" spans="1:9" x14ac:dyDescent="0.25">
      <c r="A14" s="42" t="s">
        <v>55</v>
      </c>
      <c r="B14" s="28"/>
      <c r="C14" s="29"/>
      <c r="D14" s="29"/>
      <c r="E14" s="29">
        <v>6</v>
      </c>
      <c r="F14" s="29"/>
      <c r="G14" s="91">
        <v>-2</v>
      </c>
      <c r="H14" s="29"/>
      <c r="I14" s="30">
        <f t="shared" si="0"/>
        <v>4</v>
      </c>
    </row>
    <row r="15" spans="1:9" x14ac:dyDescent="0.25">
      <c r="A15" s="24" t="s">
        <v>32</v>
      </c>
      <c r="B15" s="31">
        <v>0.14583333333333334</v>
      </c>
      <c r="C15" s="32">
        <v>0.43055555555555558</v>
      </c>
      <c r="D15" s="32">
        <v>0.33333333333333331</v>
      </c>
      <c r="E15" s="32">
        <v>0.15625</v>
      </c>
      <c r="F15" s="32">
        <v>0.125</v>
      </c>
      <c r="G15" s="32">
        <v>0.45833333333333331</v>
      </c>
      <c r="H15" s="32"/>
      <c r="I15" s="33"/>
    </row>
    <row r="16" spans="1:9" x14ac:dyDescent="0.25">
      <c r="A16" s="24" t="s">
        <v>33</v>
      </c>
      <c r="B16" s="31" t="s">
        <v>144</v>
      </c>
      <c r="C16" s="34" t="s">
        <v>145</v>
      </c>
      <c r="D16" s="34" t="s">
        <v>146</v>
      </c>
      <c r="E16" s="34" t="s">
        <v>147</v>
      </c>
      <c r="F16" s="34" t="s">
        <v>148</v>
      </c>
      <c r="G16" s="34" t="s">
        <v>147</v>
      </c>
      <c r="H16" s="34"/>
      <c r="I16" s="38">
        <f>SUM(C16:F16)</f>
        <v>0</v>
      </c>
    </row>
    <row r="17" spans="1:9" x14ac:dyDescent="0.25">
      <c r="G17" t="s">
        <v>149</v>
      </c>
    </row>
    <row r="18" spans="1:9" ht="24.75" x14ac:dyDescent="0.3">
      <c r="A18" s="92"/>
      <c r="B18" s="92"/>
      <c r="C18" s="93"/>
      <c r="D18" s="93"/>
      <c r="E18" s="94"/>
      <c r="F18" s="95"/>
      <c r="G18" s="96"/>
      <c r="H18" s="96"/>
      <c r="I18" s="96"/>
    </row>
    <row r="19" spans="1:9" x14ac:dyDescent="0.25">
      <c r="A19" s="96"/>
      <c r="B19" s="96"/>
      <c r="C19" s="96"/>
      <c r="D19" s="96"/>
      <c r="E19" s="96"/>
      <c r="F19" s="96"/>
      <c r="G19" s="96"/>
      <c r="H19" s="96"/>
      <c r="I19" s="96"/>
    </row>
    <row r="20" spans="1:9" x14ac:dyDescent="0.25">
      <c r="A20" s="96"/>
      <c r="B20" s="96"/>
      <c r="C20" s="96"/>
      <c r="D20" s="96"/>
      <c r="E20" s="96"/>
      <c r="F20" s="96"/>
      <c r="G20" s="96"/>
      <c r="H20" s="96"/>
      <c r="I20" s="96"/>
    </row>
    <row r="21" spans="1:9" ht="15.75" thickBot="1" x14ac:dyDescent="0.3"/>
    <row r="22" spans="1:9" ht="15.75" thickBot="1" x14ac:dyDescent="0.3">
      <c r="A22" s="354" t="s">
        <v>0</v>
      </c>
      <c r="B22" s="355"/>
      <c r="C22" s="355"/>
      <c r="D22" s="355"/>
      <c r="E22" s="355"/>
      <c r="F22" s="356"/>
    </row>
    <row r="23" spans="1:9" x14ac:dyDescent="0.25">
      <c r="A23" s="272" t="s">
        <v>150</v>
      </c>
      <c r="B23" s="273"/>
      <c r="C23" s="273"/>
      <c r="D23" s="273"/>
      <c r="E23" s="273"/>
      <c r="F23" s="274"/>
    </row>
    <row r="24" spans="1:9" ht="18" x14ac:dyDescent="0.25">
      <c r="A24" s="248" t="s">
        <v>151</v>
      </c>
      <c r="B24" s="249"/>
      <c r="C24" s="249"/>
      <c r="D24" s="249"/>
      <c r="E24" s="249"/>
      <c r="F24" s="275"/>
      <c r="G24" s="97">
        <v>46149</v>
      </c>
    </row>
    <row r="25" spans="1:9" x14ac:dyDescent="0.25">
      <c r="A25" s="98" t="s">
        <v>3</v>
      </c>
      <c r="B25" s="52" t="s">
        <v>4</v>
      </c>
      <c r="C25" s="78"/>
      <c r="D25" s="79"/>
      <c r="E25" s="52" t="s">
        <v>5</v>
      </c>
      <c r="F25" s="99"/>
    </row>
    <row r="26" spans="1:9" x14ac:dyDescent="0.25">
      <c r="A26" s="100"/>
      <c r="B26" s="79" t="s">
        <v>6</v>
      </c>
      <c r="C26" s="1" t="s">
        <v>7</v>
      </c>
      <c r="D26" s="1" t="s">
        <v>8</v>
      </c>
      <c r="E26" s="1" t="s">
        <v>9</v>
      </c>
      <c r="F26" s="101" t="s">
        <v>152</v>
      </c>
    </row>
    <row r="27" spans="1:9" x14ac:dyDescent="0.25">
      <c r="A27" s="102" t="s">
        <v>48</v>
      </c>
      <c r="B27" s="103">
        <v>21</v>
      </c>
      <c r="C27" s="4">
        <v>40</v>
      </c>
      <c r="D27" s="6">
        <v>300</v>
      </c>
      <c r="E27" s="7">
        <f t="shared" ref="E27:E51" si="1">C27*D27</f>
        <v>12000</v>
      </c>
      <c r="F27" s="104">
        <f t="shared" ref="F27:F51" si="2">B27*E27</f>
        <v>252000</v>
      </c>
      <c r="G27" s="105" t="s">
        <v>153</v>
      </c>
      <c r="H27" s="105"/>
    </row>
    <row r="28" spans="1:9" x14ac:dyDescent="0.25">
      <c r="A28" s="102" t="s">
        <v>48</v>
      </c>
      <c r="B28" s="103">
        <v>2</v>
      </c>
      <c r="C28" s="4">
        <v>11</v>
      </c>
      <c r="D28" s="6">
        <v>300</v>
      </c>
      <c r="E28" s="7">
        <f t="shared" si="1"/>
        <v>3300</v>
      </c>
      <c r="F28" s="104">
        <f t="shared" si="2"/>
        <v>6600</v>
      </c>
      <c r="G28" s="105" t="s">
        <v>154</v>
      </c>
      <c r="H28" s="105"/>
    </row>
    <row r="29" spans="1:9" x14ac:dyDescent="0.25">
      <c r="A29" s="102" t="s">
        <v>142</v>
      </c>
      <c r="B29" s="106">
        <v>21</v>
      </c>
      <c r="C29" s="4">
        <v>20</v>
      </c>
      <c r="D29" s="6">
        <v>300</v>
      </c>
      <c r="E29" s="7">
        <f t="shared" si="1"/>
        <v>6000</v>
      </c>
      <c r="F29" s="104">
        <f t="shared" si="2"/>
        <v>126000</v>
      </c>
      <c r="G29" s="105" t="s">
        <v>153</v>
      </c>
      <c r="H29" s="105"/>
    </row>
    <row r="30" spans="1:9" x14ac:dyDescent="0.25">
      <c r="A30" s="102" t="s">
        <v>142</v>
      </c>
      <c r="B30" s="106">
        <v>2</v>
      </c>
      <c r="C30" s="4">
        <v>3</v>
      </c>
      <c r="D30" s="6">
        <v>300</v>
      </c>
      <c r="E30" s="7">
        <f t="shared" si="1"/>
        <v>900</v>
      </c>
      <c r="F30" s="104">
        <f t="shared" si="2"/>
        <v>1800</v>
      </c>
      <c r="G30" s="105" t="s">
        <v>154</v>
      </c>
      <c r="H30" s="105"/>
    </row>
    <row r="31" spans="1:9" x14ac:dyDescent="0.25">
      <c r="A31" s="102" t="s">
        <v>143</v>
      </c>
      <c r="B31" s="106">
        <v>5</v>
      </c>
      <c r="C31" s="4">
        <v>6</v>
      </c>
      <c r="D31" s="6">
        <v>290</v>
      </c>
      <c r="E31" s="7">
        <f t="shared" si="1"/>
        <v>1740</v>
      </c>
      <c r="F31" s="104">
        <f t="shared" si="2"/>
        <v>8700</v>
      </c>
      <c r="G31" s="105" t="s">
        <v>155</v>
      </c>
      <c r="H31" s="105"/>
    </row>
    <row r="32" spans="1:9" x14ac:dyDescent="0.25">
      <c r="A32" s="102" t="s">
        <v>143</v>
      </c>
      <c r="B32" s="106">
        <v>16</v>
      </c>
      <c r="C32" s="4">
        <v>14</v>
      </c>
      <c r="D32" s="6">
        <v>290</v>
      </c>
      <c r="E32" s="7">
        <f t="shared" si="1"/>
        <v>4060</v>
      </c>
      <c r="F32" s="104">
        <f t="shared" si="2"/>
        <v>64960</v>
      </c>
      <c r="G32" s="105" t="s">
        <v>156</v>
      </c>
      <c r="H32" s="105"/>
    </row>
    <row r="33" spans="1:8" x14ac:dyDescent="0.25">
      <c r="A33" s="102" t="s">
        <v>157</v>
      </c>
      <c r="B33" s="106">
        <v>4</v>
      </c>
      <c r="C33" s="4">
        <v>11</v>
      </c>
      <c r="D33" s="6">
        <v>290</v>
      </c>
      <c r="E33" s="7">
        <f t="shared" si="1"/>
        <v>3190</v>
      </c>
      <c r="F33" s="104">
        <f t="shared" si="2"/>
        <v>12760</v>
      </c>
      <c r="G33" s="105" t="s">
        <v>158</v>
      </c>
      <c r="H33" s="105"/>
    </row>
    <row r="34" spans="1:8" x14ac:dyDescent="0.25">
      <c r="A34" s="102" t="s">
        <v>30</v>
      </c>
      <c r="B34" s="106">
        <v>4</v>
      </c>
      <c r="C34" s="4">
        <v>10</v>
      </c>
      <c r="D34" s="6">
        <v>300</v>
      </c>
      <c r="E34" s="7">
        <f t="shared" si="1"/>
        <v>3000</v>
      </c>
      <c r="F34" s="104">
        <f t="shared" si="2"/>
        <v>12000</v>
      </c>
      <c r="G34" s="105" t="s">
        <v>159</v>
      </c>
      <c r="H34" s="105"/>
    </row>
    <row r="35" spans="1:8" x14ac:dyDescent="0.25">
      <c r="A35" s="102" t="s">
        <v>30</v>
      </c>
      <c r="B35" s="106">
        <v>16</v>
      </c>
      <c r="C35" s="4">
        <v>12</v>
      </c>
      <c r="D35" s="6">
        <v>300</v>
      </c>
      <c r="E35" s="7">
        <f t="shared" si="1"/>
        <v>3600</v>
      </c>
      <c r="F35" s="104">
        <f t="shared" si="2"/>
        <v>57600</v>
      </c>
      <c r="G35" s="105" t="s">
        <v>156</v>
      </c>
      <c r="H35" s="105"/>
    </row>
    <row r="36" spans="1:8" x14ac:dyDescent="0.25">
      <c r="A36" s="102" t="s">
        <v>30</v>
      </c>
      <c r="B36" s="106">
        <v>4</v>
      </c>
      <c r="C36" s="4">
        <v>5</v>
      </c>
      <c r="D36" s="6">
        <v>300</v>
      </c>
      <c r="E36" s="7">
        <f t="shared" si="1"/>
        <v>1500</v>
      </c>
      <c r="F36" s="104">
        <f t="shared" si="2"/>
        <v>6000</v>
      </c>
      <c r="G36" s="105" t="s">
        <v>158</v>
      </c>
      <c r="H36" s="105"/>
    </row>
    <row r="37" spans="1:8" x14ac:dyDescent="0.25">
      <c r="A37" s="102" t="s">
        <v>26</v>
      </c>
      <c r="B37" s="106">
        <v>5</v>
      </c>
      <c r="C37" s="4">
        <v>30</v>
      </c>
      <c r="D37" s="6">
        <v>200</v>
      </c>
      <c r="E37" s="7">
        <f t="shared" si="1"/>
        <v>6000</v>
      </c>
      <c r="F37" s="104">
        <f t="shared" si="2"/>
        <v>30000</v>
      </c>
      <c r="G37" s="105" t="s">
        <v>155</v>
      </c>
      <c r="H37" s="105"/>
    </row>
    <row r="38" spans="1:8" x14ac:dyDescent="0.25">
      <c r="A38" s="102" t="s">
        <v>26</v>
      </c>
      <c r="B38" s="106">
        <v>16</v>
      </c>
      <c r="C38" s="4">
        <v>45</v>
      </c>
      <c r="D38" s="6">
        <v>200</v>
      </c>
      <c r="E38" s="7">
        <f t="shared" si="1"/>
        <v>9000</v>
      </c>
      <c r="F38" s="104">
        <f t="shared" si="2"/>
        <v>144000</v>
      </c>
      <c r="G38" s="105" t="s">
        <v>156</v>
      </c>
      <c r="H38" s="105"/>
    </row>
    <row r="39" spans="1:8" x14ac:dyDescent="0.25">
      <c r="A39" s="102" t="s">
        <v>26</v>
      </c>
      <c r="B39" s="106">
        <v>2</v>
      </c>
      <c r="C39" s="4">
        <v>35</v>
      </c>
      <c r="D39" s="6">
        <v>200</v>
      </c>
      <c r="E39" s="7">
        <f t="shared" si="1"/>
        <v>7000</v>
      </c>
      <c r="F39" s="104">
        <f t="shared" si="2"/>
        <v>14000</v>
      </c>
      <c r="G39" s="105" t="s">
        <v>154</v>
      </c>
      <c r="H39" s="105"/>
    </row>
    <row r="40" spans="1:8" x14ac:dyDescent="0.25">
      <c r="A40" s="102" t="s">
        <v>26</v>
      </c>
      <c r="B40" s="106">
        <v>2</v>
      </c>
      <c r="C40" s="4">
        <v>11</v>
      </c>
      <c r="D40" s="6">
        <v>200</v>
      </c>
      <c r="E40" s="7">
        <f t="shared" si="1"/>
        <v>2200</v>
      </c>
      <c r="F40" s="104">
        <f t="shared" si="2"/>
        <v>4400</v>
      </c>
      <c r="G40" s="105" t="s">
        <v>160</v>
      </c>
      <c r="H40" s="105"/>
    </row>
    <row r="41" spans="1:8" x14ac:dyDescent="0.25">
      <c r="A41" s="102" t="s">
        <v>27</v>
      </c>
      <c r="B41" s="106">
        <v>1</v>
      </c>
      <c r="C41" s="4">
        <v>130</v>
      </c>
      <c r="D41" s="6">
        <v>28</v>
      </c>
      <c r="E41" s="7">
        <f t="shared" si="1"/>
        <v>3640</v>
      </c>
      <c r="F41" s="104">
        <f t="shared" si="2"/>
        <v>3640</v>
      </c>
      <c r="G41" s="107">
        <v>39203</v>
      </c>
      <c r="H41" s="105" t="s">
        <v>161</v>
      </c>
    </row>
    <row r="42" spans="1:8" x14ac:dyDescent="0.25">
      <c r="A42" s="102" t="s">
        <v>27</v>
      </c>
      <c r="B42" s="106">
        <v>1</v>
      </c>
      <c r="C42" s="4">
        <v>180</v>
      </c>
      <c r="D42" s="6">
        <v>28</v>
      </c>
      <c r="E42" s="7">
        <f t="shared" si="1"/>
        <v>5040</v>
      </c>
      <c r="F42" s="104">
        <f t="shared" si="2"/>
        <v>5040</v>
      </c>
      <c r="G42" s="107">
        <v>39569</v>
      </c>
      <c r="H42" s="105"/>
    </row>
    <row r="43" spans="1:8" x14ac:dyDescent="0.25">
      <c r="A43" s="102" t="s">
        <v>27</v>
      </c>
      <c r="B43" s="106">
        <v>3</v>
      </c>
      <c r="C43" s="4">
        <v>230</v>
      </c>
      <c r="D43" s="6">
        <v>28</v>
      </c>
      <c r="E43" s="7">
        <f t="shared" si="1"/>
        <v>6440</v>
      </c>
      <c r="F43" s="104">
        <f t="shared" si="2"/>
        <v>19320</v>
      </c>
      <c r="G43" s="105" t="s">
        <v>162</v>
      </c>
      <c r="H43" s="105"/>
    </row>
    <row r="44" spans="1:8" x14ac:dyDescent="0.25">
      <c r="A44" s="102" t="s">
        <v>27</v>
      </c>
      <c r="B44" s="106">
        <v>16</v>
      </c>
      <c r="C44" s="4">
        <v>330</v>
      </c>
      <c r="D44" s="6">
        <v>28</v>
      </c>
      <c r="E44" s="7">
        <f t="shared" si="1"/>
        <v>9240</v>
      </c>
      <c r="F44" s="104">
        <f t="shared" si="2"/>
        <v>147840</v>
      </c>
      <c r="G44" s="105" t="s">
        <v>156</v>
      </c>
      <c r="H44" s="105"/>
    </row>
    <row r="45" spans="1:8" x14ac:dyDescent="0.25">
      <c r="A45" s="102" t="s">
        <v>27</v>
      </c>
      <c r="B45" s="106">
        <v>4</v>
      </c>
      <c r="C45" s="4">
        <v>130</v>
      </c>
      <c r="D45" s="6">
        <v>28</v>
      </c>
      <c r="E45" s="7">
        <f t="shared" si="1"/>
        <v>3640</v>
      </c>
      <c r="F45" s="104">
        <f t="shared" si="2"/>
        <v>14560</v>
      </c>
      <c r="G45" s="105" t="s">
        <v>158</v>
      </c>
      <c r="H45" s="105"/>
    </row>
    <row r="46" spans="1:8" x14ac:dyDescent="0.25">
      <c r="A46" s="102" t="s">
        <v>163</v>
      </c>
      <c r="B46" s="106">
        <v>23</v>
      </c>
      <c r="C46" s="4">
        <v>30</v>
      </c>
      <c r="D46" s="6">
        <v>250</v>
      </c>
      <c r="E46" s="7">
        <f t="shared" si="1"/>
        <v>7500</v>
      </c>
      <c r="F46" s="104">
        <f t="shared" si="2"/>
        <v>172500</v>
      </c>
      <c r="G46" s="105" t="s">
        <v>164</v>
      </c>
      <c r="H46" s="105"/>
    </row>
    <row r="47" spans="1:8" x14ac:dyDescent="0.25">
      <c r="A47" s="102" t="s">
        <v>163</v>
      </c>
      <c r="B47" s="106">
        <v>2</v>
      </c>
      <c r="C47" s="4">
        <v>4</v>
      </c>
      <c r="D47" s="6">
        <v>250</v>
      </c>
      <c r="E47" s="7">
        <f t="shared" si="1"/>
        <v>1000</v>
      </c>
      <c r="F47" s="104">
        <f t="shared" si="2"/>
        <v>2000</v>
      </c>
      <c r="G47" s="105" t="s">
        <v>160</v>
      </c>
      <c r="H47" s="105"/>
    </row>
    <row r="48" spans="1:8" x14ac:dyDescent="0.25">
      <c r="A48" s="108" t="s">
        <v>49</v>
      </c>
      <c r="B48" s="106">
        <v>24</v>
      </c>
      <c r="C48" s="4">
        <v>6</v>
      </c>
      <c r="D48" s="6">
        <v>120</v>
      </c>
      <c r="E48" s="7">
        <f t="shared" si="1"/>
        <v>720</v>
      </c>
      <c r="F48" s="109">
        <f t="shared" si="2"/>
        <v>17280</v>
      </c>
      <c r="G48" s="105" t="s">
        <v>165</v>
      </c>
      <c r="H48" s="105"/>
    </row>
    <row r="49" spans="1:8" x14ac:dyDescent="0.25">
      <c r="A49" s="110" t="s">
        <v>55</v>
      </c>
      <c r="B49" s="106">
        <v>18</v>
      </c>
      <c r="C49" s="4">
        <v>6</v>
      </c>
      <c r="D49" s="6">
        <v>100</v>
      </c>
      <c r="E49" s="7">
        <f t="shared" si="1"/>
        <v>600</v>
      </c>
      <c r="F49" s="109">
        <f t="shared" si="2"/>
        <v>10800</v>
      </c>
      <c r="G49" s="105" t="s">
        <v>166</v>
      </c>
      <c r="H49" s="105"/>
    </row>
    <row r="50" spans="1:8" x14ac:dyDescent="0.25">
      <c r="A50" s="110" t="s">
        <v>55</v>
      </c>
      <c r="B50" s="106">
        <v>2</v>
      </c>
      <c r="C50" s="4">
        <v>4</v>
      </c>
      <c r="D50" s="6">
        <v>100</v>
      </c>
      <c r="E50" s="7">
        <f t="shared" si="1"/>
        <v>400</v>
      </c>
      <c r="F50" s="109">
        <f t="shared" si="2"/>
        <v>800</v>
      </c>
      <c r="G50" s="105" t="s">
        <v>160</v>
      </c>
      <c r="H50" s="105"/>
    </row>
    <row r="51" spans="1:8" x14ac:dyDescent="0.25">
      <c r="A51" s="110" t="s">
        <v>167</v>
      </c>
      <c r="B51" s="111">
        <v>1</v>
      </c>
      <c r="C51" s="112">
        <v>1</v>
      </c>
      <c r="D51" s="6">
        <v>10000</v>
      </c>
      <c r="E51" s="7">
        <f t="shared" si="1"/>
        <v>10000</v>
      </c>
      <c r="F51" s="109">
        <f t="shared" si="2"/>
        <v>10000</v>
      </c>
      <c r="G51" s="105"/>
      <c r="H51" s="105"/>
    </row>
    <row r="52" spans="1:8" ht="18.75" x14ac:dyDescent="0.4">
      <c r="A52" s="346" t="s">
        <v>168</v>
      </c>
      <c r="B52" s="347"/>
      <c r="C52" s="350" t="s">
        <v>16</v>
      </c>
      <c r="D52" s="351"/>
      <c r="E52" s="48">
        <f>SUM(E27:E51)</f>
        <v>111710</v>
      </c>
      <c r="F52" s="113"/>
    </row>
    <row r="53" spans="1:8" ht="19.5" thickBot="1" x14ac:dyDescent="0.45">
      <c r="A53" s="346"/>
      <c r="B53" s="347"/>
      <c r="C53" s="352" t="s">
        <v>17</v>
      </c>
      <c r="D53" s="353"/>
      <c r="E53" s="16">
        <f>SUM(F27:F51)</f>
        <v>1144600</v>
      </c>
      <c r="F53" s="114"/>
    </row>
    <row r="54" spans="1:8" ht="18.75" x14ac:dyDescent="0.4">
      <c r="A54" s="346"/>
      <c r="B54" s="347"/>
      <c r="C54" s="264" t="s">
        <v>18</v>
      </c>
      <c r="D54" s="265"/>
      <c r="E54" s="115"/>
      <c r="F54" s="114"/>
    </row>
    <row r="55" spans="1:8" ht="16.5" thickBot="1" x14ac:dyDescent="0.35">
      <c r="A55" s="348"/>
      <c r="B55" s="349"/>
      <c r="C55" s="352" t="s">
        <v>17</v>
      </c>
      <c r="D55" s="353"/>
      <c r="E55" s="116">
        <f>SUM(E53)</f>
        <v>1144600</v>
      </c>
      <c r="F55" s="117"/>
    </row>
    <row r="56" spans="1:8" x14ac:dyDescent="0.25">
      <c r="A56" t="s">
        <v>169</v>
      </c>
      <c r="B56" t="s">
        <v>170</v>
      </c>
      <c r="E56" s="35">
        <v>500000</v>
      </c>
    </row>
    <row r="57" spans="1:8" ht="18.75" x14ac:dyDescent="0.3">
      <c r="A57" s="129" t="s">
        <v>174</v>
      </c>
      <c r="B57" s="129"/>
      <c r="C57" s="129"/>
      <c r="D57" s="129"/>
      <c r="E57" s="130">
        <f>E55-E56</f>
        <v>644600</v>
      </c>
    </row>
  </sheetData>
  <mergeCells count="11">
    <mergeCell ref="A24:F24"/>
    <mergeCell ref="A1:I1"/>
    <mergeCell ref="A2:I2"/>
    <mergeCell ref="A3:I3"/>
    <mergeCell ref="A22:F22"/>
    <mergeCell ref="A23:F23"/>
    <mergeCell ref="A52:B55"/>
    <mergeCell ref="C52:D52"/>
    <mergeCell ref="C53:D53"/>
    <mergeCell ref="C54:D54"/>
    <mergeCell ref="C55:D55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2A99E-C3C4-4891-9ED9-D10768A826A3}">
  <sheetPr>
    <pageSetUpPr fitToPage="1"/>
  </sheetPr>
  <dimension ref="A1:I73"/>
  <sheetViews>
    <sheetView topLeftCell="A58" workbookViewId="0">
      <selection activeCell="L62" sqref="L62"/>
    </sheetView>
  </sheetViews>
  <sheetFormatPr baseColWidth="10" defaultRowHeight="15" x14ac:dyDescent="0.25"/>
  <cols>
    <col min="1" max="1" width="28.28515625" bestFit="1" customWidth="1"/>
    <col min="5" max="5" width="16.7109375" bestFit="1" customWidth="1"/>
    <col min="6" max="6" width="21.140625" customWidth="1"/>
    <col min="7" max="7" width="15.42578125" customWidth="1"/>
  </cols>
  <sheetData>
    <row r="1" spans="1:9" ht="18.75" x14ac:dyDescent="0.3">
      <c r="A1" s="250" t="s">
        <v>99</v>
      </c>
      <c r="B1" s="251"/>
      <c r="C1" s="251"/>
      <c r="D1" s="251"/>
      <c r="E1" s="251"/>
      <c r="F1" s="251"/>
      <c r="G1" s="252"/>
    </row>
    <row r="2" spans="1:9" ht="18.75" x14ac:dyDescent="0.3">
      <c r="A2" s="253" t="s">
        <v>100</v>
      </c>
      <c r="B2" s="254"/>
      <c r="C2" s="254"/>
      <c r="D2" s="254"/>
      <c r="E2" s="254"/>
      <c r="F2" s="254"/>
      <c r="G2" s="255"/>
    </row>
    <row r="3" spans="1:9" ht="18.75" x14ac:dyDescent="0.3">
      <c r="A3" s="253" t="s">
        <v>101</v>
      </c>
      <c r="B3" s="254"/>
      <c r="C3" s="254"/>
      <c r="D3" s="254"/>
      <c r="E3" s="254"/>
      <c r="F3" s="254"/>
      <c r="G3" s="254"/>
    </row>
    <row r="4" spans="1:9" x14ac:dyDescent="0.25">
      <c r="A4" s="22" t="s">
        <v>3</v>
      </c>
      <c r="B4" s="23">
        <v>13672</v>
      </c>
      <c r="C4" s="23">
        <v>13346</v>
      </c>
      <c r="D4" s="23">
        <v>13690</v>
      </c>
      <c r="E4" s="23">
        <v>13393</v>
      </c>
      <c r="F4" s="23">
        <v>13398</v>
      </c>
      <c r="G4" s="23" t="s">
        <v>22</v>
      </c>
    </row>
    <row r="5" spans="1:9" x14ac:dyDescent="0.25">
      <c r="A5" s="24"/>
      <c r="B5" s="25">
        <v>46161</v>
      </c>
      <c r="C5" s="26">
        <v>46165</v>
      </c>
      <c r="D5" s="25">
        <v>46167</v>
      </c>
      <c r="E5" s="25">
        <v>46184</v>
      </c>
      <c r="F5" s="25">
        <v>46185</v>
      </c>
      <c r="G5" s="25">
        <v>46173</v>
      </c>
    </row>
    <row r="6" spans="1:9" x14ac:dyDescent="0.25">
      <c r="A6" s="27" t="s">
        <v>54</v>
      </c>
      <c r="B6" s="71">
        <v>40</v>
      </c>
      <c r="C6" s="29">
        <v>-40</v>
      </c>
      <c r="D6" s="29"/>
      <c r="E6" s="29"/>
      <c r="F6" s="29"/>
      <c r="G6" s="30">
        <f t="shared" ref="G6:G14" si="0">SUM(B6:F6)</f>
        <v>0</v>
      </c>
    </row>
    <row r="7" spans="1:9" x14ac:dyDescent="0.25">
      <c r="A7" s="27" t="s">
        <v>102</v>
      </c>
      <c r="B7" s="71">
        <v>16</v>
      </c>
      <c r="C7" s="29">
        <v>-16</v>
      </c>
      <c r="D7" s="29"/>
      <c r="E7" s="29"/>
      <c r="F7" s="29"/>
      <c r="G7" s="30">
        <f t="shared" si="0"/>
        <v>0</v>
      </c>
    </row>
    <row r="8" spans="1:9" x14ac:dyDescent="0.25">
      <c r="A8" s="27" t="s">
        <v>55</v>
      </c>
      <c r="B8" s="71">
        <v>56</v>
      </c>
      <c r="C8" s="29">
        <v>-56</v>
      </c>
      <c r="D8" s="29"/>
      <c r="E8" s="29"/>
      <c r="F8" s="29"/>
      <c r="G8" s="30">
        <f t="shared" si="0"/>
        <v>0</v>
      </c>
    </row>
    <row r="9" spans="1:9" x14ac:dyDescent="0.25">
      <c r="A9" s="27" t="s">
        <v>49</v>
      </c>
      <c r="B9" s="71">
        <v>28</v>
      </c>
      <c r="C9" s="29">
        <v>-28</v>
      </c>
      <c r="D9" s="29"/>
      <c r="E9" s="29"/>
      <c r="F9" s="29"/>
      <c r="G9" s="30">
        <f t="shared" si="0"/>
        <v>0</v>
      </c>
    </row>
    <row r="10" spans="1:9" x14ac:dyDescent="0.25">
      <c r="A10" s="27" t="s">
        <v>27</v>
      </c>
      <c r="B10" s="71">
        <v>450</v>
      </c>
      <c r="C10" s="29">
        <v>-450</v>
      </c>
      <c r="D10" s="29"/>
      <c r="E10" s="29"/>
      <c r="F10" s="29"/>
      <c r="G10" s="30">
        <f t="shared" si="0"/>
        <v>0</v>
      </c>
    </row>
    <row r="11" spans="1:9" x14ac:dyDescent="0.25">
      <c r="A11" s="27" t="s">
        <v>26</v>
      </c>
      <c r="B11" s="71">
        <v>36</v>
      </c>
      <c r="C11" s="29"/>
      <c r="D11" s="29">
        <v>30</v>
      </c>
      <c r="E11" s="29">
        <v>-52</v>
      </c>
      <c r="F11" s="29">
        <v>-14</v>
      </c>
      <c r="G11" s="69">
        <f t="shared" si="0"/>
        <v>0</v>
      </c>
      <c r="H11">
        <v>13.5</v>
      </c>
      <c r="I11">
        <f>G11*H11</f>
        <v>0</v>
      </c>
    </row>
    <row r="12" spans="1:9" x14ac:dyDescent="0.25">
      <c r="A12" s="27" t="s">
        <v>103</v>
      </c>
      <c r="B12" s="71">
        <v>2</v>
      </c>
      <c r="C12" s="29"/>
      <c r="D12" s="29"/>
      <c r="E12" s="29"/>
      <c r="F12" s="29"/>
      <c r="G12" s="69">
        <f t="shared" si="0"/>
        <v>2</v>
      </c>
      <c r="H12">
        <v>10</v>
      </c>
      <c r="I12">
        <f>G12*H12</f>
        <v>20</v>
      </c>
    </row>
    <row r="13" spans="1:9" x14ac:dyDescent="0.25">
      <c r="A13" s="27" t="s">
        <v>104</v>
      </c>
      <c r="B13" s="71">
        <v>2</v>
      </c>
      <c r="C13" s="29"/>
      <c r="D13" s="29"/>
      <c r="E13" s="29"/>
      <c r="F13" s="29"/>
      <c r="G13" s="69">
        <f t="shared" si="0"/>
        <v>2</v>
      </c>
    </row>
    <row r="14" spans="1:9" x14ac:dyDescent="0.25">
      <c r="A14" s="27" t="s">
        <v>28</v>
      </c>
      <c r="B14" s="28">
        <v>2</v>
      </c>
      <c r="C14" s="29">
        <v>-2</v>
      </c>
      <c r="D14" s="29"/>
      <c r="E14" s="29"/>
      <c r="F14" s="29"/>
      <c r="G14" s="30">
        <f t="shared" si="0"/>
        <v>0</v>
      </c>
    </row>
    <row r="15" spans="1:9" x14ac:dyDescent="0.25">
      <c r="A15" s="27" t="s">
        <v>105</v>
      </c>
      <c r="B15" s="28"/>
      <c r="C15" s="29"/>
      <c r="D15" s="73">
        <v>19</v>
      </c>
      <c r="E15" s="29">
        <v>-19</v>
      </c>
      <c r="F15" s="29"/>
      <c r="G15" s="30">
        <f>SUM(B15:F15)</f>
        <v>0</v>
      </c>
      <c r="H15">
        <v>29</v>
      </c>
      <c r="I15">
        <f>G15*H15</f>
        <v>0</v>
      </c>
    </row>
    <row r="16" spans="1:9" x14ac:dyDescent="0.25">
      <c r="A16" s="27" t="s">
        <v>86</v>
      </c>
      <c r="B16" s="28"/>
      <c r="C16" s="29"/>
      <c r="D16" s="73">
        <v>60</v>
      </c>
      <c r="E16" s="29">
        <v>-15</v>
      </c>
      <c r="F16" s="29">
        <v>-45</v>
      </c>
      <c r="G16" s="30">
        <f>SUM(B16:F16)</f>
        <v>0</v>
      </c>
      <c r="H16">
        <v>25</v>
      </c>
      <c r="I16">
        <f t="shared" ref="I16:I17" si="1">G16*H16</f>
        <v>0</v>
      </c>
    </row>
    <row r="17" spans="1:9" x14ac:dyDescent="0.25">
      <c r="A17" s="27" t="s">
        <v>106</v>
      </c>
      <c r="B17" s="28"/>
      <c r="C17" s="29"/>
      <c r="D17" s="73">
        <v>20</v>
      </c>
      <c r="E17" s="29">
        <v>-6</v>
      </c>
      <c r="F17" s="29">
        <v>-14</v>
      </c>
      <c r="G17" s="30">
        <f>SUM(B17:F17)</f>
        <v>0</v>
      </c>
      <c r="H17">
        <v>15</v>
      </c>
      <c r="I17">
        <f t="shared" si="1"/>
        <v>0</v>
      </c>
    </row>
    <row r="18" spans="1:9" x14ac:dyDescent="0.25">
      <c r="A18" s="24" t="s">
        <v>32</v>
      </c>
      <c r="B18" s="31">
        <v>0.34722222222222221</v>
      </c>
      <c r="C18" s="32">
        <v>0.33333333333333331</v>
      </c>
      <c r="D18" s="32">
        <v>0.39583333333333331</v>
      </c>
      <c r="E18" s="32" t="s">
        <v>248</v>
      </c>
      <c r="F18" s="32" t="s">
        <v>357</v>
      </c>
      <c r="G18" s="33"/>
      <c r="I18">
        <f>SUM(I11:I17)</f>
        <v>20</v>
      </c>
    </row>
    <row r="19" spans="1:9" x14ac:dyDescent="0.25">
      <c r="A19" s="24" t="s">
        <v>33</v>
      </c>
      <c r="B19" s="34">
        <v>50000</v>
      </c>
      <c r="C19" s="34">
        <v>50000</v>
      </c>
      <c r="D19" s="34">
        <v>100000</v>
      </c>
      <c r="E19" s="34">
        <v>50000</v>
      </c>
      <c r="F19" s="34">
        <v>50000</v>
      </c>
      <c r="G19" s="38">
        <f>SUM(B19:F19)</f>
        <v>300000</v>
      </c>
    </row>
    <row r="21" spans="1:9" x14ac:dyDescent="0.25">
      <c r="A21" s="287" t="s">
        <v>0</v>
      </c>
      <c r="B21" s="287"/>
      <c r="C21" s="287"/>
      <c r="D21" s="287"/>
      <c r="E21" s="287"/>
      <c r="F21" s="287"/>
      <c r="G21" s="287"/>
    </row>
    <row r="22" spans="1:9" x14ac:dyDescent="0.25">
      <c r="A22" s="287" t="s">
        <v>99</v>
      </c>
      <c r="B22" s="287"/>
      <c r="C22" s="287"/>
      <c r="D22" s="287"/>
      <c r="E22" s="287"/>
      <c r="F22" s="287"/>
      <c r="G22" s="287"/>
    </row>
    <row r="23" spans="1:9" ht="18" customHeight="1" x14ac:dyDescent="0.25">
      <c r="A23" s="270" t="s">
        <v>326</v>
      </c>
      <c r="B23" s="270"/>
      <c r="C23" s="270"/>
      <c r="D23" s="270"/>
      <c r="E23" s="270"/>
      <c r="F23" s="270"/>
      <c r="G23" s="270"/>
    </row>
    <row r="24" spans="1:9" x14ac:dyDescent="0.25">
      <c r="A24" s="262" t="s">
        <v>3</v>
      </c>
      <c r="B24" s="277" t="s">
        <v>4</v>
      </c>
      <c r="C24" s="277"/>
      <c r="D24" s="277"/>
      <c r="E24" s="277" t="s">
        <v>5</v>
      </c>
      <c r="F24" s="277"/>
      <c r="G24" s="102"/>
    </row>
    <row r="25" spans="1:9" x14ac:dyDescent="0.25">
      <c r="A25" s="262"/>
      <c r="B25" s="1" t="s">
        <v>6</v>
      </c>
      <c r="C25" s="1" t="s">
        <v>7</v>
      </c>
      <c r="D25" s="1" t="s">
        <v>8</v>
      </c>
      <c r="E25" s="1" t="s">
        <v>9</v>
      </c>
      <c r="F25" s="1" t="s">
        <v>10</v>
      </c>
      <c r="G25" s="1" t="s">
        <v>183</v>
      </c>
    </row>
    <row r="26" spans="1:9" x14ac:dyDescent="0.25">
      <c r="A26" s="102" t="s">
        <v>108</v>
      </c>
      <c r="B26" s="5">
        <v>5</v>
      </c>
      <c r="C26" s="72">
        <v>40</v>
      </c>
      <c r="D26" s="47">
        <v>310</v>
      </c>
      <c r="E26" s="7">
        <f t="shared" ref="E26:E33" si="2">C26*D26</f>
        <v>12400</v>
      </c>
      <c r="F26" s="7">
        <f t="shared" ref="F26:F33" si="3">B26*E26</f>
        <v>62000</v>
      </c>
      <c r="G26" s="102" t="s">
        <v>236</v>
      </c>
    </row>
    <row r="27" spans="1:9" x14ac:dyDescent="0.25">
      <c r="A27" s="102" t="s">
        <v>102</v>
      </c>
      <c r="B27" s="5">
        <v>5</v>
      </c>
      <c r="C27" s="72">
        <v>16</v>
      </c>
      <c r="D27" s="47">
        <v>330</v>
      </c>
      <c r="E27" s="7">
        <f t="shared" si="2"/>
        <v>5280</v>
      </c>
      <c r="F27" s="7">
        <f t="shared" si="3"/>
        <v>26400</v>
      </c>
      <c r="G27" s="102" t="s">
        <v>236</v>
      </c>
    </row>
    <row r="28" spans="1:9" x14ac:dyDescent="0.25">
      <c r="A28" s="102" t="s">
        <v>55</v>
      </c>
      <c r="B28" s="5">
        <v>5</v>
      </c>
      <c r="C28" s="72">
        <v>56</v>
      </c>
      <c r="D28" s="47">
        <v>100</v>
      </c>
      <c r="E28" s="7">
        <f t="shared" si="2"/>
        <v>5600</v>
      </c>
      <c r="F28" s="7">
        <f t="shared" si="3"/>
        <v>28000</v>
      </c>
      <c r="G28" s="102" t="s">
        <v>236</v>
      </c>
    </row>
    <row r="29" spans="1:9" x14ac:dyDescent="0.25">
      <c r="A29" s="102" t="s">
        <v>49</v>
      </c>
      <c r="B29" s="5">
        <v>5</v>
      </c>
      <c r="C29" s="72">
        <v>28</v>
      </c>
      <c r="D29" s="47">
        <v>120</v>
      </c>
      <c r="E29" s="7">
        <f t="shared" si="2"/>
        <v>3360</v>
      </c>
      <c r="F29" s="7">
        <f t="shared" si="3"/>
        <v>16800</v>
      </c>
      <c r="G29" s="102" t="s">
        <v>236</v>
      </c>
    </row>
    <row r="30" spans="1:9" x14ac:dyDescent="0.25">
      <c r="A30" s="102" t="s">
        <v>27</v>
      </c>
      <c r="B30" s="5">
        <v>5</v>
      </c>
      <c r="C30" s="72">
        <v>450</v>
      </c>
      <c r="D30" s="47">
        <v>28</v>
      </c>
      <c r="E30" s="7">
        <f t="shared" si="2"/>
        <v>12600</v>
      </c>
      <c r="F30" s="7">
        <f t="shared" si="3"/>
        <v>63000</v>
      </c>
      <c r="G30" s="102" t="s">
        <v>236</v>
      </c>
    </row>
    <row r="31" spans="1:9" x14ac:dyDescent="0.25">
      <c r="A31" s="102" t="s">
        <v>14</v>
      </c>
      <c r="B31" s="5">
        <v>5</v>
      </c>
      <c r="C31" s="72">
        <v>36</v>
      </c>
      <c r="D31" s="47">
        <v>200</v>
      </c>
      <c r="E31" s="7">
        <f t="shared" si="2"/>
        <v>7200</v>
      </c>
      <c r="F31" s="7">
        <f t="shared" si="3"/>
        <v>36000</v>
      </c>
      <c r="G31" s="102" t="s">
        <v>236</v>
      </c>
    </row>
    <row r="32" spans="1:9" x14ac:dyDescent="0.25">
      <c r="A32" s="102" t="s">
        <v>109</v>
      </c>
      <c r="B32" s="5">
        <v>5</v>
      </c>
      <c r="C32" s="72">
        <v>1</v>
      </c>
      <c r="D32" s="47">
        <v>1500</v>
      </c>
      <c r="E32" s="7">
        <f t="shared" si="2"/>
        <v>1500</v>
      </c>
      <c r="F32" s="7">
        <f t="shared" si="3"/>
        <v>7500</v>
      </c>
      <c r="G32" s="102" t="s">
        <v>236</v>
      </c>
    </row>
    <row r="33" spans="1:7" x14ac:dyDescent="0.25">
      <c r="A33" s="102" t="s">
        <v>110</v>
      </c>
      <c r="B33" s="5">
        <v>5</v>
      </c>
      <c r="C33" s="72">
        <v>2</v>
      </c>
      <c r="D33" s="47">
        <v>1000</v>
      </c>
      <c r="E33" s="7">
        <f t="shared" si="2"/>
        <v>2000</v>
      </c>
      <c r="F33" s="7">
        <f t="shared" si="3"/>
        <v>10000</v>
      </c>
      <c r="G33" s="102" t="s">
        <v>236</v>
      </c>
    </row>
    <row r="34" spans="1:7" ht="18.75" x14ac:dyDescent="0.4">
      <c r="A34" s="257" t="s">
        <v>236</v>
      </c>
      <c r="B34" s="257"/>
      <c r="C34" s="262" t="s">
        <v>73</v>
      </c>
      <c r="D34" s="262"/>
      <c r="E34" s="48">
        <f>SUM(E26:E33)</f>
        <v>49940</v>
      </c>
      <c r="F34" s="286"/>
      <c r="G34" s="286"/>
    </row>
    <row r="35" spans="1:7" ht="18.75" x14ac:dyDescent="0.4">
      <c r="A35" s="257"/>
      <c r="B35" s="257"/>
      <c r="C35" s="262" t="s">
        <v>17</v>
      </c>
      <c r="D35" s="262"/>
      <c r="E35" s="134">
        <f>SUM(F26:F33)</f>
        <v>249700</v>
      </c>
      <c r="F35" s="286"/>
      <c r="G35" s="286"/>
    </row>
    <row r="36" spans="1:7" ht="18.75" x14ac:dyDescent="0.4">
      <c r="A36" s="257"/>
      <c r="B36" s="257"/>
      <c r="C36" s="262" t="s">
        <v>18</v>
      </c>
      <c r="D36" s="262"/>
      <c r="E36" s="135">
        <v>100000</v>
      </c>
      <c r="F36" s="286"/>
      <c r="G36" s="286"/>
    </row>
    <row r="37" spans="1:7" ht="18.75" x14ac:dyDescent="0.4">
      <c r="A37" s="257"/>
      <c r="B37" s="257"/>
      <c r="C37" s="262" t="s">
        <v>17</v>
      </c>
      <c r="D37" s="262"/>
      <c r="E37" s="150">
        <f>SUM(E35:E36)</f>
        <v>349700</v>
      </c>
      <c r="F37" s="286"/>
      <c r="G37" s="286"/>
    </row>
    <row r="38" spans="1:7" x14ac:dyDescent="0.25">
      <c r="A38" t="s">
        <v>39</v>
      </c>
      <c r="C38" t="s">
        <v>97</v>
      </c>
      <c r="E38" s="70">
        <v>500000</v>
      </c>
    </row>
    <row r="40" spans="1:7" x14ac:dyDescent="0.25">
      <c r="A40" s="287" t="s">
        <v>0</v>
      </c>
      <c r="B40" s="287"/>
      <c r="C40" s="287"/>
      <c r="D40" s="287"/>
      <c r="E40" s="287"/>
      <c r="F40" s="287"/>
      <c r="G40" s="287"/>
    </row>
    <row r="41" spans="1:7" x14ac:dyDescent="0.25">
      <c r="A41" s="287" t="s">
        <v>99</v>
      </c>
      <c r="B41" s="287"/>
      <c r="C41" s="287"/>
      <c r="D41" s="287"/>
      <c r="E41" s="287"/>
      <c r="F41" s="287"/>
      <c r="G41" s="287"/>
    </row>
    <row r="42" spans="1:7" ht="18" customHeight="1" x14ac:dyDescent="0.25">
      <c r="A42" s="270" t="s">
        <v>327</v>
      </c>
      <c r="B42" s="270"/>
      <c r="C42" s="270"/>
      <c r="D42" s="270"/>
      <c r="E42" s="270"/>
      <c r="F42" s="270"/>
      <c r="G42" s="270"/>
    </row>
    <row r="43" spans="1:7" x14ac:dyDescent="0.25">
      <c r="A43" s="262" t="s">
        <v>3</v>
      </c>
      <c r="B43" s="277" t="s">
        <v>4</v>
      </c>
      <c r="C43" s="277"/>
      <c r="D43" s="277"/>
      <c r="E43" s="277" t="s">
        <v>5</v>
      </c>
      <c r="F43" s="277"/>
      <c r="G43" s="286" t="s">
        <v>183</v>
      </c>
    </row>
    <row r="44" spans="1:7" x14ac:dyDescent="0.25">
      <c r="A44" s="262"/>
      <c r="B44" s="1" t="s">
        <v>6</v>
      </c>
      <c r="C44" s="1" t="s">
        <v>7</v>
      </c>
      <c r="D44" s="1" t="s">
        <v>8</v>
      </c>
      <c r="E44" s="1" t="s">
        <v>9</v>
      </c>
      <c r="F44" s="1" t="s">
        <v>10</v>
      </c>
      <c r="G44" s="286"/>
    </row>
    <row r="45" spans="1:7" x14ac:dyDescent="0.25">
      <c r="A45" s="102" t="s">
        <v>105</v>
      </c>
      <c r="B45" s="5">
        <v>7</v>
      </c>
      <c r="C45" s="5">
        <v>19</v>
      </c>
      <c r="D45" s="47">
        <v>200</v>
      </c>
      <c r="E45" s="7">
        <f t="shared" ref="E45:E50" si="4">C45*D45</f>
        <v>3800</v>
      </c>
      <c r="F45" s="7">
        <f t="shared" ref="F45:F50" si="5">B45*E45</f>
        <v>26600</v>
      </c>
      <c r="G45" s="102" t="s">
        <v>112</v>
      </c>
    </row>
    <row r="46" spans="1:7" x14ac:dyDescent="0.25">
      <c r="A46" s="102" t="s">
        <v>14</v>
      </c>
      <c r="B46" s="5">
        <v>7</v>
      </c>
      <c r="C46" s="5">
        <v>66</v>
      </c>
      <c r="D46" s="47">
        <v>200</v>
      </c>
      <c r="E46" s="7">
        <f t="shared" si="4"/>
        <v>13200</v>
      </c>
      <c r="F46" s="7">
        <f t="shared" si="5"/>
        <v>92400</v>
      </c>
      <c r="G46" s="102" t="s">
        <v>112</v>
      </c>
    </row>
    <row r="47" spans="1:7" x14ac:dyDescent="0.25">
      <c r="A47" s="102" t="s">
        <v>86</v>
      </c>
      <c r="B47" s="5">
        <v>7</v>
      </c>
      <c r="C47" s="5">
        <v>60</v>
      </c>
      <c r="D47" s="47">
        <v>450</v>
      </c>
      <c r="E47" s="7">
        <f t="shared" si="4"/>
        <v>27000</v>
      </c>
      <c r="F47" s="7">
        <f t="shared" si="5"/>
        <v>189000</v>
      </c>
      <c r="G47" s="102" t="s">
        <v>112</v>
      </c>
    </row>
    <row r="48" spans="1:7" x14ac:dyDescent="0.25">
      <c r="A48" s="102" t="s">
        <v>106</v>
      </c>
      <c r="B48" s="138">
        <v>7</v>
      </c>
      <c r="C48" s="138">
        <v>20</v>
      </c>
      <c r="D48" s="206">
        <v>280</v>
      </c>
      <c r="E48" s="206">
        <f t="shared" si="4"/>
        <v>5600</v>
      </c>
      <c r="F48" s="206">
        <f t="shared" si="5"/>
        <v>39200</v>
      </c>
      <c r="G48" s="204" t="s">
        <v>112</v>
      </c>
    </row>
    <row r="49" spans="1:7" x14ac:dyDescent="0.25">
      <c r="A49" s="102" t="s">
        <v>109</v>
      </c>
      <c r="B49" s="5">
        <v>9</v>
      </c>
      <c r="C49" s="5">
        <v>1</v>
      </c>
      <c r="D49" s="47">
        <v>1500</v>
      </c>
      <c r="E49" s="7">
        <f t="shared" si="4"/>
        <v>1500</v>
      </c>
      <c r="F49" s="7">
        <f t="shared" si="5"/>
        <v>13500</v>
      </c>
      <c r="G49" s="102" t="s">
        <v>113</v>
      </c>
    </row>
    <row r="50" spans="1:7" x14ac:dyDescent="0.25">
      <c r="A50" s="102" t="s">
        <v>110</v>
      </c>
      <c r="B50" s="5">
        <v>9</v>
      </c>
      <c r="C50" s="5">
        <v>2</v>
      </c>
      <c r="D50" s="47">
        <v>1000</v>
      </c>
      <c r="E50" s="7">
        <f t="shared" si="4"/>
        <v>2000</v>
      </c>
      <c r="F50" s="7">
        <f t="shared" si="5"/>
        <v>18000</v>
      </c>
      <c r="G50" s="102" t="s">
        <v>113</v>
      </c>
    </row>
    <row r="51" spans="1:7" ht="18.75" x14ac:dyDescent="0.4">
      <c r="A51" s="257" t="s">
        <v>112</v>
      </c>
      <c r="B51" s="257"/>
      <c r="C51" s="262" t="s">
        <v>73</v>
      </c>
      <c r="D51" s="262"/>
      <c r="E51" s="48">
        <f>SUM(E45:E50)</f>
        <v>53100</v>
      </c>
      <c r="F51" s="4"/>
      <c r="G51" s="102"/>
    </row>
    <row r="52" spans="1:7" ht="18.75" x14ac:dyDescent="0.4">
      <c r="A52" s="257"/>
      <c r="B52" s="257"/>
      <c r="C52" s="262" t="s">
        <v>17</v>
      </c>
      <c r="D52" s="262"/>
      <c r="E52" s="134">
        <f>SUM(F45:F50)</f>
        <v>378700</v>
      </c>
      <c r="F52" s="4"/>
      <c r="G52" s="102"/>
    </row>
    <row r="53" spans="1:7" ht="18.75" x14ac:dyDescent="0.4">
      <c r="A53" s="257"/>
      <c r="B53" s="257"/>
      <c r="C53" s="262" t="s">
        <v>18</v>
      </c>
      <c r="D53" s="262"/>
      <c r="E53" s="135">
        <v>200000</v>
      </c>
      <c r="F53" s="4"/>
      <c r="G53" s="102"/>
    </row>
    <row r="54" spans="1:7" ht="18.75" x14ac:dyDescent="0.4">
      <c r="A54" s="257"/>
      <c r="B54" s="257"/>
      <c r="C54" s="262" t="s">
        <v>17</v>
      </c>
      <c r="D54" s="262"/>
      <c r="E54" s="150">
        <f>SUM(E52:E53)</f>
        <v>578700</v>
      </c>
      <c r="F54" s="4"/>
      <c r="G54" s="102"/>
    </row>
    <row r="55" spans="1:7" x14ac:dyDescent="0.25">
      <c r="A55" t="s">
        <v>111</v>
      </c>
      <c r="E55" s="35">
        <v>500000</v>
      </c>
    </row>
    <row r="56" spans="1:7" ht="15.75" thickBot="1" x14ac:dyDescent="0.3"/>
    <row r="57" spans="1:7" x14ac:dyDescent="0.25">
      <c r="A57" s="357" t="s">
        <v>0</v>
      </c>
      <c r="B57" s="358"/>
      <c r="C57" s="358"/>
      <c r="D57" s="358"/>
      <c r="E57" s="358"/>
      <c r="F57" s="358"/>
      <c r="G57" s="359"/>
    </row>
    <row r="58" spans="1:7" x14ac:dyDescent="0.25">
      <c r="A58" s="324" t="s">
        <v>99</v>
      </c>
      <c r="B58" s="287"/>
      <c r="C58" s="287"/>
      <c r="D58" s="287"/>
      <c r="E58" s="287"/>
      <c r="F58" s="287"/>
      <c r="G58" s="325"/>
    </row>
    <row r="59" spans="1:7" ht="18" customHeight="1" x14ac:dyDescent="0.25">
      <c r="A59" s="269" t="s">
        <v>107</v>
      </c>
      <c r="B59" s="270"/>
      <c r="C59" s="270"/>
      <c r="D59" s="270"/>
      <c r="E59" s="270"/>
      <c r="F59" s="270"/>
      <c r="G59" s="326"/>
    </row>
    <row r="60" spans="1:7" x14ac:dyDescent="0.25">
      <c r="A60" s="276" t="s">
        <v>3</v>
      </c>
      <c r="B60" s="277" t="s">
        <v>4</v>
      </c>
      <c r="C60" s="277"/>
      <c r="D60" s="277"/>
      <c r="E60" s="277" t="s">
        <v>5</v>
      </c>
      <c r="F60" s="277"/>
      <c r="G60" s="327" t="s">
        <v>183</v>
      </c>
    </row>
    <row r="61" spans="1:7" x14ac:dyDescent="0.25">
      <c r="A61" s="276"/>
      <c r="B61" s="1" t="s">
        <v>6</v>
      </c>
      <c r="C61" s="1" t="s">
        <v>7</v>
      </c>
      <c r="D61" s="1" t="s">
        <v>8</v>
      </c>
      <c r="E61" s="1" t="s">
        <v>9</v>
      </c>
      <c r="F61" s="1" t="s">
        <v>10</v>
      </c>
      <c r="G61" s="327"/>
    </row>
    <row r="62" spans="1:7" x14ac:dyDescent="0.25">
      <c r="A62" s="3" t="s">
        <v>105</v>
      </c>
      <c r="B62" s="5">
        <v>11</v>
      </c>
      <c r="C62" s="5">
        <v>19</v>
      </c>
      <c r="D62" s="47">
        <v>200</v>
      </c>
      <c r="E62" s="7">
        <f t="shared" ref="E62:E67" si="6">C62*D62</f>
        <v>3800</v>
      </c>
      <c r="F62" s="7">
        <f t="shared" ref="F62:F67" si="7">B62*E62</f>
        <v>41800</v>
      </c>
      <c r="G62" s="133" t="s">
        <v>261</v>
      </c>
    </row>
    <row r="63" spans="1:7" x14ac:dyDescent="0.25">
      <c r="A63" s="3" t="s">
        <v>14</v>
      </c>
      <c r="B63" s="5">
        <v>11</v>
      </c>
      <c r="C63" s="5">
        <v>66</v>
      </c>
      <c r="D63" s="47">
        <v>200</v>
      </c>
      <c r="E63" s="7">
        <f t="shared" si="6"/>
        <v>13200</v>
      </c>
      <c r="F63" s="7">
        <f t="shared" si="7"/>
        <v>145200</v>
      </c>
      <c r="G63" s="133" t="s">
        <v>261</v>
      </c>
    </row>
    <row r="64" spans="1:7" x14ac:dyDescent="0.25">
      <c r="A64" s="3" t="s">
        <v>86</v>
      </c>
      <c r="B64" s="5">
        <v>11</v>
      </c>
      <c r="C64" s="5">
        <v>60</v>
      </c>
      <c r="D64" s="47">
        <v>450</v>
      </c>
      <c r="E64" s="7">
        <f t="shared" si="6"/>
        <v>27000</v>
      </c>
      <c r="F64" s="7">
        <f t="shared" si="7"/>
        <v>297000</v>
      </c>
      <c r="G64" s="133" t="s">
        <v>261</v>
      </c>
    </row>
    <row r="65" spans="1:7" x14ac:dyDescent="0.25">
      <c r="A65" s="3" t="s">
        <v>106</v>
      </c>
      <c r="B65" s="138">
        <v>11</v>
      </c>
      <c r="C65" s="138">
        <v>20</v>
      </c>
      <c r="D65" s="206">
        <v>280</v>
      </c>
      <c r="E65" s="206">
        <f t="shared" si="6"/>
        <v>5600</v>
      </c>
      <c r="F65" s="206">
        <f t="shared" si="7"/>
        <v>61600</v>
      </c>
      <c r="G65" s="205" t="s">
        <v>261</v>
      </c>
    </row>
    <row r="66" spans="1:7" x14ac:dyDescent="0.25">
      <c r="A66" s="3" t="s">
        <v>109</v>
      </c>
      <c r="B66" s="5">
        <v>11</v>
      </c>
      <c r="C66" s="5">
        <v>1</v>
      </c>
      <c r="D66" s="47">
        <v>1500</v>
      </c>
      <c r="E66" s="7">
        <f t="shared" si="6"/>
        <v>1500</v>
      </c>
      <c r="F66" s="7">
        <f t="shared" si="7"/>
        <v>16500</v>
      </c>
      <c r="G66" s="133" t="s">
        <v>261</v>
      </c>
    </row>
    <row r="67" spans="1:7" x14ac:dyDescent="0.25">
      <c r="A67" s="3" t="s">
        <v>110</v>
      </c>
      <c r="B67" s="5">
        <v>11</v>
      </c>
      <c r="C67" s="5">
        <v>2</v>
      </c>
      <c r="D67" s="47">
        <v>1000</v>
      </c>
      <c r="E67" s="7">
        <f t="shared" si="6"/>
        <v>2000</v>
      </c>
      <c r="F67" s="7">
        <f t="shared" si="7"/>
        <v>22000</v>
      </c>
      <c r="G67" s="133" t="s">
        <v>261</v>
      </c>
    </row>
    <row r="68" spans="1:7" ht="18.75" x14ac:dyDescent="0.4">
      <c r="A68" s="256" t="s">
        <v>261</v>
      </c>
      <c r="B68" s="257"/>
      <c r="C68" s="262" t="s">
        <v>17</v>
      </c>
      <c r="D68" s="262"/>
      <c r="E68" s="134">
        <f>SUM(F62:F67)</f>
        <v>584100</v>
      </c>
      <c r="F68" s="280"/>
      <c r="G68" s="321"/>
    </row>
    <row r="69" spans="1:7" ht="18.75" x14ac:dyDescent="0.4">
      <c r="A69" s="256"/>
      <c r="B69" s="257"/>
      <c r="C69" s="262" t="s">
        <v>18</v>
      </c>
      <c r="D69" s="262"/>
      <c r="E69" s="135"/>
      <c r="F69" s="282"/>
      <c r="G69" s="330"/>
    </row>
    <row r="70" spans="1:7" ht="19.5" thickBot="1" x14ac:dyDescent="0.45">
      <c r="A70" s="260"/>
      <c r="B70" s="261"/>
      <c r="C70" s="263" t="s">
        <v>17</v>
      </c>
      <c r="D70" s="263"/>
      <c r="E70" s="20">
        <f>SUM(E68:E69)</f>
        <v>584100</v>
      </c>
      <c r="F70" s="322"/>
      <c r="G70" s="323"/>
    </row>
    <row r="71" spans="1:7" ht="18.75" x14ac:dyDescent="0.4">
      <c r="A71" s="54" t="s">
        <v>262</v>
      </c>
      <c r="B71" s="54"/>
      <c r="C71" s="54"/>
      <c r="D71" s="54"/>
      <c r="E71" s="55">
        <f>E37+E54+E70</f>
        <v>1512500</v>
      </c>
    </row>
    <row r="72" spans="1:7" ht="18.75" x14ac:dyDescent="0.4">
      <c r="A72" s="54" t="s">
        <v>263</v>
      </c>
      <c r="B72" s="54"/>
      <c r="C72" s="54"/>
      <c r="D72" s="54"/>
      <c r="E72" s="128">
        <f>E38+E55</f>
        <v>1000000</v>
      </c>
    </row>
    <row r="73" spans="1:7" ht="18.75" x14ac:dyDescent="0.4">
      <c r="A73" s="54" t="s">
        <v>264</v>
      </c>
      <c r="B73" s="54"/>
      <c r="C73" s="54"/>
      <c r="D73" s="54"/>
      <c r="E73" s="128">
        <f>E71-E72</f>
        <v>512500</v>
      </c>
    </row>
  </sheetData>
  <mergeCells count="42">
    <mergeCell ref="G43:G44"/>
    <mergeCell ref="A40:G40"/>
    <mergeCell ref="A41:G41"/>
    <mergeCell ref="A42:G42"/>
    <mergeCell ref="A57:G57"/>
    <mergeCell ref="A51:B54"/>
    <mergeCell ref="C51:D51"/>
    <mergeCell ref="C52:D52"/>
    <mergeCell ref="C53:D53"/>
    <mergeCell ref="C54:D54"/>
    <mergeCell ref="A43:A44"/>
    <mergeCell ref="B43:D43"/>
    <mergeCell ref="E43:F43"/>
    <mergeCell ref="E60:F60"/>
    <mergeCell ref="A58:G58"/>
    <mergeCell ref="A59:G59"/>
    <mergeCell ref="G60:G61"/>
    <mergeCell ref="F68:G70"/>
    <mergeCell ref="A68:B70"/>
    <mergeCell ref="C68:D68"/>
    <mergeCell ref="C69:D69"/>
    <mergeCell ref="C70:D70"/>
    <mergeCell ref="A60:A61"/>
    <mergeCell ref="B60:D60"/>
    <mergeCell ref="A24:A25"/>
    <mergeCell ref="B24:D24"/>
    <mergeCell ref="E24:F24"/>
    <mergeCell ref="A34:B37"/>
    <mergeCell ref="C34:D34"/>
    <mergeCell ref="C35:D35"/>
    <mergeCell ref="C36:D36"/>
    <mergeCell ref="C37:D37"/>
    <mergeCell ref="F34:G34"/>
    <mergeCell ref="F35:G35"/>
    <mergeCell ref="F36:G36"/>
    <mergeCell ref="F37:G37"/>
    <mergeCell ref="A23:G23"/>
    <mergeCell ref="A1:G1"/>
    <mergeCell ref="A2:G2"/>
    <mergeCell ref="A3:G3"/>
    <mergeCell ref="A21:G21"/>
    <mergeCell ref="A22:G22"/>
  </mergeCells>
  <pageMargins left="0.7" right="0.7" top="0.75" bottom="0.75" header="0.3" footer="0.3"/>
  <pageSetup paperSize="9" scale="63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F70F6-729F-468E-B105-8E8AB2B2F156}">
  <dimension ref="A1:AA63"/>
  <sheetViews>
    <sheetView topLeftCell="A33" workbookViewId="0">
      <selection sqref="A1:AA25"/>
    </sheetView>
  </sheetViews>
  <sheetFormatPr baseColWidth="10" defaultRowHeight="15" x14ac:dyDescent="0.25"/>
  <cols>
    <col min="1" max="1" width="28.42578125" bestFit="1" customWidth="1"/>
    <col min="5" max="6" width="14.42578125" bestFit="1" customWidth="1"/>
    <col min="7" max="7" width="22.85546875" customWidth="1"/>
  </cols>
  <sheetData>
    <row r="1" spans="1:27" ht="18.75" x14ac:dyDescent="0.3">
      <c r="A1" s="250" t="s">
        <v>265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1"/>
      <c r="W1" s="251"/>
      <c r="X1" s="251"/>
      <c r="Y1" s="251"/>
      <c r="Z1" s="251"/>
      <c r="AA1" s="251"/>
    </row>
    <row r="2" spans="1:27" ht="18.75" x14ac:dyDescent="0.3">
      <c r="A2" s="253" t="s">
        <v>266</v>
      </c>
      <c r="B2" s="254"/>
      <c r="C2" s="254"/>
      <c r="D2" s="254"/>
      <c r="E2" s="254"/>
      <c r="F2" s="254"/>
      <c r="G2" s="254"/>
      <c r="H2" s="254"/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254"/>
      <c r="Z2" s="254"/>
      <c r="AA2" s="254"/>
    </row>
    <row r="3" spans="1:27" ht="18.75" x14ac:dyDescent="0.3">
      <c r="A3" s="253" t="s">
        <v>267</v>
      </c>
      <c r="B3" s="254"/>
      <c r="C3" s="254"/>
      <c r="D3" s="254"/>
      <c r="E3" s="254"/>
      <c r="F3" s="254"/>
      <c r="G3" s="254"/>
      <c r="H3" s="254"/>
      <c r="I3" s="254"/>
      <c r="J3" s="254"/>
      <c r="K3" s="254"/>
      <c r="L3" s="254"/>
      <c r="M3" s="254"/>
      <c r="N3" s="254"/>
      <c r="O3" s="254"/>
      <c r="P3" s="254"/>
      <c r="Q3" s="254"/>
      <c r="R3" s="254"/>
      <c r="S3" s="254"/>
      <c r="T3" s="254"/>
      <c r="U3" s="254"/>
      <c r="V3" s="254"/>
      <c r="W3" s="254"/>
      <c r="X3" s="254"/>
      <c r="Y3" s="254"/>
      <c r="Z3" s="254"/>
      <c r="AA3" s="254"/>
    </row>
    <row r="4" spans="1:27" x14ac:dyDescent="0.25">
      <c r="A4" s="339" t="s">
        <v>265</v>
      </c>
      <c r="B4" s="28" t="s">
        <v>22</v>
      </c>
      <c r="C4" s="33">
        <v>13623</v>
      </c>
      <c r="D4" s="163">
        <v>13310</v>
      </c>
      <c r="E4" s="163">
        <v>13626</v>
      </c>
      <c r="F4" s="163">
        <v>13313</v>
      </c>
      <c r="G4" s="163">
        <v>13630</v>
      </c>
      <c r="H4" s="163">
        <v>13644</v>
      </c>
      <c r="I4" s="163">
        <v>13648</v>
      </c>
      <c r="J4" s="163">
        <v>13320</v>
      </c>
      <c r="K4" s="163">
        <v>13321</v>
      </c>
      <c r="L4" s="163">
        <v>13324</v>
      </c>
      <c r="M4" s="163">
        <v>13660</v>
      </c>
      <c r="N4" s="163">
        <v>13668</v>
      </c>
      <c r="O4" s="163">
        <v>13338</v>
      </c>
      <c r="P4" s="163">
        <v>13675</v>
      </c>
      <c r="Q4" s="163">
        <v>13677</v>
      </c>
      <c r="R4" s="163">
        <v>13343</v>
      </c>
      <c r="S4" s="163">
        <v>13345</v>
      </c>
      <c r="T4" s="163">
        <v>13689</v>
      </c>
      <c r="U4" s="163">
        <v>13691</v>
      </c>
      <c r="V4" s="163">
        <v>13351</v>
      </c>
      <c r="W4" s="163">
        <v>13698</v>
      </c>
      <c r="X4" s="163">
        <v>13700</v>
      </c>
      <c r="Y4" s="163">
        <v>13357</v>
      </c>
      <c r="Z4" s="163">
        <v>13362</v>
      </c>
      <c r="AA4" s="164" t="s">
        <v>22</v>
      </c>
    </row>
    <row r="5" spans="1:27" x14ac:dyDescent="0.25">
      <c r="A5" s="340"/>
      <c r="B5" s="40">
        <v>46142</v>
      </c>
      <c r="C5" s="25">
        <v>46146</v>
      </c>
      <c r="D5" s="152">
        <v>46146</v>
      </c>
      <c r="E5" s="152">
        <v>46147</v>
      </c>
      <c r="F5" s="152">
        <v>46147</v>
      </c>
      <c r="G5" s="152">
        <v>46148</v>
      </c>
      <c r="H5" s="152">
        <v>46150</v>
      </c>
      <c r="I5" s="152">
        <v>46151</v>
      </c>
      <c r="J5" s="152">
        <v>46151</v>
      </c>
      <c r="K5" s="152">
        <v>46153</v>
      </c>
      <c r="L5" s="152">
        <v>46154</v>
      </c>
      <c r="M5" s="152">
        <v>46155</v>
      </c>
      <c r="N5" s="152">
        <v>46157</v>
      </c>
      <c r="O5" s="152">
        <v>46161</v>
      </c>
      <c r="P5" s="152">
        <v>46161</v>
      </c>
      <c r="Q5" s="152">
        <v>46162</v>
      </c>
      <c r="R5" s="152">
        <v>46162</v>
      </c>
      <c r="S5" s="152">
        <v>46163</v>
      </c>
      <c r="T5" s="152">
        <v>46167</v>
      </c>
      <c r="U5" s="152">
        <v>46167</v>
      </c>
      <c r="V5" s="152">
        <v>46167</v>
      </c>
      <c r="W5" s="152">
        <v>46169</v>
      </c>
      <c r="X5" s="152">
        <v>46169</v>
      </c>
      <c r="Y5" s="152">
        <v>46171</v>
      </c>
      <c r="Z5" s="152">
        <v>46172</v>
      </c>
      <c r="AA5" s="83">
        <v>46173</v>
      </c>
    </row>
    <row r="6" spans="1:27" x14ac:dyDescent="0.25">
      <c r="A6" s="160" t="s">
        <v>268</v>
      </c>
      <c r="B6" s="45">
        <v>41</v>
      </c>
      <c r="C6" s="165">
        <v>22</v>
      </c>
      <c r="D6" s="166">
        <v>-2</v>
      </c>
      <c r="E6" s="162"/>
      <c r="F6" s="162"/>
      <c r="G6" s="162"/>
      <c r="H6" s="162"/>
      <c r="I6" s="162"/>
      <c r="J6" s="166"/>
      <c r="K6" s="162"/>
      <c r="L6" s="166">
        <v>-22</v>
      </c>
      <c r="M6" s="162"/>
      <c r="N6" s="166">
        <v>33</v>
      </c>
      <c r="O6" s="162"/>
      <c r="P6" s="162"/>
      <c r="Q6" s="166">
        <v>5</v>
      </c>
      <c r="R6" s="162"/>
      <c r="S6" s="166">
        <v>-37</v>
      </c>
      <c r="T6" s="162"/>
      <c r="U6" s="162"/>
      <c r="V6" s="162"/>
      <c r="W6" s="166">
        <v>6</v>
      </c>
      <c r="X6" s="162"/>
      <c r="Y6" s="162"/>
      <c r="Z6" s="162"/>
      <c r="AA6" s="85">
        <f>SUM(B6:Z6)</f>
        <v>46</v>
      </c>
    </row>
    <row r="7" spans="1:27" x14ac:dyDescent="0.25">
      <c r="A7" s="160" t="s">
        <v>211</v>
      </c>
      <c r="B7" s="45">
        <v>3</v>
      </c>
      <c r="C7" s="68"/>
      <c r="D7" s="162"/>
      <c r="E7" s="162"/>
      <c r="F7" s="162"/>
      <c r="G7" s="162"/>
      <c r="H7" s="162"/>
      <c r="I7" s="162"/>
      <c r="J7" s="166">
        <v>-3</v>
      </c>
      <c r="K7" s="162"/>
      <c r="L7" s="162"/>
      <c r="M7" s="162"/>
      <c r="N7" s="162"/>
      <c r="O7" s="162"/>
      <c r="P7" s="162"/>
      <c r="Q7" s="162"/>
      <c r="R7" s="162"/>
      <c r="S7" s="162"/>
      <c r="T7" s="162"/>
      <c r="U7" s="162"/>
      <c r="V7" s="162"/>
      <c r="W7" s="162"/>
      <c r="X7" s="162"/>
      <c r="Y7" s="162"/>
      <c r="Z7" s="162"/>
      <c r="AA7" s="85">
        <f t="shared" ref="AA7:AA21" si="0">SUM(B7:Z7)</f>
        <v>0</v>
      </c>
    </row>
    <row r="8" spans="1:27" x14ac:dyDescent="0.25">
      <c r="A8" s="160" t="s">
        <v>81</v>
      </c>
      <c r="B8" s="167"/>
      <c r="C8" s="68"/>
      <c r="D8" s="162"/>
      <c r="E8" s="162"/>
      <c r="F8" s="162"/>
      <c r="G8" s="162"/>
      <c r="H8" s="162"/>
      <c r="I8" s="162"/>
      <c r="J8" s="162"/>
      <c r="K8" s="162"/>
      <c r="L8" s="162"/>
      <c r="M8" s="162"/>
      <c r="N8" s="166">
        <v>4</v>
      </c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6">
        <v>-1</v>
      </c>
      <c r="AA8" s="85">
        <f t="shared" si="0"/>
        <v>3</v>
      </c>
    </row>
    <row r="9" spans="1:27" x14ac:dyDescent="0.25">
      <c r="A9" s="160" t="s">
        <v>269</v>
      </c>
      <c r="B9" s="45">
        <v>3</v>
      </c>
      <c r="C9" s="68"/>
      <c r="D9" s="162"/>
      <c r="E9" s="162"/>
      <c r="F9" s="162"/>
      <c r="G9" s="162"/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6">
        <v>-3</v>
      </c>
      <c r="T9" s="162"/>
      <c r="U9" s="162"/>
      <c r="V9" s="162"/>
      <c r="W9" s="162"/>
      <c r="X9" s="162"/>
      <c r="Y9" s="162"/>
      <c r="Z9" s="162"/>
      <c r="AA9" s="85">
        <f t="shared" si="0"/>
        <v>0</v>
      </c>
    </row>
    <row r="10" spans="1:27" x14ac:dyDescent="0.25">
      <c r="A10" s="160" t="s">
        <v>209</v>
      </c>
      <c r="B10" s="45">
        <v>40</v>
      </c>
      <c r="C10" s="68"/>
      <c r="D10" s="162"/>
      <c r="E10" s="162"/>
      <c r="F10" s="162"/>
      <c r="G10" s="162"/>
      <c r="H10" s="162"/>
      <c r="I10" s="162"/>
      <c r="J10" s="162"/>
      <c r="K10" s="162"/>
      <c r="L10" s="162"/>
      <c r="M10" s="162"/>
      <c r="N10" s="162"/>
      <c r="O10" s="166">
        <v>-3</v>
      </c>
      <c r="P10" s="166">
        <v>3</v>
      </c>
      <c r="Q10" s="162"/>
      <c r="R10" s="162"/>
      <c r="S10" s="166">
        <v>-30</v>
      </c>
      <c r="T10" s="162"/>
      <c r="U10" s="162"/>
      <c r="V10" s="162"/>
      <c r="W10" s="162"/>
      <c r="X10" s="166">
        <v>27</v>
      </c>
      <c r="Y10" s="166">
        <v>-2</v>
      </c>
      <c r="Z10" s="162"/>
      <c r="AA10" s="85">
        <f t="shared" si="0"/>
        <v>35</v>
      </c>
    </row>
    <row r="11" spans="1:27" x14ac:dyDescent="0.25">
      <c r="A11" s="160" t="s">
        <v>14</v>
      </c>
      <c r="B11" s="45">
        <v>30</v>
      </c>
      <c r="C11" s="68"/>
      <c r="D11" s="162"/>
      <c r="E11" s="162"/>
      <c r="F11" s="162"/>
      <c r="G11" s="166">
        <v>5</v>
      </c>
      <c r="H11" s="162"/>
      <c r="I11" s="162"/>
      <c r="J11" s="166">
        <v>-30</v>
      </c>
      <c r="K11" s="162"/>
      <c r="L11" s="162"/>
      <c r="M11" s="162"/>
      <c r="N11" s="162"/>
      <c r="O11" s="162"/>
      <c r="P11" s="162"/>
      <c r="Q11" s="162"/>
      <c r="R11" s="162"/>
      <c r="S11" s="162"/>
      <c r="T11" s="162"/>
      <c r="U11" s="162"/>
      <c r="V11" s="162"/>
      <c r="W11" s="162"/>
      <c r="X11" s="162"/>
      <c r="Y11" s="162"/>
      <c r="Z11" s="162"/>
      <c r="AA11" s="85">
        <f t="shared" si="0"/>
        <v>5</v>
      </c>
    </row>
    <row r="12" spans="1:27" x14ac:dyDescent="0.25">
      <c r="A12" s="160" t="s">
        <v>270</v>
      </c>
      <c r="B12" s="45">
        <v>6</v>
      </c>
      <c r="C12" s="68"/>
      <c r="D12" s="162"/>
      <c r="E12" s="162"/>
      <c r="F12" s="162"/>
      <c r="G12" s="162"/>
      <c r="H12" s="162"/>
      <c r="I12" s="162"/>
      <c r="J12" s="166">
        <v>-4</v>
      </c>
      <c r="K12" s="166">
        <v>-2</v>
      </c>
      <c r="L12" s="162"/>
      <c r="M12" s="162"/>
      <c r="N12" s="162"/>
      <c r="O12" s="162"/>
      <c r="P12" s="162"/>
      <c r="Q12" s="162"/>
      <c r="R12" s="162"/>
      <c r="S12" s="162"/>
      <c r="T12" s="162"/>
      <c r="U12" s="162"/>
      <c r="V12" s="162"/>
      <c r="W12" s="162"/>
      <c r="X12" s="162"/>
      <c r="Y12" s="162"/>
      <c r="Z12" s="162"/>
      <c r="AA12" s="85">
        <f t="shared" si="0"/>
        <v>0</v>
      </c>
    </row>
    <row r="13" spans="1:27" x14ac:dyDescent="0.25">
      <c r="A13" s="160" t="s">
        <v>30</v>
      </c>
      <c r="B13" s="165">
        <v>1</v>
      </c>
      <c r="C13" s="68"/>
      <c r="D13" s="162"/>
      <c r="E13" s="162"/>
      <c r="F13" s="162"/>
      <c r="G13" s="162"/>
      <c r="H13" s="162"/>
      <c r="I13" s="162"/>
      <c r="J13" s="162"/>
      <c r="K13" s="162"/>
      <c r="L13" s="162"/>
      <c r="M13" s="162"/>
      <c r="N13" s="162"/>
      <c r="O13" s="162"/>
      <c r="P13" s="162"/>
      <c r="Q13" s="162"/>
      <c r="R13" s="162"/>
      <c r="S13" s="162"/>
      <c r="T13" s="162"/>
      <c r="U13" s="162"/>
      <c r="V13" s="162"/>
      <c r="W13" s="162"/>
      <c r="X13" s="162"/>
      <c r="Y13" s="162"/>
      <c r="Z13" s="162"/>
      <c r="AA13" s="85">
        <f t="shared" si="0"/>
        <v>1</v>
      </c>
    </row>
    <row r="14" spans="1:27" x14ac:dyDescent="0.25">
      <c r="A14" s="160" t="s">
        <v>238</v>
      </c>
      <c r="B14" s="28"/>
      <c r="C14" s="68"/>
      <c r="D14" s="162"/>
      <c r="E14" s="162"/>
      <c r="F14" s="162"/>
      <c r="G14" s="162"/>
      <c r="H14" s="162"/>
      <c r="I14" s="162"/>
      <c r="J14" s="162"/>
      <c r="K14" s="162"/>
      <c r="L14" s="162"/>
      <c r="M14" s="166">
        <v>10</v>
      </c>
      <c r="N14" s="162"/>
      <c r="O14" s="166">
        <v>-10</v>
      </c>
      <c r="P14" s="162"/>
      <c r="Q14" s="162"/>
      <c r="R14" s="162"/>
      <c r="S14" s="162"/>
      <c r="T14" s="162"/>
      <c r="U14" s="162"/>
      <c r="V14" s="162"/>
      <c r="W14" s="162"/>
      <c r="X14" s="162"/>
      <c r="Y14" s="162"/>
      <c r="Z14" s="162"/>
      <c r="AA14" s="85">
        <f t="shared" si="0"/>
        <v>0</v>
      </c>
    </row>
    <row r="15" spans="1:27" x14ac:dyDescent="0.25">
      <c r="A15" s="160" t="s">
        <v>86</v>
      </c>
      <c r="B15" s="165">
        <v>7</v>
      </c>
      <c r="C15" s="68"/>
      <c r="D15" s="162"/>
      <c r="E15" s="162"/>
      <c r="F15" s="162"/>
      <c r="G15" s="162"/>
      <c r="H15" s="162"/>
      <c r="I15" s="162"/>
      <c r="J15" s="162"/>
      <c r="K15" s="162"/>
      <c r="L15" s="162"/>
      <c r="M15" s="162"/>
      <c r="N15" s="162"/>
      <c r="O15" s="162"/>
      <c r="P15" s="162"/>
      <c r="Q15" s="162"/>
      <c r="R15" s="162"/>
      <c r="S15" s="166">
        <v>-6</v>
      </c>
      <c r="T15" s="162"/>
      <c r="U15" s="162"/>
      <c r="V15" s="166">
        <v>-1</v>
      </c>
      <c r="W15" s="162"/>
      <c r="X15" s="162"/>
      <c r="Y15" s="162"/>
      <c r="Z15" s="162"/>
      <c r="AA15" s="85">
        <f t="shared" si="0"/>
        <v>0</v>
      </c>
    </row>
    <row r="16" spans="1:27" x14ac:dyDescent="0.25">
      <c r="A16" s="160" t="s">
        <v>106</v>
      </c>
      <c r="B16" s="165">
        <v>13</v>
      </c>
      <c r="C16" s="68"/>
      <c r="D16" s="162"/>
      <c r="E16" s="162"/>
      <c r="F16" s="162"/>
      <c r="G16" s="162"/>
      <c r="H16" s="162"/>
      <c r="I16" s="162"/>
      <c r="J16" s="162"/>
      <c r="K16" s="162"/>
      <c r="L16" s="162"/>
      <c r="M16" s="162"/>
      <c r="N16" s="162"/>
      <c r="O16" s="162"/>
      <c r="P16" s="162"/>
      <c r="Q16" s="162"/>
      <c r="R16" s="166">
        <v>-3</v>
      </c>
      <c r="S16" s="166">
        <v>-7</v>
      </c>
      <c r="T16" s="162"/>
      <c r="U16" s="162"/>
      <c r="V16" s="162"/>
      <c r="W16" s="162"/>
      <c r="X16" s="162"/>
      <c r="Y16" s="162"/>
      <c r="Z16" s="166">
        <v>-1</v>
      </c>
      <c r="AA16" s="85">
        <f t="shared" si="0"/>
        <v>2</v>
      </c>
    </row>
    <row r="17" spans="1:27" x14ac:dyDescent="0.25">
      <c r="A17" s="160" t="s">
        <v>271</v>
      </c>
      <c r="B17" s="165">
        <v>5</v>
      </c>
      <c r="C17" s="68"/>
      <c r="D17" s="162"/>
      <c r="E17" s="162"/>
      <c r="F17" s="162"/>
      <c r="G17" s="162"/>
      <c r="H17" s="162"/>
      <c r="I17" s="162"/>
      <c r="J17" s="166">
        <v>-4</v>
      </c>
      <c r="K17" s="166">
        <v>-1</v>
      </c>
      <c r="L17" s="162"/>
      <c r="M17" s="162"/>
      <c r="N17" s="162"/>
      <c r="O17" s="162"/>
      <c r="P17" s="162"/>
      <c r="Q17" s="162"/>
      <c r="R17" s="162"/>
      <c r="S17" s="162"/>
      <c r="T17" s="166">
        <v>3</v>
      </c>
      <c r="U17" s="162"/>
      <c r="V17" s="162"/>
      <c r="W17" s="162"/>
      <c r="X17" s="162"/>
      <c r="Y17" s="162"/>
      <c r="Z17" s="162"/>
      <c r="AA17" s="85">
        <f t="shared" si="0"/>
        <v>3</v>
      </c>
    </row>
    <row r="18" spans="1:27" x14ac:dyDescent="0.25">
      <c r="A18" s="160" t="s">
        <v>23</v>
      </c>
      <c r="B18" s="28"/>
      <c r="C18" s="68"/>
      <c r="D18" s="162"/>
      <c r="E18" s="162"/>
      <c r="F18" s="162"/>
      <c r="G18" s="162"/>
      <c r="H18" s="166">
        <v>18</v>
      </c>
      <c r="I18" s="162"/>
      <c r="J18" s="162"/>
      <c r="K18" s="162"/>
      <c r="L18" s="162"/>
      <c r="M18" s="162"/>
      <c r="N18" s="162"/>
      <c r="O18" s="166">
        <v>-7</v>
      </c>
      <c r="P18" s="162"/>
      <c r="Q18" s="162"/>
      <c r="R18" s="162"/>
      <c r="S18" s="166">
        <v>-11</v>
      </c>
      <c r="T18" s="162"/>
      <c r="U18" s="162"/>
      <c r="V18" s="162"/>
      <c r="W18" s="162"/>
      <c r="X18" s="162"/>
      <c r="Y18" s="162"/>
      <c r="Z18" s="162"/>
      <c r="AA18" s="85">
        <f t="shared" si="0"/>
        <v>0</v>
      </c>
    </row>
    <row r="19" spans="1:27" x14ac:dyDescent="0.25">
      <c r="A19" s="160" t="s">
        <v>54</v>
      </c>
      <c r="B19" s="28"/>
      <c r="C19" s="68"/>
      <c r="D19" s="162"/>
      <c r="E19" s="162"/>
      <c r="F19" s="162"/>
      <c r="G19" s="162"/>
      <c r="H19" s="162"/>
      <c r="I19" s="162"/>
      <c r="J19" s="162"/>
      <c r="K19" s="162"/>
      <c r="L19" s="162"/>
      <c r="M19" s="162"/>
      <c r="N19" s="162"/>
      <c r="O19" s="162"/>
      <c r="P19" s="162"/>
      <c r="Q19" s="162"/>
      <c r="R19" s="162"/>
      <c r="S19" s="162"/>
      <c r="T19" s="166">
        <v>14</v>
      </c>
      <c r="U19" s="162"/>
      <c r="V19" s="162"/>
      <c r="W19" s="162"/>
      <c r="X19" s="162"/>
      <c r="Y19" s="162"/>
      <c r="Z19" s="162"/>
      <c r="AA19" s="85">
        <f t="shared" si="0"/>
        <v>14</v>
      </c>
    </row>
    <row r="20" spans="1:27" x14ac:dyDescent="0.25">
      <c r="A20" s="160" t="s">
        <v>27</v>
      </c>
      <c r="B20" s="28"/>
      <c r="C20" s="68"/>
      <c r="D20" s="162"/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62"/>
      <c r="P20" s="162"/>
      <c r="Q20" s="162"/>
      <c r="R20" s="162"/>
      <c r="S20" s="162"/>
      <c r="T20" s="162"/>
      <c r="U20" s="166">
        <v>60</v>
      </c>
      <c r="V20" s="162"/>
      <c r="W20" s="162"/>
      <c r="X20" s="162"/>
      <c r="Y20" s="162"/>
      <c r="Z20" s="162"/>
      <c r="AA20" s="85">
        <f t="shared" si="0"/>
        <v>60</v>
      </c>
    </row>
    <row r="21" spans="1:27" x14ac:dyDescent="0.25">
      <c r="A21" s="160" t="s">
        <v>272</v>
      </c>
      <c r="B21" s="28">
        <v>0</v>
      </c>
      <c r="C21" s="68"/>
      <c r="D21" s="162"/>
      <c r="E21" s="166">
        <v>1</v>
      </c>
      <c r="F21" s="166">
        <v>-1</v>
      </c>
      <c r="G21" s="162"/>
      <c r="H21" s="162"/>
      <c r="I21" s="166">
        <v>1</v>
      </c>
      <c r="J21" s="162"/>
      <c r="K21" s="166">
        <v>-1</v>
      </c>
      <c r="L21" s="162"/>
      <c r="M21" s="162"/>
      <c r="N21" s="162"/>
      <c r="O21" s="162"/>
      <c r="P21" s="162"/>
      <c r="Q21" s="162"/>
      <c r="R21" s="162"/>
      <c r="S21" s="162"/>
      <c r="T21" s="162"/>
      <c r="U21" s="162"/>
      <c r="V21" s="162"/>
      <c r="W21" s="162"/>
      <c r="X21" s="162"/>
      <c r="Y21" s="162"/>
      <c r="Z21" s="162"/>
      <c r="AA21" s="85">
        <f t="shared" si="0"/>
        <v>0</v>
      </c>
    </row>
    <row r="22" spans="1:27" x14ac:dyDescent="0.25">
      <c r="A22" s="168" t="s">
        <v>273</v>
      </c>
      <c r="B22" s="28"/>
      <c r="C22" s="31">
        <v>0.40972222222222221</v>
      </c>
      <c r="D22" s="169">
        <v>0.40277777777777779</v>
      </c>
      <c r="E22" s="169">
        <v>0.33333333333333331</v>
      </c>
      <c r="F22" s="169">
        <v>0.1423611111111111</v>
      </c>
      <c r="G22" s="169">
        <v>0.47916666666666669</v>
      </c>
      <c r="H22" s="169">
        <v>0.125</v>
      </c>
      <c r="I22" s="169">
        <v>0.34722222222222221</v>
      </c>
      <c r="J22" s="169">
        <v>0.4548611111111111</v>
      </c>
      <c r="K22" s="169">
        <v>0.46527777777777779</v>
      </c>
      <c r="L22" s="169">
        <v>8.3333333333333329E-2</v>
      </c>
      <c r="M22" s="169">
        <v>0.375</v>
      </c>
      <c r="N22" s="169">
        <v>0.4861111111111111</v>
      </c>
      <c r="O22" s="169">
        <v>0.18611111111111112</v>
      </c>
      <c r="P22" s="169">
        <v>0.1875</v>
      </c>
      <c r="Q22" s="169">
        <v>0.39444444444444443</v>
      </c>
      <c r="R22" s="169" t="s">
        <v>274</v>
      </c>
      <c r="S22" s="169">
        <v>0.16666666666666666</v>
      </c>
      <c r="T22" s="169">
        <v>0.34027777777777779</v>
      </c>
      <c r="U22" s="169">
        <v>0.4375</v>
      </c>
      <c r="V22" s="169">
        <v>0.36805555555555558</v>
      </c>
      <c r="W22" s="169">
        <v>0.39583333333333331</v>
      </c>
      <c r="X22" s="169">
        <v>0.44791666666666669</v>
      </c>
      <c r="Y22" s="169">
        <v>0.35416666666666669</v>
      </c>
      <c r="Z22" s="169">
        <v>0.44444444444444442</v>
      </c>
      <c r="AA22" s="87"/>
    </row>
    <row r="23" spans="1:27" ht="15.75" thickBot="1" x14ac:dyDescent="0.3">
      <c r="A23" s="170" t="s">
        <v>275</v>
      </c>
      <c r="B23" s="171"/>
      <c r="C23" s="172" t="s">
        <v>276</v>
      </c>
      <c r="D23" s="173" t="s">
        <v>277</v>
      </c>
      <c r="E23" s="172" t="s">
        <v>276</v>
      </c>
      <c r="F23" s="172" t="s">
        <v>276</v>
      </c>
      <c r="G23" s="172" t="s">
        <v>276</v>
      </c>
      <c r="H23" s="172" t="s">
        <v>276</v>
      </c>
      <c r="I23" s="172" t="s">
        <v>276</v>
      </c>
      <c r="J23" s="174" t="s">
        <v>276</v>
      </c>
      <c r="K23" s="174" t="s">
        <v>276</v>
      </c>
      <c r="L23" s="174" t="s">
        <v>276</v>
      </c>
      <c r="M23" s="174" t="s">
        <v>276</v>
      </c>
      <c r="N23" s="174" t="s">
        <v>276</v>
      </c>
      <c r="O23" s="175" t="s">
        <v>278</v>
      </c>
      <c r="P23" s="175" t="s">
        <v>279</v>
      </c>
      <c r="Q23" s="175" t="s">
        <v>280</v>
      </c>
      <c r="R23" s="175" t="s">
        <v>278</v>
      </c>
      <c r="S23" s="175" t="s">
        <v>280</v>
      </c>
      <c r="T23" s="174" t="s">
        <v>276</v>
      </c>
      <c r="U23" s="174" t="s">
        <v>276</v>
      </c>
      <c r="V23" s="175" t="s">
        <v>278</v>
      </c>
      <c r="W23" s="174" t="s">
        <v>276</v>
      </c>
      <c r="X23" s="174" t="s">
        <v>276</v>
      </c>
      <c r="Y23" s="175" t="s">
        <v>276</v>
      </c>
      <c r="Z23" s="175" t="s">
        <v>276</v>
      </c>
      <c r="AA23" s="176"/>
    </row>
    <row r="24" spans="1:27" ht="30" x14ac:dyDescent="0.25">
      <c r="D24" s="177" t="s">
        <v>281</v>
      </c>
      <c r="J24" s="178" t="s">
        <v>282</v>
      </c>
      <c r="K24" s="178" t="s">
        <v>282</v>
      </c>
      <c r="L24" s="179" t="s">
        <v>283</v>
      </c>
      <c r="N24" s="180" t="s">
        <v>284</v>
      </c>
      <c r="O24" s="181" t="s">
        <v>285</v>
      </c>
      <c r="P24" s="96"/>
      <c r="Q24" s="96"/>
      <c r="R24" s="180" t="s">
        <v>286</v>
      </c>
      <c r="S24" s="180" t="s">
        <v>286</v>
      </c>
      <c r="Y24" s="182" t="s">
        <v>287</v>
      </c>
      <c r="Z24" s="182" t="s">
        <v>288</v>
      </c>
    </row>
    <row r="25" spans="1:27" ht="15.75" thickBot="1" x14ac:dyDescent="0.3">
      <c r="K25" s="178" t="s">
        <v>289</v>
      </c>
      <c r="S25" t="s">
        <v>290</v>
      </c>
    </row>
    <row r="26" spans="1:27" ht="18" x14ac:dyDescent="0.25">
      <c r="A26" s="365" t="s">
        <v>291</v>
      </c>
      <c r="B26" s="366"/>
      <c r="C26" s="366"/>
      <c r="D26" s="366"/>
      <c r="E26" s="366"/>
      <c r="F26" s="366"/>
      <c r="G26" s="367"/>
    </row>
    <row r="27" spans="1:27" ht="18" x14ac:dyDescent="0.25">
      <c r="A27" s="248" t="s">
        <v>303</v>
      </c>
      <c r="B27" s="249"/>
      <c r="C27" s="249"/>
      <c r="D27" s="249"/>
      <c r="E27" s="249"/>
      <c r="F27" s="249"/>
      <c r="G27" s="275"/>
    </row>
    <row r="28" spans="1:27" x14ac:dyDescent="0.25">
      <c r="A28" s="276" t="s">
        <v>3</v>
      </c>
      <c r="B28" s="277" t="s">
        <v>4</v>
      </c>
      <c r="C28" s="277"/>
      <c r="D28" s="277"/>
      <c r="E28" s="277" t="s">
        <v>5</v>
      </c>
      <c r="F28" s="277"/>
      <c r="G28" s="362" t="s">
        <v>183</v>
      </c>
    </row>
    <row r="29" spans="1:27" x14ac:dyDescent="0.25">
      <c r="A29" s="276"/>
      <c r="B29" s="1" t="s">
        <v>6</v>
      </c>
      <c r="C29" s="1" t="s">
        <v>7</v>
      </c>
      <c r="D29" s="1" t="s">
        <v>8</v>
      </c>
      <c r="E29" s="1" t="s">
        <v>9</v>
      </c>
      <c r="F29" s="183" t="s">
        <v>292</v>
      </c>
      <c r="G29" s="363"/>
    </row>
    <row r="30" spans="1:27" x14ac:dyDescent="0.25">
      <c r="A30" s="3" t="s">
        <v>268</v>
      </c>
      <c r="B30" s="184">
        <v>3</v>
      </c>
      <c r="C30" s="5">
        <v>41</v>
      </c>
      <c r="D30" s="47">
        <v>150</v>
      </c>
      <c r="E30" s="7">
        <f t="shared" ref="E30:E62" si="1">C30*D30</f>
        <v>6150</v>
      </c>
      <c r="F30" s="7">
        <f t="shared" ref="F30:F62" si="2">B30*E30</f>
        <v>18450</v>
      </c>
      <c r="G30" s="185" t="s">
        <v>304</v>
      </c>
    </row>
    <row r="31" spans="1:27" x14ac:dyDescent="0.25">
      <c r="A31" s="3" t="s">
        <v>268</v>
      </c>
      <c r="B31" s="184">
        <v>8</v>
      </c>
      <c r="C31" s="5">
        <v>61</v>
      </c>
      <c r="D31" s="47">
        <v>150</v>
      </c>
      <c r="E31" s="7">
        <f t="shared" si="1"/>
        <v>9150</v>
      </c>
      <c r="F31" s="7">
        <f t="shared" si="2"/>
        <v>73200</v>
      </c>
      <c r="G31" s="185" t="s">
        <v>305</v>
      </c>
    </row>
    <row r="32" spans="1:27" x14ac:dyDescent="0.25">
      <c r="A32" s="3" t="s">
        <v>268</v>
      </c>
      <c r="B32" s="184">
        <v>4</v>
      </c>
      <c r="C32" s="5">
        <v>39</v>
      </c>
      <c r="D32" s="47">
        <v>150</v>
      </c>
      <c r="E32" s="7">
        <f t="shared" si="1"/>
        <v>5850</v>
      </c>
      <c r="F32" s="7">
        <f t="shared" si="2"/>
        <v>23400</v>
      </c>
      <c r="G32" s="185" t="s">
        <v>306</v>
      </c>
    </row>
    <row r="33" spans="1:7" x14ac:dyDescent="0.25">
      <c r="A33" s="3" t="s">
        <v>268</v>
      </c>
      <c r="B33" s="184">
        <v>4</v>
      </c>
      <c r="C33" s="5">
        <v>72</v>
      </c>
      <c r="D33" s="47">
        <v>150</v>
      </c>
      <c r="E33" s="7">
        <f t="shared" si="1"/>
        <v>10800</v>
      </c>
      <c r="F33" s="7">
        <f t="shared" si="2"/>
        <v>43200</v>
      </c>
      <c r="G33" s="185" t="s">
        <v>307</v>
      </c>
    </row>
    <row r="34" spans="1:7" x14ac:dyDescent="0.25">
      <c r="A34" s="3" t="s">
        <v>268</v>
      </c>
      <c r="B34" s="184">
        <v>7</v>
      </c>
      <c r="C34" s="5">
        <v>40</v>
      </c>
      <c r="D34" s="47">
        <v>150</v>
      </c>
      <c r="E34" s="7">
        <f t="shared" si="1"/>
        <v>6000</v>
      </c>
      <c r="F34" s="7">
        <f t="shared" si="2"/>
        <v>42000</v>
      </c>
      <c r="G34" s="185" t="s">
        <v>308</v>
      </c>
    </row>
    <row r="35" spans="1:7" x14ac:dyDescent="0.25">
      <c r="A35" s="3" t="s">
        <v>268</v>
      </c>
      <c r="B35" s="184">
        <v>5</v>
      </c>
      <c r="C35" s="5">
        <v>46</v>
      </c>
      <c r="D35" s="47">
        <v>150</v>
      </c>
      <c r="E35" s="7">
        <f t="shared" si="1"/>
        <v>6900</v>
      </c>
      <c r="F35" s="7">
        <f t="shared" si="2"/>
        <v>34500</v>
      </c>
      <c r="G35" s="185" t="s">
        <v>309</v>
      </c>
    </row>
    <row r="36" spans="1:7" x14ac:dyDescent="0.25">
      <c r="A36" s="3" t="s">
        <v>301</v>
      </c>
      <c r="B36" s="184">
        <v>7</v>
      </c>
      <c r="C36" s="5">
        <v>3</v>
      </c>
      <c r="D36" s="47">
        <v>140</v>
      </c>
      <c r="E36" s="7">
        <f t="shared" si="1"/>
        <v>420</v>
      </c>
      <c r="F36" s="7">
        <f t="shared" si="2"/>
        <v>2940</v>
      </c>
      <c r="G36" s="186" t="s">
        <v>310</v>
      </c>
    </row>
    <row r="37" spans="1:7" x14ac:dyDescent="0.25">
      <c r="A37" s="3" t="s">
        <v>300</v>
      </c>
      <c r="B37" s="184">
        <v>14</v>
      </c>
      <c r="C37" s="5">
        <v>4</v>
      </c>
      <c r="D37" s="47">
        <v>140</v>
      </c>
      <c r="E37" s="7">
        <f t="shared" si="1"/>
        <v>560</v>
      </c>
      <c r="F37" s="7">
        <f t="shared" si="2"/>
        <v>7840</v>
      </c>
      <c r="G37" s="186" t="s">
        <v>312</v>
      </c>
    </row>
    <row r="38" spans="1:7" x14ac:dyDescent="0.25">
      <c r="A38" s="3" t="s">
        <v>300</v>
      </c>
      <c r="B38" s="184">
        <v>2</v>
      </c>
      <c r="C38" s="5">
        <v>3</v>
      </c>
      <c r="D38" s="47">
        <v>140</v>
      </c>
      <c r="E38" s="7">
        <f t="shared" si="1"/>
        <v>420</v>
      </c>
      <c r="F38" s="7">
        <f t="shared" si="2"/>
        <v>840</v>
      </c>
      <c r="G38" s="186" t="s">
        <v>313</v>
      </c>
    </row>
    <row r="39" spans="1:7" x14ac:dyDescent="0.25">
      <c r="A39" s="3" t="s">
        <v>314</v>
      </c>
      <c r="B39" s="184">
        <v>19</v>
      </c>
      <c r="C39" s="5">
        <v>3</v>
      </c>
      <c r="D39" s="47">
        <v>300</v>
      </c>
      <c r="E39" s="7">
        <f t="shared" si="1"/>
        <v>900</v>
      </c>
      <c r="F39" s="7">
        <f t="shared" si="2"/>
        <v>17100</v>
      </c>
      <c r="G39" s="186" t="s">
        <v>315</v>
      </c>
    </row>
    <row r="40" spans="1:7" x14ac:dyDescent="0.25">
      <c r="A40" s="3" t="s">
        <v>293</v>
      </c>
      <c r="B40" s="184">
        <v>15</v>
      </c>
      <c r="C40" s="5">
        <v>40</v>
      </c>
      <c r="D40" s="47">
        <v>180</v>
      </c>
      <c r="E40" s="7">
        <f t="shared" si="1"/>
        <v>7200</v>
      </c>
      <c r="F40" s="7">
        <f t="shared" si="2"/>
        <v>108000</v>
      </c>
      <c r="G40" s="186" t="s">
        <v>316</v>
      </c>
    </row>
    <row r="41" spans="1:7" x14ac:dyDescent="0.25">
      <c r="A41" s="3" t="s">
        <v>293</v>
      </c>
      <c r="B41" s="184">
        <v>4</v>
      </c>
      <c r="C41" s="5">
        <v>37</v>
      </c>
      <c r="D41" s="47">
        <v>180</v>
      </c>
      <c r="E41" s="7">
        <f t="shared" si="1"/>
        <v>6660</v>
      </c>
      <c r="F41" s="7">
        <f t="shared" si="2"/>
        <v>26640</v>
      </c>
      <c r="G41" s="186" t="s">
        <v>317</v>
      </c>
    </row>
    <row r="42" spans="1:7" x14ac:dyDescent="0.25">
      <c r="A42" s="3" t="s">
        <v>293</v>
      </c>
      <c r="B42" s="184">
        <v>7</v>
      </c>
      <c r="C42" s="5">
        <v>10</v>
      </c>
      <c r="D42" s="47">
        <v>180</v>
      </c>
      <c r="E42" s="7">
        <f t="shared" si="1"/>
        <v>1800</v>
      </c>
      <c r="F42" s="7">
        <f t="shared" si="2"/>
        <v>12600</v>
      </c>
      <c r="G42" s="186" t="s">
        <v>308</v>
      </c>
    </row>
    <row r="43" spans="1:7" x14ac:dyDescent="0.25">
      <c r="A43" s="3" t="s">
        <v>293</v>
      </c>
      <c r="B43" s="184">
        <v>5</v>
      </c>
      <c r="C43" s="5">
        <v>35</v>
      </c>
      <c r="D43" s="47">
        <v>180</v>
      </c>
      <c r="E43" s="7">
        <f t="shared" si="1"/>
        <v>6300</v>
      </c>
      <c r="F43" s="7">
        <f t="shared" si="2"/>
        <v>31500</v>
      </c>
      <c r="G43" s="186" t="s">
        <v>309</v>
      </c>
    </row>
    <row r="44" spans="1:7" x14ac:dyDescent="0.25">
      <c r="A44" s="3" t="s">
        <v>26</v>
      </c>
      <c r="B44" s="184">
        <v>5</v>
      </c>
      <c r="C44" s="5">
        <v>30</v>
      </c>
      <c r="D44" s="47">
        <v>160</v>
      </c>
      <c r="E44" s="7">
        <f t="shared" si="1"/>
        <v>4800</v>
      </c>
      <c r="F44" s="7">
        <f t="shared" si="2"/>
        <v>24000</v>
      </c>
      <c r="G44" s="186" t="s">
        <v>311</v>
      </c>
    </row>
    <row r="45" spans="1:7" x14ac:dyDescent="0.25">
      <c r="A45" s="3" t="s">
        <v>26</v>
      </c>
      <c r="B45" s="184">
        <v>2</v>
      </c>
      <c r="C45" s="5">
        <v>35</v>
      </c>
      <c r="D45" s="47">
        <v>160</v>
      </c>
      <c r="E45" s="7">
        <f t="shared" si="1"/>
        <v>5600</v>
      </c>
      <c r="F45" s="7">
        <f t="shared" si="2"/>
        <v>11200</v>
      </c>
      <c r="G45" s="186" t="s">
        <v>318</v>
      </c>
    </row>
    <row r="46" spans="1:7" x14ac:dyDescent="0.25">
      <c r="A46" s="3" t="s">
        <v>26</v>
      </c>
      <c r="B46" s="184">
        <v>24</v>
      </c>
      <c r="C46" s="5">
        <v>5</v>
      </c>
      <c r="D46" s="47">
        <v>160</v>
      </c>
      <c r="E46" s="7">
        <f t="shared" si="1"/>
        <v>800</v>
      </c>
      <c r="F46" s="7">
        <f t="shared" si="2"/>
        <v>19200</v>
      </c>
      <c r="G46" s="186" t="s">
        <v>319</v>
      </c>
    </row>
    <row r="47" spans="1:7" x14ac:dyDescent="0.25">
      <c r="A47" s="3" t="s">
        <v>294</v>
      </c>
      <c r="B47" s="184">
        <v>7</v>
      </c>
      <c r="C47" s="5">
        <v>6</v>
      </c>
      <c r="D47" s="47">
        <v>300</v>
      </c>
      <c r="E47" s="7">
        <f t="shared" si="1"/>
        <v>1800</v>
      </c>
      <c r="F47" s="7">
        <f t="shared" si="2"/>
        <v>12600</v>
      </c>
      <c r="G47" s="186" t="s">
        <v>310</v>
      </c>
    </row>
    <row r="48" spans="1:7" x14ac:dyDescent="0.25">
      <c r="A48" s="3" t="s">
        <v>296</v>
      </c>
      <c r="B48" s="184">
        <v>31</v>
      </c>
      <c r="C48" s="5">
        <v>1</v>
      </c>
      <c r="D48" s="47">
        <v>230</v>
      </c>
      <c r="E48" s="7">
        <f t="shared" si="1"/>
        <v>230</v>
      </c>
      <c r="F48" s="7">
        <f t="shared" si="2"/>
        <v>7130</v>
      </c>
      <c r="G48" s="185" t="s">
        <v>303</v>
      </c>
    </row>
    <row r="49" spans="1:7" ht="15.75" customHeight="1" x14ac:dyDescent="0.25">
      <c r="A49" s="3" t="s">
        <v>295</v>
      </c>
      <c r="B49" s="184">
        <v>5</v>
      </c>
      <c r="C49" s="5">
        <v>10</v>
      </c>
      <c r="D49" s="47">
        <v>225</v>
      </c>
      <c r="E49" s="7">
        <f t="shared" si="1"/>
        <v>2250</v>
      </c>
      <c r="F49" s="7">
        <f t="shared" si="2"/>
        <v>11250</v>
      </c>
      <c r="G49" s="185" t="s">
        <v>320</v>
      </c>
    </row>
    <row r="50" spans="1:7" x14ac:dyDescent="0.25">
      <c r="A50" s="3" t="s">
        <v>297</v>
      </c>
      <c r="B50" s="184">
        <v>19</v>
      </c>
      <c r="C50" s="5">
        <v>7</v>
      </c>
      <c r="D50" s="47">
        <v>250</v>
      </c>
      <c r="E50" s="7">
        <f t="shared" si="1"/>
        <v>1750</v>
      </c>
      <c r="F50" s="7">
        <f t="shared" si="2"/>
        <v>33250</v>
      </c>
      <c r="G50" s="185" t="s">
        <v>315</v>
      </c>
    </row>
    <row r="51" spans="1:7" x14ac:dyDescent="0.25">
      <c r="A51" s="3" t="s">
        <v>297</v>
      </c>
      <c r="B51" s="184">
        <v>5</v>
      </c>
      <c r="C51" s="5">
        <v>1</v>
      </c>
      <c r="D51" s="47">
        <v>250</v>
      </c>
      <c r="E51" s="7">
        <f t="shared" si="1"/>
        <v>250</v>
      </c>
      <c r="F51" s="7">
        <f t="shared" si="2"/>
        <v>1250</v>
      </c>
      <c r="G51" s="185" t="s">
        <v>321</v>
      </c>
    </row>
    <row r="52" spans="1:7" x14ac:dyDescent="0.25">
      <c r="A52" s="3" t="s">
        <v>298</v>
      </c>
      <c r="B52" s="184">
        <v>19</v>
      </c>
      <c r="C52" s="5">
        <v>13</v>
      </c>
      <c r="D52" s="47">
        <v>200</v>
      </c>
      <c r="E52" s="7">
        <f t="shared" si="1"/>
        <v>2600</v>
      </c>
      <c r="F52" s="7">
        <f t="shared" si="2"/>
        <v>49400</v>
      </c>
      <c r="G52" s="185" t="s">
        <v>315</v>
      </c>
    </row>
    <row r="53" spans="1:7" x14ac:dyDescent="0.25">
      <c r="A53" s="3" t="s">
        <v>298</v>
      </c>
      <c r="B53" s="184">
        <v>10</v>
      </c>
      <c r="C53" s="5">
        <v>3</v>
      </c>
      <c r="D53" s="47">
        <v>200</v>
      </c>
      <c r="E53" s="7">
        <f t="shared" si="1"/>
        <v>600</v>
      </c>
      <c r="F53" s="7">
        <f t="shared" si="2"/>
        <v>6000</v>
      </c>
      <c r="G53" s="185" t="s">
        <v>98</v>
      </c>
    </row>
    <row r="54" spans="1:7" x14ac:dyDescent="0.25">
      <c r="A54" s="3" t="s">
        <v>298</v>
      </c>
      <c r="B54" s="184">
        <v>2</v>
      </c>
      <c r="C54" s="5">
        <v>2</v>
      </c>
      <c r="D54" s="47">
        <v>200</v>
      </c>
      <c r="E54" s="7">
        <f t="shared" si="1"/>
        <v>400</v>
      </c>
      <c r="F54" s="7">
        <f t="shared" si="2"/>
        <v>800</v>
      </c>
      <c r="G54" s="185" t="s">
        <v>313</v>
      </c>
    </row>
    <row r="55" spans="1:7" x14ac:dyDescent="0.25">
      <c r="A55" s="3" t="s">
        <v>299</v>
      </c>
      <c r="B55" s="184">
        <v>7</v>
      </c>
      <c r="C55" s="5">
        <v>5</v>
      </c>
      <c r="D55" s="47">
        <v>220</v>
      </c>
      <c r="E55" s="7">
        <f t="shared" si="1"/>
        <v>1100</v>
      </c>
      <c r="F55" s="7">
        <f t="shared" si="2"/>
        <v>7700</v>
      </c>
      <c r="G55" s="185" t="s">
        <v>310</v>
      </c>
    </row>
    <row r="56" spans="1:7" x14ac:dyDescent="0.25">
      <c r="A56" s="3" t="s">
        <v>299</v>
      </c>
      <c r="B56" s="184">
        <v>7</v>
      </c>
      <c r="C56" s="5">
        <v>3</v>
      </c>
      <c r="D56" s="47">
        <v>220</v>
      </c>
      <c r="E56" s="7">
        <f t="shared" ref="E56" si="3">C56*D56</f>
        <v>660</v>
      </c>
      <c r="F56" s="7">
        <f t="shared" ref="F56" si="4">B56*E56</f>
        <v>4620</v>
      </c>
      <c r="G56" s="185" t="s">
        <v>112</v>
      </c>
    </row>
    <row r="57" spans="1:7" x14ac:dyDescent="0.25">
      <c r="A57" s="3" t="s">
        <v>11</v>
      </c>
      <c r="B57" s="184">
        <v>7</v>
      </c>
      <c r="C57" s="188">
        <v>18</v>
      </c>
      <c r="D57" s="47">
        <v>320</v>
      </c>
      <c r="E57" s="7">
        <f t="shared" si="1"/>
        <v>5760</v>
      </c>
      <c r="F57" s="7">
        <f t="shared" si="2"/>
        <v>40320</v>
      </c>
      <c r="G57" s="186" t="s">
        <v>322</v>
      </c>
    </row>
    <row r="58" spans="1:7" x14ac:dyDescent="0.25">
      <c r="A58" s="3" t="s">
        <v>11</v>
      </c>
      <c r="B58" s="184">
        <v>4</v>
      </c>
      <c r="C58" s="188">
        <v>11</v>
      </c>
      <c r="D58" s="47">
        <v>320</v>
      </c>
      <c r="E58" s="7">
        <f t="shared" si="1"/>
        <v>3520</v>
      </c>
      <c r="F58" s="7">
        <f t="shared" si="2"/>
        <v>14080</v>
      </c>
      <c r="G58" s="186" t="s">
        <v>317</v>
      </c>
    </row>
    <row r="59" spans="1:7" x14ac:dyDescent="0.25">
      <c r="A59" s="3" t="s">
        <v>323</v>
      </c>
      <c r="B59" s="184">
        <v>7</v>
      </c>
      <c r="C59" s="188">
        <v>14</v>
      </c>
      <c r="D59" s="47">
        <v>235</v>
      </c>
      <c r="E59" s="7">
        <f t="shared" si="1"/>
        <v>3290</v>
      </c>
      <c r="F59" s="7">
        <f t="shared" si="2"/>
        <v>23030</v>
      </c>
      <c r="G59" s="186" t="s">
        <v>112</v>
      </c>
    </row>
    <row r="60" spans="1:7" x14ac:dyDescent="0.25">
      <c r="A60" s="3" t="s">
        <v>15</v>
      </c>
      <c r="B60" s="184">
        <v>7</v>
      </c>
      <c r="C60" s="188">
        <v>60</v>
      </c>
      <c r="D60" s="47">
        <v>25</v>
      </c>
      <c r="E60" s="7">
        <f t="shared" si="1"/>
        <v>1500</v>
      </c>
      <c r="F60" s="7">
        <f t="shared" si="2"/>
        <v>10500</v>
      </c>
      <c r="G60" s="186" t="s">
        <v>112</v>
      </c>
    </row>
    <row r="61" spans="1:7" x14ac:dyDescent="0.25">
      <c r="A61" s="3" t="s">
        <v>302</v>
      </c>
      <c r="B61" s="184">
        <v>1</v>
      </c>
      <c r="C61" s="188">
        <v>1</v>
      </c>
      <c r="D61" s="47">
        <v>10000</v>
      </c>
      <c r="E61" s="7">
        <f t="shared" si="1"/>
        <v>10000</v>
      </c>
      <c r="F61" s="7">
        <f t="shared" si="2"/>
        <v>10000</v>
      </c>
      <c r="G61" s="186" t="s">
        <v>324</v>
      </c>
    </row>
    <row r="62" spans="1:7" x14ac:dyDescent="0.25">
      <c r="A62" s="3" t="s">
        <v>302</v>
      </c>
      <c r="B62" s="184">
        <v>1</v>
      </c>
      <c r="C62" s="188">
        <v>1</v>
      </c>
      <c r="D62" s="47">
        <v>10000</v>
      </c>
      <c r="E62" s="7">
        <f t="shared" si="1"/>
        <v>10000</v>
      </c>
      <c r="F62" s="7">
        <f t="shared" si="2"/>
        <v>10000</v>
      </c>
      <c r="G62" s="186" t="s">
        <v>325</v>
      </c>
    </row>
    <row r="63" spans="1:7" ht="20.25" thickBot="1" x14ac:dyDescent="0.45">
      <c r="A63" s="360" t="s">
        <v>303</v>
      </c>
      <c r="B63" s="361"/>
      <c r="C63" s="352" t="s">
        <v>40</v>
      </c>
      <c r="D63" s="364"/>
      <c r="E63" s="353"/>
      <c r="F63" s="16">
        <f>SUM(F30:F62)</f>
        <v>738540</v>
      </c>
      <c r="G63" s="187"/>
    </row>
  </sheetData>
  <mergeCells count="12">
    <mergeCell ref="A27:G27"/>
    <mergeCell ref="A1:AA1"/>
    <mergeCell ref="A2:AA2"/>
    <mergeCell ref="A3:AA3"/>
    <mergeCell ref="A4:A5"/>
    <mergeCell ref="A26:G26"/>
    <mergeCell ref="A28:A29"/>
    <mergeCell ref="B28:D28"/>
    <mergeCell ref="E28:F28"/>
    <mergeCell ref="A63:B63"/>
    <mergeCell ref="G28:G29"/>
    <mergeCell ref="C63:E6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5" scale="45" fitToWidth="37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C10A4-109A-4099-A834-F74DF0DF0E19}">
  <sheetPr>
    <pageSetUpPr fitToPage="1"/>
  </sheetPr>
  <dimension ref="A1:J58"/>
  <sheetViews>
    <sheetView topLeftCell="A21" workbookViewId="0">
      <selection activeCell="E60" sqref="E60"/>
    </sheetView>
  </sheetViews>
  <sheetFormatPr baseColWidth="10" defaultRowHeight="15" x14ac:dyDescent="0.25"/>
  <cols>
    <col min="1" max="1" width="24.85546875" bestFit="1" customWidth="1"/>
    <col min="5" max="5" width="20" bestFit="1" customWidth="1"/>
    <col min="6" max="6" width="16.42578125" bestFit="1" customWidth="1"/>
  </cols>
  <sheetData>
    <row r="1" spans="1:10" ht="18.75" x14ac:dyDescent="0.3">
      <c r="A1" s="250" t="s">
        <v>124</v>
      </c>
      <c r="B1" s="251"/>
      <c r="C1" s="251"/>
      <c r="D1" s="251"/>
      <c r="E1" s="251"/>
      <c r="F1" s="251"/>
      <c r="G1" s="251"/>
      <c r="H1" s="251"/>
      <c r="I1" s="251"/>
      <c r="J1" s="252"/>
    </row>
    <row r="2" spans="1:10" ht="15.75" x14ac:dyDescent="0.25">
      <c r="A2" s="368" t="s">
        <v>125</v>
      </c>
      <c r="B2" s="369"/>
      <c r="C2" s="370"/>
      <c r="D2" s="370"/>
      <c r="E2" s="370"/>
      <c r="F2" s="370"/>
      <c r="G2" s="370"/>
      <c r="H2" s="370"/>
      <c r="I2" s="370"/>
      <c r="J2" s="371"/>
    </row>
    <row r="3" spans="1:10" ht="18.75" x14ac:dyDescent="0.3">
      <c r="A3" s="372" t="s">
        <v>126</v>
      </c>
      <c r="B3" s="373"/>
      <c r="C3" s="373"/>
      <c r="D3" s="373"/>
      <c r="E3" s="373"/>
      <c r="F3" s="373"/>
      <c r="G3" s="373"/>
      <c r="H3" s="373"/>
      <c r="I3" s="373"/>
      <c r="J3" s="373"/>
    </row>
    <row r="4" spans="1:10" x14ac:dyDescent="0.25">
      <c r="A4" s="22" t="s">
        <v>3</v>
      </c>
      <c r="B4" s="23">
        <v>13694</v>
      </c>
      <c r="C4" s="23">
        <v>13699</v>
      </c>
      <c r="D4" s="23">
        <v>13697</v>
      </c>
      <c r="E4" s="23"/>
      <c r="F4" s="23"/>
      <c r="G4" s="23"/>
      <c r="H4" s="23"/>
      <c r="I4" s="23"/>
      <c r="J4" s="23" t="s">
        <v>22</v>
      </c>
    </row>
    <row r="5" spans="1:10" x14ac:dyDescent="0.25">
      <c r="A5" s="24"/>
      <c r="B5" s="25">
        <v>46168</v>
      </c>
      <c r="C5" s="25">
        <v>46169</v>
      </c>
      <c r="D5" s="25">
        <v>46169</v>
      </c>
      <c r="E5" s="25"/>
      <c r="F5" s="25"/>
      <c r="G5" s="25"/>
      <c r="H5" s="25"/>
      <c r="I5" s="25"/>
      <c r="J5" s="25">
        <v>46175</v>
      </c>
    </row>
    <row r="6" spans="1:10" x14ac:dyDescent="0.25">
      <c r="A6" s="42" t="s">
        <v>127</v>
      </c>
      <c r="B6" s="42"/>
      <c r="C6" s="28">
        <v>10</v>
      </c>
      <c r="D6" s="29">
        <v>5</v>
      </c>
      <c r="E6" s="29"/>
      <c r="F6" s="29"/>
      <c r="G6" s="29"/>
      <c r="H6" s="29"/>
      <c r="I6" s="29"/>
      <c r="J6" s="30">
        <f>SUM(B6:I6)</f>
        <v>15</v>
      </c>
    </row>
    <row r="7" spans="1:10" x14ac:dyDescent="0.25">
      <c r="A7" s="42" t="s">
        <v>29</v>
      </c>
      <c r="B7" s="68"/>
      <c r="C7" s="28">
        <v>4</v>
      </c>
      <c r="D7" s="29"/>
      <c r="E7" s="29"/>
      <c r="F7" s="29"/>
      <c r="G7" s="29"/>
      <c r="H7" s="29"/>
      <c r="I7" s="29"/>
      <c r="J7" s="30">
        <f t="shared" ref="J7:J22" si="0">SUM(B7:I7)</f>
        <v>4</v>
      </c>
    </row>
    <row r="8" spans="1:10" x14ac:dyDescent="0.25">
      <c r="A8" s="42" t="s">
        <v>30</v>
      </c>
      <c r="B8" s="68"/>
      <c r="C8" s="28">
        <v>2</v>
      </c>
      <c r="D8" s="29"/>
      <c r="E8" s="29"/>
      <c r="F8" s="29"/>
      <c r="G8" s="29"/>
      <c r="H8" s="29"/>
      <c r="I8" s="29"/>
      <c r="J8" s="30">
        <f t="shared" si="0"/>
        <v>2</v>
      </c>
    </row>
    <row r="9" spans="1:10" x14ac:dyDescent="0.25">
      <c r="A9" s="42" t="s">
        <v>54</v>
      </c>
      <c r="B9" s="68">
        <v>48</v>
      </c>
      <c r="C9" s="28">
        <v>5</v>
      </c>
      <c r="D9" s="29"/>
      <c r="E9" s="29"/>
      <c r="F9" s="29"/>
      <c r="G9" s="29"/>
      <c r="H9" s="29"/>
      <c r="I9" s="29"/>
      <c r="J9" s="30">
        <f t="shared" si="0"/>
        <v>53</v>
      </c>
    </row>
    <row r="10" spans="1:10" x14ac:dyDescent="0.25">
      <c r="A10" s="42" t="s">
        <v>23</v>
      </c>
      <c r="B10" s="68"/>
      <c r="C10" s="28"/>
      <c r="D10" s="29">
        <v>40</v>
      </c>
      <c r="E10" s="29"/>
      <c r="F10" s="29"/>
      <c r="G10" s="29"/>
      <c r="H10" s="29"/>
      <c r="I10" s="29"/>
      <c r="J10" s="30">
        <f t="shared" si="0"/>
        <v>40</v>
      </c>
    </row>
    <row r="11" spans="1:10" x14ac:dyDescent="0.25">
      <c r="A11" s="42" t="s">
        <v>26</v>
      </c>
      <c r="B11" s="68">
        <v>23</v>
      </c>
      <c r="C11" s="28">
        <v>15</v>
      </c>
      <c r="D11" s="29">
        <v>16</v>
      </c>
      <c r="E11" s="29"/>
      <c r="F11" s="29"/>
      <c r="G11" s="29"/>
      <c r="H11" s="29"/>
      <c r="I11" s="29"/>
      <c r="J11" s="30">
        <f t="shared" si="0"/>
        <v>54</v>
      </c>
    </row>
    <row r="12" spans="1:10" x14ac:dyDescent="0.25">
      <c r="A12" s="42" t="s">
        <v>128</v>
      </c>
      <c r="B12" s="68"/>
      <c r="C12" s="28">
        <v>13</v>
      </c>
      <c r="D12" s="29"/>
      <c r="E12" s="29"/>
      <c r="F12" s="29"/>
      <c r="G12" s="29"/>
      <c r="H12" s="29"/>
      <c r="I12" s="29"/>
      <c r="J12" s="30">
        <f t="shared" si="0"/>
        <v>13</v>
      </c>
    </row>
    <row r="13" spans="1:10" x14ac:dyDescent="0.25">
      <c r="A13" s="42" t="s">
        <v>129</v>
      </c>
      <c r="B13" s="68"/>
      <c r="C13" s="28">
        <v>9</v>
      </c>
      <c r="D13" s="29"/>
      <c r="E13" s="29"/>
      <c r="F13" s="29"/>
      <c r="G13" s="29"/>
      <c r="H13" s="29"/>
      <c r="I13" s="29"/>
      <c r="J13" s="30">
        <f t="shared" si="0"/>
        <v>9</v>
      </c>
    </row>
    <row r="14" spans="1:10" x14ac:dyDescent="0.25">
      <c r="A14" s="42" t="s">
        <v>130</v>
      </c>
      <c r="B14" s="68"/>
      <c r="C14" s="28">
        <v>7</v>
      </c>
      <c r="D14" s="29"/>
      <c r="E14" s="29"/>
      <c r="F14" s="29"/>
      <c r="G14" s="29"/>
      <c r="H14" s="29"/>
      <c r="I14" s="29"/>
      <c r="J14" s="30">
        <f t="shared" si="0"/>
        <v>7</v>
      </c>
    </row>
    <row r="15" spans="1:10" x14ac:dyDescent="0.25">
      <c r="A15" s="42" t="s">
        <v>131</v>
      </c>
      <c r="B15" s="68"/>
      <c r="C15" s="28">
        <v>298</v>
      </c>
      <c r="D15" s="29">
        <v>400</v>
      </c>
      <c r="E15" s="29"/>
      <c r="F15" s="29"/>
      <c r="G15" s="29"/>
      <c r="H15" s="29"/>
      <c r="I15" s="29"/>
      <c r="J15" s="30">
        <f t="shared" si="0"/>
        <v>698</v>
      </c>
    </row>
    <row r="16" spans="1:10" x14ac:dyDescent="0.25">
      <c r="A16" s="42" t="s">
        <v>122</v>
      </c>
      <c r="B16" s="68"/>
      <c r="C16" s="28">
        <v>3</v>
      </c>
      <c r="D16" s="29"/>
      <c r="E16" s="29"/>
      <c r="F16" s="29"/>
      <c r="G16" s="29"/>
      <c r="H16" s="29"/>
      <c r="I16" s="29"/>
      <c r="J16" s="30">
        <f t="shared" si="0"/>
        <v>3</v>
      </c>
    </row>
    <row r="17" spans="1:10" x14ac:dyDescent="0.25">
      <c r="A17" s="42" t="s">
        <v>28</v>
      </c>
      <c r="B17" s="68">
        <v>2</v>
      </c>
      <c r="C17" s="28">
        <v>2</v>
      </c>
      <c r="D17" s="29">
        <v>2</v>
      </c>
      <c r="E17" s="29"/>
      <c r="F17" s="29"/>
      <c r="G17" s="29"/>
      <c r="H17" s="29"/>
      <c r="I17" s="29"/>
      <c r="J17" s="30">
        <f t="shared" si="0"/>
        <v>6</v>
      </c>
    </row>
    <row r="18" spans="1:10" x14ac:dyDescent="0.25">
      <c r="A18" s="42" t="s">
        <v>31</v>
      </c>
      <c r="B18" s="68">
        <v>19</v>
      </c>
      <c r="C18" s="28"/>
      <c r="D18" s="29"/>
      <c r="E18" s="29"/>
      <c r="F18" s="29"/>
      <c r="G18" s="29"/>
      <c r="H18" s="29"/>
      <c r="I18" s="29"/>
      <c r="J18" s="30">
        <f t="shared" si="0"/>
        <v>19</v>
      </c>
    </row>
    <row r="19" spans="1:10" x14ac:dyDescent="0.25">
      <c r="A19" s="42" t="s">
        <v>132</v>
      </c>
      <c r="B19" s="68">
        <v>5</v>
      </c>
      <c r="C19" s="28">
        <v>9</v>
      </c>
      <c r="D19" s="29"/>
      <c r="E19" s="29"/>
      <c r="F19" s="29"/>
      <c r="G19" s="29"/>
      <c r="H19" s="29"/>
      <c r="I19" s="29"/>
      <c r="J19" s="30">
        <f t="shared" si="0"/>
        <v>14</v>
      </c>
    </row>
    <row r="20" spans="1:10" x14ac:dyDescent="0.25">
      <c r="A20" s="42" t="s">
        <v>133</v>
      </c>
      <c r="B20" s="68">
        <v>10</v>
      </c>
      <c r="C20" s="28">
        <v>18</v>
      </c>
      <c r="D20" s="29"/>
      <c r="E20" s="29"/>
      <c r="F20" s="29"/>
      <c r="G20" s="29"/>
      <c r="H20" s="29"/>
      <c r="I20" s="29"/>
      <c r="J20" s="30">
        <f t="shared" si="0"/>
        <v>28</v>
      </c>
    </row>
    <row r="21" spans="1:10" x14ac:dyDescent="0.25">
      <c r="A21" s="42" t="s">
        <v>121</v>
      </c>
      <c r="B21" s="68">
        <v>432</v>
      </c>
      <c r="C21" s="28">
        <v>10</v>
      </c>
      <c r="D21" s="29"/>
      <c r="E21" s="29"/>
      <c r="F21" s="29"/>
      <c r="G21" s="29"/>
      <c r="H21" s="29"/>
      <c r="I21" s="29"/>
      <c r="J21" s="30">
        <f t="shared" si="0"/>
        <v>442</v>
      </c>
    </row>
    <row r="22" spans="1:10" x14ac:dyDescent="0.25">
      <c r="A22" s="42" t="s">
        <v>123</v>
      </c>
      <c r="B22" s="68"/>
      <c r="C22" s="28">
        <v>84</v>
      </c>
      <c r="D22" s="29"/>
      <c r="E22" s="29"/>
      <c r="F22" s="29"/>
      <c r="G22" s="29"/>
      <c r="H22" s="29"/>
      <c r="I22" s="29"/>
      <c r="J22" s="30">
        <f t="shared" si="0"/>
        <v>84</v>
      </c>
    </row>
    <row r="23" spans="1:10" x14ac:dyDescent="0.25">
      <c r="A23" s="24" t="s">
        <v>32</v>
      </c>
      <c r="B23" s="77">
        <v>0.1111111111111111</v>
      </c>
      <c r="C23" s="31">
        <v>0.34722222222222221</v>
      </c>
      <c r="D23" s="32">
        <v>0.39583333333333331</v>
      </c>
      <c r="E23" s="32"/>
      <c r="F23" s="32"/>
      <c r="G23" s="32"/>
      <c r="H23" s="32"/>
      <c r="I23" s="32"/>
      <c r="J23" s="33"/>
    </row>
    <row r="24" spans="1:10" x14ac:dyDescent="0.25">
      <c r="A24" s="24" t="s">
        <v>33</v>
      </c>
      <c r="B24" s="76">
        <v>60000</v>
      </c>
      <c r="C24" s="34">
        <v>80000</v>
      </c>
      <c r="D24" s="34">
        <v>60000</v>
      </c>
      <c r="E24" s="34"/>
      <c r="F24" s="34"/>
      <c r="G24" s="34"/>
      <c r="H24" s="34"/>
      <c r="I24" s="34"/>
      <c r="J24" s="38">
        <f>SUM(B24:G24)</f>
        <v>200000</v>
      </c>
    </row>
    <row r="27" spans="1:10" ht="15.75" thickBot="1" x14ac:dyDescent="0.3"/>
    <row r="28" spans="1:10" x14ac:dyDescent="0.25">
      <c r="A28" s="374" t="s">
        <v>114</v>
      </c>
      <c r="B28" s="375"/>
      <c r="C28" s="375"/>
      <c r="D28" s="375"/>
      <c r="E28" s="375"/>
      <c r="F28" s="376"/>
    </row>
    <row r="29" spans="1:10" ht="18" customHeight="1" x14ac:dyDescent="0.25">
      <c r="A29" s="269" t="s">
        <v>115</v>
      </c>
      <c r="B29" s="270"/>
      <c r="C29" s="270"/>
      <c r="D29" s="270"/>
      <c r="E29" s="270"/>
      <c r="F29" s="326"/>
    </row>
    <row r="30" spans="1:10" ht="18" customHeight="1" x14ac:dyDescent="0.25">
      <c r="A30" s="248" t="s">
        <v>116</v>
      </c>
      <c r="B30" s="249"/>
      <c r="C30" s="249"/>
      <c r="D30" s="249"/>
      <c r="E30" s="249"/>
      <c r="F30" s="275"/>
    </row>
    <row r="31" spans="1:10" x14ac:dyDescent="0.25">
      <c r="A31" s="276" t="s">
        <v>3</v>
      </c>
      <c r="B31" s="277" t="s">
        <v>4</v>
      </c>
      <c r="C31" s="277"/>
      <c r="D31" s="277"/>
      <c r="E31" s="277" t="s">
        <v>5</v>
      </c>
      <c r="F31" s="278"/>
    </row>
    <row r="32" spans="1:10" x14ac:dyDescent="0.25">
      <c r="A32" s="276"/>
      <c r="B32" s="1" t="s">
        <v>6</v>
      </c>
      <c r="C32" s="1" t="s">
        <v>7</v>
      </c>
      <c r="D32" s="1" t="s">
        <v>8</v>
      </c>
      <c r="E32" s="1" t="s">
        <v>9</v>
      </c>
      <c r="F32" s="2" t="s">
        <v>10</v>
      </c>
    </row>
    <row r="33" spans="1:6" ht="15" customHeight="1" x14ac:dyDescent="0.25">
      <c r="A33" s="3" t="s">
        <v>54</v>
      </c>
      <c r="B33" s="118">
        <v>7</v>
      </c>
      <c r="C33" s="118">
        <v>48</v>
      </c>
      <c r="D33" s="119">
        <v>320</v>
      </c>
      <c r="E33" s="120">
        <f t="shared" ref="E33:E36" si="1">C33*D33</f>
        <v>15360</v>
      </c>
      <c r="F33" s="121">
        <f t="shared" ref="F33:F36" si="2">B33*E33</f>
        <v>107520</v>
      </c>
    </row>
    <row r="34" spans="1:6" x14ac:dyDescent="0.25">
      <c r="A34" s="9" t="s">
        <v>31</v>
      </c>
      <c r="B34" s="122">
        <v>7</v>
      </c>
      <c r="C34" s="123">
        <v>24</v>
      </c>
      <c r="D34" s="124">
        <v>200</v>
      </c>
      <c r="E34" s="120">
        <f t="shared" si="1"/>
        <v>4800</v>
      </c>
      <c r="F34" s="121">
        <f t="shared" si="2"/>
        <v>33600</v>
      </c>
    </row>
    <row r="35" spans="1:6" x14ac:dyDescent="0.25">
      <c r="A35" s="9" t="s">
        <v>27</v>
      </c>
      <c r="B35" s="122">
        <v>7</v>
      </c>
      <c r="C35" s="123">
        <v>432</v>
      </c>
      <c r="D35" s="124">
        <v>28</v>
      </c>
      <c r="E35" s="120">
        <f t="shared" si="1"/>
        <v>12096</v>
      </c>
      <c r="F35" s="121">
        <f t="shared" si="2"/>
        <v>84672</v>
      </c>
    </row>
    <row r="36" spans="1:6" x14ac:dyDescent="0.25">
      <c r="A36" s="9" t="s">
        <v>14</v>
      </c>
      <c r="B36" s="122">
        <v>7</v>
      </c>
      <c r="C36" s="123">
        <v>24</v>
      </c>
      <c r="D36" s="124">
        <v>200</v>
      </c>
      <c r="E36" s="120">
        <f t="shared" si="1"/>
        <v>4800</v>
      </c>
      <c r="F36" s="125">
        <f t="shared" si="2"/>
        <v>33600</v>
      </c>
    </row>
    <row r="37" spans="1:6" x14ac:dyDescent="0.25">
      <c r="A37" s="3" t="s">
        <v>117</v>
      </c>
      <c r="B37" s="74">
        <v>7</v>
      </c>
      <c r="C37" s="5">
        <v>7</v>
      </c>
      <c r="D37" s="6">
        <v>300</v>
      </c>
      <c r="E37" s="7">
        <f>C37*D37</f>
        <v>2100</v>
      </c>
      <c r="F37" s="8">
        <f>B37*E37</f>
        <v>14700</v>
      </c>
    </row>
    <row r="38" spans="1:6" x14ac:dyDescent="0.25">
      <c r="A38" s="9" t="s">
        <v>31</v>
      </c>
      <c r="B38" s="75">
        <v>7</v>
      </c>
      <c r="C38" s="11">
        <v>9</v>
      </c>
      <c r="D38" s="12">
        <v>200</v>
      </c>
      <c r="E38" s="7">
        <f t="shared" ref="E38:E50" si="3">C38*D38</f>
        <v>1800</v>
      </c>
      <c r="F38" s="8">
        <f t="shared" ref="F38:F50" si="4">B38*E38</f>
        <v>12600</v>
      </c>
    </row>
    <row r="39" spans="1:6" x14ac:dyDescent="0.25">
      <c r="A39" s="9" t="s">
        <v>23</v>
      </c>
      <c r="B39" s="75">
        <v>7</v>
      </c>
      <c r="C39" s="11">
        <v>40</v>
      </c>
      <c r="D39" s="12">
        <v>400</v>
      </c>
      <c r="E39" s="7">
        <f t="shared" si="3"/>
        <v>16000</v>
      </c>
      <c r="F39" s="8">
        <f t="shared" si="4"/>
        <v>112000</v>
      </c>
    </row>
    <row r="40" spans="1:6" x14ac:dyDescent="0.25">
      <c r="A40" s="9" t="s">
        <v>30</v>
      </c>
      <c r="B40" s="75">
        <v>7</v>
      </c>
      <c r="C40" s="11">
        <v>2</v>
      </c>
      <c r="D40" s="12">
        <v>300</v>
      </c>
      <c r="E40" s="7">
        <f t="shared" si="3"/>
        <v>600</v>
      </c>
      <c r="F40" s="8">
        <f t="shared" si="4"/>
        <v>4200</v>
      </c>
    </row>
    <row r="41" spans="1:6" x14ac:dyDescent="0.25">
      <c r="A41" s="9" t="s">
        <v>118</v>
      </c>
      <c r="B41" s="75">
        <v>7</v>
      </c>
      <c r="C41" s="11">
        <v>4</v>
      </c>
      <c r="D41" s="12">
        <v>340</v>
      </c>
      <c r="E41" s="7">
        <f t="shared" si="3"/>
        <v>1360</v>
      </c>
      <c r="F41" s="8">
        <f t="shared" si="4"/>
        <v>9520</v>
      </c>
    </row>
    <row r="42" spans="1:6" x14ac:dyDescent="0.25">
      <c r="A42" s="9" t="s">
        <v>119</v>
      </c>
      <c r="B42" s="75">
        <v>7</v>
      </c>
      <c r="C42" s="11">
        <v>13</v>
      </c>
      <c r="D42" s="12">
        <v>250</v>
      </c>
      <c r="E42" s="7">
        <f t="shared" si="3"/>
        <v>3250</v>
      </c>
      <c r="F42" s="8">
        <f t="shared" si="4"/>
        <v>22750</v>
      </c>
    </row>
    <row r="43" spans="1:6" x14ac:dyDescent="0.25">
      <c r="A43" s="9" t="s">
        <v>54</v>
      </c>
      <c r="B43" s="75">
        <v>7</v>
      </c>
      <c r="C43" s="11">
        <v>5</v>
      </c>
      <c r="D43" s="12">
        <v>310</v>
      </c>
      <c r="E43" s="7">
        <f t="shared" si="3"/>
        <v>1550</v>
      </c>
      <c r="F43" s="8">
        <f t="shared" si="4"/>
        <v>10850</v>
      </c>
    </row>
    <row r="44" spans="1:6" x14ac:dyDescent="0.25">
      <c r="A44" s="9" t="s">
        <v>120</v>
      </c>
      <c r="B44" s="75">
        <v>7</v>
      </c>
      <c r="C44" s="11">
        <v>9</v>
      </c>
      <c r="D44" s="12">
        <v>400</v>
      </c>
      <c r="E44" s="7">
        <f t="shared" si="3"/>
        <v>3600</v>
      </c>
      <c r="F44" s="8">
        <f t="shared" si="4"/>
        <v>25200</v>
      </c>
    </row>
    <row r="45" spans="1:6" x14ac:dyDescent="0.25">
      <c r="A45" s="9" t="s">
        <v>25</v>
      </c>
      <c r="B45" s="75">
        <v>7</v>
      </c>
      <c r="C45" s="11">
        <v>15</v>
      </c>
      <c r="D45" s="12">
        <v>200</v>
      </c>
      <c r="E45" s="7">
        <f t="shared" si="3"/>
        <v>3000</v>
      </c>
      <c r="F45" s="8">
        <f t="shared" si="4"/>
        <v>21000</v>
      </c>
    </row>
    <row r="46" spans="1:6" x14ac:dyDescent="0.25">
      <c r="A46" s="9" t="s">
        <v>14</v>
      </c>
      <c r="B46" s="75">
        <v>7</v>
      </c>
      <c r="C46" s="11">
        <v>30</v>
      </c>
      <c r="D46" s="12">
        <v>200</v>
      </c>
      <c r="E46" s="7">
        <f t="shared" si="3"/>
        <v>6000</v>
      </c>
      <c r="F46" s="8">
        <f t="shared" si="4"/>
        <v>42000</v>
      </c>
    </row>
    <row r="47" spans="1:6" x14ac:dyDescent="0.25">
      <c r="A47" s="9" t="s">
        <v>121</v>
      </c>
      <c r="B47" s="75">
        <v>7</v>
      </c>
      <c r="C47" s="11">
        <v>10</v>
      </c>
      <c r="D47" s="12">
        <v>180</v>
      </c>
      <c r="E47" s="7">
        <f t="shared" si="3"/>
        <v>1800</v>
      </c>
      <c r="F47" s="8">
        <f t="shared" si="4"/>
        <v>12600</v>
      </c>
    </row>
    <row r="48" spans="1:6" x14ac:dyDescent="0.25">
      <c r="A48" s="9" t="s">
        <v>122</v>
      </c>
      <c r="B48" s="75">
        <v>7</v>
      </c>
      <c r="C48" s="11">
        <v>3</v>
      </c>
      <c r="D48" s="12">
        <v>250</v>
      </c>
      <c r="E48" s="7">
        <f t="shared" si="3"/>
        <v>750</v>
      </c>
      <c r="F48" s="8">
        <f t="shared" si="4"/>
        <v>5250</v>
      </c>
    </row>
    <row r="49" spans="1:6" x14ac:dyDescent="0.25">
      <c r="A49" s="9" t="s">
        <v>123</v>
      </c>
      <c r="B49" s="75">
        <v>7</v>
      </c>
      <c r="C49" s="11">
        <v>84</v>
      </c>
      <c r="D49" s="12">
        <v>110</v>
      </c>
      <c r="E49" s="7">
        <f t="shared" si="3"/>
        <v>9240</v>
      </c>
      <c r="F49" s="8">
        <f t="shared" si="4"/>
        <v>64680</v>
      </c>
    </row>
    <row r="50" spans="1:6" x14ac:dyDescent="0.25">
      <c r="A50" s="9" t="s">
        <v>27</v>
      </c>
      <c r="B50" s="75">
        <v>7</v>
      </c>
      <c r="C50" s="11">
        <v>700</v>
      </c>
      <c r="D50" s="12">
        <v>28</v>
      </c>
      <c r="E50" s="7">
        <f t="shared" si="3"/>
        <v>19600</v>
      </c>
      <c r="F50" s="8">
        <f t="shared" si="4"/>
        <v>137200</v>
      </c>
    </row>
    <row r="51" spans="1:6" ht="18.75" customHeight="1" x14ac:dyDescent="0.4">
      <c r="A51" s="256"/>
      <c r="B51" s="257"/>
      <c r="C51" s="262" t="s">
        <v>16</v>
      </c>
      <c r="D51" s="262"/>
      <c r="E51" s="48">
        <f>SUM(E33:E50)</f>
        <v>107706</v>
      </c>
      <c r="F51" s="15"/>
    </row>
    <row r="52" spans="1:6" ht="19.5" customHeight="1" thickBot="1" x14ac:dyDescent="0.45">
      <c r="A52" s="258"/>
      <c r="B52" s="259"/>
      <c r="C52" s="263" t="s">
        <v>17</v>
      </c>
      <c r="D52" s="263"/>
      <c r="E52" s="49">
        <f>SUM(F33:F50)</f>
        <v>753942</v>
      </c>
      <c r="F52" s="17"/>
    </row>
    <row r="53" spans="1:6" ht="18.75" customHeight="1" x14ac:dyDescent="0.4">
      <c r="A53" s="258"/>
      <c r="B53" s="259"/>
      <c r="C53" s="264" t="s">
        <v>18</v>
      </c>
      <c r="D53" s="265"/>
      <c r="E53" s="18">
        <v>400000</v>
      </c>
      <c r="F53" s="19"/>
    </row>
    <row r="54" spans="1:6" ht="19.5" customHeight="1" thickBot="1" x14ac:dyDescent="0.45">
      <c r="A54" s="260"/>
      <c r="B54" s="261"/>
      <c r="C54" s="263" t="s">
        <v>17</v>
      </c>
      <c r="D54" s="263"/>
      <c r="E54" s="20">
        <f>E52+E53</f>
        <v>1153942</v>
      </c>
      <c r="F54" s="21"/>
    </row>
    <row r="55" spans="1:6" ht="18.75" x14ac:dyDescent="0.4">
      <c r="A55" t="s">
        <v>171</v>
      </c>
      <c r="B55" s="126">
        <v>5</v>
      </c>
      <c r="C55" s="54">
        <v>7</v>
      </c>
      <c r="D55" s="54">
        <v>300</v>
      </c>
      <c r="E55" s="54">
        <f>C55*D55</f>
        <v>2100</v>
      </c>
      <c r="F55" s="57">
        <f>B55*E55</f>
        <v>10500</v>
      </c>
    </row>
    <row r="56" spans="1:6" ht="18.75" x14ac:dyDescent="0.4">
      <c r="A56" s="54" t="s">
        <v>172</v>
      </c>
      <c r="B56" s="54"/>
      <c r="C56" s="54"/>
      <c r="D56" s="54"/>
      <c r="E56" s="55">
        <f>E54+F55</f>
        <v>1164442</v>
      </c>
    </row>
    <row r="57" spans="1:6" ht="18.75" x14ac:dyDescent="0.4">
      <c r="A57" s="127" t="s">
        <v>39</v>
      </c>
      <c r="B57" s="127"/>
      <c r="C57" s="127"/>
      <c r="D57" s="127"/>
      <c r="E57" s="57">
        <v>1500000</v>
      </c>
    </row>
    <row r="58" spans="1:6" ht="18.75" x14ac:dyDescent="0.4">
      <c r="A58" s="54" t="s">
        <v>173</v>
      </c>
      <c r="B58" s="54"/>
      <c r="C58" s="54"/>
      <c r="D58" s="54"/>
      <c r="E58" s="128">
        <f>E56-E57</f>
        <v>-335558</v>
      </c>
    </row>
  </sheetData>
  <mergeCells count="14">
    <mergeCell ref="A1:J1"/>
    <mergeCell ref="A2:J2"/>
    <mergeCell ref="A3:J3"/>
    <mergeCell ref="A51:B54"/>
    <mergeCell ref="C51:D51"/>
    <mergeCell ref="C52:D52"/>
    <mergeCell ref="C53:D53"/>
    <mergeCell ref="C54:D54"/>
    <mergeCell ref="A28:F28"/>
    <mergeCell ref="A29:F29"/>
    <mergeCell ref="A30:F30"/>
    <mergeCell ref="A31:A32"/>
    <mergeCell ref="B31:D31"/>
    <mergeCell ref="E31:F31"/>
  </mergeCells>
  <hyperlinks>
    <hyperlink ref="A2" r:id="rId1" display="TEL:301204111" xr:uid="{7CDC1D59-BFDA-4589-97C7-5867C6C226B8}"/>
  </hyperlinks>
  <pageMargins left="0.70866141732283472" right="0.70866141732283472" top="0.74803149606299213" bottom="0.74803149606299213" header="0.31496062992125984" footer="0.31496062992125984"/>
  <pageSetup scale="67" orientation="portrait"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94B0D-04D0-4011-8200-166F6A739D45}">
  <dimension ref="A24:F41"/>
  <sheetViews>
    <sheetView topLeftCell="A29" workbookViewId="0">
      <selection activeCell="E42" sqref="E42"/>
    </sheetView>
  </sheetViews>
  <sheetFormatPr baseColWidth="10" defaultRowHeight="15" x14ac:dyDescent="0.25"/>
  <cols>
    <col min="1" max="1" width="24" bestFit="1" customWidth="1"/>
    <col min="5" max="5" width="14.42578125" bestFit="1" customWidth="1"/>
  </cols>
  <sheetData>
    <row r="24" spans="1:6" ht="15.75" thickBot="1" x14ac:dyDescent="0.3"/>
    <row r="25" spans="1:6" x14ac:dyDescent="0.25">
      <c r="A25" s="272" t="s">
        <v>0</v>
      </c>
      <c r="B25" s="273"/>
      <c r="C25" s="273"/>
      <c r="D25" s="273"/>
      <c r="E25" s="273"/>
      <c r="F25" s="274"/>
    </row>
    <row r="26" spans="1:6" x14ac:dyDescent="0.25">
      <c r="A26" s="331" t="s">
        <v>88</v>
      </c>
      <c r="B26" s="332"/>
      <c r="C26" s="332"/>
      <c r="D26" s="332"/>
      <c r="E26" s="332"/>
      <c r="F26" s="333"/>
    </row>
    <row r="27" spans="1:6" ht="18" x14ac:dyDescent="0.25">
      <c r="A27" s="248" t="s">
        <v>89</v>
      </c>
      <c r="B27" s="249"/>
      <c r="C27" s="249"/>
      <c r="D27" s="249"/>
      <c r="E27" s="249"/>
      <c r="F27" s="275"/>
    </row>
    <row r="28" spans="1:6" x14ac:dyDescent="0.25">
      <c r="A28" s="276" t="s">
        <v>3</v>
      </c>
      <c r="B28" s="277" t="s">
        <v>4</v>
      </c>
      <c r="C28" s="277"/>
      <c r="D28" s="277"/>
      <c r="E28" s="277"/>
      <c r="F28" s="278"/>
    </row>
    <row r="29" spans="1:6" x14ac:dyDescent="0.25">
      <c r="A29" s="276"/>
      <c r="B29" s="1" t="s">
        <v>6</v>
      </c>
      <c r="C29" s="1" t="s">
        <v>7</v>
      </c>
      <c r="D29" s="1"/>
      <c r="E29" s="1"/>
      <c r="F29" s="2"/>
    </row>
    <row r="30" spans="1:6" x14ac:dyDescent="0.25">
      <c r="A30" s="9" t="s">
        <v>90</v>
      </c>
      <c r="B30" s="58">
        <v>5</v>
      </c>
      <c r="C30" s="5">
        <v>16</v>
      </c>
      <c r="D30" s="59"/>
      <c r="E30" s="56"/>
      <c r="F30" s="60"/>
    </row>
    <row r="31" spans="1:6" x14ac:dyDescent="0.25">
      <c r="A31" s="3" t="s">
        <v>30</v>
      </c>
      <c r="B31" s="5">
        <v>5</v>
      </c>
      <c r="C31" s="5">
        <v>16</v>
      </c>
      <c r="D31" s="59"/>
      <c r="E31" s="56"/>
      <c r="F31" s="61"/>
    </row>
    <row r="32" spans="1:6" ht="15.75" x14ac:dyDescent="0.25">
      <c r="A32" s="3" t="s">
        <v>91</v>
      </c>
      <c r="B32" s="5">
        <v>5</v>
      </c>
      <c r="C32" s="5">
        <v>8</v>
      </c>
      <c r="D32" s="62" t="s">
        <v>92</v>
      </c>
      <c r="E32" s="63"/>
      <c r="F32" s="61"/>
    </row>
    <row r="33" spans="1:6" ht="15.75" x14ac:dyDescent="0.25">
      <c r="A33" s="3" t="s">
        <v>49</v>
      </c>
      <c r="B33" s="5">
        <v>5</v>
      </c>
      <c r="C33" s="5">
        <v>16</v>
      </c>
      <c r="D33" s="62"/>
      <c r="E33" s="63"/>
      <c r="F33" s="61"/>
    </row>
    <row r="34" spans="1:6" x14ac:dyDescent="0.25">
      <c r="A34" s="9" t="s">
        <v>55</v>
      </c>
      <c r="B34" s="58">
        <v>5</v>
      </c>
      <c r="C34" s="58">
        <v>32</v>
      </c>
      <c r="D34" s="59"/>
      <c r="E34" s="56"/>
      <c r="F34" s="61"/>
    </row>
    <row r="35" spans="1:6" x14ac:dyDescent="0.25">
      <c r="A35" s="9" t="s">
        <v>15</v>
      </c>
      <c r="B35" s="58">
        <v>5</v>
      </c>
      <c r="C35" s="5">
        <v>400</v>
      </c>
      <c r="D35" s="59"/>
      <c r="E35" s="56"/>
      <c r="F35" s="61"/>
    </row>
    <row r="36" spans="1:6" ht="19.5" thickBot="1" x14ac:dyDescent="0.45">
      <c r="A36" s="258" t="s">
        <v>93</v>
      </c>
      <c r="B36" s="259"/>
      <c r="C36" s="263" t="s">
        <v>94</v>
      </c>
      <c r="D36" s="377"/>
      <c r="E36" s="64">
        <v>29040</v>
      </c>
      <c r="F36" s="17"/>
    </row>
    <row r="37" spans="1:6" ht="18.75" x14ac:dyDescent="0.4">
      <c r="A37" s="258"/>
      <c r="B37" s="259"/>
      <c r="C37" s="378" t="s">
        <v>95</v>
      </c>
      <c r="D37" s="378"/>
      <c r="E37" s="65">
        <v>145200</v>
      </c>
      <c r="F37" s="17"/>
    </row>
    <row r="38" spans="1:6" ht="18.75" x14ac:dyDescent="0.3">
      <c r="A38" s="258"/>
      <c r="B38" s="259"/>
      <c r="C38" s="379" t="s">
        <v>18</v>
      </c>
      <c r="D38" s="380"/>
      <c r="E38" s="66">
        <v>120000</v>
      </c>
      <c r="F38" s="17"/>
    </row>
    <row r="39" spans="1:6" ht="19.5" thickBot="1" x14ac:dyDescent="0.35">
      <c r="A39" s="260"/>
      <c r="B39" s="261"/>
      <c r="C39" s="381" t="s">
        <v>96</v>
      </c>
      <c r="D39" s="382"/>
      <c r="E39" s="67">
        <v>265200</v>
      </c>
      <c r="F39" s="21"/>
    </row>
    <row r="40" spans="1:6" x14ac:dyDescent="0.25">
      <c r="A40" t="s">
        <v>97</v>
      </c>
      <c r="E40" s="35">
        <v>500000</v>
      </c>
    </row>
    <row r="41" spans="1:6" x14ac:dyDescent="0.25">
      <c r="A41" t="s">
        <v>42</v>
      </c>
      <c r="E41" s="36">
        <f>E39-E40</f>
        <v>-234800</v>
      </c>
    </row>
  </sheetData>
  <mergeCells count="11">
    <mergeCell ref="A25:F25"/>
    <mergeCell ref="A26:F26"/>
    <mergeCell ref="A27:F27"/>
    <mergeCell ref="A28:A29"/>
    <mergeCell ref="B28:D28"/>
    <mergeCell ref="E28:F28"/>
    <mergeCell ref="A36:B39"/>
    <mergeCell ref="C36:D36"/>
    <mergeCell ref="C37:D37"/>
    <mergeCell ref="C38:D38"/>
    <mergeCell ref="C39:D3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31D0D-420E-4E56-B1B5-ABD53C63BB7D}">
  <dimension ref="A1:H24"/>
  <sheetViews>
    <sheetView tabSelected="1" topLeftCell="A9" workbookViewId="0">
      <selection activeCell="K14" sqref="K14"/>
    </sheetView>
  </sheetViews>
  <sheetFormatPr baseColWidth="10" defaultRowHeight="15" x14ac:dyDescent="0.25"/>
  <cols>
    <col min="1" max="1" width="16.140625" bestFit="1" customWidth="1"/>
    <col min="5" max="5" width="18.42578125" bestFit="1" customWidth="1"/>
  </cols>
  <sheetData>
    <row r="1" spans="1:8" ht="18.75" x14ac:dyDescent="0.3">
      <c r="A1" s="343" t="s">
        <v>441</v>
      </c>
      <c r="B1" s="254"/>
      <c r="C1" s="254"/>
      <c r="D1" s="254"/>
      <c r="E1" s="254"/>
      <c r="F1" s="254"/>
      <c r="G1" s="254"/>
      <c r="H1" s="328"/>
    </row>
    <row r="2" spans="1:8" ht="18.75" x14ac:dyDescent="0.3">
      <c r="A2" s="343" t="s">
        <v>442</v>
      </c>
      <c r="B2" s="254"/>
      <c r="C2" s="254"/>
      <c r="D2" s="254"/>
      <c r="E2" s="254"/>
      <c r="F2" s="254"/>
      <c r="G2" s="254"/>
      <c r="H2" s="328"/>
    </row>
    <row r="3" spans="1:8" x14ac:dyDescent="0.25">
      <c r="A3" s="341" t="s">
        <v>3</v>
      </c>
      <c r="B3" s="100" t="s">
        <v>22</v>
      </c>
      <c r="C3" s="33">
        <v>13323</v>
      </c>
      <c r="D3" s="33"/>
      <c r="E3" s="33"/>
      <c r="F3" s="33"/>
      <c r="G3" s="33"/>
      <c r="H3" s="100" t="s">
        <v>206</v>
      </c>
    </row>
    <row r="4" spans="1:8" x14ac:dyDescent="0.25">
      <c r="A4" s="342"/>
      <c r="B4" s="25">
        <v>46142</v>
      </c>
      <c r="C4" s="25">
        <v>46153</v>
      </c>
      <c r="D4" s="25"/>
      <c r="E4" s="25"/>
      <c r="F4" s="25"/>
      <c r="G4" s="25"/>
      <c r="H4" s="25">
        <v>46172</v>
      </c>
    </row>
    <row r="5" spans="1:8" x14ac:dyDescent="0.25">
      <c r="A5" s="42" t="s">
        <v>55</v>
      </c>
      <c r="B5" s="167">
        <v>31</v>
      </c>
      <c r="C5" s="68"/>
      <c r="D5" s="68"/>
      <c r="E5" s="68"/>
      <c r="F5" s="68"/>
      <c r="G5" s="68"/>
      <c r="H5" s="30">
        <f>SUM( B5:G5)</f>
        <v>31</v>
      </c>
    </row>
    <row r="6" spans="1:8" x14ac:dyDescent="0.25">
      <c r="A6" s="42" t="s">
        <v>27</v>
      </c>
      <c r="B6" s="167">
        <v>500</v>
      </c>
      <c r="C6" s="68">
        <v>-500</v>
      </c>
      <c r="D6" s="68"/>
      <c r="E6" s="68"/>
      <c r="F6" s="68"/>
      <c r="G6" s="68"/>
      <c r="H6" s="30">
        <f t="shared" ref="H6:H7" si="0">SUM( B6:G6)</f>
        <v>0</v>
      </c>
    </row>
    <row r="7" spans="1:8" x14ac:dyDescent="0.25">
      <c r="A7" s="42" t="s">
        <v>14</v>
      </c>
      <c r="B7" s="167">
        <v>5</v>
      </c>
      <c r="C7" s="68"/>
      <c r="D7" s="68"/>
      <c r="E7" s="68"/>
      <c r="F7" s="68"/>
      <c r="G7" s="68"/>
      <c r="H7" s="30">
        <f t="shared" si="0"/>
        <v>5</v>
      </c>
    </row>
    <row r="8" spans="1:8" x14ac:dyDescent="0.25">
      <c r="A8" s="192" t="s">
        <v>273</v>
      </c>
      <c r="B8" s="201"/>
      <c r="C8" s="31">
        <v>0.3576388888888889</v>
      </c>
      <c r="D8" s="31"/>
      <c r="E8" s="31"/>
      <c r="F8" s="31"/>
      <c r="G8" s="31"/>
      <c r="H8" s="33"/>
    </row>
    <row r="9" spans="1:8" x14ac:dyDescent="0.25">
      <c r="A9" s="192" t="s">
        <v>275</v>
      </c>
      <c r="B9" s="392"/>
      <c r="C9" s="393" t="s">
        <v>443</v>
      </c>
      <c r="D9" s="393"/>
      <c r="E9" s="393"/>
      <c r="F9" s="393"/>
      <c r="G9" s="393"/>
      <c r="H9" s="394"/>
    </row>
    <row r="15" spans="1:8" ht="15.75" thickBot="1" x14ac:dyDescent="0.3"/>
    <row r="16" spans="1:8" x14ac:dyDescent="0.25">
      <c r="A16" s="383" t="s">
        <v>437</v>
      </c>
      <c r="B16" s="384"/>
      <c r="C16" s="384"/>
      <c r="D16" s="384"/>
      <c r="E16" s="384"/>
      <c r="F16" s="384"/>
      <c r="G16" s="385"/>
    </row>
    <row r="17" spans="1:7" ht="18" x14ac:dyDescent="0.25">
      <c r="A17" s="269" t="s">
        <v>303</v>
      </c>
      <c r="B17" s="270"/>
      <c r="C17" s="270"/>
      <c r="D17" s="270"/>
      <c r="E17" s="270"/>
      <c r="F17" s="270"/>
      <c r="G17" s="326"/>
    </row>
    <row r="18" spans="1:7" x14ac:dyDescent="0.25">
      <c r="A18" s="386" t="s">
        <v>438</v>
      </c>
      <c r="B18" s="387"/>
      <c r="C18" s="387"/>
      <c r="D18" s="387"/>
      <c r="E18" s="387"/>
      <c r="F18" s="387"/>
      <c r="G18" s="388"/>
    </row>
    <row r="19" spans="1:7" x14ac:dyDescent="0.25">
      <c r="A19" s="276" t="s">
        <v>3</v>
      </c>
      <c r="B19" s="277" t="s">
        <v>4</v>
      </c>
      <c r="C19" s="277"/>
      <c r="D19" s="277"/>
      <c r="E19" s="277" t="s">
        <v>5</v>
      </c>
      <c r="F19" s="277"/>
      <c r="G19" s="327" t="s">
        <v>183</v>
      </c>
    </row>
    <row r="20" spans="1:7" x14ac:dyDescent="0.25">
      <c r="A20" s="276"/>
      <c r="B20" s="1" t="s">
        <v>6</v>
      </c>
      <c r="C20" s="1" t="s">
        <v>7</v>
      </c>
      <c r="D20" s="1" t="s">
        <v>8</v>
      </c>
      <c r="E20" s="1" t="s">
        <v>9</v>
      </c>
      <c r="F20" s="183" t="s">
        <v>292</v>
      </c>
      <c r="G20" s="327"/>
    </row>
    <row r="21" spans="1:7" x14ac:dyDescent="0.25">
      <c r="A21" s="3" t="s">
        <v>133</v>
      </c>
      <c r="B21" s="4">
        <v>31</v>
      </c>
      <c r="C21" s="184">
        <v>31</v>
      </c>
      <c r="D21" s="47">
        <v>90</v>
      </c>
      <c r="E21" s="7">
        <f t="shared" ref="E21:E23" si="1">C21*D21</f>
        <v>2790</v>
      </c>
      <c r="F21" s="7">
        <f t="shared" ref="F21:F23" si="2">B21*E21</f>
        <v>86490</v>
      </c>
      <c r="G21" s="186" t="s">
        <v>303</v>
      </c>
    </row>
    <row r="22" spans="1:7" x14ac:dyDescent="0.25">
      <c r="A22" s="3" t="s">
        <v>15</v>
      </c>
      <c r="B22" s="4">
        <v>10</v>
      </c>
      <c r="C22" s="184">
        <v>500</v>
      </c>
      <c r="D22" s="47">
        <v>30</v>
      </c>
      <c r="E22" s="7">
        <f t="shared" si="1"/>
        <v>15000</v>
      </c>
      <c r="F22" s="7">
        <f t="shared" si="2"/>
        <v>150000</v>
      </c>
      <c r="G22" s="186" t="s">
        <v>444</v>
      </c>
    </row>
    <row r="23" spans="1:7" x14ac:dyDescent="0.25">
      <c r="A23" s="3" t="s">
        <v>439</v>
      </c>
      <c r="B23" s="4">
        <v>31</v>
      </c>
      <c r="C23" s="184">
        <v>5</v>
      </c>
      <c r="D23" s="47">
        <v>160</v>
      </c>
      <c r="E23" s="7">
        <f t="shared" si="1"/>
        <v>800</v>
      </c>
      <c r="F23" s="7">
        <f t="shared" si="2"/>
        <v>24800</v>
      </c>
      <c r="G23" s="186" t="s">
        <v>303</v>
      </c>
    </row>
    <row r="24" spans="1:7" ht="32.25" thickBot="1" x14ac:dyDescent="0.5">
      <c r="A24" s="389"/>
      <c r="B24" s="390"/>
      <c r="C24" s="263" t="s">
        <v>440</v>
      </c>
      <c r="D24" s="263"/>
      <c r="E24" s="391">
        <f>SUM(F21:F23)</f>
        <v>261290</v>
      </c>
      <c r="F24" s="322"/>
      <c r="G24" s="323"/>
    </row>
  </sheetData>
  <mergeCells count="13">
    <mergeCell ref="A24:B24"/>
    <mergeCell ref="C24:D24"/>
    <mergeCell ref="F24:G24"/>
    <mergeCell ref="A1:H1"/>
    <mergeCell ref="A2:H2"/>
    <mergeCell ref="A3:A4"/>
    <mergeCell ref="A16:G16"/>
    <mergeCell ref="A17:G17"/>
    <mergeCell ref="A18:G18"/>
    <mergeCell ref="A19:A20"/>
    <mergeCell ref="B19:D19"/>
    <mergeCell ref="E19:F19"/>
    <mergeCell ref="G19:G20"/>
  </mergeCells>
  <hyperlinks>
    <hyperlink ref="A18" r:id="rId1" display="TEL:3142352448" xr:uid="{ABC34A32-9BC4-4FE0-B838-9AB8D7FEB1FE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A8122-10CE-4560-9C55-AAE629105351}">
  <dimension ref="A1:H84"/>
  <sheetViews>
    <sheetView topLeftCell="A61" workbookViewId="0">
      <selection activeCell="G53" sqref="G53:G54"/>
    </sheetView>
  </sheetViews>
  <sheetFormatPr baseColWidth="10" defaultRowHeight="15" x14ac:dyDescent="0.25"/>
  <cols>
    <col min="1" max="1" width="27" bestFit="1" customWidth="1"/>
    <col min="2" max="2" width="17.140625" customWidth="1"/>
    <col min="6" max="6" width="19.28515625" bestFit="1" customWidth="1"/>
    <col min="7" max="7" width="13.42578125" bestFit="1" customWidth="1"/>
    <col min="8" max="8" width="18" bestFit="1" customWidth="1"/>
  </cols>
  <sheetData>
    <row r="1" spans="1:8" ht="18" x14ac:dyDescent="0.25">
      <c r="A1" s="244" t="s">
        <v>371</v>
      </c>
      <c r="B1" s="245"/>
      <c r="C1" s="245"/>
      <c r="D1" s="245"/>
      <c r="E1" s="245"/>
      <c r="F1" s="245"/>
      <c r="G1" s="245"/>
      <c r="H1" s="246"/>
    </row>
    <row r="2" spans="1:8" x14ac:dyDescent="0.25">
      <c r="A2" s="216" t="s">
        <v>372</v>
      </c>
      <c r="B2" s="217" t="s">
        <v>249</v>
      </c>
      <c r="C2" s="217"/>
      <c r="D2" s="218" t="s">
        <v>373</v>
      </c>
      <c r="E2" s="219" t="s">
        <v>374</v>
      </c>
      <c r="F2" s="217" t="s">
        <v>262</v>
      </c>
      <c r="G2" s="217" t="s">
        <v>375</v>
      </c>
      <c r="H2" s="220" t="s">
        <v>376</v>
      </c>
    </row>
    <row r="3" spans="1:8" x14ac:dyDescent="0.25">
      <c r="A3" s="221" t="s">
        <v>377</v>
      </c>
      <c r="B3" s="222">
        <v>900000</v>
      </c>
      <c r="C3" s="222"/>
      <c r="D3" s="222"/>
      <c r="E3" s="223"/>
      <c r="F3" s="224">
        <f>B3+E3+D3</f>
        <v>900000</v>
      </c>
      <c r="G3" s="225">
        <f t="shared" ref="G3:G4" si="0">F3</f>
        <v>900000</v>
      </c>
      <c r="H3" s="226">
        <f t="shared" ref="H3:H31" si="1">F3-G3</f>
        <v>0</v>
      </c>
    </row>
    <row r="4" spans="1:8" x14ac:dyDescent="0.25">
      <c r="A4" s="221" t="s">
        <v>378</v>
      </c>
      <c r="B4" s="222">
        <v>500000</v>
      </c>
      <c r="C4" s="222"/>
      <c r="D4" s="222"/>
      <c r="E4" s="223"/>
      <c r="F4" s="224">
        <f t="shared" ref="F4:F15" si="2">B4+E4</f>
        <v>500000</v>
      </c>
      <c r="G4" s="225">
        <f t="shared" si="0"/>
        <v>500000</v>
      </c>
      <c r="H4" s="226">
        <f t="shared" si="1"/>
        <v>0</v>
      </c>
    </row>
    <row r="5" spans="1:8" x14ac:dyDescent="0.25">
      <c r="A5" s="221" t="s">
        <v>379</v>
      </c>
      <c r="B5" s="222">
        <v>800000</v>
      </c>
      <c r="C5" s="222"/>
      <c r="D5" s="222"/>
      <c r="E5" s="223"/>
      <c r="F5" s="224">
        <f t="shared" si="2"/>
        <v>800000</v>
      </c>
      <c r="G5" s="225">
        <f>F5</f>
        <v>800000</v>
      </c>
      <c r="H5" s="226">
        <f t="shared" si="1"/>
        <v>0</v>
      </c>
    </row>
    <row r="6" spans="1:8" x14ac:dyDescent="0.25">
      <c r="A6" s="221" t="s">
        <v>380</v>
      </c>
      <c r="B6" s="222">
        <v>300000</v>
      </c>
      <c r="C6" s="222"/>
      <c r="D6" s="222"/>
      <c r="E6" s="223"/>
      <c r="F6" s="227">
        <f t="shared" si="2"/>
        <v>300000</v>
      </c>
      <c r="G6" s="228">
        <f t="shared" ref="G6:G15" si="3">F6</f>
        <v>300000</v>
      </c>
      <c r="H6" s="226">
        <f t="shared" si="1"/>
        <v>0</v>
      </c>
    </row>
    <row r="7" spans="1:8" x14ac:dyDescent="0.25">
      <c r="A7" s="221" t="s">
        <v>381</v>
      </c>
      <c r="B7" s="222">
        <v>20240</v>
      </c>
      <c r="C7" s="222"/>
      <c r="D7" s="222"/>
      <c r="E7" s="223"/>
      <c r="F7" s="227">
        <f t="shared" si="2"/>
        <v>20240</v>
      </c>
      <c r="G7" s="228">
        <f t="shared" si="3"/>
        <v>20240</v>
      </c>
      <c r="H7" s="226">
        <f t="shared" si="1"/>
        <v>0</v>
      </c>
    </row>
    <row r="8" spans="1:8" x14ac:dyDescent="0.25">
      <c r="A8" s="221" t="s">
        <v>382</v>
      </c>
      <c r="B8" s="222">
        <v>200000</v>
      </c>
      <c r="C8" s="222"/>
      <c r="D8" s="222"/>
      <c r="E8" s="223"/>
      <c r="F8" s="227">
        <f t="shared" si="2"/>
        <v>200000</v>
      </c>
      <c r="G8" s="228">
        <f t="shared" si="3"/>
        <v>200000</v>
      </c>
      <c r="H8" s="226">
        <f t="shared" si="1"/>
        <v>0</v>
      </c>
    </row>
    <row r="9" spans="1:8" x14ac:dyDescent="0.25">
      <c r="A9" s="221" t="s">
        <v>383</v>
      </c>
      <c r="B9" s="222">
        <v>333683</v>
      </c>
      <c r="C9" s="222"/>
      <c r="D9" s="222"/>
      <c r="E9" s="223"/>
      <c r="F9" s="227">
        <f t="shared" si="2"/>
        <v>333683</v>
      </c>
      <c r="G9" s="228">
        <f t="shared" si="3"/>
        <v>333683</v>
      </c>
      <c r="H9" s="226">
        <f t="shared" si="1"/>
        <v>0</v>
      </c>
    </row>
    <row r="10" spans="1:8" x14ac:dyDescent="0.25">
      <c r="A10" s="221" t="s">
        <v>384</v>
      </c>
      <c r="B10" s="222">
        <v>25000</v>
      </c>
      <c r="C10" s="222"/>
      <c r="D10" s="222"/>
      <c r="E10" s="223"/>
      <c r="F10" s="227">
        <f t="shared" si="2"/>
        <v>25000</v>
      </c>
      <c r="G10" s="228">
        <f t="shared" si="3"/>
        <v>25000</v>
      </c>
      <c r="H10" s="226">
        <f t="shared" si="1"/>
        <v>0</v>
      </c>
    </row>
    <row r="11" spans="1:8" x14ac:dyDescent="0.25">
      <c r="A11" s="221" t="s">
        <v>385</v>
      </c>
      <c r="B11" s="222">
        <v>300000</v>
      </c>
      <c r="C11" s="222"/>
      <c r="D11" s="222"/>
      <c r="E11" s="223"/>
      <c r="F11" s="227">
        <f t="shared" si="2"/>
        <v>300000</v>
      </c>
      <c r="G11" s="228">
        <f t="shared" si="3"/>
        <v>300000</v>
      </c>
      <c r="H11" s="226">
        <f t="shared" si="1"/>
        <v>0</v>
      </c>
    </row>
    <row r="12" spans="1:8" x14ac:dyDescent="0.25">
      <c r="A12" s="221" t="s">
        <v>386</v>
      </c>
      <c r="B12" s="222">
        <v>314000</v>
      </c>
      <c r="C12" s="222"/>
      <c r="D12" s="222"/>
      <c r="E12" s="223"/>
      <c r="F12" s="227">
        <f t="shared" si="2"/>
        <v>314000</v>
      </c>
      <c r="G12" s="228">
        <f t="shared" si="3"/>
        <v>314000</v>
      </c>
      <c r="H12" s="226">
        <f t="shared" si="1"/>
        <v>0</v>
      </c>
    </row>
    <row r="13" spans="1:8" x14ac:dyDescent="0.25">
      <c r="A13" s="221" t="s">
        <v>387</v>
      </c>
      <c r="B13" s="222">
        <v>1500000</v>
      </c>
      <c r="C13" s="222"/>
      <c r="D13" s="222"/>
      <c r="E13" s="223"/>
      <c r="F13" s="227">
        <f t="shared" si="2"/>
        <v>1500000</v>
      </c>
      <c r="G13" s="228">
        <f t="shared" si="3"/>
        <v>1500000</v>
      </c>
      <c r="H13" s="226">
        <f t="shared" si="1"/>
        <v>0</v>
      </c>
    </row>
    <row r="14" spans="1:8" x14ac:dyDescent="0.25">
      <c r="A14" s="221" t="s">
        <v>388</v>
      </c>
      <c r="B14" s="222">
        <v>20000</v>
      </c>
      <c r="C14" s="222"/>
      <c r="D14" s="222"/>
      <c r="E14" s="223"/>
      <c r="F14" s="227">
        <f t="shared" si="2"/>
        <v>20000</v>
      </c>
      <c r="G14" s="228">
        <f t="shared" si="3"/>
        <v>20000</v>
      </c>
      <c r="H14" s="229">
        <f t="shared" si="1"/>
        <v>0</v>
      </c>
    </row>
    <row r="15" spans="1:8" x14ac:dyDescent="0.25">
      <c r="A15" s="221" t="s">
        <v>389</v>
      </c>
      <c r="B15" s="222">
        <v>55000</v>
      </c>
      <c r="C15" s="222"/>
      <c r="D15" s="222"/>
      <c r="E15" s="223"/>
      <c r="F15" s="227">
        <f t="shared" si="2"/>
        <v>55000</v>
      </c>
      <c r="G15" s="228">
        <f t="shared" si="3"/>
        <v>55000</v>
      </c>
      <c r="H15" s="229">
        <f t="shared" si="1"/>
        <v>0</v>
      </c>
    </row>
    <row r="16" spans="1:8" x14ac:dyDescent="0.25">
      <c r="A16" s="221" t="s">
        <v>390</v>
      </c>
      <c r="B16" s="222">
        <v>22000</v>
      </c>
      <c r="C16" s="222"/>
      <c r="D16" s="222"/>
      <c r="E16" s="223"/>
      <c r="F16" s="227">
        <f>B16+E16</f>
        <v>22000</v>
      </c>
      <c r="G16" s="228">
        <f>F16</f>
        <v>22000</v>
      </c>
      <c r="H16" s="229">
        <f t="shared" si="1"/>
        <v>0</v>
      </c>
    </row>
    <row r="17" spans="1:8" x14ac:dyDescent="0.25">
      <c r="A17" s="221" t="s">
        <v>391</v>
      </c>
      <c r="B17" s="222">
        <v>30000</v>
      </c>
      <c r="C17" s="222"/>
      <c r="D17" s="222"/>
      <c r="E17" s="223"/>
      <c r="F17" s="227">
        <f>B17+E17</f>
        <v>30000</v>
      </c>
      <c r="G17" s="228">
        <f>F17</f>
        <v>30000</v>
      </c>
      <c r="H17" s="229">
        <f t="shared" si="1"/>
        <v>0</v>
      </c>
    </row>
    <row r="18" spans="1:8" x14ac:dyDescent="0.25">
      <c r="A18" s="221" t="s">
        <v>392</v>
      </c>
      <c r="B18" s="222">
        <v>722340</v>
      </c>
      <c r="C18" s="222"/>
      <c r="D18" s="222"/>
      <c r="E18" s="223"/>
      <c r="F18" s="227">
        <f t="shared" ref="F18:F31" si="4">B18+E18</f>
        <v>722340</v>
      </c>
      <c r="G18" s="228">
        <f t="shared" ref="G18:G31" si="5">F18</f>
        <v>722340</v>
      </c>
      <c r="H18" s="229">
        <f t="shared" si="1"/>
        <v>0</v>
      </c>
    </row>
    <row r="19" spans="1:8" x14ac:dyDescent="0.25">
      <c r="A19" s="221" t="s">
        <v>393</v>
      </c>
      <c r="B19" s="222">
        <v>1300000</v>
      </c>
      <c r="C19" s="222"/>
      <c r="D19" s="222"/>
      <c r="E19" s="223"/>
      <c r="F19" s="227">
        <f t="shared" si="4"/>
        <v>1300000</v>
      </c>
      <c r="G19" s="228">
        <f t="shared" si="5"/>
        <v>1300000</v>
      </c>
      <c r="H19" s="229">
        <f t="shared" si="1"/>
        <v>0</v>
      </c>
    </row>
    <row r="20" spans="1:8" x14ac:dyDescent="0.25">
      <c r="A20" s="221" t="s">
        <v>394</v>
      </c>
      <c r="B20" s="222">
        <v>79300</v>
      </c>
      <c r="C20" s="222"/>
      <c r="D20" s="222"/>
      <c r="E20" s="223"/>
      <c r="F20" s="227">
        <f t="shared" si="4"/>
        <v>79300</v>
      </c>
      <c r="G20" s="228">
        <f t="shared" si="5"/>
        <v>79300</v>
      </c>
      <c r="H20" s="229">
        <f t="shared" si="1"/>
        <v>0</v>
      </c>
    </row>
    <row r="21" spans="1:8" x14ac:dyDescent="0.25">
      <c r="A21" s="221" t="s">
        <v>395</v>
      </c>
      <c r="B21" s="222">
        <v>183700</v>
      </c>
      <c r="C21" s="222"/>
      <c r="D21" s="222"/>
      <c r="E21" s="223"/>
      <c r="F21" s="227">
        <f t="shared" si="4"/>
        <v>183700</v>
      </c>
      <c r="G21" s="228">
        <f t="shared" si="5"/>
        <v>183700</v>
      </c>
      <c r="H21" s="229">
        <f t="shared" si="1"/>
        <v>0</v>
      </c>
    </row>
    <row r="22" spans="1:8" x14ac:dyDescent="0.25">
      <c r="A22" s="221" t="s">
        <v>396</v>
      </c>
      <c r="B22" s="222">
        <v>602500</v>
      </c>
      <c r="C22" s="222"/>
      <c r="D22" s="222"/>
      <c r="E22" s="223"/>
      <c r="F22" s="227">
        <f t="shared" si="4"/>
        <v>602500</v>
      </c>
      <c r="G22" s="228">
        <f t="shared" si="5"/>
        <v>602500</v>
      </c>
      <c r="H22" s="229">
        <f t="shared" si="1"/>
        <v>0</v>
      </c>
    </row>
    <row r="23" spans="1:8" x14ac:dyDescent="0.25">
      <c r="A23" s="221" t="s">
        <v>397</v>
      </c>
      <c r="B23" s="222">
        <v>966000</v>
      </c>
      <c r="C23" s="222"/>
      <c r="D23" s="222"/>
      <c r="E23" s="223"/>
      <c r="F23" s="227">
        <f t="shared" si="4"/>
        <v>966000</v>
      </c>
      <c r="G23" s="228">
        <f t="shared" si="5"/>
        <v>966000</v>
      </c>
      <c r="H23" s="229">
        <f t="shared" si="1"/>
        <v>0</v>
      </c>
    </row>
    <row r="24" spans="1:8" x14ac:dyDescent="0.25">
      <c r="A24" s="221" t="s">
        <v>398</v>
      </c>
      <c r="B24" s="222">
        <v>210350</v>
      </c>
      <c r="C24" s="222"/>
      <c r="D24" s="222"/>
      <c r="E24" s="223"/>
      <c r="F24" s="227">
        <f t="shared" si="4"/>
        <v>210350</v>
      </c>
      <c r="G24" s="228">
        <f t="shared" si="5"/>
        <v>210350</v>
      </c>
      <c r="H24" s="229">
        <f t="shared" si="1"/>
        <v>0</v>
      </c>
    </row>
    <row r="25" spans="1:8" x14ac:dyDescent="0.25">
      <c r="A25" s="221" t="s">
        <v>399</v>
      </c>
      <c r="B25" s="222">
        <v>917450</v>
      </c>
      <c r="C25" s="222"/>
      <c r="D25" s="222"/>
      <c r="E25" s="223"/>
      <c r="F25" s="227">
        <f t="shared" si="4"/>
        <v>917450</v>
      </c>
      <c r="G25" s="228">
        <f t="shared" si="5"/>
        <v>917450</v>
      </c>
      <c r="H25" s="229">
        <f t="shared" si="1"/>
        <v>0</v>
      </c>
    </row>
    <row r="26" spans="1:8" x14ac:dyDescent="0.25">
      <c r="A26" s="221" t="s">
        <v>378</v>
      </c>
      <c r="B26" s="222">
        <v>91600</v>
      </c>
      <c r="C26" s="222">
        <v>56000</v>
      </c>
      <c r="D26" s="222">
        <v>126000</v>
      </c>
      <c r="E26" s="223"/>
      <c r="F26" s="227">
        <f>B26+E26+C26+D26</f>
        <v>273600</v>
      </c>
      <c r="G26" s="228">
        <f t="shared" si="5"/>
        <v>273600</v>
      </c>
      <c r="H26" s="229">
        <f t="shared" si="1"/>
        <v>0</v>
      </c>
    </row>
    <row r="27" spans="1:8" x14ac:dyDescent="0.25">
      <c r="A27" s="221" t="s">
        <v>400</v>
      </c>
      <c r="B27" s="222">
        <v>687000</v>
      </c>
      <c r="C27" s="222"/>
      <c r="D27" s="222"/>
      <c r="E27" s="223"/>
      <c r="F27" s="227">
        <f t="shared" si="4"/>
        <v>687000</v>
      </c>
      <c r="G27" s="228">
        <f t="shared" si="5"/>
        <v>687000</v>
      </c>
      <c r="H27" s="229">
        <f t="shared" si="1"/>
        <v>0</v>
      </c>
    </row>
    <row r="28" spans="1:8" x14ac:dyDescent="0.25">
      <c r="A28" s="221" t="s">
        <v>401</v>
      </c>
      <c r="B28" s="222">
        <v>7500</v>
      </c>
      <c r="C28" s="222"/>
      <c r="D28" s="222"/>
      <c r="E28" s="223"/>
      <c r="F28" s="227">
        <f t="shared" si="4"/>
        <v>7500</v>
      </c>
      <c r="G28" s="228">
        <f t="shared" si="5"/>
        <v>7500</v>
      </c>
      <c r="H28" s="229">
        <f t="shared" si="1"/>
        <v>0</v>
      </c>
    </row>
    <row r="29" spans="1:8" x14ac:dyDescent="0.25">
      <c r="A29" s="221" t="s">
        <v>402</v>
      </c>
      <c r="B29" s="222">
        <v>46400</v>
      </c>
      <c r="C29" s="222"/>
      <c r="D29" s="222"/>
      <c r="E29" s="223"/>
      <c r="F29" s="227">
        <f t="shared" si="4"/>
        <v>46400</v>
      </c>
      <c r="G29" s="228">
        <f t="shared" si="5"/>
        <v>46400</v>
      </c>
      <c r="H29" s="229">
        <f t="shared" si="1"/>
        <v>0</v>
      </c>
    </row>
    <row r="30" spans="1:8" x14ac:dyDescent="0.25">
      <c r="A30" s="221" t="s">
        <v>403</v>
      </c>
      <c r="B30" s="222">
        <v>30000</v>
      </c>
      <c r="C30" s="222"/>
      <c r="D30" s="222"/>
      <c r="E30" s="223"/>
      <c r="F30" s="227">
        <f t="shared" si="4"/>
        <v>30000</v>
      </c>
      <c r="G30" s="228">
        <f t="shared" si="5"/>
        <v>30000</v>
      </c>
      <c r="H30" s="229">
        <f t="shared" si="1"/>
        <v>0</v>
      </c>
    </row>
    <row r="31" spans="1:8" x14ac:dyDescent="0.25">
      <c r="A31" s="221" t="s">
        <v>404</v>
      </c>
      <c r="B31" s="222">
        <v>112000</v>
      </c>
      <c r="C31" s="222"/>
      <c r="D31" s="222"/>
      <c r="E31" s="223"/>
      <c r="F31" s="227">
        <f t="shared" si="4"/>
        <v>112000</v>
      </c>
      <c r="G31" s="228">
        <f t="shared" si="5"/>
        <v>112000</v>
      </c>
      <c r="H31" s="229">
        <f t="shared" si="1"/>
        <v>0</v>
      </c>
    </row>
    <row r="32" spans="1:8" ht="15.75" thickBot="1" x14ac:dyDescent="0.3">
      <c r="A32" s="230"/>
      <c r="B32" s="231"/>
      <c r="C32" s="231"/>
      <c r="D32" s="231"/>
      <c r="E32" s="231"/>
      <c r="F32" s="232">
        <f>SUM(F3:F31)</f>
        <v>11458063</v>
      </c>
      <c r="G32" s="233">
        <f>SUM(G3:G31)</f>
        <v>11458063</v>
      </c>
      <c r="H32" s="234">
        <f>SUM(H3:H25)</f>
        <v>0</v>
      </c>
    </row>
    <row r="33" spans="1:8" x14ac:dyDescent="0.25">
      <c r="A33" s="235" t="s">
        <v>405</v>
      </c>
      <c r="F33" s="236"/>
      <c r="H33" s="37"/>
    </row>
    <row r="34" spans="1:8" x14ac:dyDescent="0.25">
      <c r="A34" s="235" t="s">
        <v>406</v>
      </c>
      <c r="F34" s="236"/>
      <c r="H34" s="37"/>
    </row>
    <row r="35" spans="1:8" x14ac:dyDescent="0.25">
      <c r="A35" s="235" t="s">
        <v>407</v>
      </c>
      <c r="F35" s="236"/>
      <c r="H35" s="37"/>
    </row>
    <row r="36" spans="1:8" x14ac:dyDescent="0.25">
      <c r="A36" s="235" t="s">
        <v>408</v>
      </c>
      <c r="F36" s="236"/>
      <c r="H36" s="37"/>
    </row>
    <row r="37" spans="1:8" ht="18.75" x14ac:dyDescent="0.4">
      <c r="A37" s="237" t="s">
        <v>409</v>
      </c>
      <c r="F37" s="238">
        <f>SUM(F33:F36)</f>
        <v>0</v>
      </c>
      <c r="G37" s="36"/>
    </row>
    <row r="38" spans="1:8" ht="18.75" x14ac:dyDescent="0.4">
      <c r="A38" s="237" t="s">
        <v>410</v>
      </c>
      <c r="F38" s="239">
        <v>2000000</v>
      </c>
      <c r="G38" s="36"/>
    </row>
    <row r="39" spans="1:8" ht="18.75" x14ac:dyDescent="0.4">
      <c r="A39" s="237" t="s">
        <v>411</v>
      </c>
      <c r="F39" s="240"/>
      <c r="G39" s="36"/>
    </row>
    <row r="40" spans="1:8" ht="18.75" x14ac:dyDescent="0.4">
      <c r="A40" s="237" t="s">
        <v>411</v>
      </c>
      <c r="F40" s="240"/>
      <c r="G40" s="36"/>
    </row>
    <row r="41" spans="1:8" ht="18.75" x14ac:dyDescent="0.4">
      <c r="A41" s="237" t="s">
        <v>412</v>
      </c>
      <c r="F41" s="238">
        <f>SUM(F38:F40)</f>
        <v>2000000</v>
      </c>
      <c r="G41" s="36"/>
    </row>
    <row r="42" spans="1:8" ht="18.75" x14ac:dyDescent="0.4">
      <c r="A42" s="247" t="s">
        <v>413</v>
      </c>
      <c r="B42" s="247"/>
      <c r="C42" s="247"/>
      <c r="D42" s="247"/>
      <c r="E42" s="54"/>
      <c r="F42" s="241">
        <f>G32+F37+F41</f>
        <v>13458063</v>
      </c>
    </row>
    <row r="45" spans="1:8" ht="15.75" thickBot="1" x14ac:dyDescent="0.3"/>
    <row r="46" spans="1:8" ht="18" x14ac:dyDescent="0.25">
      <c r="A46" s="244" t="s">
        <v>414</v>
      </c>
      <c r="B46" s="245"/>
      <c r="C46" s="245"/>
      <c r="D46" s="245"/>
      <c r="E46" s="245"/>
      <c r="F46" s="245"/>
      <c r="G46" s="245"/>
      <c r="H46" s="246"/>
    </row>
    <row r="47" spans="1:8" x14ac:dyDescent="0.25">
      <c r="A47" s="216" t="s">
        <v>372</v>
      </c>
      <c r="B47" s="217" t="s">
        <v>249</v>
      </c>
      <c r="C47" s="217"/>
      <c r="D47" s="218" t="s">
        <v>373</v>
      </c>
      <c r="E47" s="219" t="s">
        <v>374</v>
      </c>
      <c r="F47" s="217" t="s">
        <v>262</v>
      </c>
      <c r="G47" s="217" t="s">
        <v>375</v>
      </c>
      <c r="H47" s="220" t="s">
        <v>415</v>
      </c>
    </row>
    <row r="48" spans="1:8" x14ac:dyDescent="0.25">
      <c r="A48" s="221" t="s">
        <v>385</v>
      </c>
      <c r="B48" s="222">
        <f>387000+18000</f>
        <v>405000</v>
      </c>
      <c r="C48" s="222"/>
      <c r="D48" s="222"/>
      <c r="E48" s="223"/>
      <c r="F48" s="224">
        <f>B48+E48+D48</f>
        <v>405000</v>
      </c>
      <c r="G48" s="242">
        <f t="shared" ref="G48:G49" si="6">F48</f>
        <v>405000</v>
      </c>
      <c r="H48" s="226">
        <f t="shared" ref="H48:H73" si="7">F48-G48</f>
        <v>0</v>
      </c>
    </row>
    <row r="49" spans="1:8" x14ac:dyDescent="0.25">
      <c r="A49" s="221" t="s">
        <v>417</v>
      </c>
      <c r="B49" s="222">
        <v>135000</v>
      </c>
      <c r="C49" s="222"/>
      <c r="D49" s="222"/>
      <c r="E49" s="223"/>
      <c r="F49" s="224">
        <f t="shared" ref="F49:F61" si="8">B49+E49</f>
        <v>135000</v>
      </c>
      <c r="G49" s="242">
        <f t="shared" si="6"/>
        <v>135000</v>
      </c>
      <c r="H49" s="226">
        <f t="shared" si="7"/>
        <v>0</v>
      </c>
    </row>
    <row r="50" spans="1:8" x14ac:dyDescent="0.25">
      <c r="A50" s="221" t="s">
        <v>418</v>
      </c>
      <c r="B50" s="222">
        <v>180000</v>
      </c>
      <c r="C50" s="222"/>
      <c r="D50" s="222"/>
      <c r="E50" s="223"/>
      <c r="F50" s="224">
        <f t="shared" si="8"/>
        <v>180000</v>
      </c>
      <c r="G50" s="242">
        <f>F50</f>
        <v>180000</v>
      </c>
      <c r="H50" s="226">
        <f t="shared" si="7"/>
        <v>0</v>
      </c>
    </row>
    <row r="51" spans="1:8" x14ac:dyDescent="0.25">
      <c r="A51" s="221" t="s">
        <v>419</v>
      </c>
      <c r="B51" s="222">
        <v>77750</v>
      </c>
      <c r="C51" s="222"/>
      <c r="D51" s="222"/>
      <c r="E51" s="223"/>
      <c r="F51" s="227">
        <f t="shared" si="8"/>
        <v>77750</v>
      </c>
      <c r="G51" s="243">
        <f t="shared" ref="G51:G61" si="9">F51</f>
        <v>77750</v>
      </c>
      <c r="H51" s="226">
        <f t="shared" si="7"/>
        <v>0</v>
      </c>
    </row>
    <row r="52" spans="1:8" x14ac:dyDescent="0.25">
      <c r="A52" s="221" t="s">
        <v>420</v>
      </c>
      <c r="B52" s="222">
        <v>781740</v>
      </c>
      <c r="C52" s="222"/>
      <c r="D52" s="222"/>
      <c r="E52" s="223"/>
      <c r="F52" s="227">
        <f t="shared" si="8"/>
        <v>781740</v>
      </c>
      <c r="G52" s="243">
        <f t="shared" si="9"/>
        <v>781740</v>
      </c>
      <c r="H52" s="226">
        <f t="shared" si="7"/>
        <v>0</v>
      </c>
    </row>
    <row r="53" spans="1:8" x14ac:dyDescent="0.25">
      <c r="A53" s="221" t="s">
        <v>421</v>
      </c>
      <c r="B53" s="222">
        <v>400000</v>
      </c>
      <c r="C53" s="222"/>
      <c r="D53" s="222"/>
      <c r="E53" s="223"/>
      <c r="F53" s="227">
        <f t="shared" si="8"/>
        <v>400000</v>
      </c>
      <c r="G53" s="243">
        <f t="shared" si="9"/>
        <v>400000</v>
      </c>
      <c r="H53" s="226">
        <f t="shared" si="7"/>
        <v>0</v>
      </c>
    </row>
    <row r="54" spans="1:8" x14ac:dyDescent="0.25">
      <c r="A54" s="221" t="s">
        <v>422</v>
      </c>
      <c r="B54" s="222">
        <v>250000</v>
      </c>
      <c r="C54" s="222"/>
      <c r="D54" s="222"/>
      <c r="E54" s="223"/>
      <c r="F54" s="227">
        <f t="shared" si="8"/>
        <v>250000</v>
      </c>
      <c r="G54" s="228">
        <f t="shared" si="9"/>
        <v>250000</v>
      </c>
      <c r="H54" s="226">
        <f t="shared" si="7"/>
        <v>0</v>
      </c>
    </row>
    <row r="55" spans="1:8" x14ac:dyDescent="0.25">
      <c r="A55" s="221" t="s">
        <v>423</v>
      </c>
      <c r="B55" s="222">
        <v>300000</v>
      </c>
      <c r="C55" s="222"/>
      <c r="D55" s="222"/>
      <c r="E55" s="223"/>
      <c r="F55" s="227">
        <f t="shared" si="8"/>
        <v>300000</v>
      </c>
      <c r="G55" s="228">
        <f t="shared" si="9"/>
        <v>300000</v>
      </c>
      <c r="H55" s="226">
        <f t="shared" si="7"/>
        <v>0</v>
      </c>
    </row>
    <row r="56" spans="1:8" x14ac:dyDescent="0.25">
      <c r="A56" s="221" t="s">
        <v>436</v>
      </c>
      <c r="B56" s="222">
        <v>300000</v>
      </c>
      <c r="C56" s="222"/>
      <c r="D56" s="222"/>
      <c r="E56" s="223"/>
      <c r="F56" s="227">
        <f t="shared" si="8"/>
        <v>300000</v>
      </c>
      <c r="G56" s="228">
        <f t="shared" si="9"/>
        <v>300000</v>
      </c>
      <c r="H56" s="226">
        <f t="shared" si="7"/>
        <v>0</v>
      </c>
    </row>
    <row r="57" spans="1:8" x14ac:dyDescent="0.25">
      <c r="A57" s="221" t="s">
        <v>99</v>
      </c>
      <c r="B57" s="222">
        <v>500000</v>
      </c>
      <c r="C57" s="222"/>
      <c r="D57" s="222"/>
      <c r="E57" s="223"/>
      <c r="F57" s="227">
        <f t="shared" si="8"/>
        <v>500000</v>
      </c>
      <c r="G57" s="228">
        <f t="shared" si="9"/>
        <v>500000</v>
      </c>
      <c r="H57" s="226">
        <f t="shared" si="7"/>
        <v>0</v>
      </c>
    </row>
    <row r="58" spans="1:8" x14ac:dyDescent="0.25">
      <c r="A58" s="221" t="s">
        <v>424</v>
      </c>
      <c r="B58" s="222">
        <v>50000</v>
      </c>
      <c r="C58" s="222"/>
      <c r="D58" s="222"/>
      <c r="E58" s="223"/>
      <c r="F58" s="227">
        <f t="shared" si="8"/>
        <v>50000</v>
      </c>
      <c r="G58" s="228">
        <f t="shared" si="9"/>
        <v>50000</v>
      </c>
      <c r="H58" s="226">
        <f t="shared" si="7"/>
        <v>0</v>
      </c>
    </row>
    <row r="59" spans="1:8" x14ac:dyDescent="0.25">
      <c r="A59" s="221" t="s">
        <v>425</v>
      </c>
      <c r="B59" s="222">
        <v>89000</v>
      </c>
      <c r="C59" s="222"/>
      <c r="D59" s="222"/>
      <c r="E59" s="223"/>
      <c r="F59" s="227">
        <f t="shared" si="8"/>
        <v>89000</v>
      </c>
      <c r="G59" s="228">
        <f t="shared" si="9"/>
        <v>89000</v>
      </c>
      <c r="H59" s="226">
        <f t="shared" si="7"/>
        <v>0</v>
      </c>
    </row>
    <row r="60" spans="1:8" x14ac:dyDescent="0.25">
      <c r="A60" s="221" t="s">
        <v>426</v>
      </c>
      <c r="B60" s="222">
        <v>407000</v>
      </c>
      <c r="C60" s="222"/>
      <c r="D60" s="222"/>
      <c r="E60" s="223"/>
      <c r="F60" s="227">
        <f t="shared" si="8"/>
        <v>407000</v>
      </c>
      <c r="G60" s="228">
        <f t="shared" si="9"/>
        <v>407000</v>
      </c>
      <c r="H60" s="229">
        <f t="shared" si="7"/>
        <v>0</v>
      </c>
    </row>
    <row r="61" spans="1:8" x14ac:dyDescent="0.25">
      <c r="A61" s="221" t="s">
        <v>427</v>
      </c>
      <c r="B61" s="222">
        <v>352000</v>
      </c>
      <c r="C61" s="222"/>
      <c r="D61" s="222"/>
      <c r="E61" s="223"/>
      <c r="F61" s="227">
        <f t="shared" si="8"/>
        <v>352000</v>
      </c>
      <c r="G61" s="228">
        <f t="shared" si="9"/>
        <v>352000</v>
      </c>
      <c r="H61" s="229">
        <f t="shared" si="7"/>
        <v>0</v>
      </c>
    </row>
    <row r="62" spans="1:8" x14ac:dyDescent="0.25">
      <c r="A62" s="221" t="s">
        <v>396</v>
      </c>
      <c r="B62" s="222">
        <v>302000</v>
      </c>
      <c r="C62" s="222"/>
      <c r="D62" s="222"/>
      <c r="E62" s="223"/>
      <c r="F62" s="227">
        <f>B62+E62</f>
        <v>302000</v>
      </c>
      <c r="G62" s="228">
        <f>F62</f>
        <v>302000</v>
      </c>
      <c r="H62" s="229">
        <f t="shared" si="7"/>
        <v>0</v>
      </c>
    </row>
    <row r="63" spans="1:8" x14ac:dyDescent="0.25">
      <c r="A63" s="221" t="s">
        <v>428</v>
      </c>
      <c r="B63" s="222">
        <v>30000</v>
      </c>
      <c r="C63" s="222"/>
      <c r="D63" s="222"/>
      <c r="E63" s="223"/>
      <c r="F63" s="227">
        <f>B63+E63</f>
        <v>30000</v>
      </c>
      <c r="G63" s="228">
        <f>F63</f>
        <v>30000</v>
      </c>
      <c r="H63" s="229">
        <f t="shared" si="7"/>
        <v>0</v>
      </c>
    </row>
    <row r="64" spans="1:8" x14ac:dyDescent="0.25">
      <c r="A64" s="221" t="s">
        <v>429</v>
      </c>
      <c r="B64" s="222">
        <v>1500000</v>
      </c>
      <c r="C64" s="222"/>
      <c r="D64" s="222"/>
      <c r="E64" s="223"/>
      <c r="F64" s="227">
        <f t="shared" ref="F64:F71" si="10">B64+E64</f>
        <v>1500000</v>
      </c>
      <c r="G64" s="228">
        <f t="shared" ref="G64:G73" si="11">F64</f>
        <v>1500000</v>
      </c>
      <c r="H64" s="229">
        <f t="shared" si="7"/>
        <v>0</v>
      </c>
    </row>
    <row r="65" spans="1:8" x14ac:dyDescent="0.25">
      <c r="A65" s="221" t="s">
        <v>430</v>
      </c>
      <c r="B65" s="222">
        <v>93000</v>
      </c>
      <c r="C65" s="222"/>
      <c r="D65" s="222"/>
      <c r="E65" s="223"/>
      <c r="F65" s="227">
        <f t="shared" si="10"/>
        <v>93000</v>
      </c>
      <c r="G65" s="228">
        <f t="shared" si="11"/>
        <v>93000</v>
      </c>
      <c r="H65" s="229">
        <f t="shared" si="7"/>
        <v>0</v>
      </c>
    </row>
    <row r="66" spans="1:8" x14ac:dyDescent="0.25">
      <c r="A66" s="221" t="s">
        <v>421</v>
      </c>
      <c r="B66" s="222">
        <v>171200</v>
      </c>
      <c r="C66" s="222"/>
      <c r="D66" s="222"/>
      <c r="E66" s="223"/>
      <c r="F66" s="227">
        <f t="shared" si="10"/>
        <v>171200</v>
      </c>
      <c r="G66" s="228">
        <f t="shared" si="11"/>
        <v>171200</v>
      </c>
      <c r="H66" s="229">
        <f t="shared" si="7"/>
        <v>0</v>
      </c>
    </row>
    <row r="67" spans="1:8" x14ac:dyDescent="0.25">
      <c r="A67" s="221" t="s">
        <v>431</v>
      </c>
      <c r="B67" s="222">
        <v>388400</v>
      </c>
      <c r="C67" s="222"/>
      <c r="D67" s="222"/>
      <c r="E67" s="223"/>
      <c r="F67" s="227">
        <f t="shared" si="10"/>
        <v>388400</v>
      </c>
      <c r="G67" s="228">
        <f t="shared" si="11"/>
        <v>388400</v>
      </c>
      <c r="H67" s="229">
        <f t="shared" si="7"/>
        <v>0</v>
      </c>
    </row>
    <row r="68" spans="1:8" x14ac:dyDescent="0.25">
      <c r="A68" s="221" t="s">
        <v>432</v>
      </c>
      <c r="B68" s="222">
        <v>100000</v>
      </c>
      <c r="C68" s="222"/>
      <c r="D68" s="222"/>
      <c r="E68" s="223"/>
      <c r="F68" s="227">
        <f t="shared" si="10"/>
        <v>100000</v>
      </c>
      <c r="G68" s="228">
        <f t="shared" si="11"/>
        <v>100000</v>
      </c>
      <c r="H68" s="229">
        <f t="shared" si="7"/>
        <v>0</v>
      </c>
    </row>
    <row r="69" spans="1:8" x14ac:dyDescent="0.25">
      <c r="A69" s="221" t="s">
        <v>402</v>
      </c>
      <c r="B69" s="222">
        <v>500000</v>
      </c>
      <c r="C69" s="222"/>
      <c r="D69" s="222"/>
      <c r="E69" s="223"/>
      <c r="F69" s="227">
        <f t="shared" si="10"/>
        <v>500000</v>
      </c>
      <c r="G69" s="228">
        <f t="shared" si="11"/>
        <v>500000</v>
      </c>
      <c r="H69" s="229">
        <f t="shared" si="7"/>
        <v>0</v>
      </c>
    </row>
    <row r="70" spans="1:8" x14ac:dyDescent="0.25">
      <c r="A70" s="221" t="s">
        <v>398</v>
      </c>
      <c r="B70" s="222">
        <v>690000</v>
      </c>
      <c r="C70" s="222"/>
      <c r="D70" s="222"/>
      <c r="E70" s="223"/>
      <c r="F70" s="227">
        <f t="shared" si="10"/>
        <v>690000</v>
      </c>
      <c r="G70" s="228">
        <f t="shared" si="11"/>
        <v>690000</v>
      </c>
      <c r="H70" s="229">
        <f t="shared" si="7"/>
        <v>0</v>
      </c>
    </row>
    <row r="71" spans="1:8" x14ac:dyDescent="0.25">
      <c r="A71" s="221" t="s">
        <v>433</v>
      </c>
      <c r="B71" s="222">
        <v>25000</v>
      </c>
      <c r="C71" s="222"/>
      <c r="D71" s="222"/>
      <c r="E71" s="223"/>
      <c r="F71" s="227">
        <f t="shared" si="10"/>
        <v>25000</v>
      </c>
      <c r="G71" s="228">
        <f t="shared" si="11"/>
        <v>25000</v>
      </c>
      <c r="H71" s="229">
        <f t="shared" si="7"/>
        <v>0</v>
      </c>
    </row>
    <row r="72" spans="1:8" x14ac:dyDescent="0.25">
      <c r="A72" s="221" t="s">
        <v>434</v>
      </c>
      <c r="B72" s="222">
        <v>445000</v>
      </c>
      <c r="C72" s="222"/>
      <c r="D72" s="222"/>
      <c r="E72" s="223"/>
      <c r="F72" s="227">
        <f t="shared" ref="F72:F73" si="12">B72+E72</f>
        <v>445000</v>
      </c>
      <c r="G72" s="228">
        <f t="shared" si="11"/>
        <v>445000</v>
      </c>
      <c r="H72" s="229">
        <f t="shared" si="7"/>
        <v>0</v>
      </c>
    </row>
    <row r="73" spans="1:8" x14ac:dyDescent="0.25">
      <c r="A73" s="221" t="s">
        <v>435</v>
      </c>
      <c r="B73" s="222">
        <v>617000</v>
      </c>
      <c r="C73" s="222"/>
      <c r="D73" s="222"/>
      <c r="E73" s="223"/>
      <c r="F73" s="227">
        <f t="shared" si="12"/>
        <v>617000</v>
      </c>
      <c r="G73" s="228">
        <f t="shared" si="11"/>
        <v>617000</v>
      </c>
      <c r="H73" s="229">
        <f t="shared" si="7"/>
        <v>0</v>
      </c>
    </row>
    <row r="74" spans="1:8" ht="15.75" thickBot="1" x14ac:dyDescent="0.3">
      <c r="A74" s="230"/>
      <c r="B74" s="231"/>
      <c r="C74" s="231"/>
      <c r="D74" s="231"/>
      <c r="E74" s="231"/>
      <c r="F74" s="232">
        <f>SUM(F48:F73)</f>
        <v>9089090</v>
      </c>
      <c r="G74" s="233">
        <f>SUM(G48:G73)</f>
        <v>9089090</v>
      </c>
      <c r="H74" s="234">
        <f>SUM(H48:H71)</f>
        <v>0</v>
      </c>
    </row>
    <row r="75" spans="1:8" x14ac:dyDescent="0.25">
      <c r="A75" s="235" t="s">
        <v>405</v>
      </c>
      <c r="F75" s="236"/>
      <c r="H75" s="37"/>
    </row>
    <row r="76" spans="1:8" x14ac:dyDescent="0.25">
      <c r="A76" s="235" t="s">
        <v>406</v>
      </c>
      <c r="F76" s="236"/>
      <c r="H76" s="37"/>
    </row>
    <row r="77" spans="1:8" x14ac:dyDescent="0.25">
      <c r="A77" s="235" t="s">
        <v>407</v>
      </c>
      <c r="F77" s="236"/>
      <c r="H77" s="37"/>
    </row>
    <row r="78" spans="1:8" x14ac:dyDescent="0.25">
      <c r="A78" s="235" t="s">
        <v>408</v>
      </c>
      <c r="F78" s="236"/>
      <c r="H78" s="37"/>
    </row>
    <row r="79" spans="1:8" ht="18.75" x14ac:dyDescent="0.4">
      <c r="A79" s="237" t="s">
        <v>409</v>
      </c>
      <c r="F79" s="238">
        <f>SUM(F75:F78)</f>
        <v>0</v>
      </c>
      <c r="G79" s="36"/>
    </row>
    <row r="80" spans="1:8" ht="18.75" x14ac:dyDescent="0.4">
      <c r="A80" s="237" t="s">
        <v>410</v>
      </c>
      <c r="F80" s="239">
        <v>1200000</v>
      </c>
      <c r="G80" s="36"/>
    </row>
    <row r="81" spans="1:7" ht="18.75" x14ac:dyDescent="0.4">
      <c r="A81" s="237" t="s">
        <v>411</v>
      </c>
      <c r="F81" s="240"/>
      <c r="G81" s="36"/>
    </row>
    <row r="82" spans="1:7" ht="18.75" x14ac:dyDescent="0.4">
      <c r="A82" s="237" t="s">
        <v>411</v>
      </c>
      <c r="F82" s="240"/>
      <c r="G82" s="36"/>
    </row>
    <row r="83" spans="1:7" ht="18.75" x14ac:dyDescent="0.4">
      <c r="A83" s="237" t="s">
        <v>412</v>
      </c>
      <c r="F83" s="238">
        <f>SUM(F80:F82)</f>
        <v>1200000</v>
      </c>
      <c r="G83" s="36"/>
    </row>
    <row r="84" spans="1:7" ht="18.75" x14ac:dyDescent="0.4">
      <c r="A84" s="247" t="s">
        <v>416</v>
      </c>
      <c r="B84" s="247"/>
      <c r="C84" s="247"/>
      <c r="D84" s="247"/>
      <c r="E84" s="54"/>
      <c r="F84" s="241">
        <f>G74+F79+F83</f>
        <v>10289090</v>
      </c>
    </row>
  </sheetData>
  <mergeCells count="4">
    <mergeCell ref="A1:H1"/>
    <mergeCell ref="A42:D42"/>
    <mergeCell ref="A46:H46"/>
    <mergeCell ref="A84:D8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MAESTRO RIGO</vt:lpstr>
      <vt:lpstr>MAESTRO JOSE SILVA</vt:lpstr>
      <vt:lpstr>ANDREI CADENA</vt:lpstr>
      <vt:lpstr>ROSA VARGAS</vt:lpstr>
      <vt:lpstr>ADRIAN BRAVO</vt:lpstr>
      <vt:lpstr>ALQUIOBRAS</vt:lpstr>
      <vt:lpstr>MAESTRO VIDAL</vt:lpstr>
      <vt:lpstr>ELIAS RIOS</vt:lpstr>
      <vt:lpstr>JHON JIMENEZ</vt:lpstr>
      <vt:lpstr>CLAUDIA JEREZ</vt:lpstr>
      <vt:lpstr>DANIELA</vt:lpstr>
      <vt:lpstr>WILMER RONDON</vt:lpstr>
      <vt:lpstr>POLIMYS</vt:lpstr>
      <vt:lpstr>ALQUILER NO FISCALMAYO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Jaimes</dc:creator>
  <cp:lastModifiedBy>Jimmy Jaimes</cp:lastModifiedBy>
  <cp:lastPrinted>2026-07-08T21:40:11Z</cp:lastPrinted>
  <dcterms:created xsi:type="dcterms:W3CDTF">2015-06-05T18:19:34Z</dcterms:created>
  <dcterms:modified xsi:type="dcterms:W3CDTF">2026-07-27T18:52:46Z</dcterms:modified>
</cp:coreProperties>
</file>
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anus.EQUIORIENTE\Desktop\Gerencia\DOCUMENTOS EMPRESA\DOCUMENTOS EMPRESA\EQUIORIENTE\FACTURACION\2026\MAYO 2026\"/>
    </mc:Choice>
  </mc:AlternateContent>
  <xr:revisionPtr revIDLastSave="0" documentId="13_ncr:1_{C022E41A-344D-4886-B838-D536FF0AB27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EJIDO ARQUITECTONICO" sheetId="1" r:id="rId1"/>
    <sheet name="CICOM INGENIERIA" sheetId="2" r:id="rId2"/>
    <sheet name="CONSORCIO LA VICTORIA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1" i="2" l="1"/>
  <c r="E170" i="2"/>
  <c r="D172" i="2"/>
  <c r="B167" i="2"/>
  <c r="D166" i="2"/>
  <c r="D165" i="2"/>
  <c r="E154" i="2"/>
  <c r="F154" i="2" s="1"/>
  <c r="E152" i="2"/>
  <c r="F152" i="2" s="1"/>
  <c r="E151" i="2"/>
  <c r="F151" i="2" s="1"/>
  <c r="E147" i="2"/>
  <c r="F147" i="2" s="1"/>
  <c r="E145" i="2"/>
  <c r="F145" i="2" s="1"/>
  <c r="E142" i="2"/>
  <c r="F142" i="2" s="1"/>
  <c r="E140" i="2"/>
  <c r="F140" i="2" s="1"/>
  <c r="E139" i="2"/>
  <c r="F139" i="2" s="1"/>
  <c r="E136" i="2"/>
  <c r="F136" i="2" s="1"/>
  <c r="E137" i="2"/>
  <c r="F137" i="2" s="1"/>
  <c r="E153" i="2"/>
  <c r="F153" i="2" s="1"/>
  <c r="E150" i="2"/>
  <c r="F150" i="2" s="1"/>
  <c r="E149" i="2"/>
  <c r="F149" i="2" s="1"/>
  <c r="E148" i="2"/>
  <c r="F148" i="2" s="1"/>
  <c r="E146" i="2"/>
  <c r="F146" i="2" s="1"/>
  <c r="E144" i="2"/>
  <c r="F144" i="2" s="1"/>
  <c r="E143" i="2"/>
  <c r="F143" i="2" s="1"/>
  <c r="E141" i="2"/>
  <c r="F141" i="2" s="1"/>
  <c r="E138" i="2"/>
  <c r="F138" i="2" s="1"/>
  <c r="F114" i="2"/>
  <c r="F115" i="2"/>
  <c r="F116" i="2"/>
  <c r="F117" i="2"/>
  <c r="F118" i="2"/>
  <c r="F119" i="2"/>
  <c r="F120" i="2"/>
  <c r="F121" i="2"/>
  <c r="F122" i="2"/>
  <c r="F124" i="2"/>
  <c r="F125" i="2"/>
  <c r="F126" i="2"/>
  <c r="F127" i="2"/>
  <c r="F113" i="2"/>
  <c r="G22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E156" i="2" l="1"/>
  <c r="E157" i="2" s="1"/>
  <c r="E159" i="2" s="1"/>
  <c r="E155" i="2"/>
  <c r="E47" i="3" l="1"/>
  <c r="F47" i="3" s="1"/>
  <c r="F46" i="3"/>
  <c r="E46" i="3"/>
  <c r="E45" i="3"/>
  <c r="F45" i="3" s="1"/>
  <c r="F44" i="3"/>
  <c r="E44" i="3"/>
  <c r="E43" i="3"/>
  <c r="F43" i="3" s="1"/>
  <c r="F42" i="3"/>
  <c r="E42" i="3"/>
  <c r="E41" i="3"/>
  <c r="F41" i="3" s="1"/>
  <c r="F40" i="3"/>
  <c r="E40" i="3"/>
  <c r="E39" i="3"/>
  <c r="F39" i="3" s="1"/>
  <c r="F38" i="3"/>
  <c r="E38" i="3"/>
  <c r="E37" i="3"/>
  <c r="F37" i="3" s="1"/>
  <c r="F36" i="3"/>
  <c r="E36" i="3"/>
  <c r="E35" i="3"/>
  <c r="F35" i="3" s="1"/>
  <c r="F34" i="3"/>
  <c r="E34" i="3"/>
  <c r="E48" i="3" s="1"/>
  <c r="E49" i="3" l="1"/>
  <c r="E50" i="3" s="1"/>
  <c r="E51" i="3" s="1"/>
  <c r="E103" i="2" l="1"/>
  <c r="K18" i="2" l="1"/>
  <c r="K19" i="2"/>
  <c r="K17" i="2"/>
  <c r="K16" i="2"/>
  <c r="K15" i="2"/>
  <c r="K14" i="2"/>
  <c r="K13" i="2"/>
  <c r="K12" i="2"/>
  <c r="K11" i="2"/>
  <c r="K10" i="2"/>
  <c r="K9" i="2"/>
  <c r="K8" i="2"/>
  <c r="K7" i="2"/>
  <c r="K6" i="2"/>
  <c r="E96" i="2" l="1"/>
  <c r="E97" i="2" s="1"/>
  <c r="E83" i="2"/>
  <c r="F83" i="2" s="1"/>
  <c r="E82" i="2"/>
  <c r="F82" i="2" s="1"/>
  <c r="E81" i="2"/>
  <c r="F81" i="2" s="1"/>
  <c r="E80" i="2"/>
  <c r="F80" i="2" s="1"/>
  <c r="E79" i="2"/>
  <c r="F79" i="2" s="1"/>
  <c r="E78" i="2"/>
  <c r="F78" i="2" s="1"/>
  <c r="E77" i="2"/>
  <c r="F77" i="2" s="1"/>
  <c r="E76" i="2"/>
  <c r="F76" i="2" s="1"/>
  <c r="E75" i="2"/>
  <c r="F75" i="2" s="1"/>
  <c r="E74" i="2"/>
  <c r="F74" i="2" s="1"/>
  <c r="E73" i="2"/>
  <c r="F73" i="2" s="1"/>
  <c r="E72" i="2"/>
  <c r="F72" i="2" s="1"/>
  <c r="E71" i="2"/>
  <c r="F71" i="2" s="1"/>
  <c r="E57" i="2"/>
  <c r="F57" i="2" s="1"/>
  <c r="E56" i="2"/>
  <c r="F56" i="2" s="1"/>
  <c r="E55" i="2"/>
  <c r="F55" i="2" s="1"/>
  <c r="E54" i="2"/>
  <c r="F54" i="2" s="1"/>
  <c r="E53" i="2"/>
  <c r="F53" i="2" s="1"/>
  <c r="E52" i="2"/>
  <c r="F52" i="2" s="1"/>
  <c r="E51" i="2"/>
  <c r="F51" i="2" s="1"/>
  <c r="E50" i="2"/>
  <c r="F50" i="2" s="1"/>
  <c r="E49" i="2"/>
  <c r="F49" i="2" s="1"/>
  <c r="E48" i="2"/>
  <c r="F48" i="2" s="1"/>
  <c r="E47" i="2"/>
  <c r="F47" i="2" s="1"/>
  <c r="E46" i="2"/>
  <c r="F46" i="2" s="1"/>
  <c r="E45" i="2"/>
  <c r="F45" i="2" s="1"/>
  <c r="E44" i="2"/>
  <c r="F44" i="2" s="1"/>
  <c r="E43" i="2"/>
  <c r="F43" i="2" s="1"/>
  <c r="E30" i="2"/>
  <c r="F30" i="2" s="1"/>
  <c r="E29" i="2"/>
  <c r="F6" i="1"/>
  <c r="F7" i="1"/>
  <c r="F8" i="1"/>
  <c r="F9" i="1"/>
  <c r="F10" i="1"/>
  <c r="F11" i="1"/>
  <c r="F12" i="1"/>
  <c r="F13" i="1"/>
  <c r="F14" i="1"/>
  <c r="F15" i="1"/>
  <c r="F17" i="1"/>
  <c r="E22" i="1"/>
  <c r="F22" i="1" s="1"/>
  <c r="E23" i="1"/>
  <c r="F23" i="1" s="1"/>
  <c r="E24" i="1"/>
  <c r="F24" i="1" s="1"/>
  <c r="E31" i="2" l="1"/>
  <c r="F29" i="2"/>
  <c r="E33" i="2" s="1"/>
  <c r="E59" i="2"/>
  <c r="E85" i="2"/>
  <c r="E84" i="2"/>
  <c r="E58" i="2"/>
  <c r="F96" i="2"/>
  <c r="E25" i="1"/>
  <c r="E26" i="1"/>
  <c r="E32" i="2" l="1"/>
  <c r="E35" i="2" s="1"/>
  <c r="E60" i="2"/>
  <c r="E61" i="2" s="1"/>
  <c r="E86" i="2"/>
  <c r="E88" i="2" s="1"/>
  <c r="E90" i="2" s="1"/>
  <c r="E99" i="2"/>
  <c r="E98" i="2"/>
  <c r="E27" i="1"/>
  <c r="E29" i="1" s="1"/>
  <c r="E63" i="2" l="1"/>
  <c r="E101" i="2"/>
  <c r="E104" i="2" s="1"/>
  <c r="E105" i="2" l="1"/>
  <c r="E169" i="2"/>
  <c r="G169" i="2" l="1"/>
  <c r="E172" i="2"/>
  <c r="F17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13" authorId="0" shapeId="0" xr:uid="{6A4B02FB-8A3C-449F-BA10-E6A276FC24A7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61 ALQ
</t>
        </r>
      </text>
    </comment>
    <comment ref="G13" authorId="0" shapeId="0" xr:uid="{0E6E4071-8DF4-4AAC-B505-2FB455BF3783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14 SON ALQUIOPBRAS
</t>
        </r>
      </text>
    </comment>
  </commentList>
</comments>
</file>

<file path=xl/sharedStrings.xml><?xml version="1.0" encoding="utf-8"?>
<sst xmlns="http://schemas.openxmlformats.org/spreadsheetml/2006/main" count="347" uniqueCount="153">
  <si>
    <t xml:space="preserve"> GRANTOTAL</t>
  </si>
  <si>
    <t>IVA 19 %</t>
  </si>
  <si>
    <t>DIAS</t>
  </si>
  <si>
    <t>TOTAL DIARIO</t>
  </si>
  <si>
    <t>RUEDAS NIVELADORAS</t>
  </si>
  <si>
    <t>TABLONES DE 3 METROS</t>
  </si>
  <si>
    <t xml:space="preserve">SECCIONES DE ANDAMIOS </t>
  </si>
  <si>
    <t xml:space="preserve">WILSON MORENO: 3007009408CRA 38#41-108 </t>
  </si>
  <si>
    <t>TEJIDO URBANO</t>
  </si>
  <si>
    <t>ANDRES MONTASGUFF: 3163225348</t>
  </si>
  <si>
    <t>Transporte</t>
  </si>
  <si>
    <t>HORA</t>
  </si>
  <si>
    <t xml:space="preserve">RUEDAS NIVELADORAS </t>
  </si>
  <si>
    <t>CRUCETAS (CG)</t>
  </si>
  <si>
    <t>MARCOS DE ANDAMIOS (CG)</t>
  </si>
  <si>
    <t>TABLONES DE 3 MTROS</t>
  </si>
  <si>
    <t>CRUCETAS DE 2,40</t>
  </si>
  <si>
    <t xml:space="preserve">MARCOS DE ANDAMIOS NARANAJAS </t>
  </si>
  <si>
    <t xml:space="preserve">CRUCETAS DE 2,40 </t>
  </si>
  <si>
    <t>MARCOS DE ANDAMIOS AMARILLOS 1,50</t>
  </si>
  <si>
    <t>MARCOS DE ANDAMIOS AZULES DE 1,50</t>
  </si>
  <si>
    <t>SALDO</t>
  </si>
  <si>
    <t>MATERIAL</t>
  </si>
  <si>
    <t>CRA 38 #41-108 TEL:3026565476</t>
  </si>
  <si>
    <t>TEJIDO ARQUITECTONICO S.A.S</t>
  </si>
  <si>
    <t>MARZO 7 A MAYO 10</t>
  </si>
  <si>
    <t>MOVIMIENTO: MARZO7 A MAYO 10/2025</t>
  </si>
  <si>
    <t>JIMMY JAIMES CARRILLO</t>
  </si>
  <si>
    <t xml:space="preserve">KARIME </t>
  </si>
  <si>
    <t>CRA 17 5-35 COMUNEROS  TEL:3176218058</t>
  </si>
  <si>
    <t>MAYO 2-2026</t>
  </si>
  <si>
    <t>DETALLES</t>
  </si>
  <si>
    <t>COSTOS</t>
  </si>
  <si>
    <t>DEPOSITO 120000</t>
  </si>
  <si>
    <t>CANTIDAD</t>
  </si>
  <si>
    <t>VALOR</t>
  </si>
  <si>
    <t>COSTO DIARIO</t>
  </si>
  <si>
    <t>PRECIO DIARIO</t>
  </si>
  <si>
    <t>PARALES DE 3MTRO</t>
  </si>
  <si>
    <t xml:space="preserve">PARALES DE 4 MTROS </t>
  </si>
  <si>
    <t>MAYO 2 A MAYO 20</t>
  </si>
  <si>
    <t xml:space="preserve">VALOR DIARIOIVWA INCLUIDO </t>
  </si>
  <si>
    <t>VALOR DIAS</t>
  </si>
  <si>
    <t>IVA</t>
  </si>
  <si>
    <t>TRANSPORTE LLEVADA Y TRAIDA</t>
  </si>
  <si>
    <t>VALOR  TOTAL</t>
  </si>
  <si>
    <t>CICOM  INGENIEROS</t>
  </si>
  <si>
    <t>ABRIL 20-2026</t>
  </si>
  <si>
    <t>FORMALETA DE 60*1,20</t>
  </si>
  <si>
    <t>ABRIL 20 A MAYO 1-2026</t>
  </si>
  <si>
    <t>MAYO 2 A MAYO 6-2026</t>
  </si>
  <si>
    <t>MAYO 7 A MAYO 16-2026</t>
  </si>
  <si>
    <t>FORMALETA DE 40*1,20</t>
  </si>
  <si>
    <t>ABRIL 20 AMAYO 1-2026</t>
  </si>
  <si>
    <t>FORMALETA DE 30*1,20</t>
  </si>
  <si>
    <t>FORMALETA DE 25*1,20</t>
  </si>
  <si>
    <t>ANGULOS DE 1,20</t>
  </si>
  <si>
    <t>ABRIL 20 A MAYO 20-2026</t>
  </si>
  <si>
    <t>ANGULOS DE 60</t>
  </si>
  <si>
    <t>ALINEADOR DE 1 MTRO</t>
  </si>
  <si>
    <t>TENSORES</t>
  </si>
  <si>
    <t>ABRIL 20 A MAYO7-2026</t>
  </si>
  <si>
    <t xml:space="preserve">TENSORES </t>
  </si>
  <si>
    <t>MAYO 8 A MAYO 120-2026</t>
  </si>
  <si>
    <t>CHAPETAS</t>
  </si>
  <si>
    <t xml:space="preserve">CHAPETAS </t>
  </si>
  <si>
    <t>MAYO 8 A MAYO 20-2026</t>
  </si>
  <si>
    <t>ABRIL 20 A MAYO 20</t>
  </si>
  <si>
    <t xml:space="preserve">VALOR IVA INCLUIDO </t>
  </si>
  <si>
    <t>ABONO</t>
  </si>
  <si>
    <t xml:space="preserve">A DEBER </t>
  </si>
  <si>
    <t>KARIME</t>
  </si>
  <si>
    <t>PORTACHUELO</t>
  </si>
  <si>
    <t>ABRIL 17-2026</t>
  </si>
  <si>
    <t>ABRIL 17 A MAYO 20-2026</t>
  </si>
  <si>
    <t>ABRIL 17 A MAYO 6-2026</t>
  </si>
  <si>
    <t>PARALES DE  3 MTROS</t>
  </si>
  <si>
    <t>PARALS DE 1 MTRO</t>
  </si>
  <si>
    <t>ABRIL 17 A MAYO 20</t>
  </si>
  <si>
    <t xml:space="preserve">ABONO </t>
  </si>
  <si>
    <t>A DEBER</t>
  </si>
  <si>
    <t xml:space="preserve">PARALES DE  6 MTROS </t>
  </si>
  <si>
    <t>MAYO 12 AL 20</t>
  </si>
  <si>
    <t>DEPOSITOS A MAYO 20 2026</t>
  </si>
  <si>
    <t>FACTURADO  A MAYO 20 2026</t>
  </si>
  <si>
    <t>ADEUDADO A MAYO 20 2026</t>
  </si>
  <si>
    <t>CRA 17 #5-35 COMUNEROS TEL: 3184228009</t>
  </si>
  <si>
    <t>PARALES DE 3 MTROS</t>
  </si>
  <si>
    <t>PARALES DE 4 MTRS</t>
  </si>
  <si>
    <t>PARALES DE 1 MTRO</t>
  </si>
  <si>
    <t xml:space="preserve">PARALES DE 6 MTROS </t>
  </si>
  <si>
    <t>CAJAS METALICAS</t>
  </si>
  <si>
    <t>BRU-315</t>
  </si>
  <si>
    <t>KGX-832</t>
  </si>
  <si>
    <t>CWG-768</t>
  </si>
  <si>
    <t>WFC-486</t>
  </si>
  <si>
    <r>
      <t xml:space="preserve">MOVIMIENTO /ABRIL16 A MAYO 20 </t>
    </r>
    <r>
      <rPr>
        <b/>
        <sz val="14"/>
        <color rgb="FFFF0000"/>
        <rFont val="Calibri"/>
        <family val="2"/>
        <scheme val="minor"/>
      </rPr>
      <t>/2026</t>
    </r>
  </si>
  <si>
    <t>SOZ-465</t>
  </si>
  <si>
    <t>EQUIORIENTE S.A.S</t>
  </si>
  <si>
    <t>CONSORCIO LA VICTORIA 2</t>
  </si>
  <si>
    <t>RUBEN FORERO : 3223053468</t>
  </si>
  <si>
    <t>FORMALETA DE 20*1,20</t>
  </si>
  <si>
    <t>FORMALETA DE 50*1,20</t>
  </si>
  <si>
    <t>FORMALETA DE 25*120</t>
  </si>
  <si>
    <t>ALINEADOR DE 6 MTRS</t>
  </si>
  <si>
    <t>ALINEADOR DE 3 MTROS</t>
  </si>
  <si>
    <t>ANGULOS DE 1.20</t>
  </si>
  <si>
    <t>RINCONERAS DE 10*10*1,20</t>
  </si>
  <si>
    <t xml:space="preserve">PINES </t>
  </si>
  <si>
    <t>TOTAL DIARIO IVA INCLUIDO</t>
  </si>
  <si>
    <t xml:space="preserve">IVA </t>
  </si>
  <si>
    <t>TOTAL ALQUILER</t>
  </si>
  <si>
    <t>MAYO 1 AL 31 DE 2026</t>
  </si>
  <si>
    <t>MAYO 1 AL 31/ 2026</t>
  </si>
  <si>
    <t>CONSORCIO LA VICTORIA</t>
  </si>
  <si>
    <t>CRA 13 CON CALLE 69 VICTORIA</t>
  </si>
  <si>
    <t>EN OBRA</t>
  </si>
  <si>
    <t>ALINEADORES DE 6 MTROS</t>
  </si>
  <si>
    <t>ALINEADORES DE 3 MTROS</t>
  </si>
  <si>
    <t>FORAMLETA DE 50*1,20</t>
  </si>
  <si>
    <t>FORMALETA DE 30 1,20</t>
  </si>
  <si>
    <t>CAJA METALICA</t>
  </si>
  <si>
    <t>RINCONERAS 10*10*1,20</t>
  </si>
  <si>
    <t>PARALES DE 4 MTROS</t>
  </si>
  <si>
    <t>PINES</t>
  </si>
  <si>
    <t>Hora</t>
  </si>
  <si>
    <t>TRANSPORTE</t>
  </si>
  <si>
    <t>MOVIMIENTO:MAYO 1 AL31/ 2026</t>
  </si>
  <si>
    <t>PENDIENTE 2 BASES DE PARAL</t>
  </si>
  <si>
    <t>KARIME OBRA PORTASCHUELO</t>
  </si>
  <si>
    <t>MAYO 21 AL 31</t>
  </si>
  <si>
    <t>MAYO 21 AL 27</t>
  </si>
  <si>
    <t>MAYO 22 AL 28</t>
  </si>
  <si>
    <t>MAYO 21 AL 22</t>
  </si>
  <si>
    <t>MAYO 22 AL 27</t>
  </si>
  <si>
    <t>MAYO 28 AL 31</t>
  </si>
  <si>
    <t>PARALES DE  4 MTROS</t>
  </si>
  <si>
    <t>PARALS DE 6 MTRO</t>
  </si>
  <si>
    <r>
      <t xml:space="preserve">MOVIMIENTO </t>
    </r>
    <r>
      <rPr>
        <b/>
        <sz val="14"/>
        <color rgb="FFFF0000"/>
        <rFont val="Calibri"/>
        <family val="2"/>
        <scheme val="minor"/>
      </rPr>
      <t>MAYO 21 AL 31</t>
    </r>
  </si>
  <si>
    <t xml:space="preserve"> </t>
  </si>
  <si>
    <t>MATERIAL NO ENTREGADO</t>
  </si>
  <si>
    <t>ANGULO DE 60</t>
  </si>
  <si>
    <t>PARAL DE 4 MTROS</t>
  </si>
  <si>
    <t xml:space="preserve">BASE DE PARAL </t>
  </si>
  <si>
    <t xml:space="preserve">CANTIDAD </t>
  </si>
  <si>
    <t>TOTAL</t>
  </si>
  <si>
    <t xml:space="preserve">VALOR </t>
  </si>
  <si>
    <t xml:space="preserve">UNITARIO </t>
  </si>
  <si>
    <t>TOTAL MATERIAL A LA FECHA</t>
  </si>
  <si>
    <t>PREFACTURA MAYO 21 AL 31</t>
  </si>
  <si>
    <t>TOTAL A PAGAR A 31  MAYO</t>
  </si>
  <si>
    <t>RET 4%</t>
  </si>
  <si>
    <t>ALQUILER 31 DIAS SIN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</si>
</sst>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(&quot;$&quot;\ * #,##0_);_(&quot;$&quot;\ * \(#,##0\);_(&quot;$&quot;\ * &quot;-&quot;??_);_(@_)"/>
    <numFmt numFmtId="165" formatCode="_-&quot;$&quot;\ * #,##0_-;\-&quot;$&quot;\ * #,##0_-;_-&quot;$&quot;\ * &quot;-&quot;??_-;_-@_-"/>
    <numFmt numFmtId="166" formatCode="h:mm:ss;@"/>
    <numFmt numFmtId="167" formatCode="_-&quot;$&quot;\ * #,##0_-;\-&quot;$&quot;\ * #,##0_-;_-&quot;$&quot;\ * &quot;-&quot;?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sz val="14"/>
      <color theme="1"/>
      <name val="Arial Black"/>
      <family val="2"/>
    </font>
    <font>
      <sz val="11"/>
      <color theme="1"/>
      <name val="Arial Black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Arial Black"/>
      <family val="2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6"/>
      <color theme="1"/>
      <name val="Arial Black"/>
      <family val="2"/>
    </font>
    <font>
      <b/>
      <sz val="12"/>
      <color theme="1"/>
      <name val="ADLaM Display"/>
    </font>
    <font>
      <b/>
      <sz val="11"/>
      <color theme="1"/>
      <name val="ADLaM Display"/>
    </font>
    <font>
      <b/>
      <sz val="14"/>
      <color theme="1"/>
      <name val="ADLaM Display"/>
    </font>
    <font>
      <sz val="10"/>
      <color theme="1"/>
      <name val="Calibri"/>
      <family val="2"/>
      <scheme val="minor"/>
    </font>
    <font>
      <b/>
      <sz val="10"/>
      <color theme="1"/>
      <name val="ADLaM Display"/>
    </font>
  </fonts>
  <fills count="2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0">
    <xf numFmtId="0" fontId="0" fillId="0" borderId="0" xfId="0"/>
    <xf numFmtId="164" fontId="3" fillId="2" borderId="3" xfId="1" applyNumberFormat="1" applyFont="1" applyFill="1" applyBorder="1"/>
    <xf numFmtId="164" fontId="5" fillId="4" borderId="10" xfId="1" applyNumberFormat="1" applyFont="1" applyFill="1" applyBorder="1"/>
    <xf numFmtId="164" fontId="5" fillId="5" borderId="10" xfId="1" applyNumberFormat="1" applyFont="1" applyFill="1" applyBorder="1"/>
    <xf numFmtId="164" fontId="5" fillId="6" borderId="10" xfId="1" applyNumberFormat="1" applyFont="1" applyFill="1" applyBorder="1"/>
    <xf numFmtId="164" fontId="0" fillId="0" borderId="19" xfId="1" applyNumberFormat="1" applyFont="1" applyBorder="1"/>
    <xf numFmtId="164" fontId="0" fillId="7" borderId="10" xfId="1" applyNumberFormat="1" applyFont="1" applyFill="1" applyBorder="1"/>
    <xf numFmtId="0" fontId="0" fillId="7" borderId="10" xfId="0" applyFill="1" applyBorder="1" applyAlignment="1">
      <alignment horizontal="center"/>
    </xf>
    <xf numFmtId="0" fontId="2" fillId="7" borderId="20" xfId="0" applyFont="1" applyFill="1" applyBorder="1" applyAlignment="1">
      <alignment vertical="center"/>
    </xf>
    <xf numFmtId="164" fontId="2" fillId="10" borderId="3" xfId="1" applyNumberFormat="1" applyFont="1" applyFill="1" applyBorder="1" applyAlignment="1">
      <alignment horizontal="right" vertical="center"/>
    </xf>
    <xf numFmtId="0" fontId="2" fillId="10" borderId="28" xfId="0" applyFont="1" applyFill="1" applyBorder="1" applyAlignment="1">
      <alignment horizontal="left" vertical="center"/>
    </xf>
    <xf numFmtId="20" fontId="2" fillId="10" borderId="10" xfId="0" applyNumberFormat="1" applyFont="1" applyFill="1" applyBorder="1" applyAlignment="1">
      <alignment horizontal="center" vertical="center"/>
    </xf>
    <xf numFmtId="166" fontId="2" fillId="10" borderId="10" xfId="0" applyNumberFormat="1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left" vertical="center"/>
    </xf>
    <xf numFmtId="1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11" borderId="20" xfId="0" applyFont="1" applyFill="1" applyBorder="1" applyAlignment="1">
      <alignment horizontal="left" vertical="center"/>
    </xf>
    <xf numFmtId="1" fontId="2" fillId="11" borderId="10" xfId="0" applyNumberFormat="1" applyFont="1" applyFill="1" applyBorder="1" applyAlignment="1">
      <alignment horizontal="center" vertical="center"/>
    </xf>
    <xf numFmtId="16" fontId="2" fillId="10" borderId="10" xfId="0" applyNumberFormat="1" applyFont="1" applyFill="1" applyBorder="1" applyAlignment="1">
      <alignment horizontal="center" vertical="center"/>
    </xf>
    <xf numFmtId="0" fontId="2" fillId="10" borderId="30" xfId="0" applyFont="1" applyFill="1" applyBorder="1" applyAlignment="1">
      <alignment horizontal="center" vertical="center"/>
    </xf>
    <xf numFmtId="0" fontId="2" fillId="10" borderId="31" xfId="0" applyFont="1" applyFill="1" applyBorder="1" applyAlignment="1">
      <alignment horizontal="left" vertical="center"/>
    </xf>
    <xf numFmtId="0" fontId="2" fillId="13" borderId="30" xfId="0" applyFont="1" applyFill="1" applyBorder="1" applyAlignment="1">
      <alignment horizontal="center" vertical="center"/>
    </xf>
    <xf numFmtId="16" fontId="2" fillId="13" borderId="10" xfId="0" applyNumberFormat="1" applyFont="1" applyFill="1" applyBorder="1" applyAlignment="1">
      <alignment horizontal="center" vertical="center"/>
    </xf>
    <xf numFmtId="0" fontId="2" fillId="13" borderId="10" xfId="0" applyFont="1" applyFill="1" applyBorder="1" applyAlignment="1">
      <alignment horizontal="center" vertical="center"/>
    </xf>
    <xf numFmtId="20" fontId="2" fillId="13" borderId="10" xfId="0" applyNumberFormat="1" applyFont="1" applyFill="1" applyBorder="1" applyAlignment="1">
      <alignment horizontal="center" vertical="center"/>
    </xf>
    <xf numFmtId="165" fontId="2" fillId="13" borderId="3" xfId="1" applyNumberFormat="1" applyFont="1" applyFill="1" applyBorder="1" applyAlignment="1">
      <alignment horizontal="left" vertical="center"/>
    </xf>
    <xf numFmtId="0" fontId="2" fillId="14" borderId="29" xfId="0" applyFont="1" applyFill="1" applyBorder="1" applyAlignment="1">
      <alignment horizontal="center" vertical="center"/>
    </xf>
    <xf numFmtId="16" fontId="2" fillId="14" borderId="19" xfId="0" applyNumberFormat="1" applyFont="1" applyFill="1" applyBorder="1" applyAlignment="1">
      <alignment horizontal="center" vertical="center"/>
    </xf>
    <xf numFmtId="1" fontId="2" fillId="14" borderId="19" xfId="0" applyNumberFormat="1" applyFont="1" applyFill="1" applyBorder="1" applyAlignment="1">
      <alignment horizontal="center" vertical="center"/>
    </xf>
    <xf numFmtId="165" fontId="2" fillId="14" borderId="27" xfId="1" applyNumberFormat="1" applyFont="1" applyFill="1" applyBorder="1" applyAlignment="1">
      <alignment horizontal="center" vertical="center"/>
    </xf>
    <xf numFmtId="164" fontId="5" fillId="4" borderId="32" xfId="1" applyNumberFormat="1" applyFont="1" applyFill="1" applyBorder="1"/>
    <xf numFmtId="0" fontId="0" fillId="0" borderId="16" xfId="0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9" borderId="11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2" fillId="1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20" xfId="0" applyBorder="1"/>
    <xf numFmtId="0" fontId="0" fillId="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1" xfId="1" applyNumberFormat="1" applyFont="1" applyFill="1" applyBorder="1"/>
    <xf numFmtId="164" fontId="0" fillId="0" borderId="10" xfId="1" applyNumberFormat="1" applyFont="1" applyFill="1" applyBorder="1"/>
    <xf numFmtId="164" fontId="0" fillId="0" borderId="19" xfId="1" applyNumberFormat="1" applyFont="1" applyFill="1" applyBorder="1"/>
    <xf numFmtId="164" fontId="0" fillId="0" borderId="0" xfId="1" applyNumberFormat="1" applyFont="1" applyFill="1" applyBorder="1"/>
    <xf numFmtId="164" fontId="5" fillId="16" borderId="10" xfId="1" applyNumberFormat="1" applyFont="1" applyFill="1" applyBorder="1"/>
    <xf numFmtId="0" fontId="0" fillId="0" borderId="0" xfId="0" applyAlignment="1">
      <alignment horizontal="center"/>
    </xf>
    <xf numFmtId="164" fontId="5" fillId="17" borderId="10" xfId="1" applyNumberFormat="1" applyFont="1" applyFill="1" applyBorder="1"/>
    <xf numFmtId="164" fontId="5" fillId="3" borderId="3" xfId="1" applyNumberFormat="1" applyFont="1" applyFill="1" applyBorder="1"/>
    <xf numFmtId="0" fontId="10" fillId="9" borderId="23" xfId="0" applyFont="1" applyFill="1" applyBorder="1" applyAlignment="1">
      <alignment vertical="center" wrapText="1"/>
    </xf>
    <xf numFmtId="0" fontId="10" fillId="9" borderId="22" xfId="0" applyFont="1" applyFill="1" applyBorder="1" applyAlignment="1">
      <alignment vertical="center" wrapText="1"/>
    </xf>
    <xf numFmtId="0" fontId="13" fillId="3" borderId="0" xfId="0" applyFont="1" applyFill="1"/>
    <xf numFmtId="0" fontId="2" fillId="0" borderId="12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12" xfId="0" applyBorder="1" applyAlignment="1">
      <alignment horizontal="center"/>
    </xf>
    <xf numFmtId="164" fontId="2" fillId="0" borderId="10" xfId="1" applyNumberFormat="1" applyFont="1" applyFill="1" applyBorder="1"/>
    <xf numFmtId="0" fontId="0" fillId="15" borderId="10" xfId="0" applyFill="1" applyBorder="1" applyAlignment="1">
      <alignment horizontal="center"/>
    </xf>
    <xf numFmtId="0" fontId="0" fillId="15" borderId="0" xfId="0" applyFill="1"/>
    <xf numFmtId="164" fontId="5" fillId="16" borderId="30" xfId="1" applyNumberFormat="1" applyFont="1" applyFill="1" applyBorder="1"/>
    <xf numFmtId="14" fontId="4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5" fillId="0" borderId="0" xfId="1" applyNumberFormat="1" applyFont="1" applyFill="1" applyBorder="1"/>
    <xf numFmtId="0" fontId="9" fillId="15" borderId="0" xfId="0" applyFont="1" applyFill="1" applyAlignment="1">
      <alignment horizontal="center"/>
    </xf>
    <xf numFmtId="14" fontId="3" fillId="10" borderId="0" xfId="0" applyNumberFormat="1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/>
    </xf>
    <xf numFmtId="164" fontId="14" fillId="10" borderId="0" xfId="1" applyNumberFormat="1" applyFont="1" applyFill="1" applyBorder="1"/>
    <xf numFmtId="164" fontId="5" fillId="0" borderId="0" xfId="1" applyNumberFormat="1" applyFont="1" applyFill="1" applyBorder="1"/>
    <xf numFmtId="164" fontId="0" fillId="18" borderId="0" xfId="1" applyNumberFormat="1" applyFont="1" applyFill="1" applyBorder="1" applyAlignment="1">
      <alignment horizontal="left"/>
    </xf>
    <xf numFmtId="0" fontId="0" fillId="18" borderId="0" xfId="0" applyFill="1" applyAlignment="1">
      <alignment horizontal="left"/>
    </xf>
    <xf numFmtId="164" fontId="0" fillId="18" borderId="0" xfId="1" applyNumberFormat="1" applyFont="1" applyFill="1" applyBorder="1"/>
    <xf numFmtId="0" fontId="0" fillId="18" borderId="0" xfId="0" applyFill="1"/>
    <xf numFmtId="0" fontId="13" fillId="0" borderId="0" xfId="0" applyFont="1"/>
    <xf numFmtId="165" fontId="13" fillId="0" borderId="0" xfId="1" applyNumberFormat="1" applyFont="1"/>
    <xf numFmtId="0" fontId="13" fillId="18" borderId="0" xfId="0" applyFont="1" applyFill="1"/>
    <xf numFmtId="167" fontId="15" fillId="18" borderId="0" xfId="0" applyNumberFormat="1" applyFont="1" applyFill="1"/>
    <xf numFmtId="0" fontId="2" fillId="10" borderId="30" xfId="0" applyFont="1" applyFill="1" applyBorder="1" applyAlignment="1">
      <alignment horizontal="left" vertical="center"/>
    </xf>
    <xf numFmtId="0" fontId="2" fillId="10" borderId="10" xfId="0" applyFont="1" applyFill="1" applyBorder="1" applyAlignment="1">
      <alignment horizontal="left" vertical="center"/>
    </xf>
    <xf numFmtId="16" fontId="2" fillId="10" borderId="30" xfId="0" applyNumberFormat="1" applyFont="1" applyFill="1" applyBorder="1" applyAlignment="1">
      <alignment horizontal="center" vertical="center"/>
    </xf>
    <xf numFmtId="16" fontId="17" fillId="10" borderId="10" xfId="0" applyNumberFormat="1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left" vertical="center"/>
    </xf>
    <xf numFmtId="0" fontId="2" fillId="16" borderId="10" xfId="0" applyFont="1" applyFill="1" applyBorder="1" applyAlignment="1">
      <alignment horizontal="center" vertical="center"/>
    </xf>
    <xf numFmtId="1" fontId="2" fillId="3" borderId="10" xfId="0" applyNumberFormat="1" applyFont="1" applyFill="1" applyBorder="1" applyAlignment="1">
      <alignment horizontal="center" vertical="center"/>
    </xf>
    <xf numFmtId="164" fontId="2" fillId="10" borderId="10" xfId="1" applyNumberFormat="1" applyFont="1" applyFill="1" applyBorder="1" applyAlignment="1">
      <alignment horizontal="right" vertical="center"/>
    </xf>
    <xf numFmtId="0" fontId="5" fillId="0" borderId="0" xfId="0" applyFont="1"/>
    <xf numFmtId="165" fontId="5" fillId="0" borderId="0" xfId="0" applyNumberFormat="1" applyFont="1"/>
    <xf numFmtId="164" fontId="5" fillId="0" borderId="0" xfId="0" applyNumberFormat="1" applyFont="1"/>
    <xf numFmtId="164" fontId="0" fillId="0" borderId="0" xfId="0" applyNumberFormat="1"/>
    <xf numFmtId="0" fontId="2" fillId="14" borderId="30" xfId="0" applyFont="1" applyFill="1" applyBorder="1" applyAlignment="1">
      <alignment horizontal="center" vertical="center"/>
    </xf>
    <xf numFmtId="16" fontId="2" fillId="14" borderId="10" xfId="0" applyNumberFormat="1" applyFont="1" applyFill="1" applyBorder="1" applyAlignment="1">
      <alignment horizontal="center" vertical="center"/>
    </xf>
    <xf numFmtId="1" fontId="2" fillId="14" borderId="10" xfId="0" applyNumberFormat="1" applyFont="1" applyFill="1" applyBorder="1" applyAlignment="1">
      <alignment horizontal="center" vertical="center"/>
    </xf>
    <xf numFmtId="0" fontId="0" fillId="19" borderId="10" xfId="0" applyFill="1" applyBorder="1" applyAlignment="1">
      <alignment horizontal="center"/>
    </xf>
    <xf numFmtId="164" fontId="0" fillId="11" borderId="10" xfId="1" applyNumberFormat="1" applyFont="1" applyFill="1" applyBorder="1"/>
    <xf numFmtId="164" fontId="5" fillId="7" borderId="10" xfId="1" applyNumberFormat="1" applyFont="1" applyFill="1" applyBorder="1"/>
    <xf numFmtId="0" fontId="0" fillId="0" borderId="39" xfId="0" applyBorder="1" applyAlignment="1">
      <alignment horizontal="center"/>
    </xf>
    <xf numFmtId="164" fontId="5" fillId="16" borderId="32" xfId="1" applyNumberFormat="1" applyFont="1" applyFill="1" applyBorder="1"/>
    <xf numFmtId="0" fontId="0" fillId="0" borderId="41" xfId="0" applyBorder="1" applyAlignment="1">
      <alignment horizontal="center"/>
    </xf>
    <xf numFmtId="164" fontId="5" fillId="2" borderId="3" xfId="1" applyNumberFormat="1" applyFont="1" applyFill="1" applyBorder="1"/>
    <xf numFmtId="0" fontId="0" fillId="0" borderId="42" xfId="0" applyBorder="1" applyAlignment="1">
      <alignment horizontal="center"/>
    </xf>
    <xf numFmtId="1" fontId="2" fillId="10" borderId="10" xfId="0" applyNumberFormat="1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16" fontId="2" fillId="7" borderId="10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11" borderId="10" xfId="0" applyFont="1" applyFill="1" applyBorder="1" applyAlignment="1">
      <alignment horizontal="center" vertical="center"/>
    </xf>
    <xf numFmtId="1" fontId="2" fillId="7" borderId="10" xfId="0" applyNumberFormat="1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vertical="center"/>
    </xf>
    <xf numFmtId="165" fontId="2" fillId="10" borderId="10" xfId="1" applyNumberFormat="1" applyFont="1" applyFill="1" applyBorder="1" applyAlignment="1">
      <alignment vertical="center"/>
    </xf>
    <xf numFmtId="165" fontId="2" fillId="7" borderId="10" xfId="1" applyNumberFormat="1" applyFont="1" applyFill="1" applyBorder="1" applyAlignment="1">
      <alignment horizontal="center" vertical="center"/>
    </xf>
    <xf numFmtId="0" fontId="2" fillId="11" borderId="30" xfId="0" applyFont="1" applyFill="1" applyBorder="1" applyAlignment="1">
      <alignment horizontal="center" vertical="center"/>
    </xf>
    <xf numFmtId="0" fontId="17" fillId="11" borderId="30" xfId="0" applyFont="1" applyFill="1" applyBorder="1" applyAlignment="1">
      <alignment horizontal="center" vertical="center"/>
    </xf>
    <xf numFmtId="16" fontId="2" fillId="11" borderId="10" xfId="0" applyNumberFormat="1" applyFont="1" applyFill="1" applyBorder="1" applyAlignment="1">
      <alignment horizontal="center" vertical="center"/>
    </xf>
    <xf numFmtId="20" fontId="2" fillId="11" borderId="10" xfId="0" applyNumberFormat="1" applyFont="1" applyFill="1" applyBorder="1" applyAlignment="1">
      <alignment horizontal="center" vertical="center"/>
    </xf>
    <xf numFmtId="0" fontId="2" fillId="11" borderId="31" xfId="0" applyFont="1" applyFill="1" applyBorder="1" applyAlignment="1">
      <alignment horizontal="left" vertical="center"/>
    </xf>
    <xf numFmtId="0" fontId="2" fillId="11" borderId="28" xfId="0" applyFont="1" applyFill="1" applyBorder="1" applyAlignment="1">
      <alignment horizontal="left" vertical="center"/>
    </xf>
    <xf numFmtId="164" fontId="2" fillId="11" borderId="3" xfId="1" applyNumberFormat="1" applyFont="1" applyFill="1" applyBorder="1" applyAlignment="1">
      <alignment horizontal="right" vertical="center"/>
    </xf>
    <xf numFmtId="1" fontId="2" fillId="11" borderId="27" xfId="0" applyNumberFormat="1" applyFont="1" applyFill="1" applyBorder="1" applyAlignment="1">
      <alignment horizontal="center" vertical="center"/>
    </xf>
    <xf numFmtId="0" fontId="2" fillId="16" borderId="20" xfId="0" applyFont="1" applyFill="1" applyBorder="1" applyAlignment="1">
      <alignment horizontal="left" vertical="center"/>
    </xf>
    <xf numFmtId="0" fontId="2" fillId="18" borderId="29" xfId="0" applyFont="1" applyFill="1" applyBorder="1" applyAlignment="1">
      <alignment horizontal="center" vertical="center"/>
    </xf>
    <xf numFmtId="16" fontId="2" fillId="18" borderId="19" xfId="0" applyNumberFormat="1" applyFont="1" applyFill="1" applyBorder="1" applyAlignment="1">
      <alignment horizontal="center" vertical="center"/>
    </xf>
    <xf numFmtId="1" fontId="2" fillId="18" borderId="19" xfId="0" applyNumberFormat="1" applyFont="1" applyFill="1" applyBorder="1" applyAlignment="1">
      <alignment horizontal="center" vertical="center"/>
    </xf>
    <xf numFmtId="0" fontId="11" fillId="11" borderId="0" xfId="0" applyFont="1" applyFill="1" applyAlignment="1">
      <alignment horizontal="center" vertical="center" wrapText="1"/>
    </xf>
    <xf numFmtId="0" fontId="0" fillId="0" borderId="10" xfId="0" applyBorder="1"/>
    <xf numFmtId="0" fontId="0" fillId="4" borderId="10" xfId="0" applyFill="1" applyBorder="1"/>
    <xf numFmtId="0" fontId="2" fillId="4" borderId="10" xfId="0" applyFont="1" applyFill="1" applyBorder="1" applyAlignment="1">
      <alignment horizontal="center"/>
    </xf>
    <xf numFmtId="165" fontId="0" fillId="0" borderId="10" xfId="1" applyNumberFormat="1" applyFont="1" applyBorder="1"/>
    <xf numFmtId="165" fontId="0" fillId="0" borderId="10" xfId="1" applyNumberFormat="1" applyFont="1" applyBorder="1" applyAlignment="1">
      <alignment horizontal="center"/>
    </xf>
    <xf numFmtId="165" fontId="0" fillId="0" borderId="10" xfId="0" applyNumberFormat="1" applyBorder="1"/>
    <xf numFmtId="0" fontId="13" fillId="4" borderId="10" xfId="0" applyFont="1" applyFill="1" applyBorder="1"/>
    <xf numFmtId="0" fontId="2" fillId="4" borderId="10" xfId="0" applyFont="1" applyFill="1" applyBorder="1"/>
    <xf numFmtId="165" fontId="5" fillId="0" borderId="0" xfId="1" applyNumberFormat="1" applyFont="1"/>
    <xf numFmtId="0" fontId="21" fillId="0" borderId="0" xfId="0" applyFont="1"/>
    <xf numFmtId="0" fontId="2" fillId="0" borderId="0" xfId="0" applyFont="1"/>
    <xf numFmtId="0" fontId="22" fillId="0" borderId="0" xfId="0" applyFont="1"/>
    <xf numFmtId="165" fontId="22" fillId="0" borderId="0" xfId="1" applyNumberFormat="1" applyFont="1"/>
    <xf numFmtId="165" fontId="25" fillId="0" borderId="0" xfId="1" applyNumberFormat="1" applyFont="1"/>
    <xf numFmtId="0" fontId="22" fillId="6" borderId="0" xfId="0" applyFont="1" applyFill="1"/>
    <xf numFmtId="0" fontId="0" fillId="6" borderId="0" xfId="0" applyFill="1"/>
    <xf numFmtId="165" fontId="23" fillId="6" borderId="0" xfId="0" applyNumberFormat="1" applyFont="1" applyFill="1"/>
    <xf numFmtId="165" fontId="0" fillId="0" borderId="0" xfId="0" applyNumberFormat="1"/>
    <xf numFmtId="165" fontId="24" fillId="0" borderId="0" xfId="0" applyNumberFormat="1" applyFont="1"/>
    <xf numFmtId="0" fontId="2" fillId="0" borderId="1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4" fontId="4" fillId="3" borderId="20" xfId="0" applyNumberFormat="1" applyFont="1" applyFill="1" applyBorder="1" applyAlignment="1">
      <alignment horizontal="center" vertical="center" wrapText="1"/>
    </xf>
    <xf numFmtId="14" fontId="4" fillId="3" borderId="10" xfId="0" applyNumberFormat="1" applyFont="1" applyFill="1" applyBorder="1" applyAlignment="1">
      <alignment horizontal="center" vertical="center" wrapText="1"/>
    </xf>
    <xf numFmtId="14" fontId="4" fillId="3" borderId="28" xfId="0" applyNumberFormat="1" applyFont="1" applyFill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7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9" borderId="7" xfId="0" applyFont="1" applyFill="1" applyBorder="1" applyAlignment="1">
      <alignment horizontal="center"/>
    </xf>
    <xf numFmtId="0" fontId="5" fillId="9" borderId="33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8" fillId="9" borderId="26" xfId="0" applyFont="1" applyFill="1" applyBorder="1" applyAlignment="1">
      <alignment horizontal="center"/>
    </xf>
    <xf numFmtId="0" fontId="8" fillId="9" borderId="25" xfId="0" applyFont="1" applyFill="1" applyBorder="1" applyAlignment="1">
      <alignment horizontal="center"/>
    </xf>
    <xf numFmtId="0" fontId="8" fillId="9" borderId="34" xfId="0" applyFont="1" applyFill="1" applyBorder="1" applyAlignment="1">
      <alignment horizontal="center"/>
    </xf>
    <xf numFmtId="8" fontId="13" fillId="0" borderId="19" xfId="0" applyNumberFormat="1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10" fillId="9" borderId="23" xfId="0" applyFont="1" applyFill="1" applyBorder="1" applyAlignment="1">
      <alignment horizontal="center" vertical="center" wrapText="1"/>
    </xf>
    <xf numFmtId="0" fontId="10" fillId="9" borderId="22" xfId="0" applyFont="1" applyFill="1" applyBorder="1" applyAlignment="1">
      <alignment horizontal="center" vertical="center" wrapText="1"/>
    </xf>
    <xf numFmtId="0" fontId="10" fillId="9" borderId="11" xfId="0" applyFont="1" applyFill="1" applyBorder="1" applyAlignment="1">
      <alignment horizontal="center" vertical="center" wrapText="1"/>
    </xf>
    <xf numFmtId="0" fontId="7" fillId="15" borderId="26" xfId="0" applyFont="1" applyFill="1" applyBorder="1" applyAlignment="1">
      <alignment horizontal="center"/>
    </xf>
    <xf numFmtId="0" fontId="7" fillId="15" borderId="25" xfId="0" applyFont="1" applyFill="1" applyBorder="1" applyAlignment="1">
      <alignment horizontal="center"/>
    </xf>
    <xf numFmtId="0" fontId="7" fillId="15" borderId="24" xfId="0" applyFont="1" applyFill="1" applyBorder="1" applyAlignment="1">
      <alignment horizontal="center"/>
    </xf>
    <xf numFmtId="0" fontId="7" fillId="15" borderId="23" xfId="0" applyFont="1" applyFill="1" applyBorder="1" applyAlignment="1">
      <alignment horizontal="center"/>
    </xf>
    <xf numFmtId="0" fontId="7" fillId="15" borderId="22" xfId="0" applyFont="1" applyFill="1" applyBorder="1" applyAlignment="1">
      <alignment horizontal="center"/>
    </xf>
    <xf numFmtId="0" fontId="7" fillId="15" borderId="21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0" fillId="0" borderId="19" xfId="1" applyNumberFormat="1" applyFont="1" applyBorder="1" applyAlignment="1">
      <alignment horizontal="center"/>
    </xf>
    <xf numFmtId="165" fontId="0" fillId="0" borderId="27" xfId="1" applyNumberFormat="1" applyFont="1" applyBorder="1" applyAlignment="1">
      <alignment horizontal="center"/>
    </xf>
    <xf numFmtId="0" fontId="8" fillId="9" borderId="24" xfId="0" applyFont="1" applyFill="1" applyBorder="1" applyAlignment="1">
      <alignment horizontal="center"/>
    </xf>
    <xf numFmtId="0" fontId="10" fillId="9" borderId="21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0" fontId="5" fillId="9" borderId="36" xfId="0" applyFont="1" applyFill="1" applyBorder="1" applyAlignment="1">
      <alignment horizontal="center"/>
    </xf>
    <xf numFmtId="0" fontId="5" fillId="9" borderId="37" xfId="0" applyFont="1" applyFill="1" applyBorder="1" applyAlignment="1">
      <alignment horizontal="center"/>
    </xf>
    <xf numFmtId="0" fontId="5" fillId="9" borderId="38" xfId="0" applyFont="1" applyFill="1" applyBorder="1" applyAlignment="1">
      <alignment horizontal="center"/>
    </xf>
    <xf numFmtId="165" fontId="13" fillId="4" borderId="12" xfId="0" applyNumberFormat="1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1" xfId="0" applyFont="1" applyFill="1" applyBorder="1" applyAlignment="1">
      <alignment horizontal="center"/>
    </xf>
    <xf numFmtId="0" fontId="7" fillId="16" borderId="26" xfId="0" applyFont="1" applyFill="1" applyBorder="1" applyAlignment="1">
      <alignment horizontal="center"/>
    </xf>
    <xf numFmtId="0" fontId="7" fillId="16" borderId="25" xfId="0" applyFont="1" applyFill="1" applyBorder="1" applyAlignment="1">
      <alignment horizontal="center"/>
    </xf>
    <xf numFmtId="0" fontId="7" fillId="16" borderId="24" xfId="0" applyFont="1" applyFill="1" applyBorder="1" applyAlignment="1">
      <alignment horizontal="center"/>
    </xf>
    <xf numFmtId="0" fontId="7" fillId="16" borderId="23" xfId="0" applyFont="1" applyFill="1" applyBorder="1" applyAlignment="1">
      <alignment horizontal="center"/>
    </xf>
    <xf numFmtId="0" fontId="7" fillId="16" borderId="22" xfId="0" applyFont="1" applyFill="1" applyBorder="1" applyAlignment="1">
      <alignment horizontal="center"/>
    </xf>
    <xf numFmtId="0" fontId="7" fillId="16" borderId="21" xfId="0" applyFont="1" applyFill="1" applyBorder="1" applyAlignment="1">
      <alignment horizontal="center"/>
    </xf>
    <xf numFmtId="14" fontId="4" fillId="3" borderId="18" xfId="0" applyNumberFormat="1" applyFont="1" applyFill="1" applyBorder="1" applyAlignment="1">
      <alignment horizontal="center" vertical="center" wrapText="1"/>
    </xf>
    <xf numFmtId="14" fontId="4" fillId="3" borderId="17" xfId="0" applyNumberFormat="1" applyFont="1" applyFill="1" applyBorder="1" applyAlignment="1">
      <alignment horizontal="center" vertical="center" wrapText="1"/>
    </xf>
    <xf numFmtId="14" fontId="4" fillId="3" borderId="14" xfId="0" applyNumberFormat="1" applyFont="1" applyFill="1" applyBorder="1" applyAlignment="1">
      <alignment horizontal="center" vertical="center" wrapText="1"/>
    </xf>
    <xf numFmtId="14" fontId="4" fillId="3" borderId="13" xfId="0" applyNumberFormat="1" applyFont="1" applyFill="1" applyBorder="1" applyAlignment="1">
      <alignment horizontal="center" vertical="center" wrapText="1"/>
    </xf>
    <xf numFmtId="14" fontId="4" fillId="3" borderId="7" xfId="0" applyNumberFormat="1" applyFont="1" applyFill="1" applyBorder="1" applyAlignment="1">
      <alignment horizontal="center" vertical="center" wrapText="1"/>
    </xf>
    <xf numFmtId="14" fontId="4" fillId="3" borderId="6" xfId="0" applyNumberFormat="1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12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8" borderId="23" xfId="0" applyFont="1" applyFill="1" applyBorder="1" applyAlignment="1">
      <alignment horizontal="center"/>
    </xf>
    <xf numFmtId="0" fontId="7" fillId="8" borderId="22" xfId="0" applyFont="1" applyFill="1" applyBorder="1" applyAlignment="1">
      <alignment horizontal="center"/>
    </xf>
    <xf numFmtId="0" fontId="7" fillId="8" borderId="21" xfId="0" applyFont="1" applyFill="1" applyBorder="1" applyAlignment="1">
      <alignment horizontal="center"/>
    </xf>
    <xf numFmtId="0" fontId="7" fillId="12" borderId="26" xfId="0" applyFont="1" applyFill="1" applyBorder="1" applyAlignment="1">
      <alignment horizontal="center"/>
    </xf>
    <xf numFmtId="0" fontId="7" fillId="12" borderId="25" xfId="0" applyFont="1" applyFill="1" applyBorder="1" applyAlignment="1">
      <alignment horizontal="center"/>
    </xf>
    <xf numFmtId="0" fontId="7" fillId="12" borderId="24" xfId="0" applyFont="1" applyFill="1" applyBorder="1" applyAlignment="1">
      <alignment horizontal="center"/>
    </xf>
    <xf numFmtId="0" fontId="7" fillId="12" borderId="23" xfId="0" applyFont="1" applyFill="1" applyBorder="1" applyAlignment="1">
      <alignment horizontal="center"/>
    </xf>
    <xf numFmtId="0" fontId="7" fillId="12" borderId="22" xfId="0" applyFont="1" applyFill="1" applyBorder="1" applyAlignment="1">
      <alignment horizontal="center"/>
    </xf>
    <xf numFmtId="0" fontId="7" fillId="12" borderId="21" xfId="0" applyFont="1" applyFill="1" applyBorder="1" applyAlignment="1">
      <alignment horizontal="center"/>
    </xf>
    <xf numFmtId="14" fontId="20" fillId="3" borderId="10" xfId="0" applyNumberFormat="1" applyFont="1" applyFill="1" applyBorder="1" applyAlignment="1">
      <alignment horizontal="center" vertical="center" wrapText="1"/>
    </xf>
    <xf numFmtId="14" fontId="20" fillId="3" borderId="40" xfId="0" applyNumberFormat="1" applyFont="1" applyFill="1" applyBorder="1" applyAlignment="1">
      <alignment horizontal="center" vertical="center" wrapText="1"/>
    </xf>
    <xf numFmtId="14" fontId="20" fillId="3" borderId="32" xfId="0" applyNumberFormat="1" applyFont="1" applyFill="1" applyBorder="1" applyAlignment="1">
      <alignment horizontal="center" vertical="center" wrapText="1"/>
    </xf>
    <xf numFmtId="14" fontId="20" fillId="3" borderId="28" xfId="0" applyNumberFormat="1" applyFont="1" applyFill="1" applyBorder="1" applyAlignment="1">
      <alignment horizontal="center" vertical="center" wrapText="1"/>
    </xf>
    <xf numFmtId="14" fontId="20" fillId="3" borderId="3" xfId="0" applyNumberFormat="1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/>
    </xf>
    <xf numFmtId="0" fontId="2" fillId="16" borderId="12" xfId="0" applyFont="1" applyFill="1" applyBorder="1" applyAlignment="1">
      <alignment horizontal="center" vertical="center"/>
    </xf>
    <xf numFmtId="0" fontId="2" fillId="16" borderId="1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7" fillId="15" borderId="12" xfId="0" applyFont="1" applyFill="1" applyBorder="1" applyAlignment="1">
      <alignment horizontal="center"/>
    </xf>
    <xf numFmtId="0" fontId="7" fillId="15" borderId="11" xfId="0" applyFont="1" applyFill="1" applyBorder="1" applyAlignment="1">
      <alignment horizontal="center"/>
    </xf>
    <xf numFmtId="0" fontId="2" fillId="10" borderId="32" xfId="0" applyFont="1" applyFill="1" applyBorder="1" applyAlignment="1">
      <alignment horizontal="center" vertical="center"/>
    </xf>
    <xf numFmtId="0" fontId="2" fillId="10" borderId="30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/>
    </xf>
    <xf numFmtId="0" fontId="8" fillId="9" borderId="22" xfId="0" applyFont="1" applyFill="1" applyBorder="1" applyAlignment="1">
      <alignment horizontal="center"/>
    </xf>
    <xf numFmtId="0" fontId="8" fillId="9" borderId="11" xfId="0" applyFont="1" applyFill="1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18</xdr:row>
      <xdr:rowOff>209550</xdr:rowOff>
    </xdr:from>
    <xdr:to>
      <xdr:col>0</xdr:col>
      <xdr:colOff>2095500</xdr:colOff>
      <xdr:row>18</xdr:row>
      <xdr:rowOff>1019175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F99B1B-86D4-4EE1-A688-AF3B41EC3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3619500"/>
          <a:ext cx="1790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27</xdr:row>
      <xdr:rowOff>142874</xdr:rowOff>
    </xdr:from>
    <xdr:to>
      <xdr:col>1</xdr:col>
      <xdr:colOff>171450</xdr:colOff>
      <xdr:row>27</xdr:row>
      <xdr:rowOff>876299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62F4C4-499A-4ED5-ADD2-15E4CEE4A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286374"/>
          <a:ext cx="847725" cy="7334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"/>
  <sheetViews>
    <sheetView topLeftCell="A25" workbookViewId="0">
      <selection sqref="A1:G29"/>
    </sheetView>
  </sheetViews>
  <sheetFormatPr baseColWidth="10" defaultColWidth="9.140625" defaultRowHeight="15" x14ac:dyDescent="0.25"/>
  <cols>
    <col min="1" max="1" width="37.5703125" bestFit="1" customWidth="1"/>
    <col min="5" max="5" width="21.140625" bestFit="1" customWidth="1"/>
    <col min="6" max="6" width="12" bestFit="1" customWidth="1"/>
    <col min="7" max="7" width="23.7109375" customWidth="1"/>
  </cols>
  <sheetData>
    <row r="1" spans="1:6" ht="18.75" x14ac:dyDescent="0.3">
      <c r="A1" s="216" t="s">
        <v>24</v>
      </c>
      <c r="B1" s="217"/>
      <c r="C1" s="217"/>
      <c r="D1" s="217"/>
      <c r="E1" s="217"/>
      <c r="F1" s="218"/>
    </row>
    <row r="2" spans="1:6" ht="18.75" x14ac:dyDescent="0.3">
      <c r="A2" s="219" t="s">
        <v>23</v>
      </c>
      <c r="B2" s="220"/>
      <c r="C2" s="220"/>
      <c r="D2" s="220"/>
      <c r="E2" s="220"/>
      <c r="F2" s="221"/>
    </row>
    <row r="3" spans="1:6" ht="18.75" x14ac:dyDescent="0.3">
      <c r="A3" s="219" t="s">
        <v>26</v>
      </c>
      <c r="B3" s="220"/>
      <c r="C3" s="220"/>
      <c r="D3" s="220"/>
      <c r="E3" s="220"/>
      <c r="F3" s="221"/>
    </row>
    <row r="4" spans="1:6" x14ac:dyDescent="0.25">
      <c r="A4" s="20" t="s">
        <v>22</v>
      </c>
      <c r="B4" s="21" t="s">
        <v>21</v>
      </c>
      <c r="C4" s="19"/>
      <c r="D4" s="19"/>
      <c r="E4" s="19"/>
      <c r="F4" s="26" t="s">
        <v>21</v>
      </c>
    </row>
    <row r="5" spans="1:6" x14ac:dyDescent="0.25">
      <c r="A5" s="13"/>
      <c r="B5" s="22">
        <v>46088</v>
      </c>
      <c r="C5" s="18"/>
      <c r="D5" s="18"/>
      <c r="E5" s="18"/>
      <c r="F5" s="27">
        <v>46152</v>
      </c>
    </row>
    <row r="6" spans="1:6" x14ac:dyDescent="0.25">
      <c r="A6" s="16" t="s">
        <v>20</v>
      </c>
      <c r="B6" s="23">
        <v>6</v>
      </c>
      <c r="C6" s="15"/>
      <c r="D6" s="14"/>
      <c r="E6" s="14"/>
      <c r="F6" s="28">
        <f t="shared" ref="F6:F15" si="0">SUM(B6:E6)</f>
        <v>6</v>
      </c>
    </row>
    <row r="7" spans="1:6" x14ac:dyDescent="0.25">
      <c r="A7" s="16" t="s">
        <v>16</v>
      </c>
      <c r="B7" s="23">
        <v>12</v>
      </c>
      <c r="C7" s="15"/>
      <c r="D7" s="14"/>
      <c r="E7" s="14"/>
      <c r="F7" s="28">
        <f t="shared" si="0"/>
        <v>12</v>
      </c>
    </row>
    <row r="8" spans="1:6" x14ac:dyDescent="0.25">
      <c r="A8" s="16" t="s">
        <v>19</v>
      </c>
      <c r="B8" s="23">
        <v>6</v>
      </c>
      <c r="C8" s="15"/>
      <c r="D8" s="14"/>
      <c r="E8" s="14"/>
      <c r="F8" s="28">
        <f t="shared" si="0"/>
        <v>6</v>
      </c>
    </row>
    <row r="9" spans="1:6" x14ac:dyDescent="0.25">
      <c r="A9" s="16" t="s">
        <v>18</v>
      </c>
      <c r="B9" s="23">
        <v>6</v>
      </c>
      <c r="C9" s="15"/>
      <c r="D9" s="14"/>
      <c r="E9" s="14"/>
      <c r="F9" s="28">
        <f t="shared" si="0"/>
        <v>6</v>
      </c>
    </row>
    <row r="10" spans="1:6" x14ac:dyDescent="0.25">
      <c r="A10" s="16" t="s">
        <v>17</v>
      </c>
      <c r="B10" s="23">
        <v>4</v>
      </c>
      <c r="C10" s="15"/>
      <c r="D10" s="14"/>
      <c r="E10" s="14"/>
      <c r="F10" s="28">
        <f t="shared" si="0"/>
        <v>4</v>
      </c>
    </row>
    <row r="11" spans="1:6" x14ac:dyDescent="0.25">
      <c r="A11" s="16" t="s">
        <v>16</v>
      </c>
      <c r="B11" s="23">
        <v>4</v>
      </c>
      <c r="C11" s="15"/>
      <c r="D11" s="17"/>
      <c r="E11" s="17"/>
      <c r="F11" s="28">
        <f t="shared" si="0"/>
        <v>4</v>
      </c>
    </row>
    <row r="12" spans="1:6" x14ac:dyDescent="0.25">
      <c r="A12" s="16" t="s">
        <v>15</v>
      </c>
      <c r="B12" s="23">
        <v>16</v>
      </c>
      <c r="C12" s="15"/>
      <c r="D12" s="17"/>
      <c r="E12" s="17"/>
      <c r="F12" s="28">
        <f t="shared" si="0"/>
        <v>16</v>
      </c>
    </row>
    <row r="13" spans="1:6" x14ac:dyDescent="0.25">
      <c r="A13" s="16" t="s">
        <v>14</v>
      </c>
      <c r="B13" s="23">
        <v>10</v>
      </c>
      <c r="C13" s="15"/>
      <c r="D13" s="17"/>
      <c r="E13" s="17"/>
      <c r="F13" s="28">
        <f t="shared" si="0"/>
        <v>10</v>
      </c>
    </row>
    <row r="14" spans="1:6" x14ac:dyDescent="0.25">
      <c r="A14" s="16" t="s">
        <v>13</v>
      </c>
      <c r="B14" s="23">
        <v>3</v>
      </c>
      <c r="C14" s="15"/>
      <c r="D14" s="17"/>
      <c r="E14" s="17"/>
      <c r="F14" s="28">
        <f t="shared" si="0"/>
        <v>3</v>
      </c>
    </row>
    <row r="15" spans="1:6" x14ac:dyDescent="0.25">
      <c r="A15" s="16" t="s">
        <v>12</v>
      </c>
      <c r="B15" s="23">
        <v>4</v>
      </c>
      <c r="C15" s="15"/>
      <c r="D15" s="14"/>
      <c r="E15" s="14"/>
      <c r="F15" s="28">
        <f t="shared" si="0"/>
        <v>4</v>
      </c>
    </row>
    <row r="16" spans="1:6" x14ac:dyDescent="0.25">
      <c r="A16" s="13" t="s">
        <v>11</v>
      </c>
      <c r="B16" s="24">
        <v>0.3888888888888889</v>
      </c>
      <c r="C16" s="12"/>
      <c r="D16" s="11"/>
      <c r="E16" s="11"/>
      <c r="F16" s="28"/>
    </row>
    <row r="17" spans="1:7" ht="15.75" thickBot="1" x14ac:dyDescent="0.3">
      <c r="A17" s="10" t="s">
        <v>10</v>
      </c>
      <c r="B17" s="25"/>
      <c r="C17" s="9"/>
      <c r="D17" s="9"/>
      <c r="E17" s="9"/>
      <c r="F17" s="29">
        <f>SUM(B17:E17)</f>
        <v>0</v>
      </c>
    </row>
    <row r="18" spans="1:7" ht="15.75" thickBot="1" x14ac:dyDescent="0.3"/>
    <row r="19" spans="1:7" x14ac:dyDescent="0.25">
      <c r="A19" s="155" t="s">
        <v>9</v>
      </c>
      <c r="B19" s="156"/>
      <c r="C19" s="156"/>
      <c r="D19" s="156"/>
      <c r="E19" s="156"/>
      <c r="F19" s="156"/>
      <c r="G19" s="178"/>
    </row>
    <row r="20" spans="1:7" ht="18.75" x14ac:dyDescent="0.3">
      <c r="A20" s="213" t="s">
        <v>8</v>
      </c>
      <c r="B20" s="214"/>
      <c r="C20" s="214"/>
      <c r="D20" s="214"/>
      <c r="E20" s="214"/>
      <c r="F20" s="214"/>
      <c r="G20" s="215"/>
    </row>
    <row r="21" spans="1:7" ht="18.75" x14ac:dyDescent="0.3">
      <c r="A21" s="213" t="s">
        <v>7</v>
      </c>
      <c r="B21" s="214"/>
      <c r="C21" s="214"/>
      <c r="D21" s="214"/>
      <c r="E21" s="214"/>
      <c r="F21" s="214"/>
      <c r="G21" s="215"/>
    </row>
    <row r="22" spans="1:7" x14ac:dyDescent="0.25">
      <c r="A22" s="8" t="s">
        <v>6</v>
      </c>
      <c r="B22" s="7">
        <v>65</v>
      </c>
      <c r="C22" s="7">
        <v>13</v>
      </c>
      <c r="D22" s="6">
        <v>1400</v>
      </c>
      <c r="E22" s="6">
        <f>C22*D22</f>
        <v>18200</v>
      </c>
      <c r="F22" s="6">
        <f>B22*E22</f>
        <v>1183000</v>
      </c>
      <c r="G22" s="5" t="s">
        <v>25</v>
      </c>
    </row>
    <row r="23" spans="1:7" x14ac:dyDescent="0.25">
      <c r="A23" s="8" t="s">
        <v>5</v>
      </c>
      <c r="B23" s="7">
        <v>65</v>
      </c>
      <c r="C23" s="7">
        <v>16</v>
      </c>
      <c r="D23" s="6">
        <v>1400</v>
      </c>
      <c r="E23" s="6">
        <f>C23*D23</f>
        <v>22400</v>
      </c>
      <c r="F23" s="6">
        <f>B23*E23</f>
        <v>1456000</v>
      </c>
      <c r="G23" s="5" t="s">
        <v>25</v>
      </c>
    </row>
    <row r="24" spans="1:7" x14ac:dyDescent="0.25">
      <c r="A24" s="8" t="s">
        <v>4</v>
      </c>
      <c r="B24" s="7">
        <v>65</v>
      </c>
      <c r="C24" s="7">
        <v>4</v>
      </c>
      <c r="D24" s="6">
        <v>800</v>
      </c>
      <c r="E24" s="6">
        <f>C24*D24</f>
        <v>3200</v>
      </c>
      <c r="F24" s="6">
        <f>B24*E24</f>
        <v>208000</v>
      </c>
      <c r="G24" s="5" t="s">
        <v>25</v>
      </c>
    </row>
    <row r="25" spans="1:7" ht="18.75" x14ac:dyDescent="0.4">
      <c r="A25" s="193" t="s">
        <v>25</v>
      </c>
      <c r="B25" s="194"/>
      <c r="C25" s="199" t="s">
        <v>3</v>
      </c>
      <c r="D25" s="200"/>
      <c r="E25" s="4">
        <f>SUM(E22:E24)*1.19</f>
        <v>52122</v>
      </c>
      <c r="F25" s="201"/>
      <c r="G25" s="202"/>
    </row>
    <row r="26" spans="1:7" ht="18.75" x14ac:dyDescent="0.4">
      <c r="A26" s="195"/>
      <c r="B26" s="196"/>
      <c r="C26" s="207" t="s">
        <v>2</v>
      </c>
      <c r="D26" s="208"/>
      <c r="E26" s="3">
        <f>SUM(F22:F24)</f>
        <v>2847000</v>
      </c>
      <c r="F26" s="203"/>
      <c r="G26" s="204"/>
    </row>
    <row r="27" spans="1:7" ht="18.75" x14ac:dyDescent="0.4">
      <c r="A27" s="195"/>
      <c r="B27" s="196"/>
      <c r="C27" s="209" t="s">
        <v>1</v>
      </c>
      <c r="D27" s="210"/>
      <c r="E27" s="2">
        <f>E26*19%</f>
        <v>540930</v>
      </c>
      <c r="F27" s="203"/>
      <c r="G27" s="204"/>
    </row>
    <row r="28" spans="1:7" ht="18.75" x14ac:dyDescent="0.4">
      <c r="A28" s="195"/>
      <c r="B28" s="196"/>
      <c r="C28" s="209"/>
      <c r="D28" s="210"/>
      <c r="E28" s="30"/>
      <c r="F28" s="203"/>
      <c r="G28" s="204"/>
    </row>
    <row r="29" spans="1:7" ht="23.25" thickBot="1" x14ac:dyDescent="0.5">
      <c r="A29" s="197"/>
      <c r="B29" s="198"/>
      <c r="C29" s="211" t="s">
        <v>0</v>
      </c>
      <c r="D29" s="212"/>
      <c r="E29" s="1">
        <f>SUM(E26:E28)</f>
        <v>3387930</v>
      </c>
      <c r="F29" s="205"/>
      <c r="G29" s="206"/>
    </row>
  </sheetData>
  <mergeCells count="13">
    <mergeCell ref="A20:G20"/>
    <mergeCell ref="A21:G21"/>
    <mergeCell ref="A1:F1"/>
    <mergeCell ref="A2:F2"/>
    <mergeCell ref="A3:F3"/>
    <mergeCell ref="A19:G19"/>
    <mergeCell ref="A25:B29"/>
    <mergeCell ref="C25:D25"/>
    <mergeCell ref="F25:G29"/>
    <mergeCell ref="C26:D26"/>
    <mergeCell ref="C27:D27"/>
    <mergeCell ref="C29:D29"/>
    <mergeCell ref="C28:D28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8222-0F42-44DE-B6CA-1771A11B68C5}">
  <sheetPr>
    <pageSetUpPr fitToPage="1"/>
  </sheetPr>
  <dimension ref="A1:K172"/>
  <sheetViews>
    <sheetView tabSelected="1" topLeftCell="A153" workbookViewId="0">
      <selection activeCell="A161" sqref="A161:D167"/>
    </sheetView>
  </sheetViews>
  <sheetFormatPr baseColWidth="10" defaultRowHeight="15" x14ac:dyDescent="0.25"/>
  <cols>
    <col min="1" max="1" width="31.5703125" customWidth="1"/>
    <col min="3" max="3" width="13" bestFit="1" customWidth="1"/>
    <col min="4" max="4" width="21.28515625" customWidth="1"/>
    <col min="5" max="5" width="16.7109375" bestFit="1" customWidth="1"/>
    <col min="6" max="6" width="16.42578125" bestFit="1" customWidth="1"/>
    <col min="7" max="7" width="24.85546875" bestFit="1" customWidth="1"/>
    <col min="8" max="8" width="12" bestFit="1" customWidth="1"/>
  </cols>
  <sheetData>
    <row r="1" spans="1:11" ht="18.75" x14ac:dyDescent="0.3">
      <c r="A1" s="168" t="s">
        <v>71</v>
      </c>
      <c r="B1" s="169"/>
      <c r="C1" s="169"/>
      <c r="D1" s="169"/>
      <c r="E1" s="169"/>
      <c r="F1" s="169"/>
      <c r="G1" s="169"/>
      <c r="H1" s="169"/>
      <c r="I1" s="169"/>
      <c r="J1" s="169"/>
      <c r="K1" s="170"/>
    </row>
    <row r="2" spans="1:11" ht="18.75" x14ac:dyDescent="0.3">
      <c r="A2" s="171" t="s">
        <v>86</v>
      </c>
      <c r="B2" s="172"/>
      <c r="C2" s="172"/>
      <c r="D2" s="172"/>
      <c r="E2" s="172"/>
      <c r="F2" s="172"/>
      <c r="G2" s="172"/>
      <c r="H2" s="172"/>
      <c r="I2" s="172"/>
      <c r="J2" s="172"/>
      <c r="K2" s="173"/>
    </row>
    <row r="3" spans="1:11" ht="18.75" x14ac:dyDescent="0.3">
      <c r="A3" s="171" t="s">
        <v>96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</row>
    <row r="4" spans="1:11" x14ac:dyDescent="0.25">
      <c r="A4" s="76" t="s">
        <v>22</v>
      </c>
      <c r="B4" s="19">
        <v>13573</v>
      </c>
      <c r="C4" s="19">
        <v>13578</v>
      </c>
      <c r="D4" s="19">
        <v>13621</v>
      </c>
      <c r="E4" s="19">
        <v>13308</v>
      </c>
      <c r="F4" s="19">
        <v>13316</v>
      </c>
      <c r="G4" s="19">
        <v>13317</v>
      </c>
      <c r="H4" s="19">
        <v>13657</v>
      </c>
      <c r="I4" s="19">
        <v>13342</v>
      </c>
      <c r="J4" s="19"/>
      <c r="K4" s="88" t="s">
        <v>21</v>
      </c>
    </row>
    <row r="5" spans="1:11" x14ac:dyDescent="0.25">
      <c r="A5" s="77"/>
      <c r="B5" s="18">
        <v>46128</v>
      </c>
      <c r="C5" s="78">
        <v>46132</v>
      </c>
      <c r="D5" s="79">
        <v>46144</v>
      </c>
      <c r="E5" s="18">
        <v>46144</v>
      </c>
      <c r="F5" s="18">
        <v>46149</v>
      </c>
      <c r="G5" s="18">
        <v>46149</v>
      </c>
      <c r="H5" s="18">
        <v>46154</v>
      </c>
      <c r="I5" s="18">
        <v>46162</v>
      </c>
      <c r="J5" s="18"/>
      <c r="K5" s="89">
        <v>46163</v>
      </c>
    </row>
    <row r="6" spans="1:11" x14ac:dyDescent="0.25">
      <c r="A6" s="80" t="s">
        <v>48</v>
      </c>
      <c r="B6" s="81">
        <v>4</v>
      </c>
      <c r="C6" s="14">
        <v>20</v>
      </c>
      <c r="D6" s="14"/>
      <c r="E6" s="14">
        <v>-4</v>
      </c>
      <c r="F6" s="14">
        <v>-12</v>
      </c>
      <c r="G6" s="14"/>
      <c r="H6" s="14"/>
      <c r="I6" s="14"/>
      <c r="J6" s="14"/>
      <c r="K6" s="90">
        <f>SUM(B6:H6)</f>
        <v>8</v>
      </c>
    </row>
    <row r="7" spans="1:11" x14ac:dyDescent="0.25">
      <c r="A7" s="80" t="s">
        <v>52</v>
      </c>
      <c r="B7" s="81">
        <v>3</v>
      </c>
      <c r="C7" s="14">
        <v>15</v>
      </c>
      <c r="D7" s="14"/>
      <c r="E7" s="14">
        <v>-7</v>
      </c>
      <c r="F7" s="14">
        <v>-2</v>
      </c>
      <c r="G7" s="14">
        <v>-9</v>
      </c>
      <c r="H7" s="14"/>
      <c r="I7" s="14"/>
      <c r="J7" s="14"/>
      <c r="K7" s="90">
        <f t="shared" ref="K7:K19" si="0">SUM(B7:H7)</f>
        <v>0</v>
      </c>
    </row>
    <row r="8" spans="1:11" x14ac:dyDescent="0.25">
      <c r="A8" s="80" t="s">
        <v>54</v>
      </c>
      <c r="B8" s="81">
        <v>5</v>
      </c>
      <c r="C8" s="14">
        <v>25</v>
      </c>
      <c r="D8" s="14"/>
      <c r="E8" s="14">
        <v>-25</v>
      </c>
      <c r="F8" s="14">
        <v>-2</v>
      </c>
      <c r="G8" s="14"/>
      <c r="H8" s="14"/>
      <c r="I8" s="14"/>
      <c r="J8" s="14"/>
      <c r="K8" s="90">
        <f t="shared" si="0"/>
        <v>3</v>
      </c>
    </row>
    <row r="9" spans="1:11" x14ac:dyDescent="0.25">
      <c r="A9" s="80" t="s">
        <v>55</v>
      </c>
      <c r="B9" s="81">
        <v>2</v>
      </c>
      <c r="C9" s="14">
        <v>16</v>
      </c>
      <c r="D9" s="14"/>
      <c r="E9" s="14">
        <v>-3</v>
      </c>
      <c r="F9" s="14">
        <v>-14</v>
      </c>
      <c r="G9" s="14"/>
      <c r="H9" s="14"/>
      <c r="I9" s="14"/>
      <c r="J9" s="14"/>
      <c r="K9" s="90">
        <f t="shared" si="0"/>
        <v>1</v>
      </c>
    </row>
    <row r="10" spans="1:11" x14ac:dyDescent="0.25">
      <c r="A10" s="80" t="s">
        <v>56</v>
      </c>
      <c r="B10" s="81">
        <v>4</v>
      </c>
      <c r="C10" s="14">
        <v>20</v>
      </c>
      <c r="D10" s="14"/>
      <c r="E10" s="14"/>
      <c r="F10" s="14"/>
      <c r="G10" s="14"/>
      <c r="H10" s="14"/>
      <c r="I10" s="14"/>
      <c r="J10" s="14"/>
      <c r="K10" s="90">
        <f t="shared" si="0"/>
        <v>24</v>
      </c>
    </row>
    <row r="11" spans="1:11" x14ac:dyDescent="0.25">
      <c r="A11" s="80" t="s">
        <v>58</v>
      </c>
      <c r="B11" s="81">
        <v>6</v>
      </c>
      <c r="C11" s="14">
        <v>30</v>
      </c>
      <c r="D11" s="14"/>
      <c r="E11" s="14"/>
      <c r="F11" s="14"/>
      <c r="G11" s="14"/>
      <c r="H11" s="14"/>
      <c r="I11" s="14"/>
      <c r="J11" s="14"/>
      <c r="K11" s="90">
        <f t="shared" si="0"/>
        <v>36</v>
      </c>
    </row>
    <row r="12" spans="1:11" x14ac:dyDescent="0.25">
      <c r="A12" s="80" t="s">
        <v>59</v>
      </c>
      <c r="B12" s="81">
        <v>10</v>
      </c>
      <c r="C12" s="14">
        <v>50</v>
      </c>
      <c r="D12" s="14"/>
      <c r="E12" s="14"/>
      <c r="F12" s="14"/>
      <c r="G12" s="14"/>
      <c r="H12" s="14"/>
      <c r="I12" s="14"/>
      <c r="J12" s="14"/>
      <c r="K12" s="90">
        <f t="shared" si="0"/>
        <v>60</v>
      </c>
    </row>
    <row r="13" spans="1:11" x14ac:dyDescent="0.25">
      <c r="A13" s="80" t="s">
        <v>60</v>
      </c>
      <c r="B13" s="81">
        <v>40</v>
      </c>
      <c r="C13" s="14">
        <v>198</v>
      </c>
      <c r="D13" s="14"/>
      <c r="E13" s="14"/>
      <c r="F13" s="14"/>
      <c r="G13" s="14">
        <v>-181</v>
      </c>
      <c r="H13" s="14"/>
      <c r="I13" s="14"/>
      <c r="J13" s="14"/>
      <c r="K13" s="90">
        <f t="shared" si="0"/>
        <v>57</v>
      </c>
    </row>
    <row r="14" spans="1:11" x14ac:dyDescent="0.25">
      <c r="A14" s="80" t="s">
        <v>65</v>
      </c>
      <c r="B14" s="81">
        <v>100</v>
      </c>
      <c r="C14" s="14">
        <v>500</v>
      </c>
      <c r="D14" s="14"/>
      <c r="E14" s="14"/>
      <c r="F14" s="14"/>
      <c r="G14" s="14">
        <v>-354</v>
      </c>
      <c r="H14" s="14"/>
      <c r="I14" s="14"/>
      <c r="J14" s="14"/>
      <c r="K14" s="90">
        <f t="shared" si="0"/>
        <v>246</v>
      </c>
    </row>
    <row r="15" spans="1:11" x14ac:dyDescent="0.25">
      <c r="A15" s="80" t="s">
        <v>87</v>
      </c>
      <c r="B15" s="81">
        <v>16</v>
      </c>
      <c r="C15" s="14"/>
      <c r="D15" s="82">
        <v>14</v>
      </c>
      <c r="E15" s="14"/>
      <c r="F15" s="14"/>
      <c r="G15" s="14"/>
      <c r="H15" s="14"/>
      <c r="I15" s="14"/>
      <c r="J15" s="14"/>
      <c r="K15" s="90">
        <f t="shared" si="0"/>
        <v>30</v>
      </c>
    </row>
    <row r="16" spans="1:11" x14ac:dyDescent="0.25">
      <c r="A16" s="80" t="s">
        <v>88</v>
      </c>
      <c r="B16" s="81"/>
      <c r="C16" s="14"/>
      <c r="D16" s="82">
        <v>14</v>
      </c>
      <c r="E16" s="14"/>
      <c r="F16" s="14"/>
      <c r="G16" s="14"/>
      <c r="H16" s="14"/>
      <c r="I16" s="14"/>
      <c r="J16" s="14"/>
      <c r="K16" s="90">
        <f t="shared" si="0"/>
        <v>14</v>
      </c>
    </row>
    <row r="17" spans="1:11" x14ac:dyDescent="0.25">
      <c r="A17" s="80" t="s">
        <v>89</v>
      </c>
      <c r="B17" s="81">
        <v>10</v>
      </c>
      <c r="C17" s="14"/>
      <c r="D17" s="14"/>
      <c r="E17" s="14"/>
      <c r="F17" s="14"/>
      <c r="G17" s="14"/>
      <c r="H17" s="14"/>
      <c r="I17" s="14"/>
      <c r="J17" s="14"/>
      <c r="K17" s="90">
        <f t="shared" si="0"/>
        <v>10</v>
      </c>
    </row>
    <row r="18" spans="1:11" x14ac:dyDescent="0.25">
      <c r="A18" s="80" t="s">
        <v>90</v>
      </c>
      <c r="B18" s="81"/>
      <c r="C18" s="14"/>
      <c r="D18" s="14"/>
      <c r="E18" s="14"/>
      <c r="F18" s="14"/>
      <c r="G18" s="14"/>
      <c r="H18" s="82">
        <v>60</v>
      </c>
      <c r="I18" s="82">
        <v>-36</v>
      </c>
      <c r="J18" s="82"/>
      <c r="K18" s="90">
        <f>SUM(B18:I18)</f>
        <v>24</v>
      </c>
    </row>
    <row r="19" spans="1:11" x14ac:dyDescent="0.25">
      <c r="A19" s="80" t="s">
        <v>91</v>
      </c>
      <c r="B19" s="81"/>
      <c r="C19" s="14">
        <v>2</v>
      </c>
      <c r="D19" s="14"/>
      <c r="E19" s="14"/>
      <c r="F19" s="14"/>
      <c r="G19" s="14">
        <v>-2</v>
      </c>
      <c r="H19" s="14"/>
      <c r="I19" s="14"/>
      <c r="J19" s="14"/>
      <c r="K19" s="90">
        <f t="shared" si="0"/>
        <v>0</v>
      </c>
    </row>
    <row r="20" spans="1:11" x14ac:dyDescent="0.25">
      <c r="A20" s="77" t="s">
        <v>11</v>
      </c>
      <c r="B20" s="12">
        <v>0.19444444444444445</v>
      </c>
      <c r="C20" s="11">
        <v>0.30208333333333331</v>
      </c>
      <c r="D20" s="11">
        <v>0.35416666666666669</v>
      </c>
      <c r="E20" s="11">
        <v>0.47916666666666669</v>
      </c>
      <c r="F20" s="11">
        <v>0.3125</v>
      </c>
      <c r="G20" s="11">
        <v>9.0277777777777776E-2</v>
      </c>
      <c r="H20" s="11">
        <v>0.4826388888888889</v>
      </c>
      <c r="I20" s="11">
        <v>0.70138888888888884</v>
      </c>
      <c r="J20" s="11"/>
      <c r="K20" s="90"/>
    </row>
    <row r="21" spans="1:11" x14ac:dyDescent="0.25">
      <c r="A21" s="77" t="s">
        <v>10</v>
      </c>
      <c r="B21" s="83" t="s">
        <v>92</v>
      </c>
      <c r="C21" s="83" t="s">
        <v>93</v>
      </c>
      <c r="D21" s="83" t="s">
        <v>94</v>
      </c>
      <c r="E21" s="83" t="s">
        <v>94</v>
      </c>
      <c r="F21" s="83" t="s">
        <v>94</v>
      </c>
      <c r="G21" s="83" t="s">
        <v>94</v>
      </c>
      <c r="H21" s="83" t="s">
        <v>95</v>
      </c>
      <c r="I21" s="83" t="s">
        <v>97</v>
      </c>
      <c r="J21" s="83"/>
      <c r="K21" s="90"/>
    </row>
    <row r="24" spans="1:11" ht="19.5" thickBot="1" x14ac:dyDescent="0.45">
      <c r="A24" s="152" t="s">
        <v>139</v>
      </c>
      <c r="B24" s="153"/>
      <c r="C24" s="153"/>
      <c r="D24" s="153"/>
      <c r="E24" s="153"/>
      <c r="F24" s="154"/>
      <c r="G24" s="32"/>
    </row>
    <row r="25" spans="1:11" x14ac:dyDescent="0.25">
      <c r="A25" s="155" t="s">
        <v>28</v>
      </c>
      <c r="B25" s="156"/>
      <c r="C25" s="156"/>
      <c r="D25" s="156"/>
      <c r="E25" s="156"/>
      <c r="F25" s="157"/>
      <c r="G25" s="33"/>
    </row>
    <row r="26" spans="1:11" ht="18" x14ac:dyDescent="0.25">
      <c r="A26" s="165" t="s">
        <v>29</v>
      </c>
      <c r="B26" s="166"/>
      <c r="C26" s="166"/>
      <c r="D26" s="166"/>
      <c r="E26" s="166"/>
      <c r="F26" s="167"/>
      <c r="G26" s="35" t="s">
        <v>30</v>
      </c>
    </row>
    <row r="27" spans="1:11" x14ac:dyDescent="0.25">
      <c r="A27" s="162" t="s">
        <v>22</v>
      </c>
      <c r="B27" s="161" t="s">
        <v>31</v>
      </c>
      <c r="C27" s="161"/>
      <c r="D27" s="161"/>
      <c r="E27" s="36" t="s">
        <v>32</v>
      </c>
      <c r="F27" s="36"/>
      <c r="G27" s="37" t="s">
        <v>33</v>
      </c>
    </row>
    <row r="28" spans="1:11" x14ac:dyDescent="0.25">
      <c r="A28" s="162"/>
      <c r="B28" s="36" t="s">
        <v>2</v>
      </c>
      <c r="C28" s="36" t="s">
        <v>34</v>
      </c>
      <c r="D28" s="36" t="s">
        <v>35</v>
      </c>
      <c r="E28" s="36" t="s">
        <v>36</v>
      </c>
      <c r="F28" s="36" t="s">
        <v>37</v>
      </c>
      <c r="G28" s="38"/>
    </row>
    <row r="29" spans="1:11" x14ac:dyDescent="0.25">
      <c r="A29" s="39" t="s">
        <v>38</v>
      </c>
      <c r="B29" s="40">
        <v>19</v>
      </c>
      <c r="C29" s="41">
        <v>14</v>
      </c>
      <c r="D29" s="42">
        <v>200</v>
      </c>
      <c r="E29" s="43">
        <f>C29*D29</f>
        <v>2800</v>
      </c>
      <c r="F29" s="44">
        <f>B29*E29</f>
        <v>53200</v>
      </c>
      <c r="G29" s="45"/>
    </row>
    <row r="30" spans="1:11" x14ac:dyDescent="0.25">
      <c r="A30" s="39" t="s">
        <v>39</v>
      </c>
      <c r="B30" s="40">
        <v>19</v>
      </c>
      <c r="C30" s="41">
        <v>14</v>
      </c>
      <c r="D30" s="42">
        <v>260</v>
      </c>
      <c r="E30" s="43">
        <f>C30*D30</f>
        <v>3640</v>
      </c>
      <c r="F30" s="44">
        <f>B30*E30</f>
        <v>69160</v>
      </c>
      <c r="G30" s="45"/>
    </row>
    <row r="31" spans="1:11" ht="18.75" x14ac:dyDescent="0.4">
      <c r="A31" s="142" t="s">
        <v>40</v>
      </c>
      <c r="B31" s="143"/>
      <c r="C31" s="146" t="s">
        <v>41</v>
      </c>
      <c r="D31" s="147"/>
      <c r="E31" s="46">
        <f>SUM(E29:E30)*1.19</f>
        <v>7663.5999999999995</v>
      </c>
      <c r="F31" s="176">
        <v>120000</v>
      </c>
      <c r="G31" s="47"/>
    </row>
    <row r="32" spans="1:11" ht="18.75" x14ac:dyDescent="0.4">
      <c r="A32" s="142"/>
      <c r="B32" s="143"/>
      <c r="C32" s="146" t="s">
        <v>42</v>
      </c>
      <c r="D32" s="147"/>
      <c r="E32" s="46">
        <f>SUM(F29:F30)</f>
        <v>122360</v>
      </c>
      <c r="F32" s="176"/>
      <c r="G32" s="47"/>
    </row>
    <row r="33" spans="1:10" ht="18.75" x14ac:dyDescent="0.4">
      <c r="A33" s="142"/>
      <c r="B33" s="143"/>
      <c r="C33" s="146" t="s">
        <v>43</v>
      </c>
      <c r="D33" s="147"/>
      <c r="E33" s="48">
        <f>SUM(F29:F30)*0.19</f>
        <v>23248.400000000001</v>
      </c>
      <c r="F33" s="176"/>
      <c r="G33" s="47"/>
    </row>
    <row r="34" spans="1:10" ht="18.75" x14ac:dyDescent="0.4">
      <c r="A34" s="142"/>
      <c r="B34" s="143"/>
      <c r="C34" s="146" t="s">
        <v>44</v>
      </c>
      <c r="D34" s="147"/>
      <c r="E34" s="2"/>
      <c r="F34" s="176"/>
      <c r="G34" s="47"/>
    </row>
    <row r="35" spans="1:10" ht="19.5" thickBot="1" x14ac:dyDescent="0.45">
      <c r="A35" s="144"/>
      <c r="B35" s="145"/>
      <c r="C35" s="150" t="s">
        <v>45</v>
      </c>
      <c r="D35" s="151"/>
      <c r="E35" s="49">
        <f>SUM(E32:E34)</f>
        <v>145608.4</v>
      </c>
      <c r="F35" s="177"/>
      <c r="G35" s="47"/>
    </row>
    <row r="38" spans="1:10" ht="19.5" thickBot="1" x14ac:dyDescent="0.45">
      <c r="A38" s="152" t="s">
        <v>27</v>
      </c>
      <c r="B38" s="153"/>
      <c r="C38" s="153"/>
      <c r="D38" s="153"/>
      <c r="E38" s="153"/>
      <c r="F38" s="154"/>
    </row>
    <row r="39" spans="1:10" x14ac:dyDescent="0.25">
      <c r="A39" s="155" t="s">
        <v>46</v>
      </c>
      <c r="B39" s="156"/>
      <c r="C39" s="156"/>
      <c r="D39" s="156"/>
      <c r="E39" s="156"/>
      <c r="F39" s="157"/>
    </row>
    <row r="40" spans="1:10" ht="18" x14ac:dyDescent="0.25">
      <c r="A40" s="50"/>
      <c r="B40" s="51"/>
      <c r="C40" s="51"/>
      <c r="D40" s="51"/>
      <c r="E40" s="51"/>
      <c r="F40" s="34"/>
      <c r="G40" s="52" t="s">
        <v>47</v>
      </c>
    </row>
    <row r="41" spans="1:10" x14ac:dyDescent="0.25">
      <c r="A41" s="162" t="s">
        <v>22</v>
      </c>
      <c r="B41" s="161" t="s">
        <v>31</v>
      </c>
      <c r="C41" s="161"/>
      <c r="D41" s="161"/>
      <c r="E41" s="140" t="s">
        <v>32</v>
      </c>
      <c r="F41" s="164"/>
      <c r="G41" s="38"/>
      <c r="H41" s="38"/>
      <c r="I41" s="38"/>
      <c r="J41" s="38"/>
    </row>
    <row r="42" spans="1:10" x14ac:dyDescent="0.25">
      <c r="A42" s="162"/>
      <c r="B42" s="36" t="s">
        <v>2</v>
      </c>
      <c r="C42" s="53" t="s">
        <v>34</v>
      </c>
      <c r="D42" s="36" t="s">
        <v>35</v>
      </c>
      <c r="E42" s="36" t="s">
        <v>36</v>
      </c>
      <c r="F42" s="54" t="s">
        <v>37</v>
      </c>
    </row>
    <row r="43" spans="1:10" x14ac:dyDescent="0.25">
      <c r="A43" s="39" t="s">
        <v>48</v>
      </c>
      <c r="B43" s="40">
        <v>12</v>
      </c>
      <c r="C43" s="55">
        <v>20</v>
      </c>
      <c r="D43" s="56">
        <v>420</v>
      </c>
      <c r="E43" s="56">
        <f t="shared" ref="E43:E57" si="1">C43*D43</f>
        <v>8400</v>
      </c>
      <c r="F43" s="56">
        <f t="shared" ref="F43:F57" si="2">B43*E43</f>
        <v>100800</v>
      </c>
      <c r="G43" t="s">
        <v>49</v>
      </c>
    </row>
    <row r="44" spans="1:10" x14ac:dyDescent="0.25">
      <c r="A44" s="39" t="s">
        <v>48</v>
      </c>
      <c r="B44" s="40">
        <v>5</v>
      </c>
      <c r="C44" s="55">
        <v>16</v>
      </c>
      <c r="D44" s="56">
        <v>420</v>
      </c>
      <c r="E44" s="56">
        <f t="shared" si="1"/>
        <v>6720</v>
      </c>
      <c r="F44" s="56">
        <f t="shared" si="2"/>
        <v>33600</v>
      </c>
      <c r="G44" t="s">
        <v>50</v>
      </c>
    </row>
    <row r="45" spans="1:10" x14ac:dyDescent="0.25">
      <c r="A45" s="39" t="s">
        <v>48</v>
      </c>
      <c r="B45" s="40">
        <v>10</v>
      </c>
      <c r="C45" s="55">
        <v>4</v>
      </c>
      <c r="D45" s="56">
        <v>420</v>
      </c>
      <c r="E45" s="56">
        <f t="shared" si="1"/>
        <v>1680</v>
      </c>
      <c r="F45" s="56">
        <f t="shared" si="2"/>
        <v>16800</v>
      </c>
      <c r="G45" t="s">
        <v>51</v>
      </c>
    </row>
    <row r="46" spans="1:10" x14ac:dyDescent="0.25">
      <c r="A46" s="39" t="s">
        <v>52</v>
      </c>
      <c r="B46" s="57">
        <v>12</v>
      </c>
      <c r="C46" s="55">
        <v>15</v>
      </c>
      <c r="D46" s="56">
        <v>350</v>
      </c>
      <c r="E46" s="56">
        <f t="shared" si="1"/>
        <v>5250</v>
      </c>
      <c r="F46" s="56">
        <f t="shared" si="2"/>
        <v>63000</v>
      </c>
      <c r="G46" s="58" t="s">
        <v>53</v>
      </c>
      <c r="H46" s="58"/>
      <c r="I46" s="58"/>
      <c r="J46" s="58"/>
    </row>
    <row r="47" spans="1:10" x14ac:dyDescent="0.25">
      <c r="A47" s="39" t="s">
        <v>52</v>
      </c>
      <c r="B47" s="57">
        <v>5</v>
      </c>
      <c r="C47" s="55">
        <v>8</v>
      </c>
      <c r="D47" s="56">
        <v>350</v>
      </c>
      <c r="E47" s="56">
        <f t="shared" si="1"/>
        <v>2800</v>
      </c>
      <c r="F47" s="56">
        <f t="shared" si="2"/>
        <v>14000</v>
      </c>
      <c r="G47" s="58" t="s">
        <v>50</v>
      </c>
      <c r="H47" s="58"/>
      <c r="I47" s="58"/>
      <c r="J47" s="58"/>
    </row>
    <row r="48" spans="1:10" x14ac:dyDescent="0.25">
      <c r="A48" s="39" t="s">
        <v>54</v>
      </c>
      <c r="B48" s="57">
        <v>12</v>
      </c>
      <c r="C48" s="55">
        <v>25</v>
      </c>
      <c r="D48" s="56">
        <v>320</v>
      </c>
      <c r="E48" s="56">
        <f t="shared" si="1"/>
        <v>8000</v>
      </c>
      <c r="F48" s="56">
        <f t="shared" si="2"/>
        <v>96000</v>
      </c>
      <c r="G48" s="58" t="s">
        <v>49</v>
      </c>
      <c r="H48" s="58"/>
      <c r="I48" s="58"/>
      <c r="J48" s="58"/>
    </row>
    <row r="49" spans="1:10" x14ac:dyDescent="0.25">
      <c r="A49" s="39" t="s">
        <v>55</v>
      </c>
      <c r="B49" s="57">
        <v>12</v>
      </c>
      <c r="C49" s="55">
        <v>16</v>
      </c>
      <c r="D49" s="56">
        <v>300</v>
      </c>
      <c r="E49" s="56">
        <f t="shared" si="1"/>
        <v>4800</v>
      </c>
      <c r="F49" s="56">
        <f t="shared" si="2"/>
        <v>57600</v>
      </c>
      <c r="G49" s="58" t="s">
        <v>49</v>
      </c>
      <c r="H49" s="58"/>
      <c r="I49" s="58"/>
      <c r="J49" s="58"/>
    </row>
    <row r="50" spans="1:10" x14ac:dyDescent="0.25">
      <c r="A50" s="39" t="s">
        <v>55</v>
      </c>
      <c r="B50" s="57">
        <v>5</v>
      </c>
      <c r="C50" s="55">
        <v>13</v>
      </c>
      <c r="D50" s="56">
        <v>300</v>
      </c>
      <c r="E50" s="56">
        <f t="shared" si="1"/>
        <v>3900</v>
      </c>
      <c r="F50" s="56">
        <f t="shared" si="2"/>
        <v>19500</v>
      </c>
      <c r="G50" s="58" t="s">
        <v>50</v>
      </c>
      <c r="H50" s="58"/>
      <c r="I50" s="58"/>
      <c r="J50" s="58"/>
    </row>
    <row r="51" spans="1:10" x14ac:dyDescent="0.25">
      <c r="A51" s="39" t="s">
        <v>56</v>
      </c>
      <c r="B51" s="40">
        <v>31</v>
      </c>
      <c r="C51" s="55">
        <v>20</v>
      </c>
      <c r="D51" s="56">
        <v>120</v>
      </c>
      <c r="E51" s="56">
        <f t="shared" si="1"/>
        <v>2400</v>
      </c>
      <c r="F51" s="56">
        <f t="shared" si="2"/>
        <v>74400</v>
      </c>
      <c r="G51" t="s">
        <v>57</v>
      </c>
    </row>
    <row r="52" spans="1:10" x14ac:dyDescent="0.25">
      <c r="A52" s="39" t="s">
        <v>58</v>
      </c>
      <c r="B52" s="40">
        <v>31</v>
      </c>
      <c r="C52" s="55">
        <v>30</v>
      </c>
      <c r="D52" s="43">
        <v>100</v>
      </c>
      <c r="E52" s="56">
        <f t="shared" si="1"/>
        <v>3000</v>
      </c>
      <c r="F52" s="56">
        <f t="shared" si="2"/>
        <v>93000</v>
      </c>
      <c r="G52" t="s">
        <v>57</v>
      </c>
    </row>
    <row r="53" spans="1:10" x14ac:dyDescent="0.25">
      <c r="A53" s="39" t="s">
        <v>59</v>
      </c>
      <c r="B53" s="40">
        <v>31</v>
      </c>
      <c r="C53" s="55">
        <v>50</v>
      </c>
      <c r="D53" s="43">
        <v>150</v>
      </c>
      <c r="E53" s="56">
        <f t="shared" si="1"/>
        <v>7500</v>
      </c>
      <c r="F53" s="56">
        <f t="shared" si="2"/>
        <v>232500</v>
      </c>
      <c r="G53" t="s">
        <v>57</v>
      </c>
    </row>
    <row r="54" spans="1:10" x14ac:dyDescent="0.25">
      <c r="A54" s="39" t="s">
        <v>60</v>
      </c>
      <c r="B54" s="40">
        <v>18</v>
      </c>
      <c r="C54" s="55">
        <v>198</v>
      </c>
      <c r="D54" s="43">
        <v>130</v>
      </c>
      <c r="E54" s="56">
        <f t="shared" si="1"/>
        <v>25740</v>
      </c>
      <c r="F54" s="56">
        <f t="shared" si="2"/>
        <v>463320</v>
      </c>
      <c r="G54" t="s">
        <v>61</v>
      </c>
    </row>
    <row r="55" spans="1:10" x14ac:dyDescent="0.25">
      <c r="A55" s="39" t="s">
        <v>62</v>
      </c>
      <c r="B55" s="40">
        <v>13</v>
      </c>
      <c r="C55" s="31">
        <v>17</v>
      </c>
      <c r="D55" s="43">
        <v>130</v>
      </c>
      <c r="E55" s="56">
        <f t="shared" si="1"/>
        <v>2210</v>
      </c>
      <c r="F55" s="56">
        <f t="shared" si="2"/>
        <v>28730</v>
      </c>
      <c r="G55" t="s">
        <v>63</v>
      </c>
    </row>
    <row r="56" spans="1:10" x14ac:dyDescent="0.25">
      <c r="A56" s="39" t="s">
        <v>64</v>
      </c>
      <c r="B56" s="40">
        <v>18</v>
      </c>
      <c r="C56" s="31">
        <v>500</v>
      </c>
      <c r="D56" s="43">
        <v>28</v>
      </c>
      <c r="E56" s="56">
        <f t="shared" si="1"/>
        <v>14000</v>
      </c>
      <c r="F56" s="56">
        <f t="shared" si="2"/>
        <v>252000</v>
      </c>
      <c r="G56" t="s">
        <v>61</v>
      </c>
    </row>
    <row r="57" spans="1:10" x14ac:dyDescent="0.25">
      <c r="A57" s="39" t="s">
        <v>65</v>
      </c>
      <c r="B57" s="40">
        <v>13</v>
      </c>
      <c r="C57" s="31">
        <v>146</v>
      </c>
      <c r="D57" s="43">
        <v>28</v>
      </c>
      <c r="E57" s="56">
        <f t="shared" si="1"/>
        <v>4088</v>
      </c>
      <c r="F57" s="56">
        <f t="shared" si="2"/>
        <v>53144</v>
      </c>
      <c r="G57" t="s">
        <v>66</v>
      </c>
    </row>
    <row r="58" spans="1:10" ht="18.75" x14ac:dyDescent="0.4">
      <c r="A58" s="142" t="s">
        <v>67</v>
      </c>
      <c r="B58" s="143"/>
      <c r="C58" s="146" t="s">
        <v>68</v>
      </c>
      <c r="D58" s="163"/>
      <c r="E58" s="59">
        <f>SUM(E43:E57)*1.19</f>
        <v>119580.72</v>
      </c>
      <c r="F58" s="180"/>
    </row>
    <row r="59" spans="1:10" ht="18.75" x14ac:dyDescent="0.4">
      <c r="A59" s="142"/>
      <c r="B59" s="143"/>
      <c r="C59" s="146" t="s">
        <v>42</v>
      </c>
      <c r="D59" s="147"/>
      <c r="E59" s="46">
        <f>SUM(F43:F57)</f>
        <v>1598394</v>
      </c>
      <c r="F59" s="148"/>
    </row>
    <row r="60" spans="1:10" ht="18.75" x14ac:dyDescent="0.4">
      <c r="A60" s="142"/>
      <c r="B60" s="143"/>
      <c r="C60" s="146" t="s">
        <v>43</v>
      </c>
      <c r="D60" s="147"/>
      <c r="E60" s="48">
        <f>E59*19%</f>
        <v>303694.86</v>
      </c>
      <c r="F60" s="148"/>
      <c r="G60" s="47"/>
    </row>
    <row r="61" spans="1:10" ht="19.5" thickBot="1" x14ac:dyDescent="0.45">
      <c r="A61" s="144"/>
      <c r="B61" s="145"/>
      <c r="C61" s="150" t="s">
        <v>45</v>
      </c>
      <c r="D61" s="151"/>
      <c r="E61" s="49">
        <f>SUM(E59:E60)</f>
        <v>1902088.8599999999</v>
      </c>
      <c r="F61" s="149"/>
      <c r="G61" s="47"/>
    </row>
    <row r="62" spans="1:10" ht="22.5" x14ac:dyDescent="0.4">
      <c r="A62" s="60" t="s">
        <v>69</v>
      </c>
      <c r="B62" s="60"/>
      <c r="C62" s="61"/>
      <c r="D62" s="61"/>
      <c r="E62" s="62">
        <v>900000</v>
      </c>
      <c r="F62" s="47"/>
      <c r="G62" s="63"/>
    </row>
    <row r="63" spans="1:10" ht="22.5" x14ac:dyDescent="0.4">
      <c r="A63" s="64" t="s">
        <v>70</v>
      </c>
      <c r="B63" s="64"/>
      <c r="C63" s="65"/>
      <c r="D63" s="65"/>
      <c r="E63" s="66">
        <f>E61-E62</f>
        <v>1002088.8599999999</v>
      </c>
      <c r="F63" s="47"/>
      <c r="G63" s="47"/>
    </row>
    <row r="64" spans="1:10" ht="22.5" x14ac:dyDescent="0.4">
      <c r="A64" s="60"/>
      <c r="B64" s="60"/>
      <c r="C64" s="61"/>
      <c r="D64" s="61"/>
      <c r="E64" s="67"/>
      <c r="F64" s="47"/>
      <c r="G64" s="47"/>
    </row>
    <row r="65" spans="1:10" ht="15.75" thickBot="1" x14ac:dyDescent="0.3"/>
    <row r="66" spans="1:10" ht="19.5" thickBot="1" x14ac:dyDescent="0.45">
      <c r="A66" s="181" t="s">
        <v>27</v>
      </c>
      <c r="B66" s="182"/>
      <c r="C66" s="182"/>
      <c r="D66" s="182"/>
      <c r="E66" s="182"/>
      <c r="F66" s="183"/>
      <c r="G66" s="32"/>
    </row>
    <row r="67" spans="1:10" x14ac:dyDescent="0.25">
      <c r="A67" s="155" t="s">
        <v>71</v>
      </c>
      <c r="B67" s="156"/>
      <c r="C67" s="156"/>
      <c r="D67" s="156"/>
      <c r="E67" s="156"/>
      <c r="F67" s="178"/>
      <c r="G67" s="33"/>
    </row>
    <row r="68" spans="1:10" ht="18" x14ac:dyDescent="0.25">
      <c r="A68" s="165" t="s">
        <v>72</v>
      </c>
      <c r="B68" s="166"/>
      <c r="C68" s="166"/>
      <c r="D68" s="166"/>
      <c r="E68" s="166"/>
      <c r="F68" s="179"/>
      <c r="G68" s="35" t="s">
        <v>73</v>
      </c>
    </row>
    <row r="69" spans="1:10" x14ac:dyDescent="0.25">
      <c r="A69" s="162" t="s">
        <v>22</v>
      </c>
      <c r="B69" s="161" t="s">
        <v>31</v>
      </c>
      <c r="C69" s="161"/>
      <c r="D69" s="161"/>
      <c r="E69" s="140" t="s">
        <v>32</v>
      </c>
      <c r="F69" s="141"/>
      <c r="G69" s="38"/>
    </row>
    <row r="70" spans="1:10" x14ac:dyDescent="0.25">
      <c r="A70" s="162"/>
      <c r="B70" s="36" t="s">
        <v>2</v>
      </c>
      <c r="C70" s="36" t="s">
        <v>34</v>
      </c>
      <c r="D70" s="36" t="s">
        <v>35</v>
      </c>
      <c r="E70" s="36" t="s">
        <v>36</v>
      </c>
      <c r="F70" s="54" t="s">
        <v>37</v>
      </c>
      <c r="G70" s="38"/>
    </row>
    <row r="71" spans="1:10" x14ac:dyDescent="0.25">
      <c r="A71" s="39" t="s">
        <v>48</v>
      </c>
      <c r="B71" s="40">
        <v>34</v>
      </c>
      <c r="C71" s="41">
        <v>4</v>
      </c>
      <c r="D71" s="42">
        <v>420</v>
      </c>
      <c r="E71" s="43">
        <f t="shared" ref="E71:E83" si="3">C71*D71</f>
        <v>1680</v>
      </c>
      <c r="F71" s="44">
        <f t="shared" ref="F71:F83" si="4">B71*E71</f>
        <v>57120</v>
      </c>
      <c r="G71" s="45" t="s">
        <v>74</v>
      </c>
    </row>
    <row r="72" spans="1:10" x14ac:dyDescent="0.25">
      <c r="A72" s="39" t="s">
        <v>52</v>
      </c>
      <c r="B72" s="40">
        <v>34</v>
      </c>
      <c r="C72" s="41">
        <v>3</v>
      </c>
      <c r="D72" s="42">
        <v>350</v>
      </c>
      <c r="E72" s="43">
        <f t="shared" si="3"/>
        <v>1050</v>
      </c>
      <c r="F72" s="44">
        <f t="shared" si="4"/>
        <v>35700</v>
      </c>
      <c r="G72" s="45" t="s">
        <v>74</v>
      </c>
    </row>
    <row r="73" spans="1:10" x14ac:dyDescent="0.25">
      <c r="A73" s="39" t="s">
        <v>54</v>
      </c>
      <c r="B73" s="7">
        <v>20</v>
      </c>
      <c r="C73" s="41">
        <v>5</v>
      </c>
      <c r="D73" s="42">
        <v>320</v>
      </c>
      <c r="E73" s="43">
        <f t="shared" si="3"/>
        <v>1600</v>
      </c>
      <c r="F73" s="44">
        <f t="shared" si="4"/>
        <v>32000</v>
      </c>
      <c r="G73" s="68" t="s">
        <v>75</v>
      </c>
      <c r="H73" s="69"/>
      <c r="I73" s="69"/>
      <c r="J73" s="69"/>
    </row>
    <row r="74" spans="1:10" x14ac:dyDescent="0.25">
      <c r="A74" s="39" t="s">
        <v>54</v>
      </c>
      <c r="B74" s="7">
        <v>10</v>
      </c>
      <c r="C74" s="41">
        <v>3</v>
      </c>
      <c r="D74" s="42">
        <v>320</v>
      </c>
      <c r="E74" s="43">
        <f t="shared" si="3"/>
        <v>960</v>
      </c>
      <c r="F74" s="44">
        <f t="shared" si="4"/>
        <v>9600</v>
      </c>
      <c r="G74" s="70" t="s">
        <v>51</v>
      </c>
      <c r="H74" s="71"/>
      <c r="I74" s="71"/>
      <c r="J74" s="71"/>
    </row>
    <row r="75" spans="1:10" x14ac:dyDescent="0.25">
      <c r="A75" s="39" t="s">
        <v>55</v>
      </c>
      <c r="B75" s="7">
        <v>20</v>
      </c>
      <c r="C75" s="41">
        <v>2</v>
      </c>
      <c r="D75" s="42">
        <v>300</v>
      </c>
      <c r="E75" s="43">
        <f t="shared" si="3"/>
        <v>600</v>
      </c>
      <c r="F75" s="44">
        <f t="shared" si="4"/>
        <v>12000</v>
      </c>
      <c r="G75" s="68" t="s">
        <v>75</v>
      </c>
      <c r="H75" s="69"/>
      <c r="I75" s="69"/>
      <c r="J75" s="69"/>
    </row>
    <row r="76" spans="1:10" x14ac:dyDescent="0.25">
      <c r="A76" s="39" t="s">
        <v>55</v>
      </c>
      <c r="B76" s="7">
        <v>10</v>
      </c>
      <c r="C76" s="41">
        <v>1</v>
      </c>
      <c r="D76" s="42">
        <v>300</v>
      </c>
      <c r="E76" s="43">
        <f t="shared" si="3"/>
        <v>300</v>
      </c>
      <c r="F76" s="44">
        <f t="shared" si="4"/>
        <v>3000</v>
      </c>
      <c r="G76" s="70" t="s">
        <v>51</v>
      </c>
      <c r="H76" s="69"/>
      <c r="I76" s="69"/>
      <c r="J76" s="69"/>
    </row>
    <row r="77" spans="1:10" x14ac:dyDescent="0.25">
      <c r="A77" s="39" t="s">
        <v>56</v>
      </c>
      <c r="B77" s="40">
        <v>34</v>
      </c>
      <c r="C77" s="41">
        <v>4</v>
      </c>
      <c r="D77" s="42">
        <v>120</v>
      </c>
      <c r="E77" s="43">
        <f t="shared" si="3"/>
        <v>480</v>
      </c>
      <c r="F77" s="44">
        <f t="shared" si="4"/>
        <v>16320</v>
      </c>
      <c r="G77" s="45" t="s">
        <v>74</v>
      </c>
    </row>
    <row r="78" spans="1:10" x14ac:dyDescent="0.25">
      <c r="A78" s="39" t="s">
        <v>58</v>
      </c>
      <c r="B78" s="40">
        <v>34</v>
      </c>
      <c r="C78" s="41">
        <v>6</v>
      </c>
      <c r="D78" s="42">
        <v>100</v>
      </c>
      <c r="E78" s="43">
        <f t="shared" si="3"/>
        <v>600</v>
      </c>
      <c r="F78" s="44">
        <f t="shared" si="4"/>
        <v>20400</v>
      </c>
      <c r="G78" s="45" t="s">
        <v>74</v>
      </c>
    </row>
    <row r="79" spans="1:10" x14ac:dyDescent="0.25">
      <c r="A79" s="39" t="s">
        <v>59</v>
      </c>
      <c r="B79" s="40">
        <v>34</v>
      </c>
      <c r="C79" s="41">
        <v>10</v>
      </c>
      <c r="D79" s="42">
        <v>150</v>
      </c>
      <c r="E79" s="43">
        <f t="shared" si="3"/>
        <v>1500</v>
      </c>
      <c r="F79" s="44">
        <f t="shared" si="4"/>
        <v>51000</v>
      </c>
      <c r="G79" s="45" t="s">
        <v>74</v>
      </c>
    </row>
    <row r="80" spans="1:10" x14ac:dyDescent="0.25">
      <c r="A80" s="39" t="s">
        <v>60</v>
      </c>
      <c r="B80" s="40">
        <v>34</v>
      </c>
      <c r="C80" s="41">
        <v>40</v>
      </c>
      <c r="D80" s="42">
        <v>130</v>
      </c>
      <c r="E80" s="43">
        <f t="shared" si="3"/>
        <v>5200</v>
      </c>
      <c r="F80" s="44">
        <f t="shared" si="4"/>
        <v>176800</v>
      </c>
      <c r="G80" s="45" t="s">
        <v>74</v>
      </c>
    </row>
    <row r="81" spans="1:10" x14ac:dyDescent="0.25">
      <c r="A81" s="39" t="s">
        <v>64</v>
      </c>
      <c r="B81" s="40">
        <v>34</v>
      </c>
      <c r="C81" s="41">
        <v>100</v>
      </c>
      <c r="D81" s="42">
        <v>28</v>
      </c>
      <c r="E81" s="43">
        <f t="shared" si="3"/>
        <v>2800</v>
      </c>
      <c r="F81" s="44">
        <f t="shared" si="4"/>
        <v>95200</v>
      </c>
      <c r="G81" s="45" t="s">
        <v>74</v>
      </c>
    </row>
    <row r="82" spans="1:10" x14ac:dyDescent="0.25">
      <c r="A82" s="39" t="s">
        <v>76</v>
      </c>
      <c r="B82" s="40">
        <v>34</v>
      </c>
      <c r="C82" s="41">
        <v>16</v>
      </c>
      <c r="D82" s="42">
        <v>200</v>
      </c>
      <c r="E82" s="43">
        <f t="shared" si="3"/>
        <v>3200</v>
      </c>
      <c r="F82" s="44">
        <f t="shared" si="4"/>
        <v>108800</v>
      </c>
      <c r="G82" s="45" t="s">
        <v>74</v>
      </c>
    </row>
    <row r="83" spans="1:10" x14ac:dyDescent="0.25">
      <c r="A83" s="39" t="s">
        <v>77</v>
      </c>
      <c r="B83" s="40">
        <v>34</v>
      </c>
      <c r="C83" s="41">
        <v>10</v>
      </c>
      <c r="D83" s="42">
        <v>200</v>
      </c>
      <c r="E83" s="43">
        <f t="shared" si="3"/>
        <v>2000</v>
      </c>
      <c r="F83" s="44">
        <f t="shared" si="4"/>
        <v>68000</v>
      </c>
      <c r="G83" s="45" t="s">
        <v>74</v>
      </c>
    </row>
    <row r="84" spans="1:10" ht="18.75" x14ac:dyDescent="0.4">
      <c r="A84" s="142" t="s">
        <v>78</v>
      </c>
      <c r="B84" s="143"/>
      <c r="C84" s="146" t="s">
        <v>68</v>
      </c>
      <c r="D84" s="147"/>
      <c r="E84" s="46">
        <f>SUM(E71:E83)*1.19</f>
        <v>26144.3</v>
      </c>
      <c r="F84" s="148"/>
      <c r="G84" s="47"/>
    </row>
    <row r="85" spans="1:10" ht="18.75" x14ac:dyDescent="0.4">
      <c r="A85" s="142"/>
      <c r="B85" s="143"/>
      <c r="C85" s="146" t="s">
        <v>42</v>
      </c>
      <c r="D85" s="147"/>
      <c r="E85" s="46">
        <f>SUM(F71:F83)</f>
        <v>685940</v>
      </c>
      <c r="F85" s="148"/>
      <c r="G85" s="47"/>
    </row>
    <row r="86" spans="1:10" ht="18.75" x14ac:dyDescent="0.4">
      <c r="A86" s="142"/>
      <c r="B86" s="143"/>
      <c r="C86" s="146" t="s">
        <v>43</v>
      </c>
      <c r="D86" s="147"/>
      <c r="E86" s="48">
        <f>E85*19%</f>
        <v>130328.6</v>
      </c>
      <c r="F86" s="148"/>
      <c r="G86" s="47"/>
    </row>
    <row r="87" spans="1:10" ht="18.75" x14ac:dyDescent="0.4">
      <c r="A87" s="142"/>
      <c r="B87" s="143"/>
      <c r="C87" s="146" t="s">
        <v>44</v>
      </c>
      <c r="D87" s="147"/>
      <c r="E87" s="2"/>
      <c r="F87" s="148"/>
      <c r="G87" s="47"/>
    </row>
    <row r="88" spans="1:10" ht="19.5" thickBot="1" x14ac:dyDescent="0.45">
      <c r="A88" s="144"/>
      <c r="B88" s="145"/>
      <c r="C88" s="150" t="s">
        <v>45</v>
      </c>
      <c r="D88" s="151"/>
      <c r="E88" s="49">
        <f>SUM(E85:E87)</f>
        <v>816268.6</v>
      </c>
      <c r="F88" s="149"/>
      <c r="G88" s="47"/>
    </row>
    <row r="89" spans="1:10" ht="15.75" x14ac:dyDescent="0.25">
      <c r="A89" s="72" t="s">
        <v>79</v>
      </c>
      <c r="B89" s="72"/>
      <c r="C89" s="72"/>
      <c r="D89" s="72"/>
      <c r="E89" s="73">
        <v>400000</v>
      </c>
      <c r="G89" s="58"/>
    </row>
    <row r="90" spans="1:10" ht="15.75" x14ac:dyDescent="0.25">
      <c r="A90" s="74" t="s">
        <v>80</v>
      </c>
      <c r="B90" s="74"/>
      <c r="C90" s="74"/>
      <c r="D90" s="74"/>
      <c r="E90" s="75">
        <f>E88-E89</f>
        <v>416268.6</v>
      </c>
    </row>
    <row r="91" spans="1:10" ht="19.5" thickBot="1" x14ac:dyDescent="0.45">
      <c r="A91" s="152" t="s">
        <v>27</v>
      </c>
      <c r="B91" s="153"/>
      <c r="C91" s="153"/>
      <c r="D91" s="153"/>
      <c r="E91" s="153"/>
      <c r="F91" s="153"/>
    </row>
    <row r="92" spans="1:10" x14ac:dyDescent="0.25">
      <c r="A92" s="155" t="s">
        <v>28</v>
      </c>
      <c r="B92" s="156"/>
      <c r="C92" s="156"/>
      <c r="D92" s="156"/>
      <c r="E92" s="156"/>
      <c r="F92" s="156"/>
    </row>
    <row r="93" spans="1:10" ht="18" x14ac:dyDescent="0.25">
      <c r="A93" s="165" t="s">
        <v>72</v>
      </c>
      <c r="B93" s="166"/>
      <c r="C93" s="166"/>
      <c r="D93" s="166"/>
      <c r="E93" s="166"/>
      <c r="F93" s="166"/>
    </row>
    <row r="94" spans="1:10" x14ac:dyDescent="0.25">
      <c r="A94" s="162" t="s">
        <v>22</v>
      </c>
      <c r="B94" s="161" t="s">
        <v>31</v>
      </c>
      <c r="C94" s="161"/>
      <c r="D94" s="161"/>
      <c r="E94" s="174"/>
      <c r="F94" s="175"/>
      <c r="G94" s="175"/>
      <c r="H94" s="175"/>
      <c r="I94" s="38"/>
      <c r="J94" s="38"/>
    </row>
    <row r="95" spans="1:10" x14ac:dyDescent="0.25">
      <c r="A95" s="162"/>
      <c r="B95" s="36" t="s">
        <v>2</v>
      </c>
      <c r="C95" s="36" t="s">
        <v>34</v>
      </c>
      <c r="D95" s="36" t="s">
        <v>35</v>
      </c>
      <c r="E95" s="36" t="s">
        <v>36</v>
      </c>
      <c r="F95" s="53" t="s">
        <v>37</v>
      </c>
      <c r="G95" s="38"/>
    </row>
    <row r="96" spans="1:10" x14ac:dyDescent="0.25">
      <c r="A96" s="39" t="s">
        <v>81</v>
      </c>
      <c r="B96" s="40">
        <v>9</v>
      </c>
      <c r="C96" s="41">
        <v>60</v>
      </c>
      <c r="D96" s="42">
        <v>350</v>
      </c>
      <c r="E96" s="43">
        <f>C96*D96</f>
        <v>21000</v>
      </c>
      <c r="F96" s="44">
        <f>B96*E96</f>
        <v>189000</v>
      </c>
      <c r="G96" s="45"/>
    </row>
    <row r="97" spans="1:8" ht="18.75" x14ac:dyDescent="0.4">
      <c r="A97" s="142" t="s">
        <v>82</v>
      </c>
      <c r="B97" s="143"/>
      <c r="C97" s="146" t="s">
        <v>41</v>
      </c>
      <c r="D97" s="147"/>
      <c r="E97" s="46">
        <f>SUM(E96:E96)*1.19</f>
        <v>24990</v>
      </c>
      <c r="F97" s="158"/>
      <c r="G97" s="47"/>
    </row>
    <row r="98" spans="1:8" ht="18.75" x14ac:dyDescent="0.4">
      <c r="A98" s="142"/>
      <c r="B98" s="143"/>
      <c r="C98" s="146" t="s">
        <v>42</v>
      </c>
      <c r="D98" s="147"/>
      <c r="E98" s="46">
        <f>SUM(F96:F96)</f>
        <v>189000</v>
      </c>
      <c r="F98" s="159"/>
      <c r="G98" s="47"/>
    </row>
    <row r="99" spans="1:8" ht="18.75" x14ac:dyDescent="0.4">
      <c r="A99" s="142"/>
      <c r="B99" s="143"/>
      <c r="C99" s="146" t="s">
        <v>43</v>
      </c>
      <c r="D99" s="147"/>
      <c r="E99" s="48">
        <f>SUM(F96:F96)*0.19</f>
        <v>35910</v>
      </c>
      <c r="F99" s="159"/>
      <c r="G99" s="47"/>
    </row>
    <row r="100" spans="1:8" ht="18.75" x14ac:dyDescent="0.4">
      <c r="A100" s="142"/>
      <c r="B100" s="143"/>
      <c r="C100" s="146" t="s">
        <v>44</v>
      </c>
      <c r="D100" s="147"/>
      <c r="E100" s="2"/>
      <c r="F100" s="159"/>
      <c r="G100" s="47"/>
    </row>
    <row r="101" spans="1:8" ht="19.5" thickBot="1" x14ac:dyDescent="0.45">
      <c r="A101" s="144"/>
      <c r="B101" s="145"/>
      <c r="C101" s="150" t="s">
        <v>45</v>
      </c>
      <c r="D101" s="151"/>
      <c r="E101" s="49">
        <f>SUM(E98:E100)</f>
        <v>224910</v>
      </c>
      <c r="F101" s="160"/>
      <c r="G101" s="47"/>
    </row>
    <row r="103" spans="1:8" ht="18.75" x14ac:dyDescent="0.4">
      <c r="A103" s="84" t="s">
        <v>83</v>
      </c>
      <c r="B103" s="84"/>
      <c r="C103" s="84"/>
      <c r="D103" s="84"/>
      <c r="E103" s="85">
        <f>900000+572514+120000+400000</f>
        <v>1992514</v>
      </c>
      <c r="H103" s="87"/>
    </row>
    <row r="104" spans="1:8" ht="18.75" x14ac:dyDescent="0.4">
      <c r="A104" s="84" t="s">
        <v>84</v>
      </c>
      <c r="B104" s="84"/>
      <c r="C104" s="84"/>
      <c r="D104" s="84"/>
      <c r="E104" s="86">
        <f>E35+E61+E88+E101</f>
        <v>3088875.86</v>
      </c>
      <c r="H104" s="87"/>
    </row>
    <row r="105" spans="1:8" ht="18.75" x14ac:dyDescent="0.4">
      <c r="A105" s="84" t="s">
        <v>85</v>
      </c>
      <c r="B105" s="84"/>
      <c r="C105" s="84"/>
      <c r="D105" s="84"/>
      <c r="E105" s="86">
        <f>E104-E103</f>
        <v>1096361.8599999999</v>
      </c>
      <c r="H105" s="87"/>
    </row>
    <row r="107" spans="1:8" ht="15.75" thickBot="1" x14ac:dyDescent="0.3"/>
    <row r="108" spans="1:8" ht="18.75" x14ac:dyDescent="0.3">
      <c r="A108" s="187" t="s">
        <v>129</v>
      </c>
      <c r="B108" s="188"/>
      <c r="C108" s="188"/>
      <c r="D108" s="188"/>
      <c r="E108" s="188"/>
      <c r="F108" s="189"/>
    </row>
    <row r="109" spans="1:8" ht="18.75" x14ac:dyDescent="0.3">
      <c r="A109" s="190" t="s">
        <v>86</v>
      </c>
      <c r="B109" s="191"/>
      <c r="C109" s="191"/>
      <c r="D109" s="191"/>
      <c r="E109" s="191"/>
      <c r="F109" s="192"/>
    </row>
    <row r="110" spans="1:8" ht="18.75" x14ac:dyDescent="0.3">
      <c r="A110" s="190" t="s">
        <v>138</v>
      </c>
      <c r="B110" s="191"/>
      <c r="C110" s="191"/>
      <c r="D110" s="191"/>
      <c r="E110" s="191"/>
      <c r="F110" s="192"/>
    </row>
    <row r="111" spans="1:8" x14ac:dyDescent="0.25">
      <c r="A111" s="112" t="s">
        <v>22</v>
      </c>
      <c r="B111" s="108" t="s">
        <v>21</v>
      </c>
      <c r="C111" s="108">
        <v>13686</v>
      </c>
      <c r="D111" s="109">
        <v>13353</v>
      </c>
      <c r="E111" s="109">
        <v>13356</v>
      </c>
      <c r="F111" s="117" t="s">
        <v>21</v>
      </c>
    </row>
    <row r="112" spans="1:8" x14ac:dyDescent="0.25">
      <c r="A112" s="16"/>
      <c r="B112" s="110">
        <v>46162</v>
      </c>
      <c r="C112" s="110">
        <v>46164</v>
      </c>
      <c r="D112" s="110">
        <v>46170</v>
      </c>
      <c r="E112" s="110">
        <v>46170</v>
      </c>
      <c r="F112" s="118">
        <v>46173</v>
      </c>
    </row>
    <row r="113" spans="1:7" x14ac:dyDescent="0.25">
      <c r="A113" s="116" t="s">
        <v>48</v>
      </c>
      <c r="B113" s="17">
        <v>8</v>
      </c>
      <c r="C113" s="17"/>
      <c r="D113" s="17">
        <v>-8</v>
      </c>
      <c r="E113" s="17"/>
      <c r="F113" s="119">
        <f>SUM(B113:E113)</f>
        <v>0</v>
      </c>
    </row>
    <row r="114" spans="1:7" x14ac:dyDescent="0.25">
      <c r="A114" s="116" t="s">
        <v>52</v>
      </c>
      <c r="B114" s="17">
        <v>0</v>
      </c>
      <c r="C114" s="17">
        <v>15</v>
      </c>
      <c r="D114" s="17">
        <v>-15</v>
      </c>
      <c r="E114" s="17"/>
      <c r="F114" s="119">
        <f t="shared" ref="F114:F127" si="5">SUM(B114:E114)</f>
        <v>0</v>
      </c>
    </row>
    <row r="115" spans="1:7" x14ac:dyDescent="0.25">
      <c r="A115" s="116" t="s">
        <v>54</v>
      </c>
      <c r="B115" s="17">
        <v>3</v>
      </c>
      <c r="C115" s="17">
        <v>4</v>
      </c>
      <c r="D115" s="17">
        <v>-6</v>
      </c>
      <c r="E115" s="17"/>
      <c r="F115" s="119">
        <f t="shared" si="5"/>
        <v>1</v>
      </c>
    </row>
    <row r="116" spans="1:7" x14ac:dyDescent="0.25">
      <c r="A116" s="116" t="s">
        <v>55</v>
      </c>
      <c r="B116" s="17">
        <v>1</v>
      </c>
      <c r="C116" s="17"/>
      <c r="D116" s="17">
        <v>-1</v>
      </c>
      <c r="E116" s="17"/>
      <c r="F116" s="119">
        <f t="shared" si="5"/>
        <v>0</v>
      </c>
    </row>
    <row r="117" spans="1:7" x14ac:dyDescent="0.25">
      <c r="A117" s="116" t="s">
        <v>101</v>
      </c>
      <c r="B117" s="17">
        <v>0</v>
      </c>
      <c r="C117" s="17">
        <v>6</v>
      </c>
      <c r="D117" s="17">
        <v>-6</v>
      </c>
      <c r="E117" s="17"/>
      <c r="F117" s="119">
        <f t="shared" si="5"/>
        <v>0</v>
      </c>
    </row>
    <row r="118" spans="1:7" x14ac:dyDescent="0.25">
      <c r="A118" s="116" t="s">
        <v>56</v>
      </c>
      <c r="B118" s="17">
        <v>24</v>
      </c>
      <c r="C118" s="17"/>
      <c r="D118" s="17">
        <v>-24</v>
      </c>
      <c r="E118" s="17"/>
      <c r="F118" s="119">
        <f t="shared" si="5"/>
        <v>0</v>
      </c>
    </row>
    <row r="119" spans="1:7" x14ac:dyDescent="0.25">
      <c r="A119" s="116" t="s">
        <v>58</v>
      </c>
      <c r="B119" s="17">
        <v>36</v>
      </c>
      <c r="C119" s="17"/>
      <c r="D119" s="17">
        <v>-35</v>
      </c>
      <c r="E119" s="17"/>
      <c r="F119" s="119">
        <f t="shared" si="5"/>
        <v>1</v>
      </c>
    </row>
    <row r="120" spans="1:7" x14ac:dyDescent="0.25">
      <c r="A120" s="116" t="s">
        <v>59</v>
      </c>
      <c r="B120" s="17">
        <v>60</v>
      </c>
      <c r="C120" s="17"/>
      <c r="D120" s="17">
        <v>-31</v>
      </c>
      <c r="E120" s="17">
        <v>-28</v>
      </c>
      <c r="F120" s="119">
        <f t="shared" si="5"/>
        <v>1</v>
      </c>
    </row>
    <row r="121" spans="1:7" x14ac:dyDescent="0.25">
      <c r="A121" s="116" t="s">
        <v>60</v>
      </c>
      <c r="B121" s="17">
        <v>57</v>
      </c>
      <c r="C121" s="17"/>
      <c r="D121" s="17">
        <v>-57</v>
      </c>
      <c r="E121" s="17"/>
      <c r="F121" s="119">
        <f t="shared" si="5"/>
        <v>0</v>
      </c>
    </row>
    <row r="122" spans="1:7" x14ac:dyDescent="0.25">
      <c r="A122" s="116" t="s">
        <v>65</v>
      </c>
      <c r="B122" s="17">
        <v>246</v>
      </c>
      <c r="C122" s="17"/>
      <c r="D122" s="17">
        <v>-246</v>
      </c>
      <c r="E122" s="17"/>
      <c r="F122" s="119">
        <f t="shared" si="5"/>
        <v>0</v>
      </c>
    </row>
    <row r="123" spans="1:7" x14ac:dyDescent="0.25">
      <c r="A123" s="116" t="s">
        <v>87</v>
      </c>
      <c r="B123" s="17">
        <v>30</v>
      </c>
      <c r="C123" s="17"/>
      <c r="D123" s="17">
        <v>-30</v>
      </c>
      <c r="E123" s="17"/>
      <c r="F123" s="119">
        <v>2</v>
      </c>
      <c r="G123" t="s">
        <v>128</v>
      </c>
    </row>
    <row r="124" spans="1:7" x14ac:dyDescent="0.25">
      <c r="A124" s="116" t="s">
        <v>88</v>
      </c>
      <c r="B124" s="17">
        <v>14</v>
      </c>
      <c r="C124" s="17"/>
      <c r="D124" s="17">
        <v>-12</v>
      </c>
      <c r="E124" s="17"/>
      <c r="F124" s="119">
        <f t="shared" si="5"/>
        <v>2</v>
      </c>
    </row>
    <row r="125" spans="1:7" x14ac:dyDescent="0.25">
      <c r="A125" s="116" t="s">
        <v>89</v>
      </c>
      <c r="B125" s="17">
        <v>10</v>
      </c>
      <c r="C125" s="17"/>
      <c r="D125" s="17">
        <v>-10</v>
      </c>
      <c r="E125" s="17"/>
      <c r="F125" s="119">
        <f t="shared" si="5"/>
        <v>0</v>
      </c>
    </row>
    <row r="126" spans="1:7" x14ac:dyDescent="0.25">
      <c r="A126" s="116" t="s">
        <v>90</v>
      </c>
      <c r="B126" s="17">
        <v>24</v>
      </c>
      <c r="C126" s="17"/>
      <c r="D126" s="17">
        <v>-24</v>
      </c>
      <c r="E126" s="17"/>
      <c r="F126" s="119">
        <f t="shared" si="5"/>
        <v>0</v>
      </c>
    </row>
    <row r="127" spans="1:7" x14ac:dyDescent="0.25">
      <c r="A127" s="116" t="s">
        <v>91</v>
      </c>
      <c r="B127" s="17">
        <v>0</v>
      </c>
      <c r="C127" s="17"/>
      <c r="D127" s="17"/>
      <c r="E127" s="17"/>
      <c r="F127" s="119">
        <f t="shared" si="5"/>
        <v>0</v>
      </c>
    </row>
    <row r="128" spans="1:7" x14ac:dyDescent="0.25">
      <c r="A128" s="16" t="s">
        <v>11</v>
      </c>
      <c r="B128" s="17"/>
      <c r="C128" s="111">
        <v>9.375E-2</v>
      </c>
      <c r="D128" s="111">
        <v>0.30902777777777779</v>
      </c>
      <c r="E128" s="111">
        <v>9.0277777777777776E-2</v>
      </c>
      <c r="F128" s="119"/>
    </row>
    <row r="129" spans="1:9" ht="15.75" thickBot="1" x14ac:dyDescent="0.3">
      <c r="A129" s="113" t="s">
        <v>10</v>
      </c>
      <c r="B129" s="114"/>
      <c r="C129" s="114" t="s">
        <v>94</v>
      </c>
      <c r="D129" s="114" t="s">
        <v>95</v>
      </c>
      <c r="E129" s="114" t="s">
        <v>94</v>
      </c>
      <c r="F129" s="115"/>
    </row>
    <row r="130" spans="1:9" ht="15.75" thickBot="1" x14ac:dyDescent="0.3"/>
    <row r="131" spans="1:9" ht="19.5" thickBot="1" x14ac:dyDescent="0.45">
      <c r="A131" s="181" t="s">
        <v>27</v>
      </c>
      <c r="B131" s="182"/>
      <c r="C131" s="182"/>
      <c r="D131" s="182"/>
      <c r="E131" s="182"/>
      <c r="F131" s="183"/>
      <c r="G131" s="32"/>
    </row>
    <row r="132" spans="1:9" x14ac:dyDescent="0.25">
      <c r="A132" s="155" t="s">
        <v>71</v>
      </c>
      <c r="B132" s="156"/>
      <c r="C132" s="156"/>
      <c r="D132" s="156"/>
      <c r="E132" s="156"/>
      <c r="F132" s="178"/>
      <c r="G132" s="33"/>
    </row>
    <row r="133" spans="1:9" ht="18" x14ac:dyDescent="0.25">
      <c r="A133" s="165" t="s">
        <v>72</v>
      </c>
      <c r="B133" s="166"/>
      <c r="C133" s="166"/>
      <c r="D133" s="166"/>
      <c r="E133" s="166"/>
      <c r="F133" s="179"/>
      <c r="G133" s="120"/>
    </row>
    <row r="134" spans="1:9" x14ac:dyDescent="0.25">
      <c r="A134" s="162" t="s">
        <v>22</v>
      </c>
      <c r="B134" s="161" t="s">
        <v>31</v>
      </c>
      <c r="C134" s="161"/>
      <c r="D134" s="161"/>
      <c r="E134" s="140" t="s">
        <v>32</v>
      </c>
      <c r="F134" s="141"/>
      <c r="G134" s="38"/>
    </row>
    <row r="135" spans="1:9" x14ac:dyDescent="0.25">
      <c r="A135" s="162"/>
      <c r="B135" s="36" t="s">
        <v>2</v>
      </c>
      <c r="C135" s="36" t="s">
        <v>34</v>
      </c>
      <c r="D135" s="36" t="s">
        <v>35</v>
      </c>
      <c r="E135" s="36" t="s">
        <v>36</v>
      </c>
      <c r="F135" s="54" t="s">
        <v>37</v>
      </c>
      <c r="G135" s="38"/>
    </row>
    <row r="136" spans="1:9" x14ac:dyDescent="0.25">
      <c r="A136" s="39" t="s">
        <v>48</v>
      </c>
      <c r="B136" s="7">
        <v>7</v>
      </c>
      <c r="C136" s="41">
        <v>8</v>
      </c>
      <c r="D136" s="42">
        <v>420</v>
      </c>
      <c r="E136" s="43">
        <f t="shared" ref="E136:E153" si="6">C136*D136</f>
        <v>3360</v>
      </c>
      <c r="F136" s="44">
        <f t="shared" ref="F136:F153" si="7">B136*E136</f>
        <v>23520</v>
      </c>
      <c r="G136" s="45" t="s">
        <v>131</v>
      </c>
    </row>
    <row r="137" spans="1:9" x14ac:dyDescent="0.25">
      <c r="A137" s="39" t="s">
        <v>52</v>
      </c>
      <c r="B137" s="7">
        <v>6</v>
      </c>
      <c r="C137" s="41">
        <v>15</v>
      </c>
      <c r="D137" s="42">
        <v>350</v>
      </c>
      <c r="E137" s="43">
        <f t="shared" si="6"/>
        <v>5250</v>
      </c>
      <c r="F137" s="44">
        <f t="shared" si="7"/>
        <v>31500</v>
      </c>
      <c r="G137" s="45" t="s">
        <v>132</v>
      </c>
    </row>
    <row r="138" spans="1:9" x14ac:dyDescent="0.25">
      <c r="A138" s="39" t="s">
        <v>54</v>
      </c>
      <c r="B138" s="7">
        <v>2</v>
      </c>
      <c r="C138" s="41">
        <v>3</v>
      </c>
      <c r="D138" s="42">
        <v>320</v>
      </c>
      <c r="E138" s="43">
        <f t="shared" si="6"/>
        <v>960</v>
      </c>
      <c r="F138" s="44">
        <f t="shared" si="7"/>
        <v>1920</v>
      </c>
      <c r="G138" s="45" t="s">
        <v>133</v>
      </c>
      <c r="H138" s="71"/>
      <c r="I138" s="71"/>
    </row>
    <row r="139" spans="1:9" x14ac:dyDescent="0.25">
      <c r="A139" s="39" t="s">
        <v>54</v>
      </c>
      <c r="B139" s="7">
        <v>6</v>
      </c>
      <c r="C139" s="41">
        <v>7</v>
      </c>
      <c r="D139" s="42">
        <v>320</v>
      </c>
      <c r="E139" s="43">
        <f t="shared" ref="E139" si="8">C139*D139</f>
        <v>2240</v>
      </c>
      <c r="F139" s="44">
        <f t="shared" ref="F139" si="9">B139*E139</f>
        <v>13440</v>
      </c>
      <c r="G139" s="45" t="s">
        <v>134</v>
      </c>
      <c r="H139" s="71"/>
      <c r="I139" s="71"/>
    </row>
    <row r="140" spans="1:9" x14ac:dyDescent="0.25">
      <c r="A140" s="39" t="s">
        <v>54</v>
      </c>
      <c r="B140" s="7">
        <v>4</v>
      </c>
      <c r="C140" s="41">
        <v>7</v>
      </c>
      <c r="D140" s="42">
        <v>320</v>
      </c>
      <c r="E140" s="43">
        <f t="shared" ref="E140" si="10">C140*D140</f>
        <v>2240</v>
      </c>
      <c r="F140" s="44">
        <f t="shared" ref="F140" si="11">B140*E140</f>
        <v>8960</v>
      </c>
      <c r="G140" s="45" t="s">
        <v>135</v>
      </c>
      <c r="H140" s="71"/>
      <c r="I140" s="71"/>
    </row>
    <row r="141" spans="1:9" x14ac:dyDescent="0.25">
      <c r="A141" s="39" t="s">
        <v>55</v>
      </c>
      <c r="B141" s="7">
        <v>7</v>
      </c>
      <c r="C141" s="41">
        <v>1</v>
      </c>
      <c r="D141" s="42">
        <v>300</v>
      </c>
      <c r="E141" s="43">
        <f t="shared" si="6"/>
        <v>300</v>
      </c>
      <c r="F141" s="44">
        <f t="shared" si="7"/>
        <v>2100</v>
      </c>
      <c r="G141" s="45" t="s">
        <v>131</v>
      </c>
      <c r="H141" s="69"/>
      <c r="I141" s="69"/>
    </row>
    <row r="142" spans="1:9" x14ac:dyDescent="0.25">
      <c r="A142" s="39" t="s">
        <v>101</v>
      </c>
      <c r="B142" s="7">
        <v>6</v>
      </c>
      <c r="C142" s="41">
        <v>6</v>
      </c>
      <c r="D142" s="42">
        <v>280</v>
      </c>
      <c r="E142" s="43">
        <f t="shared" ref="E142" si="12">C142*D142</f>
        <v>1680</v>
      </c>
      <c r="F142" s="44">
        <f t="shared" ref="F142" si="13">B142*E142</f>
        <v>10080</v>
      </c>
      <c r="G142" s="45" t="s">
        <v>134</v>
      </c>
      <c r="H142" s="69"/>
      <c r="I142" s="69"/>
    </row>
    <row r="143" spans="1:9" x14ac:dyDescent="0.25">
      <c r="A143" s="39" t="s">
        <v>56</v>
      </c>
      <c r="B143" s="7">
        <v>7</v>
      </c>
      <c r="C143" s="41">
        <v>24</v>
      </c>
      <c r="D143" s="42">
        <v>120</v>
      </c>
      <c r="E143" s="43">
        <f t="shared" si="6"/>
        <v>2880</v>
      </c>
      <c r="F143" s="44">
        <f t="shared" si="7"/>
        <v>20160</v>
      </c>
      <c r="G143" s="45" t="s">
        <v>131</v>
      </c>
    </row>
    <row r="144" spans="1:9" x14ac:dyDescent="0.25">
      <c r="A144" s="39" t="s">
        <v>58</v>
      </c>
      <c r="B144" s="7">
        <v>7</v>
      </c>
      <c r="C144" s="41">
        <v>36</v>
      </c>
      <c r="D144" s="42">
        <v>100</v>
      </c>
      <c r="E144" s="43">
        <f t="shared" si="6"/>
        <v>3600</v>
      </c>
      <c r="F144" s="44">
        <f t="shared" si="7"/>
        <v>25200</v>
      </c>
      <c r="G144" s="45" t="s">
        <v>131</v>
      </c>
    </row>
    <row r="145" spans="1:7" x14ac:dyDescent="0.25">
      <c r="A145" s="39" t="s">
        <v>58</v>
      </c>
      <c r="B145" s="7">
        <v>4</v>
      </c>
      <c r="C145" s="41">
        <v>1</v>
      </c>
      <c r="D145" s="42">
        <v>100</v>
      </c>
      <c r="E145" s="43">
        <f t="shared" ref="E145" si="14">C145*D145</f>
        <v>100</v>
      </c>
      <c r="F145" s="44">
        <f t="shared" ref="F145" si="15">B145*E145</f>
        <v>400</v>
      </c>
      <c r="G145" s="45" t="s">
        <v>135</v>
      </c>
    </row>
    <row r="146" spans="1:7" x14ac:dyDescent="0.25">
      <c r="A146" s="39" t="s">
        <v>59</v>
      </c>
      <c r="B146" s="7">
        <v>7</v>
      </c>
      <c r="C146" s="41">
        <v>60</v>
      </c>
      <c r="D146" s="42">
        <v>150</v>
      </c>
      <c r="E146" s="43">
        <f t="shared" si="6"/>
        <v>9000</v>
      </c>
      <c r="F146" s="44">
        <f t="shared" si="7"/>
        <v>63000</v>
      </c>
      <c r="G146" s="45" t="s">
        <v>131</v>
      </c>
    </row>
    <row r="147" spans="1:7" x14ac:dyDescent="0.25">
      <c r="A147" s="39" t="s">
        <v>59</v>
      </c>
      <c r="B147" s="7">
        <v>4</v>
      </c>
      <c r="C147" s="41">
        <v>1</v>
      </c>
      <c r="D147" s="42">
        <v>150</v>
      </c>
      <c r="E147" s="43">
        <f t="shared" ref="E147" si="16">C147*D147</f>
        <v>150</v>
      </c>
      <c r="F147" s="44">
        <f t="shared" ref="F147" si="17">B147*E147</f>
        <v>600</v>
      </c>
      <c r="G147" s="45" t="s">
        <v>135</v>
      </c>
    </row>
    <row r="148" spans="1:7" x14ac:dyDescent="0.25">
      <c r="A148" s="39" t="s">
        <v>60</v>
      </c>
      <c r="B148" s="7">
        <v>7</v>
      </c>
      <c r="C148" s="41">
        <v>40</v>
      </c>
      <c r="D148" s="42">
        <v>130</v>
      </c>
      <c r="E148" s="43">
        <f t="shared" si="6"/>
        <v>5200</v>
      </c>
      <c r="F148" s="44">
        <f t="shared" si="7"/>
        <v>36400</v>
      </c>
      <c r="G148" s="45" t="s">
        <v>131</v>
      </c>
    </row>
    <row r="149" spans="1:7" x14ac:dyDescent="0.25">
      <c r="A149" s="39" t="s">
        <v>64</v>
      </c>
      <c r="B149" s="7">
        <v>7</v>
      </c>
      <c r="C149" s="41">
        <v>246</v>
      </c>
      <c r="D149" s="42">
        <v>28</v>
      </c>
      <c r="E149" s="43">
        <f t="shared" si="6"/>
        <v>6888</v>
      </c>
      <c r="F149" s="44">
        <f t="shared" si="7"/>
        <v>48216</v>
      </c>
      <c r="G149" s="45" t="s">
        <v>131</v>
      </c>
    </row>
    <row r="150" spans="1:7" x14ac:dyDescent="0.25">
      <c r="A150" s="39" t="s">
        <v>76</v>
      </c>
      <c r="B150" s="7">
        <v>7</v>
      </c>
      <c r="C150" s="41">
        <v>30</v>
      </c>
      <c r="D150" s="42">
        <v>200</v>
      </c>
      <c r="E150" s="43">
        <f t="shared" si="6"/>
        <v>6000</v>
      </c>
      <c r="F150" s="44">
        <f t="shared" si="7"/>
        <v>42000</v>
      </c>
      <c r="G150" s="45" t="s">
        <v>131</v>
      </c>
    </row>
    <row r="151" spans="1:7" x14ac:dyDescent="0.25">
      <c r="A151" s="39" t="s">
        <v>136</v>
      </c>
      <c r="B151" s="7">
        <v>7</v>
      </c>
      <c r="C151" s="41">
        <v>14</v>
      </c>
      <c r="D151" s="42">
        <v>250</v>
      </c>
      <c r="E151" s="43">
        <f t="shared" ref="E151" si="18">C151*D151</f>
        <v>3500</v>
      </c>
      <c r="F151" s="44">
        <f t="shared" ref="F151" si="19">B151*E151</f>
        <v>24500</v>
      </c>
      <c r="G151" s="45" t="s">
        <v>131</v>
      </c>
    </row>
    <row r="152" spans="1:7" x14ac:dyDescent="0.25">
      <c r="A152" s="39" t="s">
        <v>136</v>
      </c>
      <c r="B152" s="7">
        <v>4</v>
      </c>
      <c r="C152" s="41">
        <v>2</v>
      </c>
      <c r="D152" s="42">
        <v>250</v>
      </c>
      <c r="E152" s="43">
        <f t="shared" ref="E152" si="20">C152*D152</f>
        <v>500</v>
      </c>
      <c r="F152" s="44">
        <f t="shared" ref="F152" si="21">B152*E152</f>
        <v>2000</v>
      </c>
      <c r="G152" s="45" t="s">
        <v>135</v>
      </c>
    </row>
    <row r="153" spans="1:7" x14ac:dyDescent="0.25">
      <c r="A153" s="39" t="s">
        <v>77</v>
      </c>
      <c r="B153" s="7">
        <v>7</v>
      </c>
      <c r="C153" s="41">
        <v>10</v>
      </c>
      <c r="D153" s="42">
        <v>200</v>
      </c>
      <c r="E153" s="43">
        <f t="shared" si="6"/>
        <v>2000</v>
      </c>
      <c r="F153" s="44">
        <f t="shared" si="7"/>
        <v>14000</v>
      </c>
      <c r="G153" s="45" t="s">
        <v>131</v>
      </c>
    </row>
    <row r="154" spans="1:7" x14ac:dyDescent="0.25">
      <c r="A154" s="39" t="s">
        <v>137</v>
      </c>
      <c r="B154" s="7">
        <v>7</v>
      </c>
      <c r="C154" s="41">
        <v>24</v>
      </c>
      <c r="D154" s="42">
        <v>350</v>
      </c>
      <c r="E154" s="43">
        <f t="shared" ref="E154" si="22">C154*D154</f>
        <v>8400</v>
      </c>
      <c r="F154" s="44">
        <f t="shared" ref="F154" si="23">B154*E154</f>
        <v>58800</v>
      </c>
      <c r="G154" s="45" t="s">
        <v>131</v>
      </c>
    </row>
    <row r="155" spans="1:7" ht="18.75" x14ac:dyDescent="0.4">
      <c r="A155" s="142" t="s">
        <v>130</v>
      </c>
      <c r="B155" s="143"/>
      <c r="C155" s="146" t="s">
        <v>68</v>
      </c>
      <c r="D155" s="147"/>
      <c r="E155" s="46">
        <f>SUM(E136:E154)*1.19</f>
        <v>76455.12</v>
      </c>
      <c r="F155" s="148"/>
      <c r="G155" s="47"/>
    </row>
    <row r="156" spans="1:7" ht="18.75" x14ac:dyDescent="0.4">
      <c r="A156" s="142"/>
      <c r="B156" s="143"/>
      <c r="C156" s="146" t="s">
        <v>42</v>
      </c>
      <c r="D156" s="147"/>
      <c r="E156" s="46">
        <f>SUM(F136:F154)</f>
        <v>426796</v>
      </c>
      <c r="F156" s="148"/>
      <c r="G156" s="47"/>
    </row>
    <row r="157" spans="1:7" ht="18.75" x14ac:dyDescent="0.4">
      <c r="A157" s="142"/>
      <c r="B157" s="143"/>
      <c r="C157" s="146" t="s">
        <v>43</v>
      </c>
      <c r="D157" s="147"/>
      <c r="E157" s="48">
        <f>E156*19%</f>
        <v>81091.240000000005</v>
      </c>
      <c r="F157" s="148"/>
      <c r="G157" s="47"/>
    </row>
    <row r="158" spans="1:7" ht="18.75" x14ac:dyDescent="0.4">
      <c r="A158" s="142"/>
      <c r="B158" s="143"/>
      <c r="C158" s="146" t="s">
        <v>44</v>
      </c>
      <c r="D158" s="147"/>
      <c r="E158" s="2"/>
      <c r="F158" s="148"/>
      <c r="G158" s="47"/>
    </row>
    <row r="159" spans="1:7" ht="19.5" thickBot="1" x14ac:dyDescent="0.45">
      <c r="A159" s="144"/>
      <c r="B159" s="145"/>
      <c r="C159" s="150" t="s">
        <v>45</v>
      </c>
      <c r="D159" s="151"/>
      <c r="E159" s="49">
        <f>SUM(E156:E158)</f>
        <v>507887.24</v>
      </c>
      <c r="F159" s="149"/>
      <c r="G159" s="47"/>
    </row>
    <row r="161" spans="1:7" x14ac:dyDescent="0.25">
      <c r="A161" s="123" t="s">
        <v>140</v>
      </c>
      <c r="B161" s="123" t="s">
        <v>144</v>
      </c>
      <c r="C161" s="123" t="s">
        <v>146</v>
      </c>
      <c r="D161" s="123" t="s">
        <v>145</v>
      </c>
    </row>
    <row r="162" spans="1:7" x14ac:dyDescent="0.25">
      <c r="A162" s="122"/>
      <c r="B162" s="128"/>
      <c r="C162" s="123" t="s">
        <v>147</v>
      </c>
      <c r="D162" s="128"/>
    </row>
    <row r="163" spans="1:7" x14ac:dyDescent="0.25">
      <c r="A163" s="121" t="s">
        <v>54</v>
      </c>
      <c r="B163" s="121">
        <v>1</v>
      </c>
      <c r="C163" s="125">
        <v>140000</v>
      </c>
      <c r="D163" s="124">
        <v>140000</v>
      </c>
    </row>
    <row r="164" spans="1:7" x14ac:dyDescent="0.25">
      <c r="A164" s="121" t="s">
        <v>141</v>
      </c>
      <c r="B164" s="121">
        <v>1</v>
      </c>
      <c r="C164" s="126">
        <v>12000</v>
      </c>
      <c r="D164" s="126">
        <v>12000</v>
      </c>
    </row>
    <row r="165" spans="1:7" x14ac:dyDescent="0.25">
      <c r="A165" s="121" t="s">
        <v>142</v>
      </c>
      <c r="B165" s="121">
        <v>2</v>
      </c>
      <c r="C165" s="126">
        <v>180000</v>
      </c>
      <c r="D165" s="126">
        <f>B165*C165</f>
        <v>360000</v>
      </c>
    </row>
    <row r="166" spans="1:7" x14ac:dyDescent="0.25">
      <c r="A166" s="121" t="s">
        <v>143</v>
      </c>
      <c r="B166" s="121">
        <v>2</v>
      </c>
      <c r="C166" s="126">
        <v>100000</v>
      </c>
      <c r="D166" s="126">
        <f>B166*C166</f>
        <v>200000</v>
      </c>
    </row>
    <row r="167" spans="1:7" ht="15.75" x14ac:dyDescent="0.25">
      <c r="A167" s="127" t="s">
        <v>148</v>
      </c>
      <c r="B167" s="184">
        <f>SUM(D163:D166)</f>
        <v>712000</v>
      </c>
      <c r="C167" s="185"/>
      <c r="D167" s="186"/>
    </row>
    <row r="168" spans="1:7" x14ac:dyDescent="0.25">
      <c r="E168" t="s">
        <v>151</v>
      </c>
    </row>
    <row r="169" spans="1:7" ht="18.75" x14ac:dyDescent="0.4">
      <c r="A169" s="84" t="s">
        <v>85</v>
      </c>
      <c r="B169" s="84"/>
      <c r="C169" s="84"/>
      <c r="D169" s="129">
        <v>1096362</v>
      </c>
      <c r="E169" s="86">
        <f>E104*0.04</f>
        <v>123555.0344</v>
      </c>
      <c r="F169" s="129">
        <v>3088875</v>
      </c>
      <c r="G169" s="139">
        <f>D169-E169</f>
        <v>972806.9656</v>
      </c>
    </row>
    <row r="170" spans="1:7" ht="17.25" x14ac:dyDescent="0.3">
      <c r="A170" s="130" t="s">
        <v>149</v>
      </c>
      <c r="B170" s="130"/>
      <c r="C170" s="130"/>
      <c r="D170" s="133">
        <v>507887</v>
      </c>
      <c r="E170" s="138">
        <f>D170*0.04</f>
        <v>20315.48</v>
      </c>
    </row>
    <row r="171" spans="1:7" ht="16.5" x14ac:dyDescent="0.3">
      <c r="A171" s="132" t="s">
        <v>140</v>
      </c>
      <c r="B171" s="132"/>
      <c r="C171" s="132"/>
      <c r="D171" s="134">
        <v>752000</v>
      </c>
      <c r="E171" s="138">
        <f>D171*0.025</f>
        <v>18800</v>
      </c>
    </row>
    <row r="172" spans="1:7" ht="21" x14ac:dyDescent="0.4">
      <c r="A172" s="135" t="s">
        <v>150</v>
      </c>
      <c r="B172" s="136"/>
      <c r="C172" s="136"/>
      <c r="D172" s="137">
        <f>SUM(D169:D171)</f>
        <v>2356249</v>
      </c>
      <c r="E172" s="87">
        <f>SUM(E169:E171)</f>
        <v>162670.51440000001</v>
      </c>
      <c r="F172" s="85">
        <f>D172-E172</f>
        <v>2193578.4855999998</v>
      </c>
      <c r="G172" s="131"/>
    </row>
  </sheetData>
  <mergeCells count="69">
    <mergeCell ref="B167:D167"/>
    <mergeCell ref="A84:B88"/>
    <mergeCell ref="C84:D84"/>
    <mergeCell ref="F84:F88"/>
    <mergeCell ref="C85:D85"/>
    <mergeCell ref="C86:D86"/>
    <mergeCell ref="C87:D87"/>
    <mergeCell ref="C88:D88"/>
    <mergeCell ref="A108:F108"/>
    <mergeCell ref="A109:F109"/>
    <mergeCell ref="A110:F110"/>
    <mergeCell ref="A131:F131"/>
    <mergeCell ref="A132:F132"/>
    <mergeCell ref="A133:F133"/>
    <mergeCell ref="A134:A135"/>
    <mergeCell ref="B134:D134"/>
    <mergeCell ref="A69:A70"/>
    <mergeCell ref="A67:F67"/>
    <mergeCell ref="A68:F68"/>
    <mergeCell ref="F58:F61"/>
    <mergeCell ref="C59:D59"/>
    <mergeCell ref="C60:D60"/>
    <mergeCell ref="C61:D61"/>
    <mergeCell ref="A66:F66"/>
    <mergeCell ref="A1:K1"/>
    <mergeCell ref="A2:K2"/>
    <mergeCell ref="A3:K3"/>
    <mergeCell ref="A94:A95"/>
    <mergeCell ref="B94:D94"/>
    <mergeCell ref="E94:H94"/>
    <mergeCell ref="A27:A28"/>
    <mergeCell ref="A91:F91"/>
    <mergeCell ref="A92:F92"/>
    <mergeCell ref="A93:F93"/>
    <mergeCell ref="B27:D27"/>
    <mergeCell ref="A31:B35"/>
    <mergeCell ref="C31:D31"/>
    <mergeCell ref="F31:F35"/>
    <mergeCell ref="C32:D32"/>
    <mergeCell ref="C33:D33"/>
    <mergeCell ref="A24:F24"/>
    <mergeCell ref="A25:F25"/>
    <mergeCell ref="A26:F26"/>
    <mergeCell ref="C34:D34"/>
    <mergeCell ref="C35:D35"/>
    <mergeCell ref="A38:F38"/>
    <mergeCell ref="A39:F39"/>
    <mergeCell ref="A97:B101"/>
    <mergeCell ref="C97:D97"/>
    <mergeCell ref="F97:F101"/>
    <mergeCell ref="C98:D98"/>
    <mergeCell ref="C99:D99"/>
    <mergeCell ref="C100:D100"/>
    <mergeCell ref="C101:D101"/>
    <mergeCell ref="B69:D69"/>
    <mergeCell ref="E69:F69"/>
    <mergeCell ref="A41:A42"/>
    <mergeCell ref="B41:D41"/>
    <mergeCell ref="A58:B61"/>
    <mergeCell ref="C58:D58"/>
    <mergeCell ref="E41:F41"/>
    <mergeCell ref="E134:F134"/>
    <mergeCell ref="A155:B159"/>
    <mergeCell ref="C155:D155"/>
    <mergeCell ref="F155:F159"/>
    <mergeCell ref="C156:D156"/>
    <mergeCell ref="C157:D157"/>
    <mergeCell ref="C158:D158"/>
    <mergeCell ref="C159:D159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17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0695-BFDC-4F1F-90F7-54F747A5C320}">
  <sheetPr>
    <pageSetUpPr fitToPage="1"/>
  </sheetPr>
  <dimension ref="A1:G51"/>
  <sheetViews>
    <sheetView topLeftCell="A15" workbookViewId="0">
      <selection activeCell="I8" sqref="I8"/>
    </sheetView>
  </sheetViews>
  <sheetFormatPr baseColWidth="10" defaultRowHeight="15" x14ac:dyDescent="0.25"/>
  <cols>
    <col min="1" max="1" width="25.5703125" bestFit="1" customWidth="1"/>
    <col min="5" max="5" width="16.7109375" bestFit="1" customWidth="1"/>
    <col min="6" max="6" width="14.140625" bestFit="1" customWidth="1"/>
  </cols>
  <sheetData>
    <row r="1" spans="1:7" ht="18.75" x14ac:dyDescent="0.3">
      <c r="A1" s="232" t="s">
        <v>114</v>
      </c>
      <c r="B1" s="172"/>
      <c r="C1" s="172"/>
      <c r="D1" s="172"/>
      <c r="E1" s="172"/>
      <c r="F1" s="172"/>
      <c r="G1" s="233"/>
    </row>
    <row r="2" spans="1:7" ht="18.75" x14ac:dyDescent="0.3">
      <c r="A2" s="232" t="s">
        <v>115</v>
      </c>
      <c r="B2" s="172"/>
      <c r="C2" s="172"/>
      <c r="D2" s="172"/>
      <c r="E2" s="172"/>
      <c r="F2" s="172"/>
      <c r="G2" s="233"/>
    </row>
    <row r="3" spans="1:7" ht="18.75" x14ac:dyDescent="0.3">
      <c r="A3" s="232" t="s">
        <v>127</v>
      </c>
      <c r="B3" s="172"/>
      <c r="C3" s="172"/>
      <c r="D3" s="172"/>
      <c r="E3" s="172"/>
      <c r="F3" s="172"/>
      <c r="G3" s="233"/>
    </row>
    <row r="4" spans="1:7" x14ac:dyDescent="0.25">
      <c r="A4" s="234" t="s">
        <v>22</v>
      </c>
      <c r="B4" s="99" t="s">
        <v>21</v>
      </c>
      <c r="C4" s="99"/>
      <c r="D4" s="99"/>
      <c r="E4" s="99"/>
      <c r="F4" s="99"/>
      <c r="G4" s="100" t="s">
        <v>116</v>
      </c>
    </row>
    <row r="5" spans="1:7" x14ac:dyDescent="0.25">
      <c r="A5" s="235"/>
      <c r="B5" s="18">
        <v>46142</v>
      </c>
      <c r="C5" s="18"/>
      <c r="D5" s="18"/>
      <c r="E5" s="18"/>
      <c r="F5" s="18"/>
      <c r="G5" s="101">
        <v>46173</v>
      </c>
    </row>
    <row r="6" spans="1:7" x14ac:dyDescent="0.25">
      <c r="A6" s="102" t="s">
        <v>117</v>
      </c>
      <c r="B6" s="103">
        <v>40</v>
      </c>
      <c r="D6" s="103"/>
      <c r="E6" s="15"/>
      <c r="F6" s="15"/>
      <c r="G6" s="104">
        <f>SUM(B6:F6)</f>
        <v>40</v>
      </c>
    </row>
    <row r="7" spans="1:7" x14ac:dyDescent="0.25">
      <c r="A7" s="102" t="s">
        <v>48</v>
      </c>
      <c r="B7" s="103">
        <v>110</v>
      </c>
      <c r="C7" s="103"/>
      <c r="D7" s="103"/>
      <c r="E7" s="15"/>
      <c r="F7" s="15"/>
      <c r="G7" s="104">
        <f t="shared" ref="G7:G20" si="0">SUM(B7:F7)</f>
        <v>110</v>
      </c>
    </row>
    <row r="8" spans="1:7" x14ac:dyDescent="0.25">
      <c r="A8" s="102" t="s">
        <v>118</v>
      </c>
      <c r="B8" s="103">
        <v>8</v>
      </c>
      <c r="C8" s="103"/>
      <c r="D8" s="103"/>
      <c r="E8" s="15"/>
      <c r="F8" s="15"/>
      <c r="G8" s="104">
        <f t="shared" si="0"/>
        <v>8</v>
      </c>
    </row>
    <row r="9" spans="1:7" x14ac:dyDescent="0.25">
      <c r="A9" s="102" t="s">
        <v>119</v>
      </c>
      <c r="B9" s="103">
        <v>50</v>
      </c>
      <c r="C9" s="103"/>
      <c r="D9" s="103"/>
      <c r="E9" s="15"/>
      <c r="F9" s="15"/>
      <c r="G9" s="104">
        <f t="shared" si="0"/>
        <v>50</v>
      </c>
    </row>
    <row r="10" spans="1:7" x14ac:dyDescent="0.25">
      <c r="A10" s="102" t="s">
        <v>101</v>
      </c>
      <c r="B10" s="103">
        <v>60</v>
      </c>
      <c r="C10" s="103"/>
      <c r="D10" s="103"/>
      <c r="E10" s="15"/>
      <c r="F10" s="15"/>
      <c r="G10" s="104">
        <f t="shared" si="0"/>
        <v>60</v>
      </c>
    </row>
    <row r="11" spans="1:7" x14ac:dyDescent="0.25">
      <c r="A11" s="102" t="s">
        <v>120</v>
      </c>
      <c r="B11" s="103">
        <v>46</v>
      </c>
      <c r="C11" s="103"/>
      <c r="D11" s="103"/>
      <c r="E11" s="15"/>
      <c r="F11" s="15"/>
      <c r="G11" s="104">
        <f t="shared" si="0"/>
        <v>46</v>
      </c>
    </row>
    <row r="12" spans="1:7" x14ac:dyDescent="0.25">
      <c r="A12" s="102" t="s">
        <v>55</v>
      </c>
      <c r="B12" s="103">
        <v>2</v>
      </c>
      <c r="C12" s="103"/>
      <c r="D12" s="103"/>
      <c r="E12" s="15"/>
      <c r="F12" s="15"/>
      <c r="G12" s="104">
        <f t="shared" si="0"/>
        <v>2</v>
      </c>
    </row>
    <row r="13" spans="1:7" x14ac:dyDescent="0.25">
      <c r="A13" s="102" t="s">
        <v>62</v>
      </c>
      <c r="B13" s="103">
        <v>120</v>
      </c>
      <c r="C13" s="103"/>
      <c r="D13" s="103"/>
      <c r="E13" s="15"/>
      <c r="F13" s="15"/>
      <c r="G13" s="104">
        <f t="shared" si="0"/>
        <v>120</v>
      </c>
    </row>
    <row r="14" spans="1:7" x14ac:dyDescent="0.25">
      <c r="A14" s="102" t="s">
        <v>64</v>
      </c>
      <c r="B14" s="103">
        <v>1500</v>
      </c>
      <c r="C14" s="103"/>
      <c r="D14" s="103"/>
      <c r="E14" s="15"/>
      <c r="F14" s="15"/>
      <c r="G14" s="104">
        <f t="shared" si="0"/>
        <v>1500</v>
      </c>
    </row>
    <row r="15" spans="1:7" x14ac:dyDescent="0.25">
      <c r="A15" s="102" t="s">
        <v>121</v>
      </c>
      <c r="B15" s="103">
        <v>5</v>
      </c>
      <c r="C15" s="103"/>
      <c r="D15" s="103"/>
      <c r="E15" s="15"/>
      <c r="F15" s="15"/>
      <c r="G15" s="104">
        <f t="shared" si="0"/>
        <v>5</v>
      </c>
    </row>
    <row r="16" spans="1:7" x14ac:dyDescent="0.25">
      <c r="A16" s="102" t="s">
        <v>122</v>
      </c>
      <c r="B16" s="103">
        <v>2</v>
      </c>
      <c r="C16" s="103"/>
      <c r="D16" s="103"/>
      <c r="E16" s="15"/>
      <c r="F16" s="15"/>
      <c r="G16" s="104">
        <f t="shared" si="0"/>
        <v>2</v>
      </c>
    </row>
    <row r="17" spans="1:7" x14ac:dyDescent="0.25">
      <c r="A17" s="102" t="s">
        <v>56</v>
      </c>
      <c r="B17" s="103">
        <v>8</v>
      </c>
      <c r="C17" s="103"/>
      <c r="D17" s="103"/>
      <c r="E17" s="15"/>
      <c r="F17" s="15"/>
      <c r="G17" s="104">
        <f t="shared" si="0"/>
        <v>8</v>
      </c>
    </row>
    <row r="18" spans="1:7" x14ac:dyDescent="0.25">
      <c r="A18" s="102" t="s">
        <v>123</v>
      </c>
      <c r="B18" s="103">
        <v>80</v>
      </c>
      <c r="C18" s="103"/>
      <c r="D18" s="103"/>
      <c r="E18" s="15"/>
      <c r="F18" s="15"/>
      <c r="G18" s="104">
        <f t="shared" si="0"/>
        <v>80</v>
      </c>
    </row>
    <row r="19" spans="1:7" x14ac:dyDescent="0.25">
      <c r="A19" s="102" t="s">
        <v>89</v>
      </c>
      <c r="B19" s="103">
        <v>40</v>
      </c>
      <c r="C19" s="103"/>
      <c r="D19" s="103"/>
      <c r="E19" s="15"/>
      <c r="F19" s="15"/>
      <c r="G19" s="104">
        <f t="shared" si="0"/>
        <v>40</v>
      </c>
    </row>
    <row r="20" spans="1:7" x14ac:dyDescent="0.25">
      <c r="A20" s="102" t="s">
        <v>124</v>
      </c>
      <c r="B20" s="103">
        <v>700</v>
      </c>
      <c r="C20" s="103"/>
      <c r="D20" s="103"/>
      <c r="E20" s="15"/>
      <c r="F20" s="15"/>
      <c r="G20" s="104">
        <f t="shared" si="0"/>
        <v>700</v>
      </c>
    </row>
    <row r="21" spans="1:7" x14ac:dyDescent="0.25">
      <c r="A21" s="105" t="s">
        <v>125</v>
      </c>
      <c r="B21" s="12"/>
      <c r="C21" s="12"/>
      <c r="D21" s="12"/>
      <c r="E21" s="12"/>
      <c r="F21" s="12"/>
      <c r="G21" s="104"/>
    </row>
    <row r="22" spans="1:7" x14ac:dyDescent="0.25">
      <c r="A22" s="105" t="s">
        <v>126</v>
      </c>
      <c r="B22" s="106"/>
      <c r="C22" s="106"/>
      <c r="D22" s="106"/>
      <c r="E22" s="106"/>
      <c r="F22" s="106"/>
      <c r="G22" s="107">
        <f>SUM(B22:F22)</f>
        <v>0</v>
      </c>
    </row>
    <row r="28" spans="1:7" ht="71.25" customHeight="1" x14ac:dyDescent="0.25">
      <c r="A28" s="236" t="s">
        <v>98</v>
      </c>
      <c r="B28" s="237"/>
      <c r="C28" s="237"/>
      <c r="D28" s="237"/>
      <c r="E28" s="237"/>
      <c r="F28" s="238"/>
    </row>
    <row r="29" spans="1:7" x14ac:dyDescent="0.25">
      <c r="A29" s="236" t="s">
        <v>99</v>
      </c>
      <c r="B29" s="237"/>
      <c r="C29" s="237"/>
      <c r="D29" s="237"/>
      <c r="E29" s="237"/>
      <c r="F29" s="238"/>
    </row>
    <row r="30" spans="1:7" x14ac:dyDescent="0.25">
      <c r="A30" s="236" t="s">
        <v>112</v>
      </c>
      <c r="B30" s="237"/>
      <c r="C30" s="237"/>
      <c r="D30" s="237"/>
      <c r="E30" s="237"/>
      <c r="F30" s="238"/>
    </row>
    <row r="31" spans="1:7" ht="18" x14ac:dyDescent="0.25">
      <c r="A31" s="239" t="s">
        <v>100</v>
      </c>
      <c r="B31" s="166"/>
      <c r="C31" s="166"/>
      <c r="D31" s="166"/>
      <c r="E31" s="166"/>
      <c r="F31" s="167"/>
    </row>
    <row r="32" spans="1:7" x14ac:dyDescent="0.25">
      <c r="A32" s="162" t="s">
        <v>22</v>
      </c>
      <c r="B32" s="161" t="s">
        <v>31</v>
      </c>
      <c r="C32" s="161"/>
      <c r="D32" s="161"/>
      <c r="E32" s="161" t="s">
        <v>32</v>
      </c>
      <c r="F32" s="140"/>
    </row>
    <row r="33" spans="1:6" x14ac:dyDescent="0.25">
      <c r="A33" s="162"/>
      <c r="B33" s="36" t="s">
        <v>2</v>
      </c>
      <c r="C33" s="36" t="s">
        <v>34</v>
      </c>
      <c r="D33" s="36" t="s">
        <v>35</v>
      </c>
      <c r="E33" s="36" t="s">
        <v>36</v>
      </c>
      <c r="F33" s="54" t="s">
        <v>37</v>
      </c>
    </row>
    <row r="34" spans="1:6" x14ac:dyDescent="0.25">
      <c r="A34" s="39" t="s">
        <v>48</v>
      </c>
      <c r="B34" s="41">
        <v>31</v>
      </c>
      <c r="C34" s="91">
        <v>110</v>
      </c>
      <c r="D34" s="92">
        <v>450</v>
      </c>
      <c r="E34" s="43">
        <f t="shared" ref="E34:E47" si="1">C34*D34</f>
        <v>49500</v>
      </c>
      <c r="F34" s="44">
        <f t="shared" ref="F34:F47" si="2">B34*E34</f>
        <v>1534500</v>
      </c>
    </row>
    <row r="35" spans="1:6" x14ac:dyDescent="0.25">
      <c r="A35" s="39" t="s">
        <v>101</v>
      </c>
      <c r="B35" s="41">
        <v>31</v>
      </c>
      <c r="C35" s="91">
        <v>60</v>
      </c>
      <c r="D35" s="92">
        <v>280</v>
      </c>
      <c r="E35" s="43">
        <f t="shared" si="1"/>
        <v>16800</v>
      </c>
      <c r="F35" s="44">
        <f t="shared" si="2"/>
        <v>520800</v>
      </c>
    </row>
    <row r="36" spans="1:6" x14ac:dyDescent="0.25">
      <c r="A36" s="39" t="s">
        <v>102</v>
      </c>
      <c r="B36" s="41">
        <v>31</v>
      </c>
      <c r="C36" s="91">
        <v>50</v>
      </c>
      <c r="D36" s="92">
        <v>360</v>
      </c>
      <c r="E36" s="43">
        <f t="shared" si="1"/>
        <v>18000</v>
      </c>
      <c r="F36" s="44">
        <f t="shared" si="2"/>
        <v>558000</v>
      </c>
    </row>
    <row r="37" spans="1:6" x14ac:dyDescent="0.25">
      <c r="A37" s="39" t="s">
        <v>103</v>
      </c>
      <c r="B37" s="41">
        <v>31</v>
      </c>
      <c r="C37" s="91">
        <v>2</v>
      </c>
      <c r="D37" s="92">
        <v>340</v>
      </c>
      <c r="E37" s="43">
        <f t="shared" si="1"/>
        <v>680</v>
      </c>
      <c r="F37" s="44">
        <f t="shared" si="2"/>
        <v>21080</v>
      </c>
    </row>
    <row r="38" spans="1:6" x14ac:dyDescent="0.25">
      <c r="A38" s="39" t="s">
        <v>54</v>
      </c>
      <c r="B38" s="41">
        <v>31</v>
      </c>
      <c r="C38" s="91">
        <v>46</v>
      </c>
      <c r="D38" s="92">
        <v>350</v>
      </c>
      <c r="E38" s="43">
        <f>C38*D38</f>
        <v>16100</v>
      </c>
      <c r="F38" s="44">
        <f t="shared" si="2"/>
        <v>499100</v>
      </c>
    </row>
    <row r="39" spans="1:6" x14ac:dyDescent="0.25">
      <c r="A39" s="39" t="s">
        <v>104</v>
      </c>
      <c r="B39" s="41">
        <v>31</v>
      </c>
      <c r="C39" s="91">
        <v>40</v>
      </c>
      <c r="D39" s="92">
        <v>600</v>
      </c>
      <c r="E39" s="43">
        <f t="shared" si="1"/>
        <v>24000</v>
      </c>
      <c r="F39" s="44">
        <f t="shared" si="2"/>
        <v>744000</v>
      </c>
    </row>
    <row r="40" spans="1:6" x14ac:dyDescent="0.25">
      <c r="A40" s="39" t="s">
        <v>105</v>
      </c>
      <c r="B40" s="41">
        <v>31</v>
      </c>
      <c r="C40" s="91">
        <v>8</v>
      </c>
      <c r="D40" s="92">
        <v>400</v>
      </c>
      <c r="E40" s="43">
        <f t="shared" si="1"/>
        <v>3200</v>
      </c>
      <c r="F40" s="44">
        <f t="shared" si="2"/>
        <v>99200</v>
      </c>
    </row>
    <row r="41" spans="1:6" x14ac:dyDescent="0.25">
      <c r="A41" s="39" t="s">
        <v>62</v>
      </c>
      <c r="B41" s="41">
        <v>31</v>
      </c>
      <c r="C41" s="91">
        <v>120</v>
      </c>
      <c r="D41" s="92">
        <v>120</v>
      </c>
      <c r="E41" s="43">
        <f t="shared" si="1"/>
        <v>14400</v>
      </c>
      <c r="F41" s="44">
        <f t="shared" si="2"/>
        <v>446400</v>
      </c>
    </row>
    <row r="42" spans="1:6" x14ac:dyDescent="0.25">
      <c r="A42" s="39" t="s">
        <v>65</v>
      </c>
      <c r="B42" s="41">
        <v>31</v>
      </c>
      <c r="C42" s="91">
        <v>1500</v>
      </c>
      <c r="D42" s="92">
        <v>28</v>
      </c>
      <c r="E42" s="43">
        <f t="shared" si="1"/>
        <v>42000</v>
      </c>
      <c r="F42" s="44">
        <f t="shared" si="2"/>
        <v>1302000</v>
      </c>
    </row>
    <row r="43" spans="1:6" x14ac:dyDescent="0.25">
      <c r="A43" s="39" t="s">
        <v>106</v>
      </c>
      <c r="B43" s="41">
        <v>31</v>
      </c>
      <c r="C43" s="91">
        <v>8</v>
      </c>
      <c r="D43" s="92">
        <v>120</v>
      </c>
      <c r="E43" s="43">
        <f t="shared" si="1"/>
        <v>960</v>
      </c>
      <c r="F43" s="44">
        <f t="shared" si="2"/>
        <v>29760</v>
      </c>
    </row>
    <row r="44" spans="1:6" x14ac:dyDescent="0.25">
      <c r="A44" s="39" t="s">
        <v>107</v>
      </c>
      <c r="B44" s="41">
        <v>31</v>
      </c>
      <c r="C44" s="91">
        <v>2</v>
      </c>
      <c r="D44" s="92">
        <v>320</v>
      </c>
      <c r="E44" s="43">
        <f t="shared" si="1"/>
        <v>640</v>
      </c>
      <c r="F44" s="44">
        <f t="shared" si="2"/>
        <v>19840</v>
      </c>
    </row>
    <row r="45" spans="1:6" x14ac:dyDescent="0.25">
      <c r="A45" s="39" t="s">
        <v>39</v>
      </c>
      <c r="B45" s="41">
        <v>31</v>
      </c>
      <c r="C45" s="91">
        <v>80</v>
      </c>
      <c r="D45" s="92">
        <v>250</v>
      </c>
      <c r="E45" s="43">
        <f t="shared" si="1"/>
        <v>20000</v>
      </c>
      <c r="F45" s="44">
        <f t="shared" si="2"/>
        <v>620000</v>
      </c>
    </row>
    <row r="46" spans="1:6" x14ac:dyDescent="0.25">
      <c r="A46" s="39" t="s">
        <v>89</v>
      </c>
      <c r="B46" s="41">
        <v>31</v>
      </c>
      <c r="C46" s="91">
        <v>40</v>
      </c>
      <c r="D46" s="92">
        <v>200</v>
      </c>
      <c r="E46" s="43">
        <f t="shared" si="1"/>
        <v>8000</v>
      </c>
      <c r="F46" s="44">
        <f t="shared" si="2"/>
        <v>248000</v>
      </c>
    </row>
    <row r="47" spans="1:6" x14ac:dyDescent="0.25">
      <c r="A47" s="39" t="s">
        <v>108</v>
      </c>
      <c r="B47" s="41">
        <v>31</v>
      </c>
      <c r="C47" s="91">
        <v>700</v>
      </c>
      <c r="D47" s="92">
        <v>25</v>
      </c>
      <c r="E47" s="43">
        <f t="shared" si="1"/>
        <v>17500</v>
      </c>
      <c r="F47" s="44">
        <f t="shared" si="2"/>
        <v>542500</v>
      </c>
    </row>
    <row r="48" spans="1:6" ht="18.75" x14ac:dyDescent="0.4">
      <c r="A48" s="142" t="s">
        <v>113</v>
      </c>
      <c r="B48" s="222"/>
      <c r="C48" s="227" t="s">
        <v>109</v>
      </c>
      <c r="D48" s="227"/>
      <c r="E48" s="93">
        <f>SUM(E34:E47)*1.19</f>
        <v>275818.2</v>
      </c>
      <c r="F48" s="94"/>
    </row>
    <row r="49" spans="1:6" ht="18.75" x14ac:dyDescent="0.4">
      <c r="A49" s="223"/>
      <c r="B49" s="224"/>
      <c r="C49" s="228" t="s">
        <v>152</v>
      </c>
      <c r="D49" s="229"/>
      <c r="E49" s="95">
        <f>SUM(F34:F47)</f>
        <v>7185180</v>
      </c>
      <c r="F49" s="96"/>
    </row>
    <row r="50" spans="1:6" ht="19.5" thickBot="1" x14ac:dyDescent="0.45">
      <c r="A50" s="223"/>
      <c r="B50" s="224"/>
      <c r="C50" s="230" t="s">
        <v>110</v>
      </c>
      <c r="D50" s="230"/>
      <c r="E50" s="49">
        <f>E49*19%</f>
        <v>1365184.2</v>
      </c>
      <c r="F50" s="96"/>
    </row>
    <row r="51" spans="1:6" ht="19.5" thickBot="1" x14ac:dyDescent="0.45">
      <c r="A51" s="225"/>
      <c r="B51" s="226"/>
      <c r="C51" s="231" t="s">
        <v>111</v>
      </c>
      <c r="D51" s="231"/>
      <c r="E51" s="97">
        <f>SUM(E49:E50)</f>
        <v>8550364.1999999993</v>
      </c>
      <c r="F51" s="98"/>
    </row>
  </sheetData>
  <mergeCells count="16">
    <mergeCell ref="A29:F29"/>
    <mergeCell ref="A30:F30"/>
    <mergeCell ref="A31:F31"/>
    <mergeCell ref="A32:A33"/>
    <mergeCell ref="B32:D32"/>
    <mergeCell ref="E32:F32"/>
    <mergeCell ref="A1:G1"/>
    <mergeCell ref="A2:G2"/>
    <mergeCell ref="A3:G3"/>
    <mergeCell ref="A4:A5"/>
    <mergeCell ref="A28:F28"/>
    <mergeCell ref="A48:B51"/>
    <mergeCell ref="C48:D48"/>
    <mergeCell ref="C49:D49"/>
    <mergeCell ref="C50:D50"/>
    <mergeCell ref="C51:D51"/>
  </mergeCells>
  <pageMargins left="0.70866141732283472" right="0.70866141732283472" top="0.74803149606299213" bottom="0.74803149606299213" header="0.31496062992125984" footer="0.31496062992125984"/>
  <pageSetup paperSize="9" scale="8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TEJIDO ARQUITECTONICO</vt:lpstr>
      <vt:lpstr>CICOM INGENIERIA</vt:lpstr>
      <vt:lpstr>CONSORCIO LA VICTORIA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2026-06-19T16:26:53Z</cp:lastPrinted>
  <dcterms:created xsi:type="dcterms:W3CDTF">2015-06-05T18:19:34Z</dcterms:created>
  <dcterms:modified xsi:type="dcterms:W3CDTF">2026-07-02T12:31:07Z</dcterms:modified>
</cp:coreProperties>
</file>
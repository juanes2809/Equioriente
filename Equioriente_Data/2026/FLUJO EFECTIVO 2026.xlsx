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8_{497A5B4C-5409-474D-BFCF-BB334931ED00}" xr6:coauthVersionLast="47" xr6:coauthVersionMax="47" xr10:uidLastSave="{00000000-0000-0000-0000-000000000000}"/>
  <bookViews>
    <workbookView xWindow="-120" yWindow="-120" windowWidth="20730" windowHeight="11040" firstSheet="3" activeTab="7" xr2:uid="{93B103CE-C6B1-4AFD-8E71-F6A6C3A418BF}"/>
  </bookViews>
  <sheets>
    <sheet name="ENERO" sheetId="1" r:id="rId1"/>
    <sheet name="FEBRERO" sheetId="2" r:id="rId2"/>
    <sheet name="MARZO" sheetId="3" r:id="rId3"/>
    <sheet name="ABRIL" sheetId="4" r:id="rId4"/>
    <sheet name="MAYO" sheetId="6" r:id="rId5"/>
    <sheet name="JUNIO" sheetId="7" r:id="rId6"/>
    <sheet name="JULIO" sheetId="8" r:id="rId7"/>
    <sheet name="AGOSTO" sheetId="9" r:id="rId8"/>
    <sheet name="SEPTIEMBRE" sheetId="10" r:id="rId9"/>
    <sheet name="ALQUILER NO FISCAL 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5" i="9" l="1"/>
  <c r="G151" i="9" l="1"/>
  <c r="C105" i="10"/>
  <c r="C22" i="10" l="1"/>
  <c r="C59" i="9"/>
  <c r="G152" i="9" l="1"/>
  <c r="D121" i="9"/>
  <c r="F121" i="9" s="1"/>
  <c r="D116" i="9"/>
  <c r="G150" i="9"/>
  <c r="H150" i="9" l="1"/>
  <c r="H153" i="9" l="1"/>
  <c r="C55" i="8" l="1"/>
  <c r="G165" i="9"/>
  <c r="G164" i="9"/>
  <c r="G163" i="9"/>
  <c r="G162" i="9"/>
  <c r="G161" i="9"/>
  <c r="G160" i="9"/>
  <c r="G159" i="9"/>
  <c r="G158" i="9"/>
  <c r="C145" i="9"/>
  <c r="C100" i="7"/>
  <c r="C149" i="8"/>
  <c r="D97" i="8"/>
  <c r="D145" i="9" l="1"/>
  <c r="G154" i="9"/>
  <c r="G156" i="9" s="1"/>
  <c r="C122" i="3"/>
  <c r="H154" i="9" l="1"/>
  <c r="H156" i="9" s="1"/>
  <c r="I156" i="9" s="1"/>
  <c r="C93" i="4"/>
  <c r="C36" i="4"/>
  <c r="C42" i="7" l="1"/>
  <c r="G166" i="8"/>
  <c r="G165" i="8" l="1"/>
  <c r="G164" i="8"/>
  <c r="G163" i="8"/>
  <c r="G162" i="8"/>
  <c r="G161" i="8"/>
  <c r="G160" i="8"/>
  <c r="G159" i="8"/>
  <c r="G167" i="8" l="1"/>
  <c r="G155" i="8" s="1"/>
  <c r="C36" i="6"/>
  <c r="G157" i="8" l="1"/>
  <c r="N115" i="6" l="1"/>
  <c r="C93" i="6"/>
  <c r="D100" i="7"/>
  <c r="D93" i="6" l="1"/>
  <c r="C47" i="3" l="1"/>
  <c r="D93" i="4" l="1"/>
  <c r="C132" i="4"/>
  <c r="F129" i="3"/>
  <c r="F126" i="3" l="1"/>
  <c r="C116" i="2" l="1"/>
  <c r="C111" i="1"/>
  <c r="C42" i="2" l="1"/>
  <c r="D124" i="2"/>
  <c r="D123" i="2"/>
  <c r="D119" i="2" l="1"/>
  <c r="H129" i="3" l="1"/>
  <c r="I131" i="3" s="1"/>
  <c r="G139" i="3"/>
  <c r="G138" i="3"/>
  <c r="G137" i="3"/>
  <c r="G136" i="3"/>
  <c r="G135" i="3"/>
  <c r="G134" i="3"/>
  <c r="G133" i="3"/>
  <c r="G132" i="3"/>
  <c r="G140" i="3" l="1"/>
  <c r="F128" i="3" s="1"/>
  <c r="F130" i="3" s="1"/>
  <c r="E76" i="2"/>
  <c r="F117" i="1" l="1"/>
  <c r="C36" i="1"/>
  <c r="F114" i="1"/>
  <c r="F113" i="1"/>
  <c r="E32" i="1"/>
  <c r="D116" i="2" l="1"/>
  <c r="D122" i="2" s="1"/>
  <c r="D125" i="2" s="1"/>
  <c r="D89" i="1"/>
  <c r="H117" i="1" l="1"/>
  <c r="G127" i="1"/>
  <c r="G126" i="1"/>
  <c r="G125" i="1"/>
  <c r="G124" i="1"/>
  <c r="G123" i="1"/>
  <c r="G122" i="1"/>
  <c r="G121" i="1"/>
  <c r="G120" i="1"/>
  <c r="G128" i="1" l="1"/>
  <c r="F116" i="1" s="1"/>
  <c r="F118" i="1" s="1"/>
  <c r="F111" i="1" l="1"/>
  <c r="D111" i="1" l="1"/>
  <c r="C112" i="1" l="1"/>
  <c r="G118" i="1" l="1"/>
  <c r="I118" i="1" s="1"/>
  <c r="I119" i="1" s="1"/>
  <c r="C3" i="2"/>
  <c r="C117" i="2" s="1"/>
  <c r="G130" i="3" l="1"/>
  <c r="H130" i="3" s="1"/>
  <c r="C3" i="3"/>
  <c r="C123" i="3" s="1"/>
  <c r="C3" i="4" s="1"/>
  <c r="C94" i="4" s="1"/>
  <c r="C3" i="6" s="1"/>
  <c r="C94" i="6" s="1"/>
  <c r="C3" i="7" s="1"/>
  <c r="C101" i="7" s="1"/>
  <c r="C3" i="8" s="1"/>
  <c r="H118" i="1"/>
  <c r="I130" i="3" l="1"/>
  <c r="O131" i="3" s="1"/>
  <c r="D122" i="3"/>
  <c r="C150" i="8" l="1"/>
  <c r="D149" i="8"/>
  <c r="H158" i="8" l="1"/>
  <c r="C3" i="9"/>
  <c r="C146" i="9" s="1"/>
  <c r="H157" i="9" l="1"/>
  <c r="C3" i="10"/>
  <c r="C10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127" authorId="0" shapeId="0" xr:uid="{60F6B31E-CA30-418C-8991-F8E5BAE53D7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139" authorId="0" shapeId="0" xr:uid="{440DED23-FE88-4FD7-BE75-49CAF01AC22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112" authorId="0" shapeId="0" xr:uid="{E444B196-623E-4DBF-A6F2-5C15824072E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H110" authorId="0" shapeId="0" xr:uid="{D936AD25-D97A-44BE-9F2A-5EFA3C22C91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F119" authorId="0" shapeId="0" xr:uid="{0CA20267-4A37-4F72-81B0-99B61CD504E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166" authorId="0" shapeId="0" xr:uid="{95C343D8-65F5-461B-9A3D-49D5B0A418E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165" authorId="0" shapeId="0" xr:uid="{D3771CF6-3719-459A-AE16-61E37E0B1ED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<sst xmlns="http://schemas.openxmlformats.org/spreadsheetml/2006/main" count="1180" uniqueCount="902">
  <si>
    <t>INGRESOS</t>
  </si>
  <si>
    <t>SALDO EN CAJA:</t>
  </si>
  <si>
    <t>FECHA</t>
  </si>
  <si>
    <t>DETALLE</t>
  </si>
  <si>
    <t>VALOR</t>
  </si>
  <si>
    <t>NEQUI</t>
  </si>
  <si>
    <t>BANCOLOMBIA</t>
  </si>
  <si>
    <t>EGRESOS</t>
  </si>
  <si>
    <t>SE DEB A JIMMY</t>
  </si>
  <si>
    <t>SALDO EN CAJA ACTUAL</t>
  </si>
  <si>
    <t>EFECTIVO ARRIBA</t>
  </si>
  <si>
    <t>EFECTIVO ABAJO</t>
  </si>
  <si>
    <t>REAL</t>
  </si>
  <si>
    <t>TOTAL</t>
  </si>
  <si>
    <t>MONEDAS</t>
  </si>
  <si>
    <t>ENERO 1 AL 31 2026</t>
  </si>
  <si>
    <t>DIEGO ROJAS ENERO 7 AL 9 2026</t>
  </si>
  <si>
    <t>EIDER DE JESUS CAICEDO ENERO 7 AL 9 2026</t>
  </si>
  <si>
    <t>YANETH LUNA CAICEDO ENERO 7 AL 9 2026</t>
  </si>
  <si>
    <t>DROGUERIA FAMICARE NORTE # 18167 ( YODO Y AGUA OXIGENADA}</t>
  </si>
  <si>
    <t>HORAS EXTRAS ENERO 7 AL 9</t>
  </si>
  <si>
    <t>ADRIAN BRAVO</t>
  </si>
  <si>
    <t>TABLON</t>
  </si>
  <si>
    <t>ADEUDADO A EQUIORIENTE</t>
  </si>
  <si>
    <t>ME DEBEN</t>
  </si>
  <si>
    <t>nequi</t>
  </si>
  <si>
    <t>ABONO ALQUILER COLUMNAS YURANIS PABLON</t>
  </si>
  <si>
    <t>ABONOI MAESTRO GREGORIO ALQUILER ANDAMIOS 20 DIAS ENERO 14 A FEBRERO 3</t>
  </si>
  <si>
    <t>PAPELERIA DONDE JAIRO ( AZ;</t>
  </si>
  <si>
    <t>PINTASMAS FVE PQSF -20679 ( 1 GALON ESMALTHE AZUL Y 2 GALONE STHINER</t>
  </si>
  <si>
    <t>HERNAN TORRADO CANCELADO A ENERO 18 2025</t>
  </si>
  <si>
    <t>MAESTRO ROGELIO A ENERO 8 2025</t>
  </si>
  <si>
    <t>RETIRO NEQUI</t>
  </si>
  <si>
    <t>PAGO LUZ 29 NOVIEMBRE A DICIEMBRE 16 /2025</t>
  </si>
  <si>
    <t>PAGO FACTURA WOM</t>
  </si>
  <si>
    <t>SEMANA 13 AL 17 ENERO 2026  EIDER DE JESUS</t>
  </si>
  <si>
    <t>SEMANA 13 AL 17 ENERO 2026DIEGO ROJAS</t>
  </si>
  <si>
    <t>SOPORTE ALQUILER POLEAS A PARTIR 20 ENERO 2026</t>
  </si>
  <si>
    <t>SERGIO ANTONIO JIMENES 1 SPITER VGA 1X2</t>
  </si>
  <si>
    <t>iva</t>
  </si>
  <si>
    <t>TECNIRACORES Y MANGUERAS CHIMITA FVEP 14583</t>
  </si>
  <si>
    <t>MANO OBRA CAMBIO MANGUERA VEHICULO Y CAMBIO CORREA TRANSMISION</t>
  </si>
  <si>
    <t>DEPOSITO JOSE HERNAN PARADA</t>
  </si>
  <si>
    <t>ARREGLO IMPRESORA EPSON</t>
  </si>
  <si>
    <t>FACTURA CON IVA</t>
  </si>
  <si>
    <t>TKEO JAC</t>
  </si>
  <si>
    <t>DIEGO</t>
  </si>
  <si>
    <t>MANEJAR GASTOS ADMINISTRATIVOS ST0117305</t>
  </si>
  <si>
    <t>MANEJAR SOAT AÑO 2026 CAMION JAC</t>
  </si>
  <si>
    <t>ABONO HECHURA POLOS</t>
  </si>
  <si>
    <t>RECIBO DEL AGUA  NOVIEMBRE 2025</t>
  </si>
  <si>
    <t>CARGADOR SPARTAN V8</t>
  </si>
  <si>
    <t>ABONO ALQUILER ENERO 2026 CLAUDIA  JEREZ</t>
  </si>
  <si>
    <t>COMPRA MONITOR VGA CAMARAS OFICINA</t>
  </si>
  <si>
    <t>ALQUILER DIEGO GUTIERREZ SALIDA 13282 A PARTIR 17 ENERO</t>
  </si>
  <si>
    <t>MARICEL ABONO</t>
  </si>
  <si>
    <t>ESCALERA CECILIA INFANTE</t>
  </si>
  <si>
    <t>CUADRADO HASTA AQUÍ</t>
  </si>
  <si>
    <t>TUREBOMAX ( REPARACION TURBO Jak hp 55 ( empaquetadyra , alineacion, bujes y rueda compresora</t>
  </si>
  <si>
    <t>MIB MECANIZADIOS INDUCTRIALES RECOBO 1479 ( RELLENAR POLEA  DISTRIBUCION</t>
  </si>
  <si>
    <t>TECNIRACORES Y MANGUERAS CHIMITA FVEP 14656</t>
  </si>
  <si>
    <t>TECNIRACORES Y MANGUERAS CHIMITA FVEP 14658</t>
  </si>
  <si>
    <t>PAGO ALQUILER LUNA NOVIEMBRE ( 56498); DICIEMBRRE ( 46000) Y ABONO A ENERO 2026 $10,000</t>
  </si>
  <si>
    <t>ACARREO A ADRIAN BRAVO JAVIER CARMONA</t>
  </si>
  <si>
    <t>FERRETERIA FIXXY 25204 ( 1 LB PUNTILLAS 3 "</t>
  </si>
  <si>
    <t>PAGO ENERO 20 Y ENERO 21 2026 JOSE</t>
  </si>
  <si>
    <t>PAGO YURANIS ALQUILER PLACA ENERO 20 A FEBRERO 3</t>
  </si>
  <si>
    <t>BBVA</t>
  </si>
  <si>
    <t>ALMACEN REYCOL SAS ( TECNIMANGUERA FILTRO atre 9007</t>
  </si>
  <si>
    <t>ADBONO YURANIS MATERIAL ADICICONAL</t>
  </si>
  <si>
    <t>DESMONTAJE Y MONTAJE DE TURBO, CAMBIO RODILLO PATIN TENSOR Y MANTENIMIENTO INTERCOOLER</t>
  </si>
  <si>
    <t>CUENTA DE COBRO JORGE ENRIQUE HERRERA ( INSYTALACION PUNTO RED, INSTALACION BASE MONITOR, RECONFIGURACION DVR</t>
  </si>
  <si>
    <t>SUMINISTRRO BASE MONITOR Y FUENTE 12 V- 2 AMOR</t>
  </si>
  <si>
    <t>AUTOSANDOVAL SAS ( CAMBIO ACEITE DEL MOTOR ; FILTRO AVCEITE, FILTRO AIRE Y FILTRO COMBUSTIBLE)</t>
  </si>
  <si>
    <t>FVE 22202 ARYLIZ ( 1 PAR DE BOTAS )</t>
  </si>
  <si>
    <t>HERNAN TORRADO ENERO 19 AL 25</t>
  </si>
  <si>
    <t>SEMANA 13 AL 17 ENERO 2026 YANETH LUNA</t>
  </si>
  <si>
    <t>SEMANA 19 AL  24ENERO 2026 YANETH LUNA</t>
  </si>
  <si>
    <t>SEMANA 19 AL 24 ENERO 2026  EIDER DE JESUS</t>
  </si>
  <si>
    <t>SEMANA 19 AL 24 ENERO 2026DIEGO ROJAS</t>
  </si>
  <si>
    <t>HORAS EXTRAS EIDER DE JESUS ENERO 13 AL 24 2026</t>
  </si>
  <si>
    <t>HORAS EXTRAS DIEGO GUITIERREZ ENERO13 AL 24 ENERO 2026</t>
  </si>
  <si>
    <t>ALQUILER 26 ENERO A FEBRERO 6 DIEGO GUTIERREZ</t>
  </si>
  <si>
    <t xml:space="preserve">TRANSFERIDOS BBVA A CUENTA EMPRESA PAGO FACTURAS </t>
  </si>
  <si>
    <t>BBVA EMPRESA</t>
  </si>
  <si>
    <t>RONALD COLORADOS COLORADOS</t>
  </si>
  <si>
    <t>DEPOSITO PLACA RONALD</t>
  </si>
  <si>
    <t>ABONADO HECHURA TABLONES MADERAS MIRANDA</t>
  </si>
  <si>
    <t>JUAN CARLOS BAUTISTA</t>
  </si>
  <si>
    <t>ERNESTO ´PICOSN</t>
  </si>
  <si>
    <t>DIEGO GUTIERREZ ENERO 27 AL 31</t>
  </si>
  <si>
    <t>EDS CHAPINERO TKEO JAC 379405</t>
  </si>
  <si>
    <t>PAGO MOVISTAR</t>
  </si>
  <si>
    <t>ANDREA PAOLA ABONO A PLACA PRIMER PISO</t>
  </si>
  <si>
    <t>ALQUILER ESCALERA GLASCOL POR 1 DIA</t>
  </si>
  <si>
    <t>DINERO EQUIORIENTE EN CUENTA  BBVA JIMMY</t>
  </si>
  <si>
    <t>PAGO INTERESES DE CESANTIAS JIMMY JAIMES</t>
  </si>
  <si>
    <t>PAGO IMPUESTO PREDIAL BODEGA EQUIORIENTE</t>
  </si>
  <si>
    <t>BBVA JIMMY</t>
  </si>
  <si>
    <t>ABONO ARILYZ  4 PANTALONES</t>
  </si>
  <si>
    <t>PAGO SEMANA TRABAJO  EIDER DE JESUS 26 AL 31 ENERO 2026</t>
  </si>
  <si>
    <t>PAGO SEMANA TRABAJO  DIEGO ROJAS 26 AL 31 ENERO 2026</t>
  </si>
  <si>
    <t>PAGO SEMANA  TRABAJO  JANETH LUNA SEMANA 26 AL 31 ENERO 2026</t>
  </si>
  <si>
    <t xml:space="preserve">PAGO DIA DE TRABAJO JOSE </t>
  </si>
  <si>
    <t>PAGO ALQUILER LIBARDO REY A 2 FEBRERO 2026</t>
  </si>
  <si>
    <t>PAGO ALQUILER FORMALETA MAESTRO ROGELIO A ENERO 23 2026</t>
  </si>
  <si>
    <t>CERTIFICADO DE TRADICION</t>
  </si>
  <si>
    <t>PENDIENTE FACTURAS</t>
  </si>
  <si>
    <t>FEBRERO 1 AL 28/ 2026</t>
  </si>
  <si>
    <t>PAPELERIA (LIGAS, SOBRES, RECIBO CAJA MENOR)</t>
  </si>
  <si>
    <t>ANIBAL MEZA ALQUILERT AL 2 DEFBRERO</t>
  </si>
  <si>
    <t>FERRETERIA FIXXY 25242 ( 2 AEROSOLES)</t>
  </si>
  <si>
    <t>FERRETERIA FIXXY 25236 ( 1 TOMA BIFASICO;1 CINTA NEGRA 1 PROBADA CORRIENTE)</t>
  </si>
  <si>
    <t>FERRETERIA FIXXY 25237( 9 CHAZOS; 1 CAJA SM Y 70 MTS DE CABLE)</t>
  </si>
  <si>
    <t>FERRETERIA FIXXY 25241( 1 KG SOLDADURA; VIDRIO CARETA)</t>
  </si>
  <si>
    <t>JOSE CANTILLO PAGO DIA DE TRABAJO</t>
  </si>
  <si>
    <t>FERRETERIA FIXXY 25251 ( 1 PAR DE GUANTES LARGOS CUERO)</t>
  </si>
  <si>
    <t>COMPRA PAR DE GHUANTES ( 2 ACEITE y 3 CUERO)</t>
  </si>
  <si>
    <t>PAGO DIA DE TRABAJO JOSE</t>
  </si>
  <si>
    <t>ABONO ANTONIO GUTIERREZ</t>
  </si>
  <si>
    <t>ABONO ENERO CLAUDIA GIL</t>
  </si>
  <si>
    <t>CESAR AUGUSTO CACERES ABONO A ALQUILER</t>
  </si>
  <si>
    <t>MARICEL</t>
  </si>
  <si>
    <t>P AGO ACARREO KATHERINE TRANSICION</t>
  </si>
  <si>
    <t>SALDO MADERAS MIRANDA FVE 1703</t>
  </si>
  <si>
    <t>DEPOSITOKETHERIN PALACIOS</t>
  </si>
  <si>
    <t>PAGO ACAREO KHATERIN JAVIER</t>
  </si>
  <si>
    <t>HERNAN TORRADO A FEBRERO 8</t>
  </si>
  <si>
    <t>LLEVO PARA FABRICACION DE DISTANCIADORES CONSORCIO LA VICTORIA</t>
  </si>
  <si>
    <t>ALQUILER ENERO ADRIAN BRAVO A FEBRERO 3 2026</t>
  </si>
  <si>
    <t>COBRAR $4,000</t>
  </si>
  <si>
    <t xml:space="preserve">ABONO FEBRERO YURANIS PLACA </t>
  </si>
  <si>
    <t>PAGO ALQUILERENERO 31 A FEBRERO 14 1331 DIEGO</t>
  </si>
  <si>
    <t>PAGO ALQUILER LUNA ENERO 2026</t>
  </si>
  <si>
    <t>FERRETYERIA FIXXY 25295 ( 2 LBS PUNTILLAS 3 "</t>
  </si>
  <si>
    <t>FACTURA 22354  ARYKIZ( 4 JEANS )</t>
  </si>
  <si>
    <t>EIDE DE JESUS 2 AL 7 FEBRERO /2026</t>
  </si>
  <si>
    <t>DIEGO ROJAS 2 AL 7 FEBRERRO</t>
  </si>
  <si>
    <t>JANETH LUNA FEBRERO 2 AL 7 /2026</t>
  </si>
  <si>
    <t>JOSE CANTILLO 4 AL 7 FEBRERO /2026</t>
  </si>
  <si>
    <t>HORAS EXTRAS JOSE CA NTILLO FEBRERO 2 AL 7</t>
  </si>
  <si>
    <t>DIEGO ROJAS HORAS EXTRAS FEBRERO 2 AL 7</t>
  </si>
  <si>
    <t>EIDER DE JESUS HORAS EXTRAS FEBRERO 2 AL 7</t>
  </si>
  <si>
    <t xml:space="preserve">OSWALDO GALVIS BOTERO ALQUIER 10 PARALES POR 8 DIAS FEBRERO </t>
  </si>
  <si>
    <t>LLEVADOS PARA ALQUILER 20 ALINEADORES 6 MTS EL OPERADOR 1 MES</t>
  </si>
  <si>
    <t>JORGE MANTILLA PAGO DE ALQUILER  ENERO</t>
  </si>
  <si>
    <t>COMPRA 600 CHAPETAS A JAVIER PARRA</t>
  </si>
  <si>
    <t xml:space="preserve">PINTASMAS FVE 15485 ( 2 GALONES DE ESMALTE Y 2 GALONES DE THINER) </t>
  </si>
  <si>
    <t>CUENTA DE COBRO 116 ( 4 PARES PROTECTORES AUDITIVOS)TAPAOIDOS 4 PARES</t>
  </si>
  <si>
    <t>ACPM JAC DADOS A DIEGO</t>
  </si>
  <si>
    <t>ALQUILER ANDAMIOS JORG E DIAZ FEBRERO</t>
  </si>
  <si>
    <t>RECIBO LUZ FEBRERO 2026</t>
  </si>
  <si>
    <t>COMPRA 320 PINES JAVIER PARRA</t>
  </si>
  <si>
    <t>ABONO ANDREA paola</t>
  </si>
  <si>
    <t>ENERO 2026 ALQUIOBRADS</t>
  </si>
  <si>
    <t>PAGO 271 CORBATAS PARA EL CONSORCIO LA VICTORIA A JAVIER PARRA</t>
  </si>
  <si>
    <t>PENDIENTE FACTURA</t>
  </si>
  <si>
    <t>ABONO ALQUILER JORGE</t>
  </si>
  <si>
    <t>PAGO 11, 12 Y 13 FEBRERO 2026 JOSE</t>
  </si>
  <si>
    <t>SEMANA FEBRERO 9 AL 15 HERNAN TORRADO</t>
  </si>
  <si>
    <t>Sacados de nequi</t>
  </si>
  <si>
    <t xml:space="preserve">Diego Gutierrez abono ssalidas hasta FEBRERO 15 </t>
  </si>
  <si>
    <t>ABONODIEGO GUTIERREZ SALIDA 13337 A PARTIR DEL 11 FEBRERO</t>
  </si>
  <si>
    <t>ABONO ANDRREA CONKASA</t>
  </si>
  <si>
    <t>PAGO SEMANA 9 AL 14 FEBRERO 2026 YANETH LUNA</t>
  </si>
  <si>
    <t>PAGO SEMANA 9 AL 14 FEBRERO 2026 DIEGO ROJAS</t>
  </si>
  <si>
    <t>PAGO SEMANA 9 AL 14 FEBRERO 2026 EIDER DE JESUS</t>
  </si>
  <si>
    <t>PAGO HORA EXTRA SEMANA 9 AL 14 FEBRERO 2026 DIEGO ROJAS</t>
  </si>
  <si>
    <t>VALOR SEMANA</t>
  </si>
  <si>
    <t>MIOS</t>
  </si>
  <si>
    <t>ALQUILER SILVIA GOMEZ ENERO 31 A FEBRERO 15</t>
  </si>
  <si>
    <t>ESCALERA ERACLITO 1 DIA</t>
  </si>
  <si>
    <t>FEBRERO 6 AL 13 ANTONIO GUTIERREZ</t>
  </si>
  <si>
    <t>pago recogida katherin a JAVIER CARMONA</t>
  </si>
  <si>
    <t>PAGO FACTURA WOM FEBRERO</t>
  </si>
  <si>
    <t>CESAR CACERES FEBRERO 6 AL 14</t>
  </si>
  <si>
    <t xml:space="preserve">PARQUEADERO 3 PALACIOS </t>
  </si>
  <si>
    <t>FVE 27128INDURRUEDAS CAJA PUNTILLAS 2 "( CAJA PUNTILLAS Caballo 2" x 12 x 500 GMS</t>
  </si>
  <si>
    <t>CON IVA</t>
  </si>
  <si>
    <t>2 PANTALONES JEAN ABONO</t>
  </si>
  <si>
    <t>IMPUESTO MUNICIPAL JAC2026</t>
  </si>
  <si>
    <t xml:space="preserve"> COMPRA DE 6 PARES DE  GUANTES</t>
  </si>
  <si>
    <t>VUELTOS DEPOSITO JAVIER FRANCISCO</t>
  </si>
  <si>
    <t>ANDAMIOS MAESTRO BERNAL</t>
  </si>
  <si>
    <t>LLEVAda 8 parales 3 mts norma</t>
  </si>
  <si>
    <t>FERRETERIA FIXXY 25353 ( 1 LB PUNTILLA)</t>
  </si>
  <si>
    <t>1 bola de licra negra FERRETERIA FIXXY 25383</t>
  </si>
  <si>
    <t>COMPTA  ACEITE  DE MOTO LIMPIEZA LATAS JOSE  MESA</t>
  </si>
  <si>
    <t>CERTIFICADO DE TRTADICION Y LIBERTAD</t>
  </si>
  <si>
    <t>PAGO SEMANA 16 AL 21 DIEGO ROJAS</t>
  </si>
  <si>
    <t>PAGO SEMANA 16 AL 21 EIDER DE JESUS</t>
  </si>
  <si>
    <t>PAGO SEMANA 16 AL 21 YANETH LUNA</t>
  </si>
  <si>
    <t>ABONO ALBA GARCIA</t>
  </si>
  <si>
    <t>PAGO SEMANA JOSE 16 AL 21 FEBRERO 2026</t>
  </si>
  <si>
    <t>TKEO JAC COOPERATIVA MULTIACTIVA EDS LA GACELA</t>
  </si>
  <si>
    <t>ALQUILER EDUARDO ARIZAFEBRERO SECCIONES ANDAMIO Y TABLONES</t>
  </si>
  <si>
    <t>TRANSPORTE EDUARDO ARIZAFEBRERO SECCIONES ANDAMIO Y TABLONES</t>
  </si>
  <si>
    <t>ALQUILER COLUMNAS A PARTIR DEL 26 LUIS SANCHEZ Cabecera</t>
  </si>
  <si>
    <t>linea fija movistar febrero</t>
  </si>
  <si>
    <t>MES DE DICIEMBRE AGUA</t>
  </si>
  <si>
    <t>JUAN PABLO SARMIENTO ALQUYILER ANDAMIOS FEBRERO 2026</t>
  </si>
  <si>
    <t>LLEVADA AL SEÑOR BERNABE PAGADOS A JAVIER</t>
  </si>
  <si>
    <t>PAGO 25 FEB RERO 2026 JOSE</t>
  </si>
  <si>
    <t>PAGO RECOGIDA YURANIS AL SEÑOR RAFAEL TELLEZ</t>
  </si>
  <si>
    <t>AUTOSERVICIO ANGELFVE 6976 ( 1 LIQUIDO FRENO)</t>
  </si>
  <si>
    <t>SERVICIO AUTOMOTRIZ FV 0184 (ARREGLO DE CREMALLERA CAMION JAC)</t>
  </si>
  <si>
    <t>HERNAN TORRADO FEBRERO 23 A MARZO 1</t>
  </si>
  <si>
    <t>PAGO ALQUILER 5 COLUMNAS DUBAN ORTEGA A PARTIR 2 DE MARZO</t>
  </si>
  <si>
    <t>PAGO DE 1 HORA EXTRA</t>
  </si>
  <si>
    <t xml:space="preserve">NELSON BERNAL ALQUILER </t>
  </si>
  <si>
    <t>PAGO ACARREO NELSONBERNAL</t>
  </si>
  <si>
    <t>CESAR CACERES</t>
  </si>
  <si>
    <t>AUTOSERVICIO ANGEL FV 6987 REFRIGERANTE</t>
  </si>
  <si>
    <t>SALDO YURANIS FEBRERO</t>
  </si>
  <si>
    <t>MARZO 1 AL 31/ 2026</t>
  </si>
  <si>
    <t>RETIRO BBVA</t>
  </si>
  <si>
    <t>ABONO JORGE ALEXANDER</t>
  </si>
  <si>
    <t>ABONO OBRA JORGE ALEXANDER PLACA KENEDDY</t>
  </si>
  <si>
    <t>SALDO</t>
  </si>
  <si>
    <t xml:space="preserve">facturras con iva </t>
  </si>
  <si>
    <t>633 staricare4 plus</t>
  </si>
  <si>
    <t>624 COSORCIO LA VIVTORIA</t>
  </si>
  <si>
    <t>TOTAL INGRESOS</t>
  </si>
  <si>
    <t>UTILIDAD</t>
  </si>
  <si>
    <t>EGRESOSNOMINA JIMMY</t>
  </si>
  <si>
    <t>PROVISION MENSUAL NOMINA JIMMY</t>
  </si>
  <si>
    <t>ARRIENDO MES DE FEBRERO HEIDY</t>
  </si>
  <si>
    <t>ARRIENDO MES DE FEBREROJHON</t>
  </si>
  <si>
    <t>b¿</t>
  </si>
  <si>
    <t>EFCTIVO</t>
  </si>
  <si>
    <t>SACAR DE NEQUI Y REPONER</t>
  </si>
  <si>
    <t>POLIMYS ALQUILER DICIEMBRE</t>
  </si>
  <si>
    <t>MIB MECANIZADIOS INDUCTRIALES RECOBO 1479 ( RELLENAR POLEA  DISTRIBUCION)</t>
  </si>
  <si>
    <t>ARRIENDO MES DE FEBRERO JIMMY</t>
  </si>
  <si>
    <t>SERVICIOS CONTABLES ENERO 2026</t>
  </si>
  <si>
    <t>ARRIENDO FLORALBA FEBRERO 2026</t>
  </si>
  <si>
    <t>SERVICIOS CONTABLES FEBRERO 2026 2026</t>
  </si>
  <si>
    <t>PAGO DIEGO GUTIERREZ  SALDO SALIDA 133732 A PARTIR FEBRERO 11</t>
  </si>
  <si>
    <t xml:space="preserve">COMPRA DROGA </t>
  </si>
  <si>
    <t>EIDE DE JESUS 23 AL 28EBRERO /2026</t>
  </si>
  <si>
    <t>DIEGO ROJAS23 AL 28EBRERRO</t>
  </si>
  <si>
    <t>JANETH LUNA FEBRERO 23 AL 28/2026</t>
  </si>
  <si>
    <t>ABONO CUENTA ENERO25 A FEBRERO 9 2026 YURANIS</t>
  </si>
  <si>
    <t>pago fve 1176 soldar 1a ingenieria</t>
  </si>
  <si>
    <t>SALDODOTACION PERSONAL</t>
  </si>
  <si>
    <t>NOMINA HASTA MARZO</t>
  </si>
  <si>
    <t>ABRIL 1 AL 30/ 2026</t>
  </si>
  <si>
    <t>DAVIPLATA</t>
  </si>
  <si>
    <t>*/</t>
  </si>
  <si>
    <t>aq</t>
  </si>
  <si>
    <t>FERRETERIA FVE 25689 ( 1 AEROSOL AZUL)</t>
  </si>
  <si>
    <t>JAVIER CARMONA TRANSPORTE ADRIAN BRAVO</t>
  </si>
  <si>
    <t>TRANSPORTE DISQUINAL</t>
  </si>
  <si>
    <t>ALQUILER ANDAMIOS NARYAM BLANDON</t>
  </si>
  <si>
    <t>YANETH LUNA ABRIL 13 AL 18</t>
  </si>
  <si>
    <t>DIEGO ROJAS ABRIL 13 AL 18</t>
  </si>
  <si>
    <t>EIDER DE JESUS ABRIL 13 AL 18</t>
  </si>
  <si>
    <t>HORA Y MEDIA EXTRA EIDER</t>
  </si>
  <si>
    <t>HORA Y MEDIA EXTRA DIEGO</t>
  </si>
  <si>
    <t>MULTIACTIVA DE TAXIS Y TRANSPORTES LA GACELA</t>
  </si>
  <si>
    <t>ABONO PLACA 20 ABRIL DIEGO</t>
  </si>
  <si>
    <t>RETIRO POR NEQUI</t>
  </si>
  <si>
    <t>PAGO SERVICIO DE LUZ</t>
  </si>
  <si>
    <t>PAGO DE POLIMYS A AEO CUENTA ENERO 2026</t>
  </si>
  <si>
    <t>PAGO POLIMYS A AEO CUENTA FEBRERO</t>
  </si>
  <si>
    <t xml:space="preserve">ABONO ALQUILER HERNAN TORRADO A MARZO 3 </t>
  </si>
  <si>
    <t>ALQUILER COLUMNAS MARZO 4 AL 8 LUDWING</t>
  </si>
  <si>
    <t>PAGO ANDRERA CONKASA A MARZO 1</t>
  </si>
  <si>
    <t>PAGO HERNAN TORRADO MARZO 2026</t>
  </si>
  <si>
    <t>ALQUILER ESCALERA 4M A 8M</t>
  </si>
  <si>
    <t>BERNABE ALQUILER PARALES 24 FEBRERO A MARZO 6 2026</t>
  </si>
  <si>
    <t>PEDRO ROSAS MARZO 2 AL 10</t>
  </si>
  <si>
    <t>FELIZ CARRILLO</t>
  </si>
  <si>
    <t>ALQUILER EMILIANO OLIVEROS</t>
  </si>
  <si>
    <t>ABONO ALQUILER LUIS SANCHEZ MARZO 2026</t>
  </si>
  <si>
    <t>LUIS ANTONIO CACERES</t>
  </si>
  <si>
    <t>FEBRERO 27 A MARZO 11 YEISON BARBA ANDAMIO</t>
  </si>
  <si>
    <t>YORGUIN JAIMES ALQUILER MARZO</t>
  </si>
  <si>
    <t>ELIAS RIOS ALQUILER MARZO 2026</t>
  </si>
  <si>
    <t>ALQUILER ALBA FEBRERO 27 A MARZO 12</t>
  </si>
  <si>
    <t>DIEGO GUTIERREZ ALQUILER 55 PARALES 6 MTS 14 AL 28 MARZO</t>
  </si>
  <si>
    <t>LUIS SANCHEZ ALQUILER A 31 MARZO 2026</t>
  </si>
  <si>
    <t>PEDRO ROSAS SECCION DE ANDAMIOS MARZO 13 AL 17</t>
  </si>
  <si>
    <t>MAESTRO VIDAL COLUMNAS MARZO 12 AL 16</t>
  </si>
  <si>
    <t>HERNAN TORRADO SALDO PLACA A 18 MARZO</t>
  </si>
  <si>
    <t>ABRIL 11 AL 19 ANTONIO GUTIERREZ</t>
  </si>
  <si>
    <t>ALQUILER MAESTRO RIGO ABRIL 21 A  MAYO 5</t>
  </si>
  <si>
    <t>EDUARDO CORREDOR ANDAMIOS</t>
  </si>
  <si>
    <t>WILSON PARRA ANDAMIOS 21 AL 25 ABRIL</t>
  </si>
  <si>
    <t>PARALES HERNANDO GARCIA</t>
  </si>
  <si>
    <t>PAGO MES DE MARZO 2026 LUNA SANCHEZ</t>
  </si>
  <si>
    <t>BRYAN GARZON ALQUILER ABRIL MARZO</t>
  </si>
  <si>
    <t>NELSON PADILLA PAGO HASTA EL 21 ABRIL</t>
  </si>
  <si>
    <t>HOLGUER ALQUILER PLACA</t>
  </si>
  <si>
    <t>LUIS CACERES A ABRIL 22 PARALES Y FORMALETA</t>
  </si>
  <si>
    <t>GRERORIO HERNAN DEZ A ABRIL 21</t>
  </si>
  <si>
    <t>FERRETERIA CAPITALIZ SAS FVE 33635 ( 2 KILOS SOLDADURA, 1 CINTA ENMASCARAR 4 PLIEGOS LIJA</t>
  </si>
  <si>
    <t>FUL REPUESTOS FV FCO 2642 ( FVE 2642 ( LIQUIDO DE FRENOS, BOMBA PRINCIPAL EMBRAGUE)</t>
  </si>
  <si>
    <t>MIS FRENOS NO 0721 ( MANO OBRA CAMBIO CLUCTH)</t>
  </si>
  <si>
    <t>DOTACIONES MAGALY FV 1446 ( 1 BOTAS CP 34)</t>
  </si>
  <si>
    <t>pago recibo agua bodega febrero 2026</t>
  </si>
  <si>
    <t>ANDAMIOS DEL 2 AL 15 MARZO HERNAN TORRADO</t>
  </si>
  <si>
    <t>MAESTRO VIDAL ALQUILER 20 DE MARZO AL 3 DE ABRIL 2026</t>
  </si>
  <si>
    <t>ABONO  DIEGO GUTIERREZ</t>
  </si>
  <si>
    <t>DANIEL CORREDOR MARZO</t>
  </si>
  <si>
    <t>PEDRO JULIO MARZO</t>
  </si>
  <si>
    <t xml:space="preserve">ELIBARDO GARCIA </t>
  </si>
  <si>
    <t xml:space="preserve">BRAYAN  MARZO </t>
  </si>
  <si>
    <t>HERNAN TORRADO ALQUILER ANDAMIO 16 AL 22 MARZO</t>
  </si>
  <si>
    <t xml:space="preserve">ALQUILER ESCALERA YORGUIN JAIMES </t>
  </si>
  <si>
    <t>ANTONIO GUTIERREZ</t>
  </si>
  <si>
    <t>ALQUILER RUEDAS DEL 27 AL 31 DE MARZO 2026</t>
  </si>
  <si>
    <t xml:space="preserve">RETIRO PAGO DE NOMINA </t>
  </si>
  <si>
    <t xml:space="preserve">ALQUILER ANDAMIOS MARTIN ESTUPIÑAN </t>
  </si>
  <si>
    <t>ALFONSO GARCIA 31 MARZO 2026</t>
  </si>
  <si>
    <t>ALQUILER JORGE ALEXANDER A 31 MARZO</t>
  </si>
  <si>
    <t>SACADOS DE NEQUI</t>
  </si>
  <si>
    <t>DIEGO ROJAS SEMANA DEL 20 AL 25 ABRIL</t>
  </si>
  <si>
    <t>EIDER DE JESUS SEMANA  20 AL 25 ABRIL</t>
  </si>
  <si>
    <t>YANETH LUNA SEMANA 20 AL 25 ABRIL</t>
  </si>
  <si>
    <t xml:space="preserve">HORAS EXTRAS DIEGO ROJAS SEMANA </t>
  </si>
  <si>
    <t xml:space="preserve">HORAS EXTRAS EIDER DE JESUS SEMANA </t>
  </si>
  <si>
    <t xml:space="preserve">HORAS EXTRAS YANETH LUNA SEMANA </t>
  </si>
  <si>
    <t>LAVADO GENERAL CAMION JAC</t>
  </si>
  <si>
    <t>TKEO ACPM LATAS</t>
  </si>
  <si>
    <t>PAGO ACARREO JAVIER CARMONA</t>
  </si>
  <si>
    <t xml:space="preserve"> LUIS SANCHEZ ALQUILER ABRIL 1 AL 24</t>
  </si>
  <si>
    <t>EDUARDO TOLOZA ALQUILER FORMALETA 21 AL 24 ABRIL</t>
  </si>
  <si>
    <t>MOVISTAR ABRIL</t>
  </si>
  <si>
    <t>DUBAN ORTEGA 42 CHAPETAS</t>
  </si>
  <si>
    <t>DUBAN ORTEGA SALDOALQUILE</t>
  </si>
  <si>
    <t>PARALES DUBAN</t>
  </si>
  <si>
    <t>HERNAN TORRADO ABRIL 1 AL 30</t>
  </si>
  <si>
    <t>JOSE LUIS SILVA 1 ANDAMIO</t>
  </si>
  <si>
    <t>ELIAS RIOS</t>
  </si>
  <si>
    <t>SERVICIOS CONTABLES ABRIL 2026</t>
  </si>
  <si>
    <t>AUTOSDANDOVAL CAMBIOS DE ACEITE MOTOR Y FILTROSCAMBIO ACEITE JAC</t>
  </si>
  <si>
    <t>DADOS A YANETH PAGO JOSE CANTILLO 27 AL 30 ABRIL 2026</t>
  </si>
  <si>
    <t>PRESTAMOLLEVO PAGO SERVICIOS PUBLICOS CASA DIAMANTE 2</t>
  </si>
  <si>
    <t>SEMANA MAYO 4 AL 10 DIEGO ROJAS</t>
  </si>
  <si>
    <t>HORA EXTRA SEMANA MAYO 4 AL 10 DIEGO ROJAS</t>
  </si>
  <si>
    <t>SEMANA MAYO 4 AL 10 EIDER DE JESUS</t>
  </si>
  <si>
    <t>HORA EXTRA EIDER DE JESUS</t>
  </si>
  <si>
    <t>DESPINCHADA LLANTA JAC</t>
  </si>
  <si>
    <t>YANETH SEMANA MAYO 4 AL 10</t>
  </si>
  <si>
    <t>LAURA ROCHA</t>
  </si>
  <si>
    <t>CESAR AUGUSTO HERNANDEZ</t>
  </si>
  <si>
    <t>ABONO A FABRICACION CHAPETAS JAVIER PARRA</t>
  </si>
  <si>
    <t xml:space="preserve">ARRIENDO BODEGA  FLOR ALBA CARRILLO </t>
  </si>
  <si>
    <t>ARRIENDO BODEGA JIMMY JAIMES</t>
  </si>
  <si>
    <t>ARRIENDO BODEGA JHON JAIMES</t>
  </si>
  <si>
    <t>ARRIENDO BODEGA HEIDEY JAIMES</t>
  </si>
  <si>
    <t xml:space="preserve">PAGO A POLIMYS CUENTA DE ENERO </t>
  </si>
  <si>
    <t xml:space="preserve">ABONO A POLIMYS CUENTA FEBRERO </t>
  </si>
  <si>
    <t>SALDO A POLIMYS CUENTA FEBRERO 2026</t>
  </si>
  <si>
    <t>ESTACION  SERVICIO SANTA MARTHA EMANUEL 1166048</t>
  </si>
  <si>
    <t>RECARGA EXTINTOR 2500 GMS SOLKAFLAN</t>
  </si>
  <si>
    <t>CAJAS FUERTES VIVIAN SECURITY  4008(1 CAJA MENOR AZUL)</t>
  </si>
  <si>
    <t>PAGO LINEA  3005678367</t>
  </si>
  <si>
    <t>PAGO LINEA  3016032896</t>
  </si>
  <si>
    <t>DIEGO ROJAS SEMANA DEL 2  AL 7</t>
  </si>
  <si>
    <t>JANETH LUNA SEMANA DEL 2 AL 7</t>
  </si>
  <si>
    <t xml:space="preserve">EIDER  JESUS SEMALA DEL 2 AL 7 </t>
  </si>
  <si>
    <t xml:space="preserve">ESTRA 1,25  DIEGO ROJAS </t>
  </si>
  <si>
    <t>ESTACION DE SERVICIO  SANTA MARTHA  TKEO  JAC</t>
  </si>
  <si>
    <t>PAGO DIA TRABAJO YEIDER</t>
  </si>
  <si>
    <t xml:space="preserve">ABONO A HECHURA  TALONARIO </t>
  </si>
  <si>
    <t>DESCARGA CAMION JAVIER</t>
  </si>
  <si>
    <t>COMPRA 20 PARES DE GUANTES</t>
  </si>
  <si>
    <t>FERRETERIA FIXXY 25458 (AEROSOL BERMELLON Y 1 CJA DE PUNTILLA 3´)</t>
  </si>
  <si>
    <t>PAGO DE TRANSPORTE JAVIER EMILIANO</t>
  </si>
  <si>
    <t>FERRETERIA CAPITALIZ 32876 ( 2 KILOS SOLDADURA  6013 1/8¨´)</t>
  </si>
  <si>
    <t>FERRETERIA FIXXY 25489 (2 DISCOS DE PULIR 1 AEROSOL BERMELLON)</t>
  </si>
  <si>
    <t>PAGO EL OPERADOR ALQUILER MARZO ALINEADORES 7 DE MARZO AL 5 DE ABRIL2026</t>
  </si>
  <si>
    <t>MADERAS  MIRANDA FV  1710 ( 6 TABLASDE 2,1X0,35X0,018)</t>
  </si>
  <si>
    <t>ARRIENDO MES DE MARZO JHON</t>
  </si>
  <si>
    <t xml:space="preserve">DIEGO ROJAS SEMANA DE MARZO 9 AL 14 </t>
  </si>
  <si>
    <t>JANETH LUNA SEMANA DE MARZO 9 AL 14</t>
  </si>
  <si>
    <t>EIDER DE JESUS SEMANA DEL 9 AL 14</t>
  </si>
  <si>
    <t xml:space="preserve">PRESTAMO A EIDER DE JESUS </t>
  </si>
  <si>
    <t xml:space="preserve">HORAS EXTRAS EIDER DE JESUS </t>
  </si>
  <si>
    <t>HORAS EXTRAS DIEGO ROJAS</t>
  </si>
  <si>
    <t>PAGO DE RECIBO DE LUZ</t>
  </si>
  <si>
    <t>ALMACEN EL TORNILLO (84 TORNILLO GRADO 3/8´x3/4))</t>
  </si>
  <si>
    <t>ALMACEN REYCOL SAS TUBERIA 3/18</t>
  </si>
  <si>
    <t>ARRIENDO HEIDY MARZO 2026</t>
  </si>
  <si>
    <t>ARRIENDO JIMMY MARZO 2026</t>
  </si>
  <si>
    <t>ARRIENDO FLORALBA MARZO 2026</t>
  </si>
  <si>
    <t>PAGO ACARREO NORMA JAVIER</t>
  </si>
  <si>
    <t>LUNA SANCHEZ  FEBRERO  2026</t>
  </si>
  <si>
    <t>ACARREO ADRIAN BRAVO  JAVIER</t>
  </si>
  <si>
    <t>FERRETERIA FIXXY 25509 ( 1 LIBRA DE PUNTILLA 1´CORRIENTE)</t>
  </si>
  <si>
    <t>LLEVO TALONARIOS RABAC</t>
  </si>
  <si>
    <t>PAGO ALQUILER TRONZADORA</t>
  </si>
  <si>
    <t>20-/03/2026</t>
  </si>
  <si>
    <t>RETIRADOS EN EFECTIVO  PAGO FVE 631, FVE 632, FVE 635,FVE636</t>
  </si>
  <si>
    <t xml:space="preserve">MULTIACTIVA TAXIS Y TRANSPORTES </t>
  </si>
  <si>
    <t>HORA EXTRA EIDER</t>
  </si>
  <si>
    <t>HORA EXTRA DIEGO</t>
  </si>
  <si>
    <t>EIDER DE SEMANA DEL 16 AL 21 DE MARZO</t>
  </si>
  <si>
    <t>DIEGO ROJAS  SEMANA DEL 16 AL 21 DE MARZO</t>
  </si>
  <si>
    <t>JANETH LUNA  SEMANA DEL 16 AL 21 DE MARZO</t>
  </si>
  <si>
    <t>FERRETERIA FIXXY  FV202F-41907 ( DETERGENTE PAPEL HIGIENICO LIMPIADOR)</t>
  </si>
  <si>
    <t>PAGO DIA JOSE CANTILLO</t>
  </si>
  <si>
    <t>PAGO DIA LABORADO  CARMONA</t>
  </si>
  <si>
    <t>JAVIER CARMONA RECOGIDA LATAS 15 Y 10 CLAUDIA CLIENTE TILCIA</t>
  </si>
  <si>
    <t>ACARREOS  JAVIER HENRRY GALVIS, HERNAN TORRADO Y POLIMYS</t>
  </si>
  <si>
    <t>PAGO LINEA AGUA</t>
  </si>
  <si>
    <t>EDWIN PAGO ENERO 26 Y  27</t>
  </si>
  <si>
    <t>EDWIN MARZO 28</t>
  </si>
  <si>
    <t>EIDER JESUS SEMANA  DEL 24 AL 28 MARZO 2026</t>
  </si>
  <si>
    <t>DIEG ROJAS SEMANA DEL 16 AL 21 DE MARZO</t>
  </si>
  <si>
    <t>JANETH LUNA SEMANA MARZO 15 AL 21 2026</t>
  </si>
  <si>
    <t>1 HORA EXTRA  EIDER</t>
  </si>
  <si>
    <t>SERVICIOS CONTABLES MARZO 2026</t>
  </si>
  <si>
    <t>EDWIN 30 Y 31 DE MARZO</t>
  </si>
  <si>
    <t>JOSE MARZO 30 Y 31</t>
  </si>
  <si>
    <t>EIDER JESUS MARZO 30 Y 31</t>
  </si>
  <si>
    <t>DIEGO ROJAS</t>
  </si>
  <si>
    <t>JANETH MARZO 30 Y 31</t>
  </si>
  <si>
    <t>MULTIACTIVA TAXIS Y TRANSPORTES  994990</t>
  </si>
  <si>
    <t>MULTIACTIVA  TAXIS Y TRANSPORTES 994993  TKEO JAC</t>
  </si>
  <si>
    <t>FVE 2564 PUNTO REPUESTOS ( 1 SILICONA GRIS)</t>
  </si>
  <si>
    <t>PAPELERA DONDE JAIRO (COMPROBANTE DE EGRESO Y RESMA CARTA</t>
  </si>
  <si>
    <t>MAYO 1 AL 31/ 2026</t>
  </si>
  <si>
    <t>DESPINCHE CAMION JAC</t>
  </si>
  <si>
    <t>PAGO 2 LINEAS TIGO EQUIORIENTE</t>
  </si>
  <si>
    <t>DIEGO GUTIERREZ PAGO ALQUILER DE 8 MAYO EN ADELANTE POR 15 DIAS TABLEROS MADERA Y CERCHAS</t>
  </si>
  <si>
    <t>ABONO TABLAS ARREGLO TABLEROS</t>
  </si>
  <si>
    <t>EL PUNTO FERRETERO GATO JAC</t>
  </si>
  <si>
    <t>fv 1726 ( 21 tablas de 18 lineas x 3 mts x 30 cms) DEPOSITO DE MADERAS MIRANDA</t>
  </si>
  <si>
    <t>PAGO ACARREO A JAVIER  YESENIA MURILLO</t>
  </si>
  <si>
    <t>YANETH LUNA</t>
  </si>
  <si>
    <t xml:space="preserve">EIDER DE JESUS </t>
  </si>
  <si>
    <t>3 DISCOS E CORTE FERRERIA LA 21</t>
  </si>
  <si>
    <t>BONI PRIMERA QUINCENA MAYO DIEGO ROJAS</t>
  </si>
  <si>
    <t>SOLUCIONES MAP SAS FVE BO1T-45381( BOLIGRAFO, CARTULINA, EGERSO, LAPICES)</t>
  </si>
  <si>
    <t>ALQUILER ANDAMIOS ALINA</t>
  </si>
  <si>
    <t>MAESTERO RIGOBWERTO VARELA</t>
  </si>
  <si>
    <t>ABONO ALQUILER ANDAMIOS JUAN DAVID ANGARITSA GUTIERREZ</t>
  </si>
  <si>
    <t>alquiler 4 columnas 30 x 20 del 11 al 15 myo villa carmelo GUSTAVO AFANADOR RUBIO</t>
  </si>
  <si>
    <t>pago abril a mayo 5 adrian bravo JOHANA GUTIERREZ MORELOS</t>
  </si>
  <si>
    <t>ABONO JHON JIMENEZ ALQUILER A PARTIR 19 MAYO</t>
  </si>
  <si>
    <t>PAGO SERVICIO LUZ ESSA MES DE MAYO 2026</t>
  </si>
  <si>
    <t xml:space="preserve">TKEO  JAC COOPERATIVA MULTIACTIVA DE TAXIS </t>
  </si>
  <si>
    <t>TRAIDA ANDAMIOS YESENIA MURILLA</t>
  </si>
  <si>
    <t>TRAIDA ESCALERA YESENIA MURILLA</t>
  </si>
  <si>
    <t>FERRETERIA FIXXY 25831 ( 3 LB PUNTILLAS )</t>
  </si>
  <si>
    <t>PAGO TRANSPORTE FIDEL CARO</t>
  </si>
  <si>
    <t>PAGO GUANTES</t>
  </si>
  <si>
    <t>PAGO 2 HORAS EXTRAS EIDER</t>
  </si>
  <si>
    <t>ANDAMIOS LADI</t>
  </si>
  <si>
    <t>PAGO 3 HORAS EXTRAS DIEGO</t>
  </si>
  <si>
    <t>EIDER DE JESUS PAGO DEL 11 AL 16 MATO 2026</t>
  </si>
  <si>
    <t>FIDEL CARO MAYO</t>
  </si>
  <si>
    <t>YANETH LUNA PAGO DEL 11 AL 15 MAYO 2026</t>
  </si>
  <si>
    <t>DIEGO ROJASPAGO SEMANA DEL 11 AL 17 MAYO</t>
  </si>
  <si>
    <t>DIEGO ROJASPAGO SEMANA DEL 4 AL 10MAYO</t>
  </si>
  <si>
    <t>PEDRO ALQUILER AL 22 ABRIL</t>
  </si>
  <si>
    <t>ALQUILER COLUMNAS MAESTRORONDON</t>
  </si>
  <si>
    <t>CESAR ANDAMIOS A 21 MAYO</t>
  </si>
  <si>
    <t>SACADOS CDE NEQUI</t>
  </si>
  <si>
    <t>MEGAREDIL A TU SERVIVIO FV 211F-102002 ( ASEO EMPRESA)</t>
  </si>
  <si>
    <t xml:space="preserve">DIEGO ROJAS SEMANA DEL 19 AL 234 MAYO 2026 </t>
  </si>
  <si>
    <t>EIDER DE JESUS SEMANA DEL 19 AL 23 MAYO 2026</t>
  </si>
  <si>
    <t>YANETH LUNA SEMANA DEL 19 AL 23 MAYO 2026</t>
  </si>
  <si>
    <t>EIDER DE JESUS 2 HORAS EXTRAS SEMANA 19 AL 23 MAYO 2026</t>
  </si>
  <si>
    <t>DIEGO ROJAS 2 HORAS EXTRAS SEMANA 19 AL 23 MAYO 2026</t>
  </si>
  <si>
    <t>ALQUILER DIANA PUERTO RICO A PARTIR 27 MAYO 2026</t>
  </si>
  <si>
    <t>TKEO JAC FEC 993867</t>
  </si>
  <si>
    <t>ESCALERA VERDE LIDA</t>
  </si>
  <si>
    <t>GIOVANI SIERRA ALQUILER 18 PARALES 4 MTS</t>
  </si>
  <si>
    <t>PAGO RECIBO AGUA MARZO 2026</t>
  </si>
  <si>
    <t>PAGO SERVICIO INTERNET Y LINEA FIJA MES DE MAYO</t>
  </si>
  <si>
    <t>PAGO ALQUILER COLUMNAS MAESTRO VIDAL</t>
  </si>
  <si>
    <t>DEPOSITO DE MADERAS MIRANDA FV 173 0 ( 23 cercos 8 x 4 x 300 cm y tablas 18 mm de espesor sobrantes</t>
  </si>
  <si>
    <t>FABIANH ANDRES GARCIA PORTILLA SALIDA 13759 DEL 29 MAYO AL 5 5 JUNIO 2026</t>
  </si>
  <si>
    <t>DIEGO ARMANDO GUTIERREZ FLOREZ 13 760 29 MAYO AL 4 JUNIO PARALES 6 MTS Y CERVHA 2 MTS</t>
  </si>
  <si>
    <t>FREDDY  ESCAMILLA  SAL 13761 12 PARALES 3 MTS Y 4 CERCHAS 3 MTS</t>
  </si>
  <si>
    <t>ALQUILER ANDAMIOS PEDRO JULIO PABON ENTRADA 133358</t>
  </si>
  <si>
    <t>TKEO JAC 1067781</t>
  </si>
  <si>
    <t>COMPRA 4 PARES DE GUANTES</t>
  </si>
  <si>
    <t>BONI SEGUNDAQUINCENA MAYO DIEGO ROJAS</t>
  </si>
  <si>
    <t>COMPRA 32 CORBATAS muro de 20 cms y 10 TENSOrES JAVIER PARRA</t>
  </si>
  <si>
    <t>MAESTRO VIDAL ALQUILER PLACA MAYO 20 AL 29</t>
  </si>
  <si>
    <t>PAGO DIA DE TRABAJO CESAR</t>
  </si>
  <si>
    <t>ALQUILER HERNAN TORRADO MES DE MAYO 2026</t>
  </si>
  <si>
    <t xml:space="preserve">1 PIMPINA ACEITE QUMADO </t>
  </si>
  <si>
    <t>PAGO EIDER SEMANA TRABAJO 25 AL 31 MAYO</t>
  </si>
  <si>
    <t>PAGO DIEGO ROJASSEMANA TRABAJO 25 AL 31 MAYO</t>
  </si>
  <si>
    <t>PAGO YANETH LUNA SEMANA TRABAJO 25 AL 31 MAYO</t>
  </si>
  <si>
    <t>MAESTRO VIDAL ALQUILER COLUMNAS PRIMER PIS9O MAYO 12 AL 17</t>
  </si>
  <si>
    <t>JUNIO 1 AL 30/ 2026</t>
  </si>
  <si>
    <t>ARRIENDO BODEGA EQUIORIENTE HEIDY MILENA JAIMES MAYO 2026</t>
  </si>
  <si>
    <t>ARIIENDO BODEGA EQUIORIENTE JHON JAIMES MAYO 2026</t>
  </si>
  <si>
    <t>ARRIENDO BODEGA EQUIORIENTE JIMMY JAIMES CARRILLO JAIMES MAYO 2026</t>
  </si>
  <si>
    <t>ARRIENDO BODEGA EQUIORIENTE FLOR ALBA CARRILLO DE JAINES MAYO 2026</t>
  </si>
  <si>
    <t>SERVICIOS CONTABLES MAYO 2026</t>
  </si>
  <si>
    <t xml:space="preserve">EFECTIVO </t>
  </si>
  <si>
    <t>ANTONIO GUTIERREZ ALQUILER PLACA BERLIN</t>
  </si>
  <si>
    <t>SERGIOP RUEDA ALQUILER PLACA METALICA</t>
  </si>
  <si>
    <t>PAGO ALQUILER ABRIL LUNA SANCHEZ</t>
  </si>
  <si>
    <t>ZUNCHOS COMPRADOS</t>
  </si>
  <si>
    <t>ANDREI ALQUILER COLUMNAS PRIMER PISO ANDREI</t>
  </si>
  <si>
    <t>PAGO LINEA TIGO 3005678638</t>
  </si>
  <si>
    <t>PAGO LINEA TIGO 3016032896</t>
  </si>
  <si>
    <t>ALQUILER COLUMNAS ROSA MAYO 14 AL 18</t>
  </si>
  <si>
    <t>DIEGO ROJAS JUNIO 1 AL 6 2026</t>
  </si>
  <si>
    <t>EIDER DE JESUS JUNIO 1 AL 6 2026</t>
  </si>
  <si>
    <t>JANETH LUNA JUNIO 1 AL 6 2026</t>
  </si>
  <si>
    <t>SALDO ROSA A 29 MAYO</t>
  </si>
  <si>
    <t>BBVA DEPOSITO POR ALQUILER PLACA LA INDEPENDENCIA LUDWING</t>
  </si>
  <si>
    <t>PAGO ALQUILER YURANIS</t>
  </si>
  <si>
    <t>SALDO 7 MAYO A JUNIO 6 ELIAS RIOS</t>
  </si>
  <si>
    <t>HERNAN TORRADO ALQUILER SECCIONES ANDAMIO CG Y TABLONES JUNIO 2 AL 8</t>
  </si>
  <si>
    <t xml:space="preserve">HERNAN TORRADO ALQUILER ANDAMIOS COLGANTES 9 DE JUNIO AL 23 </t>
  </si>
  <si>
    <t>ALQUILER ESCALERA EXTENSION 6 MTS</t>
  </si>
  <si>
    <t xml:space="preserve">EDUARDO TOLOZA MAYO 17 A JUNIO 5/2026 </t>
  </si>
  <si>
    <t>PAGO 4 HORAS EXTRAS EIDER DE JESUS</t>
  </si>
  <si>
    <t>ESTACION SANTA MARTA 1233257 TKEO JAC</t>
  </si>
  <si>
    <t>FERRETERIA FIXXY 25697( 2 LBS PUNTILLA 3 " Y 2 AEROSOLES BERMELLON)</t>
  </si>
  <si>
    <t>JANETH LUNA JUNIO 8 AL 13</t>
  </si>
  <si>
    <t>EIDER DE JESUS SEMANA JUNIO 8 AL 13</t>
  </si>
  <si>
    <t>DIEGO ROJASA SEMANA JUNIO 8 AL 13</t>
  </si>
  <si>
    <t>YESID SEMANA JUNIO 9 AL 13</t>
  </si>
  <si>
    <t>ALMACEN EL TORNILLO ETFE 137890 ( 7 TORNILLOS CON TUERCA Y RANDELA</t>
  </si>
  <si>
    <t>YESID HORAS EXTRAS 4, 5 HORAS</t>
  </si>
  <si>
    <t xml:space="preserve">2 PIMPINAS DE 5 GALONES  ACEITE QUEMADO </t>
  </si>
  <si>
    <t>PAGO RECIBO LUZ MAYO 2026</t>
  </si>
  <si>
    <t>PAGO ALQUILER ALINEADORES EL OPERADOR ABRIL 6 A JUNIO 4 2026 OBRA CONSORCIO LA VICTORIA 2</t>
  </si>
  <si>
    <t>PAGO LUNA SANCHEZ MAYO</t>
  </si>
  <si>
    <t>PAGO JUNIO 16 Y 17 YESID Y MEDIA EXTRA</t>
  </si>
  <si>
    <t>cesar augusto alquiler JUNIO 11 AL 17</t>
  </si>
  <si>
    <t>COMPRA DE ACEITE QUEMADO; Y 4 GALONES ACPM RESIDUAL</t>
  </si>
  <si>
    <t>ALQUILER FORMALETA COLUMNAS JOSE DAVID 19 AL 23 JUNIO</t>
  </si>
  <si>
    <t>ALQUILER MAYO 29 A JUNIO 14 C ARLOS PINILLA</t>
  </si>
  <si>
    <t>EFECTIVO</t>
  </si>
  <si>
    <t>DIEGO ROJAS SEMANA LABORADA 15 AL 20 DE JUNIO</t>
  </si>
  <si>
    <t xml:space="preserve">EIDER DE JESUS  SEMANA 15 AL 20  DE JUNIO </t>
  </si>
  <si>
    <t>BONIFICACION DIEGO ROJAS</t>
  </si>
  <si>
    <t>JANETHY LUNA SEMANA 16 AL 20 JUNIO</t>
  </si>
  <si>
    <t>COTAXI 1092479 ( TANKEO JAC</t>
  </si>
  <si>
    <t>ALQUILER PLACA DOÑA ROSA  SALIDA 13720 A PARTIR 19 JUNIO</t>
  </si>
  <si>
    <t>ELISEO ALQUILER ANDAMIOS JUNIO</t>
  </si>
  <si>
    <t>ALMACEN REYCOL SAS   # 4A 35211 ( TUBERIA 3 / 16 HIERRO X MTS COLD ROLL 3 -TUH0845</t>
  </si>
  <si>
    <t>ANDRES MAURICIO SERRANO GUIZA FVE E 29602 ( 1 LIQUIDO DE FRENOS ATE DOT 4 SL X 1 LTRS</t>
  </si>
  <si>
    <t>FERRETERIA FIXXY 25987 ( 3 AEROSOL BERMELLON</t>
  </si>
  <si>
    <t xml:space="preserve">FERRETERIA FIXXY 25967 (2 LBS PUNTILLAS 3 "; 2 AEROSALES </t>
  </si>
  <si>
    <t>ALQUILER FORMALETA COLUMNAS ELCY ANGELICA NIÑO AGUDELO</t>
  </si>
  <si>
    <t>DEPOSITO ALQUILER FORMALETA COLUMNAS ELCY ANGELICA NIÑO AGUDELO</t>
  </si>
  <si>
    <t>DADOS A YANETH PAGO INTERNET Y AGUA</t>
  </si>
  <si>
    <t>SALDO ADEUDADO JHON JIMENEZ A JUNIO 11 2026</t>
  </si>
  <si>
    <t>COMPRA 3 PARES DE GUANTES</t>
  </si>
  <si>
    <t>PAGO RECOGIDA JEFFERSON JAVIER</t>
  </si>
  <si>
    <t>PENDIENTE COBRAR A ANDREA</t>
  </si>
  <si>
    <t xml:space="preserve"> ANTONIO GUTIERREZ PAGO 100 PARALES MAYO 7 A JUNIO 26</t>
  </si>
  <si>
    <t>NELSON PADILLA ALQUILER POLEAS JUNIO 14 AL 26</t>
  </si>
  <si>
    <t>JEFERSON ALQUILER JUNIO 22 AL 26</t>
  </si>
  <si>
    <t>ANTONIO GUTIERREZ ABONO PLACA MADERA JUNIO 5 AL 26</t>
  </si>
  <si>
    <t>SALDO ALQUILER SAN FRANCISCO ANDREA A 19 JUNIO</t>
  </si>
  <si>
    <t>FREDDY ESCAMILLA ALQUILER MAYO 29 A JUNIO 26</t>
  </si>
  <si>
    <t>PAGO SEMANA A DIEGO ROJAS 22 AL 27 DE JUNIO 2026</t>
  </si>
  <si>
    <t>YANETH LUNA SEMANA 22 AL27 JUNIO 2026</t>
  </si>
  <si>
    <t>YANETH LUNA SEMANA 22 AL27 JUNIO 2026 1 HORA EXTRA</t>
  </si>
  <si>
    <t>CESAR ROJAS SEMANA DEL 24AL 27 JUNIO</t>
  </si>
  <si>
    <t>CESAR ROJAS SEMANA DEL 24 AL 27 JUNIO</t>
  </si>
  <si>
    <t>EIDER DE JESUS SEMANA 22 AL 27 JUNIO 2026</t>
  </si>
  <si>
    <t>PAGO HORAS EXTYRAS DIEGO 4 Y 45 MINUTOS JUNIO 22 AL 30 2026</t>
  </si>
  <si>
    <t>PAGO REPOSICIONPENDIENTE ROSA</t>
  </si>
  <si>
    <t>PAGOSALDO PENDIENTE ALQUILER ROSA</t>
  </si>
  <si>
    <t>JULIO 1 AL 31/ 2026</t>
  </si>
  <si>
    <t>DESPINCHADA LLANTE TRASERA</t>
  </si>
  <si>
    <t>TRANSPORTE NELSON BERNAL</t>
  </si>
  <si>
    <t>TKEO JAC COTAXI 1110787</t>
  </si>
  <si>
    <t>YANETH LUNA  30 JUNIO AL 4 DE JULIO 2026</t>
  </si>
  <si>
    <t>EIDER DE JESUS JUNIO 29 AL 4 DE JULIO 2026</t>
  </si>
  <si>
    <t>CESAR ROJAS JUNIO 30 AL 4 JULIO 2026</t>
  </si>
  <si>
    <t>HORAS EXTRAS CESAR ROJAS SEMANA JUNIO 30 AJULIO 4 2026</t>
  </si>
  <si>
    <t>PAGO LINEA CELULAR TIGO 3005678367</t>
  </si>
  <si>
    <t>PAGO LINEA CELULAR TIGO 3016032896</t>
  </si>
  <si>
    <t>ARRIENDO BODEGA EQUIORIENTE HEIDY MILENA JAIMES JUNIO  2026</t>
  </si>
  <si>
    <t>PAGO EN EFECTIVO EL 4 DE JULIO ALQUILER LUDWING JUNIO 9 AL 26 2026</t>
  </si>
  <si>
    <t>PAGO DE ALQUILER PLACA  A JULIO 10 ANDREI</t>
  </si>
  <si>
    <t xml:space="preserve">ANDREI CADENA ADICIONAL PLACA HASTA 10 DE JULIOY CIMENTACION DEL 8 AL 12 JULIO </t>
  </si>
  <si>
    <t>FERRETERIA CAPITALIZ 34950 ( 2 KILOS SOLDFADURA 6012 2 / 23 "</t>
  </si>
  <si>
    <t>PAGO SALDO SERGIO JULIO 8 /2026</t>
  </si>
  <si>
    <t xml:space="preserve">SACADOS DE NEQUI </t>
  </si>
  <si>
    <t>ACARREO A YURANIS COLORADOS</t>
  </si>
  <si>
    <t>ACARREO LEONARDO ANDAMIO</t>
  </si>
  <si>
    <t>ACARREO CESAR AUGUSTO MIRADORES  DE LA UIS</t>
  </si>
  <si>
    <t xml:space="preserve">ACARREO LA INDEPENDENCIA </t>
  </si>
  <si>
    <t>ACARREO NELSON BERNAL</t>
  </si>
  <si>
    <t>RECOGIDA ESCALERA TIJERA ANDREA</t>
  </si>
  <si>
    <t>ALFONSO GARCIA ALQUILER 5 DIAS COLUMNAS</t>
  </si>
  <si>
    <t>ALFOSOL ALQUIKLER CORBATAS Y PLACA</t>
  </si>
  <si>
    <t>HERNAN TORRADO ABONO ALQUILER JUNIO- JULIO 2026</t>
  </si>
  <si>
    <t>PAGO CESAR ROJAS JUNIO 7, 8 Y 9</t>
  </si>
  <si>
    <t>ALFONSO LIZCANO ESCALERA</t>
  </si>
  <si>
    <t>1 TALONARIO CAJA MENOR 1 1 TALONARIO EGRESOS</t>
  </si>
  <si>
    <t xml:space="preserve">FVE 1124 RABAC (10 TALONARIOS DE ENTRADA </t>
  </si>
  <si>
    <t>YANETH LUNA SEMANA 6 AL 11 JULIO 2026</t>
  </si>
  <si>
    <t>EIDER DE JESUS SEMANA 6 AL 11 JULIO 2026</t>
  </si>
  <si>
    <t>JUAN DAVID ANGARITA</t>
  </si>
  <si>
    <t>MEDIA HORA EXTRA  DIEGO</t>
  </si>
  <si>
    <t>MEDIA HORA EXTRA EIDER</t>
  </si>
  <si>
    <t>DEPOSITO  WILSON PAEZ</t>
  </si>
  <si>
    <t>RECOGIDA DE POLEAS  HERNAN TORRADO JAVIER CARMONA</t>
  </si>
  <si>
    <t>YURANIS JULIO 7 AL 13</t>
  </si>
  <si>
    <t>CONSIGNADO EN DAVIPLATA POR ANDREI</t>
  </si>
  <si>
    <t>WILSON PAEZ DEPOSITO</t>
  </si>
  <si>
    <t>SALDO ALQUIOBRAS A JUNIO 30 2026</t>
  </si>
  <si>
    <t>WILSON PAEZ DEPOS ITO POR ALQUILER</t>
  </si>
  <si>
    <t>COMPRA 1 ROLLODUCTOLON</t>
  </si>
  <si>
    <t>PAGO PRIMERA QUINCENA DIEGO ROJAS</t>
  </si>
  <si>
    <t>PAGO SALDO FVE 645 Y FVE 651 CICOM A JUNIO 30/2026</t>
  </si>
  <si>
    <t>CCOP MULTIACTIVA TAXIS Y TRANSPORTES EDS COTAXI 1126231 TKEO JAC</t>
  </si>
  <si>
    <t xml:space="preserve">ARWFLO IMPRESORA SEGÚN FVE 26377INYECTINTAS </t>
  </si>
  <si>
    <t>ABONO ALQUILER PLACA WILSON PAEZ A PARTIR DEL 18 DE JULIO</t>
  </si>
  <si>
    <t>FRENO MUELLES DIMILUZ SAS FE 18548 ( 2 CILINDROS FRENOS LLANTA DELANTERA IZ Q Y 2 CILINDORS FRENOS LLANTA TRASERA IZQ)</t>
  </si>
  <si>
    <t>PAGO A ENRIQUE LLEVADA PLACA Y RECOGIDA COLUMNAS WILSON PAEZ</t>
  </si>
  <si>
    <t>CESAR ROJAS JULIO 14 AL 18</t>
  </si>
  <si>
    <t>CESAR ROJAS HORAS EXTRAS  SEMANA JULIO 14 AL 18</t>
  </si>
  <si>
    <t>EIDER DE JESUS JULO 14 AL 18</t>
  </si>
  <si>
    <t>EIDER DE JESUS HORAS EXTRAS SEMANA JULIO 14 AL 18</t>
  </si>
  <si>
    <t>DIEGO ROJAS 3 HORAS EXTRAS SEMANA JULIO 14 AL 18</t>
  </si>
  <si>
    <t>JANET LUNA SEMANA JULIO 14 AL 18</t>
  </si>
  <si>
    <t>RECIBO LUZ BODEGA JULIO</t>
  </si>
  <si>
    <t>ALQUILER FORMALETA METALICA ALIRIO SUAREZ 22 JULIO EN ADELANTE</t>
  </si>
  <si>
    <t>RETIRO BBVA PARA PAGO DIEGO ROJAS</t>
  </si>
  <si>
    <t xml:space="preserve">PAGO ALQUILER PLACA CESAR RINCON </t>
  </si>
  <si>
    <t>SALDO $386,410</t>
  </si>
  <si>
    <t>MEGAREDIL A TU SERVICIO 208F-87943 ( ELEMENTOS DE ASEO PAPEL HIG. JABON EN POLVO Y AROMA)</t>
  </si>
  <si>
    <t>CAMARA DE COMERCIO DE BUCARAMANGA 13769630 ( 1 CERTIFICADO TRADICION</t>
  </si>
  <si>
    <t>PARQUEADERO TORCOROMA B/MANGA 373101 ( 3 HORAS PARQUEO)</t>
  </si>
  <si>
    <t xml:space="preserve">SALDO A 31 JULIO ANDREI </t>
  </si>
  <si>
    <t>DEPOSITO POR ALQUILER PLACA ALIRIO SUAREZ</t>
  </si>
  <si>
    <t>RECOGIDA TOLOZA PAGADOS A JAVIER CARMONA</t>
  </si>
  <si>
    <t>NEQUI503934</t>
  </si>
  <si>
    <t>ANGELICA SALDO VIEJO A 15 JULIO Y NUEVO A 31 JULIO</t>
  </si>
  <si>
    <t>EDGAR GIL PINZON FV 628 ( CAMBIO 4 CILINDORS RUEDA TRASERA IZQ. JAC</t>
  </si>
  <si>
    <t>EDGARF GIL PINZON FV 629 MANTENIMIENTO CAMBIO TRANSMISION JAC</t>
  </si>
  <si>
    <t>WILLY CENTRO DE LUBRICACION FEC 30760 ( 1 GALON DE VALVULINA TRANSMISIONES 140 TERPEL</t>
  </si>
  <si>
    <t>1 SILICONA GRIS</t>
  </si>
  <si>
    <t>GRUP EMPRESARIAL SANTANDER SAS ( GASOLINA)</t>
  </si>
  <si>
    <t>A GRASA SUPER KOTE X 114 G - GRASA ( ENGRASADA EJE DE MANDO JAC)</t>
  </si>
  <si>
    <t>ALMACEN EL TORNILLO F ETFE 140488( TORNILLOS Y TUERCAS CAMIONJAC ( EJE DE MANDO)</t>
  </si>
  <si>
    <t>FVE 1124 RABAC (10 TALONARIOS DE ENTRADA )</t>
  </si>
  <si>
    <t>ESTACION DE SERVICIO SANTA MARTA ( MANTENIMIENTO POLEAS)</t>
  </si>
  <si>
    <t>PAGO LLEVADA TRANSPORTE A JOSE DAVID MIRADORES DE LA UIS 1 VIALE PLACA ENRIQUE</t>
  </si>
  <si>
    <t>PAGO LLEVADA TRANSPORTE A JOSE DAVID MIRADORES DE LA UIS 2 VIALE PLACA ENRIQUE</t>
  </si>
  <si>
    <t>PAGO 4 DIAS DE TRABAJO CESAR 21 AL 24 JULIO 2026</t>
  </si>
  <si>
    <t>BBVA  EMPRESA</t>
  </si>
  <si>
    <t>RETIRO BBVA EMPRESA PARA COMPRA TRANSMISION</t>
  </si>
  <si>
    <t xml:space="preserve">BBVA JIMMY </t>
  </si>
  <si>
    <t>MAESTRO VIDAL ALQUILER POLEAS</t>
  </si>
  <si>
    <t>REALES</t>
  </si>
  <si>
    <t>ACARREO JAVIER CARMONA RECOGIDA NELSON PADILLA</t>
  </si>
  <si>
    <t xml:space="preserve">PAGO SEMANA 21 AL 25 JULIO EIDER DE JESUS </t>
  </si>
  <si>
    <t>ALQUILER ALINA HACER FACTURA</t>
  </si>
  <si>
    <t>YANETH LUNA SEMANA 21 AL 25 JULIO 2026</t>
  </si>
  <si>
    <t>5 CONSTRUCCIONES ALQUILER RUEDAS DE ANDAMIO JUNIO</t>
  </si>
  <si>
    <t>ANDREI DAVIPLATA ABONO ALQUILER PLACA 11 AL 31 DE JULIO 2026</t>
  </si>
  <si>
    <t>DEPOSITO WILMER RONDON ALQUILER POLEAS</t>
  </si>
  <si>
    <t>HERNAN TORRADO SALDO ALQUILER A 24 JULIO 2026</t>
  </si>
  <si>
    <t>LUZ NELLY BALDOVINO</t>
  </si>
  <si>
    <t>ANA MARLENY GARZON</t>
  </si>
  <si>
    <t>RAUL DELGADO CARREÑO</t>
  </si>
  <si>
    <t xml:space="preserve">JORGE ALEXANDER </t>
  </si>
  <si>
    <t>DUBAN ORTEGA</t>
  </si>
  <si>
    <t>MARIA RUTH SAAVEDRA</t>
  </si>
  <si>
    <t>YINA MARCELA RAMOS</t>
  </si>
  <si>
    <t>TILCIA URIBE DURAN</t>
  </si>
  <si>
    <t>PAGO LINEA EMPRESA TIGO</t>
  </si>
  <si>
    <t xml:space="preserve">YANETH LUNA ABRIL 6 AL 11 ABRIL </t>
  </si>
  <si>
    <t>DIEGO ROJAS ABRIL 6 AL 11</t>
  </si>
  <si>
    <t>EIDER DE JESUS ABRIL 6 AL 11</t>
  </si>
  <si>
    <t>ALQUILER  YESENIA MURILLO</t>
  </si>
  <si>
    <t>PAGO BONIFICACION  DIEGO ROJAS A JUNIO 28 AL 30/2026</t>
  </si>
  <si>
    <t>ALQUILER RAMIRO DULCEY</t>
  </si>
  <si>
    <t>ALQUILER PRESTAMO ANDAMIOS SHIRLEY16 JUNIO2026</t>
  </si>
  <si>
    <t>ALQUILER YAZMIN PACHECO ALQUILER COLUMNAS DE 30 X 120</t>
  </si>
  <si>
    <t>PAGO LLEVADA ESCALERA FALLIDA JAVIER CARMONA SEGÚN SALIDA 13744</t>
  </si>
  <si>
    <t xml:space="preserve">RUEDASCAR ( COMPRA TRANSMISION JAC 1  TRANSMISION 6 X 35 JAC </t>
  </si>
  <si>
    <t>PAGO A ENRIQUE LLEVADA POLEAS A WILMER RONDON</t>
  </si>
  <si>
    <t>ALQUILER PLACA DIANA PUERTO RICO</t>
  </si>
  <si>
    <t>CUENTA OPERADOR JUNIO 5 A JULIO 26 2026</t>
  </si>
  <si>
    <t>FERRETERIA FIXXY 26143( 2 AEROSOL; 3 LBS PUNTILLAS 3 ")</t>
  </si>
  <si>
    <t>PAGO ALIRIO SUAREZ JULIO 27  A AGOSTO 7</t>
  </si>
  <si>
    <t xml:space="preserve">PAGO LUNA SANCHEZ JUNIO </t>
  </si>
  <si>
    <t>RETIRO NEQUI PAGO FACTURA POLIMYS Y FACTURA MOVISTAR</t>
  </si>
  <si>
    <t>PAGO FACTURA MOVISTAR JULIO FIJO MAS INTERNET</t>
  </si>
  <si>
    <t>PAGO ALQUILER JUNIO 1 AL 30 POLIMYS</t>
  </si>
  <si>
    <t>2 LIBRAS PUNTILLAS 3 "FIXXY</t>
  </si>
  <si>
    <t>PAGO A JAVIER CARMONARECOGIDA ESCALERA Y ANDAMIOS ANDREA</t>
  </si>
  <si>
    <t>PAGO ALQUILER MARSZO 2026 POLIMYS</t>
  </si>
  <si>
    <t>PAGO RECOGIDA HARBEY CARDONA</t>
  </si>
  <si>
    <t>SALDO PENDIENT ANDAMIOS HARBEY JULIO</t>
  </si>
  <si>
    <t>ALQUILER 14 TBLEROS MADERA 70 X 140 HARBEY</t>
  </si>
  <si>
    <t>ABONO PLACA MADERA SERGIO LUIS A PARTIR 29 JULIO</t>
  </si>
  <si>
    <t>ABONO PLACA MADERA MAURICIO CACERES LUIS A PARTIR 3 DE AGOSTO</t>
  </si>
  <si>
    <t>CARLOS MIGUEL  SALDO JUNIO</t>
  </si>
  <si>
    <t>PAGO 10 CHAPETAS EXTRAVIADAS JUNIO CARLOS MIGUEL RAZON DE $3000 / UNIDAD</t>
  </si>
  <si>
    <t>NELSON BERNAL JULIO</t>
  </si>
  <si>
    <t>MAESTRO JOSE ALQUILER PLACA 24 DE JULIO POR 14 DIAS CON TRANSPORTE</t>
  </si>
  <si>
    <t xml:space="preserve">MIGUEL ANGEL FLOREZ CORREA ALQUILER ANDAMIOS JULIO </t>
  </si>
  <si>
    <t>TKEO JAC ESTACION DE SRVICIO SANTA MARTA 1266613</t>
  </si>
  <si>
    <t>VUELTOS ALQUILER TROMPO MALDONADO</t>
  </si>
  <si>
    <t xml:space="preserve">ADEUDADOS EN REALIDAD </t>
  </si>
  <si>
    <t>PAGO ALQUILER TROMPO JAVIER MALDONADO</t>
  </si>
  <si>
    <t xml:space="preserve">ALMACEN EL TORNILLO FV GGFE 256519 ( 8 TORNILOS Y 8 TUERCAS SEGURIDAD ) </t>
  </si>
  <si>
    <t>ALMACEN EL TORNILLO FVE 141081 ( 4 TORNILLOS, 1 DESTORNILLADOR ESTRIA, 1 DESTORNILLADOR PALA)</t>
  </si>
  <si>
    <t>PAGO SERVICIO AGUA MES DED MAYO 2026</t>
  </si>
  <si>
    <t>ANTONIO GUTIERREZ ALQUILER JULIO</t>
  </si>
  <si>
    <t>PASA A CAJA MENOR</t>
  </si>
  <si>
    <t>RETIRO BBVA PARA CANCELAR SEGUNDA QUINCENA DIEGO ROJAS</t>
  </si>
  <si>
    <t>CESAR ROJAS AGOSTO 27 AL 31</t>
  </si>
  <si>
    <t>CESAR ROJAS AGOSTO 27 AL 31 1 HORA EXTRA</t>
  </si>
  <si>
    <t>PAGO SEGUNDA QUINCENA JULIO DIEGO ROJAS</t>
  </si>
  <si>
    <t>PAGOLINEA TIGO 3005678367</t>
  </si>
  <si>
    <t>ALMACEN EL TORNILLO 141196 ( 4 TUERCAS DE SEGURIDAD)</t>
  </si>
  <si>
    <t>COMPRA PIMPINA ACEITE QUEMADO NESTRO CABALLERO</t>
  </si>
  <si>
    <t>EIDER DE JESUS PAGO SEMANA DEL 27 JULIO AL 1 DE AGOSTO 2026</t>
  </si>
  <si>
    <t>JANETH LUNA PAGO SEMANA 27 JULIO AL 1 DE AGOSTO 2026</t>
  </si>
  <si>
    <t>ESCALERA ALQUILER 31 JULIO</t>
  </si>
  <si>
    <t>SERVICIOS CONTABLES JUNIO 026</t>
  </si>
  <si>
    <t>COMPRA MULTIFUNCIONAL CANON</t>
  </si>
  <si>
    <t>SERVICIOS CONTABLES JULIO 2026</t>
  </si>
  <si>
    <t>RAUL QUINTERO</t>
  </si>
  <si>
    <t>AGOSTO 1 AL 31/ 2026</t>
  </si>
  <si>
    <t>SALDO LUDWING MAYO 2026</t>
  </si>
  <si>
    <t>JAIME LUNA ALQUILER JULO 2026</t>
  </si>
  <si>
    <t xml:space="preserve">ALQUILER COLUMNAS COLORADOS LUZ </t>
  </si>
  <si>
    <t>ANDAMIOS JULIO MIGUEL</t>
  </si>
  <si>
    <t>ALQUILER ANDAMIOS Y TABLONES JUAN CARLOS BAUTISTA</t>
  </si>
  <si>
    <t>DEPOSITO POR NEQUI LUZ MARINAPEREZ ALQUILER POLEAS SALIDA 13792</t>
  </si>
  <si>
    <t>DEPOSITO POR NEQUI LUZ MARINA PEREZ ALQUILER POLEAS SALIDA 13792</t>
  </si>
  <si>
    <t xml:space="preserve">ELIZABETH NARANJO AMADO FVE GM 325( 1 TRONZADORA RANGER PRO DE 14 ";3 DISCOS CORT, 1 DESBASTE </t>
  </si>
  <si>
    <t>SALDO ALQUILER ANGELICA A 31 DE JULIO 2026</t>
  </si>
  <si>
    <t>ANDREI PAGO ALQUILER COLUMNAS A PARTIR AGOSTO 10 AL 14</t>
  </si>
  <si>
    <t>TIENE IVA</t>
  </si>
  <si>
    <t>EWSTACION DE SRVICIO SANTA MARTA EMANUEL (MANTENIMIENTO POLEAS)</t>
  </si>
  <si>
    <t>ANDREI ABONO A PLACA A PARTIR DEL 1  DE AGOSTO 2026</t>
  </si>
  <si>
    <t>RECARGA DESDE BANCOLOMBIA POR ANDAMIOS</t>
  </si>
  <si>
    <t>PINTASMAS PQSF 45670 ( 1 AEROSOL AZUL ARREGLO ANGULOS)</t>
  </si>
  <si>
    <t>ALQUILER MAYO 29 A JUNIO 14 CARLOS MIGUEL MAYO</t>
  </si>
  <si>
    <t>ABONO  ALQUILER MATERIAL PLACA DE JULIO 1 AL 8 INCLUYE TRANSPORTE ANGELICA CONCORDIA</t>
  </si>
  <si>
    <t>DIEGO ROJAS BONIFICACION MES DE JULIO 2026</t>
  </si>
  <si>
    <t>ARRIENDO BODEGA JHON JAIMS JULIO 2026</t>
  </si>
  <si>
    <t>ARRIENDO BODEGA HEIDY JAIMES JULIO 2026</t>
  </si>
  <si>
    <t>ARRIENDO BODEGA JIMMY JAIMES JULIO 2026</t>
  </si>
  <si>
    <t>ARRIENDO BODEGFLORALBA JAIMESJULIO 2026</t>
  </si>
  <si>
    <t>8/098/2026</t>
  </si>
  <si>
    <t>JANETH LUNA AGOSTO 3 AL 6 Y 8 AGOSTO</t>
  </si>
  <si>
    <t>CESAR ROJAS PAGO AGOSTO 4 AL 6</t>
  </si>
  <si>
    <t>EIDER DE JESUS CAICEEDO</t>
  </si>
  <si>
    <t>PRESTAMO DIEGO ROJAS</t>
  </si>
  <si>
    <t>heriberto florez diaz ( 1 silicona loctite grey x 70 ml)</t>
  </si>
  <si>
    <t>jhonatan giraldo gelvez fve JGG 4619 ( 2 TORNILLOS LLANTA JAC Y 12 TORNILLOS CON ARANDELA TRANSMISION</t>
  </si>
  <si>
    <t>RECTIFICADA DE HUEVO TRANSMISION Y SACADA DE TRORNILLO EN MAL ESTADO RUEDA TRASERA L.I JAC</t>
  </si>
  <si>
    <t>PENDEIENTE FACTURA</t>
  </si>
  <si>
    <t>1 CUARTO DE VALVULINA 140 JAC</t>
  </si>
  <si>
    <t>TKEO JAC EDS COTAXI</t>
  </si>
  <si>
    <t>ABONO JOSE REDIN PLACA 11 AL 23 AGOPSTO 2026</t>
  </si>
  <si>
    <t>pago alquiler julio GIOVANI SIERRA</t>
  </si>
  <si>
    <t>ALQUILER EDUARDO TOLOZA</t>
  </si>
  <si>
    <t>ALQUILER ELIAS RIOS ALQUILER MAYO 2026</t>
  </si>
  <si>
    <t>ALQUILER DE FORMALETA 60 X 120; FORMALETA 25 X 120  CSAR RINCON</t>
  </si>
  <si>
    <t>ABONO CUENTA EQUIORIENTE A POLIMIS MAYO 2026</t>
  </si>
  <si>
    <t>ARRIENDO JHON .AYO 2026 BODEGA</t>
  </si>
  <si>
    <t xml:space="preserve"> ARRIENDO JIMMYUNIO 2026 BODEGA</t>
  </si>
  <si>
    <t xml:space="preserve">  FLORALBA JUNIO 2026 BODEGA</t>
  </si>
  <si>
    <t>PAGO DE ARREGLO Y PINTADA DE  5 POLEAS</t>
  </si>
  <si>
    <t>PAGO SALDO SERGIO ALQUILER AGOSTO PLACA MADERA</t>
  </si>
  <si>
    <t>PAGO DE 2FORMALETA 60 X120; 1 FORMALETAS DE 30X 120 SACAR DEL INVENTARIO CONSORCIO EN AGOSTO</t>
  </si>
  <si>
    <t>ELIAS RIOS ALQUILER JULIO</t>
  </si>
  <si>
    <t xml:space="preserve">ESCALERA </t>
  </si>
  <si>
    <t>PAGO ALQUILER ANDAMIOS WILLIAM PARRA</t>
  </si>
  <si>
    <t>PRIMAS Y PARCIAL CESANTIAS EIDER DE JESUS A MITAD DE AÑO</t>
  </si>
  <si>
    <t>PAGO ALDO ALIRIO SUAREZ</t>
  </si>
  <si>
    <t>ABONO PEDRO ROSAS POLEAS JULIO</t>
  </si>
  <si>
    <t>ABONOALQUILER ABRIL 2026 POLIMYS</t>
  </si>
  <si>
    <t>SALDO POLIMYS MES DE ABRIL 2026</t>
  </si>
  <si>
    <t>ABONO ALQUIER POLIMYS MES DE MAYO</t>
  </si>
  <si>
    <t>SALDO ALQUILER AERO A POLIMYS MAYO 2026</t>
  </si>
  <si>
    <t>PAGO ALQUILER AEO A POLIMYS JUNIO 2026</t>
  </si>
  <si>
    <t>ABONO  ALQUILER JULIO RUEDAS JHON ORIGUA</t>
  </si>
  <si>
    <t>ABONO A 10 TALONARIOS SALIDA RABAC</t>
  </si>
  <si>
    <t>PAGO INDUSTRIA Y COMERCIO TERCERA CUOTA</t>
  </si>
  <si>
    <t>846.000 PASADOPS POR DAVIPLATA A FLORALBA EN AGOSTO</t>
  </si>
  <si>
    <t>CESAR 10 AL 14 AGOSTO 2026</t>
  </si>
  <si>
    <t>CESAR HORAS EXTRAS SEMANA 10 AL 14 AGOSTO 2026</t>
  </si>
  <si>
    <t>sacados de nequi PRESTADO A DIEGO Y DEVOLVIO CON 1 BILLETE DE $100,000</t>
  </si>
  <si>
    <t>ABONO EN EFCTIVO CLAUDIA GIL</t>
  </si>
  <si>
    <t>CRUCE CUENTAS AFEBRERO  CLAUDIA GIL</t>
  </si>
  <si>
    <t>CONSIGNADO BBVA</t>
  </si>
  <si>
    <t>HERNAN TORRADO SALDO A AGOSTO 15 2026</t>
  </si>
  <si>
    <t>ALEXANDER BAUYTISTA ALQUILER SECCIONES ANDAMIO</t>
  </si>
  <si>
    <t>SACADOS BBVA PAGAR PRIMERA DIEGO ROJAS QUINCENA AGOSTO 2026</t>
  </si>
  <si>
    <t>PRIMERA DIEGO ROJAS QUINCENA AGOSTO 2026</t>
  </si>
  <si>
    <t>EIDER DE JESUS SEMANA 10 AL 15 AGOSTO 2026</t>
  </si>
  <si>
    <t>EIDER DE JESUS 3 HORAS EXTRAS SEMANA 10 AL15 DE AGOSTO 2026</t>
  </si>
  <si>
    <t>DIEGO ROJAS 3.75 HORAS EXTRAS SEMANA 10 AL 15 AGOSTO 2026</t>
  </si>
  <si>
    <t>JANETH LUNA DIAS LABORADOS 10, 12, 14 Y 15 AGOSTO</t>
  </si>
  <si>
    <t>JANETH LUNA 6 HORAS EXTRAS 1 AL 15 AGOSTO 2026</t>
  </si>
  <si>
    <t>ABONADO A DEUDA</t>
  </si>
  <si>
    <t>YORGUIN JAIMES ALQUILER COLUMNAS AGOSTO</t>
  </si>
  <si>
    <t>FELIX CARRILLO ALQUILER JULIO</t>
  </si>
  <si>
    <t>YORGUIN JAIMES ALQUILER ANDAMIOS</t>
  </si>
  <si>
    <t>GUILLERMO HERNANDEZ ALQUILER ANDAMIOS 14 AL 18 AGOSTO</t>
  </si>
  <si>
    <t>CRISTIAN RUGELES ALQUILER PLACA METALICA POR 15 DIAS</t>
  </si>
  <si>
    <t>ALQUILER ESCALERA YORGUIN JAIMES</t>
  </si>
  <si>
    <t>PAGO PINES CLAUDIA JERES</t>
  </si>
  <si>
    <t>PAGO ESCALERA EXTENSION 4M A 8</t>
  </si>
  <si>
    <t>ALQUILER COLUMNAS 14 AL 19 AGOSTO 2026 PEDRO JUAN PRADA</t>
  </si>
  <si>
    <t>MULTIACTIVA DE TAXIS EDS 1169505 TKEO JAC</t>
  </si>
  <si>
    <t>prestamo a diego rojas</t>
  </si>
  <si>
    <t>PAGO 3 DIAS DE TRABAJO CESAR AGOSTO 18, 19 Y 20</t>
  </si>
  <si>
    <t>PAGO 1/2 HORA EXTRA 19 AGOSTO</t>
  </si>
  <si>
    <t>ANGELICA ALQUILER AGOSTO 1 AL 10</t>
  </si>
  <si>
    <t>ANGELICA 1 PARAL 3, 1 CERCHA DE 1 MTS Y 19 CHAPETAS EXTRAVIADAS; DAÑO CERCHA 3 MTS</t>
  </si>
  <si>
    <t>ALEX BAUTISTA ALQUILER ESCALERA EXTENSION 2M A 8 M 20 Y 21| AGOSTO</t>
  </si>
  <si>
    <t>COMPRA VASELINA ARREGLO BATERIA</t>
  </si>
  <si>
    <t>LLEVO PAGO RECIBO LUZ</t>
  </si>
  <si>
    <t>PRESTAMO JIMMY JAIMES</t>
  </si>
  <si>
    <t>PAGO ALQUILER PLACA PEQUEÑA VIDAL</t>
  </si>
  <si>
    <t>saldo dias 18,19,20 y 21 agosto cesar rojas</t>
  </si>
  <si>
    <t>ALQUILER  LUZ MARINA CARREÑO AGOSTO 11 AL 22</t>
  </si>
  <si>
    <t>EIDER DE JESUS SEMANA 18 AL 22AGOSTO 2026</t>
  </si>
  <si>
    <t>ABONO AL PRESTAMO DE EIDER</t>
  </si>
  <si>
    <t>GUSTAVO ADOLFO RUBIO ABONO ALQUILER PLACA VILLACARMELO A PARTIR AGOSTO 25 2026</t>
  </si>
  <si>
    <t>ABONO ALQUILER 4 POLEAS FRANCY LILIANA</t>
  </si>
  <si>
    <t>PAGO ALQUILER DE 5 DIAS OMAR PABON AGOSTO 24 AL 28 2026</t>
  </si>
  <si>
    <t>ALQUILER ROBINSON MUÑOZ CASTRO</t>
  </si>
  <si>
    <t xml:space="preserve">ALQUILER ESCALERA JAME LUNA </t>
  </si>
  <si>
    <t>COSTAS COBRO COACTIVO INDUSTRIA Y COMERCIO</t>
  </si>
  <si>
    <t>FE -1273 SOLDAR1 A INGENIERIA SAS COMPRA DE 300 CHAPETAS, 150 PINES, 4 FORMALETAS 40 X60</t>
  </si>
  <si>
    <t>CARROCERIAS NEW YORK FV 0901 ( 1 PAR DE COMPUERTAS CARROCERIA DE ESTACA CAMION JAC</t>
  </si>
  <si>
    <t>PINTASMAS PQSF 8071 ( 1 GALON ESMALTE ALUMINIO MEZCLA, 1 GALON DE THINER, 1 BROCHA DE 2 1/2")</t>
  </si>
  <si>
    <t>GALON DE GASOLINA MTTO POLEAS</t>
  </si>
  <si>
    <t>TKEO JAC ESTACION LA HORMIGA FVE 48091</t>
  </si>
  <si>
    <t>ALEX BAUTISTA ALQUILER ESCALERA EXTENSION 2M A 8 M 22 Y 24| AGOSTO</t>
  </si>
  <si>
    <t>ALEX BAUTISTA ALQUILER 2 SECCIONES ANDAMIOS Y 4 TABLONES AGOSTO 25 AL 28</t>
  </si>
  <si>
    <t>PAGO FVE  CICOM MES DE JULIO 656 CONSIGNADOS EN EÑL BBVA</t>
  </si>
  <si>
    <t xml:space="preserve">COMPRA TINTA NEGRA Y AMARILLA IMPRESORA </t>
  </si>
  <si>
    <t>SIDH FVE 35483 ( MANTENIMIENTO PULIDORA Y REPUESTOS)</t>
  </si>
  <si>
    <t>MAESTRO VIDAL ALQUILO ALQUILER PLACA DEL 12 AL 26 AGOSTO 2026</t>
  </si>
  <si>
    <t>MAESTRO VIDAL ALQUILER DE ANDAMIOS</t>
  </si>
  <si>
    <t>DANIEL EDUARDO BAUTISTA JARAMILLO OBRA NOEL GUERRA DEPOSITP</t>
  </si>
  <si>
    <t>HOLGUER ALQUILER COLUMNAS DIEGO ARMANDO NAVAS JAIMES</t>
  </si>
  <si>
    <t>RECIBO SERVICIOS PUBLICOS AGUA</t>
  </si>
  <si>
    <t>SERGIO ANTONIO JIMENEZ QUINTERO ( SPLITER Y CABLE VGA)</t>
  </si>
  <si>
    <t>ABONO ALQUILER WILSON PAEZ</t>
  </si>
  <si>
    <t>ARREGLO Y PINTADA DE 4 POLEAS JUAN ALMEIDA</t>
  </si>
  <si>
    <t>WILSON PAEZ ABONO CON COMPRTA DE 221 CORBATAS MURO DE 20 CMS ENTRADA 13592</t>
  </si>
  <si>
    <t>CORE INGENIERIA EMPRESA DE JORGECAMBIO FUENTE DE PODER Y PILA DVR EQUIORIENTE</t>
  </si>
  <si>
    <t>PAGO LINEA DE INTERNET FACTURA MOVISTAR</t>
  </si>
  <si>
    <t>PAGO ALQUILER 1 SECCION DE ANDAMIO</t>
  </si>
  <si>
    <t xml:space="preserve">PAGO AGOSTO 24 Y 25 CESAR </t>
  </si>
  <si>
    <t>PAGO 1 HORA EXTRA 24 DE AGOSTO CESAR</t>
  </si>
  <si>
    <t>LLEVO PAGO SALDO A JUNIO 2026 CLAUDIA JEREZ</t>
  </si>
  <si>
    <t>CRUCE CUENTAS MES JULIO 2026OLIMYS JUNIO</t>
  </si>
  <si>
    <t>,PAGO ALQUILER ANDAMIOS EDUARDO TOLOZA</t>
  </si>
  <si>
    <t>RECOGIDA A EDUARDO TOLOZA EVER HERRERA</t>
  </si>
  <si>
    <t>SEMANA DEL 24 AL 29 AGOSTO EIDER</t>
  </si>
  <si>
    <t>2HORA EXTRA Y 15 MINUTIOS SEMANA 24 AL 29 AGOSTO EDER EIDER</t>
  </si>
  <si>
    <t>SEMANA DEL 25 AL 29 AGOSTO YANETH LUNA</t>
  </si>
  <si>
    <t>HORA EXTRA YANETH LUNA 29 AGOSTO</t>
  </si>
  <si>
    <t>ABONO A SEGUNDA QUINCENA AGOSTO 2026 DIEGO ROJAS</t>
  </si>
  <si>
    <t>HORAS EXTRAS SEMANA 25 AL 29 AGOSTO DIEGO ROJAS</t>
  </si>
  <si>
    <t>PRETAMO</t>
  </si>
  <si>
    <t>PAGO DAVID REDIN ALQUILER PLACA MADERA AL 31 AGOSTO 206 INCLUIDA RECOGIDA</t>
  </si>
  <si>
    <t>ARRIENDO AGOSTO BODEGA JHON JAIMES</t>
  </si>
  <si>
    <t xml:space="preserve"> ARRIENDO AGOSTO BODEGAHEIDY JAIMES</t>
  </si>
  <si>
    <t xml:space="preserve">ARRIENDO AGOSTO BODEGA JIMMY JAIMES </t>
  </si>
  <si>
    <t>JOHANA PEDREGAL ALQUILER PLACA MADERA</t>
  </si>
  <si>
    <t>GIOVANI BESSINO ALQUILER COLUMNAS</t>
  </si>
  <si>
    <t>SEPTIEMBRE 1 AL 30/ 2026</t>
  </si>
  <si>
    <t xml:space="preserve">ABONO HECHURA TABLAS </t>
  </si>
  <si>
    <t>INDURRUEDAS COMPRA DE 25 LIBRAS PUNTILLAS CABALLO</t>
  </si>
  <si>
    <t>vueltos cristian rugeles</t>
  </si>
  <si>
    <t>pago aldo rabac salidas</t>
  </si>
  <si>
    <t>pendiente factura</t>
  </si>
  <si>
    <t>ALQUILER ESCALERQA SEPTIEMBRE 1 Y 2 EDINSON JAIMES</t>
  </si>
  <si>
    <t>SALDO JOHANA EL PEDREGAL</t>
  </si>
  <si>
    <t>ENRIQUE PEREZ ALQUILER ANDAMIOS</t>
  </si>
  <si>
    <t>FERRETERIA FIXXY 26233( 2 BERMELLON)</t>
  </si>
  <si>
    <t>FEJG1930 SILENCIADORES LA 14 ( VENTA E INSTALACION DE FLEXIBLE ECUALIZABLE EN ACERO INOXIDABLE PO 2</t>
  </si>
  <si>
    <t>IVA</t>
  </si>
  <si>
    <t>MIGUEL ANGEL FLOREZ DEPOSITO SAL 3988</t>
  </si>
  <si>
    <t>GONZALO PAGO ALQUILER2 SECCIONES Y 1 TABLON</t>
  </si>
  <si>
    <t>JOSE MAURICIO CACERES ORTIZ SALDO PLACA</t>
  </si>
  <si>
    <t>DEPOSITO FREDY LENGUA</t>
  </si>
  <si>
    <t>TRANSPORTE AMIGUEL ANGERL FLOREZ ALFONSO LOPEZ</t>
  </si>
  <si>
    <t>MAESTRO VIDAL ALQUILER COLUMNAS</t>
  </si>
  <si>
    <t xml:space="preserve">MAESTRO VIDALL PAGO ALQUIKLER POLEAS AL 23  DE AGOSTO </t>
  </si>
  <si>
    <t>FREDY LENGUA VUELTOS</t>
  </si>
  <si>
    <t>PAGO RECOGIDA NOEL GUERRA</t>
  </si>
  <si>
    <t>PAGO SALDO ELIAS PATIÑO</t>
  </si>
  <si>
    <t>TODO ELCTRICOS FVE TDE50568 ( 1 VALCULA DE FRENO AHOGO JAC Y CONECTOR</t>
  </si>
  <si>
    <t>ALMACEN REYCOL SAS  1 TUBERIA DE HIERRO Y SILICONA</t>
  </si>
  <si>
    <t>ALMACEN REYCOL SAS COMP.  No 5A 33131( PEDAZO DE MANGUERA Y DOS ABRAZADERAS)</t>
  </si>
  <si>
    <t>SACADOS DE NEQUI ( ENVIADOS A FRANCY LILIANA)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</si>
</sst>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_);_(&quot;$&quot;\ * \(#,##0\);_(&quot;$&quot;\ * &quot;-&quot;??_);_(@_)"/>
    <numFmt numFmtId="165" formatCode="_-&quot;$&quot;\ * #,##0_-;\-&quot;$&quot;\ * #,##0_-;_-&quot;$&quot;\ * &quot;-&quot;??_-;_-@_-"/>
    <numFmt numFmtId="166" formatCode="&quot;$&quot;\ #,##0.00"/>
    <numFmt numFmtId="167" formatCode="_-&quot;$&quot;\ * #,##0.0_-;\-&quot;$&quot;\ * #,##0.0_-;_-&quot;$&quot;\ * &quot;-&quot;??_-;_-@_-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b/>
      <sz val="18"/>
      <color theme="1"/>
      <name val="Arial"/>
      <family val="2"/>
    </font>
    <font>
      <b/>
      <sz val="10"/>
      <color theme="1"/>
      <name val="Arial Black"/>
      <family val="2"/>
    </font>
    <font>
      <b/>
      <sz val="12"/>
      <color theme="1"/>
      <name val="Arial"/>
      <family val="2"/>
    </font>
    <font>
      <b/>
      <sz val="8"/>
      <color theme="1"/>
      <name val="Arial Black"/>
      <family val="2"/>
    </font>
    <font>
      <sz val="9"/>
      <color theme="1"/>
      <name val="Aptos Narrow"/>
      <family val="2"/>
      <scheme val="minor"/>
    </font>
    <font>
      <sz val="14"/>
      <color theme="1"/>
      <name val="Arial Black"/>
      <family val="2"/>
    </font>
    <font>
      <sz val="10"/>
      <color theme="1"/>
      <name val="Arial Black"/>
      <family val="2"/>
    </font>
    <font>
      <b/>
      <sz val="18"/>
      <color theme="1"/>
      <name val="Arial Black"/>
      <family val="2"/>
    </font>
    <font>
      <b/>
      <sz val="16"/>
      <color theme="1"/>
      <name val="Arial Black"/>
      <family val="2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rial Black"/>
      <family val="2"/>
    </font>
    <font>
      <sz val="11"/>
      <color theme="1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Arial Black"/>
      <family val="2"/>
    </font>
    <font>
      <sz val="9"/>
      <name val="Aptos Narrow"/>
      <family val="2"/>
      <scheme val="minor"/>
    </font>
    <font>
      <b/>
      <sz val="8"/>
      <name val="Arial Black"/>
      <family val="2"/>
    </font>
    <font>
      <b/>
      <sz val="6"/>
      <color theme="1"/>
      <name val="Arial Black"/>
      <family val="2"/>
    </font>
    <font>
      <sz val="11"/>
      <color theme="1"/>
      <name val="Arial"/>
      <family val="2"/>
    </font>
    <font>
      <sz val="9"/>
      <color theme="1"/>
      <name val="Arial Black"/>
      <family val="2"/>
    </font>
    <font>
      <b/>
      <sz val="9"/>
      <color theme="1"/>
      <name val="Arial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1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164" fontId="4" fillId="3" borderId="3" xfId="0" applyNumberFormat="1" applyFont="1" applyFill="1" applyBorder="1"/>
    <xf numFmtId="0" fontId="5" fillId="4" borderId="4" xfId="0" applyFont="1" applyFill="1" applyBorder="1"/>
    <xf numFmtId="0" fontId="6" fillId="5" borderId="5" xfId="0" applyFont="1" applyFill="1" applyBorder="1" applyAlignment="1">
      <alignment horizontal="center" wrapText="1"/>
    </xf>
    <xf numFmtId="164" fontId="4" fillId="5" borderId="6" xfId="0" applyNumberFormat="1" applyFont="1" applyFill="1" applyBorder="1"/>
    <xf numFmtId="0" fontId="2" fillId="4" borderId="4" xfId="0" applyFont="1" applyFill="1" applyBorder="1"/>
    <xf numFmtId="0" fontId="6" fillId="5" borderId="5" xfId="0" applyFont="1" applyFill="1" applyBorder="1" applyAlignment="1">
      <alignment horizontal="center"/>
    </xf>
    <xf numFmtId="164" fontId="7" fillId="6" borderId="6" xfId="1" applyNumberFormat="1" applyFont="1" applyFill="1" applyBorder="1"/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2" fontId="8" fillId="5" borderId="9" xfId="1" applyNumberFormat="1" applyFont="1" applyFill="1" applyBorder="1" applyAlignment="1">
      <alignment horizontal="center" vertical="center"/>
    </xf>
    <xf numFmtId="0" fontId="0" fillId="0" borderId="10" xfId="0" applyBorder="1"/>
    <xf numFmtId="0" fontId="0" fillId="7" borderId="0" xfId="0" applyFill="1"/>
    <xf numFmtId="0" fontId="11" fillId="8" borderId="14" xfId="0" applyFont="1" applyFill="1" applyBorder="1" applyAlignment="1">
      <alignment horizontal="center" wrapText="1"/>
    </xf>
    <xf numFmtId="164" fontId="12" fillId="8" borderId="15" xfId="2" applyNumberFormat="1" applyFont="1" applyFill="1" applyBorder="1"/>
    <xf numFmtId="0" fontId="0" fillId="0" borderId="2" xfId="0" applyBorder="1"/>
    <xf numFmtId="14" fontId="14" fillId="5" borderId="10" xfId="0" applyNumberFormat="1" applyFont="1" applyFill="1" applyBorder="1" applyAlignment="1">
      <alignment horizontal="center" vertical="center"/>
    </xf>
    <xf numFmtId="164" fontId="3" fillId="5" borderId="10" xfId="0" applyNumberFormat="1" applyFont="1" applyFill="1" applyBorder="1" applyAlignment="1">
      <alignment vertical="center"/>
    </xf>
    <xf numFmtId="0" fontId="14" fillId="5" borderId="10" xfId="0" applyFont="1" applyFill="1" applyBorder="1" applyAlignment="1">
      <alignment horizontal="center" vertical="center"/>
    </xf>
    <xf numFmtId="164" fontId="14" fillId="5" borderId="10" xfId="1" applyNumberFormat="1" applyFont="1" applyFill="1" applyBorder="1" applyAlignment="1">
      <alignment horizontal="center" vertical="center"/>
    </xf>
    <xf numFmtId="0" fontId="0" fillId="10" borderId="0" xfId="0" applyFill="1"/>
    <xf numFmtId="165" fontId="0" fillId="0" borderId="0" xfId="2" applyNumberFormat="1" applyFont="1"/>
    <xf numFmtId="0" fontId="11" fillId="8" borderId="10" xfId="0" applyFont="1" applyFill="1" applyBorder="1" applyAlignment="1">
      <alignment horizontal="center" wrapText="1"/>
    </xf>
    <xf numFmtId="164" fontId="12" fillId="8" borderId="10" xfId="2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17" fillId="9" borderId="10" xfId="0" applyFont="1" applyFill="1" applyBorder="1" applyAlignment="1">
      <alignment horizontal="left"/>
    </xf>
    <xf numFmtId="164" fontId="18" fillId="9" borderId="0" xfId="0" applyNumberFormat="1" applyFont="1" applyFill="1"/>
    <xf numFmtId="164" fontId="0" fillId="0" borderId="0" xfId="2" applyNumberFormat="1" applyFont="1"/>
    <xf numFmtId="165" fontId="0" fillId="11" borderId="0" xfId="2" applyNumberFormat="1" applyFont="1" applyFill="1"/>
    <xf numFmtId="164" fontId="2" fillId="0" borderId="0" xfId="0" applyNumberFormat="1" applyFont="1"/>
    <xf numFmtId="1" fontId="0" fillId="0" borderId="0" xfId="2" applyNumberFormat="1" applyFont="1" applyBorder="1"/>
    <xf numFmtId="1" fontId="0" fillId="0" borderId="0" xfId="2" quotePrefix="1" applyNumberFormat="1" applyFont="1" applyBorder="1"/>
    <xf numFmtId="16" fontId="0" fillId="12" borderId="10" xfId="0" applyNumberFormat="1" applyFill="1" applyBorder="1"/>
    <xf numFmtId="0" fontId="9" fillId="12" borderId="10" xfId="0" applyFont="1" applyFill="1" applyBorder="1"/>
    <xf numFmtId="165" fontId="0" fillId="12" borderId="10" xfId="2" applyNumberFormat="1" applyFont="1" applyFill="1" applyBorder="1"/>
    <xf numFmtId="0" fontId="0" fillId="12" borderId="0" xfId="0" applyFill="1"/>
    <xf numFmtId="14" fontId="0" fillId="12" borderId="10" xfId="0" applyNumberFormat="1" applyFill="1" applyBorder="1"/>
    <xf numFmtId="0" fontId="0" fillId="12" borderId="10" xfId="0" applyFill="1" applyBorder="1"/>
    <xf numFmtId="0" fontId="10" fillId="12" borderId="10" xfId="0" applyFont="1" applyFill="1" applyBorder="1"/>
    <xf numFmtId="165" fontId="10" fillId="12" borderId="10" xfId="2" applyNumberFormat="1" applyFont="1" applyFill="1" applyBorder="1"/>
    <xf numFmtId="0" fontId="9" fillId="12" borderId="11" xfId="0" applyFont="1" applyFill="1" applyBorder="1"/>
    <xf numFmtId="165" fontId="0" fillId="12" borderId="11" xfId="2" applyNumberFormat="1" applyFont="1" applyFill="1" applyBorder="1"/>
    <xf numFmtId="14" fontId="0" fillId="12" borderId="0" xfId="0" applyNumberFormat="1" applyFill="1"/>
    <xf numFmtId="16" fontId="0" fillId="12" borderId="0" xfId="0" applyNumberFormat="1" applyFill="1"/>
    <xf numFmtId="0" fontId="9" fillId="12" borderId="12" xfId="0" applyFont="1" applyFill="1" applyBorder="1"/>
    <xf numFmtId="165" fontId="0" fillId="12" borderId="13" xfId="2" applyNumberFormat="1" applyFont="1" applyFill="1" applyBorder="1"/>
    <xf numFmtId="0" fontId="16" fillId="12" borderId="10" xfId="0" applyFont="1" applyFill="1" applyBorder="1"/>
    <xf numFmtId="165" fontId="16" fillId="12" borderId="10" xfId="2" applyNumberFormat="1" applyFont="1" applyFill="1" applyBorder="1"/>
    <xf numFmtId="0" fontId="10" fillId="12" borderId="19" xfId="0" applyFont="1" applyFill="1" applyBorder="1"/>
    <xf numFmtId="165" fontId="10" fillId="12" borderId="19" xfId="2" applyNumberFormat="1" applyFont="1" applyFill="1" applyBorder="1"/>
    <xf numFmtId="165" fontId="0" fillId="12" borderId="0" xfId="2" applyNumberFormat="1" applyFont="1" applyFill="1"/>
    <xf numFmtId="164" fontId="0" fillId="12" borderId="0" xfId="0" applyNumberFormat="1" applyFill="1"/>
    <xf numFmtId="165" fontId="0" fillId="12" borderId="0" xfId="0" applyNumberFormat="1" applyFill="1"/>
    <xf numFmtId="165" fontId="15" fillId="11" borderId="10" xfId="2" applyNumberFormat="1" applyFont="1" applyFill="1" applyBorder="1"/>
    <xf numFmtId="166" fontId="0" fillId="4" borderId="0" xfId="2" applyNumberFormat="1" applyFont="1" applyFill="1"/>
    <xf numFmtId="0" fontId="10" fillId="9" borderId="10" xfId="0" applyFont="1" applyFill="1" applyBorder="1"/>
    <xf numFmtId="165" fontId="10" fillId="9" borderId="10" xfId="2" applyNumberFormat="1" applyFont="1" applyFill="1" applyBorder="1"/>
    <xf numFmtId="1" fontId="0" fillId="12" borderId="0" xfId="2" applyNumberFormat="1" applyFont="1" applyFill="1" applyBorder="1"/>
    <xf numFmtId="165" fontId="0" fillId="13" borderId="10" xfId="2" applyNumberFormat="1" applyFont="1" applyFill="1" applyBorder="1"/>
    <xf numFmtId="165" fontId="0" fillId="13" borderId="11" xfId="2" applyNumberFormat="1" applyFont="1" applyFill="1" applyBorder="1"/>
    <xf numFmtId="165" fontId="0" fillId="4" borderId="0" xfId="0" applyNumberFormat="1" applyFill="1"/>
    <xf numFmtId="44" fontId="0" fillId="0" borderId="0" xfId="0" applyNumberFormat="1"/>
    <xf numFmtId="16" fontId="9" fillId="12" borderId="10" xfId="0" applyNumberFormat="1" applyFont="1" applyFill="1" applyBorder="1"/>
    <xf numFmtId="0" fontId="10" fillId="14" borderId="19" xfId="0" applyFont="1" applyFill="1" applyBorder="1"/>
    <xf numFmtId="165" fontId="10" fillId="14" borderId="19" xfId="2" applyNumberFormat="1" applyFont="1" applyFill="1" applyBorder="1"/>
    <xf numFmtId="165" fontId="15" fillId="12" borderId="10" xfId="2" applyNumberFormat="1" applyFont="1" applyFill="1" applyBorder="1"/>
    <xf numFmtId="14" fontId="0" fillId="0" borderId="10" xfId="0" applyNumberFormat="1" applyBorder="1"/>
    <xf numFmtId="0" fontId="21" fillId="5" borderId="10" xfId="0" applyFont="1" applyFill="1" applyBorder="1" applyAlignment="1">
      <alignment horizontal="left" vertical="center"/>
    </xf>
    <xf numFmtId="164" fontId="21" fillId="5" borderId="10" xfId="1" applyNumberFormat="1" applyFont="1" applyFill="1" applyBorder="1" applyAlignment="1">
      <alignment horizontal="center" vertical="center"/>
    </xf>
    <xf numFmtId="0" fontId="9" fillId="12" borderId="19" xfId="0" applyFont="1" applyFill="1" applyBorder="1"/>
    <xf numFmtId="0" fontId="9" fillId="9" borderId="10" xfId="0" applyFont="1" applyFill="1" applyBorder="1"/>
    <xf numFmtId="165" fontId="15" fillId="9" borderId="10" xfId="2" applyNumberFormat="1" applyFont="1" applyFill="1" applyBorder="1"/>
    <xf numFmtId="165" fontId="0" fillId="15" borderId="0" xfId="2" applyNumberFormat="1" applyFont="1" applyFill="1"/>
    <xf numFmtId="165" fontId="15" fillId="12" borderId="11" xfId="2" applyNumberFormat="1" applyFont="1" applyFill="1" applyBorder="1"/>
    <xf numFmtId="165" fontId="0" fillId="16" borderId="10" xfId="2" applyNumberFormat="1" applyFont="1" applyFill="1" applyBorder="1"/>
    <xf numFmtId="165" fontId="0" fillId="16" borderId="13" xfId="2" applyNumberFormat="1" applyFont="1" applyFill="1" applyBorder="1"/>
    <xf numFmtId="165" fontId="0" fillId="9" borderId="10" xfId="2" applyNumberFormat="1" applyFont="1" applyFill="1" applyBorder="1"/>
    <xf numFmtId="165" fontId="10" fillId="17" borderId="10" xfId="2" applyNumberFormat="1" applyFont="1" applyFill="1" applyBorder="1"/>
    <xf numFmtId="0" fontId="9" fillId="14" borderId="10" xfId="0" applyFont="1" applyFill="1" applyBorder="1"/>
    <xf numFmtId="165" fontId="10" fillId="14" borderId="10" xfId="2" applyNumberFormat="1" applyFont="1" applyFill="1" applyBorder="1"/>
    <xf numFmtId="0" fontId="10" fillId="12" borderId="12" xfId="0" applyFont="1" applyFill="1" applyBorder="1"/>
    <xf numFmtId="165" fontId="10" fillId="12" borderId="13" xfId="2" applyNumberFormat="1" applyFont="1" applyFill="1" applyBorder="1"/>
    <xf numFmtId="0" fontId="10" fillId="4" borderId="10" xfId="0" applyFont="1" applyFill="1" applyBorder="1"/>
    <xf numFmtId="165" fontId="10" fillId="4" borderId="10" xfId="2" applyNumberFormat="1" applyFont="1" applyFill="1" applyBorder="1"/>
    <xf numFmtId="0" fontId="9" fillId="4" borderId="12" xfId="0" applyFont="1" applyFill="1" applyBorder="1"/>
    <xf numFmtId="165" fontId="0" fillId="4" borderId="13" xfId="2" applyNumberFormat="1" applyFont="1" applyFill="1" applyBorder="1"/>
    <xf numFmtId="0" fontId="10" fillId="4" borderId="12" xfId="0" applyFont="1" applyFill="1" applyBorder="1"/>
    <xf numFmtId="165" fontId="10" fillId="4" borderId="13" xfId="2" applyNumberFormat="1" applyFont="1" applyFill="1" applyBorder="1"/>
    <xf numFmtId="0" fontId="10" fillId="18" borderId="10" xfId="0" applyFont="1" applyFill="1" applyBorder="1"/>
    <xf numFmtId="0" fontId="10" fillId="11" borderId="10" xfId="0" applyFont="1" applyFill="1" applyBorder="1"/>
    <xf numFmtId="165" fontId="10" fillId="11" borderId="10" xfId="2" applyNumberFormat="1" applyFont="1" applyFill="1" applyBorder="1"/>
    <xf numFmtId="0" fontId="9" fillId="11" borderId="10" xfId="0" applyFont="1" applyFill="1" applyBorder="1"/>
    <xf numFmtId="0" fontId="10" fillId="19" borderId="10" xfId="0" applyFont="1" applyFill="1" applyBorder="1"/>
    <xf numFmtId="165" fontId="10" fillId="19" borderId="10" xfId="2" applyNumberFormat="1" applyFont="1" applyFill="1" applyBorder="1"/>
    <xf numFmtId="0" fontId="10" fillId="9" borderId="11" xfId="0" applyFont="1" applyFill="1" applyBorder="1"/>
    <xf numFmtId="0" fontId="10" fillId="9" borderId="19" xfId="0" applyFont="1" applyFill="1" applyBorder="1"/>
    <xf numFmtId="165" fontId="10" fillId="20" borderId="10" xfId="2" applyNumberFormat="1" applyFont="1" applyFill="1" applyBorder="1"/>
    <xf numFmtId="0" fontId="10" fillId="20" borderId="10" xfId="0" applyFont="1" applyFill="1" applyBorder="1"/>
    <xf numFmtId="0" fontId="9" fillId="20" borderId="10" xfId="0" applyFont="1" applyFill="1" applyBorder="1"/>
    <xf numFmtId="165" fontId="15" fillId="20" borderId="10" xfId="2" applyNumberFormat="1" applyFont="1" applyFill="1" applyBorder="1"/>
    <xf numFmtId="0" fontId="10" fillId="18" borderId="19" xfId="0" applyFont="1" applyFill="1" applyBorder="1"/>
    <xf numFmtId="165" fontId="10" fillId="18" borderId="19" xfId="2" applyNumberFormat="1" applyFont="1" applyFill="1" applyBorder="1"/>
    <xf numFmtId="165" fontId="0" fillId="20" borderId="10" xfId="2" applyNumberFormat="1" applyFont="1" applyFill="1" applyBorder="1"/>
    <xf numFmtId="0" fontId="9" fillId="16" borderId="10" xfId="0" applyFont="1" applyFill="1" applyBorder="1"/>
    <xf numFmtId="0" fontId="0" fillId="16" borderId="0" xfId="0" applyFill="1"/>
    <xf numFmtId="0" fontId="10" fillId="16" borderId="19" xfId="0" applyFont="1" applyFill="1" applyBorder="1"/>
    <xf numFmtId="0" fontId="10" fillId="17" borderId="10" xfId="0" applyFont="1" applyFill="1" applyBorder="1"/>
    <xf numFmtId="0" fontId="10" fillId="14" borderId="10" xfId="0" applyFont="1" applyFill="1" applyBorder="1"/>
    <xf numFmtId="0" fontId="9" fillId="13" borderId="10" xfId="0" applyFont="1" applyFill="1" applyBorder="1"/>
    <xf numFmtId="165" fontId="15" fillId="13" borderId="10" xfId="2" applyNumberFormat="1" applyFont="1" applyFill="1" applyBorder="1"/>
    <xf numFmtId="0" fontId="10" fillId="12" borderId="11" xfId="0" applyFont="1" applyFill="1" applyBorder="1"/>
    <xf numFmtId="164" fontId="7" fillId="8" borderId="15" xfId="2" applyNumberFormat="1" applyFont="1" applyFill="1" applyBorder="1"/>
    <xf numFmtId="165" fontId="0" fillId="19" borderId="0" xfId="0" applyNumberFormat="1" applyFill="1"/>
    <xf numFmtId="16" fontId="0" fillId="12" borderId="20" xfId="0" applyNumberFormat="1" applyFill="1" applyBorder="1"/>
    <xf numFmtId="14" fontId="0" fillId="12" borderId="20" xfId="0" applyNumberFormat="1" applyFill="1" applyBorder="1"/>
    <xf numFmtId="0" fontId="9" fillId="20" borderId="5" xfId="0" applyFont="1" applyFill="1" applyBorder="1"/>
    <xf numFmtId="165" fontId="0" fillId="20" borderId="6" xfId="2" applyNumberFormat="1" applyFont="1" applyFill="1" applyBorder="1"/>
    <xf numFmtId="0" fontId="9" fillId="12" borderId="5" xfId="0" applyFont="1" applyFill="1" applyBorder="1"/>
    <xf numFmtId="165" fontId="15" fillId="12" borderId="6" xfId="2" applyNumberFormat="1" applyFont="1" applyFill="1" applyBorder="1"/>
    <xf numFmtId="165" fontId="0" fillId="12" borderId="6" xfId="2" applyNumberFormat="1" applyFont="1" applyFill="1" applyBorder="1"/>
    <xf numFmtId="165" fontId="0" fillId="4" borderId="6" xfId="2" applyNumberFormat="1" applyFont="1" applyFill="1" applyBorder="1"/>
    <xf numFmtId="0" fontId="10" fillId="12" borderId="5" xfId="0" applyFont="1" applyFill="1" applyBorder="1"/>
    <xf numFmtId="165" fontId="10" fillId="12" borderId="6" xfId="2" applyNumberFormat="1" applyFont="1" applyFill="1" applyBorder="1"/>
    <xf numFmtId="0" fontId="10" fillId="3" borderId="5" xfId="0" applyFont="1" applyFill="1" applyBorder="1"/>
    <xf numFmtId="165" fontId="10" fillId="3" borderId="6" xfId="2" applyNumberFormat="1" applyFont="1" applyFill="1" applyBorder="1"/>
    <xf numFmtId="0" fontId="9" fillId="20" borderId="21" xfId="0" applyFont="1" applyFill="1" applyBorder="1"/>
    <xf numFmtId="165" fontId="0" fillId="20" borderId="22" xfId="2" applyNumberFormat="1" applyFont="1" applyFill="1" applyBorder="1"/>
    <xf numFmtId="0" fontId="9" fillId="12" borderId="21" xfId="0" applyFont="1" applyFill="1" applyBorder="1"/>
    <xf numFmtId="165" fontId="0" fillId="12" borderId="22" xfId="2" applyNumberFormat="1" applyFont="1" applyFill="1" applyBorder="1"/>
    <xf numFmtId="0" fontId="0" fillId="0" borderId="23" xfId="0" applyBorder="1"/>
    <xf numFmtId="14" fontId="14" fillId="5" borderId="5" xfId="0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vertical="center"/>
    </xf>
    <xf numFmtId="0" fontId="0" fillId="0" borderId="5" xfId="0" applyBorder="1"/>
    <xf numFmtId="14" fontId="0" fillId="12" borderId="5" xfId="0" applyNumberFormat="1" applyFill="1" applyBorder="1"/>
    <xf numFmtId="165" fontId="10" fillId="9" borderId="6" xfId="2" applyNumberFormat="1" applyFont="1" applyFill="1" applyBorder="1"/>
    <xf numFmtId="16" fontId="0" fillId="12" borderId="5" xfId="0" applyNumberFormat="1" applyFill="1" applyBorder="1"/>
    <xf numFmtId="165" fontId="10" fillId="14" borderId="6" xfId="2" applyNumberFormat="1" applyFont="1" applyFill="1" applyBorder="1"/>
    <xf numFmtId="165" fontId="10" fillId="18" borderId="6" xfId="2" applyNumberFormat="1" applyFont="1" applyFill="1" applyBorder="1"/>
    <xf numFmtId="165" fontId="16" fillId="12" borderId="6" xfId="2" applyNumberFormat="1" applyFont="1" applyFill="1" applyBorder="1"/>
    <xf numFmtId="165" fontId="0" fillId="16" borderId="6" xfId="2" applyNumberFormat="1" applyFont="1" applyFill="1" applyBorder="1"/>
    <xf numFmtId="165" fontId="10" fillId="12" borderId="26" xfId="2" applyNumberFormat="1" applyFont="1" applyFill="1" applyBorder="1"/>
    <xf numFmtId="165" fontId="10" fillId="9" borderId="26" xfId="2" applyNumberFormat="1" applyFont="1" applyFill="1" applyBorder="1"/>
    <xf numFmtId="165" fontId="10" fillId="4" borderId="26" xfId="2" applyNumberFormat="1" applyFont="1" applyFill="1" applyBorder="1"/>
    <xf numFmtId="165" fontId="10" fillId="19" borderId="6" xfId="2" applyNumberFormat="1" applyFont="1" applyFill="1" applyBorder="1"/>
    <xf numFmtId="165" fontId="10" fillId="16" borderId="26" xfId="2" applyNumberFormat="1" applyFont="1" applyFill="1" applyBorder="1"/>
    <xf numFmtId="164" fontId="12" fillId="8" borderId="6" xfId="2" applyNumberFormat="1" applyFont="1" applyFill="1" applyBorder="1"/>
    <xf numFmtId="0" fontId="0" fillId="0" borderId="27" xfId="0" applyBorder="1"/>
    <xf numFmtId="0" fontId="17" fillId="9" borderId="28" xfId="0" applyFont="1" applyFill="1" applyBorder="1" applyAlignment="1">
      <alignment horizontal="left"/>
    </xf>
    <xf numFmtId="164" fontId="18" fillId="9" borderId="29" xfId="0" applyNumberFormat="1" applyFont="1" applyFill="1" applyBorder="1"/>
    <xf numFmtId="0" fontId="10" fillId="2" borderId="10" xfId="0" applyFont="1" applyFill="1" applyBorder="1"/>
    <xf numFmtId="165" fontId="0" fillId="2" borderId="10" xfId="2" applyNumberFormat="1" applyFont="1" applyFill="1" applyBorder="1"/>
    <xf numFmtId="165" fontId="10" fillId="2" borderId="10" xfId="2" applyNumberFormat="1" applyFont="1" applyFill="1" applyBorder="1"/>
    <xf numFmtId="0" fontId="22" fillId="12" borderId="19" xfId="0" applyFont="1" applyFill="1" applyBorder="1"/>
    <xf numFmtId="0" fontId="22" fillId="12" borderId="10" xfId="0" applyFont="1" applyFill="1" applyBorder="1"/>
    <xf numFmtId="0" fontId="23" fillId="12" borderId="10" xfId="0" applyFont="1" applyFill="1" applyBorder="1"/>
    <xf numFmtId="165" fontId="0" fillId="4" borderId="10" xfId="2" applyNumberFormat="1" applyFont="1" applyFill="1" applyBorder="1"/>
    <xf numFmtId="165" fontId="10" fillId="18" borderId="10" xfId="2" applyNumberFormat="1" applyFont="1" applyFill="1" applyBorder="1"/>
    <xf numFmtId="0" fontId="10" fillId="13" borderId="10" xfId="0" applyFont="1" applyFill="1" applyBorder="1"/>
    <xf numFmtId="165" fontId="10" fillId="13" borderId="10" xfId="2" applyNumberFormat="1" applyFont="1" applyFill="1" applyBorder="1"/>
    <xf numFmtId="165" fontId="10" fillId="12" borderId="22" xfId="2" applyNumberFormat="1" applyFont="1" applyFill="1" applyBorder="1"/>
    <xf numFmtId="0" fontId="24" fillId="12" borderId="12" xfId="0" applyFont="1" applyFill="1" applyBorder="1"/>
    <xf numFmtId="16" fontId="4" fillId="12" borderId="17" xfId="0" applyNumberFormat="1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165" fontId="25" fillId="12" borderId="17" xfId="2" applyNumberFormat="1" applyFont="1" applyFill="1" applyBorder="1" applyAlignment="1">
      <alignment horizontal="center" vertical="center"/>
    </xf>
    <xf numFmtId="0" fontId="9" fillId="4" borderId="10" xfId="0" applyFont="1" applyFill="1" applyBorder="1"/>
    <xf numFmtId="14" fontId="0" fillId="12" borderId="32" xfId="0" applyNumberFormat="1" applyFill="1" applyBorder="1"/>
    <xf numFmtId="0" fontId="22" fillId="14" borderId="19" xfId="0" applyFont="1" applyFill="1" applyBorder="1"/>
    <xf numFmtId="165" fontId="10" fillId="14" borderId="33" xfId="2" applyNumberFormat="1" applyFont="1" applyFill="1" applyBorder="1"/>
    <xf numFmtId="0" fontId="10" fillId="15" borderId="10" xfId="0" applyFont="1" applyFill="1" applyBorder="1"/>
    <xf numFmtId="165" fontId="10" fillId="15" borderId="10" xfId="2" applyNumberFormat="1" applyFont="1" applyFill="1" applyBorder="1"/>
    <xf numFmtId="0" fontId="0" fillId="15" borderId="0" xfId="0" applyFill="1"/>
    <xf numFmtId="16" fontId="0" fillId="0" borderId="0" xfId="0" applyNumberFormat="1"/>
    <xf numFmtId="0" fontId="10" fillId="22" borderId="10" xfId="0" applyFont="1" applyFill="1" applyBorder="1"/>
    <xf numFmtId="165" fontId="10" fillId="22" borderId="10" xfId="2" applyNumberFormat="1" applyFont="1" applyFill="1" applyBorder="1"/>
    <xf numFmtId="0" fontId="10" fillId="23" borderId="10" xfId="0" applyFont="1" applyFill="1" applyBorder="1"/>
    <xf numFmtId="165" fontId="10" fillId="23" borderId="10" xfId="2" applyNumberFormat="1" applyFont="1" applyFill="1" applyBorder="1"/>
    <xf numFmtId="165" fontId="18" fillId="0" borderId="0" xfId="2" applyNumberFormat="1" applyFont="1"/>
    <xf numFmtId="0" fontId="26" fillId="12" borderId="10" xfId="0" applyFont="1" applyFill="1" applyBorder="1"/>
    <xf numFmtId="165" fontId="10" fillId="9" borderId="19" xfId="2" applyNumberFormat="1" applyFont="1" applyFill="1" applyBorder="1"/>
    <xf numFmtId="16" fontId="0" fillId="0" borderId="1" xfId="0" applyNumberFormat="1" applyBorder="1"/>
    <xf numFmtId="165" fontId="10" fillId="12" borderId="0" xfId="2" applyNumberFormat="1" applyFont="1" applyFill="1" applyBorder="1"/>
    <xf numFmtId="16" fontId="0" fillId="0" borderId="30" xfId="0" applyNumberFormat="1" applyBorder="1"/>
    <xf numFmtId="0" fontId="11" fillId="8" borderId="21" xfId="0" applyFont="1" applyFill="1" applyBorder="1" applyAlignment="1">
      <alignment horizontal="center" wrapText="1"/>
    </xf>
    <xf numFmtId="16" fontId="0" fillId="0" borderId="16" xfId="0" applyNumberFormat="1" applyBorder="1"/>
    <xf numFmtId="0" fontId="10" fillId="12" borderId="0" xfId="0" applyFont="1" applyFill="1"/>
    <xf numFmtId="165" fontId="0" fillId="14" borderId="10" xfId="2" applyNumberFormat="1" applyFont="1" applyFill="1" applyBorder="1"/>
    <xf numFmtId="0" fontId="0" fillId="18" borderId="0" xfId="0" applyFill="1"/>
    <xf numFmtId="0" fontId="9" fillId="18" borderId="10" xfId="0" applyFont="1" applyFill="1" applyBorder="1"/>
    <xf numFmtId="165" fontId="0" fillId="18" borderId="10" xfId="2" applyNumberFormat="1" applyFont="1" applyFill="1" applyBorder="1"/>
    <xf numFmtId="14" fontId="0" fillId="18" borderId="10" xfId="0" applyNumberFormat="1" applyFill="1" applyBorder="1"/>
    <xf numFmtId="0" fontId="27" fillId="18" borderId="32" xfId="0" applyFont="1" applyFill="1" applyBorder="1" applyAlignment="1">
      <alignment horizontal="center" wrapText="1"/>
    </xf>
    <xf numFmtId="164" fontId="27" fillId="18" borderId="20" xfId="0" applyNumberFormat="1" applyFont="1" applyFill="1" applyBorder="1"/>
    <xf numFmtId="0" fontId="27" fillId="18" borderId="34" xfId="0" applyFont="1" applyFill="1" applyBorder="1"/>
    <xf numFmtId="16" fontId="0" fillId="0" borderId="17" xfId="0" applyNumberFormat="1" applyBorder="1"/>
    <xf numFmtId="0" fontId="18" fillId="0" borderId="0" xfId="0" applyFont="1"/>
    <xf numFmtId="0" fontId="26" fillId="12" borderId="19" xfId="0" applyFont="1" applyFill="1" applyBorder="1"/>
    <xf numFmtId="165" fontId="26" fillId="12" borderId="19" xfId="2" applyNumberFormat="1" applyFont="1" applyFill="1" applyBorder="1"/>
    <xf numFmtId="0" fontId="10" fillId="24" borderId="19" xfId="0" applyFont="1" applyFill="1" applyBorder="1"/>
    <xf numFmtId="165" fontId="10" fillId="24" borderId="19" xfId="2" applyNumberFormat="1" applyFont="1" applyFill="1" applyBorder="1"/>
    <xf numFmtId="0" fontId="0" fillId="24" borderId="0" xfId="0" applyFill="1"/>
    <xf numFmtId="0" fontId="0" fillId="14" borderId="0" xfId="0" applyFill="1"/>
    <xf numFmtId="0" fontId="9" fillId="14" borderId="11" xfId="0" applyFont="1" applyFill="1" applyBorder="1"/>
    <xf numFmtId="165" fontId="0" fillId="14" borderId="11" xfId="2" applyNumberFormat="1" applyFont="1" applyFill="1" applyBorder="1"/>
    <xf numFmtId="0" fontId="28" fillId="12" borderId="10" xfId="0" applyFont="1" applyFill="1" applyBorder="1"/>
    <xf numFmtId="0" fontId="0" fillId="4" borderId="0" xfId="0" applyFill="1"/>
    <xf numFmtId="165" fontId="0" fillId="4" borderId="0" xfId="2" applyNumberFormat="1" applyFont="1" applyFill="1"/>
    <xf numFmtId="0" fontId="10" fillId="17" borderId="12" xfId="0" applyFont="1" applyFill="1" applyBorder="1"/>
    <xf numFmtId="165" fontId="10" fillId="17" borderId="13" xfId="2" applyNumberFormat="1" applyFont="1" applyFill="1" applyBorder="1"/>
    <xf numFmtId="44" fontId="0" fillId="0" borderId="0" xfId="2" applyFont="1"/>
    <xf numFmtId="0" fontId="9" fillId="21" borderId="10" xfId="0" applyFont="1" applyFill="1" applyBorder="1"/>
    <xf numFmtId="165" fontId="0" fillId="21" borderId="10" xfId="2" applyNumberFormat="1" applyFont="1" applyFill="1" applyBorder="1"/>
    <xf numFmtId="0" fontId="9" fillId="2" borderId="10" xfId="0" applyFont="1" applyFill="1" applyBorder="1"/>
    <xf numFmtId="0" fontId="10" fillId="16" borderId="10" xfId="0" applyFont="1" applyFill="1" applyBorder="1"/>
    <xf numFmtId="165" fontId="10" fillId="16" borderId="10" xfId="2" applyNumberFormat="1" applyFont="1" applyFill="1" applyBorder="1"/>
    <xf numFmtId="165" fontId="10" fillId="14" borderId="26" xfId="2" applyNumberFormat="1" applyFont="1" applyFill="1" applyBorder="1"/>
    <xf numFmtId="0" fontId="10" fillId="25" borderId="19" xfId="0" applyFont="1" applyFill="1" applyBorder="1"/>
    <xf numFmtId="165" fontId="10" fillId="25" borderId="19" xfId="2" applyNumberFormat="1" applyFont="1" applyFill="1" applyBorder="1"/>
    <xf numFmtId="0" fontId="9" fillId="26" borderId="10" xfId="0" applyFont="1" applyFill="1" applyBorder="1"/>
    <xf numFmtId="165" fontId="0" fillId="26" borderId="10" xfId="2" applyNumberFormat="1" applyFont="1" applyFill="1" applyBorder="1"/>
    <xf numFmtId="0" fontId="0" fillId="26" borderId="0" xfId="0" applyFill="1"/>
    <xf numFmtId="165" fontId="0" fillId="26" borderId="0" xfId="2" applyNumberFormat="1" applyFont="1" applyFill="1"/>
    <xf numFmtId="14" fontId="0" fillId="27" borderId="10" xfId="0" applyNumberFormat="1" applyFill="1" applyBorder="1"/>
    <xf numFmtId="0" fontId="10" fillId="27" borderId="10" xfId="0" applyFont="1" applyFill="1" applyBorder="1"/>
    <xf numFmtId="165" fontId="10" fillId="27" borderId="10" xfId="2" applyNumberFormat="1" applyFont="1" applyFill="1" applyBorder="1"/>
    <xf numFmtId="0" fontId="22" fillId="27" borderId="19" xfId="0" applyFont="1" applyFill="1" applyBorder="1"/>
    <xf numFmtId="165" fontId="10" fillId="27" borderId="19" xfId="2" applyNumberFormat="1" applyFont="1" applyFill="1" applyBorder="1"/>
    <xf numFmtId="0" fontId="9" fillId="27" borderId="10" xfId="0" applyFont="1" applyFill="1" applyBorder="1"/>
    <xf numFmtId="165" fontId="0" fillId="27" borderId="10" xfId="2" applyNumberFormat="1" applyFont="1" applyFill="1" applyBorder="1"/>
    <xf numFmtId="16" fontId="0" fillId="27" borderId="0" xfId="0" applyNumberFormat="1" applyFill="1"/>
    <xf numFmtId="0" fontId="0" fillId="27" borderId="0" xfId="0" applyFill="1"/>
    <xf numFmtId="165" fontId="0" fillId="27" borderId="0" xfId="2" applyNumberFormat="1" applyFont="1" applyFill="1"/>
    <xf numFmtId="0" fontId="10" fillId="28" borderId="10" xfId="0" applyFont="1" applyFill="1" applyBorder="1"/>
    <xf numFmtId="165" fontId="10" fillId="28" borderId="10" xfId="2" applyNumberFormat="1" applyFont="1" applyFill="1" applyBorder="1"/>
    <xf numFmtId="0" fontId="10" fillId="26" borderId="12" xfId="0" applyFont="1" applyFill="1" applyBorder="1"/>
    <xf numFmtId="165" fontId="10" fillId="26" borderId="13" xfId="2" applyNumberFormat="1" applyFont="1" applyFill="1" applyBorder="1"/>
    <xf numFmtId="0" fontId="10" fillId="26" borderId="10" xfId="0" applyFont="1" applyFill="1" applyBorder="1"/>
    <xf numFmtId="165" fontId="10" fillId="26" borderId="10" xfId="2" applyNumberFormat="1" applyFont="1" applyFill="1" applyBorder="1"/>
    <xf numFmtId="165" fontId="0" fillId="18" borderId="0" xfId="2" applyNumberFormat="1" applyFont="1" applyFill="1"/>
    <xf numFmtId="164" fontId="0" fillId="18" borderId="0" xfId="0" applyNumberFormat="1" applyFill="1"/>
    <xf numFmtId="0" fontId="9" fillId="12" borderId="19" xfId="0" applyFont="1" applyFill="1" applyBorder="1" applyAlignment="1">
      <alignment horizontal="center"/>
    </xf>
    <xf numFmtId="0" fontId="8" fillId="12" borderId="36" xfId="0" applyFont="1" applyFill="1" applyBorder="1" applyAlignment="1">
      <alignment horizontal="center" vertical="center"/>
    </xf>
    <xf numFmtId="16" fontId="8" fillId="12" borderId="35" xfId="0" applyNumberFormat="1" applyFont="1" applyFill="1" applyBorder="1" applyAlignment="1">
      <alignment horizontal="center" vertical="center"/>
    </xf>
    <xf numFmtId="165" fontId="8" fillId="12" borderId="37" xfId="2" applyNumberFormat="1" applyFont="1" applyFill="1" applyBorder="1" applyAlignment="1">
      <alignment horizontal="center" vertical="center"/>
    </xf>
    <xf numFmtId="164" fontId="0" fillId="12" borderId="0" xfId="2" applyNumberFormat="1" applyFont="1" applyFill="1"/>
    <xf numFmtId="164" fontId="2" fillId="12" borderId="0" xfId="0" applyNumberFormat="1" applyFont="1" applyFill="1"/>
    <xf numFmtId="166" fontId="0" fillId="12" borderId="0" xfId="2" applyNumberFormat="1" applyFont="1" applyFill="1"/>
    <xf numFmtId="44" fontId="0" fillId="12" borderId="0" xfId="0" applyNumberFormat="1" applyFill="1"/>
    <xf numFmtId="1" fontId="0" fillId="12" borderId="0" xfId="2" quotePrefix="1" applyNumberFormat="1" applyFont="1" applyFill="1" applyBorder="1"/>
    <xf numFmtId="0" fontId="10" fillId="14" borderId="12" xfId="0" applyFont="1" applyFill="1" applyBorder="1"/>
    <xf numFmtId="165" fontId="10" fillId="14" borderId="13" xfId="2" applyNumberFormat="1" applyFont="1" applyFill="1" applyBorder="1"/>
    <xf numFmtId="0" fontId="10" fillId="4" borderId="19" xfId="0" applyFont="1" applyFill="1" applyBorder="1"/>
    <xf numFmtId="165" fontId="10" fillId="4" borderId="19" xfId="2" applyNumberFormat="1" applyFont="1" applyFill="1" applyBorder="1"/>
    <xf numFmtId="0" fontId="9" fillId="29" borderId="10" xfId="0" applyFont="1" applyFill="1" applyBorder="1"/>
    <xf numFmtId="165" fontId="15" fillId="29" borderId="6" xfId="2" applyNumberFormat="1" applyFont="1" applyFill="1" applyBorder="1"/>
    <xf numFmtId="165" fontId="0" fillId="29" borderId="0" xfId="2" applyNumberFormat="1" applyFont="1" applyFill="1"/>
    <xf numFmtId="0" fontId="9" fillId="20" borderId="12" xfId="0" applyFont="1" applyFill="1" applyBorder="1"/>
    <xf numFmtId="165" fontId="0" fillId="20" borderId="13" xfId="2" applyNumberFormat="1" applyFont="1" applyFill="1" applyBorder="1"/>
    <xf numFmtId="0" fontId="0" fillId="20" borderId="0" xfId="0" applyFill="1"/>
    <xf numFmtId="167" fontId="0" fillId="0" borderId="0" xfId="2" applyNumberFormat="1" applyFont="1"/>
    <xf numFmtId="165" fontId="0" fillId="14" borderId="0" xfId="2" applyNumberFormat="1" applyFont="1" applyFill="1"/>
    <xf numFmtId="0" fontId="30" fillId="4" borderId="10" xfId="0" applyFont="1" applyFill="1" applyBorder="1"/>
    <xf numFmtId="0" fontId="29" fillId="4" borderId="0" xfId="0" applyFont="1" applyFill="1"/>
    <xf numFmtId="0" fontId="9" fillId="0" borderId="10" xfId="0" applyFont="1" applyBorder="1"/>
    <xf numFmtId="165" fontId="10" fillId="0" borderId="10" xfId="2" applyNumberFormat="1" applyFont="1" applyFill="1" applyBorder="1"/>
    <xf numFmtId="165" fontId="0" fillId="0" borderId="10" xfId="2" applyNumberFormat="1" applyFont="1" applyFill="1" applyBorder="1"/>
    <xf numFmtId="0" fontId="10" fillId="0" borderId="19" xfId="0" applyFont="1" applyBorder="1"/>
    <xf numFmtId="165" fontId="10" fillId="0" borderId="19" xfId="2" applyNumberFormat="1" applyFont="1" applyFill="1" applyBorder="1"/>
    <xf numFmtId="0" fontId="10" fillId="0" borderId="10" xfId="0" applyFont="1" applyBorder="1"/>
    <xf numFmtId="0" fontId="28" fillId="0" borderId="10" xfId="0" applyFont="1" applyBorder="1"/>
    <xf numFmtId="0" fontId="10" fillId="0" borderId="12" xfId="0" applyFont="1" applyBorder="1"/>
    <xf numFmtId="165" fontId="10" fillId="0" borderId="13" xfId="2" applyNumberFormat="1" applyFont="1" applyFill="1" applyBorder="1"/>
    <xf numFmtId="14" fontId="0" fillId="0" borderId="0" xfId="0" applyNumberFormat="1"/>
    <xf numFmtId="0" fontId="9" fillId="0" borderId="12" xfId="0" applyFont="1" applyBorder="1"/>
    <xf numFmtId="165" fontId="10" fillId="0" borderId="11" xfId="2" applyNumberFormat="1" applyFont="1" applyFill="1" applyBorder="1"/>
    <xf numFmtId="0" fontId="9" fillId="0" borderId="11" xfId="0" applyFont="1" applyBorder="1"/>
    <xf numFmtId="0" fontId="9" fillId="12" borderId="31" xfId="0" applyFont="1" applyFill="1" applyBorder="1" applyAlignment="1">
      <alignment horizontal="center"/>
    </xf>
    <xf numFmtId="0" fontId="9" fillId="12" borderId="19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165" fontId="10" fillId="12" borderId="31" xfId="2" applyNumberFormat="1" applyFont="1" applyFill="1" applyBorder="1" applyAlignment="1">
      <alignment horizontal="center" vertical="center"/>
    </xf>
    <xf numFmtId="165" fontId="10" fillId="12" borderId="19" xfId="2" applyNumberFormat="1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13" fillId="9" borderId="17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/>
    </xf>
    <xf numFmtId="0" fontId="9" fillId="9" borderId="19" xfId="0" applyFont="1" applyFill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4553-9428-4F84-8B2B-39755FEC8687}">
  <sheetPr>
    <pageSetUpPr fitToPage="1"/>
  </sheetPr>
  <dimension ref="A1:J128"/>
  <sheetViews>
    <sheetView topLeftCell="A75" workbookViewId="0">
      <selection activeCell="B75" sqref="B75"/>
    </sheetView>
  </sheetViews>
  <sheetFormatPr baseColWidth="10" defaultRowHeight="15" x14ac:dyDescent="0.25"/>
  <cols>
    <col min="2" max="2" width="78.7109375" bestFit="1" customWidth="1"/>
    <col min="3" max="3" width="18.140625" bestFit="1" customWidth="1"/>
    <col min="4" max="4" width="28.42578125" bestFit="1" customWidth="1"/>
    <col min="5" max="5" width="21.42578125" customWidth="1"/>
    <col min="6" max="6" width="16.85546875" customWidth="1"/>
    <col min="7" max="7" width="23" bestFit="1" customWidth="1"/>
    <col min="8" max="8" width="13" bestFit="1" customWidth="1"/>
    <col min="9" max="9" width="19.7109375" customWidth="1"/>
  </cols>
  <sheetData>
    <row r="1" spans="1:4" ht="26.25" x14ac:dyDescent="0.25">
      <c r="A1" s="1"/>
      <c r="B1" s="2" t="s">
        <v>0</v>
      </c>
      <c r="C1" s="3"/>
    </row>
    <row r="2" spans="1:4" ht="24" x14ac:dyDescent="0.4">
      <c r="A2" s="4"/>
      <c r="B2" s="5" t="s">
        <v>15</v>
      </c>
      <c r="C2" s="6"/>
    </row>
    <row r="3" spans="1:4" ht="23.25" x14ac:dyDescent="0.35">
      <c r="A3" s="7"/>
      <c r="B3" s="8" t="s">
        <v>1</v>
      </c>
      <c r="C3" s="9">
        <v>0</v>
      </c>
    </row>
    <row r="4" spans="1:4" ht="15.75" x14ac:dyDescent="0.25">
      <c r="A4" s="10" t="s">
        <v>2</v>
      </c>
      <c r="B4" s="11" t="s">
        <v>3</v>
      </c>
      <c r="C4" s="12" t="s">
        <v>4</v>
      </c>
    </row>
    <row r="5" spans="1:4" x14ac:dyDescent="0.25">
      <c r="A5" s="35">
        <v>46029</v>
      </c>
      <c r="B5" s="36" t="s">
        <v>21</v>
      </c>
      <c r="C5" s="37">
        <v>400000</v>
      </c>
      <c r="D5" s="38"/>
    </row>
    <row r="6" spans="1:4" x14ac:dyDescent="0.25">
      <c r="A6" s="35"/>
      <c r="B6" s="36" t="s">
        <v>85</v>
      </c>
      <c r="C6" s="37">
        <v>208000</v>
      </c>
      <c r="D6" s="38"/>
    </row>
    <row r="7" spans="1:4" x14ac:dyDescent="0.25">
      <c r="A7" s="39"/>
      <c r="B7" s="36" t="s">
        <v>22</v>
      </c>
      <c r="C7" s="37">
        <v>5000</v>
      </c>
      <c r="D7" s="38"/>
    </row>
    <row r="8" spans="1:4" x14ac:dyDescent="0.25">
      <c r="A8" s="35"/>
      <c r="B8" s="36" t="s">
        <v>30</v>
      </c>
      <c r="C8" s="37">
        <v>111500</v>
      </c>
      <c r="D8" s="38"/>
    </row>
    <row r="9" spans="1:4" x14ac:dyDescent="0.25">
      <c r="A9" s="40"/>
      <c r="B9" s="41" t="s">
        <v>26</v>
      </c>
      <c r="C9" s="42">
        <v>400000</v>
      </c>
      <c r="D9" s="38" t="s">
        <v>25</v>
      </c>
    </row>
    <row r="10" spans="1:4" x14ac:dyDescent="0.25">
      <c r="A10" s="35">
        <v>46036</v>
      </c>
      <c r="B10" s="85" t="s">
        <v>52</v>
      </c>
      <c r="C10" s="86">
        <v>104250</v>
      </c>
      <c r="D10" s="38"/>
    </row>
    <row r="11" spans="1:4" x14ac:dyDescent="0.25">
      <c r="A11" s="39"/>
      <c r="B11" s="41" t="s">
        <v>27</v>
      </c>
      <c r="C11" s="42">
        <v>200000</v>
      </c>
      <c r="D11" s="38"/>
    </row>
    <row r="12" spans="1:4" x14ac:dyDescent="0.25">
      <c r="A12" s="35"/>
      <c r="B12" s="36" t="s">
        <v>86</v>
      </c>
      <c r="C12" s="37">
        <v>400000</v>
      </c>
      <c r="D12" s="38" t="s">
        <v>5</v>
      </c>
    </row>
    <row r="13" spans="1:4" x14ac:dyDescent="0.25">
      <c r="A13" s="35">
        <v>46037</v>
      </c>
      <c r="B13" s="41" t="s">
        <v>31</v>
      </c>
      <c r="C13" s="42">
        <v>957000</v>
      </c>
      <c r="D13" s="38"/>
    </row>
    <row r="14" spans="1:4" x14ac:dyDescent="0.25">
      <c r="A14" s="39"/>
      <c r="B14" s="41" t="s">
        <v>32</v>
      </c>
      <c r="C14" s="42">
        <v>300000</v>
      </c>
      <c r="D14" s="38" t="s">
        <v>5</v>
      </c>
    </row>
    <row r="15" spans="1:4" x14ac:dyDescent="0.25">
      <c r="A15" s="39">
        <v>46039</v>
      </c>
      <c r="B15" s="36" t="s">
        <v>37</v>
      </c>
      <c r="C15" s="61">
        <v>800000</v>
      </c>
      <c r="D15" s="38" t="s">
        <v>6</v>
      </c>
    </row>
    <row r="16" spans="1:4" x14ac:dyDescent="0.25">
      <c r="A16" s="39">
        <v>46041</v>
      </c>
      <c r="B16" s="43" t="s">
        <v>66</v>
      </c>
      <c r="C16" s="62">
        <v>2745000</v>
      </c>
      <c r="D16" s="38" t="s">
        <v>67</v>
      </c>
    </row>
    <row r="17" spans="1:6" x14ac:dyDescent="0.25">
      <c r="B17" s="43" t="s">
        <v>42</v>
      </c>
      <c r="C17" s="62">
        <v>72000</v>
      </c>
      <c r="D17" s="38" t="s">
        <v>6</v>
      </c>
      <c r="E17" t="s">
        <v>57</v>
      </c>
      <c r="F17" s="23">
        <v>200000</v>
      </c>
    </row>
    <row r="18" spans="1:6" x14ac:dyDescent="0.25">
      <c r="A18" s="39">
        <v>46042</v>
      </c>
      <c r="B18" s="36" t="s">
        <v>125</v>
      </c>
      <c r="C18" s="37">
        <v>200000</v>
      </c>
      <c r="D18" s="38" t="s">
        <v>5</v>
      </c>
    </row>
    <row r="19" spans="1:6" x14ac:dyDescent="0.25">
      <c r="A19" s="39">
        <v>46043</v>
      </c>
      <c r="B19" s="36" t="s">
        <v>54</v>
      </c>
      <c r="C19" s="77">
        <v>300000</v>
      </c>
      <c r="D19" s="38"/>
    </row>
    <row r="20" spans="1:6" x14ac:dyDescent="0.25">
      <c r="A20" s="45"/>
      <c r="B20" s="43" t="s">
        <v>55</v>
      </c>
      <c r="C20" s="44">
        <v>50000</v>
      </c>
      <c r="D20" s="38"/>
    </row>
    <row r="21" spans="1:6" x14ac:dyDescent="0.25">
      <c r="A21" s="39"/>
      <c r="B21" s="36" t="s">
        <v>56</v>
      </c>
      <c r="C21" s="37">
        <v>30000</v>
      </c>
      <c r="D21" s="38"/>
    </row>
    <row r="22" spans="1:6" x14ac:dyDescent="0.25">
      <c r="A22" s="39">
        <v>46044</v>
      </c>
      <c r="B22" s="36" t="s">
        <v>69</v>
      </c>
      <c r="C22" s="37">
        <v>264500</v>
      </c>
      <c r="D22" s="38" t="s">
        <v>67</v>
      </c>
    </row>
    <row r="23" spans="1:6" x14ac:dyDescent="0.25">
      <c r="A23" s="39"/>
      <c r="B23" s="36" t="s">
        <v>75</v>
      </c>
      <c r="C23" s="37">
        <v>77000</v>
      </c>
      <c r="D23" s="38"/>
    </row>
    <row r="24" spans="1:6" x14ac:dyDescent="0.25">
      <c r="A24" s="39">
        <v>46048</v>
      </c>
      <c r="B24" s="36" t="s">
        <v>82</v>
      </c>
      <c r="C24" s="77">
        <v>330000</v>
      </c>
      <c r="D24" s="38"/>
    </row>
    <row r="25" spans="1:6" x14ac:dyDescent="0.25">
      <c r="A25" s="39">
        <v>46049</v>
      </c>
      <c r="B25" s="36" t="s">
        <v>93</v>
      </c>
      <c r="C25" s="37">
        <v>1500000</v>
      </c>
      <c r="D25" s="38" t="s">
        <v>98</v>
      </c>
    </row>
    <row r="26" spans="1:6" x14ac:dyDescent="0.25">
      <c r="A26" s="35">
        <v>46050</v>
      </c>
      <c r="B26" s="36" t="s">
        <v>88</v>
      </c>
      <c r="C26" s="37">
        <v>84000</v>
      </c>
      <c r="D26" s="38"/>
    </row>
    <row r="27" spans="1:6" x14ac:dyDescent="0.25">
      <c r="A27" s="40"/>
      <c r="B27" s="36" t="s">
        <v>89</v>
      </c>
      <c r="C27" s="37">
        <v>36000</v>
      </c>
      <c r="D27" s="38"/>
    </row>
    <row r="28" spans="1:6" x14ac:dyDescent="0.25">
      <c r="A28" s="35"/>
      <c r="B28" s="36" t="s">
        <v>90</v>
      </c>
      <c r="C28" s="77">
        <v>6000</v>
      </c>
      <c r="D28" s="38"/>
    </row>
    <row r="29" spans="1:6" x14ac:dyDescent="0.25">
      <c r="A29" s="35"/>
      <c r="B29" s="36" t="s">
        <v>94</v>
      </c>
      <c r="C29" s="37">
        <v>30000</v>
      </c>
      <c r="D29" s="38"/>
    </row>
    <row r="30" spans="1:6" x14ac:dyDescent="0.25">
      <c r="A30" s="46"/>
      <c r="B30" s="47" t="s">
        <v>90</v>
      </c>
      <c r="C30" s="78">
        <v>25760</v>
      </c>
      <c r="D30" s="38" t="s">
        <v>5</v>
      </c>
    </row>
    <row r="31" spans="1:6" x14ac:dyDescent="0.25">
      <c r="A31" s="46">
        <v>46052</v>
      </c>
      <c r="B31" s="47" t="s">
        <v>145</v>
      </c>
      <c r="C31" s="48">
        <v>170000</v>
      </c>
      <c r="D31" s="38" t="s">
        <v>5</v>
      </c>
    </row>
    <row r="32" spans="1:6" x14ac:dyDescent="0.25">
      <c r="A32" s="46"/>
      <c r="B32" s="47" t="s">
        <v>231</v>
      </c>
      <c r="C32" s="48">
        <v>30240</v>
      </c>
      <c r="D32" s="38" t="s">
        <v>98</v>
      </c>
      <c r="E32">
        <f>1000000-630080</f>
        <v>369920</v>
      </c>
      <c r="F32" t="s">
        <v>107</v>
      </c>
    </row>
    <row r="33" spans="1:7" x14ac:dyDescent="0.25">
      <c r="A33" s="46">
        <v>46053</v>
      </c>
      <c r="B33" s="47" t="s">
        <v>104</v>
      </c>
      <c r="C33" s="48">
        <v>1000000</v>
      </c>
      <c r="D33" s="38"/>
    </row>
    <row r="34" spans="1:7" x14ac:dyDescent="0.25">
      <c r="A34" s="46"/>
      <c r="B34" s="47" t="s">
        <v>105</v>
      </c>
      <c r="C34" s="48">
        <v>909000</v>
      </c>
      <c r="D34" s="38"/>
    </row>
    <row r="35" spans="1:7" x14ac:dyDescent="0.25">
      <c r="A35" s="46"/>
      <c r="B35" s="47" t="s">
        <v>121</v>
      </c>
      <c r="C35" s="48">
        <v>200000</v>
      </c>
      <c r="D35" s="38" t="s">
        <v>5</v>
      </c>
    </row>
    <row r="36" spans="1:7" ht="21" customHeight="1" thickBot="1" x14ac:dyDescent="0.5">
      <c r="B36" s="15"/>
      <c r="C36" s="16">
        <f>SUM(C5:C35)</f>
        <v>11945250</v>
      </c>
    </row>
    <row r="37" spans="1:7" x14ac:dyDescent="0.25">
      <c r="A37" s="17"/>
    </row>
    <row r="38" spans="1:7" ht="27" x14ac:dyDescent="0.25">
      <c r="A38" s="283" t="s">
        <v>7</v>
      </c>
      <c r="B38" s="284"/>
      <c r="C38" s="285"/>
    </row>
    <row r="39" spans="1:7" ht="26.25" x14ac:dyDescent="0.35">
      <c r="A39" s="18" t="s">
        <v>2</v>
      </c>
      <c r="B39" s="5" t="s">
        <v>15</v>
      </c>
      <c r="C39" s="19"/>
    </row>
    <row r="40" spans="1:7" ht="24.75" x14ac:dyDescent="0.25">
      <c r="A40" s="13"/>
      <c r="B40" s="20" t="s">
        <v>3</v>
      </c>
      <c r="C40" s="21" t="s">
        <v>4</v>
      </c>
    </row>
    <row r="41" spans="1:7" x14ac:dyDescent="0.25">
      <c r="A41" s="39">
        <v>46031</v>
      </c>
      <c r="B41" s="73" t="s">
        <v>16</v>
      </c>
      <c r="C41" s="74">
        <v>217500</v>
      </c>
    </row>
    <row r="42" spans="1:7" x14ac:dyDescent="0.25">
      <c r="A42" s="39"/>
      <c r="B42" s="73" t="s">
        <v>20</v>
      </c>
      <c r="C42" s="74">
        <v>25000</v>
      </c>
    </row>
    <row r="43" spans="1:7" x14ac:dyDescent="0.25">
      <c r="A43" s="39"/>
      <c r="B43" s="73" t="s">
        <v>17</v>
      </c>
      <c r="C43" s="74">
        <v>202500</v>
      </c>
    </row>
    <row r="44" spans="1:7" x14ac:dyDescent="0.25">
      <c r="A44" s="39"/>
      <c r="B44" s="73" t="s">
        <v>18</v>
      </c>
      <c r="C44" s="74">
        <v>202500</v>
      </c>
    </row>
    <row r="45" spans="1:7" x14ac:dyDescent="0.25">
      <c r="A45" s="39"/>
      <c r="B45" s="94" t="s">
        <v>19</v>
      </c>
      <c r="C45" s="56">
        <v>13000</v>
      </c>
      <c r="G45" s="22" t="s">
        <v>8</v>
      </c>
    </row>
    <row r="46" spans="1:7" x14ac:dyDescent="0.25">
      <c r="A46" s="39">
        <v>46036</v>
      </c>
      <c r="B46" s="41" t="s">
        <v>28</v>
      </c>
      <c r="C46" s="42">
        <v>106100</v>
      </c>
    </row>
    <row r="47" spans="1:7" x14ac:dyDescent="0.25">
      <c r="A47" s="39"/>
      <c r="B47" s="41" t="s">
        <v>29</v>
      </c>
      <c r="C47" s="42">
        <v>83000</v>
      </c>
    </row>
    <row r="48" spans="1:7" x14ac:dyDescent="0.25">
      <c r="A48" s="39"/>
      <c r="B48" s="100" t="s">
        <v>792</v>
      </c>
      <c r="C48" s="99"/>
      <c r="D48">
        <v>104245</v>
      </c>
    </row>
    <row r="49" spans="1:5" x14ac:dyDescent="0.25">
      <c r="A49" s="39">
        <v>46037</v>
      </c>
      <c r="B49" s="41" t="s">
        <v>33</v>
      </c>
      <c r="C49" s="42">
        <v>124567</v>
      </c>
    </row>
    <row r="50" spans="1:5" x14ac:dyDescent="0.25">
      <c r="A50" s="39"/>
      <c r="B50" s="41" t="s">
        <v>34</v>
      </c>
      <c r="C50" s="42">
        <v>79485</v>
      </c>
    </row>
    <row r="51" spans="1:5" x14ac:dyDescent="0.25">
      <c r="A51" s="39"/>
      <c r="B51" s="92" t="s">
        <v>38</v>
      </c>
      <c r="C51" s="93">
        <v>60000</v>
      </c>
      <c r="D51" t="s">
        <v>39</v>
      </c>
    </row>
    <row r="52" spans="1:5" x14ac:dyDescent="0.25">
      <c r="A52" s="39">
        <v>45674</v>
      </c>
      <c r="B52" s="95" t="s">
        <v>35</v>
      </c>
      <c r="C52" s="96">
        <v>350000</v>
      </c>
    </row>
    <row r="53" spans="1:5" x14ac:dyDescent="0.25">
      <c r="A53" s="39"/>
      <c r="B53" s="95" t="s">
        <v>36</v>
      </c>
      <c r="C53" s="96">
        <v>390000</v>
      </c>
    </row>
    <row r="54" spans="1:5" x14ac:dyDescent="0.25">
      <c r="A54" s="39"/>
      <c r="B54" s="95" t="s">
        <v>76</v>
      </c>
      <c r="C54" s="96">
        <v>338000</v>
      </c>
      <c r="D54" t="s">
        <v>5</v>
      </c>
    </row>
    <row r="55" spans="1:5" x14ac:dyDescent="0.25">
      <c r="A55" s="39">
        <v>46041</v>
      </c>
      <c r="B55" s="41" t="s">
        <v>40</v>
      </c>
      <c r="C55" s="42">
        <v>145000</v>
      </c>
      <c r="D55" s="38"/>
    </row>
    <row r="56" spans="1:5" x14ac:dyDescent="0.25">
      <c r="A56" s="39"/>
      <c r="B56" s="41" t="s">
        <v>41</v>
      </c>
      <c r="C56" s="42">
        <v>40000</v>
      </c>
      <c r="D56" s="38" t="s">
        <v>5</v>
      </c>
    </row>
    <row r="57" spans="1:5" x14ac:dyDescent="0.25">
      <c r="A57" s="39"/>
      <c r="B57" s="41" t="s">
        <v>43</v>
      </c>
      <c r="C57" s="42">
        <v>40000</v>
      </c>
      <c r="D57" s="38" t="s">
        <v>5</v>
      </c>
      <c r="E57" t="s">
        <v>44</v>
      </c>
    </row>
    <row r="58" spans="1:5" x14ac:dyDescent="0.25">
      <c r="A58" s="39"/>
      <c r="B58" s="41" t="s">
        <v>45</v>
      </c>
      <c r="C58" s="42">
        <v>100000</v>
      </c>
      <c r="D58" s="38" t="s">
        <v>46</v>
      </c>
    </row>
    <row r="59" spans="1:5" x14ac:dyDescent="0.25">
      <c r="A59" s="39">
        <v>46042</v>
      </c>
      <c r="B59" s="41" t="s">
        <v>47</v>
      </c>
      <c r="C59" s="42">
        <v>30000</v>
      </c>
      <c r="D59" s="38" t="s">
        <v>5</v>
      </c>
    </row>
    <row r="60" spans="1:5" x14ac:dyDescent="0.25">
      <c r="A60" s="39"/>
      <c r="B60" s="36" t="s">
        <v>48</v>
      </c>
      <c r="C60" s="37">
        <v>888400</v>
      </c>
      <c r="D60" s="38" t="s">
        <v>5</v>
      </c>
    </row>
    <row r="61" spans="1:5" x14ac:dyDescent="0.25">
      <c r="A61" s="39"/>
      <c r="B61" s="41" t="s">
        <v>49</v>
      </c>
      <c r="C61" s="42">
        <v>50000</v>
      </c>
    </row>
    <row r="62" spans="1:5" x14ac:dyDescent="0.25">
      <c r="A62" s="39"/>
      <c r="B62" s="41" t="s">
        <v>63</v>
      </c>
      <c r="C62" s="42">
        <v>30000</v>
      </c>
    </row>
    <row r="63" spans="1:5" x14ac:dyDescent="0.25">
      <c r="A63" s="39"/>
      <c r="B63" s="41" t="s">
        <v>50</v>
      </c>
      <c r="C63" s="42">
        <v>129380</v>
      </c>
    </row>
    <row r="64" spans="1:5" x14ac:dyDescent="0.25">
      <c r="A64" s="39"/>
      <c r="B64" s="41" t="s">
        <v>51</v>
      </c>
      <c r="C64" s="42">
        <v>20000</v>
      </c>
    </row>
    <row r="65" spans="1:6" x14ac:dyDescent="0.25">
      <c r="A65" s="39">
        <v>46043</v>
      </c>
      <c r="B65" s="36" t="s">
        <v>53</v>
      </c>
      <c r="C65" s="37">
        <v>130000</v>
      </c>
    </row>
    <row r="66" spans="1:6" x14ac:dyDescent="0.25">
      <c r="A66" s="39">
        <v>46043</v>
      </c>
      <c r="B66" s="41" t="s">
        <v>58</v>
      </c>
      <c r="C66" s="42">
        <v>750000</v>
      </c>
      <c r="D66" t="s">
        <v>5</v>
      </c>
    </row>
    <row r="67" spans="1:6" x14ac:dyDescent="0.25">
      <c r="A67" s="39"/>
      <c r="B67" s="41" t="s">
        <v>232</v>
      </c>
      <c r="C67" s="42">
        <v>70000</v>
      </c>
    </row>
    <row r="68" spans="1:6" x14ac:dyDescent="0.25">
      <c r="A68" s="39"/>
      <c r="B68" s="36" t="s">
        <v>60</v>
      </c>
      <c r="C68" s="37">
        <v>22000</v>
      </c>
      <c r="D68" s="14"/>
      <c r="E68" s="14"/>
    </row>
    <row r="69" spans="1:6" x14ac:dyDescent="0.25">
      <c r="A69" s="39"/>
      <c r="B69" s="41" t="s">
        <v>61</v>
      </c>
      <c r="C69" s="42">
        <v>28000</v>
      </c>
    </row>
    <row r="70" spans="1:6" x14ac:dyDescent="0.25">
      <c r="A70" s="39"/>
      <c r="B70" s="41" t="s">
        <v>62</v>
      </c>
      <c r="C70" s="42">
        <v>113000</v>
      </c>
      <c r="D70" t="s">
        <v>5</v>
      </c>
    </row>
    <row r="71" spans="1:6" x14ac:dyDescent="0.25">
      <c r="A71" s="39"/>
      <c r="B71" s="41" t="s">
        <v>64</v>
      </c>
      <c r="C71" s="42">
        <v>5500</v>
      </c>
    </row>
    <row r="72" spans="1:6" x14ac:dyDescent="0.25">
      <c r="A72" s="35"/>
      <c r="B72" s="58" t="s">
        <v>65</v>
      </c>
      <c r="C72" s="59">
        <v>120000</v>
      </c>
      <c r="F72" s="23"/>
    </row>
    <row r="73" spans="1:6" x14ac:dyDescent="0.25">
      <c r="A73" s="35">
        <v>46044</v>
      </c>
      <c r="B73" s="41" t="s">
        <v>70</v>
      </c>
      <c r="C73" s="42">
        <v>270000</v>
      </c>
      <c r="D73" t="s">
        <v>5</v>
      </c>
    </row>
    <row r="74" spans="1:6" x14ac:dyDescent="0.25">
      <c r="A74" s="39"/>
      <c r="B74" s="41" t="s">
        <v>68</v>
      </c>
      <c r="C74" s="42">
        <v>135000</v>
      </c>
    </row>
    <row r="75" spans="1:6" x14ac:dyDescent="0.25">
      <c r="A75" s="39"/>
      <c r="B75" s="41" t="s">
        <v>71</v>
      </c>
      <c r="C75" s="42">
        <v>150000</v>
      </c>
    </row>
    <row r="76" spans="1:6" x14ac:dyDescent="0.25">
      <c r="A76" s="39"/>
      <c r="B76" s="41" t="s">
        <v>58</v>
      </c>
      <c r="C76" s="42">
        <v>750000</v>
      </c>
    </row>
    <row r="77" spans="1:6" x14ac:dyDescent="0.25">
      <c r="A77" s="39"/>
      <c r="B77" s="41" t="s">
        <v>59</v>
      </c>
      <c r="C77" s="42">
        <v>70000</v>
      </c>
    </row>
    <row r="78" spans="1:6" x14ac:dyDescent="0.25">
      <c r="A78" s="39"/>
      <c r="B78" s="36" t="s">
        <v>60</v>
      </c>
      <c r="C78" s="37">
        <v>22000</v>
      </c>
    </row>
    <row r="79" spans="1:6" x14ac:dyDescent="0.25">
      <c r="A79" s="39"/>
      <c r="B79" s="41" t="s">
        <v>61</v>
      </c>
      <c r="C79" s="42">
        <v>28000</v>
      </c>
    </row>
    <row r="80" spans="1:6" x14ac:dyDescent="0.25">
      <c r="A80" s="39"/>
      <c r="B80" s="41" t="s">
        <v>40</v>
      </c>
      <c r="C80" s="42">
        <v>145000</v>
      </c>
    </row>
    <row r="81" spans="1:6" x14ac:dyDescent="0.25">
      <c r="A81" s="39"/>
      <c r="B81" s="41" t="s">
        <v>41</v>
      </c>
      <c r="C81" s="42">
        <v>40000</v>
      </c>
    </row>
    <row r="82" spans="1:6" x14ac:dyDescent="0.25">
      <c r="A82" s="39"/>
      <c r="B82" s="49" t="s">
        <v>73</v>
      </c>
      <c r="C82" s="50">
        <v>262000</v>
      </c>
    </row>
    <row r="83" spans="1:6" x14ac:dyDescent="0.25">
      <c r="A83" s="39"/>
      <c r="B83" s="41" t="s">
        <v>72</v>
      </c>
      <c r="C83" s="42">
        <v>50000</v>
      </c>
    </row>
    <row r="84" spans="1:6" x14ac:dyDescent="0.25">
      <c r="A84" s="39">
        <v>46045</v>
      </c>
      <c r="B84" s="65" t="s">
        <v>83</v>
      </c>
      <c r="C84" s="42">
        <v>302411</v>
      </c>
      <c r="D84" t="s">
        <v>84</v>
      </c>
    </row>
    <row r="85" spans="1:6" x14ac:dyDescent="0.25">
      <c r="A85" s="39">
        <v>46046</v>
      </c>
      <c r="B85" s="36" t="s">
        <v>74</v>
      </c>
      <c r="C85" s="42">
        <v>75500</v>
      </c>
      <c r="D85" t="s">
        <v>5</v>
      </c>
    </row>
    <row r="86" spans="1:6" x14ac:dyDescent="0.25">
      <c r="A86" s="39"/>
      <c r="B86" s="95" t="s">
        <v>77</v>
      </c>
      <c r="C86" s="96">
        <v>410000</v>
      </c>
      <c r="D86" t="s">
        <v>5</v>
      </c>
    </row>
    <row r="87" spans="1:6" x14ac:dyDescent="0.25">
      <c r="A87" s="39"/>
      <c r="B87" s="58" t="s">
        <v>78</v>
      </c>
      <c r="C87" s="59">
        <v>425000</v>
      </c>
    </row>
    <row r="88" spans="1:6" x14ac:dyDescent="0.25">
      <c r="A88" s="39"/>
      <c r="B88" s="58" t="s">
        <v>79</v>
      </c>
      <c r="C88" s="59">
        <v>475000</v>
      </c>
    </row>
    <row r="89" spans="1:6" x14ac:dyDescent="0.25">
      <c r="A89" s="39"/>
      <c r="B89" s="51" t="s">
        <v>81</v>
      </c>
      <c r="C89" s="52">
        <v>32000</v>
      </c>
      <c r="D89" s="27">
        <f>C86+C54</f>
        <v>748000</v>
      </c>
    </row>
    <row r="90" spans="1:6" x14ac:dyDescent="0.25">
      <c r="A90" s="39"/>
      <c r="B90" s="41" t="s">
        <v>80</v>
      </c>
      <c r="C90" s="42">
        <v>15000</v>
      </c>
    </row>
    <row r="91" spans="1:6" x14ac:dyDescent="0.25">
      <c r="A91" s="39"/>
      <c r="B91" s="36" t="s">
        <v>87</v>
      </c>
      <c r="C91" s="42">
        <v>290000</v>
      </c>
      <c r="D91" s="38" t="s">
        <v>5</v>
      </c>
      <c r="E91" s="38"/>
      <c r="F91" s="38"/>
    </row>
    <row r="92" spans="1:6" x14ac:dyDescent="0.25">
      <c r="A92" s="39">
        <v>46048</v>
      </c>
      <c r="B92" s="36" t="s">
        <v>91</v>
      </c>
      <c r="C92" s="42">
        <v>100000</v>
      </c>
      <c r="D92" s="38"/>
      <c r="E92" s="38"/>
      <c r="F92" s="38"/>
    </row>
    <row r="93" spans="1:6" x14ac:dyDescent="0.25">
      <c r="A93" s="39">
        <v>46049</v>
      </c>
      <c r="B93" s="36" t="s">
        <v>112</v>
      </c>
      <c r="C93" s="42">
        <v>19500</v>
      </c>
      <c r="D93" s="38"/>
      <c r="E93" s="38"/>
      <c r="F93" s="38"/>
    </row>
    <row r="94" spans="1:6" x14ac:dyDescent="0.25">
      <c r="A94" s="39"/>
      <c r="B94" s="36" t="s">
        <v>113</v>
      </c>
      <c r="C94" s="42">
        <v>7500</v>
      </c>
      <c r="D94" s="38"/>
      <c r="E94" s="38"/>
      <c r="F94" s="38"/>
    </row>
    <row r="95" spans="1:6" x14ac:dyDescent="0.25">
      <c r="A95" s="39"/>
      <c r="B95" s="73" t="s">
        <v>115</v>
      </c>
      <c r="C95" s="59">
        <v>60000</v>
      </c>
      <c r="D95" s="38"/>
      <c r="E95" s="38"/>
      <c r="F95" s="38"/>
    </row>
    <row r="96" spans="1:6" x14ac:dyDescent="0.25">
      <c r="A96" s="39">
        <v>46050</v>
      </c>
      <c r="B96" s="36" t="s">
        <v>92</v>
      </c>
      <c r="C96" s="42">
        <v>118000</v>
      </c>
      <c r="D96" s="38"/>
      <c r="E96" s="38"/>
      <c r="F96" s="38"/>
    </row>
    <row r="97" spans="1:6" x14ac:dyDescent="0.25">
      <c r="A97" s="39"/>
      <c r="B97" s="36" t="s">
        <v>96</v>
      </c>
      <c r="C97" s="42">
        <v>384840</v>
      </c>
      <c r="D97" s="38"/>
      <c r="E97" s="38"/>
      <c r="F97" s="53"/>
    </row>
    <row r="98" spans="1:6" x14ac:dyDescent="0.25">
      <c r="A98" s="39"/>
      <c r="B98" s="72" t="s">
        <v>111</v>
      </c>
      <c r="C98" s="52">
        <v>20000</v>
      </c>
      <c r="D98" s="38"/>
      <c r="E98" s="38"/>
      <c r="F98" s="53"/>
    </row>
    <row r="99" spans="1:6" x14ac:dyDescent="0.25">
      <c r="A99" s="39"/>
      <c r="B99" s="72" t="s">
        <v>114</v>
      </c>
      <c r="C99" s="52">
        <v>23300</v>
      </c>
      <c r="D99" s="38"/>
      <c r="E99" s="38"/>
      <c r="F99" s="53"/>
    </row>
    <row r="100" spans="1:6" x14ac:dyDescent="0.25">
      <c r="A100" s="39">
        <v>46052</v>
      </c>
      <c r="B100" s="51" t="s">
        <v>97</v>
      </c>
      <c r="C100" s="52">
        <v>3388000</v>
      </c>
      <c r="D100" s="38" t="s">
        <v>98</v>
      </c>
      <c r="E100" s="38"/>
      <c r="F100" s="53"/>
    </row>
    <row r="101" spans="1:6" x14ac:dyDescent="0.25">
      <c r="A101" s="39"/>
      <c r="B101" s="51" t="s">
        <v>99</v>
      </c>
      <c r="C101" s="52">
        <v>100000</v>
      </c>
      <c r="D101" s="38"/>
      <c r="E101" s="38"/>
      <c r="F101" s="53"/>
    </row>
    <row r="102" spans="1:6" x14ac:dyDescent="0.25">
      <c r="A102" s="39"/>
      <c r="B102" s="51" t="s">
        <v>106</v>
      </c>
      <c r="C102" s="52">
        <v>29000</v>
      </c>
      <c r="D102" s="38"/>
      <c r="E102" s="38"/>
      <c r="F102" s="53"/>
    </row>
    <row r="103" spans="1:6" x14ac:dyDescent="0.25">
      <c r="A103" s="39"/>
      <c r="B103" s="51" t="s">
        <v>116</v>
      </c>
      <c r="C103" s="52">
        <v>15000</v>
      </c>
      <c r="D103" s="38"/>
      <c r="E103" s="38" t="s">
        <v>228</v>
      </c>
      <c r="F103" s="53"/>
    </row>
    <row r="104" spans="1:6" x14ac:dyDescent="0.25">
      <c r="A104" s="39"/>
      <c r="B104" s="51" t="s">
        <v>117</v>
      </c>
      <c r="C104" s="52">
        <v>25000</v>
      </c>
      <c r="D104" s="38"/>
      <c r="E104" s="38"/>
      <c r="F104" s="53"/>
    </row>
    <row r="105" spans="1:6" x14ac:dyDescent="0.25">
      <c r="A105" s="39">
        <v>46053</v>
      </c>
      <c r="B105" s="66" t="s">
        <v>100</v>
      </c>
      <c r="C105" s="67">
        <v>425000</v>
      </c>
      <c r="D105" s="38"/>
      <c r="E105" s="38"/>
      <c r="F105" s="53"/>
    </row>
    <row r="106" spans="1:6" x14ac:dyDescent="0.25">
      <c r="A106" s="39"/>
      <c r="B106" s="66" t="s">
        <v>101</v>
      </c>
      <c r="C106" s="67">
        <v>475000</v>
      </c>
      <c r="D106" s="38"/>
      <c r="E106" s="38"/>
      <c r="F106" s="53"/>
    </row>
    <row r="107" spans="1:6" x14ac:dyDescent="0.25">
      <c r="A107" s="39"/>
      <c r="B107" s="66" t="s">
        <v>102</v>
      </c>
      <c r="C107" s="67">
        <v>410000</v>
      </c>
      <c r="D107" s="38"/>
      <c r="E107" s="38"/>
      <c r="F107" s="53"/>
    </row>
    <row r="108" spans="1:6" x14ac:dyDescent="0.25">
      <c r="A108" s="39"/>
      <c r="B108" s="66" t="s">
        <v>103</v>
      </c>
      <c r="C108" s="67">
        <v>35000</v>
      </c>
      <c r="D108" s="38"/>
      <c r="E108" s="38"/>
      <c r="F108" s="53"/>
    </row>
    <row r="109" spans="1:6" x14ac:dyDescent="0.25">
      <c r="A109" s="39"/>
      <c r="B109" s="51" t="s">
        <v>133</v>
      </c>
      <c r="C109" s="52">
        <v>35000</v>
      </c>
      <c r="D109" s="38"/>
      <c r="E109" s="38"/>
      <c r="F109" s="53"/>
    </row>
    <row r="110" spans="1:6" x14ac:dyDescent="0.25">
      <c r="A110" s="39"/>
      <c r="B110" s="103" t="s">
        <v>234</v>
      </c>
      <c r="C110" s="104">
        <v>300000</v>
      </c>
      <c r="D110" s="38"/>
      <c r="E110" s="38"/>
      <c r="F110" s="53"/>
    </row>
    <row r="111" spans="1:6" ht="22.5" x14ac:dyDescent="0.45">
      <c r="A111" s="13"/>
      <c r="B111" s="24"/>
      <c r="C111" s="25">
        <f>SUM(C41:C110)</f>
        <v>14819983</v>
      </c>
      <c r="D111" s="54">
        <f>C36-C111</f>
        <v>-2874733</v>
      </c>
      <c r="E111" s="38"/>
      <c r="F111" s="55">
        <f>C85+C86</f>
        <v>485500</v>
      </c>
    </row>
    <row r="112" spans="1:6" ht="22.5" x14ac:dyDescent="0.45">
      <c r="A112" s="13"/>
      <c r="B112" s="28" t="s">
        <v>9</v>
      </c>
      <c r="C112" s="29">
        <f>C3+C36-C111</f>
        <v>-2874733</v>
      </c>
      <c r="D112" s="26"/>
    </row>
    <row r="113" spans="5:10" x14ac:dyDescent="0.25">
      <c r="E113" t="s">
        <v>6</v>
      </c>
      <c r="F113" s="23">
        <f xml:space="preserve"> 593091+1500000</f>
        <v>2093091</v>
      </c>
    </row>
    <row r="114" spans="5:10" x14ac:dyDescent="0.25">
      <c r="E114" t="s">
        <v>67</v>
      </c>
      <c r="F114" s="23">
        <f>1369928+490400+2745000+264500-302411-3388000+369920</f>
        <v>1549337</v>
      </c>
    </row>
    <row r="115" spans="5:10" x14ac:dyDescent="0.25">
      <c r="E115" t="s">
        <v>10</v>
      </c>
      <c r="F115" s="23">
        <v>4000000</v>
      </c>
    </row>
    <row r="116" spans="5:10" x14ac:dyDescent="0.25">
      <c r="E116" s="30" t="s">
        <v>11</v>
      </c>
      <c r="F116" s="23">
        <f>G128</f>
        <v>590650</v>
      </c>
      <c r="G116" s="23" t="s">
        <v>12</v>
      </c>
      <c r="H116" t="s">
        <v>24</v>
      </c>
    </row>
    <row r="117" spans="5:10" x14ac:dyDescent="0.25">
      <c r="E117" s="26" t="s">
        <v>5</v>
      </c>
      <c r="F117" s="23">
        <f>2257343-128000-75500--388000-410000-290000+170000+200000+25760-100000+200000</f>
        <v>2237603</v>
      </c>
      <c r="G117" s="31">
        <v>962223</v>
      </c>
      <c r="H117" s="27">
        <f>G117-F117</f>
        <v>-1275380</v>
      </c>
      <c r="I117" t="s">
        <v>23</v>
      </c>
    </row>
    <row r="118" spans="5:10" x14ac:dyDescent="0.25">
      <c r="E118" t="s">
        <v>13</v>
      </c>
      <c r="F118" s="32">
        <f>SUM(F113:F117)</f>
        <v>10470681</v>
      </c>
      <c r="G118" s="23">
        <f>F118-C112</f>
        <v>13345414</v>
      </c>
      <c r="H118" s="63">
        <f>G118+H117</f>
        <v>12070034</v>
      </c>
      <c r="I118" s="57">
        <f>G118+H117</f>
        <v>12070034</v>
      </c>
    </row>
    <row r="119" spans="5:10" x14ac:dyDescent="0.25">
      <c r="I119" s="64">
        <f>F114-I118</f>
        <v>-10520697</v>
      </c>
      <c r="J119" t="s">
        <v>95</v>
      </c>
    </row>
    <row r="120" spans="5:10" x14ac:dyDescent="0.25">
      <c r="E120" s="60">
        <v>1</v>
      </c>
      <c r="F120" s="26">
        <v>100000</v>
      </c>
      <c r="G120" s="30">
        <f t="shared" ref="G120:G126" si="0">F120*E120</f>
        <v>100000</v>
      </c>
    </row>
    <row r="121" spans="5:10" x14ac:dyDescent="0.25">
      <c r="E121" s="33">
        <v>8</v>
      </c>
      <c r="F121" s="26">
        <v>50000</v>
      </c>
      <c r="G121" s="30">
        <f t="shared" si="0"/>
        <v>400000</v>
      </c>
    </row>
    <row r="122" spans="5:10" x14ac:dyDescent="0.25">
      <c r="E122" s="34">
        <v>2</v>
      </c>
      <c r="F122" s="26">
        <v>20000</v>
      </c>
      <c r="G122" s="30">
        <f t="shared" si="0"/>
        <v>40000</v>
      </c>
    </row>
    <row r="123" spans="5:10" x14ac:dyDescent="0.25">
      <c r="E123" s="33"/>
      <c r="F123" s="26">
        <v>10000</v>
      </c>
      <c r="G123" s="30">
        <f t="shared" si="0"/>
        <v>0</v>
      </c>
    </row>
    <row r="124" spans="5:10" x14ac:dyDescent="0.25">
      <c r="E124" s="34">
        <v>5</v>
      </c>
      <c r="F124" s="26">
        <v>5000</v>
      </c>
      <c r="G124" s="30">
        <f t="shared" si="0"/>
        <v>25000</v>
      </c>
    </row>
    <row r="125" spans="5:10" x14ac:dyDescent="0.25">
      <c r="E125" s="33">
        <v>11</v>
      </c>
      <c r="F125" s="26">
        <v>2000</v>
      </c>
      <c r="G125" s="30">
        <f t="shared" si="0"/>
        <v>22000</v>
      </c>
    </row>
    <row r="126" spans="5:10" x14ac:dyDescent="0.25">
      <c r="E126" s="33"/>
      <c r="F126" s="26"/>
      <c r="G126" s="30">
        <f t="shared" si="0"/>
        <v>0</v>
      </c>
    </row>
    <row r="127" spans="5:10" x14ac:dyDescent="0.25">
      <c r="E127" s="33" t="s">
        <v>14</v>
      </c>
      <c r="F127" s="26">
        <v>3650</v>
      </c>
      <c r="G127" s="30">
        <f>F127</f>
        <v>3650</v>
      </c>
    </row>
    <row r="128" spans="5:10" x14ac:dyDescent="0.25">
      <c r="E128" s="30" t="s">
        <v>11</v>
      </c>
      <c r="F128" s="27"/>
      <c r="G128" s="26">
        <f>SUM(G120:G127)</f>
        <v>590650</v>
      </c>
    </row>
  </sheetData>
  <mergeCells count="1">
    <mergeCell ref="A38:C38"/>
  </mergeCells>
  <pageMargins left="0.70866141732283472" right="0.70866141732283472" top="0.74803149606299213" bottom="0.74803149606299213" header="0.31496062992125984" footer="0.31496062992125984"/>
  <pageSetup paperSize="9" scale="2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7A7F-2D56-46BE-ADB8-5B6F1D991E08}">
  <sheetPr>
    <pageSetUpPr fitToPage="1"/>
  </sheetPr>
  <dimension ref="A1:H136"/>
  <sheetViews>
    <sheetView topLeftCell="A48" workbookViewId="0">
      <selection activeCell="B48" sqref="B48"/>
    </sheetView>
  </sheetViews>
  <sheetFormatPr baseColWidth="10" defaultRowHeight="15" x14ac:dyDescent="0.25"/>
  <cols>
    <col min="2" max="2" width="69.5703125" customWidth="1"/>
    <col min="3" max="3" width="22.5703125" customWidth="1"/>
    <col min="4" max="4" width="14.5703125" bestFit="1" customWidth="1"/>
    <col min="5" max="5" width="16.28515625" customWidth="1"/>
    <col min="6" max="7" width="13" bestFit="1" customWidth="1"/>
    <col min="8" max="8" width="14.5703125" customWidth="1"/>
    <col min="9" max="9" width="17.140625" customWidth="1"/>
    <col min="12" max="12" width="14.28515625" customWidth="1"/>
    <col min="15" max="15" width="14.5703125" bestFit="1" customWidth="1"/>
  </cols>
  <sheetData>
    <row r="1" spans="1:4" ht="26.25" x14ac:dyDescent="0.25">
      <c r="A1" s="1"/>
      <c r="B1" s="2" t="s">
        <v>0</v>
      </c>
      <c r="C1" s="3"/>
    </row>
    <row r="2" spans="1:4" ht="24" x14ac:dyDescent="0.4">
      <c r="A2" s="4"/>
      <c r="B2" s="5" t="s">
        <v>108</v>
      </c>
      <c r="C2" s="6"/>
    </row>
    <row r="3" spans="1:4" ht="23.25" x14ac:dyDescent="0.35">
      <c r="A3" s="7"/>
      <c r="B3" s="8" t="s">
        <v>1</v>
      </c>
      <c r="C3" s="9">
        <f>ENERO!C112</f>
        <v>-2874733</v>
      </c>
    </row>
    <row r="4" spans="1:4" ht="15.75" x14ac:dyDescent="0.25">
      <c r="A4" s="10" t="s">
        <v>2</v>
      </c>
      <c r="B4" s="11" t="s">
        <v>3</v>
      </c>
      <c r="C4" s="12" t="s">
        <v>4</v>
      </c>
    </row>
    <row r="5" spans="1:4" x14ac:dyDescent="0.25">
      <c r="A5" s="35">
        <v>46055</v>
      </c>
      <c r="B5" s="36" t="s">
        <v>110</v>
      </c>
      <c r="C5" s="37">
        <v>133000</v>
      </c>
    </row>
    <row r="6" spans="1:4" x14ac:dyDescent="0.25">
      <c r="A6" s="35"/>
      <c r="B6" s="101" t="s">
        <v>120</v>
      </c>
      <c r="C6" s="102">
        <v>300000</v>
      </c>
      <c r="D6" t="s">
        <v>5</v>
      </c>
    </row>
    <row r="7" spans="1:4" x14ac:dyDescent="0.25">
      <c r="A7" s="35">
        <v>46057</v>
      </c>
      <c r="B7" s="36" t="s">
        <v>119</v>
      </c>
      <c r="C7" s="37">
        <v>300000</v>
      </c>
    </row>
    <row r="8" spans="1:4" x14ac:dyDescent="0.25">
      <c r="A8" s="39"/>
      <c r="B8" s="36" t="s">
        <v>122</v>
      </c>
      <c r="C8" s="37">
        <v>100000</v>
      </c>
    </row>
    <row r="9" spans="1:4" x14ac:dyDescent="0.25">
      <c r="A9" s="35">
        <v>46059</v>
      </c>
      <c r="B9" s="36" t="s">
        <v>127</v>
      </c>
      <c r="C9" s="37">
        <v>196000</v>
      </c>
    </row>
    <row r="10" spans="1:4" x14ac:dyDescent="0.25">
      <c r="A10" s="40"/>
      <c r="B10" s="100" t="s">
        <v>129</v>
      </c>
      <c r="C10" s="99">
        <v>487840</v>
      </c>
      <c r="D10" t="s">
        <v>5</v>
      </c>
    </row>
    <row r="11" spans="1:4" x14ac:dyDescent="0.25">
      <c r="A11" s="35"/>
      <c r="B11" s="36" t="s">
        <v>131</v>
      </c>
      <c r="C11" s="75">
        <v>3403450</v>
      </c>
      <c r="D11" t="s">
        <v>98</v>
      </c>
    </row>
    <row r="12" spans="1:4" x14ac:dyDescent="0.25">
      <c r="A12" s="39"/>
      <c r="B12" s="36" t="s">
        <v>143</v>
      </c>
      <c r="C12" s="37">
        <v>90000</v>
      </c>
    </row>
    <row r="13" spans="1:4" x14ac:dyDescent="0.25">
      <c r="A13" s="35">
        <v>46062</v>
      </c>
      <c r="B13" s="36" t="s">
        <v>122</v>
      </c>
      <c r="C13" s="37">
        <v>90000</v>
      </c>
    </row>
    <row r="14" spans="1:4" x14ac:dyDescent="0.25">
      <c r="A14" s="35"/>
      <c r="B14" s="36" t="s">
        <v>150</v>
      </c>
      <c r="C14" s="37">
        <v>65000</v>
      </c>
    </row>
    <row r="15" spans="1:4" x14ac:dyDescent="0.25">
      <c r="A15" s="35"/>
      <c r="B15" s="101" t="s">
        <v>242</v>
      </c>
      <c r="C15" s="105">
        <v>1500000</v>
      </c>
      <c r="D15" s="23"/>
    </row>
    <row r="16" spans="1:4" x14ac:dyDescent="0.25">
      <c r="A16" s="35">
        <v>46065</v>
      </c>
      <c r="B16" s="36" t="s">
        <v>153</v>
      </c>
      <c r="C16" s="37">
        <v>1000000</v>
      </c>
      <c r="D16" t="s">
        <v>98</v>
      </c>
    </row>
    <row r="17" spans="1:4" x14ac:dyDescent="0.25">
      <c r="A17" s="35"/>
      <c r="B17" s="100" t="s">
        <v>154</v>
      </c>
      <c r="C17" s="99">
        <v>253600</v>
      </c>
      <c r="D17" t="s">
        <v>25</v>
      </c>
    </row>
    <row r="18" spans="1:4" x14ac:dyDescent="0.25">
      <c r="A18" s="39"/>
      <c r="B18" s="85" t="s">
        <v>157</v>
      </c>
      <c r="C18" s="86">
        <v>1000000</v>
      </c>
    </row>
    <row r="19" spans="1:4" x14ac:dyDescent="0.25">
      <c r="A19" s="39">
        <v>46066</v>
      </c>
      <c r="B19" s="36" t="s">
        <v>159</v>
      </c>
      <c r="C19" s="37">
        <v>91000</v>
      </c>
    </row>
    <row r="20" spans="1:4" x14ac:dyDescent="0.25">
      <c r="A20" s="39"/>
      <c r="B20" s="36" t="s">
        <v>160</v>
      </c>
      <c r="C20" s="37">
        <v>148000</v>
      </c>
    </row>
    <row r="21" spans="1:4" x14ac:dyDescent="0.25">
      <c r="A21" s="45"/>
      <c r="B21" s="43" t="s">
        <v>161</v>
      </c>
      <c r="C21" s="44">
        <v>402000</v>
      </c>
    </row>
    <row r="22" spans="1:4" x14ac:dyDescent="0.25">
      <c r="A22" s="39"/>
      <c r="B22" s="36" t="s">
        <v>162</v>
      </c>
      <c r="C22" s="37">
        <v>100000</v>
      </c>
    </row>
    <row r="23" spans="1:4" x14ac:dyDescent="0.25">
      <c r="A23" s="39">
        <v>46067</v>
      </c>
      <c r="B23" s="36" t="s">
        <v>163</v>
      </c>
      <c r="C23" s="37">
        <v>500000</v>
      </c>
      <c r="D23" t="s">
        <v>98</v>
      </c>
    </row>
    <row r="24" spans="1:4" x14ac:dyDescent="0.25">
      <c r="A24" s="39">
        <v>46069</v>
      </c>
      <c r="B24" s="36" t="s">
        <v>170</v>
      </c>
      <c r="C24" s="37">
        <v>1500000</v>
      </c>
    </row>
    <row r="25" spans="1:4" x14ac:dyDescent="0.25">
      <c r="A25" s="39"/>
      <c r="B25" s="36" t="s">
        <v>171</v>
      </c>
      <c r="C25" s="37">
        <v>30000</v>
      </c>
    </row>
    <row r="26" spans="1:4" x14ac:dyDescent="0.25">
      <c r="A26" s="39"/>
      <c r="B26" s="36" t="s">
        <v>172</v>
      </c>
      <c r="C26" s="37">
        <v>200000</v>
      </c>
    </row>
    <row r="27" spans="1:4" x14ac:dyDescent="0.25">
      <c r="A27" s="35"/>
      <c r="B27" s="36" t="s">
        <v>175</v>
      </c>
      <c r="C27" s="37">
        <v>353000</v>
      </c>
    </row>
    <row r="28" spans="1:4" x14ac:dyDescent="0.25">
      <c r="A28" s="35">
        <v>46070</v>
      </c>
      <c r="B28" s="36" t="s">
        <v>237</v>
      </c>
      <c r="C28" s="37">
        <v>250000</v>
      </c>
      <c r="D28" t="s">
        <v>5</v>
      </c>
    </row>
    <row r="29" spans="1:4" x14ac:dyDescent="0.25">
      <c r="A29" s="35">
        <v>46074</v>
      </c>
      <c r="B29" s="36" t="s">
        <v>192</v>
      </c>
      <c r="C29" s="37">
        <v>500000</v>
      </c>
      <c r="D29" t="s">
        <v>5</v>
      </c>
    </row>
    <row r="30" spans="1:4" x14ac:dyDescent="0.25">
      <c r="A30" s="46">
        <v>46078</v>
      </c>
      <c r="B30" s="47" t="s">
        <v>195</v>
      </c>
      <c r="C30" s="48">
        <v>280000</v>
      </c>
    </row>
    <row r="31" spans="1:4" x14ac:dyDescent="0.25">
      <c r="A31" s="46"/>
      <c r="B31" s="47" t="s">
        <v>196</v>
      </c>
      <c r="C31" s="48">
        <v>20000</v>
      </c>
    </row>
    <row r="32" spans="1:4" x14ac:dyDescent="0.25">
      <c r="A32" s="46"/>
      <c r="B32" s="47" t="s">
        <v>197</v>
      </c>
      <c r="C32" s="48">
        <v>114500</v>
      </c>
      <c r="D32" t="s">
        <v>5</v>
      </c>
    </row>
    <row r="33" spans="1:4" x14ac:dyDescent="0.25">
      <c r="A33" s="46"/>
      <c r="B33" s="47" t="s">
        <v>200</v>
      </c>
      <c r="C33" s="48">
        <v>300000</v>
      </c>
    </row>
    <row r="34" spans="1:4" x14ac:dyDescent="0.25">
      <c r="A34" s="46">
        <v>46080</v>
      </c>
      <c r="B34" s="258" t="s">
        <v>120</v>
      </c>
      <c r="C34" s="259">
        <v>700000</v>
      </c>
      <c r="D34" s="260" t="s">
        <v>5</v>
      </c>
    </row>
    <row r="35" spans="1:4" x14ac:dyDescent="0.25">
      <c r="A35" s="46"/>
      <c r="B35" s="87" t="s">
        <v>216</v>
      </c>
      <c r="C35" s="88">
        <v>1200000</v>
      </c>
    </row>
    <row r="36" spans="1:4" x14ac:dyDescent="0.25">
      <c r="A36" s="46"/>
      <c r="B36" s="47" t="s">
        <v>206</v>
      </c>
      <c r="C36" s="48">
        <v>100000</v>
      </c>
    </row>
    <row r="37" spans="1:4" x14ac:dyDescent="0.25">
      <c r="A37" s="46"/>
      <c r="B37" s="47" t="s">
        <v>207</v>
      </c>
      <c r="C37" s="48">
        <v>263200</v>
      </c>
      <c r="D37" t="s">
        <v>5</v>
      </c>
    </row>
    <row r="38" spans="1:4" x14ac:dyDescent="0.25">
      <c r="A38" s="46"/>
      <c r="B38" s="47" t="s">
        <v>209</v>
      </c>
      <c r="C38" s="48">
        <v>81500</v>
      </c>
    </row>
    <row r="39" spans="1:4" x14ac:dyDescent="0.25">
      <c r="A39" s="46">
        <v>46081</v>
      </c>
      <c r="B39" s="41" t="s">
        <v>211</v>
      </c>
      <c r="C39" s="42">
        <v>12000</v>
      </c>
    </row>
    <row r="40" spans="1:4" x14ac:dyDescent="0.25">
      <c r="A40" s="46"/>
      <c r="B40" s="83" t="s">
        <v>213</v>
      </c>
      <c r="C40" s="84">
        <v>101000</v>
      </c>
      <c r="D40" t="s">
        <v>98</v>
      </c>
    </row>
    <row r="41" spans="1:4" x14ac:dyDescent="0.25">
      <c r="A41" s="46"/>
      <c r="B41" s="89" t="s">
        <v>217</v>
      </c>
      <c r="C41" s="90">
        <v>420000</v>
      </c>
    </row>
    <row r="42" spans="1:4" ht="23.25" thickBot="1" x14ac:dyDescent="0.5">
      <c r="B42" s="15"/>
      <c r="C42" s="16">
        <f>SUM(C5:C41)</f>
        <v>16585090</v>
      </c>
    </row>
    <row r="43" spans="1:4" x14ac:dyDescent="0.25">
      <c r="A43" s="17"/>
    </row>
    <row r="44" spans="1:4" ht="27" x14ac:dyDescent="0.25">
      <c r="A44" s="283" t="s">
        <v>7</v>
      </c>
      <c r="B44" s="284"/>
      <c r="C44" s="285"/>
    </row>
    <row r="45" spans="1:4" ht="26.25" x14ac:dyDescent="0.35">
      <c r="A45" s="18" t="s">
        <v>2</v>
      </c>
      <c r="B45" s="5" t="s">
        <v>108</v>
      </c>
      <c r="C45" s="19"/>
    </row>
    <row r="46" spans="1:4" ht="24.75" x14ac:dyDescent="0.25">
      <c r="A46" s="13"/>
      <c r="B46" s="20" t="s">
        <v>3</v>
      </c>
      <c r="C46" s="21" t="s">
        <v>4</v>
      </c>
    </row>
    <row r="47" spans="1:4" x14ac:dyDescent="0.25">
      <c r="A47" s="69">
        <v>46054</v>
      </c>
      <c r="B47" s="70" t="s">
        <v>109</v>
      </c>
      <c r="C47" s="71">
        <v>8600</v>
      </c>
    </row>
    <row r="48" spans="1:4" x14ac:dyDescent="0.25">
      <c r="A48" s="39">
        <v>46055</v>
      </c>
      <c r="B48" s="111" t="s">
        <v>144</v>
      </c>
      <c r="C48" s="112">
        <v>300000</v>
      </c>
    </row>
    <row r="49" spans="1:5" x14ac:dyDescent="0.25">
      <c r="A49" s="39"/>
      <c r="B49" s="36" t="s">
        <v>124</v>
      </c>
      <c r="C49" s="68">
        <v>300000</v>
      </c>
    </row>
    <row r="50" spans="1:5" x14ac:dyDescent="0.25">
      <c r="A50" s="39">
        <v>46056</v>
      </c>
      <c r="B50" s="73" t="s">
        <v>118</v>
      </c>
      <c r="C50" s="74">
        <v>60000</v>
      </c>
    </row>
    <row r="51" spans="1:5" x14ac:dyDescent="0.25">
      <c r="A51" s="39">
        <v>46057</v>
      </c>
      <c r="B51" s="36" t="s">
        <v>123</v>
      </c>
      <c r="C51" s="68">
        <v>100000</v>
      </c>
    </row>
    <row r="52" spans="1:5" x14ac:dyDescent="0.25">
      <c r="A52" s="39"/>
      <c r="B52" s="36" t="s">
        <v>126</v>
      </c>
      <c r="C52" s="68">
        <v>25000</v>
      </c>
    </row>
    <row r="53" spans="1:5" x14ac:dyDescent="0.25">
      <c r="A53" s="39">
        <v>46059</v>
      </c>
      <c r="B53" s="36" t="s">
        <v>128</v>
      </c>
      <c r="C53" s="68">
        <v>200000</v>
      </c>
      <c r="D53" t="s">
        <v>130</v>
      </c>
    </row>
    <row r="54" spans="1:5" x14ac:dyDescent="0.25">
      <c r="A54" s="39"/>
      <c r="B54" s="43" t="s">
        <v>132</v>
      </c>
      <c r="C54" s="76">
        <v>207300</v>
      </c>
    </row>
    <row r="55" spans="1:5" x14ac:dyDescent="0.25">
      <c r="A55" s="39"/>
      <c r="B55" s="41" t="s">
        <v>134</v>
      </c>
      <c r="C55" s="42">
        <v>11000</v>
      </c>
    </row>
    <row r="56" spans="1:5" x14ac:dyDescent="0.25">
      <c r="A56" s="39"/>
      <c r="B56" s="41" t="s">
        <v>135</v>
      </c>
      <c r="C56" s="42">
        <v>204000</v>
      </c>
      <c r="D56" t="s">
        <v>5</v>
      </c>
      <c r="E56">
        <v>104000</v>
      </c>
    </row>
    <row r="57" spans="1:5" x14ac:dyDescent="0.25">
      <c r="A57" s="39">
        <v>46060</v>
      </c>
      <c r="B57" s="58" t="s">
        <v>136</v>
      </c>
      <c r="C57" s="59">
        <v>350000</v>
      </c>
    </row>
    <row r="58" spans="1:5" x14ac:dyDescent="0.25">
      <c r="A58" s="39"/>
      <c r="B58" s="58" t="s">
        <v>137</v>
      </c>
      <c r="C58" s="59">
        <v>475000</v>
      </c>
    </row>
    <row r="59" spans="1:5" x14ac:dyDescent="0.25">
      <c r="A59" s="39"/>
      <c r="B59" s="58" t="s">
        <v>138</v>
      </c>
      <c r="C59" s="59">
        <v>410000</v>
      </c>
    </row>
    <row r="60" spans="1:5" x14ac:dyDescent="0.25">
      <c r="A60" s="39"/>
      <c r="B60" s="58" t="s">
        <v>139</v>
      </c>
      <c r="C60" s="59">
        <v>215000</v>
      </c>
    </row>
    <row r="61" spans="1:5" x14ac:dyDescent="0.25">
      <c r="A61" s="39"/>
      <c r="B61" s="58" t="s">
        <v>140</v>
      </c>
      <c r="C61" s="59">
        <v>5000</v>
      </c>
    </row>
    <row r="62" spans="1:5" x14ac:dyDescent="0.25">
      <c r="A62" s="39"/>
      <c r="B62" s="58" t="s">
        <v>141</v>
      </c>
      <c r="C62" s="59">
        <v>45000</v>
      </c>
    </row>
    <row r="63" spans="1:5" x14ac:dyDescent="0.25">
      <c r="A63" s="39"/>
      <c r="B63" s="58" t="s">
        <v>142</v>
      </c>
      <c r="C63" s="59">
        <v>12500</v>
      </c>
    </row>
    <row r="64" spans="1:5" x14ac:dyDescent="0.25">
      <c r="A64" s="39">
        <v>46062</v>
      </c>
      <c r="B64" s="41" t="s">
        <v>148</v>
      </c>
      <c r="C64" s="42">
        <v>100000</v>
      </c>
    </row>
    <row r="65" spans="1:5" x14ac:dyDescent="0.25">
      <c r="A65" s="39"/>
      <c r="B65" s="42" t="s">
        <v>147</v>
      </c>
      <c r="C65" s="42">
        <v>158000</v>
      </c>
    </row>
    <row r="66" spans="1:5" x14ac:dyDescent="0.25">
      <c r="A66" s="39"/>
      <c r="B66" s="41" t="s">
        <v>146</v>
      </c>
      <c r="C66" s="23">
        <v>1450000</v>
      </c>
    </row>
    <row r="67" spans="1:5" x14ac:dyDescent="0.25">
      <c r="A67" s="39">
        <v>46063</v>
      </c>
      <c r="B67" s="36" t="s">
        <v>149</v>
      </c>
      <c r="C67" s="37">
        <v>100000</v>
      </c>
    </row>
    <row r="68" spans="1:5" x14ac:dyDescent="0.25">
      <c r="A68" s="39"/>
      <c r="B68" s="41" t="s">
        <v>151</v>
      </c>
      <c r="C68" s="42">
        <v>85300</v>
      </c>
    </row>
    <row r="69" spans="1:5" x14ac:dyDescent="0.25">
      <c r="A69" s="39">
        <v>46065</v>
      </c>
      <c r="B69" s="41" t="s">
        <v>152</v>
      </c>
      <c r="C69" s="42">
        <v>256000</v>
      </c>
    </row>
    <row r="70" spans="1:5" x14ac:dyDescent="0.25">
      <c r="A70" s="39"/>
      <c r="B70" s="41" t="s">
        <v>155</v>
      </c>
      <c r="C70" s="42">
        <v>763323</v>
      </c>
      <c r="D70" t="s">
        <v>156</v>
      </c>
    </row>
    <row r="71" spans="1:5" x14ac:dyDescent="0.25">
      <c r="A71" s="39">
        <v>46066</v>
      </c>
      <c r="B71" s="41" t="s">
        <v>205</v>
      </c>
      <c r="C71" s="42">
        <v>130000</v>
      </c>
    </row>
    <row r="72" spans="1:5" x14ac:dyDescent="0.25">
      <c r="A72" s="39"/>
      <c r="B72" s="73" t="s">
        <v>158</v>
      </c>
      <c r="C72" s="79">
        <v>180000</v>
      </c>
    </row>
    <row r="73" spans="1:5" x14ac:dyDescent="0.25">
      <c r="A73" s="39"/>
      <c r="B73" s="58" t="s">
        <v>164</v>
      </c>
      <c r="C73" s="59">
        <v>410000</v>
      </c>
    </row>
    <row r="74" spans="1:5" x14ac:dyDescent="0.25">
      <c r="A74" s="39"/>
      <c r="B74" s="58" t="s">
        <v>165</v>
      </c>
      <c r="C74" s="59">
        <v>475000</v>
      </c>
    </row>
    <row r="75" spans="1:5" x14ac:dyDescent="0.25">
      <c r="A75" s="39"/>
      <c r="B75" s="58" t="s">
        <v>167</v>
      </c>
      <c r="C75" s="79">
        <v>10000</v>
      </c>
    </row>
    <row r="76" spans="1:5" x14ac:dyDescent="0.25">
      <c r="A76" s="39"/>
      <c r="B76" s="58" t="s">
        <v>166</v>
      </c>
      <c r="C76" s="59">
        <v>425000</v>
      </c>
      <c r="D76" t="s">
        <v>168</v>
      </c>
      <c r="E76" s="27">
        <f>SUM(C72:C76)</f>
        <v>1500000</v>
      </c>
    </row>
    <row r="77" spans="1:5" x14ac:dyDescent="0.25">
      <c r="A77" s="39">
        <v>46069</v>
      </c>
      <c r="B77" s="41" t="s">
        <v>244</v>
      </c>
      <c r="C77" s="42">
        <v>166000</v>
      </c>
    </row>
    <row r="78" spans="1:5" x14ac:dyDescent="0.25">
      <c r="A78" s="39"/>
      <c r="B78" s="41" t="s">
        <v>173</v>
      </c>
      <c r="C78" s="42">
        <v>25000</v>
      </c>
    </row>
    <row r="79" spans="1:5" x14ac:dyDescent="0.25">
      <c r="A79" s="35"/>
      <c r="B79" s="41" t="s">
        <v>174</v>
      </c>
      <c r="C79" s="42">
        <v>79500</v>
      </c>
    </row>
    <row r="80" spans="1:5" x14ac:dyDescent="0.25">
      <c r="A80" s="39">
        <v>46070</v>
      </c>
      <c r="B80" s="41" t="s">
        <v>177</v>
      </c>
      <c r="C80" s="42">
        <v>191679</v>
      </c>
      <c r="D80" t="s">
        <v>5</v>
      </c>
      <c r="E80" t="s">
        <v>178</v>
      </c>
    </row>
    <row r="81" spans="1:3" x14ac:dyDescent="0.25">
      <c r="A81" s="39"/>
      <c r="B81" s="41" t="s">
        <v>188</v>
      </c>
      <c r="C81" s="42">
        <v>24300</v>
      </c>
    </row>
    <row r="82" spans="1:3" x14ac:dyDescent="0.25">
      <c r="A82" s="39"/>
      <c r="B82" s="41" t="s">
        <v>176</v>
      </c>
      <c r="C82" s="42">
        <v>2000</v>
      </c>
    </row>
    <row r="83" spans="1:3" x14ac:dyDescent="0.25">
      <c r="A83" s="39"/>
      <c r="B83" s="41" t="s">
        <v>179</v>
      </c>
      <c r="C83" s="42">
        <v>46000</v>
      </c>
    </row>
    <row r="84" spans="1:3" x14ac:dyDescent="0.25">
      <c r="A84" s="39"/>
      <c r="B84" s="49" t="s">
        <v>180</v>
      </c>
      <c r="C84" s="50">
        <v>98110</v>
      </c>
    </row>
    <row r="85" spans="1:3" x14ac:dyDescent="0.25">
      <c r="A85" s="39"/>
      <c r="B85" s="65" t="s">
        <v>187</v>
      </c>
      <c r="C85" s="42">
        <v>25000</v>
      </c>
    </row>
    <row r="86" spans="1:3" x14ac:dyDescent="0.25">
      <c r="A86" s="39"/>
      <c r="B86" s="36" t="s">
        <v>181</v>
      </c>
      <c r="C86" s="42">
        <v>51000</v>
      </c>
    </row>
    <row r="87" spans="1:3" x14ac:dyDescent="0.25">
      <c r="A87" s="39"/>
      <c r="B87" s="36" t="s">
        <v>238</v>
      </c>
      <c r="C87" s="42">
        <v>15000</v>
      </c>
    </row>
    <row r="88" spans="1:3" x14ac:dyDescent="0.25">
      <c r="A88" s="39">
        <v>46072</v>
      </c>
      <c r="B88" s="41" t="s">
        <v>182</v>
      </c>
      <c r="C88" s="42">
        <v>109500</v>
      </c>
    </row>
    <row r="89" spans="1:3" x14ac:dyDescent="0.25">
      <c r="A89" s="39"/>
      <c r="B89" s="41" t="s">
        <v>183</v>
      </c>
      <c r="C89" s="42">
        <v>10000</v>
      </c>
    </row>
    <row r="90" spans="1:3" x14ac:dyDescent="0.25">
      <c r="A90" s="39"/>
      <c r="B90" s="41" t="s">
        <v>184</v>
      </c>
      <c r="C90" s="42">
        <v>30000</v>
      </c>
    </row>
    <row r="91" spans="1:3" x14ac:dyDescent="0.25">
      <c r="A91" s="39"/>
      <c r="B91" s="51" t="s">
        <v>185</v>
      </c>
      <c r="C91" s="52">
        <v>5550</v>
      </c>
    </row>
    <row r="92" spans="1:3" x14ac:dyDescent="0.25">
      <c r="A92" s="39">
        <v>46073</v>
      </c>
      <c r="B92" s="41" t="s">
        <v>186</v>
      </c>
      <c r="C92" s="42">
        <v>7000</v>
      </c>
    </row>
    <row r="93" spans="1:3" x14ac:dyDescent="0.25">
      <c r="A93" s="39"/>
      <c r="B93" s="73" t="s">
        <v>193</v>
      </c>
      <c r="C93" s="59">
        <v>280000</v>
      </c>
    </row>
    <row r="94" spans="1:3" x14ac:dyDescent="0.25">
      <c r="A94" s="39"/>
      <c r="B94" s="73" t="s">
        <v>189</v>
      </c>
      <c r="C94" s="59">
        <v>475000</v>
      </c>
    </row>
    <row r="95" spans="1:3" x14ac:dyDescent="0.25">
      <c r="A95" s="39"/>
      <c r="B95" s="73" t="s">
        <v>190</v>
      </c>
      <c r="C95" s="59">
        <v>375000</v>
      </c>
    </row>
    <row r="96" spans="1:3" x14ac:dyDescent="0.25">
      <c r="A96" s="39"/>
      <c r="B96" s="73" t="s">
        <v>191</v>
      </c>
      <c r="C96" s="59">
        <v>410000</v>
      </c>
    </row>
    <row r="97" spans="1:3" x14ac:dyDescent="0.25">
      <c r="A97" s="39"/>
      <c r="B97" s="51" t="s">
        <v>194</v>
      </c>
      <c r="C97" s="52">
        <v>100000</v>
      </c>
    </row>
    <row r="98" spans="1:3" x14ac:dyDescent="0.25">
      <c r="A98" s="39"/>
      <c r="B98" s="51" t="s">
        <v>204</v>
      </c>
      <c r="C98" s="52">
        <v>30000</v>
      </c>
    </row>
    <row r="99" spans="1:3" x14ac:dyDescent="0.25">
      <c r="A99" s="39"/>
      <c r="B99" s="51" t="s">
        <v>203</v>
      </c>
      <c r="C99" s="52">
        <v>300000</v>
      </c>
    </row>
    <row r="100" spans="1:3" x14ac:dyDescent="0.25">
      <c r="A100" s="39"/>
      <c r="B100" s="51" t="s">
        <v>201</v>
      </c>
      <c r="C100" s="52">
        <v>30000</v>
      </c>
    </row>
    <row r="101" spans="1:3" x14ac:dyDescent="0.25">
      <c r="A101" s="39">
        <v>46078</v>
      </c>
      <c r="B101" s="51" t="s">
        <v>198</v>
      </c>
      <c r="C101" s="52">
        <v>129555</v>
      </c>
    </row>
    <row r="102" spans="1:3" x14ac:dyDescent="0.25">
      <c r="A102" s="39"/>
      <c r="B102" s="51" t="s">
        <v>199</v>
      </c>
      <c r="C102" s="52">
        <v>120100</v>
      </c>
    </row>
    <row r="103" spans="1:3" x14ac:dyDescent="0.25">
      <c r="A103" s="39"/>
      <c r="B103" s="81" t="s">
        <v>202</v>
      </c>
      <c r="C103" s="82">
        <v>70000</v>
      </c>
    </row>
    <row r="104" spans="1:3" x14ac:dyDescent="0.25">
      <c r="A104" s="39">
        <v>46081</v>
      </c>
      <c r="B104" s="58" t="s">
        <v>239</v>
      </c>
      <c r="C104" s="59">
        <v>425000</v>
      </c>
    </row>
    <row r="105" spans="1:3" x14ac:dyDescent="0.25">
      <c r="A105" s="39"/>
      <c r="B105" s="58" t="s">
        <v>240</v>
      </c>
      <c r="C105" s="59">
        <v>475000</v>
      </c>
    </row>
    <row r="106" spans="1:3" x14ac:dyDescent="0.25">
      <c r="A106" s="39"/>
      <c r="B106" s="58" t="s">
        <v>241</v>
      </c>
      <c r="C106" s="59">
        <v>410000</v>
      </c>
    </row>
    <row r="107" spans="1:3" x14ac:dyDescent="0.25">
      <c r="A107" s="39"/>
      <c r="B107" s="58" t="s">
        <v>208</v>
      </c>
      <c r="C107" s="59">
        <v>10000</v>
      </c>
    </row>
    <row r="108" spans="1:3" x14ac:dyDescent="0.25">
      <c r="A108" s="39"/>
      <c r="B108" s="41" t="s">
        <v>210</v>
      </c>
      <c r="C108" s="42">
        <v>20000</v>
      </c>
    </row>
    <row r="109" spans="1:3" x14ac:dyDescent="0.25">
      <c r="A109" s="39"/>
      <c r="B109" s="41" t="s">
        <v>212</v>
      </c>
      <c r="C109" s="42">
        <v>50000</v>
      </c>
    </row>
    <row r="110" spans="1:3" x14ac:dyDescent="0.25">
      <c r="A110" s="39"/>
      <c r="B110" s="51" t="s">
        <v>243</v>
      </c>
      <c r="C110" s="52">
        <v>500000</v>
      </c>
    </row>
    <row r="111" spans="1:3" x14ac:dyDescent="0.25">
      <c r="A111" s="39"/>
      <c r="B111" s="109" t="s">
        <v>226</v>
      </c>
      <c r="C111" s="80">
        <v>180000</v>
      </c>
    </row>
    <row r="112" spans="1:3" x14ac:dyDescent="0.25">
      <c r="A112" s="39"/>
      <c r="B112" s="109" t="s">
        <v>227</v>
      </c>
      <c r="C112" s="80">
        <v>180000</v>
      </c>
    </row>
    <row r="113" spans="1:4" x14ac:dyDescent="0.25">
      <c r="A113" s="39"/>
      <c r="B113" s="109" t="s">
        <v>233</v>
      </c>
      <c r="C113" s="80">
        <v>180000</v>
      </c>
    </row>
    <row r="114" spans="1:4" x14ac:dyDescent="0.25">
      <c r="A114" s="39"/>
      <c r="B114" s="109" t="s">
        <v>235</v>
      </c>
      <c r="C114" s="80">
        <v>240000</v>
      </c>
    </row>
    <row r="115" spans="1:4" x14ac:dyDescent="0.25">
      <c r="A115" s="39"/>
      <c r="B115" s="103" t="s">
        <v>236</v>
      </c>
      <c r="C115" s="104">
        <v>300000</v>
      </c>
    </row>
    <row r="116" spans="1:4" ht="22.5" x14ac:dyDescent="0.45">
      <c r="A116" s="13"/>
      <c r="B116" s="24"/>
      <c r="C116" s="25">
        <f>SUM(C47:C115)</f>
        <v>13646317</v>
      </c>
      <c r="D116" s="26">
        <f>C42-C116</f>
        <v>2938773</v>
      </c>
    </row>
    <row r="117" spans="1:4" ht="22.5" x14ac:dyDescent="0.45">
      <c r="A117" s="13"/>
      <c r="B117" s="28" t="s">
        <v>9</v>
      </c>
      <c r="C117" s="29">
        <f>C3+C42-C116</f>
        <v>64040</v>
      </c>
    </row>
    <row r="119" spans="1:4" x14ac:dyDescent="0.25">
      <c r="A119" t="s">
        <v>219</v>
      </c>
      <c r="D119" s="27">
        <f>C120+C121</f>
        <v>1995000</v>
      </c>
    </row>
    <row r="120" spans="1:4" x14ac:dyDescent="0.25">
      <c r="A120" t="s">
        <v>220</v>
      </c>
      <c r="C120" s="23">
        <v>945000</v>
      </c>
    </row>
    <row r="121" spans="1:4" x14ac:dyDescent="0.25">
      <c r="A121" t="s">
        <v>221</v>
      </c>
      <c r="C121" s="23">
        <v>1050000</v>
      </c>
    </row>
    <row r="122" spans="1:4" x14ac:dyDescent="0.25">
      <c r="A122" t="s">
        <v>222</v>
      </c>
      <c r="D122" s="27">
        <f>D119+D116</f>
        <v>4933773</v>
      </c>
    </row>
    <row r="123" spans="1:4" x14ac:dyDescent="0.25">
      <c r="A123" t="s">
        <v>224</v>
      </c>
      <c r="D123" s="23">
        <f>1472000*2</f>
        <v>2944000</v>
      </c>
    </row>
    <row r="124" spans="1:4" x14ac:dyDescent="0.25">
      <c r="A124" t="s">
        <v>225</v>
      </c>
      <c r="D124" s="23">
        <f>(334613*2)+(272704*2)</f>
        <v>1214634</v>
      </c>
    </row>
    <row r="125" spans="1:4" x14ac:dyDescent="0.25">
      <c r="A125" t="s">
        <v>223</v>
      </c>
      <c r="D125" s="27">
        <f>D122-(D123+D124)</f>
        <v>775139</v>
      </c>
    </row>
    <row r="130" spans="2:8" x14ac:dyDescent="0.25">
      <c r="B130" s="23"/>
    </row>
    <row r="131" spans="2:8" x14ac:dyDescent="0.25">
      <c r="B131" s="23"/>
    </row>
    <row r="132" spans="2:8" x14ac:dyDescent="0.25">
      <c r="B132" s="23"/>
    </row>
    <row r="133" spans="2:8" x14ac:dyDescent="0.25">
      <c r="B133" s="27"/>
    </row>
    <row r="136" spans="2:8" x14ac:dyDescent="0.25">
      <c r="H136" s="23"/>
    </row>
  </sheetData>
  <mergeCells count="1">
    <mergeCell ref="A44:C44"/>
  </mergeCells>
  <pageMargins left="0.7" right="0.7" top="0.75" bottom="0.75" header="0.3" footer="0.3"/>
  <pageSetup paperSize="9" scale="3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C5DD-C7F1-4927-AB75-3631E72F9580}">
  <sheetPr>
    <pageSetUpPr fitToPage="1"/>
  </sheetPr>
  <dimension ref="A1:O148"/>
  <sheetViews>
    <sheetView topLeftCell="A62" zoomScale="95" zoomScaleNormal="95" workbookViewId="0">
      <selection activeCell="B72" sqref="B72"/>
    </sheetView>
  </sheetViews>
  <sheetFormatPr baseColWidth="10" defaultRowHeight="15" x14ac:dyDescent="0.25"/>
  <cols>
    <col min="2" max="2" width="70.5703125" bestFit="1" customWidth="1"/>
    <col min="3" max="3" width="18.140625" bestFit="1" customWidth="1"/>
    <col min="4" max="4" width="16.42578125" customWidth="1"/>
    <col min="5" max="5" width="16.85546875" bestFit="1" customWidth="1"/>
    <col min="6" max="6" width="22.85546875" customWidth="1"/>
    <col min="7" max="7" width="14" customWidth="1"/>
    <col min="8" max="8" width="13.42578125" bestFit="1" customWidth="1"/>
    <col min="9" max="9" width="25" bestFit="1" customWidth="1"/>
    <col min="15" max="15" width="19.42578125" customWidth="1"/>
  </cols>
  <sheetData>
    <row r="1" spans="1:4" ht="26.25" x14ac:dyDescent="0.25">
      <c r="A1" s="1"/>
      <c r="B1" s="2" t="s">
        <v>0</v>
      </c>
      <c r="C1" s="3"/>
    </row>
    <row r="2" spans="1:4" ht="24" x14ac:dyDescent="0.4">
      <c r="A2" s="4"/>
      <c r="B2" s="5" t="s">
        <v>214</v>
      </c>
      <c r="C2" s="6"/>
    </row>
    <row r="3" spans="1:4" ht="23.25" x14ac:dyDescent="0.35">
      <c r="A3" s="7"/>
      <c r="B3" s="8"/>
      <c r="C3" s="9">
        <f>FEBRERO!C117</f>
        <v>64040</v>
      </c>
    </row>
    <row r="4" spans="1:4" ht="15.75" x14ac:dyDescent="0.25">
      <c r="A4" s="10"/>
      <c r="B4" s="11"/>
      <c r="C4" s="12" t="s">
        <v>4</v>
      </c>
    </row>
    <row r="5" spans="1:4" x14ac:dyDescent="0.25">
      <c r="A5" s="116">
        <v>46085</v>
      </c>
      <c r="B5" s="118" t="s">
        <v>263</v>
      </c>
      <c r="C5" s="119">
        <v>190350</v>
      </c>
    </row>
    <row r="6" spans="1:4" x14ac:dyDescent="0.25">
      <c r="A6" s="116"/>
      <c r="B6" s="120" t="s">
        <v>264</v>
      </c>
      <c r="C6" s="121">
        <v>60180</v>
      </c>
    </row>
    <row r="7" spans="1:4" x14ac:dyDescent="0.25">
      <c r="A7" s="116"/>
      <c r="B7" s="120" t="s">
        <v>265</v>
      </c>
      <c r="C7" s="122">
        <v>1300000</v>
      </c>
    </row>
    <row r="8" spans="1:4" x14ac:dyDescent="0.25">
      <c r="A8" s="117"/>
      <c r="B8" s="120" t="s">
        <v>266</v>
      </c>
      <c r="C8" s="122">
        <v>600000</v>
      </c>
      <c r="D8" t="s">
        <v>5</v>
      </c>
    </row>
    <row r="9" spans="1:4" x14ac:dyDescent="0.25">
      <c r="A9" s="116"/>
      <c r="B9" s="120" t="s">
        <v>267</v>
      </c>
      <c r="C9" s="123">
        <v>1926830</v>
      </c>
      <c r="D9" t="s">
        <v>67</v>
      </c>
    </row>
    <row r="10" spans="1:4" x14ac:dyDescent="0.25">
      <c r="A10" s="117"/>
      <c r="B10" s="120" t="s">
        <v>268</v>
      </c>
      <c r="C10" s="122">
        <v>600000</v>
      </c>
    </row>
    <row r="11" spans="1:4" x14ac:dyDescent="0.25">
      <c r="A11" s="116"/>
      <c r="B11" s="120" t="s">
        <v>269</v>
      </c>
      <c r="C11" s="122">
        <v>80000</v>
      </c>
    </row>
    <row r="12" spans="1:4" x14ac:dyDescent="0.25">
      <c r="A12" s="116"/>
      <c r="B12" s="118" t="s">
        <v>270</v>
      </c>
      <c r="C12" s="119">
        <v>65000</v>
      </c>
    </row>
    <row r="13" spans="1:4" x14ac:dyDescent="0.25">
      <c r="A13" s="116"/>
      <c r="B13" s="124" t="s">
        <v>215</v>
      </c>
      <c r="C13" s="125">
        <v>500000</v>
      </c>
      <c r="D13" t="s">
        <v>215</v>
      </c>
    </row>
    <row r="14" spans="1:4" x14ac:dyDescent="0.25">
      <c r="A14" s="116"/>
      <c r="B14" s="120" t="s">
        <v>271</v>
      </c>
      <c r="C14" s="122">
        <v>1206000</v>
      </c>
    </row>
    <row r="15" spans="1:4" x14ac:dyDescent="0.25">
      <c r="A15" s="116"/>
      <c r="B15" s="124" t="s">
        <v>272</v>
      </c>
      <c r="C15" s="125">
        <v>28000</v>
      </c>
    </row>
    <row r="16" spans="1:4" x14ac:dyDescent="0.25">
      <c r="A16" s="116">
        <v>46088</v>
      </c>
      <c r="B16" s="124" t="s">
        <v>273</v>
      </c>
      <c r="C16" s="125">
        <v>50000</v>
      </c>
      <c r="D16" t="s">
        <v>25</v>
      </c>
    </row>
    <row r="17" spans="1:4" x14ac:dyDescent="0.25">
      <c r="A17" s="116"/>
      <c r="B17" s="124" t="s">
        <v>274</v>
      </c>
      <c r="C17" s="125">
        <v>339000</v>
      </c>
      <c r="D17" t="s">
        <v>5</v>
      </c>
    </row>
    <row r="18" spans="1:4" x14ac:dyDescent="0.25">
      <c r="A18" s="116"/>
      <c r="B18" s="126" t="s">
        <v>275</v>
      </c>
      <c r="C18" s="127">
        <v>647400</v>
      </c>
      <c r="D18" t="s">
        <v>98</v>
      </c>
    </row>
    <row r="19" spans="1:4" x14ac:dyDescent="0.25">
      <c r="A19" s="117">
        <v>46092</v>
      </c>
      <c r="B19" s="120" t="s">
        <v>276</v>
      </c>
      <c r="C19" s="122">
        <v>221000</v>
      </c>
    </row>
    <row r="20" spans="1:4" x14ac:dyDescent="0.25">
      <c r="A20" s="117"/>
      <c r="B20" s="120" t="s">
        <v>277</v>
      </c>
      <c r="C20" s="122">
        <v>125000</v>
      </c>
    </row>
    <row r="21" spans="1:4" x14ac:dyDescent="0.25">
      <c r="A21" s="117">
        <v>46094</v>
      </c>
      <c r="B21" s="120" t="s">
        <v>278</v>
      </c>
      <c r="C21" s="122">
        <v>57600</v>
      </c>
    </row>
    <row r="22" spans="1:4" x14ac:dyDescent="0.25">
      <c r="A22" s="45"/>
      <c r="B22" s="128" t="s">
        <v>279</v>
      </c>
      <c r="C22" s="129">
        <v>530000</v>
      </c>
      <c r="D22">
        <v>533350</v>
      </c>
    </row>
    <row r="23" spans="1:4" x14ac:dyDescent="0.25">
      <c r="A23" s="117"/>
      <c r="B23" s="120" t="s">
        <v>280</v>
      </c>
      <c r="C23" s="122">
        <v>250000</v>
      </c>
      <c r="D23" t="s">
        <v>5</v>
      </c>
    </row>
    <row r="24" spans="1:4" x14ac:dyDescent="0.25">
      <c r="A24" s="117">
        <v>46095</v>
      </c>
      <c r="B24" s="120" t="s">
        <v>32</v>
      </c>
      <c r="C24" s="122">
        <v>1000000</v>
      </c>
      <c r="D24" t="s">
        <v>5</v>
      </c>
    </row>
    <row r="25" spans="1:4" x14ac:dyDescent="0.25">
      <c r="A25" s="117"/>
      <c r="B25" s="120" t="s">
        <v>281</v>
      </c>
      <c r="C25" s="122">
        <v>727500</v>
      </c>
      <c r="D25" s="23"/>
    </row>
    <row r="26" spans="1:4" x14ac:dyDescent="0.25">
      <c r="A26" s="117">
        <v>46097</v>
      </c>
      <c r="B26" s="120" t="s">
        <v>282</v>
      </c>
      <c r="C26" s="122">
        <v>55000</v>
      </c>
    </row>
    <row r="27" spans="1:4" x14ac:dyDescent="0.25">
      <c r="A27" s="116"/>
      <c r="B27" s="120" t="s">
        <v>283</v>
      </c>
      <c r="C27" s="122">
        <v>250000</v>
      </c>
    </row>
    <row r="28" spans="1:4" x14ac:dyDescent="0.25">
      <c r="A28" s="116"/>
      <c r="B28" s="120" t="s">
        <v>32</v>
      </c>
      <c r="C28" s="122">
        <v>410620</v>
      </c>
      <c r="D28" t="s">
        <v>5</v>
      </c>
    </row>
    <row r="29" spans="1:4" x14ac:dyDescent="0.25">
      <c r="A29" s="117">
        <v>46098</v>
      </c>
      <c r="B29" s="130" t="s">
        <v>284</v>
      </c>
      <c r="C29" s="131">
        <v>247000</v>
      </c>
    </row>
    <row r="30" spans="1:4" x14ac:dyDescent="0.25">
      <c r="A30" s="46"/>
      <c r="B30" s="130" t="s">
        <v>301</v>
      </c>
      <c r="C30" s="131">
        <v>200000</v>
      </c>
    </row>
    <row r="31" spans="1:4" x14ac:dyDescent="0.25">
      <c r="A31" s="46">
        <v>46100</v>
      </c>
      <c r="B31" s="128" t="s">
        <v>793</v>
      </c>
      <c r="C31" s="129">
        <v>342135</v>
      </c>
      <c r="D31" t="s">
        <v>5</v>
      </c>
    </row>
    <row r="32" spans="1:4" x14ac:dyDescent="0.25">
      <c r="A32" s="46"/>
      <c r="B32" s="130" t="s">
        <v>302</v>
      </c>
      <c r="C32" s="131">
        <v>1320000</v>
      </c>
    </row>
    <row r="33" spans="1:4" x14ac:dyDescent="0.25">
      <c r="A33" s="46">
        <v>46101</v>
      </c>
      <c r="B33" s="130" t="s">
        <v>303</v>
      </c>
      <c r="C33" s="131">
        <v>300000</v>
      </c>
    </row>
    <row r="34" spans="1:4" x14ac:dyDescent="0.25">
      <c r="A34" s="46">
        <v>46104</v>
      </c>
      <c r="B34" s="130" t="s">
        <v>303</v>
      </c>
      <c r="C34" s="131">
        <v>300000</v>
      </c>
      <c r="D34" t="s">
        <v>5</v>
      </c>
    </row>
    <row r="35" spans="1:4" x14ac:dyDescent="0.25">
      <c r="A35" s="46">
        <v>46107</v>
      </c>
      <c r="B35" s="130" t="s">
        <v>304</v>
      </c>
      <c r="C35" s="131">
        <v>72000</v>
      </c>
    </row>
    <row r="36" spans="1:4" x14ac:dyDescent="0.25">
      <c r="A36" s="46"/>
      <c r="B36" s="130" t="s">
        <v>305</v>
      </c>
      <c r="C36" s="131">
        <v>26350</v>
      </c>
    </row>
    <row r="37" spans="1:4" x14ac:dyDescent="0.25">
      <c r="A37" s="46"/>
      <c r="B37" s="130" t="s">
        <v>306</v>
      </c>
      <c r="C37" s="131">
        <v>96000</v>
      </c>
    </row>
    <row r="38" spans="1:4" x14ac:dyDescent="0.25">
      <c r="A38" s="46"/>
      <c r="B38" s="130" t="s">
        <v>307</v>
      </c>
      <c r="C38" s="131">
        <v>88000</v>
      </c>
    </row>
    <row r="39" spans="1:4" x14ac:dyDescent="0.25">
      <c r="A39" s="46"/>
      <c r="B39" s="130" t="s">
        <v>308</v>
      </c>
      <c r="C39" s="131">
        <v>100000</v>
      </c>
    </row>
    <row r="40" spans="1:4" x14ac:dyDescent="0.25">
      <c r="A40" s="46"/>
      <c r="B40" s="130" t="s">
        <v>309</v>
      </c>
      <c r="C40" s="131">
        <v>20000</v>
      </c>
    </row>
    <row r="41" spans="1:4" x14ac:dyDescent="0.25">
      <c r="A41" s="46"/>
      <c r="B41" s="130" t="s">
        <v>310</v>
      </c>
      <c r="C41" s="131">
        <v>383550</v>
      </c>
    </row>
    <row r="42" spans="1:4" x14ac:dyDescent="0.25">
      <c r="A42" s="46"/>
      <c r="B42" s="130" t="s">
        <v>311</v>
      </c>
      <c r="C42" s="131">
        <v>20000</v>
      </c>
    </row>
    <row r="43" spans="1:4" x14ac:dyDescent="0.25">
      <c r="A43" s="46"/>
      <c r="B43" s="130" t="s">
        <v>312</v>
      </c>
      <c r="C43" s="131">
        <v>1000000</v>
      </c>
      <c r="D43" t="s">
        <v>98</v>
      </c>
    </row>
    <row r="44" spans="1:4" x14ac:dyDescent="0.25">
      <c r="A44" s="46">
        <v>46111</v>
      </c>
      <c r="B44" s="130" t="s">
        <v>313</v>
      </c>
      <c r="C44" s="131">
        <v>107000</v>
      </c>
    </row>
    <row r="45" spans="1:4" x14ac:dyDescent="0.25">
      <c r="A45" s="46">
        <v>46112</v>
      </c>
      <c r="B45" s="130" t="s">
        <v>314</v>
      </c>
      <c r="C45" s="131">
        <v>785450</v>
      </c>
    </row>
    <row r="46" spans="1:4" x14ac:dyDescent="0.25">
      <c r="A46" s="46"/>
      <c r="B46" s="130" t="s">
        <v>315</v>
      </c>
      <c r="C46" s="131">
        <v>800000</v>
      </c>
    </row>
    <row r="47" spans="1:4" ht="23.25" thickBot="1" x14ac:dyDescent="0.5">
      <c r="B47" s="15"/>
      <c r="C47" s="114">
        <f>SUM(C5:C46)</f>
        <v>17426965</v>
      </c>
    </row>
    <row r="48" spans="1:4" ht="15.75" thickBot="1" x14ac:dyDescent="0.3">
      <c r="A48" s="132"/>
    </row>
    <row r="49" spans="1:4" ht="27" x14ac:dyDescent="0.25">
      <c r="A49" s="286" t="s">
        <v>7</v>
      </c>
      <c r="B49" s="287"/>
      <c r="C49" s="288"/>
    </row>
    <row r="50" spans="1:4" ht="26.25" x14ac:dyDescent="0.35">
      <c r="A50" s="133"/>
      <c r="B50" s="5" t="s">
        <v>214</v>
      </c>
      <c r="C50" s="134"/>
    </row>
    <row r="51" spans="1:4" x14ac:dyDescent="0.25">
      <c r="A51" s="136">
        <v>46084</v>
      </c>
      <c r="B51" s="255" t="s">
        <v>352</v>
      </c>
      <c r="C51" s="256">
        <v>441120</v>
      </c>
    </row>
    <row r="52" spans="1:4" x14ac:dyDescent="0.25">
      <c r="A52" s="136"/>
      <c r="B52" s="255" t="s">
        <v>353</v>
      </c>
      <c r="C52" s="256">
        <v>558880</v>
      </c>
    </row>
    <row r="53" spans="1:4" x14ac:dyDescent="0.25">
      <c r="A53" s="136"/>
      <c r="B53" s="255" t="s">
        <v>354</v>
      </c>
      <c r="C53" s="257">
        <v>435400</v>
      </c>
    </row>
    <row r="54" spans="1:4" x14ac:dyDescent="0.25">
      <c r="A54" s="136"/>
      <c r="B54" s="36" t="s">
        <v>355</v>
      </c>
      <c r="C54" s="121">
        <v>100000</v>
      </c>
    </row>
    <row r="55" spans="1:4" x14ac:dyDescent="0.25">
      <c r="A55" s="136">
        <v>46085</v>
      </c>
      <c r="B55" s="36" t="s">
        <v>356</v>
      </c>
      <c r="C55" s="121">
        <v>70000</v>
      </c>
    </row>
    <row r="56" spans="1:4" x14ac:dyDescent="0.25">
      <c r="A56" s="136"/>
      <c r="B56" s="41" t="s">
        <v>357</v>
      </c>
      <c r="C56" s="125">
        <v>50000</v>
      </c>
    </row>
    <row r="57" spans="1:4" x14ac:dyDescent="0.25">
      <c r="A57" s="136">
        <v>46087</v>
      </c>
      <c r="B57" s="41" t="s">
        <v>358</v>
      </c>
      <c r="C57" s="125">
        <v>24950</v>
      </c>
      <c r="D57" t="s">
        <v>5</v>
      </c>
    </row>
    <row r="58" spans="1:4" x14ac:dyDescent="0.25">
      <c r="A58" s="136"/>
      <c r="B58" s="41" t="s">
        <v>359</v>
      </c>
      <c r="C58" s="125">
        <v>24950</v>
      </c>
      <c r="D58" t="s">
        <v>5</v>
      </c>
    </row>
    <row r="59" spans="1:4" x14ac:dyDescent="0.25">
      <c r="A59" s="136">
        <v>46088</v>
      </c>
      <c r="B59" s="58" t="s">
        <v>360</v>
      </c>
      <c r="C59" s="137">
        <v>550000</v>
      </c>
    </row>
    <row r="60" spans="1:4" x14ac:dyDescent="0.25">
      <c r="A60" s="136"/>
      <c r="B60" s="58" t="s">
        <v>361</v>
      </c>
      <c r="C60" s="137">
        <v>410000</v>
      </c>
    </row>
    <row r="61" spans="1:4" x14ac:dyDescent="0.25">
      <c r="A61" s="136"/>
      <c r="B61" s="58" t="s">
        <v>362</v>
      </c>
      <c r="C61" s="137">
        <v>425000</v>
      </c>
    </row>
    <row r="62" spans="1:4" x14ac:dyDescent="0.25">
      <c r="A62" s="136"/>
      <c r="B62" s="58" t="s">
        <v>363</v>
      </c>
      <c r="C62" s="137">
        <v>12000</v>
      </c>
    </row>
    <row r="63" spans="1:4" x14ac:dyDescent="0.25">
      <c r="A63" s="138">
        <v>46091</v>
      </c>
      <c r="B63" s="41" t="s">
        <v>364</v>
      </c>
      <c r="C63" s="125">
        <v>100000</v>
      </c>
    </row>
    <row r="64" spans="1:4" x14ac:dyDescent="0.25">
      <c r="A64" s="136"/>
      <c r="B64" s="110" t="s">
        <v>365</v>
      </c>
      <c r="C64" s="139">
        <v>70000</v>
      </c>
    </row>
    <row r="65" spans="1:5" x14ac:dyDescent="0.25">
      <c r="A65" s="136">
        <v>46092</v>
      </c>
      <c r="B65" s="41" t="s">
        <v>366</v>
      </c>
      <c r="C65" s="125">
        <v>50000</v>
      </c>
      <c r="D65" t="s">
        <v>218</v>
      </c>
    </row>
    <row r="66" spans="1:5" x14ac:dyDescent="0.25">
      <c r="A66" s="136"/>
      <c r="B66" s="82" t="s">
        <v>367</v>
      </c>
      <c r="C66" s="139">
        <v>40000</v>
      </c>
      <c r="E66" s="23">
        <v>60000</v>
      </c>
    </row>
    <row r="67" spans="1:5" x14ac:dyDescent="0.25">
      <c r="A67" s="136"/>
      <c r="B67" s="36" t="s">
        <v>368</v>
      </c>
      <c r="C67" s="122">
        <v>100000</v>
      </c>
    </row>
    <row r="68" spans="1:5" x14ac:dyDescent="0.25">
      <c r="A68" s="136"/>
      <c r="B68" s="41" t="s">
        <v>369</v>
      </c>
      <c r="C68" s="125">
        <v>15800</v>
      </c>
    </row>
    <row r="69" spans="1:5" x14ac:dyDescent="0.25">
      <c r="A69" s="136"/>
      <c r="B69" s="41" t="s">
        <v>370</v>
      </c>
      <c r="C69" s="125">
        <v>10000</v>
      </c>
    </row>
    <row r="70" spans="1:5" x14ac:dyDescent="0.25">
      <c r="A70" s="136"/>
      <c r="B70" s="41" t="s">
        <v>371</v>
      </c>
      <c r="C70" s="125">
        <v>32000</v>
      </c>
    </row>
    <row r="71" spans="1:5" x14ac:dyDescent="0.25">
      <c r="A71" s="136"/>
      <c r="B71" s="36" t="s">
        <v>372</v>
      </c>
      <c r="C71" s="122">
        <v>21600</v>
      </c>
    </row>
    <row r="72" spans="1:5" x14ac:dyDescent="0.25">
      <c r="A72" s="136"/>
      <c r="B72" s="41" t="s">
        <v>373</v>
      </c>
      <c r="C72" s="122">
        <v>300000</v>
      </c>
    </row>
    <row r="73" spans="1:5" x14ac:dyDescent="0.25">
      <c r="A73" s="136">
        <v>46094</v>
      </c>
      <c r="B73" s="41" t="s">
        <v>374</v>
      </c>
      <c r="C73" s="125">
        <v>147000</v>
      </c>
    </row>
    <row r="74" spans="1:5" x14ac:dyDescent="0.25">
      <c r="A74" s="136"/>
      <c r="B74" s="91" t="s">
        <v>375</v>
      </c>
      <c r="C74" s="140">
        <v>340000</v>
      </c>
      <c r="D74" t="s">
        <v>5</v>
      </c>
    </row>
    <row r="75" spans="1:5" x14ac:dyDescent="0.25">
      <c r="A75" s="136">
        <v>46095</v>
      </c>
      <c r="B75" s="58" t="s">
        <v>376</v>
      </c>
      <c r="C75" s="137">
        <v>550000</v>
      </c>
    </row>
    <row r="76" spans="1:5" x14ac:dyDescent="0.25">
      <c r="A76" s="136"/>
      <c r="B76" s="58" t="s">
        <v>377</v>
      </c>
      <c r="C76" s="137">
        <v>410000</v>
      </c>
    </row>
    <row r="77" spans="1:5" x14ac:dyDescent="0.25">
      <c r="A77" s="138"/>
      <c r="B77" s="58" t="s">
        <v>378</v>
      </c>
      <c r="C77" s="137">
        <v>425000</v>
      </c>
    </row>
    <row r="78" spans="1:5" x14ac:dyDescent="0.25">
      <c r="A78" s="136"/>
      <c r="B78" s="58" t="s">
        <v>379</v>
      </c>
      <c r="C78" s="137">
        <v>100000</v>
      </c>
    </row>
    <row r="79" spans="1:5" x14ac:dyDescent="0.25">
      <c r="A79" s="136"/>
      <c r="B79" s="58" t="s">
        <v>380</v>
      </c>
      <c r="C79" s="137">
        <v>20000</v>
      </c>
    </row>
    <row r="80" spans="1:5" x14ac:dyDescent="0.25">
      <c r="A80" s="136"/>
      <c r="B80" s="58" t="s">
        <v>381</v>
      </c>
      <c r="C80" s="137">
        <v>20000</v>
      </c>
    </row>
    <row r="81" spans="1:4" x14ac:dyDescent="0.25">
      <c r="A81" s="136">
        <v>46097</v>
      </c>
      <c r="B81" s="49" t="s">
        <v>382</v>
      </c>
      <c r="C81" s="141">
        <v>120621</v>
      </c>
    </row>
    <row r="82" spans="1:4" x14ac:dyDescent="0.25">
      <c r="A82" s="136"/>
      <c r="B82" s="65" t="s">
        <v>383</v>
      </c>
      <c r="C82" s="125">
        <v>27720</v>
      </c>
    </row>
    <row r="83" spans="1:4" x14ac:dyDescent="0.25">
      <c r="A83" s="136"/>
      <c r="B83" s="36" t="s">
        <v>384</v>
      </c>
      <c r="C83" s="125">
        <v>13360</v>
      </c>
    </row>
    <row r="84" spans="1:4" x14ac:dyDescent="0.25">
      <c r="A84" s="136"/>
      <c r="B84" s="106" t="s">
        <v>385</v>
      </c>
      <c r="C84" s="142">
        <v>340000</v>
      </c>
      <c r="D84" s="107" t="s">
        <v>5</v>
      </c>
    </row>
    <row r="85" spans="1:4" x14ac:dyDescent="0.25">
      <c r="A85" s="136"/>
      <c r="B85" s="106" t="s">
        <v>386</v>
      </c>
      <c r="C85" s="142">
        <v>340000</v>
      </c>
      <c r="D85" s="107" t="s">
        <v>229</v>
      </c>
    </row>
    <row r="86" spans="1:4" x14ac:dyDescent="0.25">
      <c r="A86" s="136"/>
      <c r="B86" s="106" t="s">
        <v>387</v>
      </c>
      <c r="C86" s="142">
        <v>1246000</v>
      </c>
      <c r="D86" s="107" t="s">
        <v>67</v>
      </c>
    </row>
    <row r="87" spans="1:4" x14ac:dyDescent="0.25">
      <c r="A87" s="136"/>
      <c r="B87" s="41" t="s">
        <v>388</v>
      </c>
      <c r="C87" s="125">
        <v>30000</v>
      </c>
    </row>
    <row r="88" spans="1:4" x14ac:dyDescent="0.25">
      <c r="A88" s="136">
        <v>46098</v>
      </c>
      <c r="B88" s="51" t="s">
        <v>389</v>
      </c>
      <c r="C88" s="143">
        <v>125750</v>
      </c>
    </row>
    <row r="89" spans="1:4" x14ac:dyDescent="0.25">
      <c r="A89" s="136"/>
      <c r="B89" s="41" t="s">
        <v>390</v>
      </c>
      <c r="C89" s="125">
        <v>35000</v>
      </c>
    </row>
    <row r="90" spans="1:4" x14ac:dyDescent="0.25">
      <c r="A90" s="136">
        <v>46099</v>
      </c>
      <c r="B90" s="36" t="s">
        <v>391</v>
      </c>
      <c r="C90" s="125">
        <v>6000</v>
      </c>
    </row>
    <row r="91" spans="1:4" x14ac:dyDescent="0.25">
      <c r="A91" s="136"/>
      <c r="B91" s="36" t="s">
        <v>392</v>
      </c>
      <c r="C91" s="125">
        <v>60000</v>
      </c>
    </row>
    <row r="92" spans="1:4" x14ac:dyDescent="0.25">
      <c r="A92" s="136"/>
      <c r="B92" s="36" t="s">
        <v>393</v>
      </c>
      <c r="C92" s="125">
        <v>40000</v>
      </c>
    </row>
    <row r="93" spans="1:4" x14ac:dyDescent="0.25">
      <c r="A93" s="136" t="s">
        <v>394</v>
      </c>
      <c r="B93" s="51" t="s">
        <v>395</v>
      </c>
      <c r="C93" s="143">
        <v>160000</v>
      </c>
      <c r="D93" t="s">
        <v>230</v>
      </c>
    </row>
    <row r="94" spans="1:4" x14ac:dyDescent="0.25">
      <c r="B94" s="43" t="s">
        <v>396</v>
      </c>
      <c r="C94" s="162">
        <v>100000</v>
      </c>
    </row>
    <row r="95" spans="1:4" x14ac:dyDescent="0.25">
      <c r="A95" s="136">
        <v>46102</v>
      </c>
      <c r="B95" s="98" t="s">
        <v>397</v>
      </c>
      <c r="C95" s="144">
        <v>10000</v>
      </c>
    </row>
    <row r="96" spans="1:4" x14ac:dyDescent="0.25">
      <c r="A96" s="136"/>
      <c r="B96" s="98" t="s">
        <v>398</v>
      </c>
      <c r="C96" s="144">
        <v>10000</v>
      </c>
    </row>
    <row r="97" spans="1:6" x14ac:dyDescent="0.25">
      <c r="A97" s="136"/>
      <c r="B97" s="97" t="s">
        <v>399</v>
      </c>
      <c r="C97" s="144">
        <v>425000</v>
      </c>
    </row>
    <row r="98" spans="1:6" x14ac:dyDescent="0.25">
      <c r="A98" s="136"/>
      <c r="B98" s="98" t="s">
        <v>400</v>
      </c>
      <c r="C98" s="144">
        <v>550000</v>
      </c>
    </row>
    <row r="99" spans="1:6" x14ac:dyDescent="0.25">
      <c r="A99" s="136"/>
      <c r="B99" s="98" t="s">
        <v>401</v>
      </c>
      <c r="C99" s="144">
        <v>410000</v>
      </c>
    </row>
    <row r="100" spans="1:6" x14ac:dyDescent="0.25">
      <c r="A100" s="136"/>
      <c r="B100" s="51" t="s">
        <v>402</v>
      </c>
      <c r="C100" s="145">
        <v>51750</v>
      </c>
    </row>
    <row r="101" spans="1:6" x14ac:dyDescent="0.25">
      <c r="A101" s="136">
        <v>46106</v>
      </c>
      <c r="B101" s="95" t="s">
        <v>403</v>
      </c>
      <c r="C101" s="146">
        <v>60000</v>
      </c>
    </row>
    <row r="102" spans="1:6" x14ac:dyDescent="0.25">
      <c r="A102" s="136"/>
      <c r="B102" s="95" t="s">
        <v>404</v>
      </c>
      <c r="C102" s="146">
        <v>50000</v>
      </c>
      <c r="F102" s="23"/>
    </row>
    <row r="103" spans="1:6" x14ac:dyDescent="0.25">
      <c r="A103" s="136"/>
      <c r="B103" s="51" t="s">
        <v>405</v>
      </c>
      <c r="C103" s="145">
        <v>15000</v>
      </c>
    </row>
    <row r="104" spans="1:6" x14ac:dyDescent="0.25">
      <c r="A104" s="136">
        <v>46107</v>
      </c>
      <c r="B104" s="51" t="s">
        <v>406</v>
      </c>
      <c r="C104" s="145">
        <v>30000</v>
      </c>
    </row>
    <row r="105" spans="1:6" x14ac:dyDescent="0.25">
      <c r="A105" s="136">
        <v>46108</v>
      </c>
      <c r="B105" s="41" t="s">
        <v>407</v>
      </c>
      <c r="C105" s="125">
        <v>250800</v>
      </c>
    </row>
    <row r="106" spans="1:6" x14ac:dyDescent="0.25">
      <c r="A106" s="136"/>
      <c r="B106" s="58" t="s">
        <v>408</v>
      </c>
      <c r="C106" s="137">
        <v>140000</v>
      </c>
    </row>
    <row r="107" spans="1:6" x14ac:dyDescent="0.25">
      <c r="A107" s="136"/>
      <c r="B107" s="97" t="s">
        <v>409</v>
      </c>
      <c r="C107" s="144">
        <v>35000</v>
      </c>
    </row>
    <row r="108" spans="1:6" x14ac:dyDescent="0.25">
      <c r="A108" s="136"/>
      <c r="B108" s="97" t="s">
        <v>410</v>
      </c>
      <c r="C108" s="144">
        <v>350000</v>
      </c>
      <c r="D108" s="23"/>
    </row>
    <row r="109" spans="1:6" x14ac:dyDescent="0.25">
      <c r="A109" s="136"/>
      <c r="B109" s="98" t="s">
        <v>411</v>
      </c>
      <c r="C109" s="144">
        <v>450000</v>
      </c>
      <c r="D109" s="23"/>
    </row>
    <row r="110" spans="1:6" x14ac:dyDescent="0.25">
      <c r="A110" s="136"/>
      <c r="B110" s="98" t="s">
        <v>412</v>
      </c>
      <c r="C110" s="144">
        <v>338000</v>
      </c>
    </row>
    <row r="111" spans="1:6" x14ac:dyDescent="0.25">
      <c r="A111" s="136"/>
      <c r="B111" s="98" t="s">
        <v>413</v>
      </c>
      <c r="C111" s="144">
        <v>10000</v>
      </c>
    </row>
    <row r="112" spans="1:6" x14ac:dyDescent="0.25">
      <c r="A112" s="136"/>
      <c r="B112" s="108" t="s">
        <v>414</v>
      </c>
      <c r="C112" s="147">
        <v>300000</v>
      </c>
      <c r="E112" s="23"/>
    </row>
    <row r="113" spans="1:8" x14ac:dyDescent="0.25">
      <c r="A113" s="136"/>
      <c r="B113" s="97" t="s">
        <v>415</v>
      </c>
      <c r="C113" s="144">
        <v>150000</v>
      </c>
    </row>
    <row r="114" spans="1:8" x14ac:dyDescent="0.25">
      <c r="A114" s="136"/>
      <c r="B114" s="97" t="s">
        <v>416</v>
      </c>
      <c r="C114" s="144">
        <v>120000</v>
      </c>
    </row>
    <row r="115" spans="1:8" x14ac:dyDescent="0.25">
      <c r="A115" s="136"/>
      <c r="B115" s="97" t="s">
        <v>417</v>
      </c>
      <c r="C115" s="144">
        <v>150000</v>
      </c>
    </row>
    <row r="116" spans="1:8" x14ac:dyDescent="0.25">
      <c r="A116" s="136"/>
      <c r="B116" s="97" t="s">
        <v>418</v>
      </c>
      <c r="C116" s="144">
        <v>200000</v>
      </c>
    </row>
    <row r="117" spans="1:8" x14ac:dyDescent="0.25">
      <c r="A117" s="136"/>
      <c r="B117" s="97" t="s">
        <v>419</v>
      </c>
      <c r="C117" s="144">
        <v>144000</v>
      </c>
    </row>
    <row r="118" spans="1:8" x14ac:dyDescent="0.25">
      <c r="A118" s="136"/>
      <c r="B118" s="113" t="s">
        <v>420</v>
      </c>
      <c r="C118" s="143">
        <v>10749</v>
      </c>
    </row>
    <row r="119" spans="1:8" x14ac:dyDescent="0.25">
      <c r="A119" s="136"/>
      <c r="B119" s="113" t="s">
        <v>421</v>
      </c>
      <c r="C119" s="143">
        <v>100000</v>
      </c>
    </row>
    <row r="120" spans="1:8" x14ac:dyDescent="0.25">
      <c r="A120" s="136"/>
      <c r="B120" s="113" t="s">
        <v>422</v>
      </c>
      <c r="C120" s="143">
        <v>28000</v>
      </c>
    </row>
    <row r="121" spans="1:8" x14ac:dyDescent="0.25">
      <c r="A121" s="136"/>
      <c r="B121" s="113" t="s">
        <v>423</v>
      </c>
      <c r="C121" s="143">
        <v>23000</v>
      </c>
    </row>
    <row r="122" spans="1:8" ht="22.5" x14ac:dyDescent="0.45">
      <c r="A122" s="135"/>
      <c r="B122" s="24"/>
      <c r="C122" s="148">
        <f>SUM(C51:C121)</f>
        <v>12909450</v>
      </c>
      <c r="D122" s="26">
        <f>C47-C122</f>
        <v>4517515</v>
      </c>
    </row>
    <row r="123" spans="1:8" ht="23.25" thickBot="1" x14ac:dyDescent="0.5">
      <c r="A123" s="149"/>
      <c r="B123" s="150"/>
      <c r="C123" s="151">
        <f>C3+C47-C122</f>
        <v>4581555</v>
      </c>
      <c r="F123" t="s">
        <v>245</v>
      </c>
      <c r="G123">
        <v>745000</v>
      </c>
    </row>
    <row r="125" spans="1:8" x14ac:dyDescent="0.25">
      <c r="F125" s="23"/>
    </row>
    <row r="126" spans="1:8" x14ac:dyDescent="0.25">
      <c r="E126" t="s">
        <v>67</v>
      </c>
      <c r="F126" s="23">
        <f>1369928+490400+2745000+264500-302411-3388000+369920+1500000+3000000+403450+1000000-763623+500000+101000+1926830-500000+800000+593091-400000-1000000-152600</f>
        <v>8557485</v>
      </c>
    </row>
    <row r="127" spans="1:8" x14ac:dyDescent="0.25">
      <c r="E127" t="s">
        <v>10</v>
      </c>
      <c r="F127" s="23"/>
    </row>
    <row r="128" spans="1:8" x14ac:dyDescent="0.25">
      <c r="E128" s="30" t="s">
        <v>11</v>
      </c>
      <c r="F128" s="23">
        <f>G140</f>
        <v>3345000</v>
      </c>
      <c r="G128" s="23" t="s">
        <v>12</v>
      </c>
      <c r="H128" t="s">
        <v>24</v>
      </c>
    </row>
    <row r="129" spans="3:15" x14ac:dyDescent="0.25">
      <c r="E129" s="26" t="s">
        <v>5</v>
      </c>
      <c r="F129" s="23">
        <f>2237610+300000+487840-104000+253600-148000-191678+250000+500000+350000+700000+263200-74500-87500+600000+36000+400000-24950-24950+300000-250000+300000+250000-1000000-180000-180000-340000-410620-340000+342135+300000+130000-400000+48000+1500000-161000-78400</f>
        <v>5552787</v>
      </c>
      <c r="G129" s="31">
        <v>3262604</v>
      </c>
      <c r="H129" s="27">
        <f>G129-F129</f>
        <v>-2290183</v>
      </c>
      <c r="I129" t="s">
        <v>23</v>
      </c>
    </row>
    <row r="130" spans="3:15" x14ac:dyDescent="0.25">
      <c r="E130" t="s">
        <v>13</v>
      </c>
      <c r="F130" s="32">
        <f>SUM(F125:F129)</f>
        <v>17455272</v>
      </c>
      <c r="G130" s="23">
        <f>F130-FEBRERO!C117</f>
        <v>17391232</v>
      </c>
      <c r="H130" s="63">
        <f>G130+H129</f>
        <v>15101049</v>
      </c>
      <c r="I130" s="57">
        <f>G130+H129</f>
        <v>15101049</v>
      </c>
      <c r="N130" t="s">
        <v>67</v>
      </c>
      <c r="O130" t="s">
        <v>169</v>
      </c>
    </row>
    <row r="131" spans="3:15" x14ac:dyDescent="0.25">
      <c r="I131" s="64">
        <f>F126-H129</f>
        <v>10847668</v>
      </c>
      <c r="J131" t="s">
        <v>95</v>
      </c>
      <c r="N131">
        <v>10892867</v>
      </c>
      <c r="O131" s="64">
        <f>N131-I131</f>
        <v>45199</v>
      </c>
    </row>
    <row r="132" spans="3:15" x14ac:dyDescent="0.25">
      <c r="E132" s="60">
        <v>20</v>
      </c>
      <c r="F132" s="26">
        <v>100000</v>
      </c>
      <c r="G132" s="30">
        <f t="shared" ref="G132:G138" si="0">F132*E132</f>
        <v>2000000</v>
      </c>
    </row>
    <row r="133" spans="3:15" x14ac:dyDescent="0.25">
      <c r="E133" s="33">
        <v>26</v>
      </c>
      <c r="F133" s="26">
        <v>50000</v>
      </c>
      <c r="G133" s="30">
        <f t="shared" si="0"/>
        <v>1300000</v>
      </c>
    </row>
    <row r="134" spans="3:15" x14ac:dyDescent="0.25">
      <c r="E134" s="34">
        <v>1</v>
      </c>
      <c r="F134" s="26">
        <v>20000</v>
      </c>
      <c r="G134" s="30">
        <f t="shared" si="0"/>
        <v>20000</v>
      </c>
    </row>
    <row r="135" spans="3:15" x14ac:dyDescent="0.25">
      <c r="E135" s="33">
        <v>1</v>
      </c>
      <c r="F135" s="26">
        <v>10000</v>
      </c>
      <c r="G135" s="30">
        <f t="shared" si="0"/>
        <v>10000</v>
      </c>
    </row>
    <row r="136" spans="3:15" x14ac:dyDescent="0.25">
      <c r="E136" s="34">
        <v>1</v>
      </c>
      <c r="F136" s="26">
        <v>5000</v>
      </c>
      <c r="G136" s="30">
        <f t="shared" si="0"/>
        <v>5000</v>
      </c>
    </row>
    <row r="137" spans="3:15" x14ac:dyDescent="0.25">
      <c r="E137" s="33">
        <v>5</v>
      </c>
      <c r="F137" s="26">
        <v>2000</v>
      </c>
      <c r="G137" s="30">
        <f t="shared" si="0"/>
        <v>10000</v>
      </c>
    </row>
    <row r="138" spans="3:15" x14ac:dyDescent="0.25">
      <c r="E138" s="33"/>
      <c r="F138" s="26"/>
      <c r="G138" s="30">
        <f t="shared" si="0"/>
        <v>0</v>
      </c>
    </row>
    <row r="139" spans="3:15" x14ac:dyDescent="0.25">
      <c r="E139" s="33" t="s">
        <v>14</v>
      </c>
      <c r="F139" s="26"/>
      <c r="G139" s="30">
        <f>F139</f>
        <v>0</v>
      </c>
    </row>
    <row r="140" spans="3:15" x14ac:dyDescent="0.25">
      <c r="E140" s="30" t="s">
        <v>11</v>
      </c>
      <c r="F140" s="27"/>
      <c r="G140" s="26">
        <f>SUM(G132:G139)</f>
        <v>3345000</v>
      </c>
    </row>
    <row r="142" spans="3:15" x14ac:dyDescent="0.25">
      <c r="C142" t="s">
        <v>249</v>
      </c>
    </row>
    <row r="148" spans="6:6" x14ac:dyDescent="0.25">
      <c r="F148">
        <v>1524000</v>
      </c>
    </row>
  </sheetData>
  <mergeCells count="1">
    <mergeCell ref="A49:C49"/>
  </mergeCells>
  <pageMargins left="0.7" right="0.7" top="0.75" bottom="0.75" header="0.3" footer="0.3"/>
  <pageSetup scale="28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1FD1-2470-44F3-9F67-DC2FF4856C8E}">
  <sheetPr>
    <pageSetUpPr fitToPage="1"/>
  </sheetPr>
  <dimension ref="A1:O154"/>
  <sheetViews>
    <sheetView topLeftCell="A66" workbookViewId="0">
      <selection activeCell="B76" sqref="B76"/>
    </sheetView>
  </sheetViews>
  <sheetFormatPr baseColWidth="10" defaultRowHeight="15" x14ac:dyDescent="0.25"/>
  <cols>
    <col min="2" max="2" width="70.28515625" bestFit="1" customWidth="1"/>
    <col min="3" max="3" width="23.42578125" customWidth="1"/>
    <col min="4" max="4" width="15.5703125" bestFit="1" customWidth="1"/>
    <col min="5" max="5" width="16.85546875" bestFit="1" customWidth="1"/>
    <col min="6" max="6" width="14.5703125" bestFit="1" customWidth="1"/>
    <col min="7" max="8" width="13" bestFit="1" customWidth="1"/>
    <col min="9" max="9" width="25" bestFit="1" customWidth="1"/>
  </cols>
  <sheetData>
    <row r="1" spans="1:4" ht="26.25" x14ac:dyDescent="0.25">
      <c r="A1" s="1"/>
      <c r="B1" s="2" t="s">
        <v>0</v>
      </c>
      <c r="C1" s="3"/>
    </row>
    <row r="2" spans="1:4" ht="24" x14ac:dyDescent="0.4">
      <c r="A2" s="4"/>
      <c r="B2" s="5" t="s">
        <v>246</v>
      </c>
      <c r="C2" s="6"/>
    </row>
    <row r="3" spans="1:4" ht="23.25" x14ac:dyDescent="0.35">
      <c r="A3" s="7"/>
      <c r="B3" s="8"/>
      <c r="C3" s="9">
        <f>MARZO!C123</f>
        <v>4581555</v>
      </c>
    </row>
    <row r="4" spans="1:4" ht="15.75" x14ac:dyDescent="0.25">
      <c r="A4" s="10"/>
      <c r="B4" s="11"/>
      <c r="C4" s="12"/>
    </row>
    <row r="5" spans="1:4" x14ac:dyDescent="0.25">
      <c r="A5" s="39">
        <v>46119</v>
      </c>
      <c r="B5" s="41" t="s">
        <v>669</v>
      </c>
      <c r="C5" s="42">
        <v>900000</v>
      </c>
      <c r="D5" t="s">
        <v>5</v>
      </c>
    </row>
    <row r="6" spans="1:4" x14ac:dyDescent="0.25">
      <c r="A6" s="39">
        <v>46120</v>
      </c>
      <c r="B6" s="156" t="s">
        <v>668</v>
      </c>
      <c r="C6" s="42">
        <v>500000</v>
      </c>
      <c r="D6" t="s">
        <v>5</v>
      </c>
    </row>
    <row r="7" spans="1:4" x14ac:dyDescent="0.25">
      <c r="B7" s="157" t="s">
        <v>667</v>
      </c>
      <c r="C7" s="37">
        <v>800000</v>
      </c>
      <c r="D7" t="s">
        <v>5</v>
      </c>
    </row>
    <row r="8" spans="1:4" x14ac:dyDescent="0.25">
      <c r="B8" s="157" t="s">
        <v>666</v>
      </c>
      <c r="C8" s="42">
        <v>300000</v>
      </c>
      <c r="D8" t="s">
        <v>5</v>
      </c>
    </row>
    <row r="9" spans="1:4" x14ac:dyDescent="0.25">
      <c r="A9" s="224">
        <v>46127</v>
      </c>
      <c r="B9" s="229" t="s">
        <v>727</v>
      </c>
      <c r="C9" s="230">
        <v>112000</v>
      </c>
    </row>
    <row r="10" spans="1:4" x14ac:dyDescent="0.25">
      <c r="A10" s="39">
        <v>46128</v>
      </c>
      <c r="B10" s="36" t="s">
        <v>671</v>
      </c>
      <c r="C10" s="37">
        <v>200000</v>
      </c>
      <c r="D10" t="s">
        <v>5</v>
      </c>
    </row>
    <row r="11" spans="1:4" x14ac:dyDescent="0.25">
      <c r="A11" s="35"/>
      <c r="B11" s="36" t="s">
        <v>670</v>
      </c>
      <c r="C11" s="37">
        <v>333683</v>
      </c>
      <c r="D11" t="s">
        <v>5</v>
      </c>
    </row>
    <row r="12" spans="1:4" x14ac:dyDescent="0.25">
      <c r="A12" s="35"/>
      <c r="B12" s="36" t="s">
        <v>253</v>
      </c>
      <c r="C12" s="37">
        <v>25000</v>
      </c>
    </row>
    <row r="13" spans="1:4" x14ac:dyDescent="0.25">
      <c r="A13" s="35"/>
      <c r="B13" s="36" t="s">
        <v>260</v>
      </c>
      <c r="C13" s="37">
        <v>300000</v>
      </c>
      <c r="D13" t="s">
        <v>5</v>
      </c>
    </row>
    <row r="14" spans="1:4" x14ac:dyDescent="0.25">
      <c r="A14" s="45">
        <v>46131</v>
      </c>
      <c r="B14" s="83" t="s">
        <v>285</v>
      </c>
      <c r="C14" s="84">
        <v>314000</v>
      </c>
    </row>
    <row r="15" spans="1:4" x14ac:dyDescent="0.25">
      <c r="A15" s="45"/>
      <c r="B15" s="83" t="s">
        <v>286</v>
      </c>
      <c r="C15" s="84">
        <v>1500000</v>
      </c>
    </row>
    <row r="16" spans="1:4" x14ac:dyDescent="0.25">
      <c r="A16" s="45"/>
      <c r="B16" s="83" t="s">
        <v>287</v>
      </c>
      <c r="C16" s="84">
        <v>20000</v>
      </c>
    </row>
    <row r="17" spans="1:4" x14ac:dyDescent="0.25">
      <c r="A17" s="45"/>
      <c r="B17" s="83" t="s">
        <v>288</v>
      </c>
      <c r="C17" s="84">
        <v>55000</v>
      </c>
    </row>
    <row r="18" spans="1:4" x14ac:dyDescent="0.25">
      <c r="A18" s="45"/>
      <c r="B18" s="83" t="s">
        <v>289</v>
      </c>
      <c r="C18" s="84">
        <v>22000</v>
      </c>
    </row>
    <row r="19" spans="1:4" x14ac:dyDescent="0.25">
      <c r="A19" s="45">
        <v>46132</v>
      </c>
      <c r="B19" s="83" t="s">
        <v>261</v>
      </c>
      <c r="C19" s="84">
        <v>2000000</v>
      </c>
      <c r="D19" t="s">
        <v>5</v>
      </c>
    </row>
    <row r="20" spans="1:4" x14ac:dyDescent="0.25">
      <c r="A20" s="45">
        <v>46134</v>
      </c>
      <c r="B20" s="83" t="s">
        <v>291</v>
      </c>
      <c r="C20" s="84">
        <v>30000</v>
      </c>
    </row>
    <row r="21" spans="1:4" x14ac:dyDescent="0.25">
      <c r="A21" s="45"/>
      <c r="B21" s="83" t="s">
        <v>292</v>
      </c>
      <c r="C21" s="84">
        <v>722340</v>
      </c>
    </row>
    <row r="22" spans="1:4" x14ac:dyDescent="0.25">
      <c r="A22" s="45"/>
      <c r="B22" s="83" t="s">
        <v>293</v>
      </c>
      <c r="C22" s="84">
        <v>1300000</v>
      </c>
    </row>
    <row r="23" spans="1:4" x14ac:dyDescent="0.25">
      <c r="A23" s="45"/>
      <c r="B23" s="83" t="s">
        <v>294</v>
      </c>
      <c r="C23" s="84">
        <v>79300</v>
      </c>
    </row>
    <row r="24" spans="1:4" x14ac:dyDescent="0.25">
      <c r="A24" s="45"/>
      <c r="B24" s="83" t="s">
        <v>295</v>
      </c>
      <c r="C24" s="84">
        <v>183700</v>
      </c>
    </row>
    <row r="25" spans="1:4" x14ac:dyDescent="0.25">
      <c r="A25" s="45">
        <v>46136</v>
      </c>
      <c r="B25" s="209" t="s">
        <v>346</v>
      </c>
      <c r="C25" s="210">
        <v>602500</v>
      </c>
      <c r="D25" t="s">
        <v>5</v>
      </c>
    </row>
    <row r="26" spans="1:4" x14ac:dyDescent="0.25">
      <c r="A26" s="45">
        <v>46139</v>
      </c>
      <c r="B26" s="83" t="s">
        <v>326</v>
      </c>
      <c r="C26" s="84">
        <v>966000</v>
      </c>
    </row>
    <row r="27" spans="1:4" x14ac:dyDescent="0.25">
      <c r="A27" s="45"/>
      <c r="B27" s="83" t="s">
        <v>327</v>
      </c>
      <c r="C27" s="84">
        <v>210350</v>
      </c>
    </row>
    <row r="28" spans="1:4" x14ac:dyDescent="0.25">
      <c r="A28" s="45"/>
      <c r="B28" s="83" t="s">
        <v>503</v>
      </c>
      <c r="C28" s="84">
        <v>917450</v>
      </c>
      <c r="D28" t="s">
        <v>247</v>
      </c>
    </row>
    <row r="29" spans="1:4" x14ac:dyDescent="0.25">
      <c r="A29" s="45">
        <v>46141</v>
      </c>
      <c r="B29" s="83" t="s">
        <v>329</v>
      </c>
      <c r="C29" s="84">
        <v>126000</v>
      </c>
      <c r="D29" s="23"/>
    </row>
    <row r="30" spans="1:4" x14ac:dyDescent="0.25">
      <c r="A30" s="45"/>
      <c r="B30" s="83" t="s">
        <v>330</v>
      </c>
      <c r="C30" s="84">
        <v>91600</v>
      </c>
      <c r="D30" s="23"/>
    </row>
    <row r="31" spans="1:4" x14ac:dyDescent="0.25">
      <c r="A31" s="45"/>
      <c r="B31" s="83" t="s">
        <v>331</v>
      </c>
      <c r="C31" s="84">
        <v>56000</v>
      </c>
      <c r="D31" s="23"/>
    </row>
    <row r="32" spans="1:4" x14ac:dyDescent="0.25">
      <c r="A32" s="45"/>
      <c r="B32" s="83" t="s">
        <v>332</v>
      </c>
      <c r="C32" s="84">
        <v>687000</v>
      </c>
      <c r="D32" s="23"/>
    </row>
    <row r="33" spans="1:4" x14ac:dyDescent="0.25">
      <c r="A33" s="45"/>
      <c r="B33" s="83" t="s">
        <v>333</v>
      </c>
      <c r="C33" s="84">
        <v>7500</v>
      </c>
      <c r="D33" s="23"/>
    </row>
    <row r="34" spans="1:4" x14ac:dyDescent="0.25">
      <c r="A34" s="45"/>
      <c r="B34" s="83" t="s">
        <v>334</v>
      </c>
      <c r="C34" s="84">
        <v>46400</v>
      </c>
      <c r="D34" s="23"/>
    </row>
    <row r="35" spans="1:4" x14ac:dyDescent="0.25">
      <c r="A35" s="45"/>
      <c r="B35" s="83" t="s">
        <v>345</v>
      </c>
      <c r="C35" s="84">
        <v>30000</v>
      </c>
      <c r="D35" s="23"/>
    </row>
    <row r="36" spans="1:4" ht="23.25" thickBot="1" x14ac:dyDescent="0.5">
      <c r="B36" s="15"/>
      <c r="C36" s="114">
        <f>SUM(C5:C35)</f>
        <v>13437823</v>
      </c>
    </row>
    <row r="37" spans="1:4" ht="15.75" thickBot="1" x14ac:dyDescent="0.3">
      <c r="A37" s="17"/>
    </row>
    <row r="38" spans="1:4" ht="26.25" x14ac:dyDescent="0.25">
      <c r="A38" s="1"/>
      <c r="B38" s="2" t="s">
        <v>7</v>
      </c>
      <c r="C38" s="3"/>
    </row>
    <row r="39" spans="1:4" ht="24" x14ac:dyDescent="0.4">
      <c r="A39" s="4"/>
      <c r="B39" s="5" t="s">
        <v>246</v>
      </c>
      <c r="C39" s="6"/>
    </row>
    <row r="40" spans="1:4" x14ac:dyDescent="0.25">
      <c r="A40" s="39">
        <v>46119</v>
      </c>
      <c r="B40" s="36" t="s">
        <v>672</v>
      </c>
      <c r="C40" s="42">
        <v>26950</v>
      </c>
      <c r="D40" t="s">
        <v>5</v>
      </c>
    </row>
    <row r="41" spans="1:4" x14ac:dyDescent="0.25">
      <c r="A41" s="39"/>
      <c r="B41" s="36" t="s">
        <v>672</v>
      </c>
      <c r="C41" s="42">
        <v>26950</v>
      </c>
      <c r="D41" t="s">
        <v>5</v>
      </c>
    </row>
    <row r="42" spans="1:4" x14ac:dyDescent="0.25">
      <c r="A42" s="174">
        <v>46123</v>
      </c>
      <c r="B42" s="66" t="s">
        <v>673</v>
      </c>
      <c r="C42" s="67">
        <v>400000</v>
      </c>
    </row>
    <row r="43" spans="1:4" x14ac:dyDescent="0.25">
      <c r="A43" s="39"/>
      <c r="B43" s="66" t="s">
        <v>674</v>
      </c>
      <c r="C43" s="67">
        <v>450000</v>
      </c>
    </row>
    <row r="44" spans="1:4" x14ac:dyDescent="0.25">
      <c r="A44" s="39"/>
      <c r="B44" s="81" t="s">
        <v>675</v>
      </c>
      <c r="C44" s="82">
        <v>425000</v>
      </c>
    </row>
    <row r="45" spans="1:4" x14ac:dyDescent="0.25">
      <c r="B45" s="51" t="s">
        <v>261</v>
      </c>
      <c r="C45" s="52">
        <v>127000</v>
      </c>
      <c r="D45" t="s">
        <v>5</v>
      </c>
    </row>
    <row r="46" spans="1:4" x14ac:dyDescent="0.25">
      <c r="A46" s="39">
        <v>46125</v>
      </c>
      <c r="B46" s="51" t="s">
        <v>251</v>
      </c>
      <c r="C46" s="52">
        <v>35000</v>
      </c>
    </row>
    <row r="47" spans="1:4" x14ac:dyDescent="0.25">
      <c r="A47" s="39"/>
      <c r="B47" s="155" t="s">
        <v>252</v>
      </c>
      <c r="C47" s="52">
        <v>20000</v>
      </c>
    </row>
    <row r="48" spans="1:4" x14ac:dyDescent="0.25">
      <c r="A48" s="39"/>
      <c r="B48" s="227" t="s">
        <v>694</v>
      </c>
      <c r="C48" s="228">
        <v>556630</v>
      </c>
    </row>
    <row r="49" spans="1:3" x14ac:dyDescent="0.25">
      <c r="A49" s="39"/>
      <c r="B49" s="227" t="s">
        <v>780</v>
      </c>
      <c r="C49" s="228">
        <v>6820</v>
      </c>
    </row>
    <row r="50" spans="1:3" x14ac:dyDescent="0.25">
      <c r="A50" s="39">
        <v>46129</v>
      </c>
      <c r="B50" s="51" t="s">
        <v>250</v>
      </c>
      <c r="C50" s="52">
        <v>10000</v>
      </c>
    </row>
    <row r="51" spans="1:3" x14ac:dyDescent="0.25">
      <c r="A51" s="39">
        <v>46129</v>
      </c>
      <c r="B51" s="66" t="s">
        <v>254</v>
      </c>
      <c r="C51" s="67">
        <v>400000</v>
      </c>
    </row>
    <row r="52" spans="1:3" x14ac:dyDescent="0.25">
      <c r="A52" s="39">
        <v>46130</v>
      </c>
      <c r="B52" s="66" t="s">
        <v>255</v>
      </c>
      <c r="C52" s="67">
        <v>450000</v>
      </c>
    </row>
    <row r="53" spans="1:3" x14ac:dyDescent="0.25">
      <c r="A53" s="39"/>
      <c r="B53" s="81" t="s">
        <v>256</v>
      </c>
      <c r="C53" s="82">
        <v>425000</v>
      </c>
    </row>
    <row r="54" spans="1:3" x14ac:dyDescent="0.25">
      <c r="A54" s="39"/>
      <c r="B54" s="110" t="s">
        <v>257</v>
      </c>
      <c r="C54" s="82">
        <v>15000</v>
      </c>
    </row>
    <row r="55" spans="1:3" x14ac:dyDescent="0.25">
      <c r="A55" s="39"/>
      <c r="B55" s="110" t="s">
        <v>258</v>
      </c>
      <c r="C55" s="82">
        <v>15000</v>
      </c>
    </row>
    <row r="56" spans="1:3" x14ac:dyDescent="0.25">
      <c r="A56" s="39"/>
      <c r="B56" s="51" t="s">
        <v>259</v>
      </c>
      <c r="C56" s="52">
        <v>100000</v>
      </c>
    </row>
    <row r="57" spans="1:3" x14ac:dyDescent="0.25">
      <c r="A57" s="39">
        <v>46132</v>
      </c>
      <c r="B57" s="51" t="s">
        <v>262</v>
      </c>
      <c r="C57" s="52">
        <v>127500</v>
      </c>
    </row>
    <row r="58" spans="1:3" x14ac:dyDescent="0.25">
      <c r="A58" s="224">
        <v>46133</v>
      </c>
      <c r="B58" s="225" t="s">
        <v>290</v>
      </c>
      <c r="C58" s="226">
        <v>148220</v>
      </c>
    </row>
    <row r="59" spans="1:3" x14ac:dyDescent="0.25">
      <c r="A59" s="39">
        <v>46134</v>
      </c>
      <c r="B59" s="41" t="s">
        <v>296</v>
      </c>
      <c r="C59" s="42">
        <v>48000</v>
      </c>
    </row>
    <row r="60" spans="1:3" x14ac:dyDescent="0.25">
      <c r="A60" s="39">
        <v>46135</v>
      </c>
      <c r="B60" s="41" t="s">
        <v>297</v>
      </c>
      <c r="C60" s="42">
        <v>330001</v>
      </c>
    </row>
    <row r="61" spans="1:3" x14ac:dyDescent="0.25">
      <c r="A61" s="39"/>
      <c r="B61" s="41" t="s">
        <v>298</v>
      </c>
      <c r="C61" s="42">
        <v>50000</v>
      </c>
    </row>
    <row r="62" spans="1:3" x14ac:dyDescent="0.25">
      <c r="A62" s="39"/>
      <c r="B62" s="41" t="s">
        <v>299</v>
      </c>
      <c r="C62" s="42">
        <v>60000</v>
      </c>
    </row>
    <row r="63" spans="1:3" x14ac:dyDescent="0.25">
      <c r="A63" s="39"/>
      <c r="B63" s="41" t="s">
        <v>300</v>
      </c>
      <c r="C63" s="42">
        <v>90300</v>
      </c>
    </row>
    <row r="64" spans="1:3" x14ac:dyDescent="0.25">
      <c r="A64" s="39"/>
      <c r="B64" s="41" t="s">
        <v>324</v>
      </c>
      <c r="C64" s="42">
        <v>150000</v>
      </c>
    </row>
    <row r="65" spans="1:4" x14ac:dyDescent="0.25">
      <c r="A65" s="39">
        <v>46137</v>
      </c>
      <c r="B65" s="41" t="s">
        <v>323</v>
      </c>
      <c r="C65" s="42">
        <v>70000</v>
      </c>
    </row>
    <row r="66" spans="1:4" x14ac:dyDescent="0.25">
      <c r="A66" s="39"/>
      <c r="B66" s="41" t="s">
        <v>325</v>
      </c>
      <c r="C66" s="42">
        <v>25000</v>
      </c>
    </row>
    <row r="67" spans="1:4" x14ac:dyDescent="0.25">
      <c r="A67" s="39"/>
      <c r="B67" s="58" t="s">
        <v>317</v>
      </c>
      <c r="C67" s="59">
        <v>550000</v>
      </c>
    </row>
    <row r="68" spans="1:4" x14ac:dyDescent="0.25">
      <c r="A68" s="39"/>
      <c r="B68" s="58" t="s">
        <v>318</v>
      </c>
      <c r="C68" s="59">
        <v>425000</v>
      </c>
    </row>
    <row r="69" spans="1:4" x14ac:dyDescent="0.25">
      <c r="A69" s="39"/>
      <c r="B69" s="58" t="s">
        <v>319</v>
      </c>
      <c r="C69" s="59">
        <v>410000</v>
      </c>
    </row>
    <row r="70" spans="1:4" x14ac:dyDescent="0.25">
      <c r="A70" s="39"/>
      <c r="B70" s="58" t="s">
        <v>320</v>
      </c>
      <c r="C70" s="59">
        <v>20000</v>
      </c>
    </row>
    <row r="71" spans="1:4" x14ac:dyDescent="0.25">
      <c r="A71" s="39"/>
      <c r="B71" s="58" t="s">
        <v>321</v>
      </c>
      <c r="C71" s="59">
        <v>20000</v>
      </c>
    </row>
    <row r="72" spans="1:4" x14ac:dyDescent="0.25">
      <c r="A72" s="39"/>
      <c r="B72" s="58" t="s">
        <v>322</v>
      </c>
      <c r="C72" s="59">
        <v>10000</v>
      </c>
    </row>
    <row r="73" spans="1:4" x14ac:dyDescent="0.25">
      <c r="A73" s="39"/>
      <c r="B73" s="41" t="s">
        <v>328</v>
      </c>
      <c r="C73" s="42">
        <v>129555</v>
      </c>
    </row>
    <row r="74" spans="1:4" x14ac:dyDescent="0.25">
      <c r="A74" s="39">
        <v>46138</v>
      </c>
      <c r="B74" s="41" t="s">
        <v>336</v>
      </c>
      <c r="C74" s="42">
        <v>262000</v>
      </c>
    </row>
    <row r="75" spans="1:4" x14ac:dyDescent="0.25">
      <c r="A75" s="39"/>
      <c r="B75" s="91" t="s">
        <v>335</v>
      </c>
      <c r="C75" s="159">
        <v>300000</v>
      </c>
    </row>
    <row r="76" spans="1:4" x14ac:dyDescent="0.25">
      <c r="A76" s="39"/>
      <c r="B76" s="160" t="s">
        <v>347</v>
      </c>
      <c r="C76" s="161">
        <v>100000</v>
      </c>
    </row>
    <row r="77" spans="1:4" x14ac:dyDescent="0.25">
      <c r="A77" s="39"/>
      <c r="B77" s="109" t="s">
        <v>664</v>
      </c>
      <c r="C77" s="80">
        <v>27000</v>
      </c>
      <c r="D77" t="s">
        <v>5</v>
      </c>
    </row>
    <row r="78" spans="1:4" x14ac:dyDescent="0.25">
      <c r="A78" s="39"/>
      <c r="B78" s="160" t="s">
        <v>338</v>
      </c>
      <c r="C78" s="161">
        <v>200000</v>
      </c>
    </row>
    <row r="79" spans="1:4" x14ac:dyDescent="0.25">
      <c r="A79" s="39"/>
      <c r="B79" s="160" t="s">
        <v>665</v>
      </c>
      <c r="C79" s="161">
        <v>12000</v>
      </c>
    </row>
    <row r="80" spans="1:4" x14ac:dyDescent="0.25">
      <c r="A80" s="39">
        <v>46139</v>
      </c>
      <c r="B80" s="91" t="s">
        <v>348</v>
      </c>
      <c r="C80" s="159">
        <v>1246000</v>
      </c>
      <c r="D80" t="s">
        <v>5</v>
      </c>
    </row>
    <row r="81" spans="1:4" x14ac:dyDescent="0.25">
      <c r="A81" s="39">
        <v>46139</v>
      </c>
      <c r="B81" s="91" t="s">
        <v>349</v>
      </c>
      <c r="C81" s="159">
        <v>340000</v>
      </c>
      <c r="D81" t="s">
        <v>5</v>
      </c>
    </row>
    <row r="82" spans="1:4" x14ac:dyDescent="0.25">
      <c r="A82" s="39">
        <v>46139</v>
      </c>
      <c r="B82" s="91" t="s">
        <v>350</v>
      </c>
      <c r="C82" s="159">
        <v>340000</v>
      </c>
      <c r="D82" t="s">
        <v>5</v>
      </c>
    </row>
    <row r="83" spans="1:4" x14ac:dyDescent="0.25">
      <c r="A83" s="39">
        <v>46139</v>
      </c>
      <c r="B83" s="91" t="s">
        <v>351</v>
      </c>
      <c r="C83" s="159">
        <v>340000</v>
      </c>
      <c r="D83" t="s">
        <v>5</v>
      </c>
    </row>
    <row r="84" spans="1:4" x14ac:dyDescent="0.25">
      <c r="A84" s="39"/>
      <c r="B84" s="110" t="s">
        <v>337</v>
      </c>
      <c r="C84" s="82">
        <v>310000</v>
      </c>
    </row>
    <row r="85" spans="1:4" x14ac:dyDescent="0.25">
      <c r="A85" s="39"/>
      <c r="B85" s="110" t="s">
        <v>342</v>
      </c>
      <c r="C85" s="82">
        <v>20000</v>
      </c>
    </row>
    <row r="86" spans="1:4" x14ac:dyDescent="0.25">
      <c r="A86" s="39"/>
      <c r="B86" s="110" t="s">
        <v>341</v>
      </c>
      <c r="C86" s="82">
        <v>425000</v>
      </c>
    </row>
    <row r="87" spans="1:4" x14ac:dyDescent="0.25">
      <c r="A87" s="39"/>
      <c r="B87" s="110" t="s">
        <v>344</v>
      </c>
      <c r="C87" s="82">
        <v>410000</v>
      </c>
    </row>
    <row r="88" spans="1:4" x14ac:dyDescent="0.25">
      <c r="A88" s="39"/>
      <c r="B88" s="110" t="s">
        <v>339</v>
      </c>
      <c r="C88" s="82">
        <v>550000</v>
      </c>
    </row>
    <row r="89" spans="1:4" x14ac:dyDescent="0.25">
      <c r="A89" s="39"/>
      <c r="B89" s="110" t="s">
        <v>340</v>
      </c>
      <c r="C89" s="82">
        <v>20000</v>
      </c>
    </row>
    <row r="90" spans="1:4" x14ac:dyDescent="0.25">
      <c r="A90" s="39"/>
      <c r="B90" s="41" t="s">
        <v>343</v>
      </c>
      <c r="C90" s="42">
        <v>10000</v>
      </c>
    </row>
    <row r="91" spans="1:4" x14ac:dyDescent="0.25">
      <c r="A91" s="39"/>
      <c r="B91" s="41" t="s">
        <v>45</v>
      </c>
      <c r="C91" s="42">
        <v>100000</v>
      </c>
    </row>
    <row r="92" spans="1:4" x14ac:dyDescent="0.25">
      <c r="A92" s="39"/>
      <c r="B92" s="109" t="s">
        <v>501</v>
      </c>
      <c r="C92" s="80">
        <v>287364</v>
      </c>
    </row>
    <row r="93" spans="1:4" ht="22.5" x14ac:dyDescent="0.45">
      <c r="A93" s="13"/>
      <c r="B93" s="24"/>
      <c r="C93" s="25">
        <f>SUM(C40:C92)</f>
        <v>11452290</v>
      </c>
      <c r="D93" s="26">
        <f>C36-C93</f>
        <v>1985533</v>
      </c>
    </row>
    <row r="94" spans="1:4" ht="22.5" x14ac:dyDescent="0.45">
      <c r="A94" s="13"/>
      <c r="B94" s="28"/>
      <c r="C94" s="29">
        <f>C3+C36-C93</f>
        <v>6567088</v>
      </c>
    </row>
    <row r="97" spans="5:15" x14ac:dyDescent="0.25">
      <c r="E97" s="38"/>
      <c r="F97" s="53"/>
      <c r="G97" s="53"/>
      <c r="H97" s="38"/>
      <c r="I97" s="38"/>
      <c r="J97" s="38"/>
      <c r="K97" s="38"/>
      <c r="L97" s="38"/>
      <c r="M97" s="38"/>
      <c r="N97" s="38"/>
    </row>
    <row r="98" spans="5:15" x14ac:dyDescent="0.25">
      <c r="E98" s="38"/>
      <c r="F98" s="53"/>
      <c r="G98" s="55"/>
      <c r="H98" s="38"/>
      <c r="I98" s="38"/>
      <c r="J98" s="38"/>
      <c r="K98" s="38"/>
      <c r="L98" s="38"/>
      <c r="M98" s="38"/>
      <c r="N98" s="38"/>
    </row>
    <row r="99" spans="5:15" x14ac:dyDescent="0.25">
      <c r="E99" s="38"/>
      <c r="F99" s="53"/>
      <c r="G99" s="55"/>
      <c r="H99" s="38"/>
      <c r="I99" s="38"/>
      <c r="J99" s="38"/>
      <c r="K99" s="38"/>
      <c r="L99" s="38"/>
      <c r="M99" s="38"/>
      <c r="N99" s="38"/>
    </row>
    <row r="100" spans="5:15" x14ac:dyDescent="0.25">
      <c r="E100" s="38"/>
      <c r="F100" s="53"/>
      <c r="G100" s="38"/>
      <c r="H100" s="38"/>
      <c r="I100" s="38"/>
      <c r="J100" s="38"/>
      <c r="K100" s="38"/>
      <c r="L100" s="38"/>
      <c r="M100" s="38"/>
      <c r="N100" s="38"/>
    </row>
    <row r="101" spans="5:15" x14ac:dyDescent="0.25">
      <c r="E101" s="246"/>
      <c r="F101" s="53"/>
      <c r="G101" s="53"/>
      <c r="H101" s="38"/>
      <c r="I101" s="38"/>
      <c r="J101" s="38"/>
      <c r="K101" s="38"/>
      <c r="L101" s="38"/>
      <c r="M101" s="38"/>
      <c r="N101" s="38"/>
    </row>
    <row r="102" spans="5:15" x14ac:dyDescent="0.25">
      <c r="E102" s="54"/>
      <c r="F102" s="53"/>
      <c r="G102" s="53"/>
      <c r="H102" s="55"/>
      <c r="I102" s="38"/>
      <c r="J102" s="38"/>
      <c r="K102" s="38"/>
      <c r="L102" s="38"/>
      <c r="M102" s="38"/>
      <c r="N102" s="38"/>
    </row>
    <row r="103" spans="5:15" x14ac:dyDescent="0.25">
      <c r="E103" s="38"/>
      <c r="F103" s="247"/>
      <c r="G103" s="53"/>
      <c r="H103" s="55"/>
      <c r="I103" s="248"/>
      <c r="J103" s="38"/>
      <c r="K103" s="38"/>
      <c r="L103" s="38"/>
      <c r="M103" s="38"/>
      <c r="N103" s="38"/>
    </row>
    <row r="104" spans="5:15" x14ac:dyDescent="0.25">
      <c r="E104" s="38"/>
      <c r="F104" s="38"/>
      <c r="G104" s="38"/>
      <c r="H104" s="38"/>
      <c r="I104" s="249"/>
      <c r="J104" s="38"/>
      <c r="K104" s="38"/>
      <c r="L104" s="38"/>
      <c r="M104" s="38"/>
      <c r="N104" s="38"/>
      <c r="O104" s="64"/>
    </row>
    <row r="105" spans="5:15" x14ac:dyDescent="0.25">
      <c r="E105" s="60"/>
      <c r="F105" s="54"/>
      <c r="G105" s="246"/>
      <c r="H105" s="38"/>
      <c r="I105" s="38"/>
      <c r="J105" s="38"/>
      <c r="K105" s="38"/>
      <c r="L105" s="38"/>
      <c r="M105" s="38"/>
      <c r="N105" s="38"/>
    </row>
    <row r="106" spans="5:15" x14ac:dyDescent="0.25">
      <c r="E106" s="60"/>
      <c r="F106" s="54"/>
      <c r="G106" s="246"/>
      <c r="H106" s="38"/>
      <c r="I106" s="38"/>
      <c r="J106" s="38"/>
      <c r="K106" s="38"/>
      <c r="L106" s="38"/>
      <c r="M106" s="38"/>
      <c r="N106" s="38"/>
    </row>
    <row r="107" spans="5:15" x14ac:dyDescent="0.25">
      <c r="E107" s="250"/>
      <c r="F107" s="54"/>
      <c r="G107" s="246"/>
      <c r="H107" s="38"/>
      <c r="I107" s="38"/>
      <c r="J107" s="38"/>
      <c r="K107" s="38"/>
      <c r="L107" s="38"/>
      <c r="M107" s="38"/>
      <c r="N107" s="38"/>
    </row>
    <row r="108" spans="5:15" x14ac:dyDescent="0.25">
      <c r="E108" s="60"/>
      <c r="F108" s="54"/>
      <c r="G108" s="246"/>
      <c r="H108" s="38"/>
      <c r="I108" s="38"/>
      <c r="J108" s="38"/>
      <c r="K108" s="38"/>
      <c r="L108" s="38"/>
      <c r="M108" s="38"/>
      <c r="N108" s="38"/>
    </row>
    <row r="109" spans="5:15" x14ac:dyDescent="0.25">
      <c r="E109" s="250"/>
      <c r="F109" s="54"/>
      <c r="G109" s="246"/>
      <c r="H109" s="38"/>
      <c r="I109" s="38"/>
      <c r="J109" s="38"/>
      <c r="K109" s="38"/>
      <c r="L109" s="38"/>
      <c r="M109" s="38"/>
      <c r="N109" s="38"/>
    </row>
    <row r="110" spans="5:15" x14ac:dyDescent="0.25">
      <c r="E110" s="60"/>
      <c r="F110" s="54"/>
      <c r="G110" s="246"/>
      <c r="H110" s="38"/>
      <c r="I110" s="38"/>
      <c r="J110" s="38"/>
      <c r="K110" s="38"/>
      <c r="L110" s="38"/>
      <c r="M110" s="38"/>
      <c r="N110" s="38"/>
    </row>
    <row r="111" spans="5:15" x14ac:dyDescent="0.25">
      <c r="E111" s="60"/>
      <c r="F111" s="54"/>
      <c r="G111" s="246"/>
      <c r="H111" s="38"/>
      <c r="I111" s="38"/>
      <c r="J111" s="38"/>
      <c r="K111" s="38"/>
      <c r="L111" s="38"/>
      <c r="M111" s="38"/>
      <c r="N111" s="38"/>
    </row>
    <row r="112" spans="5:15" x14ac:dyDescent="0.25">
      <c r="E112" s="60"/>
      <c r="F112" s="54"/>
      <c r="G112" s="246"/>
      <c r="H112" s="38"/>
      <c r="I112" s="38"/>
      <c r="J112" s="38"/>
      <c r="K112" s="38"/>
      <c r="L112" s="38"/>
      <c r="M112" s="38"/>
      <c r="N112" s="38"/>
    </row>
    <row r="113" spans="5:14" x14ac:dyDescent="0.25">
      <c r="E113" s="246"/>
      <c r="F113" s="55"/>
      <c r="G113" s="54"/>
      <c r="H113" s="38"/>
      <c r="I113" s="38"/>
      <c r="J113" s="38"/>
      <c r="K113" s="38"/>
      <c r="L113" s="38"/>
      <c r="M113" s="38"/>
      <c r="N113" s="38"/>
    </row>
    <row r="132" spans="3:3" x14ac:dyDescent="0.25">
      <c r="C132">
        <f>+D112</f>
        <v>0</v>
      </c>
    </row>
    <row r="133" spans="3:3" x14ac:dyDescent="0.25">
      <c r="C133" t="s">
        <v>248</v>
      </c>
    </row>
    <row r="154" spans="3:3" x14ac:dyDescent="0.25">
      <c r="C154" t="s">
        <v>249</v>
      </c>
    </row>
  </sheetData>
  <pageMargins left="0.7" right="0.7" top="0.75" bottom="0.75" header="0.3" footer="0.3"/>
  <pageSetup paperSize="9" scale="2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52F5-BA6F-4B73-9006-681B995DFF92}">
  <sheetPr>
    <pageSetUpPr fitToPage="1"/>
  </sheetPr>
  <dimension ref="A1:O115"/>
  <sheetViews>
    <sheetView topLeftCell="A39" workbookViewId="0">
      <selection activeCell="B48" sqref="B48"/>
    </sheetView>
  </sheetViews>
  <sheetFormatPr baseColWidth="10" defaultRowHeight="15" x14ac:dyDescent="0.25"/>
  <cols>
    <col min="1" max="1" width="12.85546875" bestFit="1" customWidth="1"/>
    <col min="2" max="2" width="78.7109375" customWidth="1"/>
    <col min="3" max="3" width="26.5703125" customWidth="1"/>
    <col min="4" max="4" width="14.5703125" bestFit="1" customWidth="1"/>
    <col min="5" max="5" width="16.28515625" customWidth="1"/>
    <col min="6" max="6" width="16.85546875" bestFit="1" customWidth="1"/>
    <col min="7" max="9" width="13" bestFit="1" customWidth="1"/>
    <col min="14" max="14" width="14.5703125" bestFit="1" customWidth="1"/>
  </cols>
  <sheetData>
    <row r="1" spans="1:5" ht="26.25" x14ac:dyDescent="0.25">
      <c r="A1" s="1"/>
      <c r="B1" s="2" t="s">
        <v>0</v>
      </c>
      <c r="C1" s="3"/>
    </row>
    <row r="2" spans="1:5" ht="24" x14ac:dyDescent="0.4">
      <c r="A2" s="4"/>
      <c r="B2" s="5" t="s">
        <v>424</v>
      </c>
      <c r="C2" s="6"/>
    </row>
    <row r="3" spans="1:5" ht="23.25" x14ac:dyDescent="0.35">
      <c r="A3" s="7"/>
      <c r="B3" s="8"/>
      <c r="C3" s="9">
        <f>ABRIL!C94</f>
        <v>6567088</v>
      </c>
    </row>
    <row r="4" spans="1:5" ht="15.75" x14ac:dyDescent="0.25">
      <c r="A4" s="10"/>
      <c r="B4" s="11"/>
      <c r="C4" s="12"/>
    </row>
    <row r="5" spans="1:5" x14ac:dyDescent="0.25">
      <c r="A5" s="35">
        <v>46149</v>
      </c>
      <c r="B5" s="163" t="s">
        <v>427</v>
      </c>
      <c r="C5" s="48">
        <v>387000</v>
      </c>
    </row>
    <row r="6" spans="1:5" x14ac:dyDescent="0.25">
      <c r="A6" s="35"/>
      <c r="B6" s="36" t="s">
        <v>316</v>
      </c>
      <c r="C6" s="68">
        <v>200000</v>
      </c>
    </row>
    <row r="7" spans="1:5" x14ac:dyDescent="0.25">
      <c r="A7" s="35">
        <v>46150</v>
      </c>
      <c r="B7" s="167" t="s">
        <v>676</v>
      </c>
      <c r="C7" s="158">
        <v>135000</v>
      </c>
    </row>
    <row r="8" spans="1:5" x14ac:dyDescent="0.25">
      <c r="A8" s="39"/>
      <c r="B8" s="214" t="s">
        <v>678</v>
      </c>
      <c r="C8" s="153">
        <v>180000</v>
      </c>
      <c r="E8" s="23"/>
    </row>
    <row r="9" spans="1:5" x14ac:dyDescent="0.25">
      <c r="A9" s="39">
        <v>46151</v>
      </c>
      <c r="B9" s="212" t="s">
        <v>440</v>
      </c>
      <c r="C9" s="213">
        <v>77750</v>
      </c>
      <c r="E9" s="23"/>
    </row>
    <row r="10" spans="1:5" x14ac:dyDescent="0.25">
      <c r="A10" s="35">
        <v>46151</v>
      </c>
      <c r="B10" s="36" t="s">
        <v>441</v>
      </c>
      <c r="C10" s="37">
        <v>781740</v>
      </c>
    </row>
    <row r="11" spans="1:5" x14ac:dyDescent="0.25">
      <c r="A11" s="35"/>
      <c r="B11" s="215" t="s">
        <v>491</v>
      </c>
      <c r="C11" s="216">
        <v>400000</v>
      </c>
    </row>
    <row r="12" spans="1:5" x14ac:dyDescent="0.25">
      <c r="A12" s="35">
        <v>46155</v>
      </c>
      <c r="B12" s="36" t="s">
        <v>437</v>
      </c>
      <c r="C12" s="37" t="s">
        <v>67</v>
      </c>
    </row>
    <row r="13" spans="1:5" x14ac:dyDescent="0.25">
      <c r="A13" s="35"/>
      <c r="B13" s="41" t="s">
        <v>438</v>
      </c>
      <c r="C13" s="42">
        <v>250000</v>
      </c>
    </row>
    <row r="14" spans="1:5" x14ac:dyDescent="0.25">
      <c r="A14" s="35"/>
      <c r="B14" s="41" t="s">
        <v>439</v>
      </c>
      <c r="C14" s="42">
        <v>300000</v>
      </c>
    </row>
    <row r="15" spans="1:5" x14ac:dyDescent="0.25">
      <c r="A15" s="35"/>
      <c r="B15" s="41" t="s">
        <v>506</v>
      </c>
      <c r="C15" s="42">
        <v>300000</v>
      </c>
    </row>
    <row r="16" spans="1:5" x14ac:dyDescent="0.25">
      <c r="A16" s="35">
        <v>46157</v>
      </c>
      <c r="B16" s="41" t="s">
        <v>442</v>
      </c>
      <c r="C16" s="42">
        <v>500000</v>
      </c>
    </row>
    <row r="17" spans="1:5" x14ac:dyDescent="0.25">
      <c r="A17" s="39"/>
      <c r="B17" s="36" t="s">
        <v>451</v>
      </c>
      <c r="C17" s="37">
        <v>50000</v>
      </c>
    </row>
    <row r="18" spans="1:5" x14ac:dyDescent="0.25">
      <c r="A18" s="39"/>
      <c r="B18" s="36" t="s">
        <v>454</v>
      </c>
      <c r="C18" s="37">
        <v>89000</v>
      </c>
    </row>
    <row r="19" spans="1:5" x14ac:dyDescent="0.25">
      <c r="A19" s="39"/>
      <c r="B19" s="36" t="s">
        <v>458</v>
      </c>
      <c r="C19" s="37">
        <v>407000</v>
      </c>
    </row>
    <row r="20" spans="1:5" x14ac:dyDescent="0.25">
      <c r="A20" s="39">
        <v>46163</v>
      </c>
      <c r="B20" s="220" t="s">
        <v>459</v>
      </c>
      <c r="C20" s="221">
        <v>352000</v>
      </c>
      <c r="D20" s="222"/>
      <c r="E20" s="223"/>
    </row>
    <row r="21" spans="1:5" x14ac:dyDescent="0.25">
      <c r="A21" s="39">
        <v>46164</v>
      </c>
      <c r="B21" s="41" t="s">
        <v>460</v>
      </c>
      <c r="C21" s="42">
        <v>302000</v>
      </c>
    </row>
    <row r="22" spans="1:5" x14ac:dyDescent="0.25">
      <c r="A22" s="35">
        <v>46165</v>
      </c>
      <c r="B22" s="36" t="s">
        <v>461</v>
      </c>
      <c r="C22" s="37">
        <v>1000000</v>
      </c>
    </row>
    <row r="23" spans="1:5" x14ac:dyDescent="0.25">
      <c r="A23" s="35"/>
      <c r="B23" s="41" t="s">
        <v>470</v>
      </c>
      <c r="C23" s="42">
        <v>30000</v>
      </c>
    </row>
    <row r="24" spans="1:5" x14ac:dyDescent="0.25">
      <c r="A24" s="35">
        <v>46168</v>
      </c>
      <c r="B24" s="36" t="s">
        <v>468</v>
      </c>
      <c r="C24" s="37">
        <v>500000</v>
      </c>
    </row>
    <row r="25" spans="1:5" x14ac:dyDescent="0.25">
      <c r="A25" s="35"/>
      <c r="B25" s="36" t="s">
        <v>684</v>
      </c>
      <c r="C25" s="37">
        <v>1000000</v>
      </c>
    </row>
    <row r="26" spans="1:5" x14ac:dyDescent="0.25">
      <c r="A26" s="39"/>
      <c r="B26" s="43" t="s">
        <v>471</v>
      </c>
      <c r="C26" s="44">
        <v>93000</v>
      </c>
    </row>
    <row r="27" spans="1:5" x14ac:dyDescent="0.25">
      <c r="A27" s="39">
        <v>46170</v>
      </c>
      <c r="B27" s="215" t="s">
        <v>474</v>
      </c>
      <c r="C27" s="216">
        <v>171200</v>
      </c>
    </row>
    <row r="28" spans="1:5" x14ac:dyDescent="0.25">
      <c r="A28" s="39">
        <v>46171</v>
      </c>
      <c r="B28" s="41" t="s">
        <v>476</v>
      </c>
      <c r="C28" s="42">
        <v>388400</v>
      </c>
    </row>
    <row r="29" spans="1:5" x14ac:dyDescent="0.25">
      <c r="A29" s="39"/>
      <c r="B29" s="41" t="s">
        <v>477</v>
      </c>
      <c r="C29" s="42">
        <v>18000</v>
      </c>
    </row>
    <row r="30" spans="1:5" x14ac:dyDescent="0.25">
      <c r="A30" s="39"/>
      <c r="B30" s="41" t="s">
        <v>478</v>
      </c>
      <c r="C30" s="42">
        <v>100000</v>
      </c>
    </row>
    <row r="31" spans="1:5" x14ac:dyDescent="0.25">
      <c r="A31" s="45"/>
      <c r="B31" s="83" t="s">
        <v>765</v>
      </c>
      <c r="C31" s="84">
        <v>500000</v>
      </c>
    </row>
    <row r="32" spans="1:5" x14ac:dyDescent="0.25">
      <c r="A32" s="45"/>
      <c r="B32" s="83" t="s">
        <v>764</v>
      </c>
      <c r="C32" s="84">
        <v>690000</v>
      </c>
    </row>
    <row r="33" spans="1:4" x14ac:dyDescent="0.25">
      <c r="A33" s="45"/>
      <c r="B33" s="83" t="s">
        <v>479</v>
      </c>
      <c r="C33" s="84">
        <v>25000</v>
      </c>
    </row>
    <row r="34" spans="1:4" x14ac:dyDescent="0.25">
      <c r="A34" s="45"/>
      <c r="B34" s="83" t="s">
        <v>484</v>
      </c>
      <c r="C34" s="84">
        <v>445000</v>
      </c>
    </row>
    <row r="35" spans="1:4" x14ac:dyDescent="0.25">
      <c r="A35" s="45">
        <v>46173</v>
      </c>
      <c r="B35" s="83" t="s">
        <v>486</v>
      </c>
      <c r="C35" s="84">
        <v>617000</v>
      </c>
    </row>
    <row r="36" spans="1:4" ht="23.25" thickBot="1" x14ac:dyDescent="0.5">
      <c r="B36" s="15"/>
      <c r="C36" s="114">
        <f>SUM(C5:C35)</f>
        <v>10289090</v>
      </c>
    </row>
    <row r="37" spans="1:4" ht="15.75" thickBot="1" x14ac:dyDescent="0.3">
      <c r="A37" s="17"/>
    </row>
    <row r="38" spans="1:4" ht="26.25" x14ac:dyDescent="0.25">
      <c r="A38" s="1"/>
      <c r="B38" s="2" t="s">
        <v>7</v>
      </c>
      <c r="C38" s="3"/>
    </row>
    <row r="39" spans="1:4" ht="24" x14ac:dyDescent="0.4">
      <c r="A39" s="4"/>
      <c r="B39" s="5" t="s">
        <v>424</v>
      </c>
      <c r="C39" s="6"/>
    </row>
    <row r="40" spans="1:4" ht="27" x14ac:dyDescent="0.25">
      <c r="A40" s="283"/>
      <c r="B40" s="284"/>
      <c r="C40" s="285"/>
    </row>
    <row r="41" spans="1:4" x14ac:dyDescent="0.25">
      <c r="A41" s="164">
        <v>46146</v>
      </c>
      <c r="B41" s="165" t="s">
        <v>434</v>
      </c>
      <c r="C41" s="166">
        <v>7500</v>
      </c>
    </row>
    <row r="42" spans="1:4" x14ac:dyDescent="0.25">
      <c r="A42" s="39">
        <v>46147</v>
      </c>
      <c r="B42" s="36" t="s">
        <v>425</v>
      </c>
      <c r="C42" s="42">
        <v>25000</v>
      </c>
    </row>
    <row r="43" spans="1:4" x14ac:dyDescent="0.25">
      <c r="A43" s="39"/>
      <c r="B43" s="36" t="s">
        <v>426</v>
      </c>
      <c r="C43" s="37">
        <v>53900</v>
      </c>
      <c r="D43" t="s">
        <v>5</v>
      </c>
    </row>
    <row r="44" spans="1:4" x14ac:dyDescent="0.25">
      <c r="A44" s="39"/>
      <c r="B44" s="36" t="s">
        <v>428</v>
      </c>
      <c r="C44" s="37">
        <v>33000</v>
      </c>
    </row>
    <row r="45" spans="1:4" x14ac:dyDescent="0.25">
      <c r="A45" s="39"/>
      <c r="B45" s="36" t="s">
        <v>429</v>
      </c>
      <c r="C45" s="42">
        <v>150000</v>
      </c>
    </row>
    <row r="46" spans="1:4" x14ac:dyDescent="0.25">
      <c r="A46" s="39">
        <v>46150</v>
      </c>
      <c r="B46" s="36" t="s">
        <v>430</v>
      </c>
      <c r="C46" s="42">
        <v>533000</v>
      </c>
    </row>
    <row r="47" spans="1:4" x14ac:dyDescent="0.25">
      <c r="A47" s="39"/>
      <c r="B47" s="51" t="s">
        <v>431</v>
      </c>
      <c r="C47" s="52">
        <v>25000</v>
      </c>
      <c r="D47" t="s">
        <v>5</v>
      </c>
    </row>
    <row r="48" spans="1:4" x14ac:dyDescent="0.25">
      <c r="A48" s="39"/>
      <c r="B48" s="51" t="s">
        <v>483</v>
      </c>
      <c r="C48" s="52">
        <v>176000</v>
      </c>
    </row>
    <row r="49" spans="1:3" x14ac:dyDescent="0.25">
      <c r="A49" s="39"/>
      <c r="B49" s="66" t="s">
        <v>432</v>
      </c>
      <c r="C49" s="67">
        <v>410000</v>
      </c>
    </row>
    <row r="50" spans="1:3" x14ac:dyDescent="0.25">
      <c r="A50" s="39"/>
      <c r="B50" s="169" t="s">
        <v>433</v>
      </c>
      <c r="C50" s="67">
        <v>375000</v>
      </c>
    </row>
    <row r="51" spans="1:3" x14ac:dyDescent="0.25">
      <c r="A51" s="168"/>
      <c r="B51" s="169" t="s">
        <v>457</v>
      </c>
      <c r="C51" s="170">
        <v>550000</v>
      </c>
    </row>
    <row r="52" spans="1:3" x14ac:dyDescent="0.25">
      <c r="A52" s="136"/>
      <c r="B52" s="66" t="s">
        <v>398</v>
      </c>
      <c r="C52" s="217">
        <v>10000</v>
      </c>
    </row>
    <row r="53" spans="1:3" x14ac:dyDescent="0.25">
      <c r="A53" s="39"/>
      <c r="B53" s="51" t="s">
        <v>45</v>
      </c>
      <c r="C53" s="52">
        <v>100000</v>
      </c>
    </row>
    <row r="54" spans="1:3" x14ac:dyDescent="0.25">
      <c r="A54" s="39"/>
      <c r="B54" s="66" t="s">
        <v>435</v>
      </c>
      <c r="C54" s="67">
        <v>200000</v>
      </c>
    </row>
    <row r="55" spans="1:3" x14ac:dyDescent="0.25">
      <c r="A55" s="35">
        <v>46155</v>
      </c>
      <c r="B55" s="36" t="s">
        <v>436</v>
      </c>
      <c r="C55" s="37">
        <v>44120</v>
      </c>
    </row>
    <row r="56" spans="1:3" x14ac:dyDescent="0.25">
      <c r="A56" s="39"/>
      <c r="B56" s="66" t="s">
        <v>446</v>
      </c>
      <c r="C56" s="67">
        <v>25000</v>
      </c>
    </row>
    <row r="57" spans="1:3" x14ac:dyDescent="0.25">
      <c r="A57" s="39">
        <v>46156</v>
      </c>
      <c r="B57" s="36" t="s">
        <v>447</v>
      </c>
      <c r="C57" s="42">
        <v>18000</v>
      </c>
    </row>
    <row r="58" spans="1:3" x14ac:dyDescent="0.25">
      <c r="A58" s="39">
        <v>46157</v>
      </c>
      <c r="B58" s="41" t="s">
        <v>443</v>
      </c>
      <c r="C58" s="42">
        <v>110300</v>
      </c>
    </row>
    <row r="59" spans="1:3" x14ac:dyDescent="0.25">
      <c r="A59" s="39"/>
      <c r="B59" s="66" t="s">
        <v>444</v>
      </c>
      <c r="C59" s="67">
        <v>100000</v>
      </c>
    </row>
    <row r="60" spans="1:3" x14ac:dyDescent="0.25">
      <c r="A60" s="39"/>
      <c r="B60" s="66" t="s">
        <v>445</v>
      </c>
      <c r="C60" s="67">
        <v>25000</v>
      </c>
    </row>
    <row r="61" spans="1:3" x14ac:dyDescent="0.25">
      <c r="A61" s="39">
        <v>46158</v>
      </c>
      <c r="B61" s="51" t="s">
        <v>448</v>
      </c>
      <c r="C61" s="52">
        <v>20000</v>
      </c>
    </row>
    <row r="62" spans="1:3" x14ac:dyDescent="0.25">
      <c r="A62" s="39"/>
      <c r="B62" s="66" t="s">
        <v>453</v>
      </c>
      <c r="C62" s="67">
        <v>350000</v>
      </c>
    </row>
    <row r="63" spans="1:3" x14ac:dyDescent="0.25">
      <c r="A63" s="39"/>
      <c r="B63" s="66" t="s">
        <v>455</v>
      </c>
      <c r="C63" s="67">
        <v>360000</v>
      </c>
    </row>
    <row r="64" spans="1:3" x14ac:dyDescent="0.25">
      <c r="A64" s="39"/>
      <c r="B64" s="110" t="s">
        <v>456</v>
      </c>
      <c r="C64" s="82">
        <v>550000</v>
      </c>
    </row>
    <row r="65" spans="1:5" x14ac:dyDescent="0.25">
      <c r="A65" s="39"/>
      <c r="B65" s="66" t="s">
        <v>450</v>
      </c>
      <c r="C65" s="67">
        <v>20000</v>
      </c>
    </row>
    <row r="66" spans="1:5" x14ac:dyDescent="0.25">
      <c r="A66" s="39"/>
      <c r="B66" s="66" t="s">
        <v>452</v>
      </c>
      <c r="C66" s="67">
        <v>30000</v>
      </c>
    </row>
    <row r="67" spans="1:5" x14ac:dyDescent="0.25">
      <c r="A67" s="39">
        <v>46161</v>
      </c>
      <c r="B67" s="41" t="s">
        <v>449</v>
      </c>
      <c r="C67" s="42">
        <v>15000</v>
      </c>
    </row>
    <row r="68" spans="1:5" x14ac:dyDescent="0.25">
      <c r="A68" s="45">
        <v>46163</v>
      </c>
      <c r="B68" s="41" t="s">
        <v>504</v>
      </c>
      <c r="C68" s="42">
        <v>26950</v>
      </c>
    </row>
    <row r="69" spans="1:5" x14ac:dyDescent="0.25">
      <c r="A69" s="45"/>
      <c r="B69" s="41" t="s">
        <v>505</v>
      </c>
      <c r="C69" s="42">
        <v>26950</v>
      </c>
    </row>
    <row r="70" spans="1:5" x14ac:dyDescent="0.25">
      <c r="A70" s="174">
        <v>46165</v>
      </c>
      <c r="B70" s="41" t="s">
        <v>462</v>
      </c>
      <c r="C70" s="42">
        <v>131855</v>
      </c>
    </row>
    <row r="71" spans="1:5" x14ac:dyDescent="0.25">
      <c r="A71" s="39"/>
      <c r="B71" s="110" t="s">
        <v>463</v>
      </c>
      <c r="C71" s="82">
        <v>450000</v>
      </c>
    </row>
    <row r="72" spans="1:5" x14ac:dyDescent="0.25">
      <c r="A72" s="39"/>
      <c r="B72" s="110" t="s">
        <v>464</v>
      </c>
      <c r="C72" s="82">
        <v>350000</v>
      </c>
    </row>
    <row r="73" spans="1:5" x14ac:dyDescent="0.25">
      <c r="A73" s="39"/>
      <c r="B73" s="110" t="s">
        <v>465</v>
      </c>
      <c r="C73" s="82">
        <v>338000</v>
      </c>
    </row>
    <row r="74" spans="1:5" x14ac:dyDescent="0.25">
      <c r="A74" s="39"/>
      <c r="B74" s="110" t="s">
        <v>466</v>
      </c>
      <c r="C74" s="82">
        <v>20000</v>
      </c>
    </row>
    <row r="75" spans="1:5" x14ac:dyDescent="0.25">
      <c r="A75" s="39"/>
      <c r="B75" s="110" t="s">
        <v>467</v>
      </c>
      <c r="C75" s="82">
        <v>20000</v>
      </c>
      <c r="E75" s="27"/>
    </row>
    <row r="76" spans="1:5" x14ac:dyDescent="0.25">
      <c r="A76" s="39">
        <v>46163</v>
      </c>
      <c r="B76" s="41" t="s">
        <v>469</v>
      </c>
      <c r="C76" s="42">
        <v>102000</v>
      </c>
    </row>
    <row r="77" spans="1:5" x14ac:dyDescent="0.25">
      <c r="A77" s="39">
        <v>46169</v>
      </c>
      <c r="B77" s="41" t="s">
        <v>472</v>
      </c>
      <c r="C77" s="42">
        <v>91310</v>
      </c>
    </row>
    <row r="78" spans="1:5" x14ac:dyDescent="0.25">
      <c r="A78" s="39"/>
      <c r="B78" s="41" t="s">
        <v>473</v>
      </c>
      <c r="C78" s="42">
        <v>128990</v>
      </c>
    </row>
    <row r="79" spans="1:5" x14ac:dyDescent="0.25">
      <c r="A79" s="39"/>
      <c r="B79" s="41" t="s">
        <v>481</v>
      </c>
      <c r="C79" s="42">
        <v>20000</v>
      </c>
    </row>
    <row r="80" spans="1:5" x14ac:dyDescent="0.25">
      <c r="A80" s="39">
        <v>46170</v>
      </c>
      <c r="B80" s="41" t="s">
        <v>480</v>
      </c>
      <c r="C80" s="42">
        <v>100000</v>
      </c>
    </row>
    <row r="81" spans="1:8" x14ac:dyDescent="0.25">
      <c r="A81" s="39">
        <v>46171</v>
      </c>
      <c r="B81" s="41" t="s">
        <v>475</v>
      </c>
      <c r="C81" s="42">
        <v>440000</v>
      </c>
    </row>
    <row r="82" spans="1:8" x14ac:dyDescent="0.25">
      <c r="A82" s="39"/>
      <c r="B82" s="66" t="s">
        <v>482</v>
      </c>
      <c r="C82" s="67">
        <v>200000</v>
      </c>
    </row>
    <row r="83" spans="1:8" x14ac:dyDescent="0.25">
      <c r="A83" s="39"/>
      <c r="B83" s="177" t="s">
        <v>485</v>
      </c>
      <c r="C83" s="178">
        <v>75000</v>
      </c>
    </row>
    <row r="84" spans="1:8" x14ac:dyDescent="0.25">
      <c r="A84" s="39">
        <v>46172</v>
      </c>
      <c r="B84" s="41" t="s">
        <v>487</v>
      </c>
      <c r="C84" s="42">
        <v>30000</v>
      </c>
    </row>
    <row r="85" spans="1:8" x14ac:dyDescent="0.25">
      <c r="A85" s="39"/>
      <c r="B85" s="175" t="s">
        <v>488</v>
      </c>
      <c r="C85" s="176">
        <v>425000</v>
      </c>
    </row>
    <row r="86" spans="1:8" x14ac:dyDescent="0.25">
      <c r="A86" s="39"/>
      <c r="B86" s="175" t="s">
        <v>489</v>
      </c>
      <c r="C86" s="176">
        <v>550000</v>
      </c>
    </row>
    <row r="87" spans="1:8" x14ac:dyDescent="0.25">
      <c r="A87" s="39"/>
      <c r="B87" s="175" t="s">
        <v>490</v>
      </c>
      <c r="C87" s="176">
        <v>410000</v>
      </c>
    </row>
    <row r="88" spans="1:8" x14ac:dyDescent="0.25">
      <c r="A88" s="39">
        <v>46173</v>
      </c>
      <c r="B88" s="171" t="s">
        <v>493</v>
      </c>
      <c r="C88" s="172">
        <v>340000</v>
      </c>
      <c r="F88" s="23"/>
    </row>
    <row r="89" spans="1:8" x14ac:dyDescent="0.25">
      <c r="A89" s="39"/>
      <c r="B89" s="171" t="s">
        <v>494</v>
      </c>
      <c r="C89" s="172">
        <v>340000</v>
      </c>
    </row>
    <row r="90" spans="1:8" x14ac:dyDescent="0.25">
      <c r="A90" s="39"/>
      <c r="B90" s="171" t="s">
        <v>495</v>
      </c>
      <c r="C90" s="172">
        <v>340000</v>
      </c>
    </row>
    <row r="91" spans="1:8" x14ac:dyDescent="0.25">
      <c r="A91" s="39"/>
      <c r="B91" s="171" t="s">
        <v>496</v>
      </c>
      <c r="C91" s="172">
        <v>1246000</v>
      </c>
    </row>
    <row r="92" spans="1:8" x14ac:dyDescent="0.25">
      <c r="A92" s="39"/>
      <c r="B92" s="91" t="s">
        <v>497</v>
      </c>
      <c r="C92" s="159">
        <v>300000</v>
      </c>
      <c r="D92" t="s">
        <v>536</v>
      </c>
    </row>
    <row r="93" spans="1:8" ht="22.5" x14ac:dyDescent="0.45">
      <c r="A93" s="13"/>
      <c r="B93" s="24"/>
      <c r="C93" s="25">
        <f>SUM(C41:C92)</f>
        <v>10817875</v>
      </c>
      <c r="D93" s="26">
        <f>C36-C93</f>
        <v>-528785</v>
      </c>
    </row>
    <row r="94" spans="1:8" ht="22.5" x14ac:dyDescent="0.45">
      <c r="A94" s="13"/>
      <c r="B94" s="28"/>
      <c r="C94" s="29">
        <f>C3+C36-C93</f>
        <v>6038303</v>
      </c>
    </row>
    <row r="96" spans="1:8" x14ac:dyDescent="0.25">
      <c r="G96" s="23"/>
      <c r="H96" s="23"/>
    </row>
    <row r="97" spans="6:15" x14ac:dyDescent="0.25">
      <c r="G97" s="23"/>
      <c r="H97" s="27"/>
    </row>
    <row r="98" spans="6:15" x14ac:dyDescent="0.25">
      <c r="G98" s="23"/>
      <c r="H98" s="115"/>
    </row>
    <row r="99" spans="6:15" x14ac:dyDescent="0.25">
      <c r="F99" s="30"/>
      <c r="G99" s="23"/>
      <c r="H99" s="23"/>
    </row>
    <row r="100" spans="6:15" x14ac:dyDescent="0.25">
      <c r="F100" s="26"/>
      <c r="G100" s="23"/>
      <c r="H100" s="31"/>
      <c r="I100" s="27"/>
    </row>
    <row r="101" spans="6:15" x14ac:dyDescent="0.25">
      <c r="G101" s="32"/>
      <c r="H101" s="23"/>
      <c r="I101" s="63"/>
      <c r="J101" s="57"/>
      <c r="O101">
        <v>21780679</v>
      </c>
    </row>
    <row r="102" spans="6:15" x14ac:dyDescent="0.25">
      <c r="J102" s="64"/>
    </row>
    <row r="103" spans="6:15" x14ac:dyDescent="0.25">
      <c r="F103" s="60"/>
      <c r="G103" s="26"/>
      <c r="H103" s="30"/>
    </row>
    <row r="104" spans="6:15" x14ac:dyDescent="0.25">
      <c r="F104" s="33"/>
      <c r="G104" s="26"/>
      <c r="H104" s="30"/>
    </row>
    <row r="105" spans="6:15" x14ac:dyDescent="0.25">
      <c r="F105" s="34"/>
      <c r="G105" s="26"/>
      <c r="H105" s="30"/>
    </row>
    <row r="106" spans="6:15" x14ac:dyDescent="0.25">
      <c r="F106" s="33"/>
      <c r="G106" s="26"/>
      <c r="H106" s="30"/>
    </row>
    <row r="107" spans="6:15" x14ac:dyDescent="0.25">
      <c r="F107" s="34"/>
      <c r="G107" s="26"/>
      <c r="H107" s="30"/>
    </row>
    <row r="108" spans="6:15" x14ac:dyDescent="0.25">
      <c r="F108" s="33"/>
      <c r="G108" s="26"/>
      <c r="H108" s="30"/>
    </row>
    <row r="109" spans="6:15" x14ac:dyDescent="0.25">
      <c r="F109" s="33"/>
      <c r="G109" s="26"/>
      <c r="H109" s="30"/>
    </row>
    <row r="110" spans="6:15" x14ac:dyDescent="0.25">
      <c r="F110" s="33"/>
      <c r="G110" s="26"/>
      <c r="H110" s="30"/>
    </row>
    <row r="111" spans="6:15" x14ac:dyDescent="0.25">
      <c r="F111" s="30"/>
      <c r="G111" s="27"/>
      <c r="H111" s="26"/>
    </row>
    <row r="113" spans="14:14" x14ac:dyDescent="0.25">
      <c r="N113" s="23">
        <v>3800000</v>
      </c>
    </row>
    <row r="114" spans="14:14" x14ac:dyDescent="0.25">
      <c r="N114">
        <v>2865000</v>
      </c>
    </row>
    <row r="115" spans="14:14" x14ac:dyDescent="0.25">
      <c r="N115" s="27">
        <f>N113-N114</f>
        <v>935000</v>
      </c>
    </row>
  </sheetData>
  <mergeCells count="1">
    <mergeCell ref="A40:C40"/>
  </mergeCells>
  <pageMargins left="0.7" right="0.7" top="0.75" bottom="0.75" header="0.3" footer="0.3"/>
  <pageSetup paperSize="9" scale="31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17CA-C095-4211-A0D9-ACD803AC34AC}">
  <sheetPr>
    <pageSetUpPr fitToPage="1"/>
  </sheetPr>
  <dimension ref="A1:M120"/>
  <sheetViews>
    <sheetView topLeftCell="A100" workbookViewId="0">
      <selection activeCell="B68" sqref="B68"/>
    </sheetView>
  </sheetViews>
  <sheetFormatPr baseColWidth="10" defaultRowHeight="15" x14ac:dyDescent="0.25"/>
  <cols>
    <col min="2" max="2" width="78.7109375" bestFit="1" customWidth="1"/>
    <col min="3" max="3" width="21.7109375" customWidth="1"/>
    <col min="4" max="4" width="18.85546875" bestFit="1" customWidth="1"/>
    <col min="5" max="5" width="18.28515625" bestFit="1" customWidth="1"/>
    <col min="6" max="7" width="13" bestFit="1" customWidth="1"/>
  </cols>
  <sheetData>
    <row r="1" spans="1:4" ht="26.25" x14ac:dyDescent="0.25">
      <c r="A1" s="1"/>
      <c r="B1" s="2" t="s">
        <v>0</v>
      </c>
      <c r="C1" s="3"/>
    </row>
    <row r="2" spans="1:4" ht="24" x14ac:dyDescent="0.4">
      <c r="A2" s="4"/>
      <c r="B2" s="5" t="s">
        <v>492</v>
      </c>
      <c r="C2" s="6"/>
    </row>
    <row r="3" spans="1:4" ht="23.25" x14ac:dyDescent="0.35">
      <c r="A3" s="7"/>
      <c r="B3" s="8"/>
      <c r="C3" s="9">
        <f>MAYO!C94</f>
        <v>6038303</v>
      </c>
    </row>
    <row r="4" spans="1:4" ht="15.75" x14ac:dyDescent="0.25">
      <c r="A4" s="10"/>
      <c r="B4" s="11"/>
      <c r="C4" s="12"/>
    </row>
    <row r="5" spans="1:4" x14ac:dyDescent="0.25">
      <c r="A5" s="35">
        <v>46174</v>
      </c>
      <c r="B5" s="36" t="s">
        <v>499</v>
      </c>
      <c r="C5" s="68">
        <v>1000000</v>
      </c>
    </row>
    <row r="6" spans="1:4" x14ac:dyDescent="0.25">
      <c r="A6" s="35"/>
      <c r="B6" s="36" t="s">
        <v>500</v>
      </c>
      <c r="C6" s="37">
        <v>2000000</v>
      </c>
    </row>
    <row r="7" spans="1:4" x14ac:dyDescent="0.25">
      <c r="A7" s="39">
        <v>46176</v>
      </c>
      <c r="B7" s="36" t="s">
        <v>510</v>
      </c>
      <c r="C7" s="158">
        <v>476000</v>
      </c>
    </row>
    <row r="8" spans="1:4" x14ac:dyDescent="0.25">
      <c r="A8" s="35"/>
      <c r="B8" s="36" t="s">
        <v>729</v>
      </c>
      <c r="C8" s="37">
        <v>295700</v>
      </c>
    </row>
    <row r="9" spans="1:4" x14ac:dyDescent="0.25">
      <c r="A9" s="35">
        <v>46180</v>
      </c>
      <c r="B9" s="41" t="s">
        <v>512</v>
      </c>
      <c r="C9" s="42">
        <v>138100</v>
      </c>
      <c r="D9" s="23" t="s">
        <v>67</v>
      </c>
    </row>
    <row r="10" spans="1:4" x14ac:dyDescent="0.25">
      <c r="A10" s="35"/>
      <c r="B10" s="36" t="s">
        <v>511</v>
      </c>
      <c r="C10" s="42">
        <v>1500000</v>
      </c>
      <c r="D10" t="s">
        <v>67</v>
      </c>
    </row>
    <row r="11" spans="1:4" x14ac:dyDescent="0.25">
      <c r="A11" s="35"/>
      <c r="B11" s="41" t="s">
        <v>513</v>
      </c>
      <c r="C11" s="42">
        <v>688000</v>
      </c>
    </row>
    <row r="12" spans="1:4" x14ac:dyDescent="0.25">
      <c r="A12" s="35"/>
      <c r="B12" s="234" t="s">
        <v>514</v>
      </c>
      <c r="C12" s="235">
        <v>246300</v>
      </c>
    </row>
    <row r="13" spans="1:4" x14ac:dyDescent="0.25">
      <c r="A13" s="35"/>
      <c r="B13" s="234" t="s">
        <v>515</v>
      </c>
      <c r="C13" s="235">
        <v>407500</v>
      </c>
    </row>
    <row r="14" spans="1:4" x14ac:dyDescent="0.25">
      <c r="A14" s="39"/>
      <c r="B14" s="36" t="s">
        <v>516</v>
      </c>
      <c r="C14" s="37">
        <v>90000</v>
      </c>
    </row>
    <row r="15" spans="1:4" x14ac:dyDescent="0.25">
      <c r="A15" s="39"/>
      <c r="B15" s="51" t="s">
        <v>517</v>
      </c>
      <c r="C15" s="52">
        <v>1208000</v>
      </c>
    </row>
    <row r="16" spans="1:4" x14ac:dyDescent="0.25">
      <c r="A16" s="39"/>
      <c r="B16" s="51" t="s">
        <v>582</v>
      </c>
      <c r="C16" s="52">
        <v>1000000</v>
      </c>
      <c r="D16" t="s">
        <v>247</v>
      </c>
    </row>
    <row r="17" spans="1:6" x14ac:dyDescent="0.25">
      <c r="A17" s="39">
        <v>46183</v>
      </c>
      <c r="B17" s="36" t="s">
        <v>734</v>
      </c>
      <c r="C17" s="37">
        <v>700000</v>
      </c>
      <c r="D17" t="s">
        <v>5</v>
      </c>
    </row>
    <row r="18" spans="1:6" x14ac:dyDescent="0.25">
      <c r="A18" s="39"/>
      <c r="B18" s="36" t="s">
        <v>735</v>
      </c>
      <c r="C18" s="37">
        <v>300000</v>
      </c>
      <c r="D18" t="s">
        <v>5</v>
      </c>
    </row>
    <row r="19" spans="1:6" x14ac:dyDescent="0.25">
      <c r="A19" s="39"/>
      <c r="B19" s="111" t="s">
        <v>679</v>
      </c>
      <c r="C19" s="61">
        <v>151500</v>
      </c>
      <c r="D19" t="s">
        <v>5</v>
      </c>
      <c r="E19" s="23">
        <v>300000</v>
      </c>
    </row>
    <row r="20" spans="1:6" x14ac:dyDescent="0.25">
      <c r="A20" s="39">
        <v>46185</v>
      </c>
      <c r="B20" s="85" t="s">
        <v>766</v>
      </c>
      <c r="C20" s="86">
        <v>273520</v>
      </c>
      <c r="D20" t="s">
        <v>5</v>
      </c>
    </row>
    <row r="21" spans="1:6" x14ac:dyDescent="0.25">
      <c r="A21" s="39"/>
      <c r="B21" s="91" t="s">
        <v>680</v>
      </c>
      <c r="C21" s="159">
        <v>277150</v>
      </c>
      <c r="D21" t="s">
        <v>5</v>
      </c>
      <c r="E21" s="211">
        <v>500000</v>
      </c>
    </row>
    <row r="22" spans="1:6" x14ac:dyDescent="0.25">
      <c r="A22" s="35">
        <v>46190</v>
      </c>
      <c r="B22" s="36" t="s">
        <v>32</v>
      </c>
      <c r="C22" s="37">
        <v>1200000</v>
      </c>
      <c r="D22" t="s">
        <v>5</v>
      </c>
    </row>
    <row r="23" spans="1:6" x14ac:dyDescent="0.25">
      <c r="A23" s="35"/>
      <c r="B23" s="85" t="s">
        <v>532</v>
      </c>
      <c r="C23" s="86">
        <v>190600</v>
      </c>
      <c r="D23" t="s">
        <v>536</v>
      </c>
      <c r="E23" s="23">
        <v>500000</v>
      </c>
      <c r="F23">
        <v>339400</v>
      </c>
    </row>
    <row r="24" spans="1:6" x14ac:dyDescent="0.25">
      <c r="A24" s="35">
        <v>46191</v>
      </c>
      <c r="B24" s="36" t="s">
        <v>534</v>
      </c>
      <c r="C24" s="37">
        <v>305500</v>
      </c>
      <c r="D24" t="s">
        <v>5</v>
      </c>
    </row>
    <row r="25" spans="1:6" x14ac:dyDescent="0.25">
      <c r="A25" s="35"/>
      <c r="B25" s="36" t="s">
        <v>535</v>
      </c>
      <c r="C25" s="37">
        <v>500000</v>
      </c>
    </row>
    <row r="26" spans="1:6" x14ac:dyDescent="0.25">
      <c r="A26" s="39"/>
      <c r="B26" s="41" t="s">
        <v>542</v>
      </c>
      <c r="C26" s="42">
        <v>1000000</v>
      </c>
    </row>
    <row r="27" spans="1:6" x14ac:dyDescent="0.25">
      <c r="A27" s="39"/>
      <c r="B27" s="41" t="s">
        <v>543</v>
      </c>
      <c r="C27" s="42">
        <v>257300</v>
      </c>
    </row>
    <row r="28" spans="1:6" ht="15.75" thickBot="1" x14ac:dyDescent="0.3">
      <c r="A28" s="39"/>
      <c r="B28" s="41" t="s">
        <v>32</v>
      </c>
      <c r="C28" s="42">
        <v>1300000</v>
      </c>
      <c r="D28" t="s">
        <v>5</v>
      </c>
    </row>
    <row r="29" spans="1:6" ht="15.75" thickBot="1" x14ac:dyDescent="0.3">
      <c r="A29" s="182">
        <v>46197</v>
      </c>
      <c r="B29" s="83" t="s">
        <v>548</v>
      </c>
      <c r="C29" s="90">
        <v>216000</v>
      </c>
      <c r="D29" t="s">
        <v>5</v>
      </c>
      <c r="E29" s="174"/>
    </row>
    <row r="30" spans="1:6" ht="15.75" thickBot="1" x14ac:dyDescent="0.3">
      <c r="A30" s="182"/>
      <c r="B30" s="83" t="s">
        <v>549</v>
      </c>
      <c r="C30" s="90">
        <v>584800</v>
      </c>
      <c r="D30" t="s">
        <v>5</v>
      </c>
      <c r="E30" s="174"/>
    </row>
    <row r="31" spans="1:6" ht="15.75" thickBot="1" x14ac:dyDescent="0.3">
      <c r="A31" s="182"/>
      <c r="B31" s="83" t="s">
        <v>551</v>
      </c>
      <c r="C31" s="84">
        <v>512500</v>
      </c>
      <c r="D31" t="s">
        <v>5</v>
      </c>
      <c r="E31" s="174"/>
    </row>
    <row r="32" spans="1:6" ht="15.75" thickBot="1" x14ac:dyDescent="0.3">
      <c r="A32" s="182">
        <v>46229</v>
      </c>
      <c r="B32" s="83" t="s">
        <v>559</v>
      </c>
      <c r="C32" s="84">
        <v>184250</v>
      </c>
      <c r="D32" t="s">
        <v>5</v>
      </c>
      <c r="E32" s="174"/>
    </row>
    <row r="33" spans="1:5" ht="15.75" thickBot="1" x14ac:dyDescent="0.3">
      <c r="A33" s="182">
        <v>46200</v>
      </c>
      <c r="B33" s="83" t="s">
        <v>555</v>
      </c>
      <c r="C33" s="84">
        <v>845000</v>
      </c>
      <c r="E33" s="174"/>
    </row>
    <row r="34" spans="1:5" ht="15.75" thickBot="1" x14ac:dyDescent="0.3">
      <c r="A34" s="182"/>
      <c r="B34" s="83" t="s">
        <v>556</v>
      </c>
      <c r="C34" s="84">
        <v>445000</v>
      </c>
      <c r="E34" s="174"/>
    </row>
    <row r="35" spans="1:5" ht="15.75" thickBot="1" x14ac:dyDescent="0.3">
      <c r="A35" s="182"/>
      <c r="B35" s="83" t="s">
        <v>557</v>
      </c>
      <c r="C35" s="84">
        <v>82500</v>
      </c>
      <c r="E35" s="174"/>
    </row>
    <row r="36" spans="1:5" ht="15.75" thickBot="1" x14ac:dyDescent="0.3">
      <c r="A36" s="182"/>
      <c r="B36" s="83" t="s">
        <v>558</v>
      </c>
      <c r="C36" s="84">
        <v>500000</v>
      </c>
      <c r="E36" s="174"/>
    </row>
    <row r="37" spans="1:5" ht="15.75" thickBot="1" x14ac:dyDescent="0.3">
      <c r="A37" s="182"/>
      <c r="B37" s="83" t="s">
        <v>560</v>
      </c>
      <c r="C37" s="84">
        <v>39000</v>
      </c>
      <c r="E37" s="174"/>
    </row>
    <row r="38" spans="1:5" ht="15.75" thickBot="1" x14ac:dyDescent="0.3">
      <c r="A38" s="182">
        <v>46203</v>
      </c>
      <c r="B38" s="83" t="s">
        <v>569</v>
      </c>
      <c r="C38" s="84">
        <v>316000</v>
      </c>
      <c r="E38" s="174"/>
    </row>
    <row r="39" spans="1:5" ht="15.75" thickBot="1" x14ac:dyDescent="0.3">
      <c r="A39" s="182"/>
      <c r="B39" s="83" t="s">
        <v>568</v>
      </c>
      <c r="C39" s="84">
        <v>326000</v>
      </c>
      <c r="E39" s="174"/>
    </row>
    <row r="40" spans="1:5" ht="15.75" thickBot="1" x14ac:dyDescent="0.3">
      <c r="A40" s="182"/>
      <c r="B40" s="83" t="s">
        <v>581</v>
      </c>
      <c r="C40" s="84">
        <v>1957000</v>
      </c>
      <c r="E40" s="174"/>
    </row>
    <row r="41" spans="1:5" ht="15.75" thickBot="1" x14ac:dyDescent="0.3">
      <c r="A41" s="182"/>
      <c r="B41" s="83" t="s">
        <v>629</v>
      </c>
      <c r="C41" s="84">
        <v>1500000</v>
      </c>
      <c r="D41" t="s">
        <v>98</v>
      </c>
      <c r="E41" s="174"/>
    </row>
    <row r="42" spans="1:5" ht="23.25" thickBot="1" x14ac:dyDescent="0.5">
      <c r="A42" s="182"/>
      <c r="B42" s="15"/>
      <c r="C42" s="114">
        <f>SUM(C5:C41)</f>
        <v>23013220</v>
      </c>
      <c r="E42" s="174"/>
    </row>
    <row r="43" spans="1:5" ht="15.75" thickBot="1" x14ac:dyDescent="0.3">
      <c r="A43" s="182"/>
      <c r="B43" s="83"/>
      <c r="C43" s="84"/>
      <c r="E43" s="174"/>
    </row>
    <row r="44" spans="1:5" ht="15.75" thickBot="1" x14ac:dyDescent="0.3">
      <c r="A44" s="182"/>
      <c r="B44" s="83"/>
      <c r="C44" s="84"/>
      <c r="E44" s="174"/>
    </row>
    <row r="45" spans="1:5" ht="15.75" thickBot="1" x14ac:dyDescent="0.3">
      <c r="A45" s="182"/>
      <c r="B45" s="83"/>
      <c r="C45" s="84"/>
      <c r="E45" s="174"/>
    </row>
    <row r="46" spans="1:5" ht="26.25" x14ac:dyDescent="0.25">
      <c r="A46" s="1"/>
      <c r="B46" s="2" t="s">
        <v>7</v>
      </c>
      <c r="C46" s="3"/>
    </row>
    <row r="47" spans="1:5" ht="24" x14ac:dyDescent="0.4">
      <c r="A47" s="4"/>
      <c r="B47" s="5" t="s">
        <v>492</v>
      </c>
      <c r="C47" s="6"/>
    </row>
    <row r="48" spans="1:5" x14ac:dyDescent="0.25">
      <c r="A48" s="174">
        <v>46173</v>
      </c>
      <c r="B48" s="171" t="s">
        <v>580</v>
      </c>
      <c r="C48" s="172">
        <v>340000</v>
      </c>
      <c r="D48" t="s">
        <v>536</v>
      </c>
    </row>
    <row r="49" spans="1:4" x14ac:dyDescent="0.25">
      <c r="A49" s="192">
        <v>46174</v>
      </c>
      <c r="B49" s="193" t="s">
        <v>768</v>
      </c>
      <c r="C49" s="194">
        <v>340000</v>
      </c>
      <c r="D49" s="189" t="s">
        <v>5</v>
      </c>
    </row>
    <row r="50" spans="1:4" x14ac:dyDescent="0.25">
      <c r="A50" s="195"/>
      <c r="B50" s="193" t="s">
        <v>769</v>
      </c>
      <c r="C50" s="194">
        <v>340000</v>
      </c>
      <c r="D50" s="189" t="s">
        <v>5</v>
      </c>
    </row>
    <row r="51" spans="1:4" x14ac:dyDescent="0.25">
      <c r="A51" s="192">
        <v>46175</v>
      </c>
      <c r="B51" s="193" t="s">
        <v>770</v>
      </c>
      <c r="C51" s="194">
        <v>1246000</v>
      </c>
      <c r="D51" s="189" t="s">
        <v>5</v>
      </c>
    </row>
    <row r="52" spans="1:4" x14ac:dyDescent="0.25">
      <c r="A52" s="39">
        <v>46176</v>
      </c>
      <c r="B52" s="36" t="s">
        <v>502</v>
      </c>
      <c r="C52" s="42">
        <v>20000</v>
      </c>
    </row>
    <row r="53" spans="1:4" x14ac:dyDescent="0.25">
      <c r="A53" s="39"/>
      <c r="B53" s="81" t="s">
        <v>507</v>
      </c>
      <c r="C53" s="82">
        <v>550000</v>
      </c>
    </row>
    <row r="54" spans="1:4" x14ac:dyDescent="0.25">
      <c r="A54" s="39"/>
      <c r="B54" s="81" t="s">
        <v>508</v>
      </c>
      <c r="C54" s="82">
        <v>425000</v>
      </c>
    </row>
    <row r="55" spans="1:4" x14ac:dyDescent="0.25">
      <c r="A55" s="39"/>
      <c r="B55" s="81" t="s">
        <v>509</v>
      </c>
      <c r="C55" s="67">
        <v>410000</v>
      </c>
    </row>
    <row r="56" spans="1:4" x14ac:dyDescent="0.25">
      <c r="A56" s="136">
        <v>46179</v>
      </c>
      <c r="B56" s="66" t="s">
        <v>518</v>
      </c>
      <c r="C56" s="217">
        <v>40000</v>
      </c>
    </row>
    <row r="57" spans="1:4" x14ac:dyDescent="0.25">
      <c r="A57" s="39">
        <v>46182</v>
      </c>
      <c r="B57" s="51" t="s">
        <v>519</v>
      </c>
      <c r="C57" s="52">
        <v>100000</v>
      </c>
    </row>
    <row r="58" spans="1:4" x14ac:dyDescent="0.25">
      <c r="A58" s="35">
        <v>46184</v>
      </c>
      <c r="B58" s="36" t="s">
        <v>520</v>
      </c>
      <c r="C58" s="37">
        <v>32000</v>
      </c>
    </row>
    <row r="59" spans="1:4" x14ac:dyDescent="0.25">
      <c r="A59" s="39">
        <v>46186</v>
      </c>
      <c r="B59" s="98" t="s">
        <v>522</v>
      </c>
      <c r="C59" s="181">
        <v>425000</v>
      </c>
    </row>
    <row r="60" spans="1:4" x14ac:dyDescent="0.25">
      <c r="A60" s="39"/>
      <c r="B60" s="73" t="s">
        <v>521</v>
      </c>
      <c r="C60" s="59">
        <v>338000</v>
      </c>
    </row>
    <row r="61" spans="1:4" x14ac:dyDescent="0.25">
      <c r="A61" s="39"/>
      <c r="B61" s="73" t="s">
        <v>523</v>
      </c>
      <c r="C61" s="59">
        <v>550000</v>
      </c>
    </row>
    <row r="62" spans="1:4" x14ac:dyDescent="0.25">
      <c r="A62" s="39"/>
      <c r="B62" s="58" t="s">
        <v>524</v>
      </c>
      <c r="C62" s="59">
        <v>340000</v>
      </c>
    </row>
    <row r="63" spans="1:4" x14ac:dyDescent="0.25">
      <c r="A63" s="39"/>
      <c r="B63" s="58" t="s">
        <v>526</v>
      </c>
      <c r="C63" s="59">
        <v>45000</v>
      </c>
    </row>
    <row r="64" spans="1:4" x14ac:dyDescent="0.25">
      <c r="A64" s="39"/>
      <c r="B64" s="51" t="s">
        <v>525</v>
      </c>
      <c r="C64" s="52">
        <v>17500</v>
      </c>
    </row>
    <row r="65" spans="1:4" x14ac:dyDescent="0.25">
      <c r="A65" s="39">
        <v>46188</v>
      </c>
      <c r="B65" s="51" t="s">
        <v>527</v>
      </c>
      <c r="C65" s="52">
        <v>40000</v>
      </c>
    </row>
    <row r="66" spans="1:4" x14ac:dyDescent="0.25">
      <c r="A66" s="39"/>
      <c r="B66" s="218" t="s">
        <v>777</v>
      </c>
      <c r="C66" s="219">
        <v>1200000</v>
      </c>
    </row>
    <row r="67" spans="1:4" x14ac:dyDescent="0.25">
      <c r="A67" s="39"/>
      <c r="B67" s="41" t="s">
        <v>528</v>
      </c>
      <c r="C67" s="42">
        <v>112706</v>
      </c>
    </row>
    <row r="68" spans="1:4" x14ac:dyDescent="0.25">
      <c r="A68" s="39"/>
      <c r="B68" s="103" t="s">
        <v>529</v>
      </c>
      <c r="C68" s="104">
        <v>600000</v>
      </c>
    </row>
    <row r="69" spans="1:4" x14ac:dyDescent="0.25">
      <c r="A69" s="39"/>
      <c r="B69" s="253" t="s">
        <v>530</v>
      </c>
      <c r="C69" s="254">
        <v>309200</v>
      </c>
    </row>
    <row r="70" spans="1:4" x14ac:dyDescent="0.25">
      <c r="A70" s="39"/>
      <c r="B70" s="110" t="s">
        <v>531</v>
      </c>
      <c r="C70" s="82">
        <v>155000</v>
      </c>
    </row>
    <row r="71" spans="1:4" x14ac:dyDescent="0.25">
      <c r="A71" s="39">
        <v>46190</v>
      </c>
      <c r="B71" s="41" t="s">
        <v>541</v>
      </c>
      <c r="C71" s="42">
        <v>100000</v>
      </c>
    </row>
    <row r="72" spans="1:4" x14ac:dyDescent="0.25">
      <c r="A72" s="39">
        <v>46191</v>
      </c>
      <c r="B72" s="41" t="s">
        <v>533</v>
      </c>
      <c r="C72" s="42">
        <v>80000</v>
      </c>
      <c r="D72" t="s">
        <v>25</v>
      </c>
    </row>
    <row r="73" spans="1:4" x14ac:dyDescent="0.25">
      <c r="A73" s="39">
        <v>46193</v>
      </c>
      <c r="B73" s="58" t="s">
        <v>537</v>
      </c>
      <c r="C73" s="59">
        <v>550000</v>
      </c>
    </row>
    <row r="74" spans="1:4" x14ac:dyDescent="0.25">
      <c r="A74" s="39"/>
      <c r="B74" s="58" t="s">
        <v>538</v>
      </c>
      <c r="C74" s="59">
        <v>425000</v>
      </c>
    </row>
    <row r="75" spans="1:4" x14ac:dyDescent="0.25">
      <c r="A75" s="39"/>
      <c r="B75" s="58" t="s">
        <v>539</v>
      </c>
      <c r="C75" s="59">
        <v>200000</v>
      </c>
    </row>
    <row r="76" spans="1:4" x14ac:dyDescent="0.25">
      <c r="A76" s="39"/>
      <c r="B76" s="58" t="s">
        <v>540</v>
      </c>
      <c r="C76" s="59">
        <v>338000</v>
      </c>
    </row>
    <row r="77" spans="1:4" x14ac:dyDescent="0.25">
      <c r="A77" s="39"/>
      <c r="B77" s="58" t="s">
        <v>381</v>
      </c>
      <c r="C77" s="59">
        <v>60000</v>
      </c>
    </row>
    <row r="78" spans="1:4" x14ac:dyDescent="0.25">
      <c r="A78" s="39">
        <v>46195</v>
      </c>
      <c r="B78" s="41" t="s">
        <v>544</v>
      </c>
      <c r="C78" s="42">
        <v>27286</v>
      </c>
    </row>
    <row r="79" spans="1:4" x14ac:dyDescent="0.25">
      <c r="A79" s="39"/>
      <c r="B79" s="41" t="s">
        <v>545</v>
      </c>
      <c r="C79" s="42">
        <v>53000</v>
      </c>
    </row>
    <row r="80" spans="1:4" x14ac:dyDescent="0.25">
      <c r="A80" s="39"/>
      <c r="B80" s="41" t="s">
        <v>546</v>
      </c>
      <c r="C80" s="42">
        <v>30000</v>
      </c>
    </row>
    <row r="81" spans="1:4" x14ac:dyDescent="0.25">
      <c r="A81" s="39"/>
      <c r="B81" s="41" t="s">
        <v>547</v>
      </c>
      <c r="C81" s="42">
        <v>32000</v>
      </c>
    </row>
    <row r="82" spans="1:4" x14ac:dyDescent="0.25">
      <c r="A82" s="39">
        <v>46196</v>
      </c>
      <c r="B82" s="41" t="s">
        <v>550</v>
      </c>
      <c r="C82" s="42">
        <v>204000</v>
      </c>
    </row>
    <row r="83" spans="1:4" x14ac:dyDescent="0.25">
      <c r="A83" s="39">
        <v>46197</v>
      </c>
      <c r="B83" s="51" t="s">
        <v>45</v>
      </c>
      <c r="C83" s="52">
        <v>100000</v>
      </c>
    </row>
    <row r="84" spans="1:4" x14ac:dyDescent="0.25">
      <c r="A84" s="224">
        <v>46198</v>
      </c>
      <c r="B84" s="225" t="s">
        <v>767</v>
      </c>
      <c r="C84" s="226">
        <v>400000</v>
      </c>
    </row>
    <row r="85" spans="1:4" x14ac:dyDescent="0.25">
      <c r="A85" s="39"/>
      <c r="B85" s="41" t="s">
        <v>553</v>
      </c>
      <c r="C85" s="42">
        <v>20000</v>
      </c>
    </row>
    <row r="86" spans="1:4" x14ac:dyDescent="0.25">
      <c r="A86" s="39"/>
      <c r="B86" s="41" t="s">
        <v>552</v>
      </c>
      <c r="C86" s="42">
        <v>15000</v>
      </c>
    </row>
    <row r="87" spans="1:4" x14ac:dyDescent="0.25">
      <c r="A87" s="39"/>
      <c r="B87" s="41" t="s">
        <v>681</v>
      </c>
      <c r="C87" s="42">
        <v>20000</v>
      </c>
      <c r="D87" t="s">
        <v>554</v>
      </c>
    </row>
    <row r="88" spans="1:4" x14ac:dyDescent="0.25">
      <c r="A88" s="39"/>
      <c r="B88" s="58" t="s">
        <v>561</v>
      </c>
      <c r="C88" s="59">
        <v>550000</v>
      </c>
    </row>
    <row r="89" spans="1:4" x14ac:dyDescent="0.25">
      <c r="A89" s="39"/>
      <c r="B89" s="58" t="s">
        <v>562</v>
      </c>
      <c r="C89" s="59">
        <v>410000</v>
      </c>
    </row>
    <row r="90" spans="1:4" x14ac:dyDescent="0.25">
      <c r="A90" s="39"/>
      <c r="B90" s="58" t="s">
        <v>563</v>
      </c>
      <c r="C90" s="59">
        <v>10000</v>
      </c>
    </row>
    <row r="91" spans="1:4" x14ac:dyDescent="0.25">
      <c r="A91" s="39"/>
      <c r="B91" s="58" t="s">
        <v>564</v>
      </c>
      <c r="C91" s="59">
        <v>265000</v>
      </c>
    </row>
    <row r="92" spans="1:4" x14ac:dyDescent="0.25">
      <c r="A92" s="39"/>
      <c r="B92" s="58" t="s">
        <v>565</v>
      </c>
      <c r="C92" s="59">
        <v>25000</v>
      </c>
    </row>
    <row r="93" spans="1:4" x14ac:dyDescent="0.25">
      <c r="A93" s="39"/>
      <c r="B93" s="58" t="s">
        <v>566</v>
      </c>
      <c r="C93" s="59">
        <v>425000</v>
      </c>
    </row>
    <row r="94" spans="1:4" x14ac:dyDescent="0.25">
      <c r="A94" s="231">
        <v>46199</v>
      </c>
      <c r="B94" s="225" t="s">
        <v>782</v>
      </c>
      <c r="C94" s="226">
        <v>92210</v>
      </c>
    </row>
    <row r="95" spans="1:4" x14ac:dyDescent="0.25">
      <c r="A95" s="231"/>
      <c r="B95" s="225" t="s">
        <v>781</v>
      </c>
      <c r="C95" s="226">
        <v>7790</v>
      </c>
    </row>
    <row r="96" spans="1:4" x14ac:dyDescent="0.25">
      <c r="A96" s="39">
        <v>46201</v>
      </c>
      <c r="B96" s="225" t="s">
        <v>725</v>
      </c>
      <c r="C96" s="226">
        <v>818350</v>
      </c>
    </row>
    <row r="97" spans="1:13" x14ac:dyDescent="0.25">
      <c r="A97" s="39">
        <v>46203</v>
      </c>
      <c r="B97" s="41" t="s">
        <v>567</v>
      </c>
      <c r="C97" s="42">
        <v>47500</v>
      </c>
    </row>
    <row r="98" spans="1:13" x14ac:dyDescent="0.25">
      <c r="A98" s="39"/>
      <c r="B98" s="58" t="s">
        <v>677</v>
      </c>
      <c r="C98" s="59">
        <v>300000</v>
      </c>
    </row>
    <row r="99" spans="1:13" x14ac:dyDescent="0.25">
      <c r="A99" s="39"/>
      <c r="B99" s="91" t="s">
        <v>724</v>
      </c>
      <c r="C99" s="159">
        <v>300000</v>
      </c>
      <c r="D99" t="s">
        <v>498</v>
      </c>
    </row>
    <row r="100" spans="1:13" ht="22.5" x14ac:dyDescent="0.45">
      <c r="A100" s="13"/>
      <c r="B100" s="24"/>
      <c r="C100" s="25">
        <f>SUM(C48:C99)</f>
        <v>13880542</v>
      </c>
      <c r="D100" s="26">
        <f>C42-C100</f>
        <v>9132678</v>
      </c>
    </row>
    <row r="101" spans="1:13" ht="22.5" x14ac:dyDescent="0.45">
      <c r="A101" s="13"/>
      <c r="B101" s="28"/>
      <c r="C101" s="29">
        <f>C3+C42-C100</f>
        <v>15170981</v>
      </c>
    </row>
    <row r="104" spans="1:13" x14ac:dyDescent="0.25">
      <c r="D104" s="38"/>
      <c r="E104" s="53"/>
      <c r="F104" s="53"/>
      <c r="G104" s="38"/>
      <c r="H104" s="38"/>
      <c r="I104" s="38"/>
      <c r="J104" s="38"/>
      <c r="K104" s="38"/>
      <c r="L104" s="38"/>
      <c r="M104" s="38"/>
    </row>
    <row r="105" spans="1:13" x14ac:dyDescent="0.25">
      <c r="D105" s="38"/>
      <c r="E105" s="53"/>
      <c r="F105" s="55"/>
      <c r="G105" s="38"/>
      <c r="H105" s="38"/>
      <c r="I105" s="38"/>
      <c r="J105" s="38"/>
      <c r="K105" s="38"/>
      <c r="L105" s="38"/>
      <c r="M105" s="38"/>
    </row>
    <row r="106" spans="1:13" x14ac:dyDescent="0.25">
      <c r="D106" s="38"/>
      <c r="E106" s="53"/>
      <c r="F106" s="55"/>
      <c r="G106" s="38"/>
      <c r="H106" s="38"/>
      <c r="I106" s="38"/>
      <c r="J106" s="38"/>
      <c r="K106" s="38"/>
      <c r="L106" s="38"/>
      <c r="M106" s="38"/>
    </row>
    <row r="107" spans="1:13" x14ac:dyDescent="0.25">
      <c r="D107" s="38"/>
      <c r="E107" s="53"/>
      <c r="F107" s="38"/>
      <c r="G107" s="38"/>
      <c r="H107" s="38"/>
      <c r="I107" s="38"/>
      <c r="J107" s="38"/>
      <c r="K107" s="38"/>
      <c r="L107" s="38"/>
      <c r="M107" s="38"/>
    </row>
    <row r="108" spans="1:13" x14ac:dyDescent="0.25">
      <c r="D108" s="246"/>
      <c r="E108" s="53"/>
      <c r="F108" s="53"/>
      <c r="G108" s="38"/>
      <c r="H108" s="38"/>
      <c r="I108" s="38"/>
      <c r="J108" s="38"/>
      <c r="K108" s="38"/>
      <c r="L108" s="38"/>
      <c r="M108" s="38"/>
    </row>
    <row r="109" spans="1:13" x14ac:dyDescent="0.25">
      <c r="D109" s="54"/>
      <c r="E109" s="53"/>
      <c r="F109" s="53"/>
      <c r="G109" s="55"/>
      <c r="H109" s="38"/>
      <c r="I109" s="38"/>
      <c r="J109" s="38"/>
      <c r="K109" s="38"/>
      <c r="L109" s="38"/>
      <c r="M109" s="38"/>
    </row>
    <row r="110" spans="1:13" x14ac:dyDescent="0.25">
      <c r="D110" s="38"/>
      <c r="E110" s="247"/>
      <c r="F110" s="53"/>
      <c r="G110" s="55"/>
      <c r="H110" s="248"/>
      <c r="I110" s="38"/>
      <c r="J110" s="38"/>
      <c r="K110" s="38"/>
      <c r="L110" s="38"/>
      <c r="M110" s="38"/>
    </row>
    <row r="111" spans="1:13" x14ac:dyDescent="0.25">
      <c r="D111" s="38"/>
      <c r="E111" s="38"/>
      <c r="F111" s="38"/>
      <c r="G111" s="38"/>
      <c r="H111" s="249"/>
      <c r="I111" s="38"/>
      <c r="J111" s="38"/>
      <c r="K111" s="38"/>
      <c r="L111" s="38"/>
      <c r="M111" s="38"/>
    </row>
    <row r="112" spans="1:13" x14ac:dyDescent="0.25">
      <c r="D112" s="60"/>
      <c r="E112" s="54"/>
      <c r="F112" s="246"/>
      <c r="G112" s="38"/>
      <c r="H112" s="38"/>
      <c r="I112" s="38"/>
      <c r="J112" s="38"/>
      <c r="K112" s="38"/>
      <c r="L112" s="38"/>
      <c r="M112" s="38"/>
    </row>
    <row r="113" spans="4:13" x14ac:dyDescent="0.25">
      <c r="D113" s="60"/>
      <c r="E113" s="54"/>
      <c r="F113" s="246"/>
      <c r="G113" s="38"/>
      <c r="H113" s="38"/>
      <c r="I113" s="38"/>
      <c r="J113" s="38"/>
      <c r="K113" s="38"/>
      <c r="L113" s="38"/>
      <c r="M113" s="38"/>
    </row>
    <row r="114" spans="4:13" x14ac:dyDescent="0.25">
      <c r="D114" s="250"/>
      <c r="E114" s="54"/>
      <c r="F114" s="246"/>
      <c r="G114" s="38"/>
      <c r="H114" s="38"/>
      <c r="I114" s="38"/>
      <c r="J114" s="38"/>
      <c r="K114" s="38"/>
      <c r="L114" s="38"/>
      <c r="M114" s="38"/>
    </row>
    <row r="115" spans="4:13" x14ac:dyDescent="0.25">
      <c r="D115" s="60"/>
      <c r="E115" s="54"/>
      <c r="F115" s="246"/>
      <c r="G115" s="38"/>
      <c r="H115" s="38"/>
      <c r="I115" s="38"/>
      <c r="J115" s="38"/>
      <c r="K115" s="38"/>
      <c r="L115" s="38"/>
      <c r="M115" s="38"/>
    </row>
    <row r="116" spans="4:13" x14ac:dyDescent="0.25">
      <c r="D116" s="250"/>
      <c r="E116" s="54"/>
      <c r="F116" s="246"/>
      <c r="G116" s="38"/>
      <c r="H116" s="38"/>
      <c r="I116" s="38"/>
      <c r="J116" s="38"/>
      <c r="K116" s="38"/>
      <c r="L116" s="38"/>
      <c r="M116" s="38"/>
    </row>
    <row r="117" spans="4:13" x14ac:dyDescent="0.25">
      <c r="D117" s="60"/>
      <c r="E117" s="54"/>
      <c r="F117" s="246"/>
      <c r="G117" s="38"/>
      <c r="H117" s="38"/>
      <c r="I117" s="38"/>
      <c r="J117" s="38"/>
      <c r="K117" s="38"/>
      <c r="L117" s="38"/>
      <c r="M117" s="38"/>
    </row>
    <row r="118" spans="4:13" x14ac:dyDescent="0.25">
      <c r="D118" s="60"/>
      <c r="E118" s="54"/>
      <c r="F118" s="246"/>
      <c r="G118" s="38"/>
      <c r="H118" s="38"/>
      <c r="I118" s="38"/>
      <c r="J118" s="38"/>
      <c r="K118" s="38"/>
      <c r="L118" s="38"/>
      <c r="M118" s="38"/>
    </row>
    <row r="119" spans="4:13" x14ac:dyDescent="0.25">
      <c r="D119" s="60"/>
      <c r="E119" s="54"/>
      <c r="F119" s="246"/>
      <c r="G119" s="38"/>
      <c r="H119" s="38"/>
      <c r="I119" s="38"/>
      <c r="J119" s="38"/>
      <c r="K119" s="38"/>
      <c r="L119" s="38"/>
      <c r="M119" s="38"/>
    </row>
    <row r="120" spans="4:13" x14ac:dyDescent="0.25">
      <c r="D120" s="246"/>
      <c r="E120" s="55"/>
      <c r="F120" s="54"/>
      <c r="G120" s="38"/>
      <c r="H120" s="38"/>
      <c r="I120" s="38"/>
      <c r="J120" s="38"/>
      <c r="K120" s="38"/>
      <c r="L120" s="38"/>
      <c r="M120" s="38"/>
    </row>
  </sheetData>
  <pageMargins left="0.7" right="0.7" top="0.75" bottom="0.75" header="0.3" footer="0.3"/>
  <pageSetup paperSize="9" scale="33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157E-D355-40CE-BF4B-D164E23BEF62}">
  <sheetPr>
    <pageSetUpPr fitToPage="1"/>
  </sheetPr>
  <dimension ref="A1:I167"/>
  <sheetViews>
    <sheetView topLeftCell="A143" zoomScale="106" zoomScaleNormal="106" workbookViewId="0">
      <selection activeCell="D111" sqref="D111"/>
    </sheetView>
  </sheetViews>
  <sheetFormatPr baseColWidth="10" defaultRowHeight="15" x14ac:dyDescent="0.25"/>
  <cols>
    <col min="2" max="2" width="89.28515625" bestFit="1" customWidth="1"/>
    <col min="3" max="3" width="18.140625" bestFit="1" customWidth="1"/>
    <col min="4" max="4" width="50.7109375" bestFit="1" customWidth="1"/>
    <col min="5" max="5" width="16.85546875" bestFit="1" customWidth="1"/>
    <col min="6" max="6" width="13.42578125" bestFit="1" customWidth="1"/>
    <col min="7" max="7" width="15.140625" bestFit="1" customWidth="1"/>
    <col min="8" max="8" width="13.42578125" bestFit="1" customWidth="1"/>
  </cols>
  <sheetData>
    <row r="1" spans="1:4" ht="26.25" x14ac:dyDescent="0.25">
      <c r="A1" s="1"/>
      <c r="B1" s="2" t="s">
        <v>0</v>
      </c>
      <c r="C1" s="3"/>
    </row>
    <row r="2" spans="1:4" ht="24" x14ac:dyDescent="0.4">
      <c r="A2" s="4"/>
      <c r="B2" s="5" t="s">
        <v>570</v>
      </c>
      <c r="C2" s="6"/>
    </row>
    <row r="3" spans="1:4" ht="24" thickBot="1" x14ac:dyDescent="0.4">
      <c r="A3" s="7"/>
      <c r="B3" s="8"/>
      <c r="C3" s="9">
        <f>JUNIO!C101</f>
        <v>15170981</v>
      </c>
    </row>
    <row r="4" spans="1:4" ht="15.75" thickBot="1" x14ac:dyDescent="0.3">
      <c r="A4" s="182">
        <v>46204</v>
      </c>
      <c r="B4" s="236" t="s">
        <v>744</v>
      </c>
      <c r="C4" s="237">
        <v>210840</v>
      </c>
      <c r="D4" t="s">
        <v>5</v>
      </c>
    </row>
    <row r="5" spans="1:4" ht="15.75" thickBot="1" x14ac:dyDescent="0.3">
      <c r="A5" s="182"/>
      <c r="B5" s="236" t="s">
        <v>701</v>
      </c>
      <c r="C5" s="237">
        <v>30000</v>
      </c>
      <c r="D5" t="s">
        <v>5</v>
      </c>
    </row>
    <row r="6" spans="1:4" x14ac:dyDescent="0.25">
      <c r="A6" s="182"/>
      <c r="B6" s="83" t="s">
        <v>745</v>
      </c>
      <c r="C6" s="90">
        <v>511000</v>
      </c>
      <c r="D6" t="s">
        <v>5</v>
      </c>
    </row>
    <row r="7" spans="1:4" x14ac:dyDescent="0.25">
      <c r="A7" s="196"/>
      <c r="B7" s="83" t="s">
        <v>702</v>
      </c>
      <c r="C7" s="84">
        <v>83000</v>
      </c>
      <c r="D7" t="s">
        <v>5</v>
      </c>
    </row>
    <row r="8" spans="1:4" x14ac:dyDescent="0.25">
      <c r="A8" s="196">
        <v>46209</v>
      </c>
      <c r="B8" s="83" t="s">
        <v>742</v>
      </c>
      <c r="C8" s="84">
        <v>400000</v>
      </c>
      <c r="D8" t="s">
        <v>5</v>
      </c>
    </row>
    <row r="9" spans="1:4" x14ac:dyDescent="0.25">
      <c r="A9" s="35"/>
      <c r="B9" s="200" t="s">
        <v>583</v>
      </c>
      <c r="C9" s="201">
        <v>804000</v>
      </c>
      <c r="D9" s="202" t="s">
        <v>247</v>
      </c>
    </row>
    <row r="10" spans="1:4" x14ac:dyDescent="0.25">
      <c r="A10" s="35">
        <v>46211</v>
      </c>
      <c r="B10" s="41" t="s">
        <v>585</v>
      </c>
      <c r="C10" s="42">
        <v>2310880</v>
      </c>
    </row>
    <row r="11" spans="1:4" x14ac:dyDescent="0.25">
      <c r="A11" s="35"/>
      <c r="B11" s="41" t="s">
        <v>586</v>
      </c>
      <c r="C11" s="42">
        <v>630000</v>
      </c>
      <c r="D11" t="s">
        <v>5</v>
      </c>
    </row>
    <row r="12" spans="1:4" ht="15.75" x14ac:dyDescent="0.3">
      <c r="A12" s="35"/>
      <c r="B12" s="180" t="s">
        <v>593</v>
      </c>
      <c r="C12" s="42">
        <v>237000</v>
      </c>
    </row>
    <row r="13" spans="1:4" x14ac:dyDescent="0.25">
      <c r="A13" s="35"/>
      <c r="B13" s="36" t="s">
        <v>594</v>
      </c>
      <c r="C13" s="42">
        <v>215000</v>
      </c>
    </row>
    <row r="14" spans="1:4" x14ac:dyDescent="0.25">
      <c r="A14" s="35"/>
      <c r="B14" s="234" t="s">
        <v>595</v>
      </c>
      <c r="C14" s="235">
        <v>500000</v>
      </c>
    </row>
    <row r="15" spans="1:4" x14ac:dyDescent="0.25">
      <c r="A15" s="35"/>
      <c r="B15" s="41" t="s">
        <v>611</v>
      </c>
      <c r="C15" s="42">
        <v>500000</v>
      </c>
    </row>
    <row r="16" spans="1:4" x14ac:dyDescent="0.25">
      <c r="A16" s="39"/>
      <c r="B16" s="36" t="s">
        <v>597</v>
      </c>
      <c r="C16" s="37">
        <v>30000</v>
      </c>
    </row>
    <row r="17" spans="1:5" x14ac:dyDescent="0.25">
      <c r="A17" s="39"/>
      <c r="B17" s="36" t="s">
        <v>602</v>
      </c>
      <c r="C17" s="37">
        <v>15000</v>
      </c>
      <c r="D17" t="s">
        <v>536</v>
      </c>
    </row>
    <row r="18" spans="1:5" x14ac:dyDescent="0.25">
      <c r="A18" s="39">
        <v>46217</v>
      </c>
      <c r="B18" s="110" t="s">
        <v>605</v>
      </c>
      <c r="C18" s="82">
        <v>200000</v>
      </c>
      <c r="D18" s="203" t="s">
        <v>5</v>
      </c>
    </row>
    <row r="19" spans="1:5" x14ac:dyDescent="0.25">
      <c r="A19" s="39"/>
      <c r="B19" s="238" t="s">
        <v>610</v>
      </c>
      <c r="C19" s="239">
        <v>375550</v>
      </c>
      <c r="D19" s="222" t="s">
        <v>5</v>
      </c>
    </row>
    <row r="20" spans="1:5" x14ac:dyDescent="0.25">
      <c r="A20" s="35">
        <v>46218</v>
      </c>
      <c r="B20" s="36" t="s">
        <v>607</v>
      </c>
      <c r="C20" s="37">
        <v>123400</v>
      </c>
      <c r="D20" t="s">
        <v>5</v>
      </c>
    </row>
    <row r="21" spans="1:5" x14ac:dyDescent="0.25">
      <c r="A21" s="35"/>
      <c r="B21" s="36" t="s">
        <v>608</v>
      </c>
      <c r="C21" s="37">
        <v>50000</v>
      </c>
      <c r="D21" t="s">
        <v>247</v>
      </c>
    </row>
    <row r="22" spans="1:5" x14ac:dyDescent="0.25">
      <c r="A22" s="39"/>
      <c r="B22" s="204" t="s">
        <v>609</v>
      </c>
      <c r="C22" s="205">
        <v>700000</v>
      </c>
      <c r="D22" s="203" t="s">
        <v>5</v>
      </c>
    </row>
    <row r="23" spans="1:5" x14ac:dyDescent="0.25">
      <c r="A23" s="39"/>
      <c r="B23" s="85" t="s">
        <v>628</v>
      </c>
      <c r="C23" s="86">
        <v>1050000</v>
      </c>
      <c r="D23" s="207" t="s">
        <v>84</v>
      </c>
    </row>
    <row r="24" spans="1:5" x14ac:dyDescent="0.25">
      <c r="A24" s="39"/>
      <c r="B24" s="91" t="s">
        <v>708</v>
      </c>
      <c r="C24" s="240">
        <v>305000</v>
      </c>
      <c r="D24" s="189" t="s">
        <v>98</v>
      </c>
      <c r="E24" s="159">
        <v>1500000</v>
      </c>
    </row>
    <row r="25" spans="1:5" x14ac:dyDescent="0.25">
      <c r="A25" s="39"/>
      <c r="B25" s="171" t="s">
        <v>614</v>
      </c>
      <c r="C25" s="172" t="s">
        <v>67</v>
      </c>
      <c r="D25" s="173" t="s">
        <v>637</v>
      </c>
    </row>
    <row r="26" spans="1:5" s="38" customFormat="1" x14ac:dyDescent="0.25">
      <c r="A26" s="45">
        <v>46219</v>
      </c>
      <c r="B26" s="83" t="s">
        <v>638</v>
      </c>
      <c r="C26" s="84">
        <v>1717640</v>
      </c>
      <c r="D26" s="38" t="s">
        <v>98</v>
      </c>
    </row>
    <row r="27" spans="1:5" s="38" customFormat="1" x14ac:dyDescent="0.25">
      <c r="A27" s="45">
        <v>46220</v>
      </c>
      <c r="B27" s="251" t="s">
        <v>617</v>
      </c>
      <c r="C27" s="252">
        <v>1000000</v>
      </c>
    </row>
    <row r="28" spans="1:5" s="38" customFormat="1" x14ac:dyDescent="0.25">
      <c r="A28" s="45">
        <v>46224</v>
      </c>
      <c r="B28" s="83" t="s">
        <v>627</v>
      </c>
      <c r="C28" s="84">
        <v>1000000</v>
      </c>
      <c r="D28" s="53"/>
    </row>
    <row r="29" spans="1:5" s="38" customFormat="1" x14ac:dyDescent="0.25">
      <c r="A29" s="45"/>
      <c r="B29" s="83" t="s">
        <v>661</v>
      </c>
      <c r="C29" s="84">
        <v>1000000</v>
      </c>
      <c r="D29" s="38" t="s">
        <v>247</v>
      </c>
      <c r="E29" s="38" t="s">
        <v>630</v>
      </c>
    </row>
    <row r="30" spans="1:5" s="38" customFormat="1" x14ac:dyDescent="0.25">
      <c r="A30" s="45">
        <v>46225</v>
      </c>
      <c r="B30" s="83" t="s">
        <v>634</v>
      </c>
      <c r="C30" s="84">
        <v>313650</v>
      </c>
      <c r="D30" s="38" t="s">
        <v>247</v>
      </c>
    </row>
    <row r="31" spans="1:5" s="38" customFormat="1" x14ac:dyDescent="0.25">
      <c r="A31" s="45"/>
      <c r="B31" s="83" t="s">
        <v>704</v>
      </c>
      <c r="C31" s="84">
        <v>164000</v>
      </c>
      <c r="D31" s="38" t="s">
        <v>5</v>
      </c>
      <c r="E31" s="53">
        <v>300000</v>
      </c>
    </row>
    <row r="32" spans="1:5" s="38" customFormat="1" x14ac:dyDescent="0.25">
      <c r="A32" s="45"/>
      <c r="B32" s="83" t="s">
        <v>635</v>
      </c>
      <c r="C32" s="84">
        <v>101000</v>
      </c>
    </row>
    <row r="33" spans="1:5" s="38" customFormat="1" x14ac:dyDescent="0.25">
      <c r="A33" s="45">
        <v>46226</v>
      </c>
      <c r="B33" s="38" t="s">
        <v>662</v>
      </c>
      <c r="C33" s="53">
        <v>1000000</v>
      </c>
      <c r="D33" s="38" t="s">
        <v>5</v>
      </c>
    </row>
    <row r="34" spans="1:5" s="38" customFormat="1" x14ac:dyDescent="0.25">
      <c r="A34" s="45">
        <v>46227</v>
      </c>
      <c r="B34" s="207" t="s">
        <v>652</v>
      </c>
      <c r="C34" s="208">
        <v>1500000</v>
      </c>
      <c r="D34" s="38" t="s">
        <v>651</v>
      </c>
    </row>
    <row r="35" spans="1:5" s="38" customFormat="1" x14ac:dyDescent="0.25">
      <c r="A35" s="45"/>
      <c r="B35" s="38" t="s">
        <v>654</v>
      </c>
      <c r="C35" s="53">
        <v>900000</v>
      </c>
      <c r="D35" s="38" t="s">
        <v>653</v>
      </c>
    </row>
    <row r="36" spans="1:5" s="38" customFormat="1" x14ac:dyDescent="0.25">
      <c r="A36" s="45"/>
      <c r="B36" s="38" t="s">
        <v>660</v>
      </c>
      <c r="C36" s="53" t="s">
        <v>84</v>
      </c>
      <c r="D36" s="38" t="s">
        <v>5</v>
      </c>
      <c r="E36" s="53">
        <v>190000</v>
      </c>
    </row>
    <row r="37" spans="1:5" s="38" customFormat="1" x14ac:dyDescent="0.25">
      <c r="A37" s="45"/>
      <c r="B37" s="38" t="s">
        <v>703</v>
      </c>
      <c r="C37" s="53">
        <v>2050000</v>
      </c>
      <c r="D37" s="38" t="s">
        <v>67</v>
      </c>
    </row>
    <row r="38" spans="1:5" s="38" customFormat="1" x14ac:dyDescent="0.25">
      <c r="A38" s="45"/>
      <c r="B38" s="207" t="s">
        <v>658</v>
      </c>
      <c r="C38" s="208"/>
      <c r="D38" s="207" t="s">
        <v>794</v>
      </c>
      <c r="E38" s="53">
        <v>44650</v>
      </c>
    </row>
    <row r="39" spans="1:5" s="38" customFormat="1" x14ac:dyDescent="0.25">
      <c r="A39" s="45"/>
      <c r="B39" s="38" t="s">
        <v>663</v>
      </c>
      <c r="C39" s="53">
        <v>393000</v>
      </c>
    </row>
    <row r="40" spans="1:5" s="38" customFormat="1" x14ac:dyDescent="0.25">
      <c r="A40" s="45">
        <v>46230</v>
      </c>
      <c r="B40" s="38" t="s">
        <v>687</v>
      </c>
      <c r="C40" s="53">
        <v>172680</v>
      </c>
      <c r="D40" s="53"/>
    </row>
    <row r="41" spans="1:5" s="38" customFormat="1" x14ac:dyDescent="0.25">
      <c r="A41" s="45"/>
      <c r="B41" s="38" t="s">
        <v>689</v>
      </c>
      <c r="C41" s="53">
        <v>1000000</v>
      </c>
    </row>
    <row r="42" spans="1:5" s="38" customFormat="1" x14ac:dyDescent="0.25">
      <c r="A42" s="45"/>
      <c r="B42" s="232" t="s">
        <v>783</v>
      </c>
      <c r="C42" s="233">
        <v>5770</v>
      </c>
      <c r="D42" s="38">
        <v>83300</v>
      </c>
    </row>
    <row r="43" spans="1:5" s="38" customFormat="1" x14ac:dyDescent="0.25">
      <c r="A43" s="45"/>
      <c r="B43" s="232" t="s">
        <v>784</v>
      </c>
      <c r="C43" s="233">
        <v>710300</v>
      </c>
      <c r="D43" s="38">
        <v>25730</v>
      </c>
    </row>
    <row r="44" spans="1:5" s="38" customFormat="1" x14ac:dyDescent="0.25">
      <c r="A44" s="45">
        <v>46231</v>
      </c>
      <c r="B44" s="38" t="s">
        <v>696</v>
      </c>
      <c r="C44" s="53">
        <v>33000</v>
      </c>
    </row>
    <row r="45" spans="1:5" s="38" customFormat="1" x14ac:dyDescent="0.25">
      <c r="A45" s="45"/>
      <c r="B45" s="38" t="s">
        <v>697</v>
      </c>
      <c r="C45" s="53">
        <v>98000</v>
      </c>
    </row>
    <row r="46" spans="1:5" s="38" customFormat="1" x14ac:dyDescent="0.25">
      <c r="A46" s="45"/>
      <c r="B46" s="38" t="s">
        <v>698</v>
      </c>
      <c r="C46" s="53">
        <v>1000000</v>
      </c>
    </row>
    <row r="47" spans="1:5" s="38" customFormat="1" x14ac:dyDescent="0.25">
      <c r="A47" s="45"/>
      <c r="B47" s="222" t="s">
        <v>700</v>
      </c>
      <c r="C47" s="223">
        <v>48800</v>
      </c>
      <c r="D47" s="38" t="s">
        <v>5</v>
      </c>
    </row>
    <row r="48" spans="1:5" x14ac:dyDescent="0.25">
      <c r="A48" s="45">
        <v>46234</v>
      </c>
      <c r="B48" s="38" t="s">
        <v>712</v>
      </c>
      <c r="C48" s="53">
        <v>3012000</v>
      </c>
    </row>
    <row r="49" spans="1:3" s="38" customFormat="1" x14ac:dyDescent="0.25">
      <c r="A49" s="45"/>
      <c r="B49" s="207" t="s">
        <v>714</v>
      </c>
      <c r="C49" s="208">
        <v>950000</v>
      </c>
    </row>
    <row r="50" spans="1:3" s="38" customFormat="1" x14ac:dyDescent="0.25">
      <c r="A50" s="45"/>
      <c r="B50" s="38" t="s">
        <v>723</v>
      </c>
      <c r="C50" s="53">
        <v>20000</v>
      </c>
    </row>
    <row r="51" spans="1:3" s="38" customFormat="1" x14ac:dyDescent="0.25">
      <c r="A51" s="45"/>
      <c r="B51" s="38" t="s">
        <v>730</v>
      </c>
      <c r="C51" s="53">
        <v>289050</v>
      </c>
    </row>
    <row r="52" spans="1:3" s="38" customFormat="1" x14ac:dyDescent="0.25">
      <c r="A52" s="45"/>
      <c r="B52" s="38" t="s">
        <v>731</v>
      </c>
      <c r="C52" s="53">
        <v>270000</v>
      </c>
    </row>
    <row r="53" spans="1:3" s="38" customFormat="1" x14ac:dyDescent="0.25">
      <c r="A53" s="45"/>
      <c r="B53" s="38" t="s">
        <v>732</v>
      </c>
      <c r="C53" s="53">
        <v>73500</v>
      </c>
    </row>
    <row r="54" spans="1:3" s="38" customFormat="1" ht="15.75" thickBot="1" x14ac:dyDescent="0.3">
      <c r="A54" s="45"/>
      <c r="B54" s="38" t="s">
        <v>785</v>
      </c>
      <c r="C54" s="53">
        <v>100000</v>
      </c>
    </row>
    <row r="55" spans="1:3" ht="23.25" thickBot="1" x14ac:dyDescent="0.5">
      <c r="A55" s="184"/>
      <c r="B55" s="185"/>
      <c r="C55" s="114">
        <f>SUM(C4:C54)</f>
        <v>28203060</v>
      </c>
    </row>
    <row r="56" spans="1:3" x14ac:dyDescent="0.25">
      <c r="A56" s="174"/>
    </row>
    <row r="57" spans="1:3" x14ac:dyDescent="0.25">
      <c r="A57" s="174"/>
      <c r="B57" s="187"/>
      <c r="C57" s="183"/>
    </row>
    <row r="58" spans="1:3" ht="15.75" thickBot="1" x14ac:dyDescent="0.3">
      <c r="A58" s="186"/>
      <c r="B58" s="83"/>
      <c r="C58" s="84"/>
    </row>
    <row r="59" spans="1:3" ht="26.25" x14ac:dyDescent="0.25">
      <c r="A59" s="1"/>
      <c r="B59" s="2" t="s">
        <v>7</v>
      </c>
      <c r="C59" s="3"/>
    </row>
    <row r="60" spans="1:3" ht="24" x14ac:dyDescent="0.4">
      <c r="A60" s="4"/>
      <c r="B60" s="5" t="s">
        <v>570</v>
      </c>
      <c r="C60" s="6"/>
    </row>
    <row r="61" spans="1:3" x14ac:dyDescent="0.25">
      <c r="A61" s="39">
        <v>46205</v>
      </c>
      <c r="B61" s="36" t="s">
        <v>571</v>
      </c>
      <c r="C61" s="42">
        <v>25000</v>
      </c>
    </row>
    <row r="62" spans="1:3" x14ac:dyDescent="0.25">
      <c r="A62" s="39"/>
      <c r="B62" s="36" t="s">
        <v>573</v>
      </c>
      <c r="C62" s="42">
        <v>100000</v>
      </c>
    </row>
    <row r="63" spans="1:3" x14ac:dyDescent="0.25">
      <c r="A63" s="39">
        <v>46206</v>
      </c>
      <c r="B63" s="36" t="s">
        <v>692</v>
      </c>
      <c r="C63" s="37">
        <v>6000</v>
      </c>
    </row>
    <row r="64" spans="1:3" x14ac:dyDescent="0.25">
      <c r="A64" s="39"/>
      <c r="B64" s="36" t="s">
        <v>572</v>
      </c>
      <c r="C64" s="37">
        <v>17500</v>
      </c>
    </row>
    <row r="65" spans="1:4" x14ac:dyDescent="0.25">
      <c r="A65" s="39"/>
      <c r="B65" s="36" t="s">
        <v>578</v>
      </c>
      <c r="C65" s="37">
        <v>26950</v>
      </c>
      <c r="D65" t="s">
        <v>5</v>
      </c>
    </row>
    <row r="66" spans="1:4" x14ac:dyDescent="0.25">
      <c r="A66" s="39"/>
      <c r="B66" s="36" t="s">
        <v>579</v>
      </c>
      <c r="C66" s="37">
        <v>26950</v>
      </c>
      <c r="D66" t="s">
        <v>5</v>
      </c>
    </row>
    <row r="67" spans="1:4" x14ac:dyDescent="0.25">
      <c r="A67" s="39">
        <v>46207</v>
      </c>
      <c r="B67" s="81" t="s">
        <v>746</v>
      </c>
      <c r="C67" s="188">
        <v>200000</v>
      </c>
    </row>
    <row r="68" spans="1:4" x14ac:dyDescent="0.25">
      <c r="B68" s="81" t="s">
        <v>574</v>
      </c>
      <c r="C68" s="82">
        <v>338000</v>
      </c>
    </row>
    <row r="69" spans="1:4" x14ac:dyDescent="0.25">
      <c r="A69" s="39"/>
      <c r="B69" s="81" t="s">
        <v>575</v>
      </c>
      <c r="C69" s="82">
        <v>425000</v>
      </c>
    </row>
    <row r="70" spans="1:4" x14ac:dyDescent="0.25">
      <c r="A70" s="39"/>
      <c r="B70" s="81" t="s">
        <v>576</v>
      </c>
      <c r="C70" s="82">
        <v>340000</v>
      </c>
    </row>
    <row r="71" spans="1:4" x14ac:dyDescent="0.25">
      <c r="A71" s="39"/>
      <c r="B71" s="81" t="s">
        <v>577</v>
      </c>
      <c r="C71" s="67">
        <v>15000</v>
      </c>
    </row>
    <row r="72" spans="1:4" x14ac:dyDescent="0.25">
      <c r="A72" s="39"/>
      <c r="B72" s="36" t="s">
        <v>584</v>
      </c>
      <c r="C72" s="42">
        <v>32000</v>
      </c>
    </row>
    <row r="73" spans="1:4" x14ac:dyDescent="0.25">
      <c r="A73" s="39">
        <v>46209</v>
      </c>
      <c r="B73" s="36" t="s">
        <v>592</v>
      </c>
      <c r="C73" s="42">
        <v>20000</v>
      </c>
      <c r="D73" s="38"/>
    </row>
    <row r="74" spans="1:4" x14ac:dyDescent="0.25">
      <c r="A74" s="35">
        <v>46210</v>
      </c>
      <c r="B74" s="36" t="s">
        <v>587</v>
      </c>
      <c r="C74" s="37">
        <v>40000</v>
      </c>
    </row>
    <row r="75" spans="1:4" ht="18.75" x14ac:dyDescent="0.4">
      <c r="A75" s="39"/>
      <c r="B75" s="197" t="s">
        <v>588</v>
      </c>
      <c r="C75" s="179">
        <v>20000</v>
      </c>
    </row>
    <row r="76" spans="1:4" ht="18.75" x14ac:dyDescent="0.4">
      <c r="A76" s="39"/>
      <c r="B76" s="197" t="s">
        <v>589</v>
      </c>
      <c r="C76" s="179">
        <v>30000</v>
      </c>
    </row>
    <row r="77" spans="1:4" ht="15.75" x14ac:dyDescent="0.3">
      <c r="A77" s="39"/>
      <c r="B77" s="198" t="s">
        <v>590</v>
      </c>
      <c r="C77" s="199">
        <v>35000</v>
      </c>
    </row>
    <row r="78" spans="1:4" ht="15.75" x14ac:dyDescent="0.3">
      <c r="A78" s="39"/>
      <c r="B78" s="198" t="s">
        <v>591</v>
      </c>
      <c r="C78" s="199">
        <v>17500</v>
      </c>
    </row>
    <row r="79" spans="1:4" x14ac:dyDescent="0.25">
      <c r="A79" s="39">
        <v>46212</v>
      </c>
      <c r="B79" s="98" t="s">
        <v>596</v>
      </c>
      <c r="C79" s="181">
        <v>225000</v>
      </c>
    </row>
    <row r="80" spans="1:4" x14ac:dyDescent="0.25">
      <c r="A80" s="39"/>
      <c r="B80" s="41" t="s">
        <v>598</v>
      </c>
      <c r="C80" s="42">
        <v>15000</v>
      </c>
    </row>
    <row r="81" spans="1:4" x14ac:dyDescent="0.25">
      <c r="A81" s="39">
        <v>46213</v>
      </c>
      <c r="B81" s="51" t="s">
        <v>599</v>
      </c>
      <c r="C81" s="52">
        <v>130900</v>
      </c>
      <c r="D81" t="s">
        <v>178</v>
      </c>
    </row>
    <row r="82" spans="1:4" x14ac:dyDescent="0.25">
      <c r="A82" s="39">
        <v>46214</v>
      </c>
      <c r="B82" s="81" t="s">
        <v>600</v>
      </c>
      <c r="C82" s="188">
        <v>410000</v>
      </c>
    </row>
    <row r="83" spans="1:4" x14ac:dyDescent="0.25">
      <c r="A83" s="39"/>
      <c r="B83" s="81" t="s">
        <v>601</v>
      </c>
      <c r="C83" s="188">
        <v>425000</v>
      </c>
    </row>
    <row r="84" spans="1:4" x14ac:dyDescent="0.25">
      <c r="A84" s="39"/>
      <c r="B84" s="110" t="s">
        <v>603</v>
      </c>
      <c r="C84" s="82">
        <v>5000</v>
      </c>
    </row>
    <row r="85" spans="1:4" x14ac:dyDescent="0.25">
      <c r="A85" s="39"/>
      <c r="B85" s="110" t="s">
        <v>604</v>
      </c>
      <c r="C85" s="82">
        <v>5000</v>
      </c>
    </row>
    <row r="86" spans="1:4" x14ac:dyDescent="0.25">
      <c r="A86" s="39"/>
      <c r="B86" s="41" t="s">
        <v>606</v>
      </c>
      <c r="C86" s="42">
        <v>20000</v>
      </c>
    </row>
    <row r="87" spans="1:4" x14ac:dyDescent="0.25">
      <c r="A87" s="39">
        <v>46217</v>
      </c>
      <c r="B87" s="41" t="s">
        <v>639</v>
      </c>
      <c r="C87" s="42">
        <v>150000</v>
      </c>
    </row>
    <row r="88" spans="1:4" x14ac:dyDescent="0.25">
      <c r="A88" s="39">
        <v>46218</v>
      </c>
      <c r="B88" s="41" t="s">
        <v>612</v>
      </c>
      <c r="C88" s="42">
        <v>100100</v>
      </c>
    </row>
    <row r="89" spans="1:4" x14ac:dyDescent="0.25">
      <c r="A89" s="39"/>
      <c r="B89" s="85" t="s">
        <v>613</v>
      </c>
      <c r="C89" s="86">
        <v>930000</v>
      </c>
      <c r="D89" t="s">
        <v>84</v>
      </c>
    </row>
    <row r="90" spans="1:4" x14ac:dyDescent="0.25">
      <c r="A90" s="39"/>
      <c r="B90" s="85" t="s">
        <v>713</v>
      </c>
      <c r="C90" s="86">
        <v>15400</v>
      </c>
      <c r="D90" t="s">
        <v>84</v>
      </c>
    </row>
    <row r="91" spans="1:4" x14ac:dyDescent="0.25">
      <c r="A91" s="39"/>
      <c r="B91" s="41" t="s">
        <v>615</v>
      </c>
      <c r="C91" s="42">
        <v>100000</v>
      </c>
    </row>
    <row r="92" spans="1:4" x14ac:dyDescent="0.25">
      <c r="A92" s="39"/>
      <c r="B92" s="41" t="s">
        <v>693</v>
      </c>
      <c r="C92" s="42">
        <v>30000</v>
      </c>
    </row>
    <row r="93" spans="1:4" x14ac:dyDescent="0.25">
      <c r="A93" s="39"/>
      <c r="B93" s="41" t="s">
        <v>616</v>
      </c>
      <c r="C93" s="42">
        <v>60000</v>
      </c>
      <c r="D93" t="s">
        <v>5</v>
      </c>
    </row>
    <row r="94" spans="1:4" x14ac:dyDescent="0.25">
      <c r="A94" s="39">
        <v>46220</v>
      </c>
      <c r="B94" s="206" t="s">
        <v>618</v>
      </c>
      <c r="C94" s="42">
        <v>410000</v>
      </c>
    </row>
    <row r="95" spans="1:4" ht="14.25" customHeight="1" x14ac:dyDescent="0.25">
      <c r="A95" s="39"/>
      <c r="B95" s="41" t="s">
        <v>619</v>
      </c>
      <c r="C95" s="42">
        <v>250000</v>
      </c>
    </row>
    <row r="96" spans="1:4" x14ac:dyDescent="0.25">
      <c r="A96" s="39"/>
      <c r="B96" s="58" t="s">
        <v>620</v>
      </c>
      <c r="C96" s="59">
        <v>265000</v>
      </c>
    </row>
    <row r="97" spans="1:4" x14ac:dyDescent="0.25">
      <c r="A97" s="39"/>
      <c r="B97" s="58" t="s">
        <v>621</v>
      </c>
      <c r="C97" s="59">
        <v>30000</v>
      </c>
      <c r="D97">
        <f>930000*2</f>
        <v>1860000</v>
      </c>
    </row>
    <row r="98" spans="1:4" x14ac:dyDescent="0.25">
      <c r="A98" s="39"/>
      <c r="B98" s="58" t="s">
        <v>622</v>
      </c>
      <c r="C98" s="59">
        <v>350000</v>
      </c>
    </row>
    <row r="99" spans="1:4" x14ac:dyDescent="0.25">
      <c r="A99" s="39"/>
      <c r="B99" s="58" t="s">
        <v>623</v>
      </c>
      <c r="C99" s="59">
        <v>30000</v>
      </c>
    </row>
    <row r="100" spans="1:4" x14ac:dyDescent="0.25">
      <c r="A100" s="39"/>
      <c r="B100" s="98" t="s">
        <v>625</v>
      </c>
      <c r="C100" s="181">
        <v>338000</v>
      </c>
    </row>
    <row r="101" spans="1:4" x14ac:dyDescent="0.25">
      <c r="A101" s="39"/>
      <c r="B101" s="58" t="s">
        <v>624</v>
      </c>
      <c r="C101" s="59">
        <v>30000</v>
      </c>
    </row>
    <row r="102" spans="1:4" x14ac:dyDescent="0.25">
      <c r="A102" s="39">
        <v>46224</v>
      </c>
      <c r="B102" s="41" t="s">
        <v>626</v>
      </c>
      <c r="C102" s="42">
        <v>118500</v>
      </c>
    </row>
    <row r="103" spans="1:4" x14ac:dyDescent="0.25">
      <c r="A103" s="39"/>
      <c r="B103" s="83" t="s">
        <v>636</v>
      </c>
      <c r="C103" s="84">
        <v>35000</v>
      </c>
    </row>
    <row r="104" spans="1:4" x14ac:dyDescent="0.25">
      <c r="A104" s="39">
        <v>46225</v>
      </c>
      <c r="B104" s="41" t="s">
        <v>631</v>
      </c>
      <c r="C104" s="42">
        <v>77330</v>
      </c>
    </row>
    <row r="105" spans="1:4" x14ac:dyDescent="0.25">
      <c r="A105" s="39"/>
      <c r="B105" s="41" t="s">
        <v>632</v>
      </c>
      <c r="C105" s="42">
        <v>12100</v>
      </c>
    </row>
    <row r="106" spans="1:4" x14ac:dyDescent="0.25">
      <c r="A106" s="39"/>
      <c r="B106" s="41" t="s">
        <v>633</v>
      </c>
      <c r="C106" s="42">
        <v>10500</v>
      </c>
    </row>
    <row r="107" spans="1:4" x14ac:dyDescent="0.25">
      <c r="A107" s="39"/>
      <c r="B107" s="41" t="s">
        <v>647</v>
      </c>
      <c r="C107" s="42">
        <v>50000</v>
      </c>
    </row>
    <row r="108" spans="1:4" x14ac:dyDescent="0.25">
      <c r="A108" s="39">
        <v>46226</v>
      </c>
      <c r="B108" s="41" t="s">
        <v>644</v>
      </c>
      <c r="C108" s="42">
        <v>20000</v>
      </c>
    </row>
    <row r="109" spans="1:4" x14ac:dyDescent="0.25">
      <c r="A109" s="39"/>
      <c r="B109" s="41" t="s">
        <v>645</v>
      </c>
      <c r="C109" s="42">
        <v>48000</v>
      </c>
    </row>
    <row r="110" spans="1:4" x14ac:dyDescent="0.25">
      <c r="A110" s="39"/>
      <c r="B110" s="91" t="s">
        <v>706</v>
      </c>
      <c r="C110" s="159">
        <v>1195000</v>
      </c>
      <c r="D110" s="240" t="s">
        <v>5</v>
      </c>
    </row>
    <row r="111" spans="1:4" x14ac:dyDescent="0.25">
      <c r="A111" s="39">
        <v>46227</v>
      </c>
      <c r="B111" s="41" t="s">
        <v>646</v>
      </c>
      <c r="C111" s="42">
        <v>1026</v>
      </c>
    </row>
    <row r="112" spans="1:4" x14ac:dyDescent="0.25">
      <c r="A112" s="39"/>
      <c r="B112" s="41" t="s">
        <v>640</v>
      </c>
      <c r="C112" s="42">
        <v>230000</v>
      </c>
    </row>
    <row r="113" spans="1:4" x14ac:dyDescent="0.25">
      <c r="A113" s="39"/>
      <c r="B113" s="41" t="s">
        <v>641</v>
      </c>
      <c r="C113" s="42">
        <v>85000</v>
      </c>
    </row>
    <row r="114" spans="1:4" x14ac:dyDescent="0.25">
      <c r="A114" s="39"/>
      <c r="B114" s="41" t="s">
        <v>642</v>
      </c>
      <c r="C114" s="42">
        <v>28000</v>
      </c>
    </row>
    <row r="115" spans="1:4" x14ac:dyDescent="0.25">
      <c r="A115" s="39"/>
      <c r="B115" s="41" t="s">
        <v>643</v>
      </c>
      <c r="C115" s="42">
        <v>10000</v>
      </c>
    </row>
    <row r="116" spans="1:4" x14ac:dyDescent="0.25">
      <c r="A116" s="39"/>
      <c r="B116" s="85" t="s">
        <v>682</v>
      </c>
      <c r="C116" s="86">
        <v>1500000</v>
      </c>
    </row>
    <row r="117" spans="1:4" x14ac:dyDescent="0.25">
      <c r="A117" s="39"/>
      <c r="B117" s="41" t="s">
        <v>648</v>
      </c>
      <c r="C117" s="42">
        <v>160000</v>
      </c>
    </row>
    <row r="118" spans="1:4" x14ac:dyDescent="0.25">
      <c r="A118" s="39"/>
      <c r="B118" s="41" t="s">
        <v>649</v>
      </c>
      <c r="C118" s="42">
        <v>160000</v>
      </c>
    </row>
    <row r="119" spans="1:4" x14ac:dyDescent="0.25">
      <c r="A119" s="39"/>
      <c r="B119" s="41" t="s">
        <v>683</v>
      </c>
      <c r="C119" s="42">
        <v>80000</v>
      </c>
    </row>
    <row r="120" spans="1:4" x14ac:dyDescent="0.25">
      <c r="A120" s="39"/>
      <c r="B120" s="110" t="s">
        <v>650</v>
      </c>
      <c r="C120" s="82">
        <v>300000</v>
      </c>
    </row>
    <row r="121" spans="1:4" x14ac:dyDescent="0.25">
      <c r="A121" s="39"/>
      <c r="B121" s="41" t="s">
        <v>656</v>
      </c>
      <c r="C121" s="42">
        <v>45000</v>
      </c>
    </row>
    <row r="122" spans="1:4" x14ac:dyDescent="0.25">
      <c r="A122" s="39">
        <v>46228</v>
      </c>
      <c r="B122" s="110" t="s">
        <v>659</v>
      </c>
      <c r="C122" s="82">
        <v>338000</v>
      </c>
    </row>
    <row r="123" spans="1:4" x14ac:dyDescent="0.25">
      <c r="A123" s="39"/>
      <c r="B123" s="110" t="s">
        <v>657</v>
      </c>
      <c r="C123" s="82">
        <v>350000</v>
      </c>
    </row>
    <row r="124" spans="1:4" x14ac:dyDescent="0.25">
      <c r="A124" s="39">
        <v>46230</v>
      </c>
      <c r="B124" s="41" t="s">
        <v>685</v>
      </c>
      <c r="C124" s="42">
        <v>315500</v>
      </c>
    </row>
    <row r="125" spans="1:4" x14ac:dyDescent="0.25">
      <c r="A125" s="39"/>
      <c r="B125" s="41" t="s">
        <v>688</v>
      </c>
      <c r="C125" s="42">
        <v>762100</v>
      </c>
    </row>
    <row r="126" spans="1:4" x14ac:dyDescent="0.25">
      <c r="A126" s="39"/>
      <c r="B126" s="41" t="s">
        <v>686</v>
      </c>
      <c r="C126" s="42">
        <v>38000</v>
      </c>
      <c r="D126" s="27"/>
    </row>
    <row r="127" spans="1:4" x14ac:dyDescent="0.25">
      <c r="A127" s="39"/>
      <c r="B127" s="41" t="s">
        <v>690</v>
      </c>
      <c r="C127" s="42">
        <v>129555</v>
      </c>
    </row>
    <row r="128" spans="1:4" x14ac:dyDescent="0.25">
      <c r="A128" s="39"/>
      <c r="B128" s="225" t="s">
        <v>691</v>
      </c>
      <c r="C128" s="226">
        <v>825100</v>
      </c>
      <c r="D128" s="27"/>
    </row>
    <row r="129" spans="1:4" x14ac:dyDescent="0.25">
      <c r="A129" s="39"/>
      <c r="B129" s="41" t="s">
        <v>705</v>
      </c>
      <c r="C129" s="42">
        <v>100000</v>
      </c>
    </row>
    <row r="130" spans="1:4" x14ac:dyDescent="0.25">
      <c r="A130" s="39">
        <v>46231</v>
      </c>
      <c r="B130" s="41" t="s">
        <v>695</v>
      </c>
      <c r="C130" s="42">
        <v>25000</v>
      </c>
    </row>
    <row r="131" spans="1:4" x14ac:dyDescent="0.25">
      <c r="A131" s="39">
        <v>46233</v>
      </c>
      <c r="B131" s="41" t="s">
        <v>709</v>
      </c>
      <c r="C131" s="42">
        <v>8400</v>
      </c>
      <c r="D131" s="38"/>
    </row>
    <row r="132" spans="1:4" x14ac:dyDescent="0.25">
      <c r="A132" s="39"/>
      <c r="B132" s="41" t="s">
        <v>711</v>
      </c>
      <c r="C132" s="42">
        <v>73180</v>
      </c>
      <c r="D132" s="38"/>
    </row>
    <row r="133" spans="1:4" x14ac:dyDescent="0.25">
      <c r="A133" s="39">
        <v>46234</v>
      </c>
      <c r="B133" s="41" t="s">
        <v>710</v>
      </c>
      <c r="C133" s="42">
        <v>33300</v>
      </c>
      <c r="D133" s="38"/>
    </row>
    <row r="134" spans="1:4" x14ac:dyDescent="0.25">
      <c r="A134" s="39"/>
      <c r="B134" s="58" t="s">
        <v>715</v>
      </c>
      <c r="C134" s="59">
        <v>375000</v>
      </c>
      <c r="D134" s="38"/>
    </row>
    <row r="135" spans="1:4" x14ac:dyDescent="0.25">
      <c r="A135" s="39"/>
      <c r="B135" s="58" t="s">
        <v>716</v>
      </c>
      <c r="C135" s="59">
        <v>10000</v>
      </c>
      <c r="D135" s="38"/>
    </row>
    <row r="136" spans="1:4" x14ac:dyDescent="0.25">
      <c r="A136" s="39"/>
      <c r="B136" s="85" t="s">
        <v>717</v>
      </c>
      <c r="C136" s="86">
        <v>930000</v>
      </c>
      <c r="D136" s="38"/>
    </row>
    <row r="137" spans="1:4" x14ac:dyDescent="0.25">
      <c r="A137" s="39"/>
      <c r="B137" s="152" t="s">
        <v>718</v>
      </c>
      <c r="C137" s="154">
        <v>26950</v>
      </c>
      <c r="D137" s="38" t="s">
        <v>5</v>
      </c>
    </row>
    <row r="138" spans="1:4" x14ac:dyDescent="0.25">
      <c r="A138" s="39"/>
      <c r="B138" s="152" t="s">
        <v>505</v>
      </c>
      <c r="C138" s="154">
        <v>26950</v>
      </c>
      <c r="D138" s="38" t="s">
        <v>5</v>
      </c>
    </row>
    <row r="139" spans="1:4" x14ac:dyDescent="0.25">
      <c r="A139" s="39"/>
      <c r="B139" s="190" t="s">
        <v>747</v>
      </c>
      <c r="C139" s="191">
        <v>340000</v>
      </c>
      <c r="D139" s="38" t="s">
        <v>5</v>
      </c>
    </row>
    <row r="140" spans="1:4" x14ac:dyDescent="0.25">
      <c r="A140" s="39"/>
      <c r="B140" s="190" t="s">
        <v>748</v>
      </c>
      <c r="C140" s="191">
        <v>340000</v>
      </c>
      <c r="D140" s="38" t="s">
        <v>5</v>
      </c>
    </row>
    <row r="141" spans="1:4" x14ac:dyDescent="0.25">
      <c r="A141" s="39"/>
      <c r="B141" s="190" t="s">
        <v>749</v>
      </c>
      <c r="C141" s="191">
        <v>340000</v>
      </c>
      <c r="D141" s="38"/>
    </row>
    <row r="142" spans="1:4" x14ac:dyDescent="0.25">
      <c r="A142" s="39"/>
      <c r="B142" s="190" t="s">
        <v>750</v>
      </c>
      <c r="C142" s="191">
        <v>1246667</v>
      </c>
      <c r="D142" s="38" t="s">
        <v>788</v>
      </c>
    </row>
    <row r="143" spans="1:4" x14ac:dyDescent="0.25">
      <c r="A143" s="39"/>
      <c r="B143" s="36" t="s">
        <v>719</v>
      </c>
      <c r="C143" s="37">
        <v>1600</v>
      </c>
      <c r="D143" s="38"/>
    </row>
    <row r="144" spans="1:4" x14ac:dyDescent="0.25">
      <c r="A144" s="39"/>
      <c r="B144" s="36" t="s">
        <v>720</v>
      </c>
      <c r="C144" s="37">
        <v>25000</v>
      </c>
      <c r="D144" s="38"/>
    </row>
    <row r="145" spans="1:9" x14ac:dyDescent="0.25">
      <c r="A145" s="39"/>
      <c r="B145" s="73" t="s">
        <v>721</v>
      </c>
      <c r="C145" s="79">
        <v>425000</v>
      </c>
      <c r="D145" s="38"/>
    </row>
    <row r="146" spans="1:9" x14ac:dyDescent="0.25">
      <c r="A146" s="39"/>
      <c r="B146" s="289" t="s">
        <v>722</v>
      </c>
      <c r="C146" s="79">
        <v>210000</v>
      </c>
      <c r="D146" s="38" t="s">
        <v>536</v>
      </c>
    </row>
    <row r="147" spans="1:9" x14ac:dyDescent="0.25">
      <c r="A147" s="39"/>
      <c r="B147" s="290"/>
      <c r="C147" s="79">
        <v>200000</v>
      </c>
      <c r="D147" s="38" t="s">
        <v>5</v>
      </c>
    </row>
    <row r="148" spans="1:9" x14ac:dyDescent="0.25">
      <c r="A148" s="39"/>
      <c r="B148" s="91" t="s">
        <v>726</v>
      </c>
      <c r="C148" s="159">
        <v>300000</v>
      </c>
      <c r="D148" t="s">
        <v>498</v>
      </c>
    </row>
    <row r="149" spans="1:9" ht="22.5" x14ac:dyDescent="0.45">
      <c r="A149" s="13"/>
      <c r="B149" s="24"/>
      <c r="C149" s="25">
        <f>SUM(C61:C148)</f>
        <v>18000058</v>
      </c>
      <c r="D149" s="26">
        <f>C55-C149</f>
        <v>10203002</v>
      </c>
    </row>
    <row r="150" spans="1:9" ht="22.5" x14ac:dyDescent="0.45">
      <c r="A150" s="13"/>
      <c r="B150" s="28"/>
      <c r="C150" s="29">
        <f>C3+C55-C149</f>
        <v>25373983</v>
      </c>
    </row>
    <row r="151" spans="1:9" x14ac:dyDescent="0.25">
      <c r="G151" t="s">
        <v>655</v>
      </c>
    </row>
    <row r="152" spans="1:9" x14ac:dyDescent="0.25">
      <c r="E152" t="s">
        <v>247</v>
      </c>
      <c r="F152" s="23"/>
      <c r="G152" s="23">
        <v>7007417</v>
      </c>
    </row>
    <row r="153" spans="1:9" x14ac:dyDescent="0.25">
      <c r="E153" t="s">
        <v>67</v>
      </c>
      <c r="F153" s="23"/>
      <c r="G153" s="115">
        <v>9966580</v>
      </c>
    </row>
    <row r="154" spans="1:9" x14ac:dyDescent="0.25">
      <c r="E154" t="s">
        <v>10</v>
      </c>
      <c r="F154" s="23"/>
      <c r="G154" s="23">
        <v>2800000</v>
      </c>
    </row>
    <row r="155" spans="1:9" x14ac:dyDescent="0.25">
      <c r="E155" s="30" t="s">
        <v>11</v>
      </c>
      <c r="F155" s="23"/>
      <c r="G155" s="23">
        <f>G167</f>
        <v>781600</v>
      </c>
    </row>
    <row r="156" spans="1:9" x14ac:dyDescent="0.25">
      <c r="E156" s="26" t="s">
        <v>5</v>
      </c>
      <c r="F156" s="23"/>
      <c r="G156" s="31">
        <v>6456804</v>
      </c>
    </row>
    <row r="157" spans="1:9" x14ac:dyDescent="0.25">
      <c r="E157" t="s">
        <v>13</v>
      </c>
      <c r="F157" s="32"/>
      <c r="G157" s="23">
        <f>SUM(G152:G156)</f>
        <v>27012401</v>
      </c>
      <c r="H157" s="63"/>
      <c r="I157" s="57"/>
    </row>
    <row r="158" spans="1:9" x14ac:dyDescent="0.25">
      <c r="F158" s="280" t="s">
        <v>707</v>
      </c>
      <c r="G158" s="280"/>
      <c r="H158" s="241">
        <f>C150-G157</f>
        <v>-1638418</v>
      </c>
      <c r="I158" s="64"/>
    </row>
    <row r="159" spans="1:9" x14ac:dyDescent="0.25">
      <c r="E159" s="60">
        <v>4</v>
      </c>
      <c r="F159" s="26">
        <v>100000</v>
      </c>
      <c r="G159" s="30">
        <f t="shared" ref="G159:G165" si="0">F159*E159</f>
        <v>400000</v>
      </c>
    </row>
    <row r="160" spans="1:9" x14ac:dyDescent="0.25">
      <c r="E160" s="33">
        <v>1</v>
      </c>
      <c r="F160" s="26">
        <v>50000</v>
      </c>
      <c r="G160" s="30">
        <f t="shared" si="0"/>
        <v>50000</v>
      </c>
    </row>
    <row r="161" spans="5:7" x14ac:dyDescent="0.25">
      <c r="E161" s="34">
        <v>13</v>
      </c>
      <c r="F161" s="26">
        <v>20000</v>
      </c>
      <c r="G161" s="30">
        <f t="shared" si="0"/>
        <v>260000</v>
      </c>
    </row>
    <row r="162" spans="5:7" x14ac:dyDescent="0.25">
      <c r="E162" s="33">
        <v>4</v>
      </c>
      <c r="F162" s="26">
        <v>10000</v>
      </c>
      <c r="G162" s="30">
        <f t="shared" si="0"/>
        <v>40000</v>
      </c>
    </row>
    <row r="163" spans="5:7" x14ac:dyDescent="0.25">
      <c r="E163" s="34">
        <v>2</v>
      </c>
      <c r="F163" s="26">
        <v>5000</v>
      </c>
      <c r="G163" s="30">
        <f t="shared" si="0"/>
        <v>10000</v>
      </c>
    </row>
    <row r="164" spans="5:7" x14ac:dyDescent="0.25">
      <c r="E164" s="33">
        <v>10</v>
      </c>
      <c r="F164" s="26">
        <v>2000</v>
      </c>
      <c r="G164" s="30">
        <f t="shared" si="0"/>
        <v>20000</v>
      </c>
    </row>
    <row r="165" spans="5:7" x14ac:dyDescent="0.25">
      <c r="E165" s="33"/>
      <c r="F165" s="26"/>
      <c r="G165" s="30">
        <f t="shared" si="0"/>
        <v>0</v>
      </c>
    </row>
    <row r="166" spans="5:7" x14ac:dyDescent="0.25">
      <c r="E166" s="33" t="s">
        <v>14</v>
      </c>
      <c r="F166" s="26">
        <v>1600</v>
      </c>
      <c r="G166" s="30">
        <f>F166</f>
        <v>1600</v>
      </c>
    </row>
    <row r="167" spans="5:7" x14ac:dyDescent="0.25">
      <c r="E167" s="30" t="s">
        <v>11</v>
      </c>
      <c r="F167" s="27">
        <v>0</v>
      </c>
      <c r="G167" s="26">
        <f>SUM(G159:G166)</f>
        <v>781600</v>
      </c>
    </row>
  </sheetData>
  <mergeCells count="2">
    <mergeCell ref="F158:G158"/>
    <mergeCell ref="B146:B147"/>
  </mergeCells>
  <pageMargins left="0.7" right="0.7" top="0.75" bottom="0.75" header="0.3" footer="0.3"/>
  <pageSetup paperSize="9" scale="27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075A-E8C2-4E6F-B5BE-E82955249F0A}">
  <sheetPr>
    <pageSetUpPr fitToPage="1"/>
  </sheetPr>
  <dimension ref="A1:I168"/>
  <sheetViews>
    <sheetView tabSelected="1" topLeftCell="B61" zoomScaleNormal="100" workbookViewId="0">
      <selection activeCell="E127" sqref="E127"/>
    </sheetView>
  </sheetViews>
  <sheetFormatPr baseColWidth="10" defaultRowHeight="15" x14ac:dyDescent="0.25"/>
  <cols>
    <col min="2" max="2" width="102.7109375" bestFit="1" customWidth="1"/>
    <col min="3" max="3" width="22.42578125" customWidth="1"/>
    <col min="4" max="4" width="20.28515625" bestFit="1" customWidth="1"/>
    <col min="5" max="5" width="13" bestFit="1" customWidth="1"/>
    <col min="7" max="7" width="13" bestFit="1" customWidth="1"/>
    <col min="8" max="8" width="14.5703125" bestFit="1" customWidth="1"/>
    <col min="9" max="9" width="12" bestFit="1" customWidth="1"/>
  </cols>
  <sheetData>
    <row r="1" spans="1:4" ht="26.25" x14ac:dyDescent="0.25">
      <c r="A1" s="1"/>
      <c r="B1" s="2" t="s">
        <v>0</v>
      </c>
      <c r="C1" s="3"/>
    </row>
    <row r="2" spans="1:4" ht="24" x14ac:dyDescent="0.4">
      <c r="A2" s="4"/>
      <c r="B2" s="5" t="s">
        <v>728</v>
      </c>
      <c r="C2" s="6"/>
    </row>
    <row r="3" spans="1:4" ht="23.25" x14ac:dyDescent="0.35">
      <c r="A3" s="7"/>
      <c r="B3" s="8"/>
      <c r="C3" s="9">
        <f>JULIO!C150</f>
        <v>25373983</v>
      </c>
    </row>
    <row r="4" spans="1:4" ht="15.75" x14ac:dyDescent="0.25">
      <c r="A4" s="10"/>
      <c r="B4" s="11"/>
      <c r="C4" s="12"/>
    </row>
    <row r="5" spans="1:4" ht="15.75" x14ac:dyDescent="0.25">
      <c r="A5" s="244">
        <v>46238</v>
      </c>
      <c r="B5" s="243" t="s">
        <v>737</v>
      </c>
      <c r="C5" s="245">
        <v>1803000</v>
      </c>
      <c r="D5" t="s">
        <v>98</v>
      </c>
    </row>
    <row r="6" spans="1:4" x14ac:dyDescent="0.25">
      <c r="A6" s="39">
        <v>46239</v>
      </c>
      <c r="B6" s="36" t="s">
        <v>733</v>
      </c>
      <c r="C6" s="37" t="s">
        <v>5</v>
      </c>
      <c r="D6">
        <v>100000</v>
      </c>
    </row>
    <row r="7" spans="1:4" x14ac:dyDescent="0.25">
      <c r="A7" s="35"/>
      <c r="B7" s="51" t="s">
        <v>738</v>
      </c>
      <c r="C7" s="281">
        <v>1000000</v>
      </c>
      <c r="D7" t="s">
        <v>247</v>
      </c>
    </row>
    <row r="8" spans="1:4" x14ac:dyDescent="0.25">
      <c r="A8" s="35"/>
      <c r="B8" s="41" t="s">
        <v>741</v>
      </c>
      <c r="C8" s="282"/>
    </row>
    <row r="9" spans="1:4" x14ac:dyDescent="0.25">
      <c r="A9" s="35"/>
      <c r="B9" s="38" t="s">
        <v>699</v>
      </c>
      <c r="C9" s="53">
        <v>2500000</v>
      </c>
      <c r="D9" s="38" t="s">
        <v>98</v>
      </c>
    </row>
    <row r="10" spans="1:4" x14ac:dyDescent="0.25">
      <c r="A10" s="35">
        <v>46240</v>
      </c>
      <c r="B10" s="38" t="s">
        <v>851</v>
      </c>
      <c r="C10" s="53">
        <v>500000</v>
      </c>
      <c r="D10" s="38"/>
    </row>
    <row r="11" spans="1:4" ht="15.75" x14ac:dyDescent="0.3">
      <c r="A11" s="35">
        <v>46244</v>
      </c>
      <c r="B11" s="180" t="s">
        <v>762</v>
      </c>
      <c r="C11" s="42">
        <v>1000000</v>
      </c>
    </row>
    <row r="12" spans="1:4" x14ac:dyDescent="0.25">
      <c r="A12" s="35"/>
      <c r="B12" s="36" t="s">
        <v>763</v>
      </c>
      <c r="C12" s="42" t="s">
        <v>5</v>
      </c>
      <c r="D12">
        <v>544000</v>
      </c>
    </row>
    <row r="13" spans="1:4" x14ac:dyDescent="0.25">
      <c r="A13" s="35"/>
      <c r="B13" s="41" t="s">
        <v>772</v>
      </c>
      <c r="C13" s="42">
        <v>102000</v>
      </c>
    </row>
    <row r="14" spans="1:4" x14ac:dyDescent="0.25">
      <c r="A14" s="35">
        <v>46245</v>
      </c>
      <c r="B14" s="41" t="s">
        <v>773</v>
      </c>
      <c r="C14" s="42">
        <v>660000</v>
      </c>
      <c r="D14" t="s">
        <v>5</v>
      </c>
    </row>
    <row r="15" spans="1:4" x14ac:dyDescent="0.25">
      <c r="A15" s="35"/>
      <c r="B15" s="41" t="s">
        <v>774</v>
      </c>
      <c r="C15" s="42">
        <v>163000</v>
      </c>
    </row>
    <row r="16" spans="1:4" x14ac:dyDescent="0.25">
      <c r="A16" s="39"/>
      <c r="B16" s="36" t="s">
        <v>775</v>
      </c>
      <c r="C16" s="37">
        <v>30000</v>
      </c>
    </row>
    <row r="17" spans="1:4" x14ac:dyDescent="0.25">
      <c r="A17" s="39"/>
      <c r="B17" s="36" t="s">
        <v>776</v>
      </c>
      <c r="C17" s="37">
        <v>68000</v>
      </c>
    </row>
    <row r="18" spans="1:4" x14ac:dyDescent="0.25">
      <c r="A18" s="39"/>
      <c r="B18" s="41" t="s">
        <v>778</v>
      </c>
      <c r="C18" s="42">
        <v>157000</v>
      </c>
    </row>
    <row r="19" spans="1:4" x14ac:dyDescent="0.25">
      <c r="A19" s="39"/>
      <c r="B19" s="41" t="s">
        <v>779</v>
      </c>
      <c r="C19" s="42">
        <v>250000</v>
      </c>
    </row>
    <row r="20" spans="1:4" x14ac:dyDescent="0.25">
      <c r="A20" s="39">
        <v>46246</v>
      </c>
      <c r="B20" s="41" t="s">
        <v>796</v>
      </c>
      <c r="C20" s="42">
        <v>57500</v>
      </c>
      <c r="D20" t="s">
        <v>5</v>
      </c>
    </row>
    <row r="21" spans="1:4" x14ac:dyDescent="0.25">
      <c r="A21" s="39">
        <v>46248</v>
      </c>
      <c r="B21" s="41" t="s">
        <v>791</v>
      </c>
      <c r="C21" s="42">
        <v>50000</v>
      </c>
      <c r="D21" t="s">
        <v>5</v>
      </c>
    </row>
    <row r="22" spans="1:4" x14ac:dyDescent="0.25">
      <c r="A22" s="35"/>
      <c r="B22" s="36" t="s">
        <v>795</v>
      </c>
      <c r="C22" s="37">
        <v>114000</v>
      </c>
    </row>
    <row r="23" spans="1:4" x14ac:dyDescent="0.25">
      <c r="A23" s="35">
        <v>46249</v>
      </c>
      <c r="B23" s="85" t="s">
        <v>797</v>
      </c>
      <c r="C23" s="207">
        <v>950000</v>
      </c>
      <c r="D23" t="s">
        <v>84</v>
      </c>
    </row>
    <row r="24" spans="1:4" x14ac:dyDescent="0.25">
      <c r="A24" s="35"/>
      <c r="B24" s="41" t="s">
        <v>805</v>
      </c>
      <c r="C24" s="42">
        <v>110000</v>
      </c>
    </row>
    <row r="25" spans="1:4" x14ac:dyDescent="0.25">
      <c r="A25" s="35"/>
      <c r="B25" s="36" t="s">
        <v>806</v>
      </c>
      <c r="C25" s="37">
        <v>347600</v>
      </c>
    </row>
    <row r="26" spans="1:4" x14ac:dyDescent="0.25">
      <c r="A26" s="39"/>
      <c r="B26" s="43" t="s">
        <v>807</v>
      </c>
      <c r="C26" s="44"/>
      <c r="D26">
        <v>50000</v>
      </c>
    </row>
    <row r="27" spans="1:4" x14ac:dyDescent="0.25">
      <c r="A27" s="39"/>
      <c r="B27" s="41" t="s">
        <v>808</v>
      </c>
      <c r="C27" s="42">
        <v>45000</v>
      </c>
    </row>
    <row r="28" spans="1:4" x14ac:dyDescent="0.25">
      <c r="A28" s="45">
        <v>46252</v>
      </c>
      <c r="B28" s="83" t="s">
        <v>809</v>
      </c>
      <c r="C28" s="84">
        <v>1500000</v>
      </c>
      <c r="D28" t="s">
        <v>5</v>
      </c>
    </row>
    <row r="29" spans="1:4" x14ac:dyDescent="0.25">
      <c r="A29" s="45"/>
      <c r="B29" s="83" t="s">
        <v>810</v>
      </c>
      <c r="C29" s="84">
        <v>20000</v>
      </c>
    </row>
    <row r="30" spans="1:4" x14ac:dyDescent="0.25">
      <c r="A30" s="45"/>
      <c r="B30" s="83" t="s">
        <v>812</v>
      </c>
      <c r="C30" s="84">
        <v>30000</v>
      </c>
    </row>
    <row r="31" spans="1:4" x14ac:dyDescent="0.25">
      <c r="A31" s="45">
        <v>46253</v>
      </c>
      <c r="B31" s="83" t="s">
        <v>813</v>
      </c>
      <c r="C31" s="84"/>
      <c r="D31">
        <v>732000</v>
      </c>
    </row>
    <row r="32" spans="1:4" x14ac:dyDescent="0.25">
      <c r="A32" s="45"/>
      <c r="B32" s="83" t="s">
        <v>818</v>
      </c>
      <c r="C32" s="84">
        <v>690120</v>
      </c>
      <c r="D32" t="s">
        <v>6</v>
      </c>
    </row>
    <row r="33" spans="1:4" x14ac:dyDescent="0.25">
      <c r="A33" s="45"/>
      <c r="B33" s="83" t="s">
        <v>819</v>
      </c>
      <c r="C33" s="84">
        <v>232500</v>
      </c>
      <c r="D33" t="s">
        <v>6</v>
      </c>
    </row>
    <row r="34" spans="1:4" x14ac:dyDescent="0.25">
      <c r="A34" s="45"/>
      <c r="B34" s="83" t="s">
        <v>820</v>
      </c>
      <c r="C34" s="84">
        <v>40000</v>
      </c>
    </row>
    <row r="35" spans="1:4" x14ac:dyDescent="0.25">
      <c r="A35" s="45">
        <v>46255</v>
      </c>
      <c r="B35" s="83" t="s">
        <v>824</v>
      </c>
      <c r="C35" s="84">
        <v>348500</v>
      </c>
    </row>
    <row r="36" spans="1:4" x14ac:dyDescent="0.25">
      <c r="A36" s="45">
        <v>46256</v>
      </c>
      <c r="B36" s="83" t="s">
        <v>826</v>
      </c>
      <c r="C36" s="84"/>
      <c r="D36">
        <v>145500</v>
      </c>
    </row>
    <row r="37" spans="1:4" x14ac:dyDescent="0.25">
      <c r="A37" s="45"/>
      <c r="B37" s="83" t="s">
        <v>828</v>
      </c>
      <c r="C37" s="84">
        <v>400000</v>
      </c>
      <c r="D37" t="s">
        <v>5</v>
      </c>
    </row>
    <row r="38" spans="1:4" x14ac:dyDescent="0.25">
      <c r="A38" s="45"/>
      <c r="B38" s="83" t="s">
        <v>829</v>
      </c>
      <c r="C38" s="84">
        <v>1200000</v>
      </c>
      <c r="D38" t="s">
        <v>6</v>
      </c>
    </row>
    <row r="39" spans="1:4" x14ac:dyDescent="0.25">
      <c r="A39" s="45">
        <v>46258</v>
      </c>
      <c r="B39" s="83" t="s">
        <v>830</v>
      </c>
      <c r="C39" s="84">
        <v>304000</v>
      </c>
    </row>
    <row r="40" spans="1:4" x14ac:dyDescent="0.25">
      <c r="A40" s="45"/>
      <c r="B40" s="83" t="s">
        <v>831</v>
      </c>
      <c r="C40" s="84">
        <v>253600</v>
      </c>
      <c r="D40" t="s">
        <v>5</v>
      </c>
    </row>
    <row r="41" spans="1:4" x14ac:dyDescent="0.25">
      <c r="A41" s="45"/>
      <c r="B41" s="83" t="s">
        <v>832</v>
      </c>
      <c r="C41" s="84"/>
      <c r="D41">
        <v>127500</v>
      </c>
    </row>
    <row r="42" spans="1:4" x14ac:dyDescent="0.25">
      <c r="A42" s="45"/>
      <c r="B42" s="83" t="s">
        <v>833</v>
      </c>
      <c r="C42" s="84">
        <v>90000</v>
      </c>
    </row>
    <row r="43" spans="1:4" x14ac:dyDescent="0.25">
      <c r="A43" s="45">
        <v>46259</v>
      </c>
      <c r="B43" s="83" t="s">
        <v>316</v>
      </c>
      <c r="C43" s="84">
        <v>650000</v>
      </c>
      <c r="D43" t="s">
        <v>5</v>
      </c>
    </row>
    <row r="44" spans="1:4" x14ac:dyDescent="0.25">
      <c r="A44" s="45"/>
      <c r="B44" s="83" t="s">
        <v>840</v>
      </c>
      <c r="C44" s="84"/>
      <c r="D44">
        <v>38000</v>
      </c>
    </row>
    <row r="45" spans="1:4" x14ac:dyDescent="0.25">
      <c r="A45" s="45"/>
      <c r="B45" s="83" t="s">
        <v>841</v>
      </c>
      <c r="C45" s="84"/>
      <c r="D45">
        <v>28000</v>
      </c>
    </row>
    <row r="46" spans="1:4" x14ac:dyDescent="0.25">
      <c r="A46" s="45">
        <v>46261</v>
      </c>
      <c r="B46" s="83" t="s">
        <v>845</v>
      </c>
      <c r="C46" s="84">
        <v>1346750</v>
      </c>
    </row>
    <row r="47" spans="1:4" x14ac:dyDescent="0.25">
      <c r="A47" s="45"/>
      <c r="B47" s="83" t="s">
        <v>846</v>
      </c>
      <c r="C47" s="84">
        <v>240000</v>
      </c>
    </row>
    <row r="48" spans="1:4" x14ac:dyDescent="0.25">
      <c r="A48" s="45"/>
      <c r="B48" s="83" t="s">
        <v>848</v>
      </c>
      <c r="C48" s="84">
        <v>200000</v>
      </c>
      <c r="D48" t="s">
        <v>5</v>
      </c>
    </row>
    <row r="49" spans="1:5" x14ac:dyDescent="0.25">
      <c r="A49" s="45"/>
      <c r="B49" s="83" t="s">
        <v>848</v>
      </c>
      <c r="C49" s="84">
        <v>40000</v>
      </c>
      <c r="D49" t="s">
        <v>536</v>
      </c>
    </row>
    <row r="50" spans="1:5" x14ac:dyDescent="0.25">
      <c r="A50" s="45"/>
      <c r="B50" s="83" t="s">
        <v>847</v>
      </c>
      <c r="C50" s="84">
        <v>400000</v>
      </c>
      <c r="D50" t="s">
        <v>5</v>
      </c>
    </row>
    <row r="51" spans="1:5" x14ac:dyDescent="0.25">
      <c r="A51" s="45"/>
      <c r="B51" s="83" t="s">
        <v>853</v>
      </c>
      <c r="C51" s="84">
        <v>221000</v>
      </c>
      <c r="D51" t="s">
        <v>218</v>
      </c>
      <c r="E51" s="23">
        <v>304250</v>
      </c>
    </row>
    <row r="52" spans="1:5" x14ac:dyDescent="0.25">
      <c r="A52" s="45">
        <v>46262</v>
      </c>
      <c r="B52" s="83" t="s">
        <v>856</v>
      </c>
      <c r="C52" s="84">
        <v>15000</v>
      </c>
      <c r="E52" s="23"/>
    </row>
    <row r="53" spans="1:5" x14ac:dyDescent="0.25">
      <c r="A53" s="45"/>
      <c r="B53" s="83" t="s">
        <v>861</v>
      </c>
      <c r="C53" s="84"/>
      <c r="D53">
        <v>152000</v>
      </c>
      <c r="E53" s="23"/>
    </row>
    <row r="54" spans="1:5" x14ac:dyDescent="0.25">
      <c r="A54" s="45"/>
      <c r="B54" s="83" t="s">
        <v>894</v>
      </c>
      <c r="C54" s="84">
        <v>900000</v>
      </c>
      <c r="D54" t="s">
        <v>98</v>
      </c>
      <c r="E54" s="23"/>
    </row>
    <row r="55" spans="1:5" x14ac:dyDescent="0.25">
      <c r="A55" s="45">
        <v>46264</v>
      </c>
      <c r="B55" s="83" t="s">
        <v>870</v>
      </c>
      <c r="C55" s="84">
        <v>1480000</v>
      </c>
      <c r="E55" s="23"/>
    </row>
    <row r="56" spans="1:5" x14ac:dyDescent="0.25">
      <c r="A56" s="45">
        <v>46265</v>
      </c>
      <c r="B56" s="85" t="s">
        <v>316</v>
      </c>
      <c r="C56" s="86">
        <v>400000</v>
      </c>
      <c r="D56" s="207" t="s">
        <v>25</v>
      </c>
      <c r="E56" s="23"/>
    </row>
    <row r="57" spans="1:5" x14ac:dyDescent="0.25">
      <c r="A57" s="45"/>
      <c r="B57" s="89" t="s">
        <v>874</v>
      </c>
      <c r="C57" s="90">
        <v>2000000</v>
      </c>
      <c r="D57" s="207"/>
      <c r="E57" s="23"/>
    </row>
    <row r="58" spans="1:5" ht="15.75" thickBot="1" x14ac:dyDescent="0.3">
      <c r="A58" s="45"/>
      <c r="B58" s="89" t="s">
        <v>875</v>
      </c>
      <c r="C58" s="90">
        <v>453000</v>
      </c>
      <c r="D58" s="207"/>
      <c r="E58" s="23"/>
    </row>
    <row r="59" spans="1:5" ht="23.25" thickBot="1" x14ac:dyDescent="0.5">
      <c r="A59" s="184"/>
      <c r="B59" s="185"/>
      <c r="C59" s="114">
        <f>SUM(C5:C58)</f>
        <v>23361570</v>
      </c>
    </row>
    <row r="60" spans="1:5" x14ac:dyDescent="0.25">
      <c r="A60" s="174"/>
    </row>
    <row r="61" spans="1:5" x14ac:dyDescent="0.25">
      <c r="A61" s="174"/>
    </row>
    <row r="62" spans="1:5" ht="15.75" thickBot="1" x14ac:dyDescent="0.3">
      <c r="A62" s="186"/>
      <c r="B62" s="83"/>
      <c r="C62" s="84"/>
    </row>
    <row r="63" spans="1:5" ht="26.25" x14ac:dyDescent="0.25">
      <c r="A63" s="1"/>
      <c r="B63" s="2" t="s">
        <v>7</v>
      </c>
      <c r="C63" s="3"/>
    </row>
    <row r="64" spans="1:5" ht="24" x14ac:dyDescent="0.4">
      <c r="A64" s="4"/>
      <c r="B64" s="5" t="s">
        <v>728</v>
      </c>
      <c r="C64" s="6"/>
    </row>
    <row r="65" spans="1:5" x14ac:dyDescent="0.25">
      <c r="A65" s="39">
        <v>46238</v>
      </c>
      <c r="B65" s="36" t="s">
        <v>736</v>
      </c>
      <c r="C65" s="42">
        <v>687000</v>
      </c>
      <c r="D65" t="s">
        <v>739</v>
      </c>
    </row>
    <row r="66" spans="1:5" x14ac:dyDescent="0.25">
      <c r="A66" s="39"/>
      <c r="B66" s="36" t="s">
        <v>740</v>
      </c>
      <c r="C66" s="37">
        <v>16000</v>
      </c>
    </row>
    <row r="67" spans="1:5" x14ac:dyDescent="0.25">
      <c r="A67" s="39">
        <v>46239</v>
      </c>
      <c r="B67" s="36" t="s">
        <v>771</v>
      </c>
      <c r="C67" s="37">
        <v>200000</v>
      </c>
    </row>
    <row r="68" spans="1:5" x14ac:dyDescent="0.25">
      <c r="A68" s="39"/>
      <c r="B68" s="36" t="s">
        <v>743</v>
      </c>
      <c r="C68" s="37">
        <v>9500</v>
      </c>
    </row>
    <row r="69" spans="1:5" x14ac:dyDescent="0.25">
      <c r="A69" s="39">
        <v>46241</v>
      </c>
      <c r="B69" s="36" t="s">
        <v>756</v>
      </c>
      <c r="C69" s="42">
        <v>27000</v>
      </c>
      <c r="D69" t="s">
        <v>5</v>
      </c>
      <c r="E69" s="23"/>
    </row>
    <row r="70" spans="1:5" x14ac:dyDescent="0.25">
      <c r="A70" s="39"/>
      <c r="B70" s="36" t="s">
        <v>757</v>
      </c>
      <c r="C70" s="42">
        <v>25400</v>
      </c>
      <c r="D70" t="s">
        <v>5</v>
      </c>
      <c r="E70" s="23"/>
    </row>
    <row r="71" spans="1:5" x14ac:dyDescent="0.25">
      <c r="A71" s="39"/>
      <c r="B71" s="36" t="s">
        <v>758</v>
      </c>
      <c r="C71" s="42">
        <v>50000</v>
      </c>
      <c r="D71" t="s">
        <v>759</v>
      </c>
      <c r="E71" s="23"/>
    </row>
    <row r="72" spans="1:5" x14ac:dyDescent="0.25">
      <c r="A72" s="39"/>
      <c r="B72" s="36" t="s">
        <v>760</v>
      </c>
      <c r="C72" s="42">
        <v>26000</v>
      </c>
      <c r="D72" t="s">
        <v>759</v>
      </c>
      <c r="E72" s="23"/>
    </row>
    <row r="73" spans="1:5" x14ac:dyDescent="0.25">
      <c r="A73" s="39" t="s">
        <v>751</v>
      </c>
      <c r="B73" s="81" t="s">
        <v>753</v>
      </c>
      <c r="C73" s="188">
        <v>225000</v>
      </c>
    </row>
    <row r="74" spans="1:5" x14ac:dyDescent="0.25">
      <c r="A74" s="39"/>
      <c r="B74" s="81" t="s">
        <v>752</v>
      </c>
      <c r="C74" s="188">
        <v>338000</v>
      </c>
    </row>
    <row r="75" spans="1:5" x14ac:dyDescent="0.25">
      <c r="A75" s="38"/>
      <c r="B75" s="81" t="s">
        <v>754</v>
      </c>
      <c r="C75" s="82">
        <v>350000</v>
      </c>
    </row>
    <row r="76" spans="1:5" x14ac:dyDescent="0.25">
      <c r="A76" s="39"/>
      <c r="B76" s="36" t="s">
        <v>755</v>
      </c>
      <c r="C76" s="42">
        <v>362500</v>
      </c>
    </row>
    <row r="77" spans="1:5" x14ac:dyDescent="0.25">
      <c r="A77" s="39"/>
      <c r="B77" s="51" t="s">
        <v>761</v>
      </c>
      <c r="C77" s="52">
        <v>100000</v>
      </c>
    </row>
    <row r="78" spans="1:5" x14ac:dyDescent="0.25">
      <c r="A78" s="39">
        <v>46248</v>
      </c>
      <c r="B78" s="36" t="s">
        <v>786</v>
      </c>
      <c r="C78" s="42">
        <v>50000</v>
      </c>
    </row>
    <row r="79" spans="1:5" x14ac:dyDescent="0.25">
      <c r="A79" s="39"/>
      <c r="B79" s="36" t="s">
        <v>787</v>
      </c>
      <c r="C79" s="42">
        <v>383000</v>
      </c>
    </row>
    <row r="80" spans="1:5" x14ac:dyDescent="0.25">
      <c r="A80" s="39"/>
      <c r="B80" s="51" t="s">
        <v>834</v>
      </c>
      <c r="C80" s="52">
        <v>6000</v>
      </c>
    </row>
    <row r="81" spans="1:4" x14ac:dyDescent="0.25">
      <c r="A81" s="39"/>
      <c r="B81" s="110" t="s">
        <v>789</v>
      </c>
      <c r="C81" s="82">
        <v>375000</v>
      </c>
    </row>
    <row r="82" spans="1:4" x14ac:dyDescent="0.25">
      <c r="A82" s="39"/>
      <c r="B82" s="66" t="s">
        <v>790</v>
      </c>
      <c r="C82" s="67">
        <v>70000</v>
      </c>
    </row>
    <row r="83" spans="1:4" x14ac:dyDescent="0.25">
      <c r="A83" s="39">
        <v>46249</v>
      </c>
      <c r="B83" s="263" t="s">
        <v>798</v>
      </c>
      <c r="C83" s="264">
        <v>930000</v>
      </c>
    </row>
    <row r="84" spans="1:4" x14ac:dyDescent="0.25">
      <c r="A84" s="39"/>
      <c r="B84" s="110" t="s">
        <v>801</v>
      </c>
      <c r="C84" s="262">
        <v>37500</v>
      </c>
      <c r="D84" t="s">
        <v>804</v>
      </c>
    </row>
    <row r="85" spans="1:4" x14ac:dyDescent="0.25">
      <c r="A85" s="39"/>
      <c r="B85" s="81" t="s">
        <v>799</v>
      </c>
      <c r="C85" s="188">
        <v>425000</v>
      </c>
    </row>
    <row r="86" spans="1:4" x14ac:dyDescent="0.25">
      <c r="A86" s="39"/>
      <c r="B86" s="110" t="s">
        <v>800</v>
      </c>
      <c r="C86" s="82">
        <v>30000</v>
      </c>
    </row>
    <row r="87" spans="1:4" x14ac:dyDescent="0.25">
      <c r="A87" s="39"/>
      <c r="B87" s="110" t="s">
        <v>802</v>
      </c>
      <c r="C87" s="82">
        <v>266000</v>
      </c>
    </row>
    <row r="88" spans="1:4" x14ac:dyDescent="0.25">
      <c r="A88" s="39"/>
      <c r="B88" s="110" t="s">
        <v>803</v>
      </c>
      <c r="C88" s="82">
        <v>60000</v>
      </c>
    </row>
    <row r="89" spans="1:4" x14ac:dyDescent="0.25">
      <c r="A89" s="39">
        <v>46160</v>
      </c>
      <c r="B89" s="41" t="s">
        <v>811</v>
      </c>
      <c r="C89" s="42">
        <v>46000</v>
      </c>
    </row>
    <row r="90" spans="1:4" x14ac:dyDescent="0.25">
      <c r="A90" s="39">
        <v>46253</v>
      </c>
      <c r="B90" s="41" t="s">
        <v>814</v>
      </c>
      <c r="C90" s="42">
        <v>100000</v>
      </c>
    </row>
    <row r="91" spans="1:4" x14ac:dyDescent="0.25">
      <c r="A91" s="39"/>
      <c r="B91" s="41" t="s">
        <v>815</v>
      </c>
      <c r="C91" s="42">
        <v>20000</v>
      </c>
      <c r="D91" t="s">
        <v>5</v>
      </c>
    </row>
    <row r="92" spans="1:4" x14ac:dyDescent="0.25">
      <c r="A92" s="39"/>
      <c r="B92" s="206" t="s">
        <v>816</v>
      </c>
      <c r="C92" s="42">
        <v>105000</v>
      </c>
      <c r="D92" t="s">
        <v>5</v>
      </c>
    </row>
    <row r="93" spans="1:4" x14ac:dyDescent="0.25">
      <c r="A93" s="39"/>
      <c r="B93" s="41" t="s">
        <v>817</v>
      </c>
      <c r="C93" s="42">
        <v>5000</v>
      </c>
      <c r="D93" t="s">
        <v>5</v>
      </c>
    </row>
    <row r="94" spans="1:4" x14ac:dyDescent="0.25">
      <c r="A94" s="39"/>
      <c r="B94" s="41" t="s">
        <v>821</v>
      </c>
      <c r="C94" s="42">
        <v>7000</v>
      </c>
    </row>
    <row r="95" spans="1:4" x14ac:dyDescent="0.25">
      <c r="A95" s="39"/>
      <c r="B95" s="41" t="s">
        <v>822</v>
      </c>
      <c r="C95" s="42">
        <v>123800</v>
      </c>
    </row>
    <row r="96" spans="1:4" x14ac:dyDescent="0.25">
      <c r="A96" s="39">
        <v>46254</v>
      </c>
      <c r="B96" s="85" t="s">
        <v>823</v>
      </c>
      <c r="C96" s="86">
        <v>750000</v>
      </c>
    </row>
    <row r="97" spans="1:4" x14ac:dyDescent="0.25">
      <c r="A97" s="39">
        <v>46255</v>
      </c>
      <c r="B97" s="51" t="s">
        <v>825</v>
      </c>
      <c r="C97" s="52">
        <v>190000</v>
      </c>
    </row>
    <row r="98" spans="1:4" x14ac:dyDescent="0.25">
      <c r="A98" s="39">
        <v>46256</v>
      </c>
      <c r="B98" s="177" t="s">
        <v>827</v>
      </c>
      <c r="C98" s="178">
        <v>350000</v>
      </c>
    </row>
    <row r="99" spans="1:4" x14ac:dyDescent="0.25">
      <c r="A99" s="39"/>
      <c r="B99" s="41" t="s">
        <v>835</v>
      </c>
      <c r="C99" s="42">
        <v>1451800</v>
      </c>
      <c r="D99" t="s">
        <v>5</v>
      </c>
    </row>
    <row r="100" spans="1:4" x14ac:dyDescent="0.25">
      <c r="A100" s="39">
        <v>46259</v>
      </c>
      <c r="B100" s="41" t="s">
        <v>836</v>
      </c>
      <c r="C100" s="42">
        <v>450000</v>
      </c>
    </row>
    <row r="101" spans="1:4" x14ac:dyDescent="0.25">
      <c r="A101" s="39"/>
      <c r="B101" s="85" t="s">
        <v>842</v>
      </c>
      <c r="C101" s="86"/>
      <c r="D101">
        <v>712000</v>
      </c>
    </row>
    <row r="102" spans="1:4" x14ac:dyDescent="0.25">
      <c r="A102" s="39">
        <v>46260</v>
      </c>
      <c r="B102" s="41" t="s">
        <v>837</v>
      </c>
      <c r="C102" s="42">
        <v>90500</v>
      </c>
    </row>
    <row r="103" spans="1:4" x14ac:dyDescent="0.25">
      <c r="A103" s="39"/>
      <c r="B103" s="41" t="s">
        <v>838</v>
      </c>
      <c r="C103" s="42">
        <v>15000</v>
      </c>
    </row>
    <row r="104" spans="1:4" x14ac:dyDescent="0.25">
      <c r="A104" s="39"/>
      <c r="B104" s="41" t="s">
        <v>839</v>
      </c>
      <c r="C104" s="42">
        <v>125000</v>
      </c>
    </row>
    <row r="105" spans="1:4" x14ac:dyDescent="0.25">
      <c r="A105" s="39"/>
      <c r="B105" s="41" t="s">
        <v>843</v>
      </c>
      <c r="C105" s="42">
        <v>100000</v>
      </c>
    </row>
    <row r="106" spans="1:4" x14ac:dyDescent="0.25">
      <c r="A106" s="39"/>
      <c r="B106" s="41" t="s">
        <v>844</v>
      </c>
      <c r="C106" s="42">
        <v>254000</v>
      </c>
    </row>
    <row r="107" spans="1:4" x14ac:dyDescent="0.25">
      <c r="A107" s="39"/>
      <c r="B107" s="41" t="s">
        <v>854</v>
      </c>
      <c r="C107" s="42">
        <v>80000</v>
      </c>
    </row>
    <row r="108" spans="1:4" x14ac:dyDescent="0.25">
      <c r="A108" s="39">
        <v>46261</v>
      </c>
      <c r="B108" s="41" t="s">
        <v>849</v>
      </c>
      <c r="C108" s="42">
        <v>92560</v>
      </c>
    </row>
    <row r="109" spans="1:4" x14ac:dyDescent="0.25">
      <c r="A109" s="39"/>
      <c r="B109" s="41" t="s">
        <v>850</v>
      </c>
      <c r="C109" s="42">
        <v>57000</v>
      </c>
    </row>
    <row r="110" spans="1:4" x14ac:dyDescent="0.25">
      <c r="A110" s="39"/>
      <c r="B110" s="41" t="s">
        <v>852</v>
      </c>
      <c r="C110" s="42">
        <v>160000</v>
      </c>
    </row>
    <row r="111" spans="1:4" x14ac:dyDescent="0.25">
      <c r="A111" s="39"/>
      <c r="B111" s="83" t="s">
        <v>855</v>
      </c>
      <c r="C111" s="84">
        <v>135647</v>
      </c>
      <c r="D111" t="s">
        <v>5</v>
      </c>
    </row>
    <row r="112" spans="1:4" x14ac:dyDescent="0.25">
      <c r="A112" s="39"/>
      <c r="B112" s="177" t="s">
        <v>857</v>
      </c>
      <c r="C112" s="178">
        <v>115000</v>
      </c>
    </row>
    <row r="113" spans="1:6" x14ac:dyDescent="0.25">
      <c r="A113" s="39"/>
      <c r="B113" s="177" t="s">
        <v>858</v>
      </c>
      <c r="C113" s="178">
        <v>10000</v>
      </c>
    </row>
    <row r="114" spans="1:6" x14ac:dyDescent="0.25">
      <c r="A114" s="39">
        <v>46201</v>
      </c>
      <c r="B114" s="41" t="s">
        <v>859</v>
      </c>
      <c r="C114" s="42">
        <v>115000</v>
      </c>
    </row>
    <row r="115" spans="1:6" x14ac:dyDescent="0.25">
      <c r="A115" s="39"/>
      <c r="B115" s="41" t="s">
        <v>860</v>
      </c>
      <c r="C115" s="42">
        <v>613600</v>
      </c>
      <c r="D115">
        <v>650000</v>
      </c>
    </row>
    <row r="116" spans="1:6" x14ac:dyDescent="0.25">
      <c r="A116" s="39"/>
      <c r="B116" s="41" t="s">
        <v>862</v>
      </c>
      <c r="C116" s="42">
        <v>34000</v>
      </c>
      <c r="D116" s="27">
        <f>C53-C116</f>
        <v>-34000</v>
      </c>
    </row>
    <row r="117" spans="1:6" x14ac:dyDescent="0.25">
      <c r="A117" s="39">
        <v>46263</v>
      </c>
      <c r="B117" s="177" t="s">
        <v>863</v>
      </c>
      <c r="C117" s="178">
        <v>425000</v>
      </c>
    </row>
    <row r="118" spans="1:6" x14ac:dyDescent="0.25">
      <c r="A118" s="39"/>
      <c r="B118" s="177" t="s">
        <v>864</v>
      </c>
      <c r="C118" s="178">
        <v>22500</v>
      </c>
    </row>
    <row r="119" spans="1:6" x14ac:dyDescent="0.25">
      <c r="A119" s="39"/>
      <c r="B119" s="177" t="s">
        <v>865</v>
      </c>
      <c r="C119" s="178">
        <v>338000</v>
      </c>
    </row>
    <row r="120" spans="1:6" x14ac:dyDescent="0.25">
      <c r="A120" s="39"/>
      <c r="B120" s="177" t="s">
        <v>866</v>
      </c>
      <c r="C120" s="178">
        <v>10000</v>
      </c>
    </row>
    <row r="121" spans="1:6" x14ac:dyDescent="0.25">
      <c r="A121" s="39"/>
      <c r="B121" s="177" t="s">
        <v>867</v>
      </c>
      <c r="C121" s="178">
        <v>400000</v>
      </c>
      <c r="D121" s="27">
        <f>SUM(C117:C120)</f>
        <v>795500</v>
      </c>
      <c r="E121">
        <v>30000</v>
      </c>
      <c r="F121" s="27">
        <f>D121-E121</f>
        <v>765500</v>
      </c>
    </row>
    <row r="122" spans="1:6" x14ac:dyDescent="0.25">
      <c r="A122" s="39"/>
      <c r="B122" s="177" t="s">
        <v>868</v>
      </c>
      <c r="C122" s="178" t="s">
        <v>869</v>
      </c>
      <c r="D122">
        <v>35000</v>
      </c>
    </row>
    <row r="123" spans="1:6" x14ac:dyDescent="0.25">
      <c r="A123" s="45">
        <v>46265</v>
      </c>
      <c r="B123" s="85" t="s">
        <v>316</v>
      </c>
      <c r="C123" s="86">
        <v>400000</v>
      </c>
      <c r="D123" s="207" t="s">
        <v>25</v>
      </c>
    </row>
    <row r="124" spans="1:6" x14ac:dyDescent="0.25">
      <c r="A124" s="39"/>
      <c r="B124" s="91" t="s">
        <v>871</v>
      </c>
      <c r="C124" s="159">
        <v>340000</v>
      </c>
      <c r="D124" t="s">
        <v>5</v>
      </c>
    </row>
    <row r="125" spans="1:6" x14ac:dyDescent="0.25">
      <c r="A125" s="39"/>
      <c r="B125" s="91" t="s">
        <v>872</v>
      </c>
      <c r="C125" s="159">
        <v>340000</v>
      </c>
      <c r="D125" t="s">
        <v>5</v>
      </c>
    </row>
    <row r="126" spans="1:6" x14ac:dyDescent="0.25">
      <c r="A126" s="39"/>
      <c r="B126" s="190" t="s">
        <v>750</v>
      </c>
      <c r="C126" s="191">
        <v>1246667</v>
      </c>
      <c r="D126" t="s">
        <v>247</v>
      </c>
    </row>
    <row r="127" spans="1:6" x14ac:dyDescent="0.25">
      <c r="A127" s="39"/>
      <c r="B127" s="91" t="s">
        <v>873</v>
      </c>
      <c r="C127" s="159">
        <v>340000</v>
      </c>
      <c r="D127" t="s">
        <v>536</v>
      </c>
    </row>
    <row r="128" spans="1:6" x14ac:dyDescent="0.25">
      <c r="A128" s="39"/>
      <c r="B128" s="41"/>
      <c r="C128" s="42"/>
    </row>
    <row r="129" spans="1:3" x14ac:dyDescent="0.25">
      <c r="A129" s="39"/>
      <c r="B129" s="41"/>
      <c r="C129" s="42"/>
    </row>
    <row r="130" spans="1:3" x14ac:dyDescent="0.25">
      <c r="A130" s="39"/>
      <c r="B130" s="41"/>
      <c r="C130" s="42"/>
    </row>
    <row r="131" spans="1:3" x14ac:dyDescent="0.25">
      <c r="A131" s="39"/>
      <c r="B131" s="41"/>
      <c r="C131" s="42"/>
    </row>
    <row r="132" spans="1:3" x14ac:dyDescent="0.25">
      <c r="A132" s="39"/>
      <c r="B132" s="41"/>
      <c r="C132" s="42"/>
    </row>
    <row r="133" spans="1:3" x14ac:dyDescent="0.25">
      <c r="A133" s="39"/>
      <c r="B133" s="41"/>
      <c r="C133" s="42"/>
    </row>
    <row r="134" spans="1:3" x14ac:dyDescent="0.25">
      <c r="A134" s="39"/>
      <c r="B134" s="41"/>
      <c r="C134" s="42"/>
    </row>
    <row r="135" spans="1:3" x14ac:dyDescent="0.25">
      <c r="A135" s="39"/>
      <c r="B135" s="36"/>
      <c r="C135" s="37"/>
    </row>
    <row r="136" spans="1:3" x14ac:dyDescent="0.25">
      <c r="A136" s="39"/>
      <c r="B136" s="36"/>
      <c r="C136" s="37"/>
    </row>
    <row r="137" spans="1:3" x14ac:dyDescent="0.25">
      <c r="A137" s="39"/>
      <c r="B137" s="36"/>
      <c r="C137" s="37"/>
    </row>
    <row r="138" spans="1:3" x14ac:dyDescent="0.25">
      <c r="A138" s="39"/>
      <c r="B138" s="36"/>
      <c r="C138" s="37"/>
    </row>
    <row r="139" spans="1:3" x14ac:dyDescent="0.25">
      <c r="A139" s="39"/>
      <c r="B139" s="278"/>
      <c r="C139" s="37"/>
    </row>
    <row r="140" spans="1:3" x14ac:dyDescent="0.25">
      <c r="A140" s="39"/>
      <c r="B140" s="279"/>
      <c r="C140" s="37"/>
    </row>
    <row r="141" spans="1:3" x14ac:dyDescent="0.25">
      <c r="A141" s="39"/>
      <c r="B141" s="242"/>
      <c r="C141" s="37"/>
    </row>
    <row r="142" spans="1:3" x14ac:dyDescent="0.25">
      <c r="A142" s="39"/>
      <c r="B142" s="242"/>
      <c r="C142" s="37"/>
    </row>
    <row r="143" spans="1:3" x14ac:dyDescent="0.25">
      <c r="A143" s="39"/>
      <c r="B143" s="242"/>
      <c r="C143" s="37"/>
    </row>
    <row r="144" spans="1:3" x14ac:dyDescent="0.25">
      <c r="A144" s="39"/>
      <c r="B144" s="41"/>
      <c r="C144" s="42"/>
    </row>
    <row r="145" spans="1:9" ht="22.5" x14ac:dyDescent="0.45">
      <c r="A145" s="13"/>
      <c r="B145" s="24"/>
      <c r="C145" s="25">
        <f>SUM(C65:C144)</f>
        <v>14506974</v>
      </c>
      <c r="D145" s="26">
        <f>C59-C145</f>
        <v>8854596</v>
      </c>
    </row>
    <row r="146" spans="1:9" ht="22.5" x14ac:dyDescent="0.45">
      <c r="A146" s="13"/>
      <c r="B146" s="28"/>
      <c r="C146" s="29">
        <f>C3+C59-C145</f>
        <v>34228579</v>
      </c>
    </row>
    <row r="149" spans="1:9" x14ac:dyDescent="0.25">
      <c r="G149" t="s">
        <v>655</v>
      </c>
      <c r="H149" t="s">
        <v>655</v>
      </c>
    </row>
    <row r="150" spans="1:9" x14ac:dyDescent="0.25">
      <c r="E150" t="s">
        <v>6</v>
      </c>
      <c r="G150" s="23">
        <f>922620+232500+1200000</f>
        <v>2355120</v>
      </c>
      <c r="H150" s="23">
        <f>G150</f>
        <v>2355120</v>
      </c>
    </row>
    <row r="151" spans="1:9" x14ac:dyDescent="0.25">
      <c r="E151" t="s">
        <v>247</v>
      </c>
      <c r="F151" s="23"/>
      <c r="G151" s="23">
        <f>7007417+1000000-846666-846667</f>
        <v>6314084</v>
      </c>
      <c r="H151" s="211">
        <v>6315489</v>
      </c>
    </row>
    <row r="152" spans="1:9" x14ac:dyDescent="0.25">
      <c r="E152" t="s">
        <v>67</v>
      </c>
      <c r="F152" s="23"/>
      <c r="G152" s="115">
        <f>9966580+1803000+1200000</f>
        <v>12969580</v>
      </c>
      <c r="H152" s="23">
        <v>14487000</v>
      </c>
    </row>
    <row r="153" spans="1:9" x14ac:dyDescent="0.25">
      <c r="E153" t="s">
        <v>10</v>
      </c>
      <c r="F153" s="23"/>
      <c r="G153" s="23">
        <v>3850000</v>
      </c>
      <c r="H153" s="27">
        <f>G153</f>
        <v>3850000</v>
      </c>
    </row>
    <row r="154" spans="1:9" x14ac:dyDescent="0.25">
      <c r="E154" s="30" t="s">
        <v>11</v>
      </c>
      <c r="F154" s="23"/>
      <c r="G154" s="23">
        <f>G166</f>
        <v>14100</v>
      </c>
      <c r="H154" s="27">
        <f>G154</f>
        <v>14100</v>
      </c>
    </row>
    <row r="155" spans="1:9" x14ac:dyDescent="0.25">
      <c r="E155" s="26" t="s">
        <v>5</v>
      </c>
      <c r="F155" s="23"/>
      <c r="G155" s="31">
        <f>6456804+100000-26480-27000-25400-26000+544000+660000-50000+57500+1500000-20000-110000+400000-200000+253600-650000+200000+400000-135647+200000-400000-340000-340000-427960+60240+500000+272000-50000-600000-407775-40000</f>
        <v>7727882</v>
      </c>
      <c r="H155" s="23">
        <v>7856133</v>
      </c>
    </row>
    <row r="156" spans="1:9" x14ac:dyDescent="0.25">
      <c r="E156" t="s">
        <v>13</v>
      </c>
      <c r="F156" s="32"/>
      <c r="G156" s="23">
        <f>SUM(G150:G155)</f>
        <v>33230766</v>
      </c>
      <c r="H156" s="63">
        <f>SUM(H150:H155)</f>
        <v>34877842</v>
      </c>
      <c r="I156" s="27">
        <f>G156-H156</f>
        <v>-1647076</v>
      </c>
    </row>
    <row r="157" spans="1:9" x14ac:dyDescent="0.25">
      <c r="F157" s="280" t="s">
        <v>707</v>
      </c>
      <c r="G157" s="280"/>
      <c r="H157" s="241">
        <f>C146-G156</f>
        <v>997813</v>
      </c>
    </row>
    <row r="158" spans="1:9" x14ac:dyDescent="0.25">
      <c r="E158" s="60"/>
      <c r="F158" s="26">
        <v>100000</v>
      </c>
      <c r="G158" s="30">
        <f t="shared" ref="G158:G164" si="0">F158*E158</f>
        <v>0</v>
      </c>
    </row>
    <row r="159" spans="1:9" x14ac:dyDescent="0.25">
      <c r="E159" s="33"/>
      <c r="F159" s="26">
        <v>50000</v>
      </c>
      <c r="G159" s="30">
        <f t="shared" si="0"/>
        <v>0</v>
      </c>
    </row>
    <row r="160" spans="1:9" x14ac:dyDescent="0.25">
      <c r="E160" s="34"/>
      <c r="F160" s="26">
        <v>20000</v>
      </c>
      <c r="G160" s="30">
        <f t="shared" si="0"/>
        <v>0</v>
      </c>
    </row>
    <row r="161" spans="3:7" x14ac:dyDescent="0.25">
      <c r="E161" s="33">
        <v>1</v>
      </c>
      <c r="F161" s="26">
        <v>10000</v>
      </c>
      <c r="G161" s="30">
        <f t="shared" si="0"/>
        <v>10000</v>
      </c>
    </row>
    <row r="162" spans="3:7" x14ac:dyDescent="0.25">
      <c r="E162" s="34"/>
      <c r="F162" s="26">
        <v>5000</v>
      </c>
      <c r="G162" s="30">
        <f t="shared" si="0"/>
        <v>0</v>
      </c>
    </row>
    <row r="163" spans="3:7" x14ac:dyDescent="0.25">
      <c r="E163" s="33">
        <v>2</v>
      </c>
      <c r="F163" s="26">
        <v>2000</v>
      </c>
      <c r="G163" s="30">
        <f t="shared" si="0"/>
        <v>4000</v>
      </c>
    </row>
    <row r="164" spans="3:7" x14ac:dyDescent="0.25">
      <c r="E164" s="33"/>
      <c r="F164" s="26"/>
      <c r="G164" s="30">
        <f t="shared" si="0"/>
        <v>0</v>
      </c>
    </row>
    <row r="165" spans="3:7" x14ac:dyDescent="0.25">
      <c r="E165" s="33" t="s">
        <v>14</v>
      </c>
      <c r="F165" s="26">
        <v>1700</v>
      </c>
      <c r="G165" s="30">
        <f>F165</f>
        <v>1700</v>
      </c>
    </row>
    <row r="166" spans="3:7" x14ac:dyDescent="0.25">
      <c r="C166" s="261"/>
      <c r="E166" s="30" t="s">
        <v>11</v>
      </c>
      <c r="F166" s="27">
        <v>0</v>
      </c>
      <c r="G166" s="26">
        <v>14100</v>
      </c>
    </row>
    <row r="167" spans="3:7" x14ac:dyDescent="0.25">
      <c r="C167" s="27"/>
    </row>
    <row r="168" spans="3:7" x14ac:dyDescent="0.25">
      <c r="C168" s="27"/>
    </row>
  </sheetData>
  <mergeCells count="3">
    <mergeCell ref="B139:B140"/>
    <mergeCell ref="F157:G157"/>
    <mergeCell ref="C7:C8"/>
  </mergeCells>
  <pageMargins left="0.7" right="0.7" top="0.75" bottom="0.75" header="0.3" footer="0.3"/>
  <pageSetup paperSize="9" scale="2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34BC-E7FC-4F91-BC34-DDC6B98D5C55}">
  <dimension ref="A1:D106"/>
  <sheetViews>
    <sheetView topLeftCell="A2" workbookViewId="0">
      <selection activeCell="E18" sqref="E18"/>
    </sheetView>
  </sheetViews>
  <sheetFormatPr baseColWidth="10" defaultRowHeight="15" x14ac:dyDescent="0.25"/>
  <cols>
    <col min="2" max="2" width="102.85546875" bestFit="1" customWidth="1"/>
    <col min="3" max="3" width="18.140625" bestFit="1" customWidth="1"/>
  </cols>
  <sheetData>
    <row r="1" spans="1:4" ht="26.25" x14ac:dyDescent="0.25">
      <c r="A1" s="1"/>
      <c r="B1" s="2" t="s">
        <v>0</v>
      </c>
      <c r="C1" s="3"/>
    </row>
    <row r="2" spans="1:4" ht="24" x14ac:dyDescent="0.4">
      <c r="A2" s="4"/>
      <c r="B2" s="5" t="s">
        <v>876</v>
      </c>
      <c r="C2" s="6"/>
    </row>
    <row r="3" spans="1:4" ht="23.25" x14ac:dyDescent="0.35">
      <c r="A3" s="7"/>
      <c r="B3" s="8"/>
      <c r="C3" s="9">
        <f>AGOSTO!C146</f>
        <v>34228579</v>
      </c>
    </row>
    <row r="4" spans="1:4" x14ac:dyDescent="0.25">
      <c r="A4" s="174">
        <v>46266</v>
      </c>
      <c r="B4" t="s">
        <v>882</v>
      </c>
      <c r="C4">
        <v>30000</v>
      </c>
    </row>
    <row r="5" spans="1:4" x14ac:dyDescent="0.25">
      <c r="A5" s="39"/>
      <c r="B5" s="36" t="s">
        <v>883</v>
      </c>
      <c r="C5" s="37">
        <v>60240</v>
      </c>
      <c r="D5" t="s">
        <v>5</v>
      </c>
    </row>
    <row r="6" spans="1:4" x14ac:dyDescent="0.25">
      <c r="A6" s="39"/>
      <c r="B6" s="36" t="s">
        <v>891</v>
      </c>
      <c r="C6" s="37">
        <v>500000</v>
      </c>
      <c r="D6" t="s">
        <v>5</v>
      </c>
    </row>
    <row r="7" spans="1:4" x14ac:dyDescent="0.25">
      <c r="A7" s="39"/>
      <c r="B7" s="36" t="s">
        <v>893</v>
      </c>
      <c r="C7" s="37">
        <v>272000</v>
      </c>
      <c r="D7" t="s">
        <v>5</v>
      </c>
    </row>
    <row r="8" spans="1:4" ht="15.75" x14ac:dyDescent="0.3">
      <c r="A8" s="35">
        <v>46267</v>
      </c>
      <c r="B8" s="180" t="s">
        <v>884</v>
      </c>
      <c r="C8" s="42">
        <v>122500</v>
      </c>
    </row>
    <row r="9" spans="1:4" ht="15.75" x14ac:dyDescent="0.3">
      <c r="A9" s="35"/>
      <c r="B9" s="180" t="s">
        <v>890</v>
      </c>
      <c r="C9" s="42">
        <v>681300</v>
      </c>
      <c r="D9" t="s">
        <v>5</v>
      </c>
    </row>
    <row r="10" spans="1:4" x14ac:dyDescent="0.25">
      <c r="A10" s="35">
        <v>46268</v>
      </c>
      <c r="B10" s="36" t="s">
        <v>888</v>
      </c>
      <c r="C10" s="42">
        <v>300000</v>
      </c>
      <c r="D10" t="s">
        <v>5</v>
      </c>
    </row>
    <row r="11" spans="1:4" x14ac:dyDescent="0.25">
      <c r="A11" s="35"/>
      <c r="B11" s="41" t="s">
        <v>889</v>
      </c>
      <c r="C11" s="42" t="s">
        <v>5</v>
      </c>
      <c r="D11">
        <v>20000</v>
      </c>
    </row>
    <row r="12" spans="1:4" x14ac:dyDescent="0.25">
      <c r="A12" s="35"/>
      <c r="B12" s="265" t="s">
        <v>897</v>
      </c>
      <c r="C12" s="267"/>
      <c r="D12">
        <v>26000</v>
      </c>
    </row>
    <row r="13" spans="1:4" x14ac:dyDescent="0.25">
      <c r="A13" s="35">
        <v>46269</v>
      </c>
      <c r="B13" s="41" t="s">
        <v>901</v>
      </c>
      <c r="C13" s="42">
        <v>1000000</v>
      </c>
      <c r="D13" t="s">
        <v>5</v>
      </c>
    </row>
    <row r="14" spans="1:4" x14ac:dyDescent="0.25">
      <c r="A14" s="39"/>
      <c r="B14" s="36"/>
      <c r="C14" s="37"/>
    </row>
    <row r="15" spans="1:4" x14ac:dyDescent="0.25">
      <c r="A15" s="39"/>
      <c r="B15" s="36"/>
      <c r="C15" s="37"/>
    </row>
    <row r="16" spans="1:4" x14ac:dyDescent="0.25">
      <c r="A16" s="39"/>
      <c r="B16" s="41"/>
      <c r="C16" s="42"/>
    </row>
    <row r="17" spans="1:4" x14ac:dyDescent="0.25">
      <c r="A17" s="39"/>
      <c r="B17" s="41"/>
      <c r="C17" s="42"/>
    </row>
    <row r="18" spans="1:4" x14ac:dyDescent="0.25">
      <c r="A18" s="39"/>
      <c r="B18" s="41"/>
      <c r="C18" s="42"/>
    </row>
    <row r="19" spans="1:4" x14ac:dyDescent="0.25">
      <c r="A19" s="39"/>
      <c r="B19" s="41"/>
      <c r="C19" s="42"/>
    </row>
    <row r="20" spans="1:4" x14ac:dyDescent="0.25">
      <c r="A20" s="39"/>
      <c r="B20" s="41"/>
      <c r="C20" s="42"/>
    </row>
    <row r="21" spans="1:4" ht="15.75" thickBot="1" x14ac:dyDescent="0.3">
      <c r="A21" s="35"/>
      <c r="B21" s="36"/>
      <c r="C21" s="37"/>
    </row>
    <row r="22" spans="1:4" ht="23.25" thickBot="1" x14ac:dyDescent="0.5">
      <c r="A22" s="184"/>
      <c r="B22" s="185"/>
      <c r="C22" s="114">
        <f>SUM(C4:C21)</f>
        <v>2966040</v>
      </c>
    </row>
    <row r="23" spans="1:4" x14ac:dyDescent="0.25">
      <c r="A23" s="174"/>
    </row>
    <row r="24" spans="1:4" x14ac:dyDescent="0.25">
      <c r="A24" s="174"/>
    </row>
    <row r="25" spans="1:4" ht="15.75" thickBot="1" x14ac:dyDescent="0.3">
      <c r="A25" s="186"/>
      <c r="B25" s="83"/>
      <c r="C25" s="84"/>
    </row>
    <row r="26" spans="1:4" ht="26.25" x14ac:dyDescent="0.25">
      <c r="A26" s="1"/>
      <c r="B26" s="2" t="s">
        <v>7</v>
      </c>
      <c r="C26" s="3"/>
    </row>
    <row r="27" spans="1:4" ht="24" x14ac:dyDescent="0.4">
      <c r="A27" s="4"/>
      <c r="B27" s="5" t="s">
        <v>876</v>
      </c>
      <c r="C27" s="6"/>
    </row>
    <row r="28" spans="1:4" ht="15.75" x14ac:dyDescent="0.25">
      <c r="A28" s="244">
        <v>46266</v>
      </c>
      <c r="B28" s="243" t="s">
        <v>878</v>
      </c>
      <c r="C28" s="245">
        <v>201320</v>
      </c>
    </row>
    <row r="29" spans="1:4" x14ac:dyDescent="0.25">
      <c r="A29" s="69"/>
      <c r="B29" s="265" t="s">
        <v>877</v>
      </c>
      <c r="C29" s="266">
        <v>100000</v>
      </c>
    </row>
    <row r="30" spans="1:4" x14ac:dyDescent="0.25">
      <c r="A30" s="69">
        <v>46267</v>
      </c>
      <c r="B30" s="265" t="s">
        <v>879</v>
      </c>
      <c r="C30" s="267">
        <v>427960</v>
      </c>
      <c r="D30" t="s">
        <v>25</v>
      </c>
    </row>
    <row r="31" spans="1:4" x14ac:dyDescent="0.25">
      <c r="B31" s="275" t="s">
        <v>880</v>
      </c>
      <c r="C31">
        <v>80900</v>
      </c>
      <c r="D31" t="s">
        <v>881</v>
      </c>
    </row>
    <row r="32" spans="1:4" x14ac:dyDescent="0.25">
      <c r="A32" s="69"/>
      <c r="B32" s="265" t="s">
        <v>885</v>
      </c>
      <c r="C32" s="266">
        <v>20000</v>
      </c>
    </row>
    <row r="33" spans="1:4" x14ac:dyDescent="0.25">
      <c r="A33" s="69"/>
      <c r="B33" s="265" t="s">
        <v>886</v>
      </c>
      <c r="C33" s="266">
        <v>300000</v>
      </c>
      <c r="D33" t="s">
        <v>887</v>
      </c>
    </row>
    <row r="34" spans="1:4" x14ac:dyDescent="0.25">
      <c r="A34" s="69"/>
      <c r="B34" s="265" t="s">
        <v>892</v>
      </c>
      <c r="C34" s="266">
        <v>50000</v>
      </c>
      <c r="D34" t="s">
        <v>5</v>
      </c>
    </row>
    <row r="35" spans="1:4" x14ac:dyDescent="0.25">
      <c r="A35" s="69">
        <v>46268</v>
      </c>
      <c r="B35" s="265" t="s">
        <v>895</v>
      </c>
      <c r="C35" s="266">
        <v>407775</v>
      </c>
      <c r="D35" t="s">
        <v>5</v>
      </c>
    </row>
    <row r="36" spans="1:4" x14ac:dyDescent="0.25">
      <c r="A36" s="69"/>
      <c r="B36" s="265" t="s">
        <v>896</v>
      </c>
      <c r="C36" s="267">
        <v>40000</v>
      </c>
      <c r="D36" t="s">
        <v>5</v>
      </c>
    </row>
    <row r="37" spans="1:4" x14ac:dyDescent="0.25">
      <c r="A37" s="69"/>
      <c r="B37" s="277" t="s">
        <v>898</v>
      </c>
      <c r="C37" s="276">
        <v>150000</v>
      </c>
    </row>
    <row r="38" spans="1:4" x14ac:dyDescent="0.25">
      <c r="B38" s="265" t="s">
        <v>899</v>
      </c>
      <c r="C38" s="266">
        <v>51826</v>
      </c>
    </row>
    <row r="39" spans="1:4" x14ac:dyDescent="0.25">
      <c r="A39" s="69">
        <v>46269</v>
      </c>
      <c r="B39" s="265" t="s">
        <v>900</v>
      </c>
      <c r="C39" s="266">
        <v>6609</v>
      </c>
    </row>
    <row r="40" spans="1:4" x14ac:dyDescent="0.25">
      <c r="A40" s="69"/>
      <c r="B40" s="268"/>
      <c r="C40" s="269"/>
    </row>
    <row r="41" spans="1:4" x14ac:dyDescent="0.25">
      <c r="A41" s="69"/>
      <c r="B41" s="268"/>
      <c r="C41" s="269"/>
    </row>
    <row r="42" spans="1:4" x14ac:dyDescent="0.25">
      <c r="A42" s="69"/>
      <c r="B42" s="265"/>
      <c r="C42" s="266"/>
    </row>
    <row r="43" spans="1:4" x14ac:dyDescent="0.25">
      <c r="A43" s="69"/>
      <c r="B43" s="265"/>
      <c r="C43" s="266"/>
    </row>
    <row r="44" spans="1:4" x14ac:dyDescent="0.25">
      <c r="A44" s="69"/>
      <c r="B44" s="268"/>
      <c r="C44" s="269"/>
    </row>
    <row r="45" spans="1:4" x14ac:dyDescent="0.25">
      <c r="A45" s="69"/>
      <c r="B45" s="270"/>
      <c r="C45" s="266"/>
    </row>
    <row r="46" spans="1:4" x14ac:dyDescent="0.25">
      <c r="A46" s="69"/>
      <c r="B46" s="268"/>
      <c r="C46" s="269"/>
    </row>
    <row r="47" spans="1:4" x14ac:dyDescent="0.25">
      <c r="A47" s="69"/>
      <c r="B47" s="265"/>
      <c r="C47" s="267"/>
    </row>
    <row r="48" spans="1:4" x14ac:dyDescent="0.25">
      <c r="A48" s="69"/>
      <c r="B48" s="270"/>
      <c r="C48" s="266"/>
    </row>
    <row r="49" spans="1:3" x14ac:dyDescent="0.25">
      <c r="A49" s="69"/>
      <c r="B49" s="270"/>
      <c r="C49" s="266"/>
    </row>
    <row r="50" spans="1:3" x14ac:dyDescent="0.25">
      <c r="A50" s="69"/>
      <c r="B50" s="270"/>
      <c r="C50" s="266"/>
    </row>
    <row r="51" spans="1:3" x14ac:dyDescent="0.25">
      <c r="A51" s="69"/>
      <c r="B51" s="270"/>
      <c r="C51" s="266"/>
    </row>
    <row r="52" spans="1:3" x14ac:dyDescent="0.25">
      <c r="A52" s="69"/>
      <c r="B52" s="270"/>
      <c r="C52" s="266"/>
    </row>
    <row r="53" spans="1:3" x14ac:dyDescent="0.25">
      <c r="A53" s="69"/>
      <c r="B53" s="270"/>
      <c r="C53" s="266"/>
    </row>
    <row r="54" spans="1:3" x14ac:dyDescent="0.25">
      <c r="A54" s="69"/>
      <c r="B54" s="271"/>
      <c r="C54" s="266"/>
    </row>
    <row r="55" spans="1:3" x14ac:dyDescent="0.25">
      <c r="A55" s="69"/>
      <c r="B55" s="270"/>
      <c r="C55" s="266"/>
    </row>
    <row r="56" spans="1:3" x14ac:dyDescent="0.25">
      <c r="A56" s="69"/>
      <c r="B56" s="270"/>
      <c r="C56" s="266"/>
    </row>
    <row r="57" spans="1:3" x14ac:dyDescent="0.25">
      <c r="A57" s="69"/>
      <c r="B57" s="270"/>
      <c r="C57" s="266"/>
    </row>
    <row r="58" spans="1:3" x14ac:dyDescent="0.25">
      <c r="A58" s="69"/>
      <c r="B58" s="270"/>
      <c r="C58" s="266"/>
    </row>
    <row r="59" spans="1:3" x14ac:dyDescent="0.25">
      <c r="A59" s="69"/>
      <c r="B59" s="268"/>
      <c r="C59" s="269"/>
    </row>
    <row r="60" spans="1:3" x14ac:dyDescent="0.25">
      <c r="A60" s="69"/>
      <c r="B60" s="270"/>
      <c r="C60" s="266"/>
    </row>
    <row r="61" spans="1:3" x14ac:dyDescent="0.25">
      <c r="A61" s="69"/>
      <c r="B61" s="270"/>
      <c r="C61" s="266"/>
    </row>
    <row r="62" spans="1:3" x14ac:dyDescent="0.25">
      <c r="A62" s="69"/>
      <c r="B62" s="270"/>
      <c r="C62" s="266"/>
    </row>
    <row r="63" spans="1:3" x14ac:dyDescent="0.25">
      <c r="A63" s="69"/>
      <c r="B63" s="270"/>
      <c r="C63" s="266"/>
    </row>
    <row r="64" spans="1:3" x14ac:dyDescent="0.25">
      <c r="A64" s="69"/>
      <c r="B64" s="270"/>
      <c r="C64" s="266"/>
    </row>
    <row r="65" spans="1:3" x14ac:dyDescent="0.25">
      <c r="A65" s="69"/>
      <c r="B65" s="270"/>
      <c r="C65" s="266"/>
    </row>
    <row r="66" spans="1:3" x14ac:dyDescent="0.25">
      <c r="A66" s="69"/>
      <c r="B66" s="270"/>
      <c r="C66" s="266"/>
    </row>
    <row r="67" spans="1:3" x14ac:dyDescent="0.25">
      <c r="A67" s="69"/>
      <c r="B67" s="270"/>
      <c r="C67" s="266"/>
    </row>
    <row r="68" spans="1:3" x14ac:dyDescent="0.25">
      <c r="A68" s="69"/>
      <c r="B68" s="270"/>
      <c r="C68" s="266"/>
    </row>
    <row r="69" spans="1:3" x14ac:dyDescent="0.25">
      <c r="A69" s="69"/>
      <c r="B69" s="270"/>
      <c r="C69" s="266"/>
    </row>
    <row r="70" spans="1:3" x14ac:dyDescent="0.25">
      <c r="A70" s="69"/>
      <c r="B70" s="270"/>
      <c r="C70" s="266"/>
    </row>
    <row r="71" spans="1:3" x14ac:dyDescent="0.25">
      <c r="A71" s="69"/>
      <c r="B71" s="270"/>
      <c r="C71" s="266"/>
    </row>
    <row r="72" spans="1:3" x14ac:dyDescent="0.25">
      <c r="A72" s="69"/>
      <c r="B72" s="270"/>
      <c r="C72" s="266"/>
    </row>
    <row r="73" spans="1:3" x14ac:dyDescent="0.25">
      <c r="A73" s="69"/>
      <c r="B73" s="272"/>
      <c r="C73" s="273"/>
    </row>
    <row r="74" spans="1:3" x14ac:dyDescent="0.25">
      <c r="A74" s="69"/>
      <c r="B74" s="270"/>
      <c r="C74" s="266"/>
    </row>
    <row r="75" spans="1:3" x14ac:dyDescent="0.25">
      <c r="A75" s="69"/>
      <c r="B75" s="270"/>
      <c r="C75" s="266"/>
    </row>
    <row r="76" spans="1:3" x14ac:dyDescent="0.25">
      <c r="A76" s="69"/>
      <c r="B76" s="270"/>
      <c r="C76" s="266"/>
    </row>
    <row r="77" spans="1:3" x14ac:dyDescent="0.25">
      <c r="A77" s="69"/>
      <c r="B77" s="270"/>
      <c r="C77" s="266"/>
    </row>
    <row r="78" spans="1:3" x14ac:dyDescent="0.25">
      <c r="A78" s="69"/>
      <c r="B78" s="270"/>
      <c r="C78" s="266"/>
    </row>
    <row r="79" spans="1:3" x14ac:dyDescent="0.25">
      <c r="A79" s="69"/>
      <c r="B79" s="270"/>
      <c r="C79" s="266"/>
    </row>
    <row r="80" spans="1:3" x14ac:dyDescent="0.25">
      <c r="A80" s="69"/>
      <c r="B80" s="270"/>
      <c r="C80" s="266"/>
    </row>
    <row r="81" spans="1:3" x14ac:dyDescent="0.25">
      <c r="A81" s="69"/>
      <c r="B81" s="270"/>
      <c r="C81" s="266"/>
    </row>
    <row r="82" spans="1:3" x14ac:dyDescent="0.25">
      <c r="A82" s="69"/>
      <c r="B82" s="270"/>
      <c r="C82" s="266"/>
    </row>
    <row r="83" spans="1:3" x14ac:dyDescent="0.25">
      <c r="A83" s="69"/>
      <c r="B83" s="270"/>
      <c r="C83" s="266"/>
    </row>
    <row r="84" spans="1:3" x14ac:dyDescent="0.25">
      <c r="A84" s="69"/>
      <c r="B84" s="270"/>
      <c r="C84" s="266"/>
    </row>
    <row r="85" spans="1:3" x14ac:dyDescent="0.25">
      <c r="A85" s="274"/>
      <c r="B85" s="270"/>
      <c r="C85" s="266"/>
    </row>
    <row r="86" spans="1:3" x14ac:dyDescent="0.25">
      <c r="A86" s="69"/>
      <c r="B86" s="270"/>
      <c r="C86" s="266"/>
    </row>
    <row r="87" spans="1:3" x14ac:dyDescent="0.25">
      <c r="A87" s="69"/>
      <c r="B87" s="270"/>
      <c r="C87" s="266"/>
    </row>
    <row r="88" spans="1:3" x14ac:dyDescent="0.25">
      <c r="A88" s="69"/>
      <c r="B88" s="265"/>
      <c r="C88" s="267"/>
    </row>
    <row r="89" spans="1:3" x14ac:dyDescent="0.25">
      <c r="A89" s="69"/>
      <c r="B89" s="270"/>
      <c r="C89" s="266"/>
    </row>
    <row r="90" spans="1:3" x14ac:dyDescent="0.25">
      <c r="A90" s="69"/>
      <c r="B90" s="270"/>
      <c r="C90" s="266"/>
    </row>
    <row r="91" spans="1:3" x14ac:dyDescent="0.25">
      <c r="A91" s="39"/>
      <c r="B91" s="41"/>
      <c r="C91" s="42"/>
    </row>
    <row r="92" spans="1:3" x14ac:dyDescent="0.25">
      <c r="A92" s="39"/>
      <c r="B92" s="41"/>
      <c r="C92" s="42"/>
    </row>
    <row r="93" spans="1:3" x14ac:dyDescent="0.25">
      <c r="A93" s="39"/>
      <c r="B93" s="41"/>
      <c r="C93" s="42"/>
    </row>
    <row r="94" spans="1:3" x14ac:dyDescent="0.25">
      <c r="A94" s="39"/>
      <c r="B94" s="41"/>
      <c r="C94" s="42"/>
    </row>
    <row r="95" spans="1:3" x14ac:dyDescent="0.25">
      <c r="A95" s="39"/>
      <c r="B95" s="41"/>
      <c r="C95" s="42"/>
    </row>
    <row r="96" spans="1:3" x14ac:dyDescent="0.25">
      <c r="A96" s="39"/>
      <c r="B96" s="41"/>
      <c r="C96" s="42"/>
    </row>
    <row r="97" spans="1:3" x14ac:dyDescent="0.25">
      <c r="A97" s="39"/>
      <c r="B97" s="36"/>
      <c r="C97" s="37"/>
    </row>
    <row r="98" spans="1:3" x14ac:dyDescent="0.25">
      <c r="A98" s="39"/>
      <c r="B98" s="36"/>
      <c r="C98" s="37"/>
    </row>
    <row r="99" spans="1:3" x14ac:dyDescent="0.25">
      <c r="A99" s="39"/>
      <c r="B99" s="36"/>
      <c r="C99" s="37"/>
    </row>
    <row r="100" spans="1:3" x14ac:dyDescent="0.25">
      <c r="A100" s="39"/>
      <c r="B100" s="36"/>
      <c r="C100" s="37"/>
    </row>
    <row r="101" spans="1:3" x14ac:dyDescent="0.25">
      <c r="A101" s="39"/>
      <c r="B101" s="242"/>
      <c r="C101" s="37"/>
    </row>
    <row r="102" spans="1:3" x14ac:dyDescent="0.25">
      <c r="A102" s="39"/>
      <c r="B102" s="242"/>
      <c r="C102" s="37"/>
    </row>
    <row r="103" spans="1:3" x14ac:dyDescent="0.25">
      <c r="A103" s="39"/>
      <c r="B103" s="242"/>
      <c r="C103" s="37"/>
    </row>
    <row r="104" spans="1:3" x14ac:dyDescent="0.25">
      <c r="A104" s="39"/>
      <c r="B104" s="41"/>
      <c r="C104" s="42"/>
    </row>
    <row r="105" spans="1:3" ht="22.5" x14ac:dyDescent="0.45">
      <c r="A105" s="13"/>
      <c r="B105" s="24"/>
      <c r="C105" s="25">
        <f>SUM(C28:C104)</f>
        <v>1836390</v>
      </c>
    </row>
    <row r="106" spans="1:3" ht="22.5" x14ac:dyDescent="0.45">
      <c r="A106" s="13"/>
      <c r="B106" s="28"/>
      <c r="C106" s="29">
        <f>C3+C22-C105</f>
        <v>35358229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1E7E-2880-4728-BE10-01D54ACD16C8}">
  <dimension ref="A1"/>
  <sheetViews>
    <sheetView topLeftCell="A4" workbookViewId="0">
      <selection activeCell="E9" sqref="E9"/>
    </sheetView>
  </sheetViews>
  <sheetFormatPr baseColWidth="10" defaultRowHeight="15" x14ac:dyDescent="0.25"/>
  <cols>
    <col min="1" max="1" width="28.85546875" customWidth="1"/>
    <col min="2" max="2" width="15.85546875" customWidth="1"/>
    <col min="3" max="3" width="15.28515625" customWidth="1"/>
    <col min="6" max="6" width="20.140625" customWidth="1"/>
    <col min="7" max="7" width="18" customWidth="1"/>
    <col min="8" max="8" width="21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ALQUILER NO FISCAL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2026-08-26T21:59:18Z</cp:lastPrinted>
  <dcterms:created xsi:type="dcterms:W3CDTF">2026-01-13T12:44:22Z</dcterms:created>
  <dcterms:modified xsi:type="dcterms:W3CDTF">2026-09-04T15:39:01Z</dcterms:modified>
</cp:coreProperties>
</file>
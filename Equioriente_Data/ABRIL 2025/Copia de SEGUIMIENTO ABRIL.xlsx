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5\ABRIL 2025\"/>
    </mc:Choice>
  </mc:AlternateContent>
  <xr:revisionPtr revIDLastSave="0" documentId="13_ncr:1_{A39E9453-649C-4058-B4DB-534D5ED60F9B}" xr6:coauthVersionLast="47" xr6:coauthVersionMax="47" xr10:uidLastSave="{00000000-0000-0000-0000-000000000000}"/>
  <bookViews>
    <workbookView xWindow="-120" yWindow="-120" windowWidth="20730" windowHeight="11040" firstSheet="13" activeTab="15" xr2:uid="{00000000-000D-0000-FFFF-FFFF00000000}"/>
  </bookViews>
  <sheets>
    <sheet name="ALQUIOBRAS" sheetId="1" r:id="rId1"/>
    <sheet name="BERNABE SUAREZ" sheetId="2" r:id="rId2"/>
    <sheet name="PRODUCTOS M&amp; M" sheetId="33" r:id="rId3"/>
    <sheet name="CLAUDIA GIL" sheetId="3" r:id="rId4"/>
    <sheet name="KAREN LISETH PINZON" sheetId="32" r:id="rId5"/>
    <sheet name="DIEGO GUTIERREZ" sheetId="16" r:id="rId6"/>
    <sheet name="STICARE PLUS" sheetId="17" r:id="rId7"/>
    <sheet name="INCOLAMA" sheetId="18" r:id="rId8"/>
    <sheet name="MARICELL FERNANDEZ" sheetId="19" r:id="rId9"/>
    <sheet name="HUGO CARDENAS" sheetId="20" r:id="rId10"/>
    <sheet name="REINALDO ARDILA" sheetId="21" r:id="rId11"/>
    <sheet name="WILSON PAEZ" sheetId="22" r:id="rId12"/>
    <sheet name="EDUARDO RINCON" sheetId="4" r:id="rId13"/>
    <sheet name="EDGARDO PICO" sheetId="24" r:id="rId14"/>
    <sheet name="OMAR PABON" sheetId="35" r:id="rId15"/>
    <sheet name="Hoja3" sheetId="36" r:id="rId16"/>
    <sheet name="EDWIN BARBOSA" sheetId="5" r:id="rId17"/>
    <sheet name="JESUS ANDRES" sheetId="6" r:id="rId18"/>
    <sheet name="JOSE ANGEL CAMACHO" sheetId="7" r:id="rId19"/>
    <sheet name="JONATHAN PORTILLA" sheetId="8" r:id="rId20"/>
    <sheet name="WILSON PARRA" sheetId="27" r:id="rId21"/>
    <sheet name="EUDYSISTEMAS" sheetId="25" r:id="rId22"/>
    <sheet name="POSADA HIPANEMA" sheetId="30" r:id="rId23"/>
    <sheet name="FREDY CAICEDO SANGUINEO" sheetId="29" r:id="rId24"/>
    <sheet name="MARLON ROJAS" sheetId="15" r:id="rId25"/>
    <sheet name="WILMAR GELVES" sheetId="28" r:id="rId26"/>
    <sheet name="CONKASA CONSTRUCTORES" sheetId="10" r:id="rId27"/>
    <sheet name="ALEX BAUTISTA" sheetId="11" r:id="rId28"/>
    <sheet name="CRISTOBAL MORENO" sheetId="9" r:id="rId29"/>
    <sheet name="ESTHER GUTIERREZ" sheetId="12" r:id="rId30"/>
    <sheet name="FREDDY MEZA" sheetId="13" r:id="rId31"/>
    <sheet name="CAMILO TRASLAVIÑA" sheetId="26" r:id="rId32"/>
    <sheet name="JUAN PABLO CAÑIZALES" sheetId="31" r:id="rId33"/>
    <sheet name="RABAC" sheetId="14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6" l="1"/>
  <c r="H8" i="36"/>
  <c r="H7" i="36"/>
  <c r="H6" i="36"/>
  <c r="H11" i="35"/>
  <c r="H8" i="35"/>
  <c r="H7" i="35"/>
  <c r="H6" i="35"/>
  <c r="F6" i="22" l="1"/>
  <c r="F7" i="22"/>
  <c r="F8" i="22"/>
  <c r="F9" i="22"/>
  <c r="G12" i="33"/>
  <c r="G11" i="33"/>
  <c r="G9" i="33"/>
  <c r="G10" i="33"/>
  <c r="G13" i="33"/>
  <c r="G8" i="33"/>
  <c r="G7" i="33"/>
  <c r="G6" i="33"/>
  <c r="J18" i="32"/>
  <c r="J17" i="32"/>
  <c r="J14" i="32"/>
  <c r="J15" i="32"/>
  <c r="J16" i="32"/>
  <c r="J13" i="32"/>
  <c r="J12" i="32"/>
  <c r="J11" i="32"/>
  <c r="J10" i="32"/>
  <c r="J9" i="32"/>
  <c r="J8" i="32"/>
  <c r="J7" i="32"/>
  <c r="J6" i="32"/>
  <c r="F9" i="31" l="1"/>
  <c r="F8" i="31"/>
  <c r="F7" i="31"/>
  <c r="F6" i="31"/>
  <c r="F18" i="30"/>
  <c r="F17" i="30"/>
  <c r="F16" i="30"/>
  <c r="F15" i="30"/>
  <c r="F14" i="30"/>
  <c r="F13" i="30"/>
  <c r="F12" i="30"/>
  <c r="F11" i="30"/>
  <c r="F10" i="30"/>
  <c r="F9" i="30"/>
  <c r="F8" i="30"/>
  <c r="F7" i="30"/>
  <c r="F6" i="30"/>
  <c r="H10" i="24"/>
  <c r="H21" i="24"/>
  <c r="H12" i="24"/>
  <c r="H13" i="24"/>
  <c r="H14" i="24"/>
  <c r="H15" i="24"/>
  <c r="H16" i="24"/>
  <c r="H17" i="24"/>
  <c r="H18" i="24"/>
  <c r="H19" i="24"/>
  <c r="H20" i="24"/>
  <c r="F10" i="29"/>
  <c r="F8" i="29"/>
  <c r="F7" i="29"/>
  <c r="F6" i="29"/>
  <c r="F17" i="25"/>
  <c r="F9" i="25"/>
  <c r="F10" i="25"/>
  <c r="F11" i="25"/>
  <c r="F12" i="25"/>
  <c r="F13" i="25"/>
  <c r="F14" i="25"/>
  <c r="F15" i="25"/>
  <c r="F16" i="25"/>
  <c r="H9" i="9" l="1"/>
  <c r="E8" i="28" l="1"/>
  <c r="E7" i="28"/>
  <c r="E6" i="28"/>
  <c r="F6" i="27"/>
  <c r="F9" i="26" l="1"/>
  <c r="F8" i="26"/>
  <c r="F7" i="26"/>
  <c r="F6" i="26"/>
  <c r="F9" i="13"/>
  <c r="F18" i="25"/>
  <c r="F8" i="25"/>
  <c r="F7" i="25"/>
  <c r="F6" i="25"/>
  <c r="H24" i="24"/>
  <c r="H11" i="24"/>
  <c r="H9" i="24"/>
  <c r="H8" i="24"/>
  <c r="H7" i="24"/>
  <c r="H6" i="24"/>
  <c r="F13" i="21"/>
  <c r="F12" i="21"/>
  <c r="F11" i="21"/>
  <c r="F10" i="21"/>
  <c r="F9" i="21"/>
  <c r="F8" i="21"/>
  <c r="F7" i="21"/>
  <c r="F6" i="21"/>
  <c r="E8" i="20"/>
  <c r="E7" i="20"/>
  <c r="E6" i="20"/>
  <c r="F10" i="19" l="1"/>
  <c r="F8" i="19"/>
  <c r="F7" i="19"/>
  <c r="F6" i="19"/>
  <c r="E9" i="18" l="1"/>
  <c r="E7" i="18"/>
  <c r="E6" i="18"/>
  <c r="F12" i="17" l="1"/>
  <c r="F11" i="17"/>
  <c r="F10" i="17"/>
  <c r="F9" i="17"/>
  <c r="F8" i="17"/>
  <c r="F7" i="17"/>
  <c r="F6" i="17"/>
  <c r="L15" i="16" l="1"/>
  <c r="L14" i="16"/>
  <c r="L13" i="16"/>
  <c r="L12" i="16"/>
  <c r="L11" i="16"/>
  <c r="L10" i="16"/>
  <c r="L9" i="16"/>
  <c r="L8" i="16"/>
  <c r="L7" i="16"/>
  <c r="L6" i="16"/>
  <c r="I21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F8" i="14"/>
  <c r="F7" i="14"/>
  <c r="F6" i="14"/>
  <c r="H56" i="8"/>
  <c r="H52" i="8"/>
  <c r="H51" i="8"/>
  <c r="F8" i="13"/>
  <c r="F7" i="13"/>
  <c r="F6" i="13"/>
  <c r="H11" i="12"/>
  <c r="H9" i="12"/>
  <c r="H8" i="12"/>
  <c r="H7" i="12"/>
  <c r="H6" i="12"/>
  <c r="H8" i="11"/>
  <c r="H7" i="11"/>
  <c r="H6" i="11"/>
  <c r="H10" i="10" l="1"/>
  <c r="H17" i="10"/>
  <c r="H14" i="10"/>
  <c r="H13" i="10"/>
  <c r="H12" i="10"/>
  <c r="H11" i="10"/>
  <c r="H9" i="10"/>
  <c r="H8" i="10"/>
  <c r="H7" i="10"/>
  <c r="H6" i="10"/>
  <c r="H13" i="9"/>
  <c r="H8" i="9"/>
  <c r="H7" i="9"/>
  <c r="H6" i="9"/>
  <c r="H43" i="8"/>
  <c r="H41" i="8"/>
  <c r="H40" i="8"/>
  <c r="H39" i="8"/>
  <c r="H38" i="8"/>
  <c r="J30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L14" i="7"/>
  <c r="L13" i="7"/>
  <c r="L12" i="7"/>
  <c r="L11" i="7"/>
  <c r="L10" i="7"/>
  <c r="L9" i="7"/>
  <c r="L8" i="7"/>
  <c r="L7" i="7"/>
  <c r="L6" i="7"/>
  <c r="F8" i="6"/>
  <c r="F7" i="6"/>
  <c r="F6" i="6"/>
  <c r="G6" i="5"/>
  <c r="G16" i="5"/>
  <c r="G18" i="5"/>
  <c r="F9" i="4"/>
  <c r="F8" i="4"/>
  <c r="F7" i="4"/>
  <c r="F6" i="4"/>
  <c r="J13" i="3" l="1"/>
  <c r="J12" i="3"/>
  <c r="J11" i="3"/>
  <c r="J10" i="3"/>
  <c r="J9" i="3"/>
  <c r="J8" i="3"/>
  <c r="J7" i="3"/>
  <c r="J6" i="3"/>
  <c r="G10" i="2"/>
  <c r="G8" i="2"/>
  <c r="G7" i="2"/>
  <c r="G6" i="2"/>
  <c r="G8" i="1"/>
  <c r="G7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6" authorId="0" shapeId="0" xr:uid="{CB356621-3B8B-4C65-B632-B99ECBB49BD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DEVOLVIO UN PARAL QUE NO ES DE EQUIORIENTE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tc={CABFA062-2FE0-4361-92D3-402D73EFAACF}</author>
    <author>tc={8FFB42C7-9F21-4E3D-B1FB-88E0B411E52A}</author>
  </authors>
  <commentList>
    <comment ref="B8" authorId="0" shapeId="0" xr:uid="{4362F322-900B-4582-B0EE-543430534AD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16 DE LUNA SANCHEZ
</t>
        </r>
      </text>
    </comment>
    <comment ref="C8" authorId="1" shapeId="0" xr:uid="{CABFA062-2FE0-4361-92D3-402D73EFAA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 LS</t>
      </text>
    </comment>
    <comment ref="F8" authorId="2" shapeId="0" xr:uid="{8FFB42C7-9F21-4E3D-B1FB-88E0B411E5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PENDIENTES 4 DE LS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4CDC81A6-B217-44CC-806D-30ABBA621DB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16 DE POLIMYS
2DE 25*1.20
2DE 10*1.20
14 AEO</t>
        </r>
      </text>
    </comment>
    <comment ref="B10" authorId="0" shapeId="0" xr:uid="{40C6CD67-0EF8-40A8-8299-B98715895C3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16 POLIMYS
25 AEO
1 DE 5*1.20
1DE10*120
</t>
        </r>
      </text>
    </comment>
    <comment ref="E11" authorId="0" shapeId="0" xr:uid="{2C128930-A4E9-4910-B4FA-AB553EB6966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8 LATAS DE 10*1.2O
</t>
        </r>
      </text>
    </comment>
  </commentList>
</comments>
</file>

<file path=xl/sharedStrings.xml><?xml version="1.0" encoding="utf-8"?>
<sst xmlns="http://schemas.openxmlformats.org/spreadsheetml/2006/main" count="519" uniqueCount="223">
  <si>
    <t>ALQUIOBRAS-SANTANDER</t>
  </si>
  <si>
    <t>MATERIAL</t>
  </si>
  <si>
    <t>SALDO</t>
  </si>
  <si>
    <t xml:space="preserve">SALDO </t>
  </si>
  <si>
    <t>PARAL DE 6 MROS</t>
  </si>
  <si>
    <t>TABLEROS DE MADERA 70X1,140</t>
  </si>
  <si>
    <t>Hora</t>
  </si>
  <si>
    <t>TRANSPORTE</t>
  </si>
  <si>
    <t>MOVIMIENTO: ABRIL/ 2025</t>
  </si>
  <si>
    <t>BERNABE SUAREZ</t>
  </si>
  <si>
    <t>CALLE 60A N 4W-50 TEL: 3122058115-31649605979</t>
  </si>
  <si>
    <t>FORMALETA DE 20*1.20</t>
  </si>
  <si>
    <t>FORMALETA DE 60*1.20</t>
  </si>
  <si>
    <t>ANGULOS DE 1.20</t>
  </si>
  <si>
    <t>CHAPETAS CUADRADAS</t>
  </si>
  <si>
    <t>PARALES DE 3 MTROS</t>
  </si>
  <si>
    <t>MARCOS DE ANDAMIOS AMARILLOS</t>
  </si>
  <si>
    <t>CRUCETAS 2. MTRS</t>
  </si>
  <si>
    <t>TABLONES DE 3 MTROS</t>
  </si>
  <si>
    <t>TABLONES DE 2.50 CORTOS</t>
  </si>
  <si>
    <t>HORA</t>
  </si>
  <si>
    <t>Transporte</t>
  </si>
  <si>
    <t>MOVIMIENTO:ABRIL/2025</t>
  </si>
  <si>
    <t>CLAUDIA GIL</t>
  </si>
  <si>
    <t>CRA 15 #13-60 TEL:3168036064</t>
  </si>
  <si>
    <t>FORMALETA DE 40*1.20</t>
  </si>
  <si>
    <t>FORMALETA DE 15*1.20</t>
  </si>
  <si>
    <t>FORMALETA DE 10*1.20</t>
  </si>
  <si>
    <t>FORMALETA DE 5*1.20</t>
  </si>
  <si>
    <t>CERECHAS DE 2 MTROS</t>
  </si>
  <si>
    <t>CERCHAS DE 3 MTROS VARILLA</t>
  </si>
  <si>
    <t>TABLEROS DE MADERA 70*1.40</t>
  </si>
  <si>
    <t>E4DUARDO RINCON: 3008931604</t>
  </si>
  <si>
    <t>MESA DE LOS SANTOS FINCA EL PARAISO</t>
  </si>
  <si>
    <t>PARELES DE 3 MTROS</t>
  </si>
  <si>
    <t>ALINEADORES DE 3 MTROS</t>
  </si>
  <si>
    <t>RUEDAS DE ANDAMIO</t>
  </si>
  <si>
    <t>EDWIN BARBOSA</t>
  </si>
  <si>
    <t>COLORADOS TEL: 3132557680 CAMPESTRE NORTE</t>
  </si>
  <si>
    <t>CERCHAS DE 2 MTROS</t>
  </si>
  <si>
    <t>PARALES DE 3.5 MTRS</t>
  </si>
  <si>
    <t>ALINEADORES DE 2 MTROS</t>
  </si>
  <si>
    <t>ABONO $100.000</t>
  </si>
  <si>
    <t>AB$70.000</t>
  </si>
  <si>
    <t>ABONO 50.000</t>
  </si>
  <si>
    <t>TABLERO DE MADERA $170</t>
  </si>
  <si>
    <t>ALFREDO MEDINA</t>
  </si>
  <si>
    <t>CRA 29#52AN2 COLORADOS</t>
  </si>
  <si>
    <t xml:space="preserve">TRANSPORTE </t>
  </si>
  <si>
    <t xml:space="preserve">MOVIMIENTO:ABRIL/2025 </t>
  </si>
  <si>
    <t>JESUS  ANDRES</t>
  </si>
  <si>
    <t>CALLE 18#62-12 TEL: 3013391894</t>
  </si>
  <si>
    <t>CRUCETAS 2,40</t>
  </si>
  <si>
    <t>TABLONES  DE 3 MTROS</t>
  </si>
  <si>
    <t>JOSE ANGEL CAMACHO</t>
  </si>
  <si>
    <t>CALLE 19 #32A -64 TEL: 3144716765</t>
  </si>
  <si>
    <t xml:space="preserve">saldo </t>
  </si>
  <si>
    <t>PARALES DE 3,5</t>
  </si>
  <si>
    <t>PARALES DE 6 MTRS</t>
  </si>
  <si>
    <t>ANGULOS DE 60</t>
  </si>
  <si>
    <t>CHAPETAS REDONDAS</t>
  </si>
  <si>
    <t>CERCHAS DE 3 MTROS PLATINA</t>
  </si>
  <si>
    <t>TABLEROS DE 70*1.40</t>
  </si>
  <si>
    <t>BANDAS DE 40*1.40</t>
  </si>
  <si>
    <t>WFC 970</t>
  </si>
  <si>
    <t>JONATHAN PORTILLA</t>
  </si>
  <si>
    <t>CALLE 52#16-119 SAN MIGUEL</t>
  </si>
  <si>
    <t>FORMALETA DE 35*1.20</t>
  </si>
  <si>
    <t>FORMALETA DE 35*60</t>
  </si>
  <si>
    <t>FORMALETA DE 25*1.20</t>
  </si>
  <si>
    <t>FORMALETA DE 25*60</t>
  </si>
  <si>
    <t>FORMALETA DE 50*1.20</t>
  </si>
  <si>
    <t>FORMALETA DE 20*60</t>
  </si>
  <si>
    <t>FORMALETA DE 30*60</t>
  </si>
  <si>
    <t xml:space="preserve">CHAPETAS </t>
  </si>
  <si>
    <t>PARALES DE 4 MTROS</t>
  </si>
  <si>
    <t>PARALES DE 2 MTROS</t>
  </si>
  <si>
    <t>CAJA METALICA</t>
  </si>
  <si>
    <t>CERCHAS DE 3 MTR DE VARILLA</t>
  </si>
  <si>
    <t>ALINEADORES DE 4 MTROS</t>
  </si>
  <si>
    <t>TENSORES</t>
  </si>
  <si>
    <t>BUC 015</t>
  </si>
  <si>
    <t>CARRERA 25 # 16-55.san francisco</t>
  </si>
  <si>
    <t>FORMALETAS 25 X 120</t>
  </si>
  <si>
    <t xml:space="preserve">SE LOS TRAJO JAIME </t>
  </si>
  <si>
    <t>PARALES 6 MTS</t>
  </si>
  <si>
    <t>CERCHA 3 MTS</t>
  </si>
  <si>
    <t>CRISTOBAL MORENO</t>
  </si>
  <si>
    <t>CRA 22#7-25</t>
  </si>
  <si>
    <t>MOVIMIENTO: MARZO/ 2025</t>
  </si>
  <si>
    <t>CHAPETAS</t>
  </si>
  <si>
    <t>ALINEADORES DE 6 MTROS</t>
  </si>
  <si>
    <t>ALINEADOR DE 3,70</t>
  </si>
  <si>
    <t>CONKASA CONSTRUCTORES S.A</t>
  </si>
  <si>
    <t>CRA 23#7-15</t>
  </si>
  <si>
    <t>FORMALETA DE 30*1.20</t>
  </si>
  <si>
    <t>RINCONERAS DE 10*10*1.20</t>
  </si>
  <si>
    <t>ALEX BAUTISTA</t>
  </si>
  <si>
    <t>CRA19#19-06</t>
  </si>
  <si>
    <t>MARCOS DE ANDAMIOS 2MTR*0.90</t>
  </si>
  <si>
    <t>CRUCETAS DE 2.40</t>
  </si>
  <si>
    <t>A PIE</t>
  </si>
  <si>
    <t xml:space="preserve">CANCELO $20.000 </t>
  </si>
  <si>
    <t>ANGULOS DE POLEA 6 MTROS</t>
  </si>
  <si>
    <t>MARCOS DE ANDAMIOS 2*0.90MTROS</t>
  </si>
  <si>
    <t>CANCELO $ 60.000</t>
  </si>
  <si>
    <t>FREDDY MEZA</t>
  </si>
  <si>
    <t>SANTOS BAJOS</t>
  </si>
  <si>
    <t>BUB 857</t>
  </si>
  <si>
    <t xml:space="preserve">       JONATHAN  PORTILLA      </t>
  </si>
  <si>
    <t>FLORIDABLANCA</t>
  </si>
  <si>
    <t>RABAC</t>
  </si>
  <si>
    <t>CRA21#38N-24</t>
  </si>
  <si>
    <t>CRUCETAS 240</t>
  </si>
  <si>
    <t>MARCOS DE ANDAMIOS VERDES</t>
  </si>
  <si>
    <t xml:space="preserve">TABLONES DE 3 METRS </t>
  </si>
  <si>
    <t>31-04</t>
  </si>
  <si>
    <t>la cruceta se nos entrega doblada</t>
  </si>
  <si>
    <t>MARLON ROJAS</t>
  </si>
  <si>
    <t>BARRIO:NAPOLES TEL:3204571816</t>
  </si>
  <si>
    <t>ANGULOS DE 120</t>
  </si>
  <si>
    <t xml:space="preserve">CRUCETAS </t>
  </si>
  <si>
    <t>TABLON DE 3 MTROS</t>
  </si>
  <si>
    <t xml:space="preserve">CAJA METALICA </t>
  </si>
  <si>
    <t>PLATAFORMA DE ALUMINIO</t>
  </si>
  <si>
    <t>MARCOS DE ANDAMIOS ROJOS</t>
  </si>
  <si>
    <t>CALLE 14#19-37TEL:3164176674/3165134059</t>
  </si>
  <si>
    <t>FORMALETA METALICA DE 30*1.20</t>
  </si>
  <si>
    <t>TTU-924</t>
  </si>
  <si>
    <t>HACER CORTE 29/03/2025</t>
  </si>
  <si>
    <t>DIEGO GUTIERREZ</t>
  </si>
  <si>
    <t>MORRORICO TEL:3223643769</t>
  </si>
  <si>
    <t>PARALES 3 MTS</t>
  </si>
  <si>
    <t>CERCHAS DE 3 MTRS "PLATINA"</t>
  </si>
  <si>
    <t>CERCHAS 2 MTS</t>
  </si>
  <si>
    <t>CERCHA DE 1 MTROS</t>
  </si>
  <si>
    <t>BANDAS DE MADERA 40 X 140</t>
  </si>
  <si>
    <t>BANDASDE MADERA DE 40*1.20</t>
  </si>
  <si>
    <t>TABLEROS DE MADERA 70 X 140</t>
  </si>
  <si>
    <t>ALINEADORES 3 MTS</t>
  </si>
  <si>
    <t>PARALES 4 MTS</t>
  </si>
  <si>
    <t>CCL358</t>
  </si>
  <si>
    <t>STERICARE PLUS /ANDRES MORENO</t>
  </si>
  <si>
    <t>CRA 38#41-108 TEL:3026565476</t>
  </si>
  <si>
    <t>CRUCETAS 2.40</t>
  </si>
  <si>
    <t>PLATAFORMAS</t>
  </si>
  <si>
    <t>MEZCLADORA DE CONCRETO</t>
  </si>
  <si>
    <t>DEPOSITO $100,000</t>
  </si>
  <si>
    <t>MARCOS DE ANDAMIOS 1.50 VERDES</t>
  </si>
  <si>
    <t>INCOLAMA</t>
  </si>
  <si>
    <t>CRA 14#24-20 TEL: 3154678298</t>
  </si>
  <si>
    <t>RUEDAS DE ANDAMIOS</t>
  </si>
  <si>
    <t>VALOR DIARIO $2.000</t>
  </si>
  <si>
    <t>MARICEL FERNANDEZ</t>
  </si>
  <si>
    <t xml:space="preserve">                                                 CRA 21#39-09 TEL:3144225419</t>
  </si>
  <si>
    <t>CRUCETAS 2 MTROS</t>
  </si>
  <si>
    <t>MARCOS DE 2 MTS X 0.90 MTS</t>
  </si>
  <si>
    <t>HUGO CARDENAS</t>
  </si>
  <si>
    <t>CALLE 7# 18-22TEL. 3158417562</t>
  </si>
  <si>
    <t>REINALDO ARDILA</t>
  </si>
  <si>
    <t>CALLE 22#8-20</t>
  </si>
  <si>
    <t>CERCHAS DE 3 MTROS</t>
  </si>
  <si>
    <t>CERCHAS DE 1.50</t>
  </si>
  <si>
    <t>TABLEROS METALICOS DE 1.20*40</t>
  </si>
  <si>
    <t xml:space="preserve"> TABLERO METALICO DE 1.20*20</t>
  </si>
  <si>
    <t>TABLERO METALICO DE 1.20*30</t>
  </si>
  <si>
    <t>A PARTIR DEL LUNES 24-03-2025</t>
  </si>
  <si>
    <t xml:space="preserve">WILSON PAEZ </t>
  </si>
  <si>
    <t>HACIENDA SAN JUAN</t>
  </si>
  <si>
    <t>TABLON CORTO</t>
  </si>
  <si>
    <t>DPF-249</t>
  </si>
  <si>
    <t>EDGARDO PICO</t>
  </si>
  <si>
    <t>CRUCETAS DE 2 MTROS</t>
  </si>
  <si>
    <t>TABLONES</t>
  </si>
  <si>
    <t xml:space="preserve">HORA </t>
  </si>
  <si>
    <t>EUDYSISTEMAS/MARICELL</t>
  </si>
  <si>
    <t>8.00</t>
  </si>
  <si>
    <t>NMY 641</t>
  </si>
  <si>
    <t>FLJ-671</t>
  </si>
  <si>
    <t>CORTE AL 4-04-2025</t>
  </si>
  <si>
    <t xml:space="preserve">                                                              CALL9 20-37</t>
  </si>
  <si>
    <t xml:space="preserve">                CAMILO TRASLAVIÑA </t>
  </si>
  <si>
    <t xml:space="preserve">                MOVIMIENTO: ABRIL/ 2025</t>
  </si>
  <si>
    <t>ESCALERA DE TIJERRA  DE 3 MTROS ALUMINIO</t>
  </si>
  <si>
    <t>WILSON PARRA</t>
  </si>
  <si>
    <t>SUDIMEC TEL: 3138961394</t>
  </si>
  <si>
    <t>4 TABLONES DE 3 MTROS</t>
  </si>
  <si>
    <t>BRA 971</t>
  </si>
  <si>
    <t>WILMAR GELVES</t>
  </si>
  <si>
    <t>CALLE 43 #35-14 TEL:3229294199</t>
  </si>
  <si>
    <t>CRUCETAS 2.MTROS</t>
  </si>
  <si>
    <t>MOVIMIENTO:ABRIL /2025</t>
  </si>
  <si>
    <t>ESTHER GUTIERREZ</t>
  </si>
  <si>
    <t>CRA 13#2N-26 TEL: 3505699280</t>
  </si>
  <si>
    <t>CRA 37#42-83TEL:3012077293</t>
  </si>
  <si>
    <t>FREDY CAICEDO SANGUINEO</t>
  </si>
  <si>
    <t>PARQUE DE LOS NIÑOS OFICINA DE TRANSITO TEL: 3045931870</t>
  </si>
  <si>
    <t>MARCOS DE ANDAMIOS 1.50VERDES</t>
  </si>
  <si>
    <t>CALLE 10#23-22 TEL: 3187881513</t>
  </si>
  <si>
    <t>CERCHAS DE 2.40</t>
  </si>
  <si>
    <t>CAJAS METALICAS</t>
  </si>
  <si>
    <t>POSADA HIPANEMA</t>
  </si>
  <si>
    <t>MARCOS DE ANDAMIOS 1.50ROJOS</t>
  </si>
  <si>
    <t xml:space="preserve">RUEDAS DE ANDAMIOS </t>
  </si>
  <si>
    <t>CALLE 49-CON CRA 36 TE: 3012077293</t>
  </si>
  <si>
    <t>CALLE 7 #17-05</t>
  </si>
  <si>
    <t xml:space="preserve">             JUAN PABLO CAÑIZALES</t>
  </si>
  <si>
    <t>ESCALERA DE EXTENSION AMARILLA DE 4 A 8 MTROS</t>
  </si>
  <si>
    <t>,,,,,,,,,,,</t>
  </si>
  <si>
    <t>KAREN LISETH PINZON</t>
  </si>
  <si>
    <t>PRODUCTOS MY M</t>
  </si>
  <si>
    <t>CRA 19#5-50 COMUNEROS TEL: 3164978190</t>
  </si>
  <si>
    <t>CALLE 28 #0-46 TEL:3177959412</t>
  </si>
  <si>
    <t xml:space="preserve">CRUCETAS 2. MTRS </t>
  </si>
  <si>
    <t xml:space="preserve">TABLONES DE 3 MTROS  </t>
  </si>
  <si>
    <t>ARNES DE SEGURIDAD</t>
  </si>
  <si>
    <t>Lazo</t>
  </si>
  <si>
    <t>OMAR PABON</t>
  </si>
  <si>
    <t>KENEDDY TEL:3222815630</t>
  </si>
  <si>
    <t>ELKIN NAVARETTE</t>
  </si>
  <si>
    <t>NORTE BOSCONIA TEL: 3188369124</t>
  </si>
  <si>
    <t>FORMALETAS DE 30*1.20</t>
  </si>
  <si>
    <t>FORMALETAS DE 20*1.20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</si>
</sst>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164" formatCode="h:mm:ss;@"/>
    <numFmt numFmtId="165" formatCode="hh:mm:ss;@"/>
    <numFmt numFmtId="166" formatCode="_-&quot;$&quot;\ * #,##0_-;\-&quot;$&quot;\ * #,##0_-;_-&quot;$&quot;\ * &quot;-&quot;??_-;_-@_-"/>
    <numFmt numFmtId="167" formatCode="_(&quot;$&quot;\ * #,##0_);_(&quot;$&quot;\ * \(#,##0\);_(&quot;$&quot;\ 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4">
    <xf numFmtId="0" fontId="0" fillId="0" borderId="0" xfId="0"/>
    <xf numFmtId="0" fontId="2" fillId="4" borderId="5" xfId="0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" fontId="2" fillId="4" borderId="5" xfId="0" applyNumberFormat="1" applyFont="1" applyFill="1" applyBorder="1" applyAlignment="1">
      <alignment horizontal="center" vertical="center"/>
    </xf>
    <xf numFmtId="16" fontId="2" fillId="3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20" fontId="2" fillId="4" borderId="5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6" fontId="2" fillId="4" borderId="5" xfId="1" applyNumberFormat="1" applyFont="1" applyFill="1" applyBorder="1" applyAlignment="1">
      <alignment vertical="center"/>
    </xf>
    <xf numFmtId="166" fontId="2" fillId="3" borderId="5" xfId="1" applyNumberFormat="1" applyFont="1" applyFill="1" applyBorder="1" applyAlignment="1">
      <alignment vertical="center"/>
    </xf>
    <xf numFmtId="166" fontId="2" fillId="3" borderId="5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1" fontId="2" fillId="0" borderId="5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20" fontId="2" fillId="3" borderId="5" xfId="0" applyNumberFormat="1" applyFont="1" applyFill="1" applyBorder="1" applyAlignment="1">
      <alignment horizontal="center" vertical="center"/>
    </xf>
    <xf numFmtId="167" fontId="2" fillId="3" borderId="5" xfId="1" applyNumberFormat="1" applyFont="1" applyFill="1" applyBorder="1" applyAlignment="1">
      <alignment horizontal="right" vertical="center"/>
    </xf>
    <xf numFmtId="164" fontId="2" fillId="4" borderId="5" xfId="0" applyNumberFormat="1" applyFont="1" applyFill="1" applyBorder="1" applyAlignment="1">
      <alignment horizontal="center" vertical="center"/>
    </xf>
    <xf numFmtId="167" fontId="2" fillId="4" borderId="5" xfId="1" applyNumberFormat="1" applyFont="1" applyFill="1" applyBorder="1" applyAlignment="1">
      <alignment horizontal="right" vertical="center"/>
    </xf>
    <xf numFmtId="20" fontId="2" fillId="4" borderId="5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6" fontId="2" fillId="3" borderId="5" xfId="0" applyNumberFormat="1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 vertical="center"/>
    </xf>
    <xf numFmtId="16" fontId="2" fillId="4" borderId="11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vertical="center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vertical="center"/>
    </xf>
    <xf numFmtId="167" fontId="2" fillId="4" borderId="13" xfId="1" applyNumberFormat="1" applyFont="1" applyFill="1" applyBorder="1" applyAlignment="1">
      <alignment horizontal="right" vertical="center"/>
    </xf>
    <xf numFmtId="167" fontId="2" fillId="3" borderId="13" xfId="1" applyNumberFormat="1" applyFont="1" applyFill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0" fontId="2" fillId="0" borderId="0" xfId="0" applyFont="1"/>
    <xf numFmtId="0" fontId="2" fillId="0" borderId="5" xfId="0" applyFont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167" fontId="2" fillId="3" borderId="5" xfId="1" applyNumberFormat="1" applyFont="1" applyFill="1" applyBorder="1" applyAlignment="1">
      <alignment horizontal="center" vertical="center"/>
    </xf>
    <xf numFmtId="167" fontId="2" fillId="3" borderId="5" xfId="0" applyNumberFormat="1" applyFont="1" applyFill="1" applyBorder="1" applyAlignment="1">
      <alignment horizontal="center"/>
    </xf>
    <xf numFmtId="167" fontId="2" fillId="4" borderId="5" xfId="1" applyNumberFormat="1" applyFont="1" applyFill="1" applyBorder="1" applyAlignment="1">
      <alignment horizontal="center" vertical="center"/>
    </xf>
    <xf numFmtId="0" fontId="0" fillId="3" borderId="0" xfId="0" applyFill="1"/>
    <xf numFmtId="20" fontId="2" fillId="3" borderId="5" xfId="1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66" fontId="2" fillId="4" borderId="5" xfId="1" applyNumberFormat="1" applyFont="1" applyFill="1" applyBorder="1" applyAlignment="1">
      <alignment horizontal="center"/>
    </xf>
    <xf numFmtId="166" fontId="2" fillId="4" borderId="5" xfId="1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0" fillId="0" borderId="5" xfId="0" applyBorder="1"/>
    <xf numFmtId="1" fontId="2" fillId="4" borderId="5" xfId="0" applyNumberFormat="1" applyFont="1" applyFill="1" applyBorder="1" applyAlignment="1">
      <alignment horizontal="center"/>
    </xf>
    <xf numFmtId="20" fontId="2" fillId="3" borderId="5" xfId="0" applyNumberFormat="1" applyFont="1" applyFill="1" applyBorder="1" applyAlignment="1">
      <alignment vertical="center"/>
    </xf>
    <xf numFmtId="1" fontId="2" fillId="3" borderId="5" xfId="0" applyNumberFormat="1" applyFont="1" applyFill="1" applyBorder="1" applyAlignment="1">
      <alignment horizontal="center"/>
    </xf>
    <xf numFmtId="16" fontId="2" fillId="4" borderId="5" xfId="0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6" fontId="2" fillId="3" borderId="5" xfId="1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6" fontId="0" fillId="0" borderId="0" xfId="0" applyNumberFormat="1"/>
    <xf numFmtId="0" fontId="2" fillId="0" borderId="17" xfId="0" applyFont="1" applyBorder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 applyAlignment="1">
      <alignment vertical="center"/>
    </xf>
    <xf numFmtId="0" fontId="2" fillId="0" borderId="5" xfId="0" applyFont="1" applyBorder="1"/>
    <xf numFmtId="165" fontId="2" fillId="4" borderId="5" xfId="0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20" fontId="2" fillId="3" borderId="5" xfId="0" applyNumberFormat="1" applyFont="1" applyFill="1" applyBorder="1" applyAlignment="1">
      <alignment horizontal="right" vertical="center"/>
    </xf>
    <xf numFmtId="0" fontId="2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C0F06EA2-B3D9-4A7D-818E-61718DFD9BA6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5-04-08T21:47:30.55" personId="{C0F06EA2-B3D9-4A7D-818E-61718DFD9BA6}" id="{CABFA062-2FE0-4361-92D3-402D73EFAACF}">
    <text>12 LS</text>
  </threadedComment>
  <threadedComment ref="F8" dT="2025-04-08T21:47:45.96" personId="{C0F06EA2-B3D9-4A7D-818E-61718DFD9BA6}" id="{8FFB42C7-9F21-4E3D-B1FB-88E0B411E52A}">
    <text>PENDIENTES 4 DE LS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32.5703125" bestFit="1" customWidth="1"/>
    <col min="2" max="2" width="11.42578125" customWidth="1"/>
    <col min="3" max="3" width="12.42578125" customWidth="1"/>
    <col min="4" max="4" width="10.5703125" customWidth="1"/>
    <col min="5" max="5" width="11.7109375" customWidth="1"/>
    <col min="6" max="6" width="10.7109375" customWidth="1"/>
    <col min="7" max="7" width="12.5703125" customWidth="1"/>
  </cols>
  <sheetData>
    <row r="1" spans="1:7" ht="18.75" x14ac:dyDescent="0.3">
      <c r="A1" s="86" t="s">
        <v>0</v>
      </c>
      <c r="B1" s="87"/>
      <c r="C1" s="87"/>
      <c r="D1" s="87"/>
      <c r="E1" s="87"/>
      <c r="F1" s="87"/>
      <c r="G1" s="88"/>
    </row>
    <row r="2" spans="1:7" ht="18.75" x14ac:dyDescent="0.3">
      <c r="A2" s="86" t="s">
        <v>126</v>
      </c>
      <c r="B2" s="87"/>
      <c r="C2" s="87"/>
      <c r="D2" s="87"/>
      <c r="E2" s="87"/>
      <c r="F2" s="87"/>
      <c r="G2" s="88"/>
    </row>
    <row r="3" spans="1:7" ht="18.75" x14ac:dyDescent="0.3">
      <c r="A3" s="86" t="s">
        <v>8</v>
      </c>
      <c r="B3" s="87"/>
      <c r="C3" s="87"/>
      <c r="D3" s="87"/>
      <c r="E3" s="87"/>
      <c r="F3" s="87"/>
      <c r="G3" s="88"/>
    </row>
    <row r="4" spans="1:7" x14ac:dyDescent="0.25">
      <c r="A4" s="89" t="s">
        <v>1</v>
      </c>
      <c r="B4" s="1" t="s">
        <v>2</v>
      </c>
      <c r="C4" s="2">
        <v>11450</v>
      </c>
      <c r="D4" s="3">
        <v>11451</v>
      </c>
      <c r="E4" s="3">
        <v>11467</v>
      </c>
      <c r="F4" s="3"/>
      <c r="G4" s="1" t="s">
        <v>3</v>
      </c>
    </row>
    <row r="5" spans="1:7" x14ac:dyDescent="0.25">
      <c r="A5" s="90"/>
      <c r="B5" s="5">
        <v>45747</v>
      </c>
      <c r="C5" s="6">
        <v>45749</v>
      </c>
      <c r="D5" s="6">
        <v>45749</v>
      </c>
      <c r="E5" s="6">
        <v>45756</v>
      </c>
      <c r="F5" s="6"/>
      <c r="G5" s="5">
        <v>45777</v>
      </c>
    </row>
    <row r="6" spans="1:7" x14ac:dyDescent="0.25">
      <c r="A6" s="7" t="s">
        <v>4</v>
      </c>
      <c r="B6" s="8">
        <v>14</v>
      </c>
      <c r="C6" s="9">
        <v>-5</v>
      </c>
      <c r="D6" s="9"/>
      <c r="E6" s="9">
        <v>-7</v>
      </c>
      <c r="F6" s="9"/>
      <c r="G6" s="10">
        <f>SUM(B6:F6)</f>
        <v>2</v>
      </c>
    </row>
    <row r="7" spans="1:7" x14ac:dyDescent="0.25">
      <c r="A7" s="7" t="s">
        <v>5</v>
      </c>
      <c r="B7" s="8">
        <v>7</v>
      </c>
      <c r="C7" s="9"/>
      <c r="D7" s="9">
        <v>-7</v>
      </c>
      <c r="E7" s="9"/>
      <c r="F7" s="9"/>
      <c r="G7" s="10">
        <f>SUM(B7:F7)</f>
        <v>0</v>
      </c>
    </row>
    <row r="8" spans="1:7" x14ac:dyDescent="0.25">
      <c r="A8" s="7" t="s">
        <v>127</v>
      </c>
      <c r="B8" s="8">
        <v>48</v>
      </c>
      <c r="C8" s="9"/>
      <c r="D8" s="9"/>
      <c r="E8" s="9"/>
      <c r="F8" s="9"/>
      <c r="G8" s="10">
        <f>SUM(B8:F8)</f>
        <v>48</v>
      </c>
    </row>
    <row r="9" spans="1:7" x14ac:dyDescent="0.25">
      <c r="A9" s="11" t="s">
        <v>6</v>
      </c>
      <c r="B9" s="12"/>
      <c r="C9" s="13">
        <v>0.33333333333333331</v>
      </c>
      <c r="D9" s="14">
        <v>7.6388888888888895E-2</v>
      </c>
      <c r="E9" s="14">
        <v>0.47222222222222221</v>
      </c>
      <c r="F9" s="14"/>
      <c r="G9" s="2"/>
    </row>
    <row r="10" spans="1:7" x14ac:dyDescent="0.25">
      <c r="A10" s="11" t="s">
        <v>7</v>
      </c>
      <c r="B10" s="15"/>
      <c r="C10" s="16"/>
      <c r="D10" s="14" t="s">
        <v>128</v>
      </c>
      <c r="E10" s="14" t="s">
        <v>128</v>
      </c>
      <c r="F10" s="16"/>
      <c r="G10" s="17"/>
    </row>
    <row r="11" spans="1:7" x14ac:dyDescent="0.25">
      <c r="D11" t="s">
        <v>129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7FC3-BBB6-4063-930D-3A4ED3C6EF1A}">
  <dimension ref="A1:G10"/>
  <sheetViews>
    <sheetView workbookViewId="0">
      <selection sqref="A1:G10"/>
    </sheetView>
  </sheetViews>
  <sheetFormatPr baseColWidth="10" defaultRowHeight="15" x14ac:dyDescent="0.25"/>
  <cols>
    <col min="1" max="1" width="33.42578125" bestFit="1" customWidth="1"/>
  </cols>
  <sheetData>
    <row r="1" spans="1:7" ht="18.75" x14ac:dyDescent="0.3">
      <c r="A1" s="91" t="s">
        <v>9</v>
      </c>
      <c r="B1" s="92"/>
      <c r="C1" s="92"/>
      <c r="D1" s="92"/>
      <c r="E1" s="92"/>
      <c r="F1" s="92"/>
      <c r="G1" s="92"/>
    </row>
    <row r="2" spans="1:7" ht="18.75" x14ac:dyDescent="0.3">
      <c r="A2" s="93" t="s">
        <v>10</v>
      </c>
      <c r="B2" s="87"/>
      <c r="C2" s="87"/>
      <c r="D2" s="87"/>
      <c r="E2" s="87"/>
      <c r="F2" s="87"/>
      <c r="G2" s="87"/>
    </row>
    <row r="3" spans="1:7" ht="18.75" x14ac:dyDescent="0.3">
      <c r="A3" s="93" t="s">
        <v>22</v>
      </c>
      <c r="B3" s="87"/>
      <c r="C3" s="87"/>
      <c r="D3" s="87"/>
      <c r="E3" s="87"/>
      <c r="F3" s="87"/>
      <c r="G3" s="87"/>
    </row>
    <row r="4" spans="1:7" x14ac:dyDescent="0.25">
      <c r="A4" s="18" t="s">
        <v>1</v>
      </c>
      <c r="B4" s="19" t="s">
        <v>2</v>
      </c>
      <c r="C4" s="4">
        <v>11461</v>
      </c>
      <c r="D4" s="4"/>
      <c r="E4" s="4"/>
      <c r="F4" s="4"/>
      <c r="G4" s="19" t="s">
        <v>2</v>
      </c>
    </row>
    <row r="5" spans="1:7" x14ac:dyDescent="0.25">
      <c r="A5" s="20"/>
      <c r="B5" s="5">
        <v>45747</v>
      </c>
      <c r="C5" s="6">
        <v>45754</v>
      </c>
      <c r="D5" s="6"/>
      <c r="E5" s="6"/>
      <c r="F5" s="6"/>
      <c r="G5" s="5">
        <v>45777</v>
      </c>
    </row>
    <row r="6" spans="1:7" x14ac:dyDescent="0.25">
      <c r="A6" s="22" t="s">
        <v>16</v>
      </c>
      <c r="B6" s="1">
        <v>2</v>
      </c>
      <c r="C6" s="21">
        <v>-2</v>
      </c>
      <c r="D6" s="21"/>
      <c r="E6" s="21"/>
      <c r="F6" s="21"/>
      <c r="G6" s="10">
        <f>SUM(B6:F6)</f>
        <v>0</v>
      </c>
    </row>
    <row r="7" spans="1:7" x14ac:dyDescent="0.25">
      <c r="A7" s="22" t="s">
        <v>17</v>
      </c>
      <c r="B7" s="1">
        <v>2</v>
      </c>
      <c r="C7" s="21">
        <v>-2</v>
      </c>
      <c r="D7" s="21"/>
      <c r="E7" s="21"/>
      <c r="F7" s="21"/>
      <c r="G7" s="10">
        <f>SUM(B7:F7)</f>
        <v>0</v>
      </c>
    </row>
    <row r="8" spans="1:7" x14ac:dyDescent="0.25">
      <c r="A8" s="22" t="s">
        <v>19</v>
      </c>
      <c r="B8" s="1">
        <v>3</v>
      </c>
      <c r="C8" s="21">
        <v>-3</v>
      </c>
      <c r="D8" s="21"/>
      <c r="E8" s="21"/>
      <c r="F8" s="21"/>
      <c r="G8" s="10">
        <f>SUM(B8:F8)</f>
        <v>0</v>
      </c>
    </row>
    <row r="9" spans="1:7" x14ac:dyDescent="0.25">
      <c r="A9" s="20" t="s">
        <v>20</v>
      </c>
      <c r="B9" s="25"/>
      <c r="C9" s="23">
        <v>0.5</v>
      </c>
      <c r="D9" s="23"/>
      <c r="E9" s="23"/>
      <c r="F9" s="23"/>
      <c r="G9" s="2"/>
    </row>
    <row r="10" spans="1:7" x14ac:dyDescent="0.25">
      <c r="A10" s="20" t="s">
        <v>21</v>
      </c>
      <c r="B10" s="26"/>
      <c r="C10" s="24">
        <v>30000</v>
      </c>
      <c r="D10" s="24"/>
      <c r="E10" s="24"/>
      <c r="F10" s="24"/>
      <c r="G10" s="17">
        <f>SUM(B10:F10)</f>
        <v>30000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3C29-77D7-4874-BE7D-1E3D687FDB6C}">
  <dimension ref="A1:G13"/>
  <sheetViews>
    <sheetView workbookViewId="0">
      <selection activeCell="E17" sqref="E17"/>
    </sheetView>
  </sheetViews>
  <sheetFormatPr baseColWidth="10" defaultRowHeight="15" x14ac:dyDescent="0.25"/>
  <cols>
    <col min="1" max="1" width="33.42578125" bestFit="1" customWidth="1"/>
  </cols>
  <sheetData>
    <row r="1" spans="1:7" ht="18.75" x14ac:dyDescent="0.3">
      <c r="A1" s="91" t="s">
        <v>210</v>
      </c>
      <c r="B1" s="92"/>
      <c r="C1" s="92"/>
      <c r="D1" s="92"/>
      <c r="E1" s="92"/>
      <c r="F1" s="92"/>
      <c r="G1" s="92"/>
    </row>
    <row r="2" spans="1:7" ht="18.75" x14ac:dyDescent="0.3">
      <c r="A2" s="93" t="s">
        <v>211</v>
      </c>
      <c r="B2" s="87"/>
      <c r="C2" s="87"/>
      <c r="D2" s="87"/>
      <c r="E2" s="87"/>
      <c r="F2" s="87"/>
      <c r="G2" s="87"/>
    </row>
    <row r="3" spans="1:7" ht="18.75" x14ac:dyDescent="0.3">
      <c r="A3" s="93" t="s">
        <v>22</v>
      </c>
      <c r="B3" s="87"/>
      <c r="C3" s="87"/>
      <c r="D3" s="87"/>
      <c r="E3" s="87"/>
      <c r="F3" s="87"/>
      <c r="G3" s="87"/>
    </row>
    <row r="4" spans="1:7" x14ac:dyDescent="0.25">
      <c r="A4" s="18" t="s">
        <v>1</v>
      </c>
      <c r="B4" s="4">
        <v>12658</v>
      </c>
      <c r="C4" s="4"/>
      <c r="D4" s="4"/>
      <c r="E4" s="4"/>
      <c r="F4" s="4"/>
      <c r="G4" s="19" t="s">
        <v>2</v>
      </c>
    </row>
    <row r="5" spans="1:7" x14ac:dyDescent="0.25">
      <c r="A5" s="20"/>
      <c r="B5" s="6">
        <v>45761</v>
      </c>
      <c r="C5" s="6"/>
      <c r="D5" s="6"/>
      <c r="E5" s="6"/>
      <c r="F5" s="6"/>
      <c r="G5" s="5">
        <v>45777</v>
      </c>
    </row>
    <row r="6" spans="1:7" x14ac:dyDescent="0.25">
      <c r="A6" s="22" t="s">
        <v>125</v>
      </c>
      <c r="B6" s="1">
        <v>8</v>
      </c>
      <c r="C6" s="21"/>
      <c r="D6" s="21"/>
      <c r="E6" s="21"/>
      <c r="F6" s="21"/>
      <c r="G6" s="10">
        <f>SUM(B6:F6)</f>
        <v>8</v>
      </c>
    </row>
    <row r="7" spans="1:7" x14ac:dyDescent="0.25">
      <c r="A7" s="22" t="s">
        <v>213</v>
      </c>
      <c r="B7" s="1">
        <v>8</v>
      </c>
      <c r="C7" s="21"/>
      <c r="D7" s="21"/>
      <c r="E7" s="21"/>
      <c r="F7" s="21"/>
      <c r="G7" s="10">
        <f>SUM(B7:F7)</f>
        <v>8</v>
      </c>
    </row>
    <row r="8" spans="1:7" x14ac:dyDescent="0.25">
      <c r="A8" s="22" t="s">
        <v>214</v>
      </c>
      <c r="B8" s="1">
        <v>2</v>
      </c>
      <c r="C8" s="21"/>
      <c r="D8" s="21"/>
      <c r="E8" s="21"/>
      <c r="F8" s="21"/>
      <c r="G8" s="10">
        <f>SUM(B8:F8)</f>
        <v>2</v>
      </c>
    </row>
    <row r="9" spans="1:7" x14ac:dyDescent="0.25">
      <c r="A9" s="22" t="s">
        <v>151</v>
      </c>
      <c r="B9" s="1">
        <v>4</v>
      </c>
      <c r="C9" s="21"/>
      <c r="D9" s="21"/>
      <c r="E9" s="21"/>
      <c r="F9" s="21"/>
      <c r="G9" s="10">
        <f t="shared" ref="G9:G12" si="0">SUM(B9:F9)</f>
        <v>4</v>
      </c>
    </row>
    <row r="10" spans="1:7" x14ac:dyDescent="0.25">
      <c r="A10" s="22" t="s">
        <v>215</v>
      </c>
      <c r="B10" s="1">
        <v>2</v>
      </c>
      <c r="C10" s="21"/>
      <c r="D10" s="21"/>
      <c r="E10" s="21"/>
      <c r="F10" s="21"/>
      <c r="G10" s="10">
        <f t="shared" si="0"/>
        <v>2</v>
      </c>
    </row>
    <row r="11" spans="1:7" x14ac:dyDescent="0.25">
      <c r="A11" s="22" t="s">
        <v>216</v>
      </c>
      <c r="B11" s="1">
        <v>1</v>
      </c>
      <c r="C11" s="21"/>
      <c r="D11" s="21"/>
      <c r="E11" s="21"/>
      <c r="F11" s="21"/>
      <c r="G11" s="10">
        <f t="shared" si="0"/>
        <v>1</v>
      </c>
    </row>
    <row r="12" spans="1:7" x14ac:dyDescent="0.25">
      <c r="A12" s="20" t="s">
        <v>20</v>
      </c>
      <c r="B12" s="13">
        <v>0.40972222222222221</v>
      </c>
      <c r="C12" s="23"/>
      <c r="D12" s="23"/>
      <c r="E12" s="23"/>
      <c r="F12" s="23"/>
      <c r="G12" s="2">
        <f t="shared" si="0"/>
        <v>0.40972222222222221</v>
      </c>
    </row>
    <row r="13" spans="1:7" x14ac:dyDescent="0.25">
      <c r="A13" s="20" t="s">
        <v>21</v>
      </c>
      <c r="B13" s="24" t="s">
        <v>101</v>
      </c>
      <c r="C13" s="24"/>
      <c r="D13" s="24"/>
      <c r="E13" s="24"/>
      <c r="F13" s="24"/>
      <c r="G13" s="17">
        <f>SUM(B13:F13)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9226-6D56-488F-9B0C-EFA9B5702A50}">
  <dimension ref="A1:J16"/>
  <sheetViews>
    <sheetView workbookViewId="0">
      <selection sqref="A1:J15"/>
    </sheetView>
  </sheetViews>
  <sheetFormatPr baseColWidth="10" defaultRowHeight="15" x14ac:dyDescent="0.25"/>
  <cols>
    <col min="1" max="1" width="28.28515625" bestFit="1" customWidth="1"/>
  </cols>
  <sheetData>
    <row r="1" spans="1:10" ht="18.75" x14ac:dyDescent="0.3">
      <c r="A1" s="86" t="s">
        <v>23</v>
      </c>
      <c r="B1" s="87"/>
      <c r="C1" s="87"/>
      <c r="D1" s="87"/>
      <c r="E1" s="87"/>
      <c r="F1" s="87"/>
      <c r="G1" s="87"/>
      <c r="H1" s="87"/>
      <c r="I1" s="87"/>
      <c r="J1" s="88"/>
    </row>
    <row r="2" spans="1:10" ht="18.75" x14ac:dyDescent="0.3">
      <c r="A2" s="86" t="s">
        <v>24</v>
      </c>
      <c r="B2" s="87"/>
      <c r="C2" s="87"/>
      <c r="D2" s="87"/>
      <c r="E2" s="87"/>
      <c r="F2" s="87"/>
      <c r="G2" s="87"/>
      <c r="H2" s="87"/>
      <c r="I2" s="87"/>
      <c r="J2" s="88"/>
    </row>
    <row r="3" spans="1:10" ht="18.75" x14ac:dyDescent="0.3">
      <c r="A3" s="86" t="s">
        <v>8</v>
      </c>
      <c r="B3" s="87"/>
      <c r="C3" s="87"/>
      <c r="D3" s="87"/>
      <c r="E3" s="87"/>
      <c r="F3" s="87"/>
      <c r="G3" s="87"/>
      <c r="H3" s="87"/>
      <c r="I3" s="87"/>
      <c r="J3" s="88"/>
    </row>
    <row r="4" spans="1:10" x14ac:dyDescent="0.25">
      <c r="A4" s="89" t="s">
        <v>1</v>
      </c>
      <c r="B4" s="1" t="s">
        <v>2</v>
      </c>
      <c r="C4" s="2">
        <v>11454</v>
      </c>
      <c r="D4" s="3">
        <v>11462</v>
      </c>
      <c r="E4" s="3"/>
      <c r="F4" s="3"/>
      <c r="G4" s="3"/>
      <c r="H4" s="3"/>
      <c r="I4" s="3"/>
      <c r="J4" s="1" t="s">
        <v>3</v>
      </c>
    </row>
    <row r="5" spans="1:10" x14ac:dyDescent="0.25">
      <c r="A5" s="90"/>
      <c r="B5" s="5">
        <v>45747</v>
      </c>
      <c r="C5" s="6">
        <v>45750</v>
      </c>
      <c r="D5" s="6">
        <v>45754</v>
      </c>
      <c r="E5" s="6"/>
      <c r="F5" s="6"/>
      <c r="G5" s="6"/>
      <c r="H5" s="23"/>
      <c r="I5" s="6"/>
      <c r="J5" s="5">
        <v>45777</v>
      </c>
    </row>
    <row r="6" spans="1:10" x14ac:dyDescent="0.25">
      <c r="A6" s="7" t="s">
        <v>25</v>
      </c>
      <c r="B6" s="8">
        <v>0</v>
      </c>
      <c r="C6" s="9"/>
      <c r="D6" s="9"/>
      <c r="E6" s="9"/>
      <c r="F6" s="9"/>
      <c r="G6" s="9"/>
      <c r="H6" s="9"/>
      <c r="I6" s="9"/>
      <c r="J6" s="10">
        <f>SUM(B6:E6)</f>
        <v>0</v>
      </c>
    </row>
    <row r="7" spans="1:10" x14ac:dyDescent="0.25">
      <c r="A7" s="7" t="s">
        <v>26</v>
      </c>
      <c r="B7" s="8">
        <v>2</v>
      </c>
      <c r="C7" s="9"/>
      <c r="D7" s="9">
        <v>-2</v>
      </c>
      <c r="E7" s="9"/>
      <c r="F7" s="9"/>
      <c r="G7" s="9"/>
      <c r="H7" s="9"/>
      <c r="I7" s="9"/>
      <c r="J7" s="10">
        <f>SUM(B7:H7)</f>
        <v>0</v>
      </c>
    </row>
    <row r="8" spans="1:10" x14ac:dyDescent="0.25">
      <c r="A8" s="7" t="s">
        <v>27</v>
      </c>
      <c r="B8" s="8">
        <v>2</v>
      </c>
      <c r="C8" s="9"/>
      <c r="D8" s="9">
        <v>-2</v>
      </c>
      <c r="E8" s="9"/>
      <c r="F8" s="9"/>
      <c r="G8" s="9"/>
      <c r="H8" s="9"/>
      <c r="I8" s="9"/>
      <c r="J8" s="10">
        <f>SUM(B8:G8)</f>
        <v>0</v>
      </c>
    </row>
    <row r="9" spans="1:10" x14ac:dyDescent="0.25">
      <c r="A9" s="7" t="s">
        <v>28</v>
      </c>
      <c r="B9" s="8">
        <v>10</v>
      </c>
      <c r="C9" s="9"/>
      <c r="D9" s="9">
        <v>-10</v>
      </c>
      <c r="E9" s="9"/>
      <c r="F9" s="9"/>
      <c r="G9" s="9"/>
      <c r="H9" s="9"/>
      <c r="I9" s="9"/>
      <c r="J9" s="10">
        <f>SUM(B9:I9)</f>
        <v>0</v>
      </c>
    </row>
    <row r="10" spans="1:10" x14ac:dyDescent="0.25">
      <c r="A10" s="7" t="s">
        <v>11</v>
      </c>
      <c r="B10" s="8">
        <v>6</v>
      </c>
      <c r="C10" s="9"/>
      <c r="D10" s="9">
        <v>-6</v>
      </c>
      <c r="E10" s="9"/>
      <c r="F10" s="9"/>
      <c r="G10" s="9"/>
      <c r="H10" s="9"/>
      <c r="I10" s="9"/>
      <c r="J10" s="10">
        <f>SUM(B10:I10)</f>
        <v>0</v>
      </c>
    </row>
    <row r="11" spans="1:10" x14ac:dyDescent="0.25">
      <c r="A11" s="7" t="s">
        <v>29</v>
      </c>
      <c r="B11" s="8">
        <v>0</v>
      </c>
      <c r="C11" s="9"/>
      <c r="D11" s="9"/>
      <c r="E11" s="9"/>
      <c r="F11" s="9"/>
      <c r="G11" s="9"/>
      <c r="H11" s="9"/>
      <c r="I11" s="9"/>
      <c r="J11" s="10">
        <f>SUM(B11:E11)</f>
        <v>0</v>
      </c>
    </row>
    <row r="12" spans="1:10" x14ac:dyDescent="0.25">
      <c r="A12" s="7" t="s">
        <v>30</v>
      </c>
      <c r="B12" s="8">
        <v>27</v>
      </c>
      <c r="C12" s="9">
        <v>-24</v>
      </c>
      <c r="D12" s="9">
        <v>-1</v>
      </c>
      <c r="E12" s="9"/>
      <c r="F12" s="9"/>
      <c r="G12" s="9"/>
      <c r="H12" s="9"/>
      <c r="I12" s="9"/>
      <c r="J12" s="10">
        <f>SUM(B12:F12)</f>
        <v>2</v>
      </c>
    </row>
    <row r="13" spans="1:10" x14ac:dyDescent="0.25">
      <c r="A13" s="7" t="s">
        <v>31</v>
      </c>
      <c r="B13" s="8">
        <v>0</v>
      </c>
      <c r="C13" s="9"/>
      <c r="D13" s="9"/>
      <c r="E13" s="9"/>
      <c r="F13" s="9"/>
      <c r="G13" s="9"/>
      <c r="H13" s="9"/>
      <c r="I13" s="9"/>
      <c r="J13" s="10">
        <f>SUM(B13:F13)</f>
        <v>0</v>
      </c>
    </row>
    <row r="14" spans="1:10" x14ac:dyDescent="0.25">
      <c r="A14" s="11" t="s">
        <v>6</v>
      </c>
      <c r="B14" s="23"/>
      <c r="C14" s="13">
        <v>0.41666666666666669</v>
      </c>
      <c r="D14" s="14">
        <v>0.48958333333333331</v>
      </c>
      <c r="E14" s="14"/>
      <c r="F14" s="14"/>
      <c r="G14" s="14"/>
      <c r="H14" s="14"/>
      <c r="I14" s="14"/>
      <c r="J14" s="2"/>
    </row>
    <row r="15" spans="1:10" x14ac:dyDescent="0.25">
      <c r="A15" s="11" t="s">
        <v>7</v>
      </c>
      <c r="B15" s="16"/>
      <c r="C15" s="16">
        <v>15000</v>
      </c>
      <c r="D15" s="16" t="s">
        <v>178</v>
      </c>
      <c r="E15" s="16"/>
      <c r="F15" s="16"/>
      <c r="G15" s="16"/>
      <c r="H15" s="16"/>
      <c r="I15" s="16"/>
      <c r="J15" s="17"/>
    </row>
    <row r="16" spans="1:10" x14ac:dyDescent="0.25">
      <c r="D16" t="s">
        <v>179</v>
      </c>
    </row>
  </sheetData>
  <mergeCells count="4">
    <mergeCell ref="A1:J1"/>
    <mergeCell ref="A2:J2"/>
    <mergeCell ref="A3:J3"/>
    <mergeCell ref="A4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4088-E990-4E28-AA67-A18D8F80F8C1}">
  <dimension ref="A1:J19"/>
  <sheetViews>
    <sheetView workbookViewId="0">
      <selection activeCell="A3" sqref="A3:J3"/>
    </sheetView>
  </sheetViews>
  <sheetFormatPr baseColWidth="10" defaultRowHeight="15" x14ac:dyDescent="0.25"/>
  <cols>
    <col min="1" max="1" width="30" customWidth="1"/>
  </cols>
  <sheetData>
    <row r="1" spans="1:10" ht="18.75" x14ac:dyDescent="0.3">
      <c r="A1" s="86" t="s">
        <v>209</v>
      </c>
      <c r="B1" s="87"/>
      <c r="C1" s="87"/>
      <c r="D1" s="87"/>
      <c r="E1" s="87"/>
      <c r="F1" s="87"/>
      <c r="G1" s="87"/>
      <c r="H1" s="87"/>
      <c r="I1" s="87"/>
      <c r="J1" s="88"/>
    </row>
    <row r="2" spans="1:10" ht="18.75" x14ac:dyDescent="0.3">
      <c r="A2" s="86" t="s">
        <v>212</v>
      </c>
      <c r="B2" s="87"/>
      <c r="C2" s="87"/>
      <c r="D2" s="87"/>
      <c r="E2" s="87"/>
      <c r="F2" s="87"/>
      <c r="G2" s="87"/>
      <c r="H2" s="87"/>
      <c r="I2" s="87"/>
      <c r="J2" s="88"/>
    </row>
    <row r="3" spans="1:10" ht="18.75" x14ac:dyDescent="0.3">
      <c r="A3" s="86" t="s">
        <v>8</v>
      </c>
      <c r="B3" s="87"/>
      <c r="C3" s="87"/>
      <c r="D3" s="87"/>
      <c r="E3" s="87"/>
      <c r="F3" s="87"/>
      <c r="G3" s="87"/>
      <c r="H3" s="87"/>
      <c r="I3" s="87"/>
      <c r="J3" s="88"/>
    </row>
    <row r="4" spans="1:10" x14ac:dyDescent="0.25">
      <c r="A4" s="89" t="s">
        <v>1</v>
      </c>
      <c r="B4" s="3">
        <v>12657</v>
      </c>
      <c r="C4" s="2"/>
      <c r="D4" s="3"/>
      <c r="E4" s="3"/>
      <c r="F4" s="3"/>
      <c r="G4" s="3"/>
      <c r="H4" s="3"/>
      <c r="I4" s="3"/>
      <c r="J4" s="1" t="s">
        <v>3</v>
      </c>
    </row>
    <row r="5" spans="1:10" x14ac:dyDescent="0.25">
      <c r="A5" s="90"/>
      <c r="B5" s="6">
        <v>45761</v>
      </c>
      <c r="C5" s="6"/>
      <c r="D5" s="6"/>
      <c r="E5" s="6"/>
      <c r="F5" s="6"/>
      <c r="G5" s="6"/>
      <c r="H5" s="23"/>
      <c r="I5" s="6"/>
      <c r="J5" s="5">
        <v>45777</v>
      </c>
    </row>
    <row r="6" spans="1:10" x14ac:dyDescent="0.25">
      <c r="A6" s="7" t="s">
        <v>95</v>
      </c>
      <c r="B6" s="8">
        <v>24</v>
      </c>
      <c r="C6" s="9"/>
      <c r="D6" s="9"/>
      <c r="E6" s="9"/>
      <c r="F6" s="9"/>
      <c r="G6" s="9"/>
      <c r="H6" s="9"/>
      <c r="I6" s="9"/>
      <c r="J6" s="10">
        <f>SUM(B6:E6)</f>
        <v>24</v>
      </c>
    </row>
    <row r="7" spans="1:10" x14ac:dyDescent="0.25">
      <c r="A7" s="7" t="s">
        <v>11</v>
      </c>
      <c r="B7" s="8">
        <v>2</v>
      </c>
      <c r="C7" s="9"/>
      <c r="D7" s="9"/>
      <c r="E7" s="9"/>
      <c r="F7" s="9"/>
      <c r="G7" s="9"/>
      <c r="H7" s="9"/>
      <c r="I7" s="9"/>
      <c r="J7" s="10">
        <f>SUM(B7:H7)</f>
        <v>2</v>
      </c>
    </row>
    <row r="8" spans="1:10" x14ac:dyDescent="0.25">
      <c r="A8" s="7" t="s">
        <v>26</v>
      </c>
      <c r="B8" s="8">
        <v>14</v>
      </c>
      <c r="C8" s="9"/>
      <c r="D8" s="9"/>
      <c r="E8" s="9"/>
      <c r="F8" s="9"/>
      <c r="G8" s="9"/>
      <c r="H8" s="9"/>
      <c r="I8" s="9"/>
      <c r="J8" s="10">
        <f>SUM(B8:G8)</f>
        <v>14</v>
      </c>
    </row>
    <row r="9" spans="1:10" x14ac:dyDescent="0.25">
      <c r="A9" s="7" t="s">
        <v>67</v>
      </c>
      <c r="B9" s="8">
        <v>12</v>
      </c>
      <c r="C9" s="9"/>
      <c r="D9" s="9"/>
      <c r="E9" s="9"/>
      <c r="F9" s="9"/>
      <c r="G9" s="9"/>
      <c r="H9" s="9"/>
      <c r="I9" s="9"/>
      <c r="J9" s="10">
        <f>SUM(B9:I9)</f>
        <v>12</v>
      </c>
    </row>
    <row r="10" spans="1:10" x14ac:dyDescent="0.25">
      <c r="A10" s="7" t="s">
        <v>13</v>
      </c>
      <c r="B10" s="8">
        <v>24</v>
      </c>
      <c r="C10" s="9"/>
      <c r="D10" s="9"/>
      <c r="E10" s="9"/>
      <c r="F10" s="9"/>
      <c r="G10" s="9"/>
      <c r="H10" s="9"/>
      <c r="I10" s="9"/>
      <c r="J10" s="10">
        <f>SUM(B10:I10)</f>
        <v>24</v>
      </c>
    </row>
    <row r="11" spans="1:10" x14ac:dyDescent="0.25">
      <c r="A11" s="7" t="s">
        <v>59</v>
      </c>
      <c r="B11" s="8">
        <v>48</v>
      </c>
      <c r="C11" s="9"/>
      <c r="D11" s="9"/>
      <c r="E11" s="9"/>
      <c r="F11" s="9"/>
      <c r="G11" s="9"/>
      <c r="H11" s="9"/>
      <c r="I11" s="9"/>
      <c r="J11" s="10">
        <f>SUM(B11:E11)</f>
        <v>48</v>
      </c>
    </row>
    <row r="12" spans="1:10" x14ac:dyDescent="0.25">
      <c r="A12" s="7" t="s">
        <v>15</v>
      </c>
      <c r="B12" s="8">
        <v>20</v>
      </c>
      <c r="C12" s="9"/>
      <c r="D12" s="9"/>
      <c r="E12" s="9"/>
      <c r="F12" s="9"/>
      <c r="G12" s="9"/>
      <c r="H12" s="9"/>
      <c r="I12" s="9"/>
      <c r="J12" s="10">
        <f>SUM(B12:F12)</f>
        <v>20</v>
      </c>
    </row>
    <row r="13" spans="1:10" x14ac:dyDescent="0.25">
      <c r="A13" s="7" t="s">
        <v>90</v>
      </c>
      <c r="B13" s="8">
        <v>500</v>
      </c>
      <c r="C13" s="9"/>
      <c r="D13" s="9"/>
      <c r="E13" s="9"/>
      <c r="F13" s="9"/>
      <c r="G13" s="9"/>
      <c r="H13" s="9"/>
      <c r="I13" s="9"/>
      <c r="J13" s="10">
        <f>SUM(B13:F13)</f>
        <v>500</v>
      </c>
    </row>
    <row r="14" spans="1:10" x14ac:dyDescent="0.25">
      <c r="A14" s="7" t="s">
        <v>114</v>
      </c>
      <c r="B14" s="8">
        <v>2</v>
      </c>
      <c r="C14" s="9"/>
      <c r="D14" s="9"/>
      <c r="E14" s="9"/>
      <c r="F14" s="9"/>
      <c r="G14" s="9"/>
      <c r="H14" s="9"/>
      <c r="I14" s="9"/>
      <c r="J14" s="10">
        <f t="shared" ref="J14:J18" si="0">SUM(B14:F14)</f>
        <v>2</v>
      </c>
    </row>
    <row r="15" spans="1:10" x14ac:dyDescent="0.25">
      <c r="A15" s="7" t="s">
        <v>122</v>
      </c>
      <c r="B15" s="8">
        <v>1</v>
      </c>
      <c r="C15" s="9"/>
      <c r="D15" s="9"/>
      <c r="E15" s="9"/>
      <c r="F15" s="9"/>
      <c r="G15" s="9"/>
      <c r="H15" s="9"/>
      <c r="I15" s="9"/>
      <c r="J15" s="10">
        <f t="shared" si="0"/>
        <v>1</v>
      </c>
    </row>
    <row r="16" spans="1:10" x14ac:dyDescent="0.25">
      <c r="A16" s="7" t="s">
        <v>77</v>
      </c>
      <c r="B16" s="8">
        <v>2</v>
      </c>
      <c r="C16" s="9"/>
      <c r="D16" s="9"/>
      <c r="E16" s="9"/>
      <c r="F16" s="9"/>
      <c r="G16" s="9"/>
      <c r="H16" s="9"/>
      <c r="I16" s="9"/>
      <c r="J16" s="10">
        <f t="shared" si="0"/>
        <v>2</v>
      </c>
    </row>
    <row r="17" spans="1:10" x14ac:dyDescent="0.25">
      <c r="A17" s="7" t="s">
        <v>100</v>
      </c>
      <c r="B17" s="8">
        <v>2</v>
      </c>
      <c r="C17" s="9"/>
      <c r="D17" s="9"/>
      <c r="E17" s="9"/>
      <c r="F17" s="9"/>
      <c r="G17" s="9"/>
      <c r="H17" s="9"/>
      <c r="I17" s="9"/>
      <c r="J17" s="10">
        <f t="shared" si="0"/>
        <v>2</v>
      </c>
    </row>
    <row r="18" spans="1:10" x14ac:dyDescent="0.25">
      <c r="A18" s="11" t="s">
        <v>6</v>
      </c>
      <c r="B18" s="23">
        <v>0.33333333333333331</v>
      </c>
      <c r="C18" s="13"/>
      <c r="D18" s="14"/>
      <c r="E18" s="14"/>
      <c r="F18" s="14"/>
      <c r="G18" s="14"/>
      <c r="H18" s="14"/>
      <c r="I18" s="14"/>
      <c r="J18" s="2">
        <f t="shared" si="0"/>
        <v>0.33333333333333331</v>
      </c>
    </row>
    <row r="19" spans="1:10" x14ac:dyDescent="0.25">
      <c r="A19" s="11" t="s">
        <v>7</v>
      </c>
      <c r="B19" s="16">
        <v>40000</v>
      </c>
      <c r="C19" s="16"/>
      <c r="D19" s="16"/>
      <c r="E19" s="16"/>
      <c r="F19" s="16"/>
      <c r="G19" s="16"/>
      <c r="H19" s="16"/>
      <c r="I19" s="16"/>
      <c r="J19" s="17"/>
    </row>
  </sheetData>
  <mergeCells count="4">
    <mergeCell ref="A1:J1"/>
    <mergeCell ref="A2:J2"/>
    <mergeCell ref="A3:J3"/>
    <mergeCell ref="A4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95DD-1C4F-41BB-B2BC-6B36F877E7D9}">
  <dimension ref="A1:L19"/>
  <sheetViews>
    <sheetView workbookViewId="0">
      <selection activeCell="C12" sqref="C12"/>
    </sheetView>
  </sheetViews>
  <sheetFormatPr baseColWidth="10" defaultRowHeight="15" x14ac:dyDescent="0.25"/>
  <cols>
    <col min="1" max="1" width="32.7109375" bestFit="1" customWidth="1"/>
  </cols>
  <sheetData>
    <row r="1" spans="1:12" ht="18.75" x14ac:dyDescent="0.3">
      <c r="A1" s="91" t="s">
        <v>130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18.75" x14ac:dyDescent="0.3">
      <c r="A2" s="93" t="s">
        <v>131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ht="18.75" x14ac:dyDescent="0.3">
      <c r="A3" s="93" t="s">
        <v>22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2" x14ac:dyDescent="0.25">
      <c r="A4" s="18" t="s">
        <v>1</v>
      </c>
      <c r="B4" s="19" t="s">
        <v>3</v>
      </c>
      <c r="C4" s="4">
        <v>11453</v>
      </c>
      <c r="D4" s="4"/>
      <c r="E4" s="4"/>
      <c r="F4" s="4"/>
      <c r="G4" s="4"/>
      <c r="H4" s="4"/>
      <c r="I4" s="4"/>
      <c r="J4" s="4"/>
      <c r="K4" s="4"/>
      <c r="L4" s="19" t="s">
        <v>2</v>
      </c>
    </row>
    <row r="5" spans="1:12" x14ac:dyDescent="0.25">
      <c r="A5" s="20"/>
      <c r="B5" s="5">
        <v>45747</v>
      </c>
      <c r="C5" s="6">
        <v>45750</v>
      </c>
      <c r="D5" s="6"/>
      <c r="E5" s="6"/>
      <c r="F5" s="6"/>
      <c r="G5" s="6"/>
      <c r="H5" s="6"/>
      <c r="I5" s="6"/>
      <c r="J5" s="6"/>
      <c r="K5" s="6"/>
      <c r="L5" s="5">
        <v>45777</v>
      </c>
    </row>
    <row r="6" spans="1:12" x14ac:dyDescent="0.25">
      <c r="A6" s="69" t="s">
        <v>132</v>
      </c>
      <c r="B6" s="1">
        <v>212</v>
      </c>
      <c r="C6" s="21"/>
      <c r="D6" s="21"/>
      <c r="E6" s="21"/>
      <c r="F6" s="21"/>
      <c r="G6" s="21"/>
      <c r="H6" s="21"/>
      <c r="I6" s="21"/>
      <c r="J6" s="21"/>
      <c r="K6" s="21"/>
      <c r="L6" s="10">
        <f>SUM(B6:J6)</f>
        <v>212</v>
      </c>
    </row>
    <row r="7" spans="1:12" x14ac:dyDescent="0.25">
      <c r="A7" s="22" t="s">
        <v>133</v>
      </c>
      <c r="B7" s="1">
        <v>58</v>
      </c>
      <c r="C7" s="21"/>
      <c r="D7" s="21"/>
      <c r="E7" s="21"/>
      <c r="F7" s="21"/>
      <c r="G7" s="21"/>
      <c r="H7" s="21"/>
      <c r="I7" s="21"/>
      <c r="J7" s="21"/>
      <c r="K7" s="21"/>
      <c r="L7" s="10">
        <f>SUM(B7:J7)</f>
        <v>58</v>
      </c>
    </row>
    <row r="8" spans="1:12" x14ac:dyDescent="0.25">
      <c r="A8" s="22" t="s">
        <v>134</v>
      </c>
      <c r="B8" s="1">
        <v>8</v>
      </c>
      <c r="C8" s="21"/>
      <c r="D8" s="21"/>
      <c r="E8" s="21"/>
      <c r="F8" s="21"/>
      <c r="G8" s="21"/>
      <c r="H8" s="21"/>
      <c r="I8" s="21"/>
      <c r="J8" s="21"/>
      <c r="K8" s="21"/>
      <c r="L8" s="10">
        <f>SUM(B8:E8)</f>
        <v>8</v>
      </c>
    </row>
    <row r="9" spans="1:12" x14ac:dyDescent="0.25">
      <c r="A9" s="22" t="s">
        <v>135</v>
      </c>
      <c r="B9" s="1">
        <v>6</v>
      </c>
      <c r="C9" s="21"/>
      <c r="D9" s="21"/>
      <c r="E9" s="21"/>
      <c r="F9" s="21"/>
      <c r="G9" s="21"/>
      <c r="H9" s="21"/>
      <c r="I9" s="21"/>
      <c r="J9" s="21"/>
      <c r="K9" s="21"/>
      <c r="L9" s="10">
        <f>SUM(B9:J9)</f>
        <v>6</v>
      </c>
    </row>
    <row r="10" spans="1:12" x14ac:dyDescent="0.25">
      <c r="A10" s="22" t="s">
        <v>136</v>
      </c>
      <c r="B10" s="1">
        <v>37</v>
      </c>
      <c r="C10" s="21"/>
      <c r="D10" s="21"/>
      <c r="E10" s="21"/>
      <c r="F10" s="21"/>
      <c r="G10" s="21"/>
      <c r="H10" s="21"/>
      <c r="I10" s="21"/>
      <c r="J10" s="21"/>
      <c r="K10" s="21"/>
      <c r="L10" s="10">
        <f>SUM(B10:E10)</f>
        <v>37</v>
      </c>
    </row>
    <row r="11" spans="1:12" x14ac:dyDescent="0.25">
      <c r="A11" s="22" t="s">
        <v>137</v>
      </c>
      <c r="B11" s="1">
        <v>5</v>
      </c>
      <c r="C11" s="21"/>
      <c r="D11" s="21"/>
      <c r="E11" s="21"/>
      <c r="F11" s="21"/>
      <c r="G11" s="21"/>
      <c r="H11" s="21"/>
      <c r="I11" s="21"/>
      <c r="J11" s="21"/>
      <c r="K11" s="21"/>
      <c r="L11" s="10">
        <f>SUM(B11:F11)</f>
        <v>5</v>
      </c>
    </row>
    <row r="12" spans="1:12" x14ac:dyDescent="0.25">
      <c r="A12" s="22" t="s">
        <v>138</v>
      </c>
      <c r="B12" s="1">
        <v>216</v>
      </c>
      <c r="C12" s="21">
        <v>-13</v>
      </c>
      <c r="D12" s="21"/>
      <c r="E12" s="21"/>
      <c r="F12" s="21"/>
      <c r="G12" s="21"/>
      <c r="H12" s="21"/>
      <c r="I12" s="21"/>
      <c r="J12" s="21"/>
      <c r="K12" s="21"/>
      <c r="L12" s="10">
        <f>SUM(B12:J12)</f>
        <v>203</v>
      </c>
    </row>
    <row r="13" spans="1:12" x14ac:dyDescent="0.25">
      <c r="A13" s="22" t="s">
        <v>139</v>
      </c>
      <c r="B13" s="1">
        <v>3</v>
      </c>
      <c r="C13" s="21"/>
      <c r="D13" s="21"/>
      <c r="E13" s="21"/>
      <c r="F13" s="21"/>
      <c r="G13" s="21"/>
      <c r="H13" s="21"/>
      <c r="I13" s="21"/>
      <c r="J13" s="21"/>
      <c r="K13" s="21"/>
      <c r="L13" s="10">
        <f>SUM(B13:E13)</f>
        <v>3</v>
      </c>
    </row>
    <row r="14" spans="1:12" x14ac:dyDescent="0.25">
      <c r="A14" s="22" t="s">
        <v>60</v>
      </c>
      <c r="B14" s="1">
        <v>50</v>
      </c>
      <c r="C14" s="21"/>
      <c r="D14" s="21"/>
      <c r="E14" s="21"/>
      <c r="F14" s="21"/>
      <c r="G14" s="21"/>
      <c r="H14" s="21"/>
      <c r="I14" s="21"/>
      <c r="J14" s="21"/>
      <c r="K14" s="21"/>
      <c r="L14" s="10">
        <f>SUM(B14:E14)</f>
        <v>50</v>
      </c>
    </row>
    <row r="15" spans="1:12" x14ac:dyDescent="0.25">
      <c r="A15" s="22" t="s">
        <v>140</v>
      </c>
      <c r="B15" s="1">
        <v>5</v>
      </c>
      <c r="C15" s="21"/>
      <c r="D15" s="21"/>
      <c r="E15" s="21"/>
      <c r="F15" s="21"/>
      <c r="G15" s="21"/>
      <c r="H15" s="21"/>
      <c r="I15" s="21"/>
      <c r="J15" s="21"/>
      <c r="K15" s="21"/>
      <c r="L15" s="10">
        <f>SUM(B15:E15)</f>
        <v>5</v>
      </c>
    </row>
    <row r="16" spans="1:12" x14ac:dyDescent="0.25">
      <c r="A16" s="20" t="s">
        <v>20</v>
      </c>
      <c r="B16" s="13"/>
      <c r="C16" s="23">
        <v>0.29166666666666669</v>
      </c>
      <c r="D16" s="23"/>
      <c r="E16" s="23"/>
      <c r="F16" s="23"/>
      <c r="G16" s="23"/>
      <c r="H16" s="23"/>
      <c r="I16" s="23"/>
      <c r="J16" s="23"/>
      <c r="K16" s="23"/>
      <c r="L16" s="2"/>
    </row>
    <row r="17" spans="1:12" x14ac:dyDescent="0.25">
      <c r="A17" s="20" t="s">
        <v>21</v>
      </c>
      <c r="B17" s="24"/>
      <c r="C17" s="24" t="s">
        <v>141</v>
      </c>
      <c r="D17" s="24"/>
      <c r="E17" s="24"/>
      <c r="F17" s="24"/>
      <c r="G17" s="24"/>
      <c r="H17" s="24"/>
      <c r="I17" s="24"/>
      <c r="J17" s="24"/>
      <c r="K17" s="24"/>
      <c r="L17" s="2"/>
    </row>
    <row r="18" spans="1:12" x14ac:dyDescent="0.25">
      <c r="F18" s="44"/>
      <c r="G18" s="44"/>
      <c r="H18" s="44"/>
      <c r="I18" s="44"/>
      <c r="J18" s="44"/>
      <c r="K18" s="44"/>
    </row>
    <row r="19" spans="1:12" x14ac:dyDescent="0.25">
      <c r="G19" s="70"/>
      <c r="H19" s="70"/>
      <c r="I19" s="70"/>
      <c r="J19" s="70"/>
      <c r="K19" s="70"/>
    </row>
  </sheetData>
  <mergeCells count="3">
    <mergeCell ref="A1:L1"/>
    <mergeCell ref="A2:L2"/>
    <mergeCell ref="A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63AD-C707-4FCB-A107-9FB8046B5C03}">
  <dimension ref="A1:F13"/>
  <sheetViews>
    <sheetView workbookViewId="0">
      <selection activeCell="J10" sqref="J10"/>
    </sheetView>
  </sheetViews>
  <sheetFormatPr baseColWidth="10" defaultRowHeight="15" x14ac:dyDescent="0.25"/>
  <cols>
    <col min="1" max="1" width="33.85546875" bestFit="1" customWidth="1"/>
    <col min="3" max="3" width="13" bestFit="1" customWidth="1"/>
  </cols>
  <sheetData>
    <row r="1" spans="1:6" ht="18.75" x14ac:dyDescent="0.3">
      <c r="A1" s="86" t="s">
        <v>142</v>
      </c>
      <c r="B1" s="87"/>
      <c r="C1" s="87"/>
      <c r="D1" s="87"/>
      <c r="E1" s="87"/>
      <c r="F1" s="88"/>
    </row>
    <row r="2" spans="1:6" ht="18.75" x14ac:dyDescent="0.3">
      <c r="A2" s="86" t="s">
        <v>143</v>
      </c>
      <c r="B2" s="87"/>
      <c r="C2" s="87"/>
      <c r="D2" s="87"/>
      <c r="E2" s="87"/>
      <c r="F2" s="88"/>
    </row>
    <row r="3" spans="1:6" ht="18.75" x14ac:dyDescent="0.3">
      <c r="A3" s="86" t="s">
        <v>89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1" t="s">
        <v>2</v>
      </c>
      <c r="C4" s="2">
        <v>11455</v>
      </c>
      <c r="D4" s="3">
        <v>12646</v>
      </c>
      <c r="E4" s="3"/>
      <c r="F4" s="1" t="s">
        <v>3</v>
      </c>
    </row>
    <row r="5" spans="1:6" x14ac:dyDescent="0.25">
      <c r="A5" s="90"/>
      <c r="B5" s="5">
        <v>45747</v>
      </c>
      <c r="C5" s="6">
        <v>45750</v>
      </c>
      <c r="D5" s="6">
        <v>45750</v>
      </c>
      <c r="E5" s="6"/>
      <c r="F5" s="5">
        <v>45777</v>
      </c>
    </row>
    <row r="6" spans="1:6" x14ac:dyDescent="0.25">
      <c r="A6" s="7" t="s">
        <v>148</v>
      </c>
      <c r="B6" s="8">
        <v>48</v>
      </c>
      <c r="C6" s="9">
        <v>-48</v>
      </c>
      <c r="D6" s="9">
        <v>8</v>
      </c>
      <c r="E6" s="9"/>
      <c r="F6" s="10">
        <f>SUM(B6:E6)</f>
        <v>8</v>
      </c>
    </row>
    <row r="7" spans="1:6" x14ac:dyDescent="0.25">
      <c r="A7" s="7" t="s">
        <v>144</v>
      </c>
      <c r="B7" s="8">
        <v>48</v>
      </c>
      <c r="C7" s="9">
        <v>-48</v>
      </c>
      <c r="D7" s="9">
        <v>8</v>
      </c>
      <c r="E7" s="9"/>
      <c r="F7" s="10">
        <f>SUM(B7:E7)</f>
        <v>8</v>
      </c>
    </row>
    <row r="8" spans="1:6" x14ac:dyDescent="0.25">
      <c r="A8" s="7" t="s">
        <v>53</v>
      </c>
      <c r="B8" s="8">
        <v>28</v>
      </c>
      <c r="C8" s="9">
        <v>-16</v>
      </c>
      <c r="D8" s="9"/>
      <c r="E8" s="9"/>
      <c r="F8" s="10">
        <f>SUM(B8:E8)</f>
        <v>12</v>
      </c>
    </row>
    <row r="9" spans="1:6" x14ac:dyDescent="0.25">
      <c r="A9" s="7" t="s">
        <v>145</v>
      </c>
      <c r="B9" s="8">
        <v>2</v>
      </c>
      <c r="C9" s="9"/>
      <c r="D9" s="9"/>
      <c r="E9" s="9"/>
      <c r="F9" s="10">
        <f t="shared" ref="F9:F12" si="0">SUM(B9:E9)</f>
        <v>2</v>
      </c>
    </row>
    <row r="10" spans="1:6" x14ac:dyDescent="0.25">
      <c r="A10" s="7" t="s">
        <v>146</v>
      </c>
      <c r="B10" s="8">
        <v>1</v>
      </c>
      <c r="C10" s="9">
        <v>-1</v>
      </c>
      <c r="D10" s="9"/>
      <c r="E10" s="9"/>
      <c r="F10" s="10">
        <f t="shared" si="0"/>
        <v>0</v>
      </c>
    </row>
    <row r="11" spans="1:6" x14ac:dyDescent="0.25">
      <c r="A11" s="11" t="s">
        <v>6</v>
      </c>
      <c r="B11" s="27"/>
      <c r="C11" s="52">
        <v>0.14583333333333334</v>
      </c>
      <c r="D11" s="52">
        <v>0.14583333333333334</v>
      </c>
      <c r="E11" s="14"/>
      <c r="F11" s="2">
        <f t="shared" si="0"/>
        <v>0.29166666666666669</v>
      </c>
    </row>
    <row r="12" spans="1:6" x14ac:dyDescent="0.25">
      <c r="A12" s="11" t="s">
        <v>7</v>
      </c>
      <c r="B12" s="15"/>
      <c r="C12" s="17">
        <v>50000</v>
      </c>
      <c r="D12" s="16"/>
      <c r="E12" s="16"/>
      <c r="F12" s="17">
        <f t="shared" si="0"/>
        <v>50000</v>
      </c>
    </row>
    <row r="13" spans="1:6" x14ac:dyDescent="0.25">
      <c r="A13" s="71" t="s">
        <v>147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2597-1F4E-4B9B-B798-F817DF6D6BBF}">
  <dimension ref="A1:E10"/>
  <sheetViews>
    <sheetView workbookViewId="0">
      <selection activeCell="F14" sqref="F14"/>
    </sheetView>
  </sheetViews>
  <sheetFormatPr baseColWidth="10" defaultRowHeight="15" x14ac:dyDescent="0.25"/>
  <cols>
    <col min="1" max="1" width="23.7109375" customWidth="1"/>
    <col min="2" max="3" width="13.140625" customWidth="1"/>
  </cols>
  <sheetData>
    <row r="1" spans="1:5" ht="18.75" x14ac:dyDescent="0.3">
      <c r="A1" s="94" t="s">
        <v>149</v>
      </c>
      <c r="B1" s="94"/>
      <c r="C1" s="94"/>
      <c r="D1" s="94"/>
      <c r="E1" s="94"/>
    </row>
    <row r="2" spans="1:5" ht="18.75" x14ac:dyDescent="0.3">
      <c r="A2" s="94" t="s">
        <v>150</v>
      </c>
      <c r="B2" s="94"/>
      <c r="C2" s="94"/>
      <c r="D2" s="94"/>
      <c r="E2" s="94"/>
    </row>
    <row r="3" spans="1:5" ht="18.75" x14ac:dyDescent="0.3">
      <c r="A3" s="94" t="s">
        <v>49</v>
      </c>
      <c r="B3" s="94"/>
      <c r="C3" s="94"/>
      <c r="D3" s="94"/>
      <c r="E3" s="94"/>
    </row>
    <row r="4" spans="1:5" x14ac:dyDescent="0.25">
      <c r="A4" s="95" t="s">
        <v>1</v>
      </c>
      <c r="B4" s="1" t="s">
        <v>2</v>
      </c>
      <c r="C4" s="2"/>
      <c r="D4" s="2"/>
      <c r="E4" s="1" t="s">
        <v>2</v>
      </c>
    </row>
    <row r="5" spans="1:5" x14ac:dyDescent="0.25">
      <c r="A5" s="95"/>
      <c r="B5" s="5">
        <v>45747</v>
      </c>
      <c r="C5" s="6"/>
      <c r="D5" s="6"/>
      <c r="E5" s="5">
        <v>45777</v>
      </c>
    </row>
    <row r="6" spans="1:5" x14ac:dyDescent="0.25">
      <c r="A6" s="45" t="s">
        <v>151</v>
      </c>
      <c r="B6" s="1">
        <v>2</v>
      </c>
      <c r="C6" s="9"/>
      <c r="D6" s="9"/>
      <c r="E6" s="8">
        <f t="shared" ref="E6:E7" si="0">SUM(B6:C6)</f>
        <v>2</v>
      </c>
    </row>
    <row r="7" spans="1:5" x14ac:dyDescent="0.25">
      <c r="A7" s="45"/>
      <c r="B7" s="1"/>
      <c r="C7" s="9"/>
      <c r="D7" s="9"/>
      <c r="E7" s="8">
        <f t="shared" si="0"/>
        <v>0</v>
      </c>
    </row>
    <row r="8" spans="1:5" x14ac:dyDescent="0.25">
      <c r="A8" s="11" t="s">
        <v>6</v>
      </c>
      <c r="B8" s="12"/>
      <c r="C8" s="23"/>
      <c r="D8" s="23"/>
      <c r="E8" s="47"/>
    </row>
    <row r="9" spans="1:5" x14ac:dyDescent="0.25">
      <c r="A9" s="11" t="s">
        <v>21</v>
      </c>
      <c r="B9" s="50"/>
      <c r="C9" s="48"/>
      <c r="D9" s="48"/>
      <c r="E9" s="49">
        <f>SUM(B9:B9)</f>
        <v>0</v>
      </c>
    </row>
    <row r="10" spans="1:5" x14ac:dyDescent="0.25">
      <c r="A10" t="s">
        <v>152</v>
      </c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D51E-1EEF-4D0B-8E11-85DC3227F3BA}">
  <dimension ref="A1:F10"/>
  <sheetViews>
    <sheetView workbookViewId="0">
      <selection activeCell="I4" sqref="I4"/>
    </sheetView>
  </sheetViews>
  <sheetFormatPr baseColWidth="10" defaultRowHeight="15" x14ac:dyDescent="0.25"/>
  <cols>
    <col min="1" max="1" width="29" customWidth="1"/>
  </cols>
  <sheetData>
    <row r="1" spans="1:6" ht="18.75" x14ac:dyDescent="0.25">
      <c r="A1" s="96" t="s">
        <v>153</v>
      </c>
      <c r="B1" s="97"/>
      <c r="C1" s="97"/>
      <c r="D1" s="97"/>
      <c r="E1" s="97"/>
      <c r="F1" s="98"/>
    </row>
    <row r="2" spans="1:6" ht="18.75" x14ac:dyDescent="0.3">
      <c r="A2" s="72" t="s">
        <v>154</v>
      </c>
      <c r="B2" s="73"/>
      <c r="C2" s="59"/>
      <c r="D2" s="59"/>
      <c r="E2" s="59"/>
      <c r="F2" s="60"/>
    </row>
    <row r="3" spans="1:6" ht="18.75" x14ac:dyDescent="0.25">
      <c r="A3" s="99" t="s">
        <v>8</v>
      </c>
      <c r="B3" s="100"/>
      <c r="C3" s="100"/>
      <c r="D3" s="97"/>
      <c r="E3" s="97"/>
      <c r="F3" s="98"/>
    </row>
    <row r="4" spans="1:6" x14ac:dyDescent="0.25">
      <c r="A4" s="95" t="s">
        <v>1</v>
      </c>
      <c r="B4" s="1" t="s">
        <v>2</v>
      </c>
      <c r="C4" s="3"/>
      <c r="D4" s="3"/>
      <c r="E4" s="3"/>
      <c r="F4" s="1" t="s">
        <v>2</v>
      </c>
    </row>
    <row r="5" spans="1:6" x14ac:dyDescent="0.25">
      <c r="A5" s="95"/>
      <c r="B5" s="66">
        <v>45747</v>
      </c>
      <c r="C5" s="6"/>
      <c r="D5" s="30"/>
      <c r="E5" s="30"/>
      <c r="F5" s="66">
        <v>45777</v>
      </c>
    </row>
    <row r="6" spans="1:6" x14ac:dyDescent="0.25">
      <c r="A6" s="61" t="s">
        <v>155</v>
      </c>
      <c r="B6" s="10">
        <v>4</v>
      </c>
      <c r="C6" s="21"/>
      <c r="D6" s="74"/>
      <c r="E6" s="34"/>
      <c r="F6" s="63">
        <f t="shared" ref="F6:F8" si="0">SUM(B6:E6)</f>
        <v>4</v>
      </c>
    </row>
    <row r="7" spans="1:6" x14ac:dyDescent="0.25">
      <c r="A7" s="61" t="s">
        <v>156</v>
      </c>
      <c r="B7" s="10">
        <v>4</v>
      </c>
      <c r="C7" s="21"/>
      <c r="D7" s="74"/>
      <c r="E7" s="34"/>
      <c r="F7" s="63">
        <f t="shared" si="0"/>
        <v>4</v>
      </c>
    </row>
    <row r="8" spans="1:6" x14ac:dyDescent="0.25">
      <c r="A8" s="61" t="s">
        <v>115</v>
      </c>
      <c r="B8" s="10">
        <v>1</v>
      </c>
      <c r="C8" s="21"/>
      <c r="D8" s="74"/>
      <c r="E8" s="34"/>
      <c r="F8" s="63">
        <f t="shared" si="0"/>
        <v>1</v>
      </c>
    </row>
    <row r="9" spans="1:6" x14ac:dyDescent="0.25">
      <c r="A9" s="11" t="s">
        <v>20</v>
      </c>
      <c r="B9" s="25"/>
      <c r="C9" s="64"/>
      <c r="D9" s="23"/>
      <c r="E9" s="23"/>
      <c r="F9" s="65"/>
    </row>
    <row r="10" spans="1:6" x14ac:dyDescent="0.25">
      <c r="A10" s="11" t="s">
        <v>21</v>
      </c>
      <c r="B10" s="55"/>
      <c r="C10" s="17"/>
      <c r="D10" s="16"/>
      <c r="E10" s="24"/>
      <c r="F10" s="17">
        <f>SUM(B10:E10)</f>
        <v>0</v>
      </c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027E-87BA-4FF1-BEF2-0EFC5D0EA1D7}">
  <dimension ref="A1:E10"/>
  <sheetViews>
    <sheetView workbookViewId="0">
      <selection activeCell="C8" sqref="C8"/>
    </sheetView>
  </sheetViews>
  <sheetFormatPr baseColWidth="10" defaultRowHeight="15" x14ac:dyDescent="0.25"/>
  <cols>
    <col min="1" max="1" width="29.7109375" bestFit="1" customWidth="1"/>
  </cols>
  <sheetData>
    <row r="1" spans="1:5" ht="18.75" x14ac:dyDescent="0.3">
      <c r="A1" s="94" t="s">
        <v>157</v>
      </c>
      <c r="B1" s="94"/>
      <c r="C1" s="94"/>
      <c r="D1" s="94"/>
      <c r="E1" s="94"/>
    </row>
    <row r="2" spans="1:5" ht="18.75" x14ac:dyDescent="0.3">
      <c r="A2" s="94" t="s">
        <v>158</v>
      </c>
      <c r="B2" s="94"/>
      <c r="C2" s="94"/>
      <c r="D2" s="94"/>
      <c r="E2" s="94"/>
    </row>
    <row r="3" spans="1:5" ht="18.75" x14ac:dyDescent="0.3">
      <c r="A3" s="94" t="s">
        <v>22</v>
      </c>
      <c r="B3" s="94"/>
      <c r="C3" s="94"/>
      <c r="D3" s="94"/>
      <c r="E3" s="94"/>
    </row>
    <row r="4" spans="1:5" x14ac:dyDescent="0.25">
      <c r="A4" s="95" t="s">
        <v>1</v>
      </c>
      <c r="B4" s="10" t="s">
        <v>2</v>
      </c>
      <c r="C4" s="2">
        <v>11458</v>
      </c>
      <c r="D4" s="2"/>
      <c r="E4" s="1" t="s">
        <v>2</v>
      </c>
    </row>
    <row r="5" spans="1:5" x14ac:dyDescent="0.25">
      <c r="A5" s="95"/>
      <c r="B5" s="5">
        <v>45747</v>
      </c>
      <c r="C5" s="6">
        <v>45751</v>
      </c>
      <c r="D5" s="6"/>
      <c r="E5" s="5">
        <v>45777</v>
      </c>
    </row>
    <row r="6" spans="1:5" x14ac:dyDescent="0.25">
      <c r="A6" s="45" t="s">
        <v>114</v>
      </c>
      <c r="B6" s="1">
        <v>4</v>
      </c>
      <c r="C6" s="9">
        <v>-4</v>
      </c>
      <c r="D6" s="9"/>
      <c r="E6" s="8">
        <f t="shared" ref="E6:E8" si="0">SUM(B6:D6)</f>
        <v>0</v>
      </c>
    </row>
    <row r="7" spans="1:5" x14ac:dyDescent="0.25">
      <c r="A7" s="45" t="s">
        <v>144</v>
      </c>
      <c r="B7" s="1">
        <v>4</v>
      </c>
      <c r="C7" s="9">
        <v>-4</v>
      </c>
      <c r="D7" s="9"/>
      <c r="E7" s="8">
        <f t="shared" si="0"/>
        <v>0</v>
      </c>
    </row>
    <row r="8" spans="1:5" x14ac:dyDescent="0.25">
      <c r="A8" s="45" t="s">
        <v>18</v>
      </c>
      <c r="B8" s="1">
        <v>2</v>
      </c>
      <c r="C8" s="9">
        <v>-2</v>
      </c>
      <c r="D8" s="9"/>
      <c r="E8" s="8">
        <f t="shared" si="0"/>
        <v>0</v>
      </c>
    </row>
    <row r="9" spans="1:5" x14ac:dyDescent="0.25">
      <c r="A9" s="11" t="s">
        <v>6</v>
      </c>
      <c r="B9" s="75"/>
      <c r="C9" s="23">
        <v>9.7222222222222224E-2</v>
      </c>
      <c r="D9" s="23"/>
      <c r="E9" s="47"/>
    </row>
    <row r="10" spans="1:5" x14ac:dyDescent="0.25">
      <c r="A10" s="11" t="s">
        <v>21</v>
      </c>
      <c r="B10" s="50"/>
      <c r="C10" s="24">
        <v>7500</v>
      </c>
      <c r="D10" s="48"/>
      <c r="E10" s="47"/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681B-DE8A-4BAA-B6B9-62F121E58D64}">
  <dimension ref="A1:F18"/>
  <sheetViews>
    <sheetView workbookViewId="0">
      <selection activeCell="H9" sqref="H9"/>
    </sheetView>
  </sheetViews>
  <sheetFormatPr baseColWidth="10" defaultRowHeight="15" x14ac:dyDescent="0.25"/>
  <cols>
    <col min="1" max="1" width="30.5703125" bestFit="1" customWidth="1"/>
  </cols>
  <sheetData>
    <row r="1" spans="1:6" ht="18.75" x14ac:dyDescent="0.3">
      <c r="A1" s="86" t="s">
        <v>159</v>
      </c>
      <c r="B1" s="87"/>
      <c r="C1" s="87"/>
      <c r="D1" s="87"/>
      <c r="E1" s="87"/>
      <c r="F1" s="88"/>
    </row>
    <row r="2" spans="1:6" ht="18.75" x14ac:dyDescent="0.3">
      <c r="A2" s="86" t="s">
        <v>160</v>
      </c>
      <c r="B2" s="87"/>
      <c r="C2" s="87"/>
      <c r="D2" s="87"/>
      <c r="E2" s="87"/>
      <c r="F2" s="88"/>
    </row>
    <row r="3" spans="1:6" ht="18.75" x14ac:dyDescent="0.3">
      <c r="A3" s="86" t="s">
        <v>8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3" t="s">
        <v>2</v>
      </c>
      <c r="C4" s="2"/>
      <c r="D4" s="3"/>
      <c r="E4" s="3"/>
      <c r="F4" s="1" t="s">
        <v>3</v>
      </c>
    </row>
    <row r="5" spans="1:6" x14ac:dyDescent="0.25">
      <c r="A5" s="90"/>
      <c r="B5" s="6">
        <v>45747</v>
      </c>
      <c r="C5" s="6"/>
      <c r="D5" s="6"/>
      <c r="E5" s="6"/>
      <c r="F5" s="5">
        <v>45777</v>
      </c>
    </row>
    <row r="6" spans="1:6" x14ac:dyDescent="0.25">
      <c r="A6" s="7" t="s">
        <v>161</v>
      </c>
      <c r="B6" s="8">
        <v>8</v>
      </c>
      <c r="C6" s="9"/>
      <c r="D6" s="9"/>
      <c r="E6" s="9"/>
      <c r="F6" s="10">
        <f t="shared" ref="F6:F13" si="0">SUM(B6:E6)</f>
        <v>8</v>
      </c>
    </row>
    <row r="7" spans="1:6" x14ac:dyDescent="0.25">
      <c r="A7" s="7" t="s">
        <v>162</v>
      </c>
      <c r="B7" s="8">
        <v>8</v>
      </c>
      <c r="C7" s="9"/>
      <c r="D7" s="9"/>
      <c r="E7" s="9"/>
      <c r="F7" s="10">
        <f t="shared" si="0"/>
        <v>8</v>
      </c>
    </row>
    <row r="8" spans="1:6" x14ac:dyDescent="0.25">
      <c r="A8" s="7" t="s">
        <v>39</v>
      </c>
      <c r="B8" s="8">
        <v>6</v>
      </c>
      <c r="C8" s="9"/>
      <c r="D8" s="9"/>
      <c r="E8" s="9"/>
      <c r="F8" s="10">
        <f t="shared" si="0"/>
        <v>6</v>
      </c>
    </row>
    <row r="9" spans="1:6" x14ac:dyDescent="0.25">
      <c r="A9" s="7" t="s">
        <v>163</v>
      </c>
      <c r="B9" s="8">
        <v>13</v>
      </c>
      <c r="C9" s="9"/>
      <c r="D9" s="9"/>
      <c r="E9" s="9"/>
      <c r="F9" s="10">
        <f t="shared" si="0"/>
        <v>13</v>
      </c>
    </row>
    <row r="10" spans="1:6" x14ac:dyDescent="0.25">
      <c r="A10" s="7" t="s">
        <v>164</v>
      </c>
      <c r="B10" s="8">
        <v>6</v>
      </c>
      <c r="C10" s="9"/>
      <c r="D10" s="9"/>
      <c r="E10" s="9"/>
      <c r="F10" s="10">
        <f t="shared" si="0"/>
        <v>6</v>
      </c>
    </row>
    <row r="11" spans="1:6" x14ac:dyDescent="0.25">
      <c r="A11" s="7" t="s">
        <v>165</v>
      </c>
      <c r="B11" s="8">
        <v>11</v>
      </c>
      <c r="C11" s="9"/>
      <c r="D11" s="9"/>
      <c r="E11" s="9"/>
      <c r="F11" s="10">
        <f t="shared" si="0"/>
        <v>11</v>
      </c>
    </row>
    <row r="12" spans="1:6" x14ac:dyDescent="0.25">
      <c r="A12" s="7" t="s">
        <v>15</v>
      </c>
      <c r="B12" s="8">
        <v>40</v>
      </c>
      <c r="C12" s="9"/>
      <c r="D12" s="9"/>
      <c r="E12" s="9"/>
      <c r="F12" s="10">
        <f t="shared" si="0"/>
        <v>40</v>
      </c>
    </row>
    <row r="13" spans="1:6" x14ac:dyDescent="0.25">
      <c r="A13" s="7" t="s">
        <v>90</v>
      </c>
      <c r="B13" s="8">
        <v>50</v>
      </c>
      <c r="C13" s="9"/>
      <c r="D13" s="9"/>
      <c r="E13" s="9"/>
      <c r="F13" s="10">
        <f t="shared" si="0"/>
        <v>50</v>
      </c>
    </row>
    <row r="14" spans="1:6" x14ac:dyDescent="0.25">
      <c r="A14" s="7" t="s">
        <v>71</v>
      </c>
      <c r="B14" s="8">
        <v>8</v>
      </c>
      <c r="C14" s="9"/>
      <c r="D14" s="9"/>
      <c r="E14" s="9"/>
      <c r="F14" s="10">
        <v>8</v>
      </c>
    </row>
    <row r="15" spans="1:6" x14ac:dyDescent="0.25">
      <c r="A15" s="7"/>
      <c r="B15" s="8"/>
      <c r="C15" s="9"/>
      <c r="D15" s="9"/>
      <c r="E15" s="9"/>
      <c r="F15" s="10"/>
    </row>
    <row r="16" spans="1:6" x14ac:dyDescent="0.25">
      <c r="A16" s="11" t="s">
        <v>6</v>
      </c>
      <c r="B16" s="12"/>
      <c r="C16" s="13"/>
      <c r="D16" s="14"/>
      <c r="E16" s="14"/>
      <c r="F16" s="2"/>
    </row>
    <row r="17" spans="1:6" x14ac:dyDescent="0.25">
      <c r="A17" s="11" t="s">
        <v>7</v>
      </c>
      <c r="B17" s="15"/>
      <c r="C17" s="16"/>
      <c r="D17" s="16"/>
      <c r="E17" s="16"/>
      <c r="F17" s="17"/>
    </row>
    <row r="18" spans="1:6" x14ac:dyDescent="0.25">
      <c r="A18" s="76" t="s">
        <v>166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B8DF-1868-48B5-953F-662852885142}">
  <dimension ref="A1:F12"/>
  <sheetViews>
    <sheetView workbookViewId="0">
      <selection activeCell="G8" sqref="G8:H8"/>
    </sheetView>
  </sheetViews>
  <sheetFormatPr baseColWidth="10" defaultRowHeight="15" x14ac:dyDescent="0.25"/>
  <cols>
    <col min="1" max="1" width="29.7109375" bestFit="1" customWidth="1"/>
  </cols>
  <sheetData>
    <row r="1" spans="1:6" ht="18.75" x14ac:dyDescent="0.3">
      <c r="A1" s="86" t="s">
        <v>167</v>
      </c>
      <c r="B1" s="87"/>
      <c r="C1" s="87"/>
      <c r="D1" s="87"/>
      <c r="E1" s="87"/>
      <c r="F1" s="88"/>
    </row>
    <row r="2" spans="1:6" ht="18.75" x14ac:dyDescent="0.3">
      <c r="A2" s="86" t="s">
        <v>168</v>
      </c>
      <c r="B2" s="87"/>
      <c r="C2" s="87"/>
      <c r="D2" s="87"/>
      <c r="E2" s="87"/>
      <c r="F2" s="88"/>
    </row>
    <row r="3" spans="1:6" ht="18.75" x14ac:dyDescent="0.3">
      <c r="A3" s="86" t="s">
        <v>8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3" t="s">
        <v>2</v>
      </c>
      <c r="C4" s="2"/>
      <c r="D4" s="3"/>
      <c r="E4" s="3"/>
      <c r="F4" s="1" t="s">
        <v>3</v>
      </c>
    </row>
    <row r="5" spans="1:6" x14ac:dyDescent="0.25">
      <c r="A5" s="90"/>
      <c r="B5" s="6">
        <v>45747</v>
      </c>
      <c r="C5" s="6"/>
      <c r="D5" s="6"/>
      <c r="E5" s="6"/>
      <c r="F5" s="5">
        <v>45777</v>
      </c>
    </row>
    <row r="6" spans="1:6" x14ac:dyDescent="0.25">
      <c r="A6" s="7" t="s">
        <v>114</v>
      </c>
      <c r="B6" s="8">
        <v>2</v>
      </c>
      <c r="C6" s="9"/>
      <c r="D6" s="9"/>
      <c r="E6" s="9"/>
      <c r="F6" s="10">
        <f>SUM(B6:E6)</f>
        <v>2</v>
      </c>
    </row>
    <row r="7" spans="1:6" x14ac:dyDescent="0.25">
      <c r="A7" s="7" t="s">
        <v>100</v>
      </c>
      <c r="B7" s="8">
        <v>2</v>
      </c>
      <c r="C7" s="9"/>
      <c r="D7" s="9"/>
      <c r="E7" s="9"/>
      <c r="F7" s="10">
        <f>SUM(B7:E7)</f>
        <v>2</v>
      </c>
    </row>
    <row r="8" spans="1:6" x14ac:dyDescent="0.25">
      <c r="A8" s="7" t="s">
        <v>169</v>
      </c>
      <c r="B8" s="8">
        <v>1</v>
      </c>
      <c r="C8" s="9"/>
      <c r="D8" s="9"/>
      <c r="E8" s="9"/>
      <c r="F8" s="10">
        <f>SUM(B8:E8)</f>
        <v>1</v>
      </c>
    </row>
    <row r="9" spans="1:6" x14ac:dyDescent="0.25">
      <c r="A9" s="7" t="s">
        <v>122</v>
      </c>
      <c r="B9" s="8">
        <v>1</v>
      </c>
      <c r="C9" s="9"/>
      <c r="D9" s="9"/>
      <c r="E9" s="9"/>
      <c r="F9" s="10">
        <f>SUM(B9:E9)</f>
        <v>1</v>
      </c>
    </row>
    <row r="10" spans="1:6" x14ac:dyDescent="0.25">
      <c r="A10" s="11" t="s">
        <v>6</v>
      </c>
      <c r="B10" s="64">
        <v>0.47916666666666669</v>
      </c>
      <c r="C10" s="13"/>
      <c r="D10" s="14"/>
      <c r="E10" s="14"/>
      <c r="F10" s="2"/>
    </row>
    <row r="11" spans="1:6" x14ac:dyDescent="0.25">
      <c r="A11" s="11" t="s">
        <v>7</v>
      </c>
      <c r="B11" s="16" t="s">
        <v>170</v>
      </c>
      <c r="C11" s="13"/>
      <c r="D11" s="13"/>
      <c r="E11" s="16"/>
      <c r="F11" s="17"/>
    </row>
    <row r="12" spans="1:6" x14ac:dyDescent="0.25">
      <c r="B12" s="44" t="s">
        <v>147</v>
      </c>
      <c r="C12" s="44"/>
      <c r="D12" s="44"/>
      <c r="E12" s="44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7570-2230-4AE4-9772-60344B5DD418}">
  <dimension ref="A1:F11"/>
  <sheetViews>
    <sheetView workbookViewId="0">
      <selection activeCell="O16" sqref="O16"/>
    </sheetView>
  </sheetViews>
  <sheetFormatPr baseColWidth="10" defaultRowHeight="15" x14ac:dyDescent="0.25"/>
  <cols>
    <col min="1" max="1" width="24.5703125" bestFit="1" customWidth="1"/>
  </cols>
  <sheetData>
    <row r="1" spans="1:6" ht="18.75" x14ac:dyDescent="0.3">
      <c r="A1" s="86" t="s">
        <v>32</v>
      </c>
      <c r="B1" s="87"/>
      <c r="C1" s="87"/>
      <c r="D1" s="87"/>
      <c r="E1" s="87"/>
      <c r="F1" s="88"/>
    </row>
    <row r="2" spans="1:6" ht="18.75" x14ac:dyDescent="0.3">
      <c r="A2" s="86" t="s">
        <v>33</v>
      </c>
      <c r="B2" s="87"/>
      <c r="C2" s="87"/>
      <c r="D2" s="87"/>
      <c r="E2" s="87"/>
      <c r="F2" s="88"/>
    </row>
    <row r="3" spans="1:6" ht="18.75" x14ac:dyDescent="0.3">
      <c r="A3" s="86" t="s">
        <v>8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1" t="s">
        <v>2</v>
      </c>
      <c r="C4" s="2"/>
      <c r="D4" s="3"/>
      <c r="E4" s="3"/>
      <c r="F4" s="1" t="s">
        <v>3</v>
      </c>
    </row>
    <row r="5" spans="1:6" x14ac:dyDescent="0.25">
      <c r="A5" s="90"/>
      <c r="B5" s="5">
        <v>45747</v>
      </c>
      <c r="C5" s="6"/>
      <c r="D5" s="6"/>
      <c r="E5" s="6"/>
      <c r="F5" s="5">
        <v>45777</v>
      </c>
    </row>
    <row r="6" spans="1:6" x14ac:dyDescent="0.25">
      <c r="A6" s="7" t="s">
        <v>34</v>
      </c>
      <c r="B6" s="8">
        <v>8</v>
      </c>
      <c r="C6" s="9"/>
      <c r="D6" s="9"/>
      <c r="E6" s="9"/>
      <c r="F6" s="10">
        <f>SUM(B6:E6)</f>
        <v>8</v>
      </c>
    </row>
    <row r="7" spans="1:6" x14ac:dyDescent="0.25">
      <c r="A7" s="7" t="s">
        <v>35</v>
      </c>
      <c r="B7" s="8">
        <v>4</v>
      </c>
      <c r="C7" s="9"/>
      <c r="D7" s="9"/>
      <c r="E7" s="9"/>
      <c r="F7" s="10">
        <f>SUM(B7:E7)</f>
        <v>4</v>
      </c>
    </row>
    <row r="8" spans="1:6" x14ac:dyDescent="0.25">
      <c r="A8" s="7" t="s">
        <v>18</v>
      </c>
      <c r="B8" s="8">
        <v>10</v>
      </c>
      <c r="C8" s="9"/>
      <c r="D8" s="9"/>
      <c r="E8" s="9"/>
      <c r="F8" s="10">
        <f>SUM(B8:E8)</f>
        <v>10</v>
      </c>
    </row>
    <row r="9" spans="1:6" x14ac:dyDescent="0.25">
      <c r="A9" s="7" t="s">
        <v>36</v>
      </c>
      <c r="B9" s="8">
        <v>4</v>
      </c>
      <c r="C9" s="9"/>
      <c r="D9" s="9"/>
      <c r="E9" s="9"/>
      <c r="F9" s="10">
        <f>SUM(B9:E9)</f>
        <v>4</v>
      </c>
    </row>
    <row r="10" spans="1:6" x14ac:dyDescent="0.25">
      <c r="A10" s="11" t="s">
        <v>6</v>
      </c>
      <c r="B10" s="27">
        <v>0.3125</v>
      </c>
      <c r="C10" s="13"/>
      <c r="D10" s="14"/>
      <c r="E10" s="14"/>
      <c r="F10" s="2"/>
    </row>
    <row r="11" spans="1:6" x14ac:dyDescent="0.25">
      <c r="A11" s="11" t="s">
        <v>7</v>
      </c>
      <c r="B11" s="15">
        <v>150000</v>
      </c>
      <c r="C11" s="13"/>
      <c r="D11" s="16"/>
      <c r="E11" s="16"/>
      <c r="F11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DA40-090D-4629-A270-D62AA890B1F5}">
  <sheetPr>
    <pageSetUpPr fitToPage="1"/>
  </sheetPr>
  <dimension ref="A1:H24"/>
  <sheetViews>
    <sheetView topLeftCell="A8" workbookViewId="0">
      <selection sqref="A1:H24"/>
    </sheetView>
  </sheetViews>
  <sheetFormatPr baseColWidth="10" defaultRowHeight="15" x14ac:dyDescent="0.25"/>
  <cols>
    <col min="1" max="1" width="28.7109375" bestFit="1" customWidth="1"/>
  </cols>
  <sheetData>
    <row r="1" spans="1:8" ht="18.75" x14ac:dyDescent="0.3">
      <c r="A1" s="91" t="s">
        <v>171</v>
      </c>
      <c r="B1" s="92"/>
      <c r="C1" s="92"/>
      <c r="D1" s="92"/>
      <c r="E1" s="92"/>
      <c r="F1" s="92"/>
      <c r="G1" s="92"/>
      <c r="H1" s="92"/>
    </row>
    <row r="2" spans="1:8" ht="18.75" x14ac:dyDescent="0.3">
      <c r="A2" s="93" t="s">
        <v>198</v>
      </c>
      <c r="B2" s="87"/>
      <c r="C2" s="87"/>
      <c r="D2" s="87"/>
      <c r="E2" s="87"/>
      <c r="F2" s="87"/>
      <c r="G2" s="87"/>
      <c r="H2" s="87"/>
    </row>
    <row r="3" spans="1:8" ht="18.75" x14ac:dyDescent="0.3">
      <c r="A3" s="93" t="s">
        <v>22</v>
      </c>
      <c r="B3" s="87"/>
      <c r="C3" s="87"/>
      <c r="D3" s="87"/>
      <c r="E3" s="87"/>
      <c r="F3" s="87"/>
      <c r="G3" s="87"/>
      <c r="H3" s="87"/>
    </row>
    <row r="4" spans="1:8" x14ac:dyDescent="0.25">
      <c r="A4" s="101" t="s">
        <v>1</v>
      </c>
      <c r="B4" s="1" t="s">
        <v>2</v>
      </c>
      <c r="C4" s="3">
        <v>12652</v>
      </c>
      <c r="D4" s="3">
        <v>12653</v>
      </c>
      <c r="E4" s="28">
        <v>12671</v>
      </c>
      <c r="F4" s="28"/>
      <c r="G4" s="28"/>
      <c r="H4" s="29" t="s">
        <v>2</v>
      </c>
    </row>
    <row r="5" spans="1:8" x14ac:dyDescent="0.25">
      <c r="A5" s="101"/>
      <c r="B5" s="5">
        <v>45747</v>
      </c>
      <c r="C5" s="6">
        <v>45757</v>
      </c>
      <c r="D5" s="30">
        <v>45757</v>
      </c>
      <c r="E5" s="31">
        <v>45769</v>
      </c>
      <c r="F5" s="31"/>
      <c r="G5" s="31"/>
      <c r="H5" s="32">
        <v>45777</v>
      </c>
    </row>
    <row r="6" spans="1:8" x14ac:dyDescent="0.25">
      <c r="A6" s="33" t="s">
        <v>125</v>
      </c>
      <c r="B6" s="1">
        <v>8</v>
      </c>
      <c r="C6" s="9"/>
      <c r="D6" s="34"/>
      <c r="E6" s="35"/>
      <c r="F6" s="35"/>
      <c r="G6" s="35"/>
      <c r="H6" s="36">
        <f>SUM(B6:G6)</f>
        <v>8</v>
      </c>
    </row>
    <row r="7" spans="1:8" x14ac:dyDescent="0.25">
      <c r="A7" s="33" t="s">
        <v>172</v>
      </c>
      <c r="B7" s="1">
        <v>8</v>
      </c>
      <c r="C7" s="9"/>
      <c r="D7" s="34"/>
      <c r="E7" s="35"/>
      <c r="F7" s="35"/>
      <c r="G7" s="35"/>
      <c r="H7" s="36">
        <f t="shared" ref="H7:H21" si="0">SUM(B7:G7)</f>
        <v>8</v>
      </c>
    </row>
    <row r="8" spans="1:8" x14ac:dyDescent="0.25">
      <c r="A8" s="33" t="s">
        <v>173</v>
      </c>
      <c r="B8" s="1">
        <v>4</v>
      </c>
      <c r="C8" s="9"/>
      <c r="D8" s="34"/>
      <c r="E8" s="35"/>
      <c r="F8" s="35"/>
      <c r="G8" s="35"/>
      <c r="H8" s="36">
        <f t="shared" si="0"/>
        <v>4</v>
      </c>
    </row>
    <row r="9" spans="1:8" x14ac:dyDescent="0.25">
      <c r="A9" s="33" t="s">
        <v>161</v>
      </c>
      <c r="B9" s="1">
        <v>4</v>
      </c>
      <c r="C9" s="9"/>
      <c r="D9" s="34">
        <v>-2</v>
      </c>
      <c r="E9" s="35">
        <v>10</v>
      </c>
      <c r="F9" s="35"/>
      <c r="G9" s="35"/>
      <c r="H9" s="36">
        <f t="shared" si="0"/>
        <v>12</v>
      </c>
    </row>
    <row r="10" spans="1:8" x14ac:dyDescent="0.25">
      <c r="A10" s="33" t="s">
        <v>39</v>
      </c>
      <c r="B10" s="1"/>
      <c r="C10" s="9"/>
      <c r="D10" s="34">
        <v>4</v>
      </c>
      <c r="E10" s="35"/>
      <c r="F10" s="35"/>
      <c r="G10" s="35"/>
      <c r="H10" s="36">
        <f>SUM(B10:G10)</f>
        <v>4</v>
      </c>
    </row>
    <row r="11" spans="1:8" x14ac:dyDescent="0.25">
      <c r="A11" s="33" t="s">
        <v>15</v>
      </c>
      <c r="B11" s="1">
        <v>6</v>
      </c>
      <c r="C11" s="9"/>
      <c r="D11" s="34"/>
      <c r="E11" s="35">
        <v>13</v>
      </c>
      <c r="F11" s="35"/>
      <c r="G11" s="35"/>
      <c r="H11" s="36">
        <f t="shared" si="0"/>
        <v>19</v>
      </c>
    </row>
    <row r="12" spans="1:8" x14ac:dyDescent="0.25">
      <c r="A12" s="33" t="s">
        <v>28</v>
      </c>
      <c r="B12" s="1"/>
      <c r="C12" s="9">
        <v>4</v>
      </c>
      <c r="D12" s="34"/>
      <c r="E12" s="35"/>
      <c r="F12" s="35"/>
      <c r="G12" s="35"/>
      <c r="H12" s="36">
        <f t="shared" si="0"/>
        <v>4</v>
      </c>
    </row>
    <row r="13" spans="1:8" x14ac:dyDescent="0.25">
      <c r="A13" s="33" t="s">
        <v>11</v>
      </c>
      <c r="B13" s="1"/>
      <c r="C13" s="9">
        <v>36</v>
      </c>
      <c r="D13" s="34"/>
      <c r="E13" s="35"/>
      <c r="F13" s="35"/>
      <c r="G13" s="35"/>
      <c r="H13" s="36">
        <f t="shared" si="0"/>
        <v>36</v>
      </c>
    </row>
    <row r="14" spans="1:8" x14ac:dyDescent="0.25">
      <c r="A14" s="33" t="s">
        <v>72</v>
      </c>
      <c r="B14" s="1"/>
      <c r="C14" s="9">
        <v>3</v>
      </c>
      <c r="D14" s="34"/>
      <c r="E14" s="35"/>
      <c r="F14" s="35"/>
      <c r="G14" s="35"/>
      <c r="H14" s="36">
        <f t="shared" si="0"/>
        <v>3</v>
      </c>
    </row>
    <row r="15" spans="1:8" x14ac:dyDescent="0.25">
      <c r="A15" s="33" t="s">
        <v>161</v>
      </c>
      <c r="B15" s="1"/>
      <c r="C15" s="9">
        <v>2</v>
      </c>
      <c r="D15" s="34"/>
      <c r="E15" s="35"/>
      <c r="F15" s="35"/>
      <c r="G15" s="35"/>
      <c r="H15" s="36">
        <f t="shared" si="0"/>
        <v>2</v>
      </c>
    </row>
    <row r="16" spans="1:8" x14ac:dyDescent="0.25">
      <c r="A16" s="33" t="s">
        <v>199</v>
      </c>
      <c r="B16" s="1"/>
      <c r="C16" s="9">
        <v>2</v>
      </c>
      <c r="D16" s="34"/>
      <c r="E16" s="35"/>
      <c r="F16" s="35"/>
      <c r="G16" s="35"/>
      <c r="H16" s="36">
        <f t="shared" si="0"/>
        <v>2</v>
      </c>
    </row>
    <row r="17" spans="1:8" x14ac:dyDescent="0.25">
      <c r="A17" s="33" t="s">
        <v>13</v>
      </c>
      <c r="B17" s="1"/>
      <c r="C17" s="9">
        <v>15</v>
      </c>
      <c r="D17" s="34"/>
      <c r="E17" s="35"/>
      <c r="F17" s="35"/>
      <c r="G17" s="35"/>
      <c r="H17" s="36">
        <f t="shared" si="0"/>
        <v>15</v>
      </c>
    </row>
    <row r="18" spans="1:8" x14ac:dyDescent="0.25">
      <c r="A18" s="33" t="s">
        <v>59</v>
      </c>
      <c r="B18" s="1"/>
      <c r="C18" s="9">
        <v>24</v>
      </c>
      <c r="D18" s="34"/>
      <c r="E18" s="35"/>
      <c r="F18" s="35"/>
      <c r="G18" s="35"/>
      <c r="H18" s="36">
        <f t="shared" si="0"/>
        <v>24</v>
      </c>
    </row>
    <row r="19" spans="1:8" x14ac:dyDescent="0.25">
      <c r="A19" s="33" t="s">
        <v>90</v>
      </c>
      <c r="B19" s="1"/>
      <c r="C19" s="9">
        <v>400</v>
      </c>
      <c r="D19" s="34"/>
      <c r="E19" s="35"/>
      <c r="F19" s="35"/>
      <c r="G19" s="35"/>
      <c r="H19" s="36">
        <f t="shared" si="0"/>
        <v>400</v>
      </c>
    </row>
    <row r="20" spans="1:8" x14ac:dyDescent="0.25">
      <c r="A20" s="33" t="s">
        <v>75</v>
      </c>
      <c r="B20" s="1"/>
      <c r="C20" s="9">
        <v>35</v>
      </c>
      <c r="D20" s="34"/>
      <c r="E20" s="35"/>
      <c r="F20" s="35"/>
      <c r="G20" s="35"/>
      <c r="H20" s="36">
        <f t="shared" si="0"/>
        <v>35</v>
      </c>
    </row>
    <row r="21" spans="1:8" x14ac:dyDescent="0.25">
      <c r="A21" s="33" t="s">
        <v>200</v>
      </c>
      <c r="B21" s="1"/>
      <c r="C21" s="9">
        <v>3</v>
      </c>
      <c r="D21" s="34"/>
      <c r="E21" s="35"/>
      <c r="F21" s="35"/>
      <c r="G21" s="35"/>
      <c r="H21" s="36">
        <f t="shared" si="0"/>
        <v>3</v>
      </c>
    </row>
    <row r="22" spans="1:8" x14ac:dyDescent="0.25">
      <c r="A22" s="33"/>
      <c r="B22" s="1"/>
      <c r="C22" s="9"/>
      <c r="D22" s="34"/>
      <c r="E22" s="35"/>
      <c r="F22" s="35"/>
      <c r="G22" s="35"/>
      <c r="H22" s="36"/>
    </row>
    <row r="23" spans="1:8" x14ac:dyDescent="0.25">
      <c r="A23" s="37" t="s">
        <v>174</v>
      </c>
      <c r="B23" s="25"/>
      <c r="C23" s="23">
        <v>0.47916666666666669</v>
      </c>
      <c r="D23" s="23">
        <v>8.3333333333333329E-2</v>
      </c>
      <c r="E23" s="38">
        <v>0.39583333333333331</v>
      </c>
      <c r="F23" s="38"/>
      <c r="G23" s="38"/>
      <c r="H23" s="39"/>
    </row>
    <row r="24" spans="1:8" ht="15.75" thickBot="1" x14ac:dyDescent="0.3">
      <c r="A24" s="40" t="s">
        <v>7</v>
      </c>
      <c r="B24" s="41"/>
      <c r="C24" s="42">
        <v>20000</v>
      </c>
      <c r="D24" s="42"/>
      <c r="E24" s="42">
        <v>20000</v>
      </c>
      <c r="F24" s="42"/>
      <c r="G24" s="42"/>
      <c r="H24" s="42">
        <f>SUM(B24:G24)</f>
        <v>40000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  <pageSetup paperSize="9" scale="81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F98C-F59A-4468-A19A-424A5DCC0A2A}">
  <dimension ref="A1:H11"/>
  <sheetViews>
    <sheetView workbookViewId="0">
      <selection sqref="A1:H11"/>
    </sheetView>
  </sheetViews>
  <sheetFormatPr baseColWidth="10" defaultRowHeight="15" x14ac:dyDescent="0.25"/>
  <cols>
    <col min="1" max="1" width="28.7109375" bestFit="1" customWidth="1"/>
  </cols>
  <sheetData>
    <row r="1" spans="1:8" ht="18.75" x14ac:dyDescent="0.3">
      <c r="A1" s="91" t="s">
        <v>217</v>
      </c>
      <c r="B1" s="92"/>
      <c r="C1" s="92"/>
      <c r="D1" s="92"/>
      <c r="E1" s="92"/>
      <c r="F1" s="92"/>
      <c r="G1" s="92"/>
      <c r="H1" s="92"/>
    </row>
    <row r="2" spans="1:8" ht="18.75" x14ac:dyDescent="0.3">
      <c r="A2" s="93" t="s">
        <v>218</v>
      </c>
      <c r="B2" s="87"/>
      <c r="C2" s="87"/>
      <c r="D2" s="87"/>
      <c r="E2" s="87"/>
      <c r="F2" s="87"/>
      <c r="G2" s="87"/>
      <c r="H2" s="87"/>
    </row>
    <row r="3" spans="1:8" ht="18.75" x14ac:dyDescent="0.3">
      <c r="A3" s="93" t="s">
        <v>22</v>
      </c>
      <c r="B3" s="87"/>
      <c r="C3" s="87"/>
      <c r="D3" s="87"/>
      <c r="E3" s="87"/>
      <c r="F3" s="87"/>
      <c r="G3" s="87"/>
      <c r="H3" s="87"/>
    </row>
    <row r="4" spans="1:8" x14ac:dyDescent="0.25">
      <c r="A4" s="102" t="s">
        <v>1</v>
      </c>
      <c r="B4" s="3">
        <v>12670</v>
      </c>
      <c r="C4" s="3"/>
      <c r="D4" s="3"/>
      <c r="E4" s="28"/>
      <c r="F4" s="28"/>
      <c r="G4" s="28"/>
      <c r="H4" s="29" t="s">
        <v>2</v>
      </c>
    </row>
    <row r="5" spans="1:8" x14ac:dyDescent="0.25">
      <c r="A5" s="103"/>
      <c r="B5" s="6">
        <v>45769</v>
      </c>
      <c r="C5" s="6"/>
      <c r="D5" s="30"/>
      <c r="E5" s="31"/>
      <c r="F5" s="31"/>
      <c r="G5" s="31"/>
      <c r="H5" s="32">
        <v>45777</v>
      </c>
    </row>
    <row r="6" spans="1:8" x14ac:dyDescent="0.25">
      <c r="A6" s="33" t="s">
        <v>161</v>
      </c>
      <c r="B6" s="1">
        <v>33</v>
      </c>
      <c r="C6" s="9"/>
      <c r="D6" s="34"/>
      <c r="E6" s="35"/>
      <c r="F6" s="35"/>
      <c r="G6" s="35"/>
      <c r="H6" s="36">
        <f t="shared" ref="H6:H8" si="0">SUM(B6:G6)</f>
        <v>33</v>
      </c>
    </row>
    <row r="7" spans="1:8" x14ac:dyDescent="0.25">
      <c r="A7" s="33" t="s">
        <v>15</v>
      </c>
      <c r="B7" s="1">
        <v>67</v>
      </c>
      <c r="C7" s="9"/>
      <c r="D7" s="34"/>
      <c r="E7" s="35"/>
      <c r="F7" s="35"/>
      <c r="G7" s="35"/>
      <c r="H7" s="36">
        <f>SUM(B7:G7)</f>
        <v>67</v>
      </c>
    </row>
    <row r="8" spans="1:8" x14ac:dyDescent="0.25">
      <c r="A8" s="33" t="s">
        <v>31</v>
      </c>
      <c r="B8" s="1">
        <v>2</v>
      </c>
      <c r="C8" s="9"/>
      <c r="D8" s="34"/>
      <c r="E8" s="35"/>
      <c r="F8" s="35"/>
      <c r="G8" s="35"/>
      <c r="H8" s="36">
        <f t="shared" si="0"/>
        <v>2</v>
      </c>
    </row>
    <row r="9" spans="1:8" x14ac:dyDescent="0.25">
      <c r="A9" s="33"/>
      <c r="B9" s="1"/>
      <c r="C9" s="9"/>
      <c r="D9" s="34"/>
      <c r="E9" s="35"/>
      <c r="F9" s="35"/>
      <c r="G9" s="35"/>
      <c r="H9" s="36"/>
    </row>
    <row r="10" spans="1:8" x14ac:dyDescent="0.25">
      <c r="A10" s="37" t="s">
        <v>174</v>
      </c>
      <c r="B10" s="13">
        <v>0.33333333333333331</v>
      </c>
      <c r="C10" s="23"/>
      <c r="D10" s="23"/>
      <c r="E10" s="38"/>
      <c r="F10" s="38"/>
      <c r="G10" s="38"/>
      <c r="H10" s="39"/>
    </row>
    <row r="11" spans="1:8" ht="15.75" thickBot="1" x14ac:dyDescent="0.3">
      <c r="A11" s="40" t="s">
        <v>7</v>
      </c>
      <c r="B11" s="42">
        <v>50000</v>
      </c>
      <c r="C11" s="42"/>
      <c r="D11" s="42"/>
      <c r="E11" s="42"/>
      <c r="F11" s="42"/>
      <c r="G11" s="42"/>
      <c r="H11" s="42">
        <f>SUM(B11:G11)</f>
        <v>50000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C56A-7A96-448C-A6C9-790D0B1D6F35}">
  <dimension ref="A1:H13"/>
  <sheetViews>
    <sheetView tabSelected="1" workbookViewId="0">
      <selection activeCell="A11" sqref="A11:XFD11"/>
    </sheetView>
  </sheetViews>
  <sheetFormatPr baseColWidth="10" defaultRowHeight="15" x14ac:dyDescent="0.25"/>
  <cols>
    <col min="1" max="1" width="28.28515625" bestFit="1" customWidth="1"/>
  </cols>
  <sheetData>
    <row r="1" spans="1:8" ht="18.75" x14ac:dyDescent="0.3">
      <c r="A1" s="91" t="s">
        <v>219</v>
      </c>
      <c r="B1" s="92"/>
      <c r="C1" s="92"/>
      <c r="D1" s="92"/>
      <c r="E1" s="92"/>
      <c r="F1" s="92"/>
      <c r="G1" s="92"/>
      <c r="H1" s="92"/>
    </row>
    <row r="2" spans="1:8" ht="18.75" x14ac:dyDescent="0.3">
      <c r="A2" s="93" t="s">
        <v>220</v>
      </c>
      <c r="B2" s="87"/>
      <c r="C2" s="87"/>
      <c r="D2" s="87"/>
      <c r="E2" s="87"/>
      <c r="F2" s="87"/>
      <c r="G2" s="87"/>
      <c r="H2" s="87"/>
    </row>
    <row r="3" spans="1:8" ht="18.75" x14ac:dyDescent="0.3">
      <c r="A3" s="93" t="s">
        <v>22</v>
      </c>
      <c r="B3" s="87"/>
      <c r="C3" s="87"/>
      <c r="D3" s="87"/>
      <c r="E3" s="87"/>
      <c r="F3" s="87"/>
      <c r="G3" s="87"/>
      <c r="H3" s="87"/>
    </row>
    <row r="4" spans="1:8" x14ac:dyDescent="0.25">
      <c r="A4" s="102" t="s">
        <v>1</v>
      </c>
      <c r="B4" s="3">
        <v>12670</v>
      </c>
      <c r="C4" s="3"/>
      <c r="D4" s="3"/>
      <c r="E4" s="28"/>
      <c r="F4" s="28"/>
      <c r="G4" s="28"/>
      <c r="H4" s="29" t="s">
        <v>2</v>
      </c>
    </row>
    <row r="5" spans="1:8" x14ac:dyDescent="0.25">
      <c r="A5" s="103"/>
      <c r="B5" s="6">
        <v>45769</v>
      </c>
      <c r="C5" s="6"/>
      <c r="D5" s="30"/>
      <c r="E5" s="31"/>
      <c r="F5" s="31"/>
      <c r="G5" s="31"/>
      <c r="H5" s="32">
        <v>45777</v>
      </c>
    </row>
    <row r="6" spans="1:8" x14ac:dyDescent="0.25">
      <c r="A6" s="33" t="s">
        <v>221</v>
      </c>
      <c r="B6" s="1">
        <v>33</v>
      </c>
      <c r="C6" s="9"/>
      <c r="D6" s="34"/>
      <c r="E6" s="35"/>
      <c r="F6" s="35"/>
      <c r="G6" s="35"/>
      <c r="H6" s="36">
        <f t="shared" ref="H6:H8" si="0">SUM(B6:G6)</f>
        <v>33</v>
      </c>
    </row>
    <row r="7" spans="1:8" x14ac:dyDescent="0.25">
      <c r="A7" s="33" t="s">
        <v>222</v>
      </c>
      <c r="B7" s="1">
        <v>67</v>
      </c>
      <c r="C7" s="9"/>
      <c r="D7" s="34"/>
      <c r="E7" s="35"/>
      <c r="F7" s="35"/>
      <c r="G7" s="35"/>
      <c r="H7" s="36">
        <f>SUM(B7:G7)</f>
        <v>67</v>
      </c>
    </row>
    <row r="8" spans="1:8" x14ac:dyDescent="0.25">
      <c r="A8" s="33" t="s">
        <v>13</v>
      </c>
      <c r="B8" s="1">
        <v>32</v>
      </c>
      <c r="C8" s="9"/>
      <c r="D8" s="34"/>
      <c r="E8" s="35"/>
      <c r="F8" s="35"/>
      <c r="G8" s="35"/>
      <c r="H8" s="36">
        <f t="shared" si="0"/>
        <v>32</v>
      </c>
    </row>
    <row r="9" spans="1:8" x14ac:dyDescent="0.25">
      <c r="A9" s="33" t="s">
        <v>90</v>
      </c>
      <c r="B9" s="1">
        <v>250</v>
      </c>
      <c r="C9" s="9"/>
      <c r="D9" s="34"/>
      <c r="E9" s="35"/>
      <c r="F9" s="35"/>
      <c r="G9" s="35"/>
      <c r="H9" s="36"/>
    </row>
    <row r="10" spans="1:8" x14ac:dyDescent="0.25">
      <c r="A10" s="33" t="s">
        <v>15</v>
      </c>
      <c r="B10" s="1">
        <v>12</v>
      </c>
      <c r="C10" s="9"/>
      <c r="D10" s="34"/>
      <c r="E10" s="35"/>
      <c r="F10" s="35"/>
      <c r="G10" s="35"/>
      <c r="H10" s="36"/>
    </row>
    <row r="11" spans="1:8" x14ac:dyDescent="0.25">
      <c r="A11" s="33"/>
      <c r="B11" s="1"/>
      <c r="C11" s="9"/>
      <c r="D11" s="34"/>
      <c r="E11" s="35"/>
      <c r="F11" s="35"/>
      <c r="G11" s="35"/>
      <c r="H11" s="36"/>
    </row>
    <row r="12" spans="1:8" x14ac:dyDescent="0.25">
      <c r="A12" s="37" t="s">
        <v>174</v>
      </c>
      <c r="B12" s="13">
        <v>0.33333333333333331</v>
      </c>
      <c r="C12" s="23"/>
      <c r="D12" s="23"/>
      <c r="E12" s="38"/>
      <c r="F12" s="38"/>
      <c r="G12" s="38"/>
      <c r="H12" s="39"/>
    </row>
    <row r="13" spans="1:8" ht="15.75" thickBot="1" x14ac:dyDescent="0.3">
      <c r="A13" s="40" t="s">
        <v>7</v>
      </c>
      <c r="B13" s="42">
        <v>50000</v>
      </c>
      <c r="C13" s="42"/>
      <c r="D13" s="42"/>
      <c r="E13" s="42"/>
      <c r="F13" s="42"/>
      <c r="G13" s="42"/>
      <c r="H13" s="42">
        <f>SUM(B13:G13)</f>
        <v>50000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D330-EA73-4557-A0CF-01D0177D4C6F}">
  <dimension ref="A1:G18"/>
  <sheetViews>
    <sheetView topLeftCell="A3" workbookViewId="0">
      <selection activeCell="I12" sqref="I12"/>
    </sheetView>
  </sheetViews>
  <sheetFormatPr baseColWidth="10" defaultRowHeight="15" x14ac:dyDescent="0.25"/>
  <cols>
    <col min="1" max="1" width="24.5703125" customWidth="1"/>
    <col min="7" max="7" width="15.85546875" customWidth="1"/>
  </cols>
  <sheetData>
    <row r="1" spans="1:7" ht="18.75" x14ac:dyDescent="0.3">
      <c r="A1" s="91" t="s">
        <v>37</v>
      </c>
      <c r="B1" s="92"/>
      <c r="C1" s="92"/>
      <c r="D1" s="92"/>
      <c r="E1" s="92"/>
      <c r="F1" s="92"/>
      <c r="G1" s="92"/>
    </row>
    <row r="2" spans="1:7" ht="18.75" x14ac:dyDescent="0.3">
      <c r="A2" s="93" t="s">
        <v>38</v>
      </c>
      <c r="B2" s="87"/>
      <c r="C2" s="87"/>
      <c r="D2" s="87"/>
      <c r="E2" s="87"/>
      <c r="F2" s="87"/>
      <c r="G2" s="87"/>
    </row>
    <row r="3" spans="1:7" ht="18.75" x14ac:dyDescent="0.3">
      <c r="A3" s="93" t="s">
        <v>22</v>
      </c>
      <c r="B3" s="87"/>
      <c r="C3" s="87"/>
      <c r="D3" s="87"/>
      <c r="E3" s="87"/>
      <c r="F3" s="87"/>
      <c r="G3" s="87"/>
    </row>
    <row r="4" spans="1:7" x14ac:dyDescent="0.25">
      <c r="A4" s="102" t="s">
        <v>1</v>
      </c>
      <c r="B4" s="1" t="s">
        <v>2</v>
      </c>
      <c r="C4" s="3"/>
      <c r="D4" s="3"/>
      <c r="E4" s="28"/>
      <c r="F4" s="28"/>
      <c r="G4" s="29" t="s">
        <v>2</v>
      </c>
    </row>
    <row r="5" spans="1:7" x14ac:dyDescent="0.25">
      <c r="A5" s="103"/>
      <c r="B5" s="5">
        <v>45747</v>
      </c>
      <c r="C5" s="6"/>
      <c r="D5" s="30"/>
      <c r="E5" s="31"/>
      <c r="F5" s="31"/>
      <c r="G5" s="32">
        <v>45777</v>
      </c>
    </row>
    <row r="6" spans="1:7" x14ac:dyDescent="0.25">
      <c r="A6" s="33" t="s">
        <v>40</v>
      </c>
      <c r="B6" s="1">
        <v>20</v>
      </c>
      <c r="C6" s="9"/>
      <c r="D6" s="34"/>
      <c r="E6" s="35"/>
      <c r="F6" s="35"/>
      <c r="G6" s="36">
        <f>SUM(B6:F6)</f>
        <v>20</v>
      </c>
    </row>
    <row r="7" spans="1:7" x14ac:dyDescent="0.25">
      <c r="A7" s="37" t="s">
        <v>6</v>
      </c>
      <c r="B7" s="12"/>
      <c r="C7" s="23"/>
      <c r="D7" s="23"/>
      <c r="E7" s="38"/>
      <c r="F7" s="51"/>
      <c r="G7" s="39"/>
    </row>
    <row r="8" spans="1:7" ht="15.75" thickBot="1" x14ac:dyDescent="0.3">
      <c r="A8" s="40" t="s">
        <v>21</v>
      </c>
      <c r="B8" s="41"/>
      <c r="C8" s="42"/>
      <c r="D8" s="42"/>
      <c r="E8" s="42"/>
      <c r="F8" s="38"/>
      <c r="G8" s="42"/>
    </row>
    <row r="9" spans="1:7" x14ac:dyDescent="0.25">
      <c r="A9" s="43" t="s">
        <v>42</v>
      </c>
      <c r="D9" s="44" t="s">
        <v>43</v>
      </c>
      <c r="E9" s="44" t="s">
        <v>44</v>
      </c>
      <c r="F9" s="44"/>
      <c r="G9" s="44" t="s">
        <v>44</v>
      </c>
    </row>
    <row r="10" spans="1:7" x14ac:dyDescent="0.25">
      <c r="E10" t="s">
        <v>45</v>
      </c>
    </row>
    <row r="11" spans="1:7" ht="18.75" x14ac:dyDescent="0.3">
      <c r="A11" s="86" t="s">
        <v>46</v>
      </c>
      <c r="B11" s="87"/>
      <c r="C11" s="87"/>
      <c r="D11" s="87"/>
      <c r="E11" s="87"/>
      <c r="F11" s="87"/>
      <c r="G11" s="87"/>
    </row>
    <row r="12" spans="1:7" ht="18.75" x14ac:dyDescent="0.3">
      <c r="A12" s="86" t="s">
        <v>47</v>
      </c>
      <c r="B12" s="87"/>
      <c r="C12" s="87"/>
      <c r="D12" s="87"/>
      <c r="E12" s="87"/>
      <c r="F12" s="87"/>
      <c r="G12" s="87"/>
    </row>
    <row r="13" spans="1:7" ht="18.75" x14ac:dyDescent="0.3">
      <c r="A13" s="86" t="s">
        <v>49</v>
      </c>
      <c r="B13" s="87"/>
      <c r="C13" s="87"/>
      <c r="D13" s="87"/>
      <c r="E13" s="87"/>
      <c r="F13" s="87"/>
      <c r="G13" s="87"/>
    </row>
    <row r="14" spans="1:7" x14ac:dyDescent="0.25">
      <c r="A14" s="89" t="s">
        <v>1</v>
      </c>
      <c r="B14" s="1" t="s">
        <v>2</v>
      </c>
      <c r="C14" s="3">
        <v>11460</v>
      </c>
      <c r="D14" s="2"/>
      <c r="E14" s="2"/>
      <c r="F14" s="2"/>
      <c r="G14" s="1" t="s">
        <v>2</v>
      </c>
    </row>
    <row r="15" spans="1:7" x14ac:dyDescent="0.25">
      <c r="A15" s="90"/>
      <c r="B15" s="5">
        <v>45747</v>
      </c>
      <c r="C15" s="6">
        <v>45754</v>
      </c>
      <c r="D15" s="6"/>
      <c r="E15" s="6"/>
      <c r="F15" s="6"/>
      <c r="G15" s="5">
        <v>45777</v>
      </c>
    </row>
    <row r="16" spans="1:7" x14ac:dyDescent="0.25">
      <c r="A16" s="45" t="s">
        <v>15</v>
      </c>
      <c r="B16" s="1">
        <v>3</v>
      </c>
      <c r="C16" s="46">
        <v>-3</v>
      </c>
      <c r="D16" s="9"/>
      <c r="E16" s="9"/>
      <c r="F16" s="9"/>
      <c r="G16" s="8">
        <f>SUM(B16:F16)</f>
        <v>0</v>
      </c>
    </row>
    <row r="17" spans="1:7" x14ac:dyDescent="0.25">
      <c r="A17" s="11" t="s">
        <v>20</v>
      </c>
      <c r="B17" s="12"/>
      <c r="C17" s="23" t="s">
        <v>176</v>
      </c>
      <c r="D17" s="23"/>
      <c r="E17" s="23"/>
      <c r="F17" s="23"/>
      <c r="G17" s="47"/>
    </row>
    <row r="18" spans="1:7" x14ac:dyDescent="0.25">
      <c r="A18" s="11" t="s">
        <v>48</v>
      </c>
      <c r="B18" s="50"/>
      <c r="C18" s="48" t="s">
        <v>177</v>
      </c>
      <c r="D18" s="48"/>
      <c r="E18" s="48"/>
      <c r="F18" s="48"/>
      <c r="G18" s="49">
        <f>SUM(B18:F18)</f>
        <v>0</v>
      </c>
    </row>
  </sheetData>
  <mergeCells count="8">
    <mergeCell ref="A13:G13"/>
    <mergeCell ref="A14:A15"/>
    <mergeCell ref="A12:G12"/>
    <mergeCell ref="A11:G11"/>
    <mergeCell ref="A1:G1"/>
    <mergeCell ref="A2:G2"/>
    <mergeCell ref="A3:G3"/>
    <mergeCell ref="A4:A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8614-916C-410F-87BD-027C40765AAA}">
  <dimension ref="A1:F10"/>
  <sheetViews>
    <sheetView workbookViewId="0">
      <selection activeCell="F15" sqref="F15"/>
    </sheetView>
  </sheetViews>
  <sheetFormatPr baseColWidth="10" defaultRowHeight="15" x14ac:dyDescent="0.25"/>
  <cols>
    <col min="1" max="1" width="33.42578125" bestFit="1" customWidth="1"/>
  </cols>
  <sheetData>
    <row r="1" spans="1:6" ht="18.75" x14ac:dyDescent="0.3">
      <c r="A1" s="86" t="s">
        <v>50</v>
      </c>
      <c r="B1" s="87"/>
      <c r="C1" s="87"/>
      <c r="D1" s="87"/>
      <c r="E1" s="87"/>
      <c r="F1" s="88"/>
    </row>
    <row r="2" spans="1:6" ht="18.75" x14ac:dyDescent="0.3">
      <c r="A2" s="86" t="s">
        <v>51</v>
      </c>
      <c r="B2" s="87"/>
      <c r="C2" s="87"/>
      <c r="D2" s="87"/>
      <c r="E2" s="87"/>
      <c r="F2" s="88"/>
    </row>
    <row r="3" spans="1:6" ht="18.75" x14ac:dyDescent="0.3">
      <c r="A3" s="86" t="s">
        <v>8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1" t="s">
        <v>2</v>
      </c>
      <c r="C4" s="2"/>
      <c r="D4" s="3"/>
      <c r="E4" s="3"/>
      <c r="F4" s="1" t="s">
        <v>3</v>
      </c>
    </row>
    <row r="5" spans="1:6" x14ac:dyDescent="0.25">
      <c r="A5" s="90"/>
      <c r="B5" s="5">
        <v>45747</v>
      </c>
      <c r="C5" s="6"/>
      <c r="D5" s="6"/>
      <c r="E5" s="6"/>
      <c r="F5" s="5">
        <v>45777</v>
      </c>
    </row>
    <row r="6" spans="1:6" x14ac:dyDescent="0.25">
      <c r="A6" s="7" t="s">
        <v>16</v>
      </c>
      <c r="B6" s="8">
        <v>4</v>
      </c>
      <c r="C6" s="9"/>
      <c r="D6" s="9"/>
      <c r="E6" s="9"/>
      <c r="F6" s="10">
        <f>SUM(B6:E6)</f>
        <v>4</v>
      </c>
    </row>
    <row r="7" spans="1:6" x14ac:dyDescent="0.25">
      <c r="A7" s="7" t="s">
        <v>52</v>
      </c>
      <c r="B7" s="8">
        <v>4</v>
      </c>
      <c r="C7" s="9"/>
      <c r="D7" s="9"/>
      <c r="E7" s="9"/>
      <c r="F7" s="10">
        <f>SUM(B7:E7)</f>
        <v>4</v>
      </c>
    </row>
    <row r="8" spans="1:6" x14ac:dyDescent="0.25">
      <c r="A8" s="7" t="s">
        <v>53</v>
      </c>
      <c r="B8" s="8">
        <v>6</v>
      </c>
      <c r="C8" s="9"/>
      <c r="D8" s="9"/>
      <c r="E8" s="9"/>
      <c r="F8" s="10">
        <f>SUM(B8:E8)</f>
        <v>6</v>
      </c>
    </row>
    <row r="9" spans="1:6" x14ac:dyDescent="0.25">
      <c r="A9" s="11" t="s">
        <v>6</v>
      </c>
      <c r="B9" s="27"/>
      <c r="C9" s="52"/>
      <c r="D9" s="14"/>
      <c r="E9" s="14"/>
      <c r="F9" s="2"/>
    </row>
    <row r="10" spans="1:6" x14ac:dyDescent="0.25">
      <c r="A10" s="11" t="s">
        <v>7</v>
      </c>
      <c r="B10" s="15"/>
      <c r="C10" s="13"/>
      <c r="D10" s="16"/>
      <c r="E10" s="16"/>
      <c r="F10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E421-576E-4065-909A-4ACBB8F4F4C8}">
  <dimension ref="A1:L16"/>
  <sheetViews>
    <sheetView workbookViewId="0">
      <selection activeCell="O11" sqref="O11"/>
    </sheetView>
  </sheetViews>
  <sheetFormatPr baseColWidth="10" defaultRowHeight="15" x14ac:dyDescent="0.25"/>
  <cols>
    <col min="1" max="1" width="28.42578125" bestFit="1" customWidth="1"/>
  </cols>
  <sheetData>
    <row r="1" spans="1:12" ht="18.75" x14ac:dyDescent="0.3">
      <c r="A1" s="94" t="s">
        <v>54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18.75" x14ac:dyDescent="0.3">
      <c r="A2" s="94" t="s">
        <v>55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2" ht="18.75" x14ac:dyDescent="0.3">
      <c r="A3" s="94" t="s">
        <v>22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4" spans="1:12" x14ac:dyDescent="0.25">
      <c r="A4" s="95" t="s">
        <v>1</v>
      </c>
      <c r="B4" s="1" t="s">
        <v>56</v>
      </c>
      <c r="C4" s="2">
        <v>11447</v>
      </c>
      <c r="D4" s="2"/>
      <c r="E4" s="2"/>
      <c r="F4" s="2"/>
      <c r="G4" s="2"/>
      <c r="H4" s="2"/>
      <c r="I4" s="2"/>
      <c r="J4" s="2"/>
      <c r="K4" s="2"/>
      <c r="L4" s="1" t="s">
        <v>2</v>
      </c>
    </row>
    <row r="5" spans="1:12" x14ac:dyDescent="0.25">
      <c r="A5" s="95"/>
      <c r="B5" s="5">
        <v>45747</v>
      </c>
      <c r="C5" s="6">
        <v>45748</v>
      </c>
      <c r="D5" s="6"/>
      <c r="E5" s="6"/>
      <c r="F5" s="6"/>
      <c r="G5" s="6"/>
      <c r="H5" s="6"/>
      <c r="I5" s="6"/>
      <c r="J5" s="6"/>
      <c r="K5" s="6"/>
      <c r="L5" s="5">
        <v>45777</v>
      </c>
    </row>
    <row r="6" spans="1:12" x14ac:dyDescent="0.25">
      <c r="A6" s="45" t="s">
        <v>15</v>
      </c>
      <c r="B6" s="1">
        <v>7</v>
      </c>
      <c r="C6" s="9">
        <v>-2</v>
      </c>
      <c r="D6" s="9"/>
      <c r="E6" s="9"/>
      <c r="F6" s="9"/>
      <c r="G6" s="9"/>
      <c r="H6" s="9"/>
      <c r="I6" s="9"/>
      <c r="J6" s="9"/>
      <c r="K6" s="9"/>
      <c r="L6" s="8">
        <f t="shared" ref="L6:L14" si="0">SUM(B6:K6)</f>
        <v>5</v>
      </c>
    </row>
    <row r="7" spans="1:12" x14ac:dyDescent="0.25">
      <c r="A7" s="45" t="s">
        <v>57</v>
      </c>
      <c r="B7" s="1">
        <v>9</v>
      </c>
      <c r="C7" s="9">
        <v>-4</v>
      </c>
      <c r="D7" s="9"/>
      <c r="E7" s="9"/>
      <c r="F7" s="9"/>
      <c r="G7" s="9"/>
      <c r="H7" s="9"/>
      <c r="I7" s="9"/>
      <c r="J7" s="9"/>
      <c r="K7" s="9"/>
      <c r="L7" s="8">
        <f t="shared" si="0"/>
        <v>5</v>
      </c>
    </row>
    <row r="8" spans="1:12" x14ac:dyDescent="0.25">
      <c r="A8" s="45" t="s">
        <v>58</v>
      </c>
      <c r="B8" s="1">
        <v>10</v>
      </c>
      <c r="C8" s="9">
        <v>-3</v>
      </c>
      <c r="D8" s="9"/>
      <c r="E8" s="9"/>
      <c r="F8" s="9"/>
      <c r="G8" s="9"/>
      <c r="H8" s="9"/>
      <c r="I8" s="9"/>
      <c r="J8" s="9"/>
      <c r="K8" s="9"/>
      <c r="L8" s="8">
        <f t="shared" si="0"/>
        <v>7</v>
      </c>
    </row>
    <row r="9" spans="1:12" x14ac:dyDescent="0.25">
      <c r="A9" s="45" t="s">
        <v>59</v>
      </c>
      <c r="B9" s="1">
        <v>6</v>
      </c>
      <c r="C9" s="9">
        <v>-6</v>
      </c>
      <c r="D9" s="9"/>
      <c r="E9" s="9"/>
      <c r="F9" s="9"/>
      <c r="G9" s="9"/>
      <c r="H9" s="9"/>
      <c r="I9" s="9"/>
      <c r="J9" s="9"/>
      <c r="K9" s="9"/>
      <c r="L9" s="8">
        <f t="shared" si="0"/>
        <v>0</v>
      </c>
    </row>
    <row r="10" spans="1:12" x14ac:dyDescent="0.25">
      <c r="A10" s="45" t="s">
        <v>14</v>
      </c>
      <c r="B10" s="1">
        <v>2</v>
      </c>
      <c r="C10" s="9"/>
      <c r="D10" s="9"/>
      <c r="E10" s="9"/>
      <c r="F10" s="9"/>
      <c r="G10" s="9"/>
      <c r="H10" s="9"/>
      <c r="I10" s="9"/>
      <c r="J10" s="9"/>
      <c r="K10" s="9"/>
      <c r="L10" s="8">
        <f t="shared" si="0"/>
        <v>2</v>
      </c>
    </row>
    <row r="11" spans="1:12" x14ac:dyDescent="0.25">
      <c r="A11" s="45" t="s">
        <v>60</v>
      </c>
      <c r="B11" s="1">
        <v>23</v>
      </c>
      <c r="C11" s="9"/>
      <c r="D11" s="9"/>
      <c r="E11" s="9"/>
      <c r="F11" s="9"/>
      <c r="G11" s="9"/>
      <c r="H11" s="9"/>
      <c r="I11" s="9"/>
      <c r="J11" s="9"/>
      <c r="K11" s="9"/>
      <c r="L11" s="8">
        <f t="shared" si="0"/>
        <v>23</v>
      </c>
    </row>
    <row r="12" spans="1:12" x14ac:dyDescent="0.25">
      <c r="A12" s="45" t="s">
        <v>61</v>
      </c>
      <c r="B12" s="1">
        <v>5</v>
      </c>
      <c r="C12" s="9"/>
      <c r="D12" s="9"/>
      <c r="E12" s="9"/>
      <c r="F12" s="9"/>
      <c r="G12" s="9"/>
      <c r="H12" s="9"/>
      <c r="I12" s="9"/>
      <c r="J12" s="9"/>
      <c r="K12" s="9"/>
      <c r="L12" s="8">
        <f t="shared" si="0"/>
        <v>5</v>
      </c>
    </row>
    <row r="13" spans="1:12" x14ac:dyDescent="0.25">
      <c r="A13" s="45" t="s">
        <v>62</v>
      </c>
      <c r="B13" s="1">
        <v>10</v>
      </c>
      <c r="C13" s="9"/>
      <c r="D13" s="9"/>
      <c r="E13" s="9"/>
      <c r="F13" s="9"/>
      <c r="G13" s="9"/>
      <c r="H13" s="9"/>
      <c r="I13" s="9"/>
      <c r="J13" s="9"/>
      <c r="K13" s="9"/>
      <c r="L13" s="8">
        <f t="shared" si="0"/>
        <v>10</v>
      </c>
    </row>
    <row r="14" spans="1:12" x14ac:dyDescent="0.25">
      <c r="A14" s="45" t="s">
        <v>63</v>
      </c>
      <c r="B14" s="1">
        <v>6</v>
      </c>
      <c r="C14" s="9"/>
      <c r="D14" s="9"/>
      <c r="E14" s="9"/>
      <c r="F14" s="9"/>
      <c r="G14" s="9"/>
      <c r="H14" s="9"/>
      <c r="I14" s="9"/>
      <c r="J14" s="9"/>
      <c r="K14" s="9"/>
      <c r="L14" s="8">
        <f t="shared" si="0"/>
        <v>6</v>
      </c>
    </row>
    <row r="15" spans="1:12" x14ac:dyDescent="0.25">
      <c r="A15" s="11" t="s">
        <v>6</v>
      </c>
      <c r="B15" s="12"/>
      <c r="C15" s="23">
        <v>0.14583333333333334</v>
      </c>
      <c r="D15" s="23"/>
      <c r="E15" s="23"/>
      <c r="F15" s="23"/>
      <c r="G15" s="23"/>
      <c r="H15" s="23"/>
      <c r="I15" s="23"/>
      <c r="J15" s="23"/>
      <c r="K15" s="23"/>
      <c r="L15" s="47"/>
    </row>
    <row r="16" spans="1:12" x14ac:dyDescent="0.25">
      <c r="A16" s="11" t="s">
        <v>21</v>
      </c>
      <c r="B16" s="50"/>
      <c r="C16" s="48" t="s">
        <v>64</v>
      </c>
      <c r="D16" s="48"/>
      <c r="E16" s="48"/>
      <c r="F16" s="48"/>
      <c r="G16" s="48"/>
      <c r="H16" s="48"/>
      <c r="I16" s="48"/>
      <c r="J16" s="48"/>
      <c r="K16" s="48"/>
      <c r="L16" s="47"/>
    </row>
  </sheetData>
  <mergeCells count="4">
    <mergeCell ref="A1:L1"/>
    <mergeCell ref="A2:L2"/>
    <mergeCell ref="A3:L3"/>
    <mergeCell ref="A4:A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2441-DBBE-426E-B273-290D75A6623E}">
  <dimension ref="A1:J56"/>
  <sheetViews>
    <sheetView topLeftCell="A12" workbookViewId="0">
      <selection activeCell="C18" sqref="C18"/>
    </sheetView>
  </sheetViews>
  <sheetFormatPr baseColWidth="10" defaultRowHeight="15" x14ac:dyDescent="0.25"/>
  <cols>
    <col min="1" max="1" width="28.42578125" bestFit="1" customWidth="1"/>
  </cols>
  <sheetData>
    <row r="1" spans="1:10" ht="18.75" x14ac:dyDescent="0.3">
      <c r="A1" s="94" t="s">
        <v>65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18.75" x14ac:dyDescent="0.3">
      <c r="A2" s="94" t="s">
        <v>66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18.75" x14ac:dyDescent="0.3">
      <c r="A3" s="94" t="s">
        <v>49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x14ac:dyDescent="0.25">
      <c r="A4" s="95" t="s">
        <v>1</v>
      </c>
      <c r="B4" s="3" t="s">
        <v>2</v>
      </c>
      <c r="C4" s="3">
        <v>11459</v>
      </c>
      <c r="D4" s="2"/>
      <c r="E4" s="2"/>
      <c r="F4" s="2"/>
      <c r="G4" s="2"/>
      <c r="H4" s="2"/>
      <c r="I4" s="2"/>
      <c r="J4" s="1" t="s">
        <v>2</v>
      </c>
    </row>
    <row r="5" spans="1:10" x14ac:dyDescent="0.25">
      <c r="A5" s="95"/>
      <c r="B5" s="6">
        <v>45747</v>
      </c>
      <c r="C5" s="6">
        <v>45752</v>
      </c>
      <c r="D5" s="6"/>
      <c r="E5" s="6"/>
      <c r="F5" s="6"/>
      <c r="G5" s="6"/>
      <c r="H5" s="6"/>
      <c r="I5" s="6"/>
      <c r="J5" s="5">
        <v>45747</v>
      </c>
    </row>
    <row r="6" spans="1:10" x14ac:dyDescent="0.25">
      <c r="A6" s="45" t="s">
        <v>67</v>
      </c>
      <c r="B6" s="1">
        <v>42</v>
      </c>
      <c r="C6" s="78">
        <v>-42</v>
      </c>
      <c r="D6" s="9"/>
      <c r="E6" s="9"/>
      <c r="F6" s="9"/>
      <c r="G6" s="9"/>
      <c r="H6" s="9"/>
      <c r="I6" s="9"/>
      <c r="J6" s="8">
        <f>SUM(B6:I6)</f>
        <v>0</v>
      </c>
    </row>
    <row r="7" spans="1:10" x14ac:dyDescent="0.25">
      <c r="A7" s="45" t="s">
        <v>68</v>
      </c>
      <c r="B7" s="1">
        <v>7</v>
      </c>
      <c r="C7" s="78">
        <v>-7</v>
      </c>
      <c r="D7" s="9"/>
      <c r="E7" s="9"/>
      <c r="F7" s="9"/>
      <c r="G7" s="9"/>
      <c r="H7" s="9"/>
      <c r="I7" s="9"/>
      <c r="J7" s="8">
        <f t="shared" ref="J7:J28" si="0">SUM(B7:I7)</f>
        <v>0</v>
      </c>
    </row>
    <row r="8" spans="1:10" x14ac:dyDescent="0.25">
      <c r="A8" s="45" t="s">
        <v>69</v>
      </c>
      <c r="B8" s="1">
        <v>0</v>
      </c>
      <c r="C8" s="9"/>
      <c r="D8" s="9"/>
      <c r="E8" s="9"/>
      <c r="F8" s="9"/>
      <c r="G8" s="9"/>
      <c r="H8" s="9"/>
      <c r="I8" s="9"/>
      <c r="J8" s="8">
        <f t="shared" si="0"/>
        <v>0</v>
      </c>
    </row>
    <row r="9" spans="1:10" x14ac:dyDescent="0.25">
      <c r="A9" s="45" t="s">
        <v>70</v>
      </c>
      <c r="B9" s="1">
        <v>6</v>
      </c>
      <c r="C9" s="78">
        <v>-6</v>
      </c>
      <c r="D9" s="9"/>
      <c r="E9" s="9"/>
      <c r="F9" s="9"/>
      <c r="G9" s="9"/>
      <c r="H9" s="9"/>
      <c r="I9" s="9"/>
      <c r="J9" s="8">
        <f t="shared" si="0"/>
        <v>0</v>
      </c>
    </row>
    <row r="10" spans="1:10" x14ac:dyDescent="0.25">
      <c r="A10" s="45" t="s">
        <v>71</v>
      </c>
      <c r="B10" s="1">
        <v>4</v>
      </c>
      <c r="C10" s="78">
        <v>-4</v>
      </c>
      <c r="D10" s="9"/>
      <c r="E10" s="9"/>
      <c r="F10" s="9"/>
      <c r="G10" s="9"/>
      <c r="H10" s="9"/>
      <c r="I10" s="9"/>
      <c r="J10" s="8">
        <f t="shared" si="0"/>
        <v>0</v>
      </c>
    </row>
    <row r="11" spans="1:10" x14ac:dyDescent="0.25">
      <c r="A11" s="45" t="s">
        <v>11</v>
      </c>
      <c r="B11" s="1">
        <v>2</v>
      </c>
      <c r="C11" s="9"/>
      <c r="D11" s="9"/>
      <c r="E11" s="9"/>
      <c r="F11" s="9"/>
      <c r="G11" s="9"/>
      <c r="H11" s="9"/>
      <c r="I11" s="9"/>
      <c r="J11" s="8">
        <f t="shared" si="0"/>
        <v>2</v>
      </c>
    </row>
    <row r="12" spans="1:10" x14ac:dyDescent="0.25">
      <c r="A12" s="45" t="s">
        <v>72</v>
      </c>
      <c r="B12" s="1">
        <v>3</v>
      </c>
      <c r="C12" s="78">
        <v>-3</v>
      </c>
      <c r="D12" s="9"/>
      <c r="E12" s="9"/>
      <c r="F12" s="9"/>
      <c r="G12" s="9"/>
      <c r="H12" s="9"/>
      <c r="I12" s="9"/>
      <c r="J12" s="8">
        <f t="shared" si="0"/>
        <v>0</v>
      </c>
    </row>
    <row r="13" spans="1:10" x14ac:dyDescent="0.25">
      <c r="A13" s="45" t="s">
        <v>73</v>
      </c>
      <c r="B13" s="1">
        <v>4</v>
      </c>
      <c r="C13" s="78">
        <v>-4</v>
      </c>
      <c r="D13" s="9"/>
      <c r="E13" s="9"/>
      <c r="F13" s="9"/>
      <c r="G13" s="9"/>
      <c r="H13" s="9"/>
      <c r="I13" s="9"/>
      <c r="J13" s="8">
        <f t="shared" si="0"/>
        <v>0</v>
      </c>
    </row>
    <row r="14" spans="1:10" x14ac:dyDescent="0.25">
      <c r="A14" s="45" t="s">
        <v>12</v>
      </c>
      <c r="B14" s="1">
        <v>3</v>
      </c>
      <c r="C14" s="78">
        <v>-3</v>
      </c>
      <c r="D14" s="9"/>
      <c r="E14" s="9"/>
      <c r="F14" s="9"/>
      <c r="G14" s="9"/>
      <c r="H14" s="9"/>
      <c r="I14" s="9"/>
      <c r="J14" s="8">
        <f t="shared" si="0"/>
        <v>0</v>
      </c>
    </row>
    <row r="15" spans="1:10" x14ac:dyDescent="0.25">
      <c r="A15" s="45" t="s">
        <v>27</v>
      </c>
      <c r="B15" s="1">
        <v>0</v>
      </c>
      <c r="C15" s="79">
        <v>-3</v>
      </c>
      <c r="D15" s="9"/>
      <c r="E15" s="9"/>
      <c r="F15" s="9"/>
      <c r="G15" s="9"/>
      <c r="H15" s="9"/>
      <c r="I15" s="9"/>
      <c r="J15" s="80">
        <f t="shared" si="0"/>
        <v>-3</v>
      </c>
    </row>
    <row r="16" spans="1:10" x14ac:dyDescent="0.25">
      <c r="A16" s="45" t="s">
        <v>59</v>
      </c>
      <c r="B16" s="1">
        <v>0</v>
      </c>
      <c r="C16" s="9"/>
      <c r="D16" s="9"/>
      <c r="E16" s="9"/>
      <c r="F16" s="9"/>
      <c r="G16" s="9"/>
      <c r="H16" s="9"/>
      <c r="I16" s="9"/>
      <c r="J16" s="8">
        <f t="shared" si="0"/>
        <v>0</v>
      </c>
    </row>
    <row r="17" spans="1:10" x14ac:dyDescent="0.25">
      <c r="A17" s="45" t="s">
        <v>13</v>
      </c>
      <c r="B17" s="1">
        <v>-2</v>
      </c>
      <c r="C17" s="9"/>
      <c r="D17" s="9"/>
      <c r="E17" s="9"/>
      <c r="F17" s="9"/>
      <c r="G17" s="9"/>
      <c r="H17" s="9"/>
      <c r="I17" s="9"/>
      <c r="J17" s="8">
        <f t="shared" si="0"/>
        <v>-2</v>
      </c>
    </row>
    <row r="18" spans="1:10" x14ac:dyDescent="0.25">
      <c r="A18" s="45" t="s">
        <v>74</v>
      </c>
      <c r="B18" s="1">
        <v>100</v>
      </c>
      <c r="C18" s="78">
        <v>-78</v>
      </c>
      <c r="D18" s="9"/>
      <c r="E18" s="9"/>
      <c r="F18" s="9"/>
      <c r="G18" s="9"/>
      <c r="H18" s="9"/>
      <c r="I18" s="9"/>
      <c r="J18" s="8">
        <f t="shared" si="0"/>
        <v>22</v>
      </c>
    </row>
    <row r="19" spans="1:10" x14ac:dyDescent="0.25">
      <c r="A19" s="45" t="s">
        <v>75</v>
      </c>
      <c r="B19" s="1">
        <v>58</v>
      </c>
      <c r="C19" s="78">
        <v>-55</v>
      </c>
      <c r="D19" s="9"/>
      <c r="E19" s="9"/>
      <c r="F19" s="9"/>
      <c r="G19" s="9"/>
      <c r="H19" s="9"/>
      <c r="I19" s="9"/>
      <c r="J19" s="8">
        <f t="shared" si="0"/>
        <v>3</v>
      </c>
    </row>
    <row r="20" spans="1:10" x14ac:dyDescent="0.25">
      <c r="A20" s="45" t="s">
        <v>15</v>
      </c>
      <c r="B20" s="1">
        <v>0</v>
      </c>
      <c r="C20" s="9"/>
      <c r="D20" s="9"/>
      <c r="E20" s="9"/>
      <c r="F20" s="9"/>
      <c r="G20" s="9"/>
      <c r="H20" s="9"/>
      <c r="I20" s="9"/>
      <c r="J20" s="8">
        <f t="shared" si="0"/>
        <v>0</v>
      </c>
    </row>
    <row r="21" spans="1:10" x14ac:dyDescent="0.25">
      <c r="A21" s="45" t="s">
        <v>76</v>
      </c>
      <c r="B21" s="1">
        <v>6</v>
      </c>
      <c r="C21" s="78">
        <v>-6</v>
      </c>
      <c r="D21" s="9"/>
      <c r="E21" s="9"/>
      <c r="F21" s="9"/>
      <c r="G21" s="9"/>
      <c r="H21" s="9"/>
      <c r="I21" s="9"/>
      <c r="J21" s="8">
        <f t="shared" si="0"/>
        <v>0</v>
      </c>
    </row>
    <row r="22" spans="1:10" x14ac:dyDescent="0.25">
      <c r="A22" s="45" t="s">
        <v>77</v>
      </c>
      <c r="B22" s="1">
        <v>-1</v>
      </c>
      <c r="C22" s="9"/>
      <c r="D22" s="9"/>
      <c r="E22" s="9"/>
      <c r="F22" s="9"/>
      <c r="G22" s="9"/>
      <c r="H22" s="9"/>
      <c r="I22" s="9"/>
      <c r="J22" s="8">
        <f t="shared" si="0"/>
        <v>-1</v>
      </c>
    </row>
    <row r="23" spans="1:10" x14ac:dyDescent="0.25">
      <c r="A23" s="45" t="s">
        <v>78</v>
      </c>
      <c r="B23" s="1">
        <v>10</v>
      </c>
      <c r="C23" s="78">
        <v>-10</v>
      </c>
      <c r="D23" s="9"/>
      <c r="E23" s="9"/>
      <c r="F23" s="9"/>
      <c r="G23" s="9"/>
      <c r="H23" s="9"/>
      <c r="I23" s="9"/>
      <c r="J23" s="8">
        <f t="shared" si="0"/>
        <v>0</v>
      </c>
    </row>
    <row r="24" spans="1:10" x14ac:dyDescent="0.25">
      <c r="A24" s="45" t="s">
        <v>39</v>
      </c>
      <c r="B24" s="1">
        <v>16</v>
      </c>
      <c r="C24" s="78">
        <v>-16</v>
      </c>
      <c r="D24" s="9"/>
      <c r="E24" s="9"/>
      <c r="F24" s="9"/>
      <c r="G24" s="9"/>
      <c r="H24" s="9"/>
      <c r="I24" s="9"/>
      <c r="J24" s="8">
        <f t="shared" si="0"/>
        <v>0</v>
      </c>
    </row>
    <row r="25" spans="1:10" x14ac:dyDescent="0.25">
      <c r="A25" s="45" t="s">
        <v>79</v>
      </c>
      <c r="B25" s="1">
        <v>0</v>
      </c>
      <c r="C25" s="9"/>
      <c r="D25" s="9"/>
      <c r="E25" s="9"/>
      <c r="F25" s="9"/>
      <c r="G25" s="9"/>
      <c r="H25" s="9"/>
      <c r="I25" s="9"/>
      <c r="J25" s="8">
        <f t="shared" si="0"/>
        <v>0</v>
      </c>
    </row>
    <row r="26" spans="1:10" x14ac:dyDescent="0.25">
      <c r="A26" s="45" t="s">
        <v>41</v>
      </c>
      <c r="B26" s="1">
        <v>0</v>
      </c>
      <c r="C26" s="9"/>
      <c r="D26" s="9"/>
      <c r="E26" s="9"/>
      <c r="F26" s="9"/>
      <c r="G26" s="9"/>
      <c r="H26" s="9"/>
      <c r="I26" s="9"/>
      <c r="J26" s="8">
        <f t="shared" si="0"/>
        <v>0</v>
      </c>
    </row>
    <row r="27" spans="1:10" x14ac:dyDescent="0.25">
      <c r="A27" s="45" t="s">
        <v>35</v>
      </c>
      <c r="B27" s="1">
        <v>0</v>
      </c>
      <c r="C27" s="9"/>
      <c r="D27" s="9"/>
      <c r="E27" s="9"/>
      <c r="F27" s="9"/>
      <c r="G27" s="9"/>
      <c r="H27" s="9"/>
      <c r="I27" s="9"/>
      <c r="J27" s="8">
        <f t="shared" si="0"/>
        <v>0</v>
      </c>
    </row>
    <row r="28" spans="1:10" x14ac:dyDescent="0.25">
      <c r="A28" s="45" t="s">
        <v>80</v>
      </c>
      <c r="B28" s="1">
        <v>0</v>
      </c>
      <c r="C28" s="9"/>
      <c r="D28" s="9"/>
      <c r="E28" s="9"/>
      <c r="F28" s="9"/>
      <c r="G28" s="9"/>
      <c r="H28" s="9"/>
      <c r="I28" s="9"/>
      <c r="J28" s="8">
        <f t="shared" si="0"/>
        <v>0</v>
      </c>
    </row>
    <row r="29" spans="1:10" x14ac:dyDescent="0.25">
      <c r="A29" s="11" t="s">
        <v>20</v>
      </c>
      <c r="B29" s="23"/>
      <c r="C29" s="23">
        <v>0.44791666666666669</v>
      </c>
      <c r="D29" s="23"/>
      <c r="E29" s="23"/>
      <c r="F29" s="23"/>
      <c r="G29" s="23"/>
      <c r="H29" s="23"/>
      <c r="I29" s="23"/>
      <c r="J29" s="47"/>
    </row>
    <row r="30" spans="1:10" x14ac:dyDescent="0.25">
      <c r="A30" s="11" t="s">
        <v>48</v>
      </c>
      <c r="B30" s="48"/>
      <c r="C30" s="48">
        <v>60000</v>
      </c>
      <c r="D30" s="48"/>
      <c r="E30" s="48"/>
      <c r="F30" s="48"/>
      <c r="G30" s="48"/>
      <c r="H30" s="48"/>
      <c r="I30" s="48"/>
      <c r="J30" s="49">
        <f>SUM(B30:I30)</f>
        <v>60000</v>
      </c>
    </row>
    <row r="33" spans="1:9" ht="18.75" x14ac:dyDescent="0.3">
      <c r="A33" s="86" t="s">
        <v>109</v>
      </c>
      <c r="B33" s="87"/>
      <c r="C33" s="87"/>
      <c r="D33" s="87"/>
      <c r="E33" s="87"/>
      <c r="F33" s="87"/>
      <c r="G33" s="87"/>
      <c r="H33" s="87"/>
    </row>
    <row r="34" spans="1:9" ht="18.75" x14ac:dyDescent="0.3">
      <c r="A34" s="86" t="s">
        <v>82</v>
      </c>
      <c r="B34" s="87"/>
      <c r="C34" s="87"/>
      <c r="D34" s="87"/>
      <c r="E34" s="87"/>
      <c r="F34" s="87"/>
      <c r="G34" s="87"/>
      <c r="H34" s="87"/>
    </row>
    <row r="35" spans="1:9" ht="18.75" x14ac:dyDescent="0.3">
      <c r="A35" s="86" t="s">
        <v>49</v>
      </c>
      <c r="B35" s="87"/>
      <c r="C35" s="87"/>
      <c r="D35" s="87"/>
      <c r="E35" s="87"/>
      <c r="F35" s="87"/>
      <c r="G35" s="87"/>
      <c r="H35" s="88"/>
    </row>
    <row r="36" spans="1:9" x14ac:dyDescent="0.25">
      <c r="A36" s="95" t="s">
        <v>1</v>
      </c>
      <c r="B36" s="3" t="s">
        <v>2</v>
      </c>
      <c r="C36" s="2"/>
      <c r="D36" s="2"/>
      <c r="E36" s="2"/>
      <c r="F36" s="2"/>
      <c r="G36" s="2"/>
      <c r="H36" s="1" t="s">
        <v>2</v>
      </c>
    </row>
    <row r="37" spans="1:9" x14ac:dyDescent="0.25">
      <c r="A37" s="95"/>
      <c r="B37" s="6">
        <v>45747</v>
      </c>
      <c r="C37" s="6"/>
      <c r="D37" s="6"/>
      <c r="E37" s="6"/>
      <c r="F37" s="6"/>
      <c r="G37" s="6"/>
      <c r="H37" s="5">
        <v>45777</v>
      </c>
    </row>
    <row r="38" spans="1:9" x14ac:dyDescent="0.25">
      <c r="A38" s="45" t="s">
        <v>75</v>
      </c>
      <c r="B38" s="1">
        <v>-6</v>
      </c>
      <c r="C38" s="9"/>
      <c r="D38" s="9"/>
      <c r="E38" s="9"/>
      <c r="F38" s="9"/>
      <c r="G38" s="56"/>
      <c r="H38" s="53">
        <f t="shared" ref="H38:H41" si="1">SUM(B38:G38)</f>
        <v>-6</v>
      </c>
      <c r="I38" t="s">
        <v>84</v>
      </c>
    </row>
    <row r="39" spans="1:9" x14ac:dyDescent="0.25">
      <c r="A39" s="45" t="s">
        <v>15</v>
      </c>
      <c r="B39" s="1">
        <v>2</v>
      </c>
      <c r="C39" s="9"/>
      <c r="D39" s="9"/>
      <c r="E39" s="9"/>
      <c r="F39" s="9"/>
      <c r="G39" s="9"/>
      <c r="H39" s="8">
        <f t="shared" si="1"/>
        <v>2</v>
      </c>
    </row>
    <row r="40" spans="1:9" x14ac:dyDescent="0.25">
      <c r="A40" s="45" t="s">
        <v>85</v>
      </c>
      <c r="B40" s="1">
        <v>2</v>
      </c>
      <c r="C40" s="9"/>
      <c r="D40" s="9"/>
      <c r="E40" s="9"/>
      <c r="F40" s="9"/>
      <c r="G40" s="9"/>
      <c r="H40" s="8">
        <f t="shared" si="1"/>
        <v>2</v>
      </c>
    </row>
    <row r="41" spans="1:9" x14ac:dyDescent="0.25">
      <c r="A41" s="45" t="s">
        <v>86</v>
      </c>
      <c r="B41" s="1">
        <v>2</v>
      </c>
      <c r="C41" s="9"/>
      <c r="D41" s="9"/>
      <c r="E41" s="9"/>
      <c r="F41" s="9"/>
      <c r="G41" s="9"/>
      <c r="H41" s="8">
        <f t="shared" si="1"/>
        <v>2</v>
      </c>
    </row>
    <row r="42" spans="1:9" x14ac:dyDescent="0.25">
      <c r="A42" s="11" t="s">
        <v>20</v>
      </c>
      <c r="B42" s="23"/>
      <c r="C42" s="23"/>
      <c r="D42" s="23"/>
      <c r="E42" s="23"/>
      <c r="F42" s="23"/>
      <c r="G42" s="23"/>
      <c r="H42" s="8"/>
    </row>
    <row r="43" spans="1:9" x14ac:dyDescent="0.25">
      <c r="A43" s="11" t="s">
        <v>48</v>
      </c>
      <c r="B43" s="48"/>
      <c r="C43" s="48"/>
      <c r="D43" s="48"/>
      <c r="E43" s="48"/>
      <c r="F43" s="17"/>
      <c r="G43" s="17"/>
      <c r="H43" s="54">
        <f>SUM(B43:G43)</f>
        <v>0</v>
      </c>
    </row>
    <row r="46" spans="1:9" ht="18.75" x14ac:dyDescent="0.3">
      <c r="A46" s="86" t="s">
        <v>109</v>
      </c>
      <c r="B46" s="87"/>
      <c r="C46" s="87"/>
      <c r="D46" s="87"/>
      <c r="E46" s="87"/>
      <c r="F46" s="87"/>
      <c r="G46" s="87"/>
      <c r="H46" s="87"/>
    </row>
    <row r="47" spans="1:9" ht="18.75" x14ac:dyDescent="0.3">
      <c r="A47" s="86" t="s">
        <v>110</v>
      </c>
      <c r="B47" s="87"/>
      <c r="C47" s="87"/>
      <c r="D47" s="87"/>
      <c r="E47" s="87"/>
      <c r="F47" s="87"/>
      <c r="G47" s="87"/>
      <c r="H47" s="87"/>
    </row>
    <row r="48" spans="1:9" ht="18.75" x14ac:dyDescent="0.3">
      <c r="A48" s="86" t="s">
        <v>49</v>
      </c>
      <c r="B48" s="87"/>
      <c r="C48" s="87"/>
      <c r="D48" s="87"/>
      <c r="E48" s="87"/>
      <c r="F48" s="87"/>
      <c r="G48" s="87"/>
      <c r="H48" s="88"/>
    </row>
    <row r="49" spans="1:8" x14ac:dyDescent="0.25">
      <c r="A49" s="95" t="s">
        <v>1</v>
      </c>
      <c r="B49" s="3">
        <v>12644</v>
      </c>
      <c r="C49" s="2"/>
      <c r="D49" s="2"/>
      <c r="E49" s="2"/>
      <c r="F49" s="2"/>
      <c r="G49" s="2"/>
      <c r="H49" s="1" t="s">
        <v>2</v>
      </c>
    </row>
    <row r="50" spans="1:8" x14ac:dyDescent="0.25">
      <c r="A50" s="95"/>
      <c r="B50" s="6">
        <v>45750</v>
      </c>
      <c r="C50" s="6"/>
      <c r="D50" s="6"/>
      <c r="E50" s="6"/>
      <c r="F50" s="6"/>
      <c r="G50" s="6"/>
      <c r="H50" s="5">
        <v>45777</v>
      </c>
    </row>
    <row r="51" spans="1:8" x14ac:dyDescent="0.25">
      <c r="A51" s="45" t="s">
        <v>27</v>
      </c>
      <c r="B51" s="1">
        <v>30</v>
      </c>
      <c r="C51" s="9"/>
      <c r="D51" s="9"/>
      <c r="E51" s="9"/>
      <c r="F51" s="9"/>
      <c r="G51" s="56"/>
      <c r="H51" s="67">
        <f t="shared" ref="H51:H52" si="2">SUM(B51:G51)</f>
        <v>30</v>
      </c>
    </row>
    <row r="52" spans="1:8" x14ac:dyDescent="0.25">
      <c r="A52" s="45" t="s">
        <v>90</v>
      </c>
      <c r="B52" s="1">
        <v>80</v>
      </c>
      <c r="C52" s="9"/>
      <c r="D52" s="9"/>
      <c r="E52" s="9"/>
      <c r="F52" s="9"/>
      <c r="G52" s="9"/>
      <c r="H52" s="8">
        <f t="shared" si="2"/>
        <v>80</v>
      </c>
    </row>
    <row r="53" spans="1:8" x14ac:dyDescent="0.25">
      <c r="A53" s="45"/>
      <c r="B53" s="1"/>
      <c r="C53" s="9"/>
      <c r="D53" s="9"/>
      <c r="E53" s="9"/>
      <c r="F53" s="9"/>
      <c r="G53" s="9"/>
      <c r="H53" s="8"/>
    </row>
    <row r="54" spans="1:8" x14ac:dyDescent="0.25">
      <c r="A54" s="45"/>
      <c r="B54" s="1"/>
      <c r="C54" s="9"/>
      <c r="D54" s="9"/>
      <c r="E54" s="9"/>
      <c r="F54" s="9"/>
      <c r="G54" s="9"/>
      <c r="H54" s="8"/>
    </row>
    <row r="55" spans="1:8" x14ac:dyDescent="0.25">
      <c r="A55" s="11" t="s">
        <v>20</v>
      </c>
      <c r="B55" s="23">
        <v>6.9444444444444448E-2</v>
      </c>
      <c r="C55" s="23"/>
      <c r="D55" s="23"/>
      <c r="E55" s="23"/>
      <c r="F55" s="23"/>
      <c r="G55" s="23"/>
      <c r="H55" s="47"/>
    </row>
    <row r="56" spans="1:8" x14ac:dyDescent="0.25">
      <c r="A56" s="11" t="s">
        <v>48</v>
      </c>
      <c r="B56" s="23" t="s">
        <v>81</v>
      </c>
      <c r="C56" s="48"/>
      <c r="D56" s="48"/>
      <c r="E56" s="48"/>
      <c r="F56" s="17"/>
      <c r="G56" s="17"/>
      <c r="H56" s="68">
        <f>SUM(B56:G56)</f>
        <v>0</v>
      </c>
    </row>
  </sheetData>
  <mergeCells count="12">
    <mergeCell ref="A34:H34"/>
    <mergeCell ref="A1:J1"/>
    <mergeCell ref="A2:J2"/>
    <mergeCell ref="A3:J3"/>
    <mergeCell ref="A4:A5"/>
    <mergeCell ref="A33:H33"/>
    <mergeCell ref="A46:H46"/>
    <mergeCell ref="A47:H47"/>
    <mergeCell ref="A48:H48"/>
    <mergeCell ref="A49:A50"/>
    <mergeCell ref="A35:H35"/>
    <mergeCell ref="A36:A37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BEB3-2505-4C86-95BC-CD8AE9A11CD3}">
  <dimension ref="A1:F8"/>
  <sheetViews>
    <sheetView workbookViewId="0">
      <selection activeCell="E12" sqref="E12"/>
    </sheetView>
  </sheetViews>
  <sheetFormatPr baseColWidth="10" defaultRowHeight="15" x14ac:dyDescent="0.25"/>
  <cols>
    <col min="1" max="1" width="22.85546875" bestFit="1" customWidth="1"/>
  </cols>
  <sheetData>
    <row r="1" spans="1:6" ht="18.75" x14ac:dyDescent="0.3">
      <c r="A1" s="86" t="s">
        <v>184</v>
      </c>
      <c r="B1" s="87"/>
      <c r="C1" s="87"/>
      <c r="D1" s="87"/>
      <c r="E1" s="87"/>
      <c r="F1" s="88"/>
    </row>
    <row r="2" spans="1:6" ht="18.75" x14ac:dyDescent="0.3">
      <c r="A2" s="86" t="s">
        <v>185</v>
      </c>
      <c r="B2" s="87"/>
      <c r="C2" s="87"/>
      <c r="D2" s="87"/>
      <c r="E2" s="87"/>
      <c r="F2" s="88"/>
    </row>
    <row r="3" spans="1:6" ht="18.75" x14ac:dyDescent="0.3">
      <c r="A3" s="86" t="s">
        <v>89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1" t="s">
        <v>2</v>
      </c>
      <c r="C4" s="2">
        <v>11463</v>
      </c>
      <c r="D4" s="3"/>
      <c r="E4" s="3"/>
      <c r="F4" s="1" t="s">
        <v>3</v>
      </c>
    </row>
    <row r="5" spans="1:6" x14ac:dyDescent="0.25">
      <c r="A5" s="90"/>
      <c r="B5" s="5">
        <v>45747</v>
      </c>
      <c r="C5" s="6">
        <v>45754</v>
      </c>
      <c r="D5" s="6"/>
      <c r="E5" s="6"/>
      <c r="F5" s="5">
        <v>45777</v>
      </c>
    </row>
    <row r="6" spans="1:6" x14ac:dyDescent="0.25">
      <c r="A6" s="7" t="s">
        <v>186</v>
      </c>
      <c r="B6" s="8">
        <v>4</v>
      </c>
      <c r="C6" s="9">
        <v>-4</v>
      </c>
      <c r="D6" s="9"/>
      <c r="E6" s="9"/>
      <c r="F6" s="10">
        <f>SUM(B6:E6)</f>
        <v>0</v>
      </c>
    </row>
    <row r="7" spans="1:6" x14ac:dyDescent="0.25">
      <c r="A7" s="11" t="s">
        <v>6</v>
      </c>
      <c r="B7" s="12"/>
      <c r="C7" s="13">
        <v>0.16666666666666666</v>
      </c>
      <c r="D7" s="14"/>
      <c r="E7" s="14"/>
      <c r="F7" s="2"/>
    </row>
    <row r="8" spans="1:6" x14ac:dyDescent="0.25">
      <c r="A8" s="11" t="s">
        <v>7</v>
      </c>
      <c r="B8" s="15"/>
      <c r="C8" s="16" t="s">
        <v>187</v>
      </c>
      <c r="D8" s="16"/>
      <c r="E8" s="16"/>
      <c r="F8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748A-7481-4E0A-A0DD-3021C0858E87}">
  <dimension ref="A1:F18"/>
  <sheetViews>
    <sheetView topLeftCell="A2" workbookViewId="0">
      <selection activeCell="E17" sqref="E17"/>
    </sheetView>
  </sheetViews>
  <sheetFormatPr baseColWidth="10" defaultRowHeight="15" x14ac:dyDescent="0.25"/>
  <cols>
    <col min="1" max="1" width="26.5703125" bestFit="1" customWidth="1"/>
    <col min="3" max="3" width="12" bestFit="1" customWidth="1"/>
  </cols>
  <sheetData>
    <row r="1" spans="1:6" ht="18.75" x14ac:dyDescent="0.3">
      <c r="A1" s="86" t="s">
        <v>175</v>
      </c>
      <c r="B1" s="87"/>
      <c r="C1" s="87"/>
      <c r="D1" s="87"/>
      <c r="E1" s="87"/>
      <c r="F1" s="88"/>
    </row>
    <row r="2" spans="1:6" ht="18.75" x14ac:dyDescent="0.3">
      <c r="A2" s="86" t="s">
        <v>194</v>
      </c>
      <c r="B2" s="87"/>
      <c r="C2" s="87"/>
      <c r="D2" s="87"/>
      <c r="E2" s="87"/>
      <c r="F2" s="88"/>
    </row>
    <row r="3" spans="1:6" ht="18.75" x14ac:dyDescent="0.3">
      <c r="A3" s="86" t="s">
        <v>8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1" t="s">
        <v>2</v>
      </c>
      <c r="C4" s="2">
        <v>12649</v>
      </c>
      <c r="D4" s="3">
        <v>12650</v>
      </c>
      <c r="E4" s="3">
        <v>12667</v>
      </c>
      <c r="F4" s="1" t="s">
        <v>3</v>
      </c>
    </row>
    <row r="5" spans="1:6" x14ac:dyDescent="0.25">
      <c r="A5" s="90"/>
      <c r="B5" s="5">
        <v>45747</v>
      </c>
      <c r="C5" s="6">
        <v>45756</v>
      </c>
      <c r="D5" s="6">
        <v>45757</v>
      </c>
      <c r="E5" s="6">
        <v>45768</v>
      </c>
      <c r="F5" s="5">
        <v>45777</v>
      </c>
    </row>
    <row r="6" spans="1:6" x14ac:dyDescent="0.25">
      <c r="A6" s="7" t="s">
        <v>148</v>
      </c>
      <c r="B6" s="8">
        <v>4</v>
      </c>
      <c r="C6" s="9"/>
      <c r="D6" s="9"/>
      <c r="E6" s="9"/>
      <c r="F6" s="10">
        <f>SUM(B6:E6)</f>
        <v>4</v>
      </c>
    </row>
    <row r="7" spans="1:6" x14ac:dyDescent="0.25">
      <c r="A7" s="7" t="s">
        <v>144</v>
      </c>
      <c r="B7" s="8">
        <v>4</v>
      </c>
      <c r="C7" s="9"/>
      <c r="D7" s="9"/>
      <c r="E7" s="9"/>
      <c r="F7" s="10">
        <f>SUM(B7:E7)</f>
        <v>4</v>
      </c>
    </row>
    <row r="8" spans="1:6" x14ac:dyDescent="0.25">
      <c r="A8" s="7" t="s">
        <v>53</v>
      </c>
      <c r="B8" s="8">
        <v>2</v>
      </c>
      <c r="C8" s="9"/>
      <c r="D8" s="9"/>
      <c r="E8" s="9"/>
      <c r="F8" s="10">
        <f>SUM(B8:E8)</f>
        <v>2</v>
      </c>
    </row>
    <row r="9" spans="1:6" x14ac:dyDescent="0.25">
      <c r="A9" s="7" t="s">
        <v>26</v>
      </c>
      <c r="B9" s="8"/>
      <c r="C9" s="9">
        <v>12</v>
      </c>
      <c r="D9" s="9"/>
      <c r="E9" s="9"/>
      <c r="F9" s="10">
        <f t="shared" ref="F9:F17" si="0">SUM(B9:E9)</f>
        <v>12</v>
      </c>
    </row>
    <row r="10" spans="1:6" x14ac:dyDescent="0.25">
      <c r="A10" s="7" t="s">
        <v>25</v>
      </c>
      <c r="B10" s="8"/>
      <c r="C10" s="9">
        <v>6</v>
      </c>
      <c r="D10" s="9">
        <v>6</v>
      </c>
      <c r="E10" s="9">
        <v>4</v>
      </c>
      <c r="F10" s="10">
        <f t="shared" si="0"/>
        <v>16</v>
      </c>
    </row>
    <row r="11" spans="1:6" x14ac:dyDescent="0.25">
      <c r="A11" s="7" t="s">
        <v>95</v>
      </c>
      <c r="B11" s="8"/>
      <c r="C11" s="9">
        <v>6</v>
      </c>
      <c r="D11" s="9">
        <v>6</v>
      </c>
      <c r="E11" s="9"/>
      <c r="F11" s="10">
        <f t="shared" si="0"/>
        <v>12</v>
      </c>
    </row>
    <row r="12" spans="1:6" x14ac:dyDescent="0.25">
      <c r="A12" s="7" t="s">
        <v>59</v>
      </c>
      <c r="B12" s="8"/>
      <c r="C12" s="9">
        <v>24</v>
      </c>
      <c r="D12" s="9"/>
      <c r="E12" s="9"/>
      <c r="F12" s="10">
        <f t="shared" si="0"/>
        <v>24</v>
      </c>
    </row>
    <row r="13" spans="1:6" x14ac:dyDescent="0.25">
      <c r="A13" s="7" t="s">
        <v>13</v>
      </c>
      <c r="B13" s="8"/>
      <c r="C13" s="9">
        <v>12</v>
      </c>
      <c r="D13" s="9"/>
      <c r="E13" s="9"/>
      <c r="F13" s="10">
        <f t="shared" si="0"/>
        <v>12</v>
      </c>
    </row>
    <row r="14" spans="1:6" x14ac:dyDescent="0.25">
      <c r="A14" s="7" t="s">
        <v>15</v>
      </c>
      <c r="B14" s="8"/>
      <c r="C14" s="9">
        <v>18</v>
      </c>
      <c r="D14" s="9"/>
      <c r="E14" s="9"/>
      <c r="F14" s="10">
        <f t="shared" si="0"/>
        <v>18</v>
      </c>
    </row>
    <row r="15" spans="1:6" x14ac:dyDescent="0.25">
      <c r="A15" s="7" t="s">
        <v>90</v>
      </c>
      <c r="B15" s="8"/>
      <c r="C15" s="9">
        <v>300</v>
      </c>
      <c r="D15" s="9"/>
      <c r="E15" s="9"/>
      <c r="F15" s="10">
        <f t="shared" si="0"/>
        <v>300</v>
      </c>
    </row>
    <row r="16" spans="1:6" x14ac:dyDescent="0.25">
      <c r="A16" s="7" t="s">
        <v>77</v>
      </c>
      <c r="B16" s="8"/>
      <c r="C16" s="9">
        <v>1</v>
      </c>
      <c r="D16" s="9"/>
      <c r="E16" s="9"/>
      <c r="F16" s="10">
        <f t="shared" si="0"/>
        <v>1</v>
      </c>
    </row>
    <row r="17" spans="1:6" x14ac:dyDescent="0.25">
      <c r="A17" s="11" t="s">
        <v>6</v>
      </c>
      <c r="B17" s="27"/>
      <c r="C17" s="52">
        <v>0.33333333333333331</v>
      </c>
      <c r="D17" s="52">
        <v>0.3125</v>
      </c>
      <c r="E17" s="14">
        <v>0.41666666666666669</v>
      </c>
      <c r="F17" s="2">
        <f t="shared" si="0"/>
        <v>1.0625</v>
      </c>
    </row>
    <row r="18" spans="1:6" x14ac:dyDescent="0.25">
      <c r="A18" s="11" t="s">
        <v>7</v>
      </c>
      <c r="B18" s="15"/>
      <c r="C18" s="17">
        <v>35000</v>
      </c>
      <c r="D18" s="16">
        <v>30000</v>
      </c>
      <c r="E18" s="16">
        <v>25000</v>
      </c>
      <c r="F18" s="17">
        <f t="shared" ref="F18" si="1">SUM(B18:E18)</f>
        <v>90000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EBCB-F2E0-4170-BFC1-77ABBA99C8EA}">
  <dimension ref="A1:F18"/>
  <sheetViews>
    <sheetView workbookViewId="0">
      <selection activeCell="B9" sqref="B9"/>
    </sheetView>
  </sheetViews>
  <sheetFormatPr baseColWidth="10" defaultRowHeight="15" x14ac:dyDescent="0.25"/>
  <cols>
    <col min="1" max="1" width="32.42578125" bestFit="1" customWidth="1"/>
  </cols>
  <sheetData>
    <row r="1" spans="1:6" ht="18.75" x14ac:dyDescent="0.3">
      <c r="A1" s="86" t="s">
        <v>201</v>
      </c>
      <c r="B1" s="87"/>
      <c r="C1" s="87"/>
      <c r="D1" s="87"/>
      <c r="E1" s="87"/>
      <c r="F1" s="88"/>
    </row>
    <row r="2" spans="1:6" ht="18.75" x14ac:dyDescent="0.3">
      <c r="A2" s="86" t="s">
        <v>204</v>
      </c>
      <c r="B2" s="87"/>
      <c r="C2" s="87"/>
      <c r="D2" s="87"/>
      <c r="E2" s="87"/>
      <c r="F2" s="88"/>
    </row>
    <row r="3" spans="1:6" ht="18.75" x14ac:dyDescent="0.3">
      <c r="A3" s="86" t="s">
        <v>8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3">
        <v>12655</v>
      </c>
      <c r="C4" s="2"/>
      <c r="D4" s="3"/>
      <c r="E4" s="3"/>
      <c r="F4" s="1" t="s">
        <v>3</v>
      </c>
    </row>
    <row r="5" spans="1:6" x14ac:dyDescent="0.25">
      <c r="A5" s="90"/>
      <c r="B5" s="6">
        <v>45758</v>
      </c>
      <c r="C5" s="6"/>
      <c r="D5" s="6"/>
      <c r="E5" s="6"/>
      <c r="F5" s="5">
        <v>45777</v>
      </c>
    </row>
    <row r="6" spans="1:6" x14ac:dyDescent="0.25">
      <c r="A6" s="7" t="s">
        <v>202</v>
      </c>
      <c r="B6" s="8">
        <v>20</v>
      </c>
      <c r="C6" s="9"/>
      <c r="D6" s="9"/>
      <c r="E6" s="9"/>
      <c r="F6" s="10">
        <f>SUM(B6:E6)</f>
        <v>20</v>
      </c>
    </row>
    <row r="7" spans="1:6" x14ac:dyDescent="0.25">
      <c r="A7" s="7" t="s">
        <v>144</v>
      </c>
      <c r="B7" s="8">
        <v>20</v>
      </c>
      <c r="C7" s="9"/>
      <c r="D7" s="9"/>
      <c r="E7" s="9"/>
      <c r="F7" s="10">
        <f>SUM(B7:E7)</f>
        <v>20</v>
      </c>
    </row>
    <row r="8" spans="1:6" x14ac:dyDescent="0.25">
      <c r="A8" s="7" t="s">
        <v>53</v>
      </c>
      <c r="B8" s="8">
        <v>20</v>
      </c>
      <c r="C8" s="9"/>
      <c r="D8" s="9"/>
      <c r="E8" s="9"/>
      <c r="F8" s="10">
        <f>SUM(B8:E8)</f>
        <v>20</v>
      </c>
    </row>
    <row r="9" spans="1:6" x14ac:dyDescent="0.25">
      <c r="A9" s="7" t="s">
        <v>203</v>
      </c>
      <c r="B9" s="8">
        <v>8</v>
      </c>
      <c r="C9" s="9"/>
      <c r="D9" s="9"/>
      <c r="E9" s="9"/>
      <c r="F9" s="10">
        <f t="shared" ref="F9:F18" si="0">SUM(B9:E9)</f>
        <v>8</v>
      </c>
    </row>
    <row r="10" spans="1:6" x14ac:dyDescent="0.25">
      <c r="A10" s="7"/>
      <c r="B10" s="8"/>
      <c r="C10" s="9"/>
      <c r="D10" s="9"/>
      <c r="E10" s="9"/>
      <c r="F10" s="10">
        <f t="shared" si="0"/>
        <v>0</v>
      </c>
    </row>
    <row r="11" spans="1:6" x14ac:dyDescent="0.25">
      <c r="A11" s="7"/>
      <c r="B11" s="8"/>
      <c r="C11" s="9"/>
      <c r="D11" s="9"/>
      <c r="E11" s="9"/>
      <c r="F11" s="10">
        <f t="shared" si="0"/>
        <v>0</v>
      </c>
    </row>
    <row r="12" spans="1:6" x14ac:dyDescent="0.25">
      <c r="A12" s="7"/>
      <c r="B12" s="8"/>
      <c r="C12" s="9"/>
      <c r="D12" s="9"/>
      <c r="E12" s="9"/>
      <c r="F12" s="10">
        <f t="shared" si="0"/>
        <v>0</v>
      </c>
    </row>
    <row r="13" spans="1:6" x14ac:dyDescent="0.25">
      <c r="A13" s="7"/>
      <c r="B13" s="8"/>
      <c r="C13" s="9"/>
      <c r="D13" s="9"/>
      <c r="E13" s="9"/>
      <c r="F13" s="10">
        <f t="shared" si="0"/>
        <v>0</v>
      </c>
    </row>
    <row r="14" spans="1:6" x14ac:dyDescent="0.25">
      <c r="A14" s="7"/>
      <c r="B14" s="8"/>
      <c r="C14" s="9"/>
      <c r="D14" s="9"/>
      <c r="E14" s="9"/>
      <c r="F14" s="10">
        <f t="shared" si="0"/>
        <v>0</v>
      </c>
    </row>
    <row r="15" spans="1:6" x14ac:dyDescent="0.25">
      <c r="A15" s="7"/>
      <c r="B15" s="8"/>
      <c r="C15" s="9"/>
      <c r="D15" s="9"/>
      <c r="E15" s="9"/>
      <c r="F15" s="10">
        <f t="shared" si="0"/>
        <v>0</v>
      </c>
    </row>
    <row r="16" spans="1:6" x14ac:dyDescent="0.25">
      <c r="A16" s="7"/>
      <c r="B16" s="8"/>
      <c r="C16" s="9"/>
      <c r="D16" s="9"/>
      <c r="E16" s="9"/>
      <c r="F16" s="10">
        <f t="shared" si="0"/>
        <v>0</v>
      </c>
    </row>
    <row r="17" spans="1:6" x14ac:dyDescent="0.25">
      <c r="A17" s="11" t="s">
        <v>6</v>
      </c>
      <c r="B17" s="64">
        <v>0.375</v>
      </c>
      <c r="C17" s="52"/>
      <c r="D17" s="52"/>
      <c r="E17" s="14"/>
      <c r="F17" s="2">
        <f t="shared" si="0"/>
        <v>0.375</v>
      </c>
    </row>
    <row r="18" spans="1:6" x14ac:dyDescent="0.25">
      <c r="A18" s="11" t="s">
        <v>7</v>
      </c>
      <c r="B18" s="16">
        <v>40000</v>
      </c>
      <c r="C18" s="17"/>
      <c r="D18" s="16"/>
      <c r="E18" s="16"/>
      <c r="F18" s="17">
        <f t="shared" si="0"/>
        <v>40000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4C89-724C-49FF-86FB-E430577ADA03}">
  <dimension ref="A1:F10"/>
  <sheetViews>
    <sheetView workbookViewId="0">
      <selection activeCell="B10" sqref="B10"/>
    </sheetView>
  </sheetViews>
  <sheetFormatPr baseColWidth="10" defaultRowHeight="15" x14ac:dyDescent="0.25"/>
  <cols>
    <col min="1" max="1" width="33.42578125" bestFit="1" customWidth="1"/>
    <col min="2" max="2" width="10.42578125" customWidth="1"/>
  </cols>
  <sheetData>
    <row r="1" spans="1:6" ht="18.75" x14ac:dyDescent="0.3">
      <c r="A1" s="86" t="s">
        <v>195</v>
      </c>
      <c r="B1" s="87"/>
      <c r="C1" s="87"/>
      <c r="D1" s="87"/>
      <c r="E1" s="87"/>
      <c r="F1" s="88"/>
    </row>
    <row r="2" spans="1:6" ht="18.75" x14ac:dyDescent="0.3">
      <c r="A2" s="86" t="s">
        <v>196</v>
      </c>
      <c r="B2" s="87"/>
      <c r="C2" s="87"/>
      <c r="D2" s="87"/>
      <c r="E2" s="87"/>
      <c r="F2" s="88"/>
    </row>
    <row r="3" spans="1:6" ht="18.75" x14ac:dyDescent="0.3">
      <c r="A3" s="86" t="s">
        <v>8</v>
      </c>
      <c r="B3" s="87"/>
      <c r="C3" s="87"/>
      <c r="D3" s="87"/>
      <c r="E3" s="87"/>
      <c r="F3" s="88"/>
    </row>
    <row r="4" spans="1:6" x14ac:dyDescent="0.25">
      <c r="A4" s="89" t="s">
        <v>1</v>
      </c>
      <c r="B4" s="3">
        <v>12651</v>
      </c>
      <c r="C4" s="2">
        <v>11468</v>
      </c>
      <c r="D4" s="3"/>
      <c r="E4" s="3"/>
      <c r="F4" s="1" t="s">
        <v>3</v>
      </c>
    </row>
    <row r="5" spans="1:6" x14ac:dyDescent="0.25">
      <c r="A5" s="90"/>
      <c r="B5" s="6">
        <v>45757</v>
      </c>
      <c r="C5" s="6">
        <v>45757</v>
      </c>
      <c r="D5" s="6"/>
      <c r="E5" s="6"/>
      <c r="F5" s="5">
        <v>45777</v>
      </c>
    </row>
    <row r="6" spans="1:6" x14ac:dyDescent="0.25">
      <c r="A6" s="7" t="s">
        <v>197</v>
      </c>
      <c r="B6" s="8">
        <v>6</v>
      </c>
      <c r="C6" s="9">
        <v>-6</v>
      </c>
      <c r="D6" s="9"/>
      <c r="E6" s="9"/>
      <c r="F6" s="10">
        <f>SUM(B6:E6)</f>
        <v>0</v>
      </c>
    </row>
    <row r="7" spans="1:6" x14ac:dyDescent="0.25">
      <c r="A7" s="7" t="s">
        <v>144</v>
      </c>
      <c r="B7" s="8">
        <v>6</v>
      </c>
      <c r="C7" s="9">
        <v>-6</v>
      </c>
      <c r="D7" s="9"/>
      <c r="E7" s="9"/>
      <c r="F7" s="10">
        <f>SUM(B7:E7)</f>
        <v>0</v>
      </c>
    </row>
    <row r="8" spans="1:6" x14ac:dyDescent="0.25">
      <c r="A8" s="7" t="s">
        <v>53</v>
      </c>
      <c r="B8" s="8">
        <v>2</v>
      </c>
      <c r="C8" s="9">
        <v>-2</v>
      </c>
      <c r="D8" s="9"/>
      <c r="E8" s="9"/>
      <c r="F8" s="10">
        <f>SUM(B8:E8)</f>
        <v>0</v>
      </c>
    </row>
    <row r="9" spans="1:6" x14ac:dyDescent="0.25">
      <c r="A9" s="11" t="s">
        <v>6</v>
      </c>
      <c r="B9" s="64">
        <v>0.375</v>
      </c>
      <c r="C9" s="52">
        <v>0.125</v>
      </c>
      <c r="D9" s="52"/>
      <c r="E9" s="14"/>
      <c r="F9" s="2"/>
    </row>
    <row r="10" spans="1:6" x14ac:dyDescent="0.25">
      <c r="A10" s="11" t="s">
        <v>7</v>
      </c>
      <c r="B10" s="16">
        <v>25000</v>
      </c>
      <c r="C10" s="17">
        <v>25000</v>
      </c>
      <c r="D10" s="16"/>
      <c r="E10" s="16"/>
      <c r="F10" s="17">
        <f t="shared" ref="F10" si="0">SUM(B10:E10)</f>
        <v>50000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8E20-CCED-46EB-86E9-BDD3AD171C33}">
  <dimension ref="A1:I21"/>
  <sheetViews>
    <sheetView topLeftCell="A3" workbookViewId="0">
      <selection activeCell="L12" sqref="L12"/>
    </sheetView>
  </sheetViews>
  <sheetFormatPr baseColWidth="10" defaultRowHeight="15" x14ac:dyDescent="0.25"/>
  <cols>
    <col min="1" max="1" width="28.28515625" customWidth="1"/>
  </cols>
  <sheetData>
    <row r="1" spans="1:9" ht="18.75" x14ac:dyDescent="0.3">
      <c r="A1" s="86" t="s">
        <v>118</v>
      </c>
      <c r="B1" s="87"/>
      <c r="C1" s="87"/>
      <c r="D1" s="87"/>
      <c r="E1" s="87"/>
      <c r="F1" s="87"/>
      <c r="G1" s="87"/>
      <c r="H1" s="87"/>
      <c r="I1" s="88"/>
    </row>
    <row r="2" spans="1:9" ht="18.75" x14ac:dyDescent="0.3">
      <c r="A2" s="86" t="s">
        <v>119</v>
      </c>
      <c r="B2" s="87"/>
      <c r="C2" s="87"/>
      <c r="D2" s="87"/>
      <c r="E2" s="87"/>
      <c r="F2" s="87"/>
      <c r="G2" s="87"/>
      <c r="H2" s="87"/>
      <c r="I2" s="88"/>
    </row>
    <row r="3" spans="1:9" ht="18.75" x14ac:dyDescent="0.3">
      <c r="A3" s="86" t="s">
        <v>8</v>
      </c>
      <c r="B3" s="87"/>
      <c r="C3" s="87"/>
      <c r="D3" s="87"/>
      <c r="E3" s="87"/>
      <c r="F3" s="87"/>
      <c r="G3" s="87"/>
      <c r="H3" s="87"/>
      <c r="I3" s="88"/>
    </row>
    <row r="4" spans="1:9" x14ac:dyDescent="0.25">
      <c r="A4" s="89" t="s">
        <v>1</v>
      </c>
      <c r="B4" s="3" t="s">
        <v>2</v>
      </c>
      <c r="C4" s="2">
        <v>11449</v>
      </c>
      <c r="D4" s="2"/>
      <c r="E4" s="3"/>
      <c r="F4" s="3"/>
      <c r="G4" s="3"/>
      <c r="H4" s="3"/>
      <c r="I4" s="3" t="s">
        <v>3</v>
      </c>
    </row>
    <row r="5" spans="1:9" x14ac:dyDescent="0.25">
      <c r="A5" s="90"/>
      <c r="B5" s="6">
        <v>45747</v>
      </c>
      <c r="C5" s="6">
        <v>45749</v>
      </c>
      <c r="D5" s="6"/>
      <c r="E5" s="6"/>
      <c r="F5" s="6"/>
      <c r="G5" s="6"/>
      <c r="H5" s="6"/>
      <c r="I5" s="6">
        <v>45777</v>
      </c>
    </row>
    <row r="6" spans="1:9" x14ac:dyDescent="0.25">
      <c r="A6" s="7" t="s">
        <v>25</v>
      </c>
      <c r="B6" s="8">
        <v>12</v>
      </c>
      <c r="C6" s="9">
        <v>-12</v>
      </c>
      <c r="D6" s="9"/>
      <c r="E6" s="9"/>
      <c r="F6" s="9"/>
      <c r="G6" s="9"/>
      <c r="H6" s="9"/>
      <c r="I6" s="10">
        <f>SUM(B6:H6)</f>
        <v>0</v>
      </c>
    </row>
    <row r="7" spans="1:9" x14ac:dyDescent="0.25">
      <c r="A7" s="7" t="s">
        <v>95</v>
      </c>
      <c r="B7" s="8">
        <v>6</v>
      </c>
      <c r="C7" s="9">
        <v>-6</v>
      </c>
      <c r="D7" s="9"/>
      <c r="E7" s="9"/>
      <c r="F7" s="9"/>
      <c r="G7" s="9"/>
      <c r="H7" s="9"/>
      <c r="I7" s="10">
        <f t="shared" ref="I7:I19" si="0">SUM(B7:H7)</f>
        <v>0</v>
      </c>
    </row>
    <row r="8" spans="1:9" x14ac:dyDescent="0.25">
      <c r="A8" s="7" t="s">
        <v>69</v>
      </c>
      <c r="B8" s="8">
        <v>16</v>
      </c>
      <c r="C8" s="9">
        <v>-16</v>
      </c>
      <c r="D8" s="9"/>
      <c r="E8" s="9"/>
      <c r="F8" s="9"/>
      <c r="G8" s="9"/>
      <c r="H8" s="9"/>
      <c r="I8" s="10">
        <f t="shared" si="0"/>
        <v>0</v>
      </c>
    </row>
    <row r="9" spans="1:9" x14ac:dyDescent="0.25">
      <c r="A9" s="7" t="s">
        <v>26</v>
      </c>
      <c r="B9" s="8">
        <v>12</v>
      </c>
      <c r="C9" s="9">
        <v>-12</v>
      </c>
      <c r="D9" s="9"/>
      <c r="E9" s="9"/>
      <c r="F9" s="9"/>
      <c r="G9" s="9"/>
      <c r="H9" s="9"/>
      <c r="I9" s="10">
        <f t="shared" si="0"/>
        <v>0</v>
      </c>
    </row>
    <row r="10" spans="1:9" x14ac:dyDescent="0.25">
      <c r="A10" s="7" t="s">
        <v>59</v>
      </c>
      <c r="B10" s="8">
        <v>36</v>
      </c>
      <c r="C10" s="9">
        <v>-36</v>
      </c>
      <c r="D10" s="9"/>
      <c r="E10" s="9"/>
      <c r="F10" s="9"/>
      <c r="G10" s="9"/>
      <c r="H10" s="9"/>
      <c r="I10" s="10">
        <f t="shared" si="0"/>
        <v>0</v>
      </c>
    </row>
    <row r="11" spans="1:9" x14ac:dyDescent="0.25">
      <c r="A11" s="7" t="s">
        <v>120</v>
      </c>
      <c r="B11" s="8">
        <v>20</v>
      </c>
      <c r="C11" s="9">
        <v>-20</v>
      </c>
      <c r="D11" s="9"/>
      <c r="E11" s="9"/>
      <c r="F11" s="9"/>
      <c r="G11" s="9"/>
      <c r="H11" s="9"/>
      <c r="I11" s="10">
        <f t="shared" si="0"/>
        <v>0</v>
      </c>
    </row>
    <row r="12" spans="1:9" x14ac:dyDescent="0.25">
      <c r="A12" s="7" t="s">
        <v>15</v>
      </c>
      <c r="B12" s="8">
        <v>10</v>
      </c>
      <c r="C12" s="9">
        <v>-10</v>
      </c>
      <c r="D12" s="9"/>
      <c r="E12" s="9"/>
      <c r="F12" s="9"/>
      <c r="G12" s="9"/>
      <c r="H12" s="9"/>
      <c r="I12" s="10">
        <f t="shared" si="0"/>
        <v>0</v>
      </c>
    </row>
    <row r="13" spans="1:9" x14ac:dyDescent="0.25">
      <c r="A13" s="7" t="s">
        <v>75</v>
      </c>
      <c r="B13" s="8">
        <v>4</v>
      </c>
      <c r="C13" s="9">
        <v>-4</v>
      </c>
      <c r="D13" s="9"/>
      <c r="E13" s="9"/>
      <c r="F13" s="9"/>
      <c r="G13" s="9"/>
      <c r="H13" s="9"/>
      <c r="I13" s="10">
        <f t="shared" si="0"/>
        <v>0</v>
      </c>
    </row>
    <row r="14" spans="1:9" x14ac:dyDescent="0.25">
      <c r="A14" s="7" t="s">
        <v>14</v>
      </c>
      <c r="B14" s="8">
        <v>400</v>
      </c>
      <c r="C14" s="9">
        <v>-400</v>
      </c>
      <c r="D14" s="9"/>
      <c r="E14" s="9"/>
      <c r="F14" s="9"/>
      <c r="G14" s="9"/>
      <c r="H14" s="9"/>
      <c r="I14" s="10">
        <f t="shared" si="0"/>
        <v>0</v>
      </c>
    </row>
    <row r="15" spans="1:9" x14ac:dyDescent="0.25">
      <c r="A15" s="7" t="s">
        <v>125</v>
      </c>
      <c r="B15" s="8">
        <v>2</v>
      </c>
      <c r="C15" s="9">
        <v>-2</v>
      </c>
      <c r="D15" s="9"/>
      <c r="E15" s="9"/>
      <c r="F15" s="9"/>
      <c r="G15" s="9"/>
      <c r="H15" s="9"/>
      <c r="I15" s="10">
        <f t="shared" si="0"/>
        <v>0</v>
      </c>
    </row>
    <row r="16" spans="1:9" x14ac:dyDescent="0.25">
      <c r="A16" s="7" t="s">
        <v>121</v>
      </c>
      <c r="B16" s="8">
        <v>2</v>
      </c>
      <c r="C16" s="9">
        <v>-2</v>
      </c>
      <c r="D16" s="9"/>
      <c r="E16" s="9"/>
      <c r="F16" s="9"/>
      <c r="G16" s="9"/>
      <c r="H16" s="9"/>
      <c r="I16" s="10">
        <f t="shared" si="0"/>
        <v>0</v>
      </c>
    </row>
    <row r="17" spans="1:9" x14ac:dyDescent="0.25">
      <c r="A17" s="7" t="s">
        <v>122</v>
      </c>
      <c r="B17" s="8">
        <v>1</v>
      </c>
      <c r="C17" s="9">
        <v>-1</v>
      </c>
      <c r="D17" s="9"/>
      <c r="E17" s="9"/>
      <c r="F17" s="9"/>
      <c r="G17" s="9"/>
      <c r="H17" s="9"/>
      <c r="I17" s="10">
        <f t="shared" si="0"/>
        <v>0</v>
      </c>
    </row>
    <row r="18" spans="1:9" x14ac:dyDescent="0.25">
      <c r="A18" s="7" t="s">
        <v>123</v>
      </c>
      <c r="B18" s="8">
        <v>1</v>
      </c>
      <c r="C18" s="9">
        <v>-1</v>
      </c>
      <c r="D18" s="9"/>
      <c r="E18" s="9"/>
      <c r="F18" s="9"/>
      <c r="G18" s="9"/>
      <c r="H18" s="9"/>
      <c r="I18" s="10">
        <f t="shared" si="0"/>
        <v>0</v>
      </c>
    </row>
    <row r="19" spans="1:9" x14ac:dyDescent="0.25">
      <c r="A19" s="7" t="s">
        <v>124</v>
      </c>
      <c r="B19" s="8">
        <v>1</v>
      </c>
      <c r="C19" s="9">
        <v>-1</v>
      </c>
      <c r="D19" s="9"/>
      <c r="E19" s="9"/>
      <c r="F19" s="9"/>
      <c r="G19" s="9"/>
      <c r="H19" s="9"/>
      <c r="I19" s="10">
        <f t="shared" si="0"/>
        <v>0</v>
      </c>
    </row>
    <row r="20" spans="1:9" x14ac:dyDescent="0.25">
      <c r="A20" s="11" t="s">
        <v>6</v>
      </c>
      <c r="B20" s="27"/>
      <c r="C20" s="64">
        <v>0.33333333333333331</v>
      </c>
      <c r="D20" s="64"/>
      <c r="E20" s="14"/>
      <c r="F20" s="14"/>
      <c r="G20" s="14"/>
      <c r="H20" s="14"/>
      <c r="I20" s="2"/>
    </row>
    <row r="21" spans="1:9" x14ac:dyDescent="0.25">
      <c r="A21" s="11" t="s">
        <v>7</v>
      </c>
      <c r="B21" s="15"/>
      <c r="C21" s="17">
        <v>50000</v>
      </c>
      <c r="D21" s="17"/>
      <c r="E21" s="16"/>
      <c r="F21" s="16"/>
      <c r="G21" s="16"/>
      <c r="H21" s="16"/>
      <c r="I21" s="17">
        <f t="shared" ref="I21" si="1">SUM(B21:H21)</f>
        <v>50000</v>
      </c>
    </row>
  </sheetData>
  <mergeCells count="4">
    <mergeCell ref="A1:I1"/>
    <mergeCell ref="A2:I2"/>
    <mergeCell ref="A3:I3"/>
    <mergeCell ref="A4:A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07F8-FAC4-468E-AC33-3271B229488D}">
  <dimension ref="A1:G10"/>
  <sheetViews>
    <sheetView topLeftCell="A36" workbookViewId="0">
      <selection activeCell="G63" sqref="G63"/>
    </sheetView>
  </sheetViews>
  <sheetFormatPr baseColWidth="10" defaultRowHeight="15" x14ac:dyDescent="0.25"/>
  <cols>
    <col min="1" max="1" width="28.7109375" bestFit="1" customWidth="1"/>
    <col min="7" max="7" width="12" bestFit="1" customWidth="1"/>
  </cols>
  <sheetData>
    <row r="1" spans="1:7" ht="18.75" x14ac:dyDescent="0.3">
      <c r="A1" s="94" t="s">
        <v>188</v>
      </c>
      <c r="B1" s="94"/>
      <c r="C1" s="94"/>
      <c r="D1" s="94"/>
      <c r="E1" s="94"/>
      <c r="G1">
        <v>2.2222222222222198E+56</v>
      </c>
    </row>
    <row r="2" spans="1:7" ht="18.75" x14ac:dyDescent="0.3">
      <c r="A2" s="94" t="s">
        <v>189</v>
      </c>
      <c r="B2" s="94"/>
      <c r="C2" s="94"/>
      <c r="D2" s="94"/>
      <c r="E2" s="94"/>
      <c r="F2" t="s">
        <v>208</v>
      </c>
    </row>
    <row r="3" spans="1:7" ht="18.75" x14ac:dyDescent="0.3">
      <c r="A3" s="94" t="s">
        <v>191</v>
      </c>
      <c r="B3" s="94"/>
      <c r="C3" s="94"/>
      <c r="D3" s="94"/>
      <c r="E3" s="94"/>
    </row>
    <row r="4" spans="1:7" x14ac:dyDescent="0.25">
      <c r="A4" s="95" t="s">
        <v>1</v>
      </c>
      <c r="B4" s="10" t="s">
        <v>2</v>
      </c>
      <c r="C4" s="2"/>
      <c r="D4" s="2"/>
      <c r="E4" s="1" t="s">
        <v>2</v>
      </c>
    </row>
    <row r="5" spans="1:7" x14ac:dyDescent="0.25">
      <c r="A5" s="95"/>
      <c r="B5" s="5">
        <v>45747</v>
      </c>
      <c r="C5" s="6"/>
      <c r="D5" s="6"/>
      <c r="E5" s="5">
        <v>45777</v>
      </c>
    </row>
    <row r="6" spans="1:7" x14ac:dyDescent="0.25">
      <c r="A6" s="45" t="s">
        <v>125</v>
      </c>
      <c r="B6" s="1">
        <v>16</v>
      </c>
      <c r="C6" s="9"/>
      <c r="D6" s="9"/>
      <c r="E6" s="8">
        <f t="shared" ref="E6:E8" si="0">SUM(B6:D6)</f>
        <v>16</v>
      </c>
    </row>
    <row r="7" spans="1:7" x14ac:dyDescent="0.25">
      <c r="A7" s="45" t="s">
        <v>190</v>
      </c>
      <c r="B7" s="1">
        <v>14</v>
      </c>
      <c r="C7" s="9"/>
      <c r="D7" s="9"/>
      <c r="E7" s="8">
        <f t="shared" si="0"/>
        <v>14</v>
      </c>
    </row>
    <row r="8" spans="1:7" x14ac:dyDescent="0.25">
      <c r="A8" s="45" t="s">
        <v>173</v>
      </c>
      <c r="B8" s="1">
        <v>4</v>
      </c>
      <c r="C8" s="9"/>
      <c r="D8" s="9"/>
      <c r="E8" s="8">
        <f t="shared" si="0"/>
        <v>4</v>
      </c>
    </row>
    <row r="9" spans="1:7" x14ac:dyDescent="0.25">
      <c r="A9" s="11" t="s">
        <v>6</v>
      </c>
      <c r="B9" s="75"/>
      <c r="C9" s="77"/>
      <c r="D9" s="23"/>
      <c r="E9" s="47"/>
    </row>
    <row r="10" spans="1:7" x14ac:dyDescent="0.25">
      <c r="A10" s="11" t="s">
        <v>21</v>
      </c>
      <c r="B10" s="50"/>
      <c r="C10" s="24"/>
      <c r="D10" s="48"/>
      <c r="E10" s="47"/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0909-AA71-4966-9BD1-EA8928D6A290}">
  <dimension ref="A1:H17"/>
  <sheetViews>
    <sheetView workbookViewId="0">
      <selection activeCell="C14" sqref="C14"/>
    </sheetView>
  </sheetViews>
  <sheetFormatPr baseColWidth="10" defaultRowHeight="15" x14ac:dyDescent="0.25"/>
  <cols>
    <col min="1" max="1" width="27" customWidth="1"/>
  </cols>
  <sheetData>
    <row r="1" spans="1:8" ht="18.75" x14ac:dyDescent="0.3">
      <c r="A1" s="86" t="s">
        <v>93</v>
      </c>
      <c r="B1" s="87"/>
      <c r="C1" s="87"/>
      <c r="D1" s="87"/>
      <c r="E1" s="87"/>
      <c r="F1" s="87"/>
      <c r="G1" s="87"/>
      <c r="H1" s="87"/>
    </row>
    <row r="2" spans="1:8" ht="18.75" x14ac:dyDescent="0.3">
      <c r="A2" s="86" t="s">
        <v>94</v>
      </c>
      <c r="B2" s="87"/>
      <c r="C2" s="87"/>
      <c r="D2" s="87"/>
      <c r="E2" s="87"/>
      <c r="F2" s="87"/>
      <c r="G2" s="87"/>
      <c r="H2" s="87"/>
    </row>
    <row r="3" spans="1:8" ht="18.75" x14ac:dyDescent="0.3">
      <c r="A3" s="86" t="s">
        <v>49</v>
      </c>
      <c r="B3" s="87"/>
      <c r="C3" s="87"/>
      <c r="D3" s="87"/>
      <c r="E3" s="87"/>
      <c r="F3" s="87"/>
      <c r="G3" s="87"/>
      <c r="H3" s="88"/>
    </row>
    <row r="4" spans="1:8" x14ac:dyDescent="0.25">
      <c r="A4" s="95" t="s">
        <v>1</v>
      </c>
      <c r="B4" s="3">
        <v>12643</v>
      </c>
      <c r="C4" s="2">
        <v>12654</v>
      </c>
      <c r="D4" s="2"/>
      <c r="E4" s="2"/>
      <c r="F4" s="2"/>
      <c r="G4" s="2"/>
      <c r="H4" s="1" t="s">
        <v>2</v>
      </c>
    </row>
    <row r="5" spans="1:8" x14ac:dyDescent="0.25">
      <c r="A5" s="95"/>
      <c r="B5" s="6">
        <v>45750</v>
      </c>
      <c r="C5" s="6">
        <v>45757</v>
      </c>
      <c r="D5" s="6"/>
      <c r="E5" s="6"/>
      <c r="F5" s="6"/>
      <c r="G5" s="6"/>
      <c r="H5" s="5">
        <v>45747</v>
      </c>
    </row>
    <row r="6" spans="1:8" x14ac:dyDescent="0.25">
      <c r="A6" s="45" t="s">
        <v>83</v>
      </c>
      <c r="B6" s="1">
        <v>2</v>
      </c>
      <c r="C6" s="9"/>
      <c r="D6" s="9"/>
      <c r="E6" s="9"/>
      <c r="F6" s="9"/>
      <c r="G6" s="9"/>
      <c r="H6" s="8">
        <f t="shared" ref="H6:H14" si="0">SUM(B6:G6)</f>
        <v>2</v>
      </c>
    </row>
    <row r="7" spans="1:8" x14ac:dyDescent="0.25">
      <c r="A7" s="45" t="s">
        <v>25</v>
      </c>
      <c r="B7" s="1">
        <v>8</v>
      </c>
      <c r="C7" s="9"/>
      <c r="D7" s="9"/>
      <c r="E7" s="9"/>
      <c r="F7" s="9"/>
      <c r="G7" s="9"/>
      <c r="H7" s="8">
        <f t="shared" si="0"/>
        <v>8</v>
      </c>
    </row>
    <row r="8" spans="1:8" x14ac:dyDescent="0.25">
      <c r="A8" s="45" t="s">
        <v>12</v>
      </c>
      <c r="B8" s="1">
        <v>60</v>
      </c>
      <c r="C8" s="9"/>
      <c r="D8" s="9"/>
      <c r="E8" s="9"/>
      <c r="F8" s="9"/>
      <c r="G8" s="9"/>
      <c r="H8" s="8">
        <f t="shared" si="0"/>
        <v>60</v>
      </c>
    </row>
    <row r="9" spans="1:8" x14ac:dyDescent="0.25">
      <c r="A9" s="45" t="s">
        <v>95</v>
      </c>
      <c r="B9" s="1">
        <v>8</v>
      </c>
      <c r="C9" s="9"/>
      <c r="D9" s="9"/>
      <c r="E9" s="9"/>
      <c r="F9" s="9"/>
      <c r="G9" s="9"/>
      <c r="H9" s="8">
        <f t="shared" si="0"/>
        <v>8</v>
      </c>
    </row>
    <row r="10" spans="1:8" x14ac:dyDescent="0.25">
      <c r="A10" s="45" t="s">
        <v>11</v>
      </c>
      <c r="B10" s="1">
        <v>8</v>
      </c>
      <c r="C10" s="9"/>
      <c r="D10" s="9"/>
      <c r="E10" s="9"/>
      <c r="F10" s="9"/>
      <c r="G10" s="9"/>
      <c r="H10" s="8">
        <f t="shared" si="0"/>
        <v>8</v>
      </c>
    </row>
    <row r="11" spans="1:8" x14ac:dyDescent="0.25">
      <c r="A11" s="45" t="s">
        <v>96</v>
      </c>
      <c r="B11" s="1">
        <v>6</v>
      </c>
      <c r="C11" s="9"/>
      <c r="D11" s="9"/>
      <c r="E11" s="9"/>
      <c r="F11" s="9"/>
      <c r="G11" s="9"/>
      <c r="H11" s="8">
        <f t="shared" si="0"/>
        <v>6</v>
      </c>
    </row>
    <row r="12" spans="1:8" x14ac:dyDescent="0.25">
      <c r="A12" s="45" t="s">
        <v>13</v>
      </c>
      <c r="B12" s="1">
        <v>4</v>
      </c>
      <c r="C12" s="9"/>
      <c r="D12" s="9"/>
      <c r="E12" s="9"/>
      <c r="F12" s="9"/>
      <c r="G12" s="9"/>
      <c r="H12" s="8">
        <f t="shared" si="0"/>
        <v>4</v>
      </c>
    </row>
    <row r="13" spans="1:8" x14ac:dyDescent="0.25">
      <c r="A13" s="45" t="s">
        <v>59</v>
      </c>
      <c r="B13" s="1">
        <v>4</v>
      </c>
      <c r="C13" s="9"/>
      <c r="D13" s="9"/>
      <c r="E13" s="9"/>
      <c r="F13" s="9"/>
      <c r="G13" s="9"/>
      <c r="H13" s="8">
        <f t="shared" si="0"/>
        <v>4</v>
      </c>
    </row>
    <row r="14" spans="1:8" x14ac:dyDescent="0.25">
      <c r="A14" s="45" t="s">
        <v>15</v>
      </c>
      <c r="B14" s="1">
        <v>20</v>
      </c>
      <c r="C14" s="9">
        <v>60</v>
      </c>
      <c r="D14" s="9"/>
      <c r="E14" s="9"/>
      <c r="F14" s="9"/>
      <c r="G14" s="9"/>
      <c r="H14" s="8">
        <f t="shared" si="0"/>
        <v>80</v>
      </c>
    </row>
    <row r="15" spans="1:8" x14ac:dyDescent="0.25">
      <c r="A15" s="45"/>
      <c r="B15" s="1"/>
      <c r="C15" s="9"/>
      <c r="D15" s="9"/>
      <c r="E15" s="9"/>
      <c r="F15" s="9"/>
      <c r="G15" s="56"/>
      <c r="H15" s="53"/>
    </row>
    <row r="16" spans="1:8" x14ac:dyDescent="0.25">
      <c r="A16" s="11" t="s">
        <v>20</v>
      </c>
      <c r="B16" s="23">
        <v>0.3125</v>
      </c>
      <c r="C16" s="23">
        <v>0.15972222222222221</v>
      </c>
      <c r="D16" s="23"/>
      <c r="E16" s="23"/>
      <c r="F16" s="23"/>
      <c r="G16" s="23"/>
      <c r="H16" s="47"/>
    </row>
    <row r="17" spans="1:8" x14ac:dyDescent="0.25">
      <c r="A17" s="11" t="s">
        <v>48</v>
      </c>
      <c r="B17" s="48">
        <v>15000</v>
      </c>
      <c r="C17" s="48">
        <v>15000</v>
      </c>
      <c r="D17" s="48"/>
      <c r="E17" s="48"/>
      <c r="F17" s="17"/>
      <c r="G17" s="17"/>
      <c r="H17" s="68">
        <f>SUM(B17:G17)</f>
        <v>30000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77BC-8EE4-42D1-95C1-A58911AB4E39}">
  <dimension ref="A1:H11"/>
  <sheetViews>
    <sheetView workbookViewId="0">
      <selection activeCell="C8" sqref="C8"/>
    </sheetView>
  </sheetViews>
  <sheetFormatPr baseColWidth="10" defaultRowHeight="15" x14ac:dyDescent="0.25"/>
  <cols>
    <col min="1" max="1" width="32.28515625" customWidth="1"/>
  </cols>
  <sheetData>
    <row r="1" spans="1:8" ht="18.75" x14ac:dyDescent="0.3">
      <c r="A1" s="86" t="s">
        <v>97</v>
      </c>
      <c r="B1" s="87"/>
      <c r="C1" s="87"/>
      <c r="D1" s="87"/>
      <c r="E1" s="87"/>
      <c r="F1" s="87"/>
      <c r="G1" s="87"/>
      <c r="H1" s="87"/>
    </row>
    <row r="2" spans="1:8" ht="18.75" x14ac:dyDescent="0.3">
      <c r="A2" s="86" t="s">
        <v>98</v>
      </c>
      <c r="B2" s="87"/>
      <c r="C2" s="87"/>
      <c r="D2" s="87"/>
      <c r="E2" s="87"/>
      <c r="F2" s="87"/>
      <c r="G2" s="87"/>
      <c r="H2" s="87"/>
    </row>
    <row r="3" spans="1:8" ht="18.75" x14ac:dyDescent="0.3">
      <c r="A3" s="86" t="s">
        <v>49</v>
      </c>
      <c r="B3" s="87"/>
      <c r="C3" s="87"/>
      <c r="D3" s="87"/>
      <c r="E3" s="87"/>
      <c r="F3" s="87"/>
      <c r="G3" s="87"/>
      <c r="H3" s="88"/>
    </row>
    <row r="4" spans="1:8" x14ac:dyDescent="0.25">
      <c r="A4" s="95" t="s">
        <v>1</v>
      </c>
      <c r="B4" s="3">
        <v>12639</v>
      </c>
      <c r="C4" s="2">
        <v>11452</v>
      </c>
      <c r="D4" s="2"/>
      <c r="E4" s="2"/>
      <c r="F4" s="2"/>
      <c r="G4" s="2"/>
      <c r="H4" s="1" t="s">
        <v>2</v>
      </c>
    </row>
    <row r="5" spans="1:8" x14ac:dyDescent="0.25">
      <c r="A5" s="95"/>
      <c r="B5" s="6">
        <v>45749</v>
      </c>
      <c r="C5" s="6">
        <v>45749</v>
      </c>
      <c r="D5" s="6"/>
      <c r="E5" s="6"/>
      <c r="F5" s="6"/>
      <c r="G5" s="6"/>
      <c r="H5" s="5">
        <v>45747</v>
      </c>
    </row>
    <row r="6" spans="1:8" x14ac:dyDescent="0.25">
      <c r="A6" s="45" t="s">
        <v>99</v>
      </c>
      <c r="B6" s="1">
        <v>4</v>
      </c>
      <c r="C6" s="9">
        <v>-4</v>
      </c>
      <c r="D6" s="9"/>
      <c r="E6" s="9"/>
      <c r="F6" s="9"/>
      <c r="G6" s="9"/>
      <c r="H6" s="8">
        <f t="shared" ref="H6:H8" si="0">SUM(B6:G6)</f>
        <v>0</v>
      </c>
    </row>
    <row r="7" spans="1:8" x14ac:dyDescent="0.25">
      <c r="A7" s="45" t="s">
        <v>100</v>
      </c>
      <c r="B7" s="1">
        <v>3</v>
      </c>
      <c r="C7" s="9">
        <v>-3</v>
      </c>
      <c r="D7" s="9"/>
      <c r="E7" s="9"/>
      <c r="F7" s="9"/>
      <c r="G7" s="9"/>
      <c r="H7" s="8">
        <f t="shared" si="0"/>
        <v>0</v>
      </c>
    </row>
    <row r="8" spans="1:8" x14ac:dyDescent="0.25">
      <c r="A8" s="45" t="s">
        <v>18</v>
      </c>
      <c r="B8" s="1">
        <v>3</v>
      </c>
      <c r="C8" s="9">
        <v>-3</v>
      </c>
      <c r="D8" s="9"/>
      <c r="E8" s="9"/>
      <c r="F8" s="9"/>
      <c r="G8" s="9"/>
      <c r="H8" s="8">
        <f t="shared" si="0"/>
        <v>0</v>
      </c>
    </row>
    <row r="9" spans="1:8" x14ac:dyDescent="0.25">
      <c r="A9" s="11" t="s">
        <v>20</v>
      </c>
      <c r="B9" s="23">
        <v>0.3125</v>
      </c>
      <c r="C9" s="23">
        <v>0.1875</v>
      </c>
      <c r="D9" s="23"/>
      <c r="E9" s="23"/>
      <c r="F9" s="23"/>
      <c r="G9" s="23"/>
      <c r="H9" s="47"/>
    </row>
    <row r="10" spans="1:8" x14ac:dyDescent="0.25">
      <c r="A10" s="11" t="s">
        <v>48</v>
      </c>
      <c r="B10" s="48" t="s">
        <v>101</v>
      </c>
      <c r="C10" s="48" t="s">
        <v>101</v>
      </c>
      <c r="D10" s="48"/>
      <c r="E10" s="48"/>
      <c r="F10" s="17"/>
      <c r="G10" s="17"/>
      <c r="H10" s="17"/>
    </row>
    <row r="11" spans="1:8" x14ac:dyDescent="0.25">
      <c r="B11" t="s">
        <v>102</v>
      </c>
      <c r="H11" s="57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EE5F-F269-47C3-8657-AFB6FE3D94C7}">
  <dimension ref="A1:H13"/>
  <sheetViews>
    <sheetView workbookViewId="0">
      <selection activeCell="K9" sqref="K9:K12"/>
    </sheetView>
  </sheetViews>
  <sheetFormatPr baseColWidth="10" defaultRowHeight="15" x14ac:dyDescent="0.25"/>
  <cols>
    <col min="1" max="1" width="30.7109375" customWidth="1"/>
  </cols>
  <sheetData>
    <row r="1" spans="1:8" ht="18.75" x14ac:dyDescent="0.3">
      <c r="A1" s="86" t="s">
        <v>87</v>
      </c>
      <c r="B1" s="87"/>
      <c r="C1" s="87"/>
      <c r="D1" s="87"/>
      <c r="E1" s="87"/>
      <c r="F1" s="87"/>
      <c r="G1" s="87"/>
      <c r="H1" s="88"/>
    </row>
    <row r="2" spans="1:8" ht="18.75" x14ac:dyDescent="0.3">
      <c r="A2" s="86" t="s">
        <v>88</v>
      </c>
      <c r="B2" s="87"/>
      <c r="C2" s="87"/>
      <c r="D2" s="87"/>
      <c r="E2" s="87"/>
      <c r="F2" s="87"/>
      <c r="G2" s="87"/>
      <c r="H2" s="88"/>
    </row>
    <row r="3" spans="1:8" ht="18.75" x14ac:dyDescent="0.3">
      <c r="A3" s="86" t="s">
        <v>8</v>
      </c>
      <c r="B3" s="87"/>
      <c r="C3" s="87"/>
      <c r="D3" s="87"/>
      <c r="E3" s="87"/>
      <c r="F3" s="87"/>
      <c r="G3" s="87"/>
      <c r="H3" s="88"/>
    </row>
    <row r="4" spans="1:8" x14ac:dyDescent="0.25">
      <c r="A4" s="89" t="s">
        <v>1</v>
      </c>
      <c r="B4" s="3">
        <v>12638</v>
      </c>
      <c r="C4" s="2">
        <v>12641</v>
      </c>
      <c r="D4" s="3">
        <v>11469</v>
      </c>
      <c r="E4" s="3"/>
      <c r="F4" s="3"/>
      <c r="G4" s="3"/>
      <c r="H4" s="1" t="s">
        <v>2</v>
      </c>
    </row>
    <row r="5" spans="1:8" x14ac:dyDescent="0.25">
      <c r="A5" s="90"/>
      <c r="B5" s="6">
        <v>45749</v>
      </c>
      <c r="C5" s="6">
        <v>45749</v>
      </c>
      <c r="D5" s="6">
        <v>45759</v>
      </c>
      <c r="E5" s="6"/>
      <c r="F5" s="6"/>
      <c r="G5" s="6"/>
      <c r="H5" s="5">
        <v>45777</v>
      </c>
    </row>
    <row r="6" spans="1:8" x14ac:dyDescent="0.25">
      <c r="A6" s="7" t="s">
        <v>18</v>
      </c>
      <c r="B6" s="8">
        <v>4</v>
      </c>
      <c r="C6" s="9"/>
      <c r="D6" s="9">
        <v>-4</v>
      </c>
      <c r="E6" s="9"/>
      <c r="F6" s="9"/>
      <c r="G6" s="9"/>
      <c r="H6" s="10">
        <f t="shared" ref="H6:H8" si="0">SUM(B6:G6)</f>
        <v>0</v>
      </c>
    </row>
    <row r="7" spans="1:8" x14ac:dyDescent="0.25">
      <c r="A7" s="7" t="s">
        <v>91</v>
      </c>
      <c r="B7" s="8">
        <v>1</v>
      </c>
      <c r="C7" s="9">
        <v>-1</v>
      </c>
      <c r="D7" s="9"/>
      <c r="E7" s="9"/>
      <c r="F7" s="9"/>
      <c r="G7" s="9"/>
      <c r="H7" s="10">
        <f t="shared" si="0"/>
        <v>0</v>
      </c>
    </row>
    <row r="8" spans="1:8" x14ac:dyDescent="0.25">
      <c r="A8" s="7" t="s">
        <v>92</v>
      </c>
      <c r="B8" s="8">
        <v>1</v>
      </c>
      <c r="C8" s="9">
        <v>-1</v>
      </c>
      <c r="D8" s="9"/>
      <c r="E8" s="9"/>
      <c r="F8" s="9"/>
      <c r="G8" s="9"/>
      <c r="H8" s="10">
        <f t="shared" si="0"/>
        <v>0</v>
      </c>
    </row>
    <row r="9" spans="1:8" x14ac:dyDescent="0.25">
      <c r="A9" s="7" t="s">
        <v>103</v>
      </c>
      <c r="B9" s="8"/>
      <c r="C9" s="9">
        <v>2</v>
      </c>
      <c r="D9" s="9">
        <v>-2</v>
      </c>
      <c r="E9" s="9"/>
      <c r="F9" s="9"/>
      <c r="G9" s="9"/>
      <c r="H9" s="10">
        <f>SUM(B9:G9)</f>
        <v>0</v>
      </c>
    </row>
    <row r="10" spans="1:8" x14ac:dyDescent="0.25">
      <c r="A10" s="7"/>
      <c r="B10" s="8"/>
      <c r="C10" s="9"/>
      <c r="D10" s="9"/>
      <c r="E10" s="9"/>
      <c r="F10" s="9"/>
      <c r="G10" s="9"/>
      <c r="H10" s="10"/>
    </row>
    <row r="11" spans="1:8" x14ac:dyDescent="0.25">
      <c r="A11" s="7"/>
      <c r="B11" s="8"/>
      <c r="C11" s="9"/>
      <c r="D11" s="9"/>
      <c r="E11" s="9"/>
      <c r="F11" s="9"/>
      <c r="G11" s="9"/>
      <c r="H11" s="10"/>
    </row>
    <row r="12" spans="1:8" x14ac:dyDescent="0.25">
      <c r="A12" s="11" t="s">
        <v>6</v>
      </c>
      <c r="B12" s="23">
        <v>0.3125</v>
      </c>
      <c r="C12" s="13">
        <v>0.41666666666666669</v>
      </c>
      <c r="D12" s="14">
        <v>0.3576388888888889</v>
      </c>
      <c r="E12" s="14"/>
      <c r="F12" s="14"/>
      <c r="G12" s="14"/>
      <c r="H12" s="10"/>
    </row>
    <row r="13" spans="1:8" x14ac:dyDescent="0.25">
      <c r="A13" s="11" t="s">
        <v>7</v>
      </c>
      <c r="B13" s="16">
        <v>12500</v>
      </c>
      <c r="C13" s="16">
        <v>12500</v>
      </c>
      <c r="D13" s="16">
        <v>12500</v>
      </c>
      <c r="E13" s="16"/>
      <c r="F13" s="16"/>
      <c r="G13" s="16"/>
      <c r="H13" s="55">
        <f>SUM(B13:G13)</f>
        <v>37500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2C37-B8B5-435B-AA49-5A2535F6B5AD}">
  <dimension ref="A1:H14"/>
  <sheetViews>
    <sheetView workbookViewId="0">
      <selection activeCell="B11" sqref="B11"/>
    </sheetView>
  </sheetViews>
  <sheetFormatPr baseColWidth="10" defaultRowHeight="15" x14ac:dyDescent="0.25"/>
  <cols>
    <col min="1" max="1" width="35.140625" bestFit="1" customWidth="1"/>
  </cols>
  <sheetData>
    <row r="1" spans="1:8" ht="18.75" x14ac:dyDescent="0.3">
      <c r="A1" s="86" t="s">
        <v>192</v>
      </c>
      <c r="B1" s="87"/>
      <c r="C1" s="87"/>
      <c r="D1" s="87"/>
      <c r="E1" s="87"/>
      <c r="F1" s="87"/>
      <c r="G1" s="87"/>
      <c r="H1" s="88"/>
    </row>
    <row r="2" spans="1:8" ht="18.75" x14ac:dyDescent="0.3">
      <c r="A2" s="86" t="s">
        <v>193</v>
      </c>
      <c r="B2" s="87"/>
      <c r="C2" s="87"/>
      <c r="D2" s="87"/>
      <c r="E2" s="87"/>
      <c r="F2" s="87"/>
      <c r="G2" s="87"/>
      <c r="H2" s="88"/>
    </row>
    <row r="3" spans="1:8" ht="18.75" x14ac:dyDescent="0.3">
      <c r="A3" s="86" t="s">
        <v>8</v>
      </c>
      <c r="B3" s="87"/>
      <c r="C3" s="87"/>
      <c r="D3" s="87"/>
      <c r="E3" s="87"/>
      <c r="F3" s="87"/>
      <c r="G3" s="87"/>
      <c r="H3" s="88"/>
    </row>
    <row r="4" spans="1:8" x14ac:dyDescent="0.25">
      <c r="A4" s="89" t="s">
        <v>1</v>
      </c>
      <c r="B4" s="3">
        <v>12640</v>
      </c>
      <c r="C4" s="2">
        <v>11464</v>
      </c>
      <c r="D4" s="3"/>
      <c r="E4" s="3"/>
      <c r="F4" s="3"/>
      <c r="G4" s="3"/>
      <c r="H4" s="1" t="s">
        <v>2</v>
      </c>
    </row>
    <row r="5" spans="1:8" x14ac:dyDescent="0.25">
      <c r="A5" s="90"/>
      <c r="B5" s="6">
        <v>45749</v>
      </c>
      <c r="C5" s="6">
        <v>45755</v>
      </c>
      <c r="D5" s="6"/>
      <c r="E5" s="6"/>
      <c r="F5" s="6"/>
      <c r="G5" s="6"/>
      <c r="H5" s="5">
        <v>45777</v>
      </c>
    </row>
    <row r="6" spans="1:8" x14ac:dyDescent="0.25">
      <c r="A6" s="7" t="s">
        <v>104</v>
      </c>
      <c r="B6" s="8">
        <v>4</v>
      </c>
      <c r="C6" s="9">
        <v>-4</v>
      </c>
      <c r="D6" s="9"/>
      <c r="E6" s="9"/>
      <c r="F6" s="9"/>
      <c r="G6" s="9"/>
      <c r="H6" s="10">
        <f>SUM(B6:G6)</f>
        <v>0</v>
      </c>
    </row>
    <row r="7" spans="1:8" x14ac:dyDescent="0.25">
      <c r="A7" s="7" t="s">
        <v>100</v>
      </c>
      <c r="B7" s="8">
        <v>4</v>
      </c>
      <c r="C7" s="9">
        <v>-4</v>
      </c>
      <c r="D7" s="9"/>
      <c r="E7" s="9"/>
      <c r="F7" s="9"/>
      <c r="G7" s="9"/>
      <c r="H7" s="10">
        <f>SUM(B7:G7)</f>
        <v>0</v>
      </c>
    </row>
    <row r="8" spans="1:8" x14ac:dyDescent="0.25">
      <c r="A8" s="7" t="s">
        <v>18</v>
      </c>
      <c r="B8" s="8">
        <v>3</v>
      </c>
      <c r="C8" s="9">
        <v>-3</v>
      </c>
      <c r="D8" s="9"/>
      <c r="E8" s="9"/>
      <c r="F8" s="9"/>
      <c r="G8" s="9"/>
      <c r="H8" s="10">
        <f>SUM(B8:G8)</f>
        <v>0</v>
      </c>
    </row>
    <row r="9" spans="1:8" x14ac:dyDescent="0.25">
      <c r="A9" s="7"/>
      <c r="B9" s="8"/>
      <c r="C9" s="9"/>
      <c r="D9" s="9"/>
      <c r="E9" s="9"/>
      <c r="F9" s="9"/>
      <c r="G9" s="9"/>
      <c r="H9" s="10">
        <f>SUM(B9:G9)</f>
        <v>0</v>
      </c>
    </row>
    <row r="10" spans="1:8" x14ac:dyDescent="0.25">
      <c r="A10" s="11" t="s">
        <v>6</v>
      </c>
      <c r="B10" s="23">
        <v>0.4375</v>
      </c>
      <c r="C10" s="13">
        <v>0.1875</v>
      </c>
      <c r="D10" s="14"/>
      <c r="E10" s="14"/>
      <c r="F10" s="14"/>
      <c r="G10" s="14"/>
      <c r="H10" s="2"/>
    </row>
    <row r="11" spans="1:8" x14ac:dyDescent="0.25">
      <c r="A11" s="11" t="s">
        <v>7</v>
      </c>
      <c r="B11" s="16">
        <v>15000</v>
      </c>
      <c r="C11" s="16">
        <v>15000</v>
      </c>
      <c r="D11" s="16"/>
      <c r="E11" s="16"/>
      <c r="F11" s="16"/>
      <c r="G11" s="16"/>
      <c r="H11" s="17">
        <f>SUM(B11:G11)</f>
        <v>30000</v>
      </c>
    </row>
    <row r="12" spans="1:8" x14ac:dyDescent="0.25">
      <c r="B12" s="44" t="s">
        <v>105</v>
      </c>
      <c r="C12" s="44"/>
    </row>
    <row r="13" spans="1:8" x14ac:dyDescent="0.25">
      <c r="B13" s="44"/>
      <c r="C13" s="44"/>
    </row>
    <row r="14" spans="1:8" x14ac:dyDescent="0.25">
      <c r="D14" s="44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C3CC-4CDC-4342-8366-3423CB1EC93F}">
  <dimension ref="A1:I11"/>
  <sheetViews>
    <sheetView workbookViewId="0">
      <selection activeCell="D9" sqref="D9"/>
    </sheetView>
  </sheetViews>
  <sheetFormatPr baseColWidth="10" defaultRowHeight="15" x14ac:dyDescent="0.25"/>
  <cols>
    <col min="1" max="1" width="25.85546875" customWidth="1"/>
  </cols>
  <sheetData>
    <row r="1" spans="1:9" ht="18.75" x14ac:dyDescent="0.25">
      <c r="A1" s="96" t="s">
        <v>106</v>
      </c>
      <c r="B1" s="97"/>
      <c r="C1" s="97"/>
      <c r="D1" s="97"/>
      <c r="E1" s="97"/>
      <c r="F1" s="98"/>
    </row>
    <row r="2" spans="1:9" ht="18.75" x14ac:dyDescent="0.25">
      <c r="A2" s="58"/>
      <c r="B2" s="59"/>
      <c r="C2" s="59" t="s">
        <v>107</v>
      </c>
      <c r="D2" s="59"/>
      <c r="E2" s="59"/>
      <c r="F2" s="60"/>
    </row>
    <row r="3" spans="1:9" ht="18.75" x14ac:dyDescent="0.25">
      <c r="A3" s="99" t="s">
        <v>8</v>
      </c>
      <c r="B3" s="100"/>
      <c r="C3" s="100"/>
      <c r="D3" s="97"/>
      <c r="E3" s="97"/>
      <c r="F3" s="98"/>
    </row>
    <row r="4" spans="1:9" x14ac:dyDescent="0.25">
      <c r="A4" s="95" t="s">
        <v>1</v>
      </c>
      <c r="B4" s="1" t="s">
        <v>2</v>
      </c>
      <c r="C4" s="3">
        <v>12645</v>
      </c>
      <c r="D4" s="3">
        <v>12647</v>
      </c>
      <c r="E4" s="3"/>
      <c r="F4" s="3" t="s">
        <v>2</v>
      </c>
    </row>
    <row r="5" spans="1:9" x14ac:dyDescent="0.25">
      <c r="A5" s="95"/>
      <c r="B5" s="66">
        <v>45747</v>
      </c>
      <c r="C5" s="6">
        <v>45750</v>
      </c>
      <c r="D5" s="30">
        <v>45752</v>
      </c>
      <c r="E5" s="30"/>
      <c r="F5" s="30">
        <v>45777</v>
      </c>
    </row>
    <row r="6" spans="1:9" x14ac:dyDescent="0.25">
      <c r="A6" s="61" t="s">
        <v>12</v>
      </c>
      <c r="B6" s="10">
        <v>4</v>
      </c>
      <c r="C6" s="21">
        <v>9</v>
      </c>
      <c r="D6" s="62"/>
      <c r="E6" s="34"/>
      <c r="F6" s="63">
        <f>SUM(B6:E6)</f>
        <v>13</v>
      </c>
    </row>
    <row r="7" spans="1:9" x14ac:dyDescent="0.25">
      <c r="A7" s="61" t="s">
        <v>95</v>
      </c>
      <c r="B7" s="10">
        <v>1</v>
      </c>
      <c r="C7" s="21"/>
      <c r="D7" s="62"/>
      <c r="E7" s="34"/>
      <c r="F7" s="63">
        <f>SUM(B7:E7)</f>
        <v>1</v>
      </c>
    </row>
    <row r="8" spans="1:9" x14ac:dyDescent="0.25">
      <c r="A8" s="61" t="s">
        <v>15</v>
      </c>
      <c r="B8" s="10">
        <v>5</v>
      </c>
      <c r="C8" s="21"/>
      <c r="D8" s="62"/>
      <c r="E8" s="34"/>
      <c r="F8" s="63">
        <f>SUM(B8:E8)</f>
        <v>5</v>
      </c>
    </row>
    <row r="9" spans="1:9" x14ac:dyDescent="0.25">
      <c r="A9" s="61" t="s">
        <v>90</v>
      </c>
      <c r="B9" s="10"/>
      <c r="C9" s="21"/>
      <c r="D9" s="34">
        <v>30</v>
      </c>
      <c r="E9" s="34"/>
      <c r="F9" s="63">
        <f>SUM(B9:E9)</f>
        <v>30</v>
      </c>
    </row>
    <row r="10" spans="1:9" x14ac:dyDescent="0.25">
      <c r="A10" s="11" t="s">
        <v>20</v>
      </c>
      <c r="B10" s="13"/>
      <c r="C10" s="64">
        <v>0.11458333333333333</v>
      </c>
      <c r="D10" s="23">
        <v>0.375</v>
      </c>
      <c r="E10" s="23"/>
      <c r="F10" s="65"/>
    </row>
    <row r="11" spans="1:9" x14ac:dyDescent="0.25">
      <c r="A11" s="11" t="s">
        <v>21</v>
      </c>
      <c r="B11" s="17"/>
      <c r="C11" s="17" t="s">
        <v>108</v>
      </c>
      <c r="D11" s="16"/>
      <c r="E11" s="24"/>
      <c r="F11" s="17"/>
      <c r="I11" s="44"/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1B17-62C4-41EB-B81E-F7A9F3739016}">
  <dimension ref="A1:F11"/>
  <sheetViews>
    <sheetView workbookViewId="0">
      <selection activeCell="J8" sqref="J8"/>
    </sheetView>
  </sheetViews>
  <sheetFormatPr baseColWidth="10" defaultRowHeight="15" x14ac:dyDescent="0.25"/>
  <cols>
    <col min="1" max="1" width="35.42578125" customWidth="1"/>
  </cols>
  <sheetData>
    <row r="1" spans="1:6" ht="18.75" x14ac:dyDescent="0.25">
      <c r="A1" s="96" t="s">
        <v>181</v>
      </c>
      <c r="B1" s="97"/>
      <c r="C1" s="97"/>
      <c r="D1" s="97"/>
      <c r="E1" s="97"/>
      <c r="F1" s="98"/>
    </row>
    <row r="2" spans="1:6" ht="18.75" x14ac:dyDescent="0.3">
      <c r="A2" s="72" t="s">
        <v>180</v>
      </c>
      <c r="B2" s="84"/>
      <c r="C2" s="84"/>
      <c r="D2" s="84"/>
      <c r="E2" s="84"/>
      <c r="F2" s="85"/>
    </row>
    <row r="3" spans="1:6" ht="18.75" x14ac:dyDescent="0.25">
      <c r="A3" s="99" t="s">
        <v>182</v>
      </c>
      <c r="B3" s="100"/>
      <c r="C3" s="100"/>
      <c r="D3" s="97"/>
      <c r="E3" s="97"/>
      <c r="F3" s="98"/>
    </row>
    <row r="4" spans="1:6" x14ac:dyDescent="0.25">
      <c r="A4" s="95" t="s">
        <v>1</v>
      </c>
      <c r="B4" s="3">
        <v>12648</v>
      </c>
      <c r="C4" s="3">
        <v>11466</v>
      </c>
      <c r="D4" s="3"/>
      <c r="E4" s="3"/>
      <c r="F4" s="3" t="s">
        <v>2</v>
      </c>
    </row>
    <row r="5" spans="1:6" x14ac:dyDescent="0.25">
      <c r="A5" s="95"/>
      <c r="B5" s="30">
        <v>45754</v>
      </c>
      <c r="C5" s="6">
        <v>45756</v>
      </c>
      <c r="D5" s="30"/>
      <c r="E5" s="30"/>
      <c r="F5" s="30">
        <v>45777</v>
      </c>
    </row>
    <row r="6" spans="1:6" x14ac:dyDescent="0.25">
      <c r="A6" s="61" t="s">
        <v>183</v>
      </c>
      <c r="B6" s="10">
        <v>1</v>
      </c>
      <c r="C6" s="21">
        <v>-1</v>
      </c>
      <c r="D6" s="62"/>
      <c r="E6" s="34"/>
      <c r="F6" s="63">
        <f>SUM(B6:E6)</f>
        <v>0</v>
      </c>
    </row>
    <row r="7" spans="1:6" x14ac:dyDescent="0.25">
      <c r="A7" s="61"/>
      <c r="B7" s="10"/>
      <c r="C7" s="21"/>
      <c r="D7" s="62"/>
      <c r="E7" s="34"/>
      <c r="F7" s="63">
        <f>SUM(B7:E7)</f>
        <v>0</v>
      </c>
    </row>
    <row r="8" spans="1:6" x14ac:dyDescent="0.25">
      <c r="A8" s="61"/>
      <c r="B8" s="10"/>
      <c r="C8" s="21"/>
      <c r="D8" s="62"/>
      <c r="E8" s="34"/>
      <c r="F8" s="63">
        <f>SUM(B8:E8)</f>
        <v>0</v>
      </c>
    </row>
    <row r="9" spans="1:6" x14ac:dyDescent="0.25">
      <c r="A9" s="61"/>
      <c r="B9" s="10"/>
      <c r="C9" s="21"/>
      <c r="D9" s="34"/>
      <c r="E9" s="34"/>
      <c r="F9" s="63">
        <f>SUM(B9:E9)</f>
        <v>0</v>
      </c>
    </row>
    <row r="10" spans="1:6" x14ac:dyDescent="0.25">
      <c r="A10" s="11" t="s">
        <v>20</v>
      </c>
      <c r="B10" s="13">
        <v>0.10694444444444444</v>
      </c>
      <c r="C10" s="64">
        <v>0.33333333333333331</v>
      </c>
      <c r="D10" s="23"/>
      <c r="E10" s="23"/>
      <c r="F10" s="65"/>
    </row>
    <row r="11" spans="1:6" x14ac:dyDescent="0.25">
      <c r="A11" s="11" t="s">
        <v>21</v>
      </c>
      <c r="B11" s="17" t="s">
        <v>101</v>
      </c>
      <c r="C11" s="17" t="s">
        <v>101</v>
      </c>
      <c r="D11" s="16"/>
      <c r="E11" s="24"/>
      <c r="F11" s="17"/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0325-C960-49E0-928B-4F31C80EB0B1}">
  <dimension ref="A1:F11"/>
  <sheetViews>
    <sheetView workbookViewId="0">
      <selection activeCell="G15" sqref="G15"/>
    </sheetView>
  </sheetViews>
  <sheetFormatPr baseColWidth="10" defaultRowHeight="15" x14ac:dyDescent="0.25"/>
  <cols>
    <col min="1" max="1" width="51.7109375" bestFit="1" customWidth="1"/>
  </cols>
  <sheetData>
    <row r="1" spans="1:6" ht="18.75" x14ac:dyDescent="0.25">
      <c r="A1" s="96" t="s">
        <v>206</v>
      </c>
      <c r="B1" s="97"/>
      <c r="C1" s="97"/>
      <c r="D1" s="97"/>
      <c r="E1" s="97"/>
      <c r="F1" s="98"/>
    </row>
    <row r="2" spans="1:6" ht="18.75" x14ac:dyDescent="0.3">
      <c r="A2" s="81"/>
      <c r="B2" s="82" t="s">
        <v>205</v>
      </c>
      <c r="C2" s="82"/>
      <c r="D2" s="82"/>
      <c r="E2" s="82"/>
      <c r="F2" s="83"/>
    </row>
    <row r="3" spans="1:6" ht="18.75" x14ac:dyDescent="0.25">
      <c r="A3" s="99" t="s">
        <v>182</v>
      </c>
      <c r="B3" s="100"/>
      <c r="C3" s="100"/>
      <c r="D3" s="97"/>
      <c r="E3" s="97"/>
      <c r="F3" s="98"/>
    </row>
    <row r="4" spans="1:6" x14ac:dyDescent="0.25">
      <c r="A4" s="95" t="s">
        <v>1</v>
      </c>
      <c r="B4" s="3">
        <v>12656</v>
      </c>
      <c r="C4" s="3"/>
      <c r="D4" s="3"/>
      <c r="E4" s="3"/>
      <c r="F4" s="3" t="s">
        <v>2</v>
      </c>
    </row>
    <row r="5" spans="1:6" x14ac:dyDescent="0.25">
      <c r="A5" s="95"/>
      <c r="B5" s="30">
        <v>45758</v>
      </c>
      <c r="C5" s="6"/>
      <c r="D5" s="30"/>
      <c r="E5" s="30"/>
      <c r="F5" s="30">
        <v>45777</v>
      </c>
    </row>
    <row r="6" spans="1:6" x14ac:dyDescent="0.25">
      <c r="A6" s="61" t="s">
        <v>207</v>
      </c>
      <c r="B6" s="10">
        <v>1</v>
      </c>
      <c r="C6" s="21"/>
      <c r="D6" s="62"/>
      <c r="E6" s="34"/>
      <c r="F6" s="63">
        <f>SUM(B6:E6)</f>
        <v>1</v>
      </c>
    </row>
    <row r="7" spans="1:6" x14ac:dyDescent="0.25">
      <c r="A7" s="61"/>
      <c r="B7" s="10"/>
      <c r="C7" s="21"/>
      <c r="D7" s="62"/>
      <c r="E7" s="34"/>
      <c r="F7" s="63">
        <f>SUM(B7:E7)</f>
        <v>0</v>
      </c>
    </row>
    <row r="8" spans="1:6" x14ac:dyDescent="0.25">
      <c r="A8" s="61"/>
      <c r="B8" s="10"/>
      <c r="C8" s="21"/>
      <c r="D8" s="62"/>
      <c r="E8" s="34"/>
      <c r="F8" s="63">
        <f>SUM(B8:E8)</f>
        <v>0</v>
      </c>
    </row>
    <row r="9" spans="1:6" x14ac:dyDescent="0.25">
      <c r="A9" s="61"/>
      <c r="B9" s="10"/>
      <c r="C9" s="21"/>
      <c r="D9" s="34"/>
      <c r="E9" s="34"/>
      <c r="F9" s="63">
        <f>SUM(B9:E9)</f>
        <v>0</v>
      </c>
    </row>
    <row r="10" spans="1:6" x14ac:dyDescent="0.25">
      <c r="A10" s="11" t="s">
        <v>20</v>
      </c>
      <c r="B10" s="13">
        <v>0.10694444444444444</v>
      </c>
      <c r="C10" s="64"/>
      <c r="D10" s="23"/>
      <c r="E10" s="23"/>
      <c r="F10" s="65"/>
    </row>
    <row r="11" spans="1:6" x14ac:dyDescent="0.25">
      <c r="A11" s="11" t="s">
        <v>21</v>
      </c>
      <c r="B11" s="17" t="s">
        <v>101</v>
      </c>
      <c r="C11" s="17"/>
      <c r="D11" s="16"/>
      <c r="E11" s="24"/>
      <c r="F11" s="17"/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7F82-102D-4C85-A0E3-DD3434C32DB6}">
  <dimension ref="A1:F11"/>
  <sheetViews>
    <sheetView workbookViewId="0">
      <selection activeCell="K12" sqref="K12:K13"/>
    </sheetView>
  </sheetViews>
  <sheetFormatPr baseColWidth="10" defaultRowHeight="15" x14ac:dyDescent="0.25"/>
  <cols>
    <col min="1" max="1" width="29.7109375" bestFit="1" customWidth="1"/>
  </cols>
  <sheetData>
    <row r="1" spans="1:6" ht="18.75" x14ac:dyDescent="0.25">
      <c r="A1" s="96" t="s">
        <v>111</v>
      </c>
      <c r="B1" s="97"/>
      <c r="C1" s="97"/>
      <c r="D1" s="97"/>
      <c r="E1" s="97"/>
      <c r="F1" s="98"/>
    </row>
    <row r="2" spans="1:6" ht="18.75" x14ac:dyDescent="0.25">
      <c r="A2" s="58"/>
      <c r="B2" s="59"/>
      <c r="C2" s="59" t="s">
        <v>112</v>
      </c>
      <c r="D2" s="59"/>
      <c r="E2" s="59"/>
      <c r="F2" s="60"/>
    </row>
    <row r="3" spans="1:6" ht="18.75" x14ac:dyDescent="0.25">
      <c r="A3" s="99" t="s">
        <v>8</v>
      </c>
      <c r="B3" s="100"/>
      <c r="C3" s="100"/>
      <c r="D3" s="97"/>
      <c r="E3" s="97"/>
      <c r="F3" s="98"/>
    </row>
    <row r="4" spans="1:6" x14ac:dyDescent="0.25">
      <c r="A4" s="95" t="s">
        <v>1</v>
      </c>
      <c r="B4" s="1" t="s">
        <v>2</v>
      </c>
      <c r="C4" s="3">
        <v>11448</v>
      </c>
      <c r="D4" s="3"/>
      <c r="E4" s="3"/>
      <c r="F4" s="1" t="s">
        <v>2</v>
      </c>
    </row>
    <row r="5" spans="1:6" x14ac:dyDescent="0.25">
      <c r="A5" s="95"/>
      <c r="B5" s="66" t="s">
        <v>116</v>
      </c>
      <c r="C5" s="6">
        <v>45748</v>
      </c>
      <c r="D5" s="30"/>
      <c r="E5" s="30"/>
      <c r="F5" s="66">
        <v>45777</v>
      </c>
    </row>
    <row r="6" spans="1:6" x14ac:dyDescent="0.25">
      <c r="A6" s="61" t="s">
        <v>113</v>
      </c>
      <c r="B6" s="10">
        <v>8</v>
      </c>
      <c r="C6" s="21">
        <v>-8</v>
      </c>
      <c r="D6" s="62"/>
      <c r="E6" s="34"/>
      <c r="F6" s="63">
        <f t="shared" ref="F6:F7" si="0">SUM(B6:E6)</f>
        <v>0</v>
      </c>
    </row>
    <row r="7" spans="1:6" x14ac:dyDescent="0.25">
      <c r="A7" s="61" t="s">
        <v>114</v>
      </c>
      <c r="B7" s="10">
        <v>8</v>
      </c>
      <c r="C7" s="21">
        <v>-8</v>
      </c>
      <c r="D7" s="62"/>
      <c r="E7" s="34"/>
      <c r="F7" s="63">
        <f t="shared" si="0"/>
        <v>0</v>
      </c>
    </row>
    <row r="8" spans="1:6" x14ac:dyDescent="0.25">
      <c r="A8" s="61" t="s">
        <v>115</v>
      </c>
      <c r="B8" s="10">
        <v>3</v>
      </c>
      <c r="C8" s="21">
        <v>-3</v>
      </c>
      <c r="D8" s="62"/>
      <c r="E8" s="34"/>
      <c r="F8" s="63">
        <f>SUM(B8:E8)</f>
        <v>0</v>
      </c>
    </row>
    <row r="9" spans="1:6" x14ac:dyDescent="0.25">
      <c r="A9" s="11" t="s">
        <v>20</v>
      </c>
      <c r="B9" s="13"/>
      <c r="C9" s="23">
        <v>0.14930555555555555</v>
      </c>
      <c r="D9" s="23"/>
      <c r="E9" s="23"/>
      <c r="F9" s="65"/>
    </row>
    <row r="10" spans="1:6" x14ac:dyDescent="0.25">
      <c r="A10" s="11" t="s">
        <v>21</v>
      </c>
      <c r="B10" s="17"/>
      <c r="C10" s="68">
        <v>30000</v>
      </c>
      <c r="D10" s="16"/>
      <c r="E10" s="24"/>
      <c r="F10" s="17"/>
    </row>
    <row r="11" spans="1:6" x14ac:dyDescent="0.25">
      <c r="C11" t="s">
        <v>117</v>
      </c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ALQUIOBRAS</vt:lpstr>
      <vt:lpstr>BERNABE SUAREZ</vt:lpstr>
      <vt:lpstr>PRODUCTOS M&amp; M</vt:lpstr>
      <vt:lpstr>CLAUDIA GIL</vt:lpstr>
      <vt:lpstr>KAREN LISETH PINZON</vt:lpstr>
      <vt:lpstr>DIEGO GUTIERREZ</vt:lpstr>
      <vt:lpstr>STICARE PLUS</vt:lpstr>
      <vt:lpstr>INCOLAMA</vt:lpstr>
      <vt:lpstr>MARICELL FERNANDEZ</vt:lpstr>
      <vt:lpstr>HUGO CARDENAS</vt:lpstr>
      <vt:lpstr>REINALDO ARDILA</vt:lpstr>
      <vt:lpstr>WILSON PAEZ</vt:lpstr>
      <vt:lpstr>EDUARDO RINCON</vt:lpstr>
      <vt:lpstr>EDGARDO PICO</vt:lpstr>
      <vt:lpstr>OMAR PABON</vt:lpstr>
      <vt:lpstr>Hoja3</vt:lpstr>
      <vt:lpstr>EDWIN BARBOSA</vt:lpstr>
      <vt:lpstr>JESUS ANDRES</vt:lpstr>
      <vt:lpstr>JOSE ANGEL CAMACHO</vt:lpstr>
      <vt:lpstr>JONATHAN PORTILLA</vt:lpstr>
      <vt:lpstr>WILSON PARRA</vt:lpstr>
      <vt:lpstr>EUDYSISTEMAS</vt:lpstr>
      <vt:lpstr>POSADA HIPANEMA</vt:lpstr>
      <vt:lpstr>FREDY CAICEDO SANGUINEO</vt:lpstr>
      <vt:lpstr>MARLON ROJAS</vt:lpstr>
      <vt:lpstr>WILMAR GELVES</vt:lpstr>
      <vt:lpstr>CONKASA CONSTRUCTORES</vt:lpstr>
      <vt:lpstr>ALEX BAUTISTA</vt:lpstr>
      <vt:lpstr>CRISTOBAL MORENO</vt:lpstr>
      <vt:lpstr>ESTHER GUTIERREZ</vt:lpstr>
      <vt:lpstr>FREDDY MEZA</vt:lpstr>
      <vt:lpstr>CAMILO TRASLAVIÑA</vt:lpstr>
      <vt:lpstr>JUAN PABLO CAÑIZALES</vt:lpstr>
      <vt:lpstr>RABAC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2025-04-14T20:05:08Z</cp:lastPrinted>
  <dcterms:created xsi:type="dcterms:W3CDTF">2015-06-05T18:19:34Z</dcterms:created>
  <dcterms:modified xsi:type="dcterms:W3CDTF">2025-04-22T16:04:52Z</dcterms:modified>
</cp:coreProperties>
</file>
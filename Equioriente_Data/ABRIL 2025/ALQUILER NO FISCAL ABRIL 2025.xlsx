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anus.EQUIORIENTE\Desktop\EQUIORIENTE\FACTURACION\2025\ABRIL 2025\"/>
    </mc:Choice>
  </mc:AlternateContent>
  <xr:revisionPtr revIDLastSave="0" documentId="13_ncr:1_{6C5E5BF5-5B1D-4C51-810A-54B3E28C3393}" xr6:coauthVersionLast="47" xr6:coauthVersionMax="47" xr10:uidLastSave="{00000000-0000-0000-0000-000000000000}"/>
  <bookViews>
    <workbookView xWindow="-120" yWindow="-120" windowWidth="20730" windowHeight="11040" firstSheet="8" activeTab="8" xr2:uid="{00000000-000D-0000-FFFF-FFFF00000000}"/>
  </bookViews>
  <sheets>
    <sheet name="BERNABE SUAREZ" sheetId="1" r:id="rId1"/>
    <sheet name="ESTHER GUTIEREZ" sheetId="2" r:id="rId2"/>
    <sheet name="JESUS ANDRES" sheetId="3" r:id="rId3"/>
    <sheet name="REINALDO ARDILA" sheetId="5" r:id="rId4"/>
    <sheet name="WILSON PAEZ" sheetId="6" r:id="rId5"/>
    <sheet name="EDGARDO PICO" sheetId="7" r:id="rId6"/>
    <sheet name="RIGOBERTO VALERA" sheetId="12" r:id="rId7"/>
    <sheet name="OMAR PABON" sheetId="14" r:id="rId8"/>
    <sheet name="ALQUIOBRAS" sheetId="13" r:id="rId9"/>
    <sheet name="FREDI PABON" sheetId="8" r:id="rId10"/>
    <sheet name="KAREN LISETH" sheetId="15" r:id="rId11"/>
    <sheet name="LA PLACA" sheetId="10" r:id="rId12"/>
    <sheet name="CESAR AUGUSTO NIÑO" sheetId="9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" i="13" l="1"/>
  <c r="F48" i="13" s="1"/>
  <c r="E47" i="13"/>
  <c r="F47" i="13" s="1"/>
  <c r="E46" i="13"/>
  <c r="F46" i="13" s="1"/>
  <c r="E45" i="13"/>
  <c r="F45" i="13" s="1"/>
  <c r="G35" i="13"/>
  <c r="G34" i="13"/>
  <c r="G33" i="13"/>
  <c r="E50" i="13" l="1"/>
  <c r="E49" i="13"/>
  <c r="E19" i="13" l="1"/>
  <c r="F19" i="13" s="1"/>
  <c r="E18" i="13"/>
  <c r="F18" i="13" s="1"/>
  <c r="E53" i="15"/>
  <c r="F53" i="15" s="1"/>
  <c r="E51" i="15"/>
  <c r="F51" i="15" s="1"/>
  <c r="E49" i="15"/>
  <c r="F49" i="15" s="1"/>
  <c r="E46" i="15"/>
  <c r="F46" i="15" s="1"/>
  <c r="E44" i="15"/>
  <c r="F44" i="15" s="1"/>
  <c r="E43" i="15"/>
  <c r="F43" i="15" s="1"/>
  <c r="J26" i="15"/>
  <c r="J24" i="15"/>
  <c r="J23" i="15"/>
  <c r="J22" i="15"/>
  <c r="J21" i="15"/>
  <c r="J20" i="15"/>
  <c r="J19" i="15"/>
  <c r="J18" i="15"/>
  <c r="J17" i="15"/>
  <c r="J16" i="15"/>
  <c r="J15" i="15"/>
  <c r="J14" i="15"/>
  <c r="J13" i="15"/>
  <c r="J12" i="15"/>
  <c r="J11" i="15"/>
  <c r="J10" i="15"/>
  <c r="J9" i="15"/>
  <c r="J8" i="15"/>
  <c r="J7" i="15"/>
  <c r="J6" i="15"/>
  <c r="E60" i="15" l="1"/>
  <c r="F60" i="15" s="1"/>
  <c r="E59" i="15"/>
  <c r="F59" i="15" s="1"/>
  <c r="E58" i="15"/>
  <c r="F58" i="15" s="1"/>
  <c r="E57" i="15"/>
  <c r="F57" i="15" s="1"/>
  <c r="E56" i="15"/>
  <c r="F56" i="15" s="1"/>
  <c r="E62" i="15" s="1"/>
  <c r="E55" i="15"/>
  <c r="F55" i="15" s="1"/>
  <c r="E54" i="15"/>
  <c r="F54" i="15" s="1"/>
  <c r="E52" i="15"/>
  <c r="F52" i="15" s="1"/>
  <c r="E50" i="15"/>
  <c r="F50" i="15" s="1"/>
  <c r="E48" i="15"/>
  <c r="F48" i="15" s="1"/>
  <c r="E45" i="15"/>
  <c r="F45" i="15" s="1"/>
  <c r="E47" i="15"/>
  <c r="F47" i="15" s="1"/>
  <c r="E42" i="15"/>
  <c r="F42" i="15" s="1"/>
  <c r="E32" i="10"/>
  <c r="F32" i="10" s="1"/>
  <c r="E31" i="10"/>
  <c r="F31" i="10" s="1"/>
  <c r="E24" i="10"/>
  <c r="E22" i="10"/>
  <c r="E21" i="10"/>
  <c r="E20" i="10"/>
  <c r="E19" i="10"/>
  <c r="E18" i="10"/>
  <c r="E61" i="15" l="1"/>
  <c r="E64" i="15" s="1"/>
  <c r="E33" i="10"/>
  <c r="G8" i="9" l="1"/>
  <c r="G9" i="9"/>
  <c r="G10" i="9"/>
  <c r="G11" i="9"/>
  <c r="G12" i="9"/>
  <c r="G7" i="9"/>
  <c r="G14" i="9"/>
  <c r="E26" i="14"/>
  <c r="F26" i="14" s="1"/>
  <c r="E24" i="14" l="1"/>
  <c r="F24" i="14" s="1"/>
  <c r="L16" i="14"/>
  <c r="L13" i="14"/>
  <c r="L12" i="14"/>
  <c r="L11" i="14"/>
  <c r="L6" i="14"/>
  <c r="L7" i="14"/>
  <c r="E31" i="14"/>
  <c r="F31" i="14" s="1"/>
  <c r="E30" i="14"/>
  <c r="F30" i="14" s="1"/>
  <c r="E23" i="14"/>
  <c r="F23" i="14" s="1"/>
  <c r="F29" i="14"/>
  <c r="L9" i="14"/>
  <c r="L8" i="14"/>
  <c r="E27" i="14" l="1"/>
  <c r="F27" i="14" s="1"/>
  <c r="E28" i="14"/>
  <c r="F28" i="14" s="1"/>
  <c r="E25" i="14"/>
  <c r="F25" i="14" s="1"/>
  <c r="L10" i="14"/>
  <c r="E32" i="14" l="1"/>
  <c r="E34" i="14" s="1"/>
  <c r="E21" i="13"/>
  <c r="F21" i="13" s="1"/>
  <c r="E20" i="13" l="1"/>
  <c r="E22" i="13" s="1"/>
  <c r="F20" i="13" l="1"/>
  <c r="G8" i="13"/>
  <c r="G7" i="13"/>
  <c r="G6" i="13"/>
  <c r="E23" i="13" l="1"/>
  <c r="F23" i="12"/>
  <c r="F21" i="12"/>
  <c r="F20" i="12"/>
  <c r="F19" i="12"/>
  <c r="F18" i="12"/>
  <c r="F7" i="12"/>
  <c r="E6" i="12"/>
  <c r="F6" i="12" s="1"/>
  <c r="E9" i="12" s="1"/>
  <c r="E11" i="12" s="1"/>
  <c r="H80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4" i="7"/>
  <c r="H6" i="7"/>
  <c r="E111" i="7"/>
  <c r="F111" i="7" s="1"/>
  <c r="E110" i="7"/>
  <c r="F110" i="7" s="1"/>
  <c r="E109" i="7"/>
  <c r="F109" i="7" s="1"/>
  <c r="E108" i="7"/>
  <c r="F108" i="7" s="1"/>
  <c r="E107" i="7"/>
  <c r="F107" i="7" s="1"/>
  <c r="E106" i="7"/>
  <c r="F106" i="7" s="1"/>
  <c r="E105" i="7"/>
  <c r="F105" i="7" s="1"/>
  <c r="E104" i="7"/>
  <c r="M42" i="7"/>
  <c r="E30" i="9"/>
  <c r="F30" i="9" s="1"/>
  <c r="E29" i="9"/>
  <c r="F29" i="9" s="1"/>
  <c r="E28" i="9"/>
  <c r="F28" i="9" s="1"/>
  <c r="E27" i="9"/>
  <c r="F27" i="9" s="1"/>
  <c r="E26" i="9"/>
  <c r="F26" i="9" s="1"/>
  <c r="E24" i="9"/>
  <c r="F24" i="9" s="1"/>
  <c r="E25" i="9"/>
  <c r="F25" i="9" s="1"/>
  <c r="E23" i="9"/>
  <c r="F23" i="9" s="1"/>
  <c r="E31" i="9" l="1"/>
  <c r="E33" i="9" s="1"/>
  <c r="E8" i="12"/>
  <c r="E112" i="7"/>
  <c r="F104" i="7"/>
  <c r="E113" i="7" s="1"/>
  <c r="E115" i="7" s="1"/>
  <c r="E37" i="8"/>
  <c r="E31" i="8"/>
  <c r="F31" i="8" s="1"/>
  <c r="F30" i="8"/>
  <c r="E30" i="8"/>
  <c r="E29" i="8"/>
  <c r="F29" i="8" s="1"/>
  <c r="F28" i="8"/>
  <c r="E28" i="8"/>
  <c r="E27" i="8"/>
  <c r="F27" i="8" s="1"/>
  <c r="F26" i="8"/>
  <c r="E26" i="8"/>
  <c r="E25" i="8"/>
  <c r="F25" i="8" s="1"/>
  <c r="F24" i="8"/>
  <c r="E24" i="8"/>
  <c r="E32" i="8" s="1"/>
  <c r="E33" i="8" s="1"/>
  <c r="E35" i="8" s="1"/>
  <c r="F16" i="8" l="1"/>
  <c r="F14" i="8"/>
  <c r="F13" i="8"/>
  <c r="F12" i="8"/>
  <c r="F11" i="8"/>
  <c r="F10" i="8"/>
  <c r="F9" i="8"/>
  <c r="F8" i="8"/>
  <c r="F7" i="8"/>
  <c r="F6" i="8"/>
  <c r="E92" i="7" l="1"/>
  <c r="F92" i="7" s="1"/>
  <c r="E93" i="7"/>
  <c r="F93" i="7" s="1"/>
  <c r="E89" i="7"/>
  <c r="F89" i="7" s="1"/>
  <c r="E91" i="7"/>
  <c r="F91" i="7" s="1"/>
  <c r="E90" i="7"/>
  <c r="F90" i="7" s="1"/>
  <c r="E88" i="7"/>
  <c r="F88" i="7" s="1"/>
  <c r="F55" i="7"/>
  <c r="F53" i="7"/>
  <c r="F52" i="7"/>
  <c r="F51" i="7"/>
  <c r="F50" i="7"/>
  <c r="F49" i="7"/>
  <c r="E95" i="7" l="1"/>
  <c r="E97" i="7" s="1"/>
  <c r="E42" i="7" l="1"/>
  <c r="E39" i="7"/>
  <c r="F39" i="7" s="1"/>
  <c r="E38" i="7"/>
  <c r="F38" i="7" s="1"/>
  <c r="E37" i="7"/>
  <c r="F37" i="7" s="1"/>
  <c r="E36" i="7"/>
  <c r="F36" i="7" s="1"/>
  <c r="E35" i="7"/>
  <c r="F35" i="7" s="1"/>
  <c r="E34" i="7"/>
  <c r="F34" i="7" s="1"/>
  <c r="E33" i="7"/>
  <c r="F33" i="7" s="1"/>
  <c r="E32" i="7"/>
  <c r="F32" i="7" s="1"/>
  <c r="E31" i="7"/>
  <c r="F31" i="7" s="1"/>
  <c r="E30" i="7"/>
  <c r="F30" i="7" s="1"/>
  <c r="F9" i="6" l="1"/>
  <c r="F8" i="6"/>
  <c r="F7" i="6"/>
  <c r="F6" i="6"/>
  <c r="F15" i="5"/>
  <c r="E36" i="5"/>
  <c r="F36" i="5" s="1"/>
  <c r="E35" i="5"/>
  <c r="F35" i="5" s="1"/>
  <c r="E33" i="5"/>
  <c r="F33" i="5" s="1"/>
  <c r="E32" i="5"/>
  <c r="F32" i="5" s="1"/>
  <c r="E31" i="5"/>
  <c r="F31" i="5" s="1"/>
  <c r="E30" i="5"/>
  <c r="F30" i="5" s="1"/>
  <c r="E28" i="5"/>
  <c r="F28" i="5" s="1"/>
  <c r="E27" i="5"/>
  <c r="F27" i="5" s="1"/>
  <c r="E26" i="5"/>
  <c r="F26" i="5" s="1"/>
  <c r="E34" i="5"/>
  <c r="F34" i="5" s="1"/>
  <c r="E29" i="5"/>
  <c r="F29" i="5" s="1"/>
  <c r="E37" i="5" l="1"/>
  <c r="E39" i="5" s="1"/>
  <c r="E41" i="5" s="1"/>
  <c r="F14" i="5" l="1"/>
  <c r="F13" i="5"/>
  <c r="F12" i="5"/>
  <c r="F11" i="5"/>
  <c r="F10" i="5"/>
  <c r="F9" i="5"/>
  <c r="F8" i="5"/>
  <c r="F7" i="5"/>
  <c r="F6" i="5"/>
  <c r="E22" i="3"/>
  <c r="E20" i="3"/>
  <c r="F20" i="3" s="1"/>
  <c r="E19" i="3"/>
  <c r="E21" i="3" s="1"/>
  <c r="E24" i="3" s="1"/>
  <c r="F19" i="3" l="1"/>
  <c r="F8" i="3" l="1"/>
  <c r="F7" i="3"/>
  <c r="F6" i="3"/>
  <c r="E21" i="2"/>
  <c r="E20" i="2" l="1"/>
  <c r="E19" i="2"/>
  <c r="F19" i="2" s="1"/>
  <c r="F20" i="2" l="1"/>
  <c r="E24" i="2" s="1"/>
  <c r="D11" i="2" l="1"/>
  <c r="D9" i="2"/>
  <c r="D8" i="2"/>
  <c r="D7" i="2"/>
  <c r="D6" i="2"/>
  <c r="E21" i="1"/>
  <c r="E23" i="1" s="1"/>
  <c r="E20" i="1"/>
  <c r="F20" i="1" s="1"/>
  <c r="E19" i="1"/>
  <c r="F19" i="1" s="1"/>
  <c r="E10" i="1" l="1"/>
  <c r="E8" i="1"/>
  <c r="E7" i="1"/>
  <c r="E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F6" authorId="0" shapeId="0" xr:uid="{9B35F356-A84F-4F10-A4F3-39091EE8568D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ROJAS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E6" authorId="0" shapeId="0" xr:uid="{F39C1220-E314-4B3A-A312-112183DEF227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SE DEVOLVIO UN PARAL QUE NO ES DE EQUIORIENTE
</t>
        </r>
      </text>
    </comment>
    <comment ref="E33" authorId="0" shapeId="0" xr:uid="{DDAC0187-6EC9-4F7D-AE5C-C20E198A66A4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SE DEVOLVIO UN PARAL QUE NO ES DE EQUIORIENTE
</t>
        </r>
      </text>
    </comment>
  </commentList>
</comments>
</file>

<file path=xl/sharedStrings.xml><?xml version="1.0" encoding="utf-8"?>
<sst xmlns="http://schemas.openxmlformats.org/spreadsheetml/2006/main" count="635" uniqueCount="234">
  <si>
    <t>BERNABE SUAREZ</t>
  </si>
  <si>
    <t>CALLE 60A N 4W-50 TEL: 3122058115-31649605979</t>
  </si>
  <si>
    <t>MOVIMIENTO:FEBRERO/2025</t>
  </si>
  <si>
    <t>MATERIAL</t>
  </si>
  <si>
    <t>SALDO</t>
  </si>
  <si>
    <t>MARCOS DE ANDAMIOS AMARILLOS</t>
  </si>
  <si>
    <t>CRUCETAS 2. MTRS</t>
  </si>
  <si>
    <t>TABLONES DE 2.50 CORTOS</t>
  </si>
  <si>
    <t>HORA</t>
  </si>
  <si>
    <t>Transporte</t>
  </si>
  <si>
    <t>ALQUILERES JIMMY ALFREDO JAIMES CARRILLO</t>
  </si>
  <si>
    <t>DETALLES</t>
  </si>
  <si>
    <t>COSTOS</t>
  </si>
  <si>
    <t>PERIODO</t>
  </si>
  <si>
    <t>DIAS</t>
  </si>
  <si>
    <t>CANTIDAD</t>
  </si>
  <si>
    <t>VALOR</t>
  </si>
  <si>
    <t>COSTO DIARIO</t>
  </si>
  <si>
    <t>PRECIO DIARIO</t>
  </si>
  <si>
    <t>SECCIONES DE ANDAMIO</t>
  </si>
  <si>
    <t>TABLONES  CORTOS</t>
  </si>
  <si>
    <t xml:space="preserve">TOTAL DIAS </t>
  </si>
  <si>
    <t>LLEVADA Y RECOGIDA</t>
  </si>
  <si>
    <t>MARZO 25 A ABRIL 6</t>
  </si>
  <si>
    <t>BERNABE SUAREZ MARZO 25 A ABRIL 6 /2025</t>
  </si>
  <si>
    <t>ESTHER GUTIERREZ</t>
  </si>
  <si>
    <t>CRA 13#24-36 TEL: 3505699280</t>
  </si>
  <si>
    <t>MOVIMIENTO: ABRIL/ 2025</t>
  </si>
  <si>
    <t>MARCOS DE ANDAMIOS 2*0.90MTROS</t>
  </si>
  <si>
    <t>CRUCETAS DE 2.40</t>
  </si>
  <si>
    <t>TABLONES DE 3 MTROS</t>
  </si>
  <si>
    <t>Hora</t>
  </si>
  <si>
    <t>TRANSPORTE</t>
  </si>
  <si>
    <t>SECCIONES DE ANDAMIO 2MTS</t>
  </si>
  <si>
    <t>TABLON 3 MTS</t>
  </si>
  <si>
    <t>TOTAL DIARIO iva incluido</t>
  </si>
  <si>
    <t>ABRIL 2 al 8</t>
  </si>
  <si>
    <t>CRA 117 # 5-75TEL: 3104064425</t>
  </si>
  <si>
    <t>7 DIAS</t>
  </si>
  <si>
    <t>JESUS  ANDRES</t>
  </si>
  <si>
    <t>CALLE 18#62-12 TEL: 3013391894</t>
  </si>
  <si>
    <t>MOVIMIENTO: MARZO/ 2025</t>
  </si>
  <si>
    <t xml:space="preserve">SALDO </t>
  </si>
  <si>
    <t>CRUCETAS 2,40</t>
  </si>
  <si>
    <t>TABLONES  DE 3 MTROS</t>
  </si>
  <si>
    <t>NEQUI</t>
  </si>
  <si>
    <t>TOTAL DIARIO</t>
  </si>
  <si>
    <t xml:space="preserve">TOTAL  5 DIAS </t>
  </si>
  <si>
    <t>SECCIONES DE ANDAMIO1,5</t>
  </si>
  <si>
    <t>MARZO 20 A ABRIL 8</t>
  </si>
  <si>
    <t>REINALDO ARDILA</t>
  </si>
  <si>
    <t>CALLE 22#8-20</t>
  </si>
  <si>
    <t>CERCHAS DE 3 MTROS</t>
  </si>
  <si>
    <t>CERCHAS DE 1.50</t>
  </si>
  <si>
    <t>CERCHAS DE 2 MTROS</t>
  </si>
  <si>
    <t>TABLEROS METALICOS DE 1.20*40</t>
  </si>
  <si>
    <t xml:space="preserve"> TABLERO METALICO DE 1.20*20</t>
  </si>
  <si>
    <t>TABLERO METALICO DE 1.20*30</t>
  </si>
  <si>
    <t>CHAPETAS</t>
  </si>
  <si>
    <t>FORMALETA DE 50*1.20</t>
  </si>
  <si>
    <t>BUV 164</t>
  </si>
  <si>
    <t>EJK 782</t>
  </si>
  <si>
    <t>A PARTIR DEL LUNES 24-03-2025</t>
  </si>
  <si>
    <t>ALQUILERES JAIMES CARRILLO :3005678367</t>
  </si>
  <si>
    <t>MAESTRO REYNALDO VEGA:3015703895</t>
  </si>
  <si>
    <t>BARRIO GIRARDOT CALLE 22 CARRERA 8</t>
  </si>
  <si>
    <t>CERCHAS 3 MTS</t>
  </si>
  <si>
    <t xml:space="preserve"> GRANTOTAL</t>
  </si>
  <si>
    <t>MARZO 24 A ABRIL 13</t>
  </si>
  <si>
    <t>CERCHAS 1,5 MTS</t>
  </si>
  <si>
    <t>TABLEROS METALICOS DE 40 X 120</t>
  </si>
  <si>
    <t>MARZO 27 A ABRIL 13</t>
  </si>
  <si>
    <t>TABLEROS METALICOS DE 20 X 120</t>
  </si>
  <si>
    <t>TABLEROS METALICOS DE 30 X 120</t>
  </si>
  <si>
    <t>MARZO 27A ABRIL 13</t>
  </si>
  <si>
    <t>TABLEROS METALICOS DE 50 X 120</t>
  </si>
  <si>
    <t>DEPOSITO</t>
  </si>
  <si>
    <t>PARALES DE 4MTROS</t>
  </si>
  <si>
    <t>PARALES 4MTS</t>
  </si>
  <si>
    <t>DEBE</t>
  </si>
  <si>
    <t>REINALDO :3175447178</t>
  </si>
  <si>
    <t xml:space="preserve">WILSON PAEZ </t>
  </si>
  <si>
    <t>HACIENDA SAN JUAN</t>
  </si>
  <si>
    <t>MARCOS DE ANDAMIOS VERDES</t>
  </si>
  <si>
    <t>TABLON CORTO</t>
  </si>
  <si>
    <t>TABLON DE 3 MTROS</t>
  </si>
  <si>
    <t>DPF-249</t>
  </si>
  <si>
    <t>EDGARDO PICO</t>
  </si>
  <si>
    <t>CALLE 10#23-22 TEL: 3187881513</t>
  </si>
  <si>
    <t>MOVIMIENTO:ABRIL/2025</t>
  </si>
  <si>
    <t>MARCOS DE ANDAMIOS ROJOS</t>
  </si>
  <si>
    <t>CRUCETAS DE 2 MTROS</t>
  </si>
  <si>
    <t>TABLONES</t>
  </si>
  <si>
    <t>PARALES DE 3 MTROS</t>
  </si>
  <si>
    <t>FORMALETA DE 5*1.20</t>
  </si>
  <si>
    <t>FORMALETA DE 20*1.20</t>
  </si>
  <si>
    <t>FORMALETA DE 20*60</t>
  </si>
  <si>
    <t>CERCHAS DE 2.40</t>
  </si>
  <si>
    <t>ANGULOS DE 1.20</t>
  </si>
  <si>
    <t>ANGULOS DE 60</t>
  </si>
  <si>
    <t>PARALES DE 4 MTROS</t>
  </si>
  <si>
    <t>CAJAS METALICAS</t>
  </si>
  <si>
    <t xml:space="preserve">HORA </t>
  </si>
  <si>
    <t>CALLE 23#23-22 TEL: 3187881513</t>
  </si>
  <si>
    <t>CERCHAS DE 2.40 MTRS</t>
  </si>
  <si>
    <t>PARALES DE 4 MTRS</t>
  </si>
  <si>
    <t>CALLE #23-22</t>
  </si>
  <si>
    <t>MOVIMIENTO:MARZO/2025</t>
  </si>
  <si>
    <t>PARALES DE 3 MTRS</t>
  </si>
  <si>
    <t>SECCION DE ANDAMIOS</t>
  </si>
  <si>
    <t>MARZO 26 A ABRIL 9</t>
  </si>
  <si>
    <t>CANCELO</t>
  </si>
  <si>
    <t>LLEVADA A</t>
  </si>
  <si>
    <t>FREDDY PABON</t>
  </si>
  <si>
    <t>CRA 10#24-15 KENEDY TEL:3134009133</t>
  </si>
  <si>
    <t>FORMALETA DE 30*1.20</t>
  </si>
  <si>
    <t>FORMALETA DE 30*60</t>
  </si>
  <si>
    <t xml:space="preserve">CHAPETAS </t>
  </si>
  <si>
    <t>CAJA METALICA</t>
  </si>
  <si>
    <t>JIMMY JAIMES</t>
  </si>
  <si>
    <t>FREDY PABON: 3134009133</t>
  </si>
  <si>
    <t>PRECIO TOTAL</t>
  </si>
  <si>
    <t xml:space="preserve">                                                RECOGIDA Y LLEVADA</t>
  </si>
  <si>
    <t>TOTAL</t>
  </si>
  <si>
    <t>ABRIL 24 AL 28</t>
  </si>
  <si>
    <t>dinero a devolver</t>
  </si>
  <si>
    <t>MOVIMIENTO: ABRIL 24 al 28/ 2025</t>
  </si>
  <si>
    <t>ARQUITECTO CESAR AUGUSTO NIÑO: 3012077293</t>
  </si>
  <si>
    <t>POSADA HIPANEMA</t>
  </si>
  <si>
    <t>CALLE 49-CON CRA 36 TE: 3012077293</t>
  </si>
  <si>
    <t>MARCOS DE ANDAMIOS 1.50ROJOS</t>
  </si>
  <si>
    <t>CRUCETAS 2.40</t>
  </si>
  <si>
    <t xml:space="preserve">RUEDAS DE ANDAMIOS </t>
  </si>
  <si>
    <t>PARALES DE 8.0A 1.50</t>
  </si>
  <si>
    <t>ABRIL 11 AL 20</t>
  </si>
  <si>
    <t>ABRIL 21 AL 30</t>
  </si>
  <si>
    <t>RUEDAS DE ANDAMIO</t>
  </si>
  <si>
    <t>ABRIL 11 AL 30</t>
  </si>
  <si>
    <t>PARALES  DE ,8 A 1,5</t>
  </si>
  <si>
    <t>ABRIL 16 AL 20</t>
  </si>
  <si>
    <t>PARALES  DE 3 MTS</t>
  </si>
  <si>
    <t>MARZO 26 A MAYO 2</t>
  </si>
  <si>
    <t>MARZO 26 A ABRIL 13</t>
  </si>
  <si>
    <t>ABRIL 15 A MAYO 2</t>
  </si>
  <si>
    <t>MARZO 26 A 13ABRIL</t>
  </si>
  <si>
    <t>3 COLUMNAS 20X30 X 300</t>
  </si>
  <si>
    <t>FORMALETA DE 30*0,60</t>
  </si>
  <si>
    <t>ABRIL 28 A MAYO 2</t>
  </si>
  <si>
    <t>MOVIMIENTO:MARZO 26 A MAYO 1/2025</t>
  </si>
  <si>
    <t>ALQUILER JIMMY JAIMES CARRILLO</t>
  </si>
  <si>
    <t>RIGOBERTO VALERA TEL:31438773266</t>
  </si>
  <si>
    <t xml:space="preserve">EL  NOGAL 1 CASA 64 </t>
  </si>
  <si>
    <t>RIGOBERTO VALERA</t>
  </si>
  <si>
    <t>EL NOGAL 1 CASA 64 TEL:31738773266</t>
  </si>
  <si>
    <t>ABRIL 24 A MAYO 4</t>
  </si>
  <si>
    <t>MOVIMIENTO: ABRIL 24 A MAYO 4/ 2025</t>
  </si>
  <si>
    <t>ALQUIOBRAS-SANTANDER</t>
  </si>
  <si>
    <t>CALLE 14#19-37TEL:3164176674/3165134059</t>
  </si>
  <si>
    <t>PARAL DE 6 MROS</t>
  </si>
  <si>
    <t>TABLEROS DE MADERA 70X1,140</t>
  </si>
  <si>
    <t>FORMALETA METALICA DE 30*1.20</t>
  </si>
  <si>
    <t>TTU-924</t>
  </si>
  <si>
    <t>HACER CORTE 29/03/2025</t>
  </si>
  <si>
    <t>TABLEROS DE MADERA  70*1.40</t>
  </si>
  <si>
    <t xml:space="preserve">VALOR DIARIO </t>
  </si>
  <si>
    <t>ALQUIOBRAS -SANTANDER</t>
  </si>
  <si>
    <t>PARALES DE 6 MTROS</t>
  </si>
  <si>
    <t>OMAR PABON</t>
  </si>
  <si>
    <t>KENEDDY TEL: 3222815630</t>
  </si>
  <si>
    <t>TABLEROS DE MADERA 70*1.40</t>
  </si>
  <si>
    <t>CERCHAS DE 1 MTROS</t>
  </si>
  <si>
    <t>POLEA MANUAL CON LAZO</t>
  </si>
  <si>
    <t>BANDAS DE MADERA DE 40*1MTRO</t>
  </si>
  <si>
    <t>BANDAS DE MADERA DE 40*1.20MTRO</t>
  </si>
  <si>
    <t>A PIE</t>
  </si>
  <si>
    <t>DEPOSITO DE $ 1,500,000</t>
  </si>
  <si>
    <t xml:space="preserve">MAESTRO PABON: 3204187219 </t>
  </si>
  <si>
    <t>KENEDDY</t>
  </si>
  <si>
    <t>PLACA METALICA : 11,47 X 9,85</t>
  </si>
  <si>
    <t>TABLERO DE MADERA DE 70*1,40</t>
  </si>
  <si>
    <t>CERCHAS 1 MTS</t>
  </si>
  <si>
    <t xml:space="preserve">PARALES DE 3 MTROS </t>
  </si>
  <si>
    <t>POLEA MANUAL CON LAZOI</t>
  </si>
  <si>
    <t>TRANSPORTE LLEVADA Y TRAIDA</t>
  </si>
  <si>
    <t>CRECHAS DE 3 METROS</t>
  </si>
  <si>
    <t>BANDAS DE MADERA DE 40*1 MTRO</t>
  </si>
  <si>
    <t>BANDAS DE MADERA DE 40*1 .20</t>
  </si>
  <si>
    <t>ABRIL 22 A 22</t>
  </si>
  <si>
    <t>ABRIL 23 A MAYO 6</t>
  </si>
  <si>
    <t>ABRIL 22 AMAYO 6</t>
  </si>
  <si>
    <t>ABRIL 21 A MAYO 4</t>
  </si>
  <si>
    <t>ABRIL 11 A MAYO 4</t>
  </si>
  <si>
    <t>MOVIMIENTO: ABRIL 11 A MAYO 4/ 2025</t>
  </si>
  <si>
    <t>FRANCISCO LA PLACA</t>
  </si>
  <si>
    <t>CALLE 43 #35-14 TEL:3229294199</t>
  </si>
  <si>
    <t>MOVIMIENTO: MARZO 1 AL 272025</t>
  </si>
  <si>
    <t>MARCOS DE ANDAMIOS  VERDES</t>
  </si>
  <si>
    <t>CRUCETAS 2 MTROS</t>
  </si>
  <si>
    <t>TABLONES DE 3 MTS</t>
  </si>
  <si>
    <t>MARZO 28 a MAYO 11</t>
  </si>
  <si>
    <t>MOVIMIENTOMARZO 28 A MAYO 11/2025</t>
  </si>
  <si>
    <t>.</t>
  </si>
  <si>
    <t>DIVINO NIÑO CALLE 28 #0-46 NAPOLES</t>
  </si>
  <si>
    <t>PLACA METALICA</t>
  </si>
  <si>
    <t>FORMALETA DE 60*1.20</t>
  </si>
  <si>
    <t>FORMALETA DE 15*1.20</t>
  </si>
  <si>
    <t>FORMALETA DE 40*1.20</t>
  </si>
  <si>
    <t xml:space="preserve">SECCCION DE ANDAMIOS </t>
  </si>
  <si>
    <t>CERCHAS 2 MTS</t>
  </si>
  <si>
    <t>UÑA</t>
  </si>
  <si>
    <t>VALOR DIARIO</t>
  </si>
  <si>
    <t>TOTAL 15 DIAS ALQUILER</t>
  </si>
  <si>
    <t>KAREN LISETH PINZON</t>
  </si>
  <si>
    <t>CALLE 28 #0-46 TEL:3177959412</t>
  </si>
  <si>
    <t>FORMALETA DE 35*1.20</t>
  </si>
  <si>
    <t>FORMALETA DE 40* 1.20</t>
  </si>
  <si>
    <t>UN ALINEADOR UNA UÑA</t>
  </si>
  <si>
    <t>VIBRADOR</t>
  </si>
  <si>
    <t>2;37</t>
  </si>
  <si>
    <t>******</t>
  </si>
  <si>
    <t>MOTO</t>
  </si>
  <si>
    <t>ABRIL 14 AL 22</t>
  </si>
  <si>
    <t>ABRIL 23 AL 30</t>
  </si>
  <si>
    <t>ABRIL 14 AL 30</t>
  </si>
  <si>
    <t>ABRIL 21 AL 22</t>
  </si>
  <si>
    <t>ABRIL23 AL 30</t>
  </si>
  <si>
    <t>ANGULOS DE 120</t>
  </si>
  <si>
    <t>ABRIL 14 AL 20</t>
  </si>
  <si>
    <t>ABRIL 13 AL 30</t>
  </si>
  <si>
    <t>LLEVADA</t>
  </si>
  <si>
    <t>ABRIL 2 AL 8</t>
  </si>
  <si>
    <t>MARZO 21 A ABRIL 1</t>
  </si>
  <si>
    <t>MARZO 21 A ABRIL 30</t>
  </si>
  <si>
    <t>PERIODO: MARZO 21 A ABRIL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</si>
</sst>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h:mm:ss;@"/>
    <numFmt numFmtId="165" formatCode="_(&quot;$&quot;\ * #,##0_);_(&quot;$&quot;\ * \(#,##0\);_(&quot;$&quot;\ * &quot;-&quot;??_);_(@_)"/>
    <numFmt numFmtId="166" formatCode="_-&quot;$&quot;\ * #,##0_-;\-&quot;$&quot;\ * #,##0_-;_-&quot;$&quot;\ * &quot;-&quot;??_-;_-@_-"/>
    <numFmt numFmtId="167" formatCode="hh:mm:ss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Arial Black"/>
      <family val="2"/>
    </font>
    <font>
      <sz val="11"/>
      <color theme="1"/>
      <name val="Arial Black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Arial Black"/>
      <family val="2"/>
    </font>
    <font>
      <b/>
      <sz val="11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4"/>
      <color theme="1"/>
      <name val="Arial Black"/>
      <family val="2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1"/>
      <name val="Arial"/>
      <family val="2"/>
    </font>
    <font>
      <sz val="20"/>
      <color theme="1"/>
      <name val="Arial Black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8"/>
      <color theme="1"/>
      <name val="Arial Black"/>
      <family val="2"/>
    </font>
  </fonts>
  <fills count="1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8">
    <xf numFmtId="0" fontId="0" fillId="0" borderId="0" xfId="0"/>
    <xf numFmtId="0" fontId="2" fillId="3" borderId="5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16" fontId="2" fillId="3" borderId="6" xfId="0" applyNumberFormat="1" applyFont="1" applyFill="1" applyBorder="1" applyAlignment="1">
      <alignment horizontal="center" vertical="center"/>
    </xf>
    <xf numFmtId="16" fontId="2" fillId="4" borderId="6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left" vertical="center"/>
    </xf>
    <xf numFmtId="164" fontId="2" fillId="3" borderId="6" xfId="0" applyNumberFormat="1" applyFont="1" applyFill="1" applyBorder="1" applyAlignment="1">
      <alignment horizontal="center" vertical="center"/>
    </xf>
    <xf numFmtId="20" fontId="2" fillId="3" borderId="6" xfId="0" applyNumberFormat="1" applyFont="1" applyFill="1" applyBorder="1" applyAlignment="1">
      <alignment horizontal="center" vertical="center"/>
    </xf>
    <xf numFmtId="165" fontId="2" fillId="3" borderId="6" xfId="1" applyNumberFormat="1" applyFont="1" applyFill="1" applyBorder="1" applyAlignment="1">
      <alignment horizontal="right" vertical="center"/>
    </xf>
    <xf numFmtId="166" fontId="2" fillId="3" borderId="6" xfId="1" applyNumberFormat="1" applyFont="1" applyFill="1" applyBorder="1" applyAlignment="1">
      <alignment horizontal="right" vertical="center"/>
    </xf>
    <xf numFmtId="166" fontId="2" fillId="4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0" fillId="0" borderId="8" xfId="0" applyBorder="1"/>
    <xf numFmtId="0" fontId="0" fillId="0" borderId="6" xfId="0" applyBorder="1" applyAlignment="1">
      <alignment horizontal="center"/>
    </xf>
    <xf numFmtId="0" fontId="0" fillId="6" borderId="6" xfId="0" applyFill="1" applyBorder="1" applyAlignment="1">
      <alignment horizontal="center"/>
    </xf>
    <xf numFmtId="165" fontId="0" fillId="5" borderId="6" xfId="1" applyNumberFormat="1" applyFont="1" applyFill="1" applyBorder="1"/>
    <xf numFmtId="165" fontId="0" fillId="0" borderId="6" xfId="1" applyNumberFormat="1" applyFont="1" applyBorder="1"/>
    <xf numFmtId="0" fontId="0" fillId="0" borderId="9" xfId="0" applyBorder="1"/>
    <xf numFmtId="0" fontId="2" fillId="0" borderId="6" xfId="0" applyFont="1" applyBorder="1" applyAlignment="1">
      <alignment horizontal="center" vertical="center"/>
    </xf>
    <xf numFmtId="165" fontId="5" fillId="6" borderId="6" xfId="1" applyNumberFormat="1" applyFont="1" applyFill="1" applyBorder="1"/>
    <xf numFmtId="165" fontId="5" fillId="6" borderId="15" xfId="1" applyNumberFormat="1" applyFont="1" applyFill="1" applyBorder="1"/>
    <xf numFmtId="0" fontId="2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4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vertical="center"/>
    </xf>
    <xf numFmtId="167" fontId="2" fillId="3" borderId="6" xfId="0" applyNumberFormat="1" applyFont="1" applyFill="1" applyBorder="1" applyAlignment="1">
      <alignment horizontal="center" vertical="center"/>
    </xf>
    <xf numFmtId="166" fontId="2" fillId="3" borderId="6" xfId="1" applyNumberFormat="1" applyFont="1" applyFill="1" applyBorder="1" applyAlignment="1">
      <alignment vertical="center"/>
    </xf>
    <xf numFmtId="0" fontId="2" fillId="0" borderId="9" xfId="0" applyFont="1" applyBorder="1" applyAlignment="1">
      <alignment horizontal="center"/>
    </xf>
    <xf numFmtId="165" fontId="0" fillId="0" borderId="6" xfId="1" applyNumberFormat="1" applyFont="1" applyFill="1" applyBorder="1"/>
    <xf numFmtId="165" fontId="0" fillId="0" borderId="9" xfId="1" applyNumberFormat="1" applyFont="1" applyFill="1" applyBorder="1"/>
    <xf numFmtId="0" fontId="0" fillId="0" borderId="22" xfId="0" applyBorder="1" applyAlignment="1">
      <alignment horizontal="center"/>
    </xf>
    <xf numFmtId="165" fontId="5" fillId="7" borderId="15" xfId="1" applyNumberFormat="1" applyFont="1" applyFill="1" applyBorder="1"/>
    <xf numFmtId="0" fontId="0" fillId="0" borderId="24" xfId="0" applyBorder="1" applyAlignment="1">
      <alignment horizontal="center"/>
    </xf>
    <xf numFmtId="165" fontId="5" fillId="8" borderId="20" xfId="1" applyNumberFormat="1" applyFont="1" applyFill="1" applyBorder="1"/>
    <xf numFmtId="165" fontId="5" fillId="9" borderId="15" xfId="1" applyNumberFormat="1" applyFont="1" applyFill="1" applyBorder="1"/>
    <xf numFmtId="0" fontId="0" fillId="0" borderId="27" xfId="0" applyBorder="1" applyAlignment="1">
      <alignment horizontal="center"/>
    </xf>
    <xf numFmtId="1" fontId="2" fillId="3" borderId="6" xfId="0" applyNumberFormat="1" applyFont="1" applyFill="1" applyBorder="1" applyAlignment="1">
      <alignment horizontal="center" vertical="center"/>
    </xf>
    <xf numFmtId="20" fontId="2" fillId="3" borderId="6" xfId="0" applyNumberFormat="1" applyFont="1" applyFill="1" applyBorder="1" applyAlignment="1">
      <alignment vertical="center"/>
    </xf>
    <xf numFmtId="20" fontId="2" fillId="3" borderId="6" xfId="1" applyNumberFormat="1" applyFont="1" applyFill="1" applyBorder="1" applyAlignment="1">
      <alignment horizontal="center" vertical="center"/>
    </xf>
    <xf numFmtId="166" fontId="2" fillId="3" borderId="6" xfId="1" applyNumberFormat="1" applyFont="1" applyFill="1" applyBorder="1" applyAlignment="1">
      <alignment horizontal="center" vertical="center"/>
    </xf>
    <xf numFmtId="0" fontId="2" fillId="0" borderId="31" xfId="0" applyFont="1" applyBorder="1" applyAlignment="1">
      <alignment horizontal="left" vertical="center"/>
    </xf>
    <xf numFmtId="16" fontId="0" fillId="0" borderId="0" xfId="0" applyNumberFormat="1"/>
    <xf numFmtId="166" fontId="0" fillId="0" borderId="0" xfId="1" applyNumberFormat="1" applyFont="1"/>
    <xf numFmtId="165" fontId="0" fillId="0" borderId="9" xfId="1" applyNumberFormat="1" applyFont="1" applyBorder="1"/>
    <xf numFmtId="165" fontId="5" fillId="6" borderId="20" xfId="1" applyNumberFormat="1" applyFont="1" applyFill="1" applyBorder="1"/>
    <xf numFmtId="0" fontId="6" fillId="0" borderId="31" xfId="0" applyFont="1" applyBorder="1" applyAlignment="1">
      <alignment horizontal="left" vertical="center"/>
    </xf>
    <xf numFmtId="165" fontId="0" fillId="0" borderId="0" xfId="0" applyNumberFormat="1"/>
    <xf numFmtId="0" fontId="0" fillId="0" borderId="6" xfId="0" applyBorder="1"/>
    <xf numFmtId="165" fontId="10" fillId="11" borderId="6" xfId="1" applyNumberFormat="1" applyFont="1" applyFill="1" applyBorder="1"/>
    <xf numFmtId="0" fontId="2" fillId="0" borderId="18" xfId="0" applyFont="1" applyBorder="1" applyAlignment="1">
      <alignment horizontal="center" vertical="center"/>
    </xf>
    <xf numFmtId="1" fontId="2" fillId="3" borderId="18" xfId="0" applyNumberFormat="1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16" fontId="2" fillId="3" borderId="6" xfId="0" applyNumberFormat="1" applyFont="1" applyFill="1" applyBorder="1" applyAlignment="1">
      <alignment horizontal="center"/>
    </xf>
    <xf numFmtId="16" fontId="2" fillId="3" borderId="18" xfId="0" applyNumberFormat="1" applyFont="1" applyFill="1" applyBorder="1" applyAlignment="1">
      <alignment horizontal="center" vertical="center"/>
    </xf>
    <xf numFmtId="16" fontId="2" fillId="4" borderId="9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4" borderId="9" xfId="0" applyFont="1" applyFill="1" applyBorder="1" applyAlignment="1">
      <alignment horizontal="center"/>
    </xf>
    <xf numFmtId="0" fontId="2" fillId="3" borderId="8" xfId="0" applyFont="1" applyFill="1" applyBorder="1" applyAlignment="1">
      <alignment vertical="center"/>
    </xf>
    <xf numFmtId="20" fontId="2" fillId="3" borderId="18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/>
    </xf>
    <xf numFmtId="0" fontId="2" fillId="3" borderId="14" xfId="0" applyFont="1" applyFill="1" applyBorder="1" applyAlignment="1">
      <alignment vertical="center"/>
    </xf>
    <xf numFmtId="165" fontId="2" fillId="3" borderId="15" xfId="1" applyNumberFormat="1" applyFont="1" applyFill="1" applyBorder="1" applyAlignment="1">
      <alignment horizontal="right" vertical="center"/>
    </xf>
    <xf numFmtId="165" fontId="2" fillId="3" borderId="35" xfId="1" applyNumberFormat="1" applyFont="1" applyFill="1" applyBorder="1" applyAlignment="1">
      <alignment horizontal="right" vertical="center"/>
    </xf>
    <xf numFmtId="0" fontId="2" fillId="6" borderId="6" xfId="0" applyFont="1" applyFill="1" applyBorder="1" applyAlignment="1">
      <alignment horizontal="center" vertical="center"/>
    </xf>
    <xf numFmtId="17" fontId="0" fillId="0" borderId="0" xfId="0" applyNumberFormat="1"/>
    <xf numFmtId="0" fontId="0" fillId="4" borderId="8" xfId="0" applyFill="1" applyBorder="1"/>
    <xf numFmtId="0" fontId="0" fillId="4" borderId="6" xfId="0" applyFill="1" applyBorder="1" applyAlignment="1">
      <alignment horizontal="center"/>
    </xf>
    <xf numFmtId="165" fontId="0" fillId="4" borderId="6" xfId="1" applyNumberFormat="1" applyFont="1" applyFill="1" applyBorder="1"/>
    <xf numFmtId="165" fontId="0" fillId="4" borderId="9" xfId="1" applyNumberFormat="1" applyFont="1" applyFill="1" applyBorder="1"/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right"/>
    </xf>
    <xf numFmtId="0" fontId="0" fillId="0" borderId="9" xfId="0" applyBorder="1" applyAlignment="1">
      <alignment horizontal="right"/>
    </xf>
    <xf numFmtId="166" fontId="1" fillId="0" borderId="6" xfId="1" applyNumberFormat="1" applyFont="1" applyBorder="1" applyAlignment="1">
      <alignment horizontal="center"/>
    </xf>
    <xf numFmtId="166" fontId="2" fillId="3" borderId="6" xfId="1" applyNumberFormat="1" applyFont="1" applyFill="1" applyBorder="1" applyAlignment="1">
      <alignment vertical="center" shrinkToFit="1"/>
    </xf>
    <xf numFmtId="165" fontId="5" fillId="11" borderId="6" xfId="1" applyNumberFormat="1" applyFont="1" applyFill="1" applyBorder="1"/>
    <xf numFmtId="165" fontId="5" fillId="12" borderId="6" xfId="1" applyNumberFormat="1" applyFont="1" applyFill="1" applyBorder="1"/>
    <xf numFmtId="165" fontId="5" fillId="8" borderId="6" xfId="1" applyNumberFormat="1" applyFont="1" applyFill="1" applyBorder="1"/>
    <xf numFmtId="166" fontId="0" fillId="0" borderId="0" xfId="0" applyNumberFormat="1"/>
    <xf numFmtId="0" fontId="0" fillId="4" borderId="23" xfId="0" applyFill="1" applyBorder="1"/>
    <xf numFmtId="0" fontId="0" fillId="4" borderId="20" xfId="0" applyFill="1" applyBorder="1" applyAlignment="1">
      <alignment horizontal="center"/>
    </xf>
    <xf numFmtId="165" fontId="0" fillId="4" borderId="20" xfId="1" applyNumberFormat="1" applyFont="1" applyFill="1" applyBorder="1"/>
    <xf numFmtId="0" fontId="2" fillId="8" borderId="6" xfId="0" applyFont="1" applyFill="1" applyBorder="1" applyAlignment="1">
      <alignment horizontal="center" vertical="center"/>
    </xf>
    <xf numFmtId="16" fontId="2" fillId="8" borderId="6" xfId="0" applyNumberFormat="1" applyFont="1" applyFill="1" applyBorder="1" applyAlignment="1">
      <alignment horizontal="center" vertical="center"/>
    </xf>
    <xf numFmtId="165" fontId="0" fillId="4" borderId="24" xfId="1" applyNumberFormat="1" applyFont="1" applyFill="1" applyBorder="1"/>
    <xf numFmtId="0" fontId="0" fillId="13" borderId="6" xfId="0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66" fontId="2" fillId="2" borderId="9" xfId="1" applyNumberFormat="1" applyFont="1" applyFill="1" applyBorder="1" applyAlignment="1">
      <alignment horizontal="center"/>
    </xf>
    <xf numFmtId="0" fontId="2" fillId="11" borderId="9" xfId="0" applyFont="1" applyFill="1" applyBorder="1" applyAlignment="1">
      <alignment horizontal="center" vertical="center"/>
    </xf>
    <xf numFmtId="16" fontId="2" fillId="11" borderId="9" xfId="0" applyNumberFormat="1" applyFont="1" applyFill="1" applyBorder="1" applyAlignment="1">
      <alignment horizontal="center" vertical="center"/>
    </xf>
    <xf numFmtId="0" fontId="2" fillId="5" borderId="36" xfId="0" applyFont="1" applyFill="1" applyBorder="1" applyAlignment="1">
      <alignment vertical="center"/>
    </xf>
    <xf numFmtId="165" fontId="2" fillId="5" borderId="37" xfId="1" applyNumberFormat="1" applyFont="1" applyFill="1" applyBorder="1" applyAlignment="1">
      <alignment horizontal="right" vertical="center"/>
    </xf>
    <xf numFmtId="165" fontId="2" fillId="5" borderId="0" xfId="1" applyNumberFormat="1" applyFont="1" applyFill="1" applyBorder="1" applyAlignment="1">
      <alignment horizontal="right" vertical="center"/>
    </xf>
    <xf numFmtId="166" fontId="2" fillId="5" borderId="0" xfId="1" applyNumberFormat="1" applyFont="1" applyFill="1" applyBorder="1" applyAlignment="1">
      <alignment horizontal="center"/>
    </xf>
    <xf numFmtId="166" fontId="2" fillId="2" borderId="35" xfId="1" applyNumberFormat="1" applyFont="1" applyFill="1" applyBorder="1" applyAlignment="1">
      <alignment horizontal="center"/>
    </xf>
    <xf numFmtId="166" fontId="2" fillId="0" borderId="6" xfId="1" applyNumberFormat="1" applyFont="1" applyFill="1" applyBorder="1" applyAlignment="1">
      <alignment vertical="center"/>
    </xf>
    <xf numFmtId="20" fontId="2" fillId="4" borderId="6" xfId="0" applyNumberFormat="1" applyFont="1" applyFill="1" applyBorder="1" applyAlignment="1">
      <alignment horizontal="center" vertical="center"/>
    </xf>
    <xf numFmtId="166" fontId="2" fillId="4" borderId="6" xfId="1" applyNumberFormat="1" applyFont="1" applyFill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2" fillId="14" borderId="6" xfId="0" applyFont="1" applyFill="1" applyBorder="1" applyAlignment="1">
      <alignment horizontal="center" vertical="center"/>
    </xf>
    <xf numFmtId="0" fontId="2" fillId="14" borderId="6" xfId="0" applyFont="1" applyFill="1" applyBorder="1" applyAlignment="1">
      <alignment horizontal="center"/>
    </xf>
    <xf numFmtId="0" fontId="2" fillId="14" borderId="1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2" fillId="8" borderId="9" xfId="0" applyFont="1" applyFill="1" applyBorder="1" applyAlignment="1">
      <alignment horizontal="center" vertical="center"/>
    </xf>
    <xf numFmtId="16" fontId="2" fillId="8" borderId="9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1" fontId="2" fillId="8" borderId="9" xfId="0" applyNumberFormat="1" applyFont="1" applyFill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/>
    </xf>
    <xf numFmtId="166" fontId="2" fillId="3" borderId="9" xfId="1" applyNumberFormat="1" applyFont="1" applyFill="1" applyBorder="1" applyAlignment="1">
      <alignment horizontal="center" vertical="center"/>
    </xf>
    <xf numFmtId="0" fontId="0" fillId="0" borderId="43" xfId="0" applyBorder="1"/>
    <xf numFmtId="0" fontId="0" fillId="0" borderId="38" xfId="0" applyBorder="1"/>
    <xf numFmtId="0" fontId="0" fillId="0" borderId="17" xfId="0" applyBorder="1"/>
    <xf numFmtId="0" fontId="2" fillId="0" borderId="6" xfId="0" applyFont="1" applyBorder="1" applyAlignment="1">
      <alignment vertical="center"/>
    </xf>
    <xf numFmtId="0" fontId="2" fillId="8" borderId="6" xfId="0" applyFont="1" applyFill="1" applyBorder="1" applyAlignment="1">
      <alignment horizontal="center"/>
    </xf>
    <xf numFmtId="167" fontId="2" fillId="4" borderId="6" xfId="0" applyNumberFormat="1" applyFont="1" applyFill="1" applyBorder="1" applyAlignment="1">
      <alignment horizontal="center" vertical="center"/>
    </xf>
    <xf numFmtId="20" fontId="2" fillId="3" borderId="6" xfId="0" applyNumberFormat="1" applyFont="1" applyFill="1" applyBorder="1" applyAlignment="1">
      <alignment horizontal="right" vertical="center"/>
    </xf>
    <xf numFmtId="165" fontId="2" fillId="4" borderId="6" xfId="1" applyNumberFormat="1" applyFont="1" applyFill="1" applyBorder="1" applyAlignment="1">
      <alignment horizontal="center" vertical="center"/>
    </xf>
    <xf numFmtId="165" fontId="2" fillId="3" borderId="6" xfId="1" applyNumberFormat="1" applyFont="1" applyFill="1" applyBorder="1" applyAlignment="1">
      <alignment horizontal="center" vertical="center"/>
    </xf>
    <xf numFmtId="166" fontId="2" fillId="8" borderId="6" xfId="1" applyNumberFormat="1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0" borderId="23" xfId="0" applyBorder="1"/>
    <xf numFmtId="0" fontId="0" fillId="0" borderId="20" xfId="0" applyBorder="1" applyAlignment="1">
      <alignment horizontal="center"/>
    </xf>
    <xf numFmtId="0" fontId="0" fillId="6" borderId="20" xfId="0" applyFill="1" applyBorder="1" applyAlignment="1">
      <alignment horizontal="center"/>
    </xf>
    <xf numFmtId="165" fontId="0" fillId="5" borderId="20" xfId="1" applyNumberFormat="1" applyFont="1" applyFill="1" applyBorder="1"/>
    <xf numFmtId="165" fontId="0" fillId="0" borderId="20" xfId="1" applyNumberFormat="1" applyFont="1" applyBorder="1"/>
    <xf numFmtId="165" fontId="0" fillId="0" borderId="24" xfId="1" applyNumberFormat="1" applyFont="1" applyBorder="1"/>
    <xf numFmtId="165" fontId="5" fillId="16" borderId="15" xfId="1" applyNumberFormat="1" applyFont="1" applyFill="1" applyBorder="1"/>
    <xf numFmtId="165" fontId="5" fillId="7" borderId="20" xfId="1" applyNumberFormat="1" applyFont="1" applyFill="1" applyBorder="1"/>
    <xf numFmtId="165" fontId="5" fillId="12" borderId="15" xfId="1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0" fillId="0" borderId="9" xfId="0" applyBorder="1" applyAlignment="1">
      <alignment horizontal="center"/>
    </xf>
    <xf numFmtId="14" fontId="4" fillId="6" borderId="8" xfId="0" applyNumberFormat="1" applyFont="1" applyFill="1" applyBorder="1" applyAlignment="1">
      <alignment horizontal="center" vertical="center" wrapText="1"/>
    </xf>
    <xf numFmtId="14" fontId="4" fillId="6" borderId="6" xfId="0" applyNumberFormat="1" applyFont="1" applyFill="1" applyBorder="1" applyAlignment="1">
      <alignment horizontal="center" vertical="center" wrapText="1"/>
    </xf>
    <xf numFmtId="14" fontId="4" fillId="6" borderId="14" xfId="0" applyNumberFormat="1" applyFont="1" applyFill="1" applyBorder="1" applyAlignment="1">
      <alignment horizontal="center" vertical="center" wrapText="1"/>
    </xf>
    <xf numFmtId="14" fontId="4" fillId="6" borderId="15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14" fontId="4" fillId="6" borderId="23" xfId="0" applyNumberFormat="1" applyFont="1" applyFill="1" applyBorder="1" applyAlignment="1">
      <alignment horizontal="center" vertical="center" wrapText="1"/>
    </xf>
    <xf numFmtId="14" fontId="4" fillId="6" borderId="20" xfId="0" applyNumberFormat="1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4" xfId="0" applyBorder="1" applyAlignment="1">
      <alignment horizontal="center"/>
    </xf>
    <xf numFmtId="0" fontId="8" fillId="10" borderId="18" xfId="0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/>
    </xf>
    <xf numFmtId="0" fontId="8" fillId="10" borderId="19" xfId="0" applyFont="1" applyFill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8" fillId="10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0" fillId="8" borderId="38" xfId="0" applyFill="1" applyBorder="1" applyAlignment="1">
      <alignment horizontal="center"/>
    </xf>
    <xf numFmtId="14" fontId="15" fillId="6" borderId="6" xfId="0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8" xfId="0" applyFont="1" applyFill="1" applyBorder="1" applyAlignment="1">
      <alignment horizontal="center" vertical="center" wrapText="1"/>
    </xf>
    <xf numFmtId="0" fontId="14" fillId="10" borderId="9" xfId="0" applyFont="1" applyFill="1" applyBorder="1" applyAlignment="1">
      <alignment horizontal="center" vertical="center" wrapText="1"/>
    </xf>
    <xf numFmtId="0" fontId="8" fillId="10" borderId="39" xfId="0" applyFont="1" applyFill="1" applyBorder="1" applyAlignment="1">
      <alignment horizontal="center"/>
    </xf>
    <xf numFmtId="0" fontId="8" fillId="10" borderId="40" xfId="0" applyFont="1" applyFill="1" applyBorder="1" applyAlignment="1">
      <alignment horizontal="center"/>
    </xf>
    <xf numFmtId="0" fontId="8" fillId="10" borderId="41" xfId="0" applyFont="1" applyFill="1" applyBorder="1" applyAlignment="1">
      <alignment horizontal="center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4" fillId="10" borderId="21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3" fillId="2" borderId="41" xfId="0" applyFont="1" applyFill="1" applyBorder="1" applyAlignment="1">
      <alignment horizontal="center"/>
    </xf>
    <xf numFmtId="0" fontId="0" fillId="8" borderId="39" xfId="0" applyFill="1" applyBorder="1" applyAlignment="1">
      <alignment horizontal="center"/>
    </xf>
    <xf numFmtId="0" fontId="0" fillId="8" borderId="40" xfId="0" applyFill="1" applyBorder="1" applyAlignment="1">
      <alignment horizontal="center"/>
    </xf>
    <xf numFmtId="0" fontId="0" fillId="8" borderId="41" xfId="0" applyFill="1" applyBorder="1" applyAlignment="1">
      <alignment horizontal="center"/>
    </xf>
    <xf numFmtId="0" fontId="0" fillId="8" borderId="29" xfId="0" applyFill="1" applyBorder="1" applyAlignment="1">
      <alignment horizontal="center"/>
    </xf>
    <xf numFmtId="14" fontId="18" fillId="6" borderId="8" xfId="0" applyNumberFormat="1" applyFont="1" applyFill="1" applyBorder="1" applyAlignment="1">
      <alignment horizontal="center" vertical="center" wrapText="1"/>
    </xf>
    <xf numFmtId="14" fontId="18" fillId="6" borderId="6" xfId="0" applyNumberFormat="1" applyFont="1" applyFill="1" applyBorder="1" applyAlignment="1">
      <alignment horizontal="center" vertical="center" wrapText="1"/>
    </xf>
    <xf numFmtId="14" fontId="18" fillId="5" borderId="0" xfId="0" applyNumberFormat="1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/>
    </xf>
    <xf numFmtId="165" fontId="5" fillId="5" borderId="0" xfId="1" applyNumberFormat="1" applyFont="1" applyFill="1" applyBorder="1"/>
    <xf numFmtId="0" fontId="0" fillId="5" borderId="0" xfId="0" applyFill="1" applyBorder="1" applyAlignment="1">
      <alignment horizontal="center"/>
    </xf>
    <xf numFmtId="0" fontId="0" fillId="5" borderId="0" xfId="0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opLeftCell="A6" workbookViewId="0">
      <selection activeCell="A14" sqref="A14:G23"/>
    </sheetView>
  </sheetViews>
  <sheetFormatPr baseColWidth="10" defaultColWidth="9.140625" defaultRowHeight="15" x14ac:dyDescent="0.25"/>
  <cols>
    <col min="1" max="1" width="33.42578125" bestFit="1" customWidth="1"/>
    <col min="2" max="3" width="9.42578125" bestFit="1" customWidth="1"/>
    <col min="4" max="4" width="10.28515625" customWidth="1"/>
    <col min="5" max="5" width="14.42578125" bestFit="1" customWidth="1"/>
    <col min="7" max="7" width="22.7109375" customWidth="1"/>
  </cols>
  <sheetData>
    <row r="1" spans="1:7" ht="18.75" x14ac:dyDescent="0.3">
      <c r="A1" s="137" t="s">
        <v>0</v>
      </c>
      <c r="B1" s="138"/>
      <c r="C1" s="138"/>
      <c r="D1" s="138"/>
      <c r="E1" s="138"/>
    </row>
    <row r="2" spans="1:7" ht="18.75" x14ac:dyDescent="0.3">
      <c r="A2" s="139" t="s">
        <v>1</v>
      </c>
      <c r="B2" s="140"/>
      <c r="C2" s="140"/>
      <c r="D2" s="140"/>
      <c r="E2" s="140"/>
    </row>
    <row r="3" spans="1:7" ht="18.75" x14ac:dyDescent="0.3">
      <c r="A3" s="139" t="s">
        <v>2</v>
      </c>
      <c r="B3" s="140"/>
      <c r="C3" s="140"/>
      <c r="D3" s="140"/>
      <c r="E3" s="140"/>
    </row>
    <row r="4" spans="1:7" x14ac:dyDescent="0.25">
      <c r="A4" s="1" t="s">
        <v>3</v>
      </c>
      <c r="B4" s="2">
        <v>12623</v>
      </c>
      <c r="C4" s="2">
        <v>11461</v>
      </c>
      <c r="D4" s="2"/>
      <c r="E4" s="3" t="s">
        <v>4</v>
      </c>
    </row>
    <row r="5" spans="1:7" x14ac:dyDescent="0.25">
      <c r="A5" s="4"/>
      <c r="B5" s="5">
        <v>45741</v>
      </c>
      <c r="C5" s="5">
        <v>45754</v>
      </c>
      <c r="D5" s="5"/>
      <c r="E5" s="6">
        <v>45747</v>
      </c>
    </row>
    <row r="6" spans="1:7" x14ac:dyDescent="0.25">
      <c r="A6" s="10" t="s">
        <v>5</v>
      </c>
      <c r="B6" s="7">
        <v>2</v>
      </c>
      <c r="C6" s="8">
        <v>-2</v>
      </c>
      <c r="D6" s="8"/>
      <c r="E6" s="9">
        <f>SUM(B6:D6)</f>
        <v>0</v>
      </c>
    </row>
    <row r="7" spans="1:7" x14ac:dyDescent="0.25">
      <c r="A7" s="10" t="s">
        <v>6</v>
      </c>
      <c r="B7" s="7">
        <v>2</v>
      </c>
      <c r="C7" s="8">
        <v>-2</v>
      </c>
      <c r="D7" s="8"/>
      <c r="E7" s="9">
        <f>SUM(B7:D7)</f>
        <v>0</v>
      </c>
    </row>
    <row r="8" spans="1:7" x14ac:dyDescent="0.25">
      <c r="A8" s="10" t="s">
        <v>7</v>
      </c>
      <c r="B8" s="7">
        <v>3</v>
      </c>
      <c r="C8" s="8">
        <v>-3</v>
      </c>
      <c r="D8" s="8"/>
      <c r="E8" s="9">
        <f>SUM(B8:D8)</f>
        <v>0</v>
      </c>
    </row>
    <row r="9" spans="1:7" x14ac:dyDescent="0.25">
      <c r="A9" s="4" t="s">
        <v>8</v>
      </c>
      <c r="B9" s="11">
        <v>0.29166666666666669</v>
      </c>
      <c r="C9" s="12">
        <v>0.45833333333333331</v>
      </c>
      <c r="D9" s="12"/>
      <c r="E9" s="9"/>
    </row>
    <row r="10" spans="1:7" x14ac:dyDescent="0.25">
      <c r="A10" s="4" t="s">
        <v>9</v>
      </c>
      <c r="B10" s="13">
        <v>30000</v>
      </c>
      <c r="C10" s="13">
        <v>30000</v>
      </c>
      <c r="D10" s="14"/>
      <c r="E10" s="15">
        <f>SUM(B10:D10)</f>
        <v>60000</v>
      </c>
    </row>
    <row r="13" spans="1:7" ht="15.75" thickBot="1" x14ac:dyDescent="0.3"/>
    <row r="14" spans="1:7" x14ac:dyDescent="0.25">
      <c r="A14" s="141" t="s">
        <v>10</v>
      </c>
      <c r="B14" s="142"/>
      <c r="C14" s="142"/>
      <c r="D14" s="142"/>
      <c r="E14" s="142"/>
      <c r="F14" s="142"/>
      <c r="G14" s="143"/>
    </row>
    <row r="15" spans="1:7" ht="18.75" x14ac:dyDescent="0.3">
      <c r="A15" s="144" t="s">
        <v>24</v>
      </c>
      <c r="B15" s="145"/>
      <c r="C15" s="145"/>
      <c r="D15" s="145"/>
      <c r="E15" s="145"/>
      <c r="F15" s="145"/>
      <c r="G15" s="146"/>
    </row>
    <row r="16" spans="1:7" ht="18.75" x14ac:dyDescent="0.3">
      <c r="A16" s="144" t="s">
        <v>1</v>
      </c>
      <c r="B16" s="145"/>
      <c r="C16" s="145"/>
      <c r="D16" s="145"/>
      <c r="E16" s="145"/>
      <c r="F16" s="145"/>
      <c r="G16" s="146"/>
    </row>
    <row r="17" spans="1:7" x14ac:dyDescent="0.25">
      <c r="A17" s="147" t="s">
        <v>3</v>
      </c>
      <c r="B17" s="148" t="s">
        <v>11</v>
      </c>
      <c r="C17" s="148"/>
      <c r="D17" s="148"/>
      <c r="E17" s="148" t="s">
        <v>12</v>
      </c>
      <c r="F17" s="148"/>
      <c r="G17" s="149" t="s">
        <v>13</v>
      </c>
    </row>
    <row r="18" spans="1:7" x14ac:dyDescent="0.25">
      <c r="A18" s="147"/>
      <c r="B18" s="16" t="s">
        <v>14</v>
      </c>
      <c r="C18" s="16" t="s">
        <v>15</v>
      </c>
      <c r="D18" s="16" t="s">
        <v>16</v>
      </c>
      <c r="E18" s="16" t="s">
        <v>17</v>
      </c>
      <c r="F18" s="16" t="s">
        <v>18</v>
      </c>
      <c r="G18" s="149"/>
    </row>
    <row r="19" spans="1:7" x14ac:dyDescent="0.25">
      <c r="A19" s="17" t="s">
        <v>19</v>
      </c>
      <c r="B19" s="18">
        <v>13</v>
      </c>
      <c r="C19" s="19">
        <v>1</v>
      </c>
      <c r="D19" s="20">
        <v>1500</v>
      </c>
      <c r="E19" s="21">
        <f t="shared" ref="E19:E20" si="0">C19*D19</f>
        <v>1500</v>
      </c>
      <c r="F19" s="21">
        <f t="shared" ref="F19:F20" si="1">B19*E19</f>
        <v>19500</v>
      </c>
      <c r="G19" s="22" t="s">
        <v>23</v>
      </c>
    </row>
    <row r="20" spans="1:7" x14ac:dyDescent="0.25">
      <c r="A20" s="17" t="s">
        <v>20</v>
      </c>
      <c r="B20" s="18">
        <v>13</v>
      </c>
      <c r="C20" s="19">
        <v>3</v>
      </c>
      <c r="D20" s="20">
        <v>650</v>
      </c>
      <c r="E20" s="21">
        <f t="shared" si="0"/>
        <v>1950</v>
      </c>
      <c r="F20" s="21">
        <f t="shared" si="1"/>
        <v>25350</v>
      </c>
      <c r="G20" s="22" t="s">
        <v>23</v>
      </c>
    </row>
    <row r="21" spans="1:7" ht="18.75" x14ac:dyDescent="0.4">
      <c r="A21" s="150" t="s">
        <v>23</v>
      </c>
      <c r="B21" s="151"/>
      <c r="C21" s="154" t="s">
        <v>21</v>
      </c>
      <c r="D21" s="154"/>
      <c r="E21" s="24">
        <f>SUM(F19:F20)</f>
        <v>44850</v>
      </c>
      <c r="F21" s="155"/>
      <c r="G21" s="156"/>
    </row>
    <row r="22" spans="1:7" ht="18.75" x14ac:dyDescent="0.4">
      <c r="A22" s="150"/>
      <c r="B22" s="151"/>
      <c r="C22" s="154" t="s">
        <v>22</v>
      </c>
      <c r="D22" s="154"/>
      <c r="E22" s="24">
        <v>60000</v>
      </c>
      <c r="F22" s="157"/>
      <c r="G22" s="158"/>
    </row>
    <row r="23" spans="1:7" ht="19.5" thickBot="1" x14ac:dyDescent="0.45">
      <c r="A23" s="152"/>
      <c r="B23" s="153"/>
      <c r="C23" s="161" t="s">
        <v>21</v>
      </c>
      <c r="D23" s="161"/>
      <c r="E23" s="25">
        <f>E21+E22</f>
        <v>104850</v>
      </c>
      <c r="F23" s="159"/>
      <c r="G23" s="160"/>
    </row>
  </sheetData>
  <mergeCells count="15">
    <mergeCell ref="A21:B23"/>
    <mergeCell ref="C21:D21"/>
    <mergeCell ref="F21:G23"/>
    <mergeCell ref="C22:D22"/>
    <mergeCell ref="C23:D23"/>
    <mergeCell ref="A16:G16"/>
    <mergeCell ref="A17:A18"/>
    <mergeCell ref="B17:D17"/>
    <mergeCell ref="E17:F17"/>
    <mergeCell ref="G17:G18"/>
    <mergeCell ref="A1:E1"/>
    <mergeCell ref="A2:E2"/>
    <mergeCell ref="A3:E3"/>
    <mergeCell ref="A14:G14"/>
    <mergeCell ref="A15:G15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A3573-59D2-441C-977B-ECA5DFE51AF7}">
  <dimension ref="A1:F24"/>
  <sheetViews>
    <sheetView topLeftCell="A13" workbookViewId="0">
      <selection sqref="A1:F24"/>
    </sheetView>
  </sheetViews>
  <sheetFormatPr baseColWidth="10" defaultRowHeight="15" x14ac:dyDescent="0.25"/>
  <cols>
    <col min="1" max="1" width="35.140625" bestFit="1" customWidth="1"/>
    <col min="5" max="5" width="14.42578125" bestFit="1" customWidth="1"/>
  </cols>
  <sheetData>
    <row r="1" spans="1:6" ht="18.75" x14ac:dyDescent="0.3">
      <c r="A1" s="162" t="s">
        <v>25</v>
      </c>
      <c r="B1" s="140"/>
      <c r="C1" s="140"/>
      <c r="D1" s="171"/>
    </row>
    <row r="2" spans="1:6" ht="18.75" x14ac:dyDescent="0.3">
      <c r="A2" s="162" t="s">
        <v>26</v>
      </c>
      <c r="B2" s="140"/>
      <c r="C2" s="140"/>
      <c r="D2" s="171"/>
    </row>
    <row r="3" spans="1:6" ht="18.75" x14ac:dyDescent="0.3">
      <c r="A3" s="162" t="s">
        <v>27</v>
      </c>
      <c r="B3" s="140"/>
      <c r="C3" s="140"/>
      <c r="D3" s="171"/>
    </row>
    <row r="4" spans="1:6" x14ac:dyDescent="0.25">
      <c r="A4" s="172" t="s">
        <v>3</v>
      </c>
      <c r="B4" s="26">
        <v>12640</v>
      </c>
      <c r="C4" s="26">
        <v>11464</v>
      </c>
      <c r="D4" s="7" t="s">
        <v>4</v>
      </c>
    </row>
    <row r="5" spans="1:6" x14ac:dyDescent="0.25">
      <c r="A5" s="173"/>
      <c r="B5" s="5">
        <v>45749</v>
      </c>
      <c r="C5" s="5">
        <v>45755</v>
      </c>
      <c r="D5" s="6">
        <v>45777</v>
      </c>
    </row>
    <row r="6" spans="1:6" x14ac:dyDescent="0.25">
      <c r="A6" s="27" t="s">
        <v>28</v>
      </c>
      <c r="B6" s="28">
        <v>4</v>
      </c>
      <c r="C6" s="23"/>
      <c r="D6" s="9">
        <f>SUM(B6:C6)</f>
        <v>4</v>
      </c>
    </row>
    <row r="7" spans="1:6" x14ac:dyDescent="0.25">
      <c r="A7" s="27" t="s">
        <v>29</v>
      </c>
      <c r="B7" s="28">
        <v>4</v>
      </c>
      <c r="C7" s="23"/>
      <c r="D7" s="9">
        <f>SUM(B7:C7)</f>
        <v>4</v>
      </c>
    </row>
    <row r="8" spans="1:6" x14ac:dyDescent="0.25">
      <c r="A8" s="27" t="s">
        <v>30</v>
      </c>
      <c r="B8" s="28">
        <v>3</v>
      </c>
      <c r="C8" s="23"/>
      <c r="D8" s="9">
        <f>SUM(B8:C8)</f>
        <v>3</v>
      </c>
    </row>
    <row r="9" spans="1:6" x14ac:dyDescent="0.25">
      <c r="A9" s="27"/>
      <c r="B9" s="28"/>
      <c r="C9" s="23"/>
      <c r="D9" s="9">
        <f>SUM(B9:C9)</f>
        <v>0</v>
      </c>
    </row>
    <row r="10" spans="1:6" x14ac:dyDescent="0.25">
      <c r="A10" s="29" t="s">
        <v>31</v>
      </c>
      <c r="B10" s="12">
        <v>0.4375</v>
      </c>
      <c r="C10" s="30">
        <v>0.6875</v>
      </c>
      <c r="D10" s="9"/>
    </row>
    <row r="11" spans="1:6" x14ac:dyDescent="0.25">
      <c r="A11" s="29" t="s">
        <v>32</v>
      </c>
      <c r="B11" s="31">
        <v>15000</v>
      </c>
      <c r="C11" s="31">
        <v>15000</v>
      </c>
      <c r="D11" s="15">
        <f>SUM(B11:C11)</f>
        <v>30000</v>
      </c>
    </row>
    <row r="14" spans="1:6" ht="18.75" x14ac:dyDescent="0.3">
      <c r="A14" s="174" t="s">
        <v>25</v>
      </c>
      <c r="B14" s="175"/>
      <c r="C14" s="175"/>
      <c r="D14" s="175"/>
      <c r="E14" s="175"/>
      <c r="F14" s="176"/>
    </row>
    <row r="15" spans="1:6" ht="18" customHeight="1" x14ac:dyDescent="0.3">
      <c r="A15" s="162" t="s">
        <v>37</v>
      </c>
      <c r="B15" s="140"/>
      <c r="C15" s="140"/>
      <c r="D15" s="140"/>
      <c r="E15" s="140"/>
      <c r="F15" s="163"/>
    </row>
    <row r="16" spans="1:6" ht="18.75" x14ac:dyDescent="0.3">
      <c r="A16" s="162" t="s">
        <v>27</v>
      </c>
      <c r="B16" s="140"/>
      <c r="C16" s="140"/>
      <c r="D16" s="140"/>
      <c r="E16" s="140"/>
      <c r="F16" s="163"/>
    </row>
    <row r="17" spans="1:6" x14ac:dyDescent="0.25">
      <c r="A17" s="147" t="s">
        <v>3</v>
      </c>
      <c r="B17" s="148" t="s">
        <v>11</v>
      </c>
      <c r="C17" s="148"/>
      <c r="D17" s="148"/>
      <c r="E17" s="148" t="s">
        <v>12</v>
      </c>
      <c r="F17" s="164"/>
    </row>
    <row r="18" spans="1:6" x14ac:dyDescent="0.25">
      <c r="A18" s="147"/>
      <c r="B18" s="16" t="s">
        <v>14</v>
      </c>
      <c r="C18" s="16" t="s">
        <v>15</v>
      </c>
      <c r="D18" s="16" t="s">
        <v>16</v>
      </c>
      <c r="E18" s="16" t="s">
        <v>17</v>
      </c>
      <c r="F18" s="32" t="s">
        <v>18</v>
      </c>
    </row>
    <row r="19" spans="1:6" x14ac:dyDescent="0.25">
      <c r="A19" s="17" t="s">
        <v>33</v>
      </c>
      <c r="B19" s="18">
        <v>7</v>
      </c>
      <c r="C19" s="18">
        <v>2</v>
      </c>
      <c r="D19" s="33">
        <v>2000</v>
      </c>
      <c r="E19" s="33">
        <f>C19*D19</f>
        <v>4000</v>
      </c>
      <c r="F19" s="34">
        <f>B19*E19</f>
        <v>28000</v>
      </c>
    </row>
    <row r="20" spans="1:6" x14ac:dyDescent="0.25">
      <c r="A20" s="17" t="s">
        <v>34</v>
      </c>
      <c r="B20" s="18">
        <v>7</v>
      </c>
      <c r="C20" s="18">
        <v>3</v>
      </c>
      <c r="D20" s="33">
        <v>700</v>
      </c>
      <c r="E20" s="33">
        <f>C20*D20</f>
        <v>2100</v>
      </c>
      <c r="F20" s="34">
        <f>B20*E20</f>
        <v>14700</v>
      </c>
    </row>
    <row r="21" spans="1:6" ht="18.75" x14ac:dyDescent="0.4">
      <c r="A21" s="150" t="s">
        <v>36</v>
      </c>
      <c r="B21" s="151"/>
      <c r="C21" s="167" t="s">
        <v>35</v>
      </c>
      <c r="D21" s="168"/>
      <c r="E21" s="24">
        <f>SUM(E19:E20)</f>
        <v>6100</v>
      </c>
      <c r="F21" s="35"/>
    </row>
    <row r="22" spans="1:6" ht="19.5" thickBot="1" x14ac:dyDescent="0.45">
      <c r="A22" s="165"/>
      <c r="B22" s="166"/>
      <c r="C22" s="161" t="s">
        <v>38</v>
      </c>
      <c r="D22" s="161"/>
      <c r="E22" s="36">
        <v>43000</v>
      </c>
      <c r="F22" s="37"/>
    </row>
    <row r="23" spans="1:6" ht="18.75" x14ac:dyDescent="0.4">
      <c r="A23" s="165"/>
      <c r="B23" s="166"/>
      <c r="C23" s="169" t="s">
        <v>32</v>
      </c>
      <c r="D23" s="170"/>
      <c r="E23" s="38">
        <v>30000</v>
      </c>
      <c r="F23" s="37"/>
    </row>
    <row r="24" spans="1:6" ht="19.5" thickBot="1" x14ac:dyDescent="0.45">
      <c r="A24" s="152"/>
      <c r="B24" s="153"/>
      <c r="C24" s="161" t="s">
        <v>21</v>
      </c>
      <c r="D24" s="161"/>
      <c r="E24" s="39">
        <f>E22+E23</f>
        <v>73000</v>
      </c>
      <c r="F24" s="40"/>
    </row>
  </sheetData>
  <mergeCells count="15">
    <mergeCell ref="A15:F15"/>
    <mergeCell ref="A1:D1"/>
    <mergeCell ref="A2:D2"/>
    <mergeCell ref="A3:D3"/>
    <mergeCell ref="A4:A5"/>
    <mergeCell ref="A14:F14"/>
    <mergeCell ref="A16:F16"/>
    <mergeCell ref="A17:A18"/>
    <mergeCell ref="B17:D17"/>
    <mergeCell ref="E17:F17"/>
    <mergeCell ref="A21:B24"/>
    <mergeCell ref="C21:D21"/>
    <mergeCell ref="C22:D22"/>
    <mergeCell ref="C23:D23"/>
    <mergeCell ref="C24:D24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564F8-E825-4B81-B821-CB971F6FA420}">
  <dimension ref="A1:F24"/>
  <sheetViews>
    <sheetView topLeftCell="A9" workbookViewId="0">
      <selection activeCell="E23" sqref="E23"/>
    </sheetView>
  </sheetViews>
  <sheetFormatPr baseColWidth="10" defaultRowHeight="15" x14ac:dyDescent="0.25"/>
  <cols>
    <col min="1" max="1" width="33.42578125" bestFit="1" customWidth="1"/>
    <col min="5" max="5" width="14.42578125" bestFit="1" customWidth="1"/>
  </cols>
  <sheetData>
    <row r="1" spans="1:6" ht="18.75" x14ac:dyDescent="0.3">
      <c r="A1" s="162" t="s">
        <v>39</v>
      </c>
      <c r="B1" s="140"/>
      <c r="C1" s="140"/>
      <c r="D1" s="140"/>
      <c r="E1" s="140"/>
      <c r="F1" s="171"/>
    </row>
    <row r="2" spans="1:6" ht="18.75" x14ac:dyDescent="0.3">
      <c r="A2" s="162" t="s">
        <v>40</v>
      </c>
      <c r="B2" s="140"/>
      <c r="C2" s="140"/>
      <c r="D2" s="140"/>
      <c r="E2" s="140"/>
      <c r="F2" s="171"/>
    </row>
    <row r="3" spans="1:6" ht="18.75" x14ac:dyDescent="0.3">
      <c r="A3" s="162" t="s">
        <v>41</v>
      </c>
      <c r="B3" s="140"/>
      <c r="C3" s="140"/>
      <c r="D3" s="140"/>
      <c r="E3" s="140"/>
      <c r="F3" s="171"/>
    </row>
    <row r="4" spans="1:6" x14ac:dyDescent="0.25">
      <c r="A4" s="172" t="s">
        <v>3</v>
      </c>
      <c r="B4" s="26">
        <v>12619</v>
      </c>
      <c r="C4" s="41"/>
      <c r="D4" s="26"/>
      <c r="E4" s="26"/>
      <c r="F4" s="7" t="s">
        <v>42</v>
      </c>
    </row>
    <row r="5" spans="1:6" x14ac:dyDescent="0.25">
      <c r="A5" s="173"/>
      <c r="B5" s="5">
        <v>45736</v>
      </c>
      <c r="C5" s="5"/>
      <c r="D5" s="5"/>
      <c r="E5" s="5"/>
      <c r="F5" s="6">
        <v>45747</v>
      </c>
    </row>
    <row r="6" spans="1:6" x14ac:dyDescent="0.25">
      <c r="A6" s="27" t="s">
        <v>5</v>
      </c>
      <c r="B6" s="28">
        <v>4</v>
      </c>
      <c r="C6" s="23"/>
      <c r="D6" s="23"/>
      <c r="E6" s="23"/>
      <c r="F6" s="9">
        <f>SUM(B6:E6)</f>
        <v>4</v>
      </c>
    </row>
    <row r="7" spans="1:6" x14ac:dyDescent="0.25">
      <c r="A7" s="27" t="s">
        <v>43</v>
      </c>
      <c r="B7" s="28">
        <v>4</v>
      </c>
      <c r="C7" s="23"/>
      <c r="D7" s="23"/>
      <c r="E7" s="23"/>
      <c r="F7" s="9">
        <f>SUM(B7:E7)</f>
        <v>4</v>
      </c>
    </row>
    <row r="8" spans="1:6" x14ac:dyDescent="0.25">
      <c r="A8" s="27" t="s">
        <v>44</v>
      </c>
      <c r="B8" s="28">
        <v>6</v>
      </c>
      <c r="C8" s="23"/>
      <c r="D8" s="23"/>
      <c r="E8" s="23"/>
      <c r="F8" s="9">
        <f>SUM(B8:E8)</f>
        <v>6</v>
      </c>
    </row>
    <row r="9" spans="1:6" x14ac:dyDescent="0.25">
      <c r="A9" s="29" t="s">
        <v>31</v>
      </c>
      <c r="B9" s="42">
        <v>0.3125</v>
      </c>
      <c r="C9" s="43"/>
      <c r="D9" s="30"/>
      <c r="E9" s="30"/>
      <c r="F9" s="41"/>
    </row>
    <row r="10" spans="1:6" x14ac:dyDescent="0.25">
      <c r="A10" s="29" t="s">
        <v>32</v>
      </c>
      <c r="B10" s="31">
        <v>35000</v>
      </c>
      <c r="C10" s="11"/>
      <c r="D10" s="31"/>
      <c r="E10" s="31"/>
      <c r="F10" s="44"/>
    </row>
    <row r="11" spans="1:6" x14ac:dyDescent="0.25">
      <c r="A11" s="45" t="s">
        <v>45</v>
      </c>
      <c r="B11" s="46">
        <v>45735</v>
      </c>
      <c r="C11" s="47">
        <v>300000</v>
      </c>
    </row>
    <row r="15" spans="1:6" ht="18.75" x14ac:dyDescent="0.3">
      <c r="A15" s="162" t="s">
        <v>39</v>
      </c>
      <c r="B15" s="140"/>
      <c r="C15" s="140"/>
      <c r="D15" s="140"/>
      <c r="E15" s="140"/>
      <c r="F15" s="171"/>
    </row>
    <row r="16" spans="1:6" ht="18.75" x14ac:dyDescent="0.3">
      <c r="A16" s="162" t="s">
        <v>40</v>
      </c>
      <c r="B16" s="140"/>
      <c r="C16" s="140"/>
      <c r="D16" s="140"/>
      <c r="E16" s="140"/>
      <c r="F16" s="171"/>
    </row>
    <row r="17" spans="1:6" x14ac:dyDescent="0.25">
      <c r="A17" s="147" t="s">
        <v>3</v>
      </c>
      <c r="B17" s="148" t="s">
        <v>11</v>
      </c>
      <c r="C17" s="148"/>
      <c r="D17" s="148"/>
      <c r="E17" s="148" t="s">
        <v>12</v>
      </c>
      <c r="F17" s="164"/>
    </row>
    <row r="18" spans="1:6" x14ac:dyDescent="0.25">
      <c r="A18" s="147"/>
      <c r="B18" s="16" t="s">
        <v>14</v>
      </c>
      <c r="C18" s="16" t="s">
        <v>15</v>
      </c>
      <c r="D18" s="16" t="s">
        <v>16</v>
      </c>
      <c r="E18" s="16" t="s">
        <v>17</v>
      </c>
      <c r="F18" s="32" t="s">
        <v>18</v>
      </c>
    </row>
    <row r="19" spans="1:6" x14ac:dyDescent="0.25">
      <c r="A19" s="17" t="s">
        <v>48</v>
      </c>
      <c r="B19" s="18">
        <v>20</v>
      </c>
      <c r="C19" s="19">
        <v>2</v>
      </c>
      <c r="D19" s="20">
        <v>1500</v>
      </c>
      <c r="E19" s="21">
        <f>C19*D19</f>
        <v>3000</v>
      </c>
      <c r="F19" s="48">
        <f t="shared" ref="F19:F20" si="0">B19*E19</f>
        <v>60000</v>
      </c>
    </row>
    <row r="20" spans="1:6" x14ac:dyDescent="0.25">
      <c r="A20" s="17" t="s">
        <v>44</v>
      </c>
      <c r="B20" s="18">
        <v>20</v>
      </c>
      <c r="C20" s="19">
        <v>6</v>
      </c>
      <c r="D20" s="20">
        <v>750</v>
      </c>
      <c r="E20" s="21">
        <f t="shared" ref="E20" si="1">C20*D20</f>
        <v>4500</v>
      </c>
      <c r="F20" s="48">
        <f t="shared" si="0"/>
        <v>90000</v>
      </c>
    </row>
    <row r="21" spans="1:6" ht="18.75" x14ac:dyDescent="0.4">
      <c r="A21" s="150" t="s">
        <v>49</v>
      </c>
      <c r="B21" s="151"/>
      <c r="C21" s="154" t="s">
        <v>46</v>
      </c>
      <c r="D21" s="154"/>
      <c r="E21" s="24">
        <f>SUM(E19:E20)</f>
        <v>7500</v>
      </c>
      <c r="F21" s="35"/>
    </row>
    <row r="22" spans="1:6" ht="19.5" thickBot="1" x14ac:dyDescent="0.45">
      <c r="A22" s="165"/>
      <c r="B22" s="166"/>
      <c r="C22" s="161" t="s">
        <v>47</v>
      </c>
      <c r="D22" s="161"/>
      <c r="E22" s="25">
        <f>SUM(F19:F20)</f>
        <v>150000</v>
      </c>
      <c r="F22" s="37"/>
    </row>
    <row r="23" spans="1:6" ht="18.75" x14ac:dyDescent="0.4">
      <c r="A23" s="165"/>
      <c r="B23" s="166"/>
      <c r="C23" s="169" t="s">
        <v>22</v>
      </c>
      <c r="D23" s="170"/>
      <c r="E23" s="49">
        <v>70000</v>
      </c>
      <c r="F23" s="37"/>
    </row>
    <row r="24" spans="1:6" ht="19.5" thickBot="1" x14ac:dyDescent="0.45">
      <c r="A24" s="152"/>
      <c r="B24" s="153"/>
      <c r="C24" s="161" t="s">
        <v>21</v>
      </c>
      <c r="D24" s="161"/>
      <c r="E24" s="25">
        <f>E22+E23</f>
        <v>220000</v>
      </c>
      <c r="F24" s="40"/>
    </row>
  </sheetData>
  <mergeCells count="14">
    <mergeCell ref="A17:A18"/>
    <mergeCell ref="B17:D17"/>
    <mergeCell ref="E17:F17"/>
    <mergeCell ref="A21:B24"/>
    <mergeCell ref="C21:D21"/>
    <mergeCell ref="C22:D22"/>
    <mergeCell ref="C23:D23"/>
    <mergeCell ref="C24:D24"/>
    <mergeCell ref="A16:F16"/>
    <mergeCell ref="A1:F1"/>
    <mergeCell ref="A2:F2"/>
    <mergeCell ref="A3:F3"/>
    <mergeCell ref="A4:A5"/>
    <mergeCell ref="A15:F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86CB8-6D6B-4117-B373-5FED5279C6C8}">
  <sheetPr>
    <pageSetUpPr fitToPage="1"/>
  </sheetPr>
  <dimension ref="A1:G41"/>
  <sheetViews>
    <sheetView topLeftCell="A25" workbookViewId="0">
      <selection sqref="A1:G39"/>
    </sheetView>
  </sheetViews>
  <sheetFormatPr baseColWidth="10" defaultRowHeight="15" x14ac:dyDescent="0.25"/>
  <cols>
    <col min="1" max="1" width="30.5703125" bestFit="1" customWidth="1"/>
    <col min="5" max="5" width="18.42578125" bestFit="1" customWidth="1"/>
    <col min="6" max="7" width="22.7109375" customWidth="1"/>
  </cols>
  <sheetData>
    <row r="1" spans="1:6" ht="18.75" x14ac:dyDescent="0.3">
      <c r="A1" s="162" t="s">
        <v>50</v>
      </c>
      <c r="B1" s="140"/>
      <c r="C1" s="140"/>
      <c r="D1" s="140"/>
      <c r="E1" s="140"/>
      <c r="F1" s="171"/>
    </row>
    <row r="2" spans="1:6" ht="18.75" x14ac:dyDescent="0.3">
      <c r="A2" s="162" t="s">
        <v>51</v>
      </c>
      <c r="B2" s="140"/>
      <c r="C2" s="140"/>
      <c r="D2" s="140"/>
      <c r="E2" s="140"/>
      <c r="F2" s="171"/>
    </row>
    <row r="3" spans="1:6" ht="18.75" x14ac:dyDescent="0.3">
      <c r="A3" s="162" t="s">
        <v>41</v>
      </c>
      <c r="B3" s="140"/>
      <c r="C3" s="140"/>
      <c r="D3" s="140"/>
      <c r="E3" s="140"/>
      <c r="F3" s="171"/>
    </row>
    <row r="4" spans="1:6" x14ac:dyDescent="0.25">
      <c r="A4" s="172" t="s">
        <v>3</v>
      </c>
      <c r="B4" s="26">
        <v>12622</v>
      </c>
      <c r="C4" s="41">
        <v>12627</v>
      </c>
      <c r="D4" s="26">
        <v>11470</v>
      </c>
      <c r="E4" s="26"/>
      <c r="F4" s="7" t="s">
        <v>42</v>
      </c>
    </row>
    <row r="5" spans="1:6" x14ac:dyDescent="0.25">
      <c r="A5" s="173"/>
      <c r="B5" s="5">
        <v>45738</v>
      </c>
      <c r="C5" s="5">
        <v>45742</v>
      </c>
      <c r="D5" s="5">
        <v>45761</v>
      </c>
      <c r="E5" s="5"/>
      <c r="F5" s="6">
        <v>45747</v>
      </c>
    </row>
    <row r="6" spans="1:6" x14ac:dyDescent="0.25">
      <c r="A6" s="27" t="s">
        <v>52</v>
      </c>
      <c r="B6" s="28">
        <v>8</v>
      </c>
      <c r="C6" s="23"/>
      <c r="D6" s="23">
        <v>-8</v>
      </c>
      <c r="E6" s="23"/>
      <c r="F6" s="9">
        <f t="shared" ref="F6:F13" si="0">SUM(B6:E6)</f>
        <v>0</v>
      </c>
    </row>
    <row r="7" spans="1:6" x14ac:dyDescent="0.25">
      <c r="A7" s="27" t="s">
        <v>53</v>
      </c>
      <c r="B7" s="28">
        <v>8</v>
      </c>
      <c r="C7" s="23"/>
      <c r="D7" s="23">
        <v>-8</v>
      </c>
      <c r="E7" s="23"/>
      <c r="F7" s="9">
        <f t="shared" si="0"/>
        <v>0</v>
      </c>
    </row>
    <row r="8" spans="1:6" x14ac:dyDescent="0.25">
      <c r="A8" s="27" t="s">
        <v>54</v>
      </c>
      <c r="B8" s="28">
        <v>6</v>
      </c>
      <c r="C8" s="23"/>
      <c r="D8" s="23">
        <v>-6</v>
      </c>
      <c r="E8" s="23"/>
      <c r="F8" s="9">
        <f t="shared" si="0"/>
        <v>0</v>
      </c>
    </row>
    <row r="9" spans="1:6" x14ac:dyDescent="0.25">
      <c r="A9" s="27" t="s">
        <v>55</v>
      </c>
      <c r="B9" s="28">
        <v>10</v>
      </c>
      <c r="C9" s="23">
        <v>3</v>
      </c>
      <c r="D9" s="23">
        <v>-13</v>
      </c>
      <c r="E9" s="23"/>
      <c r="F9" s="9">
        <f t="shared" si="0"/>
        <v>0</v>
      </c>
    </row>
    <row r="10" spans="1:6" x14ac:dyDescent="0.25">
      <c r="A10" s="27" t="s">
        <v>56</v>
      </c>
      <c r="B10" s="28">
        <v>6</v>
      </c>
      <c r="C10" s="23"/>
      <c r="D10" s="23">
        <v>-6</v>
      </c>
      <c r="E10" s="23"/>
      <c r="F10" s="9">
        <f t="shared" si="0"/>
        <v>0</v>
      </c>
    </row>
    <row r="11" spans="1:6" x14ac:dyDescent="0.25">
      <c r="A11" s="27" t="s">
        <v>57</v>
      </c>
      <c r="B11" s="28">
        <v>8</v>
      </c>
      <c r="C11" s="23">
        <v>3</v>
      </c>
      <c r="D11" s="23">
        <v>-11</v>
      </c>
      <c r="E11" s="23"/>
      <c r="F11" s="9">
        <f t="shared" si="0"/>
        <v>0</v>
      </c>
    </row>
    <row r="12" spans="1:6" x14ac:dyDescent="0.25">
      <c r="A12" s="27" t="s">
        <v>77</v>
      </c>
      <c r="B12" s="28">
        <v>40</v>
      </c>
      <c r="C12" s="23"/>
      <c r="D12" s="23">
        <v>-40</v>
      </c>
      <c r="E12" s="23"/>
      <c r="F12" s="9">
        <f t="shared" si="0"/>
        <v>0</v>
      </c>
    </row>
    <row r="13" spans="1:6" x14ac:dyDescent="0.25">
      <c r="A13" s="27" t="s">
        <v>58</v>
      </c>
      <c r="B13" s="28">
        <v>50</v>
      </c>
      <c r="C13" s="23"/>
      <c r="D13" s="23">
        <v>-50</v>
      </c>
      <c r="E13" s="23"/>
      <c r="F13" s="9">
        <f t="shared" si="0"/>
        <v>0</v>
      </c>
    </row>
    <row r="14" spans="1:6" x14ac:dyDescent="0.25">
      <c r="A14" s="27" t="s">
        <v>59</v>
      </c>
      <c r="B14" s="28"/>
      <c r="C14" s="23">
        <v>8</v>
      </c>
      <c r="D14" s="8">
        <v>-8</v>
      </c>
      <c r="E14" s="23"/>
      <c r="F14" s="9">
        <f>SUM(C14:E14)</f>
        <v>0</v>
      </c>
    </row>
    <row r="15" spans="1:6" x14ac:dyDescent="0.25">
      <c r="A15" s="29" t="s">
        <v>31</v>
      </c>
      <c r="B15" s="12">
        <v>0.41666666666666669</v>
      </c>
      <c r="C15" s="11">
        <v>6.9444444444444448E-2</v>
      </c>
      <c r="D15" s="30">
        <v>0.45833333333333331</v>
      </c>
      <c r="E15" s="30"/>
      <c r="F15" s="41">
        <f>SUM(C15:E15)</f>
        <v>0.52777777777777779</v>
      </c>
    </row>
    <row r="16" spans="1:6" x14ac:dyDescent="0.25">
      <c r="A16" s="29" t="s">
        <v>32</v>
      </c>
      <c r="B16" s="31" t="s">
        <v>60</v>
      </c>
      <c r="C16" s="31" t="s">
        <v>61</v>
      </c>
      <c r="D16" s="31" t="s">
        <v>60</v>
      </c>
      <c r="E16" s="31"/>
      <c r="F16" s="44"/>
    </row>
    <row r="17" spans="1:7" x14ac:dyDescent="0.25">
      <c r="A17" s="50" t="s">
        <v>62</v>
      </c>
    </row>
    <row r="20" spans="1:7" ht="18.75" x14ac:dyDescent="0.4">
      <c r="A20" s="186" t="s">
        <v>63</v>
      </c>
      <c r="B20" s="186"/>
      <c r="C20" s="186"/>
      <c r="D20" s="186"/>
      <c r="E20" s="186"/>
      <c r="F20" s="186"/>
      <c r="G20" s="186"/>
    </row>
    <row r="21" spans="1:7" x14ac:dyDescent="0.25">
      <c r="A21" s="187" t="s">
        <v>64</v>
      </c>
      <c r="B21" s="187"/>
      <c r="C21" s="187"/>
      <c r="D21" s="187"/>
      <c r="E21" s="187"/>
      <c r="F21" s="187"/>
      <c r="G21" s="187"/>
    </row>
    <row r="22" spans="1:7" x14ac:dyDescent="0.25">
      <c r="A22" s="181" t="s">
        <v>80</v>
      </c>
      <c r="B22" s="182"/>
      <c r="C22" s="182"/>
      <c r="D22" s="182"/>
      <c r="E22" s="182"/>
      <c r="F22" s="182"/>
      <c r="G22" s="183"/>
    </row>
    <row r="23" spans="1:7" x14ac:dyDescent="0.25">
      <c r="A23" s="187" t="s">
        <v>65</v>
      </c>
      <c r="B23" s="187"/>
      <c r="C23" s="187"/>
      <c r="D23" s="187"/>
      <c r="E23" s="187"/>
      <c r="F23" s="187"/>
      <c r="G23" s="187"/>
    </row>
    <row r="24" spans="1:7" x14ac:dyDescent="0.25">
      <c r="A24" s="154" t="s">
        <v>3</v>
      </c>
      <c r="B24" s="148" t="s">
        <v>11</v>
      </c>
      <c r="C24" s="148"/>
      <c r="D24" s="148"/>
      <c r="E24" s="148" t="s">
        <v>12</v>
      </c>
      <c r="F24" s="148"/>
      <c r="G24" s="185" t="s">
        <v>13</v>
      </c>
    </row>
    <row r="25" spans="1:7" x14ac:dyDescent="0.25">
      <c r="A25" s="154"/>
      <c r="B25" s="16" t="s">
        <v>14</v>
      </c>
      <c r="C25" s="16" t="s">
        <v>15</v>
      </c>
      <c r="D25" s="16" t="s">
        <v>16</v>
      </c>
      <c r="E25" s="16" t="s">
        <v>17</v>
      </c>
      <c r="F25" s="16" t="s">
        <v>18</v>
      </c>
      <c r="G25" s="185"/>
    </row>
    <row r="26" spans="1:7" x14ac:dyDescent="0.25">
      <c r="A26" s="52" t="s">
        <v>66</v>
      </c>
      <c r="B26" s="18">
        <v>21</v>
      </c>
      <c r="C26" s="19">
        <v>8</v>
      </c>
      <c r="D26" s="20">
        <v>130</v>
      </c>
      <c r="E26" s="21">
        <f t="shared" ref="E26:E36" si="1">C26*D26</f>
        <v>1040</v>
      </c>
      <c r="F26" s="21">
        <f>B26*E26</f>
        <v>21840</v>
      </c>
      <c r="G26" s="52" t="s">
        <v>68</v>
      </c>
    </row>
    <row r="27" spans="1:7" x14ac:dyDescent="0.25">
      <c r="A27" s="52" t="s">
        <v>69</v>
      </c>
      <c r="B27" s="18">
        <v>21</v>
      </c>
      <c r="C27" s="19">
        <v>8</v>
      </c>
      <c r="D27" s="20">
        <v>130</v>
      </c>
      <c r="E27" s="21">
        <f t="shared" si="1"/>
        <v>1040</v>
      </c>
      <c r="F27" s="21">
        <f t="shared" ref="F27:F36" si="2">B27*E27</f>
        <v>21840</v>
      </c>
      <c r="G27" s="52" t="s">
        <v>68</v>
      </c>
    </row>
    <row r="28" spans="1:7" x14ac:dyDescent="0.25">
      <c r="A28" s="52" t="s">
        <v>69</v>
      </c>
      <c r="B28" s="18">
        <v>21</v>
      </c>
      <c r="C28" s="19">
        <v>6</v>
      </c>
      <c r="D28" s="20">
        <v>130</v>
      </c>
      <c r="E28" s="21">
        <f t="shared" si="1"/>
        <v>780</v>
      </c>
      <c r="F28" s="21">
        <f t="shared" si="2"/>
        <v>16380</v>
      </c>
      <c r="G28" s="52" t="s">
        <v>68</v>
      </c>
    </row>
    <row r="29" spans="1:7" x14ac:dyDescent="0.25">
      <c r="A29" s="52" t="s">
        <v>70</v>
      </c>
      <c r="B29" s="18">
        <v>21</v>
      </c>
      <c r="C29" s="19">
        <v>10</v>
      </c>
      <c r="D29" s="20">
        <v>280</v>
      </c>
      <c r="E29" s="21">
        <f t="shared" si="1"/>
        <v>2800</v>
      </c>
      <c r="F29" s="21">
        <f t="shared" si="2"/>
        <v>58800</v>
      </c>
      <c r="G29" s="52" t="s">
        <v>68</v>
      </c>
    </row>
    <row r="30" spans="1:7" x14ac:dyDescent="0.25">
      <c r="A30" s="52" t="s">
        <v>70</v>
      </c>
      <c r="B30" s="18">
        <v>18</v>
      </c>
      <c r="C30" s="19">
        <v>3</v>
      </c>
      <c r="D30" s="20">
        <v>2</v>
      </c>
      <c r="E30" s="21">
        <f t="shared" si="1"/>
        <v>6</v>
      </c>
      <c r="F30" s="21">
        <f t="shared" si="2"/>
        <v>108</v>
      </c>
      <c r="G30" s="52" t="s">
        <v>71</v>
      </c>
    </row>
    <row r="31" spans="1:7" x14ac:dyDescent="0.25">
      <c r="A31" s="52" t="s">
        <v>72</v>
      </c>
      <c r="B31" s="18">
        <v>21</v>
      </c>
      <c r="C31" s="19">
        <v>6</v>
      </c>
      <c r="D31" s="20">
        <v>235</v>
      </c>
      <c r="E31" s="21">
        <f t="shared" si="1"/>
        <v>1410</v>
      </c>
      <c r="F31" s="21">
        <f t="shared" si="2"/>
        <v>29610</v>
      </c>
      <c r="G31" s="52" t="s">
        <v>68</v>
      </c>
    </row>
    <row r="32" spans="1:7" x14ac:dyDescent="0.25">
      <c r="A32" s="52" t="s">
        <v>73</v>
      </c>
      <c r="B32" s="18">
        <v>21</v>
      </c>
      <c r="C32" s="19">
        <v>8</v>
      </c>
      <c r="D32" s="20">
        <v>265</v>
      </c>
      <c r="E32" s="21">
        <f t="shared" si="1"/>
        <v>2120</v>
      </c>
      <c r="F32" s="21">
        <f t="shared" si="2"/>
        <v>44520</v>
      </c>
      <c r="G32" s="52" t="s">
        <v>68</v>
      </c>
    </row>
    <row r="33" spans="1:7" x14ac:dyDescent="0.25">
      <c r="A33" s="52" t="s">
        <v>73</v>
      </c>
      <c r="B33" s="18">
        <v>18</v>
      </c>
      <c r="C33" s="19">
        <v>3</v>
      </c>
      <c r="D33" s="20">
        <v>265</v>
      </c>
      <c r="E33" s="21">
        <f t="shared" si="1"/>
        <v>795</v>
      </c>
      <c r="F33" s="21">
        <f t="shared" si="2"/>
        <v>14310</v>
      </c>
      <c r="G33" s="52" t="s">
        <v>71</v>
      </c>
    </row>
    <row r="34" spans="1:7" x14ac:dyDescent="0.25">
      <c r="A34" s="52" t="s">
        <v>78</v>
      </c>
      <c r="B34" s="18">
        <v>21</v>
      </c>
      <c r="C34" s="19">
        <v>40</v>
      </c>
      <c r="D34" s="20">
        <v>180</v>
      </c>
      <c r="E34" s="21">
        <f t="shared" si="1"/>
        <v>7200</v>
      </c>
      <c r="F34" s="21">
        <f t="shared" si="2"/>
        <v>151200</v>
      </c>
      <c r="G34" s="52" t="s">
        <v>68</v>
      </c>
    </row>
    <row r="35" spans="1:7" x14ac:dyDescent="0.25">
      <c r="A35" s="52" t="s">
        <v>58</v>
      </c>
      <c r="B35" s="18">
        <v>21</v>
      </c>
      <c r="C35" s="19">
        <v>50</v>
      </c>
      <c r="D35" s="20">
        <v>25</v>
      </c>
      <c r="E35" s="33">
        <f t="shared" si="1"/>
        <v>1250</v>
      </c>
      <c r="F35" s="21">
        <f t="shared" si="2"/>
        <v>26250</v>
      </c>
      <c r="G35" s="52" t="s">
        <v>68</v>
      </c>
    </row>
    <row r="36" spans="1:7" x14ac:dyDescent="0.25">
      <c r="A36" s="52" t="s">
        <v>75</v>
      </c>
      <c r="B36" s="18">
        <v>18</v>
      </c>
      <c r="C36" s="19">
        <v>8</v>
      </c>
      <c r="D36" s="20">
        <v>300</v>
      </c>
      <c r="E36" s="21">
        <f t="shared" si="1"/>
        <v>2400</v>
      </c>
      <c r="F36" s="21">
        <f t="shared" si="2"/>
        <v>43200</v>
      </c>
      <c r="G36" s="52" t="s">
        <v>74</v>
      </c>
    </row>
    <row r="37" spans="1:7" ht="18.75" x14ac:dyDescent="0.4">
      <c r="A37" s="151" t="s">
        <v>68</v>
      </c>
      <c r="B37" s="151"/>
      <c r="C37" s="154" t="s">
        <v>21</v>
      </c>
      <c r="D37" s="154"/>
      <c r="E37" s="24">
        <f>SUM(F26:F36)</f>
        <v>428058</v>
      </c>
      <c r="F37" s="155"/>
      <c r="G37" s="177"/>
    </row>
    <row r="38" spans="1:7" ht="18.75" x14ac:dyDescent="0.4">
      <c r="A38" s="151"/>
      <c r="B38" s="151"/>
      <c r="C38" s="184"/>
      <c r="D38" s="184"/>
      <c r="E38" s="24">
        <v>0</v>
      </c>
      <c r="F38" s="157"/>
      <c r="G38" s="178"/>
    </row>
    <row r="39" spans="1:7" ht="22.5" x14ac:dyDescent="0.45">
      <c r="A39" s="151"/>
      <c r="B39" s="151"/>
      <c r="C39" s="154" t="s">
        <v>67</v>
      </c>
      <c r="D39" s="154"/>
      <c r="E39" s="53">
        <f>E37+E38</f>
        <v>428058</v>
      </c>
      <c r="F39" s="179"/>
      <c r="G39" s="180"/>
    </row>
    <row r="40" spans="1:7" x14ac:dyDescent="0.25">
      <c r="A40" t="s">
        <v>76</v>
      </c>
      <c r="E40" s="47">
        <v>300000</v>
      </c>
    </row>
    <row r="41" spans="1:7" x14ac:dyDescent="0.25">
      <c r="A41" t="s">
        <v>79</v>
      </c>
      <c r="E41" s="51">
        <f>E39-E40</f>
        <v>128058</v>
      </c>
    </row>
  </sheetData>
  <mergeCells count="17">
    <mergeCell ref="A1:F1"/>
    <mergeCell ref="A2:F2"/>
    <mergeCell ref="A3:F3"/>
    <mergeCell ref="A4:A5"/>
    <mergeCell ref="G24:G25"/>
    <mergeCell ref="A20:G20"/>
    <mergeCell ref="A21:G21"/>
    <mergeCell ref="A23:G23"/>
    <mergeCell ref="F37:G39"/>
    <mergeCell ref="A22:G22"/>
    <mergeCell ref="A24:A25"/>
    <mergeCell ref="B24:D24"/>
    <mergeCell ref="E24:F24"/>
    <mergeCell ref="A37:B39"/>
    <mergeCell ref="C37:D37"/>
    <mergeCell ref="C38:D38"/>
    <mergeCell ref="C39:D39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A45EF-B502-49F1-8788-B7FC240D43E3}">
  <dimension ref="A1:F11"/>
  <sheetViews>
    <sheetView workbookViewId="0">
      <selection activeCell="E14" sqref="E14"/>
    </sheetView>
  </sheetViews>
  <sheetFormatPr baseColWidth="10" defaultRowHeight="15" x14ac:dyDescent="0.25"/>
  <cols>
    <col min="1" max="1" width="29.7109375" bestFit="1" customWidth="1"/>
  </cols>
  <sheetData>
    <row r="1" spans="1:6" ht="18.75" x14ac:dyDescent="0.3">
      <c r="A1" s="162" t="s">
        <v>81</v>
      </c>
      <c r="B1" s="140"/>
      <c r="C1" s="140"/>
      <c r="D1" s="140"/>
      <c r="E1" s="140"/>
      <c r="F1" s="171"/>
    </row>
    <row r="2" spans="1:6" ht="18.75" x14ac:dyDescent="0.3">
      <c r="A2" s="162" t="s">
        <v>82</v>
      </c>
      <c r="B2" s="140"/>
      <c r="C2" s="140"/>
      <c r="D2" s="140"/>
      <c r="E2" s="140"/>
      <c r="F2" s="171"/>
    </row>
    <row r="3" spans="1:6" ht="18.75" x14ac:dyDescent="0.3">
      <c r="A3" s="162" t="s">
        <v>27</v>
      </c>
      <c r="B3" s="140"/>
      <c r="C3" s="140"/>
      <c r="D3" s="140"/>
      <c r="E3" s="140"/>
      <c r="F3" s="171"/>
    </row>
    <row r="4" spans="1:6" x14ac:dyDescent="0.25">
      <c r="A4" s="172" t="s">
        <v>3</v>
      </c>
      <c r="B4" s="26" t="s">
        <v>4</v>
      </c>
      <c r="C4" s="41"/>
      <c r="D4" s="26"/>
      <c r="E4" s="26"/>
      <c r="F4" s="7" t="s">
        <v>42</v>
      </c>
    </row>
    <row r="5" spans="1:6" x14ac:dyDescent="0.25">
      <c r="A5" s="173"/>
      <c r="B5" s="5">
        <v>45747</v>
      </c>
      <c r="C5" s="5"/>
      <c r="D5" s="5"/>
      <c r="E5" s="5"/>
      <c r="F5" s="6">
        <v>45777</v>
      </c>
    </row>
    <row r="6" spans="1:6" x14ac:dyDescent="0.25">
      <c r="A6" s="27" t="s">
        <v>83</v>
      </c>
      <c r="B6" s="28">
        <v>2</v>
      </c>
      <c r="C6" s="23"/>
      <c r="D6" s="23"/>
      <c r="E6" s="23"/>
      <c r="F6" s="9">
        <f>SUM(B6:E6)</f>
        <v>2</v>
      </c>
    </row>
    <row r="7" spans="1:6" x14ac:dyDescent="0.25">
      <c r="A7" s="27" t="s">
        <v>29</v>
      </c>
      <c r="B7" s="28">
        <v>2</v>
      </c>
      <c r="C7" s="23"/>
      <c r="D7" s="23"/>
      <c r="E7" s="23"/>
      <c r="F7" s="9">
        <f>SUM(B7:E7)</f>
        <v>2</v>
      </c>
    </row>
    <row r="8" spans="1:6" x14ac:dyDescent="0.25">
      <c r="A8" s="27" t="s">
        <v>84</v>
      </c>
      <c r="B8" s="28">
        <v>1</v>
      </c>
      <c r="C8" s="23"/>
      <c r="D8" s="23"/>
      <c r="E8" s="23"/>
      <c r="F8" s="9">
        <f>SUM(B8:E8)</f>
        <v>1</v>
      </c>
    </row>
    <row r="9" spans="1:6" x14ac:dyDescent="0.25">
      <c r="A9" s="27" t="s">
        <v>85</v>
      </c>
      <c r="B9" s="28">
        <v>1</v>
      </c>
      <c r="C9" s="23"/>
      <c r="D9" s="23"/>
      <c r="E9" s="23"/>
      <c r="F9" s="9">
        <f>SUM(B9:E9)</f>
        <v>1</v>
      </c>
    </row>
    <row r="10" spans="1:6" x14ac:dyDescent="0.25">
      <c r="A10" s="29" t="s">
        <v>31</v>
      </c>
      <c r="B10" s="42">
        <v>0.47916666666666669</v>
      </c>
      <c r="C10" s="11"/>
      <c r="D10" s="30"/>
      <c r="E10" s="30"/>
      <c r="F10" s="41"/>
    </row>
    <row r="11" spans="1:6" x14ac:dyDescent="0.25">
      <c r="A11" s="29" t="s">
        <v>32</v>
      </c>
      <c r="B11" s="31" t="s">
        <v>86</v>
      </c>
      <c r="C11" s="11"/>
      <c r="D11" s="11"/>
      <c r="E11" s="31"/>
      <c r="F11" s="44"/>
    </row>
  </sheetData>
  <mergeCells count="4">
    <mergeCell ref="A1:F1"/>
    <mergeCell ref="A2:F2"/>
    <mergeCell ref="A3:F3"/>
    <mergeCell ref="A4:A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3F7E2-57E1-4A2F-AC8D-9D527B961E17}">
  <sheetPr>
    <pageSetUpPr fitToPage="1"/>
  </sheetPr>
  <dimension ref="A1:M115"/>
  <sheetViews>
    <sheetView topLeftCell="A56" workbookViewId="0">
      <selection activeCell="I61" sqref="I61"/>
    </sheetView>
  </sheetViews>
  <sheetFormatPr baseColWidth="10" defaultRowHeight="15" x14ac:dyDescent="0.25"/>
  <cols>
    <col min="1" max="1" width="28.7109375" bestFit="1" customWidth="1"/>
    <col min="5" max="5" width="14.42578125" bestFit="1" customWidth="1"/>
    <col min="6" max="6" width="14.28515625" customWidth="1"/>
    <col min="8" max="8" width="12" bestFit="1" customWidth="1"/>
  </cols>
  <sheetData>
    <row r="1" spans="1:8" ht="18.75" x14ac:dyDescent="0.3">
      <c r="A1" s="137" t="s">
        <v>87</v>
      </c>
      <c r="B1" s="138"/>
      <c r="C1" s="138"/>
      <c r="D1" s="138"/>
      <c r="E1" s="138"/>
      <c r="F1" s="138"/>
      <c r="G1" s="138"/>
      <c r="H1" s="138"/>
    </row>
    <row r="2" spans="1:8" ht="18.75" x14ac:dyDescent="0.3">
      <c r="A2" s="139" t="s">
        <v>88</v>
      </c>
      <c r="B2" s="140"/>
      <c r="C2" s="140"/>
      <c r="D2" s="140"/>
      <c r="E2" s="140"/>
      <c r="F2" s="140"/>
      <c r="G2" s="140"/>
      <c r="H2" s="140"/>
    </row>
    <row r="3" spans="1:8" ht="18.75" x14ac:dyDescent="0.3">
      <c r="A3" s="139" t="s">
        <v>89</v>
      </c>
      <c r="B3" s="140"/>
      <c r="C3" s="140"/>
      <c r="D3" s="140"/>
      <c r="E3" s="140"/>
      <c r="F3" s="140"/>
      <c r="G3" s="140"/>
      <c r="H3" s="140"/>
    </row>
    <row r="4" spans="1:8" x14ac:dyDescent="0.25">
      <c r="A4" s="189" t="s">
        <v>3</v>
      </c>
      <c r="B4" s="7">
        <v>12626</v>
      </c>
      <c r="C4" s="26">
        <v>12652</v>
      </c>
      <c r="D4" s="26">
        <v>12653</v>
      </c>
      <c r="E4" s="55">
        <v>11473</v>
      </c>
      <c r="F4" s="55">
        <v>12690</v>
      </c>
      <c r="G4" s="55">
        <v>11497</v>
      </c>
      <c r="H4" s="92" t="s">
        <v>4</v>
      </c>
    </row>
    <row r="5" spans="1:8" x14ac:dyDescent="0.25">
      <c r="A5" s="189"/>
      <c r="B5" s="6">
        <v>45742</v>
      </c>
      <c r="C5" s="5">
        <v>45757</v>
      </c>
      <c r="D5" s="57">
        <v>45757</v>
      </c>
      <c r="E5" s="58">
        <v>45761</v>
      </c>
      <c r="F5" s="58">
        <v>45775</v>
      </c>
      <c r="G5" s="58">
        <v>45779</v>
      </c>
      <c r="H5" s="93">
        <v>45780</v>
      </c>
    </row>
    <row r="6" spans="1:8" x14ac:dyDescent="0.25">
      <c r="A6" s="60" t="s">
        <v>90</v>
      </c>
      <c r="B6" s="7">
        <v>8</v>
      </c>
      <c r="C6" s="23"/>
      <c r="D6" s="16"/>
      <c r="E6" s="54"/>
      <c r="F6" s="54"/>
      <c r="G6" s="54"/>
      <c r="H6" s="90">
        <f>SUM(B6:G6)</f>
        <v>8</v>
      </c>
    </row>
    <row r="7" spans="1:8" x14ac:dyDescent="0.25">
      <c r="A7" s="60" t="s">
        <v>91</v>
      </c>
      <c r="B7" s="7">
        <v>8</v>
      </c>
      <c r="C7" s="23"/>
      <c r="D7" s="16"/>
      <c r="E7" s="54"/>
      <c r="F7" s="54"/>
      <c r="G7" s="54"/>
      <c r="H7" s="90">
        <f t="shared" ref="H7:H24" si="0">SUM(B7:G7)</f>
        <v>8</v>
      </c>
    </row>
    <row r="8" spans="1:8" x14ac:dyDescent="0.25">
      <c r="A8" s="60" t="s">
        <v>92</v>
      </c>
      <c r="B8" s="7">
        <v>4</v>
      </c>
      <c r="C8" s="23"/>
      <c r="D8" s="16"/>
      <c r="E8" s="54"/>
      <c r="F8" s="54"/>
      <c r="G8" s="54"/>
      <c r="H8" s="90">
        <f t="shared" si="0"/>
        <v>4</v>
      </c>
    </row>
    <row r="9" spans="1:8" x14ac:dyDescent="0.25">
      <c r="A9" s="60" t="s">
        <v>52</v>
      </c>
      <c r="B9" s="7">
        <v>4</v>
      </c>
      <c r="C9" s="23">
        <v>2</v>
      </c>
      <c r="D9" s="16">
        <v>-2</v>
      </c>
      <c r="E9" s="54">
        <v>-4</v>
      </c>
      <c r="F9" s="54"/>
      <c r="G9" s="54"/>
      <c r="H9" s="90">
        <f t="shared" si="0"/>
        <v>0</v>
      </c>
    </row>
    <row r="10" spans="1:8" x14ac:dyDescent="0.25">
      <c r="A10" s="60" t="s">
        <v>54</v>
      </c>
      <c r="B10" s="7"/>
      <c r="C10" s="23"/>
      <c r="D10" s="16">
        <v>4</v>
      </c>
      <c r="E10" s="54">
        <v>-4</v>
      </c>
      <c r="F10" s="54"/>
      <c r="G10" s="54"/>
      <c r="H10" s="90">
        <f t="shared" si="0"/>
        <v>0</v>
      </c>
    </row>
    <row r="11" spans="1:8" x14ac:dyDescent="0.25">
      <c r="A11" s="60" t="s">
        <v>93</v>
      </c>
      <c r="B11" s="7">
        <v>6</v>
      </c>
      <c r="C11" s="23"/>
      <c r="D11" s="16"/>
      <c r="E11" s="54">
        <v>-6</v>
      </c>
      <c r="F11" s="54"/>
      <c r="G11" s="54"/>
      <c r="H11" s="90">
        <f t="shared" si="0"/>
        <v>0</v>
      </c>
    </row>
    <row r="12" spans="1:8" x14ac:dyDescent="0.25">
      <c r="A12" s="60" t="s">
        <v>94</v>
      </c>
      <c r="B12" s="7"/>
      <c r="C12" s="23">
        <v>4</v>
      </c>
      <c r="D12" s="16"/>
      <c r="E12" s="54">
        <v>-4</v>
      </c>
      <c r="F12" s="54"/>
      <c r="G12" s="54"/>
      <c r="H12" s="90">
        <f t="shared" si="0"/>
        <v>0</v>
      </c>
    </row>
    <row r="13" spans="1:8" x14ac:dyDescent="0.25">
      <c r="A13" s="60" t="s">
        <v>95</v>
      </c>
      <c r="B13" s="7"/>
      <c r="C13" s="23">
        <v>36</v>
      </c>
      <c r="D13" s="16"/>
      <c r="E13" s="54">
        <v>-36</v>
      </c>
      <c r="F13" s="54">
        <v>14</v>
      </c>
      <c r="G13" s="54">
        <v>-14</v>
      </c>
      <c r="H13" s="90">
        <f t="shared" si="0"/>
        <v>0</v>
      </c>
    </row>
    <row r="14" spans="1:8" x14ac:dyDescent="0.25">
      <c r="A14" s="60" t="s">
        <v>96</v>
      </c>
      <c r="B14" s="7"/>
      <c r="C14" s="23">
        <v>3</v>
      </c>
      <c r="D14" s="16"/>
      <c r="E14" s="54">
        <v>-3</v>
      </c>
      <c r="F14" s="54">
        <v>4</v>
      </c>
      <c r="G14" s="54">
        <v>-4</v>
      </c>
      <c r="H14" s="90">
        <f t="shared" si="0"/>
        <v>0</v>
      </c>
    </row>
    <row r="15" spans="1:8" x14ac:dyDescent="0.25">
      <c r="A15" s="60" t="s">
        <v>115</v>
      </c>
      <c r="B15" s="7"/>
      <c r="C15" s="23"/>
      <c r="D15" s="16"/>
      <c r="E15" s="54"/>
      <c r="F15" s="54">
        <v>12</v>
      </c>
      <c r="G15" s="54">
        <v>-12</v>
      </c>
      <c r="H15" s="90">
        <f t="shared" si="0"/>
        <v>0</v>
      </c>
    </row>
    <row r="16" spans="1:8" x14ac:dyDescent="0.25">
      <c r="A16" s="60" t="s">
        <v>116</v>
      </c>
      <c r="B16" s="7"/>
      <c r="C16" s="23"/>
      <c r="D16" s="16"/>
      <c r="E16" s="54"/>
      <c r="F16" s="54">
        <v>6</v>
      </c>
      <c r="G16" s="54">
        <v>-6</v>
      </c>
      <c r="H16" s="90">
        <f t="shared" si="0"/>
        <v>0</v>
      </c>
    </row>
    <row r="17" spans="1:8" x14ac:dyDescent="0.25">
      <c r="A17" s="60" t="s">
        <v>97</v>
      </c>
      <c r="B17" s="7"/>
      <c r="C17" s="23">
        <v>2</v>
      </c>
      <c r="D17" s="16"/>
      <c r="E17" s="54">
        <v>-2</v>
      </c>
      <c r="F17" s="54"/>
      <c r="G17" s="54"/>
      <c r="H17" s="90">
        <f t="shared" si="0"/>
        <v>0</v>
      </c>
    </row>
    <row r="18" spans="1:8" x14ac:dyDescent="0.25">
      <c r="A18" s="60" t="s">
        <v>98</v>
      </c>
      <c r="B18" s="7"/>
      <c r="C18" s="23">
        <v>15</v>
      </c>
      <c r="D18" s="16"/>
      <c r="E18" s="54">
        <v>-15</v>
      </c>
      <c r="F18" s="54">
        <v>24</v>
      </c>
      <c r="G18" s="54">
        <v>-24</v>
      </c>
      <c r="H18" s="90">
        <f t="shared" si="0"/>
        <v>0</v>
      </c>
    </row>
    <row r="19" spans="1:8" x14ac:dyDescent="0.25">
      <c r="A19" s="60" t="s">
        <v>99</v>
      </c>
      <c r="B19" s="7"/>
      <c r="C19" s="23">
        <v>24</v>
      </c>
      <c r="D19" s="16"/>
      <c r="E19" s="54">
        <v>-24</v>
      </c>
      <c r="F19" s="54">
        <v>12</v>
      </c>
      <c r="G19" s="54">
        <v>-12</v>
      </c>
      <c r="H19" s="90">
        <f t="shared" si="0"/>
        <v>0</v>
      </c>
    </row>
    <row r="20" spans="1:8" x14ac:dyDescent="0.25">
      <c r="A20" s="60" t="s">
        <v>58</v>
      </c>
      <c r="B20" s="7"/>
      <c r="C20" s="23">
        <v>400</v>
      </c>
      <c r="D20" s="16"/>
      <c r="E20" s="54">
        <v>-400</v>
      </c>
      <c r="F20" s="54">
        <v>400</v>
      </c>
      <c r="G20" s="54">
        <v>-400</v>
      </c>
      <c r="H20" s="90">
        <f t="shared" si="0"/>
        <v>0</v>
      </c>
    </row>
    <row r="21" spans="1:8" x14ac:dyDescent="0.25">
      <c r="A21" s="60" t="s">
        <v>100</v>
      </c>
      <c r="B21" s="7"/>
      <c r="C21" s="23">
        <v>35</v>
      </c>
      <c r="D21" s="16"/>
      <c r="E21" s="54">
        <v>-29</v>
      </c>
      <c r="F21" s="54">
        <v>12</v>
      </c>
      <c r="G21" s="54">
        <v>-9</v>
      </c>
      <c r="H21" s="90">
        <f t="shared" si="0"/>
        <v>9</v>
      </c>
    </row>
    <row r="22" spans="1:8" x14ac:dyDescent="0.25">
      <c r="A22" s="60" t="s">
        <v>101</v>
      </c>
      <c r="B22" s="7"/>
      <c r="C22" s="23">
        <v>2</v>
      </c>
      <c r="D22" s="16"/>
      <c r="E22" s="54">
        <v>-2</v>
      </c>
      <c r="F22" s="54">
        <v>2</v>
      </c>
      <c r="G22" s="54">
        <v>-2</v>
      </c>
      <c r="H22" s="90">
        <f t="shared" si="0"/>
        <v>0</v>
      </c>
    </row>
    <row r="23" spans="1:8" x14ac:dyDescent="0.25">
      <c r="A23" s="62" t="s">
        <v>102</v>
      </c>
      <c r="B23" s="12">
        <v>0.47916666666666669</v>
      </c>
      <c r="C23" s="12">
        <v>0.47916666666666669</v>
      </c>
      <c r="D23" s="12">
        <v>8.3333333333333329E-2</v>
      </c>
      <c r="E23" s="63">
        <v>0.14583333333333334</v>
      </c>
      <c r="F23" s="63">
        <v>6.9444444444444448E-2</v>
      </c>
      <c r="G23" s="63">
        <v>0.45833333333333331</v>
      </c>
      <c r="H23" s="90"/>
    </row>
    <row r="24" spans="1:8" ht="15.75" thickBot="1" x14ac:dyDescent="0.3">
      <c r="A24" s="65" t="s">
        <v>32</v>
      </c>
      <c r="B24" s="66">
        <v>12500</v>
      </c>
      <c r="C24" s="66">
        <v>20000</v>
      </c>
      <c r="D24" s="66"/>
      <c r="E24" s="66">
        <v>20000</v>
      </c>
      <c r="F24" s="66">
        <v>20000</v>
      </c>
      <c r="G24" s="66">
        <v>20000</v>
      </c>
      <c r="H24" s="91">
        <f t="shared" si="0"/>
        <v>92500</v>
      </c>
    </row>
    <row r="25" spans="1:8" x14ac:dyDescent="0.25">
      <c r="A25" s="94"/>
      <c r="B25" s="95"/>
      <c r="C25" s="95"/>
      <c r="D25" s="95"/>
      <c r="E25" s="95"/>
      <c r="F25" s="95"/>
      <c r="G25" s="96"/>
      <c r="H25" s="97"/>
    </row>
    <row r="26" spans="1:8" ht="18.75" x14ac:dyDescent="0.3">
      <c r="A26" s="139" t="s">
        <v>87</v>
      </c>
      <c r="B26" s="140"/>
      <c r="C26" s="140"/>
      <c r="D26" s="140"/>
      <c r="E26" s="140"/>
      <c r="F26" s="163"/>
      <c r="G26" s="96"/>
      <c r="H26" s="97"/>
    </row>
    <row r="27" spans="1:8" ht="18.75" x14ac:dyDescent="0.3">
      <c r="A27" s="139" t="s">
        <v>88</v>
      </c>
      <c r="B27" s="140"/>
      <c r="C27" s="140"/>
      <c r="D27" s="140"/>
      <c r="E27" s="140"/>
      <c r="F27" s="163"/>
    </row>
    <row r="28" spans="1:8" x14ac:dyDescent="0.25">
      <c r="A28" s="147" t="s">
        <v>3</v>
      </c>
      <c r="B28" s="148" t="s">
        <v>11</v>
      </c>
      <c r="C28" s="148"/>
      <c r="D28" s="148"/>
      <c r="E28" s="148" t="s">
        <v>12</v>
      </c>
      <c r="F28" s="164"/>
    </row>
    <row r="29" spans="1:8" x14ac:dyDescent="0.25">
      <c r="A29" s="147"/>
      <c r="B29" s="16" t="s">
        <v>14</v>
      </c>
      <c r="C29" s="16" t="s">
        <v>15</v>
      </c>
      <c r="D29" s="16" t="s">
        <v>16</v>
      </c>
      <c r="E29" s="16" t="s">
        <v>17</v>
      </c>
      <c r="F29" s="32" t="s">
        <v>18</v>
      </c>
    </row>
    <row r="30" spans="1:8" x14ac:dyDescent="0.25">
      <c r="A30" s="17" t="s">
        <v>94</v>
      </c>
      <c r="B30" s="18">
        <v>5</v>
      </c>
      <c r="C30" s="18">
        <v>4</v>
      </c>
      <c r="D30" s="20">
        <v>200</v>
      </c>
      <c r="E30" s="21">
        <f t="shared" ref="E30:E39" si="1">C30*D30</f>
        <v>800</v>
      </c>
      <c r="F30" s="48">
        <f t="shared" ref="F30:F39" si="2">B30*E30</f>
        <v>4000</v>
      </c>
    </row>
    <row r="31" spans="1:8" x14ac:dyDescent="0.25">
      <c r="A31" s="17" t="s">
        <v>95</v>
      </c>
      <c r="B31" s="18">
        <v>5</v>
      </c>
      <c r="C31" s="18">
        <v>36</v>
      </c>
      <c r="D31" s="20">
        <v>260</v>
      </c>
      <c r="E31" s="21">
        <f t="shared" si="1"/>
        <v>9360</v>
      </c>
      <c r="F31" s="48">
        <f t="shared" si="2"/>
        <v>46800</v>
      </c>
    </row>
    <row r="32" spans="1:8" x14ac:dyDescent="0.25">
      <c r="A32" s="17" t="s">
        <v>96</v>
      </c>
      <c r="B32" s="18">
        <v>5</v>
      </c>
      <c r="C32" s="18">
        <v>3</v>
      </c>
      <c r="D32" s="20">
        <v>220</v>
      </c>
      <c r="E32" s="21">
        <f t="shared" si="1"/>
        <v>660</v>
      </c>
      <c r="F32" s="48">
        <f t="shared" si="2"/>
        <v>3300</v>
      </c>
    </row>
    <row r="33" spans="1:13" x14ac:dyDescent="0.25">
      <c r="A33" s="17" t="s">
        <v>54</v>
      </c>
      <c r="B33" s="18">
        <v>5</v>
      </c>
      <c r="C33" s="18">
        <v>4</v>
      </c>
      <c r="D33" s="20">
        <v>150</v>
      </c>
      <c r="E33" s="21">
        <f t="shared" si="1"/>
        <v>600</v>
      </c>
      <c r="F33" s="48">
        <f t="shared" si="2"/>
        <v>3000</v>
      </c>
    </row>
    <row r="34" spans="1:13" x14ac:dyDescent="0.25">
      <c r="A34" s="17" t="s">
        <v>104</v>
      </c>
      <c r="B34" s="18">
        <v>5</v>
      </c>
      <c r="C34" s="18">
        <v>2</v>
      </c>
      <c r="D34" s="20">
        <v>150</v>
      </c>
      <c r="E34" s="21">
        <f t="shared" si="1"/>
        <v>300</v>
      </c>
      <c r="F34" s="48">
        <f t="shared" si="2"/>
        <v>1500</v>
      </c>
    </row>
    <row r="35" spans="1:13" x14ac:dyDescent="0.25">
      <c r="A35" s="17" t="s">
        <v>52</v>
      </c>
      <c r="B35" s="18">
        <v>5</v>
      </c>
      <c r="C35" s="18">
        <v>2</v>
      </c>
      <c r="D35" s="20">
        <v>150</v>
      </c>
      <c r="E35" s="21">
        <f t="shared" si="1"/>
        <v>300</v>
      </c>
      <c r="F35" s="48">
        <f t="shared" si="2"/>
        <v>1500</v>
      </c>
    </row>
    <row r="36" spans="1:13" x14ac:dyDescent="0.25">
      <c r="A36" s="17" t="s">
        <v>98</v>
      </c>
      <c r="B36" s="18">
        <v>5</v>
      </c>
      <c r="C36" s="18">
        <v>15</v>
      </c>
      <c r="D36" s="20">
        <v>100</v>
      </c>
      <c r="E36" s="21">
        <f t="shared" si="1"/>
        <v>1500</v>
      </c>
      <c r="F36" s="48">
        <f t="shared" si="2"/>
        <v>7500</v>
      </c>
    </row>
    <row r="37" spans="1:13" x14ac:dyDescent="0.25">
      <c r="A37" s="17" t="s">
        <v>99</v>
      </c>
      <c r="B37" s="18">
        <v>5</v>
      </c>
      <c r="C37" s="18">
        <v>24</v>
      </c>
      <c r="D37" s="20">
        <v>60</v>
      </c>
      <c r="E37" s="21">
        <f t="shared" si="1"/>
        <v>1440</v>
      </c>
      <c r="F37" s="48">
        <f t="shared" si="2"/>
        <v>7200</v>
      </c>
    </row>
    <row r="38" spans="1:13" x14ac:dyDescent="0.25">
      <c r="A38" s="17" t="s">
        <v>58</v>
      </c>
      <c r="B38" s="18">
        <v>5</v>
      </c>
      <c r="C38" s="18">
        <v>600</v>
      </c>
      <c r="D38" s="20">
        <v>25</v>
      </c>
      <c r="E38" s="21">
        <f t="shared" si="1"/>
        <v>15000</v>
      </c>
      <c r="F38" s="48">
        <f t="shared" si="2"/>
        <v>75000</v>
      </c>
    </row>
    <row r="39" spans="1:13" x14ac:dyDescent="0.25">
      <c r="A39" s="17" t="s">
        <v>105</v>
      </c>
      <c r="B39" s="18">
        <v>5</v>
      </c>
      <c r="C39" s="18">
        <v>35</v>
      </c>
      <c r="D39" s="20">
        <v>200</v>
      </c>
      <c r="E39" s="21">
        <f t="shared" si="1"/>
        <v>7000</v>
      </c>
      <c r="F39" s="48">
        <f t="shared" si="2"/>
        <v>35000</v>
      </c>
    </row>
    <row r="40" spans="1:13" ht="19.5" thickBot="1" x14ac:dyDescent="0.45">
      <c r="A40" s="165"/>
      <c r="B40" s="166"/>
      <c r="C40" s="161" t="s">
        <v>21</v>
      </c>
      <c r="D40" s="161"/>
      <c r="E40" s="25">
        <v>185000</v>
      </c>
      <c r="F40" s="37"/>
    </row>
    <row r="41" spans="1:13" ht="18.75" x14ac:dyDescent="0.4">
      <c r="A41" s="165"/>
      <c r="B41" s="166"/>
      <c r="C41" s="169" t="s">
        <v>22</v>
      </c>
      <c r="D41" s="170"/>
      <c r="E41" s="49">
        <v>40000</v>
      </c>
      <c r="F41" s="37"/>
    </row>
    <row r="42" spans="1:13" ht="19.5" thickBot="1" x14ac:dyDescent="0.45">
      <c r="A42" s="152"/>
      <c r="B42" s="153"/>
      <c r="C42" s="161" t="s">
        <v>21</v>
      </c>
      <c r="D42" s="161"/>
      <c r="E42" s="25">
        <f>E40+E41</f>
        <v>225000</v>
      </c>
      <c r="F42" s="40"/>
      <c r="M42">
        <f>50000*5+40000</f>
        <v>290000</v>
      </c>
    </row>
    <row r="43" spans="1:13" ht="15.75" thickBot="1" x14ac:dyDescent="0.3">
      <c r="A43" t="s">
        <v>111</v>
      </c>
    </row>
    <row r="44" spans="1:13" ht="18.75" x14ac:dyDescent="0.3">
      <c r="A44" s="137" t="s">
        <v>87</v>
      </c>
      <c r="B44" s="138"/>
      <c r="C44" s="138"/>
      <c r="D44" s="138"/>
      <c r="E44" s="138"/>
      <c r="F44" s="188"/>
    </row>
    <row r="45" spans="1:13" ht="18.75" x14ac:dyDescent="0.3">
      <c r="A45" s="139" t="s">
        <v>106</v>
      </c>
      <c r="B45" s="140"/>
      <c r="C45" s="140"/>
      <c r="D45" s="140"/>
      <c r="E45" s="140"/>
      <c r="F45" s="163"/>
    </row>
    <row r="46" spans="1:13" ht="18.75" x14ac:dyDescent="0.3">
      <c r="A46" s="139" t="s">
        <v>107</v>
      </c>
      <c r="B46" s="140"/>
      <c r="C46" s="140"/>
      <c r="D46" s="140"/>
      <c r="E46" s="140"/>
      <c r="F46" s="163"/>
    </row>
    <row r="47" spans="1:13" x14ac:dyDescent="0.25">
      <c r="A47" s="189" t="s">
        <v>3</v>
      </c>
      <c r="B47" s="26">
        <v>12626</v>
      </c>
      <c r="C47" s="55">
        <v>11473</v>
      </c>
      <c r="D47" s="26"/>
      <c r="E47" s="55"/>
      <c r="F47" s="56" t="s">
        <v>4</v>
      </c>
    </row>
    <row r="48" spans="1:13" x14ac:dyDescent="0.25">
      <c r="A48" s="189"/>
      <c r="B48" s="5">
        <v>45742</v>
      </c>
      <c r="C48" s="58">
        <v>45761</v>
      </c>
      <c r="D48" s="57"/>
      <c r="E48" s="58"/>
      <c r="F48" s="59">
        <v>45747</v>
      </c>
    </row>
    <row r="49" spans="1:8" x14ac:dyDescent="0.25">
      <c r="A49" s="60" t="s">
        <v>90</v>
      </c>
      <c r="B49" s="23">
        <v>8</v>
      </c>
      <c r="C49" s="23"/>
      <c r="D49" s="16"/>
      <c r="E49" s="54"/>
      <c r="F49" s="61">
        <f>SUM(B49:E49)</f>
        <v>8</v>
      </c>
    </row>
    <row r="50" spans="1:8" x14ac:dyDescent="0.25">
      <c r="A50" s="60" t="s">
        <v>91</v>
      </c>
      <c r="B50" s="23">
        <v>8</v>
      </c>
      <c r="C50" s="23"/>
      <c r="D50" s="16"/>
      <c r="E50" s="54"/>
      <c r="F50" s="61">
        <f>SUM(B50:E50)</f>
        <v>8</v>
      </c>
    </row>
    <row r="51" spans="1:8" x14ac:dyDescent="0.25">
      <c r="A51" s="60" t="s">
        <v>92</v>
      </c>
      <c r="B51" s="23">
        <v>4</v>
      </c>
      <c r="C51" s="23"/>
      <c r="D51" s="16"/>
      <c r="E51" s="54"/>
      <c r="F51" s="61">
        <f>SUM(B51:E51)</f>
        <v>4</v>
      </c>
    </row>
    <row r="52" spans="1:8" x14ac:dyDescent="0.25">
      <c r="A52" s="60" t="s">
        <v>52</v>
      </c>
      <c r="B52" s="68">
        <v>4</v>
      </c>
      <c r="C52" s="68">
        <v>-4</v>
      </c>
      <c r="D52" s="16"/>
      <c r="E52" s="54"/>
      <c r="F52" s="61">
        <f>SUM(B52:E52)</f>
        <v>0</v>
      </c>
    </row>
    <row r="53" spans="1:8" x14ac:dyDescent="0.25">
      <c r="A53" s="60" t="s">
        <v>93</v>
      </c>
      <c r="B53" s="68">
        <v>6</v>
      </c>
      <c r="C53" s="68">
        <v>-6</v>
      </c>
      <c r="D53" s="16"/>
      <c r="E53" s="54"/>
      <c r="F53" s="61">
        <f>SUM(B53:E53)</f>
        <v>0</v>
      </c>
    </row>
    <row r="54" spans="1:8" x14ac:dyDescent="0.25">
      <c r="A54" s="62" t="s">
        <v>102</v>
      </c>
      <c r="B54" s="11">
        <v>0.45833333333333331</v>
      </c>
      <c r="C54" s="12">
        <v>0.625</v>
      </c>
      <c r="D54" s="12"/>
      <c r="E54" s="63"/>
      <c r="F54" s="64"/>
    </row>
    <row r="55" spans="1:8" ht="15.75" thickBot="1" x14ac:dyDescent="0.3">
      <c r="A55" s="65" t="s">
        <v>32</v>
      </c>
      <c r="B55" s="66">
        <v>12500</v>
      </c>
      <c r="C55" s="66"/>
      <c r="D55" s="66"/>
      <c r="E55" s="66"/>
      <c r="F55" s="67">
        <f>SUM(B55:E55)</f>
        <v>12500</v>
      </c>
    </row>
    <row r="56" spans="1:8" ht="15.75" thickBot="1" x14ac:dyDescent="0.3"/>
    <row r="57" spans="1:8" ht="18.75" x14ac:dyDescent="0.3">
      <c r="A57" s="137"/>
      <c r="B57" s="138"/>
      <c r="C57" s="138"/>
      <c r="D57" s="138"/>
      <c r="E57" s="138"/>
      <c r="F57" s="138"/>
      <c r="G57" s="138"/>
      <c r="H57" s="188"/>
    </row>
    <row r="58" spans="1:8" ht="18.75" x14ac:dyDescent="0.3">
      <c r="A58" s="139" t="s">
        <v>88</v>
      </c>
      <c r="B58" s="140"/>
      <c r="C58" s="140"/>
      <c r="D58" s="140"/>
      <c r="E58" s="140"/>
      <c r="F58" s="140"/>
      <c r="G58" s="140"/>
      <c r="H58" s="163"/>
    </row>
    <row r="59" spans="1:8" ht="18.75" x14ac:dyDescent="0.3">
      <c r="A59" s="139" t="s">
        <v>148</v>
      </c>
      <c r="B59" s="140"/>
      <c r="C59" s="140"/>
      <c r="D59" s="140"/>
      <c r="E59" s="140"/>
      <c r="F59" s="140"/>
      <c r="G59" s="140"/>
      <c r="H59" s="163"/>
    </row>
    <row r="60" spans="1:8" x14ac:dyDescent="0.25">
      <c r="A60" s="189" t="s">
        <v>3</v>
      </c>
      <c r="B60" s="7">
        <v>12626</v>
      </c>
      <c r="C60" s="26">
        <v>12652</v>
      </c>
      <c r="D60" s="26">
        <v>12653</v>
      </c>
      <c r="E60" s="55">
        <v>11473</v>
      </c>
      <c r="F60" s="55">
        <v>12690</v>
      </c>
      <c r="G60" s="55">
        <v>11497</v>
      </c>
      <c r="H60" s="92" t="s">
        <v>4</v>
      </c>
    </row>
    <row r="61" spans="1:8" x14ac:dyDescent="0.25">
      <c r="A61" s="189"/>
      <c r="B61" s="6">
        <v>45742</v>
      </c>
      <c r="C61" s="5">
        <v>45757</v>
      </c>
      <c r="D61" s="57">
        <v>45757</v>
      </c>
      <c r="E61" s="58">
        <v>45761</v>
      </c>
      <c r="F61" s="58">
        <v>45775</v>
      </c>
      <c r="G61" s="58">
        <v>45779</v>
      </c>
      <c r="H61" s="93">
        <v>45780</v>
      </c>
    </row>
    <row r="62" spans="1:8" x14ac:dyDescent="0.25">
      <c r="A62" s="60" t="s">
        <v>90</v>
      </c>
      <c r="B62" s="7">
        <v>8</v>
      </c>
      <c r="C62" s="23"/>
      <c r="D62" s="16"/>
      <c r="E62" s="54"/>
      <c r="F62" s="54"/>
      <c r="G62" s="54"/>
      <c r="H62" s="90">
        <f>SUM(B62:G62)</f>
        <v>8</v>
      </c>
    </row>
    <row r="63" spans="1:8" x14ac:dyDescent="0.25">
      <c r="A63" s="60" t="s">
        <v>91</v>
      </c>
      <c r="B63" s="7">
        <v>8</v>
      </c>
      <c r="C63" s="23"/>
      <c r="D63" s="16"/>
      <c r="E63" s="54"/>
      <c r="F63" s="54"/>
      <c r="G63" s="54"/>
      <c r="H63" s="90">
        <f t="shared" ref="H63:H78" si="3">SUM(B63:G63)</f>
        <v>8</v>
      </c>
    </row>
    <row r="64" spans="1:8" x14ac:dyDescent="0.25">
      <c r="A64" s="60" t="s">
        <v>92</v>
      </c>
      <c r="B64" s="7">
        <v>4</v>
      </c>
      <c r="C64" s="23"/>
      <c r="D64" s="16"/>
      <c r="E64" s="54"/>
      <c r="F64" s="54"/>
      <c r="G64" s="54"/>
      <c r="H64" s="90">
        <f t="shared" si="3"/>
        <v>4</v>
      </c>
    </row>
    <row r="65" spans="1:8" x14ac:dyDescent="0.25">
      <c r="A65" s="60" t="s">
        <v>52</v>
      </c>
      <c r="B65" s="7">
        <v>4</v>
      </c>
      <c r="C65" s="23">
        <v>2</v>
      </c>
      <c r="D65" s="16">
        <v>-2</v>
      </c>
      <c r="E65" s="54">
        <v>-4</v>
      </c>
      <c r="F65" s="54"/>
      <c r="G65" s="54"/>
      <c r="H65" s="90">
        <f t="shared" si="3"/>
        <v>0</v>
      </c>
    </row>
    <row r="66" spans="1:8" x14ac:dyDescent="0.25">
      <c r="A66" s="60" t="s">
        <v>54</v>
      </c>
      <c r="B66" s="7"/>
      <c r="C66" s="23"/>
      <c r="D66" s="16">
        <v>4</v>
      </c>
      <c r="E66" s="54">
        <v>-4</v>
      </c>
      <c r="F66" s="54"/>
      <c r="G66" s="54"/>
      <c r="H66" s="90">
        <f t="shared" si="3"/>
        <v>0</v>
      </c>
    </row>
    <row r="67" spans="1:8" x14ac:dyDescent="0.25">
      <c r="A67" s="60" t="s">
        <v>93</v>
      </c>
      <c r="B67" s="7">
        <v>6</v>
      </c>
      <c r="C67" s="23"/>
      <c r="D67" s="16"/>
      <c r="E67" s="54">
        <v>-6</v>
      </c>
      <c r="F67" s="54"/>
      <c r="G67" s="54"/>
      <c r="H67" s="90">
        <f t="shared" si="3"/>
        <v>0</v>
      </c>
    </row>
    <row r="68" spans="1:8" x14ac:dyDescent="0.25">
      <c r="A68" s="60" t="s">
        <v>94</v>
      </c>
      <c r="B68" s="7"/>
      <c r="C68" s="23">
        <v>4</v>
      </c>
      <c r="D68" s="16"/>
      <c r="E68" s="54">
        <v>-4</v>
      </c>
      <c r="F68" s="54"/>
      <c r="G68" s="54"/>
      <c r="H68" s="90">
        <f t="shared" si="3"/>
        <v>0</v>
      </c>
    </row>
    <row r="69" spans="1:8" x14ac:dyDescent="0.25">
      <c r="A69" s="60" t="s">
        <v>95</v>
      </c>
      <c r="B69" s="7"/>
      <c r="C69" s="23">
        <v>36</v>
      </c>
      <c r="D69" s="16"/>
      <c r="E69" s="54">
        <v>-36</v>
      </c>
      <c r="F69" s="54">
        <v>14</v>
      </c>
      <c r="G69" s="54">
        <v>-14</v>
      </c>
      <c r="H69" s="90">
        <f t="shared" si="3"/>
        <v>0</v>
      </c>
    </row>
    <row r="70" spans="1:8" x14ac:dyDescent="0.25">
      <c r="A70" s="60" t="s">
        <v>96</v>
      </c>
      <c r="B70" s="7"/>
      <c r="C70" s="23">
        <v>3</v>
      </c>
      <c r="D70" s="16"/>
      <c r="E70" s="54">
        <v>-3</v>
      </c>
      <c r="F70" s="54">
        <v>4</v>
      </c>
      <c r="G70" s="54">
        <v>-4</v>
      </c>
      <c r="H70" s="90">
        <f t="shared" si="3"/>
        <v>0</v>
      </c>
    </row>
    <row r="71" spans="1:8" x14ac:dyDescent="0.25">
      <c r="A71" s="60" t="s">
        <v>115</v>
      </c>
      <c r="B71" s="7"/>
      <c r="C71" s="23"/>
      <c r="D71" s="16"/>
      <c r="E71" s="54"/>
      <c r="F71" s="54">
        <v>12</v>
      </c>
      <c r="G71" s="54">
        <v>-12</v>
      </c>
      <c r="H71" s="90">
        <f t="shared" si="3"/>
        <v>0</v>
      </c>
    </row>
    <row r="72" spans="1:8" x14ac:dyDescent="0.25">
      <c r="A72" s="60" t="s">
        <v>116</v>
      </c>
      <c r="B72" s="7"/>
      <c r="C72" s="23"/>
      <c r="D72" s="16"/>
      <c r="E72" s="54"/>
      <c r="F72" s="54">
        <v>6</v>
      </c>
      <c r="G72" s="54">
        <v>-6</v>
      </c>
      <c r="H72" s="90">
        <f t="shared" si="3"/>
        <v>0</v>
      </c>
    </row>
    <row r="73" spans="1:8" x14ac:dyDescent="0.25">
      <c r="A73" s="60" t="s">
        <v>97</v>
      </c>
      <c r="B73" s="7"/>
      <c r="C73" s="23">
        <v>2</v>
      </c>
      <c r="D73" s="16"/>
      <c r="E73" s="54">
        <v>-2</v>
      </c>
      <c r="F73" s="54"/>
      <c r="G73" s="54"/>
      <c r="H73" s="90">
        <f t="shared" si="3"/>
        <v>0</v>
      </c>
    </row>
    <row r="74" spans="1:8" x14ac:dyDescent="0.25">
      <c r="A74" s="60" t="s">
        <v>98</v>
      </c>
      <c r="B74" s="7"/>
      <c r="C74" s="23">
        <v>15</v>
      </c>
      <c r="D74" s="16"/>
      <c r="E74" s="54">
        <v>-15</v>
      </c>
      <c r="F74" s="54">
        <v>24</v>
      </c>
      <c r="G74" s="54">
        <v>-24</v>
      </c>
      <c r="H74" s="90">
        <f t="shared" si="3"/>
        <v>0</v>
      </c>
    </row>
    <row r="75" spans="1:8" x14ac:dyDescent="0.25">
      <c r="A75" s="60" t="s">
        <v>99</v>
      </c>
      <c r="B75" s="7"/>
      <c r="C75" s="23">
        <v>24</v>
      </c>
      <c r="D75" s="16"/>
      <c r="E75" s="54">
        <v>-24</v>
      </c>
      <c r="F75" s="54">
        <v>12</v>
      </c>
      <c r="G75" s="54">
        <v>-12</v>
      </c>
      <c r="H75" s="90">
        <f t="shared" si="3"/>
        <v>0</v>
      </c>
    </row>
    <row r="76" spans="1:8" x14ac:dyDescent="0.25">
      <c r="A76" s="60" t="s">
        <v>58</v>
      </c>
      <c r="B76" s="7"/>
      <c r="C76" s="23">
        <v>400</v>
      </c>
      <c r="D76" s="16"/>
      <c r="E76" s="54">
        <v>-400</v>
      </c>
      <c r="F76" s="54">
        <v>400</v>
      </c>
      <c r="G76" s="54">
        <v>-400</v>
      </c>
      <c r="H76" s="90">
        <f t="shared" si="3"/>
        <v>0</v>
      </c>
    </row>
    <row r="77" spans="1:8" x14ac:dyDescent="0.25">
      <c r="A77" s="60" t="s">
        <v>100</v>
      </c>
      <c r="B77" s="7"/>
      <c r="C77" s="23">
        <v>35</v>
      </c>
      <c r="D77" s="16"/>
      <c r="E77" s="54">
        <v>-29</v>
      </c>
      <c r="F77" s="54">
        <v>12</v>
      </c>
      <c r="G77" s="54">
        <v>-9</v>
      </c>
      <c r="H77" s="90">
        <f t="shared" si="3"/>
        <v>9</v>
      </c>
    </row>
    <row r="78" spans="1:8" x14ac:dyDescent="0.25">
      <c r="A78" s="60" t="s">
        <v>101</v>
      </c>
      <c r="B78" s="7"/>
      <c r="C78" s="23">
        <v>2</v>
      </c>
      <c r="D78" s="16"/>
      <c r="E78" s="54">
        <v>-2</v>
      </c>
      <c r="F78" s="54">
        <v>2</v>
      </c>
      <c r="G78" s="54">
        <v>-2</v>
      </c>
      <c r="H78" s="90">
        <f t="shared" si="3"/>
        <v>0</v>
      </c>
    </row>
    <row r="79" spans="1:8" x14ac:dyDescent="0.25">
      <c r="A79" s="62" t="s">
        <v>102</v>
      </c>
      <c r="B79" s="12">
        <v>0.47916666666666669</v>
      </c>
      <c r="C79" s="12">
        <v>0.47916666666666669</v>
      </c>
      <c r="D79" s="12">
        <v>8.3333333333333329E-2</v>
      </c>
      <c r="E79" s="63">
        <v>0.14583333333333334</v>
      </c>
      <c r="F79" s="63">
        <v>6.9444444444444448E-2</v>
      </c>
      <c r="G79" s="63">
        <v>0.45833333333333331</v>
      </c>
      <c r="H79" s="90"/>
    </row>
    <row r="80" spans="1:8" ht="15.75" thickBot="1" x14ac:dyDescent="0.3">
      <c r="A80" s="65" t="s">
        <v>32</v>
      </c>
      <c r="B80" s="66">
        <v>12500</v>
      </c>
      <c r="C80" s="66">
        <v>20000</v>
      </c>
      <c r="D80" s="66"/>
      <c r="E80" s="66">
        <v>20000</v>
      </c>
      <c r="F80" s="66">
        <v>20000</v>
      </c>
      <c r="G80" s="66">
        <v>20000</v>
      </c>
      <c r="H80" s="98">
        <f t="shared" ref="H80" si="4">SUM(B80:G80)</f>
        <v>92500</v>
      </c>
    </row>
    <row r="83" spans="1:9" ht="15.75" thickBot="1" x14ac:dyDescent="0.3"/>
    <row r="84" spans="1:9" ht="18.75" x14ac:dyDescent="0.3">
      <c r="A84" s="137" t="s">
        <v>87</v>
      </c>
      <c r="B84" s="138"/>
      <c r="C84" s="138"/>
      <c r="D84" s="138"/>
      <c r="E84" s="138"/>
      <c r="F84" s="188"/>
    </row>
    <row r="85" spans="1:9" ht="18.75" x14ac:dyDescent="0.3">
      <c r="A85" s="139" t="s">
        <v>103</v>
      </c>
      <c r="B85" s="140"/>
      <c r="C85" s="140"/>
      <c r="D85" s="140"/>
      <c r="E85" s="140"/>
      <c r="F85" s="163"/>
    </row>
    <row r="86" spans="1:9" x14ac:dyDescent="0.25">
      <c r="A86" s="147" t="s">
        <v>3</v>
      </c>
      <c r="B86" s="148" t="s">
        <v>11</v>
      </c>
      <c r="C86" s="148"/>
      <c r="D86" s="148"/>
      <c r="E86" s="148" t="s">
        <v>12</v>
      </c>
      <c r="F86" s="164"/>
    </row>
    <row r="87" spans="1:9" x14ac:dyDescent="0.25">
      <c r="A87" s="147"/>
      <c r="B87" s="16" t="s">
        <v>14</v>
      </c>
      <c r="C87" s="16" t="s">
        <v>15</v>
      </c>
      <c r="D87" s="16" t="s">
        <v>16</v>
      </c>
      <c r="E87" s="16" t="s">
        <v>17</v>
      </c>
      <c r="F87" s="32" t="s">
        <v>18</v>
      </c>
    </row>
    <row r="88" spans="1:9" x14ac:dyDescent="0.25">
      <c r="A88" s="17" t="s">
        <v>52</v>
      </c>
      <c r="B88" s="18">
        <v>19</v>
      </c>
      <c r="C88" s="18">
        <v>4</v>
      </c>
      <c r="D88" s="20">
        <v>150</v>
      </c>
      <c r="E88" s="21">
        <f t="shared" ref="E88:E91" si="5">C88*D88</f>
        <v>600</v>
      </c>
      <c r="F88" s="48">
        <f t="shared" ref="F88:F91" si="6">B88*E88</f>
        <v>11400</v>
      </c>
      <c r="G88" t="s">
        <v>142</v>
      </c>
    </row>
    <row r="89" spans="1:9" x14ac:dyDescent="0.25">
      <c r="A89" s="17" t="s">
        <v>108</v>
      </c>
      <c r="B89" s="18">
        <v>15</v>
      </c>
      <c r="C89" s="18">
        <v>6</v>
      </c>
      <c r="D89" s="20">
        <v>150</v>
      </c>
      <c r="E89" s="21">
        <f>C89*D89</f>
        <v>900</v>
      </c>
      <c r="F89" s="48">
        <f>B89*E89</f>
        <v>13500</v>
      </c>
      <c r="G89" t="s">
        <v>110</v>
      </c>
    </row>
    <row r="90" spans="1:9" x14ac:dyDescent="0.25">
      <c r="A90" s="17" t="s">
        <v>109</v>
      </c>
      <c r="B90" s="18">
        <v>38</v>
      </c>
      <c r="C90" s="18">
        <v>4</v>
      </c>
      <c r="D90" s="20">
        <v>1500</v>
      </c>
      <c r="E90" s="21">
        <f t="shared" si="5"/>
        <v>6000</v>
      </c>
      <c r="F90" s="48">
        <f t="shared" si="6"/>
        <v>228000</v>
      </c>
      <c r="G90" t="s">
        <v>141</v>
      </c>
      <c r="H90" s="69"/>
    </row>
    <row r="91" spans="1:9" x14ac:dyDescent="0.25">
      <c r="A91" s="70" t="s">
        <v>92</v>
      </c>
      <c r="B91" s="71">
        <v>38</v>
      </c>
      <c r="C91" s="71">
        <v>4</v>
      </c>
      <c r="D91" s="72">
        <v>1000</v>
      </c>
      <c r="E91" s="72">
        <f t="shared" si="5"/>
        <v>4000</v>
      </c>
      <c r="F91" s="73">
        <f t="shared" si="6"/>
        <v>152000</v>
      </c>
      <c r="G91" t="s">
        <v>141</v>
      </c>
      <c r="H91" s="69"/>
      <c r="I91" s="69"/>
    </row>
    <row r="92" spans="1:9" x14ac:dyDescent="0.25">
      <c r="A92" s="74" t="s">
        <v>100</v>
      </c>
      <c r="B92" s="16">
        <v>18</v>
      </c>
      <c r="C92" s="16">
        <v>6</v>
      </c>
      <c r="D92" s="77">
        <v>180</v>
      </c>
      <c r="E92" s="75">
        <f>D92*C92</f>
        <v>1080</v>
      </c>
      <c r="F92" s="76">
        <f>B92*E92</f>
        <v>19440</v>
      </c>
      <c r="G92" t="s">
        <v>143</v>
      </c>
      <c r="I92" s="69"/>
    </row>
    <row r="93" spans="1:9" x14ac:dyDescent="0.25">
      <c r="A93" s="17" t="s">
        <v>108</v>
      </c>
      <c r="B93" s="18">
        <v>18</v>
      </c>
      <c r="C93" s="18">
        <v>6</v>
      </c>
      <c r="D93" s="20">
        <v>150</v>
      </c>
      <c r="E93" s="21">
        <f>C93*D93</f>
        <v>900</v>
      </c>
      <c r="F93" s="48">
        <f>B93*E93</f>
        <v>16200</v>
      </c>
      <c r="G93" t="s">
        <v>144</v>
      </c>
      <c r="I93" s="69"/>
    </row>
    <row r="94" spans="1:9" x14ac:dyDescent="0.25">
      <c r="A94" s="83"/>
      <c r="B94" s="84"/>
      <c r="C94" s="84"/>
      <c r="D94" s="85"/>
      <c r="E94" s="85"/>
      <c r="F94" s="88"/>
      <c r="H94" s="69"/>
      <c r="I94" s="69"/>
    </row>
    <row r="95" spans="1:9" ht="19.5" thickBot="1" x14ac:dyDescent="0.45">
      <c r="A95" s="165"/>
      <c r="B95" s="166"/>
      <c r="C95" s="161" t="s">
        <v>21</v>
      </c>
      <c r="D95" s="161"/>
      <c r="E95" s="25">
        <f>SUM(F88:F91)</f>
        <v>404900</v>
      </c>
      <c r="F95" s="37"/>
    </row>
    <row r="96" spans="1:9" ht="18.75" x14ac:dyDescent="0.4">
      <c r="A96" s="165"/>
      <c r="B96" s="166"/>
      <c r="C96" s="169" t="s">
        <v>112</v>
      </c>
      <c r="D96" s="170"/>
      <c r="E96" s="49">
        <v>40000</v>
      </c>
      <c r="F96" s="37"/>
    </row>
    <row r="97" spans="1:6" ht="19.5" thickBot="1" x14ac:dyDescent="0.45">
      <c r="A97" s="152"/>
      <c r="B97" s="153"/>
      <c r="C97" s="161" t="s">
        <v>21</v>
      </c>
      <c r="D97" s="161"/>
      <c r="E97" s="25">
        <f>E95+E96</f>
        <v>444900</v>
      </c>
      <c r="F97" s="40"/>
    </row>
    <row r="98" spans="1:6" ht="15.75" thickBot="1" x14ac:dyDescent="0.3"/>
    <row r="99" spans="1:6" ht="18.75" x14ac:dyDescent="0.3">
      <c r="A99" s="137" t="s">
        <v>87</v>
      </c>
      <c r="B99" s="138"/>
      <c r="C99" s="138"/>
      <c r="D99" s="138"/>
      <c r="E99" s="138"/>
      <c r="F99" s="188"/>
    </row>
    <row r="100" spans="1:6" ht="18.75" x14ac:dyDescent="0.3">
      <c r="A100" s="139" t="s">
        <v>103</v>
      </c>
      <c r="B100" s="140"/>
      <c r="C100" s="140"/>
      <c r="D100" s="140"/>
      <c r="E100" s="140"/>
      <c r="F100" s="163"/>
    </row>
    <row r="101" spans="1:6" ht="18.75" x14ac:dyDescent="0.3">
      <c r="A101" s="139" t="s">
        <v>145</v>
      </c>
      <c r="B101" s="140"/>
      <c r="C101" s="140"/>
      <c r="D101" s="140"/>
      <c r="E101" s="140"/>
      <c r="F101" s="163"/>
    </row>
    <row r="102" spans="1:6" x14ac:dyDescent="0.25">
      <c r="A102" s="147" t="s">
        <v>3</v>
      </c>
      <c r="B102" s="148" t="s">
        <v>11</v>
      </c>
      <c r="C102" s="148"/>
      <c r="D102" s="148"/>
      <c r="E102" s="148" t="s">
        <v>12</v>
      </c>
      <c r="F102" s="164"/>
    </row>
    <row r="103" spans="1:6" x14ac:dyDescent="0.25">
      <c r="A103" s="147"/>
      <c r="B103" s="16" t="s">
        <v>14</v>
      </c>
      <c r="C103" s="16" t="s">
        <v>15</v>
      </c>
      <c r="D103" s="16" t="s">
        <v>16</v>
      </c>
      <c r="E103" s="16" t="s">
        <v>17</v>
      </c>
      <c r="F103" s="32" t="s">
        <v>18</v>
      </c>
    </row>
    <row r="104" spans="1:6" x14ac:dyDescent="0.25">
      <c r="A104" s="17" t="s">
        <v>115</v>
      </c>
      <c r="B104" s="18">
        <v>5</v>
      </c>
      <c r="C104" s="89">
        <v>12</v>
      </c>
      <c r="D104" s="20">
        <v>280</v>
      </c>
      <c r="E104" s="21">
        <f t="shared" ref="E104:E111" si="7">C104*D104</f>
        <v>3360</v>
      </c>
      <c r="F104" s="48">
        <f t="shared" ref="F104:F111" si="8">B104*E104</f>
        <v>16800</v>
      </c>
    </row>
    <row r="105" spans="1:6" x14ac:dyDescent="0.25">
      <c r="A105" s="17" t="s">
        <v>95</v>
      </c>
      <c r="B105" s="18">
        <v>5</v>
      </c>
      <c r="C105" s="89">
        <v>12</v>
      </c>
      <c r="D105" s="20">
        <v>260</v>
      </c>
      <c r="E105" s="21">
        <f t="shared" si="7"/>
        <v>3120</v>
      </c>
      <c r="F105" s="48">
        <f t="shared" si="8"/>
        <v>15600</v>
      </c>
    </row>
    <row r="106" spans="1:6" x14ac:dyDescent="0.25">
      <c r="A106" s="17" t="s">
        <v>146</v>
      </c>
      <c r="B106" s="18">
        <v>5</v>
      </c>
      <c r="C106" s="89">
        <v>6</v>
      </c>
      <c r="D106" s="20">
        <v>230</v>
      </c>
      <c r="E106" s="21">
        <f t="shared" si="7"/>
        <v>1380</v>
      </c>
      <c r="F106" s="48">
        <f t="shared" si="8"/>
        <v>6900</v>
      </c>
    </row>
    <row r="107" spans="1:6" x14ac:dyDescent="0.25">
      <c r="A107" s="17" t="s">
        <v>96</v>
      </c>
      <c r="B107" s="18">
        <v>5</v>
      </c>
      <c r="C107" s="89">
        <v>6</v>
      </c>
      <c r="D107" s="20">
        <v>220</v>
      </c>
      <c r="E107" s="21">
        <f t="shared" si="7"/>
        <v>1320</v>
      </c>
      <c r="F107" s="48">
        <f t="shared" si="8"/>
        <v>6600</v>
      </c>
    </row>
    <row r="108" spans="1:6" x14ac:dyDescent="0.25">
      <c r="A108" s="17" t="s">
        <v>98</v>
      </c>
      <c r="B108" s="18">
        <v>5</v>
      </c>
      <c r="C108" s="89">
        <v>24</v>
      </c>
      <c r="D108" s="20">
        <v>100</v>
      </c>
      <c r="E108" s="21">
        <f t="shared" si="7"/>
        <v>2400</v>
      </c>
      <c r="F108" s="48">
        <f t="shared" si="8"/>
        <v>12000</v>
      </c>
    </row>
    <row r="109" spans="1:6" x14ac:dyDescent="0.25">
      <c r="A109" s="17" t="s">
        <v>99</v>
      </c>
      <c r="B109" s="18">
        <v>5</v>
      </c>
      <c r="C109" s="89">
        <v>12</v>
      </c>
      <c r="D109" s="20">
        <v>60</v>
      </c>
      <c r="E109" s="21">
        <f t="shared" si="7"/>
        <v>720</v>
      </c>
      <c r="F109" s="48">
        <f t="shared" si="8"/>
        <v>3600</v>
      </c>
    </row>
    <row r="110" spans="1:6" x14ac:dyDescent="0.25">
      <c r="A110" s="17" t="s">
        <v>58</v>
      </c>
      <c r="B110" s="18">
        <v>5</v>
      </c>
      <c r="C110" s="89">
        <v>400</v>
      </c>
      <c r="D110" s="20">
        <v>25</v>
      </c>
      <c r="E110" s="21">
        <f t="shared" si="7"/>
        <v>10000</v>
      </c>
      <c r="F110" s="48">
        <f t="shared" si="8"/>
        <v>50000</v>
      </c>
    </row>
    <row r="111" spans="1:6" x14ac:dyDescent="0.25">
      <c r="A111" s="17" t="s">
        <v>105</v>
      </c>
      <c r="B111" s="18">
        <v>5</v>
      </c>
      <c r="C111" s="89">
        <v>12</v>
      </c>
      <c r="D111" s="20">
        <v>200</v>
      </c>
      <c r="E111" s="21">
        <f t="shared" si="7"/>
        <v>2400</v>
      </c>
      <c r="F111" s="48">
        <f t="shared" si="8"/>
        <v>12000</v>
      </c>
    </row>
    <row r="112" spans="1:6" ht="18.75" x14ac:dyDescent="0.4">
      <c r="A112" s="150" t="s">
        <v>147</v>
      </c>
      <c r="B112" s="151"/>
      <c r="C112" s="154" t="s">
        <v>46</v>
      </c>
      <c r="D112" s="154"/>
      <c r="E112" s="24">
        <f>SUM(E104:E111)</f>
        <v>24700</v>
      </c>
      <c r="F112" s="35"/>
    </row>
    <row r="113" spans="1:6" ht="19.5" thickBot="1" x14ac:dyDescent="0.45">
      <c r="A113" s="165"/>
      <c r="B113" s="166"/>
      <c r="C113" s="161" t="s">
        <v>21</v>
      </c>
      <c r="D113" s="161"/>
      <c r="E113" s="25">
        <f>SUM(F104:F111)</f>
        <v>123500</v>
      </c>
      <c r="F113" s="37"/>
    </row>
    <row r="114" spans="1:6" ht="18.75" x14ac:dyDescent="0.4">
      <c r="A114" s="165"/>
      <c r="B114" s="166"/>
      <c r="C114" s="169" t="s">
        <v>22</v>
      </c>
      <c r="D114" s="170"/>
      <c r="E114" s="49">
        <v>40000</v>
      </c>
      <c r="F114" s="37"/>
    </row>
    <row r="115" spans="1:6" ht="19.5" thickBot="1" x14ac:dyDescent="0.45">
      <c r="A115" s="152"/>
      <c r="B115" s="153"/>
      <c r="C115" s="161" t="s">
        <v>21</v>
      </c>
      <c r="D115" s="161"/>
      <c r="E115" s="25">
        <f>E113+E114</f>
        <v>163500</v>
      </c>
      <c r="F115" s="40"/>
    </row>
  </sheetData>
  <mergeCells count="41">
    <mergeCell ref="A112:B115"/>
    <mergeCell ref="C112:D112"/>
    <mergeCell ref="C113:D113"/>
    <mergeCell ref="C114:D114"/>
    <mergeCell ref="C115:D115"/>
    <mergeCell ref="A95:B97"/>
    <mergeCell ref="C95:D95"/>
    <mergeCell ref="C96:D96"/>
    <mergeCell ref="C97:D97"/>
    <mergeCell ref="A47:A48"/>
    <mergeCell ref="A84:F84"/>
    <mergeCell ref="A85:F85"/>
    <mergeCell ref="A86:A87"/>
    <mergeCell ref="B86:D86"/>
    <mergeCell ref="E86:F86"/>
    <mergeCell ref="A57:H57"/>
    <mergeCell ref="A58:H58"/>
    <mergeCell ref="A59:H59"/>
    <mergeCell ref="A60:A61"/>
    <mergeCell ref="A44:F44"/>
    <mergeCell ref="A45:F45"/>
    <mergeCell ref="A46:F46"/>
    <mergeCell ref="A28:A29"/>
    <mergeCell ref="B28:D28"/>
    <mergeCell ref="E28:F28"/>
    <mergeCell ref="A40:B42"/>
    <mergeCell ref="C40:D40"/>
    <mergeCell ref="C41:D41"/>
    <mergeCell ref="C42:D42"/>
    <mergeCell ref="A27:F27"/>
    <mergeCell ref="A4:A5"/>
    <mergeCell ref="A1:H1"/>
    <mergeCell ref="A2:H2"/>
    <mergeCell ref="A3:H3"/>
    <mergeCell ref="A26:F26"/>
    <mergeCell ref="A99:F99"/>
    <mergeCell ref="A100:F100"/>
    <mergeCell ref="A101:F101"/>
    <mergeCell ref="A102:A103"/>
    <mergeCell ref="B102:D102"/>
    <mergeCell ref="E102:F102"/>
  </mergeCells>
  <phoneticPr fontId="11" type="noConversion"/>
  <pageMargins left="0.70866141732283472" right="0.70866141732283472" top="0.74803149606299213" bottom="0.74803149606299213" header="0.31496062992125984" footer="0.31496062992125984"/>
  <pageSetup paperSize="9" scale="4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1E4CC-38C7-4A0E-9F7B-DA20152396FF}">
  <dimension ref="A1:I23"/>
  <sheetViews>
    <sheetView topLeftCell="A6" workbookViewId="0">
      <selection activeCell="H14" sqref="H14"/>
    </sheetView>
  </sheetViews>
  <sheetFormatPr baseColWidth="10" defaultRowHeight="15" x14ac:dyDescent="0.25"/>
  <cols>
    <col min="1" max="1" width="24.28515625" customWidth="1"/>
    <col min="2" max="2" width="12.28515625" customWidth="1"/>
    <col min="3" max="3" width="15.140625" customWidth="1"/>
    <col min="4" max="4" width="14.140625" customWidth="1"/>
    <col min="5" max="5" width="15.7109375" customWidth="1"/>
    <col min="6" max="6" width="14.7109375" customWidth="1"/>
  </cols>
  <sheetData>
    <row r="1" spans="1:6" ht="15.75" thickBot="1" x14ac:dyDescent="0.3">
      <c r="A1" s="190" t="s">
        <v>149</v>
      </c>
      <c r="B1" s="190"/>
      <c r="C1" s="190"/>
      <c r="D1" s="190"/>
      <c r="E1" s="190"/>
      <c r="F1" s="190"/>
    </row>
    <row r="2" spans="1:6" ht="18.75" x14ac:dyDescent="0.3">
      <c r="A2" s="137" t="s">
        <v>150</v>
      </c>
      <c r="B2" s="138"/>
      <c r="C2" s="138"/>
      <c r="D2" s="138"/>
      <c r="E2" s="138"/>
      <c r="F2" s="138"/>
    </row>
    <row r="3" spans="1:6" ht="18.75" x14ac:dyDescent="0.3">
      <c r="A3" s="139" t="s">
        <v>151</v>
      </c>
      <c r="B3" s="140"/>
      <c r="C3" s="140"/>
      <c r="D3" s="140"/>
      <c r="E3" s="140"/>
      <c r="F3" s="140"/>
    </row>
    <row r="4" spans="1:6" x14ac:dyDescent="0.25">
      <c r="A4" s="147" t="s">
        <v>3</v>
      </c>
      <c r="B4" s="148" t="s">
        <v>11</v>
      </c>
      <c r="C4" s="148"/>
      <c r="D4" s="148"/>
      <c r="E4" s="148" t="s">
        <v>12</v>
      </c>
      <c r="F4" s="164"/>
    </row>
    <row r="5" spans="1:6" x14ac:dyDescent="0.25">
      <c r="A5" s="147"/>
      <c r="B5" s="16" t="s">
        <v>14</v>
      </c>
      <c r="C5" s="16" t="s">
        <v>15</v>
      </c>
      <c r="D5" s="16" t="s">
        <v>16</v>
      </c>
      <c r="E5" s="16" t="s">
        <v>17</v>
      </c>
      <c r="F5" s="32" t="s">
        <v>18</v>
      </c>
    </row>
    <row r="6" spans="1:6" x14ac:dyDescent="0.25">
      <c r="A6" s="17" t="s">
        <v>93</v>
      </c>
      <c r="B6" s="18">
        <v>11</v>
      </c>
      <c r="C6" s="19">
        <v>66</v>
      </c>
      <c r="D6" s="20">
        <v>200</v>
      </c>
      <c r="E6" s="21">
        <f>D6*C6</f>
        <v>13200</v>
      </c>
      <c r="F6" s="48">
        <f>E6*B6</f>
        <v>145200</v>
      </c>
    </row>
    <row r="7" spans="1:6" x14ac:dyDescent="0.25">
      <c r="A7" s="17"/>
      <c r="B7" s="18"/>
      <c r="C7" s="19"/>
      <c r="D7" s="20"/>
      <c r="E7" s="21"/>
      <c r="F7" s="48">
        <f t="shared" ref="F7" si="0">E7*B7</f>
        <v>0</v>
      </c>
    </row>
    <row r="8" spans="1:6" ht="18.75" x14ac:dyDescent="0.4">
      <c r="A8" s="150" t="s">
        <v>154</v>
      </c>
      <c r="B8" s="151"/>
      <c r="C8" s="154" t="s">
        <v>46</v>
      </c>
      <c r="D8" s="154"/>
      <c r="E8" s="24">
        <f>SUM(E6:E7)</f>
        <v>13200</v>
      </c>
      <c r="F8" s="35"/>
    </row>
    <row r="9" spans="1:6" ht="19.5" thickBot="1" x14ac:dyDescent="0.45">
      <c r="A9" s="165"/>
      <c r="B9" s="166"/>
      <c r="C9" s="161" t="s">
        <v>21</v>
      </c>
      <c r="D9" s="161"/>
      <c r="E9" s="25">
        <f>SUM(F6)</f>
        <v>145200</v>
      </c>
      <c r="F9" s="37"/>
    </row>
    <row r="10" spans="1:6" ht="18.75" x14ac:dyDescent="0.4">
      <c r="A10" s="165"/>
      <c r="B10" s="166"/>
      <c r="C10" s="169" t="s">
        <v>22</v>
      </c>
      <c r="D10" s="170"/>
      <c r="E10" s="49">
        <v>100000</v>
      </c>
      <c r="F10" s="37"/>
    </row>
    <row r="11" spans="1:6" ht="19.5" thickBot="1" x14ac:dyDescent="0.45">
      <c r="A11" s="152"/>
      <c r="B11" s="153"/>
      <c r="C11" s="161" t="s">
        <v>21</v>
      </c>
      <c r="D11" s="161"/>
      <c r="E11" s="25">
        <f>SUM(E9:E10)</f>
        <v>245200</v>
      </c>
      <c r="F11" s="40"/>
    </row>
    <row r="13" spans="1:6" ht="18.75" x14ac:dyDescent="0.3">
      <c r="A13" s="162" t="s">
        <v>152</v>
      </c>
      <c r="B13" s="140"/>
      <c r="C13" s="140"/>
      <c r="D13" s="140"/>
      <c r="E13" s="140"/>
      <c r="F13" s="171"/>
    </row>
    <row r="14" spans="1:6" ht="18.75" x14ac:dyDescent="0.3">
      <c r="A14" s="162" t="s">
        <v>153</v>
      </c>
      <c r="B14" s="140"/>
      <c r="C14" s="140"/>
      <c r="D14" s="140"/>
      <c r="E14" s="140"/>
      <c r="F14" s="171"/>
    </row>
    <row r="15" spans="1:6" ht="18.75" x14ac:dyDescent="0.3">
      <c r="A15" s="162" t="s">
        <v>155</v>
      </c>
      <c r="B15" s="140"/>
      <c r="C15" s="140"/>
      <c r="D15" s="140"/>
      <c r="E15" s="140"/>
      <c r="F15" s="171"/>
    </row>
    <row r="16" spans="1:6" x14ac:dyDescent="0.25">
      <c r="A16" s="172" t="s">
        <v>3</v>
      </c>
      <c r="B16" s="26">
        <v>12681</v>
      </c>
      <c r="C16" s="41">
        <v>11502</v>
      </c>
      <c r="D16" s="26"/>
      <c r="E16" s="26"/>
      <c r="F16" s="7" t="s">
        <v>42</v>
      </c>
    </row>
    <row r="17" spans="1:9" x14ac:dyDescent="0.25">
      <c r="A17" s="173"/>
      <c r="B17" s="5">
        <v>45770</v>
      </c>
      <c r="C17" s="5">
        <v>45782</v>
      </c>
      <c r="D17" s="5"/>
      <c r="E17" s="5"/>
      <c r="F17" s="6">
        <v>45777</v>
      </c>
    </row>
    <row r="18" spans="1:9" x14ac:dyDescent="0.25">
      <c r="A18" s="27" t="s">
        <v>93</v>
      </c>
      <c r="B18" s="28">
        <v>66</v>
      </c>
      <c r="C18" s="23">
        <v>-66</v>
      </c>
      <c r="D18" s="23"/>
      <c r="E18" s="23"/>
      <c r="F18" s="9">
        <f>SUM(B18:E18)</f>
        <v>0</v>
      </c>
    </row>
    <row r="19" spans="1:9" x14ac:dyDescent="0.25">
      <c r="A19" s="27"/>
      <c r="B19" s="28"/>
      <c r="C19" s="23"/>
      <c r="D19" s="23"/>
      <c r="E19" s="23"/>
      <c r="F19" s="9">
        <f>SUM(B19:E19)</f>
        <v>0</v>
      </c>
    </row>
    <row r="20" spans="1:9" x14ac:dyDescent="0.25">
      <c r="A20" s="27"/>
      <c r="B20" s="28"/>
      <c r="C20" s="23"/>
      <c r="D20" s="23"/>
      <c r="E20" s="23"/>
      <c r="F20" s="9">
        <f>SUM(B20:E20)</f>
        <v>0</v>
      </c>
      <c r="I20" s="99"/>
    </row>
    <row r="21" spans="1:9" x14ac:dyDescent="0.25">
      <c r="A21" s="27"/>
      <c r="B21" s="28"/>
      <c r="C21" s="23"/>
      <c r="D21" s="23"/>
      <c r="E21" s="23"/>
      <c r="F21" s="9">
        <f>SUM(B21:E21)</f>
        <v>0</v>
      </c>
    </row>
    <row r="22" spans="1:9" x14ac:dyDescent="0.25">
      <c r="A22" s="29" t="s">
        <v>31</v>
      </c>
      <c r="B22" s="42">
        <v>0.15972222222222221</v>
      </c>
      <c r="C22" s="11">
        <v>0.45833333333333331</v>
      </c>
      <c r="D22" s="30"/>
      <c r="E22" s="30"/>
      <c r="F22" s="41"/>
    </row>
    <row r="23" spans="1:9" x14ac:dyDescent="0.25">
      <c r="A23" s="29" t="s">
        <v>32</v>
      </c>
      <c r="B23" s="31">
        <v>50000</v>
      </c>
      <c r="C23" s="31">
        <v>50000</v>
      </c>
      <c r="D23" s="31"/>
      <c r="E23" s="31"/>
      <c r="F23" s="44">
        <f>SUM(B23:E23)</f>
        <v>100000</v>
      </c>
    </row>
  </sheetData>
  <mergeCells count="15">
    <mergeCell ref="A1:F1"/>
    <mergeCell ref="A2:F2"/>
    <mergeCell ref="A3:F3"/>
    <mergeCell ref="A4:A5"/>
    <mergeCell ref="B4:D4"/>
    <mergeCell ref="E4:F4"/>
    <mergeCell ref="A14:F14"/>
    <mergeCell ref="A15:F15"/>
    <mergeCell ref="A16:A17"/>
    <mergeCell ref="A8:B11"/>
    <mergeCell ref="C8:D8"/>
    <mergeCell ref="C9:D9"/>
    <mergeCell ref="C10:D10"/>
    <mergeCell ref="C11:D11"/>
    <mergeCell ref="A13:F13"/>
  </mergeCells>
  <pageMargins left="0.7" right="0.7" top="0.75" bottom="0.75" header="0.3" footer="0.3"/>
  <pageSetup paperSize="9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C783C-6F82-42CB-841D-FC637999B276}">
  <sheetPr>
    <pageSetUpPr fitToPage="1"/>
  </sheetPr>
  <dimension ref="A1:L34"/>
  <sheetViews>
    <sheetView topLeftCell="A26" workbookViewId="0">
      <selection activeCell="I19" sqref="I19"/>
    </sheetView>
  </sheetViews>
  <sheetFormatPr baseColWidth="10" defaultRowHeight="15" x14ac:dyDescent="0.25"/>
  <cols>
    <col min="1" max="1" width="35.140625" bestFit="1" customWidth="1"/>
    <col min="4" max="4" width="18.140625" customWidth="1"/>
    <col min="5" max="5" width="28.28515625" customWidth="1"/>
    <col min="6" max="6" width="21.42578125" customWidth="1"/>
    <col min="7" max="7" width="17.42578125" customWidth="1"/>
  </cols>
  <sheetData>
    <row r="1" spans="1:12" ht="18.75" x14ac:dyDescent="0.3">
      <c r="A1" s="137" t="s">
        <v>167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</row>
    <row r="2" spans="1:12" ht="18.75" x14ac:dyDescent="0.3">
      <c r="A2" s="139" t="s">
        <v>168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</row>
    <row r="3" spans="1:12" ht="18.75" x14ac:dyDescent="0.3">
      <c r="A3" s="139" t="s">
        <v>89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</row>
    <row r="4" spans="1:12" x14ac:dyDescent="0.25">
      <c r="A4" s="189" t="s">
        <v>3</v>
      </c>
      <c r="B4" s="26">
        <v>12670</v>
      </c>
      <c r="C4" s="26">
        <v>12672</v>
      </c>
      <c r="D4" s="26">
        <v>12676</v>
      </c>
      <c r="E4" s="55">
        <v>12679</v>
      </c>
      <c r="F4" s="55">
        <v>11487</v>
      </c>
      <c r="G4" s="55">
        <v>12689</v>
      </c>
      <c r="H4" s="55">
        <v>11504</v>
      </c>
      <c r="I4" s="55">
        <v>11505</v>
      </c>
      <c r="J4" s="55">
        <v>11506</v>
      </c>
      <c r="K4" s="55">
        <v>11507</v>
      </c>
      <c r="L4" s="56" t="s">
        <v>4</v>
      </c>
    </row>
    <row r="5" spans="1:12" x14ac:dyDescent="0.25">
      <c r="A5" s="189"/>
      <c r="B5" s="5">
        <v>45769</v>
      </c>
      <c r="C5" s="5">
        <v>45769</v>
      </c>
      <c r="D5" s="57">
        <v>45769</v>
      </c>
      <c r="E5" s="58">
        <v>45770</v>
      </c>
      <c r="F5" s="58">
        <v>45771</v>
      </c>
      <c r="G5" s="58">
        <v>45775</v>
      </c>
      <c r="H5" s="58">
        <v>45782</v>
      </c>
      <c r="I5" s="58">
        <v>45783</v>
      </c>
      <c r="J5" s="58">
        <v>45783</v>
      </c>
      <c r="K5" s="58">
        <v>45783</v>
      </c>
      <c r="L5" s="59">
        <v>45777</v>
      </c>
    </row>
    <row r="6" spans="1:12" x14ac:dyDescent="0.25">
      <c r="A6" s="60" t="s">
        <v>52</v>
      </c>
      <c r="B6" s="103">
        <v>33</v>
      </c>
      <c r="C6" s="103">
        <v>15</v>
      </c>
      <c r="D6" s="104"/>
      <c r="E6" s="105">
        <v>5</v>
      </c>
      <c r="F6" s="105"/>
      <c r="G6" s="105"/>
      <c r="H6" s="105"/>
      <c r="I6" s="105"/>
      <c r="J6" s="105"/>
      <c r="K6" s="105">
        <v>-53</v>
      </c>
      <c r="L6" s="61">
        <f>SUM(B6:K6)</f>
        <v>0</v>
      </c>
    </row>
    <row r="7" spans="1:12" x14ac:dyDescent="0.25">
      <c r="A7" s="60" t="s">
        <v>169</v>
      </c>
      <c r="B7" s="103">
        <v>2</v>
      </c>
      <c r="C7" s="103">
        <v>40</v>
      </c>
      <c r="D7" s="104">
        <v>80</v>
      </c>
      <c r="E7" s="105">
        <v>74</v>
      </c>
      <c r="F7" s="105"/>
      <c r="G7" s="105"/>
      <c r="H7" s="105">
        <v>-84</v>
      </c>
      <c r="I7" s="105">
        <v>-61</v>
      </c>
      <c r="J7" s="105">
        <v>-25</v>
      </c>
      <c r="K7" s="105">
        <v>-26</v>
      </c>
      <c r="L7" s="61">
        <f>SUM(B7:K7)</f>
        <v>0</v>
      </c>
    </row>
    <row r="8" spans="1:12" x14ac:dyDescent="0.25">
      <c r="A8" s="60" t="s">
        <v>93</v>
      </c>
      <c r="B8" s="103">
        <v>67</v>
      </c>
      <c r="C8" s="103">
        <v>26</v>
      </c>
      <c r="D8" s="104">
        <v>7</v>
      </c>
      <c r="E8" s="105"/>
      <c r="F8" s="105"/>
      <c r="G8" s="105"/>
      <c r="H8" s="105"/>
      <c r="I8" s="105"/>
      <c r="J8" s="105">
        <v>-100</v>
      </c>
      <c r="K8" s="105"/>
      <c r="L8" s="61">
        <f>SUM(B8:J8)</f>
        <v>0</v>
      </c>
    </row>
    <row r="9" spans="1:12" x14ac:dyDescent="0.25">
      <c r="A9" s="60" t="s">
        <v>170</v>
      </c>
      <c r="B9" s="106"/>
      <c r="C9" s="106">
        <v>8</v>
      </c>
      <c r="D9" s="107"/>
      <c r="E9" s="108">
        <v>1</v>
      </c>
      <c r="F9" s="108"/>
      <c r="G9" s="108"/>
      <c r="H9" s="108"/>
      <c r="I9" s="108">
        <v>-9</v>
      </c>
      <c r="J9" s="108"/>
      <c r="K9" s="108"/>
      <c r="L9" s="61">
        <f>SUM(B9:J9)</f>
        <v>0</v>
      </c>
    </row>
    <row r="10" spans="1:12" x14ac:dyDescent="0.25">
      <c r="A10" s="60" t="s">
        <v>171</v>
      </c>
      <c r="B10" s="106"/>
      <c r="C10" s="106">
        <v>1</v>
      </c>
      <c r="D10" s="107"/>
      <c r="E10" s="108"/>
      <c r="F10" s="108">
        <v>-1</v>
      </c>
      <c r="G10" s="108"/>
      <c r="H10" s="108"/>
      <c r="I10" s="108"/>
      <c r="J10" s="108"/>
      <c r="K10" s="108"/>
      <c r="L10" s="61">
        <f>SUM(C10:G10)</f>
        <v>0</v>
      </c>
    </row>
    <row r="11" spans="1:12" x14ac:dyDescent="0.25">
      <c r="A11" s="60" t="s">
        <v>172</v>
      </c>
      <c r="B11" s="106"/>
      <c r="C11" s="106"/>
      <c r="D11" s="107"/>
      <c r="E11" s="108"/>
      <c r="F11" s="108"/>
      <c r="G11" s="108">
        <v>20</v>
      </c>
      <c r="H11" s="108"/>
      <c r="I11" s="108">
        <v>-18</v>
      </c>
      <c r="J11" s="108"/>
      <c r="K11" s="108">
        <v>-2</v>
      </c>
      <c r="L11" s="61">
        <f>SUM(B11:K11)</f>
        <v>0</v>
      </c>
    </row>
    <row r="12" spans="1:12" x14ac:dyDescent="0.25">
      <c r="A12" s="60" t="s">
        <v>173</v>
      </c>
      <c r="B12" s="106"/>
      <c r="C12" s="106"/>
      <c r="D12" s="107"/>
      <c r="E12" s="108"/>
      <c r="F12" s="108"/>
      <c r="G12" s="108">
        <v>34</v>
      </c>
      <c r="H12" s="108"/>
      <c r="I12" s="108">
        <v>-16</v>
      </c>
      <c r="J12" s="108"/>
      <c r="K12" s="108">
        <v>-18</v>
      </c>
      <c r="L12" s="61">
        <f>SUM(B12:K12)</f>
        <v>0</v>
      </c>
    </row>
    <row r="13" spans="1:12" x14ac:dyDescent="0.25">
      <c r="A13" s="60" t="s">
        <v>171</v>
      </c>
      <c r="B13" s="106"/>
      <c r="C13" s="106"/>
      <c r="D13" s="107"/>
      <c r="E13" s="108"/>
      <c r="F13" s="108"/>
      <c r="G13" s="108">
        <v>1</v>
      </c>
      <c r="H13" s="108">
        <v>-1</v>
      </c>
      <c r="I13" s="108">
        <v>1</v>
      </c>
      <c r="J13" s="108"/>
      <c r="K13" s="108">
        <v>-1</v>
      </c>
      <c r="L13" s="61">
        <f>SUM(G13:K13)</f>
        <v>0</v>
      </c>
    </row>
    <row r="14" spans="1:12" x14ac:dyDescent="0.25">
      <c r="A14" s="60"/>
      <c r="B14" s="7"/>
      <c r="C14" s="23"/>
      <c r="D14" s="16"/>
      <c r="E14" s="54"/>
      <c r="F14" s="54"/>
      <c r="G14" s="54"/>
      <c r="H14" s="54"/>
      <c r="I14" s="54"/>
      <c r="J14" s="54"/>
      <c r="K14" s="54"/>
      <c r="L14" s="61"/>
    </row>
    <row r="15" spans="1:12" x14ac:dyDescent="0.25">
      <c r="A15" s="62" t="s">
        <v>102</v>
      </c>
      <c r="B15" s="11">
        <v>0.33333333333333331</v>
      </c>
      <c r="C15" s="12">
        <v>0.40972222222222221</v>
      </c>
      <c r="D15" s="12">
        <v>0.125</v>
      </c>
      <c r="E15" s="63">
        <v>0.35416666666666669</v>
      </c>
      <c r="F15" s="63">
        <v>0.40277777777777779</v>
      </c>
      <c r="G15" s="63">
        <v>0.41666666666666669</v>
      </c>
      <c r="H15" s="63">
        <v>8.3333333333333329E-2</v>
      </c>
      <c r="I15" s="63">
        <v>0.35416666666666669</v>
      </c>
      <c r="J15" s="63">
        <v>4.1666666666666664E-2</v>
      </c>
      <c r="K15" s="63">
        <v>0.625</v>
      </c>
      <c r="L15" s="64"/>
    </row>
    <row r="16" spans="1:12" ht="15.75" thickBot="1" x14ac:dyDescent="0.3">
      <c r="A16" s="65" t="s">
        <v>32</v>
      </c>
      <c r="B16" s="66">
        <v>50000</v>
      </c>
      <c r="C16" s="66">
        <v>50000</v>
      </c>
      <c r="D16" s="66">
        <v>50000</v>
      </c>
      <c r="E16" s="66">
        <v>50000</v>
      </c>
      <c r="F16" s="66" t="s">
        <v>174</v>
      </c>
      <c r="G16" s="66">
        <v>30000</v>
      </c>
      <c r="H16" s="66">
        <v>50000</v>
      </c>
      <c r="I16" s="66">
        <v>50000</v>
      </c>
      <c r="J16" s="66">
        <v>50000</v>
      </c>
      <c r="K16" s="66">
        <v>70000</v>
      </c>
      <c r="L16" s="66">
        <f>SUM(B16:K16)</f>
        <v>450000</v>
      </c>
    </row>
    <row r="17" spans="1:7" x14ac:dyDescent="0.25">
      <c r="A17" s="102" t="s">
        <v>175</v>
      </c>
    </row>
    <row r="18" spans="1:7" ht="18" customHeight="1" x14ac:dyDescent="0.25">
      <c r="A18" s="193" t="s">
        <v>176</v>
      </c>
      <c r="B18" s="193"/>
      <c r="C18" s="193"/>
      <c r="D18" s="193"/>
      <c r="E18" s="193"/>
      <c r="F18" s="193"/>
      <c r="G18" s="193"/>
    </row>
    <row r="19" spans="1:7" x14ac:dyDescent="0.25">
      <c r="A19" s="187" t="s">
        <v>177</v>
      </c>
      <c r="B19" s="187"/>
      <c r="C19" s="187"/>
      <c r="D19" s="187"/>
      <c r="E19" s="187"/>
      <c r="F19" s="187"/>
      <c r="G19" s="187"/>
    </row>
    <row r="20" spans="1:7" ht="18" customHeight="1" x14ac:dyDescent="0.25">
      <c r="A20" s="193" t="s">
        <v>178</v>
      </c>
      <c r="B20" s="193"/>
      <c r="C20" s="193"/>
      <c r="D20" s="193"/>
      <c r="E20" s="193"/>
      <c r="F20" s="193"/>
      <c r="G20" s="193"/>
    </row>
    <row r="21" spans="1:7" x14ac:dyDescent="0.25">
      <c r="A21" s="154" t="s">
        <v>3</v>
      </c>
      <c r="B21" s="148" t="s">
        <v>11</v>
      </c>
      <c r="C21" s="148"/>
      <c r="D21" s="148"/>
      <c r="E21" s="148" t="s">
        <v>12</v>
      </c>
      <c r="F21" s="148"/>
      <c r="G21" s="185"/>
    </row>
    <row r="22" spans="1:7" x14ac:dyDescent="0.25">
      <c r="A22" s="154"/>
      <c r="B22" s="16" t="s">
        <v>14</v>
      </c>
      <c r="C22" s="16" t="s">
        <v>15</v>
      </c>
      <c r="D22" s="16" t="s">
        <v>16</v>
      </c>
      <c r="E22" s="16" t="s">
        <v>17</v>
      </c>
      <c r="F22" s="16" t="s">
        <v>18</v>
      </c>
      <c r="G22" s="185"/>
    </row>
    <row r="23" spans="1:7" x14ac:dyDescent="0.25">
      <c r="A23" s="52" t="s">
        <v>184</v>
      </c>
      <c r="B23" s="18">
        <v>1</v>
      </c>
      <c r="C23" s="71">
        <v>48</v>
      </c>
      <c r="D23" s="20">
        <v>150</v>
      </c>
      <c r="E23" s="21">
        <f>D23*C23</f>
        <v>7200</v>
      </c>
      <c r="F23" s="21">
        <f t="shared" ref="F23:F31" si="0">B23*E23</f>
        <v>7200</v>
      </c>
      <c r="G23" s="52" t="s">
        <v>187</v>
      </c>
    </row>
    <row r="24" spans="1:7" x14ac:dyDescent="0.25">
      <c r="A24" s="52" t="s">
        <v>184</v>
      </c>
      <c r="B24" s="18">
        <v>1</v>
      </c>
      <c r="C24" s="71">
        <v>48</v>
      </c>
      <c r="D24" s="20">
        <v>150</v>
      </c>
      <c r="E24" s="21">
        <f>D24*C24</f>
        <v>7200</v>
      </c>
      <c r="F24" s="21">
        <f t="shared" si="0"/>
        <v>7200</v>
      </c>
      <c r="G24" s="52" t="s">
        <v>188</v>
      </c>
    </row>
    <row r="25" spans="1:7" x14ac:dyDescent="0.25">
      <c r="A25" s="52" t="s">
        <v>179</v>
      </c>
      <c r="B25" s="109">
        <v>1</v>
      </c>
      <c r="C25" s="109">
        <v>122</v>
      </c>
      <c r="D25" s="20">
        <v>300</v>
      </c>
      <c r="E25" s="20">
        <f>C25*D25</f>
        <v>36600</v>
      </c>
      <c r="F25" s="20">
        <f t="shared" si="0"/>
        <v>36600</v>
      </c>
      <c r="G25" s="52" t="s">
        <v>187</v>
      </c>
    </row>
    <row r="26" spans="1:7" x14ac:dyDescent="0.25">
      <c r="A26" s="52" t="s">
        <v>179</v>
      </c>
      <c r="B26" s="109">
        <v>14</v>
      </c>
      <c r="C26" s="109">
        <v>196</v>
      </c>
      <c r="D26" s="20">
        <v>300</v>
      </c>
      <c r="E26" s="20">
        <f>C26*D26</f>
        <v>58800</v>
      </c>
      <c r="F26" s="20">
        <f t="shared" si="0"/>
        <v>823200</v>
      </c>
      <c r="G26" s="52" t="s">
        <v>188</v>
      </c>
    </row>
    <row r="27" spans="1:7" x14ac:dyDescent="0.25">
      <c r="A27" s="52" t="s">
        <v>181</v>
      </c>
      <c r="B27" s="109">
        <v>15</v>
      </c>
      <c r="C27" s="109">
        <v>100</v>
      </c>
      <c r="D27" s="20">
        <v>150</v>
      </c>
      <c r="E27" s="20">
        <f>C27*D27</f>
        <v>15000</v>
      </c>
      <c r="F27" s="20">
        <f t="shared" si="0"/>
        <v>225000</v>
      </c>
      <c r="G27" s="52" t="s">
        <v>189</v>
      </c>
    </row>
    <row r="28" spans="1:7" x14ac:dyDescent="0.25">
      <c r="A28" s="52" t="s">
        <v>180</v>
      </c>
      <c r="B28" s="109">
        <v>15</v>
      </c>
      <c r="C28" s="109">
        <v>9</v>
      </c>
      <c r="D28" s="20">
        <v>120</v>
      </c>
      <c r="E28" s="20">
        <f>C28*D28</f>
        <v>1080</v>
      </c>
      <c r="F28" s="20">
        <f t="shared" si="0"/>
        <v>16200</v>
      </c>
      <c r="G28" s="52" t="s">
        <v>189</v>
      </c>
    </row>
    <row r="29" spans="1:7" x14ac:dyDescent="0.25">
      <c r="A29" s="52" t="s">
        <v>182</v>
      </c>
      <c r="B29" s="109">
        <v>2</v>
      </c>
      <c r="C29" s="109">
        <v>1</v>
      </c>
      <c r="D29" s="20">
        <v>10000</v>
      </c>
      <c r="E29" s="20">
        <v>10000</v>
      </c>
      <c r="F29" s="20">
        <f t="shared" si="0"/>
        <v>20000</v>
      </c>
      <c r="G29" s="52"/>
    </row>
    <row r="30" spans="1:7" x14ac:dyDescent="0.25">
      <c r="A30" s="52" t="s">
        <v>185</v>
      </c>
      <c r="B30" s="109">
        <v>9</v>
      </c>
      <c r="C30" s="109">
        <v>20</v>
      </c>
      <c r="D30" s="20">
        <v>170</v>
      </c>
      <c r="E30" s="21">
        <f t="shared" ref="E30:E31" si="1">D30*C30</f>
        <v>3400</v>
      </c>
      <c r="F30" s="21">
        <f t="shared" si="0"/>
        <v>30600</v>
      </c>
      <c r="G30" s="52" t="s">
        <v>189</v>
      </c>
    </row>
    <row r="31" spans="1:7" x14ac:dyDescent="0.25">
      <c r="A31" s="52" t="s">
        <v>186</v>
      </c>
      <c r="B31" s="109">
        <v>9</v>
      </c>
      <c r="C31" s="109">
        <v>34</v>
      </c>
      <c r="D31" s="20">
        <v>180</v>
      </c>
      <c r="E31" s="21">
        <f t="shared" si="1"/>
        <v>6120</v>
      </c>
      <c r="F31" s="21">
        <f t="shared" si="0"/>
        <v>55080</v>
      </c>
      <c r="G31" s="52" t="s">
        <v>189</v>
      </c>
    </row>
    <row r="32" spans="1:7" ht="18.75" x14ac:dyDescent="0.4">
      <c r="A32" s="191"/>
      <c r="B32" s="191"/>
      <c r="C32" s="154" t="s">
        <v>21</v>
      </c>
      <c r="D32" s="154"/>
      <c r="E32" s="24">
        <f>SUM(F25:F29)</f>
        <v>1121000</v>
      </c>
      <c r="F32" s="18"/>
      <c r="G32" s="52"/>
    </row>
    <row r="33" spans="1:7" ht="18.75" x14ac:dyDescent="0.4">
      <c r="A33" s="191"/>
      <c r="B33" s="191"/>
      <c r="C33" s="192" t="s">
        <v>183</v>
      </c>
      <c r="D33" s="192"/>
      <c r="E33" s="24">
        <v>450000</v>
      </c>
      <c r="F33" s="18"/>
      <c r="G33" s="52"/>
    </row>
    <row r="34" spans="1:7" ht="22.5" x14ac:dyDescent="0.45">
      <c r="A34" s="191"/>
      <c r="B34" s="191"/>
      <c r="C34" s="154" t="s">
        <v>67</v>
      </c>
      <c r="D34" s="154"/>
      <c r="E34" s="53">
        <f>E32+E33</f>
        <v>1571000</v>
      </c>
      <c r="F34" s="18"/>
      <c r="G34" s="52"/>
    </row>
  </sheetData>
  <mergeCells count="15">
    <mergeCell ref="A18:G18"/>
    <mergeCell ref="A19:G19"/>
    <mergeCell ref="A20:G20"/>
    <mergeCell ref="A1:L1"/>
    <mergeCell ref="A2:L2"/>
    <mergeCell ref="A3:L3"/>
    <mergeCell ref="A4:A5"/>
    <mergeCell ref="A32:B34"/>
    <mergeCell ref="C32:D32"/>
    <mergeCell ref="C33:D33"/>
    <mergeCell ref="C34:D34"/>
    <mergeCell ref="G21:G22"/>
    <mergeCell ref="A21:A22"/>
    <mergeCell ref="B21:D21"/>
    <mergeCell ref="E21:F21"/>
  </mergeCells>
  <printOptions verticalCentered="1"/>
  <pageMargins left="0.70866141732283472" right="0.70866141732283472" top="0.74803149606299213" bottom="0.74803149606299213" header="0.31496062992125984" footer="0.31496062992125984"/>
  <pageSetup paperSize="345" scale="70" orientation="landscape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9BE9-96E8-49FA-BD54-D9D1791D4647}">
  <sheetPr>
    <pageSetUpPr fitToPage="1"/>
  </sheetPr>
  <dimension ref="A1:G50"/>
  <sheetViews>
    <sheetView tabSelected="1" topLeftCell="A21" workbookViewId="0">
      <selection activeCell="C24" sqref="C24"/>
    </sheetView>
  </sheetViews>
  <sheetFormatPr baseColWidth="10" defaultRowHeight="15" x14ac:dyDescent="0.25"/>
  <cols>
    <col min="1" max="1" width="31.5703125" bestFit="1" customWidth="1"/>
    <col min="2" max="2" width="14.140625" customWidth="1"/>
    <col min="5" max="5" width="22.5703125" customWidth="1"/>
    <col min="6" max="6" width="17" customWidth="1"/>
  </cols>
  <sheetData>
    <row r="1" spans="1:7" ht="18.75" x14ac:dyDescent="0.3">
      <c r="A1" s="162" t="s">
        <v>156</v>
      </c>
      <c r="B1" s="140"/>
      <c r="C1" s="140"/>
      <c r="D1" s="140"/>
      <c r="E1" s="140"/>
      <c r="F1" s="140"/>
      <c r="G1" s="171"/>
    </row>
    <row r="2" spans="1:7" ht="18.75" x14ac:dyDescent="0.3">
      <c r="A2" s="162" t="s">
        <v>157</v>
      </c>
      <c r="B2" s="140"/>
      <c r="C2" s="140"/>
      <c r="D2" s="140"/>
      <c r="E2" s="140"/>
      <c r="F2" s="140"/>
      <c r="G2" s="171"/>
    </row>
    <row r="3" spans="1:7" ht="18.75" x14ac:dyDescent="0.3">
      <c r="A3" s="162" t="s">
        <v>27</v>
      </c>
      <c r="B3" s="140"/>
      <c r="C3" s="140"/>
      <c r="D3" s="140"/>
      <c r="E3" s="140"/>
      <c r="F3" s="140"/>
      <c r="G3" s="171"/>
    </row>
    <row r="4" spans="1:7" x14ac:dyDescent="0.25">
      <c r="A4" s="172" t="s">
        <v>3</v>
      </c>
      <c r="B4" s="7" t="s">
        <v>4</v>
      </c>
      <c r="C4" s="41">
        <v>11450</v>
      </c>
      <c r="D4" s="26">
        <v>11451</v>
      </c>
      <c r="E4" s="26">
        <v>11467</v>
      </c>
      <c r="F4" s="26">
        <v>11492</v>
      </c>
      <c r="G4" s="7" t="s">
        <v>42</v>
      </c>
    </row>
    <row r="5" spans="1:7" x14ac:dyDescent="0.25">
      <c r="A5" s="173"/>
      <c r="B5" s="6">
        <v>45736</v>
      </c>
      <c r="C5" s="5">
        <v>45749</v>
      </c>
      <c r="D5" s="5">
        <v>45749</v>
      </c>
      <c r="E5" s="5">
        <v>45756</v>
      </c>
      <c r="F5" s="5">
        <v>45777</v>
      </c>
      <c r="G5" s="6">
        <v>45777</v>
      </c>
    </row>
    <row r="6" spans="1:7" x14ac:dyDescent="0.25">
      <c r="A6" s="27" t="s">
        <v>158</v>
      </c>
      <c r="B6" s="28">
        <v>14</v>
      </c>
      <c r="C6" s="23">
        <v>-5</v>
      </c>
      <c r="D6" s="23"/>
      <c r="E6" s="23">
        <v>-7</v>
      </c>
      <c r="F6" s="23"/>
      <c r="G6" s="9">
        <f>SUM(B6:F6)</f>
        <v>2</v>
      </c>
    </row>
    <row r="7" spans="1:7" x14ac:dyDescent="0.25">
      <c r="A7" s="27" t="s">
        <v>159</v>
      </c>
      <c r="B7" s="28">
        <v>7</v>
      </c>
      <c r="C7" s="23"/>
      <c r="D7" s="23">
        <v>-7</v>
      </c>
      <c r="E7" s="23"/>
      <c r="F7" s="23"/>
      <c r="G7" s="9">
        <f>SUM(B7:F7)</f>
        <v>0</v>
      </c>
    </row>
    <row r="8" spans="1:7" x14ac:dyDescent="0.25">
      <c r="A8" s="27" t="s">
        <v>160</v>
      </c>
      <c r="B8" s="28">
        <v>48</v>
      </c>
      <c r="C8" s="23"/>
      <c r="D8" s="23"/>
      <c r="E8" s="23"/>
      <c r="F8" s="23">
        <v>-48</v>
      </c>
      <c r="G8" s="9">
        <f>SUM(B8:F8)</f>
        <v>0</v>
      </c>
    </row>
    <row r="9" spans="1:7" x14ac:dyDescent="0.25">
      <c r="A9" s="29" t="s">
        <v>31</v>
      </c>
      <c r="B9" s="100"/>
      <c r="C9" s="11">
        <v>0.33333333333333331</v>
      </c>
      <c r="D9" s="30">
        <v>7.6388888888888895E-2</v>
      </c>
      <c r="E9" s="30">
        <v>0.47222222222222221</v>
      </c>
      <c r="F9" s="30">
        <v>9.0277777777777776E-2</v>
      </c>
      <c r="G9" s="41"/>
    </row>
    <row r="10" spans="1:7" x14ac:dyDescent="0.25">
      <c r="A10" s="29" t="s">
        <v>32</v>
      </c>
      <c r="B10" s="101"/>
      <c r="C10" s="31"/>
      <c r="D10" s="30" t="s">
        <v>161</v>
      </c>
      <c r="E10" s="30" t="s">
        <v>161</v>
      </c>
      <c r="F10" s="30" t="s">
        <v>161</v>
      </c>
      <c r="G10" s="44"/>
    </row>
    <row r="11" spans="1:7" x14ac:dyDescent="0.25">
      <c r="D11" t="s">
        <v>162</v>
      </c>
    </row>
    <row r="12" spans="1:7" ht="15.75" thickBot="1" x14ac:dyDescent="0.3"/>
    <row r="13" spans="1:7" x14ac:dyDescent="0.25">
      <c r="A13" s="196" t="s">
        <v>119</v>
      </c>
      <c r="B13" s="197"/>
      <c r="C13" s="197"/>
      <c r="D13" s="197"/>
      <c r="E13" s="197"/>
      <c r="F13" s="198"/>
    </row>
    <row r="14" spans="1:7" ht="18" x14ac:dyDescent="0.25">
      <c r="A14" s="194" t="s">
        <v>165</v>
      </c>
      <c r="B14" s="193"/>
      <c r="C14" s="193"/>
      <c r="D14" s="193"/>
      <c r="E14" s="193"/>
      <c r="F14" s="195"/>
    </row>
    <row r="15" spans="1:7" ht="18" x14ac:dyDescent="0.25">
      <c r="A15" s="199" t="s">
        <v>233</v>
      </c>
      <c r="B15" s="200"/>
      <c r="C15" s="200"/>
      <c r="D15" s="200"/>
      <c r="E15" s="200"/>
      <c r="F15" s="201"/>
    </row>
    <row r="16" spans="1:7" x14ac:dyDescent="0.25">
      <c r="A16" s="147" t="s">
        <v>3</v>
      </c>
      <c r="B16" s="148" t="s">
        <v>11</v>
      </c>
      <c r="C16" s="148"/>
      <c r="D16" s="148"/>
      <c r="E16" s="148" t="s">
        <v>12</v>
      </c>
      <c r="F16" s="164"/>
    </row>
    <row r="17" spans="1:7" x14ac:dyDescent="0.25">
      <c r="A17" s="147"/>
      <c r="B17" s="16" t="s">
        <v>14</v>
      </c>
      <c r="C17" s="16" t="s">
        <v>15</v>
      </c>
      <c r="D17" s="16" t="s">
        <v>16</v>
      </c>
      <c r="E17" s="16" t="s">
        <v>17</v>
      </c>
      <c r="F17" s="32" t="s">
        <v>18</v>
      </c>
    </row>
    <row r="18" spans="1:7" x14ac:dyDescent="0.25">
      <c r="A18" s="17" t="s">
        <v>166</v>
      </c>
      <c r="B18" s="18">
        <v>12</v>
      </c>
      <c r="C18" s="18">
        <v>14</v>
      </c>
      <c r="D18" s="20">
        <v>300</v>
      </c>
      <c r="E18" s="21">
        <f t="shared" ref="E18" si="0">C18*D18</f>
        <v>4200</v>
      </c>
      <c r="F18" s="48">
        <f t="shared" ref="F18" si="1">B18*E18</f>
        <v>50400</v>
      </c>
      <c r="G18" t="s">
        <v>231</v>
      </c>
    </row>
    <row r="19" spans="1:7" x14ac:dyDescent="0.25">
      <c r="A19" s="17" t="s">
        <v>166</v>
      </c>
      <c r="B19" s="18">
        <v>9</v>
      </c>
      <c r="C19" s="18">
        <v>9</v>
      </c>
      <c r="D19" s="20">
        <v>300</v>
      </c>
      <c r="E19" s="21">
        <f t="shared" ref="E19" si="2">C19*D19</f>
        <v>2700</v>
      </c>
      <c r="F19" s="48">
        <f t="shared" ref="F19" si="3">B19*E19</f>
        <v>24300</v>
      </c>
      <c r="G19" t="s">
        <v>230</v>
      </c>
    </row>
    <row r="20" spans="1:7" x14ac:dyDescent="0.25">
      <c r="A20" s="17" t="s">
        <v>163</v>
      </c>
      <c r="B20" s="18">
        <v>12</v>
      </c>
      <c r="C20" s="18">
        <v>7</v>
      </c>
      <c r="D20" s="20">
        <v>200</v>
      </c>
      <c r="E20" s="21">
        <f t="shared" ref="E20:E21" si="4">C20*D20</f>
        <v>1400</v>
      </c>
      <c r="F20" s="48">
        <f t="shared" ref="F20:F21" si="5">B20*E20</f>
        <v>16800</v>
      </c>
      <c r="G20" t="s">
        <v>231</v>
      </c>
    </row>
    <row r="21" spans="1:7" x14ac:dyDescent="0.25">
      <c r="A21" s="17" t="s">
        <v>160</v>
      </c>
      <c r="B21" s="18">
        <v>40</v>
      </c>
      <c r="C21" s="18">
        <v>48</v>
      </c>
      <c r="D21" s="20">
        <v>235</v>
      </c>
      <c r="E21" s="21">
        <f t="shared" si="4"/>
        <v>11280</v>
      </c>
      <c r="F21" s="48">
        <f t="shared" si="5"/>
        <v>451200</v>
      </c>
      <c r="G21" t="s">
        <v>232</v>
      </c>
    </row>
    <row r="22" spans="1:7" ht="18.75" x14ac:dyDescent="0.4">
      <c r="A22" s="211" t="s">
        <v>232</v>
      </c>
      <c r="B22" s="212"/>
      <c r="C22" s="202" t="s">
        <v>164</v>
      </c>
      <c r="D22" s="202"/>
      <c r="E22" s="24">
        <f>SUM(E18:E21)</f>
        <v>19580</v>
      </c>
      <c r="F22" s="149"/>
    </row>
    <row r="23" spans="1:7" ht="18.75" x14ac:dyDescent="0.4">
      <c r="A23" s="211"/>
      <c r="B23" s="212"/>
      <c r="C23" s="154"/>
      <c r="D23" s="154"/>
      <c r="E23" s="24">
        <f>SUM(F18:F21)</f>
        <v>542700</v>
      </c>
      <c r="F23" s="149"/>
    </row>
    <row r="24" spans="1:7" ht="27" x14ac:dyDescent="0.4">
      <c r="A24" s="213"/>
      <c r="B24" s="213"/>
      <c r="C24" s="214"/>
      <c r="D24" s="214"/>
      <c r="E24" s="215"/>
      <c r="F24" s="216"/>
    </row>
    <row r="25" spans="1:7" ht="27" x14ac:dyDescent="0.4">
      <c r="A25" s="213"/>
      <c r="B25" s="213"/>
      <c r="C25" s="214"/>
      <c r="D25" s="214"/>
      <c r="E25" s="215"/>
      <c r="F25" s="216"/>
    </row>
    <row r="26" spans="1:7" ht="27" x14ac:dyDescent="0.4">
      <c r="A26" s="213"/>
      <c r="B26" s="213"/>
      <c r="C26" s="214"/>
      <c r="D26" s="214"/>
      <c r="E26" s="215"/>
      <c r="F26" s="216"/>
    </row>
    <row r="27" spans="1:7" x14ac:dyDescent="0.25">
      <c r="A27" s="217"/>
      <c r="B27" s="217"/>
      <c r="C27" s="217"/>
      <c r="D27" s="217"/>
      <c r="E27" s="217"/>
      <c r="F27" s="217"/>
    </row>
    <row r="28" spans="1:7" ht="18.75" x14ac:dyDescent="0.3">
      <c r="A28" s="162" t="s">
        <v>156</v>
      </c>
      <c r="B28" s="140"/>
      <c r="C28" s="140"/>
      <c r="D28" s="140"/>
      <c r="E28" s="140"/>
      <c r="F28" s="140"/>
      <c r="G28" s="171"/>
    </row>
    <row r="29" spans="1:7" ht="18.75" x14ac:dyDescent="0.3">
      <c r="A29" s="162" t="s">
        <v>157</v>
      </c>
      <c r="B29" s="140"/>
      <c r="C29" s="140"/>
      <c r="D29" s="140"/>
      <c r="E29" s="140"/>
      <c r="F29" s="140"/>
      <c r="G29" s="171"/>
    </row>
    <row r="30" spans="1:7" ht="18.75" x14ac:dyDescent="0.3">
      <c r="A30" s="162" t="s">
        <v>27</v>
      </c>
      <c r="B30" s="140"/>
      <c r="C30" s="140"/>
      <c r="D30" s="140"/>
      <c r="E30" s="140"/>
      <c r="F30" s="140"/>
      <c r="G30" s="171"/>
    </row>
    <row r="31" spans="1:7" x14ac:dyDescent="0.25">
      <c r="A31" s="172" t="s">
        <v>3</v>
      </c>
      <c r="B31" s="7" t="s">
        <v>4</v>
      </c>
      <c r="C31" s="41">
        <v>11450</v>
      </c>
      <c r="D31" s="26">
        <v>11451</v>
      </c>
      <c r="E31" s="26">
        <v>11467</v>
      </c>
      <c r="F31" s="26">
        <v>11492</v>
      </c>
      <c r="G31" s="7" t="s">
        <v>42</v>
      </c>
    </row>
    <row r="32" spans="1:7" x14ac:dyDescent="0.25">
      <c r="A32" s="173"/>
      <c r="B32" s="6">
        <v>45736</v>
      </c>
      <c r="C32" s="5">
        <v>45749</v>
      </c>
      <c r="D32" s="5">
        <v>45749</v>
      </c>
      <c r="E32" s="5">
        <v>45756</v>
      </c>
      <c r="F32" s="5">
        <v>45777</v>
      </c>
      <c r="G32" s="6">
        <v>45777</v>
      </c>
    </row>
    <row r="33" spans="1:7" x14ac:dyDescent="0.25">
      <c r="A33" s="27" t="s">
        <v>158</v>
      </c>
      <c r="B33" s="28">
        <v>14</v>
      </c>
      <c r="C33" s="23">
        <v>-5</v>
      </c>
      <c r="D33" s="23"/>
      <c r="E33" s="23">
        <v>-7</v>
      </c>
      <c r="F33" s="23"/>
      <c r="G33" s="9">
        <f>SUM(B33:F33)</f>
        <v>2</v>
      </c>
    </row>
    <row r="34" spans="1:7" x14ac:dyDescent="0.25">
      <c r="A34" s="27" t="s">
        <v>159</v>
      </c>
      <c r="B34" s="28">
        <v>7</v>
      </c>
      <c r="C34" s="23"/>
      <c r="D34" s="23">
        <v>-7</v>
      </c>
      <c r="E34" s="23"/>
      <c r="F34" s="23"/>
      <c r="G34" s="9">
        <f>SUM(B34:F34)</f>
        <v>0</v>
      </c>
    </row>
    <row r="35" spans="1:7" x14ac:dyDescent="0.25">
      <c r="A35" s="27" t="s">
        <v>160</v>
      </c>
      <c r="B35" s="28">
        <v>48</v>
      </c>
      <c r="C35" s="23"/>
      <c r="D35" s="23"/>
      <c r="E35" s="23"/>
      <c r="F35" s="23">
        <v>-48</v>
      </c>
      <c r="G35" s="9">
        <f>SUM(B35:F35)</f>
        <v>0</v>
      </c>
    </row>
    <row r="36" spans="1:7" x14ac:dyDescent="0.25">
      <c r="A36" s="29" t="s">
        <v>31</v>
      </c>
      <c r="B36" s="100"/>
      <c r="C36" s="11">
        <v>0.33333333333333331</v>
      </c>
      <c r="D36" s="30">
        <v>7.6388888888888895E-2</v>
      </c>
      <c r="E36" s="30">
        <v>0.47222222222222221</v>
      </c>
      <c r="F36" s="30">
        <v>9.0277777777777776E-2</v>
      </c>
      <c r="G36" s="41"/>
    </row>
    <row r="37" spans="1:7" x14ac:dyDescent="0.25">
      <c r="A37" s="29" t="s">
        <v>32</v>
      </c>
      <c r="B37" s="101"/>
      <c r="C37" s="31"/>
      <c r="D37" s="30" t="s">
        <v>161</v>
      </c>
      <c r="E37" s="30" t="s">
        <v>161</v>
      </c>
      <c r="F37" s="30" t="s">
        <v>161</v>
      </c>
      <c r="G37" s="44"/>
    </row>
    <row r="38" spans="1:7" x14ac:dyDescent="0.25">
      <c r="D38" t="s">
        <v>162</v>
      </c>
    </row>
    <row r="39" spans="1:7" ht="15.75" thickBot="1" x14ac:dyDescent="0.3"/>
    <row r="40" spans="1:7" x14ac:dyDescent="0.25">
      <c r="A40" s="196" t="s">
        <v>119</v>
      </c>
      <c r="B40" s="197"/>
      <c r="C40" s="197"/>
      <c r="D40" s="197"/>
      <c r="E40" s="197"/>
      <c r="F40" s="198"/>
    </row>
    <row r="41" spans="1:7" ht="18" x14ac:dyDescent="0.25">
      <c r="A41" s="194" t="s">
        <v>165</v>
      </c>
      <c r="B41" s="193"/>
      <c r="C41" s="193"/>
      <c r="D41" s="193"/>
      <c r="E41" s="193"/>
      <c r="F41" s="195"/>
    </row>
    <row r="42" spans="1:7" ht="18" x14ac:dyDescent="0.25">
      <c r="A42" s="199" t="s">
        <v>233</v>
      </c>
      <c r="B42" s="200"/>
      <c r="C42" s="200"/>
      <c r="D42" s="200"/>
      <c r="E42" s="200"/>
      <c r="F42" s="201"/>
    </row>
    <row r="43" spans="1:7" x14ac:dyDescent="0.25">
      <c r="A43" s="147" t="s">
        <v>3</v>
      </c>
      <c r="B43" s="148" t="s">
        <v>11</v>
      </c>
      <c r="C43" s="148"/>
      <c r="D43" s="148"/>
      <c r="E43" s="148" t="s">
        <v>12</v>
      </c>
      <c r="F43" s="164"/>
    </row>
    <row r="44" spans="1:7" x14ac:dyDescent="0.25">
      <c r="A44" s="147"/>
      <c r="B44" s="16" t="s">
        <v>14</v>
      </c>
      <c r="C44" s="16" t="s">
        <v>15</v>
      </c>
      <c r="D44" s="16" t="s">
        <v>16</v>
      </c>
      <c r="E44" s="16" t="s">
        <v>17</v>
      </c>
      <c r="F44" s="32" t="s">
        <v>18</v>
      </c>
    </row>
    <row r="45" spans="1:7" x14ac:dyDescent="0.25">
      <c r="A45" s="17" t="s">
        <v>166</v>
      </c>
      <c r="B45" s="18">
        <v>12</v>
      </c>
      <c r="C45" s="18">
        <v>14</v>
      </c>
      <c r="D45" s="20">
        <v>300</v>
      </c>
      <c r="E45" s="21">
        <f t="shared" ref="E45:E48" si="6">C45*D45</f>
        <v>4200</v>
      </c>
      <c r="F45" s="48">
        <f t="shared" ref="F45:F48" si="7">B45*E45</f>
        <v>50400</v>
      </c>
      <c r="G45" t="s">
        <v>231</v>
      </c>
    </row>
    <row r="46" spans="1:7" x14ac:dyDescent="0.25">
      <c r="A46" s="17" t="s">
        <v>166</v>
      </c>
      <c r="B46" s="18">
        <v>9</v>
      </c>
      <c r="C46" s="18">
        <v>9</v>
      </c>
      <c r="D46" s="20">
        <v>300</v>
      </c>
      <c r="E46" s="21">
        <f t="shared" si="6"/>
        <v>2700</v>
      </c>
      <c r="F46" s="48">
        <f t="shared" si="7"/>
        <v>24300</v>
      </c>
      <c r="G46" t="s">
        <v>230</v>
      </c>
    </row>
    <row r="47" spans="1:7" x14ac:dyDescent="0.25">
      <c r="A47" s="17" t="s">
        <v>163</v>
      </c>
      <c r="B47" s="18">
        <v>12</v>
      </c>
      <c r="C47" s="18">
        <v>7</v>
      </c>
      <c r="D47" s="20">
        <v>200</v>
      </c>
      <c r="E47" s="21">
        <f t="shared" si="6"/>
        <v>1400</v>
      </c>
      <c r="F47" s="48">
        <f t="shared" si="7"/>
        <v>16800</v>
      </c>
      <c r="G47" t="s">
        <v>231</v>
      </c>
    </row>
    <row r="48" spans="1:7" x14ac:dyDescent="0.25">
      <c r="A48" s="17" t="s">
        <v>160</v>
      </c>
      <c r="B48" s="18">
        <v>40</v>
      </c>
      <c r="C48" s="18">
        <v>48</v>
      </c>
      <c r="D48" s="20">
        <v>235</v>
      </c>
      <c r="E48" s="21">
        <f t="shared" si="6"/>
        <v>11280</v>
      </c>
      <c r="F48" s="48">
        <f t="shared" si="7"/>
        <v>451200</v>
      </c>
      <c r="G48" t="s">
        <v>232</v>
      </c>
    </row>
    <row r="49" spans="1:6" ht="18.75" x14ac:dyDescent="0.4">
      <c r="A49" s="211" t="s">
        <v>232</v>
      </c>
      <c r="B49" s="212"/>
      <c r="C49" s="202" t="s">
        <v>164</v>
      </c>
      <c r="D49" s="202"/>
      <c r="E49" s="24">
        <f>SUM(E45:E48)</f>
        <v>19580</v>
      </c>
      <c r="F49" s="149"/>
    </row>
    <row r="50" spans="1:6" ht="18.75" x14ac:dyDescent="0.4">
      <c r="A50" s="211"/>
      <c r="B50" s="212"/>
      <c r="C50" s="154"/>
      <c r="D50" s="154"/>
      <c r="E50" s="24">
        <f>SUM(F45:F48)</f>
        <v>542700</v>
      </c>
      <c r="F50" s="149"/>
    </row>
  </sheetData>
  <mergeCells count="28">
    <mergeCell ref="A49:B50"/>
    <mergeCell ref="C49:D49"/>
    <mergeCell ref="F49:F50"/>
    <mergeCell ref="C50:D50"/>
    <mergeCell ref="A41:F41"/>
    <mergeCell ref="A42:F42"/>
    <mergeCell ref="A43:A44"/>
    <mergeCell ref="B43:D43"/>
    <mergeCell ref="E43:F43"/>
    <mergeCell ref="A28:G28"/>
    <mergeCell ref="A29:G29"/>
    <mergeCell ref="A30:G30"/>
    <mergeCell ref="A31:A32"/>
    <mergeCell ref="A40:F40"/>
    <mergeCell ref="A15:F15"/>
    <mergeCell ref="A16:A17"/>
    <mergeCell ref="B16:D16"/>
    <mergeCell ref="E16:F16"/>
    <mergeCell ref="A22:B23"/>
    <mergeCell ref="C22:D22"/>
    <mergeCell ref="F22:F23"/>
    <mergeCell ref="C23:D23"/>
    <mergeCell ref="A14:F14"/>
    <mergeCell ref="A1:G1"/>
    <mergeCell ref="A2:G2"/>
    <mergeCell ref="A3:G3"/>
    <mergeCell ref="A4:A5"/>
    <mergeCell ref="A13:F13"/>
  </mergeCells>
  <pageMargins left="0.7" right="0.7" top="0.75" bottom="0.75" header="0.3" footer="0.3"/>
  <pageSetup paperSize="9" scale="67"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2E678-279B-4607-90EF-C2B9DC0291E7}">
  <dimension ref="A1:F37"/>
  <sheetViews>
    <sheetView topLeftCell="A24" workbookViewId="0">
      <selection activeCell="A36" sqref="A36"/>
    </sheetView>
  </sheetViews>
  <sheetFormatPr baseColWidth="10" defaultRowHeight="15" x14ac:dyDescent="0.25"/>
  <cols>
    <col min="1" max="1" width="21.85546875" bestFit="1" customWidth="1"/>
    <col min="5" max="5" width="14.42578125" bestFit="1" customWidth="1"/>
    <col min="6" max="6" width="16.85546875" customWidth="1"/>
  </cols>
  <sheetData>
    <row r="1" spans="1:6" ht="18.75" x14ac:dyDescent="0.3">
      <c r="A1" s="162" t="s">
        <v>113</v>
      </c>
      <c r="B1" s="140"/>
      <c r="C1" s="140"/>
      <c r="D1" s="140"/>
      <c r="E1" s="140"/>
      <c r="F1" s="171"/>
    </row>
    <row r="2" spans="1:6" ht="18.75" x14ac:dyDescent="0.3">
      <c r="A2" s="162" t="s">
        <v>114</v>
      </c>
      <c r="B2" s="140"/>
      <c r="C2" s="140"/>
      <c r="D2" s="140"/>
      <c r="E2" s="140"/>
      <c r="F2" s="171"/>
    </row>
    <row r="3" spans="1:6" ht="18.75" x14ac:dyDescent="0.3">
      <c r="A3" s="162" t="s">
        <v>126</v>
      </c>
      <c r="B3" s="140"/>
      <c r="C3" s="140"/>
      <c r="D3" s="140"/>
      <c r="E3" s="140"/>
      <c r="F3" s="171"/>
    </row>
    <row r="4" spans="1:6" x14ac:dyDescent="0.25">
      <c r="A4" s="172" t="s">
        <v>3</v>
      </c>
      <c r="B4" s="26">
        <v>12682</v>
      </c>
      <c r="C4" s="41">
        <v>11490</v>
      </c>
      <c r="D4" s="26"/>
      <c r="E4" s="26"/>
      <c r="F4" s="7" t="s">
        <v>42</v>
      </c>
    </row>
    <row r="5" spans="1:6" x14ac:dyDescent="0.25">
      <c r="A5" s="173"/>
      <c r="B5" s="5">
        <v>45771</v>
      </c>
      <c r="C5" s="5">
        <v>45775</v>
      </c>
      <c r="D5" s="5"/>
      <c r="E5" s="5"/>
      <c r="F5" s="6">
        <v>45777</v>
      </c>
    </row>
    <row r="6" spans="1:6" x14ac:dyDescent="0.25">
      <c r="A6" s="27" t="s">
        <v>115</v>
      </c>
      <c r="B6" s="28">
        <v>12</v>
      </c>
      <c r="C6" s="23">
        <v>-12</v>
      </c>
      <c r="D6" s="23"/>
      <c r="E6" s="23"/>
      <c r="F6" s="9">
        <f>SUM(B6:E6)</f>
        <v>0</v>
      </c>
    </row>
    <row r="7" spans="1:6" x14ac:dyDescent="0.25">
      <c r="A7" s="27" t="s">
        <v>95</v>
      </c>
      <c r="B7" s="28">
        <v>14</v>
      </c>
      <c r="C7" s="23">
        <v>-14</v>
      </c>
      <c r="D7" s="23"/>
      <c r="E7" s="23"/>
      <c r="F7" s="9">
        <f>SUM(B7:E7)</f>
        <v>0</v>
      </c>
    </row>
    <row r="8" spans="1:6" x14ac:dyDescent="0.25">
      <c r="A8" s="27" t="s">
        <v>116</v>
      </c>
      <c r="B8" s="28">
        <v>6</v>
      </c>
      <c r="C8" s="23">
        <v>-6</v>
      </c>
      <c r="D8" s="23"/>
      <c r="E8" s="23"/>
      <c r="F8" s="9">
        <f>SUM(B8:E8)</f>
        <v>0</v>
      </c>
    </row>
    <row r="9" spans="1:6" x14ac:dyDescent="0.25">
      <c r="A9" s="27" t="s">
        <v>96</v>
      </c>
      <c r="B9" s="28">
        <v>4</v>
      </c>
      <c r="C9" s="23">
        <v>-4</v>
      </c>
      <c r="D9" s="23"/>
      <c r="E9" s="23"/>
      <c r="F9" s="9">
        <f>SUM(B9:E9)</f>
        <v>0</v>
      </c>
    </row>
    <row r="10" spans="1:6" x14ac:dyDescent="0.25">
      <c r="A10" s="27" t="s">
        <v>98</v>
      </c>
      <c r="B10" s="28">
        <v>24</v>
      </c>
      <c r="C10" s="23">
        <v>-24</v>
      </c>
      <c r="D10" s="23"/>
      <c r="E10" s="23"/>
      <c r="F10" s="9">
        <f>SUM(B10:E10)</f>
        <v>0</v>
      </c>
    </row>
    <row r="11" spans="1:6" x14ac:dyDescent="0.25">
      <c r="A11" s="27" t="s">
        <v>99</v>
      </c>
      <c r="B11" s="28">
        <v>12</v>
      </c>
      <c r="C11" s="23">
        <v>-12</v>
      </c>
      <c r="D11" s="23"/>
      <c r="E11" s="23"/>
      <c r="F11" s="9">
        <f t="shared" ref="F11:F16" si="0">SUM(B11:E11)</f>
        <v>0</v>
      </c>
    </row>
    <row r="12" spans="1:6" x14ac:dyDescent="0.25">
      <c r="A12" s="27" t="s">
        <v>117</v>
      </c>
      <c r="B12" s="28">
        <v>400</v>
      </c>
      <c r="C12" s="23">
        <v>-400</v>
      </c>
      <c r="D12" s="23"/>
      <c r="E12" s="23"/>
      <c r="F12" s="9">
        <f t="shared" si="0"/>
        <v>0</v>
      </c>
    </row>
    <row r="13" spans="1:6" x14ac:dyDescent="0.25">
      <c r="A13" s="27" t="s">
        <v>93</v>
      </c>
      <c r="B13" s="28">
        <v>10</v>
      </c>
      <c r="C13" s="23">
        <v>-10</v>
      </c>
      <c r="D13" s="23"/>
      <c r="E13" s="23"/>
      <c r="F13" s="9">
        <f t="shared" si="0"/>
        <v>0</v>
      </c>
    </row>
    <row r="14" spans="1:6" x14ac:dyDescent="0.25">
      <c r="A14" s="27" t="s">
        <v>118</v>
      </c>
      <c r="B14" s="28">
        <v>2</v>
      </c>
      <c r="C14" s="23">
        <v>-2</v>
      </c>
      <c r="D14" s="23"/>
      <c r="E14" s="23"/>
      <c r="F14" s="9">
        <f t="shared" si="0"/>
        <v>0</v>
      </c>
    </row>
    <row r="15" spans="1:6" x14ac:dyDescent="0.25">
      <c r="A15" s="29" t="s">
        <v>31</v>
      </c>
      <c r="B15" s="12">
        <v>0.33333333333333331</v>
      </c>
      <c r="C15" s="43">
        <v>0.41666666666666669</v>
      </c>
      <c r="D15" s="30"/>
      <c r="E15" s="30"/>
      <c r="F15" s="41"/>
    </row>
    <row r="16" spans="1:6" x14ac:dyDescent="0.25">
      <c r="A16" s="29" t="s">
        <v>32</v>
      </c>
      <c r="B16" s="78">
        <v>30000</v>
      </c>
      <c r="C16" s="78">
        <v>30000</v>
      </c>
      <c r="D16" s="31"/>
      <c r="E16" s="31"/>
      <c r="F16" s="44">
        <f t="shared" si="0"/>
        <v>60000</v>
      </c>
    </row>
    <row r="19" spans="1:6" ht="18.75" x14ac:dyDescent="0.3">
      <c r="A19" s="145" t="s">
        <v>119</v>
      </c>
      <c r="B19" s="145"/>
      <c r="C19" s="145"/>
      <c r="D19" s="145"/>
      <c r="E19" s="145"/>
      <c r="F19" s="145"/>
    </row>
    <row r="20" spans="1:6" ht="18.75" x14ac:dyDescent="0.3">
      <c r="A20" s="145" t="s">
        <v>120</v>
      </c>
      <c r="B20" s="145"/>
      <c r="C20" s="145"/>
      <c r="D20" s="145"/>
      <c r="E20" s="145"/>
      <c r="F20" s="145"/>
    </row>
    <row r="21" spans="1:6" ht="18.75" x14ac:dyDescent="0.3">
      <c r="A21" s="145" t="s">
        <v>124</v>
      </c>
      <c r="B21" s="145"/>
      <c r="C21" s="145"/>
      <c r="D21" s="145"/>
      <c r="E21" s="145"/>
      <c r="F21" s="145"/>
    </row>
    <row r="22" spans="1:6" x14ac:dyDescent="0.25">
      <c r="A22" s="154" t="s">
        <v>3</v>
      </c>
      <c r="B22" s="148" t="s">
        <v>11</v>
      </c>
      <c r="C22" s="148"/>
      <c r="D22" s="148"/>
      <c r="E22" s="148" t="s">
        <v>12</v>
      </c>
      <c r="F22" s="148"/>
    </row>
    <row r="23" spans="1:6" x14ac:dyDescent="0.25">
      <c r="A23" s="154"/>
      <c r="B23" s="16" t="s">
        <v>14</v>
      </c>
      <c r="C23" s="16" t="s">
        <v>15</v>
      </c>
      <c r="D23" s="16" t="s">
        <v>16</v>
      </c>
      <c r="E23" s="16" t="s">
        <v>17</v>
      </c>
      <c r="F23" s="16" t="s">
        <v>18</v>
      </c>
    </row>
    <row r="24" spans="1:6" x14ac:dyDescent="0.25">
      <c r="A24" s="52" t="s">
        <v>115</v>
      </c>
      <c r="B24" s="18">
        <v>5</v>
      </c>
      <c r="C24" s="18">
        <v>12</v>
      </c>
      <c r="D24" s="20">
        <v>300</v>
      </c>
      <c r="E24" s="21">
        <f t="shared" ref="E24:E31" si="1">C24*D24</f>
        <v>3600</v>
      </c>
      <c r="F24" s="21">
        <f t="shared" ref="F24:F31" si="2">B24*E24</f>
        <v>18000</v>
      </c>
    </row>
    <row r="25" spans="1:6" x14ac:dyDescent="0.25">
      <c r="A25" s="52" t="s">
        <v>95</v>
      </c>
      <c r="B25" s="18">
        <v>5</v>
      </c>
      <c r="C25" s="18">
        <v>14</v>
      </c>
      <c r="D25" s="20">
        <v>280</v>
      </c>
      <c r="E25" s="21">
        <f t="shared" si="1"/>
        <v>3920</v>
      </c>
      <c r="F25" s="21">
        <f t="shared" si="2"/>
        <v>19600</v>
      </c>
    </row>
    <row r="26" spans="1:6" x14ac:dyDescent="0.25">
      <c r="A26" s="52" t="s">
        <v>116</v>
      </c>
      <c r="B26" s="18">
        <v>5</v>
      </c>
      <c r="C26" s="18">
        <v>6</v>
      </c>
      <c r="D26" s="20">
        <v>220</v>
      </c>
      <c r="E26" s="21">
        <f t="shared" si="1"/>
        <v>1320</v>
      </c>
      <c r="F26" s="21">
        <f t="shared" si="2"/>
        <v>6600</v>
      </c>
    </row>
    <row r="27" spans="1:6" x14ac:dyDescent="0.25">
      <c r="A27" s="52" t="s">
        <v>96</v>
      </c>
      <c r="B27" s="18">
        <v>5</v>
      </c>
      <c r="C27" s="18">
        <v>4</v>
      </c>
      <c r="D27" s="20">
        <v>210</v>
      </c>
      <c r="E27" s="21">
        <f t="shared" si="1"/>
        <v>840</v>
      </c>
      <c r="F27" s="21">
        <f t="shared" si="2"/>
        <v>4200</v>
      </c>
    </row>
    <row r="28" spans="1:6" x14ac:dyDescent="0.25">
      <c r="A28" s="52" t="s">
        <v>108</v>
      </c>
      <c r="B28" s="18">
        <v>5</v>
      </c>
      <c r="C28" s="18">
        <v>10</v>
      </c>
      <c r="D28" s="20">
        <v>150</v>
      </c>
      <c r="E28" s="21">
        <f t="shared" si="1"/>
        <v>1500</v>
      </c>
      <c r="F28" s="21">
        <f t="shared" si="2"/>
        <v>7500</v>
      </c>
    </row>
    <row r="29" spans="1:6" x14ac:dyDescent="0.25">
      <c r="A29" s="52" t="s">
        <v>58</v>
      </c>
      <c r="B29" s="18">
        <v>5</v>
      </c>
      <c r="C29" s="18">
        <v>400</v>
      </c>
      <c r="D29" s="20">
        <v>25</v>
      </c>
      <c r="E29" s="21">
        <f t="shared" si="1"/>
        <v>10000</v>
      </c>
      <c r="F29" s="21">
        <f t="shared" si="2"/>
        <v>50000</v>
      </c>
    </row>
    <row r="30" spans="1:6" x14ac:dyDescent="0.25">
      <c r="A30" s="52" t="s">
        <v>99</v>
      </c>
      <c r="B30" s="18">
        <v>5</v>
      </c>
      <c r="C30" s="18">
        <v>12</v>
      </c>
      <c r="D30" s="20">
        <v>70</v>
      </c>
      <c r="E30" s="21">
        <f t="shared" si="1"/>
        <v>840</v>
      </c>
      <c r="F30" s="21">
        <f t="shared" si="2"/>
        <v>4200</v>
      </c>
    </row>
    <row r="31" spans="1:6" x14ac:dyDescent="0.25">
      <c r="A31" s="52" t="s">
        <v>98</v>
      </c>
      <c r="B31" s="18">
        <v>5</v>
      </c>
      <c r="C31" s="18">
        <v>24</v>
      </c>
      <c r="D31" s="20">
        <v>120</v>
      </c>
      <c r="E31" s="21">
        <f t="shared" si="1"/>
        <v>2880</v>
      </c>
      <c r="F31" s="21">
        <f t="shared" si="2"/>
        <v>14400</v>
      </c>
    </row>
    <row r="32" spans="1:6" ht="18.75" x14ac:dyDescent="0.4">
      <c r="A32" s="151" t="s">
        <v>124</v>
      </c>
      <c r="B32" s="151"/>
      <c r="C32" s="154" t="s">
        <v>18</v>
      </c>
      <c r="D32" s="154"/>
      <c r="E32" s="24">
        <f>SUM(E24:E31)</f>
        <v>24900</v>
      </c>
      <c r="F32" s="18"/>
    </row>
    <row r="33" spans="1:6" ht="18.75" x14ac:dyDescent="0.4">
      <c r="A33" s="151"/>
      <c r="B33" s="151"/>
      <c r="C33" s="154" t="s">
        <v>121</v>
      </c>
      <c r="D33" s="154"/>
      <c r="E33" s="79">
        <f>E32*B31</f>
        <v>124500</v>
      </c>
      <c r="F33" s="18"/>
    </row>
    <row r="34" spans="1:6" ht="18.75" x14ac:dyDescent="0.4">
      <c r="A34" s="151"/>
      <c r="B34" s="151"/>
      <c r="C34" s="23" t="s">
        <v>122</v>
      </c>
      <c r="D34" s="23"/>
      <c r="E34" s="80">
        <v>60000</v>
      </c>
      <c r="F34" s="18"/>
    </row>
    <row r="35" spans="1:6" ht="18.75" x14ac:dyDescent="0.4">
      <c r="A35" s="151"/>
      <c r="B35" s="151"/>
      <c r="C35" s="167" t="s">
        <v>123</v>
      </c>
      <c r="D35" s="168"/>
      <c r="E35" s="81">
        <f>E33+E34</f>
        <v>184500</v>
      </c>
      <c r="F35" s="18"/>
    </row>
    <row r="36" spans="1:6" x14ac:dyDescent="0.25">
      <c r="A36" t="s">
        <v>76</v>
      </c>
      <c r="E36" s="47">
        <v>400000</v>
      </c>
    </row>
    <row r="37" spans="1:6" x14ac:dyDescent="0.25">
      <c r="A37" t="s">
        <v>125</v>
      </c>
      <c r="E37" s="82">
        <f>E36-E35</f>
        <v>215500</v>
      </c>
    </row>
  </sheetData>
  <mergeCells count="14">
    <mergeCell ref="A21:F21"/>
    <mergeCell ref="A22:A23"/>
    <mergeCell ref="B22:D22"/>
    <mergeCell ref="E22:F22"/>
    <mergeCell ref="A32:B35"/>
    <mergeCell ref="C32:D32"/>
    <mergeCell ref="C33:D33"/>
    <mergeCell ref="C35:D35"/>
    <mergeCell ref="A20:F20"/>
    <mergeCell ref="A1:F1"/>
    <mergeCell ref="A2:F2"/>
    <mergeCell ref="A3:F3"/>
    <mergeCell ref="A4:A5"/>
    <mergeCell ref="A19:F1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DC2A-327D-42BC-8605-51D17D75E143}">
  <dimension ref="A1:J65"/>
  <sheetViews>
    <sheetView topLeftCell="A23" workbookViewId="0">
      <selection activeCell="C57" sqref="C57"/>
    </sheetView>
  </sheetViews>
  <sheetFormatPr baseColWidth="10" defaultRowHeight="15" x14ac:dyDescent="0.25"/>
  <cols>
    <col min="1" max="1" width="31" customWidth="1"/>
    <col min="5" max="5" width="16.5703125" customWidth="1"/>
    <col min="6" max="6" width="17.42578125" customWidth="1"/>
  </cols>
  <sheetData>
    <row r="1" spans="1:10" ht="18.75" x14ac:dyDescent="0.3">
      <c r="A1" s="162" t="s">
        <v>212</v>
      </c>
      <c r="B1" s="140"/>
      <c r="C1" s="140"/>
      <c r="D1" s="140"/>
      <c r="E1" s="140"/>
      <c r="F1" s="140"/>
      <c r="G1" s="140"/>
      <c r="H1" s="140"/>
      <c r="I1" s="140"/>
      <c r="J1" s="171"/>
    </row>
    <row r="2" spans="1:10" ht="18.75" x14ac:dyDescent="0.3">
      <c r="A2" s="162" t="s">
        <v>213</v>
      </c>
      <c r="B2" s="140"/>
      <c r="C2" s="140"/>
      <c r="D2" s="140"/>
      <c r="E2" s="140"/>
      <c r="F2" s="140"/>
      <c r="G2" s="140"/>
      <c r="H2" s="140"/>
      <c r="I2" s="140"/>
      <c r="J2" s="171"/>
    </row>
    <row r="3" spans="1:10" ht="18.75" x14ac:dyDescent="0.3">
      <c r="A3" s="162" t="s">
        <v>27</v>
      </c>
      <c r="B3" s="140"/>
      <c r="C3" s="140"/>
      <c r="D3" s="140"/>
      <c r="E3" s="140"/>
      <c r="F3" s="140"/>
      <c r="G3" s="140"/>
      <c r="H3" s="140"/>
      <c r="I3" s="140"/>
      <c r="J3" s="171"/>
    </row>
    <row r="4" spans="1:10" x14ac:dyDescent="0.25">
      <c r="A4" s="172" t="s">
        <v>3</v>
      </c>
      <c r="B4" s="26">
        <v>12657</v>
      </c>
      <c r="C4" s="41">
        <v>12665</v>
      </c>
      <c r="D4" s="26">
        <v>12669</v>
      </c>
      <c r="E4" s="26">
        <v>11482</v>
      </c>
      <c r="F4" s="26">
        <v>12677</v>
      </c>
      <c r="G4" s="26">
        <v>12687</v>
      </c>
      <c r="H4" s="26">
        <v>11489</v>
      </c>
      <c r="I4" s="26"/>
      <c r="J4" s="7" t="s">
        <v>42</v>
      </c>
    </row>
    <row r="5" spans="1:10" x14ac:dyDescent="0.25">
      <c r="A5" s="173"/>
      <c r="B5" s="5">
        <v>45761</v>
      </c>
      <c r="C5" s="5">
        <v>45768</v>
      </c>
      <c r="D5" s="5">
        <v>45768</v>
      </c>
      <c r="E5" s="5">
        <v>45770</v>
      </c>
      <c r="F5" s="5">
        <v>45770</v>
      </c>
      <c r="G5" s="5">
        <v>45773</v>
      </c>
      <c r="H5" s="5">
        <v>45775</v>
      </c>
      <c r="I5" s="5"/>
      <c r="J5" s="6">
        <v>45777</v>
      </c>
    </row>
    <row r="6" spans="1:10" x14ac:dyDescent="0.25">
      <c r="A6" s="27" t="s">
        <v>115</v>
      </c>
      <c r="B6" s="28">
        <v>24</v>
      </c>
      <c r="C6" s="23"/>
      <c r="D6" s="23"/>
      <c r="E6" s="23"/>
      <c r="F6" s="23">
        <v>5</v>
      </c>
      <c r="G6" s="23"/>
      <c r="H6" s="23"/>
      <c r="I6" s="23"/>
      <c r="J6" s="9">
        <f>SUM(B6:I6)</f>
        <v>29</v>
      </c>
    </row>
    <row r="7" spans="1:10" x14ac:dyDescent="0.25">
      <c r="A7" s="27" t="s">
        <v>95</v>
      </c>
      <c r="B7" s="28">
        <v>2</v>
      </c>
      <c r="C7" s="23"/>
      <c r="D7" s="23"/>
      <c r="E7" s="23"/>
      <c r="F7" s="23"/>
      <c r="G7" s="23"/>
      <c r="H7" s="23"/>
      <c r="I7" s="23"/>
      <c r="J7" s="9">
        <f>SUM(B7:H7)</f>
        <v>2</v>
      </c>
    </row>
    <row r="8" spans="1:10" x14ac:dyDescent="0.25">
      <c r="A8" s="27" t="s">
        <v>205</v>
      </c>
      <c r="B8" s="28">
        <v>14</v>
      </c>
      <c r="C8" s="23"/>
      <c r="D8" s="23"/>
      <c r="E8" s="23"/>
      <c r="F8" s="23">
        <v>10</v>
      </c>
      <c r="G8" s="23"/>
      <c r="H8" s="23"/>
      <c r="I8" s="23"/>
      <c r="J8" s="9">
        <f>SUM(B8:G8)</f>
        <v>24</v>
      </c>
    </row>
    <row r="9" spans="1:10" x14ac:dyDescent="0.25">
      <c r="A9" s="27" t="s">
        <v>214</v>
      </c>
      <c r="B9" s="28">
        <v>12</v>
      </c>
      <c r="C9" s="23"/>
      <c r="D9" s="23"/>
      <c r="E9" s="23"/>
      <c r="F9" s="23">
        <v>2</v>
      </c>
      <c r="G9" s="23"/>
      <c r="H9" s="23"/>
      <c r="I9" s="23"/>
      <c r="J9" s="9">
        <f>SUM(B9:I9)</f>
        <v>14</v>
      </c>
    </row>
    <row r="10" spans="1:10" x14ac:dyDescent="0.25">
      <c r="A10" s="27" t="s">
        <v>204</v>
      </c>
      <c r="B10" s="28"/>
      <c r="C10" s="23">
        <v>20</v>
      </c>
      <c r="D10" s="23">
        <v>70</v>
      </c>
      <c r="E10" s="23">
        <v>-21</v>
      </c>
      <c r="F10" s="23"/>
      <c r="G10" s="23"/>
      <c r="H10" s="23"/>
      <c r="I10" s="23"/>
      <c r="J10" s="9">
        <f>SUM(B10:I10)</f>
        <v>69</v>
      </c>
    </row>
    <row r="11" spans="1:10" x14ac:dyDescent="0.25">
      <c r="A11" s="27" t="s">
        <v>215</v>
      </c>
      <c r="B11" s="28"/>
      <c r="C11" s="23">
        <v>12</v>
      </c>
      <c r="D11" s="23"/>
      <c r="E11" s="23"/>
      <c r="F11" s="23">
        <v>2</v>
      </c>
      <c r="G11" s="23"/>
      <c r="H11" s="23"/>
      <c r="I11" s="23"/>
      <c r="J11" s="9">
        <f>SUM(B11:I11)</f>
        <v>14</v>
      </c>
    </row>
    <row r="12" spans="1:10" x14ac:dyDescent="0.25">
      <c r="A12" s="27" t="s">
        <v>98</v>
      </c>
      <c r="B12" s="28">
        <v>24</v>
      </c>
      <c r="C12" s="23"/>
      <c r="D12" s="23"/>
      <c r="E12" s="23"/>
      <c r="F12" s="23"/>
      <c r="G12" s="23"/>
      <c r="H12" s="23"/>
      <c r="I12" s="23"/>
      <c r="J12" s="9">
        <f>SUM(B12:I12)</f>
        <v>24</v>
      </c>
    </row>
    <row r="13" spans="1:10" x14ac:dyDescent="0.25">
      <c r="A13" s="27" t="s">
        <v>99</v>
      </c>
      <c r="B13" s="28">
        <v>48</v>
      </c>
      <c r="C13" s="23"/>
      <c r="D13" s="23"/>
      <c r="E13" s="23"/>
      <c r="F13" s="23"/>
      <c r="G13" s="23"/>
      <c r="H13" s="23"/>
      <c r="I13" s="23"/>
      <c r="J13" s="9">
        <f>SUM(B13:E13)</f>
        <v>48</v>
      </c>
    </row>
    <row r="14" spans="1:10" x14ac:dyDescent="0.25">
      <c r="A14" s="27" t="s">
        <v>93</v>
      </c>
      <c r="B14" s="28">
        <v>20</v>
      </c>
      <c r="C14" s="23">
        <v>40</v>
      </c>
      <c r="D14" s="23"/>
      <c r="E14" s="23"/>
      <c r="F14" s="23"/>
      <c r="G14" s="23"/>
      <c r="H14" s="23"/>
      <c r="I14" s="23"/>
      <c r="J14" s="9">
        <f>SUM(B14:F14)</f>
        <v>60</v>
      </c>
    </row>
    <row r="15" spans="1:10" x14ac:dyDescent="0.25">
      <c r="A15" s="27" t="s">
        <v>100</v>
      </c>
      <c r="B15" s="28"/>
      <c r="C15" s="23">
        <v>8</v>
      </c>
      <c r="D15" s="23"/>
      <c r="E15" s="23"/>
      <c r="F15" s="23"/>
      <c r="G15" s="23"/>
      <c r="H15" s="23"/>
      <c r="I15" s="23"/>
      <c r="J15" s="9">
        <f>SUM(B15:F15)</f>
        <v>8</v>
      </c>
    </row>
    <row r="16" spans="1:10" x14ac:dyDescent="0.25">
      <c r="A16" s="27" t="s">
        <v>58</v>
      </c>
      <c r="B16" s="28">
        <v>500</v>
      </c>
      <c r="C16" s="23"/>
      <c r="D16" s="23"/>
      <c r="E16" s="23"/>
      <c r="F16" s="23"/>
      <c r="G16" s="23"/>
      <c r="H16" s="23"/>
      <c r="I16" s="23"/>
      <c r="J16" s="9">
        <f>SUM(B16:F16)</f>
        <v>500</v>
      </c>
    </row>
    <row r="17" spans="1:10" x14ac:dyDescent="0.25">
      <c r="A17" s="27" t="s">
        <v>83</v>
      </c>
      <c r="B17" s="28">
        <v>2</v>
      </c>
      <c r="C17" s="23"/>
      <c r="D17" s="23"/>
      <c r="E17" s="23"/>
      <c r="F17" s="23"/>
      <c r="G17" s="23"/>
      <c r="H17" s="23"/>
      <c r="I17" s="23"/>
      <c r="J17" s="9">
        <f t="shared" ref="J17:J23" si="0">SUM(B17:F17)</f>
        <v>2</v>
      </c>
    </row>
    <row r="18" spans="1:10" x14ac:dyDescent="0.25">
      <c r="A18" s="27" t="s">
        <v>85</v>
      </c>
      <c r="B18" s="28">
        <v>1</v>
      </c>
      <c r="C18" s="23"/>
      <c r="D18" s="23"/>
      <c r="E18" s="23"/>
      <c r="F18" s="23"/>
      <c r="G18" s="23"/>
      <c r="H18" s="23"/>
      <c r="I18" s="23"/>
      <c r="J18" s="9">
        <f t="shared" si="0"/>
        <v>1</v>
      </c>
    </row>
    <row r="19" spans="1:10" x14ac:dyDescent="0.25">
      <c r="A19" s="27" t="s">
        <v>118</v>
      </c>
      <c r="B19" s="28">
        <v>2</v>
      </c>
      <c r="C19" s="23"/>
      <c r="D19" s="23"/>
      <c r="E19" s="23"/>
      <c r="F19" s="23"/>
      <c r="G19" s="23"/>
      <c r="H19" s="23"/>
      <c r="I19" s="23"/>
      <c r="J19" s="9">
        <f t="shared" si="0"/>
        <v>2</v>
      </c>
    </row>
    <row r="20" spans="1:10" x14ac:dyDescent="0.25">
      <c r="A20" s="27" t="s">
        <v>29</v>
      </c>
      <c r="B20" s="28">
        <v>2</v>
      </c>
      <c r="C20" s="23">
        <v>2</v>
      </c>
      <c r="D20" s="23"/>
      <c r="E20" s="23"/>
      <c r="F20" s="23"/>
      <c r="G20" s="23"/>
      <c r="H20" s="23"/>
      <c r="I20" s="23"/>
      <c r="J20" s="9">
        <f t="shared" si="0"/>
        <v>4</v>
      </c>
    </row>
    <row r="21" spans="1:10" x14ac:dyDescent="0.25">
      <c r="A21" s="27" t="s">
        <v>52</v>
      </c>
      <c r="B21" s="28"/>
      <c r="C21" s="23">
        <v>21</v>
      </c>
      <c r="D21" s="23"/>
      <c r="E21" s="23">
        <v>-1</v>
      </c>
      <c r="F21" s="23"/>
      <c r="G21" s="23"/>
      <c r="H21" s="23"/>
      <c r="I21" s="23"/>
      <c r="J21" s="9">
        <f t="shared" si="0"/>
        <v>20</v>
      </c>
    </row>
    <row r="22" spans="1:10" x14ac:dyDescent="0.25">
      <c r="A22" s="27" t="s">
        <v>54</v>
      </c>
      <c r="B22" s="28"/>
      <c r="C22" s="23">
        <v>3</v>
      </c>
      <c r="D22" s="23"/>
      <c r="E22" s="23"/>
      <c r="F22" s="23"/>
      <c r="G22" s="23"/>
      <c r="H22" s="23"/>
      <c r="I22" s="23"/>
      <c r="J22" s="9">
        <f t="shared" si="0"/>
        <v>3</v>
      </c>
    </row>
    <row r="23" spans="1:10" x14ac:dyDescent="0.25">
      <c r="A23" s="27" t="s">
        <v>216</v>
      </c>
      <c r="B23" s="28"/>
      <c r="C23" s="23">
        <v>1</v>
      </c>
      <c r="D23" s="23"/>
      <c r="E23" s="23"/>
      <c r="F23" s="23"/>
      <c r="G23" s="23"/>
      <c r="H23" s="23"/>
      <c r="I23" s="23"/>
      <c r="J23" s="9">
        <f t="shared" si="0"/>
        <v>1</v>
      </c>
    </row>
    <row r="24" spans="1:10" x14ac:dyDescent="0.25">
      <c r="A24" s="27" t="s">
        <v>217</v>
      </c>
      <c r="B24" s="28"/>
      <c r="C24" s="23"/>
      <c r="D24" s="23"/>
      <c r="E24" s="23"/>
      <c r="F24" s="23"/>
      <c r="G24" s="23">
        <v>1</v>
      </c>
      <c r="H24" s="23">
        <v>-1</v>
      </c>
      <c r="I24" s="23"/>
      <c r="J24" s="9">
        <f>SUM(B24:I24)</f>
        <v>0</v>
      </c>
    </row>
    <row r="25" spans="1:10" x14ac:dyDescent="0.25">
      <c r="A25" s="29" t="s">
        <v>31</v>
      </c>
      <c r="B25" s="12">
        <v>0.33333333333333331</v>
      </c>
      <c r="C25" s="11">
        <v>0.33333333333333331</v>
      </c>
      <c r="D25" s="30" t="s">
        <v>218</v>
      </c>
      <c r="E25" s="30">
        <v>0.4375</v>
      </c>
      <c r="F25" s="30">
        <v>0.4375</v>
      </c>
      <c r="G25" s="30">
        <v>0.3263888888888889</v>
      </c>
      <c r="H25" s="30">
        <v>0.33333333333333331</v>
      </c>
      <c r="I25" s="30"/>
      <c r="J25" s="41"/>
    </row>
    <row r="26" spans="1:10" x14ac:dyDescent="0.25">
      <c r="A26" s="29" t="s">
        <v>32</v>
      </c>
      <c r="B26" s="31">
        <v>40000</v>
      </c>
      <c r="C26" s="31">
        <v>70000</v>
      </c>
      <c r="D26" s="31">
        <v>70000</v>
      </c>
      <c r="E26" s="31" t="s">
        <v>219</v>
      </c>
      <c r="F26" s="31">
        <v>40000</v>
      </c>
      <c r="G26" s="31" t="s">
        <v>220</v>
      </c>
      <c r="H26" s="31" t="s">
        <v>174</v>
      </c>
      <c r="I26" s="31"/>
      <c r="J26" s="44">
        <f>SUM(B26:I26)</f>
        <v>220000</v>
      </c>
    </row>
    <row r="36" spans="1:7" ht="15.75" thickBot="1" x14ac:dyDescent="0.3"/>
    <row r="37" spans="1:7" ht="18.75" x14ac:dyDescent="0.3">
      <c r="A37" s="137" t="s">
        <v>201</v>
      </c>
      <c r="B37" s="138"/>
      <c r="C37" s="138"/>
      <c r="D37" s="138"/>
      <c r="E37" s="138"/>
      <c r="F37" s="188"/>
    </row>
    <row r="38" spans="1:7" ht="18.75" x14ac:dyDescent="0.3">
      <c r="A38" s="139" t="s">
        <v>202</v>
      </c>
      <c r="B38" s="140"/>
      <c r="C38" s="140"/>
      <c r="D38" s="140"/>
      <c r="E38" s="140"/>
      <c r="F38" s="163"/>
    </row>
    <row r="39" spans="1:7" ht="18.75" x14ac:dyDescent="0.3">
      <c r="A39" s="139" t="s">
        <v>203</v>
      </c>
      <c r="B39" s="140"/>
      <c r="C39" s="140"/>
      <c r="D39" s="140"/>
      <c r="E39" s="140"/>
      <c r="F39" s="163"/>
    </row>
    <row r="40" spans="1:7" x14ac:dyDescent="0.25">
      <c r="A40" s="147" t="s">
        <v>3</v>
      </c>
      <c r="B40" s="148" t="s">
        <v>11</v>
      </c>
      <c r="C40" s="148"/>
      <c r="D40" s="148"/>
      <c r="E40" s="148" t="s">
        <v>12</v>
      </c>
      <c r="F40" s="164"/>
    </row>
    <row r="41" spans="1:7" x14ac:dyDescent="0.25">
      <c r="A41" s="147"/>
      <c r="B41" s="16" t="s">
        <v>14</v>
      </c>
      <c r="C41" s="16" t="s">
        <v>15</v>
      </c>
      <c r="D41" s="16" t="s">
        <v>16</v>
      </c>
      <c r="E41" s="16" t="s">
        <v>17</v>
      </c>
      <c r="F41" s="32" t="s">
        <v>18</v>
      </c>
    </row>
    <row r="42" spans="1:7" x14ac:dyDescent="0.25">
      <c r="A42" s="17" t="s">
        <v>115</v>
      </c>
      <c r="B42" s="18">
        <v>9</v>
      </c>
      <c r="C42" s="127">
        <v>24</v>
      </c>
      <c r="D42" s="20">
        <v>290</v>
      </c>
      <c r="E42" s="21">
        <f t="shared" ref="E42:E60" si="1">C42*D42</f>
        <v>6960</v>
      </c>
      <c r="F42" s="48">
        <f t="shared" ref="F42:F60" si="2">B42*E42</f>
        <v>62640</v>
      </c>
      <c r="G42" t="s">
        <v>221</v>
      </c>
    </row>
    <row r="43" spans="1:7" x14ac:dyDescent="0.25">
      <c r="A43" s="17" t="s">
        <v>115</v>
      </c>
      <c r="B43" s="18">
        <v>8</v>
      </c>
      <c r="C43" s="127">
        <v>29</v>
      </c>
      <c r="D43" s="20">
        <v>290</v>
      </c>
      <c r="E43" s="21">
        <f t="shared" ref="E43" si="3">C43*D43</f>
        <v>8410</v>
      </c>
      <c r="F43" s="48">
        <f t="shared" ref="F43" si="4">B43*E43</f>
        <v>67280</v>
      </c>
      <c r="G43" t="s">
        <v>222</v>
      </c>
    </row>
    <row r="44" spans="1:7" x14ac:dyDescent="0.25">
      <c r="A44" s="17" t="s">
        <v>95</v>
      </c>
      <c r="B44" s="18">
        <v>17</v>
      </c>
      <c r="C44" s="127">
        <v>2</v>
      </c>
      <c r="D44" s="20">
        <v>260</v>
      </c>
      <c r="E44" s="21">
        <f t="shared" ref="E44" si="5">C44*D44</f>
        <v>520</v>
      </c>
      <c r="F44" s="48">
        <f t="shared" ref="F44" si="6">B44*E44</f>
        <v>8840</v>
      </c>
      <c r="G44" t="s">
        <v>223</v>
      </c>
    </row>
    <row r="45" spans="1:7" x14ac:dyDescent="0.25">
      <c r="A45" s="17" t="s">
        <v>205</v>
      </c>
      <c r="B45" s="19">
        <v>9</v>
      </c>
      <c r="C45" s="127">
        <v>14</v>
      </c>
      <c r="D45" s="20">
        <v>250</v>
      </c>
      <c r="E45" s="21">
        <f>C45*D45</f>
        <v>3500</v>
      </c>
      <c r="F45" s="48">
        <f>B45*E45</f>
        <v>31500</v>
      </c>
      <c r="G45" t="s">
        <v>221</v>
      </c>
    </row>
    <row r="46" spans="1:7" x14ac:dyDescent="0.25">
      <c r="A46" s="17" t="s">
        <v>205</v>
      </c>
      <c r="B46" s="19">
        <v>8</v>
      </c>
      <c r="C46" s="127">
        <v>24</v>
      </c>
      <c r="D46" s="20">
        <v>250</v>
      </c>
      <c r="E46" s="21">
        <f>C46*D46</f>
        <v>6000</v>
      </c>
      <c r="F46" s="48">
        <f>B46*E46</f>
        <v>48000</v>
      </c>
      <c r="G46" t="s">
        <v>221</v>
      </c>
    </row>
    <row r="47" spans="1:7" x14ac:dyDescent="0.25">
      <c r="A47" s="17" t="s">
        <v>204</v>
      </c>
      <c r="B47" s="18">
        <v>17</v>
      </c>
      <c r="C47" s="18">
        <v>69</v>
      </c>
      <c r="D47" s="20">
        <v>350</v>
      </c>
      <c r="E47" s="21">
        <f t="shared" si="1"/>
        <v>24150</v>
      </c>
      <c r="F47" s="48">
        <f t="shared" si="2"/>
        <v>410550</v>
      </c>
      <c r="G47" t="s">
        <v>221</v>
      </c>
    </row>
    <row r="48" spans="1:7" x14ac:dyDescent="0.25">
      <c r="A48" s="17" t="s">
        <v>206</v>
      </c>
      <c r="B48" s="19">
        <v>2</v>
      </c>
      <c r="C48" s="19">
        <v>12</v>
      </c>
      <c r="D48" s="20">
        <v>300</v>
      </c>
      <c r="E48" s="21">
        <f t="shared" si="1"/>
        <v>3600</v>
      </c>
      <c r="F48" s="48">
        <f t="shared" si="2"/>
        <v>7200</v>
      </c>
      <c r="G48" t="s">
        <v>224</v>
      </c>
    </row>
    <row r="49" spans="1:7" x14ac:dyDescent="0.25">
      <c r="A49" s="17" t="s">
        <v>206</v>
      </c>
      <c r="B49" s="19">
        <v>8</v>
      </c>
      <c r="C49" s="19">
        <v>14</v>
      </c>
      <c r="D49" s="20">
        <v>300</v>
      </c>
      <c r="E49" s="21">
        <f t="shared" ref="E49" si="7">C49*D49</f>
        <v>4200</v>
      </c>
      <c r="F49" s="48">
        <f t="shared" ref="F49" si="8">B49*E49</f>
        <v>33600</v>
      </c>
      <c r="G49" t="s">
        <v>225</v>
      </c>
    </row>
    <row r="50" spans="1:7" x14ac:dyDescent="0.25">
      <c r="A50" s="17" t="s">
        <v>226</v>
      </c>
      <c r="B50" s="19">
        <v>17</v>
      </c>
      <c r="C50" s="19">
        <v>24</v>
      </c>
      <c r="D50" s="20">
        <v>110</v>
      </c>
      <c r="E50" s="21">
        <f t="shared" si="1"/>
        <v>2640</v>
      </c>
      <c r="F50" s="48">
        <f t="shared" si="2"/>
        <v>44880</v>
      </c>
      <c r="G50" t="s">
        <v>223</v>
      </c>
    </row>
    <row r="51" spans="1:7" x14ac:dyDescent="0.25">
      <c r="A51" s="17" t="s">
        <v>99</v>
      </c>
      <c r="B51" s="19">
        <v>17</v>
      </c>
      <c r="C51" s="19">
        <v>48</v>
      </c>
      <c r="D51" s="20">
        <v>50</v>
      </c>
      <c r="E51" s="21">
        <f t="shared" ref="E51" si="9">C51*D51</f>
        <v>2400</v>
      </c>
      <c r="F51" s="48">
        <f t="shared" ref="F51" si="10">B51*E51</f>
        <v>40800</v>
      </c>
      <c r="G51" t="s">
        <v>223</v>
      </c>
    </row>
    <row r="52" spans="1:7" x14ac:dyDescent="0.25">
      <c r="A52" s="17" t="s">
        <v>108</v>
      </c>
      <c r="B52" s="19">
        <v>7</v>
      </c>
      <c r="C52" s="19">
        <v>20</v>
      </c>
      <c r="D52" s="20">
        <v>150</v>
      </c>
      <c r="E52" s="21">
        <f t="shared" si="1"/>
        <v>3000</v>
      </c>
      <c r="F52" s="48">
        <f t="shared" si="2"/>
        <v>21000</v>
      </c>
      <c r="G52" t="s">
        <v>227</v>
      </c>
    </row>
    <row r="53" spans="1:7" x14ac:dyDescent="0.25">
      <c r="A53" s="17" t="s">
        <v>108</v>
      </c>
      <c r="B53" s="19">
        <v>10</v>
      </c>
      <c r="C53" s="19">
        <v>60</v>
      </c>
      <c r="D53" s="20">
        <v>150</v>
      </c>
      <c r="E53" s="21">
        <f t="shared" ref="E53" si="11">C53*D53</f>
        <v>9000</v>
      </c>
      <c r="F53" s="48">
        <f t="shared" ref="F53" si="12">B53*E53</f>
        <v>90000</v>
      </c>
      <c r="G53" t="s">
        <v>135</v>
      </c>
    </row>
    <row r="54" spans="1:7" x14ac:dyDescent="0.25">
      <c r="A54" s="17" t="s">
        <v>100</v>
      </c>
      <c r="B54" s="18">
        <v>10</v>
      </c>
      <c r="C54" s="19">
        <v>8</v>
      </c>
      <c r="D54" s="20">
        <v>180</v>
      </c>
      <c r="E54" s="21">
        <f t="shared" si="1"/>
        <v>1440</v>
      </c>
      <c r="F54" s="48">
        <f t="shared" si="2"/>
        <v>14400</v>
      </c>
      <c r="G54" t="s">
        <v>135</v>
      </c>
    </row>
    <row r="55" spans="1:7" x14ac:dyDescent="0.25">
      <c r="A55" s="17" t="s">
        <v>58</v>
      </c>
      <c r="B55" s="18">
        <v>17</v>
      </c>
      <c r="C55" s="127">
        <v>500</v>
      </c>
      <c r="D55" s="20">
        <v>25</v>
      </c>
      <c r="E55" s="21">
        <f t="shared" si="1"/>
        <v>12500</v>
      </c>
      <c r="F55" s="48">
        <f t="shared" si="2"/>
        <v>212500</v>
      </c>
      <c r="G55" t="s">
        <v>228</v>
      </c>
    </row>
    <row r="56" spans="1:7" x14ac:dyDescent="0.25">
      <c r="A56" s="17" t="s">
        <v>207</v>
      </c>
      <c r="B56" s="18">
        <v>17</v>
      </c>
      <c r="C56" s="127">
        <v>1</v>
      </c>
      <c r="D56" s="20">
        <v>1500</v>
      </c>
      <c r="E56" s="21">
        <f t="shared" si="1"/>
        <v>1500</v>
      </c>
      <c r="F56" s="48">
        <f t="shared" si="2"/>
        <v>25500</v>
      </c>
      <c r="G56" t="s">
        <v>228</v>
      </c>
    </row>
    <row r="57" spans="1:7" x14ac:dyDescent="0.25">
      <c r="A57" s="17" t="s">
        <v>85</v>
      </c>
      <c r="B57" s="18">
        <v>17</v>
      </c>
      <c r="C57" s="127">
        <v>1</v>
      </c>
      <c r="D57" s="20">
        <v>700</v>
      </c>
      <c r="E57" s="21">
        <f t="shared" si="1"/>
        <v>700</v>
      </c>
      <c r="F57" s="48">
        <f t="shared" si="2"/>
        <v>11900</v>
      </c>
      <c r="G57" t="s">
        <v>228</v>
      </c>
    </row>
    <row r="58" spans="1:7" x14ac:dyDescent="0.25">
      <c r="A58" s="17" t="s">
        <v>66</v>
      </c>
      <c r="B58" s="18">
        <v>10</v>
      </c>
      <c r="C58" s="19">
        <v>10</v>
      </c>
      <c r="D58" s="20">
        <v>150</v>
      </c>
      <c r="E58" s="21">
        <f t="shared" si="1"/>
        <v>1500</v>
      </c>
      <c r="F58" s="48">
        <f t="shared" si="2"/>
        <v>15000</v>
      </c>
      <c r="G58" t="s">
        <v>135</v>
      </c>
    </row>
    <row r="59" spans="1:7" x14ac:dyDescent="0.25">
      <c r="A59" s="17" t="s">
        <v>208</v>
      </c>
      <c r="B59" s="18">
        <v>10</v>
      </c>
      <c r="C59" s="19">
        <v>3</v>
      </c>
      <c r="D59" s="20">
        <v>150</v>
      </c>
      <c r="E59" s="21">
        <f t="shared" si="1"/>
        <v>450</v>
      </c>
      <c r="F59" s="48">
        <f t="shared" si="2"/>
        <v>4500</v>
      </c>
      <c r="G59" t="s">
        <v>135</v>
      </c>
    </row>
    <row r="60" spans="1:7" x14ac:dyDescent="0.25">
      <c r="A60" s="128" t="s">
        <v>209</v>
      </c>
      <c r="B60" s="129">
        <v>10</v>
      </c>
      <c r="C60" s="130">
        <v>1</v>
      </c>
      <c r="D60" s="131">
        <v>50</v>
      </c>
      <c r="E60" s="132">
        <f t="shared" si="1"/>
        <v>50</v>
      </c>
      <c r="F60" s="133">
        <f t="shared" si="2"/>
        <v>500</v>
      </c>
    </row>
    <row r="61" spans="1:7" ht="19.5" thickBot="1" x14ac:dyDescent="0.45">
      <c r="A61" s="165"/>
      <c r="B61" s="166"/>
      <c r="C61" s="161" t="s">
        <v>210</v>
      </c>
      <c r="D61" s="161"/>
      <c r="E61" s="25">
        <f>SUM(E42:E60)</f>
        <v>92520</v>
      </c>
      <c r="F61" s="37"/>
    </row>
    <row r="62" spans="1:7" ht="19.5" thickBot="1" x14ac:dyDescent="0.45">
      <c r="A62" s="165"/>
      <c r="B62" s="166"/>
      <c r="C62" s="161" t="s">
        <v>211</v>
      </c>
      <c r="D62" s="161"/>
      <c r="E62" s="134">
        <f>SUM(F42:F60)</f>
        <v>1150590</v>
      </c>
      <c r="F62" s="37"/>
    </row>
    <row r="63" spans="1:7" ht="18.75" x14ac:dyDescent="0.4">
      <c r="A63" s="165"/>
      <c r="B63" s="166"/>
      <c r="C63" s="169" t="s">
        <v>229</v>
      </c>
      <c r="D63" s="170"/>
      <c r="E63" s="135">
        <v>240000</v>
      </c>
      <c r="F63" s="37"/>
    </row>
    <row r="64" spans="1:7" ht="19.5" thickBot="1" x14ac:dyDescent="0.45">
      <c r="A64" s="152"/>
      <c r="B64" s="153"/>
      <c r="C64" s="161" t="s">
        <v>21</v>
      </c>
      <c r="D64" s="161"/>
      <c r="E64" s="136">
        <f>E62+E63</f>
        <v>1390590</v>
      </c>
      <c r="F64" s="40"/>
    </row>
    <row r="65" spans="1:5" x14ac:dyDescent="0.25">
      <c r="A65" t="s">
        <v>76</v>
      </c>
      <c r="E65" s="47">
        <v>1500000</v>
      </c>
    </row>
  </sheetData>
  <mergeCells count="15">
    <mergeCell ref="A61:B64"/>
    <mergeCell ref="C61:D61"/>
    <mergeCell ref="C62:D62"/>
    <mergeCell ref="C63:D63"/>
    <mergeCell ref="C64:D64"/>
    <mergeCell ref="A1:J1"/>
    <mergeCell ref="A37:F37"/>
    <mergeCell ref="A38:F38"/>
    <mergeCell ref="A39:F39"/>
    <mergeCell ref="A40:A41"/>
    <mergeCell ref="B40:D40"/>
    <mergeCell ref="E40:F40"/>
    <mergeCell ref="A2:J2"/>
    <mergeCell ref="A3:J3"/>
    <mergeCell ref="A4:A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B0B71-D830-443B-85A0-4D60ED024B39}">
  <dimension ref="A13:G33"/>
  <sheetViews>
    <sheetView topLeftCell="A26" workbookViewId="0">
      <selection activeCell="E34" sqref="E34"/>
    </sheetView>
  </sheetViews>
  <sheetFormatPr baseColWidth="10" defaultRowHeight="15" x14ac:dyDescent="0.25"/>
  <cols>
    <col min="1" max="1" width="37" bestFit="1" customWidth="1"/>
    <col min="5" max="5" width="16.7109375" bestFit="1" customWidth="1"/>
    <col min="7" max="7" width="19.85546875" bestFit="1" customWidth="1"/>
  </cols>
  <sheetData>
    <row r="13" spans="1:5" ht="18.75" x14ac:dyDescent="0.3">
      <c r="A13" s="145" t="s">
        <v>193</v>
      </c>
      <c r="B13" s="145"/>
      <c r="C13" s="145"/>
      <c r="D13" s="145"/>
      <c r="E13" s="145"/>
    </row>
    <row r="14" spans="1:5" ht="18.75" x14ac:dyDescent="0.3">
      <c r="A14" s="145" t="s">
        <v>194</v>
      </c>
      <c r="B14" s="145"/>
      <c r="C14" s="145"/>
      <c r="D14" s="145"/>
      <c r="E14" s="145"/>
    </row>
    <row r="15" spans="1:5" ht="18.75" x14ac:dyDescent="0.3">
      <c r="A15" s="145" t="s">
        <v>195</v>
      </c>
      <c r="B15" s="145"/>
      <c r="C15" s="145"/>
      <c r="D15" s="145"/>
      <c r="E15" s="145"/>
    </row>
    <row r="16" spans="1:5" x14ac:dyDescent="0.25">
      <c r="A16" s="203" t="s">
        <v>3</v>
      </c>
      <c r="B16" s="9" t="s">
        <v>4</v>
      </c>
      <c r="C16" s="41"/>
      <c r="D16" s="41"/>
      <c r="E16" s="86" t="s">
        <v>4</v>
      </c>
    </row>
    <row r="17" spans="1:7" x14ac:dyDescent="0.25">
      <c r="A17" s="203"/>
      <c r="B17" s="6">
        <v>45744</v>
      </c>
      <c r="C17" s="5"/>
      <c r="D17" s="5"/>
      <c r="E17" s="87">
        <v>45744</v>
      </c>
    </row>
    <row r="18" spans="1:7" x14ac:dyDescent="0.25">
      <c r="A18" s="119" t="s">
        <v>196</v>
      </c>
      <c r="B18" s="7">
        <v>7</v>
      </c>
      <c r="C18" s="23"/>
      <c r="D18" s="23"/>
      <c r="E18" s="120">
        <f t="shared" ref="E18:E24" si="0">SUM(B18:D18)</f>
        <v>7</v>
      </c>
    </row>
    <row r="19" spans="1:7" x14ac:dyDescent="0.25">
      <c r="A19" s="119" t="s">
        <v>131</v>
      </c>
      <c r="B19" s="7">
        <v>1</v>
      </c>
      <c r="C19" s="23"/>
      <c r="D19" s="23"/>
      <c r="E19" s="120">
        <f t="shared" si="0"/>
        <v>1</v>
      </c>
    </row>
    <row r="20" spans="1:7" x14ac:dyDescent="0.25">
      <c r="A20" s="119" t="s">
        <v>197</v>
      </c>
      <c r="B20" s="7">
        <v>4</v>
      </c>
      <c r="C20" s="23"/>
      <c r="D20" s="23"/>
      <c r="E20" s="120">
        <f t="shared" si="0"/>
        <v>4</v>
      </c>
    </row>
    <row r="21" spans="1:7" x14ac:dyDescent="0.25">
      <c r="A21" s="119" t="s">
        <v>92</v>
      </c>
      <c r="B21" s="7">
        <v>2</v>
      </c>
      <c r="C21" s="23"/>
      <c r="D21" s="23"/>
      <c r="E21" s="120">
        <f t="shared" si="0"/>
        <v>2</v>
      </c>
    </row>
    <row r="22" spans="1:7" x14ac:dyDescent="0.25">
      <c r="A22" s="119"/>
      <c r="B22" s="7"/>
      <c r="C22" s="23"/>
      <c r="D22" s="23"/>
      <c r="E22" s="120">
        <f t="shared" si="0"/>
        <v>0</v>
      </c>
    </row>
    <row r="23" spans="1:7" x14ac:dyDescent="0.25">
      <c r="A23" s="29" t="s">
        <v>31</v>
      </c>
      <c r="B23" s="121"/>
      <c r="C23" s="122"/>
      <c r="D23" s="12"/>
      <c r="E23" s="120"/>
    </row>
    <row r="24" spans="1:7" x14ac:dyDescent="0.25">
      <c r="A24" s="29" t="s">
        <v>9</v>
      </c>
      <c r="B24" s="123"/>
      <c r="C24" s="13"/>
      <c r="D24" s="124"/>
      <c r="E24" s="125">
        <f t="shared" si="0"/>
        <v>0</v>
      </c>
    </row>
    <row r="25" spans="1:7" ht="15.75" thickBot="1" x14ac:dyDescent="0.3"/>
    <row r="26" spans="1:7" ht="18.75" x14ac:dyDescent="0.3">
      <c r="A26" s="204" t="s">
        <v>193</v>
      </c>
      <c r="B26" s="205"/>
      <c r="C26" s="205"/>
      <c r="D26" s="205"/>
      <c r="E26" s="205"/>
      <c r="F26" s="205"/>
      <c r="G26" s="206"/>
    </row>
    <row r="27" spans="1:7" ht="18.75" x14ac:dyDescent="0.3">
      <c r="A27" s="145" t="s">
        <v>194</v>
      </c>
      <c r="B27" s="145"/>
      <c r="C27" s="145"/>
      <c r="D27" s="145"/>
      <c r="E27" s="145"/>
      <c r="F27" s="145"/>
      <c r="G27" s="145"/>
    </row>
    <row r="28" spans="1:7" ht="18.75" x14ac:dyDescent="0.3">
      <c r="A28" s="145" t="s">
        <v>200</v>
      </c>
      <c r="B28" s="145"/>
      <c r="C28" s="145"/>
      <c r="D28" s="145"/>
      <c r="E28" s="145"/>
      <c r="F28" s="145"/>
      <c r="G28" s="145"/>
    </row>
    <row r="29" spans="1:7" x14ac:dyDescent="0.25">
      <c r="A29" s="154" t="s">
        <v>3</v>
      </c>
      <c r="B29" s="148" t="s">
        <v>11</v>
      </c>
      <c r="C29" s="148"/>
      <c r="D29" s="148"/>
      <c r="E29" s="148" t="s">
        <v>12</v>
      </c>
      <c r="F29" s="148"/>
      <c r="G29" s="185" t="s">
        <v>13</v>
      </c>
    </row>
    <row r="30" spans="1:7" x14ac:dyDescent="0.25">
      <c r="A30" s="154"/>
      <c r="B30" s="16" t="s">
        <v>14</v>
      </c>
      <c r="C30" s="16" t="s">
        <v>15</v>
      </c>
      <c r="D30" s="16" t="s">
        <v>16</v>
      </c>
      <c r="E30" s="16" t="s">
        <v>17</v>
      </c>
      <c r="F30" s="126" t="s">
        <v>18</v>
      </c>
      <c r="G30" s="185"/>
    </row>
    <row r="31" spans="1:7" x14ac:dyDescent="0.25">
      <c r="A31" s="52" t="s">
        <v>19</v>
      </c>
      <c r="B31" s="18">
        <v>45</v>
      </c>
      <c r="C31" s="19">
        <v>3.5</v>
      </c>
      <c r="D31" s="20">
        <v>1200</v>
      </c>
      <c r="E31" s="21">
        <f>C31*D31</f>
        <v>4200</v>
      </c>
      <c r="F31" s="21">
        <f>B31*E31</f>
        <v>189000</v>
      </c>
      <c r="G31" s="52" t="s">
        <v>199</v>
      </c>
    </row>
    <row r="32" spans="1:7" x14ac:dyDescent="0.25">
      <c r="A32" s="52" t="s">
        <v>198</v>
      </c>
      <c r="B32" s="18">
        <v>45</v>
      </c>
      <c r="C32" s="19">
        <v>2</v>
      </c>
      <c r="D32" s="20">
        <v>700</v>
      </c>
      <c r="E32" s="21">
        <f>C32*D32</f>
        <v>1400</v>
      </c>
      <c r="F32" s="21">
        <f>B32*E32</f>
        <v>63000</v>
      </c>
      <c r="G32" s="52" t="s">
        <v>199</v>
      </c>
    </row>
    <row r="33" spans="1:7" ht="24.75" x14ac:dyDescent="0.4">
      <c r="A33" s="151"/>
      <c r="B33" s="151"/>
      <c r="C33" s="154" t="s">
        <v>21</v>
      </c>
      <c r="D33" s="154"/>
      <c r="E33" s="24">
        <f>SUM(F31:F32)</f>
        <v>252000</v>
      </c>
      <c r="F33" s="185"/>
      <c r="G33" s="185"/>
    </row>
  </sheetData>
  <mergeCells count="14">
    <mergeCell ref="A33:B33"/>
    <mergeCell ref="C33:D33"/>
    <mergeCell ref="F33:G33"/>
    <mergeCell ref="A13:E13"/>
    <mergeCell ref="A14:E14"/>
    <mergeCell ref="A15:E15"/>
    <mergeCell ref="A16:A17"/>
    <mergeCell ref="A26:G26"/>
    <mergeCell ref="A27:G27"/>
    <mergeCell ref="A28:G28"/>
    <mergeCell ref="A29:A30"/>
    <mergeCell ref="B29:D29"/>
    <mergeCell ref="E29:F29"/>
    <mergeCell ref="G29:G3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E90C1-59CB-435E-A10D-E7D0F534DAF7}">
  <sheetPr>
    <pageSetUpPr fitToPage="1"/>
  </sheetPr>
  <dimension ref="A1:G33"/>
  <sheetViews>
    <sheetView topLeftCell="A20" workbookViewId="0">
      <selection sqref="A1:G33"/>
    </sheetView>
  </sheetViews>
  <sheetFormatPr baseColWidth="10" defaultRowHeight="15" x14ac:dyDescent="0.25"/>
  <cols>
    <col min="1" max="1" width="32.42578125" bestFit="1" customWidth="1"/>
    <col min="5" max="5" width="14.42578125" bestFit="1" customWidth="1"/>
    <col min="7" max="7" width="21.140625" customWidth="1"/>
  </cols>
  <sheetData>
    <row r="1" spans="1:7" x14ac:dyDescent="0.25">
      <c r="A1" s="207" t="s">
        <v>127</v>
      </c>
      <c r="B1" s="208"/>
      <c r="C1" s="208"/>
      <c r="D1" s="208"/>
      <c r="E1" s="208"/>
      <c r="F1" s="208"/>
      <c r="G1" s="209"/>
    </row>
    <row r="2" spans="1:7" ht="18.75" x14ac:dyDescent="0.3">
      <c r="A2" s="144" t="s">
        <v>128</v>
      </c>
      <c r="B2" s="145"/>
      <c r="C2" s="145"/>
      <c r="D2" s="145"/>
      <c r="E2" s="145"/>
      <c r="F2" s="145"/>
      <c r="G2" s="146"/>
    </row>
    <row r="3" spans="1:7" ht="18.75" x14ac:dyDescent="0.3">
      <c r="A3" s="144" t="s">
        <v>129</v>
      </c>
      <c r="B3" s="145"/>
      <c r="C3" s="145"/>
      <c r="D3" s="145"/>
      <c r="E3" s="145"/>
      <c r="F3" s="145"/>
      <c r="G3" s="146"/>
    </row>
    <row r="4" spans="1:7" ht="18.75" x14ac:dyDescent="0.3">
      <c r="A4" s="144" t="s">
        <v>192</v>
      </c>
      <c r="B4" s="145"/>
      <c r="C4" s="145"/>
      <c r="D4" s="145"/>
      <c r="E4" s="145"/>
      <c r="F4" s="145"/>
      <c r="G4" s="146"/>
    </row>
    <row r="5" spans="1:7" x14ac:dyDescent="0.25">
      <c r="A5" s="189" t="s">
        <v>3</v>
      </c>
      <c r="B5" s="26">
        <v>12655</v>
      </c>
      <c r="C5" s="41">
        <v>12662</v>
      </c>
      <c r="D5" s="26">
        <v>12664</v>
      </c>
      <c r="E5" s="26">
        <v>11477</v>
      </c>
      <c r="F5" s="26">
        <v>11501</v>
      </c>
      <c r="G5" s="110" t="s">
        <v>42</v>
      </c>
    </row>
    <row r="6" spans="1:7" x14ac:dyDescent="0.25">
      <c r="A6" s="189"/>
      <c r="B6" s="5">
        <v>45758</v>
      </c>
      <c r="C6" s="5">
        <v>45762</v>
      </c>
      <c r="D6" s="5">
        <v>45763</v>
      </c>
      <c r="E6" s="5">
        <v>45768</v>
      </c>
      <c r="F6" s="5">
        <v>45782</v>
      </c>
      <c r="G6" s="111">
        <v>45782</v>
      </c>
    </row>
    <row r="7" spans="1:7" x14ac:dyDescent="0.25">
      <c r="A7" s="112" t="s">
        <v>130</v>
      </c>
      <c r="B7" s="28">
        <v>20</v>
      </c>
      <c r="C7" s="23"/>
      <c r="D7" s="23"/>
      <c r="E7" s="23">
        <v>-8</v>
      </c>
      <c r="F7" s="23"/>
      <c r="G7" s="113">
        <f>SUM(B7:F7)</f>
        <v>12</v>
      </c>
    </row>
    <row r="8" spans="1:7" x14ac:dyDescent="0.25">
      <c r="A8" s="112" t="s">
        <v>131</v>
      </c>
      <c r="B8" s="28">
        <v>20</v>
      </c>
      <c r="C8" s="23"/>
      <c r="D8" s="23"/>
      <c r="E8" s="23">
        <v>-8</v>
      </c>
      <c r="F8" s="23"/>
      <c r="G8" s="113">
        <f t="shared" ref="G8:G12" si="0">SUM(B8:F8)</f>
        <v>12</v>
      </c>
    </row>
    <row r="9" spans="1:7" x14ac:dyDescent="0.25">
      <c r="A9" s="112" t="s">
        <v>44</v>
      </c>
      <c r="B9" s="28">
        <v>20</v>
      </c>
      <c r="C9" s="23"/>
      <c r="D9" s="23"/>
      <c r="E9" s="23">
        <v>-6</v>
      </c>
      <c r="F9" s="23">
        <v>-4</v>
      </c>
      <c r="G9" s="113">
        <f t="shared" si="0"/>
        <v>10</v>
      </c>
    </row>
    <row r="10" spans="1:7" x14ac:dyDescent="0.25">
      <c r="A10" s="112" t="s">
        <v>132</v>
      </c>
      <c r="B10" s="28">
        <v>8</v>
      </c>
      <c r="C10" s="23"/>
      <c r="D10" s="23"/>
      <c r="E10" s="23"/>
      <c r="F10" s="23"/>
      <c r="G10" s="113">
        <f t="shared" si="0"/>
        <v>8</v>
      </c>
    </row>
    <row r="11" spans="1:7" x14ac:dyDescent="0.25">
      <c r="A11" s="112" t="s">
        <v>133</v>
      </c>
      <c r="B11" s="28"/>
      <c r="C11" s="23">
        <v>7</v>
      </c>
      <c r="D11" s="23">
        <v>10</v>
      </c>
      <c r="E11" s="23">
        <v>-17</v>
      </c>
      <c r="F11" s="23"/>
      <c r="G11" s="113">
        <f t="shared" si="0"/>
        <v>0</v>
      </c>
    </row>
    <row r="12" spans="1:7" x14ac:dyDescent="0.25">
      <c r="A12" s="112" t="s">
        <v>93</v>
      </c>
      <c r="B12" s="28"/>
      <c r="C12" s="23"/>
      <c r="D12" s="23">
        <v>8</v>
      </c>
      <c r="E12" s="23">
        <v>-1</v>
      </c>
      <c r="F12" s="23">
        <v>-7</v>
      </c>
      <c r="G12" s="113">
        <f t="shared" si="0"/>
        <v>0</v>
      </c>
    </row>
    <row r="13" spans="1:7" x14ac:dyDescent="0.25">
      <c r="A13" s="62" t="s">
        <v>31</v>
      </c>
      <c r="B13" s="42">
        <v>0.375</v>
      </c>
      <c r="C13" s="43">
        <v>0.11805555555555555</v>
      </c>
      <c r="D13" s="43">
        <v>0.39583333333333331</v>
      </c>
      <c r="E13" s="30">
        <v>0.41666666666666669</v>
      </c>
      <c r="F13" s="30">
        <v>0.35416666666666669</v>
      </c>
      <c r="G13" s="114"/>
    </row>
    <row r="14" spans="1:7" x14ac:dyDescent="0.25">
      <c r="A14" s="62" t="s">
        <v>32</v>
      </c>
      <c r="B14" s="31">
        <v>40000</v>
      </c>
      <c r="C14" s="44">
        <v>30000</v>
      </c>
      <c r="D14" s="31">
        <v>40000</v>
      </c>
      <c r="E14" s="31">
        <v>30000</v>
      </c>
      <c r="F14" s="31">
        <v>30000</v>
      </c>
      <c r="G14" s="115">
        <f>SUM(B14:F14)</f>
        <v>170000</v>
      </c>
    </row>
    <row r="15" spans="1:7" ht="15.75" thickBot="1" x14ac:dyDescent="0.3">
      <c r="A15" s="116"/>
      <c r="B15" s="117"/>
      <c r="C15" s="117"/>
      <c r="D15" s="117"/>
      <c r="E15" s="117"/>
      <c r="F15" s="117"/>
      <c r="G15" s="118"/>
    </row>
    <row r="17" spans="1:7" x14ac:dyDescent="0.25">
      <c r="A17" s="210" t="s">
        <v>127</v>
      </c>
      <c r="B17" s="210"/>
      <c r="C17" s="210"/>
      <c r="D17" s="210"/>
      <c r="E17" s="210"/>
      <c r="F17" s="210"/>
    </row>
    <row r="18" spans="1:7" ht="18.75" x14ac:dyDescent="0.3">
      <c r="A18" s="162" t="s">
        <v>128</v>
      </c>
      <c r="B18" s="140"/>
      <c r="C18" s="140"/>
      <c r="D18" s="140"/>
      <c r="E18" s="140"/>
      <c r="F18" s="171"/>
    </row>
    <row r="19" spans="1:7" ht="18.75" x14ac:dyDescent="0.3">
      <c r="A19" s="162" t="s">
        <v>129</v>
      </c>
      <c r="B19" s="140"/>
      <c r="C19" s="140"/>
      <c r="D19" s="140"/>
      <c r="E19" s="140"/>
      <c r="F19" s="171"/>
    </row>
    <row r="20" spans="1:7" ht="18.75" x14ac:dyDescent="0.3">
      <c r="A20" s="139" t="s">
        <v>103</v>
      </c>
      <c r="B20" s="140"/>
      <c r="C20" s="140"/>
      <c r="D20" s="140"/>
      <c r="E20" s="140"/>
      <c r="F20" s="163"/>
    </row>
    <row r="21" spans="1:7" x14ac:dyDescent="0.25">
      <c r="A21" s="147" t="s">
        <v>3</v>
      </c>
      <c r="B21" s="148" t="s">
        <v>11</v>
      </c>
      <c r="C21" s="148"/>
      <c r="D21" s="148"/>
      <c r="E21" s="148" t="s">
        <v>12</v>
      </c>
      <c r="F21" s="164"/>
    </row>
    <row r="22" spans="1:7" x14ac:dyDescent="0.25">
      <c r="A22" s="147"/>
      <c r="B22" s="16" t="s">
        <v>14</v>
      </c>
      <c r="C22" s="16" t="s">
        <v>15</v>
      </c>
      <c r="D22" s="16" t="s">
        <v>16</v>
      </c>
      <c r="E22" s="16" t="s">
        <v>17</v>
      </c>
      <c r="F22" s="32" t="s">
        <v>18</v>
      </c>
    </row>
    <row r="23" spans="1:7" x14ac:dyDescent="0.25">
      <c r="A23" s="17" t="s">
        <v>109</v>
      </c>
      <c r="B23" s="18">
        <v>10</v>
      </c>
      <c r="C23" s="18">
        <v>10</v>
      </c>
      <c r="D23" s="20">
        <v>1500</v>
      </c>
      <c r="E23" s="21">
        <f t="shared" ref="E23:E25" si="1">C23*D23</f>
        <v>15000</v>
      </c>
      <c r="F23" s="48">
        <f t="shared" ref="F23:F25" si="2">B23*E23</f>
        <v>150000</v>
      </c>
      <c r="G23" t="s">
        <v>134</v>
      </c>
    </row>
    <row r="24" spans="1:7" x14ac:dyDescent="0.25">
      <c r="A24" s="17" t="s">
        <v>109</v>
      </c>
      <c r="B24" s="18">
        <v>10</v>
      </c>
      <c r="C24" s="18">
        <v>6</v>
      </c>
      <c r="D24" s="20">
        <v>1500</v>
      </c>
      <c r="E24" s="21">
        <f t="shared" ref="E24" si="3">C24*D24</f>
        <v>9000</v>
      </c>
      <c r="F24" s="48">
        <f t="shared" ref="F24" si="4">B24*E24</f>
        <v>90000</v>
      </c>
      <c r="G24" t="s">
        <v>135</v>
      </c>
    </row>
    <row r="25" spans="1:7" x14ac:dyDescent="0.25">
      <c r="A25" s="70" t="s">
        <v>92</v>
      </c>
      <c r="B25" s="71">
        <v>10</v>
      </c>
      <c r="C25" s="71">
        <v>20</v>
      </c>
      <c r="D25" s="72">
        <v>700</v>
      </c>
      <c r="E25" s="72">
        <f t="shared" si="1"/>
        <v>14000</v>
      </c>
      <c r="F25" s="73">
        <f t="shared" si="2"/>
        <v>140000</v>
      </c>
      <c r="G25" t="s">
        <v>134</v>
      </c>
    </row>
    <row r="26" spans="1:7" x14ac:dyDescent="0.25">
      <c r="A26" s="70" t="s">
        <v>92</v>
      </c>
      <c r="B26" s="71">
        <v>14</v>
      </c>
      <c r="C26" s="71">
        <v>14</v>
      </c>
      <c r="D26" s="72">
        <v>700</v>
      </c>
      <c r="E26" s="72">
        <f t="shared" ref="E26:E27" si="5">C26*D26</f>
        <v>9800</v>
      </c>
      <c r="F26" s="73">
        <f t="shared" ref="F26:F27" si="6">B26*E26</f>
        <v>137200</v>
      </c>
      <c r="G26" t="s">
        <v>191</v>
      </c>
    </row>
    <row r="27" spans="1:7" x14ac:dyDescent="0.25">
      <c r="A27" s="83" t="s">
        <v>136</v>
      </c>
      <c r="B27" s="84">
        <v>20</v>
      </c>
      <c r="C27" s="84">
        <v>8</v>
      </c>
      <c r="D27" s="85">
        <v>750</v>
      </c>
      <c r="E27" s="72">
        <f t="shared" si="5"/>
        <v>6000</v>
      </c>
      <c r="F27" s="73">
        <f t="shared" si="6"/>
        <v>120000</v>
      </c>
      <c r="G27" t="s">
        <v>137</v>
      </c>
    </row>
    <row r="28" spans="1:7" x14ac:dyDescent="0.25">
      <c r="A28" s="83" t="s">
        <v>138</v>
      </c>
      <c r="B28" s="84">
        <v>5</v>
      </c>
      <c r="C28" s="84">
        <v>17</v>
      </c>
      <c r="D28" s="85">
        <v>130</v>
      </c>
      <c r="E28" s="72">
        <f t="shared" ref="E28" si="7">C28*D28</f>
        <v>2210</v>
      </c>
      <c r="F28" s="73">
        <f t="shared" ref="F28" si="8">B28*E28</f>
        <v>11050</v>
      </c>
      <c r="G28" t="s">
        <v>139</v>
      </c>
    </row>
    <row r="29" spans="1:7" x14ac:dyDescent="0.25">
      <c r="A29" s="83" t="s">
        <v>140</v>
      </c>
      <c r="B29" s="84">
        <v>5</v>
      </c>
      <c r="C29" s="84">
        <v>2</v>
      </c>
      <c r="D29" s="85">
        <v>150</v>
      </c>
      <c r="E29" s="72">
        <f t="shared" ref="E29" si="9">C29*D29</f>
        <v>300</v>
      </c>
      <c r="F29" s="73">
        <f t="shared" ref="F29" si="10">B29*E29</f>
        <v>1500</v>
      </c>
      <c r="G29" t="s">
        <v>139</v>
      </c>
    </row>
    <row r="30" spans="1:7" x14ac:dyDescent="0.25">
      <c r="A30" s="83" t="s">
        <v>140</v>
      </c>
      <c r="B30" s="84">
        <v>14</v>
      </c>
      <c r="C30" s="84">
        <v>7</v>
      </c>
      <c r="D30" s="85">
        <v>150</v>
      </c>
      <c r="E30" s="72">
        <f t="shared" ref="E30" si="11">C30*D30</f>
        <v>1050</v>
      </c>
      <c r="F30" s="73">
        <f t="shared" ref="F30" si="12">B30*E30</f>
        <v>14700</v>
      </c>
      <c r="G30" t="s">
        <v>190</v>
      </c>
    </row>
    <row r="31" spans="1:7" ht="19.5" thickBot="1" x14ac:dyDescent="0.45">
      <c r="A31" s="165"/>
      <c r="B31" s="166"/>
      <c r="C31" s="161" t="s">
        <v>21</v>
      </c>
      <c r="D31" s="161"/>
      <c r="E31" s="25">
        <f>SUM(F23:F30)</f>
        <v>664450</v>
      </c>
      <c r="F31" s="37"/>
    </row>
    <row r="32" spans="1:7" ht="18.75" x14ac:dyDescent="0.4">
      <c r="A32" s="165"/>
      <c r="B32" s="166"/>
      <c r="C32" s="169" t="s">
        <v>32</v>
      </c>
      <c r="D32" s="170"/>
      <c r="E32" s="49">
        <v>170000</v>
      </c>
      <c r="F32" s="37"/>
    </row>
    <row r="33" spans="1:6" ht="19.5" thickBot="1" x14ac:dyDescent="0.45">
      <c r="A33" s="152"/>
      <c r="B33" s="153"/>
      <c r="C33" s="161" t="s">
        <v>21</v>
      </c>
      <c r="D33" s="161"/>
      <c r="E33" s="25">
        <f>E31+E32</f>
        <v>834450</v>
      </c>
      <c r="F33" s="40"/>
    </row>
  </sheetData>
  <mergeCells count="16">
    <mergeCell ref="A1:G1"/>
    <mergeCell ref="A2:G2"/>
    <mergeCell ref="A3:G3"/>
    <mergeCell ref="A4:G4"/>
    <mergeCell ref="A20:F20"/>
    <mergeCell ref="A17:F17"/>
    <mergeCell ref="A18:F18"/>
    <mergeCell ref="A19:F19"/>
    <mergeCell ref="A5:A6"/>
    <mergeCell ref="A21:A22"/>
    <mergeCell ref="B21:D21"/>
    <mergeCell ref="E21:F21"/>
    <mergeCell ref="A31:B33"/>
    <mergeCell ref="C31:D31"/>
    <mergeCell ref="C32:D32"/>
    <mergeCell ref="C33:D33"/>
  </mergeCells>
  <pageMargins left="0.70866141732283472" right="0.70866141732283472" top="0.74803149606299213" bottom="0.74803149606299213" header="0.31496062992125984" footer="0.31496062992125984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BERNABE SUAREZ</vt:lpstr>
      <vt:lpstr>ESTHER GUTIEREZ</vt:lpstr>
      <vt:lpstr>JESUS ANDRES</vt:lpstr>
      <vt:lpstr>REINALDO ARDILA</vt:lpstr>
      <vt:lpstr>WILSON PAEZ</vt:lpstr>
      <vt:lpstr>EDGARDO PICO</vt:lpstr>
      <vt:lpstr>RIGOBERTO VALERA</vt:lpstr>
      <vt:lpstr>OMAR PABON</vt:lpstr>
      <vt:lpstr>ALQUIOBRAS</vt:lpstr>
      <vt:lpstr>FREDI PABON</vt:lpstr>
      <vt:lpstr>KAREN LISETH</vt:lpstr>
      <vt:lpstr>LA PLACA</vt:lpstr>
      <vt:lpstr>CESAR AUGUSTO NIÑO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cp:lastPrinted>2025-05-09T21:40:00Z</cp:lastPrinted>
  <dcterms:created xsi:type="dcterms:W3CDTF">2015-06-05T18:19:34Z</dcterms:created>
  <dcterms:modified xsi:type="dcterms:W3CDTF">2025-05-09T21:42:26Z</dcterms:modified>
</cp:coreProperties>
</file>
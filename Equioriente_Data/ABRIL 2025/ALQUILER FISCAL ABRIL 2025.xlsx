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5\ABRIL 2025\"/>
    </mc:Choice>
  </mc:AlternateContent>
  <xr:revisionPtr revIDLastSave="0" documentId="13_ncr:1_{0B57EEAA-7D39-42FB-920E-A018675AB159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EDUSYSTEMAS" sheetId="1" r:id="rId1"/>
    <sheet name="PROCAR" sheetId="2" r:id="rId2"/>
    <sheet name="AMERICANA DE BASCULAS" sheetId="3" r:id="rId3"/>
    <sheet name="CONKAS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4" l="1"/>
  <c r="E44" i="4"/>
  <c r="J6" i="4"/>
  <c r="J7" i="4"/>
  <c r="J8" i="4"/>
  <c r="J9" i="4"/>
  <c r="J10" i="4"/>
  <c r="J11" i="4"/>
  <c r="J12" i="4"/>
  <c r="J13" i="4"/>
  <c r="J14" i="4"/>
  <c r="J15" i="4"/>
  <c r="J17" i="4"/>
  <c r="E26" i="4"/>
  <c r="F26" i="4" s="1"/>
  <c r="E27" i="4"/>
  <c r="F27" i="4" s="1"/>
  <c r="E28" i="4"/>
  <c r="F28" i="4" s="1"/>
  <c r="E29" i="4"/>
  <c r="F29" i="4"/>
  <c r="E30" i="4"/>
  <c r="F30" i="4" s="1"/>
  <c r="E31" i="4"/>
  <c r="F31" i="4" s="1"/>
  <c r="E32" i="4"/>
  <c r="F32" i="4" s="1"/>
  <c r="E33" i="4"/>
  <c r="F33" i="4"/>
  <c r="E34" i="4"/>
  <c r="F34" i="4" s="1"/>
  <c r="E35" i="4"/>
  <c r="F35" i="4"/>
  <c r="E36" i="4"/>
  <c r="F36" i="4" s="1"/>
  <c r="E37" i="4"/>
  <c r="F37" i="4"/>
  <c r="E38" i="4"/>
  <c r="F38" i="4" s="1"/>
  <c r="E39" i="4"/>
  <c r="F39" i="4" s="1"/>
  <c r="E40" i="4"/>
  <c r="F40" i="4" s="1"/>
  <c r="E41" i="4"/>
  <c r="F41" i="4"/>
  <c r="E42" i="4"/>
  <c r="F42" i="4" s="1"/>
  <c r="E43" i="4"/>
  <c r="F43" i="4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E22" i="2"/>
  <c r="F22" i="2" s="1"/>
  <c r="E21" i="2"/>
  <c r="F21" i="2" s="1"/>
  <c r="E20" i="2"/>
  <c r="F20" i="2" s="1"/>
  <c r="E47" i="4" l="1"/>
  <c r="E23" i="2"/>
  <c r="E24" i="2"/>
  <c r="E26" i="2" s="1"/>
  <c r="E25" i="2"/>
  <c r="F11" i="2" l="1"/>
  <c r="F10" i="2"/>
  <c r="F9" i="2"/>
  <c r="F8" i="2"/>
  <c r="F7" i="2"/>
  <c r="F6" i="2"/>
  <c r="E36" i="1" l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 l="1"/>
  <c r="F27" i="1" s="1"/>
  <c r="E26" i="1"/>
  <c r="E37" i="1" s="1"/>
  <c r="F26" i="1" l="1"/>
  <c r="E38" i="1" s="1"/>
  <c r="E39" i="1" l="1"/>
  <c r="E41" i="1" s="1"/>
</calcChain>
</file>

<file path=xl/sharedStrings.xml><?xml version="1.0" encoding="utf-8"?>
<sst xmlns="http://schemas.openxmlformats.org/spreadsheetml/2006/main" count="163" uniqueCount="97">
  <si>
    <t>EQUIORIENTE SAS</t>
  </si>
  <si>
    <t>CARRERA 37 # 42-83</t>
  </si>
  <si>
    <t>EDUSYSTEMAS LTDA</t>
  </si>
  <si>
    <t>MATERIAL</t>
  </si>
  <si>
    <t>DETALLES</t>
  </si>
  <si>
    <t>COSTOS</t>
  </si>
  <si>
    <t>PERIODO</t>
  </si>
  <si>
    <t>DIAS</t>
  </si>
  <si>
    <t>CANTIDAD</t>
  </si>
  <si>
    <t>VALOR</t>
  </si>
  <si>
    <t>COSTO DIARIO</t>
  </si>
  <si>
    <t>PRECIO UTILIZADO</t>
  </si>
  <si>
    <t>SECCIONES DE AMDAMIO</t>
  </si>
  <si>
    <t>SUB-TOTAL DIARIOCON IVA</t>
  </si>
  <si>
    <t>SUBTOTAL</t>
  </si>
  <si>
    <t>IVA 19 %</t>
  </si>
  <si>
    <t>TRANSPORTE</t>
  </si>
  <si>
    <t xml:space="preserve"> GRANTOTAL</t>
  </si>
  <si>
    <t>EUDYSISTEMAS/MARICELL</t>
  </si>
  <si>
    <t>CRA 37#42-83TEL:3012077293</t>
  </si>
  <si>
    <t xml:space="preserve">SALDO </t>
  </si>
  <si>
    <t>MARCOS DE ANDAMIOS 1.50 VERDES</t>
  </si>
  <si>
    <t>CRUCETAS 2.40</t>
  </si>
  <si>
    <t>TABLONES  DE 3 MTROS</t>
  </si>
  <si>
    <t>FORMALETA DE 15*1.20</t>
  </si>
  <si>
    <t>FORMALETA DE 40*1.20</t>
  </si>
  <si>
    <t>FORMALETA DE 30*1.20</t>
  </si>
  <si>
    <t>ANGULOS DE 60</t>
  </si>
  <si>
    <t>ANGULOS DE 1.20</t>
  </si>
  <si>
    <t>PARALES DE 3 MTROS</t>
  </si>
  <si>
    <t>CHAPETAS</t>
  </si>
  <si>
    <t>CAJA METALICA</t>
  </si>
  <si>
    <t>Hora</t>
  </si>
  <si>
    <t>TABLONES 3 MTS</t>
  </si>
  <si>
    <t>FORMALETA 15 X 120</t>
  </si>
  <si>
    <t>FORMALETA 40 X 120</t>
  </si>
  <si>
    <t>ABRIL 9 AL 9</t>
  </si>
  <si>
    <t>FORMALETA 30 X 120</t>
  </si>
  <si>
    <t>ANGULOS DE 60 CM</t>
  </si>
  <si>
    <t>ANGULOS DE 120 CM</t>
  </si>
  <si>
    <t>PARALES 3 MTS</t>
  </si>
  <si>
    <t>PROCAR INVERSIONES</t>
  </si>
  <si>
    <t>PARQUE INDUSTRIAL</t>
  </si>
  <si>
    <t>MOVIMIENTO: ABRIL/ 2025</t>
  </si>
  <si>
    <t xml:space="preserve">MARCOS DE ANDAMIOS 1.50 AMARILLOS </t>
  </si>
  <si>
    <t>RUEDAS DE ANDAMIOS</t>
  </si>
  <si>
    <t>XVY-256</t>
  </si>
  <si>
    <t>QGZ-294</t>
  </si>
  <si>
    <t>PARQUE IND. 1 BODEGA 13 MANZANA C</t>
  </si>
  <si>
    <t>PRECIO DIARIO</t>
  </si>
  <si>
    <t>SECCIONES DE ANDAMIO 1,5</t>
  </si>
  <si>
    <t>RUEDAS DE ANDMIO</t>
  </si>
  <si>
    <t>5 DIAS</t>
  </si>
  <si>
    <t>RETENCION 4 %</t>
  </si>
  <si>
    <t>SALDO</t>
  </si>
  <si>
    <t>MARZO 27 A ABRIL 30</t>
  </si>
  <si>
    <t>ABRIL 9 AL 30</t>
  </si>
  <si>
    <t>ABRIL 10 AL30</t>
  </si>
  <si>
    <t>ABRIL 10 AL 30</t>
  </si>
  <si>
    <t>MARZO 27 A ABRIL30</t>
  </si>
  <si>
    <t xml:space="preserve">TOTAL DIAS </t>
  </si>
  <si>
    <t>TOTAL IVA INCLUIDO</t>
  </si>
  <si>
    <t>TOTAL DIARIO IVA INCLUIDO</t>
  </si>
  <si>
    <t>ABRIL 3 AL 22 ABRIL 2025</t>
  </si>
  <si>
    <t>ABRIL 15 AL 22</t>
  </si>
  <si>
    <t>ABRIL 11 AL 14</t>
  </si>
  <si>
    <t>ABRIL 3 AL 10</t>
  </si>
  <si>
    <t>ANGULOS 60</t>
  </si>
  <si>
    <t>ABRIL 3 AL 14</t>
  </si>
  <si>
    <t>ANGULOS120</t>
  </si>
  <si>
    <t>ABRIL 3 AL 21</t>
  </si>
  <si>
    <t>RINCONERAS 10 X 10 X 120</t>
  </si>
  <si>
    <t>ABRIL 16 AL 22</t>
  </si>
  <si>
    <t>FORMALETA DE 50X1.20</t>
  </si>
  <si>
    <t>FORMALETAS 20 X 120</t>
  </si>
  <si>
    <t>FORMALETAS 30 X 120</t>
  </si>
  <si>
    <t>ABRIL 3 al 14</t>
  </si>
  <si>
    <t>ABRIL 3 al 21</t>
  </si>
  <si>
    <t>FORMALETAS 60 X 120</t>
  </si>
  <si>
    <t>FORMALETA DE 40X1.20</t>
  </si>
  <si>
    <t>FORMALETAS 40 X 120</t>
  </si>
  <si>
    <t>FORMALETAS 25 X 120</t>
  </si>
  <si>
    <t>ANDREA CONKASA: 3165755563</t>
  </si>
  <si>
    <t>TAW 052</t>
  </si>
  <si>
    <t xml:space="preserve">TRANSPORTE </t>
  </si>
  <si>
    <t>HORA</t>
  </si>
  <si>
    <t>RINCONERAS DE 10*10*1.20</t>
  </si>
  <si>
    <t>FORMALETA DE 50*1.20</t>
  </si>
  <si>
    <t>FORMALETA DE 20*1.20</t>
  </si>
  <si>
    <t>FORMALETA DE 60*1.20</t>
  </si>
  <si>
    <t>CONKASA CONSTRUCTORES S.A</t>
  </si>
  <si>
    <t xml:space="preserve">MOVIMIENTO:ABRIL 3 AL 22/2025 </t>
  </si>
  <si>
    <t>CRA 23#7-15</t>
  </si>
  <si>
    <t>CRA 23 CALLE 7 ESQUINA</t>
  </si>
  <si>
    <t>PERIODO ABRIL 3 AL 22</t>
  </si>
  <si>
    <t>VALOR TOTAL</t>
  </si>
  <si>
    <t>ACARREOS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</si>
</sst>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(&quot;$&quot;\ * #,##0_);_(&quot;$&quot;\ * \(#,##0\);_(&quot;$&quot;\ * &quot;-&quot;??_);_(@_)"/>
    <numFmt numFmtId="165" formatCode="hh:mm:ss;@"/>
    <numFmt numFmtId="166" formatCode="_-&quot;$&quot;\ * #,##0_-;\-&quot;$&quot;\ * #,##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10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4"/>
      <color theme="1"/>
      <name val="Arial Black"/>
      <family val="2"/>
    </font>
    <font>
      <b/>
      <sz val="14"/>
      <color theme="1"/>
      <name val="Calibri"/>
      <family val="2"/>
      <scheme val="minor"/>
    </font>
    <font>
      <sz val="14"/>
      <color theme="1"/>
      <name val="Arial Black"/>
      <family val="2"/>
    </font>
    <font>
      <b/>
      <sz val="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9">
    <xf numFmtId="0" fontId="0" fillId="0" borderId="0" xfId="0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164" fontId="0" fillId="3" borderId="5" xfId="1" applyNumberFormat="1" applyFont="1" applyFill="1" applyBorder="1"/>
    <xf numFmtId="164" fontId="0" fillId="0" borderId="5" xfId="1" applyNumberFormat="1" applyFont="1" applyBorder="1"/>
    <xf numFmtId="164" fontId="8" fillId="5" borderId="5" xfId="1" applyNumberFormat="1" applyFont="1" applyFill="1" applyBorder="1"/>
    <xf numFmtId="164" fontId="8" fillId="6" borderId="5" xfId="1" applyNumberFormat="1" applyFont="1" applyFill="1" applyBorder="1"/>
    <xf numFmtId="164" fontId="8" fillId="7" borderId="5" xfId="1" applyNumberFormat="1" applyFont="1" applyFill="1" applyBorder="1"/>
    <xf numFmtId="164" fontId="9" fillId="8" borderId="7" xfId="1" applyNumberFormat="1" applyFont="1" applyFill="1" applyBorder="1"/>
    <xf numFmtId="0" fontId="2" fillId="11" borderId="5" xfId="0" applyFont="1" applyFill="1" applyBorder="1" applyAlignment="1">
      <alignment horizontal="center" vertical="center"/>
    </xf>
    <xf numFmtId="1" fontId="2" fillId="10" borderId="5" xfId="0" applyNumberFormat="1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16" fontId="2" fillId="11" borderId="5" xfId="0" applyNumberFormat="1" applyFont="1" applyFill="1" applyBorder="1" applyAlignment="1">
      <alignment horizontal="center" vertical="center"/>
    </xf>
    <xf numFmtId="16" fontId="2" fillId="10" borderId="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11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11" borderId="5" xfId="0" applyNumberFormat="1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vertical="center"/>
    </xf>
    <xf numFmtId="20" fontId="2" fillId="10" borderId="5" xfId="1" applyNumberFormat="1" applyFont="1" applyFill="1" applyBorder="1" applyAlignment="1">
      <alignment horizontal="center" vertical="center"/>
    </xf>
    <xf numFmtId="165" fontId="2" fillId="10" borderId="5" xfId="0" applyNumberFormat="1" applyFont="1" applyFill="1" applyBorder="1" applyAlignment="1">
      <alignment horizontal="center" vertical="center"/>
    </xf>
    <xf numFmtId="166" fontId="2" fillId="10" borderId="5" xfId="1" applyNumberFormat="1" applyFont="1" applyFill="1" applyBorder="1" applyAlignment="1">
      <alignment horizontal="center" vertical="center"/>
    </xf>
    <xf numFmtId="166" fontId="2" fillId="10" borderId="5" xfId="1" applyNumberFormat="1" applyFont="1" applyFill="1" applyBorder="1" applyAlignment="1">
      <alignment vertical="center"/>
    </xf>
    <xf numFmtId="20" fontId="2" fillId="10" borderId="5" xfId="0" applyNumberFormat="1" applyFont="1" applyFill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vertical="center"/>
    </xf>
    <xf numFmtId="164" fontId="0" fillId="0" borderId="6" xfId="1" applyNumberFormat="1" applyFont="1" applyBorder="1"/>
    <xf numFmtId="164" fontId="8" fillId="7" borderId="11" xfId="1" applyNumberFormat="1" applyFont="1" applyFill="1" applyBorder="1"/>
    <xf numFmtId="20" fontId="2" fillId="7" borderId="5" xfId="0" applyNumberFormat="1" applyFont="1" applyFill="1" applyBorder="1" applyAlignment="1">
      <alignment vertical="center"/>
    </xf>
    <xf numFmtId="20" fontId="2" fillId="7" borderId="5" xfId="1" applyNumberFormat="1" applyFont="1" applyFill="1" applyBorder="1" applyAlignment="1">
      <alignment horizontal="center" vertical="center"/>
    </xf>
    <xf numFmtId="165" fontId="2" fillId="7" borderId="5" xfId="0" applyNumberFormat="1" applyFont="1" applyFill="1" applyBorder="1" applyAlignment="1">
      <alignment horizontal="center" vertical="center"/>
    </xf>
    <xf numFmtId="1" fontId="2" fillId="7" borderId="5" xfId="0" applyNumberFormat="1" applyFont="1" applyFill="1" applyBorder="1" applyAlignment="1">
      <alignment horizontal="center" vertical="center"/>
    </xf>
    <xf numFmtId="166" fontId="2" fillId="7" borderId="5" xfId="1" applyNumberFormat="1" applyFont="1" applyFill="1" applyBorder="1" applyAlignment="1">
      <alignment vertical="center"/>
    </xf>
    <xf numFmtId="166" fontId="2" fillId="7" borderId="5" xfId="1" applyNumberFormat="1" applyFont="1" applyFill="1" applyBorder="1" applyAlignment="1">
      <alignment horizontal="center" vertical="center"/>
    </xf>
    <xf numFmtId="164" fontId="8" fillId="8" borderId="7" xfId="1" applyNumberFormat="1" applyFont="1" applyFill="1" applyBorder="1"/>
    <xf numFmtId="164" fontId="8" fillId="4" borderId="5" xfId="1" applyNumberFormat="1" applyFont="1" applyFill="1" applyBorder="1"/>
    <xf numFmtId="0" fontId="0" fillId="4" borderId="5" xfId="0" applyFill="1" applyBorder="1" applyAlignment="1">
      <alignment horizontal="center"/>
    </xf>
    <xf numFmtId="166" fontId="2" fillId="10" borderId="5" xfId="1" applyNumberFormat="1" applyFont="1" applyFill="1" applyBorder="1" applyAlignment="1">
      <alignment horizontal="center"/>
    </xf>
    <xf numFmtId="164" fontId="2" fillId="10" borderId="5" xfId="1" applyNumberFormat="1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/>
    </xf>
    <xf numFmtId="20" fontId="2" fillId="10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64" fontId="8" fillId="14" borderId="5" xfId="1" applyNumberFormat="1" applyFont="1" applyFill="1" applyBorder="1"/>
    <xf numFmtId="164" fontId="8" fillId="13" borderId="5" xfId="1" applyNumberFormat="1" applyFont="1" applyFill="1" applyBorder="1"/>
    <xf numFmtId="16" fontId="0" fillId="0" borderId="6" xfId="0" applyNumberFormat="1" applyBorder="1"/>
    <xf numFmtId="16" fontId="0" fillId="0" borderId="6" xfId="0" applyNumberFormat="1" applyBorder="1" applyAlignment="1">
      <alignment horizontal="left"/>
    </xf>
    <xf numFmtId="14" fontId="6" fillId="4" borderId="21" xfId="0" applyNumberFormat="1" applyFont="1" applyFill="1" applyBorder="1" applyAlignment="1">
      <alignment horizontal="center" vertical="center" wrapText="1"/>
    </xf>
    <xf numFmtId="14" fontId="6" fillId="4" borderId="22" xfId="0" applyNumberFormat="1" applyFont="1" applyFill="1" applyBorder="1" applyAlignment="1">
      <alignment horizontal="center" vertical="center" wrapText="1"/>
    </xf>
    <xf numFmtId="14" fontId="6" fillId="4" borderId="23" xfId="0" applyNumberFormat="1" applyFont="1" applyFill="1" applyBorder="1" applyAlignment="1">
      <alignment horizontal="center" vertical="center" wrapText="1"/>
    </xf>
    <xf numFmtId="14" fontId="6" fillId="4" borderId="24" xfId="0" applyNumberFormat="1" applyFont="1" applyFill="1" applyBorder="1" applyAlignment="1">
      <alignment horizontal="center" vertical="center" wrapText="1"/>
    </xf>
    <xf numFmtId="14" fontId="6" fillId="4" borderId="25" xfId="0" applyNumberFormat="1" applyFont="1" applyFill="1" applyBorder="1" applyAlignment="1">
      <alignment horizontal="center" vertical="center" wrapText="1"/>
    </xf>
    <xf numFmtId="14" fontId="6" fillId="4" borderId="26" xfId="0" applyNumberFormat="1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10" fillId="9" borderId="8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0" fillId="12" borderId="5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11" fillId="4" borderId="4" xfId="0" applyNumberFormat="1" applyFont="1" applyFill="1" applyBorder="1" applyAlignment="1">
      <alignment horizontal="center" vertical="center" wrapText="1"/>
    </xf>
    <xf numFmtId="14" fontId="11" fillId="4" borderId="5" xfId="0" applyNumberFormat="1" applyFont="1" applyFill="1" applyBorder="1" applyAlignment="1">
      <alignment horizontal="center" vertical="center" wrapText="1"/>
    </xf>
    <xf numFmtId="14" fontId="11" fillId="4" borderId="27" xfId="0" applyNumberFormat="1" applyFont="1" applyFill="1" applyBorder="1" applyAlignment="1">
      <alignment horizontal="center" vertical="center" wrapText="1"/>
    </xf>
    <xf numFmtId="14" fontId="11" fillId="4" borderId="11" xfId="0" applyNumberFormat="1" applyFont="1" applyFill="1" applyBorder="1" applyAlignment="1">
      <alignment horizontal="center" vertical="center" wrapText="1"/>
    </xf>
    <xf numFmtId="14" fontId="11" fillId="4" borderId="29" xfId="0" applyNumberFormat="1" applyFont="1" applyFill="1" applyBorder="1" applyAlignment="1">
      <alignment horizontal="center" vertical="center" wrapText="1"/>
    </xf>
    <xf numFmtId="14" fontId="11" fillId="4" borderId="7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/>
    </xf>
    <xf numFmtId="0" fontId="10" fillId="9" borderId="6" xfId="0" applyFont="1" applyFill="1" applyBorder="1" applyAlignment="1">
      <alignment horizontal="center"/>
    </xf>
    <xf numFmtId="14" fontId="6" fillId="4" borderId="4" xfId="0" applyNumberFormat="1" applyFont="1" applyFill="1" applyBorder="1" applyAlignment="1">
      <alignment horizontal="center" vertical="center" wrapText="1"/>
    </xf>
    <xf numFmtId="14" fontId="6" fillId="4" borderId="5" xfId="0" applyNumberFormat="1" applyFont="1" applyFill="1" applyBorder="1" applyAlignment="1">
      <alignment horizontal="center" vertical="center" wrapText="1"/>
    </xf>
    <xf numFmtId="14" fontId="6" fillId="4" borderId="29" xfId="0" applyNumberFormat="1" applyFont="1" applyFill="1" applyBorder="1" applyAlignment="1">
      <alignment horizontal="center" vertical="center" wrapText="1"/>
    </xf>
    <xf numFmtId="14" fontId="6" fillId="4" borderId="7" xfId="0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5" borderId="3" xfId="0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20</xdr:row>
      <xdr:rowOff>114299</xdr:rowOff>
    </xdr:from>
    <xdr:to>
      <xdr:col>0</xdr:col>
      <xdr:colOff>1981200</xdr:colOff>
      <xdr:row>20</xdr:row>
      <xdr:rowOff>1028699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E57FBF-60B1-40AB-868E-C1941BAE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5267324"/>
          <a:ext cx="1971675" cy="9144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14</xdr:row>
      <xdr:rowOff>142874</xdr:rowOff>
    </xdr:from>
    <xdr:to>
      <xdr:col>1</xdr:col>
      <xdr:colOff>619125</xdr:colOff>
      <xdr:row>14</xdr:row>
      <xdr:rowOff>1066800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E9CC15-1BCB-47A4-BE1D-9921031B8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962274"/>
          <a:ext cx="3019425" cy="923926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19</xdr:row>
      <xdr:rowOff>209551</xdr:rowOff>
    </xdr:from>
    <xdr:to>
      <xdr:col>1</xdr:col>
      <xdr:colOff>95250</xdr:colOff>
      <xdr:row>19</xdr:row>
      <xdr:rowOff>857251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827792-7E79-475F-A82A-09572C465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29051"/>
          <a:ext cx="1695450" cy="6477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1"/>
  <sheetViews>
    <sheetView topLeftCell="A28" workbookViewId="0">
      <selection sqref="A1:G41"/>
    </sheetView>
  </sheetViews>
  <sheetFormatPr baseColWidth="10" defaultColWidth="9.140625" defaultRowHeight="15" x14ac:dyDescent="0.25"/>
  <cols>
    <col min="1" max="1" width="30.5703125" bestFit="1" customWidth="1"/>
    <col min="2" max="2" width="9.42578125" bestFit="1" customWidth="1"/>
    <col min="4" max="4" width="16.5703125" customWidth="1"/>
    <col min="5" max="5" width="18.42578125" bestFit="1" customWidth="1"/>
    <col min="6" max="6" width="15.85546875" customWidth="1"/>
    <col min="7" max="7" width="22.85546875" customWidth="1"/>
  </cols>
  <sheetData>
    <row r="1" spans="1:6" ht="18.75" x14ac:dyDescent="0.3">
      <c r="A1" s="71" t="s">
        <v>18</v>
      </c>
      <c r="B1" s="72"/>
      <c r="C1" s="72"/>
      <c r="D1" s="72"/>
      <c r="E1" s="72"/>
      <c r="F1" s="73"/>
    </row>
    <row r="2" spans="1:6" ht="18.75" x14ac:dyDescent="0.3">
      <c r="A2" s="71" t="s">
        <v>19</v>
      </c>
      <c r="B2" s="72"/>
      <c r="C2" s="72"/>
      <c r="D2" s="72"/>
      <c r="E2" s="72"/>
      <c r="F2" s="73"/>
    </row>
    <row r="3" spans="1:6" ht="18.75" x14ac:dyDescent="0.3">
      <c r="A3" s="71" t="s">
        <v>43</v>
      </c>
      <c r="B3" s="72"/>
      <c r="C3" s="72"/>
      <c r="D3" s="72"/>
      <c r="E3" s="72"/>
      <c r="F3" s="73"/>
    </row>
    <row r="4" spans="1:6" x14ac:dyDescent="0.25">
      <c r="A4" s="74" t="s">
        <v>3</v>
      </c>
      <c r="B4" s="12" t="s">
        <v>54</v>
      </c>
      <c r="C4" s="13">
        <v>12649</v>
      </c>
      <c r="D4" s="14">
        <v>12650</v>
      </c>
      <c r="E4" s="14">
        <v>12667</v>
      </c>
      <c r="F4" s="12" t="s">
        <v>20</v>
      </c>
    </row>
    <row r="5" spans="1:6" x14ac:dyDescent="0.25">
      <c r="A5" s="75"/>
      <c r="B5" s="15">
        <v>45743</v>
      </c>
      <c r="C5" s="16">
        <v>45756</v>
      </c>
      <c r="D5" s="16">
        <v>45757</v>
      </c>
      <c r="E5" s="16">
        <v>45768</v>
      </c>
      <c r="F5" s="15">
        <v>45777</v>
      </c>
    </row>
    <row r="6" spans="1:6" x14ac:dyDescent="0.25">
      <c r="A6" s="17" t="s">
        <v>21</v>
      </c>
      <c r="B6" s="18">
        <v>4</v>
      </c>
      <c r="C6" s="19"/>
      <c r="D6" s="19"/>
      <c r="E6" s="19"/>
      <c r="F6" s="20">
        <f>SUM(B6:E6)</f>
        <v>4</v>
      </c>
    </row>
    <row r="7" spans="1:6" x14ac:dyDescent="0.25">
      <c r="A7" s="17" t="s">
        <v>22</v>
      </c>
      <c r="B7" s="18">
        <v>4</v>
      </c>
      <c r="C7" s="19"/>
      <c r="D7" s="19"/>
      <c r="E7" s="19"/>
      <c r="F7" s="20">
        <f>SUM(B7:E7)</f>
        <v>4</v>
      </c>
    </row>
    <row r="8" spans="1:6" x14ac:dyDescent="0.25">
      <c r="A8" s="17" t="s">
        <v>23</v>
      </c>
      <c r="B8" s="18">
        <v>2</v>
      </c>
      <c r="C8" s="19"/>
      <c r="D8" s="19"/>
      <c r="E8" s="19"/>
      <c r="F8" s="20">
        <f>SUM(B8:E8)</f>
        <v>2</v>
      </c>
    </row>
    <row r="9" spans="1:6" x14ac:dyDescent="0.25">
      <c r="A9" s="17" t="s">
        <v>24</v>
      </c>
      <c r="B9" s="18"/>
      <c r="C9" s="19">
        <v>12</v>
      </c>
      <c r="D9" s="19"/>
      <c r="E9" s="19"/>
      <c r="F9" s="20">
        <f t="shared" ref="F9:F18" si="0">SUM(B9:E9)</f>
        <v>12</v>
      </c>
    </row>
    <row r="10" spans="1:6" x14ac:dyDescent="0.25">
      <c r="A10" s="17" t="s">
        <v>25</v>
      </c>
      <c r="B10" s="18"/>
      <c r="C10" s="19">
        <v>6</v>
      </c>
      <c r="D10" s="19">
        <v>6</v>
      </c>
      <c r="E10" s="19">
        <v>4</v>
      </c>
      <c r="F10" s="20">
        <f t="shared" si="0"/>
        <v>16</v>
      </c>
    </row>
    <row r="11" spans="1:6" x14ac:dyDescent="0.25">
      <c r="A11" s="17" t="s">
        <v>26</v>
      </c>
      <c r="B11" s="18"/>
      <c r="C11" s="19">
        <v>6</v>
      </c>
      <c r="D11" s="19">
        <v>6</v>
      </c>
      <c r="E11" s="19"/>
      <c r="F11" s="20">
        <f t="shared" si="0"/>
        <v>12</v>
      </c>
    </row>
    <row r="12" spans="1:6" x14ac:dyDescent="0.25">
      <c r="A12" s="17" t="s">
        <v>27</v>
      </c>
      <c r="B12" s="18"/>
      <c r="C12" s="19">
        <v>24</v>
      </c>
      <c r="D12" s="19"/>
      <c r="E12" s="19"/>
      <c r="F12" s="20">
        <f t="shared" si="0"/>
        <v>24</v>
      </c>
    </row>
    <row r="13" spans="1:6" x14ac:dyDescent="0.25">
      <c r="A13" s="17" t="s">
        <v>28</v>
      </c>
      <c r="B13" s="18"/>
      <c r="C13" s="19">
        <v>12</v>
      </c>
      <c r="D13" s="19"/>
      <c r="E13" s="19"/>
      <c r="F13" s="20">
        <f t="shared" si="0"/>
        <v>12</v>
      </c>
    </row>
    <row r="14" spans="1:6" x14ac:dyDescent="0.25">
      <c r="A14" s="17" t="s">
        <v>29</v>
      </c>
      <c r="B14" s="18"/>
      <c r="C14" s="19">
        <v>18</v>
      </c>
      <c r="D14" s="19"/>
      <c r="E14" s="19"/>
      <c r="F14" s="20">
        <f t="shared" si="0"/>
        <v>18</v>
      </c>
    </row>
    <row r="15" spans="1:6" x14ac:dyDescent="0.25">
      <c r="A15" s="17" t="s">
        <v>30</v>
      </c>
      <c r="B15" s="18"/>
      <c r="C15" s="19">
        <v>300</v>
      </c>
      <c r="D15" s="19"/>
      <c r="E15" s="19"/>
      <c r="F15" s="20">
        <f t="shared" si="0"/>
        <v>300</v>
      </c>
    </row>
    <row r="16" spans="1:6" x14ac:dyDescent="0.25">
      <c r="A16" s="17" t="s">
        <v>31</v>
      </c>
      <c r="B16" s="18"/>
      <c r="C16" s="19">
        <v>1</v>
      </c>
      <c r="D16" s="19"/>
      <c r="E16" s="19"/>
      <c r="F16" s="20">
        <f t="shared" si="0"/>
        <v>1</v>
      </c>
    </row>
    <row r="17" spans="1:7" x14ac:dyDescent="0.25">
      <c r="A17" s="21" t="s">
        <v>32</v>
      </c>
      <c r="B17" s="31">
        <v>0.33333333333333331</v>
      </c>
      <c r="C17" s="32">
        <v>0.33333333333333331</v>
      </c>
      <c r="D17" s="32">
        <v>0.3125</v>
      </c>
      <c r="E17" s="33">
        <v>0.41666666666666669</v>
      </c>
      <c r="F17" s="34">
        <f t="shared" si="0"/>
        <v>1.3958333333333333</v>
      </c>
    </row>
    <row r="18" spans="1:7" x14ac:dyDescent="0.25">
      <c r="A18" s="21" t="s">
        <v>16</v>
      </c>
      <c r="B18" s="35">
        <v>30000</v>
      </c>
      <c r="C18" s="36">
        <v>35000</v>
      </c>
      <c r="D18" s="35">
        <v>30000</v>
      </c>
      <c r="E18" s="35">
        <v>25000</v>
      </c>
      <c r="F18" s="36">
        <f t="shared" si="0"/>
        <v>120000</v>
      </c>
    </row>
    <row r="20" spans="1:7" ht="15.75" thickBot="1" x14ac:dyDescent="0.3"/>
    <row r="21" spans="1:7" ht="82.5" customHeight="1" x14ac:dyDescent="0.25">
      <c r="A21" s="76" t="s">
        <v>0</v>
      </c>
      <c r="B21" s="77"/>
      <c r="C21" s="77"/>
      <c r="D21" s="77"/>
      <c r="E21" s="77"/>
      <c r="F21" s="77"/>
      <c r="G21" s="78"/>
    </row>
    <row r="22" spans="1:7" ht="18" x14ac:dyDescent="0.25">
      <c r="A22" s="79" t="s">
        <v>1</v>
      </c>
      <c r="B22" s="80"/>
      <c r="C22" s="80"/>
      <c r="D22" s="80"/>
      <c r="E22" s="80"/>
      <c r="F22" s="80"/>
      <c r="G22" s="81"/>
    </row>
    <row r="23" spans="1:7" ht="18" x14ac:dyDescent="0.25">
      <c r="A23" s="79" t="s">
        <v>2</v>
      </c>
      <c r="B23" s="80"/>
      <c r="C23" s="80"/>
      <c r="D23" s="80"/>
      <c r="E23" s="80"/>
      <c r="F23" s="80"/>
      <c r="G23" s="81"/>
    </row>
    <row r="24" spans="1:7" x14ac:dyDescent="0.25">
      <c r="A24" s="82" t="s">
        <v>3</v>
      </c>
      <c r="B24" s="69" t="s">
        <v>4</v>
      </c>
      <c r="C24" s="69"/>
      <c r="D24" s="69"/>
      <c r="E24" s="69" t="s">
        <v>5</v>
      </c>
      <c r="F24" s="69"/>
      <c r="G24" s="70" t="s">
        <v>6</v>
      </c>
    </row>
    <row r="25" spans="1:7" x14ac:dyDescent="0.25">
      <c r="A25" s="82"/>
      <c r="B25" s="1" t="s">
        <v>7</v>
      </c>
      <c r="C25" s="1" t="s">
        <v>8</v>
      </c>
      <c r="D25" s="1" t="s">
        <v>9</v>
      </c>
      <c r="E25" s="1" t="s">
        <v>10</v>
      </c>
      <c r="F25" s="3" t="s">
        <v>11</v>
      </c>
      <c r="G25" s="70"/>
    </row>
    <row r="26" spans="1:7" x14ac:dyDescent="0.25">
      <c r="A26" s="4" t="s">
        <v>12</v>
      </c>
      <c r="B26" s="5">
        <v>35</v>
      </c>
      <c r="C26" s="5">
        <v>2</v>
      </c>
      <c r="D26" s="6">
        <v>1500</v>
      </c>
      <c r="E26" s="7">
        <f>C26*D26</f>
        <v>3000</v>
      </c>
      <c r="F26" s="7">
        <f>B26*E26</f>
        <v>105000</v>
      </c>
      <c r="G26" s="2" t="s">
        <v>55</v>
      </c>
    </row>
    <row r="27" spans="1:7" x14ac:dyDescent="0.25">
      <c r="A27" s="4" t="s">
        <v>33</v>
      </c>
      <c r="B27" s="5">
        <v>35</v>
      </c>
      <c r="C27" s="5">
        <v>2</v>
      </c>
      <c r="D27" s="6">
        <v>700</v>
      </c>
      <c r="E27" s="7">
        <f t="shared" ref="E27" si="1">C27*D27</f>
        <v>1400</v>
      </c>
      <c r="F27" s="7">
        <f t="shared" ref="F27" si="2">B27*E27</f>
        <v>49000</v>
      </c>
      <c r="G27" s="2" t="s">
        <v>55</v>
      </c>
    </row>
    <row r="28" spans="1:7" x14ac:dyDescent="0.25">
      <c r="A28" s="4" t="s">
        <v>34</v>
      </c>
      <c r="B28" s="5">
        <v>20</v>
      </c>
      <c r="C28" s="5">
        <v>12</v>
      </c>
      <c r="D28" s="6">
        <v>240</v>
      </c>
      <c r="E28" s="7">
        <f t="shared" ref="E28" si="3">C28*D28</f>
        <v>2880</v>
      </c>
      <c r="F28" s="7">
        <f t="shared" ref="F28" si="4">B28*E28</f>
        <v>57600</v>
      </c>
      <c r="G28" s="2" t="s">
        <v>56</v>
      </c>
    </row>
    <row r="29" spans="1:7" x14ac:dyDescent="0.25">
      <c r="A29" s="4" t="s">
        <v>35</v>
      </c>
      <c r="B29" s="5">
        <v>1</v>
      </c>
      <c r="C29" s="5">
        <v>6</v>
      </c>
      <c r="D29" s="6">
        <v>300</v>
      </c>
      <c r="E29" s="7">
        <f t="shared" ref="E29" si="5">C29*D29</f>
        <v>1800</v>
      </c>
      <c r="F29" s="7">
        <f t="shared" ref="F29" si="6">B29*E29</f>
        <v>1800</v>
      </c>
      <c r="G29" s="2" t="s">
        <v>36</v>
      </c>
    </row>
    <row r="30" spans="1:7" x14ac:dyDescent="0.25">
      <c r="A30" s="4" t="s">
        <v>35</v>
      </c>
      <c r="B30" s="5">
        <v>21</v>
      </c>
      <c r="C30" s="5">
        <v>12</v>
      </c>
      <c r="D30" s="6">
        <v>300</v>
      </c>
      <c r="E30" s="7">
        <f t="shared" ref="E30:E31" si="7">C30*D30</f>
        <v>3600</v>
      </c>
      <c r="F30" s="7">
        <f t="shared" ref="F30:F31" si="8">B30*E30</f>
        <v>75600</v>
      </c>
      <c r="G30" s="2" t="s">
        <v>57</v>
      </c>
    </row>
    <row r="31" spans="1:7" x14ac:dyDescent="0.25">
      <c r="A31" s="4" t="s">
        <v>37</v>
      </c>
      <c r="B31" s="5">
        <v>1</v>
      </c>
      <c r="C31" s="5">
        <v>6</v>
      </c>
      <c r="D31" s="6">
        <v>280</v>
      </c>
      <c r="E31" s="7">
        <f t="shared" si="7"/>
        <v>1680</v>
      </c>
      <c r="F31" s="7">
        <f t="shared" si="8"/>
        <v>1680</v>
      </c>
      <c r="G31" s="2" t="s">
        <v>36</v>
      </c>
    </row>
    <row r="32" spans="1:7" x14ac:dyDescent="0.25">
      <c r="A32" s="4" t="s">
        <v>37</v>
      </c>
      <c r="B32" s="5">
        <v>21</v>
      </c>
      <c r="C32" s="5">
        <v>12</v>
      </c>
      <c r="D32" s="6">
        <v>280</v>
      </c>
      <c r="E32" s="7">
        <f t="shared" ref="E32" si="9">C32*D32</f>
        <v>3360</v>
      </c>
      <c r="F32" s="7">
        <f t="shared" ref="F32" si="10">B32*E32</f>
        <v>70560</v>
      </c>
      <c r="G32" s="2" t="s">
        <v>58</v>
      </c>
    </row>
    <row r="33" spans="1:7" x14ac:dyDescent="0.25">
      <c r="A33" s="4" t="s">
        <v>38</v>
      </c>
      <c r="B33" s="5">
        <v>22</v>
      </c>
      <c r="C33" s="5">
        <v>24</v>
      </c>
      <c r="D33" s="6">
        <v>50</v>
      </c>
      <c r="E33" s="7">
        <f t="shared" ref="E33" si="11">C33*D33</f>
        <v>1200</v>
      </c>
      <c r="F33" s="7">
        <f t="shared" ref="F33" si="12">B33*E33</f>
        <v>26400</v>
      </c>
      <c r="G33" s="2" t="s">
        <v>56</v>
      </c>
    </row>
    <row r="34" spans="1:7" x14ac:dyDescent="0.25">
      <c r="A34" s="4" t="s">
        <v>39</v>
      </c>
      <c r="B34" s="5">
        <v>22</v>
      </c>
      <c r="C34" s="5">
        <v>12</v>
      </c>
      <c r="D34" s="6">
        <v>90</v>
      </c>
      <c r="E34" s="7">
        <f t="shared" ref="E34" si="13">C34*D34</f>
        <v>1080</v>
      </c>
      <c r="F34" s="7">
        <f t="shared" ref="F34" si="14">B34*E34</f>
        <v>23760</v>
      </c>
      <c r="G34" s="2" t="s">
        <v>56</v>
      </c>
    </row>
    <row r="35" spans="1:7" x14ac:dyDescent="0.25">
      <c r="A35" s="4" t="s">
        <v>40</v>
      </c>
      <c r="B35" s="5">
        <v>22</v>
      </c>
      <c r="C35" s="5">
        <v>18</v>
      </c>
      <c r="D35" s="6">
        <v>150</v>
      </c>
      <c r="E35" s="7">
        <f t="shared" ref="E35" si="15">C35*D35</f>
        <v>2700</v>
      </c>
      <c r="F35" s="7">
        <f t="shared" ref="F35" si="16">B35*E35</f>
        <v>59400</v>
      </c>
      <c r="G35" s="2" t="s">
        <v>56</v>
      </c>
    </row>
    <row r="36" spans="1:7" x14ac:dyDescent="0.25">
      <c r="A36" s="4" t="s">
        <v>30</v>
      </c>
      <c r="B36" s="5">
        <v>22</v>
      </c>
      <c r="C36" s="5">
        <v>300</v>
      </c>
      <c r="D36" s="6">
        <v>25</v>
      </c>
      <c r="E36" s="7">
        <f t="shared" ref="E36" si="17">C36*D36</f>
        <v>7500</v>
      </c>
      <c r="F36" s="7">
        <f t="shared" ref="F36" si="18">B36*E36</f>
        <v>165000</v>
      </c>
      <c r="G36" s="2" t="s">
        <v>56</v>
      </c>
    </row>
    <row r="37" spans="1:7" ht="18.75" x14ac:dyDescent="0.4">
      <c r="A37" s="49" t="s">
        <v>59</v>
      </c>
      <c r="B37" s="50"/>
      <c r="C37" s="55" t="s">
        <v>13</v>
      </c>
      <c r="D37" s="56"/>
      <c r="E37" s="8">
        <f>SUM(E26:E36)*1.19</f>
        <v>35938</v>
      </c>
      <c r="F37" s="57"/>
      <c r="G37" s="58"/>
    </row>
    <row r="38" spans="1:7" ht="18.75" x14ac:dyDescent="0.4">
      <c r="A38" s="51"/>
      <c r="B38" s="52"/>
      <c r="C38" s="63" t="s">
        <v>14</v>
      </c>
      <c r="D38" s="64"/>
      <c r="E38" s="9">
        <f>SUM(F26:F36)</f>
        <v>635800</v>
      </c>
      <c r="F38" s="59"/>
      <c r="G38" s="60"/>
    </row>
    <row r="39" spans="1:7" ht="18.75" x14ac:dyDescent="0.4">
      <c r="A39" s="51"/>
      <c r="B39" s="52"/>
      <c r="C39" s="65" t="s">
        <v>15</v>
      </c>
      <c r="D39" s="66"/>
      <c r="E39" s="10">
        <f>E38*19%</f>
        <v>120802</v>
      </c>
      <c r="F39" s="59"/>
      <c r="G39" s="60"/>
    </row>
    <row r="40" spans="1:7" ht="18.75" x14ac:dyDescent="0.4">
      <c r="A40" s="51"/>
      <c r="B40" s="52"/>
      <c r="C40" s="65" t="s">
        <v>16</v>
      </c>
      <c r="D40" s="66"/>
      <c r="E40" s="10">
        <v>120000</v>
      </c>
      <c r="F40" s="59"/>
      <c r="G40" s="60"/>
    </row>
    <row r="41" spans="1:7" ht="23.25" thickBot="1" x14ac:dyDescent="0.5">
      <c r="A41" s="53"/>
      <c r="B41" s="54"/>
      <c r="C41" s="67" t="s">
        <v>17</v>
      </c>
      <c r="D41" s="68"/>
      <c r="E41" s="11">
        <f>E38+E39+E40</f>
        <v>876602</v>
      </c>
      <c r="F41" s="61"/>
      <c r="G41" s="62"/>
    </row>
  </sheetData>
  <mergeCells count="18">
    <mergeCell ref="E24:F24"/>
    <mergeCell ref="G24:G25"/>
    <mergeCell ref="A1:F1"/>
    <mergeCell ref="A2:F2"/>
    <mergeCell ref="A3:F3"/>
    <mergeCell ref="A4:A5"/>
    <mergeCell ref="A21:G21"/>
    <mergeCell ref="A22:G22"/>
    <mergeCell ref="A23:G23"/>
    <mergeCell ref="A24:A25"/>
    <mergeCell ref="B24:D24"/>
    <mergeCell ref="A37:B41"/>
    <mergeCell ref="C37:D37"/>
    <mergeCell ref="F37:G41"/>
    <mergeCell ref="C38:D38"/>
    <mergeCell ref="C39:D39"/>
    <mergeCell ref="C40:D40"/>
    <mergeCell ref="C41:D4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32A1-6807-403F-A491-62562CAFFEF4}">
  <dimension ref="A1:F26"/>
  <sheetViews>
    <sheetView topLeftCell="A15" workbookViewId="0">
      <selection activeCell="E25" sqref="E25"/>
    </sheetView>
  </sheetViews>
  <sheetFormatPr baseColWidth="10" defaultRowHeight="15" x14ac:dyDescent="0.25"/>
  <cols>
    <col min="1" max="1" width="38" bestFit="1" customWidth="1"/>
    <col min="5" max="5" width="23.85546875" customWidth="1"/>
    <col min="6" max="6" width="14.7109375" customWidth="1"/>
  </cols>
  <sheetData>
    <row r="1" spans="1:6" ht="18.75" x14ac:dyDescent="0.3">
      <c r="A1" s="71" t="s">
        <v>41</v>
      </c>
      <c r="B1" s="72"/>
      <c r="C1" s="72"/>
      <c r="D1" s="72"/>
      <c r="E1" s="72"/>
      <c r="F1" s="73"/>
    </row>
    <row r="2" spans="1:6" ht="18.75" x14ac:dyDescent="0.3">
      <c r="A2" s="71" t="s">
        <v>42</v>
      </c>
      <c r="B2" s="72"/>
      <c r="C2" s="72"/>
      <c r="D2" s="72"/>
      <c r="E2" s="72"/>
      <c r="F2" s="73"/>
    </row>
    <row r="3" spans="1:6" ht="18.75" x14ac:dyDescent="0.3">
      <c r="A3" s="71" t="s">
        <v>43</v>
      </c>
      <c r="B3" s="72"/>
      <c r="C3" s="72"/>
      <c r="D3" s="72"/>
      <c r="E3" s="72"/>
      <c r="F3" s="73"/>
    </row>
    <row r="4" spans="1:6" x14ac:dyDescent="0.25">
      <c r="A4" s="74" t="s">
        <v>3</v>
      </c>
      <c r="B4" s="14">
        <v>12673</v>
      </c>
      <c r="C4" s="13">
        <v>11484</v>
      </c>
      <c r="D4" s="14"/>
      <c r="E4" s="14"/>
      <c r="F4" s="12" t="s">
        <v>20</v>
      </c>
    </row>
    <row r="5" spans="1:6" x14ac:dyDescent="0.25">
      <c r="A5" s="75"/>
      <c r="B5" s="16">
        <v>45769</v>
      </c>
      <c r="C5" s="16">
        <v>45770</v>
      </c>
      <c r="D5" s="16"/>
      <c r="E5" s="16"/>
      <c r="F5" s="15">
        <v>45777</v>
      </c>
    </row>
    <row r="6" spans="1:6" x14ac:dyDescent="0.25">
      <c r="A6" s="17" t="s">
        <v>21</v>
      </c>
      <c r="B6" s="18">
        <v>10</v>
      </c>
      <c r="C6" s="19">
        <v>-10</v>
      </c>
      <c r="D6" s="19"/>
      <c r="E6" s="19"/>
      <c r="F6" s="20">
        <f t="shared" ref="F6:F11" si="0">SUM(B6:E6)</f>
        <v>0</v>
      </c>
    </row>
    <row r="7" spans="1:6" x14ac:dyDescent="0.25">
      <c r="A7" s="17" t="s">
        <v>44</v>
      </c>
      <c r="B7" s="18">
        <v>2</v>
      </c>
      <c r="C7" s="19">
        <v>-2</v>
      </c>
      <c r="D7" s="19"/>
      <c r="E7" s="19"/>
      <c r="F7" s="20">
        <f t="shared" si="0"/>
        <v>0</v>
      </c>
    </row>
    <row r="8" spans="1:6" x14ac:dyDescent="0.25">
      <c r="A8" s="17" t="s">
        <v>22</v>
      </c>
      <c r="B8" s="18">
        <v>12</v>
      </c>
      <c r="C8" s="19">
        <v>-12</v>
      </c>
      <c r="D8" s="19"/>
      <c r="E8" s="19"/>
      <c r="F8" s="20">
        <f t="shared" si="0"/>
        <v>0</v>
      </c>
    </row>
    <row r="9" spans="1:6" x14ac:dyDescent="0.25">
      <c r="A9" s="17" t="s">
        <v>23</v>
      </c>
      <c r="B9" s="18">
        <v>2</v>
      </c>
      <c r="C9" s="19">
        <v>-2</v>
      </c>
      <c r="D9" s="19"/>
      <c r="E9" s="19"/>
      <c r="F9" s="20">
        <f t="shared" si="0"/>
        <v>0</v>
      </c>
    </row>
    <row r="10" spans="1:6" x14ac:dyDescent="0.25">
      <c r="A10" s="17" t="s">
        <v>45</v>
      </c>
      <c r="B10" s="18">
        <v>4</v>
      </c>
      <c r="C10" s="19">
        <v>-4</v>
      </c>
      <c r="D10" s="19"/>
      <c r="E10" s="19"/>
      <c r="F10" s="20">
        <f t="shared" si="0"/>
        <v>0</v>
      </c>
    </row>
    <row r="11" spans="1:6" x14ac:dyDescent="0.25">
      <c r="A11" s="21" t="s">
        <v>32</v>
      </c>
      <c r="B11" s="26">
        <v>0.43055555555555558</v>
      </c>
      <c r="C11" s="22">
        <v>0.125</v>
      </c>
      <c r="D11" s="22"/>
      <c r="E11" s="23"/>
      <c r="F11" s="13">
        <f t="shared" si="0"/>
        <v>0.55555555555555558</v>
      </c>
    </row>
    <row r="12" spans="1:6" x14ac:dyDescent="0.25">
      <c r="A12" s="21" t="s">
        <v>16</v>
      </c>
      <c r="B12" s="25" t="s">
        <v>46</v>
      </c>
      <c r="C12" s="24" t="s">
        <v>47</v>
      </c>
      <c r="D12" s="25"/>
      <c r="E12" s="25"/>
      <c r="F12" s="24"/>
    </row>
    <row r="14" spans="1:6" ht="15.75" thickBot="1" x14ac:dyDescent="0.3"/>
    <row r="15" spans="1:6" ht="95.25" customHeight="1" x14ac:dyDescent="0.25">
      <c r="A15" s="76" t="s">
        <v>0</v>
      </c>
      <c r="B15" s="77"/>
      <c r="C15" s="77"/>
      <c r="D15" s="77"/>
      <c r="E15" s="77"/>
      <c r="F15" s="78"/>
    </row>
    <row r="16" spans="1:6" ht="18.75" x14ac:dyDescent="0.3">
      <c r="A16" s="83" t="s">
        <v>48</v>
      </c>
      <c r="B16" s="83"/>
      <c r="C16" s="83"/>
      <c r="D16" s="83"/>
      <c r="E16" s="83"/>
      <c r="F16" s="83"/>
    </row>
    <row r="17" spans="1:6" ht="18.75" x14ac:dyDescent="0.3">
      <c r="A17" s="83" t="s">
        <v>41</v>
      </c>
      <c r="B17" s="83"/>
      <c r="C17" s="83"/>
      <c r="D17" s="83"/>
      <c r="E17" s="83"/>
      <c r="F17" s="83"/>
    </row>
    <row r="18" spans="1:6" x14ac:dyDescent="0.25">
      <c r="A18" s="82" t="s">
        <v>3</v>
      </c>
      <c r="B18" s="69" t="s">
        <v>4</v>
      </c>
      <c r="C18" s="69"/>
      <c r="D18" s="69"/>
      <c r="E18" s="69" t="s">
        <v>5</v>
      </c>
      <c r="F18" s="84"/>
    </row>
    <row r="19" spans="1:6" x14ac:dyDescent="0.25">
      <c r="A19" s="82"/>
      <c r="B19" s="1" t="s">
        <v>7</v>
      </c>
      <c r="C19" s="1" t="s">
        <v>8</v>
      </c>
      <c r="D19" s="1" t="s">
        <v>9</v>
      </c>
      <c r="E19" s="1" t="s">
        <v>10</v>
      </c>
      <c r="F19" s="27" t="s">
        <v>49</v>
      </c>
    </row>
    <row r="20" spans="1:6" x14ac:dyDescent="0.25">
      <c r="A20" s="28" t="s">
        <v>50</v>
      </c>
      <c r="B20" s="5">
        <v>5</v>
      </c>
      <c r="C20" s="5">
        <v>6</v>
      </c>
      <c r="D20" s="6">
        <v>1200</v>
      </c>
      <c r="E20" s="7">
        <f>C20*D20</f>
        <v>7200</v>
      </c>
      <c r="F20" s="29">
        <f>B20*E20</f>
        <v>36000</v>
      </c>
    </row>
    <row r="21" spans="1:6" x14ac:dyDescent="0.25">
      <c r="A21" s="28" t="s">
        <v>33</v>
      </c>
      <c r="B21" s="5">
        <v>5</v>
      </c>
      <c r="C21" s="5">
        <v>2</v>
      </c>
      <c r="D21" s="6">
        <v>600</v>
      </c>
      <c r="E21" s="7">
        <f>C21*D21</f>
        <v>1200</v>
      </c>
      <c r="F21" s="29">
        <f>B21*E21</f>
        <v>6000</v>
      </c>
    </row>
    <row r="22" spans="1:6" x14ac:dyDescent="0.25">
      <c r="A22" s="28" t="s">
        <v>51</v>
      </c>
      <c r="B22" s="5">
        <v>5</v>
      </c>
      <c r="C22" s="5">
        <v>4</v>
      </c>
      <c r="D22" s="6">
        <v>650</v>
      </c>
      <c r="E22" s="7">
        <f>C22*D22</f>
        <v>2600</v>
      </c>
      <c r="F22" s="29">
        <f>B22*E22</f>
        <v>13000</v>
      </c>
    </row>
    <row r="23" spans="1:6" ht="18.75" x14ac:dyDescent="0.4">
      <c r="A23" s="85" t="s">
        <v>52</v>
      </c>
      <c r="B23" s="86"/>
      <c r="C23" s="94" t="s">
        <v>7</v>
      </c>
      <c r="D23" s="94"/>
      <c r="E23" s="9">
        <f>SUM(F20:F22)</f>
        <v>55000</v>
      </c>
      <c r="F23" s="91"/>
    </row>
    <row r="24" spans="1:6" ht="18.75" x14ac:dyDescent="0.4">
      <c r="A24" s="87"/>
      <c r="B24" s="88"/>
      <c r="C24" s="65" t="s">
        <v>15</v>
      </c>
      <c r="D24" s="66"/>
      <c r="E24" s="30">
        <f>E23*19%</f>
        <v>10450</v>
      </c>
      <c r="F24" s="92"/>
    </row>
    <row r="25" spans="1:6" ht="18.75" x14ac:dyDescent="0.4">
      <c r="A25" s="87"/>
      <c r="B25" s="88"/>
      <c r="C25" s="65" t="s">
        <v>53</v>
      </c>
      <c r="D25" s="66"/>
      <c r="E25" s="30">
        <f>E23*0.04</f>
        <v>2200</v>
      </c>
      <c r="F25" s="92"/>
    </row>
    <row r="26" spans="1:6" ht="23.25" thickBot="1" x14ac:dyDescent="0.5">
      <c r="A26" s="89"/>
      <c r="B26" s="90"/>
      <c r="C26" s="67" t="s">
        <v>17</v>
      </c>
      <c r="D26" s="68"/>
      <c r="E26" s="11">
        <f>E23+E24-E25</f>
        <v>63250</v>
      </c>
      <c r="F26" s="93"/>
    </row>
  </sheetData>
  <mergeCells count="16">
    <mergeCell ref="C26:D26"/>
    <mergeCell ref="A17:F17"/>
    <mergeCell ref="A18:A19"/>
    <mergeCell ref="B18:D18"/>
    <mergeCell ref="E18:F18"/>
    <mergeCell ref="A23:B26"/>
    <mergeCell ref="F23:F26"/>
    <mergeCell ref="C23:D23"/>
    <mergeCell ref="C24:D24"/>
    <mergeCell ref="C25:D25"/>
    <mergeCell ref="A16:F16"/>
    <mergeCell ref="A1:F1"/>
    <mergeCell ref="A2:F2"/>
    <mergeCell ref="A3:F3"/>
    <mergeCell ref="A4:A5"/>
    <mergeCell ref="A15:F15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D09F-DD0B-4C9C-956F-96E98821ADFF}">
  <dimension ref="A1"/>
  <sheetViews>
    <sheetView topLeftCell="A13" workbookViewId="0">
      <selection activeCell="H11" sqref="H11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B0BE-CD13-495C-A932-1E6BDC6E0C6D}">
  <sheetPr>
    <pageSetUpPr fitToPage="1"/>
  </sheetPr>
  <dimension ref="A1:J47"/>
  <sheetViews>
    <sheetView tabSelected="1" topLeftCell="A41" workbookViewId="0">
      <selection activeCell="J28" sqref="J28"/>
    </sheetView>
  </sheetViews>
  <sheetFormatPr baseColWidth="10" defaultRowHeight="15" x14ac:dyDescent="0.25"/>
  <cols>
    <col min="1" max="1" width="29.140625" bestFit="1" customWidth="1"/>
    <col min="5" max="5" width="14.42578125" bestFit="1" customWidth="1"/>
    <col min="6" max="6" width="14.140625" bestFit="1" customWidth="1"/>
    <col min="7" max="7" width="17.7109375" customWidth="1"/>
  </cols>
  <sheetData>
    <row r="1" spans="1:10" ht="18.75" x14ac:dyDescent="0.3">
      <c r="A1" s="71" t="s">
        <v>90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18.75" x14ac:dyDescent="0.3">
      <c r="A2" s="71" t="s">
        <v>92</v>
      </c>
      <c r="B2" s="72"/>
      <c r="C2" s="72"/>
      <c r="D2" s="72"/>
      <c r="E2" s="72"/>
      <c r="F2" s="72"/>
      <c r="G2" s="72"/>
      <c r="H2" s="72"/>
      <c r="I2" s="72"/>
      <c r="J2" s="72"/>
    </row>
    <row r="3" spans="1:10" ht="18.75" x14ac:dyDescent="0.3">
      <c r="A3" s="71" t="s">
        <v>91</v>
      </c>
      <c r="B3" s="72"/>
      <c r="C3" s="72"/>
      <c r="D3" s="72"/>
      <c r="E3" s="72"/>
      <c r="F3" s="72"/>
      <c r="G3" s="72"/>
      <c r="H3" s="72"/>
      <c r="I3" s="72"/>
      <c r="J3" s="73"/>
    </row>
    <row r="4" spans="1:10" x14ac:dyDescent="0.25">
      <c r="A4" s="105" t="s">
        <v>90</v>
      </c>
      <c r="B4" s="14">
        <v>12643</v>
      </c>
      <c r="C4" s="13">
        <v>12654</v>
      </c>
      <c r="D4" s="13">
        <v>11472</v>
      </c>
      <c r="E4" s="13">
        <v>12659</v>
      </c>
      <c r="F4" s="13">
        <v>11475</v>
      </c>
      <c r="G4" s="13">
        <v>12663</v>
      </c>
      <c r="H4" s="13">
        <v>11479</v>
      </c>
      <c r="I4" s="13">
        <v>11481</v>
      </c>
      <c r="J4" s="14" t="s">
        <v>54</v>
      </c>
    </row>
    <row r="5" spans="1:10" x14ac:dyDescent="0.25">
      <c r="A5" s="105"/>
      <c r="B5" s="16">
        <v>45750</v>
      </c>
      <c r="C5" s="16">
        <v>45757</v>
      </c>
      <c r="D5" s="16">
        <v>45761</v>
      </c>
      <c r="E5" s="16">
        <v>45761</v>
      </c>
      <c r="F5" s="16">
        <v>45763</v>
      </c>
      <c r="G5" s="16">
        <v>45763</v>
      </c>
      <c r="H5" s="16">
        <v>45769</v>
      </c>
      <c r="I5" s="16">
        <v>45769</v>
      </c>
      <c r="J5" s="16">
        <v>45777</v>
      </c>
    </row>
    <row r="6" spans="1:10" x14ac:dyDescent="0.25">
      <c r="A6" s="28" t="s">
        <v>81</v>
      </c>
      <c r="B6" s="44">
        <v>2</v>
      </c>
      <c r="C6" s="19"/>
      <c r="D6" s="19"/>
      <c r="E6" s="19"/>
      <c r="F6" s="19"/>
      <c r="G6" s="19"/>
      <c r="H6" s="19">
        <v>-2</v>
      </c>
      <c r="I6" s="19"/>
      <c r="J6" s="18">
        <f>SUM(B6:H6)</f>
        <v>0</v>
      </c>
    </row>
    <row r="7" spans="1:10" x14ac:dyDescent="0.25">
      <c r="A7" s="28" t="s">
        <v>25</v>
      </c>
      <c r="B7" s="44">
        <v>8</v>
      </c>
      <c r="C7" s="19"/>
      <c r="D7" s="19"/>
      <c r="E7" s="19">
        <v>12</v>
      </c>
      <c r="F7" s="19">
        <v>-6</v>
      </c>
      <c r="G7" s="19"/>
      <c r="H7" s="19">
        <v>-13</v>
      </c>
      <c r="I7" s="19">
        <v>-1</v>
      </c>
      <c r="J7" s="18">
        <f>SUM(B7:I7)</f>
        <v>0</v>
      </c>
    </row>
    <row r="8" spans="1:10" x14ac:dyDescent="0.25">
      <c r="A8" s="28" t="s">
        <v>89</v>
      </c>
      <c r="B8" s="44">
        <v>60</v>
      </c>
      <c r="C8" s="19"/>
      <c r="D8" s="19"/>
      <c r="E8" s="19"/>
      <c r="F8" s="19"/>
      <c r="G8" s="19"/>
      <c r="H8" s="19">
        <v>-60</v>
      </c>
      <c r="I8" s="19"/>
      <c r="J8" s="18">
        <f>SUM(B8:H8)</f>
        <v>0</v>
      </c>
    </row>
    <row r="9" spans="1:10" x14ac:dyDescent="0.25">
      <c r="A9" s="28" t="s">
        <v>26</v>
      </c>
      <c r="B9" s="44">
        <v>8</v>
      </c>
      <c r="C9" s="19"/>
      <c r="D9" s="19"/>
      <c r="E9" s="19">
        <v>16</v>
      </c>
      <c r="F9" s="19">
        <v>-18</v>
      </c>
      <c r="G9" s="19"/>
      <c r="H9" s="19">
        <v>-6</v>
      </c>
      <c r="I9" s="19"/>
      <c r="J9" s="18">
        <f>SUM(B9:H9)</f>
        <v>0</v>
      </c>
    </row>
    <row r="10" spans="1:10" x14ac:dyDescent="0.25">
      <c r="A10" s="28" t="s">
        <v>88</v>
      </c>
      <c r="B10" s="44">
        <v>8</v>
      </c>
      <c r="C10" s="19"/>
      <c r="D10" s="19"/>
      <c r="E10" s="19"/>
      <c r="F10" s="19"/>
      <c r="G10" s="19"/>
      <c r="H10" s="19">
        <v>-8</v>
      </c>
      <c r="I10" s="19"/>
      <c r="J10" s="18">
        <f>SUM(B10:H10)</f>
        <v>0</v>
      </c>
    </row>
    <row r="11" spans="1:10" x14ac:dyDescent="0.25">
      <c r="A11" s="28" t="s">
        <v>87</v>
      </c>
      <c r="B11" s="44"/>
      <c r="C11" s="19"/>
      <c r="D11" s="19"/>
      <c r="E11" s="19"/>
      <c r="F11" s="19"/>
      <c r="G11" s="19">
        <v>12</v>
      </c>
      <c r="H11" s="19">
        <v>-12</v>
      </c>
      <c r="I11" s="19"/>
      <c r="J11" s="18">
        <f>SUM(B11:H11)</f>
        <v>0</v>
      </c>
    </row>
    <row r="12" spans="1:10" x14ac:dyDescent="0.25">
      <c r="A12" s="28" t="s">
        <v>86</v>
      </c>
      <c r="B12" s="44">
        <v>6</v>
      </c>
      <c r="C12" s="19"/>
      <c r="D12" s="19"/>
      <c r="E12" s="19"/>
      <c r="F12" s="19"/>
      <c r="G12" s="19"/>
      <c r="H12" s="19"/>
      <c r="I12" s="19">
        <v>-6</v>
      </c>
      <c r="J12" s="18">
        <f>SUM(B12:I12)</f>
        <v>0</v>
      </c>
    </row>
    <row r="13" spans="1:10" x14ac:dyDescent="0.25">
      <c r="A13" s="28" t="s">
        <v>28</v>
      </c>
      <c r="B13" s="44">
        <v>4</v>
      </c>
      <c r="C13" s="19"/>
      <c r="D13" s="19"/>
      <c r="E13" s="19">
        <v>4</v>
      </c>
      <c r="F13" s="19"/>
      <c r="G13" s="19"/>
      <c r="H13" s="19"/>
      <c r="I13" s="19">
        <v>-8</v>
      </c>
      <c r="J13" s="18">
        <f>SUM(B13:I13)</f>
        <v>0</v>
      </c>
    </row>
    <row r="14" spans="1:10" x14ac:dyDescent="0.25">
      <c r="A14" s="28" t="s">
        <v>27</v>
      </c>
      <c r="B14" s="44">
        <v>4</v>
      </c>
      <c r="C14" s="19"/>
      <c r="D14" s="19"/>
      <c r="E14" s="19">
        <v>20</v>
      </c>
      <c r="F14" s="19"/>
      <c r="G14" s="19"/>
      <c r="H14" s="19"/>
      <c r="I14" s="19">
        <v>-24</v>
      </c>
      <c r="J14" s="18">
        <f>SUM(B14:I14)</f>
        <v>0</v>
      </c>
    </row>
    <row r="15" spans="1:10" x14ac:dyDescent="0.25">
      <c r="A15" s="28" t="s">
        <v>29</v>
      </c>
      <c r="B15" s="44">
        <v>20</v>
      </c>
      <c r="C15" s="19">
        <v>60</v>
      </c>
      <c r="D15" s="19">
        <v>-60</v>
      </c>
      <c r="E15" s="19"/>
      <c r="F15" s="19"/>
      <c r="G15" s="19"/>
      <c r="H15" s="19"/>
      <c r="I15" s="19">
        <v>-20</v>
      </c>
      <c r="J15" s="18">
        <f>SUM(B15:I15)</f>
        <v>0</v>
      </c>
    </row>
    <row r="16" spans="1:10" x14ac:dyDescent="0.25">
      <c r="A16" s="21" t="s">
        <v>85</v>
      </c>
      <c r="B16" s="43">
        <v>0.3125</v>
      </c>
      <c r="C16" s="43">
        <v>0.15972222222222221</v>
      </c>
      <c r="D16" s="43">
        <v>8.3333333333333329E-2</v>
      </c>
      <c r="E16" s="43">
        <v>8.3333333333333329E-2</v>
      </c>
      <c r="F16" s="43">
        <v>0.375</v>
      </c>
      <c r="G16" s="43">
        <v>0.375</v>
      </c>
      <c r="H16" s="43">
        <v>0.46527777777777779</v>
      </c>
      <c r="I16" s="43">
        <v>0.16805555555555557</v>
      </c>
      <c r="J16" s="42"/>
    </row>
    <row r="17" spans="1:10" x14ac:dyDescent="0.25">
      <c r="A17" s="21" t="s">
        <v>84</v>
      </c>
      <c r="B17" s="41">
        <v>15000</v>
      </c>
      <c r="C17" s="41">
        <v>15000</v>
      </c>
      <c r="D17" s="41">
        <v>15000</v>
      </c>
      <c r="E17" s="41">
        <v>10000</v>
      </c>
      <c r="F17" s="24" t="s">
        <v>83</v>
      </c>
      <c r="G17" s="24" t="s">
        <v>83</v>
      </c>
      <c r="H17" s="24">
        <v>15000</v>
      </c>
      <c r="I17" s="24">
        <v>15000</v>
      </c>
      <c r="J17" s="40">
        <f>SUM(B17:I17)</f>
        <v>85000</v>
      </c>
    </row>
    <row r="19" spans="1:10" ht="15.75" thickBot="1" x14ac:dyDescent="0.3"/>
    <row r="20" spans="1:10" ht="76.5" customHeight="1" x14ac:dyDescent="0.25">
      <c r="A20" s="106" t="s">
        <v>0</v>
      </c>
      <c r="B20" s="107"/>
      <c r="C20" s="107"/>
      <c r="D20" s="107"/>
      <c r="E20" s="107"/>
      <c r="F20" s="107"/>
      <c r="G20" s="108"/>
    </row>
    <row r="21" spans="1:10" ht="18.75" x14ac:dyDescent="0.3">
      <c r="A21" s="95" t="s">
        <v>82</v>
      </c>
      <c r="B21" s="96"/>
      <c r="C21" s="96"/>
      <c r="D21" s="96"/>
      <c r="E21" s="96"/>
      <c r="F21" s="96"/>
      <c r="G21" s="97"/>
    </row>
    <row r="22" spans="1:10" ht="18.75" x14ac:dyDescent="0.3">
      <c r="A22" s="95" t="s">
        <v>93</v>
      </c>
      <c r="B22" s="96"/>
      <c r="C22" s="96"/>
      <c r="D22" s="96"/>
      <c r="E22" s="96"/>
      <c r="F22" s="96"/>
      <c r="G22" s="97"/>
    </row>
    <row r="23" spans="1:10" ht="18.75" x14ac:dyDescent="0.3">
      <c r="A23" s="95" t="s">
        <v>94</v>
      </c>
      <c r="B23" s="96"/>
      <c r="C23" s="96"/>
      <c r="D23" s="96"/>
      <c r="E23" s="96"/>
      <c r="F23" s="96"/>
      <c r="G23" s="97"/>
    </row>
    <row r="24" spans="1:10" x14ac:dyDescent="0.25">
      <c r="A24" s="82" t="s">
        <v>3</v>
      </c>
      <c r="B24" s="69" t="s">
        <v>4</v>
      </c>
      <c r="C24" s="69"/>
      <c r="D24" s="69"/>
      <c r="E24" s="69" t="s">
        <v>5</v>
      </c>
      <c r="F24" s="69"/>
      <c r="G24" s="91" t="s">
        <v>6</v>
      </c>
    </row>
    <row r="25" spans="1:10" x14ac:dyDescent="0.25">
      <c r="A25" s="82"/>
      <c r="B25" s="1" t="s">
        <v>7</v>
      </c>
      <c r="C25" s="1" t="s">
        <v>8</v>
      </c>
      <c r="D25" s="1" t="s">
        <v>9</v>
      </c>
      <c r="E25" s="1" t="s">
        <v>10</v>
      </c>
      <c r="F25" s="1" t="s">
        <v>95</v>
      </c>
      <c r="G25" s="91"/>
    </row>
    <row r="26" spans="1:10" x14ac:dyDescent="0.25">
      <c r="A26" s="4" t="s">
        <v>81</v>
      </c>
      <c r="B26" s="5">
        <v>19</v>
      </c>
      <c r="C26" s="39">
        <v>2</v>
      </c>
      <c r="D26" s="6">
        <v>270</v>
      </c>
      <c r="E26" s="7">
        <f t="shared" ref="E26:E43" si="0">C26*D26</f>
        <v>540</v>
      </c>
      <c r="F26" s="7">
        <f t="shared" ref="F26:F43" si="1">B26*E26</f>
        <v>10260</v>
      </c>
      <c r="G26" s="47" t="s">
        <v>70</v>
      </c>
    </row>
    <row r="27" spans="1:10" x14ac:dyDescent="0.25">
      <c r="A27" s="4" t="s">
        <v>80</v>
      </c>
      <c r="B27" s="5">
        <v>12</v>
      </c>
      <c r="C27" s="39">
        <v>8</v>
      </c>
      <c r="D27" s="6">
        <v>300</v>
      </c>
      <c r="E27" s="7">
        <f t="shared" si="0"/>
        <v>2400</v>
      </c>
      <c r="F27" s="7">
        <f t="shared" si="1"/>
        <v>28800</v>
      </c>
      <c r="G27" s="47" t="s">
        <v>68</v>
      </c>
    </row>
    <row r="28" spans="1:10" x14ac:dyDescent="0.25">
      <c r="A28" s="4" t="s">
        <v>79</v>
      </c>
      <c r="B28" s="5">
        <v>1</v>
      </c>
      <c r="C28" s="39">
        <v>20</v>
      </c>
      <c r="D28" s="6">
        <v>300</v>
      </c>
      <c r="E28" s="7">
        <f t="shared" si="0"/>
        <v>6000</v>
      </c>
      <c r="F28" s="7">
        <f t="shared" si="1"/>
        <v>6000</v>
      </c>
      <c r="G28" s="48">
        <v>45762</v>
      </c>
    </row>
    <row r="29" spans="1:10" x14ac:dyDescent="0.25">
      <c r="A29" s="4" t="s">
        <v>79</v>
      </c>
      <c r="B29" s="5">
        <v>7</v>
      </c>
      <c r="C29" s="39">
        <v>14</v>
      </c>
      <c r="D29" s="6">
        <v>300</v>
      </c>
      <c r="E29" s="7">
        <f t="shared" si="0"/>
        <v>4200</v>
      </c>
      <c r="F29" s="7">
        <f t="shared" si="1"/>
        <v>29400</v>
      </c>
      <c r="G29" s="47" t="s">
        <v>72</v>
      </c>
    </row>
    <row r="30" spans="1:10" x14ac:dyDescent="0.25">
      <c r="A30" s="4" t="s">
        <v>78</v>
      </c>
      <c r="B30" s="5">
        <v>19</v>
      </c>
      <c r="C30" s="39">
        <v>60</v>
      </c>
      <c r="D30" s="6">
        <v>320</v>
      </c>
      <c r="E30" s="7">
        <f t="shared" si="0"/>
        <v>19200</v>
      </c>
      <c r="F30" s="7">
        <f t="shared" si="1"/>
        <v>364800</v>
      </c>
      <c r="G30" s="47" t="s">
        <v>77</v>
      </c>
    </row>
    <row r="31" spans="1:10" x14ac:dyDescent="0.25">
      <c r="A31" s="4" t="s">
        <v>75</v>
      </c>
      <c r="B31" s="5">
        <v>12</v>
      </c>
      <c r="C31" s="39">
        <v>8</v>
      </c>
      <c r="D31" s="6">
        <v>280</v>
      </c>
      <c r="E31" s="7">
        <f t="shared" si="0"/>
        <v>2240</v>
      </c>
      <c r="F31" s="7">
        <f t="shared" si="1"/>
        <v>26880</v>
      </c>
      <c r="G31" s="47" t="s">
        <v>76</v>
      </c>
    </row>
    <row r="32" spans="1:10" x14ac:dyDescent="0.25">
      <c r="A32" s="4" t="s">
        <v>75</v>
      </c>
      <c r="B32" s="5">
        <v>1</v>
      </c>
      <c r="C32" s="39">
        <v>24</v>
      </c>
      <c r="D32" s="6">
        <v>280</v>
      </c>
      <c r="E32" s="7">
        <f t="shared" si="0"/>
        <v>6720</v>
      </c>
      <c r="F32" s="7">
        <f t="shared" si="1"/>
        <v>6720</v>
      </c>
      <c r="G32" s="48">
        <v>45762</v>
      </c>
    </row>
    <row r="33" spans="1:7" x14ac:dyDescent="0.25">
      <c r="A33" s="4" t="s">
        <v>75</v>
      </c>
      <c r="B33" s="5">
        <v>7</v>
      </c>
      <c r="C33" s="39">
        <v>8</v>
      </c>
      <c r="D33" s="6">
        <v>280</v>
      </c>
      <c r="E33" s="7">
        <f t="shared" si="0"/>
        <v>2240</v>
      </c>
      <c r="F33" s="7">
        <f t="shared" si="1"/>
        <v>15680</v>
      </c>
      <c r="G33" s="47" t="s">
        <v>72</v>
      </c>
    </row>
    <row r="34" spans="1:7" x14ac:dyDescent="0.25">
      <c r="A34" s="4" t="s">
        <v>74</v>
      </c>
      <c r="B34" s="5">
        <v>19</v>
      </c>
      <c r="C34" s="39">
        <v>8</v>
      </c>
      <c r="D34" s="6">
        <v>250</v>
      </c>
      <c r="E34" s="7">
        <f t="shared" si="0"/>
        <v>2000</v>
      </c>
      <c r="F34" s="7">
        <f t="shared" si="1"/>
        <v>38000</v>
      </c>
      <c r="G34" s="47" t="s">
        <v>70</v>
      </c>
    </row>
    <row r="35" spans="1:7" x14ac:dyDescent="0.25">
      <c r="A35" s="4" t="s">
        <v>73</v>
      </c>
      <c r="B35" s="5">
        <v>7</v>
      </c>
      <c r="C35" s="39">
        <v>12</v>
      </c>
      <c r="D35" s="6">
        <v>320</v>
      </c>
      <c r="E35" s="7">
        <f t="shared" si="0"/>
        <v>3840</v>
      </c>
      <c r="F35" s="7">
        <f t="shared" si="1"/>
        <v>26880</v>
      </c>
      <c r="G35" s="47" t="s">
        <v>72</v>
      </c>
    </row>
    <row r="36" spans="1:7" x14ac:dyDescent="0.25">
      <c r="A36" s="4" t="s">
        <v>71</v>
      </c>
      <c r="B36" s="5">
        <v>19</v>
      </c>
      <c r="C36" s="39">
        <v>6</v>
      </c>
      <c r="D36" s="6">
        <v>280</v>
      </c>
      <c r="E36" s="7">
        <f t="shared" si="0"/>
        <v>1680</v>
      </c>
      <c r="F36" s="7">
        <f t="shared" si="1"/>
        <v>31920</v>
      </c>
      <c r="G36" s="47" t="s">
        <v>70</v>
      </c>
    </row>
    <row r="37" spans="1:7" x14ac:dyDescent="0.25">
      <c r="A37" s="4" t="s">
        <v>69</v>
      </c>
      <c r="B37" s="5">
        <v>12</v>
      </c>
      <c r="C37" s="39">
        <v>4</v>
      </c>
      <c r="D37" s="6">
        <v>90</v>
      </c>
      <c r="E37" s="7">
        <f t="shared" si="0"/>
        <v>360</v>
      </c>
      <c r="F37" s="7">
        <f t="shared" si="1"/>
        <v>4320</v>
      </c>
      <c r="G37" s="47" t="s">
        <v>68</v>
      </c>
    </row>
    <row r="38" spans="1:7" x14ac:dyDescent="0.25">
      <c r="A38" s="4" t="s">
        <v>69</v>
      </c>
      <c r="B38" s="5">
        <v>8</v>
      </c>
      <c r="C38" s="39">
        <v>8</v>
      </c>
      <c r="D38" s="6">
        <v>90</v>
      </c>
      <c r="E38" s="7">
        <f t="shared" si="0"/>
        <v>720</v>
      </c>
      <c r="F38" s="7">
        <f t="shared" si="1"/>
        <v>5760</v>
      </c>
      <c r="G38" s="47" t="s">
        <v>64</v>
      </c>
    </row>
    <row r="39" spans="1:7" x14ac:dyDescent="0.25">
      <c r="A39" s="4" t="s">
        <v>67</v>
      </c>
      <c r="B39" s="5">
        <v>12</v>
      </c>
      <c r="C39" s="39">
        <v>4</v>
      </c>
      <c r="D39" s="6">
        <v>50</v>
      </c>
      <c r="E39" s="7">
        <f t="shared" si="0"/>
        <v>200</v>
      </c>
      <c r="F39" s="7">
        <f t="shared" si="1"/>
        <v>2400</v>
      </c>
      <c r="G39" s="47" t="s">
        <v>68</v>
      </c>
    </row>
    <row r="40" spans="1:7" x14ac:dyDescent="0.25">
      <c r="A40" s="4" t="s">
        <v>67</v>
      </c>
      <c r="B40" s="5">
        <v>8</v>
      </c>
      <c r="C40" s="39">
        <v>24</v>
      </c>
      <c r="D40" s="6">
        <v>50</v>
      </c>
      <c r="E40" s="7">
        <f t="shared" si="0"/>
        <v>1200</v>
      </c>
      <c r="F40" s="7">
        <f t="shared" si="1"/>
        <v>9600</v>
      </c>
      <c r="G40" s="47" t="s">
        <v>64</v>
      </c>
    </row>
    <row r="41" spans="1:7" x14ac:dyDescent="0.25">
      <c r="A41" s="4" t="s">
        <v>40</v>
      </c>
      <c r="B41" s="5">
        <v>8</v>
      </c>
      <c r="C41" s="39">
        <v>20</v>
      </c>
      <c r="D41" s="6">
        <v>130</v>
      </c>
      <c r="E41" s="7">
        <f t="shared" si="0"/>
        <v>2600</v>
      </c>
      <c r="F41" s="7">
        <f t="shared" si="1"/>
        <v>20800</v>
      </c>
      <c r="G41" s="47" t="s">
        <v>66</v>
      </c>
    </row>
    <row r="42" spans="1:7" x14ac:dyDescent="0.25">
      <c r="A42" s="4" t="s">
        <v>40</v>
      </c>
      <c r="B42" s="5">
        <v>4</v>
      </c>
      <c r="C42" s="39">
        <v>80</v>
      </c>
      <c r="D42" s="6">
        <v>130</v>
      </c>
      <c r="E42" s="7">
        <f t="shared" si="0"/>
        <v>10400</v>
      </c>
      <c r="F42" s="7">
        <f t="shared" si="1"/>
        <v>41600</v>
      </c>
      <c r="G42" s="47" t="s">
        <v>65</v>
      </c>
    </row>
    <row r="43" spans="1:7" x14ac:dyDescent="0.25">
      <c r="A43" s="4" t="s">
        <v>40</v>
      </c>
      <c r="B43" s="5">
        <v>8</v>
      </c>
      <c r="C43" s="39">
        <v>20</v>
      </c>
      <c r="D43" s="6">
        <v>130</v>
      </c>
      <c r="E43" s="7">
        <f t="shared" si="0"/>
        <v>2600</v>
      </c>
      <c r="F43" s="7">
        <f t="shared" si="1"/>
        <v>20800</v>
      </c>
      <c r="G43" s="47" t="s">
        <v>64</v>
      </c>
    </row>
    <row r="44" spans="1:7" ht="18.75" x14ac:dyDescent="0.4">
      <c r="A44" s="98" t="s">
        <v>63</v>
      </c>
      <c r="B44" s="99"/>
      <c r="C44" s="102" t="s">
        <v>62</v>
      </c>
      <c r="D44" s="102"/>
      <c r="E44" s="38">
        <f>SUM(E26:E43)*1.19</f>
        <v>82276.599999999991</v>
      </c>
      <c r="F44" s="57"/>
      <c r="G44" s="58"/>
    </row>
    <row r="45" spans="1:7" ht="18.75" x14ac:dyDescent="0.4">
      <c r="A45" s="98"/>
      <c r="B45" s="99"/>
      <c r="C45" s="103" t="s">
        <v>61</v>
      </c>
      <c r="D45" s="103"/>
      <c r="E45" s="45">
        <f>SUM(F26:F43)*1.19</f>
        <v>821837.79999999993</v>
      </c>
      <c r="F45" s="59"/>
      <c r="G45" s="60"/>
    </row>
    <row r="46" spans="1:7" ht="18.75" x14ac:dyDescent="0.4">
      <c r="A46" s="98"/>
      <c r="B46" s="99"/>
      <c r="C46" s="103" t="s">
        <v>96</v>
      </c>
      <c r="D46" s="103"/>
      <c r="E46" s="46">
        <v>85000</v>
      </c>
      <c r="F46" s="59"/>
      <c r="G46" s="60"/>
    </row>
    <row r="47" spans="1:7" ht="19.5" thickBot="1" x14ac:dyDescent="0.45">
      <c r="A47" s="100"/>
      <c r="B47" s="101"/>
      <c r="C47" s="104" t="s">
        <v>60</v>
      </c>
      <c r="D47" s="104"/>
      <c r="E47" s="37">
        <f>E45+E46</f>
        <v>906837.79999999993</v>
      </c>
      <c r="F47" s="61"/>
      <c r="G47" s="62"/>
    </row>
  </sheetData>
  <mergeCells count="18">
    <mergeCell ref="A21:G21"/>
    <mergeCell ref="A1:J1"/>
    <mergeCell ref="A2:J2"/>
    <mergeCell ref="A3:J3"/>
    <mergeCell ref="A4:A5"/>
    <mergeCell ref="A20:G20"/>
    <mergeCell ref="A22:G22"/>
    <mergeCell ref="A23:G23"/>
    <mergeCell ref="G24:G25"/>
    <mergeCell ref="F44:G47"/>
    <mergeCell ref="A24:A25"/>
    <mergeCell ref="B24:D24"/>
    <mergeCell ref="E24:F24"/>
    <mergeCell ref="A44:B47"/>
    <mergeCell ref="C44:D44"/>
    <mergeCell ref="C45:D45"/>
    <mergeCell ref="C46:D46"/>
    <mergeCell ref="C47:D47"/>
  </mergeCells>
  <pageMargins left="0.70866141732283472" right="0.70866141732283472" top="0.74803149606299213" bottom="0.74803149606299213" header="0.31496062992125984" footer="0.31496062992125984"/>
  <pageSetup paperSize="9" scale="6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EDUSYSTEMAS</vt:lpstr>
      <vt:lpstr>PROCAR</vt:lpstr>
      <vt:lpstr>AMERICANA DE BASCULAS</vt:lpstr>
      <vt:lpstr>CONKASA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2025-05-07T13:59:50Z</cp:lastPrinted>
  <dcterms:created xsi:type="dcterms:W3CDTF">2015-06-05T18:19:34Z</dcterms:created>
  <dcterms:modified xsi:type="dcterms:W3CDTF">2025-05-07T19:10:39Z</dcterms:modified>
</cp:coreProperties>
</file>
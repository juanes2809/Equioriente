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E ESTADOS FINANCIEROS 2024\"/>
    </mc:Choice>
  </mc:AlternateContent>
  <xr:revisionPtr revIDLastSave="0" documentId="13_ncr:1_{8C86ECA2-C8D7-4F91-BEED-F8156136E661}" xr6:coauthVersionLast="47" xr6:coauthVersionMax="47" xr10:uidLastSave="{00000000-0000-0000-0000-000000000000}"/>
  <bookViews>
    <workbookView xWindow="-120" yWindow="-120" windowWidth="29040" windowHeight="15225" firstSheet="1" activeTab="4" xr2:uid="{00000000-000D-0000-FFFF-FFFF00000000}"/>
  </bookViews>
  <sheets>
    <sheet name="BALANCE DICIEMBRE" sheetId="25" r:id="rId1"/>
    <sheet name="pyg2024" sheetId="5" r:id="rId2"/>
    <sheet name="GRAFICAS PYG" sheetId="6" r:id="rId3"/>
    <sheet name="DISPONIBLE DICIEMBRE " sheetId="30" r:id="rId4"/>
    <sheet name="CARTERA" sheetId="29" r:id="rId5"/>
    <sheet name="Hoja2" sheetId="28" r:id="rId6"/>
    <sheet name="RETE" sheetId="32" r:id="rId7"/>
  </sheets>
  <externalReferences>
    <externalReference r:id="rId8"/>
    <externalReference r:id="rId9"/>
  </externalReferences>
  <definedNames>
    <definedName name="_xlnm.Print_Area" localSheetId="2">'GRAFICAS PYG'!$A$1:$AQ$189</definedName>
    <definedName name="_xlnm.Print_Area" localSheetId="1">'pyg2024'!$A$1:$AS$167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0" i="30" l="1"/>
  <c r="AQ16" i="5"/>
  <c r="AQ24" i="5"/>
  <c r="AM24" i="5"/>
  <c r="AI24" i="5"/>
  <c r="G29" i="29"/>
  <c r="H15" i="30" l="1"/>
  <c r="H38" i="25"/>
  <c r="E19" i="25"/>
  <c r="H40" i="28" l="1"/>
  <c r="D25" i="25" s="1"/>
  <c r="D29" i="29"/>
  <c r="D143" i="6"/>
  <c r="E143" i="6"/>
  <c r="F143" i="6"/>
  <c r="G143" i="6"/>
  <c r="H143" i="6"/>
  <c r="J143" i="6"/>
  <c r="D116" i="6"/>
  <c r="E116" i="6"/>
  <c r="F116" i="6"/>
  <c r="G116" i="6"/>
  <c r="H116" i="6"/>
  <c r="I116" i="6"/>
  <c r="J116" i="6"/>
  <c r="C116" i="6"/>
  <c r="E19" i="6"/>
  <c r="F19" i="6"/>
  <c r="G19" i="6"/>
  <c r="H19" i="6"/>
  <c r="I19" i="6"/>
  <c r="J19" i="6"/>
  <c r="L19" i="6"/>
  <c r="M19" i="6"/>
  <c r="N19" i="6"/>
  <c r="O19" i="6"/>
  <c r="P19" i="6"/>
  <c r="Q19" i="6"/>
  <c r="R19" i="6"/>
  <c r="T19" i="6"/>
  <c r="U19" i="6"/>
  <c r="V19" i="6"/>
  <c r="W19" i="6"/>
  <c r="X19" i="6"/>
  <c r="Y19" i="6"/>
  <c r="Z19" i="6"/>
  <c r="AB19" i="6"/>
  <c r="AC19" i="6"/>
  <c r="AD19" i="6"/>
  <c r="AE19" i="6"/>
  <c r="AF19" i="6"/>
  <c r="AG19" i="6"/>
  <c r="AH19" i="6"/>
  <c r="S17" i="6"/>
  <c r="S16" i="6"/>
  <c r="S15" i="6"/>
  <c r="S14" i="6"/>
  <c r="K14" i="6"/>
  <c r="C17" i="6"/>
  <c r="C16" i="6"/>
  <c r="C15" i="6"/>
  <c r="C14" i="6"/>
  <c r="D17" i="6"/>
  <c r="D16" i="6"/>
  <c r="D15" i="6"/>
  <c r="D14" i="6"/>
  <c r="D19" i="6" l="1"/>
  <c r="C138" i="6"/>
  <c r="I143" i="6" l="1"/>
  <c r="C28" i="30"/>
  <c r="B4" i="30"/>
  <c r="H33" i="32" l="1"/>
  <c r="M22" i="28"/>
  <c r="D20" i="25"/>
  <c r="D16" i="29" l="1"/>
  <c r="D21" i="25" s="1"/>
  <c r="C27" i="30" l="1"/>
  <c r="AF167" i="5"/>
  <c r="AB167" i="5"/>
  <c r="X167" i="5"/>
  <c r="T167" i="5"/>
  <c r="Q167" i="5"/>
  <c r="N167" i="5"/>
  <c r="K167" i="5"/>
  <c r="H167" i="5"/>
  <c r="D167" i="5"/>
  <c r="H164" i="5"/>
  <c r="H165" i="5"/>
  <c r="AB164" i="5"/>
  <c r="AF164" i="5"/>
  <c r="X164" i="5"/>
  <c r="AL163" i="5"/>
  <c r="AL162" i="5"/>
  <c r="AL161" i="5"/>
  <c r="AA17" i="5"/>
  <c r="X7" i="5"/>
  <c r="T7" i="5"/>
  <c r="Q7" i="5"/>
  <c r="N7" i="5"/>
  <c r="K7" i="5"/>
  <c r="AQ8" i="5"/>
  <c r="AM8" i="5"/>
  <c r="AI8" i="5"/>
  <c r="AE8" i="5"/>
  <c r="AE7" i="5" s="1"/>
  <c r="AA8" i="5"/>
  <c r="W8" i="5"/>
  <c r="W7" i="5" s="1"/>
  <c r="S8" i="5"/>
  <c r="S7" i="5" s="1"/>
  <c r="P8" i="5"/>
  <c r="P7" i="5" s="1"/>
  <c r="M8" i="5"/>
  <c r="J8" i="5"/>
  <c r="G8" i="5"/>
  <c r="G7" i="5" s="1"/>
  <c r="M7" i="5"/>
  <c r="J7" i="5"/>
  <c r="C7" i="5"/>
  <c r="AR9" i="5"/>
  <c r="AR10" i="5"/>
  <c r="AR11" i="5"/>
  <c r="AR12" i="5"/>
  <c r="AR13" i="5"/>
  <c r="AR14" i="5"/>
  <c r="AR15" i="5"/>
  <c r="AQ9" i="5"/>
  <c r="AM9" i="5"/>
  <c r="AI9" i="5"/>
  <c r="AE9" i="5"/>
  <c r="AA9" i="5"/>
  <c r="W9" i="5"/>
  <c r="S9" i="5"/>
  <c r="P9" i="5"/>
  <c r="M9" i="5"/>
  <c r="J9" i="5"/>
  <c r="K9" i="5" s="1"/>
  <c r="H12" i="5"/>
  <c r="H10" i="5"/>
  <c r="D8" i="5"/>
  <c r="Q10" i="5"/>
  <c r="Q11" i="5"/>
  <c r="Q12" i="5"/>
  <c r="Q13" i="5"/>
  <c r="Q14" i="5"/>
  <c r="Q15" i="5"/>
  <c r="D7" i="5"/>
  <c r="AN15" i="5"/>
  <c r="AN14" i="5"/>
  <c r="AL7" i="5"/>
  <c r="X12" i="5"/>
  <c r="AB12" i="5" s="1"/>
  <c r="AF12" i="5" s="1"/>
  <c r="AJ12" i="5" s="1"/>
  <c r="AN12" i="5" s="1"/>
  <c r="X13" i="5"/>
  <c r="AB13" i="5" s="1"/>
  <c r="AF13" i="5" s="1"/>
  <c r="AJ13" i="5" s="1"/>
  <c r="AN13" i="5" s="1"/>
  <c r="T10" i="5"/>
  <c r="X10" i="5" s="1"/>
  <c r="AB10" i="5" s="1"/>
  <c r="T11" i="5"/>
  <c r="X11" i="5" s="1"/>
  <c r="AB11" i="5" s="1"/>
  <c r="AF11" i="5" s="1"/>
  <c r="AJ11" i="5" s="1"/>
  <c r="AN11" i="5" s="1"/>
  <c r="T12" i="5"/>
  <c r="T13" i="5"/>
  <c r="T14" i="5"/>
  <c r="X14" i="5" s="1"/>
  <c r="AB14" i="5" s="1"/>
  <c r="AF14" i="5" s="1"/>
  <c r="AJ14" i="5" s="1"/>
  <c r="T15" i="5"/>
  <c r="X15" i="5" s="1"/>
  <c r="AB15" i="5" s="1"/>
  <c r="AF15" i="5" s="1"/>
  <c r="AJ15" i="5" s="1"/>
  <c r="N10" i="5"/>
  <c r="N11" i="5"/>
  <c r="N12" i="5"/>
  <c r="N13" i="5"/>
  <c r="N14" i="5"/>
  <c r="N15" i="5"/>
  <c r="K10" i="5"/>
  <c r="K11" i="5"/>
  <c r="K12" i="5"/>
  <c r="K13" i="5"/>
  <c r="K14" i="5"/>
  <c r="K15" i="5"/>
  <c r="H11" i="5"/>
  <c r="H13" i="5"/>
  <c r="H14" i="5"/>
  <c r="H15" i="5"/>
  <c r="H9" i="5"/>
  <c r="D10" i="5"/>
  <c r="D11" i="5"/>
  <c r="D12" i="5"/>
  <c r="D13" i="5"/>
  <c r="D14" i="5"/>
  <c r="D15" i="5"/>
  <c r="D9" i="5"/>
  <c r="H7" i="5" l="1"/>
  <c r="D164" i="5" l="1"/>
  <c r="AR31" i="5" l="1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P30" i="5"/>
  <c r="AP29" i="5"/>
  <c r="AP163" i="5" s="1"/>
  <c r="K147" i="5" l="1"/>
  <c r="K148" i="5"/>
  <c r="K149" i="5"/>
  <c r="K150" i="5"/>
  <c r="K151" i="5"/>
  <c r="K152" i="5"/>
  <c r="K153" i="5"/>
  <c r="H148" i="5"/>
  <c r="H149" i="5"/>
  <c r="H150" i="5"/>
  <c r="H151" i="5"/>
  <c r="H152" i="5"/>
  <c r="H153" i="5"/>
  <c r="H147" i="5"/>
  <c r="D147" i="5"/>
  <c r="D148" i="5"/>
  <c r="D149" i="5"/>
  <c r="D150" i="5"/>
  <c r="D151" i="5"/>
  <c r="D152" i="5"/>
  <c r="D153" i="5"/>
  <c r="D146" i="5"/>
  <c r="AF92" i="5"/>
  <c r="AJ92" i="5" s="1"/>
  <c r="AB92" i="5"/>
  <c r="Q92" i="5"/>
  <c r="H91" i="5"/>
  <c r="H92" i="5"/>
  <c r="D91" i="5"/>
  <c r="D92" i="5"/>
  <c r="AP146" i="5"/>
  <c r="AP145" i="5"/>
  <c r="AP31" i="5"/>
  <c r="AR159" i="5"/>
  <c r="AR157" i="5"/>
  <c r="AR156" i="5"/>
  <c r="AR155" i="5"/>
  <c r="AP154" i="5"/>
  <c r="AR154" i="5" s="1"/>
  <c r="AR144" i="5"/>
  <c r="AR143" i="5"/>
  <c r="AR142" i="5"/>
  <c r="AP142" i="5"/>
  <c r="AR141" i="5"/>
  <c r="AR140" i="5"/>
  <c r="AR139" i="5"/>
  <c r="AP139" i="5"/>
  <c r="AR138" i="5"/>
  <c r="AR137" i="5"/>
  <c r="AR136" i="5"/>
  <c r="AP136" i="5"/>
  <c r="AR134" i="5"/>
  <c r="AP133" i="5"/>
  <c r="AR133" i="5" s="1"/>
  <c r="AR132" i="5"/>
  <c r="AR131" i="5"/>
  <c r="AP130" i="5"/>
  <c r="AR130" i="5" s="1"/>
  <c r="AR129" i="5"/>
  <c r="AR128" i="5"/>
  <c r="AP127" i="5"/>
  <c r="AR127" i="5" s="1"/>
  <c r="AR125" i="5"/>
  <c r="AR124" i="5"/>
  <c r="AP123" i="5"/>
  <c r="AR123" i="5" s="1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P108" i="5"/>
  <c r="AR108" i="5" s="1"/>
  <c r="AR106" i="5"/>
  <c r="AR105" i="5"/>
  <c r="AR104" i="5"/>
  <c r="AR103" i="5"/>
  <c r="AR102" i="5"/>
  <c r="AR101" i="5"/>
  <c r="AP100" i="5"/>
  <c r="AR100" i="5" s="1"/>
  <c r="AR99" i="5"/>
  <c r="AR98" i="5"/>
  <c r="AR97" i="5"/>
  <c r="AR96" i="5"/>
  <c r="AR95" i="5"/>
  <c r="AR94" i="5"/>
  <c r="AP94" i="5"/>
  <c r="AR88" i="5"/>
  <c r="AP87" i="5"/>
  <c r="AR85" i="5"/>
  <c r="AR84" i="5"/>
  <c r="AR83" i="5"/>
  <c r="AR82" i="5"/>
  <c r="AP81" i="5"/>
  <c r="AR81" i="5" s="1"/>
  <c r="AR80" i="5"/>
  <c r="AR79" i="5"/>
  <c r="AR78" i="5"/>
  <c r="AR77" i="5"/>
  <c r="AR76" i="5"/>
  <c r="AR75" i="5"/>
  <c r="AR74" i="5"/>
  <c r="AR72" i="5"/>
  <c r="AR71" i="5"/>
  <c r="AP70" i="5"/>
  <c r="AR70" i="5" s="1"/>
  <c r="AR69" i="5"/>
  <c r="AR68" i="5"/>
  <c r="AR67" i="5"/>
  <c r="AR66" i="5"/>
  <c r="AR65" i="5"/>
  <c r="AQ65" i="5"/>
  <c r="AP65" i="5"/>
  <c r="AR63" i="5"/>
  <c r="AR62" i="5"/>
  <c r="AQ62" i="5"/>
  <c r="AR60" i="5"/>
  <c r="AR59" i="5"/>
  <c r="AQ58" i="5"/>
  <c r="AP58" i="5"/>
  <c r="AR58" i="5" s="1"/>
  <c r="AR56" i="5"/>
  <c r="AR55" i="5"/>
  <c r="AR54" i="5"/>
  <c r="AR53" i="5"/>
  <c r="AP52" i="5"/>
  <c r="AR52" i="5" s="1"/>
  <c r="AR51" i="5"/>
  <c r="AR50" i="5"/>
  <c r="AR48" i="5"/>
  <c r="AQ47" i="5"/>
  <c r="AP47" i="5"/>
  <c r="AQ31" i="5"/>
  <c r="AR27" i="5"/>
  <c r="AR26" i="5"/>
  <c r="AQ26" i="5"/>
  <c r="AR22" i="5"/>
  <c r="AQ21" i="5"/>
  <c r="AR21" i="5" s="1"/>
  <c r="AR19" i="5"/>
  <c r="AQ17" i="5"/>
  <c r="AP17" i="5"/>
  <c r="AP16" i="5"/>
  <c r="AP8" i="5"/>
  <c r="AP7" i="5"/>
  <c r="AL87" i="5"/>
  <c r="AL31" i="5"/>
  <c r="AL108" i="5"/>
  <c r="AH30" i="5"/>
  <c r="AM65" i="5"/>
  <c r="AM62" i="5"/>
  <c r="AJ62" i="5"/>
  <c r="AM58" i="5"/>
  <c r="AM47" i="5"/>
  <c r="AM31" i="5"/>
  <c r="AM17" i="5"/>
  <c r="AI17" i="5"/>
  <c r="AH31" i="5"/>
  <c r="AD31" i="5"/>
  <c r="AD145" i="5"/>
  <c r="AD58" i="5"/>
  <c r="AD47" i="5"/>
  <c r="Z31" i="5"/>
  <c r="K17" i="6" l="1"/>
  <c r="C141" i="6" s="1"/>
  <c r="AQ7" i="5"/>
  <c r="AQ161" i="5"/>
  <c r="AR161" i="5" l="1"/>
  <c r="AQ162" i="5"/>
  <c r="AP164" i="5" l="1"/>
  <c r="AQ164" i="5"/>
  <c r="AR164" i="5" s="1"/>
  <c r="AR162" i="5"/>
  <c r="AR165" i="5" l="1"/>
  <c r="D93" i="25"/>
  <c r="B5" i="30" l="1"/>
  <c r="C7" i="30" l="1"/>
  <c r="E69" i="25" l="1"/>
  <c r="E63" i="25"/>
  <c r="E59" i="25"/>
  <c r="E54" i="25"/>
  <c r="E50" i="25"/>
  <c r="E44" i="25"/>
  <c r="E33" i="25"/>
  <c r="C13" i="6" l="1"/>
  <c r="V157" i="5"/>
  <c r="T159" i="5"/>
  <c r="X159" i="5" s="1"/>
  <c r="AB159" i="5" s="1"/>
  <c r="AF159" i="5" s="1"/>
  <c r="AJ159" i="5" s="1"/>
  <c r="AN159" i="5" s="1"/>
  <c r="V154" i="5"/>
  <c r="V146" i="5"/>
  <c r="V52" i="5"/>
  <c r="V31" i="5"/>
  <c r="W24" i="5"/>
  <c r="I146" i="5"/>
  <c r="I145" i="5" s="1"/>
  <c r="I108" i="5"/>
  <c r="I58" i="5"/>
  <c r="I31" i="5"/>
  <c r="J24" i="5"/>
  <c r="J17" i="5"/>
  <c r="M24" i="5"/>
  <c r="M17" i="5"/>
  <c r="M26" i="5"/>
  <c r="J26" i="5"/>
  <c r="J21" i="5"/>
  <c r="J14" i="5"/>
  <c r="R31" i="5"/>
  <c r="R47" i="5"/>
  <c r="R52" i="5"/>
  <c r="R58" i="5"/>
  <c r="R65" i="5"/>
  <c r="R70" i="5"/>
  <c r="R81" i="5"/>
  <c r="R87" i="5"/>
  <c r="R94" i="5"/>
  <c r="R100" i="5"/>
  <c r="R108" i="5"/>
  <c r="R146" i="5"/>
  <c r="R157" i="5"/>
  <c r="O31" i="5"/>
  <c r="O47" i="5"/>
  <c r="O52" i="5"/>
  <c r="O58" i="5"/>
  <c r="O62" i="5"/>
  <c r="O65" i="5"/>
  <c r="O70" i="5"/>
  <c r="O81" i="5" a="1"/>
  <c r="O81" i="5" s="1"/>
  <c r="O87" i="5"/>
  <c r="O94" i="5"/>
  <c r="O100" i="5"/>
  <c r="O108" i="5"/>
  <c r="O146" i="5"/>
  <c r="O145" i="5" s="1"/>
  <c r="C11" i="6"/>
  <c r="S17" i="5"/>
  <c r="S21" i="5"/>
  <c r="S24" i="5"/>
  <c r="S26" i="5"/>
  <c r="P26" i="5"/>
  <c r="P24" i="5"/>
  <c r="P21" i="5"/>
  <c r="P17" i="5"/>
  <c r="C10" i="6"/>
  <c r="O127" i="5"/>
  <c r="O130" i="5"/>
  <c r="O136" i="5"/>
  <c r="O142" i="5"/>
  <c r="O133" i="5"/>
  <c r="O139" i="5"/>
  <c r="F154" i="5"/>
  <c r="B154" i="5"/>
  <c r="D154" i="5" s="1"/>
  <c r="I154" i="5"/>
  <c r="I47" i="5"/>
  <c r="I52" i="5"/>
  <c r="I62" i="5"/>
  <c r="I65" i="5"/>
  <c r="I70" i="5"/>
  <c r="I81" i="5"/>
  <c r="I87" i="5"/>
  <c r="I94" i="5"/>
  <c r="I100" i="5"/>
  <c r="I127" i="5"/>
  <c r="I130" i="5"/>
  <c r="I136" i="5"/>
  <c r="I142" i="5"/>
  <c r="D71" i="5"/>
  <c r="H71" i="5" s="1"/>
  <c r="K71" i="5" s="1"/>
  <c r="N71" i="5" s="1"/>
  <c r="Q71" i="5" s="1"/>
  <c r="T71" i="5" s="1"/>
  <c r="X71" i="5" s="1"/>
  <c r="AB71" i="5" s="1"/>
  <c r="AF71" i="5" s="1"/>
  <c r="AJ71" i="5" s="1"/>
  <c r="AN71" i="5" s="1"/>
  <c r="C6" i="6"/>
  <c r="K6" i="6"/>
  <c r="C7" i="6"/>
  <c r="K7" i="6"/>
  <c r="C8" i="6"/>
  <c r="K8" i="6"/>
  <c r="C9" i="6"/>
  <c r="K9" i="6"/>
  <c r="AM21" i="5"/>
  <c r="AM26" i="5"/>
  <c r="AL47" i="5"/>
  <c r="AL52" i="5"/>
  <c r="AL58" i="5"/>
  <c r="AL65" i="5"/>
  <c r="AL70" i="5"/>
  <c r="AL81" i="5"/>
  <c r="AL94" i="5"/>
  <c r="AL100" i="5"/>
  <c r="AL146" i="5"/>
  <c r="AL154" i="5"/>
  <c r="AL127" i="5"/>
  <c r="AL130" i="5"/>
  <c r="AL136" i="5"/>
  <c r="AL142" i="5"/>
  <c r="AL133" i="5"/>
  <c r="AL139" i="5"/>
  <c r="AI21" i="5"/>
  <c r="AH14" i="5"/>
  <c r="AH7" i="5" s="1"/>
  <c r="AH47" i="5"/>
  <c r="AH52" i="5"/>
  <c r="AH58" i="5"/>
  <c r="AH65" i="5"/>
  <c r="AH70" i="5"/>
  <c r="AH81" i="5"/>
  <c r="AH87" i="5"/>
  <c r="AH94" i="5"/>
  <c r="AH100" i="5"/>
  <c r="AH108" i="5"/>
  <c r="AH146" i="5"/>
  <c r="AH154" i="5"/>
  <c r="AH127" i="5"/>
  <c r="AH130" i="5"/>
  <c r="AH136" i="5"/>
  <c r="AH142" i="5"/>
  <c r="AH133" i="5"/>
  <c r="AJ133" i="5" s="1"/>
  <c r="AH139" i="5"/>
  <c r="AE17" i="5"/>
  <c r="AE21" i="5"/>
  <c r="AE24" i="5"/>
  <c r="AE26" i="5"/>
  <c r="AD14" i="5"/>
  <c r="AD7" i="5" s="1"/>
  <c r="AD52" i="5"/>
  <c r="AD62" i="5"/>
  <c r="AD65" i="5"/>
  <c r="AD70" i="5"/>
  <c r="AD81" i="5"/>
  <c r="AD87" i="5"/>
  <c r="AD30" i="5" s="1"/>
  <c r="AD94" i="5"/>
  <c r="AD100" i="5"/>
  <c r="AD108" i="5"/>
  <c r="AD127" i="5"/>
  <c r="AD130" i="5"/>
  <c r="AD136" i="5"/>
  <c r="AD142" i="5"/>
  <c r="AD133" i="5"/>
  <c r="AF133" i="5" s="1"/>
  <c r="AD139" i="5"/>
  <c r="AA21" i="5"/>
  <c r="AA24" i="5"/>
  <c r="AA26" i="5"/>
  <c r="Z7" i="5"/>
  <c r="Z47" i="5"/>
  <c r="Z52" i="5"/>
  <c r="Z58" i="5"/>
  <c r="Z65" i="5"/>
  <c r="Z70" i="5"/>
  <c r="Z81" i="5"/>
  <c r="Z87" i="5"/>
  <c r="Z94" i="5"/>
  <c r="Z100" i="5"/>
  <c r="Z108" i="5"/>
  <c r="Z146" i="5"/>
  <c r="Z154" i="5"/>
  <c r="Z127" i="5"/>
  <c r="Z130" i="5"/>
  <c r="Z136" i="5"/>
  <c r="Z142" i="5"/>
  <c r="Z133" i="5"/>
  <c r="AB133" i="5" s="1"/>
  <c r="Z139" i="5"/>
  <c r="C12" i="6"/>
  <c r="W17" i="5"/>
  <c r="W21" i="5"/>
  <c r="W26" i="5"/>
  <c r="V47" i="5"/>
  <c r="V58" i="5"/>
  <c r="V65" i="5"/>
  <c r="V70" i="5"/>
  <c r="V81" i="5"/>
  <c r="V87" i="5"/>
  <c r="V94" i="5"/>
  <c r="V100" i="5"/>
  <c r="V108" i="5"/>
  <c r="V127" i="5"/>
  <c r="V130" i="5"/>
  <c r="V136" i="5"/>
  <c r="V142" i="5"/>
  <c r="V133" i="5"/>
  <c r="X133" i="5" s="1"/>
  <c r="V139" i="5"/>
  <c r="M21" i="5"/>
  <c r="L42" i="5"/>
  <c r="L31" i="5" s="1"/>
  <c r="L47" i="5"/>
  <c r="L52" i="5"/>
  <c r="L58" i="5"/>
  <c r="L65" i="5"/>
  <c r="L70" i="5"/>
  <c r="L81" i="5"/>
  <c r="L87" i="5"/>
  <c r="L94" i="5"/>
  <c r="L108" i="5"/>
  <c r="L146" i="5"/>
  <c r="L127" i="5"/>
  <c r="L130" i="5"/>
  <c r="L136" i="5"/>
  <c r="L142" i="5"/>
  <c r="L133" i="5"/>
  <c r="L139" i="5"/>
  <c r="N139" i="5" s="1"/>
  <c r="Q139" i="5" s="1"/>
  <c r="I8" i="5"/>
  <c r="I7" i="5" s="1"/>
  <c r="G9" i="5"/>
  <c r="G17" i="5"/>
  <c r="G21" i="5"/>
  <c r="G24" i="5"/>
  <c r="G26" i="5"/>
  <c r="F14" i="5"/>
  <c r="F7" i="5" s="1"/>
  <c r="F31" i="5"/>
  <c r="F47" i="5"/>
  <c r="F52" i="5"/>
  <c r="F58" i="5"/>
  <c r="F62" i="5"/>
  <c r="F65" i="5"/>
  <c r="F70" i="5"/>
  <c r="F81" i="5"/>
  <c r="F87" i="5"/>
  <c r="F94" i="5"/>
  <c r="F100" i="5"/>
  <c r="F108" i="5"/>
  <c r="F146" i="5"/>
  <c r="F124" i="5"/>
  <c r="F127" i="5"/>
  <c r="F130" i="5"/>
  <c r="F136" i="5"/>
  <c r="F142" i="5"/>
  <c r="F139" i="5"/>
  <c r="H139" i="5" s="1"/>
  <c r="K139" i="5" s="1"/>
  <c r="C9" i="5"/>
  <c r="C8" i="5" s="1"/>
  <c r="C17" i="5"/>
  <c r="C21" i="5"/>
  <c r="D21" i="5" s="1"/>
  <c r="C24" i="5"/>
  <c r="D24" i="5" s="1"/>
  <c r="C26" i="5"/>
  <c r="D26" i="5" s="1"/>
  <c r="B31" i="5"/>
  <c r="D31" i="5" s="1"/>
  <c r="H31" i="5" s="1"/>
  <c r="K31" i="5" s="1"/>
  <c r="N31" i="5" s="1"/>
  <c r="Q31" i="5" s="1"/>
  <c r="T31" i="5" s="1"/>
  <c r="X31" i="5" s="1"/>
  <c r="B47" i="5"/>
  <c r="D47" i="5" s="1"/>
  <c r="H47" i="5" s="1"/>
  <c r="K47" i="5" s="1"/>
  <c r="N47" i="5" s="1"/>
  <c r="Q47" i="5" s="1"/>
  <c r="T47" i="5" s="1"/>
  <c r="B52" i="5"/>
  <c r="D52" i="5" s="1"/>
  <c r="B58" i="5"/>
  <c r="B62" i="5"/>
  <c r="B65" i="5"/>
  <c r="D65" i="5" s="1"/>
  <c r="H65" i="5" s="1"/>
  <c r="B70" i="5"/>
  <c r="D70" i="5" s="1"/>
  <c r="H70" i="5" s="1"/>
  <c r="K70" i="5" s="1"/>
  <c r="B81" i="5"/>
  <c r="D81" i="5" s="1"/>
  <c r="B87" i="5"/>
  <c r="D87" i="5" s="1"/>
  <c r="H87" i="5" s="1"/>
  <c r="B94" i="5"/>
  <c r="B100" i="5"/>
  <c r="D100" i="5" s="1"/>
  <c r="B108" i="5"/>
  <c r="B146" i="5"/>
  <c r="B145" i="5" s="1"/>
  <c r="D145" i="5" s="1"/>
  <c r="B130" i="5"/>
  <c r="B136" i="5"/>
  <c r="D136" i="5" s="1"/>
  <c r="B142" i="5"/>
  <c r="R127" i="5"/>
  <c r="R130" i="5"/>
  <c r="R136" i="5"/>
  <c r="R142" i="5"/>
  <c r="R133" i="5"/>
  <c r="R139" i="5"/>
  <c r="Q160" i="5"/>
  <c r="T160" i="5" s="1"/>
  <c r="X160" i="5" s="1"/>
  <c r="K160" i="5"/>
  <c r="Q157" i="5"/>
  <c r="D156" i="5"/>
  <c r="H156" i="5" s="1"/>
  <c r="K156" i="5" s="1"/>
  <c r="N156" i="5" s="1"/>
  <c r="Q156" i="5" s="1"/>
  <c r="T156" i="5" s="1"/>
  <c r="X156" i="5" s="1"/>
  <c r="AB156" i="5" s="1"/>
  <c r="AF156" i="5" s="1"/>
  <c r="AJ156" i="5" s="1"/>
  <c r="AN156" i="5" s="1"/>
  <c r="D155" i="5"/>
  <c r="H155" i="5" s="1"/>
  <c r="K155" i="5" s="1"/>
  <c r="N155" i="5" s="1"/>
  <c r="Q155" i="5" s="1"/>
  <c r="T155" i="5" s="1"/>
  <c r="X155" i="5" s="1"/>
  <c r="AB155" i="5" s="1"/>
  <c r="AF155" i="5" s="1"/>
  <c r="AJ155" i="5" s="1"/>
  <c r="AN155" i="5" s="1"/>
  <c r="R154" i="5"/>
  <c r="AD154" i="5"/>
  <c r="N153" i="5"/>
  <c r="Q153" i="5" s="1"/>
  <c r="T153" i="5" s="1"/>
  <c r="X153" i="5" s="1"/>
  <c r="AB153" i="5" s="1"/>
  <c r="AF153" i="5" s="1"/>
  <c r="AJ153" i="5" s="1"/>
  <c r="AN153" i="5" s="1"/>
  <c r="AR153" i="5" s="1"/>
  <c r="N152" i="5"/>
  <c r="Q152" i="5" s="1"/>
  <c r="T152" i="5" s="1"/>
  <c r="X152" i="5" s="1"/>
  <c r="AB152" i="5" s="1"/>
  <c r="AF152" i="5" s="1"/>
  <c r="AJ152" i="5" s="1"/>
  <c r="AN152" i="5" s="1"/>
  <c r="AR152" i="5" s="1"/>
  <c r="N151" i="5"/>
  <c r="Q151" i="5" s="1"/>
  <c r="T151" i="5" s="1"/>
  <c r="X151" i="5" s="1"/>
  <c r="AB151" i="5" s="1"/>
  <c r="AF151" i="5" s="1"/>
  <c r="AJ151" i="5" s="1"/>
  <c r="AN151" i="5" s="1"/>
  <c r="AR151" i="5" s="1"/>
  <c r="N150" i="5"/>
  <c r="Q150" i="5" s="1"/>
  <c r="T150" i="5" s="1"/>
  <c r="X150" i="5" s="1"/>
  <c r="AB150" i="5" s="1"/>
  <c r="AF150" i="5" s="1"/>
  <c r="AJ150" i="5" s="1"/>
  <c r="AN150" i="5" s="1"/>
  <c r="AR150" i="5" s="1"/>
  <c r="N149" i="5"/>
  <c r="Q149" i="5" s="1"/>
  <c r="T149" i="5" s="1"/>
  <c r="X149" i="5" s="1"/>
  <c r="AB149" i="5" s="1"/>
  <c r="AF149" i="5" s="1"/>
  <c r="AJ149" i="5" s="1"/>
  <c r="AN149" i="5" s="1"/>
  <c r="AR149" i="5" s="1"/>
  <c r="N148" i="5"/>
  <c r="Q148" i="5" s="1"/>
  <c r="T148" i="5" s="1"/>
  <c r="X148" i="5" s="1"/>
  <c r="AB148" i="5" s="1"/>
  <c r="AF148" i="5" s="1"/>
  <c r="AJ148" i="5" s="1"/>
  <c r="AN148" i="5" s="1"/>
  <c r="AR148" i="5" s="1"/>
  <c r="N147" i="5"/>
  <c r="Q147" i="5" s="1"/>
  <c r="T147" i="5" s="1"/>
  <c r="X147" i="5" s="1"/>
  <c r="AB147" i="5" s="1"/>
  <c r="AF147" i="5" s="1"/>
  <c r="AJ147" i="5" s="1"/>
  <c r="AN147" i="5" s="1"/>
  <c r="AR147" i="5" s="1"/>
  <c r="D144" i="5"/>
  <c r="H144" i="5" s="1"/>
  <c r="K144" i="5" s="1"/>
  <c r="N144" i="5" s="1"/>
  <c r="Q144" i="5" s="1"/>
  <c r="T144" i="5" s="1"/>
  <c r="X144" i="5" s="1"/>
  <c r="AB144" i="5" s="1"/>
  <c r="AF144" i="5" s="1"/>
  <c r="AJ144" i="5" s="1"/>
  <c r="AN144" i="5" s="1"/>
  <c r="D143" i="5"/>
  <c r="H143" i="5" s="1"/>
  <c r="K143" i="5" s="1"/>
  <c r="N143" i="5" s="1"/>
  <c r="Q143" i="5" s="1"/>
  <c r="T143" i="5" s="1"/>
  <c r="X143" i="5" s="1"/>
  <c r="AB143" i="5" s="1"/>
  <c r="AF143" i="5" s="1"/>
  <c r="AJ143" i="5" s="1"/>
  <c r="AN143" i="5" s="1"/>
  <c r="D142" i="5"/>
  <c r="H142" i="5"/>
  <c r="K142" i="5" s="1"/>
  <c r="N142" i="5" s="1"/>
  <c r="Q142" i="5" s="1"/>
  <c r="T142" i="5" s="1"/>
  <c r="X142" i="5" s="1"/>
  <c r="AB142" i="5" s="1"/>
  <c r="AF142" i="5" s="1"/>
  <c r="AJ142" i="5" s="1"/>
  <c r="AN142" i="5" s="1"/>
  <c r="D141" i="5"/>
  <c r="H141" i="5" s="1"/>
  <c r="K141" i="5" s="1"/>
  <c r="N141" i="5" s="1"/>
  <c r="Q141" i="5" s="1"/>
  <c r="T141" i="5" s="1"/>
  <c r="X141" i="5" s="1"/>
  <c r="AB141" i="5" s="1"/>
  <c r="AF141" i="5" s="1"/>
  <c r="AJ141" i="5" s="1"/>
  <c r="AN141" i="5" s="1"/>
  <c r="H140" i="5"/>
  <c r="K140" i="5" s="1"/>
  <c r="N140" i="5" s="1"/>
  <c r="Q140" i="5" s="1"/>
  <c r="T140" i="5" s="1"/>
  <c r="X140" i="5" s="1"/>
  <c r="AB140" i="5" s="1"/>
  <c r="AF140" i="5" s="1"/>
  <c r="AJ140" i="5" s="1"/>
  <c r="AN140" i="5" s="1"/>
  <c r="H138" i="5"/>
  <c r="K138" i="5" s="1"/>
  <c r="N138" i="5" s="1"/>
  <c r="Q138" i="5" s="1"/>
  <c r="T138" i="5" s="1"/>
  <c r="X138" i="5" s="1"/>
  <c r="AB138" i="5" s="1"/>
  <c r="AF138" i="5" s="1"/>
  <c r="AJ138" i="5" s="1"/>
  <c r="AN138" i="5" s="1"/>
  <c r="D137" i="5"/>
  <c r="H137" i="5" s="1"/>
  <c r="K137" i="5" s="1"/>
  <c r="N137" i="5" s="1"/>
  <c r="Q137" i="5" s="1"/>
  <c r="T137" i="5" s="1"/>
  <c r="X137" i="5" s="1"/>
  <c r="AB137" i="5" s="1"/>
  <c r="AF137" i="5" s="1"/>
  <c r="AJ137" i="5" s="1"/>
  <c r="AN137" i="5" s="1"/>
  <c r="H135" i="5"/>
  <c r="K135" i="5" s="1"/>
  <c r="N135" i="5" s="1"/>
  <c r="Q135" i="5" s="1"/>
  <c r="T135" i="5" s="1"/>
  <c r="AN134" i="5"/>
  <c r="AJ134" i="5"/>
  <c r="AF134" i="5"/>
  <c r="AB134" i="5"/>
  <c r="X134" i="5"/>
  <c r="D134" i="5"/>
  <c r="H134" i="5" s="1"/>
  <c r="K134" i="5" s="1"/>
  <c r="N134" i="5" s="1"/>
  <c r="Q134" i="5" s="1"/>
  <c r="T134" i="5" s="1"/>
  <c r="AN133" i="5"/>
  <c r="D133" i="5"/>
  <c r="H133" i="5" s="1"/>
  <c r="K133" i="5" s="1"/>
  <c r="N133" i="5" s="1"/>
  <c r="D132" i="5"/>
  <c r="H132" i="5" s="1"/>
  <c r="K132" i="5" s="1"/>
  <c r="N132" i="5" s="1"/>
  <c r="Q132" i="5" s="1"/>
  <c r="T132" i="5" s="1"/>
  <c r="X132" i="5" s="1"/>
  <c r="AB132" i="5" s="1"/>
  <c r="AF132" i="5" s="1"/>
  <c r="AJ132" i="5" s="1"/>
  <c r="AN132" i="5" s="1"/>
  <c r="D131" i="5"/>
  <c r="H131" i="5" s="1"/>
  <c r="K131" i="5" s="1"/>
  <c r="N131" i="5" s="1"/>
  <c r="Q131" i="5" s="1"/>
  <c r="T131" i="5" s="1"/>
  <c r="X131" i="5" s="1"/>
  <c r="AB131" i="5" s="1"/>
  <c r="AF131" i="5" s="1"/>
  <c r="AJ131" i="5" s="1"/>
  <c r="AN131" i="5" s="1"/>
  <c r="C131" i="5"/>
  <c r="D129" i="5"/>
  <c r="H129" i="5" s="1"/>
  <c r="K129" i="5" s="1"/>
  <c r="N129" i="5" s="1"/>
  <c r="Q129" i="5" s="1"/>
  <c r="T129" i="5" s="1"/>
  <c r="X129" i="5" s="1"/>
  <c r="AB129" i="5" s="1"/>
  <c r="AF129" i="5" s="1"/>
  <c r="AJ129" i="5" s="1"/>
  <c r="AN129" i="5" s="1"/>
  <c r="D128" i="5"/>
  <c r="H128" i="5"/>
  <c r="K128" i="5" s="1"/>
  <c r="N128" i="5" s="1"/>
  <c r="Q128" i="5" s="1"/>
  <c r="T128" i="5" s="1"/>
  <c r="X128" i="5" s="1"/>
  <c r="AB128" i="5" s="1"/>
  <c r="AF128" i="5" s="1"/>
  <c r="AJ128" i="5" s="1"/>
  <c r="AN128" i="5" s="1"/>
  <c r="D127" i="5"/>
  <c r="D126" i="5"/>
  <c r="H126" i="5" s="1"/>
  <c r="K126" i="5" s="1"/>
  <c r="N126" i="5" s="1"/>
  <c r="Q126" i="5" s="1"/>
  <c r="T126" i="5" s="1"/>
  <c r="D125" i="5"/>
  <c r="H125" i="5" s="1"/>
  <c r="K125" i="5" s="1"/>
  <c r="N125" i="5" s="1"/>
  <c r="Q125" i="5" s="1"/>
  <c r="T125" i="5" s="1"/>
  <c r="X125" i="5" s="1"/>
  <c r="AB125" i="5" s="1"/>
  <c r="AF125" i="5" s="1"/>
  <c r="AJ125" i="5" s="1"/>
  <c r="AN125" i="5" s="1"/>
  <c r="D124" i="5"/>
  <c r="D122" i="5"/>
  <c r="H122" i="5" s="1"/>
  <c r="K122" i="5" s="1"/>
  <c r="N122" i="5" s="1"/>
  <c r="Q122" i="5" s="1"/>
  <c r="T122" i="5" s="1"/>
  <c r="X122" i="5" s="1"/>
  <c r="AB122" i="5" s="1"/>
  <c r="AF122" i="5" s="1"/>
  <c r="AJ122" i="5" s="1"/>
  <c r="AN122" i="5" s="1"/>
  <c r="D121" i="5"/>
  <c r="H121" i="5" s="1"/>
  <c r="K121" i="5" s="1"/>
  <c r="N121" i="5" s="1"/>
  <c r="Q121" i="5" s="1"/>
  <c r="T121" i="5" s="1"/>
  <c r="X121" i="5" s="1"/>
  <c r="AB121" i="5" s="1"/>
  <c r="AF121" i="5" s="1"/>
  <c r="AJ121" i="5" s="1"/>
  <c r="AN121" i="5" s="1"/>
  <c r="H120" i="5"/>
  <c r="K120" i="5" s="1"/>
  <c r="N120" i="5" s="1"/>
  <c r="Q120" i="5" s="1"/>
  <c r="T120" i="5" s="1"/>
  <c r="X120" i="5" s="1"/>
  <c r="AB120" i="5" s="1"/>
  <c r="AF120" i="5" s="1"/>
  <c r="AJ120" i="5" s="1"/>
  <c r="AN120" i="5" s="1"/>
  <c r="D119" i="5"/>
  <c r="H119" i="5"/>
  <c r="K119" i="5" s="1"/>
  <c r="N119" i="5" s="1"/>
  <c r="Q119" i="5" s="1"/>
  <c r="T119" i="5" s="1"/>
  <c r="X119" i="5" s="1"/>
  <c r="AB119" i="5" s="1"/>
  <c r="AF119" i="5" s="1"/>
  <c r="AJ119" i="5" s="1"/>
  <c r="AN119" i="5" s="1"/>
  <c r="D118" i="5"/>
  <c r="H118" i="5" s="1"/>
  <c r="K118" i="5" s="1"/>
  <c r="N118" i="5" s="1"/>
  <c r="Q118" i="5" s="1"/>
  <c r="T118" i="5" s="1"/>
  <c r="X118" i="5" s="1"/>
  <c r="AB118" i="5" s="1"/>
  <c r="AF118" i="5" s="1"/>
  <c r="AJ118" i="5" s="1"/>
  <c r="AN118" i="5" s="1"/>
  <c r="D117" i="5"/>
  <c r="H117" i="5" s="1"/>
  <c r="K117" i="5" s="1"/>
  <c r="N117" i="5" s="1"/>
  <c r="Q117" i="5" s="1"/>
  <c r="T117" i="5" s="1"/>
  <c r="X117" i="5" s="1"/>
  <c r="AB117" i="5" s="1"/>
  <c r="AF117" i="5" s="1"/>
  <c r="AJ117" i="5" s="1"/>
  <c r="AN117" i="5" s="1"/>
  <c r="D116" i="5"/>
  <c r="H116" i="5" s="1"/>
  <c r="K116" i="5" s="1"/>
  <c r="N116" i="5" s="1"/>
  <c r="Q116" i="5" s="1"/>
  <c r="T116" i="5" s="1"/>
  <c r="X116" i="5" s="1"/>
  <c r="AB116" i="5" s="1"/>
  <c r="AF116" i="5" s="1"/>
  <c r="AJ116" i="5" s="1"/>
  <c r="AN116" i="5" s="1"/>
  <c r="D115" i="5"/>
  <c r="H115" i="5" s="1"/>
  <c r="K115" i="5" s="1"/>
  <c r="N115" i="5" s="1"/>
  <c r="Q115" i="5" s="1"/>
  <c r="T115" i="5" s="1"/>
  <c r="X115" i="5" s="1"/>
  <c r="AB115" i="5" s="1"/>
  <c r="AF115" i="5" s="1"/>
  <c r="AJ115" i="5" s="1"/>
  <c r="AN115" i="5" s="1"/>
  <c r="D114" i="5"/>
  <c r="H114" i="5" s="1"/>
  <c r="K114" i="5" s="1"/>
  <c r="N114" i="5" s="1"/>
  <c r="Q114" i="5" s="1"/>
  <c r="T114" i="5" s="1"/>
  <c r="X114" i="5" s="1"/>
  <c r="AB114" i="5" s="1"/>
  <c r="AF114" i="5" s="1"/>
  <c r="AJ114" i="5" s="1"/>
  <c r="AN114" i="5" s="1"/>
  <c r="D113" i="5"/>
  <c r="H113" i="5" s="1"/>
  <c r="K113" i="5" s="1"/>
  <c r="N113" i="5" s="1"/>
  <c r="Q113" i="5" s="1"/>
  <c r="T113" i="5" s="1"/>
  <c r="X113" i="5" s="1"/>
  <c r="AB113" i="5" s="1"/>
  <c r="AF113" i="5" s="1"/>
  <c r="AJ113" i="5" s="1"/>
  <c r="AN113" i="5" s="1"/>
  <c r="D112" i="5"/>
  <c r="H112" i="5" s="1"/>
  <c r="K112" i="5" s="1"/>
  <c r="N112" i="5" s="1"/>
  <c r="Q112" i="5" s="1"/>
  <c r="T112" i="5" s="1"/>
  <c r="X112" i="5" s="1"/>
  <c r="AB112" i="5" s="1"/>
  <c r="AF112" i="5" s="1"/>
  <c r="AJ112" i="5" s="1"/>
  <c r="AN112" i="5" s="1"/>
  <c r="D111" i="5"/>
  <c r="H111" i="5" s="1"/>
  <c r="K111" i="5" s="1"/>
  <c r="N111" i="5" s="1"/>
  <c r="Q111" i="5" s="1"/>
  <c r="T111" i="5" s="1"/>
  <c r="X111" i="5" s="1"/>
  <c r="AB111" i="5" s="1"/>
  <c r="AF111" i="5" s="1"/>
  <c r="AJ111" i="5" s="1"/>
  <c r="AN111" i="5" s="1"/>
  <c r="D110" i="5"/>
  <c r="H110" i="5" s="1"/>
  <c r="K110" i="5" s="1"/>
  <c r="N110" i="5" s="1"/>
  <c r="Q110" i="5" s="1"/>
  <c r="T110" i="5" s="1"/>
  <c r="X110" i="5" s="1"/>
  <c r="AB110" i="5" s="1"/>
  <c r="AF110" i="5" s="1"/>
  <c r="AJ110" i="5" s="1"/>
  <c r="AN110" i="5" s="1"/>
  <c r="D109" i="5"/>
  <c r="H109" i="5" s="1"/>
  <c r="K109" i="5" s="1"/>
  <c r="N109" i="5" s="1"/>
  <c r="Q109" i="5" s="1"/>
  <c r="T109" i="5" s="1"/>
  <c r="X109" i="5" s="1"/>
  <c r="AB109" i="5" s="1"/>
  <c r="AF109" i="5" s="1"/>
  <c r="AJ109" i="5" s="1"/>
  <c r="AN109" i="5" s="1"/>
  <c r="D108" i="5"/>
  <c r="H108" i="5" s="1"/>
  <c r="K108" i="5" s="1"/>
  <c r="N108" i="5" s="1"/>
  <c r="H107" i="5"/>
  <c r="K107" i="5" s="1"/>
  <c r="N107" i="5" s="1"/>
  <c r="Q107" i="5" s="1"/>
  <c r="T107" i="5" s="1"/>
  <c r="H106" i="5"/>
  <c r="K106" i="5" s="1"/>
  <c r="N106" i="5" s="1"/>
  <c r="Q106" i="5" s="1"/>
  <c r="T106" i="5" s="1"/>
  <c r="X106" i="5" s="1"/>
  <c r="AB106" i="5" s="1"/>
  <c r="AF106" i="5" s="1"/>
  <c r="AJ106" i="5" s="1"/>
  <c r="AN106" i="5" s="1"/>
  <c r="D105" i="5"/>
  <c r="H105" i="5" s="1"/>
  <c r="K105" i="5" s="1"/>
  <c r="N105" i="5" s="1"/>
  <c r="Q105" i="5" s="1"/>
  <c r="T105" i="5" s="1"/>
  <c r="X105" i="5" s="1"/>
  <c r="AB105" i="5" s="1"/>
  <c r="AF105" i="5" s="1"/>
  <c r="AJ105" i="5" s="1"/>
  <c r="AN105" i="5" s="1"/>
  <c r="D104" i="5"/>
  <c r="H104" i="5" s="1"/>
  <c r="K104" i="5" s="1"/>
  <c r="N104" i="5" s="1"/>
  <c r="Q104" i="5" s="1"/>
  <c r="T104" i="5" s="1"/>
  <c r="X104" i="5" s="1"/>
  <c r="AB104" i="5" s="1"/>
  <c r="AF104" i="5" s="1"/>
  <c r="AJ104" i="5" s="1"/>
  <c r="AN104" i="5" s="1"/>
  <c r="D103" i="5"/>
  <c r="H103" i="5" s="1"/>
  <c r="K103" i="5" s="1"/>
  <c r="N103" i="5" s="1"/>
  <c r="Q103" i="5" s="1"/>
  <c r="T103" i="5" s="1"/>
  <c r="X103" i="5" s="1"/>
  <c r="AB103" i="5" s="1"/>
  <c r="AF103" i="5" s="1"/>
  <c r="AJ103" i="5" s="1"/>
  <c r="AN103" i="5" s="1"/>
  <c r="D102" i="5"/>
  <c r="H102" i="5"/>
  <c r="K102" i="5" s="1"/>
  <c r="N102" i="5" s="1"/>
  <c r="Q102" i="5" s="1"/>
  <c r="T102" i="5" s="1"/>
  <c r="X102" i="5" s="1"/>
  <c r="AB102" i="5" s="1"/>
  <c r="AF102" i="5" s="1"/>
  <c r="AJ102" i="5" s="1"/>
  <c r="AN102" i="5" s="1"/>
  <c r="D101" i="5"/>
  <c r="H101" i="5" s="1"/>
  <c r="K101" i="5" s="1"/>
  <c r="N101" i="5" s="1"/>
  <c r="Q101" i="5" s="1"/>
  <c r="T101" i="5" s="1"/>
  <c r="X101" i="5" s="1"/>
  <c r="AB101" i="5" s="1"/>
  <c r="AF101" i="5" s="1"/>
  <c r="AJ101" i="5" s="1"/>
  <c r="AN101" i="5" s="1"/>
  <c r="D99" i="5"/>
  <c r="H99" i="5" s="1"/>
  <c r="K99" i="5" s="1"/>
  <c r="N99" i="5" s="1"/>
  <c r="Q99" i="5" s="1"/>
  <c r="T99" i="5" s="1"/>
  <c r="X99" i="5" s="1"/>
  <c r="AB99" i="5" s="1"/>
  <c r="AF99" i="5" s="1"/>
  <c r="AJ99" i="5" s="1"/>
  <c r="AN99" i="5" s="1"/>
  <c r="D98" i="5"/>
  <c r="H98" i="5"/>
  <c r="K98" i="5" s="1"/>
  <c r="N98" i="5" s="1"/>
  <c r="Q98" i="5" s="1"/>
  <c r="T98" i="5" s="1"/>
  <c r="X98" i="5" s="1"/>
  <c r="AB98" i="5" s="1"/>
  <c r="AF98" i="5" s="1"/>
  <c r="AJ98" i="5" s="1"/>
  <c r="AN98" i="5" s="1"/>
  <c r="D97" i="5"/>
  <c r="H97" i="5" s="1"/>
  <c r="K97" i="5" s="1"/>
  <c r="N97" i="5" s="1"/>
  <c r="Q97" i="5" s="1"/>
  <c r="T97" i="5" s="1"/>
  <c r="X97" i="5" s="1"/>
  <c r="AB97" i="5" s="1"/>
  <c r="AF97" i="5" s="1"/>
  <c r="AJ97" i="5" s="1"/>
  <c r="AN97" i="5" s="1"/>
  <c r="D96" i="5"/>
  <c r="H96" i="5" s="1"/>
  <c r="K96" i="5" s="1"/>
  <c r="N96" i="5" s="1"/>
  <c r="Q96" i="5" s="1"/>
  <c r="T96" i="5" s="1"/>
  <c r="X96" i="5" s="1"/>
  <c r="AB96" i="5" s="1"/>
  <c r="AF96" i="5" s="1"/>
  <c r="AJ96" i="5" s="1"/>
  <c r="AN96" i="5" s="1"/>
  <c r="D95" i="5"/>
  <c r="H95" i="5" s="1"/>
  <c r="K95" i="5" s="1"/>
  <c r="N95" i="5" s="1"/>
  <c r="Q95" i="5" s="1"/>
  <c r="T95" i="5" s="1"/>
  <c r="X95" i="5" s="1"/>
  <c r="AB95" i="5" s="1"/>
  <c r="AF95" i="5" s="1"/>
  <c r="AJ95" i="5" s="1"/>
  <c r="AN95" i="5" s="1"/>
  <c r="D94" i="5"/>
  <c r="D93" i="5"/>
  <c r="H93" i="5" s="1"/>
  <c r="K93" i="5" s="1"/>
  <c r="N93" i="5" s="1"/>
  <c r="Q93" i="5" s="1"/>
  <c r="T93" i="5" s="1"/>
  <c r="K92" i="5"/>
  <c r="N92" i="5" s="1"/>
  <c r="T92" i="5" s="1"/>
  <c r="X92" i="5" s="1"/>
  <c r="K91" i="5"/>
  <c r="N91" i="5" s="1"/>
  <c r="D90" i="5"/>
  <c r="H90" i="5" s="1"/>
  <c r="K90" i="5" s="1"/>
  <c r="N90" i="5" s="1"/>
  <c r="Q90" i="5" s="1"/>
  <c r="T90" i="5" s="1"/>
  <c r="X90" i="5" s="1"/>
  <c r="AB90" i="5" s="1"/>
  <c r="D89" i="5"/>
  <c r="H89" i="5" s="1"/>
  <c r="K89" i="5" s="1"/>
  <c r="N89" i="5" s="1"/>
  <c r="Q89" i="5" s="1"/>
  <c r="T89" i="5" s="1"/>
  <c r="X89" i="5" s="1"/>
  <c r="AB89" i="5" s="1"/>
  <c r="H88" i="5"/>
  <c r="K88" i="5" s="1"/>
  <c r="N88" i="5" s="1"/>
  <c r="Q88" i="5" s="1"/>
  <c r="T88" i="5" s="1"/>
  <c r="X88" i="5" s="1"/>
  <c r="AB88" i="5" s="1"/>
  <c r="AF88" i="5" s="1"/>
  <c r="AJ88" i="5" s="1"/>
  <c r="AN88" i="5" s="1"/>
  <c r="AJ86" i="5"/>
  <c r="D86" i="5"/>
  <c r="H86" i="5" s="1"/>
  <c r="K86" i="5" s="1"/>
  <c r="N86" i="5" s="1"/>
  <c r="Q86" i="5" s="1"/>
  <c r="T86" i="5" s="1"/>
  <c r="D85" i="5"/>
  <c r="H85" i="5" s="1"/>
  <c r="K85" i="5" s="1"/>
  <c r="N85" i="5" s="1"/>
  <c r="Q85" i="5" s="1"/>
  <c r="T85" i="5" s="1"/>
  <c r="X85" i="5" s="1"/>
  <c r="AB85" i="5" s="1"/>
  <c r="AF85" i="5" s="1"/>
  <c r="AJ85" i="5" s="1"/>
  <c r="AN85" i="5" s="1"/>
  <c r="D84" i="5"/>
  <c r="H84" i="5" s="1"/>
  <c r="K84" i="5" s="1"/>
  <c r="N84" i="5" s="1"/>
  <c r="Q84" i="5" s="1"/>
  <c r="T84" i="5" s="1"/>
  <c r="X84" i="5" s="1"/>
  <c r="AB84" i="5" s="1"/>
  <c r="AF84" i="5" s="1"/>
  <c r="AJ84" i="5" s="1"/>
  <c r="AN84" i="5" s="1"/>
  <c r="D83" i="5"/>
  <c r="H83" i="5" s="1"/>
  <c r="K83" i="5" s="1"/>
  <c r="N83" i="5" s="1"/>
  <c r="Q83" i="5" s="1"/>
  <c r="T83" i="5" s="1"/>
  <c r="X83" i="5" s="1"/>
  <c r="AB83" i="5" s="1"/>
  <c r="AF83" i="5" s="1"/>
  <c r="AJ83" i="5" s="1"/>
  <c r="AN83" i="5" s="1"/>
  <c r="D82" i="5"/>
  <c r="H82" i="5" s="1"/>
  <c r="K82" i="5" s="1"/>
  <c r="N82" i="5" s="1"/>
  <c r="H81" i="5"/>
  <c r="K81" i="5" s="1"/>
  <c r="D80" i="5"/>
  <c r="H80" i="5" s="1"/>
  <c r="K80" i="5" s="1"/>
  <c r="N80" i="5" s="1"/>
  <c r="Q80" i="5" s="1"/>
  <c r="T80" i="5" s="1"/>
  <c r="X80" i="5" s="1"/>
  <c r="AB80" i="5" s="1"/>
  <c r="AF80" i="5" s="1"/>
  <c r="AJ80" i="5" s="1"/>
  <c r="AN80" i="5" s="1"/>
  <c r="D79" i="5"/>
  <c r="H79" i="5" s="1"/>
  <c r="K79" i="5" s="1"/>
  <c r="N79" i="5" s="1"/>
  <c r="Q79" i="5" s="1"/>
  <c r="T79" i="5" s="1"/>
  <c r="X79" i="5" s="1"/>
  <c r="AB79" i="5" s="1"/>
  <c r="AF79" i="5" s="1"/>
  <c r="AJ79" i="5" s="1"/>
  <c r="AN79" i="5" s="1"/>
  <c r="D78" i="5"/>
  <c r="H78" i="5" s="1"/>
  <c r="K78" i="5" s="1"/>
  <c r="N78" i="5" s="1"/>
  <c r="Q78" i="5" s="1"/>
  <c r="T78" i="5" s="1"/>
  <c r="X78" i="5" s="1"/>
  <c r="AB78" i="5" s="1"/>
  <c r="AF78" i="5" s="1"/>
  <c r="AJ78" i="5" s="1"/>
  <c r="AN78" i="5" s="1"/>
  <c r="D77" i="5"/>
  <c r="H77" i="5" s="1"/>
  <c r="K77" i="5" s="1"/>
  <c r="N77" i="5" s="1"/>
  <c r="Q77" i="5" s="1"/>
  <c r="T77" i="5" s="1"/>
  <c r="X77" i="5" s="1"/>
  <c r="AB77" i="5" s="1"/>
  <c r="AF77" i="5" s="1"/>
  <c r="AJ77" i="5" s="1"/>
  <c r="AN77" i="5" s="1"/>
  <c r="D76" i="5"/>
  <c r="H76" i="5" s="1"/>
  <c r="K76" i="5" s="1"/>
  <c r="N76" i="5" s="1"/>
  <c r="Q76" i="5" s="1"/>
  <c r="T76" i="5" s="1"/>
  <c r="X76" i="5" s="1"/>
  <c r="AB76" i="5" s="1"/>
  <c r="AF76" i="5" s="1"/>
  <c r="AJ76" i="5" s="1"/>
  <c r="AN76" i="5" s="1"/>
  <c r="D75" i="5"/>
  <c r="H75" i="5" s="1"/>
  <c r="K75" i="5" s="1"/>
  <c r="N75" i="5" s="1"/>
  <c r="Q75" i="5" s="1"/>
  <c r="T75" i="5" s="1"/>
  <c r="X75" i="5" s="1"/>
  <c r="AB75" i="5" s="1"/>
  <c r="AF75" i="5" s="1"/>
  <c r="AJ75" i="5" s="1"/>
  <c r="AN75" i="5" s="1"/>
  <c r="D74" i="5"/>
  <c r="H74" i="5" s="1"/>
  <c r="K74" i="5" s="1"/>
  <c r="N74" i="5" s="1"/>
  <c r="Q74" i="5" s="1"/>
  <c r="T74" i="5" s="1"/>
  <c r="X74" i="5" s="1"/>
  <c r="AB74" i="5" s="1"/>
  <c r="AF74" i="5" s="1"/>
  <c r="AJ74" i="5" s="1"/>
  <c r="AN74" i="5" s="1"/>
  <c r="H73" i="5"/>
  <c r="K73" i="5" s="1"/>
  <c r="N73" i="5" s="1"/>
  <c r="Q73" i="5" s="1"/>
  <c r="T73" i="5" s="1"/>
  <c r="D72" i="5"/>
  <c r="H72" i="5" s="1"/>
  <c r="K72" i="5" s="1"/>
  <c r="N72" i="5"/>
  <c r="Q72" i="5" s="1"/>
  <c r="T72" i="5" s="1"/>
  <c r="X72" i="5" s="1"/>
  <c r="AB72" i="5" s="1"/>
  <c r="AF72" i="5" s="1"/>
  <c r="AJ72" i="5" s="1"/>
  <c r="AN72" i="5" s="1"/>
  <c r="H69" i="5"/>
  <c r="K69" i="5" s="1"/>
  <c r="N69" i="5" s="1"/>
  <c r="Q69" i="5" s="1"/>
  <c r="T69" i="5" s="1"/>
  <c r="X69" i="5" s="1"/>
  <c r="AB69" i="5" s="1"/>
  <c r="AF69" i="5" s="1"/>
  <c r="AJ69" i="5" s="1"/>
  <c r="AN69" i="5" s="1"/>
  <c r="D68" i="5"/>
  <c r="H68" i="5" s="1"/>
  <c r="K68" i="5" s="1"/>
  <c r="N68" i="5" s="1"/>
  <c r="Q68" i="5" s="1"/>
  <c r="T68" i="5" s="1"/>
  <c r="X68" i="5" s="1"/>
  <c r="AB68" i="5" s="1"/>
  <c r="AF68" i="5" s="1"/>
  <c r="AJ68" i="5" s="1"/>
  <c r="AN68" i="5" s="1"/>
  <c r="D67" i="5"/>
  <c r="H67" i="5" s="1"/>
  <c r="K67" i="5" s="1"/>
  <c r="N67" i="5" s="1"/>
  <c r="Q67" i="5" s="1"/>
  <c r="T67" i="5" s="1"/>
  <c r="X67" i="5" s="1"/>
  <c r="AB67" i="5" s="1"/>
  <c r="AF67" i="5" s="1"/>
  <c r="AJ67" i="5" s="1"/>
  <c r="AN67" i="5" s="1"/>
  <c r="D66" i="5"/>
  <c r="H66" i="5" s="1"/>
  <c r="K66" i="5" s="1"/>
  <c r="N66" i="5" s="1"/>
  <c r="Q66" i="5" s="1"/>
  <c r="T66" i="5" s="1"/>
  <c r="X66" i="5" s="1"/>
  <c r="AB66" i="5" s="1"/>
  <c r="AF66" i="5" s="1"/>
  <c r="AJ66" i="5" s="1"/>
  <c r="AN66" i="5" s="1"/>
  <c r="H64" i="5"/>
  <c r="K64" i="5" s="1"/>
  <c r="N64" i="5"/>
  <c r="Q64" i="5" s="1"/>
  <c r="T64" i="5" s="1"/>
  <c r="D63" i="5"/>
  <c r="H63" i="5" s="1"/>
  <c r="K63" i="5" s="1"/>
  <c r="N63" i="5" s="1"/>
  <c r="Q63" i="5" s="1"/>
  <c r="T63" i="5" s="1"/>
  <c r="X63" i="5" s="1"/>
  <c r="AB63" i="5" s="1"/>
  <c r="AF63" i="5" s="1"/>
  <c r="AJ63" i="5" s="1"/>
  <c r="AN63" i="5" s="1"/>
  <c r="D62" i="5"/>
  <c r="H62" i="5" s="1"/>
  <c r="K62" i="5" s="1"/>
  <c r="N62" i="5" s="1"/>
  <c r="Q62" i="5" s="1"/>
  <c r="T62" i="5" s="1"/>
  <c r="X62" i="5" s="1"/>
  <c r="AB62" i="5" s="1"/>
  <c r="AF62" i="5" s="1"/>
  <c r="AN62" i="5" s="1"/>
  <c r="H61" i="5"/>
  <c r="K61" i="5" s="1"/>
  <c r="N61" i="5" s="1"/>
  <c r="Q61" i="5" s="1"/>
  <c r="T61" i="5" s="1"/>
  <c r="D60" i="5"/>
  <c r="H60" i="5" s="1"/>
  <c r="K60" i="5" s="1"/>
  <c r="N60" i="5" s="1"/>
  <c r="Q60" i="5" s="1"/>
  <c r="T60" i="5" s="1"/>
  <c r="X60" i="5" s="1"/>
  <c r="AB60" i="5" s="1"/>
  <c r="AF60" i="5" s="1"/>
  <c r="AJ60" i="5" s="1"/>
  <c r="AN60" i="5" s="1"/>
  <c r="D59" i="5"/>
  <c r="H59" i="5" s="1"/>
  <c r="K59" i="5" s="1"/>
  <c r="N59" i="5" s="1"/>
  <c r="Q59" i="5" s="1"/>
  <c r="T59" i="5" s="1"/>
  <c r="X59" i="5" s="1"/>
  <c r="AB59" i="5" s="1"/>
  <c r="AF59" i="5" s="1"/>
  <c r="AJ59" i="5" s="1"/>
  <c r="AN59" i="5" s="1"/>
  <c r="D58" i="5"/>
  <c r="H58" i="5" s="1"/>
  <c r="H57" i="5"/>
  <c r="K57" i="5" s="1"/>
  <c r="N57" i="5" s="1"/>
  <c r="Q57" i="5" s="1"/>
  <c r="T57" i="5" s="1"/>
  <c r="D56" i="5"/>
  <c r="H56" i="5" s="1"/>
  <c r="K56" i="5" s="1"/>
  <c r="N56" i="5" s="1"/>
  <c r="Q56" i="5" s="1"/>
  <c r="T56" i="5" s="1"/>
  <c r="X56" i="5" s="1"/>
  <c r="AB56" i="5" s="1"/>
  <c r="AF56" i="5" s="1"/>
  <c r="AJ56" i="5" s="1"/>
  <c r="AN56" i="5" s="1"/>
  <c r="D55" i="5"/>
  <c r="H55" i="5" s="1"/>
  <c r="K55" i="5" s="1"/>
  <c r="N55" i="5" s="1"/>
  <c r="Q55" i="5" s="1"/>
  <c r="T55" i="5" s="1"/>
  <c r="X55" i="5" s="1"/>
  <c r="AB55" i="5" s="1"/>
  <c r="AF55" i="5" s="1"/>
  <c r="AJ55" i="5" s="1"/>
  <c r="AN55" i="5" s="1"/>
  <c r="D54" i="5"/>
  <c r="H54" i="5"/>
  <c r="K54" i="5" s="1"/>
  <c r="N54" i="5" s="1"/>
  <c r="Q54" i="5" s="1"/>
  <c r="T54" i="5" s="1"/>
  <c r="X54" i="5" s="1"/>
  <c r="AB54" i="5" s="1"/>
  <c r="AF54" i="5" s="1"/>
  <c r="AJ54" i="5" s="1"/>
  <c r="AN54" i="5" s="1"/>
  <c r="D53" i="5"/>
  <c r="H53" i="5" s="1"/>
  <c r="K53" i="5" s="1"/>
  <c r="N53" i="5" s="1"/>
  <c r="Q53" i="5" s="1"/>
  <c r="T53" i="5" s="1"/>
  <c r="X53" i="5" s="1"/>
  <c r="AB53" i="5" s="1"/>
  <c r="AF53" i="5" s="1"/>
  <c r="AJ53" i="5" s="1"/>
  <c r="AN53" i="5" s="1"/>
  <c r="H51" i="5"/>
  <c r="K51" i="5" s="1"/>
  <c r="N51" i="5" s="1"/>
  <c r="Q51" i="5" s="1"/>
  <c r="T51" i="5" s="1"/>
  <c r="X51" i="5" s="1"/>
  <c r="AB51" i="5" s="1"/>
  <c r="AF51" i="5" s="1"/>
  <c r="AJ51" i="5" s="1"/>
  <c r="AN51" i="5" s="1"/>
  <c r="H50" i="5"/>
  <c r="K50" i="5" s="1"/>
  <c r="N50" i="5" s="1"/>
  <c r="Q50" i="5" s="1"/>
  <c r="T50" i="5" s="1"/>
  <c r="X50" i="5" s="1"/>
  <c r="AB50" i="5" s="1"/>
  <c r="AF50" i="5" s="1"/>
  <c r="AJ50" i="5" s="1"/>
  <c r="AN50" i="5" s="1"/>
  <c r="D49" i="5"/>
  <c r="H49" i="5" s="1"/>
  <c r="K49" i="5" s="1"/>
  <c r="N49" i="5" s="1"/>
  <c r="Q49" i="5" s="1"/>
  <c r="T49" i="5" s="1"/>
  <c r="X49" i="5" s="1"/>
  <c r="AB49" i="5" s="1"/>
  <c r="AF49" i="5" s="1"/>
  <c r="AJ49" i="5" s="1"/>
  <c r="AN49" i="5" s="1"/>
  <c r="AR49" i="5" s="1"/>
  <c r="D48" i="5"/>
  <c r="H48" i="5" s="1"/>
  <c r="K48" i="5" s="1"/>
  <c r="N48" i="5" s="1"/>
  <c r="Q48" i="5" s="1"/>
  <c r="T48" i="5" s="1"/>
  <c r="X48" i="5" s="1"/>
  <c r="AB48" i="5" s="1"/>
  <c r="AF48" i="5" s="1"/>
  <c r="AJ48" i="5" s="1"/>
  <c r="AN48" i="5" s="1"/>
  <c r="H46" i="5"/>
  <c r="K46" i="5" s="1"/>
  <c r="N46" i="5" s="1"/>
  <c r="Q46" i="5" s="1"/>
  <c r="T46" i="5" s="1"/>
  <c r="D45" i="5"/>
  <c r="H45" i="5" s="1"/>
  <c r="K45" i="5" s="1"/>
  <c r="N45" i="5" s="1"/>
  <c r="Q45" i="5" s="1"/>
  <c r="T45" i="5" s="1"/>
  <c r="X45" i="5" s="1"/>
  <c r="AB45" i="5" s="1"/>
  <c r="AF45" i="5" s="1"/>
  <c r="AJ45" i="5" s="1"/>
  <c r="AN45" i="5" s="1"/>
  <c r="D44" i="5"/>
  <c r="H44" i="5" s="1"/>
  <c r="K44" i="5" s="1"/>
  <c r="N44" i="5" s="1"/>
  <c r="Q44" i="5" s="1"/>
  <c r="T44" i="5" s="1"/>
  <c r="X44" i="5" s="1"/>
  <c r="AB44" i="5" s="1"/>
  <c r="AF44" i="5" s="1"/>
  <c r="AJ44" i="5" s="1"/>
  <c r="AN44" i="5" s="1"/>
  <c r="D43" i="5"/>
  <c r="H43" i="5"/>
  <c r="K43" i="5" s="1"/>
  <c r="N43" i="5" s="1"/>
  <c r="Q43" i="5" s="1"/>
  <c r="T43" i="5" s="1"/>
  <c r="X43" i="5" s="1"/>
  <c r="AB43" i="5" s="1"/>
  <c r="AF43" i="5" s="1"/>
  <c r="AJ43" i="5" s="1"/>
  <c r="AN43" i="5" s="1"/>
  <c r="D42" i="5"/>
  <c r="H42" i="5" s="1"/>
  <c r="K42" i="5" s="1"/>
  <c r="N42" i="5" s="1"/>
  <c r="Q42" i="5" s="1"/>
  <c r="T42" i="5" s="1"/>
  <c r="X42" i="5" s="1"/>
  <c r="AB42" i="5" s="1"/>
  <c r="AF42" i="5" s="1"/>
  <c r="AJ42" i="5" s="1"/>
  <c r="AN42" i="5" s="1"/>
  <c r="D41" i="5"/>
  <c r="H41" i="5" s="1"/>
  <c r="K41" i="5" s="1"/>
  <c r="N41" i="5" s="1"/>
  <c r="Q41" i="5" s="1"/>
  <c r="T41" i="5" s="1"/>
  <c r="X41" i="5" s="1"/>
  <c r="AB41" i="5" s="1"/>
  <c r="AF41" i="5" s="1"/>
  <c r="AJ41" i="5" s="1"/>
  <c r="AN41" i="5" s="1"/>
  <c r="D40" i="5"/>
  <c r="H40" i="5" s="1"/>
  <c r="K40" i="5" s="1"/>
  <c r="N40" i="5" s="1"/>
  <c r="Q40" i="5" s="1"/>
  <c r="T40" i="5" s="1"/>
  <c r="X40" i="5" s="1"/>
  <c r="AB40" i="5" s="1"/>
  <c r="AF40" i="5" s="1"/>
  <c r="AJ40" i="5" s="1"/>
  <c r="AN40" i="5" s="1"/>
  <c r="D39" i="5"/>
  <c r="H39" i="5" s="1"/>
  <c r="K39" i="5" s="1"/>
  <c r="N39" i="5" s="1"/>
  <c r="Q39" i="5" s="1"/>
  <c r="T39" i="5" s="1"/>
  <c r="X39" i="5" s="1"/>
  <c r="AB39" i="5" s="1"/>
  <c r="AF39" i="5" s="1"/>
  <c r="AJ39" i="5" s="1"/>
  <c r="AN39" i="5" s="1"/>
  <c r="D38" i="5"/>
  <c r="H38" i="5" s="1"/>
  <c r="K38" i="5" s="1"/>
  <c r="N38" i="5" s="1"/>
  <c r="Q38" i="5" s="1"/>
  <c r="T38" i="5" s="1"/>
  <c r="X38" i="5" s="1"/>
  <c r="AB38" i="5" s="1"/>
  <c r="AF38" i="5" s="1"/>
  <c r="AJ38" i="5" s="1"/>
  <c r="AN38" i="5" s="1"/>
  <c r="D37" i="5"/>
  <c r="H37" i="5" s="1"/>
  <c r="K37" i="5" s="1"/>
  <c r="N37" i="5" s="1"/>
  <c r="Q37" i="5" s="1"/>
  <c r="T37" i="5" s="1"/>
  <c r="X37" i="5" s="1"/>
  <c r="AB37" i="5" s="1"/>
  <c r="AF37" i="5" s="1"/>
  <c r="AJ37" i="5" s="1"/>
  <c r="AN37" i="5" s="1"/>
  <c r="D36" i="5"/>
  <c r="H36" i="5" s="1"/>
  <c r="K36" i="5" s="1"/>
  <c r="N36" i="5" s="1"/>
  <c r="Q36" i="5"/>
  <c r="T36" i="5" s="1"/>
  <c r="X36" i="5" s="1"/>
  <c r="AB36" i="5" s="1"/>
  <c r="AF36" i="5" s="1"/>
  <c r="AJ36" i="5" s="1"/>
  <c r="AN36" i="5" s="1"/>
  <c r="D35" i="5"/>
  <c r="H35" i="5" s="1"/>
  <c r="K35" i="5" s="1"/>
  <c r="N35" i="5" s="1"/>
  <c r="Q35" i="5" s="1"/>
  <c r="T35" i="5" s="1"/>
  <c r="X35" i="5" s="1"/>
  <c r="AB35" i="5" s="1"/>
  <c r="AF35" i="5" s="1"/>
  <c r="AJ35" i="5" s="1"/>
  <c r="AN35" i="5" s="1"/>
  <c r="D34" i="5"/>
  <c r="H34" i="5" s="1"/>
  <c r="K34" i="5" s="1"/>
  <c r="N34" i="5" s="1"/>
  <c r="Q34" i="5" s="1"/>
  <c r="T34" i="5" s="1"/>
  <c r="X34" i="5" s="1"/>
  <c r="AB34" i="5" s="1"/>
  <c r="AF34" i="5" s="1"/>
  <c r="AJ34" i="5" s="1"/>
  <c r="AN34" i="5" s="1"/>
  <c r="H33" i="5"/>
  <c r="K33" i="5"/>
  <c r="N33" i="5" s="1"/>
  <c r="Q33" i="5" s="1"/>
  <c r="T33" i="5" s="1"/>
  <c r="X33" i="5" s="1"/>
  <c r="AB33" i="5" s="1"/>
  <c r="AF33" i="5" s="1"/>
  <c r="AJ33" i="5" s="1"/>
  <c r="AN33" i="5" s="1"/>
  <c r="D32" i="5"/>
  <c r="H32" i="5" s="1"/>
  <c r="K32" i="5" s="1"/>
  <c r="N32" i="5" s="1"/>
  <c r="Q32" i="5" s="1"/>
  <c r="T32" i="5" s="1"/>
  <c r="X32" i="5" s="1"/>
  <c r="AB32" i="5" s="1"/>
  <c r="AF32" i="5" s="1"/>
  <c r="AJ32" i="5" s="1"/>
  <c r="AN32" i="5" s="1"/>
  <c r="P30" i="5"/>
  <c r="M30" i="5"/>
  <c r="H28" i="5"/>
  <c r="K28" i="5" s="1"/>
  <c r="D27" i="5"/>
  <c r="H27" i="5"/>
  <c r="K27" i="5" s="1"/>
  <c r="N27" i="5" s="1"/>
  <c r="Q27" i="5" s="1"/>
  <c r="T27" i="5" s="1"/>
  <c r="X27" i="5" s="1"/>
  <c r="AB27" i="5" s="1"/>
  <c r="AF27" i="5" s="1"/>
  <c r="AJ27" i="5" s="1"/>
  <c r="AN27" i="5" s="1"/>
  <c r="V26" i="5"/>
  <c r="R26" i="5"/>
  <c r="O26" i="5"/>
  <c r="L26" i="5"/>
  <c r="D25" i="5"/>
  <c r="H25" i="5" s="1"/>
  <c r="K25" i="5" s="1"/>
  <c r="N25" i="5" s="1"/>
  <c r="Q25" i="5" s="1"/>
  <c r="T25" i="5" s="1"/>
  <c r="X25" i="5" s="1"/>
  <c r="AB25" i="5" s="1"/>
  <c r="AF25" i="5" s="1"/>
  <c r="AJ25" i="5" s="1"/>
  <c r="AN25" i="5" s="1"/>
  <c r="AR25" i="5" s="1"/>
  <c r="H23" i="5"/>
  <c r="K23" i="5" s="1"/>
  <c r="N23" i="5" s="1"/>
  <c r="Q23" i="5" s="1"/>
  <c r="T23" i="5" s="1"/>
  <c r="D22" i="5"/>
  <c r="H22" i="5" s="1"/>
  <c r="K22" i="5" s="1"/>
  <c r="N22" i="5" s="1"/>
  <c r="Q22" i="5" s="1"/>
  <c r="T22" i="5" s="1"/>
  <c r="X22" i="5" s="1"/>
  <c r="AB22" i="5" s="1"/>
  <c r="AF22" i="5" s="1"/>
  <c r="AJ22" i="5" s="1"/>
  <c r="AN22" i="5" s="1"/>
  <c r="H20" i="5"/>
  <c r="K20" i="5"/>
  <c r="N20" i="5" s="1"/>
  <c r="Q20" i="5" s="1"/>
  <c r="T20" i="5" s="1"/>
  <c r="D19" i="5"/>
  <c r="H19" i="5" s="1"/>
  <c r="K19" i="5" s="1"/>
  <c r="N19" i="5"/>
  <c r="Q19" i="5" s="1"/>
  <c r="T19" i="5" s="1"/>
  <c r="X19" i="5" s="1"/>
  <c r="AB19" i="5" s="1"/>
  <c r="AF19" i="5" s="1"/>
  <c r="AJ19" i="5" s="1"/>
  <c r="AN19" i="5" s="1"/>
  <c r="D18" i="5"/>
  <c r="D17" i="5"/>
  <c r="H17" i="5" s="1"/>
  <c r="K17" i="5" s="1"/>
  <c r="N17" i="5" s="1"/>
  <c r="Q17" i="5" s="1"/>
  <c r="T17" i="5" s="1"/>
  <c r="X17" i="5" s="1"/>
  <c r="AB17" i="5" s="1"/>
  <c r="AF17" i="5" s="1"/>
  <c r="AJ17" i="5" s="1"/>
  <c r="AN17" i="5" s="1"/>
  <c r="AR17" i="5" s="1"/>
  <c r="AL17" i="5"/>
  <c r="AL16" i="5" s="1"/>
  <c r="AH17" i="5"/>
  <c r="AH16" i="5" s="1"/>
  <c r="AD17" i="5"/>
  <c r="AD16" i="5" s="1"/>
  <c r="Z17" i="5"/>
  <c r="Z16" i="5" s="1"/>
  <c r="I15" i="5"/>
  <c r="G14" i="5"/>
  <c r="AL8" i="5"/>
  <c r="AH8" i="5"/>
  <c r="AD8" i="5"/>
  <c r="Z8" i="5"/>
  <c r="F8" i="5"/>
  <c r="V7" i="5"/>
  <c r="O7" i="5"/>
  <c r="L7" i="5"/>
  <c r="E9" i="25"/>
  <c r="E13" i="25"/>
  <c r="E27" i="25"/>
  <c r="E83" i="25"/>
  <c r="E92" i="25"/>
  <c r="E24" i="25"/>
  <c r="C19" i="6" l="1"/>
  <c r="T91" i="5"/>
  <c r="X91" i="5" s="1"/>
  <c r="AB91" i="5" s="1"/>
  <c r="AF91" i="5" s="1"/>
  <c r="AJ91" i="5" s="1"/>
  <c r="AN91" i="5" s="1"/>
  <c r="AR91" i="5" s="1"/>
  <c r="Q91" i="5"/>
  <c r="AF90" i="5"/>
  <c r="AJ90" i="5" s="1"/>
  <c r="AN90" i="5" s="1"/>
  <c r="AR90" i="5" s="1"/>
  <c r="K87" i="5"/>
  <c r="N87" i="5" s="1"/>
  <c r="Q87" i="5" s="1"/>
  <c r="T87" i="5" s="1"/>
  <c r="X87" i="5" s="1"/>
  <c r="AB87" i="5" s="1"/>
  <c r="AF87" i="5" s="1"/>
  <c r="AJ87" i="5" s="1"/>
  <c r="AN87" i="5" s="1"/>
  <c r="AR87" i="5" s="1"/>
  <c r="AF89" i="5"/>
  <c r="AJ89" i="5" s="1"/>
  <c r="AN89" i="5" s="1"/>
  <c r="AR89" i="5" s="1"/>
  <c r="AN92" i="5"/>
  <c r="AR92" i="5" s="1"/>
  <c r="AL30" i="5"/>
  <c r="H21" i="5"/>
  <c r="K21" i="5" s="1"/>
  <c r="N21" i="5" s="1"/>
  <c r="Q21" i="5" s="1"/>
  <c r="T21" i="5" s="1"/>
  <c r="X21" i="5" s="1"/>
  <c r="AB21" i="5" s="1"/>
  <c r="AF21" i="5" s="1"/>
  <c r="AJ21" i="5" s="1"/>
  <c r="AN21" i="5" s="1"/>
  <c r="AH145" i="5"/>
  <c r="V145" i="5"/>
  <c r="H124" i="5"/>
  <c r="K124" i="5" s="1"/>
  <c r="N124" i="5" s="1"/>
  <c r="Q124" i="5" s="1"/>
  <c r="T124" i="5" s="1"/>
  <c r="X124" i="5" s="1"/>
  <c r="AB124" i="5" s="1"/>
  <c r="AF124" i="5" s="1"/>
  <c r="AJ124" i="5" s="1"/>
  <c r="AN124" i="5" s="1"/>
  <c r="H136" i="5"/>
  <c r="K136" i="5" s="1"/>
  <c r="N136" i="5" s="1"/>
  <c r="Q136" i="5" s="1"/>
  <c r="T136" i="5" s="1"/>
  <c r="N70" i="5"/>
  <c r="Q70" i="5" s="1"/>
  <c r="T70" i="5" s="1"/>
  <c r="X70" i="5" s="1"/>
  <c r="H24" i="5"/>
  <c r="K24" i="5" s="1"/>
  <c r="N24" i="5" s="1"/>
  <c r="Q24" i="5" s="1"/>
  <c r="T24" i="5" s="1"/>
  <c r="X24" i="5" s="1"/>
  <c r="AB24" i="5" s="1"/>
  <c r="AF24" i="5" s="1"/>
  <c r="AJ24" i="5" s="1"/>
  <c r="AN24" i="5" s="1"/>
  <c r="AR24" i="5" s="1"/>
  <c r="Q18" i="5"/>
  <c r="T18" i="5" s="1"/>
  <c r="X18" i="5" s="1"/>
  <c r="AB18" i="5" s="1"/>
  <c r="AF18" i="5" s="1"/>
  <c r="AJ18" i="5" s="1"/>
  <c r="AN18" i="5" s="1"/>
  <c r="AR18" i="5" s="1"/>
  <c r="H18" i="5"/>
  <c r="K18" i="5" s="1"/>
  <c r="N18" i="5" s="1"/>
  <c r="E78" i="25"/>
  <c r="E47" i="25"/>
  <c r="AB70" i="5"/>
  <c r="AF70" i="5" s="1"/>
  <c r="AJ70" i="5" s="1"/>
  <c r="AN70" i="5" s="1"/>
  <c r="AB31" i="5"/>
  <c r="N9" i="5"/>
  <c r="Q9" i="5" s="1"/>
  <c r="T9" i="5" s="1"/>
  <c r="X9" i="5" s="1"/>
  <c r="AB9" i="5" s="1"/>
  <c r="H26" i="5"/>
  <c r="K26" i="5" s="1"/>
  <c r="N26" i="5" s="1"/>
  <c r="Q26" i="5" s="1"/>
  <c r="T26" i="5" s="1"/>
  <c r="X26" i="5" s="1"/>
  <c r="AB26" i="5" s="1"/>
  <c r="AF26" i="5" s="1"/>
  <c r="AJ26" i="5" s="1"/>
  <c r="AN26" i="5" s="1"/>
  <c r="T157" i="5"/>
  <c r="X157" i="5" s="1"/>
  <c r="AB157" i="5" s="1"/>
  <c r="AF157" i="5" s="1"/>
  <c r="AJ157" i="5" s="1"/>
  <c r="AN157" i="5" s="1"/>
  <c r="K65" i="5"/>
  <c r="N65" i="5" s="1"/>
  <c r="Q65" i="5" s="1"/>
  <c r="T65" i="5" s="1"/>
  <c r="X65" i="5" s="1"/>
  <c r="AB65" i="5" s="1"/>
  <c r="AF65" i="5" s="1"/>
  <c r="AJ65" i="5" s="1"/>
  <c r="AN65" i="5" s="1"/>
  <c r="X47" i="5"/>
  <c r="AB47" i="5" s="1"/>
  <c r="AF47" i="5" s="1"/>
  <c r="AJ47" i="5" s="1"/>
  <c r="AN47" i="5" s="1"/>
  <c r="AR47" i="5" s="1"/>
  <c r="F123" i="5"/>
  <c r="AL145" i="5"/>
  <c r="I123" i="5"/>
  <c r="R145" i="5"/>
  <c r="K58" i="5"/>
  <c r="N58" i="5" s="1"/>
  <c r="Q58" i="5" s="1"/>
  <c r="T58" i="5" s="1"/>
  <c r="X58" i="5" s="1"/>
  <c r="AB58" i="5" s="1"/>
  <c r="AF58" i="5" s="1"/>
  <c r="AJ58" i="5" s="1"/>
  <c r="AN58" i="5" s="1"/>
  <c r="N81" i="5"/>
  <c r="Q81" i="5" s="1"/>
  <c r="T81" i="5" s="1"/>
  <c r="X81" i="5" s="1"/>
  <c r="AB81" i="5" s="1"/>
  <c r="AF81" i="5" s="1"/>
  <c r="AJ81" i="5" s="1"/>
  <c r="AN81" i="5" s="1"/>
  <c r="Q108" i="5"/>
  <c r="T108" i="5" s="1"/>
  <c r="X108" i="5" s="1"/>
  <c r="AB108" i="5" s="1"/>
  <c r="AF108" i="5" s="1"/>
  <c r="AJ108" i="5" s="1"/>
  <c r="AN108" i="5" s="1"/>
  <c r="H127" i="5"/>
  <c r="K127" i="5" s="1"/>
  <c r="N127" i="5" s="1"/>
  <c r="Q127" i="5" s="1"/>
  <c r="T127" i="5" s="1"/>
  <c r="X127" i="5" s="1"/>
  <c r="AB127" i="5" s="1"/>
  <c r="AF127" i="5" s="1"/>
  <c r="AJ127" i="5" s="1"/>
  <c r="AN127" i="5" s="1"/>
  <c r="Q133" i="5"/>
  <c r="T133" i="5" s="1"/>
  <c r="R30" i="5"/>
  <c r="Q82" i="5"/>
  <c r="T82" i="5" s="1"/>
  <c r="X82" i="5" s="1"/>
  <c r="AB82" i="5" s="1"/>
  <c r="AF82" i="5" s="1"/>
  <c r="AJ82" i="5" s="1"/>
  <c r="AN82" i="5" s="1"/>
  <c r="L123" i="5"/>
  <c r="AL123" i="5"/>
  <c r="H94" i="5"/>
  <c r="K94" i="5" s="1"/>
  <c r="N94" i="5" s="1"/>
  <c r="Q94" i="5" s="1"/>
  <c r="T94" i="5" s="1"/>
  <c r="X94" i="5" s="1"/>
  <c r="AB94" i="5" s="1"/>
  <c r="AF94" i="5" s="1"/>
  <c r="AJ94" i="5" s="1"/>
  <c r="AN94" i="5" s="1"/>
  <c r="V30" i="5"/>
  <c r="V163" i="5" s="1"/>
  <c r="T139" i="5"/>
  <c r="X139" i="5" s="1"/>
  <c r="AB139" i="5" s="1"/>
  <c r="AF139" i="5" s="1"/>
  <c r="AJ139" i="5" s="1"/>
  <c r="AN139" i="5" s="1"/>
  <c r="V123" i="5"/>
  <c r="AM16" i="5"/>
  <c r="AE16" i="5"/>
  <c r="AI16" i="5"/>
  <c r="O30" i="5"/>
  <c r="O163" i="5" s="1"/>
  <c r="H52" i="5"/>
  <c r="K52" i="5" s="1"/>
  <c r="N52" i="5" s="1"/>
  <c r="Q52" i="5" s="1"/>
  <c r="T52" i="5" s="1"/>
  <c r="X52" i="5" s="1"/>
  <c r="AB52" i="5" s="1"/>
  <c r="AF52" i="5" s="1"/>
  <c r="AJ52" i="5" s="1"/>
  <c r="AN52" i="5" s="1"/>
  <c r="H146" i="5"/>
  <c r="K146" i="5" s="1"/>
  <c r="N146" i="5" s="1"/>
  <c r="Q146" i="5" s="1"/>
  <c r="T146" i="5" s="1"/>
  <c r="X146" i="5" s="1"/>
  <c r="AB146" i="5" s="1"/>
  <c r="AF146" i="5" s="1"/>
  <c r="AJ146" i="5" s="1"/>
  <c r="AN146" i="5" s="1"/>
  <c r="AR146" i="5" s="1"/>
  <c r="Z145" i="5"/>
  <c r="H154" i="5"/>
  <c r="K154" i="5" s="1"/>
  <c r="N154" i="5" s="1"/>
  <c r="Q154" i="5" s="1"/>
  <c r="T154" i="5" s="1"/>
  <c r="X154" i="5" s="1"/>
  <c r="AB154" i="5" s="1"/>
  <c r="AF154" i="5" s="1"/>
  <c r="AJ154" i="5" s="1"/>
  <c r="AN154" i="5" s="1"/>
  <c r="S16" i="5"/>
  <c r="K11" i="6" s="1"/>
  <c r="H100" i="5"/>
  <c r="K100" i="5" s="1"/>
  <c r="N100" i="5" s="1"/>
  <c r="Q100" i="5" s="1"/>
  <c r="T100" i="5" s="1"/>
  <c r="X100" i="5" s="1"/>
  <c r="AB100" i="5" s="1"/>
  <c r="AF100" i="5" s="1"/>
  <c r="AJ100" i="5" s="1"/>
  <c r="AN100" i="5" s="1"/>
  <c r="C16" i="5"/>
  <c r="D16" i="5" s="1"/>
  <c r="L30" i="5"/>
  <c r="Z30" i="5"/>
  <c r="X136" i="5"/>
  <c r="AB136" i="5" s="1"/>
  <c r="AF136" i="5" s="1"/>
  <c r="AJ136" i="5" s="1"/>
  <c r="AN136" i="5" s="1"/>
  <c r="I30" i="5"/>
  <c r="F145" i="5"/>
  <c r="H145" i="5" s="1"/>
  <c r="K145" i="5" s="1"/>
  <c r="AD123" i="5"/>
  <c r="J16" i="5"/>
  <c r="J161" i="5" s="1"/>
  <c r="W16" i="5"/>
  <c r="B123" i="5"/>
  <c r="D123" i="5" s="1"/>
  <c r="D130" i="5"/>
  <c r="H130" i="5" s="1"/>
  <c r="K130" i="5" s="1"/>
  <c r="N130" i="5" s="1"/>
  <c r="Q130" i="5" s="1"/>
  <c r="T130" i="5" s="1"/>
  <c r="X130" i="5" s="1"/>
  <c r="AB130" i="5" s="1"/>
  <c r="AF130" i="5" s="1"/>
  <c r="AJ130" i="5" s="1"/>
  <c r="AN130" i="5" s="1"/>
  <c r="G16" i="5"/>
  <c r="AA16" i="5"/>
  <c r="AA7" i="5" s="1"/>
  <c r="AB7" i="5" s="1"/>
  <c r="AF7" i="5" s="1"/>
  <c r="AH123" i="5"/>
  <c r="O123" i="5"/>
  <c r="R123" i="5"/>
  <c r="B30" i="5"/>
  <c r="M16" i="5"/>
  <c r="M161" i="5" s="1"/>
  <c r="Z123" i="5"/>
  <c r="P16" i="5"/>
  <c r="F30" i="5"/>
  <c r="K16" i="6" l="1"/>
  <c r="C140" i="6" s="1"/>
  <c r="AM7" i="5"/>
  <c r="K15" i="6"/>
  <c r="C139" i="6" s="1"/>
  <c r="AI7" i="5"/>
  <c r="AJ7" i="5" s="1"/>
  <c r="AN7" i="5" s="1"/>
  <c r="AR7" i="5" s="1"/>
  <c r="B11" i="30"/>
  <c r="C9" i="30" s="1"/>
  <c r="C13" i="30" s="1"/>
  <c r="S161" i="5"/>
  <c r="S162" i="5" s="1"/>
  <c r="R163" i="5"/>
  <c r="S11" i="6" s="1"/>
  <c r="C135" i="6" s="1"/>
  <c r="W161" i="5"/>
  <c r="K12" i="6"/>
  <c r="O164" i="5"/>
  <c r="S10" i="6"/>
  <c r="C161" i="5"/>
  <c r="D161" i="5" s="1"/>
  <c r="P161" i="5"/>
  <c r="Q161" i="5" s="1"/>
  <c r="K10" i="6"/>
  <c r="X163" i="5"/>
  <c r="S12" i="6"/>
  <c r="H8" i="5"/>
  <c r="K8" i="5" s="1"/>
  <c r="I29" i="5"/>
  <c r="I163" i="5" s="1"/>
  <c r="AA161" i="5"/>
  <c r="AA162" i="5" s="1"/>
  <c r="AA164" i="5" s="1"/>
  <c r="K13" i="6"/>
  <c r="H123" i="5"/>
  <c r="K123" i="5" s="1"/>
  <c r="N123" i="5" s="1"/>
  <c r="AL29" i="5"/>
  <c r="T8" i="5"/>
  <c r="O29" i="5"/>
  <c r="V29" i="5"/>
  <c r="V164" i="5" s="1"/>
  <c r="R164" i="5"/>
  <c r="L145" i="5"/>
  <c r="L29" i="5" s="1"/>
  <c r="L163" i="5" s="1"/>
  <c r="AH29" i="5"/>
  <c r="AH163" i="5" s="1"/>
  <c r="M162" i="5"/>
  <c r="N161" i="5"/>
  <c r="J162" i="5"/>
  <c r="K161" i="5"/>
  <c r="B29" i="5"/>
  <c r="D30" i="5"/>
  <c r="H30" i="5" s="1"/>
  <c r="K30" i="5" s="1"/>
  <c r="N30" i="5" s="1"/>
  <c r="Q30" i="5" s="1"/>
  <c r="T30" i="5" s="1"/>
  <c r="X30" i="5" s="1"/>
  <c r="AB30" i="5" s="1"/>
  <c r="R29" i="5"/>
  <c r="F29" i="5"/>
  <c r="H16" i="5"/>
  <c r="K16" i="5" s="1"/>
  <c r="N16" i="5" s="1"/>
  <c r="Q16" i="5" s="1"/>
  <c r="T16" i="5" s="1"/>
  <c r="X16" i="5" s="1"/>
  <c r="AB16" i="5" s="1"/>
  <c r="AF16" i="5" s="1"/>
  <c r="AJ16" i="5" s="1"/>
  <c r="AN16" i="5" s="1"/>
  <c r="AR16" i="5" s="1"/>
  <c r="Q123" i="5"/>
  <c r="T123" i="5" s="1"/>
  <c r="X123" i="5" s="1"/>
  <c r="AB123" i="5" s="1"/>
  <c r="AF123" i="5" s="1"/>
  <c r="AJ123" i="5" s="1"/>
  <c r="AN123" i="5" s="1"/>
  <c r="Z29" i="5"/>
  <c r="C17" i="30" l="1"/>
  <c r="C19" i="30" s="1"/>
  <c r="C23" i="30" s="1"/>
  <c r="D30" i="30" s="1"/>
  <c r="C143" i="6"/>
  <c r="AI161" i="5"/>
  <c r="K19" i="6"/>
  <c r="P162" i="5"/>
  <c r="P164" i="5" s="1"/>
  <c r="Q164" i="5" s="1"/>
  <c r="N8" i="5"/>
  <c r="X8" i="5"/>
  <c r="AB8" i="5" s="1"/>
  <c r="Z163" i="5"/>
  <c r="S13" i="6" s="1"/>
  <c r="C137" i="6" s="1"/>
  <c r="T161" i="5"/>
  <c r="N145" i="5"/>
  <c r="Q145" i="5" s="1"/>
  <c r="T145" i="5" s="1"/>
  <c r="X145" i="5" s="1"/>
  <c r="AB145" i="5" s="1"/>
  <c r="AF145" i="5" s="1"/>
  <c r="AJ145" i="5" s="1"/>
  <c r="AN145" i="5" s="1"/>
  <c r="AR145" i="5" s="1"/>
  <c r="L164" i="5"/>
  <c r="S9" i="6"/>
  <c r="C133" i="6" s="1"/>
  <c r="C136" i="6"/>
  <c r="C162" i="5"/>
  <c r="AB161" i="5"/>
  <c r="I164" i="5"/>
  <c r="S8" i="6"/>
  <c r="C132" i="6" s="1"/>
  <c r="C134" i="6"/>
  <c r="D162" i="5"/>
  <c r="C164" i="5"/>
  <c r="G161" i="5"/>
  <c r="F163" i="5"/>
  <c r="F164" i="5" s="1"/>
  <c r="S7" i="6" s="1"/>
  <c r="C131" i="6" s="1"/>
  <c r="AB162" i="5"/>
  <c r="AB163" i="5"/>
  <c r="Z164" i="5"/>
  <c r="B163" i="5"/>
  <c r="S6" i="6" s="1"/>
  <c r="D29" i="5"/>
  <c r="H29" i="5" s="1"/>
  <c r="K29" i="5" s="1"/>
  <c r="N29" i="5" s="1"/>
  <c r="T162" i="5"/>
  <c r="S164" i="5"/>
  <c r="J164" i="5"/>
  <c r="K164" i="5" s="1"/>
  <c r="K162" i="5"/>
  <c r="N162" i="5"/>
  <c r="M164" i="5"/>
  <c r="N164" i="5" s="1"/>
  <c r="W162" i="5"/>
  <c r="X161" i="5"/>
  <c r="AJ161" i="5" l="1"/>
  <c r="AI162" i="5"/>
  <c r="S19" i="6"/>
  <c r="Q162" i="5"/>
  <c r="Q165" i="5"/>
  <c r="Q8" i="5"/>
  <c r="T165" i="5"/>
  <c r="T164" i="5"/>
  <c r="N165" i="5"/>
  <c r="Q29" i="5"/>
  <c r="T29" i="5" s="1"/>
  <c r="X29" i="5" s="1"/>
  <c r="AB29" i="5" s="1"/>
  <c r="K165" i="5"/>
  <c r="C130" i="6"/>
  <c r="AA19" i="6" s="1"/>
  <c r="AB165" i="5"/>
  <c r="D163" i="5"/>
  <c r="H163" i="5" s="1"/>
  <c r="K163" i="5" s="1"/>
  <c r="N163" i="5" s="1"/>
  <c r="Q163" i="5" s="1"/>
  <c r="T163" i="5" s="1"/>
  <c r="B164" i="5"/>
  <c r="G162" i="5"/>
  <c r="H161" i="5"/>
  <c r="X162" i="5"/>
  <c r="W164" i="5"/>
  <c r="AI164" i="5" l="1"/>
  <c r="AJ164" i="5" s="1"/>
  <c r="AJ162" i="5"/>
  <c r="D165" i="5"/>
  <c r="H162" i="5"/>
  <c r="G164" i="5"/>
  <c r="X165" i="5"/>
  <c r="AC163" i="5" s="1"/>
  <c r="AD29" i="5" l="1"/>
  <c r="AD163" i="5" s="1"/>
  <c r="AF31" i="5"/>
  <c r="AJ31" i="5" s="1"/>
  <c r="AN31" i="5" s="1"/>
  <c r="AF29" i="5" l="1"/>
  <c r="AJ29" i="5" s="1"/>
  <c r="AN29" i="5" s="1"/>
  <c r="AR29" i="5" s="1"/>
  <c r="AF30" i="5"/>
  <c r="AJ30" i="5" s="1"/>
  <c r="AN30" i="5" s="1"/>
  <c r="AR30" i="5" s="1"/>
  <c r="AF163" i="5" l="1"/>
  <c r="AD164" i="5"/>
  <c r="AH164" i="5" l="1"/>
  <c r="AJ165" i="5" s="1"/>
  <c r="AJ167" i="5" s="1"/>
  <c r="AJ163" i="5"/>
  <c r="AL164" i="5"/>
  <c r="AN163" i="5" l="1"/>
  <c r="AR163" i="5" s="1"/>
  <c r="AF9" i="5" l="1"/>
  <c r="AJ9" i="5" s="1"/>
  <c r="AF8" i="5"/>
  <c r="AJ8" i="5" s="1"/>
  <c r="AN8" i="5" s="1"/>
  <c r="AR8" i="5" s="1"/>
  <c r="AF10" i="5"/>
  <c r="AJ10" i="5" s="1"/>
  <c r="AE161" i="5" l="1"/>
  <c r="AE162" i="5" l="1"/>
  <c r="AF161" i="5"/>
  <c r="AE164" i="5" l="1"/>
  <c r="AF162" i="5"/>
  <c r="AF165" i="5" l="1"/>
  <c r="AN9" i="5"/>
  <c r="AN10" i="5"/>
  <c r="AM161" i="5" l="1"/>
  <c r="AM162" i="5" l="1"/>
  <c r="AM164" i="5" s="1"/>
  <c r="AN161" i="5"/>
  <c r="AN162" i="5" l="1"/>
  <c r="AN165" i="5" l="1"/>
  <c r="AN167" i="5" s="1"/>
  <c r="AR167" i="5" s="1"/>
  <c r="D89" i="25" s="1"/>
  <c r="E88" i="25" s="1"/>
  <c r="E96" i="25" s="1"/>
  <c r="AN164" i="5"/>
  <c r="E98" i="25" l="1"/>
  <c r="E9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Johana Villamizar Ochoa</author>
  </authors>
  <commentList>
    <comment ref="B89" authorId="0" shapeId="0" xr:uid="{8F504509-FC51-414C-A931-FE5BF2569BA7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de madera
</t>
        </r>
      </text>
    </comment>
    <comment ref="F89" authorId="0" shapeId="0" xr:uid="{E6AACF0C-CF02-4B93-B5A1-1A845D045CF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madera</t>
        </r>
      </text>
    </comment>
    <comment ref="I89" authorId="0" shapeId="0" xr:uid="{7781B3D4-B928-47EE-9962-3906C841D70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madera</t>
        </r>
      </text>
    </comment>
    <comment ref="L89" authorId="0" shapeId="0" xr:uid="{9CD5FFA9-D684-42A7-B106-99727752627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madera</t>
        </r>
      </text>
    </comment>
    <comment ref="L90" authorId="0" shapeId="0" xr:uid="{76147E5D-74F1-45EA-81BB-CCE8F8E59DF0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$450.000 MANGUERA VIBRADOR Y MADERA Y PUNTILLAS </t>
        </r>
      </text>
    </comment>
    <comment ref="F91" authorId="0" shapeId="0" xr:uid="{B5906948-CE02-44B1-990D-FA0FF3F2C5A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camara e instalacion</t>
        </r>
      </text>
    </comment>
    <comment ref="L92" authorId="0" shapeId="0" xr:uid="{5F15A9FC-D82B-42B5-8162-06C10475934C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lavado camion</t>
        </r>
      </text>
    </comment>
    <comment ref="F95" authorId="0" shapeId="0" xr:uid="{107F9A9F-AC56-490D-A854-2ECEF90E614A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bombillo</t>
        </r>
      </text>
    </comment>
    <comment ref="I95" authorId="0" shapeId="0" xr:uid="{F7923019-193F-44CF-816A-44EC25266958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lampara bodega</t>
        </r>
      </text>
    </comment>
    <comment ref="L97" authorId="0" shapeId="0" xr:uid="{8C523A07-4ECD-44E1-BCC6-9C8495EE3593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arreglo baño</t>
        </r>
      </text>
    </comment>
    <comment ref="I120" authorId="0" shapeId="0" xr:uid="{CA6E2AF4-4901-4F77-A640-974E613C46FB}">
      <text>
        <r>
          <rPr>
            <b/>
            <sz val="9"/>
            <color indexed="81"/>
            <rFont val="Tahoma"/>
            <family val="2"/>
          </rPr>
          <t>Monica Johana Villamizar Ochoa:</t>
        </r>
        <r>
          <rPr>
            <sz val="9"/>
            <color indexed="81"/>
            <rFont val="Tahoma"/>
            <family val="2"/>
          </rPr>
          <t xml:space="preserve">
compra extintores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<sst xmlns="http://schemas.openxmlformats.org/spreadsheetml/2006/main" count="648" uniqueCount="391">
  <si>
    <t>Nombre</t>
  </si>
  <si>
    <t xml:space="preserve">Débitos </t>
  </si>
  <si>
    <t xml:space="preserve">Créditos </t>
  </si>
  <si>
    <t xml:space="preserve">Saldo actual </t>
  </si>
  <si>
    <t>INGRESOS</t>
  </si>
  <si>
    <t>Operacionales</t>
  </si>
  <si>
    <t>Actividades inmobiliarias, empresariales y de alquiler</t>
  </si>
  <si>
    <t>Transporte</t>
  </si>
  <si>
    <t>No operacionales</t>
  </si>
  <si>
    <t>Financieros</t>
  </si>
  <si>
    <t>Intereses</t>
  </si>
  <si>
    <t>Servicios</t>
  </si>
  <si>
    <t>VENTAS SIN IVA</t>
  </si>
  <si>
    <t>GASTOS</t>
  </si>
  <si>
    <t>Operacionales de administración</t>
  </si>
  <si>
    <t>Gastos de personal</t>
  </si>
  <si>
    <t>Sueldos</t>
  </si>
  <si>
    <t>Auxilio de transporte</t>
  </si>
  <si>
    <t>Cesantías</t>
  </si>
  <si>
    <t>Intereses sobre cesantías</t>
  </si>
  <si>
    <t>Prima de servicios</t>
  </si>
  <si>
    <t>Vacaciones</t>
  </si>
  <si>
    <t>Aportes a administradoras de riesgos profesionales arp</t>
  </si>
  <si>
    <t>Aportes a entidades promotoras de salud eps</t>
  </si>
  <si>
    <t>Aportes a fondos de pensiones y/o cesantías</t>
  </si>
  <si>
    <t>Aportes cajas de compensación familiar</t>
  </si>
  <si>
    <t>Honorarios</t>
  </si>
  <si>
    <t>Asesoría financiera</t>
  </si>
  <si>
    <t>Impuestos</t>
  </si>
  <si>
    <t>De vehículos</t>
  </si>
  <si>
    <t>Arrendamientos</t>
  </si>
  <si>
    <t>Construcciones y edificaciones</t>
  </si>
  <si>
    <t>Seguros</t>
  </si>
  <si>
    <t>Otros</t>
  </si>
  <si>
    <t>Aseo y vigilancia</t>
  </si>
  <si>
    <t>Temporales</t>
  </si>
  <si>
    <t>Acueducto y alcantarillado</t>
  </si>
  <si>
    <t>Energía eléctrica</t>
  </si>
  <si>
    <t>Gastos legales</t>
  </si>
  <si>
    <t>Registro mercantil</t>
  </si>
  <si>
    <t>Trámites y licencias</t>
  </si>
  <si>
    <t>Mantenimiento y reparaciones</t>
  </si>
  <si>
    <t>Maquinaria y equipo</t>
  </si>
  <si>
    <t>Equipo de oficina</t>
  </si>
  <si>
    <t>Flota y equipo de transportes</t>
  </si>
  <si>
    <t>Adecuación e instalación</t>
  </si>
  <si>
    <t>Diversos</t>
  </si>
  <si>
    <t>Gastos de representación y relaciones públicas</t>
  </si>
  <si>
    <t>Elementos de aseo y cafetería</t>
  </si>
  <si>
    <t>Utiles, papelería y fotocopias</t>
  </si>
  <si>
    <t>Combustibles Turbo</t>
  </si>
  <si>
    <t>Taxis y buses</t>
  </si>
  <si>
    <t>Peajes</t>
  </si>
  <si>
    <t>Casino y restaurante</t>
  </si>
  <si>
    <t>Parqueaderos</t>
  </si>
  <si>
    <t>Gastos bancarios</t>
  </si>
  <si>
    <t>Comisiones</t>
  </si>
  <si>
    <t>4 X MIL</t>
  </si>
  <si>
    <t>Gastos extraordinarios</t>
  </si>
  <si>
    <t>Impuestos asumidos</t>
  </si>
  <si>
    <t>Total Ingresos :</t>
  </si>
  <si>
    <t>Total Egresos :</t>
  </si>
  <si>
    <t>VENTA EQUIPO</t>
  </si>
  <si>
    <t>Alquiler IVA</t>
  </si>
  <si>
    <t>TOTAL INGRESOS OPERATIVOS(RESTANDO ARRIENDOS)</t>
  </si>
  <si>
    <t>UTILIDADES ACUMULADAS</t>
  </si>
  <si>
    <t>Teléfono fijo y moviles</t>
  </si>
  <si>
    <t>Dotación y elementos seguridad  trabajadores</t>
  </si>
  <si>
    <t>Transportes, fletes y acarreos</t>
  </si>
  <si>
    <t>Notariales</t>
  </si>
  <si>
    <t>Equipo de computación y comunicación</t>
  </si>
  <si>
    <t>Combustible Mantenimiento</t>
  </si>
  <si>
    <t>Operacionales de ventas</t>
  </si>
  <si>
    <t>Descuentos comerciales condicionados</t>
  </si>
  <si>
    <t xml:space="preserve">Ajuste al peso </t>
  </si>
  <si>
    <t>DIVERSOS</t>
  </si>
  <si>
    <t xml:space="preserve">Insdustria y Comercio </t>
  </si>
  <si>
    <t xml:space="preserve">A la propiedad raiz </t>
  </si>
  <si>
    <t xml:space="preserve">Otros </t>
  </si>
  <si>
    <t xml:space="preserve">Instalaciones electricas </t>
  </si>
  <si>
    <t>Arreglos ornamentales</t>
  </si>
  <si>
    <t xml:space="preserve">Reparaciones locativas </t>
  </si>
  <si>
    <t xml:space="preserve">Asesoria Juridica </t>
  </si>
  <si>
    <t>Correo portes y telegrama</t>
  </si>
  <si>
    <t xml:space="preserve">Afiliaciones </t>
  </si>
  <si>
    <t xml:space="preserve">DIVERSOS </t>
  </si>
  <si>
    <t>Comisiones inmobiliaria</t>
  </si>
  <si>
    <t xml:space="preserve">Maquinaria y equipo </t>
  </si>
  <si>
    <t>MES</t>
  </si>
  <si>
    <t>VENTAS FISCALES 2018</t>
  </si>
  <si>
    <t>VENTAS FISCALES 2017</t>
  </si>
  <si>
    <t>VENTAS SIN IVA 2018</t>
  </si>
  <si>
    <t>VENTAS SIN IVA 2017</t>
  </si>
  <si>
    <t>GASTOS  2018</t>
  </si>
  <si>
    <t>GASTOS 2017</t>
  </si>
  <si>
    <t xml:space="preserve">TOTAL </t>
  </si>
  <si>
    <t xml:space="preserve">ENERO </t>
  </si>
  <si>
    <t xml:space="preserve">FEBRERO </t>
  </si>
  <si>
    <t>MARZO</t>
  </si>
  <si>
    <t xml:space="preserve">ABRIL </t>
  </si>
  <si>
    <t>UTILIDAD 2018</t>
  </si>
  <si>
    <t>UTILIDAD  2017</t>
  </si>
  <si>
    <t>VENTAS FISCALES 2019</t>
  </si>
  <si>
    <t>VENTAS SIN IVA 2019</t>
  </si>
  <si>
    <t>GASTOS  2019</t>
  </si>
  <si>
    <t>UTILIDAD 2019</t>
  </si>
  <si>
    <t xml:space="preserve">SITUACION FINANCIERA </t>
  </si>
  <si>
    <t>1</t>
  </si>
  <si>
    <t>ACTIVO</t>
  </si>
  <si>
    <t>11</t>
  </si>
  <si>
    <t>Efectivo y equivalentes al efectivo</t>
  </si>
  <si>
    <t>1105</t>
  </si>
  <si>
    <t>Caja</t>
  </si>
  <si>
    <t>110505</t>
  </si>
  <si>
    <t>Caja general</t>
  </si>
  <si>
    <t>1120</t>
  </si>
  <si>
    <t>Cuentas de ahorro</t>
  </si>
  <si>
    <t>112005</t>
  </si>
  <si>
    <t>Bancos</t>
  </si>
  <si>
    <t>11200501</t>
  </si>
  <si>
    <t>BBVA</t>
  </si>
  <si>
    <t>13</t>
  </si>
  <si>
    <t>Cuentas por cobrar (instrumentos financieros)</t>
  </si>
  <si>
    <t>Clientes</t>
  </si>
  <si>
    <t>130505</t>
  </si>
  <si>
    <t>Nacionales</t>
  </si>
  <si>
    <t>1355</t>
  </si>
  <si>
    <t>Anticipo de impuestos y contribuciones o saldos a favor</t>
  </si>
  <si>
    <t>135505</t>
  </si>
  <si>
    <t>Anticipo de impuestos de renta y complementarios</t>
  </si>
  <si>
    <t>135515</t>
  </si>
  <si>
    <t>Retención en la fuente</t>
  </si>
  <si>
    <t>13559006</t>
  </si>
  <si>
    <t>15</t>
  </si>
  <si>
    <t>Propiedades planta y equipo</t>
  </si>
  <si>
    <t>1516</t>
  </si>
  <si>
    <t>151605</t>
  </si>
  <si>
    <t xml:space="preserve">Apto sion </t>
  </si>
  <si>
    <t>1528</t>
  </si>
  <si>
    <t>152805</t>
  </si>
  <si>
    <t>Equipo de procesamiento de datos</t>
  </si>
  <si>
    <t>1540</t>
  </si>
  <si>
    <t>Flota y equipo de transporte</t>
  </si>
  <si>
    <t>154008</t>
  </si>
  <si>
    <t>Camiones, volquetas y furgones</t>
  </si>
  <si>
    <t>1592</t>
  </si>
  <si>
    <t>Depreciación acumulada</t>
  </si>
  <si>
    <t>16</t>
  </si>
  <si>
    <t>Intangibles</t>
  </si>
  <si>
    <t>1635</t>
  </si>
  <si>
    <t>Licencias</t>
  </si>
  <si>
    <t xml:space="preserve">TOTAL ACTIVO </t>
  </si>
  <si>
    <t>2365</t>
  </si>
  <si>
    <t>2370</t>
  </si>
  <si>
    <t>Retenciones y aportes de nómina</t>
  </si>
  <si>
    <t>Aportes a entidades promotoras de salud EPS</t>
  </si>
  <si>
    <t>237010</t>
  </si>
  <si>
    <t>Aportes al i.c.b.f, sena y cajas compensación</t>
  </si>
  <si>
    <t>2380</t>
  </si>
  <si>
    <t>Acreedores varios</t>
  </si>
  <si>
    <t>24</t>
  </si>
  <si>
    <t>Impuestos, gravámenes y tasas</t>
  </si>
  <si>
    <t>Impuesto sobre las ventas por pagar</t>
  </si>
  <si>
    <t>26</t>
  </si>
  <si>
    <t>Provisión de pasivos</t>
  </si>
  <si>
    <t>2610</t>
  </si>
  <si>
    <t>Para obligaciones laborales</t>
  </si>
  <si>
    <t>261005</t>
  </si>
  <si>
    <t>261010</t>
  </si>
  <si>
    <t xml:space="preserve">TOTAL PASIVO 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</si>
  <si>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</si>
  <si>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</si>
  <si>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</si>
  <si>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</si>
  <si>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</si>
  <si>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</si>
  <si>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</si>
  <si>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</si>
  <si>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Resultados del ejercicio</t>
  </si>
  <si>
    <t xml:space="preserve">UTILIDAD DEL EJERCICIO ANTERIORES </t>
  </si>
  <si>
    <t xml:space="preserve">TOTAL PATRIMONIO </t>
  </si>
  <si>
    <t>TOTAL PATRIMONIO  Y PASIVO</t>
  </si>
  <si>
    <t>UTILIDAD ACUMULADA DEL CUATRIMESTRE</t>
  </si>
  <si>
    <t>Autorretencion de renta</t>
  </si>
  <si>
    <t>EXOGENA</t>
  </si>
  <si>
    <t xml:space="preserve">Horas extras </t>
  </si>
  <si>
    <t xml:space="preserve">servicios </t>
  </si>
  <si>
    <t>inmuebles</t>
  </si>
  <si>
    <t>intereses prestamos socios</t>
  </si>
  <si>
    <t xml:space="preserve">UTILIDAD 2018 </t>
  </si>
  <si>
    <t xml:space="preserve">UTILIDAD 2019 </t>
  </si>
  <si>
    <t>Depreciacion</t>
  </si>
  <si>
    <t>construcciones y edificaciones</t>
  </si>
  <si>
    <t>maquinaria y equipo</t>
  </si>
  <si>
    <t>equipo de oficina</t>
  </si>
  <si>
    <t>equipo de computacion</t>
  </si>
  <si>
    <t>flota y equipo de transporte</t>
  </si>
  <si>
    <t>ADECUACIONES E INSTALACIONES</t>
  </si>
  <si>
    <t>Reparaciones locativas</t>
  </si>
  <si>
    <t xml:space="preserve">Industria y comercio </t>
  </si>
  <si>
    <t xml:space="preserve">UTILIDAD MENSUAL </t>
  </si>
  <si>
    <t>ENERO</t>
  </si>
  <si>
    <t xml:space="preserve">MARZO </t>
  </si>
  <si>
    <t>Drogas y medicamentos</t>
  </si>
  <si>
    <t>VENTAS FISCALES 2020</t>
  </si>
  <si>
    <t>VENTAS SIN IVA 2020</t>
  </si>
  <si>
    <t>GASTOS 2020</t>
  </si>
  <si>
    <t>UTILIDAD 2020</t>
  </si>
  <si>
    <t>GASTOS  2020</t>
  </si>
  <si>
    <t>FUMIGACION</t>
  </si>
  <si>
    <t xml:space="preserve">Retención en la fuente </t>
  </si>
  <si>
    <t xml:space="preserve">Reteica </t>
  </si>
  <si>
    <t>VENTAS FISCALES 2021</t>
  </si>
  <si>
    <t>VENTAS SIN IVA 2021</t>
  </si>
  <si>
    <t>GASTOS 2021</t>
  </si>
  <si>
    <t>UTILIDAD 2021</t>
  </si>
  <si>
    <t>GASTOS  2021</t>
  </si>
  <si>
    <t xml:space="preserve">Otros SOAT </t>
  </si>
  <si>
    <t xml:space="preserve">Obligatorio accidente de transito </t>
  </si>
  <si>
    <t>Devoluciones en ventas (db)</t>
  </si>
  <si>
    <t>No Deducible</t>
  </si>
  <si>
    <t xml:space="preserve">Flota y equipo de transporte </t>
  </si>
  <si>
    <t>VENTAS FISCALES 2022</t>
  </si>
  <si>
    <t>VENTAS SIN IVA 2022</t>
  </si>
  <si>
    <t>GASTOS 2022</t>
  </si>
  <si>
    <t>UTILIDAD 2022</t>
  </si>
  <si>
    <t>GASTOS  2022</t>
  </si>
  <si>
    <t xml:space="preserve">Prima </t>
  </si>
  <si>
    <t>ABRIL</t>
  </si>
  <si>
    <t>MAYO</t>
  </si>
  <si>
    <t>JULIO</t>
  </si>
  <si>
    <t>AGOSTO</t>
  </si>
  <si>
    <t>Puerta de Oro etapa 3</t>
  </si>
  <si>
    <t>Saldos a 30/11/2022</t>
  </si>
  <si>
    <t>Mov. 01/11/2022 a 30/11/2022</t>
  </si>
  <si>
    <t>Mov. 01/10/2022 a 31/10/2022</t>
  </si>
  <si>
    <t>Saldos a 31/10/2022</t>
  </si>
  <si>
    <t>Mov. 01/09/2022 a 30/09/2022</t>
  </si>
  <si>
    <t>Saldos a 30/09/2022</t>
  </si>
  <si>
    <t>Saldos a 30/08/2022</t>
  </si>
  <si>
    <t>Saldos a 31/07/2022</t>
  </si>
  <si>
    <t>Afilicaciones y contribuciones</t>
  </si>
  <si>
    <t>Mov. 02/01/2023 a 31/01/2023</t>
  </si>
  <si>
    <t>Saldos a 31/01/23</t>
  </si>
  <si>
    <t>Saldos a 28/02/2023</t>
  </si>
  <si>
    <t>Mov. 01/03/2023 a 31/03/2023</t>
  </si>
  <si>
    <t>Saldos a 31/03/2023</t>
  </si>
  <si>
    <t>Mov. 01/04/2023 a 30/04/2023</t>
  </si>
  <si>
    <t>Saldos a 30/04/2023</t>
  </si>
  <si>
    <t>Mov. 01/05/2023 a 31/05/2023</t>
  </si>
  <si>
    <t>Saldos a 31/05/2023</t>
  </si>
  <si>
    <t>Mov. 01/06/2023 a 30/06/202</t>
  </si>
  <si>
    <t>Saldos a 30/06/2023</t>
  </si>
  <si>
    <t>Mov. 01/07/2023 a 31/07/2023</t>
  </si>
  <si>
    <t>Mov. 01/08/2023 a 31/08/2023</t>
  </si>
  <si>
    <t>Bonificaciones</t>
  </si>
  <si>
    <t>Procesamiento datos</t>
  </si>
  <si>
    <t>VENTAS FISCALES 2023</t>
  </si>
  <si>
    <t>VENTAS SIN IVA 2023</t>
  </si>
  <si>
    <t>2408</t>
  </si>
  <si>
    <t xml:space="preserve">Gastos Diversos </t>
  </si>
  <si>
    <t>otros</t>
  </si>
  <si>
    <t>Gastos manejo y emision de bonos</t>
  </si>
  <si>
    <t xml:space="preserve">JUNIO </t>
  </si>
  <si>
    <t>SEPT</t>
  </si>
  <si>
    <t>OCTUBRE</t>
  </si>
  <si>
    <t>NOVIEMBRE</t>
  </si>
  <si>
    <t>Utilidad de ejercicios anteriores</t>
  </si>
  <si>
    <t>1305</t>
  </si>
  <si>
    <t xml:space="preserve">ANTICIPO PROVEEDORES </t>
  </si>
  <si>
    <t>236525</t>
  </si>
  <si>
    <t>Autorretencion</t>
  </si>
  <si>
    <t>237005</t>
  </si>
  <si>
    <t>237006</t>
  </si>
  <si>
    <t>238030</t>
  </si>
  <si>
    <t>Fondos de cesantías y/o pensiones</t>
  </si>
  <si>
    <t xml:space="preserve">industria y comercio </t>
  </si>
  <si>
    <t>OCT</t>
  </si>
  <si>
    <t>NOV</t>
  </si>
  <si>
    <t xml:space="preserve">Capital autorizado suscrito y pagado </t>
  </si>
  <si>
    <t>Deterioro de cartera</t>
  </si>
  <si>
    <t>GASTOS 2023</t>
  </si>
  <si>
    <t>UTILIDAD 2023</t>
  </si>
  <si>
    <t>GASTOS  2023</t>
  </si>
  <si>
    <t xml:space="preserve">MAQUINARIA Y EQUIPO </t>
  </si>
  <si>
    <t>Formaleta</t>
  </si>
  <si>
    <r>
      <t>TOTAL RECURSOS</t>
    </r>
    <r>
      <rPr>
        <sz val="13"/>
        <color rgb="FF000000"/>
        <rFont val="Calibri"/>
        <family val="2"/>
      </rPr>
      <t> </t>
    </r>
  </si>
  <si>
    <r>
      <t>CUENTAS POR PAGAR A</t>
    </r>
    <r>
      <rPr>
        <sz val="13"/>
        <color rgb="FF000000"/>
        <rFont val="Calibri"/>
        <family val="2"/>
      </rPr>
      <t> </t>
    </r>
  </si>
  <si>
    <r>
      <t>CORTO PLAZO</t>
    </r>
    <r>
      <rPr>
        <sz val="13"/>
        <color rgb="FF000000"/>
        <rFont val="Calibri"/>
        <family val="2"/>
      </rPr>
      <t> </t>
    </r>
  </si>
  <si>
    <t>CUENTAS POR PAGAR  </t>
  </si>
  <si>
    <r>
      <t>DISPONIBLE RECURSOS</t>
    </r>
    <r>
      <rPr>
        <sz val="13"/>
        <color rgb="FF000000"/>
        <rFont val="Calibri"/>
        <family val="2"/>
      </rPr>
      <t> </t>
    </r>
  </si>
  <si>
    <t xml:space="preserve">TOTAL RECURSOS </t>
  </si>
  <si>
    <r>
      <t>DISPONIBLE RECURSOS</t>
    </r>
    <r>
      <rPr>
        <sz val="13"/>
        <color rgb="FF000000"/>
        <rFont val="Calibri"/>
        <family val="2"/>
      </rPr>
      <t> </t>
    </r>
    <r>
      <rPr>
        <sz val="11.5"/>
        <color rgb="FF000000"/>
        <rFont val="Century Gothic"/>
        <family val="2"/>
      </rPr>
      <t>EFECTIVO</t>
    </r>
  </si>
  <si>
    <t xml:space="preserve">CAJA </t>
  </si>
  <si>
    <t>BANCO BBVA</t>
  </si>
  <si>
    <t xml:space="preserve">RECURSOS PARA PUERTA DE ORO </t>
  </si>
  <si>
    <t>CARTERA - CUENTAS POR COBRAR</t>
  </si>
  <si>
    <t xml:space="preserve">CXC CLIENTE FISCAL Y NO FISCAL  </t>
  </si>
  <si>
    <t>CUENTAS POR COBRAR PENDIENTE DE GASTOS DE ESCRITURACION</t>
  </si>
  <si>
    <t>DISPONIBLE PARA OPERACIÓN 2024</t>
  </si>
  <si>
    <t>DIEGO GUTIERREZ</t>
  </si>
  <si>
    <t>NILSON RUEDA</t>
  </si>
  <si>
    <t>PABLO JAIMES</t>
  </si>
  <si>
    <t>MAURICIO</t>
  </si>
  <si>
    <t>JUAN PABLO SARMIENTO</t>
  </si>
  <si>
    <t>CARLOS RIVERA</t>
  </si>
  <si>
    <t>GERARDO CONTRERAS</t>
  </si>
  <si>
    <t>REYNALDO ARDILA</t>
  </si>
  <si>
    <t>EDWIN</t>
  </si>
  <si>
    <t xml:space="preserve">PUERTA DEL ORO </t>
  </si>
  <si>
    <t xml:space="preserve">JULIO </t>
  </si>
  <si>
    <t xml:space="preserve">AGOSTO </t>
  </si>
  <si>
    <t>DIC</t>
  </si>
  <si>
    <t>FEBRERO</t>
  </si>
  <si>
    <t xml:space="preserve">MAYO </t>
  </si>
  <si>
    <t>Perdida de ejercicio</t>
  </si>
  <si>
    <t>CARTERA NO FISCAL</t>
  </si>
  <si>
    <t>VENTAS FISCALES 2024</t>
  </si>
  <si>
    <t>VENTAS SIN IVA 2024</t>
  </si>
  <si>
    <t>GASTOS 2024</t>
  </si>
  <si>
    <t>UTILIDAD 2024</t>
  </si>
  <si>
    <t>GASTOS  2024</t>
  </si>
  <si>
    <t xml:space="preserve">AUTOR </t>
  </si>
  <si>
    <t>MAY</t>
  </si>
  <si>
    <t>JUL</t>
  </si>
  <si>
    <t>JUN</t>
  </si>
  <si>
    <t>AGTO</t>
  </si>
  <si>
    <t>ENER</t>
  </si>
  <si>
    <t>FEB</t>
  </si>
  <si>
    <t>MARZ</t>
  </si>
  <si>
    <t>JUNIO</t>
  </si>
  <si>
    <t xml:space="preserve">NOTA: UTILIDADES SRA FLOR ALBA  SE ENCUENTRA EN CDT </t>
  </si>
  <si>
    <t>1 CDT COOMULTRASAN $12,500,000</t>
  </si>
  <si>
    <t>1 CDT BBVA $11,000,000</t>
  </si>
  <si>
    <t>GONZALEZ BOHORQUEZ</t>
  </si>
  <si>
    <t>RECUPERACION CARTERA</t>
  </si>
  <si>
    <t>ASLQUILERES OLVIDADOS</t>
  </si>
  <si>
    <t xml:space="preserve">PRESTAMO A  LILIANA </t>
  </si>
  <si>
    <t>LO PENDIENTE PARA PUERTA DE ORO</t>
  </si>
  <si>
    <t>INVERSIONES G Y C23 S.A.S.</t>
  </si>
  <si>
    <t>EQUIORIENTE SAS</t>
  </si>
  <si>
    <t>Mov. 01/12/2024 a 31/12/2024</t>
  </si>
  <si>
    <t>Saldos a 31/12/2024</t>
  </si>
  <si>
    <t>FECHA: 31 de DICIEMBRE  DE 2024</t>
  </si>
  <si>
    <t xml:space="preserve">UTILIDAD O PERDIDA ACUMULADA </t>
  </si>
  <si>
    <t>SEPTIEMBRE</t>
  </si>
  <si>
    <t>DICIEMBRE</t>
  </si>
  <si>
    <t>JOSE LUIS CAMACHO</t>
  </si>
  <si>
    <t xml:space="preserve">ALQUIOBRAS </t>
  </si>
  <si>
    <t>DICIEMBRE  31  DE 2024</t>
  </si>
  <si>
    <t xml:space="preserve">Cuentas por debajo </t>
  </si>
  <si>
    <t>INVERSIONS GYC 23 SAS</t>
  </si>
  <si>
    <t>INVERSIONES ULLOA MONSALVE</t>
  </si>
  <si>
    <t>PERFOSANDER</t>
  </si>
  <si>
    <t>CUBYCO</t>
  </si>
  <si>
    <t>ROBERTO SANCHEZ</t>
  </si>
  <si>
    <t>CARTERA FISCAL</t>
  </si>
  <si>
    <t>SEPTI</t>
  </si>
  <si>
    <t>Fecha documento</t>
  </si>
  <si>
    <t>Documento #</t>
  </si>
  <si>
    <t>Cuenta - Cód.</t>
  </si>
  <si>
    <t>Cuenta - Nombre de la cuenta NIIF</t>
  </si>
  <si>
    <t>Tercero - Cód.</t>
  </si>
  <si>
    <t>Tercero - Nombre-apellido</t>
  </si>
  <si>
    <t>CC imputado - Cód.</t>
  </si>
  <si>
    <t>Débito</t>
  </si>
  <si>
    <t>Crédito</t>
  </si>
  <si>
    <t>Saldo</t>
  </si>
  <si>
    <t>CI-000137</t>
  </si>
  <si>
    <t>Ret. por servicios en general</t>
  </si>
  <si>
    <t>CUBYCO CONSTRUCTORES SA</t>
  </si>
  <si>
    <t>CI-000141</t>
  </si>
  <si>
    <t>CI-000143</t>
  </si>
  <si>
    <t>GRUBINM SAS</t>
  </si>
  <si>
    <t>CI-000145</t>
  </si>
  <si>
    <t>INDUSTRIAS CTS SAS</t>
  </si>
  <si>
    <t>CI-000149</t>
  </si>
  <si>
    <t>CI-000150</t>
  </si>
  <si>
    <t>CI-000152</t>
  </si>
  <si>
    <t>CI-000154</t>
  </si>
  <si>
    <t>CI-000155</t>
  </si>
  <si>
    <t>CI-000157</t>
  </si>
  <si>
    <t>PROCAR INVERSIONES</t>
  </si>
  <si>
    <t>Ret. por ventas</t>
  </si>
  <si>
    <t xml:space="preserve">Otras cuentas por cobrar </t>
  </si>
  <si>
    <t>cdt</t>
  </si>
  <si>
    <t>SALDO DYM INVERSIONES</t>
  </si>
  <si>
    <t>OTRAS CUENTAS POR PAGAR</t>
  </si>
  <si>
    <t>Prestamos socios</t>
  </si>
  <si>
    <t>TOTAL DISPONIBLE EFECTIVO 30 DIC/24 ANTES DE CUENTAS POR COBRAR</t>
  </si>
  <si>
    <t>RECURSOS DIC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</si>
</sst>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&quot;$&quot;\ #,##0.00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&quot;$&quot;#,##0.00;\-&quot;$&quot;#,##0.00"/>
    <numFmt numFmtId="169" formatCode="_ &quot;$&quot;\ * #,##0.00_ ;_ &quot;$&quot;\ * \-#,##0.00_ ;_ &quot;$&quot;\ * &quot;-&quot;??_ ;_ @_ "/>
    <numFmt numFmtId="170" formatCode="_-&quot;$&quot;\ * #,##0_-;\-&quot;$&quot;\ * #,##0_-;_-&quot;$&quot;\ * &quot;-&quot;??_-;_-@_-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10"/>
      <name val="Arial"/>
      <family val="2"/>
    </font>
    <font>
      <b/>
      <sz val="16"/>
      <name val="Arial"/>
      <family val="2"/>
    </font>
    <font>
      <sz val="8"/>
      <color theme="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MS Sans Serif"/>
    </font>
    <font>
      <sz val="11"/>
      <color theme="0"/>
      <name val="Calibri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rgb="FF000000"/>
      <name val="Calibri"/>
      <family val="2"/>
    </font>
    <font>
      <sz val="11.5"/>
      <color rgb="FF000000"/>
      <name val="Century Gothic"/>
      <family val="2"/>
    </font>
    <font>
      <sz val="11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0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medium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3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000000"/>
      </top>
      <bottom style="double">
        <color rgb="FF000000"/>
      </bottom>
      <diagonal/>
    </border>
    <border>
      <left style="medium">
        <color rgb="FFD4D4D4"/>
      </left>
      <right style="medium">
        <color rgb="FFD4D4D4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E0E0E0"/>
      </bottom>
      <diagonal/>
    </border>
    <border>
      <left style="medium">
        <color rgb="FFD4D4D4"/>
      </left>
      <right style="medium">
        <color rgb="FFD4D4D4"/>
      </right>
      <top style="medium">
        <color rgb="FFE0E0E0"/>
      </top>
      <bottom style="medium">
        <color rgb="FFD4D4D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D4D4D4"/>
      </right>
      <top style="medium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/>
      <diagonal/>
    </border>
    <border>
      <left style="thin">
        <color rgb="FF000000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/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000000"/>
      </bottom>
      <diagonal/>
    </border>
    <border>
      <left style="thin">
        <color rgb="FF000000"/>
      </left>
      <right style="medium">
        <color rgb="FFD4D4D4"/>
      </right>
      <top style="medium">
        <color rgb="FF000000"/>
      </top>
      <bottom style="double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D4D4D4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double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thin">
        <color rgb="FF000000"/>
      </left>
      <right style="medium">
        <color rgb="FFD4D4D4"/>
      </right>
      <top/>
      <bottom/>
      <diagonal/>
    </border>
    <border>
      <left style="medium">
        <color rgb="FFD4D4D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D4D4D4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medium">
        <color rgb="FFD4D4D4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E0E0E0"/>
      </bottom>
      <diagonal/>
    </border>
    <border>
      <left style="medium">
        <color rgb="FFD4D4D4"/>
      </left>
      <right style="medium">
        <color rgb="FFD4D4D4"/>
      </right>
      <top style="medium">
        <color rgb="FFE0E0E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1"/>
      </top>
      <bottom/>
      <diagonal/>
    </border>
    <border>
      <left style="medium">
        <color indexed="64"/>
      </left>
      <right/>
      <top style="thin">
        <color indexed="6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vertical="top"/>
    </xf>
    <xf numFmtId="0" fontId="16" fillId="0" borderId="0"/>
    <xf numFmtId="16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45">
    <xf numFmtId="0" fontId="0" fillId="0" borderId="0" xfId="0"/>
    <xf numFmtId="3" fontId="15" fillId="6" borderId="43" xfId="4" applyNumberFormat="1" applyFont="1" applyFill="1" applyBorder="1" applyAlignment="1">
      <alignment horizontal="center" vertical="top"/>
    </xf>
    <xf numFmtId="0" fontId="1" fillId="0" borderId="0" xfId="1"/>
    <xf numFmtId="0" fontId="1" fillId="0" borderId="9" xfId="1" applyBorder="1"/>
    <xf numFmtId="0" fontId="1" fillId="0" borderId="11" xfId="1" applyBorder="1"/>
    <xf numFmtId="7" fontId="0" fillId="0" borderId="0" xfId="0" applyNumberFormat="1"/>
    <xf numFmtId="7" fontId="2" fillId="0" borderId="0" xfId="1" applyNumberFormat="1" applyFont="1" applyAlignment="1">
      <alignment horizontal="righ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right" vertical="top" wrapText="1"/>
    </xf>
    <xf numFmtId="0" fontId="6" fillId="2" borderId="3" xfId="1" applyFont="1" applyFill="1" applyBorder="1" applyAlignment="1">
      <alignment horizontal="right" vertical="top" wrapText="1"/>
    </xf>
    <xf numFmtId="0" fontId="6" fillId="2" borderId="5" xfId="1" applyFont="1" applyFill="1" applyBorder="1" applyAlignment="1">
      <alignment horizontal="right" vertical="top" wrapText="1"/>
    </xf>
    <xf numFmtId="7" fontId="2" fillId="3" borderId="2" xfId="1" applyNumberFormat="1" applyFont="1" applyFill="1" applyBorder="1" applyAlignment="1">
      <alignment horizontal="right" vertical="top" wrapText="1"/>
    </xf>
    <xf numFmtId="0" fontId="2" fillId="0" borderId="8" xfId="1" applyFont="1" applyBorder="1" applyAlignment="1">
      <alignment horizontal="left" vertical="top" wrapText="1"/>
    </xf>
    <xf numFmtId="7" fontId="2" fillId="0" borderId="2" xfId="1" applyNumberFormat="1" applyFont="1" applyBorder="1" applyAlignment="1">
      <alignment horizontal="right" vertical="top" wrapText="1"/>
    </xf>
    <xf numFmtId="0" fontId="2" fillId="0" borderId="8" xfId="1" applyFont="1" applyBorder="1" applyAlignment="1">
      <alignment horizontal="center" vertical="top" wrapText="1"/>
    </xf>
    <xf numFmtId="7" fontId="2" fillId="0" borderId="4" xfId="1" applyNumberFormat="1" applyFont="1" applyBorder="1" applyAlignment="1">
      <alignment horizontal="right" vertical="top" wrapText="1"/>
    </xf>
    <xf numFmtId="0" fontId="6" fillId="2" borderId="15" xfId="1" applyFont="1" applyFill="1" applyBorder="1" applyAlignment="1">
      <alignment horizontal="center" vertical="top" wrapText="1"/>
    </xf>
    <xf numFmtId="0" fontId="2" fillId="5" borderId="8" xfId="1" applyFont="1" applyFill="1" applyBorder="1" applyAlignment="1">
      <alignment horizontal="left" vertical="top" wrapText="1"/>
    </xf>
    <xf numFmtId="7" fontId="2" fillId="5" borderId="2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center" vertical="top" wrapText="1"/>
    </xf>
    <xf numFmtId="7" fontId="2" fillId="5" borderId="7" xfId="1" applyNumberFormat="1" applyFont="1" applyFill="1" applyBorder="1" applyAlignment="1">
      <alignment horizontal="right" vertical="top" wrapText="1"/>
    </xf>
    <xf numFmtId="0" fontId="1" fillId="0" borderId="22" xfId="1" applyBorder="1"/>
    <xf numFmtId="0" fontId="1" fillId="0" borderId="21" xfId="1" applyBorder="1"/>
    <xf numFmtId="0" fontId="1" fillId="0" borderId="23" xfId="1" applyBorder="1"/>
    <xf numFmtId="3" fontId="8" fillId="0" borderId="26" xfId="2" applyNumberFormat="1" applyFont="1" applyBorder="1"/>
    <xf numFmtId="3" fontId="3" fillId="0" borderId="27" xfId="1" applyNumberFormat="1" applyFont="1" applyBorder="1" applyAlignment="1">
      <alignment horizontal="center" vertical="top" wrapText="1"/>
    </xf>
    <xf numFmtId="3" fontId="3" fillId="0" borderId="28" xfId="1" applyNumberFormat="1" applyFont="1" applyBorder="1" applyAlignment="1">
      <alignment horizontal="center" vertical="top" wrapText="1"/>
    </xf>
    <xf numFmtId="3" fontId="3" fillId="0" borderId="29" xfId="1" applyNumberFormat="1" applyFont="1" applyBorder="1" applyAlignment="1">
      <alignment horizontal="center" vertical="top" wrapText="1"/>
    </xf>
    <xf numFmtId="164" fontId="0" fillId="0" borderId="0" xfId="3" applyFont="1"/>
    <xf numFmtId="0" fontId="1" fillId="0" borderId="12" xfId="1" applyBorder="1"/>
    <xf numFmtId="0" fontId="1" fillId="0" borderId="30" xfId="1" applyBorder="1"/>
    <xf numFmtId="0" fontId="1" fillId="0" borderId="31" xfId="1" applyBorder="1"/>
    <xf numFmtId="3" fontId="3" fillId="0" borderId="32" xfId="1" applyNumberFormat="1" applyFont="1" applyBorder="1" applyAlignment="1">
      <alignment vertical="top" wrapText="1"/>
    </xf>
    <xf numFmtId="3" fontId="3" fillId="0" borderId="33" xfId="1" applyNumberFormat="1" applyFont="1" applyBorder="1" applyAlignment="1">
      <alignment vertical="top" wrapText="1"/>
    </xf>
    <xf numFmtId="3" fontId="3" fillId="0" borderId="34" xfId="1" applyNumberFormat="1" applyFont="1" applyBorder="1" applyAlignment="1">
      <alignment vertical="top" wrapText="1"/>
    </xf>
    <xf numFmtId="3" fontId="0" fillId="0" borderId="26" xfId="3" applyNumberFormat="1" applyFont="1" applyBorder="1"/>
    <xf numFmtId="3" fontId="3" fillId="0" borderId="0" xfId="1" applyNumberFormat="1" applyFont="1" applyAlignment="1">
      <alignment vertical="top" wrapText="1"/>
    </xf>
    <xf numFmtId="3" fontId="2" fillId="0" borderId="0" xfId="1" applyNumberFormat="1" applyFont="1" applyAlignment="1">
      <alignment horizontal="right" vertical="top" wrapText="1"/>
    </xf>
    <xf numFmtId="167" fontId="8" fillId="0" borderId="0" xfId="2" applyNumberFormat="1" applyFont="1"/>
    <xf numFmtId="167" fontId="8" fillId="0" borderId="38" xfId="2" applyNumberFormat="1" applyFont="1" applyBorder="1"/>
    <xf numFmtId="167" fontId="8" fillId="0" borderId="39" xfId="2" applyNumberFormat="1" applyFont="1" applyBorder="1"/>
    <xf numFmtId="3" fontId="2" fillId="0" borderId="38" xfId="1" applyNumberFormat="1" applyFont="1" applyBorder="1" applyAlignment="1">
      <alignment horizontal="right" vertical="top" wrapText="1"/>
    </xf>
    <xf numFmtId="168" fontId="1" fillId="0" borderId="36" xfId="1" applyNumberFormat="1" applyBorder="1"/>
    <xf numFmtId="168" fontId="1" fillId="0" borderId="0" xfId="1" applyNumberFormat="1"/>
    <xf numFmtId="3" fontId="2" fillId="0" borderId="26" xfId="1" applyNumberFormat="1" applyFont="1" applyBorder="1" applyAlignment="1">
      <alignment horizontal="right" vertical="top" wrapText="1"/>
    </xf>
    <xf numFmtId="7" fontId="2" fillId="0" borderId="26" xfId="1" applyNumberFormat="1" applyFont="1" applyBorder="1" applyAlignment="1">
      <alignment horizontal="right" vertical="top" wrapText="1"/>
    </xf>
    <xf numFmtId="7" fontId="1" fillId="0" borderId="0" xfId="1" applyNumberFormat="1"/>
    <xf numFmtId="3" fontId="8" fillId="0" borderId="40" xfId="2" applyNumberFormat="1" applyFont="1" applyBorder="1"/>
    <xf numFmtId="3" fontId="0" fillId="0" borderId="0" xfId="3" applyNumberFormat="1" applyFont="1" applyBorder="1"/>
    <xf numFmtId="3" fontId="1" fillId="0" borderId="0" xfId="1" applyNumberFormat="1"/>
    <xf numFmtId="167" fontId="8" fillId="0" borderId="0" xfId="2" applyNumberFormat="1" applyFont="1" applyBorder="1"/>
    <xf numFmtId="7" fontId="2" fillId="0" borderId="38" xfId="1" applyNumberFormat="1" applyFont="1" applyBorder="1" applyAlignment="1">
      <alignment horizontal="right" vertical="top" wrapText="1"/>
    </xf>
    <xf numFmtId="3" fontId="3" fillId="0" borderId="38" xfId="1" applyNumberFormat="1" applyFont="1" applyBorder="1" applyAlignment="1">
      <alignment horizontal="center" vertical="top" wrapText="1"/>
    </xf>
    <xf numFmtId="3" fontId="3" fillId="0" borderId="13" xfId="1" applyNumberFormat="1" applyFont="1" applyBorder="1" applyAlignment="1">
      <alignment horizontal="center" vertical="top" wrapText="1"/>
    </xf>
    <xf numFmtId="168" fontId="1" fillId="0" borderId="13" xfId="1" applyNumberFormat="1" applyBorder="1"/>
    <xf numFmtId="7" fontId="2" fillId="0" borderId="35" xfId="1" applyNumberFormat="1" applyFont="1" applyBorder="1" applyAlignment="1">
      <alignment horizontal="right" vertical="top" wrapText="1"/>
    </xf>
    <xf numFmtId="168" fontId="1" fillId="0" borderId="37" xfId="1" applyNumberFormat="1" applyBorder="1"/>
    <xf numFmtId="3" fontId="8" fillId="0" borderId="0" xfId="2" applyNumberFormat="1" applyFont="1" applyBorder="1"/>
    <xf numFmtId="3" fontId="0" fillId="0" borderId="26" xfId="3" applyNumberFormat="1" applyFont="1" applyFill="1" applyBorder="1"/>
    <xf numFmtId="3" fontId="3" fillId="0" borderId="40" xfId="1" applyNumberFormat="1" applyFont="1" applyBorder="1" applyAlignment="1">
      <alignment horizontal="center" vertical="top" wrapText="1"/>
    </xf>
    <xf numFmtId="3" fontId="8" fillId="0" borderId="38" xfId="2" applyNumberFormat="1" applyFont="1" applyBorder="1"/>
    <xf numFmtId="3" fontId="8" fillId="0" borderId="40" xfId="2" applyNumberFormat="1" applyFont="1" applyFill="1" applyBorder="1"/>
    <xf numFmtId="7" fontId="9" fillId="0" borderId="0" xfId="4" applyNumberFormat="1" applyProtection="1">
      <alignment vertical="top"/>
      <protection locked="0"/>
    </xf>
    <xf numFmtId="3" fontId="3" fillId="0" borderId="46" xfId="1" applyNumberFormat="1" applyFont="1" applyBorder="1" applyAlignment="1">
      <alignment vertical="top" wrapText="1"/>
    </xf>
    <xf numFmtId="3" fontId="1" fillId="0" borderId="45" xfId="1" applyNumberFormat="1" applyBorder="1"/>
    <xf numFmtId="7" fontId="2" fillId="9" borderId="2" xfId="1" applyNumberFormat="1" applyFont="1" applyFill="1" applyBorder="1" applyAlignment="1">
      <alignment horizontal="right" vertical="top" wrapText="1"/>
    </xf>
    <xf numFmtId="167" fontId="1" fillId="0" borderId="0" xfId="1" applyNumberFormat="1"/>
    <xf numFmtId="43" fontId="9" fillId="0" borderId="0" xfId="4" applyNumberFormat="1" applyProtection="1">
      <alignment vertical="top"/>
      <protection locked="0"/>
    </xf>
    <xf numFmtId="7" fontId="2" fillId="5" borderId="10" xfId="1" applyNumberFormat="1" applyFont="1" applyFill="1" applyBorder="1" applyAlignment="1">
      <alignment horizontal="right" vertical="top" wrapText="1"/>
    </xf>
    <xf numFmtId="3" fontId="3" fillId="0" borderId="39" xfId="1" applyNumberFormat="1" applyFont="1" applyBorder="1" applyAlignment="1">
      <alignment horizontal="center" vertical="top" wrapText="1"/>
    </xf>
    <xf numFmtId="3" fontId="3" fillId="0" borderId="48" xfId="1" applyNumberFormat="1" applyFont="1" applyBorder="1" applyAlignment="1">
      <alignment vertical="top" wrapText="1"/>
    </xf>
    <xf numFmtId="168" fontId="1" fillId="0" borderId="45" xfId="1" applyNumberFormat="1" applyBorder="1"/>
    <xf numFmtId="3" fontId="8" fillId="0" borderId="26" xfId="7" applyNumberFormat="1" applyFont="1" applyBorder="1"/>
    <xf numFmtId="3" fontId="8" fillId="0" borderId="26" xfId="7" applyNumberFormat="1" applyFont="1" applyFill="1" applyBorder="1"/>
    <xf numFmtId="3" fontId="8" fillId="0" borderId="40" xfId="7" applyNumberFormat="1" applyFont="1" applyFill="1" applyBorder="1"/>
    <xf numFmtId="0" fontId="0" fillId="9" borderId="0" xfId="0" applyFill="1"/>
    <xf numFmtId="0" fontId="6" fillId="2" borderId="20" xfId="1" applyFont="1" applyFill="1" applyBorder="1" applyAlignment="1">
      <alignment horizontal="center" vertical="top" wrapText="1"/>
    </xf>
    <xf numFmtId="3" fontId="8" fillId="0" borderId="26" xfId="11" applyNumberFormat="1" applyFont="1" applyFill="1" applyBorder="1"/>
    <xf numFmtId="3" fontId="3" fillId="0" borderId="51" xfId="1" applyNumberFormat="1" applyFont="1" applyBorder="1" applyAlignment="1">
      <alignment horizontal="center" vertical="top" wrapText="1"/>
    </xf>
    <xf numFmtId="3" fontId="8" fillId="0" borderId="0" xfId="7" applyNumberFormat="1" applyFont="1" applyBorder="1"/>
    <xf numFmtId="3" fontId="8" fillId="0" borderId="0" xfId="11" applyNumberFormat="1" applyFont="1" applyFill="1" applyBorder="1"/>
    <xf numFmtId="170" fontId="14" fillId="0" borderId="0" xfId="13" applyNumberFormat="1" applyFont="1" applyAlignment="1" applyProtection="1">
      <alignment vertical="top"/>
      <protection locked="0"/>
    </xf>
    <xf numFmtId="170" fontId="13" fillId="0" borderId="0" xfId="13" applyNumberFormat="1" applyFont="1" applyAlignment="1" applyProtection="1">
      <alignment vertical="top"/>
      <protection locked="0"/>
    </xf>
    <xf numFmtId="0" fontId="14" fillId="0" borderId="0" xfId="4" applyFont="1" applyAlignment="1">
      <alignment horizontal="left" vertical="top"/>
    </xf>
    <xf numFmtId="0" fontId="13" fillId="0" borderId="0" xfId="4" applyFont="1" applyAlignment="1">
      <alignment horizontal="left" vertical="top"/>
    </xf>
    <xf numFmtId="0" fontId="9" fillId="0" borderId="0" xfId="4" applyAlignment="1" applyProtection="1">
      <alignment horizontal="center" vertical="top"/>
      <protection locked="0"/>
    </xf>
    <xf numFmtId="0" fontId="11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7" fontId="2" fillId="0" borderId="7" xfId="1" applyNumberFormat="1" applyFont="1" applyBorder="1" applyAlignment="1">
      <alignment horizontal="right" vertical="top" wrapText="1"/>
    </xf>
    <xf numFmtId="0" fontId="3" fillId="0" borderId="8" xfId="1" applyFont="1" applyBorder="1" applyAlignment="1">
      <alignment horizontal="left" vertical="top" wrapText="1"/>
    </xf>
    <xf numFmtId="7" fontId="2" fillId="0" borderId="10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horizontal="center" vertical="top" wrapText="1"/>
    </xf>
    <xf numFmtId="0" fontId="0" fillId="0" borderId="26" xfId="0" applyBorder="1"/>
    <xf numFmtId="7" fontId="17" fillId="0" borderId="7" xfId="1" applyNumberFormat="1" applyFont="1" applyBorder="1" applyAlignment="1">
      <alignment horizontal="right" vertical="top" wrapText="1"/>
    </xf>
    <xf numFmtId="7" fontId="17" fillId="0" borderId="2" xfId="1" applyNumberFormat="1" applyFont="1" applyBorder="1" applyAlignment="1">
      <alignment horizontal="right" vertical="top" wrapText="1"/>
    </xf>
    <xf numFmtId="0" fontId="17" fillId="0" borderId="8" xfId="1" applyFont="1" applyBorder="1" applyAlignment="1">
      <alignment horizontal="center" vertical="top" wrapText="1"/>
    </xf>
    <xf numFmtId="7" fontId="2" fillId="0" borderId="2" xfId="1" applyNumberFormat="1" applyFont="1" applyBorder="1" applyAlignment="1">
      <alignment horizontal="right" wrapText="1"/>
    </xf>
    <xf numFmtId="7" fontId="2" fillId="10" borderId="2" xfId="1" applyNumberFormat="1" applyFont="1" applyFill="1" applyBorder="1" applyAlignment="1">
      <alignment horizontal="right" vertical="top" wrapText="1"/>
    </xf>
    <xf numFmtId="0" fontId="9" fillId="0" borderId="0" xfId="4" applyProtection="1">
      <alignment vertical="top"/>
      <protection locked="0"/>
    </xf>
    <xf numFmtId="3" fontId="14" fillId="0" borderId="0" xfId="4" applyNumberFormat="1" applyFont="1" applyAlignment="1">
      <alignment horizontal="right" vertical="top"/>
    </xf>
    <xf numFmtId="0" fontId="13" fillId="0" borderId="0" xfId="4" applyFont="1" applyAlignment="1">
      <alignment horizontal="right" vertical="top"/>
    </xf>
    <xf numFmtId="3" fontId="9" fillId="0" borderId="0" xfId="4" applyNumberFormat="1" applyProtection="1">
      <alignment vertical="top"/>
      <protection locked="0"/>
    </xf>
    <xf numFmtId="0" fontId="9" fillId="4" borderId="0" xfId="4" applyFill="1" applyProtection="1">
      <alignment vertical="top"/>
      <protection locked="0"/>
    </xf>
    <xf numFmtId="3" fontId="14" fillId="0" borderId="44" xfId="4" applyNumberFormat="1" applyFont="1" applyBorder="1" applyAlignment="1">
      <alignment horizontal="right" vertical="top"/>
    </xf>
    <xf numFmtId="0" fontId="14" fillId="0" borderId="0" xfId="4" applyFont="1" applyProtection="1">
      <alignment vertical="top"/>
      <protection locked="0"/>
    </xf>
    <xf numFmtId="0" fontId="9" fillId="0" borderId="0" xfId="4" applyAlignment="1" applyProtection="1">
      <alignment horizontal="right" vertical="top"/>
      <protection locked="0"/>
    </xf>
    <xf numFmtId="3" fontId="9" fillId="0" borderId="0" xfId="4" applyNumberFormat="1" applyAlignment="1" applyProtection="1">
      <alignment horizontal="right" vertical="top"/>
      <protection locked="0"/>
    </xf>
    <xf numFmtId="0" fontId="20" fillId="0" borderId="0" xfId="4" applyFont="1" applyAlignment="1">
      <alignment horizontal="left" vertical="top"/>
    </xf>
    <xf numFmtId="0" fontId="18" fillId="0" borderId="0" xfId="4" applyFont="1" applyProtection="1">
      <alignment vertical="top"/>
      <protection locked="0"/>
    </xf>
    <xf numFmtId="3" fontId="20" fillId="4" borderId="0" xfId="4" applyNumberFormat="1" applyFont="1" applyFill="1" applyAlignment="1">
      <alignment horizontal="right" vertical="top"/>
    </xf>
    <xf numFmtId="0" fontId="18" fillId="4" borderId="0" xfId="4" applyFont="1" applyFill="1" applyProtection="1">
      <alignment vertical="top"/>
      <protection locked="0"/>
    </xf>
    <xf numFmtId="3" fontId="14" fillId="4" borderId="0" xfId="4" applyNumberFormat="1" applyFont="1" applyFill="1" applyAlignment="1">
      <alignment horizontal="right" vertical="top"/>
    </xf>
    <xf numFmtId="3" fontId="13" fillId="4" borderId="0" xfId="4" applyNumberFormat="1" applyFont="1" applyFill="1" applyAlignment="1">
      <alignment horizontal="center" vertical="top"/>
    </xf>
    <xf numFmtId="0" fontId="14" fillId="4" borderId="0" xfId="4" applyFont="1" applyFill="1" applyAlignment="1">
      <alignment horizontal="left" vertical="top"/>
    </xf>
    <xf numFmtId="0" fontId="11" fillId="0" borderId="0" xfId="4" applyFont="1" applyAlignment="1">
      <alignment horizontal="center" vertical="top"/>
    </xf>
    <xf numFmtId="3" fontId="13" fillId="0" borderId="0" xfId="4" applyNumberFormat="1" applyFont="1" applyAlignment="1">
      <alignment horizontal="center" vertical="top"/>
    </xf>
    <xf numFmtId="0" fontId="14" fillId="0" borderId="0" xfId="4" applyFont="1" applyAlignment="1">
      <alignment horizontal="center" vertical="top"/>
    </xf>
    <xf numFmtId="0" fontId="13" fillId="0" borderId="0" xfId="4" applyFont="1" applyAlignment="1">
      <alignment horizontal="center" vertical="top"/>
    </xf>
    <xf numFmtId="3" fontId="14" fillId="0" borderId="0" xfId="4" applyNumberFormat="1" applyFont="1" applyAlignment="1">
      <alignment horizontal="center" vertical="top"/>
    </xf>
    <xf numFmtId="0" fontId="12" fillId="0" borderId="0" xfId="4" applyFont="1" applyAlignment="1">
      <alignment horizontal="center" vertical="top"/>
    </xf>
    <xf numFmtId="3" fontId="9" fillId="0" borderId="0" xfId="4" applyNumberFormat="1" applyAlignment="1" applyProtection="1">
      <alignment horizontal="center" vertical="top"/>
      <protection locked="0"/>
    </xf>
    <xf numFmtId="3" fontId="18" fillId="4" borderId="0" xfId="4" applyNumberFormat="1" applyFont="1" applyFill="1" applyAlignment="1" applyProtection="1">
      <alignment horizontal="center" vertical="top"/>
      <protection locked="0"/>
    </xf>
    <xf numFmtId="7" fontId="14" fillId="0" borderId="0" xfId="4" applyNumberFormat="1" applyFont="1" applyAlignment="1">
      <alignment horizontal="center" vertical="top"/>
    </xf>
    <xf numFmtId="7" fontId="2" fillId="0" borderId="47" xfId="1" applyNumberFormat="1" applyFont="1" applyBorder="1" applyAlignment="1">
      <alignment horizontal="right" vertical="top" wrapText="1"/>
    </xf>
    <xf numFmtId="0" fontId="2" fillId="9" borderId="8" xfId="1" applyFont="1" applyFill="1" applyBorder="1" applyAlignment="1">
      <alignment horizontal="left" vertical="top" wrapText="1"/>
    </xf>
    <xf numFmtId="0" fontId="2" fillId="9" borderId="8" xfId="1" applyFont="1" applyFill="1" applyBorder="1" applyAlignment="1">
      <alignment horizontal="center" vertical="top" wrapText="1"/>
    </xf>
    <xf numFmtId="5" fontId="14" fillId="0" borderId="0" xfId="4" applyNumberFormat="1" applyFont="1" applyAlignment="1">
      <alignment horizontal="center" vertical="top"/>
    </xf>
    <xf numFmtId="5" fontId="9" fillId="0" borderId="0" xfId="4" applyNumberFormat="1" applyProtection="1">
      <alignment vertical="top"/>
      <protection locked="0"/>
    </xf>
    <xf numFmtId="3" fontId="8" fillId="0" borderId="26" xfId="14" applyNumberFormat="1" applyFont="1" applyFill="1" applyBorder="1"/>
    <xf numFmtId="3" fontId="8" fillId="0" borderId="26" xfId="14" applyNumberFormat="1" applyFont="1" applyBorder="1"/>
    <xf numFmtId="3" fontId="3" fillId="0" borderId="52" xfId="1" applyNumberFormat="1" applyFont="1" applyBorder="1" applyAlignment="1">
      <alignment vertical="top" wrapText="1"/>
    </xf>
    <xf numFmtId="0" fontId="24" fillId="0" borderId="53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right" vertical="center" wrapText="1"/>
    </xf>
    <xf numFmtId="0" fontId="24" fillId="0" borderId="58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center" wrapText="1"/>
    </xf>
    <xf numFmtId="0" fontId="27" fillId="0" borderId="67" xfId="0" applyFont="1" applyBorder="1" applyAlignment="1">
      <alignment horizontal="left" vertical="center" wrapText="1"/>
    </xf>
    <xf numFmtId="0" fontId="27" fillId="0" borderId="69" xfId="0" applyFont="1" applyBorder="1" applyAlignment="1">
      <alignment horizontal="justify" vertical="center" wrapText="1"/>
    </xf>
    <xf numFmtId="0" fontId="27" fillId="0" borderId="71" xfId="0" applyFont="1" applyBorder="1" applyAlignment="1">
      <alignment horizontal="left" vertical="center" wrapText="1"/>
    </xf>
    <xf numFmtId="0" fontId="25" fillId="0" borderId="73" xfId="0" applyFont="1" applyBorder="1" applyAlignment="1">
      <alignment horizontal="left" vertical="center" wrapText="1"/>
    </xf>
    <xf numFmtId="0" fontId="24" fillId="0" borderId="74" xfId="0" applyFont="1" applyBorder="1" applyAlignment="1">
      <alignment horizontal="left" vertical="center" wrapText="1"/>
    </xf>
    <xf numFmtId="0" fontId="27" fillId="0" borderId="75" xfId="0" applyFont="1" applyBorder="1" applyAlignment="1">
      <alignment horizontal="left" vertical="center" wrapText="1"/>
    </xf>
    <xf numFmtId="0" fontId="24" fillId="0" borderId="77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3" fontId="26" fillId="0" borderId="54" xfId="0" applyNumberFormat="1" applyFont="1" applyBorder="1" applyAlignment="1">
      <alignment horizontal="right" vertical="center" wrapText="1"/>
    </xf>
    <xf numFmtId="3" fontId="28" fillId="0" borderId="76" xfId="0" applyNumberFormat="1" applyFont="1" applyBorder="1" applyAlignment="1">
      <alignment horizontal="right" vertical="center" wrapText="1"/>
    </xf>
    <xf numFmtId="3" fontId="24" fillId="0" borderId="79" xfId="0" applyNumberFormat="1" applyFont="1" applyBorder="1" applyAlignment="1">
      <alignment horizontal="right" vertical="center" wrapText="1"/>
    </xf>
    <xf numFmtId="0" fontId="24" fillId="0" borderId="56" xfId="0" applyFont="1" applyBorder="1" applyAlignment="1">
      <alignment horizontal="left" vertical="center" wrapText="1"/>
    </xf>
    <xf numFmtId="44" fontId="27" fillId="0" borderId="60" xfId="13" applyFont="1" applyBorder="1" applyAlignment="1">
      <alignment horizontal="right" vertical="center" wrapText="1"/>
    </xf>
    <xf numFmtId="0" fontId="29" fillId="0" borderId="0" xfId="0" applyFont="1"/>
    <xf numFmtId="0" fontId="24" fillId="0" borderId="79" xfId="0" applyFont="1" applyBorder="1" applyAlignment="1">
      <alignment horizontal="left" vertical="center" wrapText="1"/>
    </xf>
    <xf numFmtId="0" fontId="25" fillId="0" borderId="82" xfId="0" applyFont="1" applyBorder="1" applyAlignment="1">
      <alignment horizontal="left" vertical="center" wrapText="1"/>
    </xf>
    <xf numFmtId="0" fontId="24" fillId="0" borderId="83" xfId="0" applyFont="1" applyBorder="1" applyAlignment="1">
      <alignment horizontal="left" vertical="center" wrapText="1"/>
    </xf>
    <xf numFmtId="6" fontId="27" fillId="0" borderId="84" xfId="0" applyNumberFormat="1" applyFont="1" applyBorder="1" applyAlignment="1">
      <alignment horizontal="right" vertical="center" wrapText="1"/>
    </xf>
    <xf numFmtId="44" fontId="0" fillId="0" borderId="0" xfId="0" applyNumberFormat="1"/>
    <xf numFmtId="0" fontId="24" fillId="0" borderId="71" xfId="0" applyFont="1" applyBorder="1" applyAlignment="1">
      <alignment horizontal="left" vertical="center" wrapText="1"/>
    </xf>
    <xf numFmtId="3" fontId="26" fillId="0" borderId="85" xfId="0" applyNumberFormat="1" applyFont="1" applyBorder="1" applyAlignment="1">
      <alignment horizontal="right" vertical="center" wrapText="1"/>
    </xf>
    <xf numFmtId="0" fontId="24" fillId="0" borderId="82" xfId="0" applyFont="1" applyBorder="1" applyAlignment="1">
      <alignment horizontal="left" vertical="center" wrapText="1"/>
    </xf>
    <xf numFmtId="6" fontId="27" fillId="0" borderId="83" xfId="13" applyNumberFormat="1" applyFont="1" applyBorder="1" applyAlignment="1">
      <alignment horizontal="right" vertical="center" wrapText="1"/>
    </xf>
    <xf numFmtId="3" fontId="24" fillId="0" borderId="56" xfId="0" applyNumberFormat="1" applyFont="1" applyBorder="1" applyAlignment="1">
      <alignment horizontal="right" vertical="center" wrapText="1"/>
    </xf>
    <xf numFmtId="0" fontId="24" fillId="0" borderId="80" xfId="0" applyFont="1" applyBorder="1" applyAlignment="1">
      <alignment horizontal="left" vertical="center" wrapText="1"/>
    </xf>
    <xf numFmtId="3" fontId="26" fillId="0" borderId="79" xfId="0" applyNumberFormat="1" applyFont="1" applyBorder="1" applyAlignment="1">
      <alignment horizontal="righ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86" xfId="0" applyFont="1" applyBorder="1" applyAlignment="1">
      <alignment horizontal="left" vertical="center" wrapText="1"/>
    </xf>
    <xf numFmtId="3" fontId="26" fillId="0" borderId="55" xfId="0" applyNumberFormat="1" applyFont="1" applyBorder="1" applyAlignment="1">
      <alignment horizontal="right" vertical="center" wrapText="1"/>
    </xf>
    <xf numFmtId="44" fontId="27" fillId="0" borderId="83" xfId="13" applyFont="1" applyBorder="1" applyAlignment="1">
      <alignment horizontal="right" vertical="center" wrapText="1"/>
    </xf>
    <xf numFmtId="3" fontId="0" fillId="0" borderId="0" xfId="0" applyNumberFormat="1"/>
    <xf numFmtId="6" fontId="0" fillId="0" borderId="0" xfId="0" applyNumberFormat="1"/>
    <xf numFmtId="7" fontId="2" fillId="7" borderId="2" xfId="1" applyNumberFormat="1" applyFont="1" applyFill="1" applyBorder="1" applyAlignment="1">
      <alignment horizontal="right" vertical="top" wrapText="1"/>
    </xf>
    <xf numFmtId="3" fontId="14" fillId="0" borderId="0" xfId="4" applyNumberFormat="1" applyFont="1" applyProtection="1">
      <alignment vertical="top"/>
      <protection locked="0"/>
    </xf>
    <xf numFmtId="0" fontId="6" fillId="2" borderId="19" xfId="1" applyFont="1" applyFill="1" applyBorder="1" applyAlignment="1">
      <alignment horizontal="center" vertical="top" wrapText="1"/>
    </xf>
    <xf numFmtId="0" fontId="0" fillId="0" borderId="11" xfId="0" applyBorder="1"/>
    <xf numFmtId="3" fontId="0" fillId="0" borderId="9" xfId="0" applyNumberFormat="1" applyBorder="1"/>
    <xf numFmtId="0" fontId="0" fillId="0" borderId="12" xfId="0" applyBorder="1"/>
    <xf numFmtId="3" fontId="0" fillId="0" borderId="26" xfId="0" applyNumberFormat="1" applyBorder="1"/>
    <xf numFmtId="3" fontId="3" fillId="9" borderId="42" xfId="1" applyNumberFormat="1" applyFont="1" applyFill="1" applyBorder="1" applyAlignment="1">
      <alignment vertical="top" wrapText="1"/>
    </xf>
    <xf numFmtId="3" fontId="3" fillId="12" borderId="21" xfId="1" applyNumberFormat="1" applyFont="1" applyFill="1" applyBorder="1" applyAlignment="1">
      <alignment vertical="top" wrapText="1"/>
    </xf>
    <xf numFmtId="3" fontId="3" fillId="12" borderId="13" xfId="1" applyNumberFormat="1" applyFont="1" applyFill="1" applyBorder="1" applyAlignment="1">
      <alignment vertical="top" wrapText="1"/>
    </xf>
    <xf numFmtId="3" fontId="3" fillId="5" borderId="17" xfId="1" applyNumberFormat="1" applyFont="1" applyFill="1" applyBorder="1" applyAlignment="1">
      <alignment vertical="top" wrapText="1"/>
    </xf>
    <xf numFmtId="3" fontId="3" fillId="5" borderId="24" xfId="1" applyNumberFormat="1" applyFont="1" applyFill="1" applyBorder="1" applyAlignment="1">
      <alignment vertical="top" wrapText="1"/>
    </xf>
    <xf numFmtId="3" fontId="3" fillId="8" borderId="24" xfId="1" applyNumberFormat="1" applyFont="1" applyFill="1" applyBorder="1" applyAlignment="1">
      <alignment vertical="top" wrapText="1"/>
    </xf>
    <xf numFmtId="3" fontId="3" fillId="8" borderId="25" xfId="1" applyNumberFormat="1" applyFont="1" applyFill="1" applyBorder="1" applyAlignment="1">
      <alignment vertical="top" wrapText="1"/>
    </xf>
    <xf numFmtId="3" fontId="8" fillId="0" borderId="0" xfId="2" applyNumberFormat="1" applyFont="1" applyFill="1" applyBorder="1"/>
    <xf numFmtId="166" fontId="8" fillId="0" borderId="0" xfId="13" applyNumberFormat="1" applyFont="1" applyFill="1" applyBorder="1"/>
    <xf numFmtId="0" fontId="6" fillId="2" borderId="89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right" vertical="top" wrapText="1"/>
    </xf>
    <xf numFmtId="7" fontId="2" fillId="5" borderId="8" xfId="1" applyNumberFormat="1" applyFont="1" applyFill="1" applyBorder="1" applyAlignment="1">
      <alignment horizontal="right" vertical="top" wrapText="1"/>
    </xf>
    <xf numFmtId="7" fontId="2" fillId="0" borderId="8" xfId="1" applyNumberFormat="1" applyFont="1" applyBorder="1" applyAlignment="1">
      <alignment horizontal="right" vertical="top" wrapText="1"/>
    </xf>
    <xf numFmtId="7" fontId="2" fillId="3" borderId="35" xfId="1" applyNumberFormat="1" applyFont="1" applyFill="1" applyBorder="1" applyAlignment="1">
      <alignment horizontal="right" vertical="top" wrapText="1"/>
    </xf>
    <xf numFmtId="7" fontId="2" fillId="0" borderId="90" xfId="1" applyNumberFormat="1" applyFont="1" applyBorder="1" applyAlignment="1">
      <alignment horizontal="right" vertical="top" wrapText="1"/>
    </xf>
    <xf numFmtId="7" fontId="2" fillId="7" borderId="7" xfId="1" applyNumberFormat="1" applyFont="1" applyFill="1" applyBorder="1" applyAlignment="1">
      <alignment horizontal="right" vertical="top" wrapText="1"/>
    </xf>
    <xf numFmtId="7" fontId="2" fillId="9" borderId="7" xfId="1" applyNumberFormat="1" applyFont="1" applyFill="1" applyBorder="1" applyAlignment="1">
      <alignment horizontal="right" vertical="top" wrapText="1"/>
    </xf>
    <xf numFmtId="7" fontId="2" fillId="9" borderId="35" xfId="1" applyNumberFormat="1" applyFont="1" applyFill="1" applyBorder="1" applyAlignment="1">
      <alignment horizontal="right" vertical="top" wrapText="1"/>
    </xf>
    <xf numFmtId="7" fontId="2" fillId="0" borderId="9" xfId="1" applyNumberFormat="1" applyFont="1" applyBorder="1" applyAlignment="1">
      <alignment horizontal="right" vertical="top" wrapText="1"/>
    </xf>
    <xf numFmtId="7" fontId="2" fillId="3" borderId="8" xfId="1" applyNumberFormat="1" applyFont="1" applyFill="1" applyBorder="1" applyAlignment="1">
      <alignment horizontal="right" vertical="top" wrapText="1"/>
    </xf>
    <xf numFmtId="7" fontId="2" fillId="0" borderId="27" xfId="1" applyNumberFormat="1" applyFont="1" applyBorder="1" applyAlignment="1">
      <alignment horizontal="right" vertical="top" wrapText="1"/>
    </xf>
    <xf numFmtId="7" fontId="2" fillId="9" borderId="8" xfId="1" applyNumberFormat="1" applyFont="1" applyFill="1" applyBorder="1" applyAlignment="1">
      <alignment horizontal="right" vertical="top" wrapText="1"/>
    </xf>
    <xf numFmtId="7" fontId="2" fillId="5" borderId="35" xfId="1" applyNumberFormat="1" applyFont="1" applyFill="1" applyBorder="1" applyAlignment="1">
      <alignment horizontal="right" vertical="top" wrapText="1"/>
    </xf>
    <xf numFmtId="0" fontId="2" fillId="5" borderId="8" xfId="1" applyFont="1" applyFill="1" applyBorder="1" applyAlignment="1">
      <alignment horizontal="left" wrapText="1"/>
    </xf>
    <xf numFmtId="7" fontId="2" fillId="5" borderId="10" xfId="1" applyNumberFormat="1" applyFont="1" applyFill="1" applyBorder="1" applyAlignment="1">
      <alignment horizontal="right" wrapText="1"/>
    </xf>
    <xf numFmtId="7" fontId="2" fillId="5" borderId="2" xfId="1" applyNumberFormat="1" applyFont="1" applyFill="1" applyBorder="1" applyAlignment="1">
      <alignment horizontal="right" wrapText="1"/>
    </xf>
    <xf numFmtId="0" fontId="2" fillId="5" borderId="8" xfId="1" applyFont="1" applyFill="1" applyBorder="1" applyAlignment="1">
      <alignment horizontal="center" wrapText="1"/>
    </xf>
    <xf numFmtId="7" fontId="2" fillId="5" borderId="7" xfId="1" applyNumberFormat="1" applyFont="1" applyFill="1" applyBorder="1" applyAlignment="1">
      <alignment horizontal="right" wrapText="1"/>
    </xf>
    <xf numFmtId="7" fontId="2" fillId="4" borderId="40" xfId="1" applyNumberFormat="1" applyFont="1" applyFill="1" applyBorder="1" applyAlignment="1">
      <alignment horizontal="right" vertical="top" wrapText="1"/>
    </xf>
    <xf numFmtId="7" fontId="2" fillId="4" borderId="2" xfId="1" applyNumberFormat="1" applyFont="1" applyFill="1" applyBorder="1" applyAlignment="1">
      <alignment horizontal="right" vertical="top" wrapText="1"/>
    </xf>
    <xf numFmtId="7" fontId="2" fillId="4" borderId="50" xfId="1" applyNumberFormat="1" applyFont="1" applyFill="1" applyBorder="1" applyAlignment="1">
      <alignment horizontal="right" vertical="top" wrapText="1"/>
    </xf>
    <xf numFmtId="0" fontId="0" fillId="4" borderId="0" xfId="0" applyFill="1"/>
    <xf numFmtId="7" fontId="17" fillId="4" borderId="2" xfId="1" applyNumberFormat="1" applyFont="1" applyFill="1" applyBorder="1" applyAlignment="1">
      <alignment horizontal="right" vertical="top" wrapText="1"/>
    </xf>
    <xf numFmtId="3" fontId="8" fillId="0" borderId="51" xfId="7" applyNumberFormat="1" applyFont="1" applyFill="1" applyBorder="1"/>
    <xf numFmtId="3" fontId="8" fillId="0" borderId="26" xfId="11" applyNumberFormat="1" applyFont="1" applyBorder="1"/>
    <xf numFmtId="3" fontId="8" fillId="0" borderId="91" xfId="7" applyNumberFormat="1" applyFont="1" applyFill="1" applyBorder="1"/>
    <xf numFmtId="3" fontId="8" fillId="0" borderId="39" xfId="7" applyNumberFormat="1" applyFont="1" applyBorder="1"/>
    <xf numFmtId="3" fontId="8" fillId="0" borderId="91" xfId="7" applyNumberFormat="1" applyFont="1" applyBorder="1"/>
    <xf numFmtId="3" fontId="8" fillId="0" borderId="91" xfId="2" applyNumberFormat="1" applyFont="1" applyBorder="1"/>
    <xf numFmtId="3" fontId="0" fillId="0" borderId="38" xfId="3" applyNumberFormat="1" applyFont="1" applyFill="1" applyBorder="1"/>
    <xf numFmtId="3" fontId="8" fillId="0" borderId="38" xfId="7" applyNumberFormat="1" applyFont="1" applyBorder="1"/>
    <xf numFmtId="3" fontId="8" fillId="0" borderId="92" xfId="7" applyNumberFormat="1" applyFont="1" applyBorder="1"/>
    <xf numFmtId="44" fontId="27" fillId="9" borderId="60" xfId="13" applyFont="1" applyFill="1" applyBorder="1" applyAlignment="1">
      <alignment horizontal="right" vertical="center" wrapText="1"/>
    </xf>
    <xf numFmtId="165" fontId="2" fillId="11" borderId="8" xfId="1" applyNumberFormat="1" applyFont="1" applyFill="1" applyBorder="1" applyAlignment="1">
      <alignment horizontal="center" vertical="top" wrapText="1"/>
    </xf>
    <xf numFmtId="0" fontId="6" fillId="2" borderId="88" xfId="1" applyFont="1" applyFill="1" applyBorder="1" applyAlignment="1">
      <alignment horizontal="center" vertical="top" wrapText="1"/>
    </xf>
    <xf numFmtId="7" fontId="2" fillId="9" borderId="26" xfId="1" applyNumberFormat="1" applyFont="1" applyFill="1" applyBorder="1" applyAlignment="1">
      <alignment horizontal="right" vertical="top" wrapText="1"/>
    </xf>
    <xf numFmtId="7" fontId="2" fillId="13" borderId="2" xfId="1" applyNumberFormat="1" applyFont="1" applyFill="1" applyBorder="1" applyAlignment="1">
      <alignment horizontal="right" vertical="top" wrapText="1"/>
    </xf>
    <xf numFmtId="0" fontId="29" fillId="8" borderId="0" xfId="0" applyFont="1" applyFill="1"/>
    <xf numFmtId="44" fontId="27" fillId="8" borderId="83" xfId="13" applyFont="1" applyFill="1" applyBorder="1" applyAlignment="1">
      <alignment horizontal="right" vertical="center" wrapText="1"/>
    </xf>
    <xf numFmtId="14" fontId="0" fillId="0" borderId="0" xfId="0" applyNumberFormat="1"/>
    <xf numFmtId="3" fontId="3" fillId="9" borderId="18" xfId="1" applyNumberFormat="1" applyFont="1" applyFill="1" applyBorder="1" applyAlignment="1">
      <alignment vertical="top" wrapText="1"/>
    </xf>
    <xf numFmtId="3" fontId="8" fillId="0" borderId="49" xfId="7" applyNumberFormat="1" applyFont="1" applyFill="1" applyBorder="1"/>
    <xf numFmtId="3" fontId="8" fillId="0" borderId="93" xfId="7" applyNumberFormat="1" applyFont="1" applyFill="1" applyBorder="1"/>
    <xf numFmtId="3" fontId="8" fillId="0" borderId="49" xfId="14" applyNumberFormat="1" applyFont="1" applyFill="1" applyBorder="1"/>
    <xf numFmtId="3" fontId="8" fillId="0" borderId="49" xfId="14" applyNumberFormat="1" applyFont="1" applyBorder="1"/>
    <xf numFmtId="3" fontId="3" fillId="0" borderId="24" xfId="1" applyNumberFormat="1" applyFont="1" applyBorder="1" applyAlignment="1">
      <alignment vertical="top" wrapText="1"/>
    </xf>
    <xf numFmtId="3" fontId="8" fillId="0" borderId="40" xfId="14" applyNumberFormat="1" applyFont="1" applyBorder="1"/>
    <xf numFmtId="3" fontId="8" fillId="0" borderId="94" xfId="7" applyNumberFormat="1" applyFont="1" applyFill="1" applyBorder="1"/>
    <xf numFmtId="3" fontId="8" fillId="0" borderId="35" xfId="14" applyNumberFormat="1" applyFont="1" applyBorder="1"/>
    <xf numFmtId="3" fontId="8" fillId="0" borderId="90" xfId="7" applyNumberFormat="1" applyFont="1" applyFill="1" applyBorder="1"/>
    <xf numFmtId="3" fontId="3" fillId="0" borderId="90" xfId="1" applyNumberFormat="1" applyFont="1" applyBorder="1" applyAlignment="1">
      <alignment horizontal="center" vertical="top" wrapText="1"/>
    </xf>
    <xf numFmtId="3" fontId="8" fillId="0" borderId="35" xfId="2" applyNumberFormat="1" applyFont="1" applyBorder="1"/>
    <xf numFmtId="3" fontId="3" fillId="0" borderId="95" xfId="1" applyNumberFormat="1" applyFont="1" applyBorder="1" applyAlignment="1">
      <alignment horizontal="center" vertical="top" wrapText="1"/>
    </xf>
    <xf numFmtId="3" fontId="8" fillId="0" borderId="45" xfId="2" applyNumberFormat="1" applyFont="1" applyBorder="1"/>
    <xf numFmtId="3" fontId="3" fillId="12" borderId="96" xfId="1" applyNumberFormat="1" applyFont="1" applyFill="1" applyBorder="1" applyAlignment="1">
      <alignment vertical="top" wrapText="1"/>
    </xf>
    <xf numFmtId="3" fontId="8" fillId="0" borderId="92" xfId="2" applyNumberFormat="1" applyFont="1" applyBorder="1"/>
    <xf numFmtId="3" fontId="8" fillId="0" borderId="50" xfId="2" applyNumberFormat="1" applyFont="1" applyBorder="1"/>
    <xf numFmtId="3" fontId="3" fillId="5" borderId="41" xfId="1" applyNumberFormat="1" applyFont="1" applyFill="1" applyBorder="1" applyAlignment="1">
      <alignment vertical="top" wrapText="1"/>
    </xf>
    <xf numFmtId="3" fontId="0" fillId="0" borderId="40" xfId="3" applyNumberFormat="1" applyFont="1" applyFill="1" applyBorder="1"/>
    <xf numFmtId="3" fontId="8" fillId="0" borderId="40" xfId="11" applyNumberFormat="1" applyFont="1" applyFill="1" applyBorder="1"/>
    <xf numFmtId="3" fontId="3" fillId="5" borderId="13" xfId="1" applyNumberFormat="1" applyFont="1" applyFill="1" applyBorder="1" applyAlignment="1">
      <alignment vertical="top" wrapText="1"/>
    </xf>
    <xf numFmtId="3" fontId="3" fillId="5" borderId="18" xfId="1" applyNumberFormat="1" applyFont="1" applyFill="1" applyBorder="1" applyAlignment="1">
      <alignment vertical="top" wrapText="1"/>
    </xf>
    <xf numFmtId="3" fontId="8" fillId="0" borderId="90" xfId="7" applyNumberFormat="1" applyFont="1" applyBorder="1"/>
    <xf numFmtId="3" fontId="8" fillId="0" borderId="35" xfId="7" applyNumberFormat="1" applyFont="1" applyFill="1" applyBorder="1"/>
    <xf numFmtId="3" fontId="8" fillId="0" borderId="35" xfId="11" applyNumberFormat="1" applyFont="1" applyFill="1" applyBorder="1"/>
    <xf numFmtId="3" fontId="8" fillId="0" borderId="90" xfId="2" applyNumberFormat="1" applyFont="1" applyBorder="1"/>
    <xf numFmtId="3" fontId="3" fillId="5" borderId="96" xfId="1" applyNumberFormat="1" applyFont="1" applyFill="1" applyBorder="1" applyAlignment="1">
      <alignment vertical="top" wrapText="1"/>
    </xf>
    <xf numFmtId="3" fontId="8" fillId="0" borderId="92" xfId="11" applyNumberFormat="1" applyFont="1" applyFill="1" applyBorder="1"/>
    <xf numFmtId="3" fontId="3" fillId="8" borderId="41" xfId="1" applyNumberFormat="1" applyFont="1" applyFill="1" applyBorder="1" applyAlignment="1">
      <alignment vertical="top" wrapText="1"/>
    </xf>
    <xf numFmtId="3" fontId="8" fillId="0" borderId="91" xfId="2" applyNumberFormat="1" applyFont="1" applyFill="1" applyBorder="1"/>
    <xf numFmtId="3" fontId="3" fillId="8" borderId="42" xfId="1" applyNumberFormat="1" applyFont="1" applyFill="1" applyBorder="1" applyAlignment="1">
      <alignment vertical="top" wrapText="1"/>
    </xf>
    <xf numFmtId="3" fontId="8" fillId="0" borderId="97" xfId="2" applyNumberFormat="1" applyFont="1" applyBorder="1"/>
    <xf numFmtId="3" fontId="8" fillId="0" borderId="98" xfId="2" applyNumberFormat="1" applyFont="1" applyFill="1" applyBorder="1"/>
    <xf numFmtId="17" fontId="0" fillId="0" borderId="11" xfId="0" applyNumberFormat="1" applyBorder="1" applyAlignment="1">
      <alignment horizontal="left"/>
    </xf>
    <xf numFmtId="3" fontId="0" fillId="0" borderId="31" xfId="0" applyNumberFormat="1" applyBorder="1"/>
    <xf numFmtId="170" fontId="32" fillId="0" borderId="0" xfId="13" applyNumberFormat="1" applyFont="1"/>
    <xf numFmtId="3" fontId="14" fillId="9" borderId="0" xfId="4" applyNumberFormat="1" applyFont="1" applyFill="1" applyAlignment="1">
      <alignment horizontal="right" vertical="top"/>
    </xf>
    <xf numFmtId="0" fontId="2" fillId="3" borderId="99" xfId="1" applyFont="1" applyFill="1" applyBorder="1" applyAlignment="1">
      <alignment horizontal="left" vertical="top" wrapText="1"/>
    </xf>
    <xf numFmtId="7" fontId="2" fillId="3" borderId="10" xfId="1" applyNumberFormat="1" applyFont="1" applyFill="1" applyBorder="1" applyAlignment="1">
      <alignment horizontal="right" vertical="top" wrapText="1"/>
    </xf>
    <xf numFmtId="7" fontId="2" fillId="3" borderId="100" xfId="1" applyNumberFormat="1" applyFont="1" applyFill="1" applyBorder="1" applyAlignment="1">
      <alignment horizontal="right" vertical="top" wrapText="1"/>
    </xf>
    <xf numFmtId="7" fontId="2" fillId="4" borderId="10" xfId="1" applyNumberFormat="1" applyFont="1" applyFill="1" applyBorder="1" applyAlignment="1">
      <alignment horizontal="right" vertical="top" wrapText="1"/>
    </xf>
    <xf numFmtId="7" fontId="3" fillId="11" borderId="10" xfId="1" applyNumberFormat="1" applyFont="1" applyFill="1" applyBorder="1" applyAlignment="1">
      <alignment horizontal="center" vertical="center" wrapText="1"/>
    </xf>
    <xf numFmtId="0" fontId="29" fillId="14" borderId="43" xfId="0" applyFont="1" applyFill="1" applyBorder="1" applyAlignment="1">
      <alignment wrapText="1"/>
    </xf>
    <xf numFmtId="165" fontId="29" fillId="14" borderId="43" xfId="0" applyNumberFormat="1" applyFont="1" applyFill="1" applyBorder="1"/>
    <xf numFmtId="0" fontId="29" fillId="14" borderId="43" xfId="0" applyFont="1" applyFill="1" applyBorder="1"/>
    <xf numFmtId="165" fontId="0" fillId="0" borderId="0" xfId="0" applyNumberFormat="1"/>
    <xf numFmtId="0" fontId="29" fillId="9" borderId="43" xfId="0" applyFont="1" applyFill="1" applyBorder="1"/>
    <xf numFmtId="165" fontId="29" fillId="9" borderId="43" xfId="0" applyNumberFormat="1" applyFont="1" applyFill="1" applyBorder="1"/>
    <xf numFmtId="0" fontId="29" fillId="9" borderId="0" xfId="0" applyFont="1" applyFill="1"/>
    <xf numFmtId="0" fontId="33" fillId="4" borderId="26" xfId="0" applyFont="1" applyFill="1" applyBorder="1" applyAlignment="1">
      <alignment horizontal="left"/>
    </xf>
    <xf numFmtId="0" fontId="0" fillId="0" borderId="26" xfId="0" applyBorder="1" applyAlignment="1">
      <alignment horizontal="left"/>
    </xf>
    <xf numFmtId="3" fontId="29" fillId="0" borderId="0" xfId="0" applyNumberFormat="1" applyFont="1"/>
    <xf numFmtId="0" fontId="29" fillId="0" borderId="0" xfId="0" applyFont="1" applyAlignment="1">
      <alignment horizontal="center"/>
    </xf>
    <xf numFmtId="3" fontId="8" fillId="0" borderId="97" xfId="7" applyNumberFormat="1" applyFont="1" applyFill="1" applyBorder="1"/>
    <xf numFmtId="3" fontId="8" fillId="0" borderId="38" xfId="7" applyNumberFormat="1" applyFont="1" applyFill="1" applyBorder="1"/>
    <xf numFmtId="3" fontId="8" fillId="0" borderId="98" xfId="7" applyNumberFormat="1" applyFont="1" applyFill="1" applyBorder="1"/>
    <xf numFmtId="3" fontId="3" fillId="0" borderId="91" xfId="1" applyNumberFormat="1" applyFont="1" applyBorder="1" applyAlignment="1">
      <alignment horizontal="center" vertical="top" wrapText="1"/>
    </xf>
    <xf numFmtId="3" fontId="8" fillId="0" borderId="101" xfId="2" applyNumberFormat="1" applyFont="1" applyBorder="1"/>
    <xf numFmtId="3" fontId="8" fillId="0" borderId="101" xfId="2" applyNumberFormat="1" applyFont="1" applyFill="1" applyBorder="1"/>
    <xf numFmtId="166" fontId="8" fillId="0" borderId="26" xfId="15" applyNumberFormat="1" applyFont="1" applyBorder="1"/>
    <xf numFmtId="3" fontId="3" fillId="0" borderId="97" xfId="1" applyNumberFormat="1" applyFont="1" applyBorder="1" applyAlignment="1">
      <alignment horizontal="center" vertical="top" wrapText="1"/>
    </xf>
    <xf numFmtId="16" fontId="0" fillId="0" borderId="0" xfId="0" applyNumberFormat="1"/>
    <xf numFmtId="3" fontId="14" fillId="0" borderId="0" xfId="4" applyNumberFormat="1" applyFont="1" applyAlignment="1">
      <alignment horizontal="left" vertical="top"/>
    </xf>
    <xf numFmtId="0" fontId="12" fillId="0" borderId="0" xfId="4" applyFont="1" applyAlignment="1">
      <alignment horizontal="right" vertical="top"/>
    </xf>
    <xf numFmtId="3" fontId="13" fillId="0" borderId="0" xfId="4" applyNumberFormat="1" applyFont="1" applyAlignment="1">
      <alignment horizontal="right" vertical="top"/>
    </xf>
    <xf numFmtId="0" fontId="14" fillId="0" borderId="0" xfId="4" applyFont="1" applyAlignment="1">
      <alignment horizontal="center" vertical="top"/>
    </xf>
    <xf numFmtId="3" fontId="15" fillId="6" borderId="43" xfId="4" applyNumberFormat="1" applyFont="1" applyFill="1" applyBorder="1" applyAlignment="1">
      <alignment horizontal="center" vertical="top"/>
    </xf>
    <xf numFmtId="0" fontId="13" fillId="0" borderId="0" xfId="4" applyFont="1" applyAlignment="1">
      <alignment horizontal="left" vertical="top"/>
    </xf>
    <xf numFmtId="0" fontId="14" fillId="0" borderId="0" xfId="4" applyFont="1" applyAlignment="1">
      <alignment horizontal="left" vertical="top"/>
    </xf>
    <xf numFmtId="0" fontId="12" fillId="0" borderId="0" xfId="4" applyFont="1" applyAlignment="1">
      <alignment horizontal="left" vertical="top"/>
    </xf>
    <xf numFmtId="0" fontId="11" fillId="0" borderId="0" xfId="4" applyFont="1" applyAlignment="1">
      <alignment horizontal="left" vertical="top"/>
    </xf>
    <xf numFmtId="0" fontId="10" fillId="0" borderId="0" xfId="4" applyFont="1" applyAlignment="1">
      <alignment horizontal="center" vertical="top" wrapText="1"/>
    </xf>
    <xf numFmtId="0" fontId="9" fillId="0" borderId="0" xfId="4" applyAlignment="1" applyProtection="1">
      <alignment horizontal="center" vertical="top"/>
      <protection locked="0"/>
    </xf>
    <xf numFmtId="0" fontId="5" fillId="0" borderId="0" xfId="1" applyFont="1" applyAlignment="1">
      <alignment horizontal="center"/>
    </xf>
    <xf numFmtId="17" fontId="4" fillId="0" borderId="13" xfId="1" applyNumberFormat="1" applyFont="1" applyBorder="1" applyAlignment="1">
      <alignment horizontal="center"/>
    </xf>
    <xf numFmtId="17" fontId="4" fillId="0" borderId="17" xfId="1" applyNumberFormat="1" applyFont="1" applyBorder="1" applyAlignment="1">
      <alignment horizontal="center"/>
    </xf>
    <xf numFmtId="17" fontId="4" fillId="0" borderId="18" xfId="1" applyNumberFormat="1" applyFont="1" applyBorder="1" applyAlignment="1">
      <alignment horizontal="center"/>
    </xf>
    <xf numFmtId="0" fontId="6" fillId="2" borderId="87" xfId="1" applyFont="1" applyFill="1" applyBorder="1" applyAlignment="1">
      <alignment horizontal="center" vertical="top" wrapText="1"/>
    </xf>
    <xf numFmtId="0" fontId="6" fillId="2" borderId="14" xfId="1" applyFont="1" applyFill="1" applyBorder="1" applyAlignment="1">
      <alignment horizontal="center" vertical="top" wrapText="1"/>
    </xf>
    <xf numFmtId="0" fontId="6" fillId="2" borderId="15" xfId="1" applyFont="1" applyFill="1" applyBorder="1" applyAlignment="1">
      <alignment horizontal="center" vertical="top" wrapText="1"/>
    </xf>
    <xf numFmtId="0" fontId="6" fillId="2" borderId="88" xfId="1" applyFont="1" applyFill="1" applyBorder="1" applyAlignment="1">
      <alignment horizontal="center" vertical="top" wrapText="1"/>
    </xf>
    <xf numFmtId="0" fontId="6" fillId="2" borderId="16" xfId="1" applyFont="1" applyFill="1" applyBorder="1" applyAlignment="1">
      <alignment horizontal="center" vertical="top" wrapText="1"/>
    </xf>
    <xf numFmtId="0" fontId="29" fillId="9" borderId="43" xfId="0" applyFont="1" applyFill="1" applyBorder="1" applyAlignment="1">
      <alignment horizontal="center"/>
    </xf>
    <xf numFmtId="0" fontId="29" fillId="14" borderId="43" xfId="0" applyFont="1" applyFill="1" applyBorder="1" applyAlignment="1">
      <alignment horizontal="center"/>
    </xf>
    <xf numFmtId="0" fontId="23" fillId="0" borderId="62" xfId="0" applyFont="1" applyBorder="1" applyAlignment="1">
      <alignment horizontal="right" vertical="center" wrapText="1"/>
    </xf>
    <xf numFmtId="0" fontId="23" fillId="0" borderId="63" xfId="0" applyFont="1" applyBorder="1" applyAlignment="1">
      <alignment horizontal="right" vertical="center" wrapText="1"/>
    </xf>
    <xf numFmtId="170" fontId="27" fillId="0" borderId="70" xfId="13" applyNumberFormat="1" applyFont="1" applyBorder="1" applyAlignment="1">
      <alignment horizontal="right" vertical="center" wrapText="1"/>
    </xf>
    <xf numFmtId="170" fontId="27" fillId="0" borderId="72" xfId="13" applyNumberFormat="1" applyFont="1" applyBorder="1" applyAlignment="1">
      <alignment horizontal="right" vertical="center" wrapText="1"/>
    </xf>
    <xf numFmtId="0" fontId="24" fillId="0" borderId="55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3" fontId="27" fillId="0" borderId="70" xfId="0" applyNumberFormat="1" applyFont="1" applyBorder="1" applyAlignment="1">
      <alignment horizontal="right" vertical="center" wrapText="1"/>
    </xf>
    <xf numFmtId="0" fontId="27" fillId="0" borderId="72" xfId="0" applyFont="1" applyBorder="1" applyAlignment="1">
      <alignment horizontal="right" vertical="center" wrapText="1"/>
    </xf>
    <xf numFmtId="0" fontId="26" fillId="0" borderId="69" xfId="0" applyFont="1" applyBorder="1" applyAlignment="1">
      <alignment horizontal="left" vertical="center" wrapText="1"/>
    </xf>
    <xf numFmtId="0" fontId="26" fillId="0" borderId="80" xfId="0" applyFont="1" applyBorder="1" applyAlignment="1">
      <alignment horizontal="left" vertical="center" wrapText="1"/>
    </xf>
    <xf numFmtId="0" fontId="24" fillId="0" borderId="79" xfId="0" applyFont="1" applyBorder="1" applyAlignment="1">
      <alignment horizontal="left" vertical="center" wrapText="1"/>
    </xf>
    <xf numFmtId="6" fontId="27" fillId="8" borderId="70" xfId="0" applyNumberFormat="1" applyFont="1" applyFill="1" applyBorder="1" applyAlignment="1">
      <alignment horizontal="right" vertical="center" wrapText="1"/>
    </xf>
    <xf numFmtId="0" fontId="27" fillId="8" borderId="81" xfId="0" applyFont="1" applyFill="1" applyBorder="1" applyAlignment="1">
      <alignment horizontal="right" vertical="center" wrapText="1"/>
    </xf>
    <xf numFmtId="0" fontId="30" fillId="0" borderId="26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3" fillId="0" borderId="0" xfId="4" applyFont="1" applyAlignment="1">
      <alignment horizontal="center" vertical="top" wrapText="1"/>
    </xf>
    <xf numFmtId="0" fontId="30" fillId="0" borderId="0" xfId="0" applyFont="1" applyAlignment="1">
      <alignment horizontal="center"/>
    </xf>
    <xf numFmtId="0" fontId="31" fillId="0" borderId="0" xfId="4" applyFont="1" applyAlignment="1">
      <alignment horizontal="center" vertical="top" wrapText="1"/>
    </xf>
    <xf numFmtId="7" fontId="2" fillId="11" borderId="2" xfId="1" applyNumberFormat="1" applyFont="1" applyFill="1" applyBorder="1" applyAlignment="1">
      <alignment horizontal="right" vertical="top" wrapText="1"/>
    </xf>
    <xf numFmtId="7" fontId="2" fillId="11" borderId="7" xfId="1" applyNumberFormat="1" applyFont="1" applyFill="1" applyBorder="1" applyAlignment="1">
      <alignment horizontal="right" vertical="top" wrapText="1"/>
    </xf>
    <xf numFmtId="7" fontId="2" fillId="8" borderId="7" xfId="1" applyNumberFormat="1" applyFont="1" applyFill="1" applyBorder="1" applyAlignment="1">
      <alignment horizontal="right" vertical="top" wrapText="1"/>
    </xf>
    <xf numFmtId="7" fontId="2" fillId="8" borderId="2" xfId="1" applyNumberFormat="1" applyFont="1" applyFill="1" applyBorder="1" applyAlignment="1">
      <alignment horizontal="right" vertical="top" wrapText="1"/>
    </xf>
    <xf numFmtId="7" fontId="2" fillId="15" borderId="26" xfId="1" applyNumberFormat="1" applyFont="1" applyFill="1" applyBorder="1" applyAlignment="1">
      <alignment horizontal="right" vertical="top" wrapText="1"/>
    </xf>
    <xf numFmtId="7" fontId="2" fillId="15" borderId="2" xfId="1" applyNumberFormat="1" applyFont="1" applyFill="1" applyBorder="1" applyAlignment="1">
      <alignment horizontal="right" vertical="top" wrapText="1"/>
    </xf>
    <xf numFmtId="7" fontId="2" fillId="15" borderId="7" xfId="1" applyNumberFormat="1" applyFont="1" applyFill="1" applyBorder="1" applyAlignment="1">
      <alignment horizontal="right" vertical="top" wrapText="1"/>
    </xf>
    <xf numFmtId="7" fontId="2" fillId="16" borderId="2" xfId="1" applyNumberFormat="1" applyFont="1" applyFill="1" applyBorder="1" applyAlignment="1">
      <alignment horizontal="right" vertical="top" wrapText="1"/>
    </xf>
    <xf numFmtId="7" fontId="2" fillId="17" borderId="2" xfId="1" applyNumberFormat="1" applyFont="1" applyFill="1" applyBorder="1" applyAlignment="1">
      <alignment horizontal="right" vertical="top" wrapText="1"/>
    </xf>
  </cellXfs>
  <cellStyles count="40">
    <cellStyle name="Millares 2" xfId="2" xr:uid="{00000000-0005-0000-0000-000000000000}"/>
    <cellStyle name="Millares 2 2" xfId="7" xr:uid="{99F89B59-3BE9-4227-8529-8D1171FB7C74}"/>
    <cellStyle name="Millares 2 2 2" xfId="16" xr:uid="{D7D370DD-170E-479D-A4E5-71511C6F67CF}"/>
    <cellStyle name="Millares 2 3" xfId="11" xr:uid="{1E3332DB-9B68-4EC1-A5AB-B551BF31F7CE}"/>
    <cellStyle name="Millares 2 3 2" xfId="18" xr:uid="{B931B093-46FA-4189-9BD4-EF6299FDE8F3}"/>
    <cellStyle name="Millares 2 4" xfId="14" xr:uid="{F74E68A4-7459-4773-8AC0-DD08207D8718}"/>
    <cellStyle name="Moneda" xfId="13" xr:uid="{4364F538-FBB9-40B3-88D2-3DC269657694}"/>
    <cellStyle name="Moneda [0] 2" xfId="2" xr:uid="{00000000-0005-0000-0000-000002000000}"/>
    <cellStyle name="Moneda [0] 2 2" xfId="7" xr:uid="{8E81CEDD-C779-42FD-932F-2ABF5F83E785}"/>
    <cellStyle name="Moneda [0] 2 2 2" xfId="16" xr:uid="{7F53FBE3-3C74-4369-8D9A-07B8765AD7D1}"/>
    <cellStyle name="Moneda [0] 2 3" xfId="11" xr:uid="{FD2541DE-C39D-4E3C-A22F-5A091D8C52EB}"/>
    <cellStyle name="Moneda [0] 2 3 2" xfId="18" xr:uid="{A6092571-8A75-4BEA-B13B-DFC81AF10286}"/>
    <cellStyle name="Moneda [0] 2 4" xfId="14" xr:uid="{E4BCA803-B413-4B05-8BAF-71458F3C25B4}"/>
    <cellStyle name="Moneda 2" xfId="2" xr:uid="{00000000-0005-0000-0000-000003000000}"/>
    <cellStyle name="Moneda 2 2" xfId="7" xr:uid="{C4070647-BB78-46E6-8E4B-850AC0316C53}"/>
    <cellStyle name="Moneda 2 2 2" xfId="16" xr:uid="{35C796BC-3702-4484-B02C-4428D63B811A}"/>
    <cellStyle name="Moneda 2 3" xfId="11" xr:uid="{1183D0FF-AAC3-43E4-828B-DB7AAFC0AC59}"/>
    <cellStyle name="Moneda 2 3 2" xfId="18" xr:uid="{C92DDE2A-DDDD-48B8-8E39-48C0E6CDA2A2}"/>
    <cellStyle name="Moneda 2 4" xfId="14" xr:uid="{6519D1A5-36B6-4A09-8103-65C8684004AA}"/>
    <cellStyle name="Moneda 2 5" xfId="21" xr:uid="{65D00F7F-EDD4-4A27-968D-8B3AD54F1F14}"/>
    <cellStyle name="Moneda 3" xfId="3" xr:uid="{00000000-0005-0000-0000-000004000000}"/>
    <cellStyle name="Moneda 4" xfId="6" xr:uid="{00000000-0005-0000-0000-000005000000}"/>
    <cellStyle name="Moneda 4 2" xfId="10" xr:uid="{1F772817-BA86-41D0-AFC1-B6618E4014F8}"/>
    <cellStyle name="Moneda 5" xfId="8" xr:uid="{2A391BCB-916A-48E0-83C6-2554410DA563}"/>
    <cellStyle name="Moneda 5 2" xfId="17" xr:uid="{6DB39911-83C8-4760-B414-0196006ECE84}"/>
    <cellStyle name="Moneda 6" xfId="12" xr:uid="{905975C1-579A-47A0-9378-6E5031D1DCC5}"/>
    <cellStyle name="Moneda 6 2" xfId="19" xr:uid="{732A9383-CE19-4B66-ADE1-BF706D9A6FEC}"/>
    <cellStyle name="Moneda 7" xfId="15" xr:uid="{D027B7BE-7555-4FDB-9064-A8E22EBF4FC9}"/>
    <cellStyle name="Moneda 8" xfId="20" xr:uid="{E98873ED-6229-4B68-B767-0ADA04DFEAFF}"/>
    <cellStyle name="Normal" xfId="0" builtinId="0"/>
    <cellStyle name="Normal 2" xfId="1" xr:uid="{00000000-0005-0000-0000-000007000000}"/>
    <cellStyle name="Normal 3" xfId="4" xr:uid="{00000000-0005-0000-0000-000008000000}"/>
    <cellStyle name="Normal 4" xfId="5" xr:uid="{00000000-0005-0000-0000-000009000000}"/>
    <cellStyle name="Normal 4 2" xfId="9" xr:uid="{610B1DC9-2206-420B-98C4-1D57A830B82F}"/>
    <cellStyle name="Porcentaje 2" xfId="2" xr:uid="{00000000-0005-0000-0000-00000B000000}"/>
    <cellStyle name="Porcentaje 2 2" xfId="7" xr:uid="{6FFC32B9-7377-409D-B4DF-CE01D0ABC5C0}"/>
    <cellStyle name="Porcentaje 2 2 2" xfId="16" xr:uid="{E4D8018B-07A6-4A98-836B-D1A10F62C6AC}"/>
    <cellStyle name="Porcentaje 2 3" xfId="11" xr:uid="{FF99095D-38C2-43A1-AB75-269CD1FF9265}"/>
    <cellStyle name="Porcentaje 2 3 2" xfId="18" xr:uid="{08E1A958-F393-4496-8541-41E3910E77FE}"/>
    <cellStyle name="Porcentaje 2 4" xfId="14" xr:uid="{B6737D6E-232C-40FB-BE64-32EFA6043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VENTAS SIN IVA</a:t>
            </a:r>
          </a:p>
        </c:rich>
      </c:tx>
      <c:layout>
        <c:manualLayout>
          <c:xMode val="edge"/>
          <c:yMode val="edge"/>
          <c:x val="0.312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PYG'!$C$90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PYG'!$C$91:$C$102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CEC-4B03-8A71-A0079F11E396}"/>
            </c:ext>
          </c:extLst>
        </c:ser>
        <c:ser>
          <c:idx val="1"/>
          <c:order val="1"/>
          <c:tx>
            <c:strRef>
              <c:f>'GRAFICAS PYG'!$D$90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9114461439164446E-3"/>
                  <c:y val="-9.8375041289299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EC-4B03-8A71-A0079F11E396}"/>
                </c:ext>
              </c:extLst>
            </c:dLbl>
            <c:dLbl>
              <c:idx val="1"/>
              <c:layout>
                <c:manualLayout>
                  <c:x val="1.7278615359791111E-2"/>
                  <c:y val="-7.37812809669746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EC-4B03-8A71-A0079F11E396}"/>
                </c:ext>
              </c:extLst>
            </c:dLbl>
            <c:dLbl>
              <c:idx val="2"/>
              <c:layout>
                <c:manualLayout>
                  <c:x val="6.9114461439164446E-3"/>
                  <c:y val="-7.02678866352140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EC-4B03-8A71-A0079F11E396}"/>
                </c:ext>
              </c:extLst>
            </c:dLbl>
            <c:dLbl>
              <c:idx val="3"/>
              <c:layout>
                <c:manualLayout>
                  <c:x val="2.0734338431749291E-2"/>
                  <c:y val="1.05401829952820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EC-4B03-8A71-A0079F11E396}"/>
                </c:ext>
              </c:extLst>
            </c:dLbl>
            <c:dLbl>
              <c:idx val="5"/>
              <c:layout>
                <c:manualLayout>
                  <c:x val="2.3038153813054814E-3"/>
                  <c:y val="-4.567412631288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EC-4B03-8A71-A0079F11E396}"/>
                </c:ext>
              </c:extLst>
            </c:dLbl>
            <c:dLbl>
              <c:idx val="7"/>
              <c:layout>
                <c:manualLayout>
                  <c:x val="1.4974799978485545E-2"/>
                  <c:y val="-6.675449230345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EC-4B03-8A71-A0079F1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PYG'!$D$91:$D$102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FCEC-4B03-8A71-A0079F11E396}"/>
            </c:ext>
          </c:extLst>
        </c:ser>
        <c:ser>
          <c:idx val="2"/>
          <c:order val="2"/>
          <c:tx>
            <c:strRef>
              <c:f>'GRAFICAS PYG'!$E$90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PYG'!$E$91:$E$102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FCEC-4B03-8A71-A0079F11E396}"/>
            </c:ext>
          </c:extLst>
        </c:ser>
        <c:ser>
          <c:idx val="3"/>
          <c:order val="3"/>
          <c:tx>
            <c:strRef>
              <c:f>'GRAFICAS PYG'!$F$90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PYG'!$F$91:$F$102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F0A-4D6E-9142-940998BEFBA3}"/>
            </c:ext>
          </c:extLst>
        </c:ser>
        <c:ser>
          <c:idx val="4"/>
          <c:order val="4"/>
          <c:tx>
            <c:strRef>
              <c:f>'GRAFICAS PYG'!$G$90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PYG'!$G$91:$G$102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0B4-4DEF-BDA1-1CCB4A6B33A2}"/>
            </c:ext>
          </c:extLst>
        </c:ser>
        <c:ser>
          <c:idx val="5"/>
          <c:order val="5"/>
          <c:tx>
            <c:strRef>
              <c:f>'GRAFICAS PYG'!$H$90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PYG'!$H$91:$H$102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0B4-4DEF-BDA1-1CCB4A6B33A2}"/>
            </c:ext>
          </c:extLst>
        </c:ser>
        <c:ser>
          <c:idx val="6"/>
          <c:order val="6"/>
          <c:tx>
            <c:strRef>
              <c:f>'GRAFICAS PYG'!$I$90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PYG'!$B$91:$B$102</c:f>
              <c:numCache>
                <c:formatCode>General</c:formatCode>
                <c:ptCount val="12"/>
              </c:numCache>
            </c:numRef>
          </c:cat>
          <c:val>
            <c:numRef>
              <c:f>'GRAFICAS PYG'!$I$91:$I$102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38B-445F-8AB4-A92E1A56E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488128"/>
        <c:axId val="147498112"/>
      </c:barChart>
      <c:catAx>
        <c:axId val="1474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98112"/>
        <c:crosses val="autoZero"/>
        <c:auto val="1"/>
        <c:lblAlgn val="ctr"/>
        <c:lblOffset val="100"/>
        <c:noMultiLvlLbl val="0"/>
      </c:catAx>
      <c:valAx>
        <c:axId val="14749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4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 DE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682421729403041E-3"/>
          <c:y val="0.15267307182932408"/>
          <c:w val="0.98581560371700694"/>
          <c:h val="0.81552264682511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PYG'!$C$163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66132723112127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PYG'!$C$164:$C$178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1516-400F-A472-EC183AFBC46D}"/>
            </c:ext>
          </c:extLst>
        </c:ser>
        <c:ser>
          <c:idx val="1"/>
          <c:order val="1"/>
          <c:tx>
            <c:strRef>
              <c:f>'GRAFICAS PYG'!$D$163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3.7908492830168929E-2"/>
                  <c:y val="-3.05110602593451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6-400F-A472-EC183AFBC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PYG'!$D$164:$D$178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1516-400F-A472-EC183AFBC46D}"/>
            </c:ext>
          </c:extLst>
        </c:ser>
        <c:ser>
          <c:idx val="2"/>
          <c:order val="2"/>
          <c:tx>
            <c:strRef>
              <c:f>'GRAFICAS PYG'!$E$163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PYG'!$E$164:$E$178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1516-400F-A472-EC183AFBC46D}"/>
            </c:ext>
          </c:extLst>
        </c:ser>
        <c:ser>
          <c:idx val="3"/>
          <c:order val="3"/>
          <c:tx>
            <c:strRef>
              <c:f>'GRAFICAS PYG'!$F$163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PYG'!$F$164:$F$178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FF7-4BC4-AF1F-7F8996A3BA80}"/>
            </c:ext>
          </c:extLst>
        </c:ser>
        <c:ser>
          <c:idx val="4"/>
          <c:order val="4"/>
          <c:tx>
            <c:strRef>
              <c:f>'GRAFICAS PYG'!$G$163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PYG'!$G$164:$G$178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955-4C36-9956-AAF225B5BDBB}"/>
            </c:ext>
          </c:extLst>
        </c:ser>
        <c:ser>
          <c:idx val="5"/>
          <c:order val="5"/>
          <c:tx>
            <c:strRef>
              <c:f>'GRAFICAS PYG'!$H$163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PYG'!$H$164:$H$178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C955-4C36-9956-AAF225B5BDBB}"/>
            </c:ext>
          </c:extLst>
        </c:ser>
        <c:ser>
          <c:idx val="6"/>
          <c:order val="6"/>
          <c:tx>
            <c:strRef>
              <c:f>'GRAFICAS PYG'!$I$163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'GRAFICAS PYG'!$B$164:$B$178</c:f>
              <c:numCache>
                <c:formatCode>General</c:formatCode>
                <c:ptCount val="15"/>
              </c:numCache>
            </c:numRef>
          </c:cat>
          <c:val>
            <c:numRef>
              <c:f>'GRAFICAS PYG'!$I$164:$I$178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CB21-416F-B4A3-F764968A7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691712"/>
        <c:axId val="158693248"/>
      </c:barChart>
      <c:catAx>
        <c:axId val="1586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693248"/>
        <c:crosses val="autoZero"/>
        <c:auto val="1"/>
        <c:lblAlgn val="ctr"/>
        <c:lblOffset val="100"/>
        <c:noMultiLvlLbl val="0"/>
      </c:catAx>
      <c:valAx>
        <c:axId val="15869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</a:t>
            </a:r>
            <a:r>
              <a:rPr lang="es-CO" baseline="0"/>
              <a:t> FISCALES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PYG'!$C$44</c:f>
              <c:strCache>
                <c:ptCount val="1"/>
                <c:pt idx="0">
                  <c:v>VENTAS FISCALES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PYG'!$C$45:$C$56</c:f>
              <c:numCache>
                <c:formatCode>#,##0</c:formatCode>
                <c:ptCount val="12"/>
                <c:pt idx="0">
                  <c:v>2319055</c:v>
                </c:pt>
                <c:pt idx="1">
                  <c:v>2198885</c:v>
                </c:pt>
                <c:pt idx="2">
                  <c:v>5345924</c:v>
                </c:pt>
                <c:pt idx="3">
                  <c:v>5705085</c:v>
                </c:pt>
                <c:pt idx="4">
                  <c:v>6312190</c:v>
                </c:pt>
                <c:pt idx="5">
                  <c:v>5308821</c:v>
                </c:pt>
                <c:pt idx="6">
                  <c:v>1368000</c:v>
                </c:pt>
                <c:pt idx="7">
                  <c:v>1818800</c:v>
                </c:pt>
                <c:pt idx="8">
                  <c:v>2263580</c:v>
                </c:pt>
                <c:pt idx="9">
                  <c:v>3401625</c:v>
                </c:pt>
                <c:pt idx="10">
                  <c:v>2974890</c:v>
                </c:pt>
                <c:pt idx="11">
                  <c:v>3456110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2-42AF-AF18-B0119DD86242}"/>
            </c:ext>
          </c:extLst>
        </c:ser>
        <c:ser>
          <c:idx val="1"/>
          <c:order val="1"/>
          <c:tx>
            <c:strRef>
              <c:f>'GRAFICAS PYG'!$D$44</c:f>
              <c:strCache>
                <c:ptCount val="1"/>
                <c:pt idx="0">
                  <c:v>VENTAS FISCALES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PYG'!$D$45:$D$56</c:f>
              <c:numCache>
                <c:formatCode>#,##0</c:formatCode>
                <c:ptCount val="12"/>
                <c:pt idx="0">
                  <c:v>0</c:v>
                </c:pt>
                <c:pt idx="1">
                  <c:v>4332104</c:v>
                </c:pt>
                <c:pt idx="2">
                  <c:v>11179580</c:v>
                </c:pt>
                <c:pt idx="3">
                  <c:v>6476561</c:v>
                </c:pt>
                <c:pt idx="4">
                  <c:v>2948466</c:v>
                </c:pt>
                <c:pt idx="5">
                  <c:v>5460313</c:v>
                </c:pt>
                <c:pt idx="6">
                  <c:v>5032261</c:v>
                </c:pt>
                <c:pt idx="7">
                  <c:v>7904377</c:v>
                </c:pt>
                <c:pt idx="8">
                  <c:v>60811795</c:v>
                </c:pt>
                <c:pt idx="9">
                  <c:v>70303543</c:v>
                </c:pt>
                <c:pt idx="10">
                  <c:v>76691258</c:v>
                </c:pt>
                <c:pt idx="11">
                  <c:v>85652181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2-42AF-AF18-B0119DD86242}"/>
            </c:ext>
          </c:extLst>
        </c:ser>
        <c:ser>
          <c:idx val="2"/>
          <c:order val="2"/>
          <c:tx>
            <c:strRef>
              <c:f>'GRAFICAS PYG'!$E$44</c:f>
              <c:strCache>
                <c:ptCount val="1"/>
                <c:pt idx="0">
                  <c:v>VENTAS FISCALES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PYG'!$E$45:$E$56</c:f>
              <c:numCache>
                <c:formatCode>#,##0</c:formatCode>
                <c:ptCount val="12"/>
                <c:pt idx="0">
                  <c:v>6308768</c:v>
                </c:pt>
                <c:pt idx="1">
                  <c:v>3904163</c:v>
                </c:pt>
                <c:pt idx="2">
                  <c:v>6104727</c:v>
                </c:pt>
                <c:pt idx="3">
                  <c:v>4771392</c:v>
                </c:pt>
                <c:pt idx="4">
                  <c:v>3195437</c:v>
                </c:pt>
                <c:pt idx="5">
                  <c:v>3587643</c:v>
                </c:pt>
                <c:pt idx="6">
                  <c:v>5002298</c:v>
                </c:pt>
                <c:pt idx="7">
                  <c:v>6292782</c:v>
                </c:pt>
                <c:pt idx="8">
                  <c:v>9534674</c:v>
                </c:pt>
                <c:pt idx="9">
                  <c:v>8627180</c:v>
                </c:pt>
                <c:pt idx="10">
                  <c:v>9834611</c:v>
                </c:pt>
                <c:pt idx="11">
                  <c:v>6687564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2-42AF-AF18-B0119DD86242}"/>
            </c:ext>
          </c:extLst>
        </c:ser>
        <c:ser>
          <c:idx val="3"/>
          <c:order val="3"/>
          <c:tx>
            <c:strRef>
              <c:f>'GRAFICAS PYG'!$F$44</c:f>
              <c:strCache>
                <c:ptCount val="1"/>
                <c:pt idx="0">
                  <c:v>VENTAS FISCALES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PYG'!$F$45:$F$56</c:f>
              <c:numCache>
                <c:formatCode>#,##0</c:formatCode>
                <c:ptCount val="12"/>
                <c:pt idx="0">
                  <c:v>4088450</c:v>
                </c:pt>
                <c:pt idx="1">
                  <c:v>3444630</c:v>
                </c:pt>
                <c:pt idx="2">
                  <c:v>4294490</c:v>
                </c:pt>
                <c:pt idx="3">
                  <c:v>3094715</c:v>
                </c:pt>
                <c:pt idx="4">
                  <c:v>3036250</c:v>
                </c:pt>
                <c:pt idx="5">
                  <c:v>3220640</c:v>
                </c:pt>
                <c:pt idx="6">
                  <c:v>2982171</c:v>
                </c:pt>
                <c:pt idx="7">
                  <c:v>2259634</c:v>
                </c:pt>
                <c:pt idx="8">
                  <c:v>4199993</c:v>
                </c:pt>
                <c:pt idx="9">
                  <c:v>5953903</c:v>
                </c:pt>
                <c:pt idx="10">
                  <c:v>3450527</c:v>
                </c:pt>
                <c:pt idx="11">
                  <c:v>3437926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32-42AF-AF18-B0119DD86242}"/>
            </c:ext>
          </c:extLst>
        </c:ser>
        <c:ser>
          <c:idx val="4"/>
          <c:order val="4"/>
          <c:tx>
            <c:strRef>
              <c:f>'GRAFICAS PYG'!$G$44</c:f>
              <c:strCache>
                <c:ptCount val="1"/>
                <c:pt idx="0">
                  <c:v>VENTAS FISCALES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PYG'!$G$45:$G$56</c:f>
              <c:numCache>
                <c:formatCode>#,##0</c:formatCode>
                <c:ptCount val="12"/>
                <c:pt idx="0">
                  <c:v>9772741</c:v>
                </c:pt>
                <c:pt idx="1">
                  <c:v>8662267</c:v>
                </c:pt>
                <c:pt idx="2">
                  <c:v>11213082</c:v>
                </c:pt>
                <c:pt idx="3">
                  <c:v>109000</c:v>
                </c:pt>
                <c:pt idx="4">
                  <c:v>0</c:v>
                </c:pt>
                <c:pt idx="5">
                  <c:v>15088775</c:v>
                </c:pt>
                <c:pt idx="6">
                  <c:v>5107405</c:v>
                </c:pt>
                <c:pt idx="7">
                  <c:v>4348355</c:v>
                </c:pt>
                <c:pt idx="8">
                  <c:v>5343486</c:v>
                </c:pt>
                <c:pt idx="9">
                  <c:v>5206920</c:v>
                </c:pt>
                <c:pt idx="10">
                  <c:v>4539945</c:v>
                </c:pt>
                <c:pt idx="11">
                  <c:v>5671900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32-42AF-AF18-B0119DD86242}"/>
            </c:ext>
          </c:extLst>
        </c:ser>
        <c:ser>
          <c:idx val="5"/>
          <c:order val="5"/>
          <c:tx>
            <c:strRef>
              <c:f>'GRAFICAS PYG'!$H$44</c:f>
              <c:strCache>
                <c:ptCount val="1"/>
                <c:pt idx="0">
                  <c:v>VENTAS FISCALES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PYG'!$H$45:$H$56</c:f>
              <c:numCache>
                <c:formatCode>#,##0</c:formatCode>
                <c:ptCount val="12"/>
                <c:pt idx="0">
                  <c:v>5232922</c:v>
                </c:pt>
                <c:pt idx="1">
                  <c:v>6735984</c:v>
                </c:pt>
                <c:pt idx="2">
                  <c:v>4072345</c:v>
                </c:pt>
                <c:pt idx="3">
                  <c:v>8902568</c:v>
                </c:pt>
                <c:pt idx="4">
                  <c:v>4831245</c:v>
                </c:pt>
                <c:pt idx="5">
                  <c:v>2541098</c:v>
                </c:pt>
                <c:pt idx="6">
                  <c:v>2060928</c:v>
                </c:pt>
                <c:pt idx="7">
                  <c:v>722060</c:v>
                </c:pt>
                <c:pt idx="8">
                  <c:v>1921510</c:v>
                </c:pt>
                <c:pt idx="9">
                  <c:v>1940050</c:v>
                </c:pt>
                <c:pt idx="10">
                  <c:v>6096979</c:v>
                </c:pt>
                <c:pt idx="11">
                  <c:v>10802895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32-42AF-AF18-B0119DD86242}"/>
            </c:ext>
          </c:extLst>
        </c:ser>
        <c:ser>
          <c:idx val="6"/>
          <c:order val="6"/>
          <c:tx>
            <c:strRef>
              <c:f>'GRAFICAS PYG'!$I$44</c:f>
              <c:strCache>
                <c:ptCount val="1"/>
                <c:pt idx="0">
                  <c:v>VENTAS FISCALES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PYG'!$I$45:$I$56</c:f>
              <c:numCache>
                <c:formatCode>#,##0</c:formatCode>
                <c:ptCount val="12"/>
                <c:pt idx="0">
                  <c:v>20519674</c:v>
                </c:pt>
                <c:pt idx="1">
                  <c:v>347610</c:v>
                </c:pt>
                <c:pt idx="2">
                  <c:v>245528</c:v>
                </c:pt>
                <c:pt idx="3">
                  <c:v>311788</c:v>
                </c:pt>
                <c:pt idx="4">
                  <c:v>2070588</c:v>
                </c:pt>
                <c:pt idx="5">
                  <c:v>4186225</c:v>
                </c:pt>
                <c:pt idx="6">
                  <c:v>3502320</c:v>
                </c:pt>
                <c:pt idx="7">
                  <c:v>13456626</c:v>
                </c:pt>
                <c:pt idx="8">
                  <c:v>0</c:v>
                </c:pt>
                <c:pt idx="9">
                  <c:v>11000000</c:v>
                </c:pt>
                <c:pt idx="10">
                  <c:v>12000000</c:v>
                </c:pt>
                <c:pt idx="11">
                  <c:v>13000000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32-42AF-AF18-B0119DD86242}"/>
            </c:ext>
          </c:extLst>
        </c:ser>
        <c:ser>
          <c:idx val="7"/>
          <c:order val="7"/>
          <c:tx>
            <c:strRef>
              <c:f>'GRAFICAS PYG'!$J$44</c:f>
              <c:strCache>
                <c:ptCount val="1"/>
                <c:pt idx="0">
                  <c:v>VENTAS FISCALES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PYG'!$B$45:$B$56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PYG'!$J$45:$J$56</c:f>
              <c:numCache>
                <c:formatCode>#,##0</c:formatCode>
                <c:ptCount val="12"/>
                <c:pt idx="0">
                  <c:v>4068398</c:v>
                </c:pt>
                <c:pt idx="1">
                  <c:v>3781685</c:v>
                </c:pt>
                <c:pt idx="2">
                  <c:v>3264345</c:v>
                </c:pt>
                <c:pt idx="3">
                  <c:v>5714524</c:v>
                </c:pt>
                <c:pt idx="4">
                  <c:v>1563099</c:v>
                </c:pt>
                <c:pt idx="5">
                  <c:v>2504537</c:v>
                </c:pt>
                <c:pt idx="6">
                  <c:v>14376812</c:v>
                </c:pt>
                <c:pt idx="7">
                  <c:v>9843168</c:v>
                </c:pt>
                <c:pt idx="8">
                  <c:v>6807513</c:v>
                </c:pt>
                <c:pt idx="9">
                  <c:v>3921439</c:v>
                </c:pt>
                <c:pt idx="10">
                  <c:v>2545390</c:v>
                </c:pt>
                <c:pt idx="11">
                  <c:v>68513641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32-42AF-AF18-B0119DD86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043088"/>
        <c:axId val="807043568"/>
      </c:barChart>
      <c:catAx>
        <c:axId val="8070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043568"/>
        <c:crosses val="autoZero"/>
        <c:auto val="1"/>
        <c:lblAlgn val="ctr"/>
        <c:lblOffset val="100"/>
        <c:noMultiLvlLbl val="0"/>
      </c:catAx>
      <c:valAx>
        <c:axId val="80704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0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NO FISCALES</a:t>
            </a:r>
          </a:p>
        </c:rich>
      </c:tx>
      <c:layout>
        <c:manualLayout>
          <c:xMode val="edge"/>
          <c:yMode val="edge"/>
          <c:x val="0.7180137795275590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8879899387576554"/>
          <c:y val="0.12078703703703704"/>
          <c:w val="0.80158573928258969"/>
          <c:h val="0.32965733449985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'GRAFICAS PYG'!$C$70</c:f>
              <c:strCache>
                <c:ptCount val="1"/>
                <c:pt idx="0">
                  <c:v>VENTAS SIN IVA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PYG'!$C$71:$C$84</c:f>
              <c:numCache>
                <c:formatCode>#,##0</c:formatCode>
                <c:ptCount val="14"/>
                <c:pt idx="0">
                  <c:v>5070435</c:v>
                </c:pt>
                <c:pt idx="1">
                  <c:v>6521782</c:v>
                </c:pt>
                <c:pt idx="2">
                  <c:v>6934538</c:v>
                </c:pt>
                <c:pt idx="3">
                  <c:v>11902051</c:v>
                </c:pt>
                <c:pt idx="4">
                  <c:v>5781805</c:v>
                </c:pt>
                <c:pt idx="5">
                  <c:v>3102603</c:v>
                </c:pt>
                <c:pt idx="6">
                  <c:v>4934884</c:v>
                </c:pt>
                <c:pt idx="7">
                  <c:v>13355048</c:v>
                </c:pt>
                <c:pt idx="8">
                  <c:v>12223256</c:v>
                </c:pt>
                <c:pt idx="9">
                  <c:v>12732697</c:v>
                </c:pt>
                <c:pt idx="10">
                  <c:v>10221753</c:v>
                </c:pt>
                <c:pt idx="11">
                  <c:v>10979454</c:v>
                </c:pt>
                <c:pt idx="13" formatCode="&quot;$&quot;#,##0.00;\-&quot;$&quot;#,##0.00">
                  <c:v>103760306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D-4278-875F-0E8B972747C9}"/>
            </c:ext>
          </c:extLst>
        </c:ser>
        <c:ser>
          <c:idx val="1"/>
          <c:order val="1"/>
          <c:tx>
            <c:strRef>
              <c:f>'GRAFICAS PYG'!$D$70</c:f>
              <c:strCache>
                <c:ptCount val="1"/>
                <c:pt idx="0">
                  <c:v>VENTAS SIN IVA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PYG'!$D$71:$D$84</c:f>
              <c:numCache>
                <c:formatCode>#,##0</c:formatCode>
                <c:ptCount val="14"/>
                <c:pt idx="0">
                  <c:v>4878660</c:v>
                </c:pt>
                <c:pt idx="1">
                  <c:v>4693673</c:v>
                </c:pt>
                <c:pt idx="2">
                  <c:v>12062967</c:v>
                </c:pt>
                <c:pt idx="3">
                  <c:v>13101458</c:v>
                </c:pt>
                <c:pt idx="4">
                  <c:v>11011958</c:v>
                </c:pt>
                <c:pt idx="5">
                  <c:v>9771991</c:v>
                </c:pt>
                <c:pt idx="6">
                  <c:v>5870486</c:v>
                </c:pt>
                <c:pt idx="7">
                  <c:v>7730780</c:v>
                </c:pt>
                <c:pt idx="8">
                  <c:v>12500720</c:v>
                </c:pt>
                <c:pt idx="9">
                  <c:v>7560400</c:v>
                </c:pt>
                <c:pt idx="10">
                  <c:v>7355430</c:v>
                </c:pt>
                <c:pt idx="11">
                  <c:v>8377765</c:v>
                </c:pt>
                <c:pt idx="13" formatCode="&quot;$&quot;#,##0.00;\-&quot;$&quot;#,##0.00">
                  <c:v>104916288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D-4278-875F-0E8B972747C9}"/>
            </c:ext>
          </c:extLst>
        </c:ser>
        <c:ser>
          <c:idx val="2"/>
          <c:order val="2"/>
          <c:tx>
            <c:strRef>
              <c:f>'GRAFICAS PYG'!$E$70</c:f>
              <c:strCache>
                <c:ptCount val="1"/>
                <c:pt idx="0">
                  <c:v>VENTAS SIN IVA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PYG'!$E$71:$E$84</c:f>
              <c:numCache>
                <c:formatCode>#,##0</c:formatCode>
                <c:ptCount val="14"/>
                <c:pt idx="0">
                  <c:v>3100823</c:v>
                </c:pt>
                <c:pt idx="1">
                  <c:v>7094524</c:v>
                </c:pt>
                <c:pt idx="2">
                  <c:v>11156171</c:v>
                </c:pt>
                <c:pt idx="3">
                  <c:v>11179990</c:v>
                </c:pt>
                <c:pt idx="4">
                  <c:v>9141636</c:v>
                </c:pt>
                <c:pt idx="5">
                  <c:v>6890613</c:v>
                </c:pt>
                <c:pt idx="6">
                  <c:v>8564817</c:v>
                </c:pt>
                <c:pt idx="7">
                  <c:v>12002561</c:v>
                </c:pt>
                <c:pt idx="8">
                  <c:v>8694467</c:v>
                </c:pt>
                <c:pt idx="9">
                  <c:v>6596990</c:v>
                </c:pt>
                <c:pt idx="10">
                  <c:v>10351450</c:v>
                </c:pt>
                <c:pt idx="11">
                  <c:v>10009636</c:v>
                </c:pt>
                <c:pt idx="13" formatCode="&quot;$&quot;#,##0.00;\-&quot;$&quot;#,##0.00">
                  <c:v>104783678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D-4278-875F-0E8B972747C9}"/>
            </c:ext>
          </c:extLst>
        </c:ser>
        <c:ser>
          <c:idx val="3"/>
          <c:order val="3"/>
          <c:tx>
            <c:strRef>
              <c:f>'GRAFICAS PYG'!$F$70</c:f>
              <c:strCache>
                <c:ptCount val="1"/>
                <c:pt idx="0">
                  <c:v>VENTAS SIN IVA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PYG'!$F$71:$F$84</c:f>
              <c:numCache>
                <c:formatCode>#,##0</c:formatCode>
                <c:ptCount val="14"/>
                <c:pt idx="0">
                  <c:v>5295548</c:v>
                </c:pt>
                <c:pt idx="1">
                  <c:v>6881543</c:v>
                </c:pt>
                <c:pt idx="2">
                  <c:v>7901560</c:v>
                </c:pt>
                <c:pt idx="3">
                  <c:v>10475785</c:v>
                </c:pt>
                <c:pt idx="4">
                  <c:v>9475619</c:v>
                </c:pt>
                <c:pt idx="5">
                  <c:v>14072478</c:v>
                </c:pt>
                <c:pt idx="6">
                  <c:v>7847354</c:v>
                </c:pt>
                <c:pt idx="7">
                  <c:v>10482068</c:v>
                </c:pt>
                <c:pt idx="8">
                  <c:v>12769758</c:v>
                </c:pt>
                <c:pt idx="9">
                  <c:v>11490263</c:v>
                </c:pt>
                <c:pt idx="10">
                  <c:v>13482352</c:v>
                </c:pt>
                <c:pt idx="11">
                  <c:v>8072834</c:v>
                </c:pt>
                <c:pt idx="13" formatCode="&quot;$&quot;#,##0.00;\-&quot;$&quot;#,##0.00">
                  <c:v>118247162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D-4278-875F-0E8B972747C9}"/>
            </c:ext>
          </c:extLst>
        </c:ser>
        <c:ser>
          <c:idx val="4"/>
          <c:order val="4"/>
          <c:tx>
            <c:strRef>
              <c:f>'GRAFICAS PYG'!$G$70</c:f>
              <c:strCache>
                <c:ptCount val="1"/>
                <c:pt idx="0">
                  <c:v>VENTAS SIN IVA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PYG'!$G$71:$G$84</c:f>
              <c:numCache>
                <c:formatCode>#,##0</c:formatCode>
                <c:ptCount val="14"/>
                <c:pt idx="0">
                  <c:v>4656136</c:v>
                </c:pt>
                <c:pt idx="1">
                  <c:v>7804429</c:v>
                </c:pt>
                <c:pt idx="2">
                  <c:v>5900305</c:v>
                </c:pt>
                <c:pt idx="3">
                  <c:v>121014</c:v>
                </c:pt>
                <c:pt idx="4">
                  <c:v>1804105</c:v>
                </c:pt>
                <c:pt idx="5">
                  <c:v>5883300</c:v>
                </c:pt>
                <c:pt idx="6">
                  <c:v>9069381</c:v>
                </c:pt>
                <c:pt idx="7">
                  <c:v>6862717</c:v>
                </c:pt>
                <c:pt idx="8">
                  <c:v>9114471</c:v>
                </c:pt>
                <c:pt idx="9">
                  <c:v>11912109.83</c:v>
                </c:pt>
                <c:pt idx="10">
                  <c:v>9403633</c:v>
                </c:pt>
                <c:pt idx="11">
                  <c:v>11129725</c:v>
                </c:pt>
                <c:pt idx="13" formatCode="&quot;$&quot;#,##0.00;\-&quot;$&quot;#,##0.00">
                  <c:v>83661325.829999998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D-4278-875F-0E8B972747C9}"/>
            </c:ext>
          </c:extLst>
        </c:ser>
        <c:ser>
          <c:idx val="5"/>
          <c:order val="5"/>
          <c:tx>
            <c:strRef>
              <c:f>'GRAFICAS PYG'!$H$70</c:f>
              <c:strCache>
                <c:ptCount val="1"/>
                <c:pt idx="0">
                  <c:v>VENTAS SIN IVA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PYG'!$H$71:$H$84</c:f>
              <c:numCache>
                <c:formatCode>#,##0</c:formatCode>
                <c:ptCount val="14"/>
                <c:pt idx="0">
                  <c:v>7998115</c:v>
                </c:pt>
                <c:pt idx="1">
                  <c:v>4974355</c:v>
                </c:pt>
                <c:pt idx="2">
                  <c:v>7130437</c:v>
                </c:pt>
                <c:pt idx="3">
                  <c:v>6001004</c:v>
                </c:pt>
                <c:pt idx="4">
                  <c:v>7419178</c:v>
                </c:pt>
                <c:pt idx="5">
                  <c:v>6384585</c:v>
                </c:pt>
                <c:pt idx="6">
                  <c:v>4374077</c:v>
                </c:pt>
                <c:pt idx="7">
                  <c:v>8088583</c:v>
                </c:pt>
                <c:pt idx="8">
                  <c:v>5761435</c:v>
                </c:pt>
                <c:pt idx="9">
                  <c:v>5903667</c:v>
                </c:pt>
                <c:pt idx="10">
                  <c:v>6953987</c:v>
                </c:pt>
                <c:pt idx="11">
                  <c:v>3580427</c:v>
                </c:pt>
                <c:pt idx="13" formatCode="&quot;$&quot;#,##0.00;\-&quot;$&quot;#,##0.00">
                  <c:v>74569850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CD-4278-875F-0E8B972747C9}"/>
            </c:ext>
          </c:extLst>
        </c:ser>
        <c:ser>
          <c:idx val="6"/>
          <c:order val="6"/>
          <c:tx>
            <c:strRef>
              <c:f>'GRAFICAS PYG'!$I$70</c:f>
              <c:strCache>
                <c:ptCount val="1"/>
                <c:pt idx="0">
                  <c:v>VENTAS SIN IVA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PYG'!$I$71:$I$84</c:f>
              <c:numCache>
                <c:formatCode>#,##0</c:formatCode>
                <c:ptCount val="14"/>
                <c:pt idx="0">
                  <c:v>5489862</c:v>
                </c:pt>
                <c:pt idx="1">
                  <c:v>7374328</c:v>
                </c:pt>
                <c:pt idx="2">
                  <c:v>5439456</c:v>
                </c:pt>
                <c:pt idx="3">
                  <c:v>7142915</c:v>
                </c:pt>
                <c:pt idx="4">
                  <c:v>5721041</c:v>
                </c:pt>
                <c:pt idx="5">
                  <c:v>4021740</c:v>
                </c:pt>
                <c:pt idx="6">
                  <c:v>1959742</c:v>
                </c:pt>
                <c:pt idx="7">
                  <c:v>4820282</c:v>
                </c:pt>
                <c:pt idx="8">
                  <c:v>6035931</c:v>
                </c:pt>
                <c:pt idx="9">
                  <c:v>10697305</c:v>
                </c:pt>
                <c:pt idx="10">
                  <c:v>7259988</c:v>
                </c:pt>
                <c:pt idx="11">
                  <c:v>8230584</c:v>
                </c:pt>
                <c:pt idx="13" formatCode="&quot;$&quot;#,##0.00;\-&quot;$&quot;#,##0.00">
                  <c:v>74193174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D-4278-875F-0E8B972747C9}"/>
            </c:ext>
          </c:extLst>
        </c:ser>
        <c:ser>
          <c:idx val="7"/>
          <c:order val="7"/>
          <c:tx>
            <c:strRef>
              <c:f>'GRAFICAS PYG'!$J$70</c:f>
              <c:strCache>
                <c:ptCount val="1"/>
                <c:pt idx="0">
                  <c:v>VENTAS SIN IVA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PYG'!$B$71:$B$84</c:f>
              <c:strCache>
                <c:ptCount val="14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 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3">
                  <c:v>TOTAL </c:v>
                </c:pt>
              </c:strCache>
            </c:strRef>
          </c:cat>
          <c:val>
            <c:numRef>
              <c:f>'GRAFICAS PYG'!$J$71:$J$84</c:f>
              <c:numCache>
                <c:formatCode>#,##0</c:formatCode>
                <c:ptCount val="14"/>
                <c:pt idx="0">
                  <c:v>3111549</c:v>
                </c:pt>
                <c:pt idx="1">
                  <c:v>8157506</c:v>
                </c:pt>
                <c:pt idx="2">
                  <c:v>5780617</c:v>
                </c:pt>
                <c:pt idx="3">
                  <c:v>5636163</c:v>
                </c:pt>
                <c:pt idx="4">
                  <c:v>13796936</c:v>
                </c:pt>
                <c:pt idx="5">
                  <c:v>6565667</c:v>
                </c:pt>
                <c:pt idx="6">
                  <c:v>6138041</c:v>
                </c:pt>
                <c:pt idx="7">
                  <c:v>5449400</c:v>
                </c:pt>
                <c:pt idx="8">
                  <c:v>6941815</c:v>
                </c:pt>
                <c:pt idx="9">
                  <c:v>5541550</c:v>
                </c:pt>
                <c:pt idx="10">
                  <c:v>6901480</c:v>
                </c:pt>
                <c:pt idx="11">
                  <c:v>7106144</c:v>
                </c:pt>
                <c:pt idx="13" formatCode="&quot;$&quot;#,##0.00;\-&quot;$&quot;#,##0.00">
                  <c:v>81126868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CD-4278-875F-0E8B97274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251999"/>
        <c:axId val="855251039"/>
      </c:barChart>
      <c:catAx>
        <c:axId val="8552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5251039"/>
        <c:crosses val="autoZero"/>
        <c:auto val="1"/>
        <c:lblAlgn val="ctr"/>
        <c:lblOffset val="100"/>
        <c:noMultiLvlLbl val="0"/>
      </c:catAx>
      <c:valAx>
        <c:axId val="8552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52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PYG'!$C$103</c:f>
              <c:strCache>
                <c:ptCount val="1"/>
                <c:pt idx="0">
                  <c:v>GASTOS 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PYG'!$C$104:$C$115</c:f>
              <c:numCache>
                <c:formatCode>#,##0</c:formatCode>
                <c:ptCount val="12"/>
                <c:pt idx="0">
                  <c:v>9947041</c:v>
                </c:pt>
                <c:pt idx="1">
                  <c:v>13136716</c:v>
                </c:pt>
                <c:pt idx="2">
                  <c:v>11222287.82</c:v>
                </c:pt>
                <c:pt idx="3">
                  <c:v>13880419</c:v>
                </c:pt>
                <c:pt idx="4">
                  <c:v>12971414</c:v>
                </c:pt>
                <c:pt idx="5">
                  <c:v>10918657</c:v>
                </c:pt>
                <c:pt idx="6">
                  <c:v>11152404</c:v>
                </c:pt>
                <c:pt idx="7">
                  <c:v>11530628</c:v>
                </c:pt>
                <c:pt idx="8">
                  <c:v>14014468</c:v>
                </c:pt>
                <c:pt idx="9">
                  <c:v>14110605</c:v>
                </c:pt>
                <c:pt idx="10">
                  <c:v>12084858.1</c:v>
                </c:pt>
                <c:pt idx="11">
                  <c:v>14343828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7-467A-BB53-73AA1CFEA44F}"/>
            </c:ext>
          </c:extLst>
        </c:ser>
        <c:ser>
          <c:idx val="1"/>
          <c:order val="1"/>
          <c:tx>
            <c:strRef>
              <c:f>'GRAFICAS PYG'!$D$103</c:f>
              <c:strCache>
                <c:ptCount val="1"/>
                <c:pt idx="0">
                  <c:v>GASTOS 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PYG'!$D$104:$D$115</c:f>
              <c:numCache>
                <c:formatCode>#,##0</c:formatCode>
                <c:ptCount val="12"/>
                <c:pt idx="0">
                  <c:v>10152266</c:v>
                </c:pt>
                <c:pt idx="1">
                  <c:v>13410419</c:v>
                </c:pt>
                <c:pt idx="2">
                  <c:v>16907266</c:v>
                </c:pt>
                <c:pt idx="3">
                  <c:v>12557124</c:v>
                </c:pt>
                <c:pt idx="4">
                  <c:v>15171959</c:v>
                </c:pt>
                <c:pt idx="5">
                  <c:v>10729339</c:v>
                </c:pt>
                <c:pt idx="6">
                  <c:v>10792468</c:v>
                </c:pt>
                <c:pt idx="7">
                  <c:v>10381456</c:v>
                </c:pt>
                <c:pt idx="8">
                  <c:v>14685440</c:v>
                </c:pt>
                <c:pt idx="9">
                  <c:v>22974686</c:v>
                </c:pt>
                <c:pt idx="10">
                  <c:v>13205069</c:v>
                </c:pt>
                <c:pt idx="11">
                  <c:v>19716602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7-467A-BB53-73AA1CFEA44F}"/>
            </c:ext>
          </c:extLst>
        </c:ser>
        <c:ser>
          <c:idx val="2"/>
          <c:order val="2"/>
          <c:tx>
            <c:strRef>
              <c:f>'GRAFICAS PYG'!$E$103</c:f>
              <c:strCache>
                <c:ptCount val="1"/>
                <c:pt idx="0">
                  <c:v>GASTOS 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PYG'!$E$104:$E$115</c:f>
              <c:numCache>
                <c:formatCode>#,##0</c:formatCode>
                <c:ptCount val="12"/>
                <c:pt idx="0">
                  <c:v>8340075.4400000004</c:v>
                </c:pt>
                <c:pt idx="1">
                  <c:v>9969598</c:v>
                </c:pt>
                <c:pt idx="2">
                  <c:v>11403558</c:v>
                </c:pt>
                <c:pt idx="3">
                  <c:v>11689725</c:v>
                </c:pt>
                <c:pt idx="4">
                  <c:v>11286631</c:v>
                </c:pt>
                <c:pt idx="5">
                  <c:v>12304971</c:v>
                </c:pt>
                <c:pt idx="6">
                  <c:v>12624706</c:v>
                </c:pt>
                <c:pt idx="7">
                  <c:v>0</c:v>
                </c:pt>
                <c:pt idx="8">
                  <c:v>10423141</c:v>
                </c:pt>
                <c:pt idx="9">
                  <c:v>10630364</c:v>
                </c:pt>
                <c:pt idx="10">
                  <c:v>13793441</c:v>
                </c:pt>
                <c:pt idx="11">
                  <c:v>14685347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7-467A-BB53-73AA1CFEA44F}"/>
            </c:ext>
          </c:extLst>
        </c:ser>
        <c:ser>
          <c:idx val="3"/>
          <c:order val="3"/>
          <c:tx>
            <c:strRef>
              <c:f>'GRAFICAS PYG'!$F$103</c:f>
              <c:strCache>
                <c:ptCount val="1"/>
                <c:pt idx="0">
                  <c:v>GASTOS 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PYG'!$F$104:$F$115</c:f>
              <c:numCache>
                <c:formatCode>#,##0</c:formatCode>
                <c:ptCount val="12"/>
                <c:pt idx="0">
                  <c:v>9031235</c:v>
                </c:pt>
                <c:pt idx="1">
                  <c:v>12420337</c:v>
                </c:pt>
                <c:pt idx="2">
                  <c:v>13591375</c:v>
                </c:pt>
                <c:pt idx="3">
                  <c:v>17060981</c:v>
                </c:pt>
                <c:pt idx="4">
                  <c:v>11744516.633333333</c:v>
                </c:pt>
                <c:pt idx="5">
                  <c:v>12797380</c:v>
                </c:pt>
                <c:pt idx="6">
                  <c:v>13357892</c:v>
                </c:pt>
                <c:pt idx="7">
                  <c:v>12441445</c:v>
                </c:pt>
                <c:pt idx="8">
                  <c:v>14262071</c:v>
                </c:pt>
                <c:pt idx="9">
                  <c:v>11384483</c:v>
                </c:pt>
                <c:pt idx="10">
                  <c:v>9460840</c:v>
                </c:pt>
                <c:pt idx="11">
                  <c:v>10271878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A7-467A-BB53-73AA1CFEA44F}"/>
            </c:ext>
          </c:extLst>
        </c:ser>
        <c:ser>
          <c:idx val="4"/>
          <c:order val="4"/>
          <c:tx>
            <c:strRef>
              <c:f>'GRAFICAS PYG'!$G$103</c:f>
              <c:strCache>
                <c:ptCount val="1"/>
                <c:pt idx="0">
                  <c:v>GASTOS 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PYG'!$G$104:$G$115</c:f>
              <c:numCache>
                <c:formatCode>#,##0</c:formatCode>
                <c:ptCount val="12"/>
                <c:pt idx="0">
                  <c:v>11183760</c:v>
                </c:pt>
                <c:pt idx="1">
                  <c:v>13337610</c:v>
                </c:pt>
                <c:pt idx="2">
                  <c:v>10865138</c:v>
                </c:pt>
                <c:pt idx="3">
                  <c:v>8424882</c:v>
                </c:pt>
                <c:pt idx="4">
                  <c:v>10909925</c:v>
                </c:pt>
                <c:pt idx="5">
                  <c:v>12990071</c:v>
                </c:pt>
                <c:pt idx="6">
                  <c:v>11530572</c:v>
                </c:pt>
                <c:pt idx="7">
                  <c:v>11013798</c:v>
                </c:pt>
                <c:pt idx="8">
                  <c:v>11098718</c:v>
                </c:pt>
                <c:pt idx="9">
                  <c:v>14559398</c:v>
                </c:pt>
                <c:pt idx="10">
                  <c:v>15548745</c:v>
                </c:pt>
                <c:pt idx="11">
                  <c:v>12796951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A7-467A-BB53-73AA1CFEA44F}"/>
            </c:ext>
          </c:extLst>
        </c:ser>
        <c:ser>
          <c:idx val="5"/>
          <c:order val="5"/>
          <c:tx>
            <c:strRef>
              <c:f>'GRAFICAS PYG'!$H$103</c:f>
              <c:strCache>
                <c:ptCount val="1"/>
                <c:pt idx="0">
                  <c:v>GASTOS 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PYG'!$H$104:$H$115</c:f>
              <c:numCache>
                <c:formatCode>#,##0</c:formatCode>
                <c:ptCount val="12"/>
                <c:pt idx="0">
                  <c:v>8192569</c:v>
                </c:pt>
                <c:pt idx="1">
                  <c:v>8084721</c:v>
                </c:pt>
                <c:pt idx="2">
                  <c:v>8025783</c:v>
                </c:pt>
                <c:pt idx="3">
                  <c:v>11161681</c:v>
                </c:pt>
                <c:pt idx="4">
                  <c:v>10164486</c:v>
                </c:pt>
                <c:pt idx="5">
                  <c:v>8433671</c:v>
                </c:pt>
                <c:pt idx="6">
                  <c:v>8752682</c:v>
                </c:pt>
                <c:pt idx="7">
                  <c:v>10250005</c:v>
                </c:pt>
                <c:pt idx="8">
                  <c:v>12341540.75</c:v>
                </c:pt>
                <c:pt idx="9">
                  <c:v>13788360.75</c:v>
                </c:pt>
                <c:pt idx="10">
                  <c:v>12146150.75</c:v>
                </c:pt>
                <c:pt idx="11">
                  <c:v>9554095.75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A7-467A-BB53-73AA1CFEA44F}"/>
            </c:ext>
          </c:extLst>
        </c:ser>
        <c:ser>
          <c:idx val="6"/>
          <c:order val="6"/>
          <c:tx>
            <c:strRef>
              <c:f>'GRAFICAS PYG'!$I$103</c:f>
              <c:strCache>
                <c:ptCount val="1"/>
                <c:pt idx="0">
                  <c:v>GASTOS 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PYG'!$I$104:$I$115</c:f>
              <c:numCache>
                <c:formatCode>#,##0</c:formatCode>
                <c:ptCount val="12"/>
                <c:pt idx="0">
                  <c:v>7055307</c:v>
                </c:pt>
                <c:pt idx="1">
                  <c:v>8975623</c:v>
                </c:pt>
                <c:pt idx="2">
                  <c:v>9788704</c:v>
                </c:pt>
                <c:pt idx="3">
                  <c:v>9211395</c:v>
                </c:pt>
                <c:pt idx="4">
                  <c:v>8014528</c:v>
                </c:pt>
                <c:pt idx="5">
                  <c:v>7385244</c:v>
                </c:pt>
                <c:pt idx="6">
                  <c:v>7676064</c:v>
                </c:pt>
                <c:pt idx="7">
                  <c:v>9472439</c:v>
                </c:pt>
                <c:pt idx="8">
                  <c:v>16476675</c:v>
                </c:pt>
                <c:pt idx="9">
                  <c:v>10699836</c:v>
                </c:pt>
                <c:pt idx="10">
                  <c:v>12696365</c:v>
                </c:pt>
                <c:pt idx="11">
                  <c:v>8852048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A7-467A-BB53-73AA1CFEA44F}"/>
            </c:ext>
          </c:extLst>
        </c:ser>
        <c:ser>
          <c:idx val="7"/>
          <c:order val="7"/>
          <c:tx>
            <c:strRef>
              <c:f>'GRAFICAS PYG'!$J$103</c:f>
              <c:strCache>
                <c:ptCount val="1"/>
                <c:pt idx="0">
                  <c:v>GASTOS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PYG'!$B$104:$B$115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PYG'!$J$104:$J$115</c:f>
              <c:numCache>
                <c:formatCode>#,##0</c:formatCode>
                <c:ptCount val="12"/>
                <c:pt idx="0">
                  <c:v>10452832</c:v>
                </c:pt>
                <c:pt idx="1">
                  <c:v>8843670</c:v>
                </c:pt>
                <c:pt idx="2">
                  <c:v>8621927</c:v>
                </c:pt>
                <c:pt idx="3">
                  <c:v>6162384</c:v>
                </c:pt>
                <c:pt idx="4">
                  <c:v>10155182</c:v>
                </c:pt>
                <c:pt idx="5">
                  <c:v>14240736</c:v>
                </c:pt>
                <c:pt idx="6">
                  <c:v>10531315</c:v>
                </c:pt>
                <c:pt idx="7">
                  <c:v>10083753</c:v>
                </c:pt>
                <c:pt idx="8">
                  <c:v>13656658</c:v>
                </c:pt>
                <c:pt idx="9">
                  <c:v>12463405</c:v>
                </c:pt>
                <c:pt idx="10">
                  <c:v>13179987</c:v>
                </c:pt>
                <c:pt idx="11" formatCode="&quot;$&quot;#,##0.00_);\(&quot;$&quot;#,##0.00\)">
                  <c:v>27294325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A7-467A-BB53-73AA1CFE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262191"/>
        <c:axId val="1290270351"/>
      </c:barChart>
      <c:catAx>
        <c:axId val="129026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0270351"/>
        <c:crosses val="autoZero"/>
        <c:auto val="1"/>
        <c:lblAlgn val="ctr"/>
        <c:lblOffset val="100"/>
        <c:noMultiLvlLbl val="0"/>
      </c:catAx>
      <c:valAx>
        <c:axId val="12902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026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PYG'!$C$129</c:f>
              <c:strCache>
                <c:ptCount val="1"/>
                <c:pt idx="0">
                  <c:v>UTILIDAD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PYG'!$C$130:$C$141</c:f>
              <c:numCache>
                <c:formatCode>#,##0</c:formatCode>
                <c:ptCount val="12"/>
                <c:pt idx="0">
                  <c:v>-2557551</c:v>
                </c:pt>
                <c:pt idx="1">
                  <c:v>-4416049</c:v>
                </c:pt>
                <c:pt idx="2">
                  <c:v>1058174.1799999997</c:v>
                </c:pt>
                <c:pt idx="3">
                  <c:v>3726717</c:v>
                </c:pt>
                <c:pt idx="4">
                  <c:v>-877419</c:v>
                </c:pt>
                <c:pt idx="5">
                  <c:v>-2507233</c:v>
                </c:pt>
                <c:pt idx="6">
                  <c:v>-4849520</c:v>
                </c:pt>
                <c:pt idx="7">
                  <c:v>3643220</c:v>
                </c:pt>
                <c:pt idx="8">
                  <c:v>472368</c:v>
                </c:pt>
                <c:pt idx="9">
                  <c:v>2023717</c:v>
                </c:pt>
                <c:pt idx="10">
                  <c:v>1111784.9000000004</c:v>
                </c:pt>
                <c:pt idx="11">
                  <c:v>91736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5-416E-AF0B-D1817342D58D}"/>
            </c:ext>
          </c:extLst>
        </c:ser>
        <c:ser>
          <c:idx val="1"/>
          <c:order val="1"/>
          <c:tx>
            <c:strRef>
              <c:f>'GRAFICAS PYG'!$D$129</c:f>
              <c:strCache>
                <c:ptCount val="1"/>
                <c:pt idx="0">
                  <c:v>UTILIDAD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PYG'!$D$130:$D$141</c:f>
              <c:numCache>
                <c:formatCode>#,##0</c:formatCode>
                <c:ptCount val="12"/>
                <c:pt idx="0">
                  <c:v>-5273606</c:v>
                </c:pt>
                <c:pt idx="1">
                  <c:v>-4384642</c:v>
                </c:pt>
                <c:pt idx="2">
                  <c:v>6335281</c:v>
                </c:pt>
                <c:pt idx="3">
                  <c:v>7020895</c:v>
                </c:pt>
                <c:pt idx="4">
                  <c:v>-1211535</c:v>
                </c:pt>
                <c:pt idx="5">
                  <c:v>4502965</c:v>
                </c:pt>
                <c:pt idx="6">
                  <c:v>110279</c:v>
                </c:pt>
                <c:pt idx="7">
                  <c:v>5253701</c:v>
                </c:pt>
                <c:pt idx="8">
                  <c:v>9178135</c:v>
                </c:pt>
                <c:pt idx="9">
                  <c:v>-5922538</c:v>
                </c:pt>
                <c:pt idx="10">
                  <c:v>538076</c:v>
                </c:pt>
                <c:pt idx="11">
                  <c:v>-2377914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5-416E-AF0B-D1817342D58D}"/>
            </c:ext>
          </c:extLst>
        </c:ser>
        <c:ser>
          <c:idx val="2"/>
          <c:order val="2"/>
          <c:tx>
            <c:strRef>
              <c:f>'GRAFICAS PYG'!$E$129</c:f>
              <c:strCache>
                <c:ptCount val="1"/>
                <c:pt idx="0">
                  <c:v>UTILIDAD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PYG'!$E$130:$E$141</c:f>
              <c:numCache>
                <c:formatCode>#,##0</c:formatCode>
                <c:ptCount val="12"/>
                <c:pt idx="0">
                  <c:v>-1150802.4400000004</c:v>
                </c:pt>
                <c:pt idx="1">
                  <c:v>569556</c:v>
                </c:pt>
                <c:pt idx="2">
                  <c:v>4047103</c:v>
                </c:pt>
                <c:pt idx="3">
                  <c:v>2584980</c:v>
                </c:pt>
                <c:pt idx="4">
                  <c:v>891255</c:v>
                </c:pt>
                <c:pt idx="5">
                  <c:v>-2193718</c:v>
                </c:pt>
                <c:pt idx="6">
                  <c:v>-1077718</c:v>
                </c:pt>
                <c:pt idx="7">
                  <c:v>14262195</c:v>
                </c:pt>
                <c:pt idx="8">
                  <c:v>2471319</c:v>
                </c:pt>
                <c:pt idx="9">
                  <c:v>1920529</c:v>
                </c:pt>
                <c:pt idx="10">
                  <c:v>8536</c:v>
                </c:pt>
                <c:pt idx="11">
                  <c:v>-1237785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5-416E-AF0B-D1817342D58D}"/>
            </c:ext>
          </c:extLst>
        </c:ser>
        <c:ser>
          <c:idx val="3"/>
          <c:order val="3"/>
          <c:tx>
            <c:strRef>
              <c:f>'GRAFICAS PYG'!$F$129</c:f>
              <c:strCache>
                <c:ptCount val="1"/>
                <c:pt idx="0">
                  <c:v>UTILIDAD 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PYG'!$F$130:$F$141</c:f>
              <c:numCache>
                <c:formatCode>#,##0</c:formatCode>
                <c:ptCount val="12"/>
                <c:pt idx="0">
                  <c:v>352800</c:v>
                </c:pt>
                <c:pt idx="1">
                  <c:v>-2094164</c:v>
                </c:pt>
                <c:pt idx="2">
                  <c:v>-1395325</c:v>
                </c:pt>
                <c:pt idx="3">
                  <c:v>-3490481</c:v>
                </c:pt>
                <c:pt idx="4">
                  <c:v>767352.36666666716</c:v>
                </c:pt>
                <c:pt idx="5">
                  <c:v>4495738</c:v>
                </c:pt>
                <c:pt idx="6">
                  <c:v>-2527014</c:v>
                </c:pt>
                <c:pt idx="7">
                  <c:v>299710</c:v>
                </c:pt>
                <c:pt idx="8">
                  <c:v>2707680</c:v>
                </c:pt>
                <c:pt idx="9">
                  <c:v>6059683</c:v>
                </c:pt>
                <c:pt idx="10">
                  <c:v>7472128</c:v>
                </c:pt>
                <c:pt idx="11">
                  <c:v>1238971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5-416E-AF0B-D1817342D58D}"/>
            </c:ext>
          </c:extLst>
        </c:ser>
        <c:ser>
          <c:idx val="4"/>
          <c:order val="4"/>
          <c:tx>
            <c:strRef>
              <c:f>'GRAFICAS PYG'!$G$129</c:f>
              <c:strCache>
                <c:ptCount val="1"/>
                <c:pt idx="0">
                  <c:v>UTILIDAD 2020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PYG'!$G$130:$G$141</c:f>
              <c:numCache>
                <c:formatCode>#,##0</c:formatCode>
                <c:ptCount val="12"/>
                <c:pt idx="0">
                  <c:v>3245117</c:v>
                </c:pt>
                <c:pt idx="1">
                  <c:v>3129086</c:v>
                </c:pt>
                <c:pt idx="2">
                  <c:v>6248249</c:v>
                </c:pt>
                <c:pt idx="3">
                  <c:v>-8194868</c:v>
                </c:pt>
                <c:pt idx="4">
                  <c:v>-9105820</c:v>
                </c:pt>
                <c:pt idx="5">
                  <c:v>7982004</c:v>
                </c:pt>
                <c:pt idx="6">
                  <c:v>2646214</c:v>
                </c:pt>
                <c:pt idx="7">
                  <c:v>197274</c:v>
                </c:pt>
                <c:pt idx="8">
                  <c:v>3359239</c:v>
                </c:pt>
                <c:pt idx="9">
                  <c:v>2559631.8299999982</c:v>
                </c:pt>
                <c:pt idx="10">
                  <c:v>-1605167</c:v>
                </c:pt>
                <c:pt idx="11">
                  <c:v>4004674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15-416E-AF0B-D1817342D58D}"/>
            </c:ext>
          </c:extLst>
        </c:ser>
        <c:ser>
          <c:idx val="5"/>
          <c:order val="5"/>
          <c:tx>
            <c:strRef>
              <c:f>'GRAFICAS PYG'!$H$129</c:f>
              <c:strCache>
                <c:ptCount val="1"/>
                <c:pt idx="0">
                  <c:v>UTILIDAD 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PYG'!$H$130:$H$141</c:f>
              <c:numCache>
                <c:formatCode>#,##0</c:formatCode>
                <c:ptCount val="12"/>
                <c:pt idx="0">
                  <c:v>5038468</c:v>
                </c:pt>
                <c:pt idx="1">
                  <c:v>3625618</c:v>
                </c:pt>
                <c:pt idx="2">
                  <c:v>3176999</c:v>
                </c:pt>
                <c:pt idx="3">
                  <c:v>3741891</c:v>
                </c:pt>
                <c:pt idx="4">
                  <c:v>2085937</c:v>
                </c:pt>
                <c:pt idx="5">
                  <c:v>492012</c:v>
                </c:pt>
                <c:pt idx="6">
                  <c:v>-2317677</c:v>
                </c:pt>
                <c:pt idx="7">
                  <c:v>-1439362</c:v>
                </c:pt>
                <c:pt idx="8">
                  <c:v>-4658595.75</c:v>
                </c:pt>
                <c:pt idx="9">
                  <c:v>-5944643.75</c:v>
                </c:pt>
                <c:pt idx="10">
                  <c:v>904815.25</c:v>
                </c:pt>
                <c:pt idx="11">
                  <c:v>4829226.25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15-416E-AF0B-D1817342D58D}"/>
            </c:ext>
          </c:extLst>
        </c:ser>
        <c:ser>
          <c:idx val="6"/>
          <c:order val="6"/>
          <c:tx>
            <c:strRef>
              <c:f>'GRAFICAS PYG'!$I$129</c:f>
              <c:strCache>
                <c:ptCount val="1"/>
                <c:pt idx="0">
                  <c:v>UTILIDAD 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PYG'!$I$130:$I$141</c:f>
              <c:numCache>
                <c:formatCode>#,##0</c:formatCode>
                <c:ptCount val="12"/>
                <c:pt idx="0">
                  <c:v>18954229</c:v>
                </c:pt>
                <c:pt idx="1">
                  <c:v>-1253685</c:v>
                </c:pt>
                <c:pt idx="2">
                  <c:v>-4103720</c:v>
                </c:pt>
                <c:pt idx="3">
                  <c:v>-1756692</c:v>
                </c:pt>
                <c:pt idx="4">
                  <c:v>-222899</c:v>
                </c:pt>
                <c:pt idx="5">
                  <c:v>822721</c:v>
                </c:pt>
                <c:pt idx="6">
                  <c:v>-2214002</c:v>
                </c:pt>
                <c:pt idx="7">
                  <c:v>8804469</c:v>
                </c:pt>
                <c:pt idx="8">
                  <c:v>-10440744</c:v>
                </c:pt>
                <c:pt idx="9">
                  <c:v>4755101</c:v>
                </c:pt>
                <c:pt idx="10">
                  <c:v>-380592</c:v>
                </c:pt>
                <c:pt idx="11">
                  <c:v>5224186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15-416E-AF0B-D1817342D58D}"/>
            </c:ext>
          </c:extLst>
        </c:ser>
        <c:ser>
          <c:idx val="7"/>
          <c:order val="7"/>
          <c:tx>
            <c:strRef>
              <c:f>'GRAFICAS PYG'!$J$129</c:f>
              <c:strCache>
                <c:ptCount val="1"/>
                <c:pt idx="0">
                  <c:v>UTILIDAD  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'GRAFICAS PYG'!$B$130:$B$141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</c:v>
                </c:pt>
                <c:pt idx="3">
                  <c:v>ABRIL 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'GRAFICAS PYG'!$J$130:$J$141</c:f>
              <c:numCache>
                <c:formatCode>#,##0</c:formatCode>
                <c:ptCount val="12"/>
                <c:pt idx="0">
                  <c:v>-3272885</c:v>
                </c:pt>
                <c:pt idx="1">
                  <c:v>3095521</c:v>
                </c:pt>
                <c:pt idx="2">
                  <c:v>423035</c:v>
                </c:pt>
                <c:pt idx="3">
                  <c:v>5188303</c:v>
                </c:pt>
                <c:pt idx="4">
                  <c:v>5204853</c:v>
                </c:pt>
                <c:pt idx="5">
                  <c:v>-5170532</c:v>
                </c:pt>
                <c:pt idx="6">
                  <c:v>9983538</c:v>
                </c:pt>
                <c:pt idx="7">
                  <c:v>5208815</c:v>
                </c:pt>
                <c:pt idx="8">
                  <c:v>92670</c:v>
                </c:pt>
                <c:pt idx="9">
                  <c:v>-3000416</c:v>
                </c:pt>
                <c:pt idx="10">
                  <c:v>-3733117</c:v>
                </c:pt>
                <c:pt idx="11">
                  <c:v>48325460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15-416E-AF0B-D181734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181711"/>
        <c:axId val="884182671"/>
      </c:barChart>
      <c:catAx>
        <c:axId val="88418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182671"/>
        <c:crosses val="autoZero"/>
        <c:auto val="1"/>
        <c:lblAlgn val="ctr"/>
        <c:lblOffset val="100"/>
        <c:noMultiLvlLbl val="0"/>
      </c:catAx>
      <c:valAx>
        <c:axId val="8841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18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233361</xdr:colOff>
      <xdr:row>88</xdr:row>
      <xdr:rowOff>61912</xdr:rowOff>
    </xdr:from>
    <xdr:to>
      <xdr:col>40</xdr:col>
      <xdr:colOff>257175</xdr:colOff>
      <xdr:row>117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257174</xdr:colOff>
      <xdr:row>159</xdr:row>
      <xdr:rowOff>47624</xdr:rowOff>
    </xdr:from>
    <xdr:to>
      <xdr:col>38</xdr:col>
      <xdr:colOff>495300</xdr:colOff>
      <xdr:row>189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180975</xdr:colOff>
      <xdr:row>42</xdr:row>
      <xdr:rowOff>109537</xdr:rowOff>
    </xdr:from>
    <xdr:to>
      <xdr:col>15</xdr:col>
      <xdr:colOff>647700</xdr:colOff>
      <xdr:row>55</xdr:row>
      <xdr:rowOff>80962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54D225B-874F-4718-980B-984BE03F9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185737</xdr:colOff>
      <xdr:row>69</xdr:row>
      <xdr:rowOff>4762</xdr:rowOff>
    </xdr:from>
    <xdr:to>
      <xdr:col>15</xdr:col>
      <xdr:colOff>652462</xdr:colOff>
      <xdr:row>82</xdr:row>
      <xdr:rowOff>80962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EE1925A-B50E-ED7C-6611-86987881B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257175</xdr:colOff>
      <xdr:row>102</xdr:row>
      <xdr:rowOff>33337</xdr:rowOff>
    </xdr:from>
    <xdr:to>
      <xdr:col>15</xdr:col>
      <xdr:colOff>723900</xdr:colOff>
      <xdr:row>116</xdr:row>
      <xdr:rowOff>33337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00AC95C-B2E5-63A0-6D97-B2C7371DF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95250</xdr:colOff>
      <xdr:row>128</xdr:row>
      <xdr:rowOff>128587</xdr:rowOff>
    </xdr:from>
    <xdr:to>
      <xdr:col>15</xdr:col>
      <xdr:colOff>561975</xdr:colOff>
      <xdr:row>142</xdr:row>
      <xdr:rowOff>138112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194137B-6CB8-285E-6306-B46E98B3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INFORME%20P%20Y%20G%20ABRIL%2024%20(1).xlsx" TargetMode="External"/><Relationship Id="rId1" Type="http://schemas.openxmlformats.org/officeDocument/2006/relationships/externalLinkPath" Target="https://d.docs.live.net/Users/DELL/Downloads/INFORME%20P%20Y%20G%20ABRIL%202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us.EQUIORIENTE\Desktop\INFORMES%20CONTABLES%20EQUIORIENTE\INFORME%20P%20Y%20G%20DICIEMBRE%202023%20REUNION%20FINAL%20CON%20ANEXOS.xlsx" TargetMode="External"/><Relationship Id="rId1" Type="http://schemas.openxmlformats.org/officeDocument/2006/relationships/externalLinkPath" Target="file:///C:\Users\Janus.EQUIORIENTE\Desktop\INFORMES%20CONTABLES%20EQUIORIENTE\INFORME%20P%20Y%20G%20DICIEMBRE%202023%20REUNION%20FINAL%20CON%20ANEX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DIC "/>
      <sheetName val="pyg2023"/>
      <sheetName val="GRAFICAS PYG"/>
      <sheetName val="DISPONIBILIDAD EFECTIVO A 31 DI"/>
    </sheetNames>
    <sheetDataSet>
      <sheetData sheetId="0" refreshError="1"/>
      <sheetData sheetId="1" refreshError="1">
        <row r="8">
          <cell r="D8">
            <v>2319055</v>
          </cell>
          <cell r="H8">
            <v>2198885</v>
          </cell>
          <cell r="K8">
            <v>5345924</v>
          </cell>
          <cell r="N8">
            <v>5705085</v>
          </cell>
        </row>
        <row r="16">
          <cell r="D16">
            <v>5070435</v>
          </cell>
          <cell r="H16">
            <v>6521782</v>
          </cell>
          <cell r="K16">
            <v>6934538</v>
          </cell>
          <cell r="N16">
            <v>11902051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DIC "/>
      <sheetName val="pyg2023"/>
      <sheetName val="DEPREC"/>
      <sheetName val="GRAFICAS PYG"/>
      <sheetName val="DIST SOCIOS"/>
      <sheetName val="DISPONIBLE"/>
      <sheetName val="ANEXOS "/>
      <sheetName val="RETEF"/>
      <sheetName val="CXC DEB"/>
      <sheetName val="Hoja6"/>
      <sheetName val="Hoja4"/>
      <sheetName val="PUERTA ORO"/>
      <sheetName val="Hoja3"/>
      <sheetName val="ventas"/>
      <sheetName val="Hoja1"/>
    </sheetNames>
    <sheetDataSet>
      <sheetData sheetId="0"/>
      <sheetData sheetId="1">
        <row r="9">
          <cell r="AG9">
            <v>60811795</v>
          </cell>
          <cell r="AK9">
            <v>70303543</v>
          </cell>
          <cell r="AO9">
            <v>76691258</v>
          </cell>
          <cell r="AS9">
            <v>85652181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EF67-EC24-4487-A567-D6D0EF104488}">
  <sheetPr>
    <pageSetUpPr fitToPage="1"/>
  </sheetPr>
  <dimension ref="A1:L107"/>
  <sheetViews>
    <sheetView showOutlineSymbols="0" topLeftCell="A77" workbookViewId="0">
      <selection activeCell="G84" sqref="G84"/>
    </sheetView>
  </sheetViews>
  <sheetFormatPr baseColWidth="10" defaultColWidth="6.85546875" defaultRowHeight="15" x14ac:dyDescent="0.25"/>
  <cols>
    <col min="1" max="1" width="7.7109375" style="98" customWidth="1"/>
    <col min="2" max="2" width="10.42578125" style="98" customWidth="1"/>
    <col min="3" max="3" width="45" style="98" customWidth="1"/>
    <col min="4" max="4" width="15" style="98" customWidth="1"/>
    <col min="5" max="5" width="14" style="105" bestFit="1" customWidth="1"/>
    <col min="6" max="6" width="6.85546875" style="98"/>
    <col min="7" max="7" width="8.42578125" style="98" bestFit="1" customWidth="1"/>
    <col min="8" max="8" width="19.7109375" style="98" bestFit="1" customWidth="1"/>
    <col min="9" max="9" width="12.140625" style="98" customWidth="1"/>
    <col min="10" max="10" width="11.7109375" style="98" customWidth="1"/>
    <col min="11" max="11" width="13.85546875" style="98" customWidth="1"/>
    <col min="12" max="12" width="19.140625" style="98" customWidth="1"/>
    <col min="13" max="13" width="10" style="98" bestFit="1" customWidth="1"/>
    <col min="14" max="256" width="6.85546875" style="98"/>
    <col min="257" max="258" width="6" style="98" customWidth="1"/>
    <col min="259" max="259" width="38.140625" style="98" customWidth="1"/>
    <col min="260" max="260" width="15" style="98" customWidth="1"/>
    <col min="261" max="261" width="18.140625" style="98" customWidth="1"/>
    <col min="262" max="512" width="6.85546875" style="98"/>
    <col min="513" max="514" width="6" style="98" customWidth="1"/>
    <col min="515" max="515" width="38.140625" style="98" customWidth="1"/>
    <col min="516" max="516" width="15" style="98" customWidth="1"/>
    <col min="517" max="517" width="18.140625" style="98" customWidth="1"/>
    <col min="518" max="768" width="6.85546875" style="98"/>
    <col min="769" max="770" width="6" style="98" customWidth="1"/>
    <col min="771" max="771" width="38.140625" style="98" customWidth="1"/>
    <col min="772" max="772" width="15" style="98" customWidth="1"/>
    <col min="773" max="773" width="18.140625" style="98" customWidth="1"/>
    <col min="774" max="1024" width="6.85546875" style="98"/>
    <col min="1025" max="1026" width="6" style="98" customWidth="1"/>
    <col min="1027" max="1027" width="38.140625" style="98" customWidth="1"/>
    <col min="1028" max="1028" width="15" style="98" customWidth="1"/>
    <col min="1029" max="1029" width="18.140625" style="98" customWidth="1"/>
    <col min="1030" max="1280" width="6.85546875" style="98"/>
    <col min="1281" max="1282" width="6" style="98" customWidth="1"/>
    <col min="1283" max="1283" width="38.140625" style="98" customWidth="1"/>
    <col min="1284" max="1284" width="15" style="98" customWidth="1"/>
    <col min="1285" max="1285" width="18.140625" style="98" customWidth="1"/>
    <col min="1286" max="1536" width="6.85546875" style="98"/>
    <col min="1537" max="1538" width="6" style="98" customWidth="1"/>
    <col min="1539" max="1539" width="38.140625" style="98" customWidth="1"/>
    <col min="1540" max="1540" width="15" style="98" customWidth="1"/>
    <col min="1541" max="1541" width="18.140625" style="98" customWidth="1"/>
    <col min="1542" max="1792" width="6.85546875" style="98"/>
    <col min="1793" max="1794" width="6" style="98" customWidth="1"/>
    <col min="1795" max="1795" width="38.140625" style="98" customWidth="1"/>
    <col min="1796" max="1796" width="15" style="98" customWidth="1"/>
    <col min="1797" max="1797" width="18.140625" style="98" customWidth="1"/>
    <col min="1798" max="2048" width="6.85546875" style="98"/>
    <col min="2049" max="2050" width="6" style="98" customWidth="1"/>
    <col min="2051" max="2051" width="38.140625" style="98" customWidth="1"/>
    <col min="2052" max="2052" width="15" style="98" customWidth="1"/>
    <col min="2053" max="2053" width="18.140625" style="98" customWidth="1"/>
    <col min="2054" max="2304" width="6.85546875" style="98"/>
    <col min="2305" max="2306" width="6" style="98" customWidth="1"/>
    <col min="2307" max="2307" width="38.140625" style="98" customWidth="1"/>
    <col min="2308" max="2308" width="15" style="98" customWidth="1"/>
    <col min="2309" max="2309" width="18.140625" style="98" customWidth="1"/>
    <col min="2310" max="2560" width="6.85546875" style="98"/>
    <col min="2561" max="2562" width="6" style="98" customWidth="1"/>
    <col min="2563" max="2563" width="38.140625" style="98" customWidth="1"/>
    <col min="2564" max="2564" width="15" style="98" customWidth="1"/>
    <col min="2565" max="2565" width="18.140625" style="98" customWidth="1"/>
    <col min="2566" max="2816" width="6.85546875" style="98"/>
    <col min="2817" max="2818" width="6" style="98" customWidth="1"/>
    <col min="2819" max="2819" width="38.140625" style="98" customWidth="1"/>
    <col min="2820" max="2820" width="15" style="98" customWidth="1"/>
    <col min="2821" max="2821" width="18.140625" style="98" customWidth="1"/>
    <col min="2822" max="3072" width="6.85546875" style="98"/>
    <col min="3073" max="3074" width="6" style="98" customWidth="1"/>
    <col min="3075" max="3075" width="38.140625" style="98" customWidth="1"/>
    <col min="3076" max="3076" width="15" style="98" customWidth="1"/>
    <col min="3077" max="3077" width="18.140625" style="98" customWidth="1"/>
    <col min="3078" max="3328" width="6.85546875" style="98"/>
    <col min="3329" max="3330" width="6" style="98" customWidth="1"/>
    <col min="3331" max="3331" width="38.140625" style="98" customWidth="1"/>
    <col min="3332" max="3332" width="15" style="98" customWidth="1"/>
    <col min="3333" max="3333" width="18.140625" style="98" customWidth="1"/>
    <col min="3334" max="3584" width="6.85546875" style="98"/>
    <col min="3585" max="3586" width="6" style="98" customWidth="1"/>
    <col min="3587" max="3587" width="38.140625" style="98" customWidth="1"/>
    <col min="3588" max="3588" width="15" style="98" customWidth="1"/>
    <col min="3589" max="3589" width="18.140625" style="98" customWidth="1"/>
    <col min="3590" max="3840" width="6.85546875" style="98"/>
    <col min="3841" max="3842" width="6" style="98" customWidth="1"/>
    <col min="3843" max="3843" width="38.140625" style="98" customWidth="1"/>
    <col min="3844" max="3844" width="15" style="98" customWidth="1"/>
    <col min="3845" max="3845" width="18.140625" style="98" customWidth="1"/>
    <col min="3846" max="4096" width="6.85546875" style="98"/>
    <col min="4097" max="4098" width="6" style="98" customWidth="1"/>
    <col min="4099" max="4099" width="38.140625" style="98" customWidth="1"/>
    <col min="4100" max="4100" width="15" style="98" customWidth="1"/>
    <col min="4101" max="4101" width="18.140625" style="98" customWidth="1"/>
    <col min="4102" max="4352" width="6.85546875" style="98"/>
    <col min="4353" max="4354" width="6" style="98" customWidth="1"/>
    <col min="4355" max="4355" width="38.140625" style="98" customWidth="1"/>
    <col min="4356" max="4356" width="15" style="98" customWidth="1"/>
    <col min="4357" max="4357" width="18.140625" style="98" customWidth="1"/>
    <col min="4358" max="4608" width="6.85546875" style="98"/>
    <col min="4609" max="4610" width="6" style="98" customWidth="1"/>
    <col min="4611" max="4611" width="38.140625" style="98" customWidth="1"/>
    <col min="4612" max="4612" width="15" style="98" customWidth="1"/>
    <col min="4613" max="4613" width="18.140625" style="98" customWidth="1"/>
    <col min="4614" max="4864" width="6.85546875" style="98"/>
    <col min="4865" max="4866" width="6" style="98" customWidth="1"/>
    <col min="4867" max="4867" width="38.140625" style="98" customWidth="1"/>
    <col min="4868" max="4868" width="15" style="98" customWidth="1"/>
    <col min="4869" max="4869" width="18.140625" style="98" customWidth="1"/>
    <col min="4870" max="5120" width="6.85546875" style="98"/>
    <col min="5121" max="5122" width="6" style="98" customWidth="1"/>
    <col min="5123" max="5123" width="38.140625" style="98" customWidth="1"/>
    <col min="5124" max="5124" width="15" style="98" customWidth="1"/>
    <col min="5125" max="5125" width="18.140625" style="98" customWidth="1"/>
    <col min="5126" max="5376" width="6.85546875" style="98"/>
    <col min="5377" max="5378" width="6" style="98" customWidth="1"/>
    <col min="5379" max="5379" width="38.140625" style="98" customWidth="1"/>
    <col min="5380" max="5380" width="15" style="98" customWidth="1"/>
    <col min="5381" max="5381" width="18.140625" style="98" customWidth="1"/>
    <col min="5382" max="5632" width="6.85546875" style="98"/>
    <col min="5633" max="5634" width="6" style="98" customWidth="1"/>
    <col min="5635" max="5635" width="38.140625" style="98" customWidth="1"/>
    <col min="5636" max="5636" width="15" style="98" customWidth="1"/>
    <col min="5637" max="5637" width="18.140625" style="98" customWidth="1"/>
    <col min="5638" max="5888" width="6.85546875" style="98"/>
    <col min="5889" max="5890" width="6" style="98" customWidth="1"/>
    <col min="5891" max="5891" width="38.140625" style="98" customWidth="1"/>
    <col min="5892" max="5892" width="15" style="98" customWidth="1"/>
    <col min="5893" max="5893" width="18.140625" style="98" customWidth="1"/>
    <col min="5894" max="6144" width="6.85546875" style="98"/>
    <col min="6145" max="6146" width="6" style="98" customWidth="1"/>
    <col min="6147" max="6147" width="38.140625" style="98" customWidth="1"/>
    <col min="6148" max="6148" width="15" style="98" customWidth="1"/>
    <col min="6149" max="6149" width="18.140625" style="98" customWidth="1"/>
    <col min="6150" max="6400" width="6.85546875" style="98"/>
    <col min="6401" max="6402" width="6" style="98" customWidth="1"/>
    <col min="6403" max="6403" width="38.140625" style="98" customWidth="1"/>
    <col min="6404" max="6404" width="15" style="98" customWidth="1"/>
    <col min="6405" max="6405" width="18.140625" style="98" customWidth="1"/>
    <col min="6406" max="6656" width="6.85546875" style="98"/>
    <col min="6657" max="6658" width="6" style="98" customWidth="1"/>
    <col min="6659" max="6659" width="38.140625" style="98" customWidth="1"/>
    <col min="6660" max="6660" width="15" style="98" customWidth="1"/>
    <col min="6661" max="6661" width="18.140625" style="98" customWidth="1"/>
    <col min="6662" max="6912" width="6.85546875" style="98"/>
    <col min="6913" max="6914" width="6" style="98" customWidth="1"/>
    <col min="6915" max="6915" width="38.140625" style="98" customWidth="1"/>
    <col min="6916" max="6916" width="15" style="98" customWidth="1"/>
    <col min="6917" max="6917" width="18.140625" style="98" customWidth="1"/>
    <col min="6918" max="7168" width="6.85546875" style="98"/>
    <col min="7169" max="7170" width="6" style="98" customWidth="1"/>
    <col min="7171" max="7171" width="38.140625" style="98" customWidth="1"/>
    <col min="7172" max="7172" width="15" style="98" customWidth="1"/>
    <col min="7173" max="7173" width="18.140625" style="98" customWidth="1"/>
    <col min="7174" max="7424" width="6.85546875" style="98"/>
    <col min="7425" max="7426" width="6" style="98" customWidth="1"/>
    <col min="7427" max="7427" width="38.140625" style="98" customWidth="1"/>
    <col min="7428" max="7428" width="15" style="98" customWidth="1"/>
    <col min="7429" max="7429" width="18.140625" style="98" customWidth="1"/>
    <col min="7430" max="7680" width="6.85546875" style="98"/>
    <col min="7681" max="7682" width="6" style="98" customWidth="1"/>
    <col min="7683" max="7683" width="38.140625" style="98" customWidth="1"/>
    <col min="7684" max="7684" width="15" style="98" customWidth="1"/>
    <col min="7685" max="7685" width="18.140625" style="98" customWidth="1"/>
    <col min="7686" max="7936" width="6.85546875" style="98"/>
    <col min="7937" max="7938" width="6" style="98" customWidth="1"/>
    <col min="7939" max="7939" width="38.140625" style="98" customWidth="1"/>
    <col min="7940" max="7940" width="15" style="98" customWidth="1"/>
    <col min="7941" max="7941" width="18.140625" style="98" customWidth="1"/>
    <col min="7942" max="8192" width="6.85546875" style="98"/>
    <col min="8193" max="8194" width="6" style="98" customWidth="1"/>
    <col min="8195" max="8195" width="38.140625" style="98" customWidth="1"/>
    <col min="8196" max="8196" width="15" style="98" customWidth="1"/>
    <col min="8197" max="8197" width="18.140625" style="98" customWidth="1"/>
    <col min="8198" max="8448" width="6.85546875" style="98"/>
    <col min="8449" max="8450" width="6" style="98" customWidth="1"/>
    <col min="8451" max="8451" width="38.140625" style="98" customWidth="1"/>
    <col min="8452" max="8452" width="15" style="98" customWidth="1"/>
    <col min="8453" max="8453" width="18.140625" style="98" customWidth="1"/>
    <col min="8454" max="8704" width="6.85546875" style="98"/>
    <col min="8705" max="8706" width="6" style="98" customWidth="1"/>
    <col min="8707" max="8707" width="38.140625" style="98" customWidth="1"/>
    <col min="8708" max="8708" width="15" style="98" customWidth="1"/>
    <col min="8709" max="8709" width="18.140625" style="98" customWidth="1"/>
    <col min="8710" max="8960" width="6.85546875" style="98"/>
    <col min="8961" max="8962" width="6" style="98" customWidth="1"/>
    <col min="8963" max="8963" width="38.140625" style="98" customWidth="1"/>
    <col min="8964" max="8964" width="15" style="98" customWidth="1"/>
    <col min="8965" max="8965" width="18.140625" style="98" customWidth="1"/>
    <col min="8966" max="9216" width="6.85546875" style="98"/>
    <col min="9217" max="9218" width="6" style="98" customWidth="1"/>
    <col min="9219" max="9219" width="38.140625" style="98" customWidth="1"/>
    <col min="9220" max="9220" width="15" style="98" customWidth="1"/>
    <col min="9221" max="9221" width="18.140625" style="98" customWidth="1"/>
    <col min="9222" max="9472" width="6.85546875" style="98"/>
    <col min="9473" max="9474" width="6" style="98" customWidth="1"/>
    <col min="9475" max="9475" width="38.140625" style="98" customWidth="1"/>
    <col min="9476" max="9476" width="15" style="98" customWidth="1"/>
    <col min="9477" max="9477" width="18.140625" style="98" customWidth="1"/>
    <col min="9478" max="9728" width="6.85546875" style="98"/>
    <col min="9729" max="9730" width="6" style="98" customWidth="1"/>
    <col min="9731" max="9731" width="38.140625" style="98" customWidth="1"/>
    <col min="9732" max="9732" width="15" style="98" customWidth="1"/>
    <col min="9733" max="9733" width="18.140625" style="98" customWidth="1"/>
    <col min="9734" max="9984" width="6.85546875" style="98"/>
    <col min="9985" max="9986" width="6" style="98" customWidth="1"/>
    <col min="9987" max="9987" width="38.140625" style="98" customWidth="1"/>
    <col min="9988" max="9988" width="15" style="98" customWidth="1"/>
    <col min="9989" max="9989" width="18.140625" style="98" customWidth="1"/>
    <col min="9990" max="10240" width="6.85546875" style="98"/>
    <col min="10241" max="10242" width="6" style="98" customWidth="1"/>
    <col min="10243" max="10243" width="38.140625" style="98" customWidth="1"/>
    <col min="10244" max="10244" width="15" style="98" customWidth="1"/>
    <col min="10245" max="10245" width="18.140625" style="98" customWidth="1"/>
    <col min="10246" max="10496" width="6.85546875" style="98"/>
    <col min="10497" max="10498" width="6" style="98" customWidth="1"/>
    <col min="10499" max="10499" width="38.140625" style="98" customWidth="1"/>
    <col min="10500" max="10500" width="15" style="98" customWidth="1"/>
    <col min="10501" max="10501" width="18.140625" style="98" customWidth="1"/>
    <col min="10502" max="10752" width="6.85546875" style="98"/>
    <col min="10753" max="10754" width="6" style="98" customWidth="1"/>
    <col min="10755" max="10755" width="38.140625" style="98" customWidth="1"/>
    <col min="10756" max="10756" width="15" style="98" customWidth="1"/>
    <col min="10757" max="10757" width="18.140625" style="98" customWidth="1"/>
    <col min="10758" max="11008" width="6.85546875" style="98"/>
    <col min="11009" max="11010" width="6" style="98" customWidth="1"/>
    <col min="11011" max="11011" width="38.140625" style="98" customWidth="1"/>
    <col min="11012" max="11012" width="15" style="98" customWidth="1"/>
    <col min="11013" max="11013" width="18.140625" style="98" customWidth="1"/>
    <col min="11014" max="11264" width="6.85546875" style="98"/>
    <col min="11265" max="11266" width="6" style="98" customWidth="1"/>
    <col min="11267" max="11267" width="38.140625" style="98" customWidth="1"/>
    <col min="11268" max="11268" width="15" style="98" customWidth="1"/>
    <col min="11269" max="11269" width="18.140625" style="98" customWidth="1"/>
    <col min="11270" max="11520" width="6.85546875" style="98"/>
    <col min="11521" max="11522" width="6" style="98" customWidth="1"/>
    <col min="11523" max="11523" width="38.140625" style="98" customWidth="1"/>
    <col min="11524" max="11524" width="15" style="98" customWidth="1"/>
    <col min="11525" max="11525" width="18.140625" style="98" customWidth="1"/>
    <col min="11526" max="11776" width="6.85546875" style="98"/>
    <col min="11777" max="11778" width="6" style="98" customWidth="1"/>
    <col min="11779" max="11779" width="38.140625" style="98" customWidth="1"/>
    <col min="11780" max="11780" width="15" style="98" customWidth="1"/>
    <col min="11781" max="11781" width="18.140625" style="98" customWidth="1"/>
    <col min="11782" max="12032" width="6.85546875" style="98"/>
    <col min="12033" max="12034" width="6" style="98" customWidth="1"/>
    <col min="12035" max="12035" width="38.140625" style="98" customWidth="1"/>
    <col min="12036" max="12036" width="15" style="98" customWidth="1"/>
    <col min="12037" max="12037" width="18.140625" style="98" customWidth="1"/>
    <col min="12038" max="12288" width="6.85546875" style="98"/>
    <col min="12289" max="12290" width="6" style="98" customWidth="1"/>
    <col min="12291" max="12291" width="38.140625" style="98" customWidth="1"/>
    <col min="12292" max="12292" width="15" style="98" customWidth="1"/>
    <col min="12293" max="12293" width="18.140625" style="98" customWidth="1"/>
    <col min="12294" max="12544" width="6.85546875" style="98"/>
    <col min="12545" max="12546" width="6" style="98" customWidth="1"/>
    <col min="12547" max="12547" width="38.140625" style="98" customWidth="1"/>
    <col min="12548" max="12548" width="15" style="98" customWidth="1"/>
    <col min="12549" max="12549" width="18.140625" style="98" customWidth="1"/>
    <col min="12550" max="12800" width="6.85546875" style="98"/>
    <col min="12801" max="12802" width="6" style="98" customWidth="1"/>
    <col min="12803" max="12803" width="38.140625" style="98" customWidth="1"/>
    <col min="12804" max="12804" width="15" style="98" customWidth="1"/>
    <col min="12805" max="12805" width="18.140625" style="98" customWidth="1"/>
    <col min="12806" max="13056" width="6.85546875" style="98"/>
    <col min="13057" max="13058" width="6" style="98" customWidth="1"/>
    <col min="13059" max="13059" width="38.140625" style="98" customWidth="1"/>
    <col min="13060" max="13060" width="15" style="98" customWidth="1"/>
    <col min="13061" max="13061" width="18.140625" style="98" customWidth="1"/>
    <col min="13062" max="13312" width="6.85546875" style="98"/>
    <col min="13313" max="13314" width="6" style="98" customWidth="1"/>
    <col min="13315" max="13315" width="38.140625" style="98" customWidth="1"/>
    <col min="13316" max="13316" width="15" style="98" customWidth="1"/>
    <col min="13317" max="13317" width="18.140625" style="98" customWidth="1"/>
    <col min="13318" max="13568" width="6.85546875" style="98"/>
    <col min="13569" max="13570" width="6" style="98" customWidth="1"/>
    <col min="13571" max="13571" width="38.140625" style="98" customWidth="1"/>
    <col min="13572" max="13572" width="15" style="98" customWidth="1"/>
    <col min="13573" max="13573" width="18.140625" style="98" customWidth="1"/>
    <col min="13574" max="13824" width="6.85546875" style="98"/>
    <col min="13825" max="13826" width="6" style="98" customWidth="1"/>
    <col min="13827" max="13827" width="38.140625" style="98" customWidth="1"/>
    <col min="13828" max="13828" width="15" style="98" customWidth="1"/>
    <col min="13829" max="13829" width="18.140625" style="98" customWidth="1"/>
    <col min="13830" max="14080" width="6.85546875" style="98"/>
    <col min="14081" max="14082" width="6" style="98" customWidth="1"/>
    <col min="14083" max="14083" width="38.140625" style="98" customWidth="1"/>
    <col min="14084" max="14084" width="15" style="98" customWidth="1"/>
    <col min="14085" max="14085" width="18.140625" style="98" customWidth="1"/>
    <col min="14086" max="14336" width="6.85546875" style="98"/>
    <col min="14337" max="14338" width="6" style="98" customWidth="1"/>
    <col min="14339" max="14339" width="38.140625" style="98" customWidth="1"/>
    <col min="14340" max="14340" width="15" style="98" customWidth="1"/>
    <col min="14341" max="14341" width="18.140625" style="98" customWidth="1"/>
    <col min="14342" max="14592" width="6.85546875" style="98"/>
    <col min="14593" max="14594" width="6" style="98" customWidth="1"/>
    <col min="14595" max="14595" width="38.140625" style="98" customWidth="1"/>
    <col min="14596" max="14596" width="15" style="98" customWidth="1"/>
    <col min="14597" max="14597" width="18.140625" style="98" customWidth="1"/>
    <col min="14598" max="14848" width="6.85546875" style="98"/>
    <col min="14849" max="14850" width="6" style="98" customWidth="1"/>
    <col min="14851" max="14851" width="38.140625" style="98" customWidth="1"/>
    <col min="14852" max="14852" width="15" style="98" customWidth="1"/>
    <col min="14853" max="14853" width="18.140625" style="98" customWidth="1"/>
    <col min="14854" max="15104" width="6.85546875" style="98"/>
    <col min="15105" max="15106" width="6" style="98" customWidth="1"/>
    <col min="15107" max="15107" width="38.140625" style="98" customWidth="1"/>
    <col min="15108" max="15108" width="15" style="98" customWidth="1"/>
    <col min="15109" max="15109" width="18.140625" style="98" customWidth="1"/>
    <col min="15110" max="15360" width="6.85546875" style="98"/>
    <col min="15361" max="15362" width="6" style="98" customWidth="1"/>
    <col min="15363" max="15363" width="38.140625" style="98" customWidth="1"/>
    <col min="15364" max="15364" width="15" style="98" customWidth="1"/>
    <col min="15365" max="15365" width="18.140625" style="98" customWidth="1"/>
    <col min="15366" max="15616" width="6.85546875" style="98"/>
    <col min="15617" max="15618" width="6" style="98" customWidth="1"/>
    <col min="15619" max="15619" width="38.140625" style="98" customWidth="1"/>
    <col min="15620" max="15620" width="15" style="98" customWidth="1"/>
    <col min="15621" max="15621" width="18.140625" style="98" customWidth="1"/>
    <col min="15622" max="15872" width="6.85546875" style="98"/>
    <col min="15873" max="15874" width="6" style="98" customWidth="1"/>
    <col min="15875" max="15875" width="38.140625" style="98" customWidth="1"/>
    <col min="15876" max="15876" width="15" style="98" customWidth="1"/>
    <col min="15877" max="15877" width="18.140625" style="98" customWidth="1"/>
    <col min="15878" max="16128" width="6.85546875" style="98"/>
    <col min="16129" max="16130" width="6" style="98" customWidth="1"/>
    <col min="16131" max="16131" width="38.140625" style="98" customWidth="1"/>
    <col min="16132" max="16132" width="15" style="98" customWidth="1"/>
    <col min="16133" max="16133" width="18.140625" style="98" customWidth="1"/>
    <col min="16134" max="16384" width="6.85546875" style="98"/>
  </cols>
  <sheetData>
    <row r="1" spans="1:12" ht="16.5" customHeight="1" x14ac:dyDescent="0.25">
      <c r="A1" s="303" t="s">
        <v>340</v>
      </c>
      <c r="B1" s="303"/>
      <c r="C1" s="303"/>
      <c r="D1" s="303"/>
      <c r="E1" s="303"/>
      <c r="H1" s="83"/>
      <c r="I1" s="99"/>
      <c r="K1" s="113"/>
      <c r="L1" s="111"/>
    </row>
    <row r="2" spans="1:12" ht="13.5" customHeight="1" x14ac:dyDescent="0.25">
      <c r="A2" s="304" t="s">
        <v>106</v>
      </c>
      <c r="B2" s="304"/>
      <c r="C2" s="304"/>
      <c r="D2" s="304"/>
      <c r="E2" s="304"/>
      <c r="H2" s="83"/>
      <c r="I2" s="99"/>
      <c r="K2" s="113"/>
      <c r="L2" s="111"/>
    </row>
    <row r="3" spans="1:12" ht="20.25" customHeight="1" x14ac:dyDescent="0.25">
      <c r="A3" s="304" t="s">
        <v>343</v>
      </c>
      <c r="B3" s="304"/>
      <c r="C3" s="304"/>
      <c r="D3" s="304"/>
      <c r="E3" s="304"/>
      <c r="H3" s="83"/>
      <c r="I3" s="99"/>
      <c r="K3" s="113"/>
      <c r="L3" s="111"/>
    </row>
    <row r="4" spans="1:12" ht="14.25" customHeight="1" x14ac:dyDescent="0.25">
      <c r="H4" s="83"/>
      <c r="I4" s="99"/>
      <c r="K4" s="113"/>
      <c r="L4" s="111"/>
    </row>
    <row r="5" spans="1:12" ht="12.75" customHeight="1" x14ac:dyDescent="0.25">
      <c r="H5" s="83"/>
      <c r="I5" s="99"/>
      <c r="K5" s="113"/>
      <c r="L5" s="111"/>
    </row>
    <row r="6" spans="1:12" ht="12.75" customHeight="1" x14ac:dyDescent="0.25">
      <c r="A6" s="302" t="s">
        <v>107</v>
      </c>
      <c r="B6" s="302"/>
      <c r="C6" s="86" t="s">
        <v>108</v>
      </c>
      <c r="D6" s="86"/>
      <c r="E6" s="114"/>
      <c r="H6" s="83"/>
      <c r="I6" s="99"/>
      <c r="K6" s="113"/>
      <c r="L6" s="111"/>
    </row>
    <row r="7" spans="1:12" ht="9.9499999999999993" customHeight="1" x14ac:dyDescent="0.25">
      <c r="E7" s="85"/>
      <c r="K7" s="102"/>
      <c r="L7" s="102"/>
    </row>
    <row r="8" spans="1:12" ht="18.600000000000001" customHeight="1" x14ac:dyDescent="0.25">
      <c r="A8" s="301" t="s">
        <v>109</v>
      </c>
      <c r="B8" s="301"/>
      <c r="C8" s="87" t="s">
        <v>110</v>
      </c>
      <c r="D8" s="295"/>
      <c r="E8" s="115"/>
      <c r="K8" s="102"/>
      <c r="L8" s="102"/>
    </row>
    <row r="9" spans="1:12" ht="14.85" customHeight="1" x14ac:dyDescent="0.25">
      <c r="A9" s="299" t="s">
        <v>111</v>
      </c>
      <c r="B9" s="299"/>
      <c r="C9" s="84" t="s">
        <v>112</v>
      </c>
      <c r="D9" s="296"/>
      <c r="E9" s="115">
        <f>+D10</f>
        <v>24386159</v>
      </c>
      <c r="K9" s="102"/>
      <c r="L9" s="102"/>
    </row>
    <row r="10" spans="1:12" ht="17.649999999999999" customHeight="1" x14ac:dyDescent="0.25">
      <c r="A10" s="300" t="s">
        <v>113</v>
      </c>
      <c r="B10" s="300"/>
      <c r="C10" s="83" t="s">
        <v>114</v>
      </c>
      <c r="D10" s="103">
        <v>24386159</v>
      </c>
      <c r="E10" s="115"/>
      <c r="H10" s="294"/>
      <c r="I10" s="99"/>
      <c r="K10" s="113"/>
      <c r="L10" s="111"/>
    </row>
    <row r="11" spans="1:12" ht="17.649999999999999" customHeight="1" x14ac:dyDescent="0.25">
      <c r="A11" s="83"/>
      <c r="B11" s="83"/>
      <c r="C11" s="83"/>
      <c r="D11" s="99"/>
      <c r="E11" s="115"/>
      <c r="H11" s="101"/>
    </row>
    <row r="12" spans="1:12" ht="14.85" customHeight="1" x14ac:dyDescent="0.25">
      <c r="A12" s="299" t="s">
        <v>115</v>
      </c>
      <c r="B12" s="299"/>
      <c r="C12" s="84" t="s">
        <v>116</v>
      </c>
      <c r="D12" s="100"/>
      <c r="E12" s="115"/>
      <c r="H12" s="101"/>
    </row>
    <row r="13" spans="1:12" ht="12" customHeight="1" x14ac:dyDescent="0.25">
      <c r="A13" s="300" t="s">
        <v>117</v>
      </c>
      <c r="B13" s="300"/>
      <c r="C13" s="83" t="s">
        <v>118</v>
      </c>
      <c r="D13" s="99"/>
      <c r="E13" s="115">
        <f>+D14</f>
        <v>10438236</v>
      </c>
      <c r="H13" s="101"/>
      <c r="K13" s="107"/>
      <c r="L13" s="109"/>
    </row>
    <row r="14" spans="1:12" ht="14.85" customHeight="1" x14ac:dyDescent="0.25">
      <c r="A14" s="300" t="s">
        <v>119</v>
      </c>
      <c r="B14" s="300"/>
      <c r="C14" s="83" t="s">
        <v>120</v>
      </c>
      <c r="D14" s="103">
        <v>10438236</v>
      </c>
      <c r="E14" s="115"/>
      <c r="H14" s="67"/>
      <c r="J14" s="101"/>
      <c r="K14" s="107"/>
      <c r="L14" s="109"/>
    </row>
    <row r="15" spans="1:12" ht="14.85" customHeight="1" x14ac:dyDescent="0.25">
      <c r="A15" s="83"/>
      <c r="B15" s="83"/>
      <c r="C15" s="83"/>
      <c r="D15" s="99"/>
      <c r="E15" s="115"/>
      <c r="H15" s="67"/>
      <c r="J15" s="101"/>
      <c r="K15" s="107"/>
      <c r="L15" s="109"/>
    </row>
    <row r="16" spans="1:12" ht="15.75" customHeight="1" x14ac:dyDescent="0.25">
      <c r="A16" s="83"/>
      <c r="B16" s="83"/>
      <c r="C16" s="83"/>
      <c r="D16" s="99"/>
      <c r="E16" s="115"/>
      <c r="I16" s="115"/>
      <c r="K16" s="107"/>
      <c r="L16" s="109"/>
    </row>
    <row r="17" spans="1:12" ht="15.75" customHeight="1" x14ac:dyDescent="0.25">
      <c r="D17" s="99"/>
      <c r="E17" s="115"/>
      <c r="I17" s="115"/>
      <c r="K17" s="107"/>
      <c r="L17" s="109"/>
    </row>
    <row r="18" spans="1:12" ht="15.75" customHeight="1" x14ac:dyDescent="0.25">
      <c r="A18" s="301" t="s">
        <v>121</v>
      </c>
      <c r="B18" s="301"/>
      <c r="C18" s="87" t="s">
        <v>122</v>
      </c>
      <c r="D18" s="99"/>
      <c r="E18" s="115"/>
      <c r="I18" s="115"/>
      <c r="K18" s="107"/>
      <c r="L18" s="109"/>
    </row>
    <row r="19" spans="1:12" ht="15.75" customHeight="1" x14ac:dyDescent="0.25">
      <c r="A19" s="299" t="s">
        <v>268</v>
      </c>
      <c r="B19" s="299"/>
      <c r="C19" s="84" t="s">
        <v>123</v>
      </c>
      <c r="D19" s="99"/>
      <c r="E19" s="115">
        <f>+D20+D21+D22</f>
        <v>10456154</v>
      </c>
      <c r="I19" s="115"/>
      <c r="K19" s="107"/>
      <c r="L19" s="109"/>
    </row>
    <row r="20" spans="1:12" ht="15.75" customHeight="1" x14ac:dyDescent="0.25">
      <c r="A20" s="300" t="s">
        <v>124</v>
      </c>
      <c r="B20" s="300"/>
      <c r="C20" s="83" t="s">
        <v>125</v>
      </c>
      <c r="D20" s="99">
        <f>+CARTERA!D29</f>
        <v>3733796</v>
      </c>
      <c r="E20" s="115"/>
      <c r="I20" s="101"/>
      <c r="K20" s="107"/>
      <c r="L20" s="109"/>
    </row>
    <row r="21" spans="1:12" ht="15.75" customHeight="1" x14ac:dyDescent="0.25">
      <c r="A21" s="83">
        <v>130505</v>
      </c>
      <c r="B21" s="83"/>
      <c r="C21" s="83" t="s">
        <v>350</v>
      </c>
      <c r="D21" s="99">
        <f>+CARTERA!D16</f>
        <v>4343749</v>
      </c>
      <c r="E21" s="115"/>
      <c r="I21" s="101"/>
      <c r="K21" s="107"/>
      <c r="L21" s="109"/>
    </row>
    <row r="22" spans="1:12" ht="15.75" customHeight="1" x14ac:dyDescent="0.25">
      <c r="A22" s="83">
        <v>130505</v>
      </c>
      <c r="B22" s="83"/>
      <c r="C22" s="83" t="s">
        <v>384</v>
      </c>
      <c r="D22" s="99">
        <v>2378609</v>
      </c>
      <c r="E22" s="115"/>
      <c r="K22" s="107"/>
      <c r="L22" s="109"/>
    </row>
    <row r="23" spans="1:12" ht="14.85" customHeight="1" x14ac:dyDescent="0.25">
      <c r="A23" s="83"/>
      <c r="B23" s="83"/>
      <c r="C23" s="83"/>
      <c r="D23" s="99"/>
      <c r="E23" s="115"/>
      <c r="H23" s="101"/>
      <c r="K23" s="108"/>
      <c r="L23" s="110"/>
    </row>
    <row r="24" spans="1:12" ht="12" customHeight="1" x14ac:dyDescent="0.25">
      <c r="A24" s="83">
        <v>1330</v>
      </c>
      <c r="B24" s="83"/>
      <c r="C24" s="83" t="s">
        <v>269</v>
      </c>
      <c r="D24" s="99"/>
      <c r="E24" s="115">
        <f>+D25</f>
        <v>49352988</v>
      </c>
      <c r="K24" s="107"/>
      <c r="L24" s="109"/>
    </row>
    <row r="25" spans="1:12" ht="12" customHeight="1" x14ac:dyDescent="0.25">
      <c r="A25" s="83"/>
      <c r="B25" s="83"/>
      <c r="C25" s="83" t="s">
        <v>232</v>
      </c>
      <c r="D25" s="103">
        <f>+Hoja2!H40</f>
        <v>49352988</v>
      </c>
      <c r="E25" s="115"/>
      <c r="K25" s="107"/>
      <c r="L25" s="109"/>
    </row>
    <row r="26" spans="1:12" ht="22.5" customHeight="1" x14ac:dyDescent="0.25">
      <c r="A26" s="83"/>
      <c r="B26" s="83"/>
      <c r="C26" s="83"/>
      <c r="D26" s="99"/>
      <c r="E26" s="112"/>
    </row>
    <row r="27" spans="1:12" ht="17.649999999999999" customHeight="1" x14ac:dyDescent="0.25">
      <c r="A27" s="299" t="s">
        <v>126</v>
      </c>
      <c r="B27" s="299"/>
      <c r="C27" s="84" t="s">
        <v>127</v>
      </c>
      <c r="D27" s="99"/>
      <c r="E27" s="115">
        <f>SUM(D28:D31)</f>
        <v>4136993</v>
      </c>
    </row>
    <row r="28" spans="1:12" ht="17.649999999999999" customHeight="1" x14ac:dyDescent="0.25">
      <c r="A28" s="300" t="s">
        <v>128</v>
      </c>
      <c r="B28" s="300"/>
      <c r="C28" s="83" t="s">
        <v>129</v>
      </c>
      <c r="D28" s="99">
        <v>2468000</v>
      </c>
      <c r="E28" s="115"/>
    </row>
    <row r="29" spans="1:12" ht="17.649999999999999" customHeight="1" x14ac:dyDescent="0.25">
      <c r="A29" s="83">
        <v>135518</v>
      </c>
      <c r="B29" s="83"/>
      <c r="C29" s="83" t="s">
        <v>211</v>
      </c>
      <c r="D29" s="99">
        <v>178542</v>
      </c>
      <c r="E29" s="115"/>
    </row>
    <row r="30" spans="1:12" ht="17.649999999999999" customHeight="1" x14ac:dyDescent="0.25">
      <c r="A30" s="300" t="s">
        <v>130</v>
      </c>
      <c r="B30" s="300"/>
      <c r="C30" s="83" t="s">
        <v>210</v>
      </c>
      <c r="D30" s="99">
        <v>1022451</v>
      </c>
      <c r="E30" s="115"/>
    </row>
    <row r="31" spans="1:12" ht="17.649999999999999" customHeight="1" x14ac:dyDescent="0.25">
      <c r="A31" s="300" t="s">
        <v>132</v>
      </c>
      <c r="B31" s="300"/>
      <c r="C31" s="83" t="s">
        <v>183</v>
      </c>
      <c r="D31" s="99">
        <v>468000</v>
      </c>
      <c r="E31" s="115"/>
    </row>
    <row r="32" spans="1:12" ht="17.649999999999999" customHeight="1" x14ac:dyDescent="0.25">
      <c r="D32" s="99"/>
      <c r="E32" s="85"/>
    </row>
    <row r="33" spans="1:12" ht="17.649999999999999" customHeight="1" x14ac:dyDescent="0.25">
      <c r="A33" s="301" t="s">
        <v>133</v>
      </c>
      <c r="B33" s="301"/>
      <c r="C33" s="87" t="s">
        <v>134</v>
      </c>
      <c r="D33" s="99"/>
      <c r="E33" s="122">
        <f>SUM(D34:D42)</f>
        <v>312866893</v>
      </c>
    </row>
    <row r="34" spans="1:12" ht="17.649999999999999" customHeight="1" x14ac:dyDescent="0.25">
      <c r="A34" s="299" t="s">
        <v>135</v>
      </c>
      <c r="B34" s="299"/>
      <c r="C34" s="84" t="s">
        <v>31</v>
      </c>
      <c r="D34" s="99"/>
      <c r="E34" s="117"/>
    </row>
    <row r="35" spans="1:12" ht="17.649999999999999" customHeight="1" x14ac:dyDescent="0.25">
      <c r="A35" s="300" t="s">
        <v>136</v>
      </c>
      <c r="B35" s="300"/>
      <c r="C35" s="83" t="s">
        <v>137</v>
      </c>
      <c r="D35" s="99">
        <v>91000000</v>
      </c>
      <c r="E35" s="116"/>
      <c r="I35" s="99"/>
    </row>
    <row r="36" spans="1:12" ht="17.649999999999999" customHeight="1" x14ac:dyDescent="0.25">
      <c r="A36" s="83">
        <v>1520</v>
      </c>
      <c r="B36" s="83"/>
      <c r="C36" s="83" t="s">
        <v>284</v>
      </c>
      <c r="D36" s="268">
        <v>196269921</v>
      </c>
      <c r="E36" s="116"/>
      <c r="H36" s="99">
        <v>187962965</v>
      </c>
    </row>
    <row r="37" spans="1:12" ht="17.649999999999999" customHeight="1" x14ac:dyDescent="0.25">
      <c r="A37" s="300">
        <v>152005</v>
      </c>
      <c r="B37" s="300"/>
      <c r="C37" s="83" t="s">
        <v>285</v>
      </c>
      <c r="D37" s="99"/>
      <c r="E37" s="297" t="s">
        <v>334</v>
      </c>
      <c r="F37" s="297"/>
      <c r="G37" s="297"/>
      <c r="H37" s="99">
        <v>8306956</v>
      </c>
      <c r="I37" s="101"/>
      <c r="J37" s="99"/>
      <c r="K37" s="126"/>
      <c r="L37" s="126"/>
    </row>
    <row r="38" spans="1:12" ht="12" customHeight="1" x14ac:dyDescent="0.25">
      <c r="A38" s="299" t="s">
        <v>138</v>
      </c>
      <c r="B38" s="299"/>
      <c r="C38" s="84" t="s">
        <v>70</v>
      </c>
      <c r="D38" s="99"/>
      <c r="E38" s="117"/>
      <c r="H38" s="99">
        <f>+H36+H37</f>
        <v>196269921</v>
      </c>
      <c r="I38" s="101"/>
      <c r="K38" s="127"/>
      <c r="L38" s="126"/>
    </row>
    <row r="39" spans="1:12" ht="12" customHeight="1" x14ac:dyDescent="0.25">
      <c r="A39" s="300" t="s">
        <v>139</v>
      </c>
      <c r="B39" s="300"/>
      <c r="C39" s="83" t="s">
        <v>140</v>
      </c>
      <c r="D39" s="99">
        <v>2109000</v>
      </c>
      <c r="E39" s="116"/>
      <c r="J39" s="99"/>
      <c r="K39" s="127"/>
      <c r="L39" s="126"/>
    </row>
    <row r="40" spans="1:12" ht="12" customHeight="1" x14ac:dyDescent="0.25">
      <c r="A40" s="299" t="s">
        <v>141</v>
      </c>
      <c r="B40" s="299"/>
      <c r="C40" s="84" t="s">
        <v>142</v>
      </c>
      <c r="D40" s="99">
        <v>0</v>
      </c>
      <c r="E40" s="117"/>
      <c r="I40" s="101"/>
    </row>
    <row r="41" spans="1:12" ht="12" customHeight="1" x14ac:dyDescent="0.25">
      <c r="A41" s="300" t="s">
        <v>143</v>
      </c>
      <c r="B41" s="300"/>
      <c r="C41" s="83" t="s">
        <v>144</v>
      </c>
      <c r="D41" s="99">
        <v>34596000</v>
      </c>
      <c r="E41" s="116"/>
    </row>
    <row r="42" spans="1:12" ht="12" customHeight="1" x14ac:dyDescent="0.25">
      <c r="A42" s="299" t="s">
        <v>145</v>
      </c>
      <c r="B42" s="299"/>
      <c r="C42" s="84" t="s">
        <v>146</v>
      </c>
      <c r="D42" s="103">
        <v>-11108028</v>
      </c>
      <c r="E42" s="117"/>
    </row>
    <row r="43" spans="1:12" ht="12" customHeight="1" x14ac:dyDescent="0.25">
      <c r="D43" s="99"/>
      <c r="E43" s="85"/>
      <c r="L43" s="127"/>
    </row>
    <row r="44" spans="1:12" ht="12" customHeight="1" x14ac:dyDescent="0.25">
      <c r="A44" s="301" t="s">
        <v>147</v>
      </c>
      <c r="B44" s="301"/>
      <c r="C44" s="87" t="s">
        <v>148</v>
      </c>
      <c r="D44" s="99"/>
      <c r="E44" s="122">
        <f>+D45</f>
        <v>2548980</v>
      </c>
    </row>
    <row r="45" spans="1:12" ht="13.5" customHeight="1" x14ac:dyDescent="0.25">
      <c r="A45" s="299" t="s">
        <v>149</v>
      </c>
      <c r="B45" s="299"/>
      <c r="C45" s="84" t="s">
        <v>150</v>
      </c>
      <c r="D45" s="103">
        <v>2548980</v>
      </c>
      <c r="E45" s="117"/>
    </row>
    <row r="46" spans="1:12" ht="13.5" customHeight="1" x14ac:dyDescent="0.25">
      <c r="A46" s="84"/>
      <c r="B46" s="84"/>
      <c r="C46" s="84"/>
      <c r="D46" s="99"/>
      <c r="E46" s="117"/>
    </row>
    <row r="47" spans="1:12" ht="13.5" customHeight="1" thickBot="1" x14ac:dyDescent="0.3">
      <c r="A47" s="298" t="s">
        <v>151</v>
      </c>
      <c r="B47" s="298"/>
      <c r="C47" s="298"/>
      <c r="D47" s="1"/>
      <c r="E47" s="1">
        <f>SUM(E9:E45)</f>
        <v>414186403</v>
      </c>
    </row>
    <row r="48" spans="1:12" ht="13.5" customHeight="1" thickTop="1" x14ac:dyDescent="0.25">
      <c r="A48" s="84"/>
      <c r="B48" s="84"/>
      <c r="C48" s="84"/>
      <c r="D48" s="99"/>
      <c r="E48" s="117"/>
    </row>
    <row r="49" spans="1:8" ht="18.600000000000001" customHeight="1" x14ac:dyDescent="0.25">
      <c r="A49" s="83"/>
      <c r="B49" s="83"/>
      <c r="C49" s="83"/>
      <c r="D49" s="99"/>
      <c r="E49" s="116"/>
    </row>
    <row r="50" spans="1:8" ht="14.85" customHeight="1" x14ac:dyDescent="0.25">
      <c r="A50" s="299" t="s">
        <v>152</v>
      </c>
      <c r="B50" s="299"/>
      <c r="C50" s="84" t="s">
        <v>131</v>
      </c>
      <c r="D50" s="99"/>
      <c r="E50" s="115">
        <f>+D51+D52</f>
        <v>186000</v>
      </c>
      <c r="H50" s="99"/>
    </row>
    <row r="51" spans="1:8" ht="10.5" customHeight="1" x14ac:dyDescent="0.25">
      <c r="A51" s="300" t="s">
        <v>270</v>
      </c>
      <c r="B51" s="300"/>
      <c r="C51" s="83" t="s">
        <v>131</v>
      </c>
      <c r="D51" s="99">
        <v>148000</v>
      </c>
      <c r="E51" s="116"/>
    </row>
    <row r="52" spans="1:8" ht="10.15" customHeight="1" x14ac:dyDescent="0.25">
      <c r="A52" s="83">
        <v>236706</v>
      </c>
      <c r="B52" s="83"/>
      <c r="C52" s="83" t="s">
        <v>271</v>
      </c>
      <c r="D52" s="103">
        <v>38000</v>
      </c>
      <c r="E52" s="116"/>
    </row>
    <row r="53" spans="1:8" ht="18.600000000000001" customHeight="1" x14ac:dyDescent="0.25">
      <c r="A53" s="300"/>
      <c r="B53" s="300"/>
      <c r="C53" s="83"/>
      <c r="D53" s="99"/>
      <c r="E53" s="116"/>
    </row>
    <row r="54" spans="1:8" ht="14.85" customHeight="1" x14ac:dyDescent="0.25">
      <c r="A54" s="299" t="s">
        <v>153</v>
      </c>
      <c r="B54" s="299"/>
      <c r="C54" s="84" t="s">
        <v>154</v>
      </c>
      <c r="D54" s="99"/>
      <c r="E54" s="115">
        <f>+D55+D56+D57</f>
        <v>347900</v>
      </c>
    </row>
    <row r="55" spans="1:8" ht="17.649999999999999" customHeight="1" x14ac:dyDescent="0.25">
      <c r="A55" s="300" t="s">
        <v>272</v>
      </c>
      <c r="B55" s="300"/>
      <c r="C55" s="83" t="s">
        <v>155</v>
      </c>
      <c r="D55" s="99">
        <v>162600</v>
      </c>
      <c r="E55" s="116"/>
    </row>
    <row r="56" spans="1:8" ht="17.649999999999999" customHeight="1" x14ac:dyDescent="0.25">
      <c r="A56" s="300" t="s">
        <v>273</v>
      </c>
      <c r="B56" s="300"/>
      <c r="C56" s="83" t="s">
        <v>22</v>
      </c>
      <c r="D56" s="99">
        <v>38400</v>
      </c>
      <c r="E56" s="116"/>
    </row>
    <row r="57" spans="1:8" ht="14.85" customHeight="1" x14ac:dyDescent="0.25">
      <c r="A57" s="300" t="s">
        <v>156</v>
      </c>
      <c r="B57" s="300"/>
      <c r="C57" s="83" t="s">
        <v>157</v>
      </c>
      <c r="D57" s="103">
        <v>146900</v>
      </c>
      <c r="E57" s="116"/>
    </row>
    <row r="58" spans="1:8" ht="12" customHeight="1" x14ac:dyDescent="0.25">
      <c r="A58" s="83"/>
      <c r="B58" s="83"/>
      <c r="C58" s="83"/>
      <c r="D58" s="99"/>
      <c r="E58" s="116"/>
    </row>
    <row r="59" spans="1:8" ht="17.649999999999999" customHeight="1" x14ac:dyDescent="0.25">
      <c r="A59" s="299" t="s">
        <v>158</v>
      </c>
      <c r="B59" s="299"/>
      <c r="C59" s="84" t="s">
        <v>159</v>
      </c>
      <c r="D59" s="99"/>
      <c r="E59" s="115">
        <f>+D60</f>
        <v>650000</v>
      </c>
    </row>
    <row r="60" spans="1:8" ht="17.649999999999999" customHeight="1" x14ac:dyDescent="0.25">
      <c r="A60" s="300" t="s">
        <v>274</v>
      </c>
      <c r="B60" s="300"/>
      <c r="C60" s="83" t="s">
        <v>275</v>
      </c>
      <c r="D60" s="103">
        <v>650000</v>
      </c>
      <c r="E60" s="116"/>
    </row>
    <row r="61" spans="1:8" ht="14.85" customHeight="1" x14ac:dyDescent="0.25">
      <c r="A61" s="300"/>
      <c r="B61" s="300"/>
      <c r="C61" s="83"/>
      <c r="D61" s="99"/>
      <c r="E61" s="116"/>
    </row>
    <row r="62" spans="1:8" ht="14.85" customHeight="1" x14ac:dyDescent="0.25">
      <c r="D62" s="99"/>
      <c r="E62" s="85"/>
    </row>
    <row r="63" spans="1:8" ht="17.649999999999999" customHeight="1" x14ac:dyDescent="0.25">
      <c r="A63" s="301" t="s">
        <v>160</v>
      </c>
      <c r="B63" s="301"/>
      <c r="C63" s="87" t="s">
        <v>161</v>
      </c>
      <c r="D63" s="99"/>
      <c r="E63" s="115">
        <f>+D64+D65</f>
        <v>194000</v>
      </c>
    </row>
    <row r="64" spans="1:8" ht="14.85" customHeight="1" x14ac:dyDescent="0.25">
      <c r="A64" s="299" t="s">
        <v>259</v>
      </c>
      <c r="B64" s="299"/>
      <c r="C64" s="84" t="s">
        <v>162</v>
      </c>
      <c r="D64" s="99">
        <v>194000</v>
      </c>
      <c r="E64" s="118"/>
    </row>
    <row r="65" spans="1:11" ht="17.649999999999999" customHeight="1" x14ac:dyDescent="0.25">
      <c r="A65" s="84">
        <v>2412</v>
      </c>
      <c r="B65" s="84"/>
      <c r="C65" s="84" t="s">
        <v>276</v>
      </c>
      <c r="D65" s="103">
        <v>0</v>
      </c>
      <c r="E65" s="118"/>
    </row>
    <row r="66" spans="1:11" ht="17.649999999999999" customHeight="1" x14ac:dyDescent="0.25">
      <c r="A66" s="84"/>
      <c r="B66" s="84"/>
      <c r="C66" s="84"/>
      <c r="D66" s="99"/>
      <c r="E66" s="118"/>
    </row>
    <row r="67" spans="1:11" ht="14.85" customHeight="1" x14ac:dyDescent="0.25">
      <c r="D67" s="99"/>
      <c r="E67" s="85"/>
    </row>
    <row r="68" spans="1:11" ht="10.5" customHeight="1" x14ac:dyDescent="0.25">
      <c r="A68" s="301" t="s">
        <v>163</v>
      </c>
      <c r="B68" s="301"/>
      <c r="C68" s="87" t="s">
        <v>164</v>
      </c>
      <c r="D68" s="99"/>
      <c r="E68" s="119"/>
    </row>
    <row r="69" spans="1:11" ht="14.85" customHeight="1" x14ac:dyDescent="0.25">
      <c r="A69" s="299" t="s">
        <v>165</v>
      </c>
      <c r="B69" s="299"/>
      <c r="C69" s="84" t="s">
        <v>166</v>
      </c>
      <c r="D69" s="99"/>
      <c r="E69" s="115">
        <f>SUM(D70:D73)</f>
        <v>2935000</v>
      </c>
      <c r="H69" s="62"/>
    </row>
    <row r="70" spans="1:11" ht="13.5" customHeight="1" x14ac:dyDescent="0.25">
      <c r="A70" s="300" t="s">
        <v>167</v>
      </c>
      <c r="B70" s="300"/>
      <c r="C70" s="83" t="s">
        <v>18</v>
      </c>
      <c r="D70" s="99">
        <v>2935000</v>
      </c>
      <c r="E70" s="116"/>
    </row>
    <row r="71" spans="1:11" ht="18.600000000000001" customHeight="1" x14ac:dyDescent="0.25">
      <c r="A71" s="300" t="s">
        <v>168</v>
      </c>
      <c r="B71" s="300"/>
      <c r="C71" s="83" t="s">
        <v>19</v>
      </c>
      <c r="D71" s="99">
        <v>0</v>
      </c>
      <c r="E71" s="116"/>
      <c r="H71" s="62"/>
    </row>
    <row r="72" spans="1:11" ht="14.85" customHeight="1" x14ac:dyDescent="0.25">
      <c r="A72" s="83">
        <v>261015</v>
      </c>
      <c r="B72" s="83"/>
      <c r="C72" s="83" t="s">
        <v>21</v>
      </c>
      <c r="D72" s="99">
        <v>0</v>
      </c>
      <c r="E72" s="116"/>
    </row>
    <row r="73" spans="1:11" ht="14.85" customHeight="1" x14ac:dyDescent="0.25">
      <c r="A73" s="83">
        <v>261020</v>
      </c>
      <c r="B73" s="83"/>
      <c r="C73" s="83" t="s">
        <v>227</v>
      </c>
      <c r="D73" s="103">
        <v>0</v>
      </c>
      <c r="E73" s="116"/>
    </row>
    <row r="74" spans="1:11" ht="14.85" customHeight="1" x14ac:dyDescent="0.25">
      <c r="A74" s="83"/>
      <c r="B74" s="83"/>
      <c r="C74" s="83"/>
      <c r="D74" s="99"/>
      <c r="E74" s="116"/>
    </row>
    <row r="75" spans="1:11" ht="14.85" customHeight="1" x14ac:dyDescent="0.25">
      <c r="A75" s="83">
        <v>2895</v>
      </c>
      <c r="B75" s="83"/>
      <c r="C75" s="83" t="s">
        <v>387</v>
      </c>
      <c r="D75" s="99"/>
      <c r="E75" s="116"/>
    </row>
    <row r="76" spans="1:11" ht="31.5" customHeight="1" x14ac:dyDescent="0.25">
      <c r="A76" s="300"/>
      <c r="B76" s="300"/>
      <c r="C76" s="83" t="s">
        <v>388</v>
      </c>
      <c r="D76" s="99"/>
      <c r="E76" s="116"/>
    </row>
    <row r="77" spans="1:11" s="104" customFormat="1" ht="17.649999999999999" customHeight="1" x14ac:dyDescent="0.25">
      <c r="A77" s="98"/>
      <c r="B77" s="98"/>
      <c r="C77" s="98"/>
      <c r="D77" s="98"/>
      <c r="E77" s="85"/>
      <c r="J77" s="81"/>
      <c r="K77" s="81"/>
    </row>
    <row r="78" spans="1:11" s="104" customFormat="1" ht="17.649999999999999" customHeight="1" thickBot="1" x14ac:dyDescent="0.3">
      <c r="A78" s="298" t="s">
        <v>169</v>
      </c>
      <c r="B78" s="298"/>
      <c r="C78" s="298"/>
      <c r="D78" s="1"/>
      <c r="E78" s="1">
        <f>SUM(E49:E77)</f>
        <v>4312900</v>
      </c>
      <c r="J78" s="81"/>
      <c r="K78" s="81"/>
    </row>
    <row r="79" spans="1:11" s="104" customFormat="1" ht="17.649999999999999" customHeight="1" thickTop="1" x14ac:dyDescent="0.25">
      <c r="A79" s="98"/>
      <c r="B79" s="98"/>
      <c r="C79" s="98"/>
      <c r="D79" s="98"/>
      <c r="E79" s="85"/>
      <c r="J79" s="81"/>
      <c r="K79" s="81"/>
    </row>
    <row r="80" spans="1:11" s="104" customFormat="1" ht="17.649999999999999" customHeight="1" x14ac:dyDescent="0.25">
      <c r="A80" s="98"/>
      <c r="B80" s="98"/>
      <c r="C80" s="98"/>
      <c r="D80" s="98"/>
      <c r="E80" s="85"/>
      <c r="J80" s="81"/>
      <c r="K80" s="81"/>
    </row>
    <row r="81" spans="1:10" s="104" customFormat="1" ht="17.649999999999999" customHeight="1" x14ac:dyDescent="0.25">
      <c r="A81" s="302" t="s">
        <v>170</v>
      </c>
      <c r="B81" s="302"/>
      <c r="C81" s="86" t="s">
        <v>171</v>
      </c>
      <c r="D81" s="86"/>
      <c r="E81" s="114"/>
    </row>
    <row r="82" spans="1:10" s="104" customFormat="1" ht="17.649999999999999" customHeight="1" x14ac:dyDescent="0.25">
      <c r="A82" s="98"/>
      <c r="B82" s="98"/>
      <c r="C82" s="98"/>
      <c r="D82" s="98"/>
      <c r="E82" s="115"/>
      <c r="J82" s="98"/>
    </row>
    <row r="83" spans="1:10" s="104" customFormat="1" ht="17.649999999999999" customHeight="1" x14ac:dyDescent="0.25">
      <c r="A83" s="301" t="s">
        <v>172</v>
      </c>
      <c r="B83" s="301"/>
      <c r="C83" s="87" t="s">
        <v>173</v>
      </c>
      <c r="D83" s="99"/>
      <c r="E83" s="115">
        <f>+D84</f>
        <v>405112927</v>
      </c>
      <c r="J83" s="99"/>
    </row>
    <row r="84" spans="1:10" s="104" customFormat="1" ht="17.649999999999999" customHeight="1" x14ac:dyDescent="0.25">
      <c r="A84" s="299" t="s">
        <v>174</v>
      </c>
      <c r="B84" s="299"/>
      <c r="C84" s="84" t="s">
        <v>175</v>
      </c>
      <c r="D84" s="99">
        <v>405112927</v>
      </c>
      <c r="E84" s="115"/>
      <c r="H84" s="99"/>
      <c r="I84" s="176"/>
      <c r="J84" s="99"/>
    </row>
    <row r="85" spans="1:10" s="104" customFormat="1" ht="17.649999999999999" customHeight="1" x14ac:dyDescent="0.25">
      <c r="A85" s="300" t="s">
        <v>176</v>
      </c>
      <c r="B85" s="300"/>
      <c r="C85" s="83" t="s">
        <v>279</v>
      </c>
      <c r="D85" s="99"/>
      <c r="E85" s="115"/>
      <c r="J85" s="99"/>
    </row>
    <row r="86" spans="1:10" s="104" customFormat="1" ht="14.85" customHeight="1" x14ac:dyDescent="0.25">
      <c r="A86" s="83"/>
      <c r="B86" s="83"/>
      <c r="C86" s="83"/>
      <c r="D86" s="99"/>
      <c r="E86" s="115"/>
      <c r="J86" s="99"/>
    </row>
    <row r="87" spans="1:10" s="104" customFormat="1" ht="14.85" customHeight="1" x14ac:dyDescent="0.25">
      <c r="A87" s="98"/>
      <c r="B87" s="98"/>
      <c r="C87" s="98"/>
      <c r="D87" s="99"/>
      <c r="E87" s="115"/>
      <c r="J87" s="82"/>
    </row>
    <row r="88" spans="1:10" s="104" customFormat="1" ht="12" customHeight="1" x14ac:dyDescent="0.25">
      <c r="A88" s="301" t="s">
        <v>177</v>
      </c>
      <c r="B88" s="301"/>
      <c r="C88" s="87" t="s">
        <v>178</v>
      </c>
      <c r="D88" s="99"/>
      <c r="E88" s="115">
        <f>+D89</f>
        <v>-3080054.92</v>
      </c>
      <c r="J88" s="81"/>
    </row>
    <row r="89" spans="1:10" s="104" customFormat="1" ht="12" customHeight="1" x14ac:dyDescent="0.25">
      <c r="A89" s="299">
        <v>361010</v>
      </c>
      <c r="B89" s="299"/>
      <c r="C89" s="83" t="s">
        <v>315</v>
      </c>
      <c r="D89" s="99">
        <f>+'pyg2024'!AR167</f>
        <v>-3080054.92</v>
      </c>
      <c r="E89" s="117"/>
      <c r="J89" s="81"/>
    </row>
    <row r="90" spans="1:10" s="104" customFormat="1" ht="12" customHeight="1" x14ac:dyDescent="0.25">
      <c r="A90" s="300"/>
      <c r="B90" s="300"/>
      <c r="C90" s="83"/>
      <c r="D90" s="99"/>
      <c r="E90" s="116"/>
      <c r="J90" s="81"/>
    </row>
    <row r="91" spans="1:10" s="104" customFormat="1" ht="12" customHeight="1" x14ac:dyDescent="0.25">
      <c r="A91" s="83"/>
      <c r="B91" s="83"/>
      <c r="C91" s="83"/>
      <c r="D91" s="99"/>
      <c r="E91" s="116"/>
    </row>
    <row r="92" spans="1:10" s="104" customFormat="1" ht="12" customHeight="1" x14ac:dyDescent="0.25">
      <c r="A92" s="83">
        <v>37</v>
      </c>
      <c r="B92" s="83"/>
      <c r="C92" s="83" t="s">
        <v>179</v>
      </c>
      <c r="D92" s="99"/>
      <c r="E92" s="118">
        <f>+D93</f>
        <v>7840631</v>
      </c>
    </row>
    <row r="93" spans="1:10" s="104" customFormat="1" ht="17.649999999999999" customHeight="1" x14ac:dyDescent="0.25">
      <c r="A93" s="83">
        <v>370501</v>
      </c>
      <c r="B93" s="83"/>
      <c r="C93" s="83" t="s">
        <v>267</v>
      </c>
      <c r="D93" s="99">
        <f>7840631</f>
        <v>7840631</v>
      </c>
      <c r="E93" s="116"/>
    </row>
    <row r="94" spans="1:10" ht="14.85" customHeight="1" x14ac:dyDescent="0.25">
      <c r="A94" s="83"/>
      <c r="B94" s="83"/>
      <c r="C94" s="83"/>
      <c r="D94" s="99"/>
      <c r="E94" s="116"/>
    </row>
    <row r="95" spans="1:10" ht="12" customHeight="1" x14ac:dyDescent="0.25">
      <c r="A95" s="300"/>
      <c r="B95" s="300"/>
      <c r="C95" s="83"/>
      <c r="D95" s="83"/>
      <c r="E95" s="116"/>
    </row>
    <row r="96" spans="1:10" ht="17.25" customHeight="1" thickBot="1" x14ac:dyDescent="0.3">
      <c r="A96" s="298" t="s">
        <v>180</v>
      </c>
      <c r="B96" s="298"/>
      <c r="C96" s="298"/>
      <c r="D96" s="1"/>
      <c r="E96" s="1">
        <f>+E83+E88+E92</f>
        <v>409873503.07999998</v>
      </c>
    </row>
    <row r="97" spans="1:5" ht="17.649999999999999" customHeight="1" thickTop="1" x14ac:dyDescent="0.25">
      <c r="D97" s="85"/>
      <c r="E97" s="85"/>
    </row>
    <row r="98" spans="1:5" ht="17.649999999999999" customHeight="1" thickBot="1" x14ac:dyDescent="0.3">
      <c r="A98" s="298" t="s">
        <v>181</v>
      </c>
      <c r="B98" s="298"/>
      <c r="C98" s="298"/>
      <c r="D98" s="1"/>
      <c r="E98" s="1">
        <f>+E96+E78</f>
        <v>414186403.07999998</v>
      </c>
    </row>
    <row r="99" spans="1:5" ht="14.85" customHeight="1" thickTop="1" x14ac:dyDescent="0.25">
      <c r="E99" s="120">
        <f>+E47-E78-E96</f>
        <v>-7.9999983310699463E-2</v>
      </c>
    </row>
    <row r="100" spans="1:5" ht="12" customHeight="1" x14ac:dyDescent="0.25">
      <c r="E100" s="121">
        <v>0</v>
      </c>
    </row>
    <row r="101" spans="1:5" x14ac:dyDescent="0.25">
      <c r="E101" s="106"/>
    </row>
    <row r="105" spans="1:5" x14ac:dyDescent="0.25">
      <c r="A105" s="98" t="s">
        <v>331</v>
      </c>
    </row>
    <row r="106" spans="1:5" x14ac:dyDescent="0.25">
      <c r="A106" s="98" t="s">
        <v>332</v>
      </c>
    </row>
    <row r="107" spans="1:5" x14ac:dyDescent="0.25">
      <c r="A107" s="98" t="s">
        <v>333</v>
      </c>
    </row>
  </sheetData>
  <mergeCells count="58">
    <mergeCell ref="A9:B9"/>
    <mergeCell ref="A1:E1"/>
    <mergeCell ref="A2:E2"/>
    <mergeCell ref="A3:E3"/>
    <mergeCell ref="A6:B6"/>
    <mergeCell ref="A8:B8"/>
    <mergeCell ref="A31:B31"/>
    <mergeCell ref="A10:B10"/>
    <mergeCell ref="A12:B12"/>
    <mergeCell ref="A13:B13"/>
    <mergeCell ref="A14:B14"/>
    <mergeCell ref="A18:B18"/>
    <mergeCell ref="A19:B19"/>
    <mergeCell ref="A20:B20"/>
    <mergeCell ref="A27:B27"/>
    <mergeCell ref="A28:B28"/>
    <mergeCell ref="A30:B30"/>
    <mergeCell ref="A38:B38"/>
    <mergeCell ref="A39:B39"/>
    <mergeCell ref="A40:B40"/>
    <mergeCell ref="A41:B41"/>
    <mergeCell ref="A33:B33"/>
    <mergeCell ref="A34:B34"/>
    <mergeCell ref="A35:B35"/>
    <mergeCell ref="A37:B37"/>
    <mergeCell ref="A59:B59"/>
    <mergeCell ref="A42:B42"/>
    <mergeCell ref="A44:B44"/>
    <mergeCell ref="A45:B45"/>
    <mergeCell ref="A47:C47"/>
    <mergeCell ref="A50:B50"/>
    <mergeCell ref="A51:B51"/>
    <mergeCell ref="A53:B53"/>
    <mergeCell ref="A54:B54"/>
    <mergeCell ref="A55:B55"/>
    <mergeCell ref="A56:B56"/>
    <mergeCell ref="A57:B57"/>
    <mergeCell ref="A70:B70"/>
    <mergeCell ref="A71:B71"/>
    <mergeCell ref="A76:B76"/>
    <mergeCell ref="A78:C78"/>
    <mergeCell ref="A81:B81"/>
    <mergeCell ref="E37:G37"/>
    <mergeCell ref="A96:C96"/>
    <mergeCell ref="A98:C98"/>
    <mergeCell ref="A84:B84"/>
    <mergeCell ref="A85:B85"/>
    <mergeCell ref="A88:B88"/>
    <mergeCell ref="A89:B89"/>
    <mergeCell ref="A90:B90"/>
    <mergeCell ref="A95:B95"/>
    <mergeCell ref="A83:B83"/>
    <mergeCell ref="A60:B60"/>
    <mergeCell ref="A61:B61"/>
    <mergeCell ref="A63:B63"/>
    <mergeCell ref="A64:B64"/>
    <mergeCell ref="A68:B68"/>
    <mergeCell ref="A69:B69"/>
  </mergeCells>
  <printOptions horizontalCentered="1" verticalCentered="1"/>
  <pageMargins left="0.55118110236220474" right="0" top="0.23622047244094491" bottom="0.23622047244094491" header="0" footer="0"/>
  <pageSetup paperSize="5" scale="54" firstPageNumber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68"/>
  <sheetViews>
    <sheetView view="pageBreakPreview" topLeftCell="A141" zoomScale="84" zoomScaleNormal="82" zoomScaleSheetLayoutView="84" workbookViewId="0">
      <pane xSplit="1" topLeftCell="AB1" activePane="topRight" state="frozen"/>
      <selection activeCell="A63" sqref="A63"/>
      <selection pane="topRight" activeCell="AP145" sqref="AP145"/>
    </sheetView>
  </sheetViews>
  <sheetFormatPr baseColWidth="10" defaultColWidth="4.28515625" defaultRowHeight="15" x14ac:dyDescent="0.25"/>
  <cols>
    <col min="1" max="1" width="32.5703125" bestFit="1" customWidth="1"/>
    <col min="2" max="2" width="12.140625" bestFit="1" customWidth="1"/>
    <col min="3" max="3" width="11.7109375" bestFit="1" customWidth="1"/>
    <col min="4" max="4" width="14.42578125" bestFit="1" customWidth="1"/>
    <col min="5" max="5" width="10.28515625" customWidth="1"/>
    <col min="6" max="7" width="12.140625" customWidth="1"/>
    <col min="8" max="8" width="14.42578125" customWidth="1"/>
    <col min="9" max="9" width="12.140625" customWidth="1"/>
    <col min="10" max="10" width="12.28515625" customWidth="1"/>
    <col min="11" max="11" width="18.42578125" customWidth="1"/>
    <col min="12" max="12" width="12.140625" customWidth="1"/>
    <col min="13" max="13" width="12.140625" bestFit="1" customWidth="1"/>
    <col min="14" max="14" width="14.42578125" customWidth="1"/>
    <col min="15" max="15" width="12.140625" customWidth="1"/>
    <col min="16" max="16" width="12.140625" style="75" customWidth="1"/>
    <col min="17" max="17" width="14.42578125" customWidth="1"/>
    <col min="18" max="19" width="12.140625" bestFit="1" customWidth="1"/>
    <col min="20" max="20" width="15" customWidth="1"/>
    <col min="21" max="21" width="2.42578125" customWidth="1"/>
    <col min="22" max="23" width="12.140625" bestFit="1" customWidth="1"/>
    <col min="24" max="24" width="15.140625" bestFit="1" customWidth="1"/>
    <col min="25" max="25" width="6.42578125" customWidth="1"/>
    <col min="26" max="27" width="12.140625" bestFit="1" customWidth="1"/>
    <col min="28" max="28" width="14.42578125" bestFit="1" customWidth="1"/>
    <col min="29" max="29" width="12.42578125" customWidth="1"/>
    <col min="30" max="30" width="15.85546875" customWidth="1"/>
    <col min="31" max="31" width="12.85546875" customWidth="1"/>
    <col min="32" max="32" width="21.5703125" customWidth="1"/>
    <col min="33" max="33" width="12.140625" customWidth="1"/>
    <col min="34" max="35" width="14.140625" customWidth="1"/>
    <col min="36" max="36" width="14.5703125" customWidth="1"/>
    <col min="37" max="37" width="13" customWidth="1"/>
    <col min="38" max="38" width="14.42578125" customWidth="1"/>
    <col min="39" max="39" width="12.85546875" customWidth="1"/>
    <col min="40" max="40" width="14.7109375" customWidth="1"/>
    <col min="41" max="41" width="13.5703125" customWidth="1"/>
    <col min="42" max="42" width="16.140625" customWidth="1"/>
    <col min="43" max="43" width="12.85546875" customWidth="1"/>
    <col min="44" max="44" width="14.7109375" customWidth="1"/>
    <col min="45" max="45" width="13.140625" customWidth="1"/>
  </cols>
  <sheetData>
    <row r="1" spans="1:45" ht="20.25" x14ac:dyDescent="0.3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45" ht="20.25" x14ac:dyDescent="0.3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</row>
    <row r="3" spans="1:45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45" ht="15.75" customHeight="1" thickBot="1" x14ac:dyDescent="0.3">
      <c r="A4" s="2"/>
      <c r="B4" s="306">
        <v>45292</v>
      </c>
      <c r="C4" s="307"/>
      <c r="D4" s="307"/>
      <c r="E4" s="308"/>
      <c r="F4" s="306">
        <v>45323</v>
      </c>
      <c r="G4" s="307"/>
      <c r="H4" s="307"/>
      <c r="I4" s="306">
        <v>45352</v>
      </c>
      <c r="J4" s="307"/>
      <c r="K4" s="308"/>
      <c r="L4" s="306">
        <v>45383</v>
      </c>
      <c r="M4" s="307"/>
      <c r="N4" s="308"/>
      <c r="O4" s="307">
        <v>45413</v>
      </c>
      <c r="P4" s="307"/>
      <c r="Q4" s="308"/>
      <c r="R4" s="306">
        <v>45444</v>
      </c>
      <c r="S4" s="307"/>
      <c r="T4" s="307"/>
      <c r="U4" s="308"/>
      <c r="V4" s="306">
        <v>45474</v>
      </c>
      <c r="W4" s="307"/>
      <c r="X4" s="307"/>
      <c r="Y4" s="308"/>
      <c r="Z4" s="306">
        <v>45505</v>
      </c>
      <c r="AA4" s="307"/>
      <c r="AB4" s="307"/>
      <c r="AC4" s="308"/>
      <c r="AD4" s="306">
        <v>45536</v>
      </c>
      <c r="AE4" s="307"/>
      <c r="AF4" s="307"/>
      <c r="AG4" s="308"/>
      <c r="AH4" s="306">
        <v>45566</v>
      </c>
      <c r="AI4" s="307"/>
      <c r="AJ4" s="307"/>
      <c r="AK4" s="308"/>
      <c r="AL4" s="306">
        <v>45597</v>
      </c>
      <c r="AM4" s="307"/>
      <c r="AN4" s="307"/>
      <c r="AO4" s="308"/>
      <c r="AP4" s="306">
        <v>45627</v>
      </c>
      <c r="AQ4" s="307"/>
      <c r="AR4" s="307"/>
      <c r="AS4" s="308"/>
    </row>
    <row r="5" spans="1:45" ht="21.75" customHeight="1" x14ac:dyDescent="0.25">
      <c r="A5" s="226"/>
      <c r="B5" s="309" t="s">
        <v>242</v>
      </c>
      <c r="C5" s="310"/>
      <c r="D5" s="311" t="s">
        <v>243</v>
      </c>
      <c r="E5" s="312"/>
      <c r="F5" s="309">
        <v>4</v>
      </c>
      <c r="G5" s="310"/>
      <c r="H5" s="16" t="s">
        <v>244</v>
      </c>
      <c r="I5" s="309" t="s">
        <v>245</v>
      </c>
      <c r="J5" s="310"/>
      <c r="K5" s="177" t="s">
        <v>246</v>
      </c>
      <c r="L5" s="309" t="s">
        <v>247</v>
      </c>
      <c r="M5" s="310"/>
      <c r="N5" s="177" t="s">
        <v>248</v>
      </c>
      <c r="O5" s="313" t="s">
        <v>249</v>
      </c>
      <c r="P5" s="310"/>
      <c r="Q5" s="76" t="s">
        <v>250</v>
      </c>
      <c r="R5" s="309" t="s">
        <v>251</v>
      </c>
      <c r="S5" s="310"/>
      <c r="T5" s="311" t="s">
        <v>252</v>
      </c>
      <c r="U5" s="312"/>
      <c r="V5" s="309" t="s">
        <v>253</v>
      </c>
      <c r="W5" s="310"/>
      <c r="X5" s="311" t="s">
        <v>240</v>
      </c>
      <c r="Y5" s="312"/>
      <c r="Z5" s="309" t="s">
        <v>254</v>
      </c>
      <c r="AA5" s="310"/>
      <c r="AB5" s="311" t="s">
        <v>239</v>
      </c>
      <c r="AC5" s="312"/>
      <c r="AD5" s="309" t="s">
        <v>237</v>
      </c>
      <c r="AE5" s="310"/>
      <c r="AF5" s="311" t="s">
        <v>238</v>
      </c>
      <c r="AG5" s="312"/>
      <c r="AH5" s="309" t="s">
        <v>235</v>
      </c>
      <c r="AI5" s="310"/>
      <c r="AJ5" s="311" t="s">
        <v>236</v>
      </c>
      <c r="AK5" s="312"/>
      <c r="AL5" s="309" t="s">
        <v>234</v>
      </c>
      <c r="AM5" s="310"/>
      <c r="AN5" s="311" t="s">
        <v>233</v>
      </c>
      <c r="AO5" s="312"/>
      <c r="AP5" s="309" t="s">
        <v>341</v>
      </c>
      <c r="AQ5" s="310"/>
      <c r="AR5" s="311" t="s">
        <v>342</v>
      </c>
      <c r="AS5" s="312"/>
    </row>
    <row r="6" spans="1:45" ht="15" customHeight="1" x14ac:dyDescent="0.25">
      <c r="A6" s="7" t="s">
        <v>0</v>
      </c>
      <c r="B6" s="8" t="s">
        <v>1</v>
      </c>
      <c r="C6" s="8" t="s">
        <v>2</v>
      </c>
      <c r="D6" s="8" t="s">
        <v>3</v>
      </c>
      <c r="E6" s="7"/>
      <c r="F6" s="9" t="s">
        <v>1</v>
      </c>
      <c r="G6" s="8" t="s">
        <v>2</v>
      </c>
      <c r="H6" s="191" t="s">
        <v>3</v>
      </c>
      <c r="I6" s="10" t="s">
        <v>1</v>
      </c>
      <c r="J6" s="8" t="s">
        <v>2</v>
      </c>
      <c r="K6" s="192" t="s">
        <v>3</v>
      </c>
      <c r="L6" s="10" t="s">
        <v>1</v>
      </c>
      <c r="M6" s="8" t="s">
        <v>2</v>
      </c>
      <c r="N6" s="192" t="s">
        <v>3</v>
      </c>
      <c r="O6" s="9" t="s">
        <v>1</v>
      </c>
      <c r="P6" s="10" t="s">
        <v>2</v>
      </c>
      <c r="Q6" s="10" t="s">
        <v>3</v>
      </c>
      <c r="R6" s="10" t="s">
        <v>1</v>
      </c>
      <c r="S6" s="10" t="s">
        <v>2</v>
      </c>
      <c r="T6" s="8" t="s">
        <v>3</v>
      </c>
      <c r="U6" s="7"/>
      <c r="V6" s="10" t="s">
        <v>1</v>
      </c>
      <c r="W6" s="10" t="s">
        <v>2</v>
      </c>
      <c r="X6" s="8" t="s">
        <v>3</v>
      </c>
      <c r="Y6" s="7"/>
      <c r="Z6" s="10" t="s">
        <v>1</v>
      </c>
      <c r="AA6" s="10" t="s">
        <v>2</v>
      </c>
      <c r="AB6" s="8" t="s">
        <v>3</v>
      </c>
      <c r="AC6" s="7"/>
      <c r="AD6" s="10" t="s">
        <v>1</v>
      </c>
      <c r="AE6" s="10" t="s">
        <v>2</v>
      </c>
      <c r="AF6" s="8" t="s">
        <v>3</v>
      </c>
      <c r="AG6" s="7"/>
      <c r="AH6" s="10" t="s">
        <v>1</v>
      </c>
      <c r="AI6" s="10" t="s">
        <v>2</v>
      </c>
      <c r="AJ6" s="8" t="s">
        <v>3</v>
      </c>
      <c r="AK6" s="7"/>
      <c r="AL6" s="10" t="s">
        <v>1</v>
      </c>
      <c r="AM6" s="10" t="s">
        <v>2</v>
      </c>
      <c r="AN6" s="8" t="s">
        <v>3</v>
      </c>
      <c r="AO6" s="7"/>
      <c r="AP6" s="10" t="s">
        <v>1</v>
      </c>
      <c r="AQ6" s="10" t="s">
        <v>2</v>
      </c>
      <c r="AR6" s="8" t="s">
        <v>3</v>
      </c>
      <c r="AS6" s="7"/>
    </row>
    <row r="7" spans="1:45" x14ac:dyDescent="0.25">
      <c r="A7" s="17" t="s">
        <v>4</v>
      </c>
      <c r="B7" s="18">
        <v>0</v>
      </c>
      <c r="C7" s="18">
        <f>C8+C16</f>
        <v>7389490</v>
      </c>
      <c r="D7" s="18">
        <f>D8+D16</f>
        <v>7389490</v>
      </c>
      <c r="E7" s="19"/>
      <c r="F7" s="18">
        <f>F14</f>
        <v>0</v>
      </c>
      <c r="G7" s="18">
        <f>G8+G16</f>
        <v>8720667</v>
      </c>
      <c r="H7" s="18">
        <f>+D7+G7</f>
        <v>16110157</v>
      </c>
      <c r="I7" s="20">
        <f>+I8</f>
        <v>0</v>
      </c>
      <c r="J7" s="18">
        <f>J8+J16</f>
        <v>12280462</v>
      </c>
      <c r="K7" s="18">
        <f>+H7+J7</f>
        <v>28390619</v>
      </c>
      <c r="L7" s="20">
        <f>+L14</f>
        <v>0</v>
      </c>
      <c r="M7" s="18">
        <f>M8+M16</f>
        <v>17607136</v>
      </c>
      <c r="N7" s="18">
        <f>+K7+M7</f>
        <v>45997755</v>
      </c>
      <c r="O7" s="18">
        <f>+O8</f>
        <v>0</v>
      </c>
      <c r="P7" s="18">
        <f>P8+P16</f>
        <v>12093995</v>
      </c>
      <c r="Q7" s="18">
        <f>+N7+P7</f>
        <v>58091750</v>
      </c>
      <c r="R7" s="20">
        <v>0</v>
      </c>
      <c r="S7" s="18">
        <f>S8+S16</f>
        <v>8411424</v>
      </c>
      <c r="T7" s="18">
        <f>+Q7+S7</f>
        <v>66503174</v>
      </c>
      <c r="U7" s="19"/>
      <c r="V7" s="20">
        <f>+V15</f>
        <v>0</v>
      </c>
      <c r="W7" s="18">
        <f>W8+W16</f>
        <v>6302884</v>
      </c>
      <c r="X7" s="18">
        <f>+T7+W7</f>
        <v>72806058</v>
      </c>
      <c r="Y7" s="19"/>
      <c r="Z7" s="20">
        <f>+Z14</f>
        <v>0</v>
      </c>
      <c r="AA7" s="18">
        <f>AA8+AA16</f>
        <v>15173848</v>
      </c>
      <c r="AB7" s="18">
        <f>+X7+AA7</f>
        <v>87979906</v>
      </c>
      <c r="AC7" s="19"/>
      <c r="AD7" s="20">
        <f>+AD14</f>
        <v>0</v>
      </c>
      <c r="AE7" s="18">
        <f>AE8+AE16</f>
        <v>14486836</v>
      </c>
      <c r="AF7" s="18">
        <f>+AB7+AE7</f>
        <v>102466742</v>
      </c>
      <c r="AG7" s="19"/>
      <c r="AH7" s="20">
        <f>+AH14</f>
        <v>0</v>
      </c>
      <c r="AI7" s="18">
        <f>AI8+AI16</f>
        <v>16134322</v>
      </c>
      <c r="AJ7" s="18">
        <f>+AF7+AI7</f>
        <v>118601064</v>
      </c>
      <c r="AK7" s="19"/>
      <c r="AL7" s="20">
        <f>+AL15</f>
        <v>1544330</v>
      </c>
      <c r="AM7" s="18">
        <f>AM8+AM16</f>
        <v>14740973</v>
      </c>
      <c r="AN7" s="18">
        <f>+AJ7+AM7-AL7</f>
        <v>131797707</v>
      </c>
      <c r="AO7" s="19"/>
      <c r="AP7" s="20">
        <f>+AP14</f>
        <v>0</v>
      </c>
      <c r="AQ7" s="18">
        <f>AQ8+AQ16</f>
        <v>14435564</v>
      </c>
      <c r="AR7" s="18">
        <f>+AN7+AQ7</f>
        <v>146233271</v>
      </c>
      <c r="AS7" s="19"/>
    </row>
    <row r="8" spans="1:45" ht="23.25" customHeight="1" x14ac:dyDescent="0.25">
      <c r="A8" s="12" t="s">
        <v>5</v>
      </c>
      <c r="B8" s="13">
        <v>0</v>
      </c>
      <c r="C8" s="13">
        <f>+C9</f>
        <v>2319055</v>
      </c>
      <c r="D8" s="13">
        <f>+D9+D14</f>
        <v>2319055</v>
      </c>
      <c r="E8" s="14"/>
      <c r="F8" s="13">
        <f>F15</f>
        <v>0</v>
      </c>
      <c r="G8" s="13">
        <f>+G9</f>
        <v>2198885</v>
      </c>
      <c r="H8" s="13">
        <f>+H9+H14</f>
        <v>4517940</v>
      </c>
      <c r="I8" s="88">
        <f>+I14</f>
        <v>0</v>
      </c>
      <c r="J8" s="13">
        <f>+J9</f>
        <v>5345924</v>
      </c>
      <c r="K8" s="194">
        <f>+H8+J8</f>
        <v>9863864</v>
      </c>
      <c r="L8" s="88">
        <v>0</v>
      </c>
      <c r="M8" s="13">
        <f>+M9</f>
        <v>5705085</v>
      </c>
      <c r="N8" s="193">
        <f>+K8+M8</f>
        <v>15568949</v>
      </c>
      <c r="O8" s="13"/>
      <c r="P8" s="13">
        <f>+P9</f>
        <v>6312190</v>
      </c>
      <c r="Q8" s="13">
        <f>+N8-O8+P8</f>
        <v>21881139</v>
      </c>
      <c r="R8" s="13">
        <v>0</v>
      </c>
      <c r="S8" s="13">
        <f>+S9</f>
        <v>5308821</v>
      </c>
      <c r="T8" s="13">
        <f>+T9+T14</f>
        <v>27189960</v>
      </c>
      <c r="U8" s="14"/>
      <c r="V8" s="13">
        <v>0</v>
      </c>
      <c r="W8" s="13">
        <f>+W9</f>
        <v>1368000</v>
      </c>
      <c r="X8" s="13">
        <f t="shared" ref="X8:X15" si="0">T8+W8</f>
        <v>28557960</v>
      </c>
      <c r="Y8" s="14"/>
      <c r="Z8" s="13">
        <f>+Z14</f>
        <v>0</v>
      </c>
      <c r="AA8" s="13">
        <f>+AA9</f>
        <v>1818800</v>
      </c>
      <c r="AB8" s="18">
        <f>+X8+AA8-Z8</f>
        <v>30376760</v>
      </c>
      <c r="AC8" s="14"/>
      <c r="AD8" s="13">
        <f>+AD14</f>
        <v>0</v>
      </c>
      <c r="AE8" s="13">
        <f>+AE9</f>
        <v>2263580</v>
      </c>
      <c r="AF8" s="13">
        <f>+AB8+AE8</f>
        <v>32640340</v>
      </c>
      <c r="AG8" s="14"/>
      <c r="AH8" s="13">
        <f>+AH14</f>
        <v>0</v>
      </c>
      <c r="AI8" s="13">
        <f>+AI9</f>
        <v>3401625</v>
      </c>
      <c r="AJ8" s="13">
        <f>+AF8+AI8</f>
        <v>36041965</v>
      </c>
      <c r="AK8" s="14"/>
      <c r="AL8" s="13">
        <f>+AL14</f>
        <v>1544330</v>
      </c>
      <c r="AM8" s="13">
        <f>+AM9</f>
        <v>4519220</v>
      </c>
      <c r="AN8" s="13">
        <f>+AJ8-AL8+AM8</f>
        <v>39016855</v>
      </c>
      <c r="AO8" s="14"/>
      <c r="AP8" s="13">
        <f>+AP14</f>
        <v>0</v>
      </c>
      <c r="AQ8" s="13">
        <f>+AQ9</f>
        <v>3456110</v>
      </c>
      <c r="AR8" s="13">
        <f>+AN8+AQ8</f>
        <v>42472965</v>
      </c>
      <c r="AS8" s="14"/>
    </row>
    <row r="9" spans="1:45" ht="21" x14ac:dyDescent="0.25">
      <c r="A9" s="12" t="s">
        <v>6</v>
      </c>
      <c r="B9" s="13">
        <v>0</v>
      </c>
      <c r="C9" s="13">
        <f>C10+C11+C12+C13</f>
        <v>2319055</v>
      </c>
      <c r="D9" s="13">
        <f>C9</f>
        <v>2319055</v>
      </c>
      <c r="E9" s="14"/>
      <c r="F9" s="13">
        <v>0</v>
      </c>
      <c r="G9" s="13">
        <f>G10+G11+G12+G13</f>
        <v>2198885</v>
      </c>
      <c r="H9" s="13">
        <f>+D9+G9</f>
        <v>4517940</v>
      </c>
      <c r="I9" s="88">
        <v>0</v>
      </c>
      <c r="J9" s="13">
        <f>J10+J11+J12+J13</f>
        <v>5345924</v>
      </c>
      <c r="K9" s="194">
        <f>H9+J9</f>
        <v>9863864</v>
      </c>
      <c r="L9" s="88">
        <v>0</v>
      </c>
      <c r="M9" s="13">
        <f>M10+M11+M12+M13</f>
        <v>5705085</v>
      </c>
      <c r="N9" s="193">
        <f t="shared" ref="N9:N15" si="1">+K9+M9</f>
        <v>15568949</v>
      </c>
      <c r="O9" s="13">
        <v>0</v>
      </c>
      <c r="P9" s="13">
        <f>P10+P11+P12+P13</f>
        <v>6312190</v>
      </c>
      <c r="Q9" s="13">
        <f>+N9+P9</f>
        <v>21881139</v>
      </c>
      <c r="R9" s="13">
        <v>0</v>
      </c>
      <c r="S9" s="13">
        <f>S10+S11+S12+S13</f>
        <v>5308821</v>
      </c>
      <c r="T9" s="13">
        <f>Q9+S9</f>
        <v>27189960</v>
      </c>
      <c r="U9" s="14"/>
      <c r="V9" s="13">
        <v>0</v>
      </c>
      <c r="W9" s="13">
        <f>W10+W11+W12+W13</f>
        <v>1368000</v>
      </c>
      <c r="X9" s="13">
        <f t="shared" si="0"/>
        <v>28557960</v>
      </c>
      <c r="Y9" s="14"/>
      <c r="Z9" s="13">
        <v>0</v>
      </c>
      <c r="AA9" s="13">
        <f>AA10+AA11+AA12+AA13</f>
        <v>1818800</v>
      </c>
      <c r="AB9" s="18">
        <f t="shared" ref="AB9:AB15" si="2">+X9+AA9-Z9</f>
        <v>30376760</v>
      </c>
      <c r="AC9" s="14"/>
      <c r="AD9" s="13">
        <v>0</v>
      </c>
      <c r="AE9" s="343">
        <f>AE10+AE11+AE12+AE13</f>
        <v>2263580</v>
      </c>
      <c r="AF9" s="13">
        <f t="shared" ref="AF9:AF15" si="3">+AB9+AE9</f>
        <v>32640340</v>
      </c>
      <c r="AG9" s="14"/>
      <c r="AH9" s="13">
        <v>0</v>
      </c>
      <c r="AI9" s="13">
        <f>AI10+AI11+AI12+AI13</f>
        <v>3401625</v>
      </c>
      <c r="AJ9" s="13">
        <f>+AF9+AI9</f>
        <v>36041965</v>
      </c>
      <c r="AK9" s="14"/>
      <c r="AL9" s="13">
        <v>0</v>
      </c>
      <c r="AM9" s="343">
        <f>AM10+AM11+AM12+AM13</f>
        <v>4519220</v>
      </c>
      <c r="AN9" s="13">
        <f>AJ9+AM9</f>
        <v>40561185</v>
      </c>
      <c r="AO9" s="14"/>
      <c r="AP9" s="13">
        <v>0</v>
      </c>
      <c r="AQ9" s="13">
        <f>AQ10+AQ11+AQ12+AQ13</f>
        <v>3456110</v>
      </c>
      <c r="AR9" s="13">
        <f t="shared" ref="AR9:AR15" si="4">+AN9+AQ9</f>
        <v>44017295</v>
      </c>
      <c r="AS9" s="14"/>
    </row>
    <row r="10" spans="1:45" x14ac:dyDescent="0.25">
      <c r="A10" s="12" t="s">
        <v>63</v>
      </c>
      <c r="B10" s="13">
        <v>0</v>
      </c>
      <c r="C10" s="13">
        <v>2319055</v>
      </c>
      <c r="D10" s="13">
        <f t="shared" ref="D10:D15" si="5">C10</f>
        <v>2319055</v>
      </c>
      <c r="E10" s="14"/>
      <c r="F10" s="13">
        <v>0</v>
      </c>
      <c r="G10" s="13">
        <v>2073885</v>
      </c>
      <c r="H10" s="13">
        <f>+D10+G10</f>
        <v>4392940</v>
      </c>
      <c r="I10" s="88">
        <v>0</v>
      </c>
      <c r="J10" s="13">
        <v>4895924</v>
      </c>
      <c r="K10" s="194">
        <f t="shared" ref="K10:K15" si="6">H10+J10</f>
        <v>9288864</v>
      </c>
      <c r="L10" s="88">
        <v>0</v>
      </c>
      <c r="M10" s="13">
        <v>5705085</v>
      </c>
      <c r="N10" s="193">
        <f t="shared" si="1"/>
        <v>14993949</v>
      </c>
      <c r="O10" s="13">
        <v>0</v>
      </c>
      <c r="P10" s="13">
        <v>6107190</v>
      </c>
      <c r="Q10" s="13">
        <f t="shared" ref="Q10:Q15" si="7">+N10+P10</f>
        <v>21101139</v>
      </c>
      <c r="R10" s="13">
        <v>0</v>
      </c>
      <c r="S10" s="13">
        <v>4913821</v>
      </c>
      <c r="T10" s="13">
        <f t="shared" ref="T10:T15" si="8">Q10+S10</f>
        <v>26014960</v>
      </c>
      <c r="U10" s="14"/>
      <c r="V10" s="13">
        <v>0</v>
      </c>
      <c r="W10" s="13">
        <v>1343000</v>
      </c>
      <c r="X10" s="13">
        <f t="shared" si="0"/>
        <v>27357960</v>
      </c>
      <c r="Y10" s="14"/>
      <c r="Z10" s="13">
        <v>0</v>
      </c>
      <c r="AA10" s="13">
        <v>1683800</v>
      </c>
      <c r="AB10" s="18">
        <f t="shared" si="2"/>
        <v>29041760</v>
      </c>
      <c r="AC10" s="14"/>
      <c r="AD10" s="13">
        <v>0</v>
      </c>
      <c r="AE10" s="13">
        <v>1773580</v>
      </c>
      <c r="AF10" s="13">
        <f t="shared" si="3"/>
        <v>30815340</v>
      </c>
      <c r="AG10" s="14"/>
      <c r="AH10" s="13">
        <v>0</v>
      </c>
      <c r="AI10" s="13">
        <v>3089125</v>
      </c>
      <c r="AJ10" s="13">
        <f t="shared" ref="AJ10:AJ15" si="9">+AF10+AI10</f>
        <v>33904465</v>
      </c>
      <c r="AK10" s="14"/>
      <c r="AL10" s="13">
        <v>0</v>
      </c>
      <c r="AM10" s="13">
        <v>4124220</v>
      </c>
      <c r="AN10" s="13">
        <f t="shared" ref="AN10:AN13" si="10">AJ10+AM10</f>
        <v>38028685</v>
      </c>
      <c r="AO10" s="14"/>
      <c r="AP10" s="13">
        <v>0</v>
      </c>
      <c r="AQ10" s="13">
        <v>2931110</v>
      </c>
      <c r="AR10" s="13">
        <f t="shared" si="4"/>
        <v>40959795</v>
      </c>
      <c r="AS10" s="14"/>
    </row>
    <row r="11" spans="1:45" x14ac:dyDescent="0.25">
      <c r="A11" s="12" t="s">
        <v>62</v>
      </c>
      <c r="B11" s="13"/>
      <c r="C11" s="13">
        <v>0</v>
      </c>
      <c r="D11" s="13">
        <f t="shared" si="5"/>
        <v>0</v>
      </c>
      <c r="E11" s="14"/>
      <c r="F11" s="13">
        <v>0</v>
      </c>
      <c r="G11" s="13">
        <v>0</v>
      </c>
      <c r="H11" s="13">
        <f t="shared" ref="H11:H15" si="11">+D11+G11</f>
        <v>0</v>
      </c>
      <c r="I11" s="88"/>
      <c r="J11" s="13">
        <v>0</v>
      </c>
      <c r="K11" s="194">
        <f t="shared" si="6"/>
        <v>0</v>
      </c>
      <c r="L11" s="88">
        <v>0</v>
      </c>
      <c r="M11" s="13">
        <v>0</v>
      </c>
      <c r="N11" s="193">
        <f t="shared" si="1"/>
        <v>0</v>
      </c>
      <c r="O11" s="13">
        <v>0</v>
      </c>
      <c r="P11" s="13">
        <v>0</v>
      </c>
      <c r="Q11" s="13">
        <f t="shared" si="7"/>
        <v>0</v>
      </c>
      <c r="R11" s="13"/>
      <c r="S11" s="13"/>
      <c r="T11" s="13">
        <f t="shared" si="8"/>
        <v>0</v>
      </c>
      <c r="U11" s="14"/>
      <c r="V11" s="13"/>
      <c r="W11" s="13"/>
      <c r="X11" s="13">
        <f t="shared" si="0"/>
        <v>0</v>
      </c>
      <c r="Y11" s="14"/>
      <c r="Z11" s="13"/>
      <c r="AA11" s="13"/>
      <c r="AB11" s="18">
        <f t="shared" si="2"/>
        <v>0</v>
      </c>
      <c r="AC11" s="14"/>
      <c r="AD11" s="13"/>
      <c r="AE11" s="13"/>
      <c r="AF11" s="13">
        <f t="shared" si="3"/>
        <v>0</v>
      </c>
      <c r="AG11" s="14"/>
      <c r="AH11" s="13"/>
      <c r="AI11" s="13"/>
      <c r="AJ11" s="13">
        <f t="shared" si="9"/>
        <v>0</v>
      </c>
      <c r="AK11" s="14"/>
      <c r="AL11" s="13"/>
      <c r="AM11" s="13"/>
      <c r="AN11" s="13">
        <f t="shared" si="10"/>
        <v>0</v>
      </c>
      <c r="AO11" s="14"/>
      <c r="AP11" s="13"/>
      <c r="AQ11" s="13"/>
      <c r="AR11" s="13">
        <f t="shared" si="4"/>
        <v>0</v>
      </c>
      <c r="AS11" s="14"/>
    </row>
    <row r="12" spans="1:45" x14ac:dyDescent="0.25">
      <c r="A12" s="12" t="s">
        <v>7</v>
      </c>
      <c r="B12" s="13">
        <v>0</v>
      </c>
      <c r="C12" s="13"/>
      <c r="D12" s="13">
        <f t="shared" si="5"/>
        <v>0</v>
      </c>
      <c r="E12" s="14"/>
      <c r="F12" s="13">
        <v>0</v>
      </c>
      <c r="G12" s="13">
        <v>125000</v>
      </c>
      <c r="H12" s="13">
        <f>+D12+G12</f>
        <v>125000</v>
      </c>
      <c r="I12" s="88">
        <v>0</v>
      </c>
      <c r="J12" s="13">
        <v>450000</v>
      </c>
      <c r="K12" s="194">
        <f t="shared" si="6"/>
        <v>575000</v>
      </c>
      <c r="L12" s="88">
        <v>0</v>
      </c>
      <c r="M12" s="13"/>
      <c r="N12" s="193">
        <f t="shared" si="1"/>
        <v>575000</v>
      </c>
      <c r="O12" s="13">
        <v>0</v>
      </c>
      <c r="P12" s="13">
        <v>205000</v>
      </c>
      <c r="Q12" s="13">
        <f t="shared" si="7"/>
        <v>780000</v>
      </c>
      <c r="R12" s="13">
        <v>0</v>
      </c>
      <c r="S12" s="13">
        <v>395000</v>
      </c>
      <c r="T12" s="13">
        <f t="shared" si="8"/>
        <v>1175000</v>
      </c>
      <c r="U12" s="14"/>
      <c r="V12" s="13">
        <v>0</v>
      </c>
      <c r="W12" s="13">
        <v>25000</v>
      </c>
      <c r="X12" s="13">
        <f t="shared" si="0"/>
        <v>1200000</v>
      </c>
      <c r="Y12" s="14"/>
      <c r="Z12" s="13">
        <v>0</v>
      </c>
      <c r="AA12" s="13">
        <v>135000</v>
      </c>
      <c r="AB12" s="18">
        <f t="shared" si="2"/>
        <v>1335000</v>
      </c>
      <c r="AC12" s="14"/>
      <c r="AD12" s="13">
        <v>0</v>
      </c>
      <c r="AE12" s="13">
        <v>490000</v>
      </c>
      <c r="AF12" s="13">
        <f t="shared" si="3"/>
        <v>1825000</v>
      </c>
      <c r="AG12" s="14"/>
      <c r="AH12" s="13">
        <v>0</v>
      </c>
      <c r="AI12" s="13">
        <v>312500</v>
      </c>
      <c r="AJ12" s="13">
        <f t="shared" si="9"/>
        <v>2137500</v>
      </c>
      <c r="AK12" s="14"/>
      <c r="AL12" s="13">
        <v>0</v>
      </c>
      <c r="AM12" s="13">
        <v>395000</v>
      </c>
      <c r="AN12" s="13">
        <f t="shared" si="10"/>
        <v>2532500</v>
      </c>
      <c r="AO12" s="14"/>
      <c r="AP12" s="13">
        <v>0</v>
      </c>
      <c r="AQ12" s="13">
        <v>525000</v>
      </c>
      <c r="AR12" s="13">
        <f t="shared" si="4"/>
        <v>3057500</v>
      </c>
      <c r="AS12" s="14"/>
    </row>
    <row r="13" spans="1:45" x14ac:dyDescent="0.25">
      <c r="A13" s="12"/>
      <c r="B13" s="13"/>
      <c r="C13" s="13"/>
      <c r="D13" s="13">
        <f t="shared" si="5"/>
        <v>0</v>
      </c>
      <c r="E13" s="14"/>
      <c r="F13" s="13"/>
      <c r="G13" s="13"/>
      <c r="H13" s="13">
        <f t="shared" si="11"/>
        <v>0</v>
      </c>
      <c r="I13" s="88"/>
      <c r="J13" s="13"/>
      <c r="K13" s="194">
        <f t="shared" si="6"/>
        <v>0</v>
      </c>
      <c r="L13" s="88">
        <v>0</v>
      </c>
      <c r="M13" s="13"/>
      <c r="N13" s="193">
        <f t="shared" si="1"/>
        <v>0</v>
      </c>
      <c r="O13" s="13">
        <v>0</v>
      </c>
      <c r="P13" s="13"/>
      <c r="Q13" s="13">
        <f t="shared" si="7"/>
        <v>0</v>
      </c>
      <c r="R13" s="13"/>
      <c r="S13" s="13"/>
      <c r="T13" s="13">
        <f t="shared" si="8"/>
        <v>0</v>
      </c>
      <c r="U13" s="14"/>
      <c r="V13" s="13"/>
      <c r="W13" s="13"/>
      <c r="X13" s="13">
        <f t="shared" si="0"/>
        <v>0</v>
      </c>
      <c r="Y13" s="14"/>
      <c r="Z13" s="13"/>
      <c r="AA13" s="13"/>
      <c r="AB13" s="18">
        <f t="shared" si="2"/>
        <v>0</v>
      </c>
      <c r="AC13" s="14"/>
      <c r="AD13" s="13"/>
      <c r="AE13" s="13"/>
      <c r="AF13" s="13">
        <f t="shared" si="3"/>
        <v>0</v>
      </c>
      <c r="AG13" s="14"/>
      <c r="AH13" s="13"/>
      <c r="AI13" s="13"/>
      <c r="AJ13" s="13">
        <f t="shared" si="9"/>
        <v>0</v>
      </c>
      <c r="AK13" s="14"/>
      <c r="AL13" s="13"/>
      <c r="AM13" s="13"/>
      <c r="AN13" s="13">
        <f t="shared" si="10"/>
        <v>0</v>
      </c>
      <c r="AO13" s="14"/>
      <c r="AP13" s="13"/>
      <c r="AQ13" s="13"/>
      <c r="AR13" s="13">
        <f t="shared" si="4"/>
        <v>0</v>
      </c>
      <c r="AS13" s="14"/>
    </row>
    <row r="14" spans="1:45" ht="21" x14ac:dyDescent="0.25">
      <c r="A14" s="12" t="s">
        <v>219</v>
      </c>
      <c r="B14" s="13"/>
      <c r="C14" s="13"/>
      <c r="D14" s="13">
        <f t="shared" si="5"/>
        <v>0</v>
      </c>
      <c r="E14" s="14"/>
      <c r="F14" s="13">
        <f>F15</f>
        <v>0</v>
      </c>
      <c r="G14" s="13">
        <f>G15</f>
        <v>0</v>
      </c>
      <c r="H14" s="13">
        <f t="shared" si="11"/>
        <v>0</v>
      </c>
      <c r="I14" s="88">
        <v>0</v>
      </c>
      <c r="J14" s="13">
        <f>+J15</f>
        <v>0</v>
      </c>
      <c r="K14" s="194">
        <f t="shared" si="6"/>
        <v>0</v>
      </c>
      <c r="L14" s="88">
        <v>0</v>
      </c>
      <c r="M14" s="13"/>
      <c r="N14" s="193">
        <f t="shared" si="1"/>
        <v>0</v>
      </c>
      <c r="O14" s="13"/>
      <c r="P14" s="13"/>
      <c r="Q14" s="13">
        <f t="shared" si="7"/>
        <v>0</v>
      </c>
      <c r="R14" s="13"/>
      <c r="S14" s="13"/>
      <c r="T14" s="13">
        <f t="shared" si="8"/>
        <v>0</v>
      </c>
      <c r="U14" s="14"/>
      <c r="V14" s="13"/>
      <c r="W14" s="13"/>
      <c r="X14" s="13">
        <f t="shared" si="0"/>
        <v>0</v>
      </c>
      <c r="Y14" s="14"/>
      <c r="Z14" s="13"/>
      <c r="AA14" s="13"/>
      <c r="AB14" s="18">
        <f t="shared" si="2"/>
        <v>0</v>
      </c>
      <c r="AC14" s="14"/>
      <c r="AD14" s="13">
        <f>+AD15</f>
        <v>0</v>
      </c>
      <c r="AE14" s="13"/>
      <c r="AF14" s="13">
        <f t="shared" si="3"/>
        <v>0</v>
      </c>
      <c r="AG14" s="14"/>
      <c r="AH14" s="13">
        <f>+AH15</f>
        <v>0</v>
      </c>
      <c r="AI14" s="13"/>
      <c r="AJ14" s="13">
        <f t="shared" si="9"/>
        <v>0</v>
      </c>
      <c r="AK14" s="14"/>
      <c r="AL14" s="13">
        <v>1544330</v>
      </c>
      <c r="AM14" s="13"/>
      <c r="AN14" s="13">
        <f>+AL14</f>
        <v>1544330</v>
      </c>
      <c r="AO14" s="14"/>
      <c r="AP14" s="13">
        <v>0</v>
      </c>
      <c r="AQ14" s="13">
        <v>0</v>
      </c>
      <c r="AR14" s="13">
        <f t="shared" si="4"/>
        <v>1544330</v>
      </c>
      <c r="AS14" s="14"/>
    </row>
    <row r="15" spans="1:45" ht="21" x14ac:dyDescent="0.25">
      <c r="A15" s="12" t="s">
        <v>219</v>
      </c>
      <c r="B15" s="13"/>
      <c r="C15" s="13"/>
      <c r="D15" s="13">
        <f t="shared" si="5"/>
        <v>0</v>
      </c>
      <c r="E15" s="14"/>
      <c r="F15" s="13"/>
      <c r="G15" s="13"/>
      <c r="H15" s="13">
        <f t="shared" si="11"/>
        <v>0</v>
      </c>
      <c r="I15" s="88">
        <f>+I14</f>
        <v>0</v>
      </c>
      <c r="J15" s="13"/>
      <c r="K15" s="194">
        <f t="shared" si="6"/>
        <v>0</v>
      </c>
      <c r="L15" s="88">
        <v>0</v>
      </c>
      <c r="M15" s="13"/>
      <c r="N15" s="193">
        <f t="shared" si="1"/>
        <v>0</v>
      </c>
      <c r="O15" s="13"/>
      <c r="P15" s="13"/>
      <c r="Q15" s="13">
        <f t="shared" si="7"/>
        <v>0</v>
      </c>
      <c r="R15" s="88"/>
      <c r="S15" s="13"/>
      <c r="T15" s="13">
        <f t="shared" si="8"/>
        <v>0</v>
      </c>
      <c r="U15" s="14"/>
      <c r="V15" s="88"/>
      <c r="W15" s="13"/>
      <c r="X15" s="13">
        <f t="shared" si="0"/>
        <v>0</v>
      </c>
      <c r="Y15" s="14"/>
      <c r="Z15" s="13">
        <v>0</v>
      </c>
      <c r="AA15" s="13"/>
      <c r="AB15" s="18">
        <f t="shared" si="2"/>
        <v>0</v>
      </c>
      <c r="AC15" s="14"/>
      <c r="AD15" s="13"/>
      <c r="AE15" s="13"/>
      <c r="AF15" s="13">
        <f t="shared" si="3"/>
        <v>0</v>
      </c>
      <c r="AG15" s="14"/>
      <c r="AH15" s="13"/>
      <c r="AI15" s="13"/>
      <c r="AJ15" s="13">
        <f t="shared" si="9"/>
        <v>0</v>
      </c>
      <c r="AK15" s="14"/>
      <c r="AL15" s="13">
        <v>1544330</v>
      </c>
      <c r="AM15" s="13">
        <v>0</v>
      </c>
      <c r="AN15" s="13">
        <f>+AL15</f>
        <v>1544330</v>
      </c>
      <c r="AO15" s="14"/>
      <c r="AP15" s="13">
        <v>0</v>
      </c>
      <c r="AQ15" s="13">
        <v>0</v>
      </c>
      <c r="AR15" s="13">
        <f t="shared" si="4"/>
        <v>1544330</v>
      </c>
      <c r="AS15" s="14"/>
    </row>
    <row r="16" spans="1:45" x14ac:dyDescent="0.25">
      <c r="A16" s="17" t="s">
        <v>8</v>
      </c>
      <c r="B16" s="18">
        <v>0</v>
      </c>
      <c r="C16" s="18">
        <f>C17+C21+C24+C26</f>
        <v>5070435</v>
      </c>
      <c r="D16" s="18">
        <f>+C16</f>
        <v>5070435</v>
      </c>
      <c r="E16" s="19"/>
      <c r="F16" s="18">
        <v>0</v>
      </c>
      <c r="G16" s="18">
        <f>G17+G21+G24+G26</f>
        <v>6521782</v>
      </c>
      <c r="H16" s="13">
        <f t="shared" ref="H16:H74" si="12">+F16+G16+D16</f>
        <v>11592217</v>
      </c>
      <c r="I16" s="20">
        <v>0</v>
      </c>
      <c r="J16" s="18">
        <f>J17+J21+J24</f>
        <v>6934538</v>
      </c>
      <c r="K16" s="193">
        <f>H16+J16</f>
        <v>18526755</v>
      </c>
      <c r="L16" s="20">
        <v>0</v>
      </c>
      <c r="M16" s="20">
        <f>M17+M21+M24+M26</f>
        <v>11902051</v>
      </c>
      <c r="N16" s="193">
        <f>+K16+M16</f>
        <v>30428806</v>
      </c>
      <c r="O16" s="18">
        <v>0</v>
      </c>
      <c r="P16" s="20">
        <f>P17+P21+P24+P26</f>
        <v>5781805</v>
      </c>
      <c r="Q16" s="97">
        <f>+N16+P16</f>
        <v>36210611</v>
      </c>
      <c r="R16" s="20">
        <v>0</v>
      </c>
      <c r="S16" s="65">
        <f>S17+S21+S24+S26</f>
        <v>3102603</v>
      </c>
      <c r="T16" s="18">
        <f>Q16+S16</f>
        <v>39313214</v>
      </c>
      <c r="U16" s="19"/>
      <c r="V16" s="20">
        <v>0</v>
      </c>
      <c r="W16" s="65">
        <f>W17+W21+W24+W26</f>
        <v>4934884</v>
      </c>
      <c r="X16" s="18">
        <f>T16+W16</f>
        <v>44248098</v>
      </c>
      <c r="Y16" s="19"/>
      <c r="Z16" s="20">
        <f>Z17+Z21+Z24</f>
        <v>0</v>
      </c>
      <c r="AA16" s="65">
        <f>AA17+AA21+AA24+AA26</f>
        <v>13355048</v>
      </c>
      <c r="AB16" s="18">
        <f>X16+AA16</f>
        <v>57603146</v>
      </c>
      <c r="AC16" s="19"/>
      <c r="AD16" s="20">
        <f>AD17+AD21+AD24</f>
        <v>0</v>
      </c>
      <c r="AE16" s="65">
        <f>AE17+AE21+AE24+AE26</f>
        <v>12223256</v>
      </c>
      <c r="AF16" s="18">
        <f>AB16+AE16</f>
        <v>69826402</v>
      </c>
      <c r="AG16" s="19"/>
      <c r="AH16" s="20">
        <f>AH17+AH21+AH24</f>
        <v>0</v>
      </c>
      <c r="AI16" s="65">
        <f>AI17+AI21+AI24+AI26</f>
        <v>12732697</v>
      </c>
      <c r="AJ16" s="18">
        <f>AF16+AI16</f>
        <v>82559099</v>
      </c>
      <c r="AK16" s="19"/>
      <c r="AL16" s="20">
        <f>AL17+AL21+AL24</f>
        <v>0</v>
      </c>
      <c r="AM16" s="65">
        <f>AM17+AM21+AM24+AM26</f>
        <v>10221753</v>
      </c>
      <c r="AN16" s="18">
        <f>AJ16+AM16</f>
        <v>92780852</v>
      </c>
      <c r="AO16" s="19"/>
      <c r="AP16" s="20">
        <f>AP17+AP21+AP24</f>
        <v>0</v>
      </c>
      <c r="AQ16" s="65">
        <f>AQ17+AQ21+AQ24+AQ26</f>
        <v>10979454</v>
      </c>
      <c r="AR16" s="18">
        <f>AN16+AQ16</f>
        <v>103760306</v>
      </c>
      <c r="AS16" s="19"/>
    </row>
    <row r="17" spans="1:45" x14ac:dyDescent="0.25">
      <c r="A17" s="12" t="s">
        <v>9</v>
      </c>
      <c r="B17" s="13">
        <v>0</v>
      </c>
      <c r="C17" s="13">
        <f>C18</f>
        <v>2035</v>
      </c>
      <c r="D17" s="13">
        <f>+C17</f>
        <v>2035</v>
      </c>
      <c r="E17" s="14"/>
      <c r="F17" s="13">
        <v>0</v>
      </c>
      <c r="G17" s="13">
        <f>+G18</f>
        <v>1690</v>
      </c>
      <c r="H17" s="13">
        <f t="shared" si="12"/>
        <v>3725</v>
      </c>
      <c r="I17" s="88">
        <v>0</v>
      </c>
      <c r="J17" s="13">
        <f>J18+J19+J20</f>
        <v>318</v>
      </c>
      <c r="K17" s="194">
        <f>H17+J17</f>
        <v>4043</v>
      </c>
      <c r="L17" s="88">
        <v>0</v>
      </c>
      <c r="M17" s="13">
        <f>+M18+M19</f>
        <v>4977163</v>
      </c>
      <c r="N17" s="193">
        <f>+K17+M17</f>
        <v>4981206</v>
      </c>
      <c r="O17" s="13">
        <v>0</v>
      </c>
      <c r="P17" s="13">
        <f>P18+P19+P20</f>
        <v>621</v>
      </c>
      <c r="Q17" s="13">
        <f t="shared" ref="Q17:Q27" si="13">+N17+P17</f>
        <v>4981827</v>
      </c>
      <c r="R17" s="88">
        <v>0</v>
      </c>
      <c r="S17" s="13">
        <f>S18+S19</f>
        <v>503</v>
      </c>
      <c r="T17" s="13">
        <f t="shared" ref="T17:T27" si="14">Q17+S17</f>
        <v>4982330</v>
      </c>
      <c r="U17" s="14"/>
      <c r="V17" s="88">
        <v>0</v>
      </c>
      <c r="W17" s="13">
        <f>+W18+W19</f>
        <v>315</v>
      </c>
      <c r="X17" s="13">
        <f>T17+W17</f>
        <v>4982645</v>
      </c>
      <c r="Y17" s="14"/>
      <c r="Z17" s="88">
        <f>Z18+Z19+Z20</f>
        <v>0</v>
      </c>
      <c r="AA17" s="13">
        <f>+AA18</f>
        <v>283</v>
      </c>
      <c r="AB17" s="18">
        <f>X17+AA17</f>
        <v>4982928</v>
      </c>
      <c r="AC17" s="14"/>
      <c r="AD17" s="88">
        <f>AD18+AD19+AD20</f>
        <v>0</v>
      </c>
      <c r="AE17" s="13">
        <f>+AE18+AE19</f>
        <v>296</v>
      </c>
      <c r="AF17" s="13">
        <f>AB17+AE17</f>
        <v>4983224</v>
      </c>
      <c r="AG17" s="14"/>
      <c r="AH17" s="88">
        <f>AH18+AH19+AH20</f>
        <v>0</v>
      </c>
      <c r="AI17" s="13">
        <f>+AI18+AI19</f>
        <v>244</v>
      </c>
      <c r="AJ17" s="13">
        <f>AF17+AI17</f>
        <v>4983468</v>
      </c>
      <c r="AK17" s="14"/>
      <c r="AL17" s="88">
        <f>AL18+AL19+AL20</f>
        <v>0</v>
      </c>
      <c r="AM17" s="13">
        <f>AM18+AM19</f>
        <v>223</v>
      </c>
      <c r="AN17" s="13">
        <f>AJ17+AM17</f>
        <v>4983691</v>
      </c>
      <c r="AO17" s="14"/>
      <c r="AP17" s="88">
        <f>AP18+AP19+AP20</f>
        <v>0</v>
      </c>
      <c r="AQ17" s="13">
        <f>AQ18+AQ19</f>
        <v>165</v>
      </c>
      <c r="AR17" s="13">
        <f>AN17+AQ17</f>
        <v>4983856</v>
      </c>
      <c r="AS17" s="14"/>
    </row>
    <row r="18" spans="1:45" x14ac:dyDescent="0.25">
      <c r="A18" s="12" t="s">
        <v>10</v>
      </c>
      <c r="B18" s="13">
        <v>0</v>
      </c>
      <c r="C18" s="13">
        <v>2035</v>
      </c>
      <c r="D18" s="13">
        <f>+C18</f>
        <v>2035</v>
      </c>
      <c r="E18" s="14"/>
      <c r="F18" s="13">
        <v>0</v>
      </c>
      <c r="G18" s="13">
        <v>1690</v>
      </c>
      <c r="H18" s="13">
        <f>+F18+G18+D18</f>
        <v>3725</v>
      </c>
      <c r="I18" s="88">
        <v>0</v>
      </c>
      <c r="J18" s="13">
        <v>318</v>
      </c>
      <c r="K18" s="194">
        <f>H18+J18</f>
        <v>4043</v>
      </c>
      <c r="L18" s="88">
        <v>0</v>
      </c>
      <c r="M18" s="13">
        <v>4977163</v>
      </c>
      <c r="N18" s="193">
        <f>+K18+M18</f>
        <v>4981206</v>
      </c>
      <c r="O18" s="13">
        <v>0</v>
      </c>
      <c r="P18" s="13">
        <v>621</v>
      </c>
      <c r="Q18" s="13">
        <f t="shared" si="13"/>
        <v>4981827</v>
      </c>
      <c r="R18" s="88">
        <v>0</v>
      </c>
      <c r="S18" s="13">
        <v>503</v>
      </c>
      <c r="T18" s="13">
        <f t="shared" si="14"/>
        <v>4982330</v>
      </c>
      <c r="U18" s="14"/>
      <c r="V18" s="88">
        <v>0</v>
      </c>
      <c r="W18" s="13">
        <v>315</v>
      </c>
      <c r="X18" s="65">
        <f>T18+W18</f>
        <v>4982645</v>
      </c>
      <c r="Y18" s="14"/>
      <c r="Z18" s="88">
        <v>0</v>
      </c>
      <c r="AA18" s="13">
        <v>283</v>
      </c>
      <c r="AB18" s="18">
        <f>X18+AA18</f>
        <v>4982928</v>
      </c>
      <c r="AC18" s="14"/>
      <c r="AD18" s="88">
        <v>0</v>
      </c>
      <c r="AE18" s="13">
        <v>296</v>
      </c>
      <c r="AF18" s="13">
        <f>AB18+AE18</f>
        <v>4983224</v>
      </c>
      <c r="AG18" s="14"/>
      <c r="AH18" s="88">
        <v>0</v>
      </c>
      <c r="AI18" s="13">
        <v>244</v>
      </c>
      <c r="AJ18" s="13">
        <f>AF18+AI18</f>
        <v>4983468</v>
      </c>
      <c r="AK18" s="14"/>
      <c r="AL18" s="88">
        <v>0</v>
      </c>
      <c r="AM18" s="13">
        <v>223</v>
      </c>
      <c r="AN18" s="13">
        <f>AJ18+AM18</f>
        <v>4983691</v>
      </c>
      <c r="AO18" s="14"/>
      <c r="AP18" s="88">
        <v>0</v>
      </c>
      <c r="AQ18" s="13">
        <v>165</v>
      </c>
      <c r="AR18" s="13">
        <f>AN18+AQ18</f>
        <v>4983856</v>
      </c>
      <c r="AS18" s="14"/>
    </row>
    <row r="19" spans="1:45" x14ac:dyDescent="0.25">
      <c r="A19" s="12" t="s">
        <v>188</v>
      </c>
      <c r="B19" s="13"/>
      <c r="C19" s="13"/>
      <c r="D19" s="13">
        <f>+C19</f>
        <v>0</v>
      </c>
      <c r="E19" s="14"/>
      <c r="F19" s="13"/>
      <c r="G19" s="13">
        <v>0</v>
      </c>
      <c r="H19" s="13">
        <f t="shared" si="12"/>
        <v>0</v>
      </c>
      <c r="I19" s="88"/>
      <c r="J19" s="13">
        <v>0</v>
      </c>
      <c r="K19" s="194">
        <f t="shared" ref="K19:K28" si="15">H19+J19</f>
        <v>0</v>
      </c>
      <c r="L19" s="88">
        <v>0</v>
      </c>
      <c r="M19" s="13">
        <v>0</v>
      </c>
      <c r="N19" s="193">
        <f t="shared" ref="N19:N27" si="16">+K19+M19</f>
        <v>0</v>
      </c>
      <c r="O19" s="13">
        <v>0</v>
      </c>
      <c r="P19" s="13">
        <v>0</v>
      </c>
      <c r="Q19" s="13">
        <f t="shared" si="13"/>
        <v>0</v>
      </c>
      <c r="R19" s="88">
        <v>0</v>
      </c>
      <c r="S19" s="13">
        <v>0</v>
      </c>
      <c r="T19" s="13">
        <f t="shared" si="14"/>
        <v>0</v>
      </c>
      <c r="U19" s="14"/>
      <c r="V19" s="88">
        <v>0</v>
      </c>
      <c r="W19" s="13">
        <v>0</v>
      </c>
      <c r="X19" s="13">
        <f>T19+W19</f>
        <v>0</v>
      </c>
      <c r="Y19" s="14"/>
      <c r="Z19" s="88">
        <v>0</v>
      </c>
      <c r="AA19" s="13">
        <v>0</v>
      </c>
      <c r="AB19" s="18">
        <f>X19+AA19</f>
        <v>0</v>
      </c>
      <c r="AC19" s="14"/>
      <c r="AD19" s="88">
        <v>0</v>
      </c>
      <c r="AE19" s="13">
        <v>0</v>
      </c>
      <c r="AF19" s="13">
        <f>AB19+AE19</f>
        <v>0</v>
      </c>
      <c r="AG19" s="14"/>
      <c r="AH19" s="88">
        <v>0</v>
      </c>
      <c r="AI19" s="13"/>
      <c r="AJ19" s="13">
        <f>AF19+AI19</f>
        <v>0</v>
      </c>
      <c r="AK19" s="14"/>
      <c r="AL19" s="88">
        <v>0</v>
      </c>
      <c r="AM19" s="13">
        <v>0</v>
      </c>
      <c r="AN19" s="13">
        <f>AJ19+AM19</f>
        <v>0</v>
      </c>
      <c r="AO19" s="14"/>
      <c r="AP19" s="88">
        <v>0</v>
      </c>
      <c r="AQ19" s="13">
        <v>0</v>
      </c>
      <c r="AR19" s="13">
        <f>AN19+AQ19</f>
        <v>0</v>
      </c>
      <c r="AS19" s="14"/>
    </row>
    <row r="20" spans="1:45" ht="21" x14ac:dyDescent="0.25">
      <c r="A20" s="12" t="s">
        <v>73</v>
      </c>
      <c r="B20" s="13"/>
      <c r="C20" s="13"/>
      <c r="D20" s="13"/>
      <c r="E20" s="14"/>
      <c r="F20" s="13"/>
      <c r="G20" s="13"/>
      <c r="H20" s="13">
        <f t="shared" si="12"/>
        <v>0</v>
      </c>
      <c r="I20" s="88"/>
      <c r="J20" s="13"/>
      <c r="K20" s="194">
        <f t="shared" si="15"/>
        <v>0</v>
      </c>
      <c r="L20" s="88"/>
      <c r="M20" s="13"/>
      <c r="N20" s="193">
        <f t="shared" si="16"/>
        <v>0</v>
      </c>
      <c r="O20" s="13"/>
      <c r="P20" s="13"/>
      <c r="Q20" s="13">
        <f t="shared" si="13"/>
        <v>0</v>
      </c>
      <c r="R20" s="88"/>
      <c r="S20" s="13"/>
      <c r="T20" s="13">
        <f t="shared" si="14"/>
        <v>0</v>
      </c>
      <c r="U20" s="14"/>
      <c r="V20" s="88"/>
      <c r="W20" s="13"/>
      <c r="X20" s="13"/>
      <c r="Y20" s="14"/>
      <c r="Z20" s="88"/>
      <c r="AA20" s="88">
        <v>0</v>
      </c>
      <c r="AB20" s="18"/>
      <c r="AC20" s="14"/>
      <c r="AD20" s="88"/>
      <c r="AE20" s="13"/>
      <c r="AF20" s="13"/>
      <c r="AG20" s="14"/>
      <c r="AH20" s="88"/>
      <c r="AI20" s="13"/>
      <c r="AJ20" s="13"/>
      <c r="AK20" s="14"/>
      <c r="AL20" s="88"/>
      <c r="AM20" s="13"/>
      <c r="AN20" s="13"/>
      <c r="AO20" s="14"/>
      <c r="AP20" s="88"/>
      <c r="AQ20" s="13"/>
      <c r="AR20" s="13"/>
      <c r="AS20" s="14"/>
    </row>
    <row r="21" spans="1:45" ht="21" customHeight="1" x14ac:dyDescent="0.25">
      <c r="A21" s="89" t="s">
        <v>335</v>
      </c>
      <c r="B21" s="13">
        <v>0</v>
      </c>
      <c r="C21" s="13">
        <f>C22</f>
        <v>0</v>
      </c>
      <c r="D21" s="13">
        <f>+C21</f>
        <v>0</v>
      </c>
      <c r="E21" s="14"/>
      <c r="F21" s="13">
        <v>0</v>
      </c>
      <c r="G21" s="13">
        <f>+G22</f>
        <v>0</v>
      </c>
      <c r="H21" s="13">
        <f t="shared" si="12"/>
        <v>0</v>
      </c>
      <c r="I21" s="88">
        <v>0</v>
      </c>
      <c r="J21" s="13">
        <f>+J22</f>
        <v>0</v>
      </c>
      <c r="K21" s="194">
        <f t="shared" si="15"/>
        <v>0</v>
      </c>
      <c r="L21" s="88">
        <v>0</v>
      </c>
      <c r="M21" s="13">
        <f>M22</f>
        <v>0</v>
      </c>
      <c r="N21" s="193">
        <f t="shared" si="16"/>
        <v>0</v>
      </c>
      <c r="O21" s="13">
        <v>0</v>
      </c>
      <c r="P21" s="13">
        <f>+P22</f>
        <v>0</v>
      </c>
      <c r="Q21" s="13">
        <f t="shared" si="13"/>
        <v>0</v>
      </c>
      <c r="R21" s="88">
        <v>0</v>
      </c>
      <c r="S21" s="13">
        <f>+S22</f>
        <v>0</v>
      </c>
      <c r="T21" s="13">
        <f t="shared" si="14"/>
        <v>0</v>
      </c>
      <c r="U21" s="14"/>
      <c r="V21" s="88">
        <v>0</v>
      </c>
      <c r="W21" s="13">
        <f>W22</f>
        <v>0</v>
      </c>
      <c r="X21" s="13">
        <f>T21+W21</f>
        <v>0</v>
      </c>
      <c r="Y21" s="14"/>
      <c r="Z21" s="88">
        <v>0</v>
      </c>
      <c r="AA21" s="13">
        <f>AA22</f>
        <v>6535725</v>
      </c>
      <c r="AB21" s="18">
        <f>X21+AA21</f>
        <v>6535725</v>
      </c>
      <c r="AC21" s="14"/>
      <c r="AD21" s="88">
        <v>0</v>
      </c>
      <c r="AE21" s="13">
        <f>AE22</f>
        <v>0</v>
      </c>
      <c r="AF21" s="13">
        <f>AB21+AE21</f>
        <v>6535725</v>
      </c>
      <c r="AG21" s="14"/>
      <c r="AH21" s="88">
        <v>0</v>
      </c>
      <c r="AI21" s="13">
        <f>AI22</f>
        <v>0</v>
      </c>
      <c r="AJ21" s="13">
        <f>AF21+AI21</f>
        <v>6535725</v>
      </c>
      <c r="AK21" s="14"/>
      <c r="AL21" s="88">
        <v>0</v>
      </c>
      <c r="AM21" s="13">
        <f>AM22</f>
        <v>0</v>
      </c>
      <c r="AN21" s="13">
        <f>AJ21+AM21</f>
        <v>6535725</v>
      </c>
      <c r="AO21" s="14"/>
      <c r="AP21" s="88">
        <v>0</v>
      </c>
      <c r="AQ21" s="13">
        <f>AQ22</f>
        <v>0</v>
      </c>
      <c r="AR21" s="13">
        <f>AN21+AQ21</f>
        <v>6535725</v>
      </c>
      <c r="AS21" s="14"/>
    </row>
    <row r="22" spans="1:45" ht="21" x14ac:dyDescent="0.25">
      <c r="A22" s="12" t="s">
        <v>336</v>
      </c>
      <c r="B22" s="13">
        <v>0</v>
      </c>
      <c r="C22" s="13"/>
      <c r="D22" s="13">
        <f>+C22</f>
        <v>0</v>
      </c>
      <c r="E22" s="14"/>
      <c r="F22" s="13">
        <v>0</v>
      </c>
      <c r="G22" s="13"/>
      <c r="H22" s="13">
        <f t="shared" si="12"/>
        <v>0</v>
      </c>
      <c r="I22" s="88">
        <v>0</v>
      </c>
      <c r="J22" s="13"/>
      <c r="K22" s="194">
        <f t="shared" si="15"/>
        <v>0</v>
      </c>
      <c r="L22" s="88">
        <v>0</v>
      </c>
      <c r="M22" s="13"/>
      <c r="N22" s="193">
        <f t="shared" si="16"/>
        <v>0</v>
      </c>
      <c r="O22" s="13">
        <v>0</v>
      </c>
      <c r="P22" s="13"/>
      <c r="Q22" s="13">
        <f t="shared" si="13"/>
        <v>0</v>
      </c>
      <c r="R22" s="88">
        <v>0</v>
      </c>
      <c r="S22" s="13"/>
      <c r="T22" s="13">
        <f t="shared" si="14"/>
        <v>0</v>
      </c>
      <c r="U22" s="14"/>
      <c r="V22" s="88">
        <v>0</v>
      </c>
      <c r="W22" s="13"/>
      <c r="X22" s="13">
        <f>T22+W22</f>
        <v>0</v>
      </c>
      <c r="Y22" s="14"/>
      <c r="Z22" s="88">
        <v>0</v>
      </c>
      <c r="AA22" s="13">
        <v>6535725</v>
      </c>
      <c r="AB22" s="18">
        <f>X22+AA22</f>
        <v>6535725</v>
      </c>
      <c r="AC22" s="14"/>
      <c r="AD22" s="88">
        <v>0</v>
      </c>
      <c r="AE22" s="13"/>
      <c r="AF22" s="13">
        <f>AB22+AE22</f>
        <v>6535725</v>
      </c>
      <c r="AG22" s="14"/>
      <c r="AH22" s="88">
        <v>0</v>
      </c>
      <c r="AI22" s="13"/>
      <c r="AJ22" s="13">
        <f>AF22+AI22</f>
        <v>6535725</v>
      </c>
      <c r="AK22" s="14"/>
      <c r="AL22" s="88">
        <v>0</v>
      </c>
      <c r="AM22" s="13"/>
      <c r="AN22" s="13">
        <f>AJ22+AM22</f>
        <v>6535725</v>
      </c>
      <c r="AO22" s="14"/>
      <c r="AP22" s="88">
        <v>0</v>
      </c>
      <c r="AQ22" s="13"/>
      <c r="AR22" s="13">
        <f>AN22+AQ22</f>
        <v>6535725</v>
      </c>
      <c r="AS22" s="14"/>
    </row>
    <row r="23" spans="1:45" x14ac:dyDescent="0.25">
      <c r="A23" s="12"/>
      <c r="B23" s="13"/>
      <c r="C23" s="13"/>
      <c r="D23" s="13"/>
      <c r="E23" s="14"/>
      <c r="F23" s="13"/>
      <c r="G23" s="13"/>
      <c r="H23" s="13">
        <f t="shared" si="12"/>
        <v>0</v>
      </c>
      <c r="I23" s="88"/>
      <c r="J23" s="13"/>
      <c r="K23" s="194">
        <f t="shared" si="15"/>
        <v>0</v>
      </c>
      <c r="L23" s="88"/>
      <c r="M23" s="13"/>
      <c r="N23" s="193">
        <f t="shared" si="16"/>
        <v>0</v>
      </c>
      <c r="O23" s="13"/>
      <c r="P23" s="13"/>
      <c r="Q23" s="13">
        <f t="shared" si="13"/>
        <v>0</v>
      </c>
      <c r="R23" s="88"/>
      <c r="S23" s="13"/>
      <c r="T23" s="13">
        <f t="shared" si="14"/>
        <v>0</v>
      </c>
      <c r="U23" s="14"/>
      <c r="V23" s="88"/>
      <c r="W23" s="13"/>
      <c r="X23" s="13"/>
      <c r="Y23" s="14"/>
      <c r="Z23" s="88"/>
      <c r="AA23" s="13"/>
      <c r="AB23" s="18"/>
      <c r="AC23" s="14"/>
      <c r="AD23" s="88"/>
      <c r="AE23" s="13"/>
      <c r="AF23" s="13"/>
      <c r="AG23" s="14"/>
      <c r="AH23" s="88"/>
      <c r="AI23" s="13"/>
      <c r="AJ23" s="13"/>
      <c r="AK23" s="14"/>
      <c r="AL23" s="88"/>
      <c r="AM23" s="13"/>
      <c r="AN23" s="13"/>
      <c r="AO23" s="14"/>
      <c r="AP23" s="88"/>
      <c r="AQ23" s="13"/>
      <c r="AR23" s="13"/>
      <c r="AS23" s="14"/>
    </row>
    <row r="24" spans="1:45" x14ac:dyDescent="0.25">
      <c r="A24" s="12" t="s">
        <v>11</v>
      </c>
      <c r="B24" s="13">
        <v>0</v>
      </c>
      <c r="C24" s="13">
        <f>C25</f>
        <v>5068360</v>
      </c>
      <c r="D24" s="13">
        <f>+C24</f>
        <v>5068360</v>
      </c>
      <c r="E24" s="14"/>
      <c r="F24" s="13">
        <v>0</v>
      </c>
      <c r="G24" s="13">
        <f>G25</f>
        <v>6520092</v>
      </c>
      <c r="H24" s="13">
        <f t="shared" si="12"/>
        <v>11588452</v>
      </c>
      <c r="I24" s="88">
        <v>0</v>
      </c>
      <c r="J24" s="13">
        <f>J25</f>
        <v>6934220</v>
      </c>
      <c r="K24" s="194">
        <f t="shared" si="15"/>
        <v>18522672</v>
      </c>
      <c r="L24" s="88">
        <v>0</v>
      </c>
      <c r="M24" s="13">
        <f>M25</f>
        <v>6924860</v>
      </c>
      <c r="N24" s="193">
        <f t="shared" si="16"/>
        <v>25447532</v>
      </c>
      <c r="O24" s="13">
        <v>0</v>
      </c>
      <c r="P24" s="13">
        <f>+P25</f>
        <v>5781184</v>
      </c>
      <c r="Q24" s="13">
        <f t="shared" si="13"/>
        <v>31228716</v>
      </c>
      <c r="R24" s="88">
        <v>0</v>
      </c>
      <c r="S24" s="13">
        <f>S25</f>
        <v>3102100</v>
      </c>
      <c r="T24" s="13">
        <f t="shared" si="14"/>
        <v>34330816</v>
      </c>
      <c r="U24" s="14"/>
      <c r="V24" s="88">
        <v>0</v>
      </c>
      <c r="W24" s="13">
        <f>W25</f>
        <v>4922830</v>
      </c>
      <c r="X24" s="13">
        <f>T24+W24</f>
        <v>39253646</v>
      </c>
      <c r="Y24" s="14"/>
      <c r="Z24" s="88">
        <v>0</v>
      </c>
      <c r="AA24" s="13">
        <f>AA25</f>
        <v>6819040</v>
      </c>
      <c r="AB24" s="18">
        <f>X24+AA24</f>
        <v>46072686</v>
      </c>
      <c r="AC24" s="14"/>
      <c r="AD24" s="88">
        <v>0</v>
      </c>
      <c r="AE24" s="13">
        <f>AE25</f>
        <v>12222960</v>
      </c>
      <c r="AF24" s="13">
        <f>AB24+AE24</f>
        <v>58295646</v>
      </c>
      <c r="AG24" s="14"/>
      <c r="AH24" s="88">
        <v>0</v>
      </c>
      <c r="AI24" s="13">
        <f>AI25</f>
        <v>12732453</v>
      </c>
      <c r="AJ24" s="13">
        <f>AF24+AI24</f>
        <v>71028099</v>
      </c>
      <c r="AK24" s="14"/>
      <c r="AL24" s="88">
        <v>0</v>
      </c>
      <c r="AM24" s="13">
        <f>AM25</f>
        <v>10221530</v>
      </c>
      <c r="AN24" s="13">
        <f>AJ24+AM24</f>
        <v>81249629</v>
      </c>
      <c r="AO24" s="14"/>
      <c r="AP24" s="88">
        <v>0</v>
      </c>
      <c r="AQ24" s="13">
        <f>AQ25</f>
        <v>10979289</v>
      </c>
      <c r="AR24" s="13">
        <f>AN24+AQ24</f>
        <v>92228918</v>
      </c>
      <c r="AS24" s="14"/>
    </row>
    <row r="25" spans="1:45" x14ac:dyDescent="0.25">
      <c r="A25" s="89" t="s">
        <v>12</v>
      </c>
      <c r="B25" s="13">
        <v>0</v>
      </c>
      <c r="C25" s="13">
        <v>5068360</v>
      </c>
      <c r="D25" s="13">
        <f t="shared" ref="D25:D27" si="17">+C25</f>
        <v>5068360</v>
      </c>
      <c r="E25" s="14"/>
      <c r="F25" s="13">
        <v>0</v>
      </c>
      <c r="G25" s="13">
        <v>6520092</v>
      </c>
      <c r="H25" s="13">
        <f t="shared" si="12"/>
        <v>11588452</v>
      </c>
      <c r="I25" s="88">
        <v>0</v>
      </c>
      <c r="J25" s="13">
        <v>6934220</v>
      </c>
      <c r="K25" s="194">
        <f t="shared" si="15"/>
        <v>18522672</v>
      </c>
      <c r="L25" s="88"/>
      <c r="M25" s="13">
        <v>6924860</v>
      </c>
      <c r="N25" s="193">
        <f t="shared" si="16"/>
        <v>25447532</v>
      </c>
      <c r="O25" s="13"/>
      <c r="P25" s="13">
        <v>5781184</v>
      </c>
      <c r="Q25" s="13">
        <f t="shared" si="13"/>
        <v>31228716</v>
      </c>
      <c r="R25" s="88">
        <v>0</v>
      </c>
      <c r="S25" s="13">
        <v>3102100</v>
      </c>
      <c r="T25" s="13">
        <f t="shared" si="14"/>
        <v>34330816</v>
      </c>
      <c r="U25" s="14"/>
      <c r="V25" s="88">
        <v>0</v>
      </c>
      <c r="W25" s="13">
        <v>4922830</v>
      </c>
      <c r="X25" s="13">
        <f>T25+W25</f>
        <v>39253646</v>
      </c>
      <c r="Y25" s="14"/>
      <c r="Z25" s="88">
        <v>0</v>
      </c>
      <c r="AA25" s="13">
        <v>6819040</v>
      </c>
      <c r="AB25" s="18">
        <f>X25+AA25</f>
        <v>46072686</v>
      </c>
      <c r="AC25" s="14"/>
      <c r="AD25" s="88">
        <v>0</v>
      </c>
      <c r="AE25" s="13">
        <v>12222960</v>
      </c>
      <c r="AF25" s="13">
        <f>AB25+AE25</f>
        <v>58295646</v>
      </c>
      <c r="AG25" s="14"/>
      <c r="AH25" s="88">
        <v>0</v>
      </c>
      <c r="AI25" s="13">
        <v>12732453</v>
      </c>
      <c r="AJ25" s="13">
        <f>AF25+AI25</f>
        <v>71028099</v>
      </c>
      <c r="AK25" s="14"/>
      <c r="AL25" s="88">
        <v>0</v>
      </c>
      <c r="AM25" s="13">
        <v>10221530</v>
      </c>
      <c r="AN25" s="13">
        <f>AJ25+AM25</f>
        <v>81249629</v>
      </c>
      <c r="AO25" s="14"/>
      <c r="AP25" s="88">
        <v>0</v>
      </c>
      <c r="AQ25" s="13">
        <v>10979289</v>
      </c>
      <c r="AR25" s="13">
        <f>AN25+AQ25</f>
        <v>92228918</v>
      </c>
      <c r="AS25" s="14"/>
    </row>
    <row r="26" spans="1:45" x14ac:dyDescent="0.25">
      <c r="A26" s="12" t="s">
        <v>75</v>
      </c>
      <c r="B26" s="13">
        <v>0</v>
      </c>
      <c r="C26" s="13">
        <f>+C27</f>
        <v>40</v>
      </c>
      <c r="D26" s="13">
        <f t="shared" si="17"/>
        <v>40</v>
      </c>
      <c r="E26" s="14"/>
      <c r="F26" s="13">
        <v>0</v>
      </c>
      <c r="G26" s="13">
        <f>+G27</f>
        <v>0</v>
      </c>
      <c r="H26" s="13">
        <f t="shared" si="12"/>
        <v>40</v>
      </c>
      <c r="I26" s="88">
        <v>0</v>
      </c>
      <c r="J26" s="13">
        <f>+J27</f>
        <v>0</v>
      </c>
      <c r="K26" s="194">
        <f t="shared" si="15"/>
        <v>40</v>
      </c>
      <c r="L26" s="88">
        <f>L27</f>
        <v>0</v>
      </c>
      <c r="M26" s="13">
        <f>+M27</f>
        <v>28</v>
      </c>
      <c r="N26" s="193">
        <f t="shared" si="16"/>
        <v>68</v>
      </c>
      <c r="O26" s="13">
        <f>O27</f>
        <v>0</v>
      </c>
      <c r="P26" s="13">
        <f>+P27</f>
        <v>0</v>
      </c>
      <c r="Q26" s="13">
        <f t="shared" si="13"/>
        <v>68</v>
      </c>
      <c r="R26" s="88">
        <f>R27</f>
        <v>0</v>
      </c>
      <c r="S26" s="13">
        <f>+S27</f>
        <v>0</v>
      </c>
      <c r="T26" s="13">
        <f t="shared" si="14"/>
        <v>68</v>
      </c>
      <c r="U26" s="14"/>
      <c r="V26" s="88">
        <f>V27</f>
        <v>0</v>
      </c>
      <c r="W26" s="13">
        <f>+W27</f>
        <v>11739</v>
      </c>
      <c r="X26" s="13">
        <f>T26+W26</f>
        <v>11807</v>
      </c>
      <c r="Y26" s="14"/>
      <c r="Z26" s="88">
        <v>0</v>
      </c>
      <c r="AA26" s="13">
        <f>+AA27</f>
        <v>0</v>
      </c>
      <c r="AB26" s="18">
        <f>X26+AA26</f>
        <v>11807</v>
      </c>
      <c r="AC26" s="14"/>
      <c r="AD26" s="88">
        <v>0</v>
      </c>
      <c r="AE26" s="13">
        <f>+AE27</f>
        <v>0</v>
      </c>
      <c r="AF26" s="13">
        <f>AB26+AE26</f>
        <v>11807</v>
      </c>
      <c r="AG26" s="14"/>
      <c r="AH26" s="88">
        <v>0</v>
      </c>
      <c r="AI26" s="13"/>
      <c r="AJ26" s="13">
        <f>AF26+AI26</f>
        <v>11807</v>
      </c>
      <c r="AK26" s="14"/>
      <c r="AL26" s="88">
        <v>0</v>
      </c>
      <c r="AM26" s="13">
        <f>+AM27</f>
        <v>0</v>
      </c>
      <c r="AN26" s="13">
        <f>AJ26+AM26</f>
        <v>11807</v>
      </c>
      <c r="AO26" s="14"/>
      <c r="AP26" s="88">
        <v>0</v>
      </c>
      <c r="AQ26" s="13">
        <f>+AQ27</f>
        <v>0</v>
      </c>
      <c r="AR26" s="13">
        <f>AN26+AQ26</f>
        <v>11807</v>
      </c>
      <c r="AS26" s="14"/>
    </row>
    <row r="27" spans="1:45" x14ac:dyDescent="0.25">
      <c r="A27" s="12" t="s">
        <v>74</v>
      </c>
      <c r="B27" s="13">
        <v>0</v>
      </c>
      <c r="C27" s="13">
        <v>40</v>
      </c>
      <c r="D27" s="13">
        <f t="shared" si="17"/>
        <v>40</v>
      </c>
      <c r="E27" s="14"/>
      <c r="F27" s="13">
        <v>0</v>
      </c>
      <c r="G27" s="13"/>
      <c r="H27" s="13">
        <f t="shared" si="12"/>
        <v>40</v>
      </c>
      <c r="I27" s="88">
        <v>0</v>
      </c>
      <c r="J27" s="13"/>
      <c r="K27" s="194">
        <f t="shared" si="15"/>
        <v>40</v>
      </c>
      <c r="L27" s="88"/>
      <c r="M27" s="13">
        <v>28</v>
      </c>
      <c r="N27" s="193">
        <f t="shared" si="16"/>
        <v>68</v>
      </c>
      <c r="O27" s="13"/>
      <c r="P27" s="13"/>
      <c r="Q27" s="13">
        <f t="shared" si="13"/>
        <v>68</v>
      </c>
      <c r="R27" s="88"/>
      <c r="S27" s="13"/>
      <c r="T27" s="13">
        <f t="shared" si="14"/>
        <v>68</v>
      </c>
      <c r="U27" s="14"/>
      <c r="V27" s="88"/>
      <c r="W27" s="13">
        <v>11739</v>
      </c>
      <c r="X27" s="13">
        <f>T27+W27</f>
        <v>11807</v>
      </c>
      <c r="Y27" s="14"/>
      <c r="Z27" s="88">
        <v>0</v>
      </c>
      <c r="AA27" s="13"/>
      <c r="AB27" s="18">
        <f>X27+AA27</f>
        <v>11807</v>
      </c>
      <c r="AC27" s="14"/>
      <c r="AD27" s="88">
        <v>0</v>
      </c>
      <c r="AE27" s="13"/>
      <c r="AF27" s="13">
        <f>AB27+AE27</f>
        <v>11807</v>
      </c>
      <c r="AG27" s="14"/>
      <c r="AH27" s="88">
        <v>0</v>
      </c>
      <c r="AI27" s="13"/>
      <c r="AJ27" s="13">
        <f>AF27+AI27</f>
        <v>11807</v>
      </c>
      <c r="AK27" s="14"/>
      <c r="AL27" s="88">
        <v>0</v>
      </c>
      <c r="AM27" s="13"/>
      <c r="AN27" s="13">
        <f>AJ27+AM27</f>
        <v>11807</v>
      </c>
      <c r="AO27" s="14"/>
      <c r="AP27" s="88">
        <v>0</v>
      </c>
      <c r="AQ27" s="13"/>
      <c r="AR27" s="13">
        <f>AN27+AQ27</f>
        <v>11807</v>
      </c>
      <c r="AS27" s="14"/>
    </row>
    <row r="28" spans="1:45" x14ac:dyDescent="0.25">
      <c r="A28" s="89"/>
      <c r="B28" s="13"/>
      <c r="C28" s="13"/>
      <c r="D28" s="13"/>
      <c r="E28" s="14"/>
      <c r="F28" s="13"/>
      <c r="G28" s="13"/>
      <c r="H28" s="13">
        <f t="shared" si="12"/>
        <v>0</v>
      </c>
      <c r="I28" s="88"/>
      <c r="J28" s="13"/>
      <c r="K28" s="194">
        <f t="shared" si="15"/>
        <v>0</v>
      </c>
      <c r="L28" s="88"/>
      <c r="M28" s="13"/>
      <c r="N28" s="193"/>
      <c r="O28" s="13"/>
      <c r="P28" s="13"/>
      <c r="Q28" s="13"/>
      <c r="R28" s="88"/>
      <c r="S28" s="13"/>
      <c r="T28" s="13"/>
      <c r="U28" s="14"/>
      <c r="V28" s="88"/>
      <c r="W28" s="13"/>
      <c r="X28" s="13"/>
      <c r="Y28" s="14"/>
      <c r="Z28" s="88"/>
      <c r="AA28" s="13"/>
      <c r="AB28" s="18"/>
      <c r="AC28" s="14"/>
      <c r="AD28" s="88"/>
      <c r="AE28" s="13"/>
      <c r="AF28" s="13"/>
      <c r="AG28" s="14"/>
      <c r="AH28" s="88"/>
      <c r="AI28" s="13"/>
      <c r="AJ28" s="13"/>
      <c r="AK28" s="14"/>
      <c r="AL28" s="88"/>
      <c r="AM28" s="13"/>
      <c r="AN28" s="13"/>
      <c r="AO28" s="14"/>
      <c r="AP28" s="88"/>
      <c r="AQ28" s="13"/>
      <c r="AR28" s="13"/>
      <c r="AS28" s="14"/>
    </row>
    <row r="29" spans="1:45" x14ac:dyDescent="0.25">
      <c r="A29" s="17" t="s">
        <v>13</v>
      </c>
      <c r="B29" s="18">
        <f>B30+B145+B123</f>
        <v>9947041</v>
      </c>
      <c r="C29" s="18">
        <v>0</v>
      </c>
      <c r="D29" s="18">
        <f>+B29</f>
        <v>9947041</v>
      </c>
      <c r="E29" s="19"/>
      <c r="F29" s="18">
        <f>F30+F145+F123</f>
        <v>13136716</v>
      </c>
      <c r="G29" s="18">
        <v>0</v>
      </c>
      <c r="H29" s="13">
        <f t="shared" si="12"/>
        <v>23083757</v>
      </c>
      <c r="I29" s="20">
        <f>I30+I145+I123</f>
        <v>11222287.82</v>
      </c>
      <c r="J29" s="68">
        <v>0</v>
      </c>
      <c r="K29" s="195">
        <f>+H29+I29</f>
        <v>34306044.82</v>
      </c>
      <c r="L29" s="20">
        <f>L30+L145+L123</f>
        <v>13880419</v>
      </c>
      <c r="M29" s="65">
        <v>0</v>
      </c>
      <c r="N29" s="193">
        <f>+K29+L29</f>
        <v>48186463.82</v>
      </c>
      <c r="O29" s="65">
        <f>O30+O145+O123</f>
        <v>12971414</v>
      </c>
      <c r="P29" s="65">
        <v>0</v>
      </c>
      <c r="Q29" s="193">
        <f>+N29+O29</f>
        <v>61157877.82</v>
      </c>
      <c r="R29" s="18">
        <f>R30+R145+R123</f>
        <v>10918657</v>
      </c>
      <c r="S29" s="65">
        <v>0</v>
      </c>
      <c r="T29" s="18">
        <f>+Q29+R29</f>
        <v>72076534.819999993</v>
      </c>
      <c r="U29" s="19"/>
      <c r="V29" s="18">
        <f>V30+V145+V123</f>
        <v>11152404</v>
      </c>
      <c r="W29" s="65">
        <v>0</v>
      </c>
      <c r="X29" s="18">
        <f t="shared" ref="X29:X30" si="18">T29+V29</f>
        <v>83228938.819999993</v>
      </c>
      <c r="Y29" s="19"/>
      <c r="Z29" s="18">
        <f>Z30+Z145+Z123</f>
        <v>11530628</v>
      </c>
      <c r="AA29" s="65">
        <v>0</v>
      </c>
      <c r="AB29" s="18">
        <f t="shared" ref="AB29" si="19">X29+Z29</f>
        <v>94759566.819999993</v>
      </c>
      <c r="AC29" s="19"/>
      <c r="AD29" s="18">
        <f>AD30+AD145+AD123</f>
        <v>14014468</v>
      </c>
      <c r="AE29" s="65">
        <v>0</v>
      </c>
      <c r="AF29" s="18">
        <f>AB29+AD29</f>
        <v>108774034.81999999</v>
      </c>
      <c r="AG29" s="19"/>
      <c r="AH29" s="18">
        <f>AH30+AH145+AH123</f>
        <v>14110605</v>
      </c>
      <c r="AI29" s="65">
        <v>0</v>
      </c>
      <c r="AJ29" s="18">
        <f t="shared" ref="AJ29:AJ30" si="20">AF29+AH29</f>
        <v>122884639.81999999</v>
      </c>
      <c r="AK29" s="19"/>
      <c r="AL29" s="18">
        <f>AL30+AL145+AL123</f>
        <v>12084858.1</v>
      </c>
      <c r="AM29" s="65">
        <v>0</v>
      </c>
      <c r="AN29" s="18">
        <f t="shared" ref="AN29:AN45" si="21">AJ29+AL29</f>
        <v>134969497.91999999</v>
      </c>
      <c r="AO29" s="19"/>
      <c r="AP29" s="18">
        <f>AP30+AP145+AP123</f>
        <v>14343828</v>
      </c>
      <c r="AQ29" s="65">
        <v>0</v>
      </c>
      <c r="AR29" s="18">
        <f>AN29+AP29</f>
        <v>149313325.91999999</v>
      </c>
      <c r="AS29" s="19"/>
    </row>
    <row r="30" spans="1:45" x14ac:dyDescent="0.25">
      <c r="A30" s="12" t="s">
        <v>14</v>
      </c>
      <c r="B30" s="13">
        <f>+B31+B47+B52+B58+B62+B65+B70+B81+B87+B94+B100+B108</f>
        <v>9791435</v>
      </c>
      <c r="C30" s="13">
        <v>0</v>
      </c>
      <c r="D30" s="13">
        <f>+B30</f>
        <v>9791435</v>
      </c>
      <c r="E30" s="14"/>
      <c r="F30" s="13">
        <f>+F31+F47+F52+F58+F62+F65+F70+F81+F87+F94+F100+F108</f>
        <v>12943164</v>
      </c>
      <c r="G30" s="13">
        <v>0</v>
      </c>
      <c r="H30" s="13">
        <f t="shared" si="12"/>
        <v>22734599</v>
      </c>
      <c r="I30" s="88">
        <f>+I31+I47+I52+I58+I62+I65+I70+I81+I87+I94+I100+I108</f>
        <v>11079523</v>
      </c>
      <c r="J30" s="45">
        <v>0</v>
      </c>
      <c r="K30" s="55">
        <f>H30+I30</f>
        <v>33814122</v>
      </c>
      <c r="L30" s="88">
        <f>+L31+L47+L52+L58+L62+L65+L70+L81+L87+L94+L100+L108</f>
        <v>13711828</v>
      </c>
      <c r="M30" s="13">
        <f>M31+M47+M58+M52+M65+M70+M81+M87+M94+M108+M62+M100</f>
        <v>0</v>
      </c>
      <c r="N30" s="193">
        <f>+K30+L30</f>
        <v>47525950</v>
      </c>
      <c r="O30" s="18">
        <f>+O31+O47+O52+O58+O62+O65+O70+O81+O87+O94+O100+O108</f>
        <v>12826136</v>
      </c>
      <c r="P30" s="13">
        <f>P31+P47+P58+P52+P65+P70+P81+P87+P94+P108+P62+P100</f>
        <v>0</v>
      </c>
      <c r="Q30" s="13">
        <f>+N30+O30</f>
        <v>60352086</v>
      </c>
      <c r="R30" s="13">
        <f>+R31+R47+R52+R58+R62+R65+R70+R81+R87+R94+R100+R108</f>
        <v>10570147</v>
      </c>
      <c r="S30" s="13">
        <v>0</v>
      </c>
      <c r="T30" s="13">
        <f t="shared" ref="T30:T93" si="22">+Q30+R30</f>
        <v>70922233</v>
      </c>
      <c r="U30" s="14"/>
      <c r="V30" s="13">
        <f>V31+V47+V52+V58+V62+V65+V70+V81+V87+V94+V100+V108</f>
        <v>10979169</v>
      </c>
      <c r="W30" s="13">
        <v>0</v>
      </c>
      <c r="X30" s="13">
        <f t="shared" si="18"/>
        <v>81901402</v>
      </c>
      <c r="Y30" s="14"/>
      <c r="Z30" s="13">
        <f>+Z31+Z47+Z52+Z58+Z62+Z65+Z70+Z81+Z87+Z94+Z100+Z108</f>
        <v>11383116</v>
      </c>
      <c r="AA30" s="13">
        <v>0</v>
      </c>
      <c r="AB30" s="18">
        <f>X30+Z30</f>
        <v>93284518</v>
      </c>
      <c r="AC30" s="14"/>
      <c r="AD30" s="336">
        <f>+AD31+AD47+AD52+AD58+AD62+AD65+AD70+AD81+AD87+AD94+AD100+AD108</f>
        <v>13862812</v>
      </c>
      <c r="AE30" s="13">
        <v>0</v>
      </c>
      <c r="AF30" s="13">
        <f t="shared" ref="AF30" si="23">AB30+AD30</f>
        <v>107147330</v>
      </c>
      <c r="AG30" s="14"/>
      <c r="AH30" s="13">
        <f>+AH31+AH47+AH52+AH58+AH62+AH65+AH70+AH81+AH87+AH94+AH100+AH108</f>
        <v>13932449</v>
      </c>
      <c r="AI30" s="13">
        <v>0</v>
      </c>
      <c r="AJ30" s="13">
        <f t="shared" si="20"/>
        <v>121079779</v>
      </c>
      <c r="AK30" s="14"/>
      <c r="AL30" s="13">
        <f>+AL31+AL47+AL52+AL58+AL62+AL65+AL70+AL81+AL87+AL94+AL100+AL108</f>
        <v>11946350</v>
      </c>
      <c r="AM30" s="13"/>
      <c r="AN30" s="13">
        <f t="shared" si="21"/>
        <v>133026129</v>
      </c>
      <c r="AO30" s="14"/>
      <c r="AP30" s="13">
        <f>+AP31+AP47+AP52+AP58+AP62+AP65+AP70+AP81+AP87+AP94+AP100+AP108</f>
        <v>14160457</v>
      </c>
      <c r="AQ30" s="13"/>
      <c r="AR30" s="13">
        <f>AN30+AP30</f>
        <v>147186586</v>
      </c>
      <c r="AS30" s="14"/>
    </row>
    <row r="31" spans="1:45" x14ac:dyDescent="0.25">
      <c r="A31" s="12" t="s">
        <v>15</v>
      </c>
      <c r="B31" s="13">
        <f>B32+B33+B34+B35+B36+B37+B38+B39+B40+B41+B42+B43+B44+B45</f>
        <v>4336153</v>
      </c>
      <c r="C31" s="13">
        <v>0</v>
      </c>
      <c r="D31" s="13">
        <f t="shared" ref="D31:D60" si="24">+B31</f>
        <v>4336153</v>
      </c>
      <c r="E31" s="14"/>
      <c r="F31" s="90">
        <f>SUM(F32:F44)</f>
        <v>6374656</v>
      </c>
      <c r="G31" s="13">
        <v>0</v>
      </c>
      <c r="H31" s="13">
        <f t="shared" si="12"/>
        <v>10710809</v>
      </c>
      <c r="I31" s="196">
        <f>SUM(I32:I44)</f>
        <v>6312658</v>
      </c>
      <c r="J31" s="45">
        <v>0</v>
      </c>
      <c r="K31" s="55">
        <f t="shared" ref="K31:L94" si="25">H31+I31</f>
        <v>17023467</v>
      </c>
      <c r="L31" s="196">
        <f>SUM(L32:L44)</f>
        <v>6933725</v>
      </c>
      <c r="M31" s="13">
        <v>0</v>
      </c>
      <c r="N31" s="193">
        <f t="shared" ref="N31:N94" si="26">+K31+L31</f>
        <v>23957192</v>
      </c>
      <c r="O31" s="210">
        <f>+O32+O33+O34+O35+O36+O37+O38+O39+O40+O41+O42+O43+O44+O45</f>
        <v>6244444</v>
      </c>
      <c r="P31" s="13">
        <v>0</v>
      </c>
      <c r="Q31" s="13">
        <f t="shared" ref="Q31:Q94" si="27">+N31+O31</f>
        <v>30201636</v>
      </c>
      <c r="R31" s="45">
        <f>SUM(R32:R44)</f>
        <v>6434444</v>
      </c>
      <c r="S31" s="13">
        <v>0</v>
      </c>
      <c r="T31" s="13">
        <f t="shared" si="22"/>
        <v>36636080</v>
      </c>
      <c r="U31" s="14"/>
      <c r="V31" s="45">
        <f>V32+V33+V34+V35+V36+V37+V38+V39+V40+V41+V42+V43+V44+V45</f>
        <v>6090444</v>
      </c>
      <c r="W31" s="13">
        <v>0</v>
      </c>
      <c r="X31" s="13">
        <f>T31+V31</f>
        <v>42726524</v>
      </c>
      <c r="Y31" s="14"/>
      <c r="Z31" s="45">
        <f>Z32+Z33+Z34+Z35+Z36+Z37+Z38+Z39+Z40+Z41+Z42+Z43+Z44+Z45</f>
        <v>6234444</v>
      </c>
      <c r="AA31" s="13">
        <v>0</v>
      </c>
      <c r="AB31" s="18">
        <f>X31+Z31</f>
        <v>48960968</v>
      </c>
      <c r="AC31" s="14"/>
      <c r="AD31" s="340">
        <f>AD32+AD33+AD34+AD35+AD36+AD37+AD38+AD39+AD40+AD41+AD42+AD43+AD44</f>
        <v>6234444</v>
      </c>
      <c r="AE31" s="13">
        <v>0</v>
      </c>
      <c r="AF31" s="13">
        <f>AB31+AD31</f>
        <v>55195412</v>
      </c>
      <c r="AG31" s="14"/>
      <c r="AH31" s="45">
        <f>AH32+AH33+AH34+AH35+AH36+AH37+AH38+AH39+AH40+AH41+AH42+AH43+AH44+AH45</f>
        <v>6234444</v>
      </c>
      <c r="AI31" s="13">
        <v>0</v>
      </c>
      <c r="AJ31" s="13">
        <f>AF31+AH31</f>
        <v>61429856</v>
      </c>
      <c r="AK31" s="14"/>
      <c r="AL31" s="45">
        <f>AL32+AL33+AL34+AL35+AL36+AL37+AL38+AL39+AL40+AL41+AL42+AL43+AL44+AL45</f>
        <v>6234444</v>
      </c>
      <c r="AM31" s="13">
        <f>AM32+AM33+AM34+AM35+AM36+AM37+AM38+AM39+AM40+AM41+AM42+AM43+AM44</f>
        <v>0</v>
      </c>
      <c r="AN31" s="13">
        <f t="shared" si="21"/>
        <v>67664300</v>
      </c>
      <c r="AO31" s="14"/>
      <c r="AP31" s="340">
        <f>AP32+AP33+AP34+AP35+AP36+AP37+AP38+AP39+AP40+AP41+AP42+AP43+AP44+AP45</f>
        <v>5963184</v>
      </c>
      <c r="AQ31" s="13">
        <f>AQ32+AQ33+AQ34+AQ35+AQ36+AQ37+AQ38+AQ39+AQ40+AQ41+AQ42+AQ43+AQ44</f>
        <v>0</v>
      </c>
      <c r="AR31" s="13">
        <f>AN31+AP31</f>
        <v>73627484</v>
      </c>
      <c r="AS31" s="14"/>
    </row>
    <row r="32" spans="1:45" x14ac:dyDescent="0.25">
      <c r="A32" s="12" t="s">
        <v>16</v>
      </c>
      <c r="B32" s="13">
        <v>3007833</v>
      </c>
      <c r="C32" s="13">
        <v>0</v>
      </c>
      <c r="D32" s="13">
        <f t="shared" si="24"/>
        <v>3007833</v>
      </c>
      <c r="E32" s="91"/>
      <c r="F32" s="45">
        <v>4235000</v>
      </c>
      <c r="G32" s="13"/>
      <c r="H32" s="13">
        <f t="shared" si="12"/>
        <v>7242833</v>
      </c>
      <c r="I32" s="196">
        <v>4235000</v>
      </c>
      <c r="J32" s="45"/>
      <c r="K32" s="55">
        <f t="shared" si="25"/>
        <v>11477833</v>
      </c>
      <c r="L32" s="88">
        <v>4235000</v>
      </c>
      <c r="M32" s="13"/>
      <c r="N32" s="193">
        <f t="shared" si="26"/>
        <v>15712833</v>
      </c>
      <c r="O32" s="211">
        <v>4235000</v>
      </c>
      <c r="P32" s="13"/>
      <c r="Q32" s="13">
        <f t="shared" si="27"/>
        <v>19947833</v>
      </c>
      <c r="R32" s="88">
        <v>4235000</v>
      </c>
      <c r="S32" s="13"/>
      <c r="T32" s="13">
        <f t="shared" si="22"/>
        <v>24182833</v>
      </c>
      <c r="U32" s="14"/>
      <c r="V32" s="88">
        <v>4235000</v>
      </c>
      <c r="W32" s="13"/>
      <c r="X32" s="13">
        <f>T32+V32</f>
        <v>28417833</v>
      </c>
      <c r="Y32" s="14"/>
      <c r="Z32" s="88">
        <v>4235000</v>
      </c>
      <c r="AA32" s="13"/>
      <c r="AB32" s="18">
        <f>X32+Z32</f>
        <v>32652833</v>
      </c>
      <c r="AC32" s="14"/>
      <c r="AD32" s="338">
        <v>4235000</v>
      </c>
      <c r="AE32" s="13"/>
      <c r="AF32" s="13">
        <f>AB32+AD32</f>
        <v>36887833</v>
      </c>
      <c r="AG32" s="14"/>
      <c r="AH32" s="88">
        <v>4235000</v>
      </c>
      <c r="AI32" s="13"/>
      <c r="AJ32" s="13">
        <f>AF32+AH32</f>
        <v>41122833</v>
      </c>
      <c r="AK32" s="14"/>
      <c r="AL32" s="13">
        <v>4235000</v>
      </c>
      <c r="AM32" s="13"/>
      <c r="AN32" s="13">
        <f t="shared" si="21"/>
        <v>45357833</v>
      </c>
      <c r="AO32" s="14"/>
      <c r="AP32" s="344">
        <v>3670334</v>
      </c>
      <c r="AQ32" s="13"/>
      <c r="AR32" s="13">
        <f t="shared" ref="AR32:AR45" si="28">AN32+AP32</f>
        <v>49028167</v>
      </c>
      <c r="AS32" s="14"/>
    </row>
    <row r="33" spans="1:45" x14ac:dyDescent="0.25">
      <c r="A33" s="12" t="s">
        <v>185</v>
      </c>
      <c r="B33" s="13">
        <v>118800</v>
      </c>
      <c r="C33" s="13">
        <v>0</v>
      </c>
      <c r="D33" s="13">
        <v>0</v>
      </c>
      <c r="E33" s="91"/>
      <c r="F33" s="45"/>
      <c r="G33" s="13"/>
      <c r="H33" s="13">
        <f t="shared" si="12"/>
        <v>0</v>
      </c>
      <c r="I33" s="196"/>
      <c r="J33" s="45"/>
      <c r="K33" s="55">
        <f t="shared" si="25"/>
        <v>0</v>
      </c>
      <c r="L33" s="202">
        <v>0</v>
      </c>
      <c r="M33" s="13"/>
      <c r="N33" s="193">
        <f t="shared" si="26"/>
        <v>0</v>
      </c>
      <c r="O33" s="212"/>
      <c r="P33" s="13"/>
      <c r="Q33" s="13">
        <f t="shared" si="27"/>
        <v>0</v>
      </c>
      <c r="R33" s="13"/>
      <c r="S33" s="13"/>
      <c r="T33" s="13">
        <f t="shared" si="22"/>
        <v>0</v>
      </c>
      <c r="U33" s="14"/>
      <c r="V33" s="13"/>
      <c r="W33" s="13"/>
      <c r="X33" s="13">
        <f t="shared" ref="X33:X45" si="29">T33+V33</f>
        <v>0</v>
      </c>
      <c r="Y33" s="14"/>
      <c r="Z33" s="13"/>
      <c r="AA33" s="13"/>
      <c r="AB33" s="18">
        <f t="shared" ref="AB33:AB45" si="30">X33+Z33</f>
        <v>0</v>
      </c>
      <c r="AC33" s="14"/>
      <c r="AD33" s="339"/>
      <c r="AE33" s="13"/>
      <c r="AF33" s="13">
        <f t="shared" ref="AF33:AF45" si="31">AB33+AD33</f>
        <v>0</v>
      </c>
      <c r="AG33" s="14"/>
      <c r="AH33" s="13"/>
      <c r="AI33" s="13"/>
      <c r="AJ33" s="13">
        <f t="shared" ref="AJ33:AJ45" si="32">AF33+AH33</f>
        <v>0</v>
      </c>
      <c r="AK33" s="14"/>
      <c r="AL33" s="13"/>
      <c r="AM33" s="13"/>
      <c r="AN33" s="13">
        <f t="shared" si="21"/>
        <v>0</v>
      </c>
      <c r="AO33" s="14"/>
      <c r="AP33" s="344"/>
      <c r="AQ33" s="13"/>
      <c r="AR33" s="13">
        <f t="shared" si="28"/>
        <v>0</v>
      </c>
      <c r="AS33" s="14"/>
    </row>
    <row r="34" spans="1:45" x14ac:dyDescent="0.25">
      <c r="A34" s="12" t="s">
        <v>17</v>
      </c>
      <c r="B34" s="13">
        <v>260448</v>
      </c>
      <c r="C34" s="13">
        <v>0</v>
      </c>
      <c r="D34" s="13">
        <f t="shared" si="24"/>
        <v>260448</v>
      </c>
      <c r="E34" s="91"/>
      <c r="F34" s="45">
        <v>162000</v>
      </c>
      <c r="G34" s="13"/>
      <c r="H34" s="13">
        <f t="shared" si="12"/>
        <v>422448</v>
      </c>
      <c r="I34" s="196">
        <v>162000</v>
      </c>
      <c r="J34" s="45"/>
      <c r="K34" s="55">
        <f t="shared" si="25"/>
        <v>584448</v>
      </c>
      <c r="L34" s="202">
        <v>162000</v>
      </c>
      <c r="M34" s="13"/>
      <c r="N34" s="193">
        <f t="shared" si="26"/>
        <v>746448</v>
      </c>
      <c r="O34" s="212">
        <v>162000</v>
      </c>
      <c r="P34" s="13"/>
      <c r="Q34" s="13">
        <f t="shared" si="27"/>
        <v>908448</v>
      </c>
      <c r="R34" s="88">
        <v>162000</v>
      </c>
      <c r="S34" s="13"/>
      <c r="T34" s="13">
        <f t="shared" si="22"/>
        <v>1070448</v>
      </c>
      <c r="U34" s="14"/>
      <c r="V34" s="88">
        <v>162000</v>
      </c>
      <c r="W34" s="13"/>
      <c r="X34" s="13">
        <f t="shared" si="29"/>
        <v>1232448</v>
      </c>
      <c r="Y34" s="14"/>
      <c r="Z34" s="88">
        <v>162000</v>
      </c>
      <c r="AA34" s="13"/>
      <c r="AB34" s="18">
        <f t="shared" si="30"/>
        <v>1394448</v>
      </c>
      <c r="AC34" s="14"/>
      <c r="AD34" s="338">
        <v>162000</v>
      </c>
      <c r="AE34" s="13"/>
      <c r="AF34" s="13">
        <f t="shared" si="31"/>
        <v>1556448</v>
      </c>
      <c r="AG34" s="14"/>
      <c r="AH34" s="88">
        <v>162000</v>
      </c>
      <c r="AI34" s="13"/>
      <c r="AJ34" s="13">
        <f t="shared" si="32"/>
        <v>1718448</v>
      </c>
      <c r="AK34" s="14"/>
      <c r="AL34" s="13">
        <v>162000</v>
      </c>
      <c r="AM34" s="13"/>
      <c r="AN34" s="13">
        <f t="shared" si="21"/>
        <v>1880448</v>
      </c>
      <c r="AO34" s="14"/>
      <c r="AP34" s="344">
        <v>140400</v>
      </c>
      <c r="AQ34" s="13"/>
      <c r="AR34" s="13">
        <f t="shared" si="28"/>
        <v>2020848</v>
      </c>
      <c r="AS34" s="14"/>
    </row>
    <row r="35" spans="1:45" x14ac:dyDescent="0.25">
      <c r="A35" s="12" t="s">
        <v>18</v>
      </c>
      <c r="B35" s="13">
        <v>31257</v>
      </c>
      <c r="C35" s="13">
        <v>0</v>
      </c>
      <c r="D35" s="13">
        <f t="shared" si="24"/>
        <v>31257</v>
      </c>
      <c r="E35" s="91"/>
      <c r="F35" s="45">
        <v>366270</v>
      </c>
      <c r="G35" s="13"/>
      <c r="H35" s="13">
        <f t="shared" si="12"/>
        <v>397527</v>
      </c>
      <c r="I35" s="196">
        <v>366271</v>
      </c>
      <c r="J35" s="45"/>
      <c r="K35" s="55">
        <f t="shared" si="25"/>
        <v>763798</v>
      </c>
      <c r="L35" s="202">
        <v>366271</v>
      </c>
      <c r="M35" s="13"/>
      <c r="N35" s="193">
        <f t="shared" si="26"/>
        <v>1130069</v>
      </c>
      <c r="O35" s="212">
        <v>366271</v>
      </c>
      <c r="P35" s="13"/>
      <c r="Q35" s="13">
        <f t="shared" si="27"/>
        <v>1496340</v>
      </c>
      <c r="R35" s="88">
        <v>366271</v>
      </c>
      <c r="S35" s="13"/>
      <c r="T35" s="13">
        <f t="shared" si="22"/>
        <v>1862611</v>
      </c>
      <c r="U35" s="14"/>
      <c r="V35" s="88">
        <v>366271</v>
      </c>
      <c r="W35" s="13"/>
      <c r="X35" s="13">
        <f t="shared" si="29"/>
        <v>2228882</v>
      </c>
      <c r="Y35" s="14"/>
      <c r="Z35" s="88">
        <v>366271</v>
      </c>
      <c r="AA35" s="13"/>
      <c r="AB35" s="18">
        <f t="shared" si="30"/>
        <v>2595153</v>
      </c>
      <c r="AC35" s="14"/>
      <c r="AD35" s="338">
        <v>366271</v>
      </c>
      <c r="AE35" s="13"/>
      <c r="AF35" s="13">
        <f t="shared" si="31"/>
        <v>2961424</v>
      </c>
      <c r="AG35" s="14"/>
      <c r="AH35" s="267">
        <v>366271</v>
      </c>
      <c r="AI35" s="13"/>
      <c r="AJ35" s="13">
        <f t="shared" si="32"/>
        <v>3327695</v>
      </c>
      <c r="AK35" s="14"/>
      <c r="AL35" s="13">
        <v>366271</v>
      </c>
      <c r="AM35" s="13"/>
      <c r="AN35" s="13">
        <f t="shared" si="21"/>
        <v>3693966</v>
      </c>
      <c r="AO35" s="14"/>
      <c r="AP35" s="344">
        <v>317434</v>
      </c>
      <c r="AQ35" s="13"/>
      <c r="AR35" s="13">
        <f t="shared" si="28"/>
        <v>4011400</v>
      </c>
      <c r="AS35" s="14"/>
    </row>
    <row r="36" spans="1:45" x14ac:dyDescent="0.25">
      <c r="A36" s="12" t="s">
        <v>19</v>
      </c>
      <c r="B36" s="13">
        <v>260448</v>
      </c>
      <c r="C36" s="13">
        <v>0</v>
      </c>
      <c r="D36" s="13">
        <f t="shared" si="24"/>
        <v>260448</v>
      </c>
      <c r="E36" s="91"/>
      <c r="F36" s="45">
        <v>43952</v>
      </c>
      <c r="G36" s="13"/>
      <c r="H36" s="13">
        <f t="shared" si="12"/>
        <v>304400</v>
      </c>
      <c r="I36" s="196">
        <v>43952</v>
      </c>
      <c r="J36" s="45"/>
      <c r="K36" s="55">
        <f t="shared" si="25"/>
        <v>348352</v>
      </c>
      <c r="L36" s="202">
        <v>43952</v>
      </c>
      <c r="M36" s="13"/>
      <c r="N36" s="193">
        <f t="shared" si="26"/>
        <v>392304</v>
      </c>
      <c r="O36" s="212">
        <v>43952</v>
      </c>
      <c r="P36" s="13"/>
      <c r="Q36" s="13">
        <f>+N36+O36</f>
        <v>436256</v>
      </c>
      <c r="R36" s="88">
        <v>43952</v>
      </c>
      <c r="S36" s="13"/>
      <c r="T36" s="13">
        <f t="shared" si="22"/>
        <v>480208</v>
      </c>
      <c r="U36" s="14"/>
      <c r="V36" s="88">
        <v>43952</v>
      </c>
      <c r="W36" s="13"/>
      <c r="X36" s="13">
        <f t="shared" si="29"/>
        <v>524160</v>
      </c>
      <c r="Y36" s="14"/>
      <c r="Z36" s="88">
        <v>43952</v>
      </c>
      <c r="AA36" s="13"/>
      <c r="AB36" s="18">
        <f t="shared" si="30"/>
        <v>568112</v>
      </c>
      <c r="AC36" s="14"/>
      <c r="AD36" s="338">
        <v>43952</v>
      </c>
      <c r="AE36" s="13"/>
      <c r="AF36" s="13">
        <f t="shared" si="31"/>
        <v>612064</v>
      </c>
      <c r="AG36" s="14"/>
      <c r="AH36" s="88">
        <v>43952</v>
      </c>
      <c r="AI36" s="13"/>
      <c r="AJ36" s="13">
        <f t="shared" si="32"/>
        <v>656016</v>
      </c>
      <c r="AK36" s="14"/>
      <c r="AL36" s="13">
        <v>43952</v>
      </c>
      <c r="AM36" s="13"/>
      <c r="AN36" s="13">
        <f t="shared" si="21"/>
        <v>699968</v>
      </c>
      <c r="AO36" s="14"/>
      <c r="AP36" s="344">
        <v>38092</v>
      </c>
      <c r="AQ36" s="13"/>
      <c r="AR36" s="13">
        <f t="shared" si="28"/>
        <v>738060</v>
      </c>
      <c r="AS36" s="14"/>
    </row>
    <row r="37" spans="1:45" x14ac:dyDescent="0.25">
      <c r="A37" s="12" t="s">
        <v>20</v>
      </c>
      <c r="B37" s="13">
        <v>125400</v>
      </c>
      <c r="C37" s="13">
        <v>0</v>
      </c>
      <c r="D37" s="13">
        <f t="shared" si="24"/>
        <v>125400</v>
      </c>
      <c r="E37" s="91"/>
      <c r="F37" s="45">
        <v>366270</v>
      </c>
      <c r="G37" s="13"/>
      <c r="H37" s="13">
        <f t="shared" si="12"/>
        <v>491670</v>
      </c>
      <c r="I37" s="196">
        <v>366271</v>
      </c>
      <c r="J37" s="45"/>
      <c r="K37" s="55">
        <f t="shared" si="25"/>
        <v>857941</v>
      </c>
      <c r="L37" s="202">
        <v>366271</v>
      </c>
      <c r="M37" s="13"/>
      <c r="N37" s="193">
        <f t="shared" si="26"/>
        <v>1224212</v>
      </c>
      <c r="O37" s="212">
        <v>366271</v>
      </c>
      <c r="P37" s="13"/>
      <c r="Q37" s="13">
        <f t="shared" si="27"/>
        <v>1590483</v>
      </c>
      <c r="R37" s="88">
        <v>366271</v>
      </c>
      <c r="S37" s="13"/>
      <c r="T37" s="13">
        <f t="shared" si="22"/>
        <v>1956754</v>
      </c>
      <c r="U37" s="14"/>
      <c r="V37" s="88">
        <v>366271</v>
      </c>
      <c r="W37" s="13"/>
      <c r="X37" s="13">
        <f t="shared" si="29"/>
        <v>2323025</v>
      </c>
      <c r="Y37" s="14"/>
      <c r="Z37" s="88">
        <v>366271</v>
      </c>
      <c r="AA37" s="13"/>
      <c r="AB37" s="18">
        <f t="shared" si="30"/>
        <v>2689296</v>
      </c>
      <c r="AC37" s="14"/>
      <c r="AD37" s="338">
        <v>366271</v>
      </c>
      <c r="AE37" s="13"/>
      <c r="AF37" s="13">
        <f t="shared" si="31"/>
        <v>3055567</v>
      </c>
      <c r="AG37" s="14"/>
      <c r="AH37" s="88">
        <v>366271</v>
      </c>
      <c r="AI37" s="13"/>
      <c r="AJ37" s="13">
        <f t="shared" si="32"/>
        <v>3421838</v>
      </c>
      <c r="AK37" s="14"/>
      <c r="AL37" s="13">
        <v>366271</v>
      </c>
      <c r="AM37" s="13"/>
      <c r="AN37" s="13">
        <f t="shared" si="21"/>
        <v>3788109</v>
      </c>
      <c r="AO37" s="14"/>
      <c r="AP37" s="344">
        <v>317434</v>
      </c>
      <c r="AQ37" s="13"/>
      <c r="AR37" s="13">
        <f t="shared" si="28"/>
        <v>4105543</v>
      </c>
      <c r="AS37" s="14"/>
    </row>
    <row r="38" spans="1:45" x14ac:dyDescent="0.25">
      <c r="A38" s="12" t="s">
        <v>21</v>
      </c>
      <c r="B38" s="13"/>
      <c r="C38" s="13">
        <v>0</v>
      </c>
      <c r="D38" s="13">
        <f t="shared" si="24"/>
        <v>0</v>
      </c>
      <c r="E38" s="91"/>
      <c r="F38" s="45">
        <v>176600</v>
      </c>
      <c r="G38" s="13"/>
      <c r="H38" s="13">
        <f t="shared" si="12"/>
        <v>176600</v>
      </c>
      <c r="I38" s="196">
        <v>176600</v>
      </c>
      <c r="J38" s="45"/>
      <c r="K38" s="55">
        <f t="shared" si="25"/>
        <v>353200</v>
      </c>
      <c r="L38" s="202">
        <v>176600</v>
      </c>
      <c r="M38" s="13"/>
      <c r="N38" s="193">
        <f t="shared" si="26"/>
        <v>529800</v>
      </c>
      <c r="O38" s="212">
        <v>176600</v>
      </c>
      <c r="P38" s="13"/>
      <c r="Q38" s="13">
        <f t="shared" si="27"/>
        <v>706400</v>
      </c>
      <c r="R38" s="88">
        <v>176600</v>
      </c>
      <c r="S38" s="13"/>
      <c r="T38" s="13">
        <f t="shared" si="22"/>
        <v>883000</v>
      </c>
      <c r="U38" s="14"/>
      <c r="V38" s="88">
        <v>176600</v>
      </c>
      <c r="W38" s="13"/>
      <c r="X38" s="13">
        <f t="shared" si="29"/>
        <v>1059600</v>
      </c>
      <c r="Y38" s="14"/>
      <c r="Z38" s="88">
        <v>176600</v>
      </c>
      <c r="AA38" s="13"/>
      <c r="AB38" s="18">
        <f t="shared" si="30"/>
        <v>1236200</v>
      </c>
      <c r="AC38" s="14"/>
      <c r="AD38" s="338">
        <v>176600</v>
      </c>
      <c r="AE38" s="13"/>
      <c r="AF38" s="13">
        <f t="shared" si="31"/>
        <v>1412800</v>
      </c>
      <c r="AG38" s="14"/>
      <c r="AH38" s="88">
        <v>176600</v>
      </c>
      <c r="AI38" s="13"/>
      <c r="AJ38" s="13">
        <f t="shared" si="32"/>
        <v>1589400</v>
      </c>
      <c r="AK38" s="14"/>
      <c r="AL38" s="13">
        <v>176600</v>
      </c>
      <c r="AM38" s="13"/>
      <c r="AN38" s="13">
        <f t="shared" si="21"/>
        <v>1766000</v>
      </c>
      <c r="AO38" s="14"/>
      <c r="AP38" s="344">
        <v>153053</v>
      </c>
      <c r="AQ38" s="13"/>
      <c r="AR38" s="13">
        <f t="shared" si="28"/>
        <v>1919053</v>
      </c>
      <c r="AS38" s="14"/>
    </row>
    <row r="39" spans="1:45" x14ac:dyDescent="0.25">
      <c r="A39" s="12" t="s">
        <v>255</v>
      </c>
      <c r="B39" s="13"/>
      <c r="C39" s="13">
        <v>0</v>
      </c>
      <c r="D39" s="13">
        <f t="shared" si="24"/>
        <v>0</v>
      </c>
      <c r="E39" s="91"/>
      <c r="F39" s="45">
        <v>245000</v>
      </c>
      <c r="G39" s="13">
        <v>0</v>
      </c>
      <c r="H39" s="13">
        <f t="shared" si="12"/>
        <v>245000</v>
      </c>
      <c r="I39" s="196">
        <v>185000</v>
      </c>
      <c r="J39" s="45"/>
      <c r="K39" s="55">
        <f t="shared" si="25"/>
        <v>430000</v>
      </c>
      <c r="L39" s="202">
        <v>200000</v>
      </c>
      <c r="M39" s="13"/>
      <c r="N39" s="193">
        <f t="shared" si="26"/>
        <v>630000</v>
      </c>
      <c r="O39" s="212">
        <v>150000</v>
      </c>
      <c r="P39" s="13"/>
      <c r="Q39" s="13">
        <f t="shared" si="27"/>
        <v>780000</v>
      </c>
      <c r="R39" s="88">
        <v>350000</v>
      </c>
      <c r="S39" s="13"/>
      <c r="T39" s="13">
        <f t="shared" si="22"/>
        <v>1130000</v>
      </c>
      <c r="U39" s="14"/>
      <c r="V39" s="88"/>
      <c r="W39" s="13"/>
      <c r="X39" s="13">
        <f t="shared" si="29"/>
        <v>1130000</v>
      </c>
      <c r="Y39" s="14"/>
      <c r="Z39" s="88">
        <v>150000</v>
      </c>
      <c r="AA39" s="13"/>
      <c r="AB39" s="18">
        <f t="shared" si="30"/>
        <v>1280000</v>
      </c>
      <c r="AC39" s="14"/>
      <c r="AD39" s="338">
        <v>150000</v>
      </c>
      <c r="AE39" s="13"/>
      <c r="AF39" s="13">
        <f t="shared" si="31"/>
        <v>1430000</v>
      </c>
      <c r="AG39" s="14"/>
      <c r="AH39" s="88">
        <v>150000</v>
      </c>
      <c r="AI39" s="13"/>
      <c r="AJ39" s="13">
        <f t="shared" si="32"/>
        <v>1580000</v>
      </c>
      <c r="AK39" s="14"/>
      <c r="AL39" s="13">
        <v>150000</v>
      </c>
      <c r="AM39" s="13"/>
      <c r="AN39" s="13">
        <f t="shared" si="21"/>
        <v>1730000</v>
      </c>
      <c r="AO39" s="14"/>
      <c r="AP39" s="344">
        <v>650000</v>
      </c>
      <c r="AQ39" s="13"/>
      <c r="AR39" s="13">
        <f t="shared" si="28"/>
        <v>2380000</v>
      </c>
      <c r="AS39" s="14"/>
    </row>
    <row r="40" spans="1:45" ht="21" customHeight="1" x14ac:dyDescent="0.25">
      <c r="A40" s="12" t="s">
        <v>67</v>
      </c>
      <c r="B40" s="13">
        <v>9500</v>
      </c>
      <c r="C40" s="13">
        <v>0</v>
      </c>
      <c r="D40" s="13">
        <f t="shared" si="24"/>
        <v>9500</v>
      </c>
      <c r="E40" s="91"/>
      <c r="F40" s="45">
        <v>32000</v>
      </c>
      <c r="G40" s="13">
        <v>0</v>
      </c>
      <c r="H40" s="13">
        <f t="shared" si="12"/>
        <v>41500</v>
      </c>
      <c r="I40" s="196">
        <v>30000</v>
      </c>
      <c r="J40" s="45"/>
      <c r="K40" s="55">
        <f t="shared" si="25"/>
        <v>71500</v>
      </c>
      <c r="L40" s="202">
        <v>636067</v>
      </c>
      <c r="M40" s="13"/>
      <c r="N40" s="193">
        <f t="shared" si="26"/>
        <v>707567</v>
      </c>
      <c r="O40" s="212">
        <v>10000</v>
      </c>
      <c r="P40" s="13"/>
      <c r="Q40" s="13">
        <f t="shared" si="27"/>
        <v>717567</v>
      </c>
      <c r="R40" s="88"/>
      <c r="S40" s="13"/>
      <c r="T40" s="13">
        <f t="shared" si="22"/>
        <v>717567</v>
      </c>
      <c r="U40" s="14"/>
      <c r="V40" s="88"/>
      <c r="W40" s="13"/>
      <c r="X40" s="13">
        <f t="shared" si="29"/>
        <v>717567</v>
      </c>
      <c r="Y40" s="14"/>
      <c r="Z40" s="88"/>
      <c r="AA40" s="13"/>
      <c r="AB40" s="18">
        <f t="shared" si="30"/>
        <v>717567</v>
      </c>
      <c r="AC40" s="14"/>
      <c r="AD40" s="338"/>
      <c r="AE40" s="13"/>
      <c r="AF40" s="13">
        <f t="shared" si="31"/>
        <v>717567</v>
      </c>
      <c r="AG40" s="14"/>
      <c r="AH40" s="88"/>
      <c r="AI40" s="13"/>
      <c r="AJ40" s="13">
        <f t="shared" si="32"/>
        <v>717567</v>
      </c>
      <c r="AK40" s="14"/>
      <c r="AL40" s="13"/>
      <c r="AM40" s="13"/>
      <c r="AN40" s="13">
        <f t="shared" si="21"/>
        <v>717567</v>
      </c>
      <c r="AO40" s="14"/>
      <c r="AP40" s="344">
        <v>40000</v>
      </c>
      <c r="AQ40" s="13"/>
      <c r="AR40" s="13">
        <f t="shared" si="28"/>
        <v>757567</v>
      </c>
      <c r="AS40" s="14"/>
    </row>
    <row r="41" spans="1:45" ht="21" x14ac:dyDescent="0.25">
      <c r="A41" s="12" t="s">
        <v>22</v>
      </c>
      <c r="B41" s="13">
        <v>28254</v>
      </c>
      <c r="C41" s="13">
        <v>0</v>
      </c>
      <c r="D41" s="13">
        <f t="shared" si="24"/>
        <v>28254</v>
      </c>
      <c r="E41" s="91"/>
      <c r="F41" s="45">
        <v>44044</v>
      </c>
      <c r="G41" s="13">
        <v>0</v>
      </c>
      <c r="H41" s="13">
        <f t="shared" si="12"/>
        <v>72298</v>
      </c>
      <c r="I41" s="196">
        <v>44044</v>
      </c>
      <c r="J41" s="45"/>
      <c r="K41" s="55">
        <f t="shared" si="25"/>
        <v>116342</v>
      </c>
      <c r="L41" s="202">
        <v>44044</v>
      </c>
      <c r="M41" s="13"/>
      <c r="N41" s="193">
        <f t="shared" si="26"/>
        <v>160386</v>
      </c>
      <c r="O41" s="212">
        <v>37310</v>
      </c>
      <c r="P41" s="13"/>
      <c r="Q41" s="13">
        <f t="shared" si="27"/>
        <v>197696</v>
      </c>
      <c r="R41" s="88">
        <v>37310</v>
      </c>
      <c r="S41" s="13"/>
      <c r="T41" s="13">
        <f t="shared" si="22"/>
        <v>235006</v>
      </c>
      <c r="U41" s="14"/>
      <c r="V41" s="88">
        <v>37310</v>
      </c>
      <c r="W41" s="13"/>
      <c r="X41" s="13">
        <f t="shared" si="29"/>
        <v>272316</v>
      </c>
      <c r="Y41" s="14"/>
      <c r="Z41" s="88">
        <v>37310</v>
      </c>
      <c r="AA41" s="13"/>
      <c r="AB41" s="18">
        <f t="shared" si="30"/>
        <v>309626</v>
      </c>
      <c r="AC41" s="14"/>
      <c r="AD41" s="338"/>
      <c r="AE41" s="13"/>
      <c r="AF41" s="13">
        <f t="shared" si="31"/>
        <v>309626</v>
      </c>
      <c r="AG41" s="14"/>
      <c r="AH41" s="88"/>
      <c r="AI41" s="13"/>
      <c r="AJ41" s="13">
        <f t="shared" si="32"/>
        <v>309626</v>
      </c>
      <c r="AK41" s="14"/>
      <c r="AL41" s="13"/>
      <c r="AM41" s="13"/>
      <c r="AN41" s="13">
        <f t="shared" si="21"/>
        <v>309626</v>
      </c>
      <c r="AO41" s="14"/>
      <c r="AP41" s="344">
        <v>32335</v>
      </c>
      <c r="AQ41" s="13"/>
      <c r="AR41" s="13">
        <f t="shared" si="28"/>
        <v>341961</v>
      </c>
      <c r="AS41" s="14"/>
    </row>
    <row r="42" spans="1:45" ht="21" customHeight="1" x14ac:dyDescent="0.25">
      <c r="A42" s="12" t="s">
        <v>23</v>
      </c>
      <c r="B42" s="13">
        <v>370660</v>
      </c>
      <c r="C42" s="13">
        <v>0</v>
      </c>
      <c r="D42" s="13">
        <f t="shared" si="24"/>
        <v>370660</v>
      </c>
      <c r="E42" s="91"/>
      <c r="F42" s="45"/>
      <c r="G42" s="13">
        <v>0</v>
      </c>
      <c r="H42" s="13">
        <f t="shared" si="12"/>
        <v>370660</v>
      </c>
      <c r="I42" s="196"/>
      <c r="J42" s="45">
        <v>0</v>
      </c>
      <c r="K42" s="55">
        <f t="shared" si="25"/>
        <v>370660</v>
      </c>
      <c r="L42" s="202">
        <f t="shared" si="25"/>
        <v>0</v>
      </c>
      <c r="M42" s="13"/>
      <c r="N42" s="193">
        <f t="shared" si="26"/>
        <v>370660</v>
      </c>
      <c r="O42" s="212"/>
      <c r="P42" s="13"/>
      <c r="Q42" s="13">
        <f t="shared" si="27"/>
        <v>370660</v>
      </c>
      <c r="R42" s="88"/>
      <c r="S42" s="13">
        <v>0</v>
      </c>
      <c r="T42" s="13">
        <f t="shared" si="22"/>
        <v>370660</v>
      </c>
      <c r="U42" s="14"/>
      <c r="V42" s="88"/>
      <c r="W42" s="13">
        <v>0</v>
      </c>
      <c r="X42" s="13">
        <f t="shared" si="29"/>
        <v>370660</v>
      </c>
      <c r="Y42" s="14"/>
      <c r="Z42" s="88"/>
      <c r="AA42" s="13">
        <v>0</v>
      </c>
      <c r="AB42" s="18">
        <f t="shared" si="30"/>
        <v>370660</v>
      </c>
      <c r="AC42" s="14"/>
      <c r="AD42" s="338">
        <v>37310</v>
      </c>
      <c r="AE42" s="13">
        <v>0</v>
      </c>
      <c r="AF42" s="13">
        <f t="shared" si="31"/>
        <v>407970</v>
      </c>
      <c r="AG42" s="14"/>
      <c r="AH42" s="88">
        <v>37310</v>
      </c>
      <c r="AI42" s="13">
        <v>0</v>
      </c>
      <c r="AJ42" s="13">
        <f t="shared" si="32"/>
        <v>445280</v>
      </c>
      <c r="AK42" s="14"/>
      <c r="AL42" s="13">
        <v>37310</v>
      </c>
      <c r="AM42" s="13"/>
      <c r="AN42" s="13">
        <f t="shared" si="21"/>
        <v>482590</v>
      </c>
      <c r="AO42" s="14"/>
      <c r="AP42" s="344"/>
      <c r="AQ42" s="13"/>
      <c r="AR42" s="13">
        <f t="shared" si="28"/>
        <v>482590</v>
      </c>
      <c r="AS42" s="14"/>
    </row>
    <row r="43" spans="1:45" ht="21" customHeight="1" x14ac:dyDescent="0.25">
      <c r="A43" s="12" t="s">
        <v>24</v>
      </c>
      <c r="B43" s="13">
        <v>123553</v>
      </c>
      <c r="C43" s="13">
        <v>0</v>
      </c>
      <c r="D43" s="13">
        <f t="shared" si="24"/>
        <v>123553</v>
      </c>
      <c r="E43" s="91"/>
      <c r="F43" s="45">
        <v>527640</v>
      </c>
      <c r="G43" s="13">
        <v>0</v>
      </c>
      <c r="H43" s="13">
        <f t="shared" si="12"/>
        <v>651193</v>
      </c>
      <c r="I43" s="196">
        <v>527640</v>
      </c>
      <c r="J43" s="45"/>
      <c r="K43" s="55">
        <f t="shared" si="25"/>
        <v>1178833</v>
      </c>
      <c r="L43" s="202">
        <v>527640</v>
      </c>
      <c r="M43" s="13"/>
      <c r="N43" s="193">
        <f t="shared" si="26"/>
        <v>1706473</v>
      </c>
      <c r="O43" s="212">
        <v>527640</v>
      </c>
      <c r="P43" s="13"/>
      <c r="Q43" s="13">
        <f t="shared" si="27"/>
        <v>2234113</v>
      </c>
      <c r="R43" s="88">
        <v>527640</v>
      </c>
      <c r="S43" s="13"/>
      <c r="T43" s="13">
        <f t="shared" si="22"/>
        <v>2761753</v>
      </c>
      <c r="U43" s="14"/>
      <c r="V43" s="88">
        <v>527640</v>
      </c>
      <c r="W43" s="13"/>
      <c r="X43" s="13">
        <f t="shared" si="29"/>
        <v>3289393</v>
      </c>
      <c r="Y43" s="14"/>
      <c r="Z43" s="88">
        <v>527640</v>
      </c>
      <c r="AA43" s="13"/>
      <c r="AB43" s="18">
        <f t="shared" si="30"/>
        <v>3817033</v>
      </c>
      <c r="AC43" s="14"/>
      <c r="AD43" s="338">
        <v>527640</v>
      </c>
      <c r="AE43" s="13"/>
      <c r="AF43" s="13">
        <f t="shared" si="31"/>
        <v>4344673</v>
      </c>
      <c r="AG43" s="14"/>
      <c r="AH43" s="88">
        <v>527640</v>
      </c>
      <c r="AI43" s="13"/>
      <c r="AJ43" s="13">
        <f t="shared" si="32"/>
        <v>4872313</v>
      </c>
      <c r="AK43" s="14"/>
      <c r="AL43" s="13">
        <v>527640</v>
      </c>
      <c r="AM43" s="13"/>
      <c r="AN43" s="13">
        <f t="shared" si="21"/>
        <v>5399953</v>
      </c>
      <c r="AO43" s="14"/>
      <c r="AP43" s="344">
        <v>457288</v>
      </c>
      <c r="AQ43" s="13"/>
      <c r="AR43" s="13">
        <f t="shared" si="28"/>
        <v>5857241</v>
      </c>
      <c r="AS43" s="14"/>
    </row>
    <row r="44" spans="1:45" ht="21" customHeight="1" x14ac:dyDescent="0.25">
      <c r="A44" s="12" t="s">
        <v>25</v>
      </c>
      <c r="B44" s="13"/>
      <c r="C44" s="13">
        <v>0</v>
      </c>
      <c r="D44" s="13">
        <f t="shared" si="24"/>
        <v>0</v>
      </c>
      <c r="E44" s="91"/>
      <c r="F44" s="45">
        <v>175880</v>
      </c>
      <c r="G44" s="13">
        <v>0</v>
      </c>
      <c r="H44" s="13">
        <f t="shared" si="12"/>
        <v>175880</v>
      </c>
      <c r="I44" s="196">
        <v>175880</v>
      </c>
      <c r="J44" s="45"/>
      <c r="K44" s="55">
        <f t="shared" si="25"/>
        <v>351760</v>
      </c>
      <c r="L44" s="202">
        <v>175880</v>
      </c>
      <c r="M44" s="13"/>
      <c r="N44" s="193">
        <f t="shared" si="26"/>
        <v>527640</v>
      </c>
      <c r="O44" s="212">
        <v>169400</v>
      </c>
      <c r="P44" s="13"/>
      <c r="Q44" s="13">
        <f t="shared" si="27"/>
        <v>697040</v>
      </c>
      <c r="R44" s="88">
        <v>169400</v>
      </c>
      <c r="S44" s="13"/>
      <c r="T44" s="13">
        <f t="shared" si="22"/>
        <v>866440</v>
      </c>
      <c r="U44" s="14"/>
      <c r="V44" s="88">
        <v>169400</v>
      </c>
      <c r="W44" s="13"/>
      <c r="X44" s="13">
        <f t="shared" si="29"/>
        <v>1035840</v>
      </c>
      <c r="Y44" s="14"/>
      <c r="Z44" s="88">
        <v>169400</v>
      </c>
      <c r="AA44" s="13"/>
      <c r="AB44" s="18">
        <f t="shared" si="30"/>
        <v>1205240</v>
      </c>
      <c r="AC44" s="14"/>
      <c r="AD44" s="338">
        <v>169400</v>
      </c>
      <c r="AE44" s="13"/>
      <c r="AF44" s="13">
        <f t="shared" si="31"/>
        <v>1374640</v>
      </c>
      <c r="AG44" s="14"/>
      <c r="AH44" s="88">
        <v>169400</v>
      </c>
      <c r="AI44" s="13"/>
      <c r="AJ44" s="13">
        <f t="shared" si="32"/>
        <v>1544040</v>
      </c>
      <c r="AK44" s="14"/>
      <c r="AL44" s="13">
        <v>169400</v>
      </c>
      <c r="AM44" s="13"/>
      <c r="AN44" s="13">
        <f t="shared" si="21"/>
        <v>1713440</v>
      </c>
      <c r="AO44" s="14"/>
      <c r="AP44" s="344">
        <v>146814</v>
      </c>
      <c r="AQ44" s="13"/>
      <c r="AR44" s="13">
        <f t="shared" si="28"/>
        <v>1860254</v>
      </c>
      <c r="AS44" s="14"/>
    </row>
    <row r="45" spans="1:45" ht="21" customHeight="1" x14ac:dyDescent="0.25">
      <c r="A45" s="12" t="s">
        <v>203</v>
      </c>
      <c r="B45" s="13"/>
      <c r="C45" s="13"/>
      <c r="D45" s="13">
        <f t="shared" si="24"/>
        <v>0</v>
      </c>
      <c r="E45" s="91"/>
      <c r="F45" s="92"/>
      <c r="G45" s="13"/>
      <c r="H45" s="13">
        <f t="shared" si="12"/>
        <v>0</v>
      </c>
      <c r="I45" s="196"/>
      <c r="J45" s="45"/>
      <c r="K45" s="55">
        <f t="shared" si="25"/>
        <v>0</v>
      </c>
      <c r="L45" s="88"/>
      <c r="M45" s="13"/>
      <c r="N45" s="193">
        <f t="shared" si="26"/>
        <v>0</v>
      </c>
      <c r="O45" s="211"/>
      <c r="P45" s="13"/>
      <c r="Q45" s="13">
        <f t="shared" si="27"/>
        <v>0</v>
      </c>
      <c r="R45" s="88"/>
      <c r="S45" s="13"/>
      <c r="T45" s="13">
        <f t="shared" si="22"/>
        <v>0</v>
      </c>
      <c r="U45" s="14"/>
      <c r="V45" s="88">
        <v>6000</v>
      </c>
      <c r="W45" s="13"/>
      <c r="X45" s="13">
        <f t="shared" si="29"/>
        <v>6000</v>
      </c>
      <c r="Y45" s="14"/>
      <c r="Z45" s="88"/>
      <c r="AA45" s="13"/>
      <c r="AB45" s="18">
        <f t="shared" si="30"/>
        <v>6000</v>
      </c>
      <c r="AC45" s="14"/>
      <c r="AD45" s="88"/>
      <c r="AE45" s="13"/>
      <c r="AF45" s="13">
        <f t="shared" si="31"/>
        <v>6000</v>
      </c>
      <c r="AG45" s="14"/>
      <c r="AH45" s="88"/>
      <c r="AI45" s="13"/>
      <c r="AJ45" s="13">
        <f t="shared" si="32"/>
        <v>6000</v>
      </c>
      <c r="AK45" s="14"/>
      <c r="AL45" s="88"/>
      <c r="AM45" s="13"/>
      <c r="AN45" s="13">
        <f t="shared" si="21"/>
        <v>6000</v>
      </c>
      <c r="AO45" s="14"/>
      <c r="AP45" s="88"/>
      <c r="AQ45" s="13"/>
      <c r="AR45" s="13">
        <f t="shared" si="28"/>
        <v>6000</v>
      </c>
      <c r="AS45" s="14"/>
    </row>
    <row r="46" spans="1:45" ht="21" customHeight="1" x14ac:dyDescent="0.25">
      <c r="A46" s="12"/>
      <c r="B46" s="13"/>
      <c r="C46" s="13"/>
      <c r="D46" s="13"/>
      <c r="E46" s="14"/>
      <c r="F46" s="15"/>
      <c r="G46" s="13"/>
      <c r="H46" s="13">
        <f t="shared" si="12"/>
        <v>0</v>
      </c>
      <c r="I46" s="123"/>
      <c r="J46" s="15"/>
      <c r="K46" s="55">
        <f t="shared" si="25"/>
        <v>0</v>
      </c>
      <c r="L46" s="88"/>
      <c r="M46" s="13"/>
      <c r="N46" s="193">
        <f t="shared" si="26"/>
        <v>0</v>
      </c>
      <c r="O46" s="211"/>
      <c r="P46" s="13"/>
      <c r="Q46" s="13">
        <f t="shared" si="27"/>
        <v>0</v>
      </c>
      <c r="R46" s="88"/>
      <c r="S46" s="13"/>
      <c r="T46" s="13">
        <f t="shared" si="22"/>
        <v>0</v>
      </c>
      <c r="U46" s="14"/>
      <c r="V46" s="88"/>
      <c r="W46" s="13"/>
      <c r="X46" s="13"/>
      <c r="Y46" s="14"/>
      <c r="Z46" s="88"/>
      <c r="AA46" s="13"/>
      <c r="AB46" s="18"/>
      <c r="AC46" s="14"/>
      <c r="AD46" s="88"/>
      <c r="AE46" s="13"/>
      <c r="AF46" s="13"/>
      <c r="AG46" s="14"/>
      <c r="AH46" s="88"/>
      <c r="AI46" s="13"/>
      <c r="AJ46" s="13"/>
      <c r="AK46" s="14"/>
      <c r="AL46" s="88"/>
      <c r="AM46" s="13"/>
      <c r="AN46" s="13"/>
      <c r="AO46" s="14"/>
      <c r="AP46" s="88"/>
      <c r="AQ46" s="13"/>
      <c r="AR46" s="13"/>
      <c r="AS46" s="14"/>
    </row>
    <row r="47" spans="1:45" x14ac:dyDescent="0.25">
      <c r="A47" s="17" t="s">
        <v>26</v>
      </c>
      <c r="B47" s="18">
        <f>B48+B49+B50</f>
        <v>300000</v>
      </c>
      <c r="C47" s="18">
        <v>0</v>
      </c>
      <c r="D47" s="18">
        <f t="shared" si="24"/>
        <v>300000</v>
      </c>
      <c r="E47" s="19"/>
      <c r="F47" s="18">
        <f>+F49</f>
        <v>300000</v>
      </c>
      <c r="G47" s="18">
        <v>0</v>
      </c>
      <c r="H47" s="18">
        <f t="shared" si="12"/>
        <v>600000</v>
      </c>
      <c r="I47" s="20">
        <f>I48+I49+I50</f>
        <v>300000</v>
      </c>
      <c r="J47" s="18">
        <v>0</v>
      </c>
      <c r="K47" s="204">
        <f t="shared" si="25"/>
        <v>900000</v>
      </c>
      <c r="L47" s="20">
        <f>L48+L49+L50</f>
        <v>300000</v>
      </c>
      <c r="M47" s="18">
        <v>0</v>
      </c>
      <c r="N47" s="193">
        <f>+K47+L47</f>
        <v>1200000</v>
      </c>
      <c r="O47" s="18">
        <f>O48+O49+O50</f>
        <v>300000</v>
      </c>
      <c r="P47" s="18">
        <v>0</v>
      </c>
      <c r="Q47" s="18">
        <f t="shared" si="27"/>
        <v>1500000</v>
      </c>
      <c r="R47" s="18">
        <f>R48+R49+R50</f>
        <v>300000</v>
      </c>
      <c r="S47" s="18">
        <v>0</v>
      </c>
      <c r="T47" s="18">
        <f t="shared" si="22"/>
        <v>1800000</v>
      </c>
      <c r="U47" s="19"/>
      <c r="V47" s="18">
        <f>V48+V49+V50</f>
        <v>300000</v>
      </c>
      <c r="W47" s="18">
        <v>0</v>
      </c>
      <c r="X47" s="18">
        <f t="shared" ref="X47:X56" si="33">T47+V47</f>
        <v>2100000</v>
      </c>
      <c r="Y47" s="19"/>
      <c r="Z47" s="18">
        <f>Z48+Z49+Z50</f>
        <v>300000</v>
      </c>
      <c r="AA47" s="18">
        <v>0</v>
      </c>
      <c r="AB47" s="18">
        <f t="shared" ref="AB47:AB56" si="34">X47+Z47</f>
        <v>2400000</v>
      </c>
      <c r="AC47" s="19"/>
      <c r="AD47" s="341">
        <f>AD48+AD49+AD50</f>
        <v>300000</v>
      </c>
      <c r="AE47" s="18">
        <v>0</v>
      </c>
      <c r="AF47" s="18">
        <f t="shared" ref="AF47:AF56" si="35">AB47+AD47</f>
        <v>2700000</v>
      </c>
      <c r="AG47" s="19"/>
      <c r="AH47" s="18">
        <f>+AH49</f>
        <v>300000</v>
      </c>
      <c r="AI47" s="18">
        <v>0</v>
      </c>
      <c r="AJ47" s="18">
        <f t="shared" ref="AJ47:AJ56" si="36">AF47+AH47</f>
        <v>3000000</v>
      </c>
      <c r="AK47" s="19"/>
      <c r="AL47" s="18">
        <f>AL48+AL49+AL50</f>
        <v>300000</v>
      </c>
      <c r="AM47" s="18">
        <f>AM48+AM49+AM50</f>
        <v>0</v>
      </c>
      <c r="AN47" s="18">
        <f t="shared" ref="AN47:AN56" si="37">AJ47+AL47</f>
        <v>3300000</v>
      </c>
      <c r="AO47" s="19"/>
      <c r="AP47" s="341">
        <f>AP48+AP49+AP50</f>
        <v>300000</v>
      </c>
      <c r="AQ47" s="18">
        <f>AQ48+AQ49+AQ50</f>
        <v>0</v>
      </c>
      <c r="AR47" s="18">
        <f t="shared" ref="AR47:AR56" si="38">AN47+AP47</f>
        <v>3600000</v>
      </c>
      <c r="AS47" s="19"/>
    </row>
    <row r="48" spans="1:45" x14ac:dyDescent="0.25">
      <c r="A48" s="12" t="s">
        <v>82</v>
      </c>
      <c r="B48" s="13"/>
      <c r="C48" s="13">
        <v>0</v>
      </c>
      <c r="D48" s="13">
        <f t="shared" si="24"/>
        <v>0</v>
      </c>
      <c r="E48" s="14"/>
      <c r="F48" s="13">
        <v>0</v>
      </c>
      <c r="G48" s="13">
        <v>0</v>
      </c>
      <c r="H48" s="13">
        <f t="shared" si="12"/>
        <v>0</v>
      </c>
      <c r="I48" s="88">
        <v>0</v>
      </c>
      <c r="J48" s="13">
        <v>0</v>
      </c>
      <c r="K48" s="55">
        <f t="shared" si="25"/>
        <v>0</v>
      </c>
      <c r="L48" s="88">
        <v>0</v>
      </c>
      <c r="M48" s="13">
        <v>0</v>
      </c>
      <c r="N48" s="193">
        <f t="shared" ref="N48:N70" si="39">+K48+L48</f>
        <v>0</v>
      </c>
      <c r="O48" s="211">
        <v>0</v>
      </c>
      <c r="P48" s="13">
        <v>0</v>
      </c>
      <c r="Q48" s="13">
        <f t="shared" si="27"/>
        <v>0</v>
      </c>
      <c r="R48" s="88"/>
      <c r="S48" s="13">
        <v>0</v>
      </c>
      <c r="T48" s="13">
        <f t="shared" si="22"/>
        <v>0</v>
      </c>
      <c r="U48" s="14"/>
      <c r="V48" s="88">
        <v>0</v>
      </c>
      <c r="W48" s="13">
        <v>0</v>
      </c>
      <c r="X48" s="13">
        <f t="shared" si="33"/>
        <v>0</v>
      </c>
      <c r="Y48" s="14"/>
      <c r="Z48" s="88">
        <v>0</v>
      </c>
      <c r="AA48" s="13">
        <v>0</v>
      </c>
      <c r="AB48" s="18">
        <f t="shared" si="34"/>
        <v>0</v>
      </c>
      <c r="AC48" s="14"/>
      <c r="AD48" s="88">
        <v>0</v>
      </c>
      <c r="AE48" s="13">
        <v>0</v>
      </c>
      <c r="AF48" s="13">
        <f t="shared" si="35"/>
        <v>0</v>
      </c>
      <c r="AG48" s="14"/>
      <c r="AH48" s="88">
        <v>0</v>
      </c>
      <c r="AI48" s="13">
        <v>0</v>
      </c>
      <c r="AJ48" s="13">
        <f t="shared" si="36"/>
        <v>0</v>
      </c>
      <c r="AK48" s="14"/>
      <c r="AL48" s="88">
        <v>0</v>
      </c>
      <c r="AM48" s="13">
        <v>0</v>
      </c>
      <c r="AN48" s="13">
        <f t="shared" si="37"/>
        <v>0</v>
      </c>
      <c r="AO48" s="14"/>
      <c r="AP48" s="88">
        <v>0</v>
      </c>
      <c r="AQ48" s="13">
        <v>0</v>
      </c>
      <c r="AR48" s="13">
        <f t="shared" si="38"/>
        <v>0</v>
      </c>
      <c r="AS48" s="14"/>
    </row>
    <row r="49" spans="1:45" x14ac:dyDescent="0.25">
      <c r="A49" s="12" t="s">
        <v>27</v>
      </c>
      <c r="B49" s="13">
        <v>300000</v>
      </c>
      <c r="C49" s="13">
        <v>0</v>
      </c>
      <c r="D49" s="13">
        <f t="shared" si="24"/>
        <v>300000</v>
      </c>
      <c r="E49" s="14"/>
      <c r="F49" s="13">
        <v>300000</v>
      </c>
      <c r="G49" s="13">
        <v>0</v>
      </c>
      <c r="H49" s="13">
        <f t="shared" si="12"/>
        <v>600000</v>
      </c>
      <c r="I49" s="88">
        <v>300000</v>
      </c>
      <c r="J49" s="13"/>
      <c r="K49" s="55">
        <f t="shared" si="25"/>
        <v>900000</v>
      </c>
      <c r="L49" s="88">
        <v>300000</v>
      </c>
      <c r="M49" s="13"/>
      <c r="N49" s="193">
        <f t="shared" si="39"/>
        <v>1200000</v>
      </c>
      <c r="O49" s="211">
        <v>300000</v>
      </c>
      <c r="P49" s="13"/>
      <c r="Q49" s="13">
        <f t="shared" si="27"/>
        <v>1500000</v>
      </c>
      <c r="R49" s="88">
        <v>300000</v>
      </c>
      <c r="S49" s="13"/>
      <c r="T49" s="13">
        <f t="shared" si="22"/>
        <v>1800000</v>
      </c>
      <c r="U49" s="14"/>
      <c r="V49" s="88">
        <v>300000</v>
      </c>
      <c r="W49" s="13"/>
      <c r="X49" s="13">
        <f t="shared" si="33"/>
        <v>2100000</v>
      </c>
      <c r="Y49" s="14"/>
      <c r="Z49" s="88">
        <v>300000</v>
      </c>
      <c r="AA49" s="13"/>
      <c r="AB49" s="18">
        <f t="shared" si="34"/>
        <v>2400000</v>
      </c>
      <c r="AC49" s="14"/>
      <c r="AD49" s="88">
        <v>300000</v>
      </c>
      <c r="AE49" s="13"/>
      <c r="AF49" s="13">
        <f t="shared" si="35"/>
        <v>2700000</v>
      </c>
      <c r="AG49" s="14"/>
      <c r="AH49" s="88">
        <v>300000</v>
      </c>
      <c r="AI49" s="13"/>
      <c r="AJ49" s="13">
        <f t="shared" si="36"/>
        <v>3000000</v>
      </c>
      <c r="AK49" s="14"/>
      <c r="AL49" s="88">
        <v>300000</v>
      </c>
      <c r="AM49" s="13"/>
      <c r="AN49" s="13">
        <f t="shared" si="37"/>
        <v>3300000</v>
      </c>
      <c r="AO49" s="14"/>
      <c r="AP49" s="88">
        <v>300000</v>
      </c>
      <c r="AQ49" s="13"/>
      <c r="AR49" s="13">
        <f t="shared" si="38"/>
        <v>3600000</v>
      </c>
      <c r="AS49" s="14"/>
    </row>
    <row r="50" spans="1:45" x14ac:dyDescent="0.25">
      <c r="A50" s="12" t="s">
        <v>184</v>
      </c>
      <c r="B50" s="13"/>
      <c r="C50" s="13"/>
      <c r="D50" s="13"/>
      <c r="E50" s="14"/>
      <c r="F50" s="13"/>
      <c r="G50" s="13"/>
      <c r="H50" s="13">
        <f t="shared" si="12"/>
        <v>0</v>
      </c>
      <c r="I50" s="88"/>
      <c r="J50" s="13"/>
      <c r="K50" s="55">
        <f t="shared" si="25"/>
        <v>0</v>
      </c>
      <c r="L50" s="88"/>
      <c r="M50" s="13"/>
      <c r="N50" s="193">
        <f t="shared" si="39"/>
        <v>0</v>
      </c>
      <c r="O50" s="211"/>
      <c r="P50" s="13"/>
      <c r="Q50" s="13">
        <f t="shared" si="27"/>
        <v>0</v>
      </c>
      <c r="R50" s="88"/>
      <c r="S50" s="13"/>
      <c r="T50" s="13">
        <f t="shared" si="22"/>
        <v>0</v>
      </c>
      <c r="U50" s="14"/>
      <c r="V50" s="88"/>
      <c r="W50" s="13"/>
      <c r="X50" s="13">
        <f t="shared" si="33"/>
        <v>0</v>
      </c>
      <c r="Y50" s="14"/>
      <c r="Z50" s="88"/>
      <c r="AA50" s="13"/>
      <c r="AB50" s="18">
        <f t="shared" si="34"/>
        <v>0</v>
      </c>
      <c r="AC50" s="14"/>
      <c r="AD50" s="88"/>
      <c r="AE50" s="13"/>
      <c r="AF50" s="13">
        <f t="shared" si="35"/>
        <v>0</v>
      </c>
      <c r="AG50" s="14"/>
      <c r="AH50" s="88"/>
      <c r="AI50" s="13"/>
      <c r="AJ50" s="13">
        <f t="shared" si="36"/>
        <v>0</v>
      </c>
      <c r="AK50" s="14"/>
      <c r="AL50" s="88"/>
      <c r="AM50" s="13"/>
      <c r="AN50" s="13">
        <f t="shared" si="37"/>
        <v>0</v>
      </c>
      <c r="AO50" s="14"/>
      <c r="AP50" s="88"/>
      <c r="AQ50" s="13"/>
      <c r="AR50" s="13">
        <f t="shared" si="38"/>
        <v>0</v>
      </c>
      <c r="AS50" s="14"/>
    </row>
    <row r="51" spans="1:45" x14ac:dyDescent="0.25">
      <c r="A51" s="12"/>
      <c r="B51" s="13"/>
      <c r="C51" s="13"/>
      <c r="D51" s="13"/>
      <c r="E51" s="14"/>
      <c r="F51" s="13"/>
      <c r="G51" s="13"/>
      <c r="H51" s="13">
        <f t="shared" si="12"/>
        <v>0</v>
      </c>
      <c r="I51" s="88"/>
      <c r="J51" s="13"/>
      <c r="K51" s="55">
        <f t="shared" si="25"/>
        <v>0</v>
      </c>
      <c r="L51" s="88"/>
      <c r="M51" s="13"/>
      <c r="N51" s="193">
        <f t="shared" si="39"/>
        <v>0</v>
      </c>
      <c r="O51" s="211"/>
      <c r="P51" s="13"/>
      <c r="Q51" s="13">
        <f t="shared" si="27"/>
        <v>0</v>
      </c>
      <c r="R51" s="88"/>
      <c r="S51" s="13"/>
      <c r="T51" s="13">
        <f t="shared" si="22"/>
        <v>0</v>
      </c>
      <c r="U51" s="14"/>
      <c r="V51" s="88"/>
      <c r="W51" s="13"/>
      <c r="X51" s="13">
        <f t="shared" si="33"/>
        <v>0</v>
      </c>
      <c r="Y51" s="14"/>
      <c r="Z51" s="88"/>
      <c r="AA51" s="13"/>
      <c r="AB51" s="18">
        <f t="shared" si="34"/>
        <v>0</v>
      </c>
      <c r="AC51" s="14"/>
      <c r="AD51" s="88"/>
      <c r="AE51" s="13"/>
      <c r="AF51" s="13">
        <f t="shared" si="35"/>
        <v>0</v>
      </c>
      <c r="AG51" s="14"/>
      <c r="AH51" s="88"/>
      <c r="AI51" s="13"/>
      <c r="AJ51" s="13">
        <f t="shared" si="36"/>
        <v>0</v>
      </c>
      <c r="AK51" s="14"/>
      <c r="AL51" s="88"/>
      <c r="AM51" s="13"/>
      <c r="AN51" s="13">
        <f t="shared" si="37"/>
        <v>0</v>
      </c>
      <c r="AO51" s="14"/>
      <c r="AP51" s="88"/>
      <c r="AQ51" s="13"/>
      <c r="AR51" s="13">
        <f t="shared" si="38"/>
        <v>0</v>
      </c>
      <c r="AS51" s="14"/>
    </row>
    <row r="52" spans="1:45" x14ac:dyDescent="0.25">
      <c r="A52" s="17" t="s">
        <v>28</v>
      </c>
      <c r="B52" s="18">
        <f>+B53+B54+B55</f>
        <v>0</v>
      </c>
      <c r="C52" s="18">
        <v>0</v>
      </c>
      <c r="D52" s="18">
        <f t="shared" si="24"/>
        <v>0</v>
      </c>
      <c r="E52" s="19"/>
      <c r="F52" s="18">
        <f>F55</f>
        <v>159890</v>
      </c>
      <c r="G52" s="18">
        <v>0</v>
      </c>
      <c r="H52" s="18">
        <f t="shared" si="12"/>
        <v>159890</v>
      </c>
      <c r="I52" s="20">
        <f>+I54+I53+I55+I56</f>
        <v>0</v>
      </c>
      <c r="J52" s="18">
        <v>0</v>
      </c>
      <c r="K52" s="204">
        <f t="shared" si="25"/>
        <v>159890</v>
      </c>
      <c r="L52" s="20">
        <f>+L53</f>
        <v>205000</v>
      </c>
      <c r="M52" s="18">
        <v>0</v>
      </c>
      <c r="N52" s="193">
        <f t="shared" si="39"/>
        <v>364890</v>
      </c>
      <c r="O52" s="18">
        <f>+O53+O54+O55+O56</f>
        <v>0</v>
      </c>
      <c r="P52" s="18">
        <v>0</v>
      </c>
      <c r="Q52" s="18">
        <f t="shared" si="27"/>
        <v>364890</v>
      </c>
      <c r="R52" s="20">
        <f>+R56</f>
        <v>0</v>
      </c>
      <c r="S52" s="18">
        <v>0</v>
      </c>
      <c r="T52" s="18">
        <f t="shared" si="22"/>
        <v>364890</v>
      </c>
      <c r="U52" s="19"/>
      <c r="V52" s="20">
        <f>V53+V54+V55+V56</f>
        <v>414000</v>
      </c>
      <c r="W52" s="18">
        <v>0</v>
      </c>
      <c r="X52" s="18">
        <f t="shared" si="33"/>
        <v>778890</v>
      </c>
      <c r="Y52" s="19"/>
      <c r="Z52" s="20">
        <f>+Z56</f>
        <v>0</v>
      </c>
      <c r="AA52" s="18">
        <v>0</v>
      </c>
      <c r="AB52" s="18">
        <f t="shared" si="34"/>
        <v>778890</v>
      </c>
      <c r="AC52" s="19"/>
      <c r="AD52" s="342">
        <f>+AD56</f>
        <v>0</v>
      </c>
      <c r="AE52" s="18">
        <v>0</v>
      </c>
      <c r="AF52" s="18">
        <f t="shared" si="35"/>
        <v>778890</v>
      </c>
      <c r="AG52" s="19"/>
      <c r="AH52" s="20">
        <f>+AH56</f>
        <v>0</v>
      </c>
      <c r="AI52" s="18">
        <v>0</v>
      </c>
      <c r="AJ52" s="18">
        <f t="shared" si="36"/>
        <v>778890</v>
      </c>
      <c r="AK52" s="19"/>
      <c r="AL52" s="20">
        <f>+AL56</f>
        <v>0</v>
      </c>
      <c r="AM52" s="18">
        <v>0</v>
      </c>
      <c r="AN52" s="18">
        <f t="shared" si="37"/>
        <v>778890</v>
      </c>
      <c r="AO52" s="19"/>
      <c r="AP52" s="342">
        <f>+AP56</f>
        <v>0</v>
      </c>
      <c r="AQ52" s="18">
        <v>0</v>
      </c>
      <c r="AR52" s="18">
        <f t="shared" si="38"/>
        <v>778890</v>
      </c>
      <c r="AS52" s="19"/>
    </row>
    <row r="53" spans="1:45" x14ac:dyDescent="0.25">
      <c r="A53" s="12" t="s">
        <v>76</v>
      </c>
      <c r="B53" s="13">
        <v>0</v>
      </c>
      <c r="C53" s="13">
        <v>0</v>
      </c>
      <c r="D53" s="13">
        <f t="shared" si="24"/>
        <v>0</v>
      </c>
      <c r="E53" s="14"/>
      <c r="F53" s="13">
        <v>0</v>
      </c>
      <c r="G53" s="13">
        <v>0</v>
      </c>
      <c r="H53" s="13">
        <f t="shared" si="12"/>
        <v>0</v>
      </c>
      <c r="I53" s="88"/>
      <c r="J53" s="13">
        <v>0</v>
      </c>
      <c r="K53" s="55">
        <f t="shared" si="25"/>
        <v>0</v>
      </c>
      <c r="L53" s="88">
        <v>205000</v>
      </c>
      <c r="M53" s="13"/>
      <c r="N53" s="193">
        <f t="shared" si="39"/>
        <v>205000</v>
      </c>
      <c r="O53" s="211"/>
      <c r="P53" s="13"/>
      <c r="Q53" s="13">
        <f t="shared" si="27"/>
        <v>205000</v>
      </c>
      <c r="R53" s="88">
        <v>0</v>
      </c>
      <c r="S53" s="13"/>
      <c r="T53" s="13">
        <f t="shared" si="22"/>
        <v>205000</v>
      </c>
      <c r="U53" s="14"/>
      <c r="V53" s="88">
        <v>414000</v>
      </c>
      <c r="W53" s="13"/>
      <c r="X53" s="13">
        <f t="shared" si="33"/>
        <v>619000</v>
      </c>
      <c r="Y53" s="14"/>
      <c r="Z53" s="88">
        <v>0</v>
      </c>
      <c r="AA53" s="13"/>
      <c r="AB53" s="18">
        <f t="shared" si="34"/>
        <v>619000</v>
      </c>
      <c r="AC53" s="14"/>
      <c r="AD53" s="88">
        <v>0</v>
      </c>
      <c r="AE53" s="13"/>
      <c r="AF53" s="13">
        <f t="shared" si="35"/>
        <v>619000</v>
      </c>
      <c r="AG53" s="14"/>
      <c r="AH53" s="88">
        <v>0</v>
      </c>
      <c r="AI53" s="13"/>
      <c r="AJ53" s="13">
        <f t="shared" si="36"/>
        <v>619000</v>
      </c>
      <c r="AK53" s="14"/>
      <c r="AL53" s="88">
        <v>0</v>
      </c>
      <c r="AM53" s="13"/>
      <c r="AN53" s="13">
        <f t="shared" si="37"/>
        <v>619000</v>
      </c>
      <c r="AO53" s="14"/>
      <c r="AP53" s="88">
        <v>0</v>
      </c>
      <c r="AQ53" s="13"/>
      <c r="AR53" s="13">
        <f t="shared" si="38"/>
        <v>619000</v>
      </c>
      <c r="AS53" s="14"/>
    </row>
    <row r="54" spans="1:45" x14ac:dyDescent="0.25">
      <c r="A54" s="12" t="s">
        <v>77</v>
      </c>
      <c r="B54" s="13">
        <v>0</v>
      </c>
      <c r="C54" s="13">
        <v>0</v>
      </c>
      <c r="D54" s="13">
        <f t="shared" si="24"/>
        <v>0</v>
      </c>
      <c r="E54" s="14"/>
      <c r="F54" s="13">
        <v>0</v>
      </c>
      <c r="G54" s="13">
        <v>0</v>
      </c>
      <c r="H54" s="13">
        <f t="shared" si="12"/>
        <v>0</v>
      </c>
      <c r="I54" s="88">
        <v>0</v>
      </c>
      <c r="J54" s="13">
        <v>0</v>
      </c>
      <c r="K54" s="55">
        <f t="shared" si="25"/>
        <v>0</v>
      </c>
      <c r="L54" s="88">
        <v>0</v>
      </c>
      <c r="M54" s="13">
        <v>0</v>
      </c>
      <c r="N54" s="193">
        <f t="shared" si="39"/>
        <v>0</v>
      </c>
      <c r="O54" s="211">
        <v>0</v>
      </c>
      <c r="P54" s="13">
        <v>0</v>
      </c>
      <c r="Q54" s="13">
        <f t="shared" si="27"/>
        <v>0</v>
      </c>
      <c r="R54" s="88">
        <v>0</v>
      </c>
      <c r="S54" s="13">
        <v>0</v>
      </c>
      <c r="T54" s="13">
        <f t="shared" si="22"/>
        <v>0</v>
      </c>
      <c r="U54" s="14"/>
      <c r="V54" s="88">
        <v>0</v>
      </c>
      <c r="W54" s="13">
        <v>0</v>
      </c>
      <c r="X54" s="13">
        <f t="shared" si="33"/>
        <v>0</v>
      </c>
      <c r="Y54" s="14"/>
      <c r="Z54" s="88">
        <v>0</v>
      </c>
      <c r="AA54" s="13">
        <v>0</v>
      </c>
      <c r="AB54" s="18">
        <f t="shared" si="34"/>
        <v>0</v>
      </c>
      <c r="AC54" s="14"/>
      <c r="AD54" s="88">
        <v>0</v>
      </c>
      <c r="AE54" s="13">
        <v>0</v>
      </c>
      <c r="AF54" s="13">
        <f t="shared" si="35"/>
        <v>0</v>
      </c>
      <c r="AG54" s="14"/>
      <c r="AH54" s="88">
        <v>0</v>
      </c>
      <c r="AI54" s="13">
        <v>0</v>
      </c>
      <c r="AJ54" s="13">
        <f t="shared" si="36"/>
        <v>0</v>
      </c>
      <c r="AK54" s="14"/>
      <c r="AL54" s="88">
        <v>0</v>
      </c>
      <c r="AM54" s="13">
        <v>0</v>
      </c>
      <c r="AN54" s="13">
        <f t="shared" si="37"/>
        <v>0</v>
      </c>
      <c r="AO54" s="14"/>
      <c r="AP54" s="88">
        <v>0</v>
      </c>
      <c r="AQ54" s="13">
        <v>0</v>
      </c>
      <c r="AR54" s="13">
        <f t="shared" si="38"/>
        <v>0</v>
      </c>
      <c r="AS54" s="14"/>
    </row>
    <row r="55" spans="1:45" x14ac:dyDescent="0.25">
      <c r="A55" s="12" t="s">
        <v>29</v>
      </c>
      <c r="B55" s="13">
        <v>0</v>
      </c>
      <c r="C55" s="13">
        <v>0</v>
      </c>
      <c r="D55" s="13">
        <f t="shared" si="24"/>
        <v>0</v>
      </c>
      <c r="E55" s="14"/>
      <c r="F55" s="13">
        <v>159890</v>
      </c>
      <c r="G55" s="13">
        <v>0</v>
      </c>
      <c r="H55" s="13">
        <f t="shared" si="12"/>
        <v>159890</v>
      </c>
      <c r="I55" s="88"/>
      <c r="J55" s="13">
        <v>0</v>
      </c>
      <c r="K55" s="55">
        <f t="shared" si="25"/>
        <v>159890</v>
      </c>
      <c r="L55" s="88">
        <v>0</v>
      </c>
      <c r="M55" s="13">
        <v>0</v>
      </c>
      <c r="N55" s="193">
        <f t="shared" si="39"/>
        <v>159890</v>
      </c>
      <c r="O55" s="211">
        <v>0</v>
      </c>
      <c r="P55" s="13">
        <v>0</v>
      </c>
      <c r="Q55" s="13">
        <f t="shared" si="27"/>
        <v>159890</v>
      </c>
      <c r="R55" s="88">
        <v>0</v>
      </c>
      <c r="S55" s="13">
        <v>0</v>
      </c>
      <c r="T55" s="13">
        <f t="shared" si="22"/>
        <v>159890</v>
      </c>
      <c r="U55" s="14"/>
      <c r="V55" s="88">
        <v>0</v>
      </c>
      <c r="W55" s="13">
        <v>0</v>
      </c>
      <c r="X55" s="13">
        <f t="shared" si="33"/>
        <v>159890</v>
      </c>
      <c r="Y55" s="14"/>
      <c r="Z55" s="88">
        <v>0</v>
      </c>
      <c r="AA55" s="13">
        <v>0</v>
      </c>
      <c r="AB55" s="18">
        <f t="shared" si="34"/>
        <v>159890</v>
      </c>
      <c r="AC55" s="14"/>
      <c r="AD55" s="88">
        <v>0</v>
      </c>
      <c r="AE55" s="13">
        <v>0</v>
      </c>
      <c r="AF55" s="13">
        <f t="shared" si="35"/>
        <v>159890</v>
      </c>
      <c r="AG55" s="14"/>
      <c r="AH55" s="88">
        <v>0</v>
      </c>
      <c r="AI55" s="13">
        <v>0</v>
      </c>
      <c r="AJ55" s="13">
        <f t="shared" si="36"/>
        <v>159890</v>
      </c>
      <c r="AK55" s="14"/>
      <c r="AL55" s="88">
        <v>0</v>
      </c>
      <c r="AM55" s="13">
        <v>0</v>
      </c>
      <c r="AN55" s="13">
        <f t="shared" si="37"/>
        <v>159890</v>
      </c>
      <c r="AO55" s="14"/>
      <c r="AP55" s="88">
        <v>0</v>
      </c>
      <c r="AQ55" s="13">
        <v>0</v>
      </c>
      <c r="AR55" s="13">
        <f t="shared" si="38"/>
        <v>159890</v>
      </c>
      <c r="AS55" s="14"/>
    </row>
    <row r="56" spans="1:45" x14ac:dyDescent="0.25">
      <c r="A56" s="12" t="s">
        <v>33</v>
      </c>
      <c r="B56" s="13">
        <v>0</v>
      </c>
      <c r="C56" s="13"/>
      <c r="D56" s="13">
        <f t="shared" si="24"/>
        <v>0</v>
      </c>
      <c r="E56" s="14"/>
      <c r="F56" s="13"/>
      <c r="G56" s="13"/>
      <c r="H56" s="13">
        <f t="shared" si="12"/>
        <v>0</v>
      </c>
      <c r="I56" s="88"/>
      <c r="J56" s="13"/>
      <c r="K56" s="55">
        <f t="shared" si="25"/>
        <v>0</v>
      </c>
      <c r="L56" s="88">
        <v>0</v>
      </c>
      <c r="M56" s="13"/>
      <c r="N56" s="193">
        <f t="shared" si="39"/>
        <v>0</v>
      </c>
      <c r="O56" s="211">
        <v>0</v>
      </c>
      <c r="P56" s="13"/>
      <c r="Q56" s="13">
        <f t="shared" si="27"/>
        <v>0</v>
      </c>
      <c r="R56" s="88">
        <v>0</v>
      </c>
      <c r="S56" s="13"/>
      <c r="T56" s="13">
        <f t="shared" si="22"/>
        <v>0</v>
      </c>
      <c r="U56" s="14"/>
      <c r="V56" s="88">
        <v>0</v>
      </c>
      <c r="W56" s="13"/>
      <c r="X56" s="13">
        <f t="shared" si="33"/>
        <v>0</v>
      </c>
      <c r="Y56" s="14"/>
      <c r="Z56" s="88">
        <v>0</v>
      </c>
      <c r="AA56" s="13"/>
      <c r="AB56" s="18">
        <f t="shared" si="34"/>
        <v>0</v>
      </c>
      <c r="AC56" s="14"/>
      <c r="AD56" s="88">
        <v>0</v>
      </c>
      <c r="AE56" s="13"/>
      <c r="AF56" s="13">
        <f t="shared" si="35"/>
        <v>0</v>
      </c>
      <c r="AG56" s="14"/>
      <c r="AH56" s="88">
        <v>0</v>
      </c>
      <c r="AI56" s="13"/>
      <c r="AJ56" s="13">
        <f t="shared" si="36"/>
        <v>0</v>
      </c>
      <c r="AK56" s="14"/>
      <c r="AL56" s="88">
        <v>0</v>
      </c>
      <c r="AM56" s="13"/>
      <c r="AN56" s="13">
        <f t="shared" si="37"/>
        <v>0</v>
      </c>
      <c r="AO56" s="14"/>
      <c r="AP56" s="88">
        <v>0</v>
      </c>
      <c r="AQ56" s="13"/>
      <c r="AR56" s="13">
        <f t="shared" si="38"/>
        <v>0</v>
      </c>
      <c r="AS56" s="14"/>
    </row>
    <row r="57" spans="1:45" x14ac:dyDescent="0.25">
      <c r="A57" s="12"/>
      <c r="B57" s="13"/>
      <c r="C57" s="13"/>
      <c r="D57" s="13"/>
      <c r="E57" s="14"/>
      <c r="F57" s="13"/>
      <c r="G57" s="13"/>
      <c r="H57" s="13">
        <f t="shared" si="12"/>
        <v>0</v>
      </c>
      <c r="I57" s="88"/>
      <c r="J57" s="13"/>
      <c r="K57" s="55">
        <f t="shared" si="25"/>
        <v>0</v>
      </c>
      <c r="L57" s="88"/>
      <c r="M57" s="13"/>
      <c r="N57" s="193">
        <f t="shared" si="39"/>
        <v>0</v>
      </c>
      <c r="O57" s="211"/>
      <c r="P57" s="13"/>
      <c r="Q57" s="13">
        <f t="shared" si="27"/>
        <v>0</v>
      </c>
      <c r="R57" s="88"/>
      <c r="S57" s="13"/>
      <c r="T57" s="13">
        <f t="shared" si="22"/>
        <v>0</v>
      </c>
      <c r="U57" s="14"/>
      <c r="V57" s="88"/>
      <c r="W57" s="13"/>
      <c r="X57" s="13"/>
      <c r="Y57" s="14"/>
      <c r="Z57" s="88"/>
      <c r="AA57" s="13"/>
      <c r="AB57" s="18"/>
      <c r="AC57" s="14"/>
      <c r="AD57" s="88"/>
      <c r="AE57" s="13"/>
      <c r="AF57" s="13"/>
      <c r="AG57" s="14"/>
      <c r="AH57" s="88"/>
      <c r="AI57" s="13"/>
      <c r="AJ57" s="13"/>
      <c r="AK57" s="14"/>
      <c r="AL57" s="88"/>
      <c r="AM57" s="13"/>
      <c r="AN57" s="13"/>
      <c r="AO57" s="14"/>
      <c r="AP57" s="88"/>
      <c r="AQ57" s="13"/>
      <c r="AR57" s="13"/>
      <c r="AS57" s="14"/>
    </row>
    <row r="58" spans="1:45" x14ac:dyDescent="0.25">
      <c r="A58" s="17" t="s">
        <v>30</v>
      </c>
      <c r="B58" s="18">
        <f>+B59+B60</f>
        <v>2120000</v>
      </c>
      <c r="C58" s="18">
        <v>0</v>
      </c>
      <c r="D58" s="18">
        <f t="shared" si="24"/>
        <v>2120000</v>
      </c>
      <c r="E58" s="19"/>
      <c r="F58" s="18">
        <f>+F59+F60</f>
        <v>2233000</v>
      </c>
      <c r="G58" s="18">
        <v>0</v>
      </c>
      <c r="H58" s="18">
        <f t="shared" si="12"/>
        <v>4353000</v>
      </c>
      <c r="I58" s="20">
        <f>I59+I60</f>
        <v>2609000</v>
      </c>
      <c r="J58" s="18">
        <v>0</v>
      </c>
      <c r="K58" s="204">
        <f t="shared" si="25"/>
        <v>6962000</v>
      </c>
      <c r="L58" s="20">
        <f>L59+L60</f>
        <v>2460000</v>
      </c>
      <c r="M58" s="18">
        <v>0</v>
      </c>
      <c r="N58" s="193">
        <f t="shared" si="39"/>
        <v>9422000</v>
      </c>
      <c r="O58" s="18">
        <f>O59+O60</f>
        <v>2230240</v>
      </c>
      <c r="P58" s="18">
        <v>0</v>
      </c>
      <c r="Q58" s="18">
        <f t="shared" si="27"/>
        <v>11652240</v>
      </c>
      <c r="R58" s="20">
        <f>R59+R60</f>
        <v>2120000</v>
      </c>
      <c r="S58" s="18">
        <v>0</v>
      </c>
      <c r="T58" s="18">
        <f t="shared" si="22"/>
        <v>13772240</v>
      </c>
      <c r="U58" s="19"/>
      <c r="V58" s="20">
        <f>V59+V60</f>
        <v>2285200</v>
      </c>
      <c r="W58" s="18">
        <v>0</v>
      </c>
      <c r="X58" s="18">
        <f t="shared" ref="X58:X60" si="40">T58+V58</f>
        <v>16057440</v>
      </c>
      <c r="Y58" s="19"/>
      <c r="Z58" s="20">
        <f>Z59+Z60</f>
        <v>2120000</v>
      </c>
      <c r="AA58" s="18">
        <v>0</v>
      </c>
      <c r="AB58" s="18">
        <f t="shared" ref="AB58:AB60" si="41">X58+Z58</f>
        <v>18177440</v>
      </c>
      <c r="AC58" s="19"/>
      <c r="AD58" s="342">
        <f>AD59+AD60</f>
        <v>2270400</v>
      </c>
      <c r="AE58" s="18">
        <v>0</v>
      </c>
      <c r="AF58" s="18">
        <f t="shared" ref="AF58:AF60" si="42">AB58+AD58</f>
        <v>20447840</v>
      </c>
      <c r="AG58" s="19"/>
      <c r="AH58" s="20">
        <f>AH59+AH60</f>
        <v>2207750</v>
      </c>
      <c r="AI58" s="18">
        <v>0</v>
      </c>
      <c r="AJ58" s="18">
        <f t="shared" ref="AJ58:AJ60" si="43">AF58+AH58</f>
        <v>22655590</v>
      </c>
      <c r="AK58" s="19"/>
      <c r="AL58" s="20">
        <f>AL59+AL60</f>
        <v>2120000</v>
      </c>
      <c r="AM58" s="18">
        <f>AM59+AM60</f>
        <v>0</v>
      </c>
      <c r="AN58" s="18">
        <f t="shared" ref="AN58:AN60" si="44">AJ58+AL58</f>
        <v>24775590</v>
      </c>
      <c r="AO58" s="19"/>
      <c r="AP58" s="342">
        <f>AP59+AP60</f>
        <v>2168000</v>
      </c>
      <c r="AQ58" s="18">
        <f>AQ59+AQ60</f>
        <v>0</v>
      </c>
      <c r="AR58" s="18">
        <f t="shared" ref="AR58:AR60" si="45">AN58+AP58</f>
        <v>26943590</v>
      </c>
      <c r="AS58" s="19"/>
    </row>
    <row r="59" spans="1:45" ht="24" customHeight="1" x14ac:dyDescent="0.25">
      <c r="A59" s="12" t="s">
        <v>31</v>
      </c>
      <c r="B59" s="175">
        <v>2120000</v>
      </c>
      <c r="C59" s="13">
        <v>0</v>
      </c>
      <c r="D59" s="13">
        <f t="shared" si="24"/>
        <v>2120000</v>
      </c>
      <c r="E59" s="14"/>
      <c r="F59" s="175">
        <v>2120000</v>
      </c>
      <c r="G59" s="13">
        <v>0</v>
      </c>
      <c r="H59" s="13">
        <f t="shared" si="12"/>
        <v>4240000</v>
      </c>
      <c r="I59" s="197">
        <v>2120000</v>
      </c>
      <c r="J59" s="13">
        <v>0</v>
      </c>
      <c r="K59" s="55">
        <f t="shared" si="25"/>
        <v>6360000</v>
      </c>
      <c r="L59" s="197">
        <v>2120000</v>
      </c>
      <c r="M59" s="13">
        <v>0</v>
      </c>
      <c r="N59" s="193">
        <f t="shared" si="39"/>
        <v>8480000</v>
      </c>
      <c r="O59" s="197">
        <v>2120000</v>
      </c>
      <c r="P59" s="13">
        <v>0</v>
      </c>
      <c r="Q59" s="13">
        <f t="shared" si="27"/>
        <v>10600000</v>
      </c>
      <c r="R59" s="197">
        <v>2120000</v>
      </c>
      <c r="S59" s="13"/>
      <c r="T59" s="13">
        <f t="shared" si="22"/>
        <v>12720000</v>
      </c>
      <c r="U59" s="14"/>
      <c r="V59" s="197">
        <v>2120000</v>
      </c>
      <c r="W59" s="13"/>
      <c r="X59" s="13">
        <f t="shared" si="40"/>
        <v>14840000</v>
      </c>
      <c r="Y59" s="14"/>
      <c r="Z59" s="197">
        <v>2120000</v>
      </c>
      <c r="AA59" s="13"/>
      <c r="AB59" s="18">
        <f t="shared" si="41"/>
        <v>16960000</v>
      </c>
      <c r="AC59" s="14"/>
      <c r="AD59" s="13">
        <v>2120000</v>
      </c>
      <c r="AE59" s="13"/>
      <c r="AF59" s="13">
        <f t="shared" si="42"/>
        <v>19080000</v>
      </c>
      <c r="AG59" s="14"/>
      <c r="AH59" s="13">
        <v>2120000</v>
      </c>
      <c r="AI59" s="13"/>
      <c r="AJ59" s="13">
        <f t="shared" si="43"/>
        <v>21200000</v>
      </c>
      <c r="AK59" s="14"/>
      <c r="AL59" s="13">
        <v>2120000</v>
      </c>
      <c r="AM59" s="13"/>
      <c r="AN59" s="13">
        <f t="shared" si="44"/>
        <v>23320000</v>
      </c>
      <c r="AO59" s="14"/>
      <c r="AP59" s="13">
        <v>2120000</v>
      </c>
      <c r="AQ59" s="13"/>
      <c r="AR59" s="13">
        <f t="shared" si="45"/>
        <v>25440000</v>
      </c>
      <c r="AS59" s="14"/>
    </row>
    <row r="60" spans="1:45" ht="15.75" customHeight="1" x14ac:dyDescent="0.25">
      <c r="A60" s="12" t="s">
        <v>87</v>
      </c>
      <c r="B60" s="13"/>
      <c r="C60" s="13">
        <v>0</v>
      </c>
      <c r="D60" s="13">
        <f t="shared" si="24"/>
        <v>0</v>
      </c>
      <c r="E60" s="14"/>
      <c r="F60" s="13">
        <v>113000</v>
      </c>
      <c r="G60" s="13"/>
      <c r="H60" s="13">
        <f t="shared" si="12"/>
        <v>113000</v>
      </c>
      <c r="I60" s="88">
        <v>489000</v>
      </c>
      <c r="J60" s="13"/>
      <c r="K60" s="55">
        <f t="shared" si="25"/>
        <v>602000</v>
      </c>
      <c r="L60" s="88">
        <v>340000</v>
      </c>
      <c r="M60" s="13"/>
      <c r="N60" s="193">
        <f t="shared" si="39"/>
        <v>942000</v>
      </c>
      <c r="O60" s="211">
        <v>110240</v>
      </c>
      <c r="P60" s="13"/>
      <c r="Q60" s="228">
        <f t="shared" si="27"/>
        <v>1052240</v>
      </c>
      <c r="R60" s="88">
        <v>0</v>
      </c>
      <c r="S60" s="13"/>
      <c r="T60" s="13">
        <f t="shared" si="22"/>
        <v>1052240</v>
      </c>
      <c r="U60" s="14"/>
      <c r="V60" s="88">
        <v>165200</v>
      </c>
      <c r="W60" s="13"/>
      <c r="X60" s="13">
        <f t="shared" si="40"/>
        <v>1217440</v>
      </c>
      <c r="Y60" s="14"/>
      <c r="Z60" s="88"/>
      <c r="AA60" s="13"/>
      <c r="AB60" s="18">
        <f t="shared" si="41"/>
        <v>1217440</v>
      </c>
      <c r="AC60" s="14"/>
      <c r="AD60" s="88">
        <v>150400</v>
      </c>
      <c r="AE60" s="13"/>
      <c r="AF60" s="13">
        <f t="shared" si="42"/>
        <v>1367840</v>
      </c>
      <c r="AG60" s="14"/>
      <c r="AH60" s="88">
        <v>87750</v>
      </c>
      <c r="AI60" s="13"/>
      <c r="AJ60" s="13">
        <f t="shared" si="43"/>
        <v>1455590</v>
      </c>
      <c r="AK60" s="14"/>
      <c r="AL60" s="88">
        <v>0</v>
      </c>
      <c r="AM60" s="13"/>
      <c r="AN60" s="13">
        <f t="shared" si="44"/>
        <v>1455590</v>
      </c>
      <c r="AO60" s="14"/>
      <c r="AP60" s="88">
        <v>48000</v>
      </c>
      <c r="AQ60" s="13"/>
      <c r="AR60" s="13">
        <f t="shared" si="45"/>
        <v>1503590</v>
      </c>
      <c r="AS60" s="14"/>
    </row>
    <row r="61" spans="1:45" ht="15.75" customHeight="1" x14ac:dyDescent="0.25">
      <c r="A61" s="12"/>
      <c r="B61" s="13"/>
      <c r="C61" s="13"/>
      <c r="D61" s="13"/>
      <c r="E61" s="14"/>
      <c r="F61" s="13"/>
      <c r="G61" s="13"/>
      <c r="H61" s="13">
        <f t="shared" si="12"/>
        <v>0</v>
      </c>
      <c r="I61" s="88"/>
      <c r="J61" s="13"/>
      <c r="K61" s="55">
        <f t="shared" si="25"/>
        <v>0</v>
      </c>
      <c r="L61" s="88"/>
      <c r="M61" s="13"/>
      <c r="N61" s="193">
        <f t="shared" si="39"/>
        <v>0</v>
      </c>
      <c r="O61" s="211"/>
      <c r="P61" s="13"/>
      <c r="Q61" s="13">
        <f t="shared" si="27"/>
        <v>0</v>
      </c>
      <c r="R61" s="88"/>
      <c r="S61" s="13"/>
      <c r="T61" s="13">
        <f t="shared" si="22"/>
        <v>0</v>
      </c>
      <c r="U61" s="14"/>
      <c r="V61" s="88"/>
      <c r="W61" s="13"/>
      <c r="X61" s="13"/>
      <c r="Y61" s="14"/>
      <c r="Z61" s="88"/>
      <c r="AA61" s="13"/>
      <c r="AB61" s="18"/>
      <c r="AC61" s="14"/>
      <c r="AD61" s="88"/>
      <c r="AE61" s="13"/>
      <c r="AF61" s="13"/>
      <c r="AG61" s="14"/>
      <c r="AH61" s="88"/>
      <c r="AI61" s="13"/>
      <c r="AJ61" s="13"/>
      <c r="AK61" s="14"/>
      <c r="AL61" s="88"/>
      <c r="AM61" s="13"/>
      <c r="AN61" s="13"/>
      <c r="AO61" s="14"/>
      <c r="AP61" s="88"/>
      <c r="AQ61" s="13"/>
      <c r="AR61" s="13"/>
      <c r="AS61" s="14"/>
    </row>
    <row r="62" spans="1:45" ht="23.25" customHeight="1" x14ac:dyDescent="0.25">
      <c r="A62" s="17" t="s">
        <v>241</v>
      </c>
      <c r="B62" s="18">
        <f>+B63</f>
        <v>0</v>
      </c>
      <c r="C62" s="18"/>
      <c r="D62" s="18">
        <f>+D63</f>
        <v>0</v>
      </c>
      <c r="E62" s="19"/>
      <c r="F62" s="18">
        <f>+F63</f>
        <v>0</v>
      </c>
      <c r="G62" s="18"/>
      <c r="H62" s="18">
        <f t="shared" si="12"/>
        <v>0</v>
      </c>
      <c r="I62" s="20">
        <f>+I63</f>
        <v>0</v>
      </c>
      <c r="J62" s="18"/>
      <c r="K62" s="204">
        <f t="shared" si="25"/>
        <v>0</v>
      </c>
      <c r="L62" s="20">
        <v>0</v>
      </c>
      <c r="M62" s="18"/>
      <c r="N62" s="193">
        <f t="shared" si="39"/>
        <v>0</v>
      </c>
      <c r="O62" s="18">
        <f>+O63</f>
        <v>0</v>
      </c>
      <c r="P62" s="18"/>
      <c r="Q62" s="18">
        <f t="shared" si="27"/>
        <v>0</v>
      </c>
      <c r="R62" s="20">
        <v>0</v>
      </c>
      <c r="S62" s="18"/>
      <c r="T62" s="18">
        <f t="shared" si="22"/>
        <v>0</v>
      </c>
      <c r="U62" s="19"/>
      <c r="V62" s="20">
        <v>0</v>
      </c>
      <c r="W62" s="18"/>
      <c r="X62" s="18">
        <f>T62+V62</f>
        <v>0</v>
      </c>
      <c r="Y62" s="19"/>
      <c r="Z62" s="20">
        <v>0</v>
      </c>
      <c r="AA62" s="18"/>
      <c r="AB62" s="18">
        <f>X62+Z62</f>
        <v>0</v>
      </c>
      <c r="AC62" s="19"/>
      <c r="AD62" s="342">
        <f>AD63</f>
        <v>481583</v>
      </c>
      <c r="AE62" s="18"/>
      <c r="AF62" s="18">
        <f>AB62+AD62</f>
        <v>481583</v>
      </c>
      <c r="AG62" s="19"/>
      <c r="AH62" s="20">
        <v>0</v>
      </c>
      <c r="AI62" s="18"/>
      <c r="AJ62" s="18">
        <f>AF62+AH62</f>
        <v>481583</v>
      </c>
      <c r="AK62" s="19"/>
      <c r="AL62" s="20">
        <v>0</v>
      </c>
      <c r="AM62" s="18">
        <f>AM63</f>
        <v>0</v>
      </c>
      <c r="AN62" s="18">
        <f t="shared" ref="AN62:AN63" si="46">AJ62+AL62</f>
        <v>481583</v>
      </c>
      <c r="AO62" s="19"/>
      <c r="AP62" s="20">
        <v>0</v>
      </c>
      <c r="AQ62" s="18">
        <f>AQ63</f>
        <v>0</v>
      </c>
      <c r="AR62" s="18">
        <f t="shared" ref="AR62:AR63" si="47">AN62+AP62</f>
        <v>481583</v>
      </c>
      <c r="AS62" s="19"/>
    </row>
    <row r="63" spans="1:45" x14ac:dyDescent="0.25">
      <c r="A63" s="12" t="s">
        <v>84</v>
      </c>
      <c r="B63" s="13"/>
      <c r="C63" s="13">
        <v>0</v>
      </c>
      <c r="D63" s="13">
        <f>+B63</f>
        <v>0</v>
      </c>
      <c r="E63" s="14"/>
      <c r="F63" s="13"/>
      <c r="G63" s="13"/>
      <c r="H63" s="13">
        <f t="shared" si="12"/>
        <v>0</v>
      </c>
      <c r="I63" s="88">
        <v>0</v>
      </c>
      <c r="J63" s="13"/>
      <c r="K63" s="55">
        <f t="shared" si="25"/>
        <v>0</v>
      </c>
      <c r="L63" s="88"/>
      <c r="M63" s="13"/>
      <c r="N63" s="193">
        <f t="shared" si="39"/>
        <v>0</v>
      </c>
      <c r="O63" s="211"/>
      <c r="P63" s="13"/>
      <c r="Q63" s="13">
        <f t="shared" si="27"/>
        <v>0</v>
      </c>
      <c r="R63" s="88">
        <v>0</v>
      </c>
      <c r="S63" s="13"/>
      <c r="T63" s="13">
        <f t="shared" si="22"/>
        <v>0</v>
      </c>
      <c r="U63" s="14"/>
      <c r="V63" s="88">
        <v>0</v>
      </c>
      <c r="W63" s="13"/>
      <c r="X63" s="13">
        <f t="shared" ref="X63" si="48">T63+V63</f>
        <v>0</v>
      </c>
      <c r="Y63" s="14"/>
      <c r="Z63" s="88">
        <v>0</v>
      </c>
      <c r="AA63" s="13"/>
      <c r="AB63" s="18">
        <f t="shared" ref="AB63" si="49">X63+Z63</f>
        <v>0</v>
      </c>
      <c r="AC63" s="14"/>
      <c r="AD63" s="88">
        <v>481583</v>
      </c>
      <c r="AE63" s="13"/>
      <c r="AF63" s="13">
        <f t="shared" ref="AF63" si="50">AB63+AD63</f>
        <v>481583</v>
      </c>
      <c r="AG63" s="14"/>
      <c r="AH63" s="88">
        <v>0</v>
      </c>
      <c r="AI63" s="13"/>
      <c r="AJ63" s="13">
        <f t="shared" ref="AJ63" si="51">AF63+AH63</f>
        <v>481583</v>
      </c>
      <c r="AK63" s="14"/>
      <c r="AL63" s="88">
        <v>0</v>
      </c>
      <c r="AM63" s="13"/>
      <c r="AN63" s="13">
        <f t="shared" si="46"/>
        <v>481583</v>
      </c>
      <c r="AO63" s="14"/>
      <c r="AP63" s="88">
        <v>0</v>
      </c>
      <c r="AQ63" s="13"/>
      <c r="AR63" s="13">
        <f t="shared" si="47"/>
        <v>481583</v>
      </c>
      <c r="AS63" s="14"/>
    </row>
    <row r="64" spans="1:45" x14ac:dyDescent="0.25">
      <c r="A64" s="12"/>
      <c r="B64" s="13"/>
      <c r="C64" s="13"/>
      <c r="D64" s="13"/>
      <c r="E64" s="14"/>
      <c r="F64" s="13"/>
      <c r="G64" s="13"/>
      <c r="H64" s="13">
        <f t="shared" si="12"/>
        <v>0</v>
      </c>
      <c r="I64" s="88"/>
      <c r="J64" s="13"/>
      <c r="K64" s="55">
        <f t="shared" si="25"/>
        <v>0</v>
      </c>
      <c r="L64" s="88"/>
      <c r="M64" s="13"/>
      <c r="N64" s="193">
        <f t="shared" si="39"/>
        <v>0</v>
      </c>
      <c r="O64" s="211"/>
      <c r="P64" s="13"/>
      <c r="Q64" s="13">
        <f t="shared" si="27"/>
        <v>0</v>
      </c>
      <c r="R64" s="88"/>
      <c r="S64" s="13"/>
      <c r="T64" s="13">
        <f t="shared" si="22"/>
        <v>0</v>
      </c>
      <c r="U64" s="14"/>
      <c r="V64" s="88"/>
      <c r="W64" s="13"/>
      <c r="X64" s="13"/>
      <c r="Y64" s="14"/>
      <c r="Z64" s="88"/>
      <c r="AA64" s="13"/>
      <c r="AB64" s="18"/>
      <c r="AC64" s="14"/>
      <c r="AD64" s="88"/>
      <c r="AE64" s="13"/>
      <c r="AF64" s="13"/>
      <c r="AG64" s="14"/>
      <c r="AH64" s="88"/>
      <c r="AI64" s="13"/>
      <c r="AJ64" s="13"/>
      <c r="AK64" s="14"/>
      <c r="AL64" s="88"/>
      <c r="AM64" s="13"/>
      <c r="AN64" s="13"/>
      <c r="AO64" s="14"/>
      <c r="AP64" s="88"/>
      <c r="AQ64" s="13"/>
      <c r="AR64" s="13"/>
      <c r="AS64" s="14"/>
    </row>
    <row r="65" spans="1:45" x14ac:dyDescent="0.25">
      <c r="A65" s="17" t="s">
        <v>32</v>
      </c>
      <c r="B65" s="18">
        <f>+B66</f>
        <v>968800</v>
      </c>
      <c r="C65" s="18">
        <v>0</v>
      </c>
      <c r="D65" s="18">
        <f t="shared" ref="D65:D145" si="52">+B65</f>
        <v>968800</v>
      </c>
      <c r="E65" s="19"/>
      <c r="F65" s="18">
        <f>F68</f>
        <v>0</v>
      </c>
      <c r="G65" s="18">
        <v>0</v>
      </c>
      <c r="H65" s="18">
        <f t="shared" si="12"/>
        <v>968800</v>
      </c>
      <c r="I65" s="20">
        <f>I66+I67</f>
        <v>0</v>
      </c>
      <c r="J65" s="18">
        <v>0</v>
      </c>
      <c r="K65" s="204">
        <f t="shared" si="25"/>
        <v>968800</v>
      </c>
      <c r="L65" s="20">
        <f>L66+L67+L68</f>
        <v>0</v>
      </c>
      <c r="M65" s="18">
        <v>0</v>
      </c>
      <c r="N65" s="193">
        <f t="shared" si="39"/>
        <v>968800</v>
      </c>
      <c r="O65" s="18">
        <f>O66+O67+O68</f>
        <v>0</v>
      </c>
      <c r="P65" s="18">
        <v>0</v>
      </c>
      <c r="Q65" s="18">
        <f t="shared" si="27"/>
        <v>968800</v>
      </c>
      <c r="R65" s="20">
        <f>R66+R67+R68</f>
        <v>0</v>
      </c>
      <c r="S65" s="18">
        <v>0</v>
      </c>
      <c r="T65" s="18">
        <f t="shared" si="22"/>
        <v>968800</v>
      </c>
      <c r="U65" s="19"/>
      <c r="V65" s="20">
        <f>V66+V67+V68</f>
        <v>0</v>
      </c>
      <c r="W65" s="18">
        <v>0</v>
      </c>
      <c r="X65" s="18">
        <f t="shared" ref="X65:X72" si="53">T65+V65</f>
        <v>968800</v>
      </c>
      <c r="Y65" s="19"/>
      <c r="Z65" s="20">
        <f>Z66+Z67+Z68</f>
        <v>0</v>
      </c>
      <c r="AA65" s="18">
        <v>0</v>
      </c>
      <c r="AB65" s="18">
        <f t="shared" ref="AB65:AB72" si="54">X65+Z65</f>
        <v>968800</v>
      </c>
      <c r="AC65" s="19"/>
      <c r="AD65" s="342">
        <f>AD66+AD67+AD68</f>
        <v>0</v>
      </c>
      <c r="AE65" s="18">
        <v>0</v>
      </c>
      <c r="AF65" s="18">
        <f t="shared" ref="AF65:AF72" si="55">AB65+AD65</f>
        <v>968800</v>
      </c>
      <c r="AG65" s="19"/>
      <c r="AH65" s="20">
        <f>AH66+AH67+AH68</f>
        <v>0</v>
      </c>
      <c r="AI65" s="18">
        <v>0</v>
      </c>
      <c r="AJ65" s="18">
        <f t="shared" ref="AJ65:AJ72" si="56">AF65+AH65</f>
        <v>968800</v>
      </c>
      <c r="AK65" s="19"/>
      <c r="AL65" s="20">
        <f>AL66+AL67+AL68</f>
        <v>0</v>
      </c>
      <c r="AM65" s="18">
        <f>AM66+AM67+AM68</f>
        <v>0</v>
      </c>
      <c r="AN65" s="18">
        <f t="shared" ref="AN65:AN72" si="57">AJ65+AL65</f>
        <v>968800</v>
      </c>
      <c r="AO65" s="19"/>
      <c r="AP65" s="20">
        <f>AP66+AP67+AP68</f>
        <v>0</v>
      </c>
      <c r="AQ65" s="18">
        <f>AQ66+AQ67+AQ68</f>
        <v>0</v>
      </c>
      <c r="AR65" s="18">
        <f t="shared" ref="AR65:AR72" si="58">AN65+AP65</f>
        <v>968800</v>
      </c>
      <c r="AS65" s="19"/>
    </row>
    <row r="66" spans="1:45" x14ac:dyDescent="0.25">
      <c r="A66" s="12" t="s">
        <v>221</v>
      </c>
      <c r="B66" s="13">
        <v>968800</v>
      </c>
      <c r="C66" s="13"/>
      <c r="D66" s="13">
        <f t="shared" si="52"/>
        <v>968800</v>
      </c>
      <c r="E66" s="14"/>
      <c r="F66" s="13"/>
      <c r="G66" s="13"/>
      <c r="H66" s="13">
        <f t="shared" si="12"/>
        <v>968800</v>
      </c>
      <c r="I66" s="88"/>
      <c r="J66" s="13"/>
      <c r="K66" s="55">
        <f t="shared" si="25"/>
        <v>968800</v>
      </c>
      <c r="L66" s="88"/>
      <c r="M66" s="13"/>
      <c r="N66" s="193">
        <f t="shared" si="39"/>
        <v>968800</v>
      </c>
      <c r="O66" s="211"/>
      <c r="P66" s="13"/>
      <c r="Q66" s="13">
        <f t="shared" si="27"/>
        <v>968800</v>
      </c>
      <c r="R66" s="88">
        <v>0</v>
      </c>
      <c r="S66" s="13"/>
      <c r="T66" s="13">
        <f t="shared" si="22"/>
        <v>968800</v>
      </c>
      <c r="U66" s="14"/>
      <c r="V66" s="88">
        <v>0</v>
      </c>
      <c r="W66" s="13"/>
      <c r="X66" s="13">
        <f t="shared" si="53"/>
        <v>968800</v>
      </c>
      <c r="Y66" s="14"/>
      <c r="Z66" s="88">
        <v>0</v>
      </c>
      <c r="AA66" s="13"/>
      <c r="AB66" s="18">
        <f t="shared" si="54"/>
        <v>968800</v>
      </c>
      <c r="AC66" s="14"/>
      <c r="AD66" s="88">
        <v>0</v>
      </c>
      <c r="AE66" s="13"/>
      <c r="AF66" s="13">
        <f t="shared" si="55"/>
        <v>968800</v>
      </c>
      <c r="AG66" s="14"/>
      <c r="AH66" s="88">
        <v>0</v>
      </c>
      <c r="AI66" s="13"/>
      <c r="AJ66" s="13">
        <f t="shared" si="56"/>
        <v>968800</v>
      </c>
      <c r="AK66" s="14"/>
      <c r="AL66" s="88">
        <v>0</v>
      </c>
      <c r="AM66" s="13"/>
      <c r="AN66" s="13">
        <f t="shared" si="57"/>
        <v>968800</v>
      </c>
      <c r="AO66" s="14"/>
      <c r="AP66" s="88">
        <v>0</v>
      </c>
      <c r="AQ66" s="13"/>
      <c r="AR66" s="13">
        <f t="shared" si="58"/>
        <v>968800</v>
      </c>
      <c r="AS66" s="14"/>
    </row>
    <row r="67" spans="1:45" x14ac:dyDescent="0.25">
      <c r="A67" s="12" t="s">
        <v>218</v>
      </c>
      <c r="B67" s="13"/>
      <c r="C67" s="13"/>
      <c r="D67" s="13">
        <f>+B67</f>
        <v>0</v>
      </c>
      <c r="E67" s="14"/>
      <c r="F67" s="13"/>
      <c r="G67" s="13"/>
      <c r="H67" s="13">
        <f t="shared" si="12"/>
        <v>0</v>
      </c>
      <c r="I67" s="88"/>
      <c r="J67" s="13"/>
      <c r="K67" s="55">
        <f t="shared" si="25"/>
        <v>0</v>
      </c>
      <c r="L67" s="88"/>
      <c r="M67" s="13"/>
      <c r="N67" s="193">
        <f t="shared" si="39"/>
        <v>0</v>
      </c>
      <c r="O67" s="211"/>
      <c r="P67" s="13"/>
      <c r="Q67" s="13">
        <f t="shared" si="27"/>
        <v>0</v>
      </c>
      <c r="R67" s="88">
        <v>0</v>
      </c>
      <c r="S67" s="13"/>
      <c r="T67" s="13">
        <f t="shared" si="22"/>
        <v>0</v>
      </c>
      <c r="U67" s="14"/>
      <c r="V67" s="88">
        <v>0</v>
      </c>
      <c r="W67" s="13"/>
      <c r="X67" s="13">
        <f t="shared" si="53"/>
        <v>0</v>
      </c>
      <c r="Y67" s="14"/>
      <c r="Z67" s="88">
        <v>0</v>
      </c>
      <c r="AA67" s="13"/>
      <c r="AB67" s="18">
        <f t="shared" si="54"/>
        <v>0</v>
      </c>
      <c r="AC67" s="14"/>
      <c r="AD67" s="88">
        <v>0</v>
      </c>
      <c r="AE67" s="13"/>
      <c r="AF67" s="13">
        <f t="shared" si="55"/>
        <v>0</v>
      </c>
      <c r="AG67" s="14"/>
      <c r="AH67" s="88">
        <v>0</v>
      </c>
      <c r="AI67" s="13"/>
      <c r="AJ67" s="13">
        <f t="shared" si="56"/>
        <v>0</v>
      </c>
      <c r="AK67" s="14"/>
      <c r="AL67" s="88">
        <v>0</v>
      </c>
      <c r="AM67" s="13"/>
      <c r="AN67" s="13">
        <f t="shared" si="57"/>
        <v>0</v>
      </c>
      <c r="AO67" s="14"/>
      <c r="AP67" s="88">
        <v>0</v>
      </c>
      <c r="AQ67" s="13"/>
      <c r="AR67" s="13">
        <f t="shared" si="58"/>
        <v>0</v>
      </c>
      <c r="AS67" s="14"/>
    </row>
    <row r="68" spans="1:45" x14ac:dyDescent="0.25">
      <c r="A68" s="12" t="s">
        <v>217</v>
      </c>
      <c r="B68" s="13"/>
      <c r="C68" s="13">
        <v>0</v>
      </c>
      <c r="D68" s="13">
        <f t="shared" si="52"/>
        <v>0</v>
      </c>
      <c r="E68" s="14"/>
      <c r="F68" s="13">
        <v>0</v>
      </c>
      <c r="G68" s="13">
        <v>0</v>
      </c>
      <c r="H68" s="13">
        <f t="shared" si="12"/>
        <v>0</v>
      </c>
      <c r="I68" s="88">
        <v>0</v>
      </c>
      <c r="J68" s="13">
        <v>0</v>
      </c>
      <c r="K68" s="55">
        <f t="shared" si="25"/>
        <v>0</v>
      </c>
      <c r="L68" s="88">
        <v>0</v>
      </c>
      <c r="M68" s="13">
        <v>0</v>
      </c>
      <c r="N68" s="193">
        <f t="shared" si="39"/>
        <v>0</v>
      </c>
      <c r="O68" s="211">
        <v>0</v>
      </c>
      <c r="P68" s="13">
        <v>0</v>
      </c>
      <c r="Q68" s="13">
        <f t="shared" si="27"/>
        <v>0</v>
      </c>
      <c r="R68" s="88">
        <v>0</v>
      </c>
      <c r="S68" s="13">
        <v>0</v>
      </c>
      <c r="T68" s="13">
        <f t="shared" si="22"/>
        <v>0</v>
      </c>
      <c r="U68" s="14"/>
      <c r="V68" s="88">
        <v>0</v>
      </c>
      <c r="W68" s="13">
        <v>0</v>
      </c>
      <c r="X68" s="13">
        <f t="shared" si="53"/>
        <v>0</v>
      </c>
      <c r="Y68" s="14"/>
      <c r="Z68" s="88">
        <v>0</v>
      </c>
      <c r="AA68" s="13">
        <v>0</v>
      </c>
      <c r="AB68" s="18">
        <f t="shared" si="54"/>
        <v>0</v>
      </c>
      <c r="AC68" s="14"/>
      <c r="AD68" s="88">
        <v>0</v>
      </c>
      <c r="AE68" s="13">
        <v>0</v>
      </c>
      <c r="AF68" s="13">
        <f t="shared" si="55"/>
        <v>0</v>
      </c>
      <c r="AG68" s="14"/>
      <c r="AH68" s="88">
        <v>0</v>
      </c>
      <c r="AI68" s="13">
        <v>0</v>
      </c>
      <c r="AJ68" s="13">
        <f t="shared" si="56"/>
        <v>0</v>
      </c>
      <c r="AK68" s="14"/>
      <c r="AL68" s="88">
        <v>0</v>
      </c>
      <c r="AM68" s="13">
        <v>0</v>
      </c>
      <c r="AN68" s="13">
        <f t="shared" si="57"/>
        <v>0</v>
      </c>
      <c r="AO68" s="14"/>
      <c r="AP68" s="88">
        <v>0</v>
      </c>
      <c r="AQ68" s="13">
        <v>0</v>
      </c>
      <c r="AR68" s="13">
        <f t="shared" si="58"/>
        <v>0</v>
      </c>
      <c r="AS68" s="14"/>
    </row>
    <row r="69" spans="1:45" x14ac:dyDescent="0.25">
      <c r="A69" s="12"/>
      <c r="B69" s="13"/>
      <c r="C69" s="13"/>
      <c r="D69" s="13"/>
      <c r="E69" s="14"/>
      <c r="F69" s="13"/>
      <c r="G69" s="13"/>
      <c r="H69" s="13">
        <f t="shared" si="12"/>
        <v>0</v>
      </c>
      <c r="I69" s="88"/>
      <c r="J69" s="13"/>
      <c r="K69" s="55">
        <f t="shared" si="25"/>
        <v>0</v>
      </c>
      <c r="L69" s="88"/>
      <c r="M69" s="13"/>
      <c r="N69" s="193">
        <f t="shared" si="39"/>
        <v>0</v>
      </c>
      <c r="O69" s="211"/>
      <c r="P69" s="13"/>
      <c r="Q69" s="13">
        <f t="shared" si="27"/>
        <v>0</v>
      </c>
      <c r="R69" s="88"/>
      <c r="S69" s="13"/>
      <c r="T69" s="13">
        <f t="shared" si="22"/>
        <v>0</v>
      </c>
      <c r="U69" s="14"/>
      <c r="V69" s="88"/>
      <c r="W69" s="13"/>
      <c r="X69" s="13">
        <f t="shared" si="53"/>
        <v>0</v>
      </c>
      <c r="Y69" s="14"/>
      <c r="Z69" s="88"/>
      <c r="AA69" s="13"/>
      <c r="AB69" s="18">
        <f t="shared" si="54"/>
        <v>0</v>
      </c>
      <c r="AC69" s="14"/>
      <c r="AD69" s="88"/>
      <c r="AE69" s="13"/>
      <c r="AF69" s="13">
        <f t="shared" si="55"/>
        <v>0</v>
      </c>
      <c r="AG69" s="14"/>
      <c r="AH69" s="88"/>
      <c r="AI69" s="13"/>
      <c r="AJ69" s="13">
        <f t="shared" si="56"/>
        <v>0</v>
      </c>
      <c r="AK69" s="14"/>
      <c r="AL69" s="88"/>
      <c r="AM69" s="13"/>
      <c r="AN69" s="13">
        <f t="shared" si="57"/>
        <v>0</v>
      </c>
      <c r="AO69" s="14"/>
      <c r="AP69" s="88"/>
      <c r="AQ69" s="13"/>
      <c r="AR69" s="13">
        <f t="shared" si="58"/>
        <v>0</v>
      </c>
      <c r="AS69" s="14"/>
    </row>
    <row r="70" spans="1:45" x14ac:dyDescent="0.25">
      <c r="A70" s="17" t="s">
        <v>11</v>
      </c>
      <c r="B70" s="18">
        <f>B71+B72+B74+B75+B76+B78+B77+B79</f>
        <v>1361393</v>
      </c>
      <c r="C70" s="18">
        <v>0</v>
      </c>
      <c r="D70" s="18">
        <f t="shared" si="52"/>
        <v>1361393</v>
      </c>
      <c r="E70" s="19"/>
      <c r="F70" s="20">
        <f>F71+F72+F74+F75+F76+F79</f>
        <v>1590675</v>
      </c>
      <c r="G70" s="18">
        <v>0</v>
      </c>
      <c r="H70" s="18">
        <f t="shared" si="12"/>
        <v>2952068</v>
      </c>
      <c r="I70" s="20">
        <f>I71+I72+I74+I75+I76+I79</f>
        <v>971060</v>
      </c>
      <c r="J70" s="18">
        <v>0</v>
      </c>
      <c r="K70" s="204">
        <f t="shared" si="25"/>
        <v>3923128</v>
      </c>
      <c r="L70" s="20">
        <f>SUM(L71:L79)</f>
        <v>2300009</v>
      </c>
      <c r="M70" s="18">
        <v>0</v>
      </c>
      <c r="N70" s="193">
        <f t="shared" si="39"/>
        <v>6223137</v>
      </c>
      <c r="O70" s="18">
        <f>SUM(O71:O79)</f>
        <v>2373892</v>
      </c>
      <c r="P70" s="18">
        <v>0</v>
      </c>
      <c r="Q70" s="18">
        <f t="shared" si="27"/>
        <v>8597029</v>
      </c>
      <c r="R70" s="20">
        <f>SUM(R71:R79)</f>
        <v>1364300</v>
      </c>
      <c r="S70" s="18">
        <v>0</v>
      </c>
      <c r="T70" s="18">
        <f t="shared" si="22"/>
        <v>9961329</v>
      </c>
      <c r="U70" s="19"/>
      <c r="V70" s="20">
        <f>SUM(V71:V79)</f>
        <v>1435961</v>
      </c>
      <c r="W70" s="18">
        <v>0</v>
      </c>
      <c r="X70" s="18">
        <f t="shared" si="53"/>
        <v>11397290</v>
      </c>
      <c r="Y70" s="19"/>
      <c r="Z70" s="20">
        <f>SUM(Z71:Z79)</f>
        <v>2196464</v>
      </c>
      <c r="AA70" s="18">
        <v>0</v>
      </c>
      <c r="AB70" s="18">
        <f t="shared" si="54"/>
        <v>13593754</v>
      </c>
      <c r="AC70" s="19"/>
      <c r="AD70" s="342">
        <f>SUM(AD71:AD79)</f>
        <v>3263868</v>
      </c>
      <c r="AE70" s="18">
        <v>0</v>
      </c>
      <c r="AF70" s="18">
        <f t="shared" si="55"/>
        <v>16857622</v>
      </c>
      <c r="AG70" s="19"/>
      <c r="AH70" s="20">
        <f>SUM(AH71:AH79)</f>
        <v>3801387</v>
      </c>
      <c r="AI70" s="18">
        <v>0</v>
      </c>
      <c r="AJ70" s="18">
        <f t="shared" si="56"/>
        <v>20659009</v>
      </c>
      <c r="AK70" s="19"/>
      <c r="AL70" s="20">
        <f>SUM(AL71:AL79)</f>
        <v>2584597</v>
      </c>
      <c r="AM70" s="18">
        <v>0</v>
      </c>
      <c r="AN70" s="18">
        <f t="shared" si="57"/>
        <v>23243606</v>
      </c>
      <c r="AO70" s="19"/>
      <c r="AP70" s="342">
        <f>SUM(AP71:AP79)</f>
        <v>2765994</v>
      </c>
      <c r="AQ70" s="18">
        <v>0</v>
      </c>
      <c r="AR70" s="18">
        <f t="shared" si="58"/>
        <v>26009600</v>
      </c>
      <c r="AS70" s="19"/>
    </row>
    <row r="71" spans="1:45" x14ac:dyDescent="0.25">
      <c r="A71" s="12" t="s">
        <v>34</v>
      </c>
      <c r="B71" s="13"/>
      <c r="C71" s="13">
        <v>0</v>
      </c>
      <c r="D71" s="13">
        <f t="shared" si="52"/>
        <v>0</v>
      </c>
      <c r="E71" s="14"/>
      <c r="F71" s="13"/>
      <c r="G71" s="13">
        <v>0</v>
      </c>
      <c r="H71" s="13">
        <f t="shared" si="12"/>
        <v>0</v>
      </c>
      <c r="I71" s="88">
        <v>0</v>
      </c>
      <c r="J71" s="13">
        <v>0</v>
      </c>
      <c r="K71" s="55">
        <f t="shared" si="25"/>
        <v>0</v>
      </c>
      <c r="L71" s="88">
        <v>0</v>
      </c>
      <c r="M71" s="13">
        <v>0</v>
      </c>
      <c r="N71" s="193">
        <f t="shared" si="26"/>
        <v>0</v>
      </c>
      <c r="O71" s="211">
        <v>80000</v>
      </c>
      <c r="P71" s="13">
        <v>0</v>
      </c>
      <c r="Q71" s="13">
        <f t="shared" si="27"/>
        <v>80000</v>
      </c>
      <c r="R71" s="88">
        <v>0</v>
      </c>
      <c r="S71" s="13">
        <v>0</v>
      </c>
      <c r="T71" s="13">
        <f t="shared" si="22"/>
        <v>80000</v>
      </c>
      <c r="U71" s="14"/>
      <c r="V71" s="88">
        <v>0</v>
      </c>
      <c r="W71" s="13">
        <v>0</v>
      </c>
      <c r="X71" s="13">
        <f t="shared" si="53"/>
        <v>80000</v>
      </c>
      <c r="Y71" s="14"/>
      <c r="Z71" s="88">
        <v>0</v>
      </c>
      <c r="AA71" s="13">
        <v>0</v>
      </c>
      <c r="AB71" s="18">
        <f t="shared" si="54"/>
        <v>80000</v>
      </c>
      <c r="AC71" s="14"/>
      <c r="AD71" s="88">
        <v>0</v>
      </c>
      <c r="AE71" s="13">
        <v>0</v>
      </c>
      <c r="AF71" s="13">
        <f t="shared" si="55"/>
        <v>80000</v>
      </c>
      <c r="AG71" s="14"/>
      <c r="AH71" s="88">
        <v>0</v>
      </c>
      <c r="AI71" s="13">
        <v>0</v>
      </c>
      <c r="AJ71" s="13">
        <f t="shared" si="56"/>
        <v>80000</v>
      </c>
      <c r="AK71" s="14"/>
      <c r="AL71" s="88"/>
      <c r="AM71" s="13">
        <v>0</v>
      </c>
      <c r="AN71" s="13">
        <f t="shared" si="57"/>
        <v>80000</v>
      </c>
      <c r="AO71" s="14"/>
      <c r="AP71" s="88"/>
      <c r="AQ71" s="13">
        <v>0</v>
      </c>
      <c r="AR71" s="13">
        <f t="shared" si="58"/>
        <v>80000</v>
      </c>
      <c r="AS71" s="14"/>
    </row>
    <row r="72" spans="1:45" x14ac:dyDescent="0.25">
      <c r="A72" s="12" t="s">
        <v>35</v>
      </c>
      <c r="B72" s="13">
        <v>1070000</v>
      </c>
      <c r="C72" s="13">
        <v>0</v>
      </c>
      <c r="D72" s="13">
        <f t="shared" si="52"/>
        <v>1070000</v>
      </c>
      <c r="E72" s="14"/>
      <c r="F72" s="13">
        <v>1170000</v>
      </c>
      <c r="G72" s="13">
        <v>0</v>
      </c>
      <c r="H72" s="13">
        <f t="shared" si="12"/>
        <v>2240000</v>
      </c>
      <c r="I72" s="88">
        <v>740000</v>
      </c>
      <c r="J72" s="13"/>
      <c r="K72" s="55">
        <f t="shared" si="25"/>
        <v>2980000</v>
      </c>
      <c r="L72" s="88">
        <v>1975000</v>
      </c>
      <c r="M72" s="13"/>
      <c r="N72" s="193">
        <f t="shared" si="26"/>
        <v>4955000</v>
      </c>
      <c r="O72" s="65">
        <v>1950000</v>
      </c>
      <c r="P72" s="13"/>
      <c r="Q72" s="13">
        <f t="shared" si="27"/>
        <v>6905000</v>
      </c>
      <c r="R72" s="198">
        <v>970000</v>
      </c>
      <c r="S72" s="13"/>
      <c r="T72" s="13">
        <f t="shared" si="22"/>
        <v>7875000</v>
      </c>
      <c r="U72" s="14"/>
      <c r="V72" s="198">
        <v>960000</v>
      </c>
      <c r="W72" s="13"/>
      <c r="X72" s="13">
        <f t="shared" si="53"/>
        <v>8835000</v>
      </c>
      <c r="Y72" s="14"/>
      <c r="Z72" s="88">
        <v>1680000</v>
      </c>
      <c r="AA72" s="13"/>
      <c r="AB72" s="18">
        <f t="shared" si="54"/>
        <v>10515000</v>
      </c>
      <c r="AC72" s="14"/>
      <c r="AD72" s="88">
        <v>2910000</v>
      </c>
      <c r="AE72" s="13"/>
      <c r="AF72" s="13">
        <f t="shared" si="55"/>
        <v>13425000</v>
      </c>
      <c r="AG72" s="14"/>
      <c r="AH72" s="88">
        <v>3190000</v>
      </c>
      <c r="AI72" s="13"/>
      <c r="AJ72" s="13">
        <f t="shared" si="56"/>
        <v>16615000</v>
      </c>
      <c r="AK72" s="14"/>
      <c r="AL72" s="88">
        <v>2300000</v>
      </c>
      <c r="AM72" s="13"/>
      <c r="AN72" s="13">
        <f t="shared" si="57"/>
        <v>18915000</v>
      </c>
      <c r="AO72" s="14"/>
      <c r="AP72" s="88">
        <v>2460000</v>
      </c>
      <c r="AQ72" s="13"/>
      <c r="AR72" s="13">
        <f t="shared" si="58"/>
        <v>21375000</v>
      </c>
      <c r="AS72" s="14"/>
    </row>
    <row r="73" spans="1:45" x14ac:dyDescent="0.25">
      <c r="A73" s="12" t="s">
        <v>256</v>
      </c>
      <c r="B73" s="13"/>
      <c r="C73" s="13"/>
      <c r="D73" s="13"/>
      <c r="E73" s="14"/>
      <c r="F73" s="13"/>
      <c r="G73" s="13"/>
      <c r="H73" s="13">
        <f t="shared" si="12"/>
        <v>0</v>
      </c>
      <c r="I73" s="88"/>
      <c r="J73" s="13"/>
      <c r="K73" s="55">
        <f t="shared" si="25"/>
        <v>0</v>
      </c>
      <c r="L73" s="88">
        <v>0</v>
      </c>
      <c r="M73" s="13"/>
      <c r="N73" s="193">
        <f t="shared" si="26"/>
        <v>0</v>
      </c>
      <c r="O73" s="211"/>
      <c r="P73" s="13"/>
      <c r="Q73" s="13">
        <f t="shared" si="27"/>
        <v>0</v>
      </c>
      <c r="R73" s="88">
        <v>0</v>
      </c>
      <c r="S73" s="13"/>
      <c r="T73" s="13">
        <f t="shared" si="22"/>
        <v>0</v>
      </c>
      <c r="U73" s="14"/>
      <c r="V73" s="88">
        <v>0</v>
      </c>
      <c r="W73" s="13"/>
      <c r="X73" s="13"/>
      <c r="Y73" s="14"/>
      <c r="Z73" s="88">
        <v>0</v>
      </c>
      <c r="AA73" s="13"/>
      <c r="AB73" s="18"/>
      <c r="AC73" s="14"/>
      <c r="AD73" s="88">
        <v>0</v>
      </c>
      <c r="AE73" s="13"/>
      <c r="AF73" s="13"/>
      <c r="AG73" s="14"/>
      <c r="AH73" s="88">
        <v>0</v>
      </c>
      <c r="AI73" s="13"/>
      <c r="AJ73" s="13"/>
      <c r="AK73" s="14"/>
      <c r="AL73" s="88">
        <v>0</v>
      </c>
      <c r="AM73" s="13"/>
      <c r="AN73" s="13"/>
      <c r="AO73" s="14"/>
      <c r="AP73" s="88">
        <v>0</v>
      </c>
      <c r="AQ73" s="13"/>
      <c r="AR73" s="13"/>
      <c r="AS73" s="14"/>
    </row>
    <row r="74" spans="1:45" x14ac:dyDescent="0.25">
      <c r="A74" s="12" t="s">
        <v>36</v>
      </c>
      <c r="B74" s="13">
        <v>58800</v>
      </c>
      <c r="C74" s="13">
        <v>0</v>
      </c>
      <c r="D74" s="13">
        <f t="shared" si="52"/>
        <v>58800</v>
      </c>
      <c r="E74" s="14"/>
      <c r="F74" s="13">
        <v>58970</v>
      </c>
      <c r="G74" s="13">
        <v>0</v>
      </c>
      <c r="H74" s="13">
        <f t="shared" si="12"/>
        <v>117770</v>
      </c>
      <c r="I74" s="88">
        <v>60010</v>
      </c>
      <c r="J74" s="13"/>
      <c r="K74" s="55">
        <f t="shared" si="25"/>
        <v>177780</v>
      </c>
      <c r="L74" s="88">
        <v>68910</v>
      </c>
      <c r="M74" s="13"/>
      <c r="N74" s="193">
        <f t="shared" si="26"/>
        <v>246690</v>
      </c>
      <c r="O74" s="211">
        <v>189156</v>
      </c>
      <c r="P74" s="13"/>
      <c r="Q74" s="13">
        <f t="shared" si="27"/>
        <v>435846</v>
      </c>
      <c r="R74" s="88">
        <v>102710</v>
      </c>
      <c r="S74" s="13"/>
      <c r="T74" s="13">
        <f t="shared" si="22"/>
        <v>538556</v>
      </c>
      <c r="U74" s="14"/>
      <c r="V74" s="88">
        <v>102890</v>
      </c>
      <c r="W74" s="13"/>
      <c r="X74" s="13">
        <f t="shared" ref="X74:X81" si="59">T74+V74</f>
        <v>641446</v>
      </c>
      <c r="Y74" s="14"/>
      <c r="Z74" s="88">
        <v>61770</v>
      </c>
      <c r="AA74" s="13"/>
      <c r="AB74" s="18">
        <f t="shared" ref="AB74:AB81" si="60">X74+Z74</f>
        <v>703216</v>
      </c>
      <c r="AC74" s="14"/>
      <c r="AD74" s="88">
        <v>63360</v>
      </c>
      <c r="AE74" s="13"/>
      <c r="AF74" s="13">
        <f t="shared" ref="AF74:AF81" si="61">AB74+AD74</f>
        <v>766576</v>
      </c>
      <c r="AG74" s="14"/>
      <c r="AH74" s="88">
        <v>81770</v>
      </c>
      <c r="AI74" s="13"/>
      <c r="AJ74" s="13">
        <f t="shared" ref="AJ74:AJ80" si="62">AF74+AH74</f>
        <v>848346</v>
      </c>
      <c r="AK74" s="14"/>
      <c r="AL74" s="88">
        <v>81030</v>
      </c>
      <c r="AM74" s="13"/>
      <c r="AN74" s="13">
        <f t="shared" ref="AN74:AN81" si="63">AJ74+AL74</f>
        <v>929376</v>
      </c>
      <c r="AO74" s="14"/>
      <c r="AP74" s="88">
        <v>72320</v>
      </c>
      <c r="AQ74" s="13"/>
      <c r="AR74" s="13">
        <f t="shared" ref="AR74:AR81" si="64">AN74+AP74</f>
        <v>1001696</v>
      </c>
      <c r="AS74" s="14"/>
    </row>
    <row r="75" spans="1:45" x14ac:dyDescent="0.25">
      <c r="A75" s="12" t="s">
        <v>37</v>
      </c>
      <c r="B75" s="13">
        <v>78900</v>
      </c>
      <c r="C75" s="13">
        <v>0</v>
      </c>
      <c r="D75" s="13">
        <f t="shared" si="52"/>
        <v>78900</v>
      </c>
      <c r="E75" s="14"/>
      <c r="F75" s="13">
        <v>85120</v>
      </c>
      <c r="G75" s="13">
        <v>0</v>
      </c>
      <c r="H75" s="13">
        <f t="shared" ref="H75:H138" si="65">+F75+G75+D75</f>
        <v>164020</v>
      </c>
      <c r="I75" s="88">
        <v>109264</v>
      </c>
      <c r="J75" s="13"/>
      <c r="K75" s="55">
        <f t="shared" si="25"/>
        <v>273284</v>
      </c>
      <c r="L75" s="88">
        <v>90031</v>
      </c>
      <c r="M75" s="13"/>
      <c r="N75" s="193">
        <f t="shared" si="26"/>
        <v>363315</v>
      </c>
      <c r="O75" s="211"/>
      <c r="P75" s="13"/>
      <c r="Q75" s="13">
        <f t="shared" si="27"/>
        <v>363315</v>
      </c>
      <c r="R75" s="88">
        <v>124223</v>
      </c>
      <c r="S75" s="13"/>
      <c r="T75" s="13">
        <f t="shared" si="22"/>
        <v>487538</v>
      </c>
      <c r="U75" s="14"/>
      <c r="V75" s="88">
        <v>124629</v>
      </c>
      <c r="W75" s="13"/>
      <c r="X75" s="13">
        <f t="shared" si="59"/>
        <v>612167</v>
      </c>
      <c r="Y75" s="14"/>
      <c r="Z75" s="88"/>
      <c r="AA75" s="13"/>
      <c r="AB75" s="18">
        <f t="shared" si="60"/>
        <v>612167</v>
      </c>
      <c r="AC75" s="14"/>
      <c r="AD75" s="88">
        <v>126973</v>
      </c>
      <c r="AE75" s="13"/>
      <c r="AF75" s="13">
        <f t="shared" si="61"/>
        <v>739140</v>
      </c>
      <c r="AG75" s="14"/>
      <c r="AH75" s="88">
        <v>154383</v>
      </c>
      <c r="AI75" s="13"/>
      <c r="AJ75" s="13">
        <f t="shared" si="62"/>
        <v>893523</v>
      </c>
      <c r="AK75" s="14"/>
      <c r="AL75" s="88">
        <v>141781</v>
      </c>
      <c r="AM75" s="13"/>
      <c r="AN75" s="13">
        <f t="shared" si="63"/>
        <v>1035304</v>
      </c>
      <c r="AO75" s="14"/>
      <c r="AP75" s="88">
        <v>128760</v>
      </c>
      <c r="AQ75" s="13"/>
      <c r="AR75" s="13">
        <f t="shared" si="64"/>
        <v>1164064</v>
      </c>
      <c r="AS75" s="14"/>
    </row>
    <row r="76" spans="1:45" x14ac:dyDescent="0.25">
      <c r="A76" s="12" t="s">
        <v>66</v>
      </c>
      <c r="B76" s="13">
        <v>153693</v>
      </c>
      <c r="C76" s="13">
        <v>0</v>
      </c>
      <c r="D76" s="13">
        <f t="shared" si="52"/>
        <v>153693</v>
      </c>
      <c r="E76" s="14"/>
      <c r="F76" s="13">
        <v>276585</v>
      </c>
      <c r="G76" s="13">
        <v>0</v>
      </c>
      <c r="H76" s="13">
        <f t="shared" si="65"/>
        <v>430278</v>
      </c>
      <c r="I76" s="88">
        <v>61786</v>
      </c>
      <c r="J76" s="13"/>
      <c r="K76" s="55">
        <f t="shared" si="25"/>
        <v>492064</v>
      </c>
      <c r="L76" s="88">
        <v>166068</v>
      </c>
      <c r="M76" s="13"/>
      <c r="N76" s="193">
        <f t="shared" si="26"/>
        <v>658132</v>
      </c>
      <c r="O76" s="211">
        <v>154736</v>
      </c>
      <c r="P76" s="13"/>
      <c r="Q76" s="13">
        <f t="shared" si="27"/>
        <v>812868</v>
      </c>
      <c r="R76" s="88">
        <v>167367</v>
      </c>
      <c r="S76" s="13">
        <v>0</v>
      </c>
      <c r="T76" s="13">
        <f t="shared" si="22"/>
        <v>980235</v>
      </c>
      <c r="U76" s="14"/>
      <c r="V76" s="88">
        <v>248442</v>
      </c>
      <c r="W76" s="13"/>
      <c r="X76" s="13">
        <f t="shared" si="59"/>
        <v>1228677</v>
      </c>
      <c r="Y76" s="14"/>
      <c r="Z76" s="88">
        <v>154694</v>
      </c>
      <c r="AA76" s="13"/>
      <c r="AB76" s="18">
        <f t="shared" si="60"/>
        <v>1383371</v>
      </c>
      <c r="AC76" s="14"/>
      <c r="AD76" s="88">
        <v>163535</v>
      </c>
      <c r="AE76" s="13"/>
      <c r="AF76" s="13">
        <f t="shared" si="61"/>
        <v>1546906</v>
      </c>
      <c r="AG76" s="14"/>
      <c r="AH76" s="88">
        <v>175234</v>
      </c>
      <c r="AI76" s="13"/>
      <c r="AJ76" s="13">
        <f t="shared" si="62"/>
        <v>1722140</v>
      </c>
      <c r="AK76" s="14"/>
      <c r="AL76" s="88">
        <v>61786</v>
      </c>
      <c r="AM76" s="13"/>
      <c r="AN76" s="13">
        <f t="shared" si="63"/>
        <v>1783926</v>
      </c>
      <c r="AO76" s="14"/>
      <c r="AP76" s="88">
        <v>104914</v>
      </c>
      <c r="AQ76" s="13"/>
      <c r="AR76" s="13">
        <f t="shared" si="64"/>
        <v>1888840</v>
      </c>
      <c r="AS76" s="14"/>
    </row>
    <row r="77" spans="1:45" x14ac:dyDescent="0.25">
      <c r="A77" s="12" t="s">
        <v>83</v>
      </c>
      <c r="B77" s="13"/>
      <c r="C77" s="13">
        <v>0</v>
      </c>
      <c r="D77" s="13">
        <f t="shared" si="52"/>
        <v>0</v>
      </c>
      <c r="E77" s="14"/>
      <c r="F77" s="13">
        <v>0</v>
      </c>
      <c r="G77" s="13">
        <v>0</v>
      </c>
      <c r="H77" s="13">
        <f t="shared" si="65"/>
        <v>0</v>
      </c>
      <c r="I77" s="88">
        <v>0</v>
      </c>
      <c r="J77" s="13">
        <v>0</v>
      </c>
      <c r="K77" s="55">
        <f t="shared" si="25"/>
        <v>0</v>
      </c>
      <c r="L77" s="88">
        <v>0</v>
      </c>
      <c r="M77" s="13"/>
      <c r="N77" s="193">
        <f t="shared" si="26"/>
        <v>0</v>
      </c>
      <c r="O77" s="211">
        <v>0</v>
      </c>
      <c r="P77" s="13"/>
      <c r="Q77" s="13">
        <f t="shared" si="27"/>
        <v>0</v>
      </c>
      <c r="R77" s="88">
        <v>0</v>
      </c>
      <c r="S77" s="13">
        <v>0</v>
      </c>
      <c r="T77" s="13">
        <f t="shared" si="22"/>
        <v>0</v>
      </c>
      <c r="U77" s="14"/>
      <c r="V77" s="88">
        <v>0</v>
      </c>
      <c r="W77" s="13">
        <v>0</v>
      </c>
      <c r="X77" s="13">
        <f t="shared" si="59"/>
        <v>0</v>
      </c>
      <c r="Y77" s="14"/>
      <c r="Z77" s="88">
        <v>0</v>
      </c>
      <c r="AA77" s="13">
        <v>0</v>
      </c>
      <c r="AB77" s="18">
        <f t="shared" si="60"/>
        <v>0</v>
      </c>
      <c r="AC77" s="14"/>
      <c r="AD77" s="88">
        <v>0</v>
      </c>
      <c r="AE77" s="13">
        <v>0</v>
      </c>
      <c r="AF77" s="13">
        <f t="shared" si="61"/>
        <v>0</v>
      </c>
      <c r="AG77" s="14"/>
      <c r="AH77" s="88">
        <v>0</v>
      </c>
      <c r="AI77" s="13">
        <v>0</v>
      </c>
      <c r="AJ77" s="13">
        <f t="shared" si="62"/>
        <v>0</v>
      </c>
      <c r="AK77" s="14"/>
      <c r="AL77" s="88">
        <v>0</v>
      </c>
      <c r="AM77" s="13">
        <v>0</v>
      </c>
      <c r="AN77" s="13">
        <f t="shared" si="63"/>
        <v>0</v>
      </c>
      <c r="AO77" s="14"/>
      <c r="AP77" s="88">
        <v>0</v>
      </c>
      <c r="AQ77" s="13">
        <v>0</v>
      </c>
      <c r="AR77" s="13">
        <f t="shared" si="64"/>
        <v>0</v>
      </c>
      <c r="AS77" s="14"/>
    </row>
    <row r="78" spans="1:45" x14ac:dyDescent="0.25">
      <c r="A78" s="12" t="s">
        <v>78</v>
      </c>
      <c r="B78" s="13"/>
      <c r="C78" s="13">
        <v>0</v>
      </c>
      <c r="D78" s="13">
        <f t="shared" si="52"/>
        <v>0</v>
      </c>
      <c r="E78" s="14"/>
      <c r="F78" s="13">
        <v>0</v>
      </c>
      <c r="G78" s="13">
        <v>0</v>
      </c>
      <c r="H78" s="13">
        <f t="shared" si="65"/>
        <v>0</v>
      </c>
      <c r="I78" s="88">
        <v>0</v>
      </c>
      <c r="J78" s="13">
        <v>0</v>
      </c>
      <c r="K78" s="55">
        <f t="shared" si="25"/>
        <v>0</v>
      </c>
      <c r="L78" s="88"/>
      <c r="M78" s="13">
        <v>0</v>
      </c>
      <c r="N78" s="193">
        <f t="shared" si="26"/>
        <v>0</v>
      </c>
      <c r="O78" s="211"/>
      <c r="P78" s="13">
        <v>0</v>
      </c>
      <c r="Q78" s="13">
        <f t="shared" si="27"/>
        <v>0</v>
      </c>
      <c r="R78" s="88">
        <v>0</v>
      </c>
      <c r="S78" s="13">
        <v>0</v>
      </c>
      <c r="T78" s="13">
        <f t="shared" si="22"/>
        <v>0</v>
      </c>
      <c r="U78" s="14"/>
      <c r="V78" s="88">
        <v>0</v>
      </c>
      <c r="W78" s="13">
        <v>0</v>
      </c>
      <c r="X78" s="13">
        <f t="shared" si="59"/>
        <v>0</v>
      </c>
      <c r="Y78" s="14"/>
      <c r="Z78" s="88">
        <v>0</v>
      </c>
      <c r="AA78" s="13">
        <v>0</v>
      </c>
      <c r="AB78" s="18">
        <f t="shared" si="60"/>
        <v>0</v>
      </c>
      <c r="AC78" s="14"/>
      <c r="AD78" s="88">
        <v>0</v>
      </c>
      <c r="AE78" s="13">
        <v>0</v>
      </c>
      <c r="AF78" s="13">
        <f t="shared" si="61"/>
        <v>0</v>
      </c>
      <c r="AG78" s="14"/>
      <c r="AH78" s="88">
        <v>0</v>
      </c>
      <c r="AI78" s="13">
        <v>0</v>
      </c>
      <c r="AJ78" s="13">
        <f t="shared" si="62"/>
        <v>0</v>
      </c>
      <c r="AK78" s="14"/>
      <c r="AL78" s="88">
        <v>0</v>
      </c>
      <c r="AM78" s="13">
        <v>0</v>
      </c>
      <c r="AN78" s="13">
        <f t="shared" si="63"/>
        <v>0</v>
      </c>
      <c r="AO78" s="14"/>
      <c r="AP78" s="88">
        <v>0</v>
      </c>
      <c r="AQ78" s="13">
        <v>0</v>
      </c>
      <c r="AR78" s="13">
        <f t="shared" si="64"/>
        <v>0</v>
      </c>
      <c r="AS78" s="14"/>
    </row>
    <row r="79" spans="1:45" x14ac:dyDescent="0.25">
      <c r="A79" s="12" t="s">
        <v>68</v>
      </c>
      <c r="B79" s="13"/>
      <c r="C79" s="13">
        <v>0</v>
      </c>
      <c r="D79" s="13">
        <f t="shared" si="52"/>
        <v>0</v>
      </c>
      <c r="E79" s="14"/>
      <c r="F79" s="13">
        <v>0</v>
      </c>
      <c r="G79" s="13">
        <v>0</v>
      </c>
      <c r="H79" s="13">
        <f t="shared" si="65"/>
        <v>0</v>
      </c>
      <c r="I79" s="88">
        <v>0</v>
      </c>
      <c r="J79" s="13">
        <v>0</v>
      </c>
      <c r="K79" s="55">
        <f t="shared" si="25"/>
        <v>0</v>
      </c>
      <c r="L79" s="88"/>
      <c r="M79" s="13">
        <v>0</v>
      </c>
      <c r="N79" s="193">
        <f t="shared" si="26"/>
        <v>0</v>
      </c>
      <c r="O79" s="211"/>
      <c r="P79" s="13">
        <v>0</v>
      </c>
      <c r="Q79" s="13">
        <f t="shared" si="27"/>
        <v>0</v>
      </c>
      <c r="R79" s="88"/>
      <c r="S79" s="13"/>
      <c r="T79" s="13">
        <f t="shared" si="22"/>
        <v>0</v>
      </c>
      <c r="U79" s="14"/>
      <c r="V79" s="88"/>
      <c r="W79" s="13"/>
      <c r="X79" s="13">
        <f t="shared" si="59"/>
        <v>0</v>
      </c>
      <c r="Y79" s="14"/>
      <c r="Z79" s="88">
        <v>300000</v>
      </c>
      <c r="AA79" s="13"/>
      <c r="AB79" s="18">
        <f t="shared" si="60"/>
        <v>300000</v>
      </c>
      <c r="AC79" s="14"/>
      <c r="AD79" s="88"/>
      <c r="AE79" s="13"/>
      <c r="AF79" s="13">
        <f t="shared" si="61"/>
        <v>300000</v>
      </c>
      <c r="AG79" s="14"/>
      <c r="AH79" s="88">
        <v>200000</v>
      </c>
      <c r="AI79" s="13"/>
      <c r="AJ79" s="13">
        <f t="shared" si="62"/>
        <v>500000</v>
      </c>
      <c r="AK79" s="14"/>
      <c r="AL79" s="88"/>
      <c r="AM79" s="13"/>
      <c r="AN79" s="13">
        <f t="shared" si="63"/>
        <v>500000</v>
      </c>
      <c r="AO79" s="14"/>
      <c r="AP79" s="88"/>
      <c r="AQ79" s="13"/>
      <c r="AR79" s="13">
        <f t="shared" si="64"/>
        <v>500000</v>
      </c>
      <c r="AS79" s="14"/>
    </row>
    <row r="80" spans="1:45" x14ac:dyDescent="0.25">
      <c r="A80" s="12"/>
      <c r="B80" s="13"/>
      <c r="C80" s="13"/>
      <c r="D80" s="13">
        <f t="shared" si="52"/>
        <v>0</v>
      </c>
      <c r="E80" s="14"/>
      <c r="F80" s="13"/>
      <c r="G80" s="13"/>
      <c r="H80" s="13">
        <f t="shared" si="65"/>
        <v>0</v>
      </c>
      <c r="I80" s="88"/>
      <c r="J80" s="13"/>
      <c r="K80" s="55">
        <f t="shared" si="25"/>
        <v>0</v>
      </c>
      <c r="L80" s="88"/>
      <c r="M80" s="13"/>
      <c r="N80" s="193">
        <f t="shared" si="26"/>
        <v>0</v>
      </c>
      <c r="O80" s="211"/>
      <c r="P80" s="13"/>
      <c r="Q80" s="13">
        <f t="shared" si="27"/>
        <v>0</v>
      </c>
      <c r="R80" s="88"/>
      <c r="S80" s="13"/>
      <c r="T80" s="13">
        <f t="shared" si="22"/>
        <v>0</v>
      </c>
      <c r="U80" s="14"/>
      <c r="V80" s="88"/>
      <c r="W80" s="13"/>
      <c r="X80" s="13">
        <f t="shared" si="59"/>
        <v>0</v>
      </c>
      <c r="Y80" s="14"/>
      <c r="Z80" s="88"/>
      <c r="AA80" s="13"/>
      <c r="AB80" s="18">
        <f t="shared" si="60"/>
        <v>0</v>
      </c>
      <c r="AC80" s="14"/>
      <c r="AD80" s="88"/>
      <c r="AE80" s="13"/>
      <c r="AF80" s="13">
        <f t="shared" si="61"/>
        <v>0</v>
      </c>
      <c r="AG80" s="14"/>
      <c r="AH80" s="88"/>
      <c r="AI80" s="13"/>
      <c r="AJ80" s="13">
        <f t="shared" si="62"/>
        <v>0</v>
      </c>
      <c r="AK80" s="14"/>
      <c r="AL80" s="88"/>
      <c r="AM80" s="13"/>
      <c r="AN80" s="13">
        <f t="shared" si="63"/>
        <v>0</v>
      </c>
      <c r="AO80" s="14"/>
      <c r="AP80" s="88"/>
      <c r="AQ80" s="13"/>
      <c r="AR80" s="13">
        <f t="shared" si="64"/>
        <v>0</v>
      </c>
      <c r="AS80" s="14"/>
    </row>
    <row r="81" spans="1:45" x14ac:dyDescent="0.25">
      <c r="A81" s="17" t="s">
        <v>38</v>
      </c>
      <c r="B81" s="18">
        <f>+B84</f>
        <v>25210</v>
      </c>
      <c r="C81" s="18">
        <v>0</v>
      </c>
      <c r="D81" s="18">
        <f t="shared" si="52"/>
        <v>25210</v>
      </c>
      <c r="E81" s="19"/>
      <c r="F81" s="18">
        <f>F83+F84</f>
        <v>7900</v>
      </c>
      <c r="G81" s="18">
        <v>0</v>
      </c>
      <c r="H81" s="18">
        <f t="shared" si="65"/>
        <v>33110</v>
      </c>
      <c r="I81" s="20">
        <f>I82+I83+I84+I85</f>
        <v>0</v>
      </c>
      <c r="J81" s="18">
        <v>0</v>
      </c>
      <c r="K81" s="204">
        <f t="shared" si="25"/>
        <v>33110</v>
      </c>
      <c r="L81" s="20">
        <f>L83+L84</f>
        <v>0</v>
      </c>
      <c r="M81" s="18">
        <v>0</v>
      </c>
      <c r="N81" s="193">
        <f t="shared" si="26"/>
        <v>33110</v>
      </c>
      <c r="O81" s="18" cm="1">
        <f t="array" ref="O81:O82">O83+O84:O85</f>
        <v>0</v>
      </c>
      <c r="P81" s="18">
        <v>0</v>
      </c>
      <c r="Q81" s="18">
        <f t="shared" si="27"/>
        <v>33110</v>
      </c>
      <c r="R81" s="20">
        <f>R83+R84</f>
        <v>0</v>
      </c>
      <c r="S81" s="18">
        <v>0</v>
      </c>
      <c r="T81" s="18">
        <f t="shared" si="22"/>
        <v>33110</v>
      </c>
      <c r="U81" s="19"/>
      <c r="V81" s="20">
        <f>V83+V84</f>
        <v>0</v>
      </c>
      <c r="W81" s="18">
        <v>0</v>
      </c>
      <c r="X81" s="18">
        <f t="shared" si="59"/>
        <v>33110</v>
      </c>
      <c r="Y81" s="19"/>
      <c r="Z81" s="20">
        <f>Z83+Z84</f>
        <v>7900</v>
      </c>
      <c r="AA81" s="18">
        <v>0</v>
      </c>
      <c r="AB81" s="18">
        <f t="shared" si="60"/>
        <v>41010</v>
      </c>
      <c r="AC81" s="19"/>
      <c r="AD81" s="342">
        <f>SUM(AD82:AD84)</f>
        <v>0</v>
      </c>
      <c r="AE81" s="18">
        <v>0</v>
      </c>
      <c r="AF81" s="18">
        <f t="shared" si="61"/>
        <v>41010</v>
      </c>
      <c r="AG81" s="19"/>
      <c r="AH81" s="20">
        <f>+AH82+AH84</f>
        <v>0</v>
      </c>
      <c r="AI81" s="18">
        <v>0</v>
      </c>
      <c r="AJ81" s="18">
        <f>AF81+AH81</f>
        <v>41010</v>
      </c>
      <c r="AK81" s="19"/>
      <c r="AL81" s="20">
        <f>AL83+AL84</f>
        <v>0</v>
      </c>
      <c r="AM81" s="18">
        <v>0</v>
      </c>
      <c r="AN81" s="18">
        <f t="shared" si="63"/>
        <v>41010</v>
      </c>
      <c r="AO81" s="19"/>
      <c r="AP81" s="342">
        <f>AP83+AP84</f>
        <v>1817800</v>
      </c>
      <c r="AQ81" s="18">
        <v>0</v>
      </c>
      <c r="AR81" s="18">
        <f t="shared" si="64"/>
        <v>1858810</v>
      </c>
      <c r="AS81" s="19"/>
    </row>
    <row r="82" spans="1:45" x14ac:dyDescent="0.25">
      <c r="A82" s="12" t="s">
        <v>69</v>
      </c>
      <c r="B82" s="13">
        <v>0</v>
      </c>
      <c r="C82" s="13">
        <v>0</v>
      </c>
      <c r="D82" s="13">
        <f t="shared" si="52"/>
        <v>0</v>
      </c>
      <c r="E82" s="14"/>
      <c r="F82" s="13">
        <v>0</v>
      </c>
      <c r="G82" s="13">
        <v>0</v>
      </c>
      <c r="H82" s="13">
        <f t="shared" si="65"/>
        <v>0</v>
      </c>
      <c r="I82" s="88">
        <v>0</v>
      </c>
      <c r="J82" s="13">
        <v>0</v>
      </c>
      <c r="K82" s="55">
        <f t="shared" si="25"/>
        <v>0</v>
      </c>
      <c r="L82" s="88"/>
      <c r="M82" s="13"/>
      <c r="N82" s="193">
        <f t="shared" si="26"/>
        <v>0</v>
      </c>
      <c r="O82" s="211">
        <v>0</v>
      </c>
      <c r="P82" s="13"/>
      <c r="Q82" s="13">
        <f t="shared" si="27"/>
        <v>0</v>
      </c>
      <c r="R82" s="88">
        <v>0</v>
      </c>
      <c r="S82" s="13">
        <v>0</v>
      </c>
      <c r="T82" s="13">
        <f t="shared" si="22"/>
        <v>0</v>
      </c>
      <c r="U82" s="14"/>
      <c r="V82" s="88">
        <v>0</v>
      </c>
      <c r="W82" s="13">
        <v>0</v>
      </c>
      <c r="X82" s="13">
        <f>T82+V82</f>
        <v>0</v>
      </c>
      <c r="Y82" s="14"/>
      <c r="Z82" s="88">
        <v>0</v>
      </c>
      <c r="AA82" s="13">
        <v>0</v>
      </c>
      <c r="AB82" s="18">
        <f>X82+Z82</f>
        <v>0</v>
      </c>
      <c r="AC82" s="14"/>
      <c r="AD82" s="88"/>
      <c r="AE82" s="13">
        <v>0</v>
      </c>
      <c r="AF82" s="13">
        <f>AB82+AD82</f>
        <v>0</v>
      </c>
      <c r="AG82" s="14"/>
      <c r="AH82" s="88"/>
      <c r="AI82" s="13">
        <v>0</v>
      </c>
      <c r="AJ82" s="13">
        <f t="shared" ref="AJ82:AJ89" si="66">AF82+AH82</f>
        <v>0</v>
      </c>
      <c r="AK82" s="14"/>
      <c r="AL82" s="88">
        <v>0</v>
      </c>
      <c r="AM82" s="13">
        <v>0</v>
      </c>
      <c r="AN82" s="13">
        <f>AJ82+AL82</f>
        <v>0</v>
      </c>
      <c r="AO82" s="14"/>
      <c r="AP82" s="88">
        <v>0</v>
      </c>
      <c r="AQ82" s="13">
        <v>0</v>
      </c>
      <c r="AR82" s="13">
        <f>AN82+AP82</f>
        <v>0</v>
      </c>
      <c r="AS82" s="14"/>
    </row>
    <row r="83" spans="1:45" x14ac:dyDescent="0.25">
      <c r="A83" s="12" t="s">
        <v>39</v>
      </c>
      <c r="B83" s="13">
        <v>0</v>
      </c>
      <c r="C83" s="13">
        <v>0</v>
      </c>
      <c r="D83" s="13">
        <f t="shared" si="52"/>
        <v>0</v>
      </c>
      <c r="E83" s="14"/>
      <c r="F83" s="13">
        <v>7900</v>
      </c>
      <c r="G83" s="13">
        <v>0</v>
      </c>
      <c r="H83" s="13">
        <f t="shared" si="65"/>
        <v>7900</v>
      </c>
      <c r="I83" s="88"/>
      <c r="J83" s="13">
        <v>0</v>
      </c>
      <c r="K83" s="55">
        <f t="shared" si="25"/>
        <v>7900</v>
      </c>
      <c r="L83" s="88"/>
      <c r="M83" s="13"/>
      <c r="N83" s="193">
        <f t="shared" si="26"/>
        <v>7900</v>
      </c>
      <c r="O83" s="211"/>
      <c r="P83" s="13"/>
      <c r="Q83" s="13">
        <f t="shared" si="27"/>
        <v>7900</v>
      </c>
      <c r="R83" s="88"/>
      <c r="S83" s="13"/>
      <c r="T83" s="13">
        <f t="shared" si="22"/>
        <v>7900</v>
      </c>
      <c r="U83" s="14"/>
      <c r="V83" s="88"/>
      <c r="W83" s="13"/>
      <c r="X83" s="13">
        <f>T83+V83</f>
        <v>7900</v>
      </c>
      <c r="Y83" s="14"/>
      <c r="Z83" s="88">
        <v>7900</v>
      </c>
      <c r="AA83" s="13"/>
      <c r="AB83" s="18">
        <f>X83+Z83</f>
        <v>15800</v>
      </c>
      <c r="AC83" s="14"/>
      <c r="AD83" s="88"/>
      <c r="AE83" s="13"/>
      <c r="AF83" s="13">
        <f>AB83+AD83</f>
        <v>15800</v>
      </c>
      <c r="AG83" s="14"/>
      <c r="AH83" s="88">
        <v>0</v>
      </c>
      <c r="AI83" s="13">
        <v>0</v>
      </c>
      <c r="AJ83" s="13">
        <f t="shared" si="66"/>
        <v>15800</v>
      </c>
      <c r="AK83" s="14"/>
      <c r="AL83" s="88"/>
      <c r="AM83" s="13"/>
      <c r="AN83" s="13">
        <f>AJ83+AL83</f>
        <v>15800</v>
      </c>
      <c r="AO83" s="14"/>
      <c r="AP83" s="88">
        <v>1817800</v>
      </c>
      <c r="AQ83" s="13"/>
      <c r="AR83" s="13">
        <f>AN83+AP83</f>
        <v>1833600</v>
      </c>
      <c r="AS83" s="14"/>
    </row>
    <row r="84" spans="1:45" x14ac:dyDescent="0.25">
      <c r="A84" s="12" t="s">
        <v>40</v>
      </c>
      <c r="B84" s="13">
        <v>25210</v>
      </c>
      <c r="C84" s="13">
        <v>0</v>
      </c>
      <c r="D84" s="13">
        <f t="shared" si="52"/>
        <v>25210</v>
      </c>
      <c r="E84" s="14"/>
      <c r="F84" s="13">
        <v>0</v>
      </c>
      <c r="G84" s="13">
        <v>0</v>
      </c>
      <c r="H84" s="13">
        <f t="shared" si="65"/>
        <v>25210</v>
      </c>
      <c r="I84" s="88"/>
      <c r="J84" s="13">
        <v>0</v>
      </c>
      <c r="K84" s="55">
        <f t="shared" si="25"/>
        <v>25210</v>
      </c>
      <c r="L84" s="88">
        <v>0</v>
      </c>
      <c r="M84" s="13">
        <v>0</v>
      </c>
      <c r="N84" s="193">
        <f t="shared" si="26"/>
        <v>25210</v>
      </c>
      <c r="O84" s="211"/>
      <c r="P84" s="13">
        <v>0</v>
      </c>
      <c r="Q84" s="13">
        <f t="shared" si="27"/>
        <v>25210</v>
      </c>
      <c r="R84" s="88">
        <v>0</v>
      </c>
      <c r="S84" s="13">
        <v>0</v>
      </c>
      <c r="T84" s="13">
        <f t="shared" si="22"/>
        <v>25210</v>
      </c>
      <c r="U84" s="14"/>
      <c r="V84" s="88">
        <v>0</v>
      </c>
      <c r="W84" s="13">
        <v>0</v>
      </c>
      <c r="X84" s="13">
        <f>T84+V84</f>
        <v>25210</v>
      </c>
      <c r="Y84" s="14"/>
      <c r="Z84" s="88"/>
      <c r="AA84" s="13"/>
      <c r="AB84" s="18">
        <f>X84+Z84</f>
        <v>25210</v>
      </c>
      <c r="AC84" s="14"/>
      <c r="AD84" s="88"/>
      <c r="AE84" s="13"/>
      <c r="AF84" s="13">
        <f>AB84+AD84</f>
        <v>25210</v>
      </c>
      <c r="AG84" s="14"/>
      <c r="AH84" s="88"/>
      <c r="AI84" s="13">
        <v>0</v>
      </c>
      <c r="AJ84" s="13">
        <f t="shared" si="66"/>
        <v>25210</v>
      </c>
      <c r="AK84" s="14"/>
      <c r="AL84" s="88">
        <v>0</v>
      </c>
      <c r="AM84" s="13"/>
      <c r="AN84" s="13">
        <f>AJ84+AL84</f>
        <v>25210</v>
      </c>
      <c r="AO84" s="14"/>
      <c r="AP84" s="88">
        <v>0</v>
      </c>
      <c r="AQ84" s="13"/>
      <c r="AR84" s="13">
        <f>AN84+AP84</f>
        <v>25210</v>
      </c>
      <c r="AS84" s="14"/>
    </row>
    <row r="85" spans="1:45" x14ac:dyDescent="0.25">
      <c r="A85" s="12" t="s">
        <v>33</v>
      </c>
      <c r="B85" s="13">
        <v>0</v>
      </c>
      <c r="C85" s="13">
        <v>0</v>
      </c>
      <c r="D85" s="13">
        <f t="shared" si="52"/>
        <v>0</v>
      </c>
      <c r="E85" s="14"/>
      <c r="F85" s="13">
        <v>0</v>
      </c>
      <c r="G85" s="13">
        <v>0</v>
      </c>
      <c r="H85" s="13">
        <f t="shared" si="65"/>
        <v>0</v>
      </c>
      <c r="I85" s="88"/>
      <c r="J85" s="13">
        <v>0</v>
      </c>
      <c r="K85" s="55">
        <f t="shared" si="25"/>
        <v>0</v>
      </c>
      <c r="L85" s="88"/>
      <c r="M85" s="13"/>
      <c r="N85" s="193">
        <f t="shared" si="26"/>
        <v>0</v>
      </c>
      <c r="O85" s="211"/>
      <c r="P85" s="13"/>
      <c r="Q85" s="13">
        <f t="shared" si="27"/>
        <v>0</v>
      </c>
      <c r="R85" s="88">
        <v>0</v>
      </c>
      <c r="S85" s="13"/>
      <c r="T85" s="13">
        <f t="shared" si="22"/>
        <v>0</v>
      </c>
      <c r="U85" s="14"/>
      <c r="V85" s="88">
        <v>0</v>
      </c>
      <c r="W85" s="13"/>
      <c r="X85" s="13">
        <f>T85+V85</f>
        <v>0</v>
      </c>
      <c r="Y85" s="14"/>
      <c r="Z85" s="88">
        <v>0</v>
      </c>
      <c r="AA85" s="13"/>
      <c r="AB85" s="18">
        <f>X85+Z85</f>
        <v>0</v>
      </c>
      <c r="AC85" s="14"/>
      <c r="AD85" s="88"/>
      <c r="AE85" s="13"/>
      <c r="AF85" s="13">
        <f>AB85+AD85</f>
        <v>0</v>
      </c>
      <c r="AG85" s="14"/>
      <c r="AH85" s="88">
        <v>0</v>
      </c>
      <c r="AI85" s="13">
        <v>0</v>
      </c>
      <c r="AJ85" s="13">
        <f t="shared" si="66"/>
        <v>0</v>
      </c>
      <c r="AK85" s="14"/>
      <c r="AL85" s="88">
        <v>0</v>
      </c>
      <c r="AM85" s="13"/>
      <c r="AN85" s="13">
        <f>AJ85+AL85</f>
        <v>0</v>
      </c>
      <c r="AO85" s="14"/>
      <c r="AP85" s="88">
        <v>0</v>
      </c>
      <c r="AQ85" s="13"/>
      <c r="AR85" s="13">
        <f>AN85+AP85</f>
        <v>0</v>
      </c>
      <c r="AS85" s="14"/>
    </row>
    <row r="86" spans="1:45" x14ac:dyDescent="0.25">
      <c r="A86" s="12"/>
      <c r="B86" s="13"/>
      <c r="C86" s="13"/>
      <c r="D86" s="13">
        <f t="shared" si="52"/>
        <v>0</v>
      </c>
      <c r="E86" s="14"/>
      <c r="F86" s="13"/>
      <c r="G86" s="13"/>
      <c r="H86" s="13">
        <f t="shared" si="65"/>
        <v>0</v>
      </c>
      <c r="I86" s="88"/>
      <c r="J86" s="13"/>
      <c r="K86" s="55">
        <f t="shared" si="25"/>
        <v>0</v>
      </c>
      <c r="L86" s="88"/>
      <c r="M86" s="13"/>
      <c r="N86" s="193">
        <f t="shared" si="26"/>
        <v>0</v>
      </c>
      <c r="O86" s="211"/>
      <c r="P86" s="13"/>
      <c r="Q86" s="13">
        <f t="shared" si="27"/>
        <v>0</v>
      </c>
      <c r="R86" s="88"/>
      <c r="S86" s="13"/>
      <c r="T86" s="13">
        <f t="shared" si="22"/>
        <v>0</v>
      </c>
      <c r="U86" s="14"/>
      <c r="V86" s="88"/>
      <c r="W86" s="13"/>
      <c r="X86" s="13"/>
      <c r="Y86" s="14"/>
      <c r="Z86" s="88"/>
      <c r="AA86" s="13"/>
      <c r="AB86" s="18"/>
      <c r="AC86" s="14"/>
      <c r="AD86" s="88"/>
      <c r="AE86" s="13"/>
      <c r="AF86" s="13"/>
      <c r="AG86" s="14"/>
      <c r="AH86" s="88"/>
      <c r="AI86" s="13"/>
      <c r="AJ86" s="13">
        <f t="shared" si="66"/>
        <v>0</v>
      </c>
      <c r="AK86" s="14"/>
      <c r="AL86" s="88"/>
      <c r="AM86" s="13"/>
      <c r="AN86" s="13"/>
      <c r="AO86" s="14"/>
      <c r="AP86" s="88"/>
      <c r="AQ86" s="13"/>
      <c r="AR86" s="13"/>
      <c r="AS86" s="14"/>
    </row>
    <row r="87" spans="1:45" x14ac:dyDescent="0.25">
      <c r="A87" s="17" t="s">
        <v>41</v>
      </c>
      <c r="B87" s="18">
        <f>+B89+B90+B91+B92</f>
        <v>247307</v>
      </c>
      <c r="C87" s="18">
        <v>0</v>
      </c>
      <c r="D87" s="18">
        <f t="shared" si="52"/>
        <v>247307</v>
      </c>
      <c r="E87" s="19"/>
      <c r="F87" s="18">
        <f>F89+F90+F92+F91</f>
        <v>1833234</v>
      </c>
      <c r="G87" s="18">
        <v>0</v>
      </c>
      <c r="H87" s="18">
        <f t="shared" si="65"/>
        <v>2080541</v>
      </c>
      <c r="I87" s="20">
        <f>I88+I89+I90+I91+I92</f>
        <v>404815</v>
      </c>
      <c r="J87" s="18">
        <v>0</v>
      </c>
      <c r="K87" s="204">
        <f t="shared" si="25"/>
        <v>2485356</v>
      </c>
      <c r="L87" s="20">
        <f>+L89+L90+L91+L92+L88</f>
        <v>1047694</v>
      </c>
      <c r="M87" s="18">
        <v>0</v>
      </c>
      <c r="N87" s="193">
        <f t="shared" si="26"/>
        <v>3533050</v>
      </c>
      <c r="O87" s="18">
        <f>+O88+O89+O90+O91+O92</f>
        <v>1516442</v>
      </c>
      <c r="P87" s="18">
        <v>0</v>
      </c>
      <c r="Q87" s="18">
        <f t="shared" si="27"/>
        <v>5049492</v>
      </c>
      <c r="R87" s="20">
        <f>+R89+R90+R91+R92+R88</f>
        <v>241865</v>
      </c>
      <c r="S87" s="18">
        <v>0</v>
      </c>
      <c r="T87" s="18">
        <f t="shared" si="22"/>
        <v>5291357</v>
      </c>
      <c r="U87" s="19"/>
      <c r="V87" s="20">
        <f>+V89+V90+V91+V92+V88</f>
        <v>105000</v>
      </c>
      <c r="W87" s="18">
        <v>0</v>
      </c>
      <c r="X87" s="18">
        <f t="shared" ref="X87:X92" si="67">T87+V87</f>
        <v>5396357</v>
      </c>
      <c r="Y87" s="19"/>
      <c r="Z87" s="20">
        <f>+Z89+Z90+Z91+Z92+Z88</f>
        <v>341742</v>
      </c>
      <c r="AA87" s="18">
        <v>0</v>
      </c>
      <c r="AB87" s="18">
        <f t="shared" ref="AB87:AB92" si="68">X87+Z87</f>
        <v>5738099</v>
      </c>
      <c r="AC87" s="19"/>
      <c r="AD87" s="342">
        <f>+AD89+AD90+AD91+AD92+AD88</f>
        <v>859697</v>
      </c>
      <c r="AE87" s="18">
        <v>0</v>
      </c>
      <c r="AF87" s="18">
        <f t="shared" ref="AF87:AF88" si="69">AB87+AD87</f>
        <v>6597796</v>
      </c>
      <c r="AG87" s="19"/>
      <c r="AH87" s="20">
        <f>+AH89+AH90+AH91+AH92+AH88</f>
        <v>1050368</v>
      </c>
      <c r="AI87" s="18">
        <v>0</v>
      </c>
      <c r="AJ87" s="18">
        <f t="shared" si="66"/>
        <v>7648164</v>
      </c>
      <c r="AK87" s="19"/>
      <c r="AL87" s="20">
        <f>+AL89+AL90+AL91+AL92+AL88</f>
        <v>61534</v>
      </c>
      <c r="AM87" s="18">
        <v>0</v>
      </c>
      <c r="AN87" s="18">
        <f t="shared" ref="AN87:AN92" si="70">AJ87+AL87</f>
        <v>7709698</v>
      </c>
      <c r="AO87" s="19"/>
      <c r="AP87" s="342">
        <f>+AP89+AP90+AP91+AP92+AP88</f>
        <v>150000</v>
      </c>
      <c r="AQ87" s="18">
        <v>0</v>
      </c>
      <c r="AR87" s="18">
        <f t="shared" ref="AR87:AR92" si="71">AN87+AP87</f>
        <v>7859698</v>
      </c>
      <c r="AS87" s="19"/>
    </row>
    <row r="88" spans="1:45" x14ac:dyDescent="0.25">
      <c r="A88" s="12" t="s">
        <v>192</v>
      </c>
      <c r="B88" s="13"/>
      <c r="C88" s="13"/>
      <c r="D88" s="13"/>
      <c r="E88" s="14"/>
      <c r="F88" s="13"/>
      <c r="G88" s="13"/>
      <c r="H88" s="13">
        <f t="shared" si="65"/>
        <v>0</v>
      </c>
      <c r="I88" s="88"/>
      <c r="J88" s="13"/>
      <c r="K88" s="55">
        <f t="shared" si="25"/>
        <v>0</v>
      </c>
      <c r="L88" s="88"/>
      <c r="M88" s="13"/>
      <c r="N88" s="193">
        <f t="shared" si="26"/>
        <v>0</v>
      </c>
      <c r="O88" s="211"/>
      <c r="P88" s="13"/>
      <c r="Q88" s="13">
        <f t="shared" si="27"/>
        <v>0</v>
      </c>
      <c r="R88" s="88"/>
      <c r="S88" s="13"/>
      <c r="T88" s="13">
        <f t="shared" si="22"/>
        <v>0</v>
      </c>
      <c r="U88" s="14"/>
      <c r="V88" s="88"/>
      <c r="W88" s="13"/>
      <c r="X88" s="13">
        <f t="shared" si="67"/>
        <v>0</v>
      </c>
      <c r="Y88" s="14"/>
      <c r="Z88" s="88"/>
      <c r="AA88" s="13"/>
      <c r="AB88" s="18">
        <f t="shared" si="68"/>
        <v>0</v>
      </c>
      <c r="AC88" s="14"/>
      <c r="AD88" s="88"/>
      <c r="AE88" s="13"/>
      <c r="AF88" s="13">
        <f t="shared" si="69"/>
        <v>0</v>
      </c>
      <c r="AG88" s="14"/>
      <c r="AH88" s="88"/>
      <c r="AI88" s="13"/>
      <c r="AJ88" s="13">
        <f t="shared" si="66"/>
        <v>0</v>
      </c>
      <c r="AK88" s="14"/>
      <c r="AL88" s="88"/>
      <c r="AM88" s="13"/>
      <c r="AN88" s="13">
        <f t="shared" si="70"/>
        <v>0</v>
      </c>
      <c r="AO88" s="14"/>
      <c r="AP88" s="88"/>
      <c r="AQ88" s="13"/>
      <c r="AR88" s="13">
        <f t="shared" si="71"/>
        <v>0</v>
      </c>
      <c r="AS88" s="14"/>
    </row>
    <row r="89" spans="1:45" x14ac:dyDescent="0.25">
      <c r="A89" s="12" t="s">
        <v>42</v>
      </c>
      <c r="B89" s="13">
        <v>217055</v>
      </c>
      <c r="C89" s="13">
        <v>0</v>
      </c>
      <c r="D89" s="13">
        <f t="shared" si="52"/>
        <v>217055</v>
      </c>
      <c r="E89" s="14"/>
      <c r="F89" s="13">
        <v>1061259</v>
      </c>
      <c r="G89" s="13">
        <v>0</v>
      </c>
      <c r="H89" s="13">
        <f t="shared" si="65"/>
        <v>1278314</v>
      </c>
      <c r="I89" s="13">
        <v>404815</v>
      </c>
      <c r="J89" s="13"/>
      <c r="K89" s="55">
        <f t="shared" si="25"/>
        <v>1683129</v>
      </c>
      <c r="L89" s="88">
        <v>947694</v>
      </c>
      <c r="M89" s="13"/>
      <c r="N89" s="193">
        <f t="shared" si="26"/>
        <v>2630823</v>
      </c>
      <c r="O89" s="211">
        <v>1186442</v>
      </c>
      <c r="P89" s="13"/>
      <c r="Q89" s="13">
        <f t="shared" si="27"/>
        <v>3817265</v>
      </c>
      <c r="R89" s="88">
        <v>241865</v>
      </c>
      <c r="S89" s="13"/>
      <c r="T89" s="13">
        <f t="shared" si="22"/>
        <v>4059130</v>
      </c>
      <c r="U89" s="14"/>
      <c r="V89" s="88">
        <v>105000</v>
      </c>
      <c r="W89" s="13"/>
      <c r="X89" s="13">
        <f t="shared" si="67"/>
        <v>4164130</v>
      </c>
      <c r="Y89" s="14"/>
      <c r="Z89" s="88">
        <v>117910</v>
      </c>
      <c r="AA89" s="13"/>
      <c r="AB89" s="18">
        <f t="shared" si="68"/>
        <v>4282040</v>
      </c>
      <c r="AC89" s="14"/>
      <c r="AD89" s="88">
        <v>252000</v>
      </c>
      <c r="AE89" s="13"/>
      <c r="AF89" s="13">
        <f>AB89+AD89</f>
        <v>4534040</v>
      </c>
      <c r="AG89" s="14"/>
      <c r="AH89" s="88">
        <v>856668</v>
      </c>
      <c r="AI89" s="13"/>
      <c r="AJ89" s="13">
        <f t="shared" si="66"/>
        <v>5390708</v>
      </c>
      <c r="AK89" s="14"/>
      <c r="AL89" s="88">
        <v>61534</v>
      </c>
      <c r="AM89" s="13"/>
      <c r="AN89" s="13">
        <f t="shared" si="70"/>
        <v>5452242</v>
      </c>
      <c r="AO89" s="14"/>
      <c r="AP89" s="88"/>
      <c r="AQ89" s="13"/>
      <c r="AR89" s="13">
        <f t="shared" si="71"/>
        <v>5452242</v>
      </c>
      <c r="AS89" s="14"/>
    </row>
    <row r="90" spans="1:45" x14ac:dyDescent="0.25">
      <c r="A90" s="12" t="s">
        <v>43</v>
      </c>
      <c r="B90" s="13">
        <v>0</v>
      </c>
      <c r="C90" s="13">
        <v>0</v>
      </c>
      <c r="D90" s="13">
        <f t="shared" si="52"/>
        <v>0</v>
      </c>
      <c r="E90" s="14"/>
      <c r="F90" s="13">
        <v>0</v>
      </c>
      <c r="G90" s="13">
        <v>0</v>
      </c>
      <c r="H90" s="13">
        <f t="shared" si="65"/>
        <v>0</v>
      </c>
      <c r="I90" s="88">
        <v>0</v>
      </c>
      <c r="J90" s="13">
        <v>0</v>
      </c>
      <c r="K90" s="55">
        <f t="shared" si="25"/>
        <v>0</v>
      </c>
      <c r="L90" s="88"/>
      <c r="M90" s="13"/>
      <c r="N90" s="193">
        <f t="shared" si="26"/>
        <v>0</v>
      </c>
      <c r="O90" s="211"/>
      <c r="P90" s="13"/>
      <c r="Q90" s="13">
        <f t="shared" si="27"/>
        <v>0</v>
      </c>
      <c r="R90" s="88">
        <v>0</v>
      </c>
      <c r="S90" s="13"/>
      <c r="T90" s="13">
        <f t="shared" si="22"/>
        <v>0</v>
      </c>
      <c r="U90" s="14"/>
      <c r="V90" s="88"/>
      <c r="W90" s="13"/>
      <c r="X90" s="13">
        <f t="shared" si="67"/>
        <v>0</v>
      </c>
      <c r="Y90" s="14"/>
      <c r="Z90" s="88"/>
      <c r="AA90" s="13"/>
      <c r="AB90" s="18">
        <f t="shared" si="68"/>
        <v>0</v>
      </c>
      <c r="AC90" s="14"/>
      <c r="AD90" s="88">
        <v>0</v>
      </c>
      <c r="AE90" s="13"/>
      <c r="AF90" s="13">
        <f>AB90+AD90</f>
        <v>0</v>
      </c>
      <c r="AG90" s="14"/>
      <c r="AH90" s="88">
        <v>0</v>
      </c>
      <c r="AI90" s="13"/>
      <c r="AJ90" s="13">
        <f>AF90+AH90</f>
        <v>0</v>
      </c>
      <c r="AK90" s="14"/>
      <c r="AL90" s="88"/>
      <c r="AM90" s="13"/>
      <c r="AN90" s="13">
        <f t="shared" si="70"/>
        <v>0</v>
      </c>
      <c r="AO90" s="14"/>
      <c r="AP90" s="88"/>
      <c r="AQ90" s="13"/>
      <c r="AR90" s="13">
        <f t="shared" si="71"/>
        <v>0</v>
      </c>
      <c r="AS90" s="14"/>
    </row>
    <row r="91" spans="1:45" ht="21" customHeight="1" x14ac:dyDescent="0.25">
      <c r="A91" s="12" t="s">
        <v>70</v>
      </c>
      <c r="B91" s="13"/>
      <c r="C91" s="13">
        <v>0</v>
      </c>
      <c r="D91" s="13">
        <f t="shared" si="52"/>
        <v>0</v>
      </c>
      <c r="E91" s="14"/>
      <c r="F91" s="13">
        <v>510294</v>
      </c>
      <c r="G91" s="13">
        <v>0</v>
      </c>
      <c r="H91" s="13">
        <f t="shared" si="65"/>
        <v>510294</v>
      </c>
      <c r="I91" s="88"/>
      <c r="J91" s="13">
        <v>0</v>
      </c>
      <c r="K91" s="55">
        <f t="shared" si="25"/>
        <v>510294</v>
      </c>
      <c r="L91" s="88">
        <v>0</v>
      </c>
      <c r="M91" s="13"/>
      <c r="N91" s="193">
        <f t="shared" si="26"/>
        <v>510294</v>
      </c>
      <c r="O91" s="211"/>
      <c r="P91" s="13"/>
      <c r="Q91" s="13">
        <f t="shared" si="27"/>
        <v>510294</v>
      </c>
      <c r="R91" s="88"/>
      <c r="S91" s="13"/>
      <c r="T91" s="13">
        <f t="shared" si="22"/>
        <v>510294</v>
      </c>
      <c r="U91" s="14"/>
      <c r="V91" s="88">
        <v>0</v>
      </c>
      <c r="W91" s="13"/>
      <c r="X91" s="13">
        <f t="shared" si="67"/>
        <v>510294</v>
      </c>
      <c r="Y91" s="14"/>
      <c r="Z91" s="88"/>
      <c r="AA91" s="13"/>
      <c r="AB91" s="18">
        <f t="shared" si="68"/>
        <v>510294</v>
      </c>
      <c r="AC91" s="14"/>
      <c r="AD91" s="88"/>
      <c r="AE91" s="13"/>
      <c r="AF91" s="13">
        <f t="shared" ref="AF91:AF92" si="72">AB91+AD91</f>
        <v>510294</v>
      </c>
      <c r="AG91" s="14"/>
      <c r="AH91" s="88">
        <v>193700</v>
      </c>
      <c r="AI91" s="13"/>
      <c r="AJ91" s="13">
        <f t="shared" ref="AJ91:AJ92" si="73">AF91+AH91</f>
        <v>703994</v>
      </c>
      <c r="AK91" s="14"/>
      <c r="AL91" s="88"/>
      <c r="AM91" s="13"/>
      <c r="AN91" s="13">
        <f t="shared" si="70"/>
        <v>703994</v>
      </c>
      <c r="AO91" s="14"/>
      <c r="AP91" s="88"/>
      <c r="AQ91" s="13"/>
      <c r="AR91" s="13">
        <f t="shared" si="71"/>
        <v>703994</v>
      </c>
      <c r="AS91" s="14"/>
    </row>
    <row r="92" spans="1:45" x14ac:dyDescent="0.25">
      <c r="A92" s="12" t="s">
        <v>44</v>
      </c>
      <c r="B92" s="13">
        <v>30252</v>
      </c>
      <c r="C92" s="13">
        <v>0</v>
      </c>
      <c r="D92" s="13">
        <f t="shared" si="52"/>
        <v>30252</v>
      </c>
      <c r="E92" s="14"/>
      <c r="F92" s="13">
        <v>261681</v>
      </c>
      <c r="G92" s="13">
        <v>0</v>
      </c>
      <c r="H92" s="13">
        <f t="shared" si="65"/>
        <v>291933</v>
      </c>
      <c r="I92" s="88"/>
      <c r="J92" s="13">
        <v>0</v>
      </c>
      <c r="K92" s="55">
        <f t="shared" si="25"/>
        <v>291933</v>
      </c>
      <c r="L92" s="88">
        <v>100000</v>
      </c>
      <c r="M92" s="13"/>
      <c r="N92" s="193">
        <f t="shared" si="26"/>
        <v>391933</v>
      </c>
      <c r="O92" s="211">
        <v>330000</v>
      </c>
      <c r="P92" s="13"/>
      <c r="Q92" s="13">
        <f t="shared" si="27"/>
        <v>721933</v>
      </c>
      <c r="R92" s="88"/>
      <c r="S92" s="13"/>
      <c r="T92" s="13">
        <f t="shared" si="22"/>
        <v>721933</v>
      </c>
      <c r="U92" s="14"/>
      <c r="V92" s="88"/>
      <c r="W92" s="13"/>
      <c r="X92" s="13">
        <f t="shared" si="67"/>
        <v>721933</v>
      </c>
      <c r="Y92" s="14"/>
      <c r="Z92" s="88">
        <v>223832</v>
      </c>
      <c r="AA92" s="13"/>
      <c r="AB92" s="18">
        <f t="shared" si="68"/>
        <v>945765</v>
      </c>
      <c r="AC92" s="14"/>
      <c r="AD92" s="88">
        <v>607697</v>
      </c>
      <c r="AE92" s="13"/>
      <c r="AF92" s="13">
        <f t="shared" si="72"/>
        <v>1553462</v>
      </c>
      <c r="AG92" s="14"/>
      <c r="AH92" s="88"/>
      <c r="AI92" s="13"/>
      <c r="AJ92" s="13">
        <f t="shared" si="73"/>
        <v>1553462</v>
      </c>
      <c r="AK92" s="14"/>
      <c r="AL92" s="88"/>
      <c r="AM92" s="13"/>
      <c r="AN92" s="13">
        <f t="shared" si="70"/>
        <v>1553462</v>
      </c>
      <c r="AO92" s="14"/>
      <c r="AP92" s="88">
        <v>150000</v>
      </c>
      <c r="AQ92" s="13"/>
      <c r="AR92" s="13">
        <f t="shared" si="71"/>
        <v>1703462</v>
      </c>
      <c r="AS92" s="14"/>
    </row>
    <row r="93" spans="1:45" x14ac:dyDescent="0.25">
      <c r="D93" s="13">
        <f t="shared" si="52"/>
        <v>0</v>
      </c>
      <c r="H93" s="13">
        <f t="shared" si="65"/>
        <v>0</v>
      </c>
      <c r="I93" s="178"/>
      <c r="K93" s="55">
        <f t="shared" si="25"/>
        <v>0</v>
      </c>
      <c r="L93" s="178"/>
      <c r="N93" s="193">
        <f t="shared" si="26"/>
        <v>0</v>
      </c>
      <c r="O93" s="213"/>
      <c r="P93"/>
      <c r="Q93" s="13">
        <f t="shared" si="27"/>
        <v>0</v>
      </c>
      <c r="T93" s="13">
        <f t="shared" si="22"/>
        <v>0</v>
      </c>
      <c r="AB93" s="18"/>
      <c r="AF93" s="13"/>
    </row>
    <row r="94" spans="1:45" x14ac:dyDescent="0.25">
      <c r="A94" s="17" t="s">
        <v>45</v>
      </c>
      <c r="B94" s="18">
        <f>+B95+B96+B97+B98</f>
        <v>265300</v>
      </c>
      <c r="C94" s="18">
        <v>0</v>
      </c>
      <c r="D94" s="18">
        <f t="shared" si="52"/>
        <v>265300</v>
      </c>
      <c r="E94" s="19"/>
      <c r="F94" s="18">
        <f>+F95+F96+F97+F98</f>
        <v>30000</v>
      </c>
      <c r="G94" s="18">
        <v>0</v>
      </c>
      <c r="H94" s="18">
        <f t="shared" si="65"/>
        <v>295300</v>
      </c>
      <c r="I94" s="20">
        <f>+I95+I96+I97</f>
        <v>65000</v>
      </c>
      <c r="J94" s="18">
        <v>0</v>
      </c>
      <c r="K94" s="204">
        <f t="shared" si="25"/>
        <v>360300</v>
      </c>
      <c r="L94" s="20">
        <f>L98+L97</f>
        <v>76000</v>
      </c>
      <c r="M94" s="18">
        <v>0</v>
      </c>
      <c r="N94" s="193">
        <f t="shared" si="26"/>
        <v>436300</v>
      </c>
      <c r="O94" s="18">
        <f>O95+O96+O97+O98</f>
        <v>0</v>
      </c>
      <c r="P94" s="18">
        <v>0</v>
      </c>
      <c r="Q94" s="18">
        <f t="shared" si="27"/>
        <v>436300</v>
      </c>
      <c r="R94" s="20">
        <f>R98+R97</f>
        <v>0</v>
      </c>
      <c r="S94" s="18">
        <v>0</v>
      </c>
      <c r="T94" s="18">
        <f t="shared" ref="T94:T157" si="74">+Q94+R94</f>
        <v>436300</v>
      </c>
      <c r="U94" s="19"/>
      <c r="V94" s="20">
        <f>V98+V97+V96+V95</f>
        <v>0</v>
      </c>
      <c r="W94" s="18">
        <v>0</v>
      </c>
      <c r="X94" s="18">
        <f>T94+V94</f>
        <v>436300</v>
      </c>
      <c r="Y94" s="19"/>
      <c r="Z94" s="20">
        <f>Z98+Z97</f>
        <v>0</v>
      </c>
      <c r="AA94" s="18">
        <v>0</v>
      </c>
      <c r="AB94" s="18">
        <f>X94+Z94</f>
        <v>436300</v>
      </c>
      <c r="AC94" s="19"/>
      <c r="AD94" s="342">
        <f>AD98+AD97</f>
        <v>0</v>
      </c>
      <c r="AE94" s="18">
        <v>0</v>
      </c>
      <c r="AF94" s="18">
        <f>AB94+AD94</f>
        <v>436300</v>
      </c>
      <c r="AG94" s="19"/>
      <c r="AH94" s="20">
        <f>AH95+AH96+AH97+AH98</f>
        <v>0</v>
      </c>
      <c r="AI94" s="18">
        <v>0</v>
      </c>
      <c r="AJ94" s="18">
        <f>AF94+AH94</f>
        <v>436300</v>
      </c>
      <c r="AK94" s="19"/>
      <c r="AL94" s="20">
        <f>AL98+AL97</f>
        <v>0</v>
      </c>
      <c r="AM94" s="18">
        <v>0</v>
      </c>
      <c r="AN94" s="18">
        <f>AJ94+AL94</f>
        <v>436300</v>
      </c>
      <c r="AO94" s="19"/>
      <c r="AP94" s="20">
        <f>AP98+AP97</f>
        <v>0</v>
      </c>
      <c r="AQ94" s="18">
        <v>0</v>
      </c>
      <c r="AR94" s="18">
        <f>AN94+AP94</f>
        <v>436300</v>
      </c>
      <c r="AS94" s="19"/>
    </row>
    <row r="95" spans="1:45" x14ac:dyDescent="0.25">
      <c r="A95" s="12" t="s">
        <v>79</v>
      </c>
      <c r="B95" s="13">
        <v>0</v>
      </c>
      <c r="C95" s="13">
        <v>0</v>
      </c>
      <c r="D95" s="13">
        <f t="shared" si="52"/>
        <v>0</v>
      </c>
      <c r="E95" s="14"/>
      <c r="F95" s="13">
        <v>30000</v>
      </c>
      <c r="G95" s="13">
        <v>0</v>
      </c>
      <c r="H95" s="13">
        <f t="shared" si="65"/>
        <v>30000</v>
      </c>
      <c r="I95" s="88">
        <v>65000</v>
      </c>
      <c r="J95" s="13"/>
      <c r="K95" s="55">
        <f t="shared" ref="K95:K156" si="75">H95+I95</f>
        <v>95000</v>
      </c>
      <c r="L95" s="88"/>
      <c r="M95" s="13">
        <v>0</v>
      </c>
      <c r="N95" s="193">
        <f t="shared" ref="N95:N156" si="76">+K95+L95</f>
        <v>95000</v>
      </c>
      <c r="O95" s="211"/>
      <c r="P95" s="13">
        <v>0</v>
      </c>
      <c r="Q95" s="13">
        <f t="shared" ref="Q95:Q157" si="77">+N95+O95</f>
        <v>95000</v>
      </c>
      <c r="R95" s="88">
        <v>0</v>
      </c>
      <c r="S95" s="13">
        <v>0</v>
      </c>
      <c r="T95" s="13">
        <f t="shared" si="74"/>
        <v>95000</v>
      </c>
      <c r="U95" s="14"/>
      <c r="V95" s="88"/>
      <c r="W95" s="13"/>
      <c r="X95" s="13">
        <f>T95+V95</f>
        <v>95000</v>
      </c>
      <c r="Y95" s="14"/>
      <c r="Z95" s="88">
        <v>0</v>
      </c>
      <c r="AA95" s="13"/>
      <c r="AB95" s="18">
        <f>X95+Z95</f>
        <v>95000</v>
      </c>
      <c r="AC95" s="14"/>
      <c r="AD95" s="88"/>
      <c r="AE95" s="13"/>
      <c r="AF95" s="13">
        <f>AB95+AD95</f>
        <v>95000</v>
      </c>
      <c r="AG95" s="14"/>
      <c r="AH95" s="88"/>
      <c r="AI95" s="13"/>
      <c r="AJ95" s="13">
        <f>AF95+AH95</f>
        <v>95000</v>
      </c>
      <c r="AK95" s="14"/>
      <c r="AL95" s="88">
        <v>0</v>
      </c>
      <c r="AM95" s="13"/>
      <c r="AN95" s="13">
        <f>AJ95+AL95</f>
        <v>95000</v>
      </c>
      <c r="AO95" s="14"/>
      <c r="AP95" s="88">
        <v>0</v>
      </c>
      <c r="AQ95" s="13"/>
      <c r="AR95" s="13">
        <f>AN95+AP95</f>
        <v>95000</v>
      </c>
      <c r="AS95" s="14"/>
    </row>
    <row r="96" spans="1:45" x14ac:dyDescent="0.25">
      <c r="A96" s="12" t="s">
        <v>80</v>
      </c>
      <c r="B96" s="13">
        <v>0</v>
      </c>
      <c r="C96" s="13">
        <v>0</v>
      </c>
      <c r="D96" s="13">
        <f t="shared" si="52"/>
        <v>0</v>
      </c>
      <c r="E96" s="14"/>
      <c r="F96" s="13">
        <v>0</v>
      </c>
      <c r="G96" s="13">
        <v>0</v>
      </c>
      <c r="H96" s="13">
        <f t="shared" si="65"/>
        <v>0</v>
      </c>
      <c r="I96" s="88">
        <v>0</v>
      </c>
      <c r="J96" s="13">
        <v>0</v>
      </c>
      <c r="K96" s="55">
        <f t="shared" si="75"/>
        <v>0</v>
      </c>
      <c r="L96" s="88">
        <v>0</v>
      </c>
      <c r="M96" s="13">
        <v>0</v>
      </c>
      <c r="N96" s="193">
        <f t="shared" si="76"/>
        <v>0</v>
      </c>
      <c r="O96" s="211"/>
      <c r="P96" s="13">
        <v>0</v>
      </c>
      <c r="Q96" s="13">
        <f t="shared" si="77"/>
        <v>0</v>
      </c>
      <c r="R96" s="88">
        <v>0</v>
      </c>
      <c r="S96" s="13">
        <v>0</v>
      </c>
      <c r="T96" s="13">
        <f t="shared" si="74"/>
        <v>0</v>
      </c>
      <c r="U96" s="14"/>
      <c r="V96" s="88">
        <v>0</v>
      </c>
      <c r="W96" s="13">
        <v>0</v>
      </c>
      <c r="X96" s="13">
        <f>T96+V96</f>
        <v>0</v>
      </c>
      <c r="Y96" s="14"/>
      <c r="Z96" s="88">
        <v>0</v>
      </c>
      <c r="AA96" s="13">
        <v>0</v>
      </c>
      <c r="AB96" s="18">
        <f>X96+Z96</f>
        <v>0</v>
      </c>
      <c r="AC96" s="14"/>
      <c r="AD96" s="88"/>
      <c r="AE96" s="13">
        <v>0</v>
      </c>
      <c r="AF96" s="13">
        <f>AB96+AD96</f>
        <v>0</v>
      </c>
      <c r="AG96" s="14"/>
      <c r="AH96" s="88">
        <v>0</v>
      </c>
      <c r="AI96" s="13">
        <v>0</v>
      </c>
      <c r="AJ96" s="13">
        <f>AF96+AH96</f>
        <v>0</v>
      </c>
      <c r="AK96" s="14"/>
      <c r="AL96" s="88">
        <v>0</v>
      </c>
      <c r="AM96" s="13">
        <v>0</v>
      </c>
      <c r="AN96" s="13">
        <f>AJ96+AL96</f>
        <v>0</v>
      </c>
      <c r="AO96" s="14"/>
      <c r="AP96" s="88">
        <v>0</v>
      </c>
      <c r="AQ96" s="13">
        <v>0</v>
      </c>
      <c r="AR96" s="13">
        <f>AN96+AP96</f>
        <v>0</v>
      </c>
      <c r="AS96" s="14"/>
    </row>
    <row r="97" spans="1:45" x14ac:dyDescent="0.25">
      <c r="A97" s="12" t="s">
        <v>81</v>
      </c>
      <c r="B97" s="13">
        <v>265300</v>
      </c>
      <c r="C97" s="13">
        <v>0</v>
      </c>
      <c r="D97" s="13">
        <f t="shared" si="52"/>
        <v>265300</v>
      </c>
      <c r="E97" s="14"/>
      <c r="F97" s="13"/>
      <c r="G97" s="13">
        <v>0</v>
      </c>
      <c r="H97" s="13">
        <f t="shared" si="65"/>
        <v>265300</v>
      </c>
      <c r="I97" s="88"/>
      <c r="J97" s="13">
        <v>0</v>
      </c>
      <c r="K97" s="55">
        <f t="shared" si="75"/>
        <v>265300</v>
      </c>
      <c r="L97" s="88">
        <v>76000</v>
      </c>
      <c r="M97" s="13"/>
      <c r="N97" s="193">
        <f t="shared" si="76"/>
        <v>341300</v>
      </c>
      <c r="O97" s="211"/>
      <c r="P97" s="13"/>
      <c r="Q97" s="13">
        <f t="shared" si="77"/>
        <v>341300</v>
      </c>
      <c r="R97" s="88"/>
      <c r="S97" s="13"/>
      <c r="T97" s="13">
        <f t="shared" si="74"/>
        <v>341300</v>
      </c>
      <c r="U97" s="14"/>
      <c r="V97" s="88"/>
      <c r="W97" s="13"/>
      <c r="X97" s="13">
        <f>T97+V97</f>
        <v>341300</v>
      </c>
      <c r="Y97" s="14"/>
      <c r="Z97" s="88"/>
      <c r="AA97" s="13"/>
      <c r="AB97" s="18">
        <f>X97+Z97</f>
        <v>341300</v>
      </c>
      <c r="AC97" s="14"/>
      <c r="AD97" s="88"/>
      <c r="AE97" s="13"/>
      <c r="AF97" s="13">
        <f>AB97+AD97</f>
        <v>341300</v>
      </c>
      <c r="AG97" s="14"/>
      <c r="AH97" s="88"/>
      <c r="AI97" s="13"/>
      <c r="AJ97" s="13">
        <f>AF97+AH97</f>
        <v>341300</v>
      </c>
      <c r="AK97" s="14"/>
      <c r="AL97" s="88"/>
      <c r="AM97" s="13"/>
      <c r="AN97" s="13">
        <f>AJ97+AL97</f>
        <v>341300</v>
      </c>
      <c r="AO97" s="14"/>
      <c r="AP97" s="88"/>
      <c r="AQ97" s="13"/>
      <c r="AR97" s="13">
        <f>AN97+AP97</f>
        <v>341300</v>
      </c>
      <c r="AS97" s="14"/>
    </row>
    <row r="98" spans="1:45" x14ac:dyDescent="0.25">
      <c r="A98" s="12" t="s">
        <v>33</v>
      </c>
      <c r="B98" s="13">
        <v>0</v>
      </c>
      <c r="C98" s="13">
        <v>0</v>
      </c>
      <c r="D98" s="13">
        <f t="shared" si="52"/>
        <v>0</v>
      </c>
      <c r="E98" s="14"/>
      <c r="F98" s="13">
        <v>0</v>
      </c>
      <c r="G98" s="13">
        <v>0</v>
      </c>
      <c r="H98" s="13">
        <f t="shared" si="65"/>
        <v>0</v>
      </c>
      <c r="I98" s="88">
        <v>0</v>
      </c>
      <c r="J98" s="13">
        <v>0</v>
      </c>
      <c r="K98" s="55">
        <f t="shared" si="75"/>
        <v>0</v>
      </c>
      <c r="L98" s="88"/>
      <c r="M98" s="13"/>
      <c r="N98" s="193">
        <f t="shared" si="76"/>
        <v>0</v>
      </c>
      <c r="O98" s="211"/>
      <c r="P98" s="13"/>
      <c r="Q98" s="13">
        <f t="shared" si="77"/>
        <v>0</v>
      </c>
      <c r="R98" s="88"/>
      <c r="S98" s="13"/>
      <c r="T98" s="13">
        <f t="shared" si="74"/>
        <v>0</v>
      </c>
      <c r="U98" s="14"/>
      <c r="V98" s="88"/>
      <c r="W98" s="13"/>
      <c r="X98" s="13">
        <f t="shared" ref="X98:X106" si="78">T98+V98</f>
        <v>0</v>
      </c>
      <c r="Y98" s="14"/>
      <c r="Z98" s="88"/>
      <c r="AA98" s="13"/>
      <c r="AB98" s="18">
        <f t="shared" ref="AB98:AB106" si="79">X98+Z98</f>
        <v>0</v>
      </c>
      <c r="AC98" s="14"/>
      <c r="AD98" s="88"/>
      <c r="AE98" s="13"/>
      <c r="AF98" s="13">
        <f t="shared" ref="AF98:AF106" si="80">AB98+AD98</f>
        <v>0</v>
      </c>
      <c r="AG98" s="14"/>
      <c r="AH98" s="88"/>
      <c r="AI98" s="13"/>
      <c r="AJ98" s="13">
        <f t="shared" ref="AJ98:AJ106" si="81">AF98+AH98</f>
        <v>0</v>
      </c>
      <c r="AK98" s="14"/>
      <c r="AL98" s="88"/>
      <c r="AM98" s="13"/>
      <c r="AN98" s="13">
        <f t="shared" ref="AN98:AN106" si="82">AJ98+AL98</f>
        <v>0</v>
      </c>
      <c r="AO98" s="14"/>
      <c r="AP98" s="88"/>
      <c r="AQ98" s="13"/>
      <c r="AR98" s="13">
        <f t="shared" ref="AR98:AR106" si="83">AN98+AP98</f>
        <v>0</v>
      </c>
      <c r="AS98" s="14"/>
    </row>
    <row r="99" spans="1:45" x14ac:dyDescent="0.25">
      <c r="A99" s="12"/>
      <c r="B99" s="13"/>
      <c r="C99" s="13"/>
      <c r="D99" s="13">
        <f t="shared" si="52"/>
        <v>0</v>
      </c>
      <c r="E99" s="14"/>
      <c r="F99" s="13"/>
      <c r="G99" s="13"/>
      <c r="H99" s="13">
        <f t="shared" si="65"/>
        <v>0</v>
      </c>
      <c r="I99" s="88"/>
      <c r="J99" s="13"/>
      <c r="K99" s="55">
        <f t="shared" si="75"/>
        <v>0</v>
      </c>
      <c r="L99" s="88"/>
      <c r="M99" s="13"/>
      <c r="N99" s="193">
        <f t="shared" si="76"/>
        <v>0</v>
      </c>
      <c r="O99" s="211"/>
      <c r="P99" s="13"/>
      <c r="Q99" s="13">
        <f t="shared" si="77"/>
        <v>0</v>
      </c>
      <c r="R99" s="88"/>
      <c r="S99" s="13"/>
      <c r="T99" s="13">
        <f t="shared" si="74"/>
        <v>0</v>
      </c>
      <c r="U99" s="14"/>
      <c r="V99" s="88"/>
      <c r="W99" s="13"/>
      <c r="X99" s="13">
        <f t="shared" si="78"/>
        <v>0</v>
      </c>
      <c r="Y99" s="14"/>
      <c r="Z99" s="88"/>
      <c r="AA99" s="13"/>
      <c r="AB99" s="18">
        <f t="shared" si="79"/>
        <v>0</v>
      </c>
      <c r="AC99" s="14"/>
      <c r="AD99" s="88"/>
      <c r="AE99" s="13"/>
      <c r="AF99" s="13">
        <f t="shared" si="80"/>
        <v>0</v>
      </c>
      <c r="AG99" s="14"/>
      <c r="AH99" s="88"/>
      <c r="AI99" s="13"/>
      <c r="AJ99" s="13">
        <f t="shared" si="81"/>
        <v>0</v>
      </c>
      <c r="AK99" s="14"/>
      <c r="AL99" s="88"/>
      <c r="AM99" s="13"/>
      <c r="AN99" s="13">
        <f t="shared" si="82"/>
        <v>0</v>
      </c>
      <c r="AO99" s="14"/>
      <c r="AP99" s="88"/>
      <c r="AQ99" s="13"/>
      <c r="AR99" s="13">
        <f t="shared" si="83"/>
        <v>0</v>
      </c>
      <c r="AS99" s="14"/>
    </row>
    <row r="100" spans="1:45" x14ac:dyDescent="0.25">
      <c r="A100" s="17" t="s">
        <v>191</v>
      </c>
      <c r="B100" s="18">
        <f>+B101+B102+B103+B104+B105</f>
        <v>0</v>
      </c>
      <c r="C100" s="18"/>
      <c r="D100" s="18">
        <f t="shared" si="52"/>
        <v>0</v>
      </c>
      <c r="E100" s="19"/>
      <c r="F100" s="18">
        <f>+F101+F102+F103+F104+F105</f>
        <v>0</v>
      </c>
      <c r="G100" s="18"/>
      <c r="H100" s="18">
        <f t="shared" si="65"/>
        <v>0</v>
      </c>
      <c r="I100" s="20">
        <f>+I101+I102+I103+I104+I105</f>
        <v>0</v>
      </c>
      <c r="J100" s="18"/>
      <c r="K100" s="204">
        <f t="shared" si="75"/>
        <v>0</v>
      </c>
      <c r="L100" s="20"/>
      <c r="M100" s="18"/>
      <c r="N100" s="193">
        <f t="shared" si="76"/>
        <v>0</v>
      </c>
      <c r="O100" s="18">
        <f>+O101+O102+O103+O104+O105</f>
        <v>0</v>
      </c>
      <c r="P100" s="18"/>
      <c r="Q100" s="18">
        <f t="shared" si="77"/>
        <v>0</v>
      </c>
      <c r="R100" s="18">
        <f>+R101+R102+R103+R104+R105</f>
        <v>0</v>
      </c>
      <c r="S100" s="18"/>
      <c r="T100" s="18">
        <f t="shared" si="74"/>
        <v>0</v>
      </c>
      <c r="U100" s="19"/>
      <c r="V100" s="18">
        <f>+V101+V102+V103+V104+V105</f>
        <v>0</v>
      </c>
      <c r="W100" s="18"/>
      <c r="X100" s="18">
        <f t="shared" si="78"/>
        <v>0</v>
      </c>
      <c r="Y100" s="19"/>
      <c r="Z100" s="18">
        <f>+Z101+Z102+Z103+Z104+Z105</f>
        <v>0</v>
      </c>
      <c r="AA100" s="18"/>
      <c r="AB100" s="18">
        <f t="shared" si="79"/>
        <v>0</v>
      </c>
      <c r="AC100" s="19"/>
      <c r="AD100" s="341">
        <f>+AD101+AD102+AD103+AD104+AD105</f>
        <v>0</v>
      </c>
      <c r="AE100" s="18"/>
      <c r="AF100" s="18">
        <f t="shared" si="80"/>
        <v>0</v>
      </c>
      <c r="AG100" s="19"/>
      <c r="AH100" s="18">
        <f>+AH101+AH102+AH103+AH104+AH105</f>
        <v>0</v>
      </c>
      <c r="AI100" s="18"/>
      <c r="AJ100" s="18">
        <f t="shared" si="81"/>
        <v>0</v>
      </c>
      <c r="AK100" s="19"/>
      <c r="AL100" s="18">
        <f>+AL101+AL102+AL103+AL104+AL105</f>
        <v>0</v>
      </c>
      <c r="AM100" s="18"/>
      <c r="AN100" s="18">
        <f t="shared" si="82"/>
        <v>0</v>
      </c>
      <c r="AO100" s="19"/>
      <c r="AP100" s="18">
        <f>+AP101+AP102+AP103+AP104+AP105</f>
        <v>0</v>
      </c>
      <c r="AQ100" s="18"/>
      <c r="AR100" s="18">
        <f t="shared" si="83"/>
        <v>0</v>
      </c>
      <c r="AS100" s="19"/>
    </row>
    <row r="101" spans="1:45" x14ac:dyDescent="0.25">
      <c r="A101" s="12" t="s">
        <v>192</v>
      </c>
      <c r="B101" s="93">
        <v>0</v>
      </c>
      <c r="C101" s="94"/>
      <c r="D101" s="94">
        <f t="shared" si="52"/>
        <v>0</v>
      </c>
      <c r="E101" s="95"/>
      <c r="F101" s="93">
        <v>0</v>
      </c>
      <c r="G101" s="94"/>
      <c r="H101" s="13">
        <f t="shared" si="65"/>
        <v>0</v>
      </c>
      <c r="I101" s="93">
        <v>0</v>
      </c>
      <c r="J101" s="94"/>
      <c r="K101" s="55">
        <f t="shared" si="75"/>
        <v>0</v>
      </c>
      <c r="L101" s="93">
        <v>0</v>
      </c>
      <c r="M101" s="94"/>
      <c r="N101" s="193">
        <f t="shared" si="76"/>
        <v>0</v>
      </c>
      <c r="O101" s="214">
        <v>0</v>
      </c>
      <c r="P101" s="94"/>
      <c r="Q101" s="13">
        <f t="shared" si="77"/>
        <v>0</v>
      </c>
      <c r="R101" s="93">
        <v>0</v>
      </c>
      <c r="S101" s="94"/>
      <c r="T101" s="13">
        <f t="shared" si="74"/>
        <v>0</v>
      </c>
      <c r="U101" s="95"/>
      <c r="V101" s="93">
        <v>0</v>
      </c>
      <c r="W101" s="94"/>
      <c r="X101" s="94">
        <f t="shared" si="78"/>
        <v>0</v>
      </c>
      <c r="Y101" s="95"/>
      <c r="Z101" s="93">
        <v>0</v>
      </c>
      <c r="AA101" s="94"/>
      <c r="AB101" s="18">
        <f t="shared" si="79"/>
        <v>0</v>
      </c>
      <c r="AC101" s="95"/>
      <c r="AD101" s="93"/>
      <c r="AE101" s="94"/>
      <c r="AF101" s="13">
        <f t="shared" si="80"/>
        <v>0</v>
      </c>
      <c r="AG101" s="95"/>
      <c r="AH101" s="93"/>
      <c r="AI101" s="94"/>
      <c r="AJ101" s="94">
        <f t="shared" si="81"/>
        <v>0</v>
      </c>
      <c r="AK101" s="95"/>
      <c r="AL101" s="93"/>
      <c r="AM101" s="94"/>
      <c r="AN101" s="94">
        <f t="shared" si="82"/>
        <v>0</v>
      </c>
      <c r="AO101" s="95"/>
      <c r="AP101" s="93"/>
      <c r="AQ101" s="94"/>
      <c r="AR101" s="94">
        <f t="shared" si="83"/>
        <v>0</v>
      </c>
      <c r="AS101" s="95"/>
    </row>
    <row r="102" spans="1:45" x14ac:dyDescent="0.25">
      <c r="A102" s="12" t="s">
        <v>193</v>
      </c>
      <c r="B102" s="93">
        <v>0</v>
      </c>
      <c r="C102" s="94"/>
      <c r="D102" s="94">
        <f t="shared" si="52"/>
        <v>0</v>
      </c>
      <c r="E102" s="95"/>
      <c r="F102" s="93">
        <v>0</v>
      </c>
      <c r="G102" s="94"/>
      <c r="H102" s="13">
        <f t="shared" si="65"/>
        <v>0</v>
      </c>
      <c r="I102" s="93">
        <v>0</v>
      </c>
      <c r="J102" s="94"/>
      <c r="K102" s="55">
        <f t="shared" si="75"/>
        <v>0</v>
      </c>
      <c r="L102" s="93">
        <v>0</v>
      </c>
      <c r="M102" s="94"/>
      <c r="N102" s="193">
        <f t="shared" si="76"/>
        <v>0</v>
      </c>
      <c r="O102" s="214">
        <v>0</v>
      </c>
      <c r="P102" s="94"/>
      <c r="Q102" s="13">
        <f t="shared" si="77"/>
        <v>0</v>
      </c>
      <c r="R102" s="93">
        <v>0</v>
      </c>
      <c r="S102" s="94"/>
      <c r="T102" s="13">
        <f t="shared" si="74"/>
        <v>0</v>
      </c>
      <c r="U102" s="95"/>
      <c r="V102" s="93">
        <v>0</v>
      </c>
      <c r="W102" s="94"/>
      <c r="X102" s="94">
        <f t="shared" si="78"/>
        <v>0</v>
      </c>
      <c r="Y102" s="95"/>
      <c r="Z102" s="93">
        <v>0</v>
      </c>
      <c r="AA102" s="94"/>
      <c r="AB102" s="18">
        <f t="shared" si="79"/>
        <v>0</v>
      </c>
      <c r="AC102" s="95"/>
      <c r="AD102" s="93"/>
      <c r="AE102" s="94"/>
      <c r="AF102" s="13">
        <f t="shared" si="80"/>
        <v>0</v>
      </c>
      <c r="AG102" s="95"/>
      <c r="AH102" s="93"/>
      <c r="AI102" s="94"/>
      <c r="AJ102" s="94">
        <f t="shared" si="81"/>
        <v>0</v>
      </c>
      <c r="AK102" s="95"/>
      <c r="AL102" s="93"/>
      <c r="AM102" s="94"/>
      <c r="AN102" s="94">
        <f t="shared" si="82"/>
        <v>0</v>
      </c>
      <c r="AO102" s="95"/>
      <c r="AP102" s="93"/>
      <c r="AQ102" s="94"/>
      <c r="AR102" s="94">
        <f t="shared" si="83"/>
        <v>0</v>
      </c>
      <c r="AS102" s="95"/>
    </row>
    <row r="103" spans="1:45" x14ac:dyDescent="0.25">
      <c r="A103" s="12" t="s">
        <v>194</v>
      </c>
      <c r="B103" s="93">
        <v>0</v>
      </c>
      <c r="C103" s="94"/>
      <c r="D103" s="94">
        <f t="shared" si="52"/>
        <v>0</v>
      </c>
      <c r="E103" s="95"/>
      <c r="F103" s="93">
        <v>0</v>
      </c>
      <c r="G103" s="94"/>
      <c r="H103" s="13">
        <f t="shared" si="65"/>
        <v>0</v>
      </c>
      <c r="I103" s="93">
        <v>0</v>
      </c>
      <c r="J103" s="94"/>
      <c r="K103" s="55">
        <f t="shared" si="75"/>
        <v>0</v>
      </c>
      <c r="L103" s="93">
        <v>0</v>
      </c>
      <c r="M103" s="94"/>
      <c r="N103" s="193">
        <f t="shared" si="76"/>
        <v>0</v>
      </c>
      <c r="O103" s="214">
        <v>0</v>
      </c>
      <c r="P103" s="94"/>
      <c r="Q103" s="13">
        <f t="shared" si="77"/>
        <v>0</v>
      </c>
      <c r="R103" s="93">
        <v>0</v>
      </c>
      <c r="S103" s="94"/>
      <c r="T103" s="13">
        <f t="shared" si="74"/>
        <v>0</v>
      </c>
      <c r="U103" s="95"/>
      <c r="V103" s="93">
        <v>0</v>
      </c>
      <c r="W103" s="94"/>
      <c r="X103" s="94">
        <f t="shared" si="78"/>
        <v>0</v>
      </c>
      <c r="Y103" s="95"/>
      <c r="Z103" s="93">
        <v>0</v>
      </c>
      <c r="AA103" s="94"/>
      <c r="AB103" s="18">
        <f t="shared" si="79"/>
        <v>0</v>
      </c>
      <c r="AC103" s="95"/>
      <c r="AD103" s="93">
        <v>0</v>
      </c>
      <c r="AE103" s="94"/>
      <c r="AF103" s="13">
        <f t="shared" si="80"/>
        <v>0</v>
      </c>
      <c r="AG103" s="95"/>
      <c r="AH103" s="93">
        <v>0</v>
      </c>
      <c r="AI103" s="94"/>
      <c r="AJ103" s="94">
        <f t="shared" si="81"/>
        <v>0</v>
      </c>
      <c r="AK103" s="95"/>
      <c r="AL103" s="93">
        <v>0</v>
      </c>
      <c r="AM103" s="94"/>
      <c r="AN103" s="94">
        <f t="shared" si="82"/>
        <v>0</v>
      </c>
      <c r="AO103" s="95"/>
      <c r="AP103" s="93">
        <v>0</v>
      </c>
      <c r="AQ103" s="94"/>
      <c r="AR103" s="94">
        <f t="shared" si="83"/>
        <v>0</v>
      </c>
      <c r="AS103" s="95"/>
    </row>
    <row r="104" spans="1:45" x14ac:dyDescent="0.25">
      <c r="A104" s="12" t="s">
        <v>195</v>
      </c>
      <c r="B104" s="93">
        <v>0</v>
      </c>
      <c r="C104" s="94"/>
      <c r="D104" s="94">
        <f t="shared" si="52"/>
        <v>0</v>
      </c>
      <c r="E104" s="95"/>
      <c r="F104" s="93">
        <v>0</v>
      </c>
      <c r="G104" s="94"/>
      <c r="H104" s="13">
        <f t="shared" si="65"/>
        <v>0</v>
      </c>
      <c r="I104" s="93">
        <v>0</v>
      </c>
      <c r="J104" s="94"/>
      <c r="K104" s="55">
        <f t="shared" si="75"/>
        <v>0</v>
      </c>
      <c r="L104" s="93">
        <v>0</v>
      </c>
      <c r="M104" s="94"/>
      <c r="N104" s="193">
        <f t="shared" si="76"/>
        <v>0</v>
      </c>
      <c r="O104" s="214">
        <v>0</v>
      </c>
      <c r="P104" s="94"/>
      <c r="Q104" s="13">
        <f t="shared" si="77"/>
        <v>0</v>
      </c>
      <c r="R104" s="93">
        <v>0</v>
      </c>
      <c r="S104" s="94"/>
      <c r="T104" s="13">
        <f t="shared" si="74"/>
        <v>0</v>
      </c>
      <c r="U104" s="95"/>
      <c r="V104" s="93">
        <v>0</v>
      </c>
      <c r="W104" s="94"/>
      <c r="X104" s="94">
        <f t="shared" si="78"/>
        <v>0</v>
      </c>
      <c r="Y104" s="95"/>
      <c r="Z104" s="93">
        <v>0</v>
      </c>
      <c r="AA104" s="94"/>
      <c r="AB104" s="18">
        <f t="shared" si="79"/>
        <v>0</v>
      </c>
      <c r="AC104" s="95"/>
      <c r="AD104" s="93"/>
      <c r="AE104" s="94"/>
      <c r="AF104" s="13">
        <f t="shared" si="80"/>
        <v>0</v>
      </c>
      <c r="AG104" s="95"/>
      <c r="AH104" s="93"/>
      <c r="AI104" s="94"/>
      <c r="AJ104" s="94">
        <f t="shared" si="81"/>
        <v>0</v>
      </c>
      <c r="AK104" s="95"/>
      <c r="AL104" s="93"/>
      <c r="AM104" s="94"/>
      <c r="AN104" s="94">
        <f t="shared" si="82"/>
        <v>0</v>
      </c>
      <c r="AO104" s="95"/>
      <c r="AP104" s="93"/>
      <c r="AQ104" s="94"/>
      <c r="AR104" s="94">
        <f t="shared" si="83"/>
        <v>0</v>
      </c>
      <c r="AS104" s="95"/>
    </row>
    <row r="105" spans="1:45" x14ac:dyDescent="0.25">
      <c r="A105" s="12" t="s">
        <v>196</v>
      </c>
      <c r="B105" s="93">
        <v>0</v>
      </c>
      <c r="C105" s="94"/>
      <c r="D105" s="94">
        <f t="shared" si="52"/>
        <v>0</v>
      </c>
      <c r="E105" s="95"/>
      <c r="F105" s="93">
        <v>0</v>
      </c>
      <c r="G105" s="94"/>
      <c r="H105" s="13">
        <f t="shared" si="65"/>
        <v>0</v>
      </c>
      <c r="I105" s="93">
        <v>0</v>
      </c>
      <c r="J105" s="94"/>
      <c r="K105" s="55">
        <f t="shared" si="75"/>
        <v>0</v>
      </c>
      <c r="L105" s="93">
        <v>0</v>
      </c>
      <c r="M105" s="94"/>
      <c r="N105" s="193">
        <f t="shared" si="76"/>
        <v>0</v>
      </c>
      <c r="O105" s="214">
        <v>0</v>
      </c>
      <c r="P105" s="94"/>
      <c r="Q105" s="13">
        <f t="shared" si="77"/>
        <v>0</v>
      </c>
      <c r="R105" s="93">
        <v>0</v>
      </c>
      <c r="S105" s="94"/>
      <c r="T105" s="13">
        <f t="shared" si="74"/>
        <v>0</v>
      </c>
      <c r="U105" s="95"/>
      <c r="V105" s="93">
        <v>0</v>
      </c>
      <c r="W105" s="94"/>
      <c r="X105" s="94">
        <f t="shared" si="78"/>
        <v>0</v>
      </c>
      <c r="Y105" s="95"/>
      <c r="Z105" s="93">
        <v>0</v>
      </c>
      <c r="AA105" s="94"/>
      <c r="AB105" s="18">
        <f t="shared" si="79"/>
        <v>0</v>
      </c>
      <c r="AC105" s="95"/>
      <c r="AD105" s="93"/>
      <c r="AE105" s="94"/>
      <c r="AF105" s="13">
        <f t="shared" si="80"/>
        <v>0</v>
      </c>
      <c r="AG105" s="95"/>
      <c r="AH105" s="93"/>
      <c r="AI105" s="94"/>
      <c r="AJ105" s="94">
        <f t="shared" si="81"/>
        <v>0</v>
      </c>
      <c r="AK105" s="95"/>
      <c r="AL105" s="93"/>
      <c r="AM105" s="94"/>
      <c r="AN105" s="94">
        <f t="shared" si="82"/>
        <v>0</v>
      </c>
      <c r="AO105" s="95"/>
      <c r="AP105" s="93"/>
      <c r="AQ105" s="94"/>
      <c r="AR105" s="94">
        <f t="shared" si="83"/>
        <v>0</v>
      </c>
      <c r="AS105" s="95"/>
    </row>
    <row r="106" spans="1:45" x14ac:dyDescent="0.25">
      <c r="A106" s="12"/>
      <c r="B106" s="94"/>
      <c r="C106" s="94"/>
      <c r="D106" s="94"/>
      <c r="E106" s="95"/>
      <c r="F106" s="94"/>
      <c r="G106" s="94"/>
      <c r="H106" s="13">
        <f t="shared" si="65"/>
        <v>0</v>
      </c>
      <c r="I106" s="93"/>
      <c r="J106" s="94"/>
      <c r="K106" s="55">
        <f t="shared" si="75"/>
        <v>0</v>
      </c>
      <c r="L106" s="93"/>
      <c r="M106" s="94"/>
      <c r="N106" s="193">
        <f t="shared" si="76"/>
        <v>0</v>
      </c>
      <c r="O106" s="214"/>
      <c r="P106" s="94"/>
      <c r="Q106" s="13">
        <f t="shared" si="77"/>
        <v>0</v>
      </c>
      <c r="R106" s="93"/>
      <c r="S106" s="94"/>
      <c r="T106" s="13">
        <f t="shared" si="74"/>
        <v>0</v>
      </c>
      <c r="U106" s="95"/>
      <c r="V106" s="93"/>
      <c r="W106" s="94"/>
      <c r="X106" s="94">
        <f t="shared" si="78"/>
        <v>0</v>
      </c>
      <c r="Y106" s="95"/>
      <c r="Z106" s="93"/>
      <c r="AA106" s="94"/>
      <c r="AB106" s="18">
        <f t="shared" si="79"/>
        <v>0</v>
      </c>
      <c r="AC106" s="95"/>
      <c r="AD106" s="93"/>
      <c r="AE106" s="94"/>
      <c r="AF106" s="13">
        <f t="shared" si="80"/>
        <v>0</v>
      </c>
      <c r="AG106" s="95"/>
      <c r="AH106" s="93"/>
      <c r="AI106" s="94"/>
      <c r="AJ106" s="94">
        <f t="shared" si="81"/>
        <v>0</v>
      </c>
      <c r="AK106" s="95"/>
      <c r="AL106" s="93"/>
      <c r="AM106" s="94"/>
      <c r="AN106" s="94">
        <f t="shared" si="82"/>
        <v>0</v>
      </c>
      <c r="AO106" s="95"/>
      <c r="AP106" s="93"/>
      <c r="AQ106" s="94"/>
      <c r="AR106" s="94">
        <f t="shared" si="83"/>
        <v>0</v>
      </c>
      <c r="AS106" s="95"/>
    </row>
    <row r="107" spans="1:45" x14ac:dyDescent="0.25">
      <c r="A107" s="12"/>
      <c r="B107" s="94"/>
      <c r="C107" s="94"/>
      <c r="D107" s="94"/>
      <c r="E107" s="95"/>
      <c r="F107" s="94"/>
      <c r="G107" s="94"/>
      <c r="H107" s="13">
        <f t="shared" si="65"/>
        <v>0</v>
      </c>
      <c r="I107" s="93"/>
      <c r="J107" s="94"/>
      <c r="K107" s="55">
        <f t="shared" si="75"/>
        <v>0</v>
      </c>
      <c r="L107" s="93"/>
      <c r="M107" s="94"/>
      <c r="N107" s="193">
        <f t="shared" si="76"/>
        <v>0</v>
      </c>
      <c r="O107" s="214"/>
      <c r="P107" s="94"/>
      <c r="Q107" s="13">
        <f>+N107+O107</f>
        <v>0</v>
      </c>
      <c r="R107" s="93"/>
      <c r="S107" s="94"/>
      <c r="T107" s="13">
        <f t="shared" si="74"/>
        <v>0</v>
      </c>
      <c r="U107" s="95"/>
      <c r="V107" s="93"/>
      <c r="W107" s="94"/>
      <c r="X107" s="94"/>
      <c r="Y107" s="95"/>
      <c r="Z107" s="93"/>
      <c r="AA107" s="94"/>
      <c r="AB107" s="18"/>
      <c r="AC107" s="95"/>
      <c r="AD107" s="93"/>
      <c r="AE107" s="94"/>
      <c r="AF107" s="13"/>
      <c r="AG107" s="95"/>
      <c r="AH107" s="93"/>
      <c r="AI107" s="94"/>
      <c r="AJ107" s="94"/>
      <c r="AK107" s="95"/>
      <c r="AL107" s="93"/>
      <c r="AM107" s="94"/>
      <c r="AN107" s="94"/>
      <c r="AO107" s="95"/>
      <c r="AP107" s="93"/>
      <c r="AQ107" s="94"/>
      <c r="AR107" s="94"/>
      <c r="AS107" s="95"/>
    </row>
    <row r="108" spans="1:45" x14ac:dyDescent="0.25">
      <c r="A108" s="17" t="s">
        <v>46</v>
      </c>
      <c r="B108" s="18">
        <f>SUM(B109:B121)</f>
        <v>167272</v>
      </c>
      <c r="C108" s="18">
        <v>0</v>
      </c>
      <c r="D108" s="18">
        <f t="shared" si="52"/>
        <v>167272</v>
      </c>
      <c r="E108" s="19"/>
      <c r="F108" s="18">
        <f>F110+F111+F112+F113+F115+F116+F117+F118+F121+F114+F119+F120</f>
        <v>413809</v>
      </c>
      <c r="G108" s="18">
        <v>0</v>
      </c>
      <c r="H108" s="18">
        <f t="shared" si="65"/>
        <v>581081</v>
      </c>
      <c r="I108" s="20">
        <f>SUM(I110:I121)</f>
        <v>416990</v>
      </c>
      <c r="J108" s="18">
        <v>0</v>
      </c>
      <c r="K108" s="204">
        <f t="shared" si="75"/>
        <v>998071</v>
      </c>
      <c r="L108" s="20">
        <f>SUM(L109:L121)</f>
        <v>389400</v>
      </c>
      <c r="M108" s="18">
        <v>0</v>
      </c>
      <c r="N108" s="193">
        <f t="shared" si="76"/>
        <v>1387471</v>
      </c>
      <c r="O108" s="18">
        <f>SUM(O109:O121)</f>
        <v>161118</v>
      </c>
      <c r="P108" s="18">
        <v>0</v>
      </c>
      <c r="Q108" s="18">
        <f>+N108+O108</f>
        <v>1548589</v>
      </c>
      <c r="R108" s="20">
        <f>SUM(R109:R121)</f>
        <v>109538</v>
      </c>
      <c r="S108" s="18">
        <v>0</v>
      </c>
      <c r="T108" s="18">
        <f t="shared" si="74"/>
        <v>1658127</v>
      </c>
      <c r="U108" s="19"/>
      <c r="V108" s="20">
        <f>SUM(V109:V121)</f>
        <v>348564</v>
      </c>
      <c r="W108" s="18">
        <v>0</v>
      </c>
      <c r="X108" s="18">
        <f t="shared" ref="X108:X125" si="84">T108+V108</f>
        <v>2006691</v>
      </c>
      <c r="Y108" s="19"/>
      <c r="Z108" s="20">
        <f>SUM(Z109:Z121)</f>
        <v>182566</v>
      </c>
      <c r="AA108" s="18">
        <v>0</v>
      </c>
      <c r="AB108" s="18">
        <f t="shared" ref="AB108:AB125" si="85">X108+Z108</f>
        <v>2189257</v>
      </c>
      <c r="AC108" s="19"/>
      <c r="AD108" s="342">
        <f>SUM(AD109:AD121)</f>
        <v>452820</v>
      </c>
      <c r="AE108" s="18">
        <v>0</v>
      </c>
      <c r="AF108" s="18">
        <f t="shared" ref="AF108:AF125" si="86">AB108+AD108</f>
        <v>2642077</v>
      </c>
      <c r="AG108" s="19"/>
      <c r="AH108" s="20">
        <f>AH109+AH110+AH111+AH112+AH113+AH114+AH115+AH116+AH117+AH118+AH119++AH120+AH121</f>
        <v>338500</v>
      </c>
      <c r="AI108" s="18">
        <v>0</v>
      </c>
      <c r="AJ108" s="18">
        <f t="shared" ref="AJ108:AJ125" si="87">AF108+AH108</f>
        <v>2980577</v>
      </c>
      <c r="AK108" s="19"/>
      <c r="AL108" s="20">
        <f>SUM(AL109:AL121)</f>
        <v>645775</v>
      </c>
      <c r="AM108" s="18">
        <v>0</v>
      </c>
      <c r="AN108" s="18">
        <f t="shared" ref="AN108:AN125" si="88">AJ108+AL108</f>
        <v>3626352</v>
      </c>
      <c r="AO108" s="19"/>
      <c r="AP108" s="20">
        <f>SUM(AP109:AP121)</f>
        <v>995479</v>
      </c>
      <c r="AQ108" s="18">
        <v>0</v>
      </c>
      <c r="AR108" s="18">
        <f t="shared" ref="AR108:AR125" si="89">AN108+AP108</f>
        <v>4621831</v>
      </c>
      <c r="AS108" s="19"/>
    </row>
    <row r="109" spans="1:45" x14ac:dyDescent="0.25">
      <c r="A109" s="12" t="s">
        <v>56</v>
      </c>
      <c r="B109" s="13">
        <v>0</v>
      </c>
      <c r="C109" s="13">
        <v>0</v>
      </c>
      <c r="D109" s="13">
        <f t="shared" si="52"/>
        <v>0</v>
      </c>
      <c r="E109" s="14"/>
      <c r="F109" s="13">
        <v>0</v>
      </c>
      <c r="G109" s="13">
        <v>0</v>
      </c>
      <c r="H109" s="13">
        <f t="shared" si="65"/>
        <v>0</v>
      </c>
      <c r="I109" s="88">
        <v>0</v>
      </c>
      <c r="J109" s="13">
        <v>0</v>
      </c>
      <c r="K109" s="55">
        <f t="shared" si="75"/>
        <v>0</v>
      </c>
      <c r="L109" s="88">
        <v>0</v>
      </c>
      <c r="M109" s="13">
        <v>0</v>
      </c>
      <c r="N109" s="193">
        <f t="shared" si="76"/>
        <v>0</v>
      </c>
      <c r="O109" s="211">
        <v>0</v>
      </c>
      <c r="P109" s="13">
        <v>0</v>
      </c>
      <c r="Q109" s="13">
        <f t="shared" si="77"/>
        <v>0</v>
      </c>
      <c r="R109" s="88">
        <v>0</v>
      </c>
      <c r="S109" s="13">
        <v>0</v>
      </c>
      <c r="T109" s="13">
        <f t="shared" si="74"/>
        <v>0</v>
      </c>
      <c r="U109" s="14"/>
      <c r="V109" s="88">
        <v>0</v>
      </c>
      <c r="W109" s="13">
        <v>0</v>
      </c>
      <c r="X109" s="13">
        <f t="shared" si="84"/>
        <v>0</v>
      </c>
      <c r="Y109" s="14"/>
      <c r="Z109" s="88">
        <v>0</v>
      </c>
      <c r="AA109" s="13">
        <v>0</v>
      </c>
      <c r="AB109" s="18">
        <f t="shared" si="85"/>
        <v>0</v>
      </c>
      <c r="AC109" s="14"/>
      <c r="AD109" s="88">
        <v>0</v>
      </c>
      <c r="AE109" s="13">
        <v>0</v>
      </c>
      <c r="AF109" s="13">
        <f t="shared" si="86"/>
        <v>0</v>
      </c>
      <c r="AG109" s="14"/>
      <c r="AH109" s="88">
        <v>0</v>
      </c>
      <c r="AI109" s="13">
        <v>0</v>
      </c>
      <c r="AJ109" s="13">
        <f t="shared" si="87"/>
        <v>0</v>
      </c>
      <c r="AK109" s="14"/>
      <c r="AL109" s="88">
        <v>0</v>
      </c>
      <c r="AM109" s="13">
        <v>0</v>
      </c>
      <c r="AN109" s="13">
        <f t="shared" si="88"/>
        <v>0</v>
      </c>
      <c r="AO109" s="14"/>
      <c r="AP109" s="88">
        <v>0</v>
      </c>
      <c r="AQ109" s="13">
        <v>0</v>
      </c>
      <c r="AR109" s="13">
        <f t="shared" si="89"/>
        <v>0</v>
      </c>
      <c r="AS109" s="14"/>
    </row>
    <row r="110" spans="1:45" ht="21" customHeight="1" x14ac:dyDescent="0.25">
      <c r="A110" s="12" t="s">
        <v>47</v>
      </c>
      <c r="B110" s="13"/>
      <c r="C110" s="13">
        <v>0</v>
      </c>
      <c r="D110" s="13">
        <f t="shared" si="52"/>
        <v>0</v>
      </c>
      <c r="E110" s="14"/>
      <c r="F110" s="13">
        <v>0</v>
      </c>
      <c r="G110" s="13">
        <v>0</v>
      </c>
      <c r="H110" s="13">
        <f t="shared" si="65"/>
        <v>0</v>
      </c>
      <c r="I110" s="88">
        <v>0</v>
      </c>
      <c r="J110" s="13">
        <v>0</v>
      </c>
      <c r="K110" s="55">
        <f t="shared" si="75"/>
        <v>0</v>
      </c>
      <c r="L110" s="88"/>
      <c r="M110" s="13">
        <v>0</v>
      </c>
      <c r="N110" s="193">
        <f t="shared" si="76"/>
        <v>0</v>
      </c>
      <c r="O110" s="211"/>
      <c r="P110" s="13">
        <v>0</v>
      </c>
      <c r="Q110" s="13">
        <f t="shared" si="77"/>
        <v>0</v>
      </c>
      <c r="R110" s="88">
        <v>0</v>
      </c>
      <c r="S110" s="13">
        <v>0</v>
      </c>
      <c r="T110" s="13">
        <f t="shared" si="74"/>
        <v>0</v>
      </c>
      <c r="U110" s="14"/>
      <c r="V110" s="88">
        <v>0</v>
      </c>
      <c r="W110" s="13">
        <v>0</v>
      </c>
      <c r="X110" s="13">
        <f t="shared" si="84"/>
        <v>0</v>
      </c>
      <c r="Y110" s="14"/>
      <c r="Z110" s="88">
        <v>0</v>
      </c>
      <c r="AA110" s="13">
        <v>0</v>
      </c>
      <c r="AB110" s="18">
        <f t="shared" si="85"/>
        <v>0</v>
      </c>
      <c r="AC110" s="14"/>
      <c r="AD110" s="88">
        <v>0</v>
      </c>
      <c r="AE110" s="13">
        <v>0</v>
      </c>
      <c r="AF110" s="13">
        <f t="shared" si="86"/>
        <v>0</v>
      </c>
      <c r="AG110" s="14"/>
      <c r="AH110" s="88">
        <v>0</v>
      </c>
      <c r="AI110" s="13">
        <v>0</v>
      </c>
      <c r="AJ110" s="13">
        <f t="shared" si="87"/>
        <v>0</v>
      </c>
      <c r="AK110" s="14"/>
      <c r="AL110" s="88">
        <v>0</v>
      </c>
      <c r="AM110" s="13">
        <v>0</v>
      </c>
      <c r="AN110" s="13">
        <f t="shared" si="88"/>
        <v>0</v>
      </c>
      <c r="AO110" s="14"/>
      <c r="AP110" s="88">
        <v>0</v>
      </c>
      <c r="AQ110" s="13">
        <v>0</v>
      </c>
      <c r="AR110" s="13">
        <f t="shared" si="89"/>
        <v>0</v>
      </c>
      <c r="AS110" s="14"/>
    </row>
    <row r="111" spans="1:45" x14ac:dyDescent="0.25">
      <c r="A111" s="12" t="s">
        <v>48</v>
      </c>
      <c r="B111" s="13">
        <v>14500</v>
      </c>
      <c r="C111" s="13">
        <v>0</v>
      </c>
      <c r="D111" s="13">
        <f t="shared" si="52"/>
        <v>14500</v>
      </c>
      <c r="E111" s="14"/>
      <c r="F111" s="13">
        <v>85714</v>
      </c>
      <c r="G111" s="13">
        <v>0</v>
      </c>
      <c r="H111" s="13">
        <f t="shared" si="65"/>
        <v>100214</v>
      </c>
      <c r="I111" s="88"/>
      <c r="J111" s="13">
        <v>0</v>
      </c>
      <c r="K111" s="55">
        <f t="shared" si="75"/>
        <v>100214</v>
      </c>
      <c r="L111" s="88">
        <v>79900</v>
      </c>
      <c r="M111" s="13"/>
      <c r="N111" s="193">
        <f t="shared" si="76"/>
        <v>180114</v>
      </c>
      <c r="O111" s="211"/>
      <c r="P111" s="13"/>
      <c r="Q111" s="13">
        <f t="shared" si="77"/>
        <v>180114</v>
      </c>
      <c r="R111" s="88"/>
      <c r="S111" s="13"/>
      <c r="T111" s="13">
        <f t="shared" si="74"/>
        <v>180114</v>
      </c>
      <c r="U111" s="14"/>
      <c r="V111" s="88">
        <v>88352</v>
      </c>
      <c r="W111" s="13"/>
      <c r="X111" s="13">
        <f t="shared" si="84"/>
        <v>268466</v>
      </c>
      <c r="Y111" s="14"/>
      <c r="Z111" s="88"/>
      <c r="AA111" s="13"/>
      <c r="AB111" s="18">
        <f t="shared" si="85"/>
        <v>268466</v>
      </c>
      <c r="AC111" s="14"/>
      <c r="AD111" s="88">
        <v>63669</v>
      </c>
      <c r="AE111" s="13"/>
      <c r="AF111" s="13">
        <f t="shared" si="86"/>
        <v>332135</v>
      </c>
      <c r="AG111" s="14"/>
      <c r="AH111" s="88"/>
      <c r="AI111" s="13"/>
      <c r="AJ111" s="13">
        <f t="shared" si="87"/>
        <v>332135</v>
      </c>
      <c r="AK111" s="14"/>
      <c r="AL111" s="88"/>
      <c r="AM111" s="13"/>
      <c r="AN111" s="13">
        <f t="shared" si="88"/>
        <v>332135</v>
      </c>
      <c r="AO111" s="14"/>
      <c r="AP111" s="88">
        <v>27479</v>
      </c>
      <c r="AQ111" s="13"/>
      <c r="AR111" s="13">
        <f t="shared" si="89"/>
        <v>359614</v>
      </c>
      <c r="AS111" s="14"/>
    </row>
    <row r="112" spans="1:45" x14ac:dyDescent="0.25">
      <c r="A112" s="12" t="s">
        <v>49</v>
      </c>
      <c r="B112" s="13">
        <v>52772</v>
      </c>
      <c r="C112" s="13">
        <v>0</v>
      </c>
      <c r="D112" s="13">
        <f t="shared" si="52"/>
        <v>52772</v>
      </c>
      <c r="E112" s="14"/>
      <c r="F112" s="13"/>
      <c r="G112" s="13">
        <v>0</v>
      </c>
      <c r="H112" s="13">
        <f t="shared" si="65"/>
        <v>52772</v>
      </c>
      <c r="I112" s="88"/>
      <c r="J112" s="13">
        <v>0</v>
      </c>
      <c r="K112" s="55">
        <f t="shared" si="75"/>
        <v>52772</v>
      </c>
      <c r="L112" s="88">
        <v>95000</v>
      </c>
      <c r="M112" s="13"/>
      <c r="N112" s="193">
        <f t="shared" si="76"/>
        <v>147772</v>
      </c>
      <c r="O112" s="211">
        <v>60100</v>
      </c>
      <c r="P112" s="13"/>
      <c r="Q112" s="13">
        <f t="shared" si="77"/>
        <v>207872</v>
      </c>
      <c r="R112" s="88"/>
      <c r="S112" s="13"/>
      <c r="T112" s="13">
        <f t="shared" si="74"/>
        <v>207872</v>
      </c>
      <c r="U112" s="14"/>
      <c r="V112" s="88">
        <v>113050</v>
      </c>
      <c r="W112" s="13"/>
      <c r="X112" s="13">
        <f t="shared" si="84"/>
        <v>320922</v>
      </c>
      <c r="Y112" s="14"/>
      <c r="Z112" s="88"/>
      <c r="AA112" s="13"/>
      <c r="AB112" s="18">
        <f t="shared" si="85"/>
        <v>320922</v>
      </c>
      <c r="AC112" s="14"/>
      <c r="AD112" s="88">
        <v>39151</v>
      </c>
      <c r="AE112" s="13"/>
      <c r="AF112" s="13">
        <f t="shared" si="86"/>
        <v>360073</v>
      </c>
      <c r="AG112" s="14"/>
      <c r="AH112" s="88">
        <v>13500</v>
      </c>
      <c r="AI112" s="13"/>
      <c r="AJ112" s="13">
        <f t="shared" si="87"/>
        <v>373573</v>
      </c>
      <c r="AK112" s="14"/>
      <c r="AL112" s="88">
        <v>235000</v>
      </c>
      <c r="AM112" s="13"/>
      <c r="AN112" s="13">
        <f t="shared" si="88"/>
        <v>608573</v>
      </c>
      <c r="AO112" s="14"/>
      <c r="AP112" s="88">
        <v>258000</v>
      </c>
      <c r="AQ112" s="13"/>
      <c r="AR112" s="13">
        <f t="shared" si="89"/>
        <v>866573</v>
      </c>
      <c r="AS112" s="14"/>
    </row>
    <row r="113" spans="1:45" x14ac:dyDescent="0.25">
      <c r="A113" s="12" t="s">
        <v>50</v>
      </c>
      <c r="B113" s="13">
        <v>100000</v>
      </c>
      <c r="C113" s="13">
        <v>0</v>
      </c>
      <c r="D113" s="13">
        <f t="shared" si="52"/>
        <v>100000</v>
      </c>
      <c r="E113" s="14"/>
      <c r="F113" s="13">
        <v>302650</v>
      </c>
      <c r="G113" s="13">
        <v>0</v>
      </c>
      <c r="H113" s="13">
        <f t="shared" si="65"/>
        <v>402650</v>
      </c>
      <c r="I113" s="88">
        <v>274990</v>
      </c>
      <c r="J113" s="13"/>
      <c r="K113" s="55">
        <f t="shared" si="75"/>
        <v>677640</v>
      </c>
      <c r="L113" s="88">
        <v>192500</v>
      </c>
      <c r="M113" s="13"/>
      <c r="N113" s="193">
        <f t="shared" si="76"/>
        <v>870140</v>
      </c>
      <c r="O113" s="211"/>
      <c r="P113" s="13"/>
      <c r="Q113" s="13">
        <f t="shared" si="77"/>
        <v>870140</v>
      </c>
      <c r="R113" s="88">
        <v>100000</v>
      </c>
      <c r="S113" s="13"/>
      <c r="T113" s="13">
        <f t="shared" si="74"/>
        <v>970140</v>
      </c>
      <c r="U113" s="14"/>
      <c r="V113" s="88">
        <v>147162</v>
      </c>
      <c r="W113" s="13"/>
      <c r="X113" s="13">
        <f t="shared" si="84"/>
        <v>1117302</v>
      </c>
      <c r="Y113" s="14"/>
      <c r="Z113" s="88">
        <v>178028</v>
      </c>
      <c r="AA113" s="13"/>
      <c r="AB113" s="18">
        <f t="shared" si="85"/>
        <v>1295330</v>
      </c>
      <c r="AC113" s="14"/>
      <c r="AD113" s="88">
        <v>300000</v>
      </c>
      <c r="AE113" s="13"/>
      <c r="AF113" s="13">
        <f t="shared" si="86"/>
        <v>1595330</v>
      </c>
      <c r="AG113" s="14"/>
      <c r="AH113" s="88">
        <v>315000</v>
      </c>
      <c r="AI113" s="13"/>
      <c r="AJ113" s="13">
        <f t="shared" si="87"/>
        <v>1910330</v>
      </c>
      <c r="AK113" s="14"/>
      <c r="AL113" s="88">
        <v>372775</v>
      </c>
      <c r="AM113" s="13"/>
      <c r="AN113" s="13">
        <f t="shared" si="88"/>
        <v>2283105</v>
      </c>
      <c r="AO113" s="14"/>
      <c r="AP113" s="88">
        <v>200000</v>
      </c>
      <c r="AQ113" s="13"/>
      <c r="AR113" s="13">
        <f t="shared" si="89"/>
        <v>2483105</v>
      </c>
      <c r="AS113" s="14"/>
    </row>
    <row r="114" spans="1:45" x14ac:dyDescent="0.25">
      <c r="A114" s="12" t="s">
        <v>71</v>
      </c>
      <c r="B114" s="13"/>
      <c r="C114" s="13">
        <v>0</v>
      </c>
      <c r="D114" s="13">
        <f t="shared" si="52"/>
        <v>0</v>
      </c>
      <c r="E114" s="14"/>
      <c r="F114" s="13"/>
      <c r="G114" s="13">
        <v>0</v>
      </c>
      <c r="H114" s="13">
        <f t="shared" si="65"/>
        <v>0</v>
      </c>
      <c r="I114" s="88"/>
      <c r="J114" s="13">
        <v>0</v>
      </c>
      <c r="K114" s="55">
        <f t="shared" si="75"/>
        <v>0</v>
      </c>
      <c r="L114" s="88">
        <v>16000</v>
      </c>
      <c r="M114" s="13"/>
      <c r="N114" s="193">
        <f t="shared" si="76"/>
        <v>16000</v>
      </c>
      <c r="O114" s="211">
        <v>96312</v>
      </c>
      <c r="P114" s="13"/>
      <c r="Q114" s="13">
        <f t="shared" si="77"/>
        <v>112312</v>
      </c>
      <c r="R114" s="88"/>
      <c r="S114" s="13"/>
      <c r="T114" s="13">
        <f t="shared" si="74"/>
        <v>112312</v>
      </c>
      <c r="U114" s="14"/>
      <c r="V114" s="88"/>
      <c r="W114" s="13"/>
      <c r="X114" s="13">
        <f t="shared" si="84"/>
        <v>112312</v>
      </c>
      <c r="Y114" s="14"/>
      <c r="Z114" s="88"/>
      <c r="AA114" s="13"/>
      <c r="AB114" s="18">
        <f t="shared" si="85"/>
        <v>112312</v>
      </c>
      <c r="AC114" s="14"/>
      <c r="AD114" s="88"/>
      <c r="AE114" s="13"/>
      <c r="AF114" s="13">
        <f t="shared" si="86"/>
        <v>112312</v>
      </c>
      <c r="AG114" s="14"/>
      <c r="AH114" s="88"/>
      <c r="AI114" s="13"/>
      <c r="AJ114" s="13">
        <f t="shared" si="87"/>
        <v>112312</v>
      </c>
      <c r="AK114" s="14"/>
      <c r="AL114" s="88"/>
      <c r="AM114" s="13"/>
      <c r="AN114" s="13">
        <f t="shared" si="88"/>
        <v>112312</v>
      </c>
      <c r="AO114" s="14"/>
      <c r="AP114" s="88"/>
      <c r="AQ114" s="13"/>
      <c r="AR114" s="13">
        <f t="shared" si="89"/>
        <v>112312</v>
      </c>
      <c r="AS114" s="14"/>
    </row>
    <row r="115" spans="1:45" x14ac:dyDescent="0.25">
      <c r="A115" s="12" t="s">
        <v>51</v>
      </c>
      <c r="B115" s="13">
        <v>0</v>
      </c>
      <c r="C115" s="13">
        <v>0</v>
      </c>
      <c r="D115" s="13">
        <f t="shared" si="52"/>
        <v>0</v>
      </c>
      <c r="E115" s="14"/>
      <c r="F115" s="13">
        <v>11445</v>
      </c>
      <c r="G115" s="13">
        <v>0</v>
      </c>
      <c r="H115" s="13">
        <f t="shared" si="65"/>
        <v>11445</v>
      </c>
      <c r="I115" s="88"/>
      <c r="J115" s="13">
        <v>0</v>
      </c>
      <c r="K115" s="55">
        <f t="shared" si="75"/>
        <v>11445</v>
      </c>
      <c r="L115" s="88">
        <v>0</v>
      </c>
      <c r="M115" s="13"/>
      <c r="N115" s="193">
        <f t="shared" si="76"/>
        <v>11445</v>
      </c>
      <c r="O115" s="211"/>
      <c r="P115" s="13"/>
      <c r="Q115" s="13">
        <f t="shared" si="77"/>
        <v>11445</v>
      </c>
      <c r="R115" s="88">
        <v>0</v>
      </c>
      <c r="S115" s="13">
        <v>0</v>
      </c>
      <c r="T115" s="13">
        <f t="shared" si="74"/>
        <v>11445</v>
      </c>
      <c r="U115" s="14"/>
      <c r="V115" s="88">
        <v>0</v>
      </c>
      <c r="W115" s="13"/>
      <c r="X115" s="13">
        <f t="shared" si="84"/>
        <v>11445</v>
      </c>
      <c r="Y115" s="14"/>
      <c r="Z115" s="88">
        <v>0</v>
      </c>
      <c r="AA115" s="13">
        <v>0</v>
      </c>
      <c r="AB115" s="18">
        <f t="shared" si="85"/>
        <v>11445</v>
      </c>
      <c r="AC115" s="14"/>
      <c r="AD115" s="88"/>
      <c r="AE115" s="13">
        <v>0</v>
      </c>
      <c r="AF115" s="13">
        <f t="shared" si="86"/>
        <v>11445</v>
      </c>
      <c r="AG115" s="14"/>
      <c r="AH115" s="88"/>
      <c r="AI115" s="13">
        <v>0</v>
      </c>
      <c r="AJ115" s="13">
        <f t="shared" si="87"/>
        <v>11445</v>
      </c>
      <c r="AK115" s="14"/>
      <c r="AL115" s="88">
        <v>0</v>
      </c>
      <c r="AM115" s="13">
        <v>0</v>
      </c>
      <c r="AN115" s="13">
        <f t="shared" si="88"/>
        <v>11445</v>
      </c>
      <c r="AO115" s="14"/>
      <c r="AP115" s="88">
        <v>0</v>
      </c>
      <c r="AQ115" s="13">
        <v>0</v>
      </c>
      <c r="AR115" s="13">
        <f t="shared" si="89"/>
        <v>11445</v>
      </c>
      <c r="AS115" s="14"/>
    </row>
    <row r="116" spans="1:45" x14ac:dyDescent="0.25">
      <c r="A116" s="12" t="s">
        <v>52</v>
      </c>
      <c r="B116" s="13">
        <v>0</v>
      </c>
      <c r="C116" s="13">
        <v>0</v>
      </c>
      <c r="D116" s="13">
        <f t="shared" si="52"/>
        <v>0</v>
      </c>
      <c r="E116" s="14"/>
      <c r="F116" s="13">
        <v>0</v>
      </c>
      <c r="G116" s="13">
        <v>0</v>
      </c>
      <c r="H116" s="13">
        <f t="shared" si="65"/>
        <v>0</v>
      </c>
      <c r="I116" s="88"/>
      <c r="J116" s="13">
        <v>0</v>
      </c>
      <c r="K116" s="55">
        <f t="shared" si="75"/>
        <v>0</v>
      </c>
      <c r="L116" s="88">
        <v>0</v>
      </c>
      <c r="M116" s="13">
        <v>0</v>
      </c>
      <c r="N116" s="193">
        <f t="shared" si="76"/>
        <v>0</v>
      </c>
      <c r="O116" s="211"/>
      <c r="P116" s="13">
        <v>0</v>
      </c>
      <c r="Q116" s="13">
        <f t="shared" si="77"/>
        <v>0</v>
      </c>
      <c r="R116" s="88">
        <v>0</v>
      </c>
      <c r="S116" s="13">
        <v>0</v>
      </c>
      <c r="T116" s="13">
        <f t="shared" si="74"/>
        <v>0</v>
      </c>
      <c r="U116" s="14"/>
      <c r="V116" s="88">
        <v>0</v>
      </c>
      <c r="W116" s="13"/>
      <c r="X116" s="13">
        <f t="shared" si="84"/>
        <v>0</v>
      </c>
      <c r="Y116" s="14"/>
      <c r="Z116" s="88">
        <v>0</v>
      </c>
      <c r="AA116" s="13"/>
      <c r="AB116" s="18">
        <f t="shared" si="85"/>
        <v>0</v>
      </c>
      <c r="AC116" s="14"/>
      <c r="AD116" s="88">
        <v>10000</v>
      </c>
      <c r="AE116" s="13"/>
      <c r="AF116" s="13">
        <f t="shared" si="86"/>
        <v>10000</v>
      </c>
      <c r="AG116" s="14"/>
      <c r="AH116" s="88">
        <v>10000</v>
      </c>
      <c r="AI116" s="13"/>
      <c r="AJ116" s="13">
        <f t="shared" si="87"/>
        <v>20000</v>
      </c>
      <c r="AK116" s="14"/>
      <c r="AL116" s="88">
        <v>0</v>
      </c>
      <c r="AM116" s="13"/>
      <c r="AN116" s="13">
        <f t="shared" si="88"/>
        <v>20000</v>
      </c>
      <c r="AO116" s="14"/>
      <c r="AP116" s="88">
        <v>10000</v>
      </c>
      <c r="AQ116" s="13"/>
      <c r="AR116" s="13">
        <f t="shared" si="89"/>
        <v>30000</v>
      </c>
      <c r="AS116" s="14"/>
    </row>
    <row r="117" spans="1:45" x14ac:dyDescent="0.25">
      <c r="A117" s="12" t="s">
        <v>53</v>
      </c>
      <c r="B117" s="13">
        <v>0</v>
      </c>
      <c r="C117" s="13">
        <v>0</v>
      </c>
      <c r="D117" s="13">
        <f t="shared" si="52"/>
        <v>0</v>
      </c>
      <c r="E117" s="14"/>
      <c r="F117" s="13">
        <v>0</v>
      </c>
      <c r="G117" s="13">
        <v>0</v>
      </c>
      <c r="H117" s="13">
        <f t="shared" si="65"/>
        <v>0</v>
      </c>
      <c r="I117" s="88"/>
      <c r="J117" s="13">
        <v>0</v>
      </c>
      <c r="K117" s="55">
        <f t="shared" si="75"/>
        <v>0</v>
      </c>
      <c r="L117" s="88">
        <v>0</v>
      </c>
      <c r="M117" s="13">
        <v>0</v>
      </c>
      <c r="N117" s="193">
        <f t="shared" si="76"/>
        <v>0</v>
      </c>
      <c r="O117" s="211"/>
      <c r="P117" s="13">
        <v>0</v>
      </c>
      <c r="Q117" s="13">
        <f t="shared" si="77"/>
        <v>0</v>
      </c>
      <c r="R117" s="88">
        <v>0</v>
      </c>
      <c r="S117" s="13">
        <v>0</v>
      </c>
      <c r="T117" s="13">
        <f t="shared" si="74"/>
        <v>0</v>
      </c>
      <c r="U117" s="14"/>
      <c r="V117" s="88"/>
      <c r="W117" s="13"/>
      <c r="X117" s="13">
        <f t="shared" si="84"/>
        <v>0</v>
      </c>
      <c r="Y117" s="14"/>
      <c r="Z117" s="88">
        <v>0</v>
      </c>
      <c r="AA117" s="13"/>
      <c r="AB117" s="18">
        <f t="shared" si="85"/>
        <v>0</v>
      </c>
      <c r="AC117" s="14"/>
      <c r="AD117" s="88">
        <v>0</v>
      </c>
      <c r="AE117" s="13"/>
      <c r="AF117" s="13">
        <f t="shared" si="86"/>
        <v>0</v>
      </c>
      <c r="AG117" s="14"/>
      <c r="AH117" s="88">
        <v>0</v>
      </c>
      <c r="AI117" s="13"/>
      <c r="AJ117" s="13">
        <f t="shared" si="87"/>
        <v>0</v>
      </c>
      <c r="AK117" s="14"/>
      <c r="AL117" s="88">
        <v>0</v>
      </c>
      <c r="AM117" s="13"/>
      <c r="AN117" s="13">
        <f t="shared" si="88"/>
        <v>0</v>
      </c>
      <c r="AO117" s="14"/>
      <c r="AP117" s="88">
        <v>0</v>
      </c>
      <c r="AQ117" s="13"/>
      <c r="AR117" s="13">
        <f t="shared" si="89"/>
        <v>0</v>
      </c>
      <c r="AS117" s="14"/>
    </row>
    <row r="118" spans="1:45" x14ac:dyDescent="0.25">
      <c r="A118" s="12" t="s">
        <v>54</v>
      </c>
      <c r="B118" s="13"/>
      <c r="C118" s="13">
        <v>0</v>
      </c>
      <c r="D118" s="13">
        <f t="shared" si="52"/>
        <v>0</v>
      </c>
      <c r="E118" s="14"/>
      <c r="F118" s="13">
        <v>14000</v>
      </c>
      <c r="G118" s="13">
        <v>0</v>
      </c>
      <c r="H118" s="13">
        <f t="shared" si="65"/>
        <v>14000</v>
      </c>
      <c r="I118" s="88"/>
      <c r="J118" s="13">
        <v>0</v>
      </c>
      <c r="K118" s="55">
        <f t="shared" si="75"/>
        <v>14000</v>
      </c>
      <c r="L118" s="88">
        <v>6000</v>
      </c>
      <c r="M118" s="13"/>
      <c r="N118" s="193">
        <f t="shared" si="76"/>
        <v>20000</v>
      </c>
      <c r="O118" s="211">
        <v>4706</v>
      </c>
      <c r="P118" s="13"/>
      <c r="Q118" s="13">
        <f t="shared" si="77"/>
        <v>24706</v>
      </c>
      <c r="R118" s="88">
        <v>9538</v>
      </c>
      <c r="S118" s="13"/>
      <c r="T118" s="13">
        <f t="shared" si="74"/>
        <v>34244</v>
      </c>
      <c r="U118" s="14"/>
      <c r="V118" s="88"/>
      <c r="W118" s="13"/>
      <c r="X118" s="13">
        <f t="shared" si="84"/>
        <v>34244</v>
      </c>
      <c r="Y118" s="14"/>
      <c r="Z118" s="88">
        <v>4538</v>
      </c>
      <c r="AA118" s="13"/>
      <c r="AB118" s="18">
        <f t="shared" si="85"/>
        <v>38782</v>
      </c>
      <c r="AC118" s="14"/>
      <c r="AD118" s="88"/>
      <c r="AE118" s="13"/>
      <c r="AF118" s="13">
        <f t="shared" si="86"/>
        <v>38782</v>
      </c>
      <c r="AG118" s="14"/>
      <c r="AH118" s="88"/>
      <c r="AI118" s="13"/>
      <c r="AJ118" s="13">
        <f t="shared" si="87"/>
        <v>38782</v>
      </c>
      <c r="AK118" s="14"/>
      <c r="AL118" s="88"/>
      <c r="AM118" s="13"/>
      <c r="AN118" s="13">
        <f t="shared" si="88"/>
        <v>38782</v>
      </c>
      <c r="AO118" s="14"/>
      <c r="AP118" s="88"/>
      <c r="AQ118" s="13"/>
      <c r="AR118" s="13">
        <f t="shared" si="89"/>
        <v>38782</v>
      </c>
      <c r="AS118" s="14"/>
    </row>
    <row r="119" spans="1:45" x14ac:dyDescent="0.25">
      <c r="A119" s="12" t="s">
        <v>209</v>
      </c>
      <c r="B119" s="13"/>
      <c r="C119" s="13"/>
      <c r="D119" s="13">
        <f t="shared" si="52"/>
        <v>0</v>
      </c>
      <c r="E119" s="14"/>
      <c r="F119" s="13">
        <v>0</v>
      </c>
      <c r="G119" s="13"/>
      <c r="H119" s="13">
        <f t="shared" si="65"/>
        <v>0</v>
      </c>
      <c r="I119" s="88"/>
      <c r="J119" s="13"/>
      <c r="K119" s="55">
        <f t="shared" si="75"/>
        <v>0</v>
      </c>
      <c r="L119" s="88"/>
      <c r="M119" s="13"/>
      <c r="N119" s="193">
        <f t="shared" si="76"/>
        <v>0</v>
      </c>
      <c r="O119" s="211"/>
      <c r="P119" s="13"/>
      <c r="Q119" s="13">
        <f t="shared" si="77"/>
        <v>0</v>
      </c>
      <c r="R119" s="88"/>
      <c r="S119" s="13"/>
      <c r="T119" s="13">
        <f t="shared" si="74"/>
        <v>0</v>
      </c>
      <c r="U119" s="14"/>
      <c r="V119" s="88"/>
      <c r="W119" s="13"/>
      <c r="X119" s="13">
        <f t="shared" si="84"/>
        <v>0</v>
      </c>
      <c r="Y119" s="14"/>
      <c r="Z119" s="88"/>
      <c r="AA119" s="13"/>
      <c r="AB119" s="18">
        <f t="shared" si="85"/>
        <v>0</v>
      </c>
      <c r="AC119" s="14"/>
      <c r="AD119" s="88"/>
      <c r="AE119" s="13"/>
      <c r="AF119" s="13">
        <f t="shared" si="86"/>
        <v>0</v>
      </c>
      <c r="AG119" s="14"/>
      <c r="AH119" s="88"/>
      <c r="AI119" s="13"/>
      <c r="AJ119" s="13">
        <f t="shared" si="87"/>
        <v>0</v>
      </c>
      <c r="AK119" s="14"/>
      <c r="AL119" s="88"/>
      <c r="AM119" s="13"/>
      <c r="AN119" s="13">
        <f t="shared" si="88"/>
        <v>0</v>
      </c>
      <c r="AO119" s="14"/>
      <c r="AP119" s="88"/>
      <c r="AQ119" s="13"/>
      <c r="AR119" s="13">
        <f t="shared" si="89"/>
        <v>0</v>
      </c>
      <c r="AS119" s="14"/>
    </row>
    <row r="120" spans="1:45" x14ac:dyDescent="0.25">
      <c r="A120" s="12" t="s">
        <v>33</v>
      </c>
      <c r="B120" s="13"/>
      <c r="C120" s="13"/>
      <c r="D120" s="13"/>
      <c r="E120" s="14"/>
      <c r="F120" s="13"/>
      <c r="G120" s="13"/>
      <c r="H120" s="13">
        <f t="shared" si="65"/>
        <v>0</v>
      </c>
      <c r="I120" s="88">
        <v>142000</v>
      </c>
      <c r="J120" s="13"/>
      <c r="K120" s="55">
        <f t="shared" si="75"/>
        <v>142000</v>
      </c>
      <c r="L120" s="88"/>
      <c r="M120" s="13"/>
      <c r="N120" s="193">
        <f t="shared" si="76"/>
        <v>142000</v>
      </c>
      <c r="O120" s="211"/>
      <c r="P120" s="13"/>
      <c r="Q120" s="13">
        <f t="shared" si="77"/>
        <v>142000</v>
      </c>
      <c r="R120" s="88">
        <v>0</v>
      </c>
      <c r="S120" s="13"/>
      <c r="T120" s="13">
        <f t="shared" si="74"/>
        <v>142000</v>
      </c>
      <c r="U120" s="14"/>
      <c r="V120" s="88">
        <v>0</v>
      </c>
      <c r="W120" s="13"/>
      <c r="X120" s="13">
        <f t="shared" si="84"/>
        <v>142000</v>
      </c>
      <c r="Y120" s="14"/>
      <c r="Z120" s="88">
        <v>0</v>
      </c>
      <c r="AA120" s="13"/>
      <c r="AB120" s="18">
        <f t="shared" si="85"/>
        <v>142000</v>
      </c>
      <c r="AC120" s="14"/>
      <c r="AD120" s="88">
        <v>40000</v>
      </c>
      <c r="AE120" s="13"/>
      <c r="AF120" s="13">
        <f t="shared" si="86"/>
        <v>182000</v>
      </c>
      <c r="AG120" s="14"/>
      <c r="AH120" s="88">
        <v>0</v>
      </c>
      <c r="AI120" s="13"/>
      <c r="AJ120" s="13">
        <f t="shared" si="87"/>
        <v>182000</v>
      </c>
      <c r="AK120" s="14"/>
      <c r="AL120" s="88">
        <v>38000</v>
      </c>
      <c r="AM120" s="13"/>
      <c r="AN120" s="13">
        <f t="shared" si="88"/>
        <v>220000</v>
      </c>
      <c r="AO120" s="14"/>
      <c r="AP120" s="88">
        <v>500000</v>
      </c>
      <c r="AQ120" s="13"/>
      <c r="AR120" s="13">
        <f t="shared" si="89"/>
        <v>720000</v>
      </c>
      <c r="AS120" s="14"/>
    </row>
    <row r="121" spans="1:45" x14ac:dyDescent="0.25">
      <c r="A121" s="12" t="s">
        <v>220</v>
      </c>
      <c r="B121" s="13"/>
      <c r="C121" s="13">
        <v>0</v>
      </c>
      <c r="D121" s="13">
        <f t="shared" si="52"/>
        <v>0</v>
      </c>
      <c r="E121" s="14"/>
      <c r="F121" s="13">
        <v>0</v>
      </c>
      <c r="G121" s="13">
        <v>0</v>
      </c>
      <c r="H121" s="13">
        <f t="shared" si="65"/>
        <v>0</v>
      </c>
      <c r="I121" s="88"/>
      <c r="J121" s="13">
        <v>0</v>
      </c>
      <c r="K121" s="55">
        <f t="shared" si="75"/>
        <v>0</v>
      </c>
      <c r="L121" s="88">
        <v>0</v>
      </c>
      <c r="M121" s="13"/>
      <c r="N121" s="193">
        <f t="shared" si="76"/>
        <v>0</v>
      </c>
      <c r="O121" s="211">
        <v>0</v>
      </c>
      <c r="P121" s="13"/>
      <c r="Q121" s="13">
        <f t="shared" si="77"/>
        <v>0</v>
      </c>
      <c r="R121" s="88">
        <v>0</v>
      </c>
      <c r="S121" s="13"/>
      <c r="T121" s="13">
        <f t="shared" si="74"/>
        <v>0</v>
      </c>
      <c r="U121" s="14"/>
      <c r="V121" s="88">
        <v>0</v>
      </c>
      <c r="W121" s="13"/>
      <c r="X121" s="13">
        <f t="shared" si="84"/>
        <v>0</v>
      </c>
      <c r="Y121" s="14"/>
      <c r="Z121" s="88">
        <v>0</v>
      </c>
      <c r="AA121" s="13"/>
      <c r="AB121" s="18">
        <f t="shared" si="85"/>
        <v>0</v>
      </c>
      <c r="AC121" s="14"/>
      <c r="AD121" s="88"/>
      <c r="AE121" s="13"/>
      <c r="AF121" s="13">
        <f t="shared" si="86"/>
        <v>0</v>
      </c>
      <c r="AG121" s="14"/>
      <c r="AH121" s="88"/>
      <c r="AI121" s="13"/>
      <c r="AJ121" s="13">
        <f t="shared" si="87"/>
        <v>0</v>
      </c>
      <c r="AK121" s="14"/>
      <c r="AL121" s="88">
        <v>0</v>
      </c>
      <c r="AM121" s="13"/>
      <c r="AN121" s="13">
        <f t="shared" si="88"/>
        <v>0</v>
      </c>
      <c r="AO121" s="14"/>
      <c r="AP121" s="88">
        <v>0</v>
      </c>
      <c r="AQ121" s="13"/>
      <c r="AR121" s="13">
        <f t="shared" si="89"/>
        <v>0</v>
      </c>
      <c r="AS121" s="14"/>
    </row>
    <row r="122" spans="1:45" s="75" customFormat="1" x14ac:dyDescent="0.25">
      <c r="A122" s="124" t="s">
        <v>280</v>
      </c>
      <c r="B122" s="65"/>
      <c r="C122" s="65"/>
      <c r="D122" s="65">
        <f t="shared" si="52"/>
        <v>0</v>
      </c>
      <c r="E122" s="125"/>
      <c r="F122" s="65"/>
      <c r="G122" s="65"/>
      <c r="H122" s="65">
        <f t="shared" si="65"/>
        <v>0</v>
      </c>
      <c r="I122" s="198"/>
      <c r="J122" s="65"/>
      <c r="K122" s="199">
        <f t="shared" si="75"/>
        <v>0</v>
      </c>
      <c r="L122" s="198">
        <v>0</v>
      </c>
      <c r="M122" s="65"/>
      <c r="N122" s="203">
        <f t="shared" si="76"/>
        <v>0</v>
      </c>
      <c r="O122" s="211">
        <v>0</v>
      </c>
      <c r="P122" s="65"/>
      <c r="Q122" s="65">
        <f t="shared" si="77"/>
        <v>0</v>
      </c>
      <c r="R122" s="65">
        <v>0</v>
      </c>
      <c r="S122" s="65"/>
      <c r="T122" s="65">
        <f t="shared" si="74"/>
        <v>0</v>
      </c>
      <c r="U122" s="125"/>
      <c r="V122" s="65">
        <v>0</v>
      </c>
      <c r="W122" s="65"/>
      <c r="X122" s="65">
        <f t="shared" si="84"/>
        <v>0</v>
      </c>
      <c r="Y122" s="125"/>
      <c r="Z122" s="65">
        <v>0</v>
      </c>
      <c r="AA122" s="65"/>
      <c r="AB122" s="65">
        <f t="shared" si="85"/>
        <v>0</v>
      </c>
      <c r="AC122" s="125"/>
      <c r="AD122" s="65">
        <v>0</v>
      </c>
      <c r="AE122" s="65"/>
      <c r="AF122" s="65">
        <f t="shared" si="86"/>
        <v>0</v>
      </c>
      <c r="AG122" s="125"/>
      <c r="AH122" s="65">
        <v>0</v>
      </c>
      <c r="AI122" s="65"/>
      <c r="AJ122" s="65">
        <f t="shared" si="87"/>
        <v>0</v>
      </c>
      <c r="AK122" s="125"/>
      <c r="AL122" s="65">
        <v>0</v>
      </c>
      <c r="AM122" s="65"/>
      <c r="AN122" s="65">
        <f t="shared" si="88"/>
        <v>0</v>
      </c>
      <c r="AO122" s="125"/>
      <c r="AP122" s="65">
        <v>0</v>
      </c>
      <c r="AQ122" s="65"/>
      <c r="AR122" s="65">
        <f t="shared" si="89"/>
        <v>0</v>
      </c>
      <c r="AS122" s="125"/>
    </row>
    <row r="123" spans="1:45" x14ac:dyDescent="0.25">
      <c r="A123" s="12" t="s">
        <v>72</v>
      </c>
      <c r="B123" s="13">
        <f>+B124+B127+B130+B136+B142</f>
        <v>0</v>
      </c>
      <c r="C123" s="13">
        <v>0</v>
      </c>
      <c r="D123" s="13">
        <f t="shared" si="52"/>
        <v>0</v>
      </c>
      <c r="E123" s="14"/>
      <c r="F123" s="13">
        <f>+F124+F127+F130+F136+F142+F139</f>
        <v>0</v>
      </c>
      <c r="G123" s="13">
        <v>0</v>
      </c>
      <c r="H123" s="13">
        <f t="shared" si="65"/>
        <v>0</v>
      </c>
      <c r="I123" s="88">
        <f>+I124+I127+I130+I136+I142</f>
        <v>0</v>
      </c>
      <c r="J123" s="13">
        <v>0</v>
      </c>
      <c r="K123" s="55">
        <f t="shared" si="75"/>
        <v>0</v>
      </c>
      <c r="L123" s="88">
        <f>+L124+L127+L130+L136+L142+L133+L139</f>
        <v>0</v>
      </c>
      <c r="M123" s="13">
        <v>0</v>
      </c>
      <c r="N123" s="193">
        <f t="shared" si="76"/>
        <v>0</v>
      </c>
      <c r="O123" s="211">
        <f>+O124+O127+O130+O136+O142+O133+O139</f>
        <v>0</v>
      </c>
      <c r="P123" s="13">
        <v>0</v>
      </c>
      <c r="Q123" s="13">
        <f t="shared" si="77"/>
        <v>0</v>
      </c>
      <c r="R123" s="13">
        <f>+R124+R127+R130+R136+R142+R133+R139</f>
        <v>0</v>
      </c>
      <c r="S123" s="13">
        <v>0</v>
      </c>
      <c r="T123" s="13">
        <f t="shared" si="74"/>
        <v>0</v>
      </c>
      <c r="U123" s="14"/>
      <c r="V123" s="13">
        <f>+V124+V127+V130+V136+V142+V133+V139</f>
        <v>0</v>
      </c>
      <c r="W123" s="13">
        <v>0</v>
      </c>
      <c r="X123" s="13">
        <f t="shared" si="84"/>
        <v>0</v>
      </c>
      <c r="Y123" s="14"/>
      <c r="Z123" s="13">
        <f>+Z124+Z127+Z130+Z136+Z142+Z133+Z139</f>
        <v>0</v>
      </c>
      <c r="AA123" s="13">
        <v>0</v>
      </c>
      <c r="AB123" s="18">
        <f t="shared" si="85"/>
        <v>0</v>
      </c>
      <c r="AC123" s="14"/>
      <c r="AD123" s="341">
        <f>+AD124+AD127+AD130+AD136+AD142+AD133+AD139</f>
        <v>0</v>
      </c>
      <c r="AE123" s="13">
        <v>0</v>
      </c>
      <c r="AF123" s="13">
        <f t="shared" si="86"/>
        <v>0</v>
      </c>
      <c r="AG123" s="14"/>
      <c r="AH123" s="13">
        <f>+AH124+AH127+AH130+AH136+AH142+AH133+AH139</f>
        <v>0</v>
      </c>
      <c r="AI123" s="13">
        <v>0</v>
      </c>
      <c r="AJ123" s="13">
        <f t="shared" si="87"/>
        <v>0</v>
      </c>
      <c r="AK123" s="14"/>
      <c r="AL123" s="13">
        <f>+AL124+AL127+AL130+AL136+AL142+AL133+AL139</f>
        <v>0</v>
      </c>
      <c r="AM123" s="13">
        <v>0</v>
      </c>
      <c r="AN123" s="13">
        <f t="shared" si="88"/>
        <v>0</v>
      </c>
      <c r="AO123" s="14"/>
      <c r="AP123" s="13">
        <f>+AP124+AP127+AP130+AP136+AP142+AP133+AP139</f>
        <v>0</v>
      </c>
      <c r="AQ123" s="13">
        <v>0</v>
      </c>
      <c r="AR123" s="13">
        <f t="shared" si="89"/>
        <v>0</v>
      </c>
      <c r="AS123" s="14"/>
    </row>
    <row r="124" spans="1:45" x14ac:dyDescent="0.25">
      <c r="A124" s="12" t="s">
        <v>28</v>
      </c>
      <c r="B124" s="13">
        <v>0</v>
      </c>
      <c r="C124" s="13">
        <v>0</v>
      </c>
      <c r="D124" s="13">
        <f t="shared" si="52"/>
        <v>0</v>
      </c>
      <c r="E124" s="14"/>
      <c r="F124" s="13">
        <f>+F125</f>
        <v>0</v>
      </c>
      <c r="G124" s="13">
        <v>0</v>
      </c>
      <c r="H124" s="13">
        <f t="shared" si="65"/>
        <v>0</v>
      </c>
      <c r="I124" s="88">
        <v>0</v>
      </c>
      <c r="J124" s="13">
        <v>0</v>
      </c>
      <c r="K124" s="55">
        <f t="shared" si="75"/>
        <v>0</v>
      </c>
      <c r="L124" s="88">
        <v>0</v>
      </c>
      <c r="M124" s="13">
        <v>0</v>
      </c>
      <c r="N124" s="193">
        <f t="shared" si="76"/>
        <v>0</v>
      </c>
      <c r="O124" s="211">
        <v>0</v>
      </c>
      <c r="P124" s="13">
        <v>0</v>
      </c>
      <c r="Q124" s="13">
        <f t="shared" si="77"/>
        <v>0</v>
      </c>
      <c r="R124" s="13">
        <v>0</v>
      </c>
      <c r="S124" s="13">
        <v>0</v>
      </c>
      <c r="T124" s="13">
        <f t="shared" si="74"/>
        <v>0</v>
      </c>
      <c r="U124" s="14"/>
      <c r="V124" s="13">
        <v>0</v>
      </c>
      <c r="W124" s="13">
        <v>0</v>
      </c>
      <c r="X124" s="13">
        <f t="shared" si="84"/>
        <v>0</v>
      </c>
      <c r="Y124" s="14"/>
      <c r="Z124" s="13">
        <v>0</v>
      </c>
      <c r="AA124" s="13">
        <v>0</v>
      </c>
      <c r="AB124" s="18">
        <f t="shared" si="85"/>
        <v>0</v>
      </c>
      <c r="AC124" s="14"/>
      <c r="AD124" s="13">
        <v>0</v>
      </c>
      <c r="AE124" s="13">
        <v>0</v>
      </c>
      <c r="AF124" s="13">
        <f t="shared" si="86"/>
        <v>0</v>
      </c>
      <c r="AG124" s="14"/>
      <c r="AH124" s="13">
        <v>0</v>
      </c>
      <c r="AI124" s="13">
        <v>0</v>
      </c>
      <c r="AJ124" s="13">
        <f t="shared" si="87"/>
        <v>0</v>
      </c>
      <c r="AK124" s="14"/>
      <c r="AL124" s="13">
        <v>0</v>
      </c>
      <c r="AM124" s="13">
        <v>0</v>
      </c>
      <c r="AN124" s="13">
        <f t="shared" si="88"/>
        <v>0</v>
      </c>
      <c r="AO124" s="14"/>
      <c r="AP124" s="13">
        <v>0</v>
      </c>
      <c r="AQ124" s="13">
        <v>0</v>
      </c>
      <c r="AR124" s="13">
        <f t="shared" si="89"/>
        <v>0</v>
      </c>
      <c r="AS124" s="14"/>
    </row>
    <row r="125" spans="1:45" x14ac:dyDescent="0.25">
      <c r="A125" s="12" t="s">
        <v>33</v>
      </c>
      <c r="B125" s="13">
        <v>0</v>
      </c>
      <c r="C125" s="13">
        <v>0</v>
      </c>
      <c r="D125" s="13">
        <f t="shared" si="52"/>
        <v>0</v>
      </c>
      <c r="E125" s="14"/>
      <c r="F125" s="13">
        <v>0</v>
      </c>
      <c r="G125" s="13">
        <v>0</v>
      </c>
      <c r="H125" s="13">
        <f t="shared" si="65"/>
        <v>0</v>
      </c>
      <c r="I125" s="88">
        <v>0</v>
      </c>
      <c r="J125" s="13">
        <v>0</v>
      </c>
      <c r="K125" s="55">
        <f t="shared" si="75"/>
        <v>0</v>
      </c>
      <c r="L125" s="88">
        <v>0</v>
      </c>
      <c r="M125" s="13">
        <v>0</v>
      </c>
      <c r="N125" s="193">
        <f t="shared" si="76"/>
        <v>0</v>
      </c>
      <c r="O125" s="211">
        <v>0</v>
      </c>
      <c r="P125" s="13">
        <v>0</v>
      </c>
      <c r="Q125" s="13">
        <f t="shared" si="77"/>
        <v>0</v>
      </c>
      <c r="R125" s="13">
        <v>0</v>
      </c>
      <c r="S125" s="13">
        <v>0</v>
      </c>
      <c r="T125" s="13">
        <f t="shared" si="74"/>
        <v>0</v>
      </c>
      <c r="U125" s="14"/>
      <c r="V125" s="13">
        <v>0</v>
      </c>
      <c r="W125" s="13">
        <v>0</v>
      </c>
      <c r="X125" s="13">
        <f t="shared" si="84"/>
        <v>0</v>
      </c>
      <c r="Y125" s="14"/>
      <c r="Z125" s="13">
        <v>0</v>
      </c>
      <c r="AA125" s="13">
        <v>0</v>
      </c>
      <c r="AB125" s="18">
        <f t="shared" si="85"/>
        <v>0</v>
      </c>
      <c r="AC125" s="14"/>
      <c r="AD125" s="13">
        <v>0</v>
      </c>
      <c r="AE125" s="13">
        <v>0</v>
      </c>
      <c r="AF125" s="13">
        <f t="shared" si="86"/>
        <v>0</v>
      </c>
      <c r="AG125" s="14"/>
      <c r="AH125" s="13">
        <v>0</v>
      </c>
      <c r="AI125" s="13">
        <v>0</v>
      </c>
      <c r="AJ125" s="13">
        <f t="shared" si="87"/>
        <v>0</v>
      </c>
      <c r="AK125" s="14"/>
      <c r="AL125" s="13">
        <v>0</v>
      </c>
      <c r="AM125" s="13">
        <v>0</v>
      </c>
      <c r="AN125" s="13">
        <f t="shared" si="88"/>
        <v>0</v>
      </c>
      <c r="AO125" s="14"/>
      <c r="AP125" s="13">
        <v>0</v>
      </c>
      <c r="AQ125" s="13">
        <v>0</v>
      </c>
      <c r="AR125" s="13">
        <f t="shared" si="89"/>
        <v>0</v>
      </c>
      <c r="AS125" s="14"/>
    </row>
    <row r="126" spans="1:45" x14ac:dyDescent="0.25">
      <c r="A126" s="12"/>
      <c r="B126" s="13"/>
      <c r="C126" s="13"/>
      <c r="D126" s="13">
        <f t="shared" si="52"/>
        <v>0</v>
      </c>
      <c r="E126" s="14"/>
      <c r="F126" s="13"/>
      <c r="G126" s="13"/>
      <c r="H126" s="13">
        <f t="shared" si="65"/>
        <v>0</v>
      </c>
      <c r="I126" s="88"/>
      <c r="J126" s="13"/>
      <c r="K126" s="55">
        <f t="shared" si="75"/>
        <v>0</v>
      </c>
      <c r="L126" s="88"/>
      <c r="M126" s="13"/>
      <c r="N126" s="193">
        <f t="shared" si="76"/>
        <v>0</v>
      </c>
      <c r="O126" s="211"/>
      <c r="P126" s="13"/>
      <c r="Q126" s="13">
        <f t="shared" si="77"/>
        <v>0</v>
      </c>
      <c r="R126" s="13"/>
      <c r="S126" s="13"/>
      <c r="T126" s="13">
        <f t="shared" si="74"/>
        <v>0</v>
      </c>
      <c r="U126" s="14"/>
      <c r="V126" s="13"/>
      <c r="W126" s="13"/>
      <c r="X126" s="13"/>
      <c r="Y126" s="14"/>
      <c r="Z126" s="13"/>
      <c r="AA126" s="13"/>
      <c r="AB126" s="18"/>
      <c r="AC126" s="14"/>
      <c r="AD126" s="13"/>
      <c r="AE126" s="13"/>
      <c r="AF126" s="13"/>
      <c r="AG126" s="14"/>
      <c r="AH126" s="13"/>
      <c r="AI126" s="13"/>
      <c r="AJ126" s="13"/>
      <c r="AK126" s="14"/>
      <c r="AL126" s="13"/>
      <c r="AM126" s="13"/>
      <c r="AN126" s="13"/>
      <c r="AO126" s="14"/>
      <c r="AP126" s="13"/>
      <c r="AQ126" s="13"/>
      <c r="AR126" s="13"/>
      <c r="AS126" s="14"/>
    </row>
    <row r="127" spans="1:45" x14ac:dyDescent="0.25">
      <c r="A127" s="12" t="s">
        <v>30</v>
      </c>
      <c r="B127" s="13">
        <v>0</v>
      </c>
      <c r="C127" s="13">
        <v>0</v>
      </c>
      <c r="D127" s="13">
        <f t="shared" si="52"/>
        <v>0</v>
      </c>
      <c r="E127" s="14"/>
      <c r="F127" s="13">
        <f>+F128</f>
        <v>0</v>
      </c>
      <c r="G127" s="13">
        <v>0</v>
      </c>
      <c r="H127" s="13">
        <f t="shared" si="65"/>
        <v>0</v>
      </c>
      <c r="I127" s="88">
        <f>+I128</f>
        <v>0</v>
      </c>
      <c r="J127" s="13">
        <v>0</v>
      </c>
      <c r="K127" s="55">
        <f t="shared" si="75"/>
        <v>0</v>
      </c>
      <c r="L127" s="88">
        <f>+L128</f>
        <v>0</v>
      </c>
      <c r="M127" s="13">
        <v>0</v>
      </c>
      <c r="N127" s="193">
        <f t="shared" si="76"/>
        <v>0</v>
      </c>
      <c r="O127" s="211">
        <f>+O128</f>
        <v>0</v>
      </c>
      <c r="P127" s="13">
        <v>0</v>
      </c>
      <c r="Q127" s="13">
        <f t="shared" si="77"/>
        <v>0</v>
      </c>
      <c r="R127" s="13">
        <f>+R128</f>
        <v>0</v>
      </c>
      <c r="S127" s="13">
        <v>0</v>
      </c>
      <c r="T127" s="13">
        <f t="shared" si="74"/>
        <v>0</v>
      </c>
      <c r="U127" s="14"/>
      <c r="V127" s="13">
        <f>+V128</f>
        <v>0</v>
      </c>
      <c r="W127" s="13">
        <v>0</v>
      </c>
      <c r="X127" s="13">
        <f>T127+V127</f>
        <v>0</v>
      </c>
      <c r="Y127" s="14"/>
      <c r="Z127" s="13">
        <f>+Z128</f>
        <v>0</v>
      </c>
      <c r="AA127" s="13">
        <v>0</v>
      </c>
      <c r="AB127" s="18">
        <f>X127+Z127</f>
        <v>0</v>
      </c>
      <c r="AC127" s="14"/>
      <c r="AD127" s="13">
        <f>+AD128</f>
        <v>0</v>
      </c>
      <c r="AE127" s="13">
        <v>0</v>
      </c>
      <c r="AF127" s="13">
        <f>AB127+AD127</f>
        <v>0</v>
      </c>
      <c r="AG127" s="14"/>
      <c r="AH127" s="13">
        <f>+AH128</f>
        <v>0</v>
      </c>
      <c r="AI127" s="13">
        <v>0</v>
      </c>
      <c r="AJ127" s="13">
        <f>AF127+AH127</f>
        <v>0</v>
      </c>
      <c r="AK127" s="14"/>
      <c r="AL127" s="13">
        <f>+AL128</f>
        <v>0</v>
      </c>
      <c r="AM127" s="13">
        <v>0</v>
      </c>
      <c r="AN127" s="13">
        <f>AJ127+AL127</f>
        <v>0</v>
      </c>
      <c r="AO127" s="14"/>
      <c r="AP127" s="13">
        <f>+AP128</f>
        <v>0</v>
      </c>
      <c r="AQ127" s="13">
        <v>0</v>
      </c>
      <c r="AR127" s="13">
        <f>AN127+AP127</f>
        <v>0</v>
      </c>
      <c r="AS127" s="14"/>
    </row>
    <row r="128" spans="1:45" x14ac:dyDescent="0.25">
      <c r="A128" s="12" t="s">
        <v>42</v>
      </c>
      <c r="B128" s="13">
        <v>0</v>
      </c>
      <c r="C128" s="13">
        <v>0</v>
      </c>
      <c r="D128" s="13">
        <f t="shared" si="52"/>
        <v>0</v>
      </c>
      <c r="E128" s="14"/>
      <c r="F128" s="13"/>
      <c r="G128" s="13">
        <v>0</v>
      </c>
      <c r="H128" s="13">
        <f t="shared" si="65"/>
        <v>0</v>
      </c>
      <c r="I128" s="88">
        <v>0</v>
      </c>
      <c r="J128" s="13">
        <v>0</v>
      </c>
      <c r="K128" s="55">
        <f t="shared" si="75"/>
        <v>0</v>
      </c>
      <c r="L128" s="88">
        <v>0</v>
      </c>
      <c r="M128" s="13">
        <v>0</v>
      </c>
      <c r="N128" s="193">
        <f t="shared" si="76"/>
        <v>0</v>
      </c>
      <c r="O128" s="211">
        <v>0</v>
      </c>
      <c r="P128" s="13">
        <v>0</v>
      </c>
      <c r="Q128" s="13">
        <f t="shared" si="77"/>
        <v>0</v>
      </c>
      <c r="R128" s="13">
        <v>0</v>
      </c>
      <c r="S128" s="13">
        <v>0</v>
      </c>
      <c r="T128" s="13">
        <f t="shared" si="74"/>
        <v>0</v>
      </c>
      <c r="U128" s="14"/>
      <c r="V128" s="13">
        <v>0</v>
      </c>
      <c r="W128" s="13">
        <v>0</v>
      </c>
      <c r="X128" s="13">
        <f t="shared" ref="X128:X132" si="90">T128+V128</f>
        <v>0</v>
      </c>
      <c r="Y128" s="14"/>
      <c r="Z128" s="13">
        <v>0</v>
      </c>
      <c r="AA128" s="13">
        <v>0</v>
      </c>
      <c r="AB128" s="18">
        <f t="shared" ref="AB128:AB132" si="91">X128+Z128</f>
        <v>0</v>
      </c>
      <c r="AC128" s="14"/>
      <c r="AD128" s="13">
        <v>0</v>
      </c>
      <c r="AE128" s="13">
        <v>0</v>
      </c>
      <c r="AF128" s="13">
        <f t="shared" ref="AF128:AF132" si="92">AB128+AD128</f>
        <v>0</v>
      </c>
      <c r="AG128" s="14"/>
      <c r="AH128" s="13">
        <v>0</v>
      </c>
      <c r="AI128" s="13">
        <v>0</v>
      </c>
      <c r="AJ128" s="13">
        <f t="shared" ref="AJ128:AJ132" si="93">AF128+AH128</f>
        <v>0</v>
      </c>
      <c r="AK128" s="14"/>
      <c r="AL128" s="13">
        <v>0</v>
      </c>
      <c r="AM128" s="13">
        <v>0</v>
      </c>
      <c r="AN128" s="13">
        <f t="shared" ref="AN128:AN132" si="94">AJ128+AL128</f>
        <v>0</v>
      </c>
      <c r="AO128" s="14"/>
      <c r="AP128" s="13">
        <v>0</v>
      </c>
      <c r="AQ128" s="13">
        <v>0</v>
      </c>
      <c r="AR128" s="13">
        <f t="shared" ref="AR128:AR132" si="95">AN128+AP128</f>
        <v>0</v>
      </c>
      <c r="AS128" s="14"/>
    </row>
    <row r="129" spans="1:45" x14ac:dyDescent="0.25">
      <c r="A129" s="12"/>
      <c r="B129" s="13"/>
      <c r="C129" s="13"/>
      <c r="D129" s="13">
        <f t="shared" si="52"/>
        <v>0</v>
      </c>
      <c r="E129" s="14"/>
      <c r="F129" s="13"/>
      <c r="G129" s="13"/>
      <c r="H129" s="13">
        <f t="shared" si="65"/>
        <v>0</v>
      </c>
      <c r="I129" s="88"/>
      <c r="J129" s="13"/>
      <c r="K129" s="55">
        <f t="shared" si="75"/>
        <v>0</v>
      </c>
      <c r="L129" s="88"/>
      <c r="M129" s="13"/>
      <c r="N129" s="193">
        <f t="shared" si="76"/>
        <v>0</v>
      </c>
      <c r="O129" s="211"/>
      <c r="P129" s="13"/>
      <c r="Q129" s="13">
        <f t="shared" si="77"/>
        <v>0</v>
      </c>
      <c r="R129" s="13"/>
      <c r="S129" s="13"/>
      <c r="T129" s="13">
        <f t="shared" si="74"/>
        <v>0</v>
      </c>
      <c r="U129" s="14"/>
      <c r="V129" s="13"/>
      <c r="W129" s="13"/>
      <c r="X129" s="13">
        <f t="shared" si="90"/>
        <v>0</v>
      </c>
      <c r="Y129" s="14"/>
      <c r="Z129" s="13"/>
      <c r="AA129" s="13"/>
      <c r="AB129" s="18">
        <f t="shared" si="91"/>
        <v>0</v>
      </c>
      <c r="AC129" s="14"/>
      <c r="AD129" s="13"/>
      <c r="AE129" s="13"/>
      <c r="AF129" s="13">
        <f t="shared" si="92"/>
        <v>0</v>
      </c>
      <c r="AG129" s="14"/>
      <c r="AH129" s="13"/>
      <c r="AI129" s="13"/>
      <c r="AJ129" s="13">
        <f t="shared" si="93"/>
        <v>0</v>
      </c>
      <c r="AK129" s="14"/>
      <c r="AL129" s="13"/>
      <c r="AM129" s="13"/>
      <c r="AN129" s="13">
        <f t="shared" si="94"/>
        <v>0</v>
      </c>
      <c r="AO129" s="14"/>
      <c r="AP129" s="13"/>
      <c r="AQ129" s="13"/>
      <c r="AR129" s="13">
        <f t="shared" si="95"/>
        <v>0</v>
      </c>
      <c r="AS129" s="14"/>
    </row>
    <row r="130" spans="1:45" x14ac:dyDescent="0.25">
      <c r="A130" s="12" t="s">
        <v>32</v>
      </c>
      <c r="B130" s="13">
        <f>+B131</f>
        <v>0</v>
      </c>
      <c r="C130" s="13">
        <v>0</v>
      </c>
      <c r="D130" s="13">
        <f t="shared" si="52"/>
        <v>0</v>
      </c>
      <c r="E130" s="14"/>
      <c r="F130" s="13">
        <f>+F131</f>
        <v>0</v>
      </c>
      <c r="G130" s="13">
        <v>0</v>
      </c>
      <c r="H130" s="13">
        <f t="shared" si="65"/>
        <v>0</v>
      </c>
      <c r="I130" s="88">
        <f>I131</f>
        <v>0</v>
      </c>
      <c r="J130" s="13">
        <v>0</v>
      </c>
      <c r="K130" s="55">
        <f t="shared" si="75"/>
        <v>0</v>
      </c>
      <c r="L130" s="88">
        <f>L131</f>
        <v>0</v>
      </c>
      <c r="M130" s="13">
        <v>0</v>
      </c>
      <c r="N130" s="193">
        <f t="shared" si="76"/>
        <v>0</v>
      </c>
      <c r="O130" s="211">
        <f>O131</f>
        <v>0</v>
      </c>
      <c r="P130" s="13">
        <v>0</v>
      </c>
      <c r="Q130" s="13">
        <f t="shared" si="77"/>
        <v>0</v>
      </c>
      <c r="R130" s="88">
        <f>R131</f>
        <v>0</v>
      </c>
      <c r="S130" s="13">
        <v>0</v>
      </c>
      <c r="T130" s="13">
        <f t="shared" si="74"/>
        <v>0</v>
      </c>
      <c r="U130" s="14"/>
      <c r="V130" s="88">
        <f>V131</f>
        <v>0</v>
      </c>
      <c r="W130" s="13">
        <v>0</v>
      </c>
      <c r="X130" s="13">
        <f t="shared" si="90"/>
        <v>0</v>
      </c>
      <c r="Y130" s="14"/>
      <c r="Z130" s="88">
        <f>Z131</f>
        <v>0</v>
      </c>
      <c r="AA130" s="13">
        <v>0</v>
      </c>
      <c r="AB130" s="18">
        <f t="shared" si="91"/>
        <v>0</v>
      </c>
      <c r="AC130" s="14"/>
      <c r="AD130" s="88">
        <f>AD131</f>
        <v>0</v>
      </c>
      <c r="AE130" s="13">
        <v>0</v>
      </c>
      <c r="AF130" s="13">
        <f t="shared" si="92"/>
        <v>0</v>
      </c>
      <c r="AG130" s="14"/>
      <c r="AH130" s="88">
        <f>AH131</f>
        <v>0</v>
      </c>
      <c r="AI130" s="13">
        <v>0</v>
      </c>
      <c r="AJ130" s="13">
        <f t="shared" si="93"/>
        <v>0</v>
      </c>
      <c r="AK130" s="14"/>
      <c r="AL130" s="88">
        <f>AL131</f>
        <v>0</v>
      </c>
      <c r="AM130" s="13">
        <v>0</v>
      </c>
      <c r="AN130" s="13">
        <f t="shared" si="94"/>
        <v>0</v>
      </c>
      <c r="AO130" s="14"/>
      <c r="AP130" s="88">
        <f>AP131</f>
        <v>0</v>
      </c>
      <c r="AQ130" s="13">
        <v>0</v>
      </c>
      <c r="AR130" s="13">
        <f t="shared" si="95"/>
        <v>0</v>
      </c>
      <c r="AS130" s="14"/>
    </row>
    <row r="131" spans="1:45" x14ac:dyDescent="0.25">
      <c r="A131" s="12" t="s">
        <v>33</v>
      </c>
      <c r="B131" s="13"/>
      <c r="C131" s="13">
        <f>+C130</f>
        <v>0</v>
      </c>
      <c r="D131" s="13">
        <f t="shared" si="52"/>
        <v>0</v>
      </c>
      <c r="E131" s="14"/>
      <c r="F131" s="13"/>
      <c r="G131" s="13">
        <v>0</v>
      </c>
      <c r="H131" s="13">
        <f t="shared" si="65"/>
        <v>0</v>
      </c>
      <c r="I131" s="88"/>
      <c r="J131" s="13">
        <v>0</v>
      </c>
      <c r="K131" s="55">
        <f t="shared" si="75"/>
        <v>0</v>
      </c>
      <c r="L131" s="88"/>
      <c r="M131" s="13">
        <v>0</v>
      </c>
      <c r="N131" s="193">
        <f t="shared" si="76"/>
        <v>0</v>
      </c>
      <c r="O131" s="211"/>
      <c r="P131" s="13">
        <v>0</v>
      </c>
      <c r="Q131" s="13">
        <f t="shared" si="77"/>
        <v>0</v>
      </c>
      <c r="R131" s="88"/>
      <c r="S131" s="13">
        <v>0</v>
      </c>
      <c r="T131" s="13">
        <f t="shared" si="74"/>
        <v>0</v>
      </c>
      <c r="U131" s="14"/>
      <c r="V131" s="88"/>
      <c r="W131" s="13">
        <v>0</v>
      </c>
      <c r="X131" s="13">
        <f t="shared" si="90"/>
        <v>0</v>
      </c>
      <c r="Y131" s="14"/>
      <c r="Z131" s="88"/>
      <c r="AA131" s="13">
        <v>0</v>
      </c>
      <c r="AB131" s="18">
        <f t="shared" si="91"/>
        <v>0</v>
      </c>
      <c r="AC131" s="14"/>
      <c r="AD131" s="88"/>
      <c r="AE131" s="13">
        <v>0</v>
      </c>
      <c r="AF131" s="13">
        <f t="shared" si="92"/>
        <v>0</v>
      </c>
      <c r="AG131" s="14"/>
      <c r="AH131" s="88"/>
      <c r="AI131" s="13">
        <v>0</v>
      </c>
      <c r="AJ131" s="13">
        <f t="shared" si="93"/>
        <v>0</v>
      </c>
      <c r="AK131" s="14"/>
      <c r="AL131" s="88"/>
      <c r="AM131" s="13">
        <v>0</v>
      </c>
      <c r="AN131" s="13">
        <f t="shared" si="94"/>
        <v>0</v>
      </c>
      <c r="AO131" s="14"/>
      <c r="AP131" s="88"/>
      <c r="AQ131" s="13">
        <v>0</v>
      </c>
      <c r="AR131" s="13">
        <f t="shared" si="95"/>
        <v>0</v>
      </c>
      <c r="AS131" s="14"/>
    </row>
    <row r="132" spans="1:45" x14ac:dyDescent="0.25">
      <c r="A132" s="12"/>
      <c r="B132" s="13"/>
      <c r="C132" s="13"/>
      <c r="D132" s="13">
        <f t="shared" si="52"/>
        <v>0</v>
      </c>
      <c r="E132" s="14"/>
      <c r="F132" s="13"/>
      <c r="G132" s="13"/>
      <c r="H132" s="13">
        <f t="shared" si="65"/>
        <v>0</v>
      </c>
      <c r="I132" s="88"/>
      <c r="J132" s="13"/>
      <c r="K132" s="55">
        <f t="shared" si="75"/>
        <v>0</v>
      </c>
      <c r="L132" s="88"/>
      <c r="M132" s="13"/>
      <c r="N132" s="193">
        <f t="shared" si="76"/>
        <v>0</v>
      </c>
      <c r="O132" s="211"/>
      <c r="P132" s="13"/>
      <c r="Q132" s="13">
        <f t="shared" si="77"/>
        <v>0</v>
      </c>
      <c r="R132" s="13"/>
      <c r="S132" s="13"/>
      <c r="T132" s="13">
        <f t="shared" si="74"/>
        <v>0</v>
      </c>
      <c r="U132" s="14"/>
      <c r="V132" s="13"/>
      <c r="W132" s="13"/>
      <c r="X132" s="13">
        <f t="shared" si="90"/>
        <v>0</v>
      </c>
      <c r="Y132" s="14"/>
      <c r="Z132" s="13"/>
      <c r="AA132" s="13"/>
      <c r="AB132" s="18">
        <f t="shared" si="91"/>
        <v>0</v>
      </c>
      <c r="AC132" s="14"/>
      <c r="AD132" s="13"/>
      <c r="AE132" s="13"/>
      <c r="AF132" s="13">
        <f t="shared" si="92"/>
        <v>0</v>
      </c>
      <c r="AG132" s="14"/>
      <c r="AH132" s="13"/>
      <c r="AI132" s="13"/>
      <c r="AJ132" s="13">
        <f t="shared" si="93"/>
        <v>0</v>
      </c>
      <c r="AK132" s="14"/>
      <c r="AL132" s="13"/>
      <c r="AM132" s="13"/>
      <c r="AN132" s="13">
        <f t="shared" si="94"/>
        <v>0</v>
      </c>
      <c r="AO132" s="14"/>
      <c r="AP132" s="13"/>
      <c r="AQ132" s="13"/>
      <c r="AR132" s="13">
        <f t="shared" si="95"/>
        <v>0</v>
      </c>
      <c r="AS132" s="14"/>
    </row>
    <row r="133" spans="1:45" x14ac:dyDescent="0.25">
      <c r="A133" s="12" t="s">
        <v>186</v>
      </c>
      <c r="B133" s="13">
        <v>0</v>
      </c>
      <c r="C133" s="13">
        <v>0</v>
      </c>
      <c r="D133" s="13">
        <f t="shared" si="52"/>
        <v>0</v>
      </c>
      <c r="E133" s="14"/>
      <c r="F133" s="13">
        <v>0</v>
      </c>
      <c r="G133" s="13">
        <v>0</v>
      </c>
      <c r="H133" s="13">
        <f t="shared" si="65"/>
        <v>0</v>
      </c>
      <c r="I133" s="88">
        <v>0</v>
      </c>
      <c r="J133" s="13">
        <v>0</v>
      </c>
      <c r="K133" s="55">
        <f t="shared" si="75"/>
        <v>0</v>
      </c>
      <c r="L133" s="88">
        <f>+L134</f>
        <v>0</v>
      </c>
      <c r="M133" s="13">
        <v>0</v>
      </c>
      <c r="N133" s="193">
        <f t="shared" si="76"/>
        <v>0</v>
      </c>
      <c r="O133" s="211">
        <f>+O134</f>
        <v>0</v>
      </c>
      <c r="P133" s="13">
        <v>0</v>
      </c>
      <c r="Q133" s="13">
        <f t="shared" si="77"/>
        <v>0</v>
      </c>
      <c r="R133" s="13">
        <f>+R134</f>
        <v>0</v>
      </c>
      <c r="S133" s="13">
        <v>0</v>
      </c>
      <c r="T133" s="13">
        <f t="shared" si="74"/>
        <v>0</v>
      </c>
      <c r="U133" s="14"/>
      <c r="V133" s="13">
        <f>+V134</f>
        <v>0</v>
      </c>
      <c r="W133" s="13">
        <v>0</v>
      </c>
      <c r="X133" s="13">
        <f t="shared" ref="X133:X134" si="96">+V133</f>
        <v>0</v>
      </c>
      <c r="Y133" s="14"/>
      <c r="Z133" s="13">
        <f>+Z134</f>
        <v>0</v>
      </c>
      <c r="AA133" s="13">
        <v>0</v>
      </c>
      <c r="AB133" s="18">
        <f t="shared" ref="AB133:AB134" si="97">+Z133</f>
        <v>0</v>
      </c>
      <c r="AC133" s="14"/>
      <c r="AD133" s="13">
        <f>+AD134</f>
        <v>0</v>
      </c>
      <c r="AE133" s="13">
        <v>0</v>
      </c>
      <c r="AF133" s="13">
        <f t="shared" ref="AF133:AF134" si="98">+AD133</f>
        <v>0</v>
      </c>
      <c r="AG133" s="14"/>
      <c r="AH133" s="13">
        <f>+AH134</f>
        <v>0</v>
      </c>
      <c r="AI133" s="13">
        <v>0</v>
      </c>
      <c r="AJ133" s="13">
        <f t="shared" ref="AJ133:AJ134" si="99">+AH133</f>
        <v>0</v>
      </c>
      <c r="AK133" s="14"/>
      <c r="AL133" s="13">
        <f>+AL134</f>
        <v>0</v>
      </c>
      <c r="AM133" s="13">
        <v>0</v>
      </c>
      <c r="AN133" s="13">
        <f t="shared" ref="AN133:AN134" si="100">+AL133</f>
        <v>0</v>
      </c>
      <c r="AO133" s="14"/>
      <c r="AP133" s="13">
        <f>+AP134</f>
        <v>0</v>
      </c>
      <c r="AQ133" s="13">
        <v>0</v>
      </c>
      <c r="AR133" s="13">
        <f t="shared" ref="AR133:AR134" si="101">+AP133</f>
        <v>0</v>
      </c>
      <c r="AS133" s="14"/>
    </row>
    <row r="134" spans="1:45" x14ac:dyDescent="0.25">
      <c r="A134" s="12" t="s">
        <v>187</v>
      </c>
      <c r="B134" s="13">
        <v>0</v>
      </c>
      <c r="C134" s="13">
        <v>0</v>
      </c>
      <c r="D134" s="13">
        <f t="shared" si="52"/>
        <v>0</v>
      </c>
      <c r="E134" s="14"/>
      <c r="F134" s="13">
        <v>0</v>
      </c>
      <c r="G134" s="13">
        <v>0</v>
      </c>
      <c r="H134" s="13">
        <f t="shared" si="65"/>
        <v>0</v>
      </c>
      <c r="I134" s="88">
        <v>0</v>
      </c>
      <c r="J134" s="13">
        <v>0</v>
      </c>
      <c r="K134" s="55">
        <f t="shared" si="75"/>
        <v>0</v>
      </c>
      <c r="L134" s="88">
        <v>0</v>
      </c>
      <c r="M134" s="13">
        <v>0</v>
      </c>
      <c r="N134" s="193">
        <f t="shared" si="76"/>
        <v>0</v>
      </c>
      <c r="O134" s="211">
        <v>0</v>
      </c>
      <c r="P134" s="13">
        <v>0</v>
      </c>
      <c r="Q134" s="13">
        <f t="shared" si="77"/>
        <v>0</v>
      </c>
      <c r="R134" s="13">
        <v>0</v>
      </c>
      <c r="S134" s="13">
        <v>0</v>
      </c>
      <c r="T134" s="13">
        <f t="shared" si="74"/>
        <v>0</v>
      </c>
      <c r="U134" s="14"/>
      <c r="V134" s="13">
        <v>0</v>
      </c>
      <c r="W134" s="13">
        <v>0</v>
      </c>
      <c r="X134" s="13">
        <f t="shared" si="96"/>
        <v>0</v>
      </c>
      <c r="Y134" s="14"/>
      <c r="Z134" s="13">
        <v>0</v>
      </c>
      <c r="AA134" s="13">
        <v>0</v>
      </c>
      <c r="AB134" s="18">
        <f t="shared" si="97"/>
        <v>0</v>
      </c>
      <c r="AC134" s="14"/>
      <c r="AD134" s="13">
        <v>0</v>
      </c>
      <c r="AE134" s="13">
        <v>0</v>
      </c>
      <c r="AF134" s="13">
        <f t="shared" si="98"/>
        <v>0</v>
      </c>
      <c r="AG134" s="14"/>
      <c r="AH134" s="13">
        <v>0</v>
      </c>
      <c r="AI134" s="13">
        <v>0</v>
      </c>
      <c r="AJ134" s="13">
        <f t="shared" si="99"/>
        <v>0</v>
      </c>
      <c r="AK134" s="14"/>
      <c r="AL134" s="13">
        <v>0</v>
      </c>
      <c r="AM134" s="13">
        <v>0</v>
      </c>
      <c r="AN134" s="13">
        <f t="shared" si="100"/>
        <v>0</v>
      </c>
      <c r="AO134" s="14"/>
      <c r="AP134" s="13">
        <v>0</v>
      </c>
      <c r="AQ134" s="13">
        <v>0</v>
      </c>
      <c r="AR134" s="13">
        <f t="shared" si="101"/>
        <v>0</v>
      </c>
      <c r="AS134" s="14"/>
    </row>
    <row r="135" spans="1:45" x14ac:dyDescent="0.25">
      <c r="A135" s="12"/>
      <c r="B135" s="13"/>
      <c r="C135" s="13"/>
      <c r="D135" s="13"/>
      <c r="E135" s="14"/>
      <c r="F135" s="13"/>
      <c r="G135" s="13"/>
      <c r="H135" s="13">
        <f t="shared" si="65"/>
        <v>0</v>
      </c>
      <c r="I135" s="88"/>
      <c r="J135" s="13"/>
      <c r="K135" s="55">
        <f t="shared" si="75"/>
        <v>0</v>
      </c>
      <c r="L135" s="88"/>
      <c r="M135" s="13"/>
      <c r="N135" s="193">
        <f t="shared" si="76"/>
        <v>0</v>
      </c>
      <c r="O135" s="211"/>
      <c r="P135" s="13"/>
      <c r="Q135" s="13">
        <f t="shared" si="77"/>
        <v>0</v>
      </c>
      <c r="R135" s="13"/>
      <c r="S135" s="13"/>
      <c r="T135" s="13">
        <f t="shared" si="74"/>
        <v>0</v>
      </c>
      <c r="U135" s="14"/>
      <c r="V135" s="13"/>
      <c r="W135" s="13"/>
      <c r="X135" s="13"/>
      <c r="Y135" s="14"/>
      <c r="Z135" s="13"/>
      <c r="AA135" s="13"/>
      <c r="AB135" s="18"/>
      <c r="AC135" s="14"/>
      <c r="AD135" s="13"/>
      <c r="AE135" s="13"/>
      <c r="AF135" s="13"/>
      <c r="AG135" s="14"/>
      <c r="AH135" s="13"/>
      <c r="AI135" s="13"/>
      <c r="AJ135" s="13"/>
      <c r="AK135" s="14"/>
      <c r="AL135" s="13"/>
      <c r="AM135" s="13"/>
      <c r="AN135" s="13"/>
      <c r="AO135" s="14"/>
      <c r="AP135" s="13"/>
      <c r="AQ135" s="13"/>
      <c r="AR135" s="13"/>
      <c r="AS135" s="14"/>
    </row>
    <row r="136" spans="1:45" x14ac:dyDescent="0.25">
      <c r="A136" s="12" t="s">
        <v>41</v>
      </c>
      <c r="B136" s="13">
        <f>+B137</f>
        <v>0</v>
      </c>
      <c r="C136" s="13">
        <v>0</v>
      </c>
      <c r="D136" s="13">
        <f t="shared" si="52"/>
        <v>0</v>
      </c>
      <c r="E136" s="14"/>
      <c r="F136" s="13">
        <f>+F137</f>
        <v>0</v>
      </c>
      <c r="G136" s="13">
        <v>0</v>
      </c>
      <c r="H136" s="13">
        <f t="shared" si="65"/>
        <v>0</v>
      </c>
      <c r="I136" s="88">
        <f>+I137</f>
        <v>0</v>
      </c>
      <c r="J136" s="13">
        <v>0</v>
      </c>
      <c r="K136" s="55">
        <f t="shared" si="75"/>
        <v>0</v>
      </c>
      <c r="L136" s="88">
        <f>+L137</f>
        <v>0</v>
      </c>
      <c r="M136" s="13">
        <v>0</v>
      </c>
      <c r="N136" s="193">
        <f t="shared" si="76"/>
        <v>0</v>
      </c>
      <c r="O136" s="211">
        <f>+O137</f>
        <v>0</v>
      </c>
      <c r="P136" s="13">
        <v>0</v>
      </c>
      <c r="Q136" s="13">
        <f t="shared" si="77"/>
        <v>0</v>
      </c>
      <c r="R136" s="13">
        <f>+R137</f>
        <v>0</v>
      </c>
      <c r="S136" s="13">
        <v>0</v>
      </c>
      <c r="T136" s="13">
        <f t="shared" si="74"/>
        <v>0</v>
      </c>
      <c r="U136" s="14"/>
      <c r="V136" s="13">
        <f>+V137</f>
        <v>0</v>
      </c>
      <c r="W136" s="13">
        <v>0</v>
      </c>
      <c r="X136" s="13">
        <f t="shared" ref="X136:X160" si="102">T136+V136</f>
        <v>0</v>
      </c>
      <c r="Y136" s="14"/>
      <c r="Z136" s="13">
        <f>+Z137</f>
        <v>0</v>
      </c>
      <c r="AA136" s="13">
        <v>0</v>
      </c>
      <c r="AB136" s="18">
        <f t="shared" ref="AB136:AB153" si="103">X136+Z136</f>
        <v>0</v>
      </c>
      <c r="AC136" s="14"/>
      <c r="AD136" s="13">
        <f>+AD137</f>
        <v>0</v>
      </c>
      <c r="AE136" s="13">
        <v>0</v>
      </c>
      <c r="AF136" s="13">
        <f t="shared" ref="AF136:AF159" si="104">AB136+AD136</f>
        <v>0</v>
      </c>
      <c r="AG136" s="14"/>
      <c r="AH136" s="13">
        <f>+AH137</f>
        <v>0</v>
      </c>
      <c r="AI136" s="13">
        <v>0</v>
      </c>
      <c r="AJ136" s="13">
        <f t="shared" ref="AJ136:AJ159" si="105">AF136+AH136</f>
        <v>0</v>
      </c>
      <c r="AK136" s="14"/>
      <c r="AL136" s="13">
        <f>+AL137</f>
        <v>0</v>
      </c>
      <c r="AM136" s="13">
        <v>0</v>
      </c>
      <c r="AN136" s="13">
        <f t="shared" ref="AN136:AN154" si="106">AJ136+AL136</f>
        <v>0</v>
      </c>
      <c r="AO136" s="14"/>
      <c r="AP136" s="13">
        <f>+AP137</f>
        <v>0</v>
      </c>
      <c r="AQ136" s="13">
        <v>0</v>
      </c>
      <c r="AR136" s="13">
        <f t="shared" ref="AR136:AR154" si="107">AN136+AP136</f>
        <v>0</v>
      </c>
      <c r="AS136" s="14"/>
    </row>
    <row r="137" spans="1:45" x14ac:dyDescent="0.25">
      <c r="A137" s="12" t="s">
        <v>31</v>
      </c>
      <c r="B137" s="13"/>
      <c r="C137" s="13">
        <v>0</v>
      </c>
      <c r="D137" s="13">
        <f t="shared" si="52"/>
        <v>0</v>
      </c>
      <c r="E137" s="14"/>
      <c r="F137" s="13">
        <v>0</v>
      </c>
      <c r="G137" s="13">
        <v>0</v>
      </c>
      <c r="H137" s="13">
        <f t="shared" si="65"/>
        <v>0</v>
      </c>
      <c r="I137" s="88"/>
      <c r="J137" s="13">
        <v>0</v>
      </c>
      <c r="K137" s="55">
        <f t="shared" si="75"/>
        <v>0</v>
      </c>
      <c r="L137" s="88"/>
      <c r="M137" s="13">
        <v>0</v>
      </c>
      <c r="N137" s="193">
        <f t="shared" si="76"/>
        <v>0</v>
      </c>
      <c r="O137" s="211"/>
      <c r="P137" s="13">
        <v>0</v>
      </c>
      <c r="Q137" s="13">
        <f t="shared" si="77"/>
        <v>0</v>
      </c>
      <c r="R137" s="13"/>
      <c r="S137" s="13">
        <v>0</v>
      </c>
      <c r="T137" s="13">
        <f t="shared" si="74"/>
        <v>0</v>
      </c>
      <c r="U137" s="14"/>
      <c r="V137" s="13"/>
      <c r="W137" s="13">
        <v>0</v>
      </c>
      <c r="X137" s="13">
        <f t="shared" si="102"/>
        <v>0</v>
      </c>
      <c r="Y137" s="14"/>
      <c r="Z137" s="13"/>
      <c r="AA137" s="13">
        <v>0</v>
      </c>
      <c r="AB137" s="18">
        <f t="shared" si="103"/>
        <v>0</v>
      </c>
      <c r="AC137" s="14"/>
      <c r="AD137" s="13"/>
      <c r="AE137" s="13">
        <v>0</v>
      </c>
      <c r="AF137" s="13">
        <f t="shared" si="104"/>
        <v>0</v>
      </c>
      <c r="AG137" s="14"/>
      <c r="AH137" s="13"/>
      <c r="AI137" s="13">
        <v>0</v>
      </c>
      <c r="AJ137" s="13">
        <f t="shared" si="105"/>
        <v>0</v>
      </c>
      <c r="AK137" s="14"/>
      <c r="AL137" s="13"/>
      <c r="AM137" s="13">
        <v>0</v>
      </c>
      <c r="AN137" s="13">
        <f t="shared" si="106"/>
        <v>0</v>
      </c>
      <c r="AO137" s="14"/>
      <c r="AP137" s="13"/>
      <c r="AQ137" s="13">
        <v>0</v>
      </c>
      <c r="AR137" s="13">
        <f t="shared" si="107"/>
        <v>0</v>
      </c>
      <c r="AS137" s="14"/>
    </row>
    <row r="138" spans="1:45" x14ac:dyDescent="0.25">
      <c r="A138" s="12"/>
      <c r="B138" s="13"/>
      <c r="C138" s="13"/>
      <c r="D138" s="13"/>
      <c r="E138" s="14"/>
      <c r="F138" s="13"/>
      <c r="G138" s="13"/>
      <c r="H138" s="13">
        <f t="shared" si="65"/>
        <v>0</v>
      </c>
      <c r="I138" s="88"/>
      <c r="J138" s="13"/>
      <c r="K138" s="55">
        <f t="shared" si="75"/>
        <v>0</v>
      </c>
      <c r="L138" s="88"/>
      <c r="M138" s="13"/>
      <c r="N138" s="193">
        <f t="shared" si="76"/>
        <v>0</v>
      </c>
      <c r="O138" s="211"/>
      <c r="P138" s="13"/>
      <c r="Q138" s="13">
        <f t="shared" si="77"/>
        <v>0</v>
      </c>
      <c r="R138" s="13"/>
      <c r="S138" s="13"/>
      <c r="T138" s="13">
        <f t="shared" si="74"/>
        <v>0</v>
      </c>
      <c r="U138" s="14"/>
      <c r="V138" s="13"/>
      <c r="W138" s="13"/>
      <c r="X138" s="13">
        <f t="shared" si="102"/>
        <v>0</v>
      </c>
      <c r="Y138" s="14"/>
      <c r="Z138" s="13"/>
      <c r="AA138" s="13"/>
      <c r="AB138" s="18">
        <f t="shared" si="103"/>
        <v>0</v>
      </c>
      <c r="AC138" s="14"/>
      <c r="AD138" s="13"/>
      <c r="AE138" s="13"/>
      <c r="AF138" s="13">
        <f t="shared" si="104"/>
        <v>0</v>
      </c>
      <c r="AG138" s="14"/>
      <c r="AH138" s="13"/>
      <c r="AI138" s="13"/>
      <c r="AJ138" s="13">
        <f t="shared" si="105"/>
        <v>0</v>
      </c>
      <c r="AK138" s="14"/>
      <c r="AL138" s="13"/>
      <c r="AM138" s="13"/>
      <c r="AN138" s="13">
        <f t="shared" si="106"/>
        <v>0</v>
      </c>
      <c r="AO138" s="14"/>
      <c r="AP138" s="13"/>
      <c r="AQ138" s="13"/>
      <c r="AR138" s="13">
        <f t="shared" si="107"/>
        <v>0</v>
      </c>
      <c r="AS138" s="14"/>
    </row>
    <row r="139" spans="1:45" x14ac:dyDescent="0.25">
      <c r="A139" s="12" t="s">
        <v>197</v>
      </c>
      <c r="B139" s="13"/>
      <c r="C139" s="13"/>
      <c r="D139" s="13"/>
      <c r="E139" s="14"/>
      <c r="F139" s="13">
        <f>+F140</f>
        <v>0</v>
      </c>
      <c r="G139" s="13"/>
      <c r="H139" s="13">
        <f t="shared" ref="H139:H156" si="108">+F139+G139+D139</f>
        <v>0</v>
      </c>
      <c r="I139" s="88"/>
      <c r="J139" s="13"/>
      <c r="K139" s="55">
        <f t="shared" si="75"/>
        <v>0</v>
      </c>
      <c r="L139" s="88">
        <f>+L140</f>
        <v>0</v>
      </c>
      <c r="M139" s="13"/>
      <c r="N139" s="193">
        <f t="shared" si="76"/>
        <v>0</v>
      </c>
      <c r="O139" s="211">
        <f>+O140</f>
        <v>0</v>
      </c>
      <c r="P139" s="13"/>
      <c r="Q139" s="13">
        <f t="shared" si="77"/>
        <v>0</v>
      </c>
      <c r="R139" s="13">
        <f>+R140</f>
        <v>0</v>
      </c>
      <c r="S139" s="13"/>
      <c r="T139" s="13">
        <f t="shared" si="74"/>
        <v>0</v>
      </c>
      <c r="U139" s="14"/>
      <c r="V139" s="13">
        <f>+V140</f>
        <v>0</v>
      </c>
      <c r="W139" s="13"/>
      <c r="X139" s="13">
        <f t="shared" si="102"/>
        <v>0</v>
      </c>
      <c r="Y139" s="14"/>
      <c r="Z139" s="13">
        <f>+Z140</f>
        <v>0</v>
      </c>
      <c r="AA139" s="13"/>
      <c r="AB139" s="18">
        <f t="shared" si="103"/>
        <v>0</v>
      </c>
      <c r="AC139" s="14"/>
      <c r="AD139" s="13">
        <f>+AD140</f>
        <v>0</v>
      </c>
      <c r="AE139" s="13"/>
      <c r="AF139" s="13">
        <f t="shared" si="104"/>
        <v>0</v>
      </c>
      <c r="AG139" s="14"/>
      <c r="AH139" s="13">
        <f>+AH140</f>
        <v>0</v>
      </c>
      <c r="AI139" s="13"/>
      <c r="AJ139" s="13">
        <f t="shared" si="105"/>
        <v>0</v>
      </c>
      <c r="AK139" s="14"/>
      <c r="AL139" s="13">
        <f>+AL140</f>
        <v>0</v>
      </c>
      <c r="AM139" s="13"/>
      <c r="AN139" s="13">
        <f t="shared" si="106"/>
        <v>0</v>
      </c>
      <c r="AO139" s="14"/>
      <c r="AP139" s="13">
        <f>+AP140</f>
        <v>0</v>
      </c>
      <c r="AQ139" s="13"/>
      <c r="AR139" s="13">
        <f t="shared" si="107"/>
        <v>0</v>
      </c>
      <c r="AS139" s="14"/>
    </row>
    <row r="140" spans="1:45" x14ac:dyDescent="0.25">
      <c r="A140" s="12" t="s">
        <v>198</v>
      </c>
      <c r="B140" s="13"/>
      <c r="C140" s="13"/>
      <c r="D140" s="13"/>
      <c r="E140" s="14"/>
      <c r="F140" s="13">
        <v>0</v>
      </c>
      <c r="G140" s="13"/>
      <c r="H140" s="13">
        <f t="shared" si="108"/>
        <v>0</v>
      </c>
      <c r="I140" s="88"/>
      <c r="J140" s="13"/>
      <c r="K140" s="55">
        <f t="shared" si="75"/>
        <v>0</v>
      </c>
      <c r="L140" s="88">
        <v>0</v>
      </c>
      <c r="M140" s="13"/>
      <c r="N140" s="193">
        <f t="shared" si="76"/>
        <v>0</v>
      </c>
      <c r="O140" s="211">
        <v>0</v>
      </c>
      <c r="P140" s="13"/>
      <c r="Q140" s="13">
        <f t="shared" si="77"/>
        <v>0</v>
      </c>
      <c r="R140" s="13">
        <v>0</v>
      </c>
      <c r="S140" s="13"/>
      <c r="T140" s="13">
        <f t="shared" si="74"/>
        <v>0</v>
      </c>
      <c r="U140" s="14"/>
      <c r="V140" s="13">
        <v>0</v>
      </c>
      <c r="W140" s="13"/>
      <c r="X140" s="13">
        <f t="shared" si="102"/>
        <v>0</v>
      </c>
      <c r="Y140" s="14"/>
      <c r="Z140" s="13">
        <v>0</v>
      </c>
      <c r="AA140" s="13"/>
      <c r="AB140" s="18">
        <f t="shared" si="103"/>
        <v>0</v>
      </c>
      <c r="AC140" s="14"/>
      <c r="AD140" s="13">
        <v>0</v>
      </c>
      <c r="AE140" s="13"/>
      <c r="AF140" s="13">
        <f t="shared" si="104"/>
        <v>0</v>
      </c>
      <c r="AG140" s="14"/>
      <c r="AH140" s="13">
        <v>0</v>
      </c>
      <c r="AI140" s="13"/>
      <c r="AJ140" s="13">
        <f t="shared" si="105"/>
        <v>0</v>
      </c>
      <c r="AK140" s="14"/>
      <c r="AL140" s="13">
        <v>0</v>
      </c>
      <c r="AM140" s="13"/>
      <c r="AN140" s="13">
        <f t="shared" si="106"/>
        <v>0</v>
      </c>
      <c r="AO140" s="14"/>
      <c r="AP140" s="13">
        <v>0</v>
      </c>
      <c r="AQ140" s="13"/>
      <c r="AR140" s="13">
        <f t="shared" si="107"/>
        <v>0</v>
      </c>
      <c r="AS140" s="14"/>
    </row>
    <row r="141" spans="1:45" x14ac:dyDescent="0.25">
      <c r="A141" s="12"/>
      <c r="B141" s="13"/>
      <c r="C141" s="13"/>
      <c r="D141" s="13">
        <f t="shared" si="52"/>
        <v>0</v>
      </c>
      <c r="E141" s="14"/>
      <c r="F141" s="13"/>
      <c r="G141" s="13"/>
      <c r="H141" s="13">
        <f t="shared" si="108"/>
        <v>0</v>
      </c>
      <c r="I141" s="88"/>
      <c r="J141" s="13"/>
      <c r="K141" s="55">
        <f t="shared" si="75"/>
        <v>0</v>
      </c>
      <c r="L141" s="88"/>
      <c r="M141" s="13"/>
      <c r="N141" s="193">
        <f t="shared" si="76"/>
        <v>0</v>
      </c>
      <c r="O141" s="211"/>
      <c r="P141" s="13"/>
      <c r="Q141" s="13">
        <f t="shared" si="77"/>
        <v>0</v>
      </c>
      <c r="R141" s="13"/>
      <c r="S141" s="13"/>
      <c r="T141" s="13">
        <f t="shared" si="74"/>
        <v>0</v>
      </c>
      <c r="U141" s="14"/>
      <c r="V141" s="13"/>
      <c r="W141" s="13"/>
      <c r="X141" s="13">
        <f t="shared" si="102"/>
        <v>0</v>
      </c>
      <c r="Y141" s="14"/>
      <c r="Z141" s="13"/>
      <c r="AA141" s="13"/>
      <c r="AB141" s="18">
        <f t="shared" si="103"/>
        <v>0</v>
      </c>
      <c r="AC141" s="14"/>
      <c r="AD141" s="13"/>
      <c r="AE141" s="13"/>
      <c r="AF141" s="13">
        <f t="shared" si="104"/>
        <v>0</v>
      </c>
      <c r="AG141" s="14"/>
      <c r="AH141" s="13"/>
      <c r="AI141" s="13"/>
      <c r="AJ141" s="13">
        <f t="shared" si="105"/>
        <v>0</v>
      </c>
      <c r="AK141" s="14"/>
      <c r="AL141" s="13"/>
      <c r="AM141" s="13"/>
      <c r="AN141" s="13">
        <f t="shared" si="106"/>
        <v>0</v>
      </c>
      <c r="AO141" s="14"/>
      <c r="AP141" s="13"/>
      <c r="AQ141" s="13"/>
      <c r="AR141" s="13">
        <f t="shared" si="107"/>
        <v>0</v>
      </c>
      <c r="AS141" s="14"/>
    </row>
    <row r="142" spans="1:45" x14ac:dyDescent="0.25">
      <c r="A142" s="12" t="s">
        <v>85</v>
      </c>
      <c r="B142" s="13">
        <f>+B143</f>
        <v>0</v>
      </c>
      <c r="C142" s="13">
        <v>0</v>
      </c>
      <c r="D142" s="13">
        <f t="shared" si="52"/>
        <v>0</v>
      </c>
      <c r="E142" s="14"/>
      <c r="F142" s="13">
        <f>+F143</f>
        <v>0</v>
      </c>
      <c r="G142" s="13"/>
      <c r="H142" s="13">
        <f t="shared" si="108"/>
        <v>0</v>
      </c>
      <c r="I142" s="88">
        <f>+I143</f>
        <v>0</v>
      </c>
      <c r="J142" s="13"/>
      <c r="K142" s="55">
        <f t="shared" si="75"/>
        <v>0</v>
      </c>
      <c r="L142" s="88">
        <f>+L143</f>
        <v>0</v>
      </c>
      <c r="M142" s="13"/>
      <c r="N142" s="193">
        <f t="shared" si="76"/>
        <v>0</v>
      </c>
      <c r="O142" s="211">
        <f>+O143</f>
        <v>0</v>
      </c>
      <c r="P142" s="13"/>
      <c r="Q142" s="13">
        <f t="shared" si="77"/>
        <v>0</v>
      </c>
      <c r="R142" s="13">
        <f>+R143</f>
        <v>0</v>
      </c>
      <c r="S142" s="13"/>
      <c r="T142" s="13">
        <f t="shared" si="74"/>
        <v>0</v>
      </c>
      <c r="U142" s="14"/>
      <c r="V142" s="13">
        <f>+V143</f>
        <v>0</v>
      </c>
      <c r="W142" s="13"/>
      <c r="X142" s="13">
        <f t="shared" si="102"/>
        <v>0</v>
      </c>
      <c r="Y142" s="14"/>
      <c r="Z142" s="13">
        <f>+Z143</f>
        <v>0</v>
      </c>
      <c r="AA142" s="13"/>
      <c r="AB142" s="18">
        <f t="shared" si="103"/>
        <v>0</v>
      </c>
      <c r="AC142" s="14"/>
      <c r="AD142" s="13">
        <f>+AD143</f>
        <v>0</v>
      </c>
      <c r="AE142" s="13"/>
      <c r="AF142" s="13">
        <f t="shared" si="104"/>
        <v>0</v>
      </c>
      <c r="AG142" s="14"/>
      <c r="AH142" s="13">
        <f>+AH143</f>
        <v>0</v>
      </c>
      <c r="AI142" s="13"/>
      <c r="AJ142" s="13">
        <f t="shared" si="105"/>
        <v>0</v>
      </c>
      <c r="AK142" s="14"/>
      <c r="AL142" s="13">
        <f>+AL143</f>
        <v>0</v>
      </c>
      <c r="AM142" s="13"/>
      <c r="AN142" s="13">
        <f t="shared" si="106"/>
        <v>0</v>
      </c>
      <c r="AO142" s="14"/>
      <c r="AP142" s="13">
        <f>+AP143</f>
        <v>0</v>
      </c>
      <c r="AQ142" s="13"/>
      <c r="AR142" s="13">
        <f t="shared" si="107"/>
        <v>0</v>
      </c>
      <c r="AS142" s="14"/>
    </row>
    <row r="143" spans="1:45" x14ac:dyDescent="0.25">
      <c r="A143" s="12" t="s">
        <v>86</v>
      </c>
      <c r="B143" s="13"/>
      <c r="C143" s="13">
        <v>0</v>
      </c>
      <c r="D143" s="13">
        <f t="shared" si="52"/>
        <v>0</v>
      </c>
      <c r="E143" s="14"/>
      <c r="F143" s="13"/>
      <c r="G143" s="13"/>
      <c r="H143" s="13">
        <f t="shared" si="108"/>
        <v>0</v>
      </c>
      <c r="I143" s="88"/>
      <c r="J143" s="13"/>
      <c r="K143" s="55">
        <f t="shared" si="75"/>
        <v>0</v>
      </c>
      <c r="L143" s="88"/>
      <c r="M143" s="13"/>
      <c r="N143" s="193">
        <f t="shared" si="76"/>
        <v>0</v>
      </c>
      <c r="O143" s="211"/>
      <c r="P143" s="13"/>
      <c r="Q143" s="13">
        <f t="shared" si="77"/>
        <v>0</v>
      </c>
      <c r="R143" s="13"/>
      <c r="S143" s="13"/>
      <c r="T143" s="13">
        <f t="shared" si="74"/>
        <v>0</v>
      </c>
      <c r="U143" s="14"/>
      <c r="V143" s="13"/>
      <c r="W143" s="13"/>
      <c r="X143" s="13">
        <f t="shared" si="102"/>
        <v>0</v>
      </c>
      <c r="Y143" s="14"/>
      <c r="Z143" s="13"/>
      <c r="AA143" s="13"/>
      <c r="AB143" s="18">
        <f t="shared" si="103"/>
        <v>0</v>
      </c>
      <c r="AC143" s="14"/>
      <c r="AD143" s="13"/>
      <c r="AE143" s="13"/>
      <c r="AF143" s="13">
        <f t="shared" si="104"/>
        <v>0</v>
      </c>
      <c r="AG143" s="14"/>
      <c r="AH143" s="13"/>
      <c r="AI143" s="13"/>
      <c r="AJ143" s="13">
        <f t="shared" si="105"/>
        <v>0</v>
      </c>
      <c r="AK143" s="14"/>
      <c r="AL143" s="13"/>
      <c r="AM143" s="13"/>
      <c r="AN143" s="13">
        <f t="shared" si="106"/>
        <v>0</v>
      </c>
      <c r="AO143" s="14"/>
      <c r="AP143" s="13"/>
      <c r="AQ143" s="13"/>
      <c r="AR143" s="13">
        <f t="shared" si="107"/>
        <v>0</v>
      </c>
      <c r="AS143" s="14"/>
    </row>
    <row r="144" spans="1:45" x14ac:dyDescent="0.25">
      <c r="A144" s="12"/>
      <c r="B144" s="13"/>
      <c r="C144" s="13"/>
      <c r="D144" s="13">
        <f t="shared" si="52"/>
        <v>0</v>
      </c>
      <c r="E144" s="14"/>
      <c r="F144" s="13"/>
      <c r="G144" s="13"/>
      <c r="H144" s="13">
        <f t="shared" si="108"/>
        <v>0</v>
      </c>
      <c r="I144" s="88"/>
      <c r="J144" s="13"/>
      <c r="K144" s="55">
        <f t="shared" si="75"/>
        <v>0</v>
      </c>
      <c r="L144" s="88"/>
      <c r="M144" s="13"/>
      <c r="N144" s="193">
        <f t="shared" si="76"/>
        <v>0</v>
      </c>
      <c r="O144" s="211"/>
      <c r="P144" s="13"/>
      <c r="Q144" s="13">
        <f t="shared" si="77"/>
        <v>0</v>
      </c>
      <c r="R144" s="13"/>
      <c r="S144" s="13"/>
      <c r="T144" s="13">
        <f t="shared" si="74"/>
        <v>0</v>
      </c>
      <c r="U144" s="14"/>
      <c r="V144" s="13"/>
      <c r="W144" s="13"/>
      <c r="X144" s="13">
        <f t="shared" si="102"/>
        <v>0</v>
      </c>
      <c r="Y144" s="14"/>
      <c r="Z144" s="13"/>
      <c r="AA144" s="13"/>
      <c r="AB144" s="18">
        <f t="shared" si="103"/>
        <v>0</v>
      </c>
      <c r="AC144" s="14"/>
      <c r="AD144" s="13"/>
      <c r="AE144" s="13"/>
      <c r="AF144" s="13">
        <f t="shared" si="104"/>
        <v>0</v>
      </c>
      <c r="AG144" s="14"/>
      <c r="AH144" s="13"/>
      <c r="AI144" s="13"/>
      <c r="AJ144" s="13">
        <f t="shared" si="105"/>
        <v>0</v>
      </c>
      <c r="AK144" s="14"/>
      <c r="AL144" s="13"/>
      <c r="AM144" s="13"/>
      <c r="AN144" s="13">
        <f t="shared" si="106"/>
        <v>0</v>
      </c>
      <c r="AO144" s="14"/>
      <c r="AP144" s="13"/>
      <c r="AQ144" s="13"/>
      <c r="AR144" s="13">
        <f t="shared" si="107"/>
        <v>0</v>
      </c>
      <c r="AS144" s="14"/>
    </row>
    <row r="145" spans="1:45" x14ac:dyDescent="0.25">
      <c r="A145" s="17" t="s">
        <v>8</v>
      </c>
      <c r="B145" s="18">
        <f>B146+B154</f>
        <v>155606</v>
      </c>
      <c r="C145" s="18">
        <v>0</v>
      </c>
      <c r="D145" s="18">
        <f t="shared" si="52"/>
        <v>155606</v>
      </c>
      <c r="E145" s="19"/>
      <c r="F145" s="18">
        <f>F146+F154</f>
        <v>193552</v>
      </c>
      <c r="G145" s="18">
        <v>0</v>
      </c>
      <c r="H145" s="18">
        <f>+D145+F145</f>
        <v>349158</v>
      </c>
      <c r="I145" s="20">
        <f>I146</f>
        <v>142764.82</v>
      </c>
      <c r="J145" s="18">
        <v>0</v>
      </c>
      <c r="K145" s="204">
        <f t="shared" si="75"/>
        <v>491922.82</v>
      </c>
      <c r="L145" s="20">
        <f>L146+K154</f>
        <v>168591</v>
      </c>
      <c r="M145" s="18">
        <v>0</v>
      </c>
      <c r="N145" s="193">
        <f t="shared" si="76"/>
        <v>660513.82000000007</v>
      </c>
      <c r="O145" s="18">
        <f>+O146+O154</f>
        <v>145278</v>
      </c>
      <c r="P145" s="18">
        <v>0</v>
      </c>
      <c r="Q145" s="18">
        <f t="shared" si="77"/>
        <v>805791.82000000007</v>
      </c>
      <c r="R145" s="20">
        <f>+R146+R157</f>
        <v>348510</v>
      </c>
      <c r="S145" s="18">
        <v>0</v>
      </c>
      <c r="T145" s="18">
        <f t="shared" si="74"/>
        <v>1154301.82</v>
      </c>
      <c r="U145" s="19"/>
      <c r="V145" s="20">
        <f>V146+V154</f>
        <v>173235</v>
      </c>
      <c r="W145" s="18">
        <v>0</v>
      </c>
      <c r="X145" s="18">
        <f t="shared" si="102"/>
        <v>1327536.82</v>
      </c>
      <c r="Y145" s="19"/>
      <c r="Z145" s="20">
        <f>Z146+Z154</f>
        <v>147512</v>
      </c>
      <c r="AA145" s="18">
        <v>0</v>
      </c>
      <c r="AB145" s="18">
        <f>X145+Z145</f>
        <v>1475048.82</v>
      </c>
      <c r="AC145" s="19"/>
      <c r="AD145" s="337">
        <f>AD146+AD147+AD148+AD149+AD150+AD151+AD152+AD153</f>
        <v>151656</v>
      </c>
      <c r="AE145" s="18">
        <v>0</v>
      </c>
      <c r="AF145" s="18">
        <f>AB145+AD145</f>
        <v>1626704.82</v>
      </c>
      <c r="AG145" s="19"/>
      <c r="AH145" s="20">
        <f>AH146+AH154</f>
        <v>178156</v>
      </c>
      <c r="AI145" s="18">
        <v>0</v>
      </c>
      <c r="AJ145" s="18">
        <f t="shared" si="105"/>
        <v>1804860.82</v>
      </c>
      <c r="AK145" s="19"/>
      <c r="AL145" s="20">
        <f>AL146+AL154</f>
        <v>138508.1</v>
      </c>
      <c r="AM145" s="18">
        <v>0</v>
      </c>
      <c r="AN145" s="18">
        <f t="shared" si="106"/>
        <v>1943368.9200000002</v>
      </c>
      <c r="AO145" s="19"/>
      <c r="AP145" s="337">
        <f>AP146+AP154</f>
        <v>183371</v>
      </c>
      <c r="AQ145" s="18">
        <v>0</v>
      </c>
      <c r="AR145" s="18">
        <f t="shared" si="107"/>
        <v>2126739.92</v>
      </c>
      <c r="AS145" s="19"/>
    </row>
    <row r="146" spans="1:45" x14ac:dyDescent="0.25">
      <c r="A146" s="12" t="s">
        <v>9</v>
      </c>
      <c r="B146" s="13">
        <f>B147+B148+B150+B151+B152+B153+B149</f>
        <v>155606</v>
      </c>
      <c r="C146" s="13">
        <v>0</v>
      </c>
      <c r="D146" s="13">
        <f>+B146-C146</f>
        <v>155606</v>
      </c>
      <c r="E146" s="14"/>
      <c r="F146" s="13">
        <f>SUM(F147:F153)</f>
        <v>193552</v>
      </c>
      <c r="G146" s="13">
        <v>0</v>
      </c>
      <c r="H146" s="13">
        <f>+D146+F146</f>
        <v>349158</v>
      </c>
      <c r="I146" s="88">
        <f>SUM(I147:I153)</f>
        <v>142764.82</v>
      </c>
      <c r="J146" s="13">
        <v>0</v>
      </c>
      <c r="K146" s="55">
        <f>+H146+I146</f>
        <v>491922.82</v>
      </c>
      <c r="L146" s="88">
        <f>+L147+L148+L150+L153+L149+L151</f>
        <v>168591</v>
      </c>
      <c r="M146" s="13">
        <v>0</v>
      </c>
      <c r="N146" s="193">
        <f>+K146+L146</f>
        <v>660513.82000000007</v>
      </c>
      <c r="O146" s="65">
        <f>+O147+O148+O150+O153+O149+O151</f>
        <v>145278</v>
      </c>
      <c r="P146" s="13">
        <v>0</v>
      </c>
      <c r="Q146" s="13">
        <f t="shared" si="77"/>
        <v>805791.82000000007</v>
      </c>
      <c r="R146" s="227">
        <f>R147+R148+R149+R150+R151+R152+R153</f>
        <v>348510</v>
      </c>
      <c r="S146" s="13">
        <v>0</v>
      </c>
      <c r="T146" s="13">
        <f>+Q146+R146</f>
        <v>1154301.82</v>
      </c>
      <c r="U146" s="14"/>
      <c r="V146" s="45">
        <f>V147+V148+V149+V150+V151+V152+V153</f>
        <v>173235</v>
      </c>
      <c r="W146" s="13">
        <v>0</v>
      </c>
      <c r="X146" s="13">
        <f>+T146+V146</f>
        <v>1327536.82</v>
      </c>
      <c r="Y146" s="14"/>
      <c r="Z146" s="45">
        <f>Z147+Z148+Z149+Z150+Z151+Z152++Z153</f>
        <v>147512</v>
      </c>
      <c r="AA146" s="13">
        <v>0</v>
      </c>
      <c r="AB146" s="18">
        <f t="shared" si="103"/>
        <v>1475048.82</v>
      </c>
      <c r="AC146" s="14"/>
      <c r="AD146" s="45"/>
      <c r="AE146" s="13">
        <v>0</v>
      </c>
      <c r="AF146" s="13">
        <f>+AB146+AD146</f>
        <v>1475048.82</v>
      </c>
      <c r="AG146" s="14"/>
      <c r="AH146" s="45">
        <f>AH147+AH148+AH149+AH150+AH151+AH152++AH153</f>
        <v>178156</v>
      </c>
      <c r="AI146" s="13">
        <v>0</v>
      </c>
      <c r="AJ146" s="13">
        <f t="shared" si="105"/>
        <v>1653204.82</v>
      </c>
      <c r="AK146" s="14"/>
      <c r="AL146" s="45">
        <f>AL147+AL148+AL149+AL150+AL151+AL152++AL153</f>
        <v>138508.1</v>
      </c>
      <c r="AM146" s="13">
        <v>0</v>
      </c>
      <c r="AN146" s="13">
        <f t="shared" si="106"/>
        <v>1791712.9200000002</v>
      </c>
      <c r="AO146" s="14"/>
      <c r="AP146" s="45">
        <f>AP147+AP148+AP149+AP150+AP151+AP153</f>
        <v>183371</v>
      </c>
      <c r="AQ146" s="13">
        <v>0</v>
      </c>
      <c r="AR146" s="13">
        <f t="shared" si="107"/>
        <v>1975083.9200000002</v>
      </c>
      <c r="AS146" s="14"/>
    </row>
    <row r="147" spans="1:45" x14ac:dyDescent="0.25">
      <c r="A147" s="12" t="s">
        <v>55</v>
      </c>
      <c r="B147" s="13"/>
      <c r="C147" s="13">
        <v>0</v>
      </c>
      <c r="D147" s="13">
        <f t="shared" ref="D147:D153" si="109">+B147-C147</f>
        <v>0</v>
      </c>
      <c r="E147" s="14"/>
      <c r="F147" s="13"/>
      <c r="G147" s="13">
        <v>0</v>
      </c>
      <c r="H147" s="13">
        <f>+F147+G147+D147</f>
        <v>0</v>
      </c>
      <c r="I147" s="88"/>
      <c r="J147" s="13">
        <v>0</v>
      </c>
      <c r="K147" s="55">
        <f t="shared" ref="K147:K153" si="110">+H147+I147</f>
        <v>0</v>
      </c>
      <c r="L147" s="88"/>
      <c r="M147" s="13"/>
      <c r="N147" s="193">
        <f t="shared" si="76"/>
        <v>0</v>
      </c>
      <c r="O147" s="211"/>
      <c r="P147" s="13"/>
      <c r="Q147" s="13">
        <f t="shared" si="77"/>
        <v>0</v>
      </c>
      <c r="R147" s="88"/>
      <c r="S147" s="13"/>
      <c r="T147" s="13">
        <f t="shared" ref="T147:T154" si="111">+Q147+R147</f>
        <v>0</v>
      </c>
      <c r="U147" s="14"/>
      <c r="V147" s="88"/>
      <c r="W147" s="13"/>
      <c r="X147" s="13">
        <f t="shared" si="102"/>
        <v>0</v>
      </c>
      <c r="Y147" s="14"/>
      <c r="Z147" s="88"/>
      <c r="AA147" s="13"/>
      <c r="AB147" s="18">
        <f t="shared" si="103"/>
        <v>0</v>
      </c>
      <c r="AC147" s="14"/>
      <c r="AD147" s="88"/>
      <c r="AE147" s="13"/>
      <c r="AF147" s="13">
        <f t="shared" si="104"/>
        <v>0</v>
      </c>
      <c r="AG147" s="14"/>
      <c r="AH147" s="88"/>
      <c r="AI147" s="13"/>
      <c r="AJ147" s="13">
        <f t="shared" si="105"/>
        <v>0</v>
      </c>
      <c r="AK147" s="14"/>
      <c r="AL147" s="88"/>
      <c r="AM147" s="13"/>
      <c r="AN147" s="13">
        <f t="shared" si="106"/>
        <v>0</v>
      </c>
      <c r="AO147" s="14"/>
      <c r="AP147" s="88"/>
      <c r="AQ147" s="13"/>
      <c r="AR147" s="13">
        <f t="shared" si="107"/>
        <v>0</v>
      </c>
      <c r="AS147" s="14"/>
    </row>
    <row r="148" spans="1:45" x14ac:dyDescent="0.25">
      <c r="A148" s="12" t="s">
        <v>56</v>
      </c>
      <c r="B148" s="13">
        <v>92700</v>
      </c>
      <c r="C148" s="13">
        <v>0</v>
      </c>
      <c r="D148" s="13">
        <f t="shared" si="109"/>
        <v>92700</v>
      </c>
      <c r="E148" s="14"/>
      <c r="F148" s="13">
        <v>98850</v>
      </c>
      <c r="G148" s="13">
        <v>0</v>
      </c>
      <c r="H148" s="13">
        <f t="shared" ref="H148:H153" si="112">+F148+G148+D148</f>
        <v>191550</v>
      </c>
      <c r="I148" s="88">
        <v>84700</v>
      </c>
      <c r="J148" s="13"/>
      <c r="K148" s="55">
        <f t="shared" si="110"/>
        <v>276250</v>
      </c>
      <c r="L148" s="88">
        <v>100700</v>
      </c>
      <c r="M148" s="13"/>
      <c r="N148" s="193">
        <f t="shared" si="76"/>
        <v>376950</v>
      </c>
      <c r="O148" s="211">
        <v>84700</v>
      </c>
      <c r="P148" s="13"/>
      <c r="Q148" s="13">
        <f t="shared" si="77"/>
        <v>461650</v>
      </c>
      <c r="R148" s="88">
        <v>160220</v>
      </c>
      <c r="S148" s="13"/>
      <c r="T148" s="13">
        <f t="shared" si="111"/>
        <v>621870</v>
      </c>
      <c r="U148" s="14"/>
      <c r="V148" s="88">
        <v>100700</v>
      </c>
      <c r="W148" s="13"/>
      <c r="X148" s="13">
        <f t="shared" si="102"/>
        <v>722570</v>
      </c>
      <c r="Y148" s="14"/>
      <c r="Z148" s="88">
        <v>92700</v>
      </c>
      <c r="AA148" s="13"/>
      <c r="AB148" s="18">
        <f t="shared" si="103"/>
        <v>815270</v>
      </c>
      <c r="AC148" s="14"/>
      <c r="AD148" s="88">
        <v>92700</v>
      </c>
      <c r="AE148" s="13"/>
      <c r="AF148" s="13">
        <f t="shared" si="104"/>
        <v>907970</v>
      </c>
      <c r="AG148" s="14"/>
      <c r="AH148" s="88">
        <v>92700</v>
      </c>
      <c r="AI148" s="13"/>
      <c r="AJ148" s="13">
        <f t="shared" si="105"/>
        <v>1000670</v>
      </c>
      <c r="AK148" s="14"/>
      <c r="AL148" s="88">
        <v>84700</v>
      </c>
      <c r="AM148" s="13"/>
      <c r="AN148" s="13">
        <f t="shared" si="106"/>
        <v>1085370</v>
      </c>
      <c r="AO148" s="14"/>
      <c r="AP148" s="88">
        <v>100700</v>
      </c>
      <c r="AQ148" s="13"/>
      <c r="AR148" s="13">
        <f t="shared" si="107"/>
        <v>1186070</v>
      </c>
      <c r="AS148" s="14"/>
    </row>
    <row r="149" spans="1:45" x14ac:dyDescent="0.25">
      <c r="A149" s="12" t="s">
        <v>10</v>
      </c>
      <c r="B149" s="13">
        <v>4600</v>
      </c>
      <c r="C149" s="13"/>
      <c r="D149" s="13">
        <f t="shared" si="109"/>
        <v>4600</v>
      </c>
      <c r="E149" s="14"/>
      <c r="F149" s="13">
        <v>3700</v>
      </c>
      <c r="G149" s="13"/>
      <c r="H149" s="13">
        <f t="shared" si="112"/>
        <v>8300</v>
      </c>
      <c r="I149" s="88">
        <v>6300</v>
      </c>
      <c r="J149" s="13"/>
      <c r="K149" s="55">
        <f t="shared" si="110"/>
        <v>14600</v>
      </c>
      <c r="L149" s="88">
        <v>1000</v>
      </c>
      <c r="M149" s="13"/>
      <c r="N149" s="193">
        <f t="shared" si="76"/>
        <v>15600</v>
      </c>
      <c r="O149" s="211">
        <v>7900</v>
      </c>
      <c r="P149" s="13"/>
      <c r="Q149" s="13">
        <f t="shared" si="77"/>
        <v>23500</v>
      </c>
      <c r="R149" s="88"/>
      <c r="S149" s="13"/>
      <c r="T149" s="13">
        <f t="shared" si="111"/>
        <v>23500</v>
      </c>
      <c r="U149" s="14"/>
      <c r="V149" s="88">
        <v>4700</v>
      </c>
      <c r="W149" s="13"/>
      <c r="X149" s="13">
        <f t="shared" si="102"/>
        <v>28200</v>
      </c>
      <c r="Y149" s="14"/>
      <c r="Z149" s="88">
        <v>0</v>
      </c>
      <c r="AA149" s="13"/>
      <c r="AB149" s="18">
        <f t="shared" si="103"/>
        <v>28200</v>
      </c>
      <c r="AC149" s="14"/>
      <c r="AD149" s="88"/>
      <c r="AE149" s="13"/>
      <c r="AF149" s="13">
        <f t="shared" si="104"/>
        <v>28200</v>
      </c>
      <c r="AG149" s="14"/>
      <c r="AH149" s="88">
        <v>22000</v>
      </c>
      <c r="AI149" s="13"/>
      <c r="AJ149" s="13">
        <f t="shared" si="105"/>
        <v>50200</v>
      </c>
      <c r="AK149" s="14"/>
      <c r="AL149" s="88"/>
      <c r="AM149" s="13"/>
      <c r="AN149" s="13">
        <f t="shared" si="106"/>
        <v>50200</v>
      </c>
      <c r="AO149" s="14"/>
      <c r="AP149" s="88">
        <v>1600</v>
      </c>
      <c r="AQ149" s="13"/>
      <c r="AR149" s="13">
        <f t="shared" si="107"/>
        <v>51800</v>
      </c>
      <c r="AS149" s="14"/>
    </row>
    <row r="150" spans="1:45" x14ac:dyDescent="0.25">
      <c r="A150" s="12" t="s">
        <v>57</v>
      </c>
      <c r="B150" s="13">
        <v>29793</v>
      </c>
      <c r="C150" s="13">
        <v>0</v>
      </c>
      <c r="D150" s="13">
        <f t="shared" si="109"/>
        <v>29793</v>
      </c>
      <c r="E150" s="14"/>
      <c r="F150" s="13">
        <v>64009</v>
      </c>
      <c r="G150" s="13">
        <v>0</v>
      </c>
      <c r="H150" s="13">
        <f t="shared" si="112"/>
        <v>93802</v>
      </c>
      <c r="I150" s="88">
        <v>24759</v>
      </c>
      <c r="J150" s="13"/>
      <c r="K150" s="55">
        <f t="shared" si="110"/>
        <v>118561</v>
      </c>
      <c r="L150" s="88"/>
      <c r="M150" s="13"/>
      <c r="N150" s="193">
        <f t="shared" si="76"/>
        <v>118561</v>
      </c>
      <c r="O150" s="211">
        <v>25685</v>
      </c>
      <c r="P150" s="13"/>
      <c r="Q150" s="13">
        <f t="shared" si="77"/>
        <v>144246</v>
      </c>
      <c r="R150" s="88">
        <v>146949</v>
      </c>
      <c r="S150" s="13"/>
      <c r="T150" s="13">
        <f t="shared" si="111"/>
        <v>291195</v>
      </c>
      <c r="U150" s="14"/>
      <c r="V150" s="88">
        <v>37727</v>
      </c>
      <c r="W150" s="13"/>
      <c r="X150" s="13">
        <f t="shared" si="102"/>
        <v>328922</v>
      </c>
      <c r="Y150" s="14"/>
      <c r="Z150" s="88">
        <v>26294</v>
      </c>
      <c r="AA150" s="13"/>
      <c r="AB150" s="18">
        <f t="shared" si="103"/>
        <v>355216</v>
      </c>
      <c r="AC150" s="14"/>
      <c r="AD150" s="88">
        <v>30443</v>
      </c>
      <c r="AE150" s="13"/>
      <c r="AF150" s="13">
        <f t="shared" si="104"/>
        <v>385659</v>
      </c>
      <c r="AG150" s="14"/>
      <c r="AH150" s="88">
        <v>32943</v>
      </c>
      <c r="AI150" s="13"/>
      <c r="AJ150" s="13">
        <f t="shared" si="105"/>
        <v>418602</v>
      </c>
      <c r="AK150" s="14"/>
      <c r="AL150" s="88">
        <v>26815</v>
      </c>
      <c r="AM150" s="13"/>
      <c r="AN150" s="13">
        <f t="shared" si="106"/>
        <v>445417</v>
      </c>
      <c r="AO150" s="14"/>
      <c r="AP150" s="88">
        <v>51018</v>
      </c>
      <c r="AQ150" s="13"/>
      <c r="AR150" s="13">
        <f t="shared" si="107"/>
        <v>496435</v>
      </c>
      <c r="AS150" s="14"/>
    </row>
    <row r="151" spans="1:45" ht="21" customHeight="1" x14ac:dyDescent="0.25">
      <c r="A151" s="12" t="s">
        <v>73</v>
      </c>
      <c r="B151" s="13">
        <v>0</v>
      </c>
      <c r="C151" s="13">
        <v>0</v>
      </c>
      <c r="D151" s="13">
        <f t="shared" si="109"/>
        <v>0</v>
      </c>
      <c r="E151" s="14"/>
      <c r="F151" s="13"/>
      <c r="G151" s="13">
        <v>0</v>
      </c>
      <c r="H151" s="13">
        <f t="shared" si="112"/>
        <v>0</v>
      </c>
      <c r="I151" s="88">
        <v>12.82</v>
      </c>
      <c r="J151" s="13"/>
      <c r="K151" s="55">
        <f t="shared" si="110"/>
        <v>12.82</v>
      </c>
      <c r="L151" s="88">
        <v>36858</v>
      </c>
      <c r="M151" s="13"/>
      <c r="N151" s="193">
        <f t="shared" si="76"/>
        <v>36870.82</v>
      </c>
      <c r="O151" s="211"/>
      <c r="P151" s="13"/>
      <c r="Q151" s="13">
        <f t="shared" si="77"/>
        <v>36870.82</v>
      </c>
      <c r="R151" s="88">
        <v>0</v>
      </c>
      <c r="S151" s="13"/>
      <c r="T151" s="13">
        <f t="shared" si="111"/>
        <v>36870.82</v>
      </c>
      <c r="U151" s="14"/>
      <c r="V151" s="88">
        <v>75</v>
      </c>
      <c r="W151" s="13"/>
      <c r="X151" s="13">
        <f t="shared" si="102"/>
        <v>36945.82</v>
      </c>
      <c r="Y151" s="14"/>
      <c r="Z151" s="88">
        <v>5</v>
      </c>
      <c r="AA151" s="13"/>
      <c r="AB151" s="18">
        <f t="shared" si="103"/>
        <v>36950.82</v>
      </c>
      <c r="AC151" s="14"/>
      <c r="AD151" s="88">
        <v>28513</v>
      </c>
      <c r="AE151" s="13"/>
      <c r="AF151" s="13">
        <f t="shared" si="104"/>
        <v>65463.82</v>
      </c>
      <c r="AG151" s="14"/>
      <c r="AH151" s="88">
        <v>2000</v>
      </c>
      <c r="AI151" s="13"/>
      <c r="AJ151" s="13">
        <f t="shared" si="105"/>
        <v>67463.820000000007</v>
      </c>
      <c r="AK151" s="14"/>
      <c r="AL151" s="88">
        <v>0</v>
      </c>
      <c r="AM151" s="13"/>
      <c r="AN151" s="13">
        <f t="shared" si="106"/>
        <v>67463.820000000007</v>
      </c>
      <c r="AO151" s="14"/>
      <c r="AP151" s="88">
        <v>0</v>
      </c>
      <c r="AQ151" s="13"/>
      <c r="AR151" s="13">
        <f t="shared" si="107"/>
        <v>67463.820000000007</v>
      </c>
      <c r="AS151" s="14"/>
    </row>
    <row r="152" spans="1:45" x14ac:dyDescent="0.25">
      <c r="A152" s="12" t="s">
        <v>262</v>
      </c>
      <c r="B152" s="13">
        <v>0</v>
      </c>
      <c r="C152" s="13">
        <v>0</v>
      </c>
      <c r="D152" s="13">
        <f t="shared" si="109"/>
        <v>0</v>
      </c>
      <c r="E152" s="14"/>
      <c r="F152" s="13">
        <v>0</v>
      </c>
      <c r="G152" s="13">
        <v>0</v>
      </c>
      <c r="H152" s="13">
        <f t="shared" si="112"/>
        <v>0</v>
      </c>
      <c r="I152" s="88">
        <v>0</v>
      </c>
      <c r="J152" s="13">
        <v>0</v>
      </c>
      <c r="K152" s="55">
        <f t="shared" si="110"/>
        <v>0</v>
      </c>
      <c r="L152" s="88">
        <v>0</v>
      </c>
      <c r="M152" s="13">
        <v>0</v>
      </c>
      <c r="N152" s="193">
        <f t="shared" si="76"/>
        <v>0</v>
      </c>
      <c r="O152" s="211"/>
      <c r="P152" s="13">
        <v>0</v>
      </c>
      <c r="Q152" s="13">
        <f t="shared" si="77"/>
        <v>0</v>
      </c>
      <c r="R152" s="88"/>
      <c r="S152" s="13">
        <v>0</v>
      </c>
      <c r="T152" s="13">
        <f t="shared" si="111"/>
        <v>0</v>
      </c>
      <c r="U152" s="14"/>
      <c r="V152" s="88">
        <v>0</v>
      </c>
      <c r="W152" s="13">
        <v>0</v>
      </c>
      <c r="X152" s="13">
        <f t="shared" si="102"/>
        <v>0</v>
      </c>
      <c r="Y152" s="14"/>
      <c r="Z152" s="88">
        <v>0</v>
      </c>
      <c r="AA152" s="13">
        <v>0</v>
      </c>
      <c r="AB152" s="18">
        <f t="shared" si="103"/>
        <v>0</v>
      </c>
      <c r="AC152" s="14"/>
      <c r="AD152" s="88">
        <v>0</v>
      </c>
      <c r="AE152" s="13">
        <v>0</v>
      </c>
      <c r="AF152" s="13">
        <f t="shared" si="104"/>
        <v>0</v>
      </c>
      <c r="AG152" s="14"/>
      <c r="AH152" s="88">
        <v>0</v>
      </c>
      <c r="AI152" s="13">
        <v>0</v>
      </c>
      <c r="AJ152" s="13">
        <f t="shared" si="105"/>
        <v>0</v>
      </c>
      <c r="AK152" s="14"/>
      <c r="AL152" s="88"/>
      <c r="AM152" s="13">
        <v>0</v>
      </c>
      <c r="AN152" s="13">
        <f t="shared" si="106"/>
        <v>0</v>
      </c>
      <c r="AO152" s="14"/>
      <c r="AP152" s="88"/>
      <c r="AQ152" s="13">
        <v>0</v>
      </c>
      <c r="AR152" s="13">
        <f t="shared" si="107"/>
        <v>0</v>
      </c>
      <c r="AS152" s="14"/>
    </row>
    <row r="153" spans="1:45" x14ac:dyDescent="0.25">
      <c r="A153" s="12" t="s">
        <v>261</v>
      </c>
      <c r="B153" s="90">
        <v>28513</v>
      </c>
      <c r="C153" s="90"/>
      <c r="D153" s="13">
        <f t="shared" si="109"/>
        <v>28513</v>
      </c>
      <c r="E153" s="14"/>
      <c r="F153" s="13">
        <v>26993</v>
      </c>
      <c r="G153" s="13"/>
      <c r="H153" s="13">
        <f t="shared" si="112"/>
        <v>55506</v>
      </c>
      <c r="I153" s="88">
        <v>26993</v>
      </c>
      <c r="J153" s="13"/>
      <c r="K153" s="55">
        <f t="shared" si="110"/>
        <v>82499</v>
      </c>
      <c r="L153" s="88">
        <v>30033</v>
      </c>
      <c r="M153" s="13"/>
      <c r="N153" s="193">
        <f t="shared" si="76"/>
        <v>112532</v>
      </c>
      <c r="O153" s="211">
        <v>26993</v>
      </c>
      <c r="P153" s="13"/>
      <c r="Q153" s="13">
        <f t="shared" si="77"/>
        <v>139525</v>
      </c>
      <c r="R153" s="88">
        <v>41341</v>
      </c>
      <c r="S153" s="13"/>
      <c r="T153" s="13">
        <f t="shared" si="111"/>
        <v>180866</v>
      </c>
      <c r="U153" s="14"/>
      <c r="V153" s="88">
        <v>30033</v>
      </c>
      <c r="W153" s="13"/>
      <c r="X153" s="13">
        <f t="shared" si="102"/>
        <v>210899</v>
      </c>
      <c r="Y153" s="14"/>
      <c r="Z153" s="88">
        <v>28513</v>
      </c>
      <c r="AA153" s="13"/>
      <c r="AB153" s="18">
        <f t="shared" si="103"/>
        <v>239412</v>
      </c>
      <c r="AC153" s="14"/>
      <c r="AD153" s="88"/>
      <c r="AE153" s="13"/>
      <c r="AF153" s="13">
        <f t="shared" si="104"/>
        <v>239412</v>
      </c>
      <c r="AG153" s="14"/>
      <c r="AH153" s="88">
        <v>28513</v>
      </c>
      <c r="AI153" s="13"/>
      <c r="AJ153" s="13">
        <f t="shared" si="105"/>
        <v>267925</v>
      </c>
      <c r="AK153" s="14"/>
      <c r="AL153" s="88">
        <v>26993.1</v>
      </c>
      <c r="AM153" s="13"/>
      <c r="AN153" s="13">
        <f t="shared" si="106"/>
        <v>294918.09999999998</v>
      </c>
      <c r="AO153" s="14"/>
      <c r="AP153" s="88">
        <v>30053</v>
      </c>
      <c r="AQ153" s="13"/>
      <c r="AR153" s="13">
        <f t="shared" si="107"/>
        <v>324971.09999999998</v>
      </c>
      <c r="AS153" s="14"/>
    </row>
    <row r="154" spans="1:45" ht="30.75" customHeight="1" x14ac:dyDescent="0.25">
      <c r="A154" s="205" t="s">
        <v>58</v>
      </c>
      <c r="B154" s="206">
        <f>+B155</f>
        <v>0</v>
      </c>
      <c r="C154" s="206">
        <v>0</v>
      </c>
      <c r="D154" s="207">
        <f t="shared" ref="D154:D155" si="113">+B154</f>
        <v>0</v>
      </c>
      <c r="E154" s="208"/>
      <c r="F154" s="207">
        <f>+F155+F156</f>
        <v>0</v>
      </c>
      <c r="G154" s="207">
        <v>0</v>
      </c>
      <c r="H154" s="18">
        <f t="shared" si="108"/>
        <v>0</v>
      </c>
      <c r="I154" s="209">
        <f>I155</f>
        <v>0</v>
      </c>
      <c r="J154" s="207">
        <v>0</v>
      </c>
      <c r="K154" s="204">
        <f t="shared" si="75"/>
        <v>0</v>
      </c>
      <c r="L154" s="209"/>
      <c r="M154" s="207">
        <v>0</v>
      </c>
      <c r="N154" s="193">
        <f t="shared" si="76"/>
        <v>0</v>
      </c>
      <c r="O154" s="207"/>
      <c r="P154" s="207">
        <v>0</v>
      </c>
      <c r="Q154" s="18">
        <f t="shared" si="77"/>
        <v>0</v>
      </c>
      <c r="R154" s="209">
        <f>R155</f>
        <v>0</v>
      </c>
      <c r="S154" s="207">
        <v>0</v>
      </c>
      <c r="T154" s="18">
        <f t="shared" si="111"/>
        <v>0</v>
      </c>
      <c r="U154" s="208"/>
      <c r="V154" s="209">
        <f>V155+V156+V157</f>
        <v>0</v>
      </c>
      <c r="W154" s="207">
        <v>0</v>
      </c>
      <c r="X154" s="18">
        <f t="shared" si="102"/>
        <v>0</v>
      </c>
      <c r="Y154" s="208"/>
      <c r="Z154" s="209">
        <f>Z155</f>
        <v>0</v>
      </c>
      <c r="AA154" s="207">
        <v>0</v>
      </c>
      <c r="AB154" s="18">
        <f>X154+Z154</f>
        <v>0</v>
      </c>
      <c r="AC154" s="208"/>
      <c r="AD154" s="209">
        <f>AD155</f>
        <v>0</v>
      </c>
      <c r="AE154" s="207">
        <v>0</v>
      </c>
      <c r="AF154" s="18">
        <f>AB154+AD154</f>
        <v>0</v>
      </c>
      <c r="AG154" s="208"/>
      <c r="AH154" s="209">
        <f>AH155</f>
        <v>0</v>
      </c>
      <c r="AI154" s="207">
        <v>0</v>
      </c>
      <c r="AJ154" s="18">
        <f t="shared" si="105"/>
        <v>0</v>
      </c>
      <c r="AK154" s="208"/>
      <c r="AL154" s="209">
        <f>AL155</f>
        <v>0</v>
      </c>
      <c r="AM154" s="207">
        <v>0</v>
      </c>
      <c r="AN154" s="18">
        <f t="shared" si="106"/>
        <v>0</v>
      </c>
      <c r="AO154" s="208"/>
      <c r="AP154" s="209">
        <f>AP155</f>
        <v>0</v>
      </c>
      <c r="AQ154" s="207">
        <v>0</v>
      </c>
      <c r="AR154" s="18">
        <f t="shared" si="107"/>
        <v>0</v>
      </c>
      <c r="AS154" s="208"/>
    </row>
    <row r="155" spans="1:45" x14ac:dyDescent="0.25">
      <c r="A155" s="12" t="s">
        <v>59</v>
      </c>
      <c r="B155" s="6"/>
      <c r="C155" s="6">
        <v>0</v>
      </c>
      <c r="D155" s="13">
        <f t="shared" si="113"/>
        <v>0</v>
      </c>
      <c r="E155" s="14"/>
      <c r="F155" s="13"/>
      <c r="G155" s="13">
        <v>0</v>
      </c>
      <c r="H155" s="13">
        <f t="shared" si="108"/>
        <v>0</v>
      </c>
      <c r="I155" s="88"/>
      <c r="J155" s="13">
        <v>0</v>
      </c>
      <c r="K155" s="55">
        <f t="shared" si="75"/>
        <v>0</v>
      </c>
      <c r="L155" s="88"/>
      <c r="M155" s="13">
        <v>0</v>
      </c>
      <c r="N155" s="193">
        <f t="shared" si="76"/>
        <v>0</v>
      </c>
      <c r="O155" s="211"/>
      <c r="P155" s="13">
        <v>0</v>
      </c>
      <c r="Q155" s="13">
        <f t="shared" si="77"/>
        <v>0</v>
      </c>
      <c r="R155" s="88">
        <v>0</v>
      </c>
      <c r="S155" s="13">
        <v>0</v>
      </c>
      <c r="T155" s="13">
        <f t="shared" si="74"/>
        <v>0</v>
      </c>
      <c r="U155" s="14"/>
      <c r="V155" s="88">
        <v>0</v>
      </c>
      <c r="W155" s="13">
        <v>0</v>
      </c>
      <c r="X155" s="96">
        <f t="shared" si="102"/>
        <v>0</v>
      </c>
      <c r="Y155" s="14"/>
      <c r="Z155" s="88">
        <v>0</v>
      </c>
      <c r="AA155" s="13">
        <v>0</v>
      </c>
      <c r="AB155" s="18">
        <f t="shared" ref="AB155:AB159" si="114">X155+Z155</f>
        <v>0</v>
      </c>
      <c r="AC155" s="14"/>
      <c r="AD155" s="88">
        <v>0</v>
      </c>
      <c r="AE155" s="13">
        <v>0</v>
      </c>
      <c r="AF155" s="13">
        <f t="shared" si="104"/>
        <v>0</v>
      </c>
      <c r="AG155" s="14"/>
      <c r="AH155" s="88">
        <v>0</v>
      </c>
      <c r="AI155" s="13">
        <v>0</v>
      </c>
      <c r="AJ155" s="13">
        <f t="shared" si="105"/>
        <v>0</v>
      </c>
      <c r="AK155" s="14"/>
      <c r="AL155" s="88">
        <v>0</v>
      </c>
      <c r="AM155" s="13">
        <v>0</v>
      </c>
      <c r="AN155" s="13">
        <f>AJ155+AL155</f>
        <v>0</v>
      </c>
      <c r="AO155" s="14"/>
      <c r="AP155" s="88">
        <v>0</v>
      </c>
      <c r="AQ155" s="13">
        <v>0</v>
      </c>
      <c r="AR155" s="13">
        <f>AN155+AP155</f>
        <v>0</v>
      </c>
      <c r="AS155" s="14"/>
    </row>
    <row r="156" spans="1:45" x14ac:dyDescent="0.25">
      <c r="A156" s="12" t="s">
        <v>199</v>
      </c>
      <c r="B156" s="15"/>
      <c r="C156" s="15"/>
      <c r="D156" s="13">
        <f t="shared" ref="D156" si="115">+C156</f>
        <v>0</v>
      </c>
      <c r="E156" s="14"/>
      <c r="F156" s="13"/>
      <c r="G156" s="13">
        <v>0</v>
      </c>
      <c r="H156" s="13">
        <f t="shared" si="108"/>
        <v>0</v>
      </c>
      <c r="I156" s="88">
        <v>0</v>
      </c>
      <c r="J156" s="13">
        <v>0</v>
      </c>
      <c r="K156" s="55">
        <f t="shared" si="75"/>
        <v>0</v>
      </c>
      <c r="L156" s="88">
        <v>0</v>
      </c>
      <c r="M156" s="13">
        <v>0</v>
      </c>
      <c r="N156" s="193">
        <f t="shared" si="76"/>
        <v>0</v>
      </c>
      <c r="O156" s="211">
        <v>0</v>
      </c>
      <c r="P156" s="13">
        <v>0</v>
      </c>
      <c r="Q156" s="13">
        <f t="shared" si="77"/>
        <v>0</v>
      </c>
      <c r="R156" s="88">
        <v>0</v>
      </c>
      <c r="S156" s="13">
        <v>0</v>
      </c>
      <c r="T156" s="13">
        <f t="shared" si="74"/>
        <v>0</v>
      </c>
      <c r="U156" s="14"/>
      <c r="V156" s="88">
        <v>0</v>
      </c>
      <c r="W156" s="13">
        <v>0</v>
      </c>
      <c r="X156" s="96">
        <f t="shared" si="102"/>
        <v>0</v>
      </c>
      <c r="Y156" s="14"/>
      <c r="Z156" s="88">
        <v>0</v>
      </c>
      <c r="AA156" s="13">
        <v>0</v>
      </c>
      <c r="AB156" s="18">
        <f t="shared" si="114"/>
        <v>0</v>
      </c>
      <c r="AC156" s="14"/>
      <c r="AD156" s="88">
        <v>0</v>
      </c>
      <c r="AE156" s="13">
        <v>0</v>
      </c>
      <c r="AF156" s="13">
        <f t="shared" si="104"/>
        <v>0</v>
      </c>
      <c r="AG156" s="14"/>
      <c r="AH156" s="88">
        <v>0</v>
      </c>
      <c r="AI156" s="13">
        <v>0</v>
      </c>
      <c r="AJ156" s="13">
        <f t="shared" si="105"/>
        <v>0</v>
      </c>
      <c r="AK156" s="14"/>
      <c r="AL156" s="88">
        <v>0</v>
      </c>
      <c r="AM156" s="13">
        <v>0</v>
      </c>
      <c r="AN156" s="13">
        <f t="shared" ref="AN156" si="116">AJ156+AL156</f>
        <v>0</v>
      </c>
      <c r="AO156" s="14"/>
      <c r="AP156" s="88">
        <v>0</v>
      </c>
      <c r="AQ156" s="13">
        <v>0</v>
      </c>
      <c r="AR156" s="13">
        <f t="shared" ref="AR156" si="117">AN156+AP156</f>
        <v>0</v>
      </c>
      <c r="AS156" s="14"/>
    </row>
    <row r="157" spans="1:45" x14ac:dyDescent="0.25">
      <c r="A157" s="12" t="s">
        <v>260</v>
      </c>
      <c r="B157" s="15"/>
      <c r="C157" s="15"/>
      <c r="D157" s="13"/>
      <c r="E157" s="14"/>
      <c r="F157" s="13"/>
      <c r="G157" s="13"/>
      <c r="H157" s="13"/>
      <c r="I157" s="88"/>
      <c r="J157" s="13"/>
      <c r="K157" s="200"/>
      <c r="L157" s="196"/>
      <c r="M157" s="45"/>
      <c r="N157" s="193"/>
      <c r="O157" s="211"/>
      <c r="P157" s="13"/>
      <c r="Q157" s="13">
        <f t="shared" si="77"/>
        <v>0</v>
      </c>
      <c r="R157" s="13">
        <f>R159+R160</f>
        <v>0</v>
      </c>
      <c r="S157" s="13"/>
      <c r="T157" s="13">
        <f t="shared" si="74"/>
        <v>0</v>
      </c>
      <c r="U157" s="14"/>
      <c r="V157" s="13">
        <f>V158+V159</f>
        <v>0</v>
      </c>
      <c r="W157" s="13"/>
      <c r="X157" s="96">
        <f t="shared" si="102"/>
        <v>0</v>
      </c>
      <c r="Y157" s="14"/>
      <c r="Z157" s="13"/>
      <c r="AA157" s="13"/>
      <c r="AB157" s="18">
        <f t="shared" si="114"/>
        <v>0</v>
      </c>
      <c r="AC157" s="14"/>
      <c r="AD157" s="13"/>
      <c r="AE157" s="13"/>
      <c r="AF157" s="13">
        <f t="shared" si="104"/>
        <v>0</v>
      </c>
      <c r="AG157" s="14"/>
      <c r="AH157" s="13"/>
      <c r="AI157" s="13"/>
      <c r="AJ157" s="13">
        <f t="shared" si="105"/>
        <v>0</v>
      </c>
      <c r="AK157" s="14"/>
      <c r="AL157" s="13"/>
      <c r="AM157" s="13"/>
      <c r="AN157" s="96">
        <f>AJ157+AL157</f>
        <v>0</v>
      </c>
      <c r="AO157" s="14"/>
      <c r="AP157" s="13"/>
      <c r="AQ157" s="13"/>
      <c r="AR157" s="96">
        <f>AN157+AP157</f>
        <v>0</v>
      </c>
      <c r="AS157" s="14"/>
    </row>
    <row r="158" spans="1:45" x14ac:dyDescent="0.25">
      <c r="A158" s="12"/>
      <c r="B158" s="15"/>
      <c r="C158" s="15"/>
      <c r="D158" s="13"/>
      <c r="E158" s="14"/>
      <c r="F158" s="13"/>
      <c r="G158" s="13"/>
      <c r="H158" s="13"/>
      <c r="I158" s="88"/>
      <c r="J158" s="13"/>
      <c r="K158" s="200"/>
      <c r="L158" s="196"/>
      <c r="M158" s="45"/>
      <c r="N158" s="193"/>
      <c r="O158" s="211"/>
      <c r="P158" s="13"/>
      <c r="Q158" s="13"/>
      <c r="R158" s="13"/>
      <c r="S158" s="13"/>
      <c r="T158" s="13"/>
      <c r="U158" s="14"/>
      <c r="V158" s="13"/>
      <c r="W158" s="13"/>
      <c r="X158" s="96"/>
      <c r="Y158" s="14"/>
      <c r="Z158" s="13"/>
      <c r="AA158" s="13"/>
      <c r="AB158" s="18"/>
      <c r="AC158" s="14"/>
      <c r="AD158" s="13"/>
      <c r="AE158" s="13"/>
      <c r="AF158" s="13"/>
      <c r="AG158" s="14"/>
      <c r="AH158" s="13"/>
      <c r="AI158" s="13"/>
      <c r="AJ158" s="13"/>
      <c r="AK158" s="14"/>
      <c r="AL158" s="13"/>
      <c r="AM158" s="13"/>
      <c r="AN158" s="96"/>
      <c r="AO158" s="14"/>
      <c r="AP158" s="13"/>
      <c r="AQ158" s="13"/>
      <c r="AR158" s="96"/>
      <c r="AS158" s="14"/>
    </row>
    <row r="159" spans="1:45" x14ac:dyDescent="0.25">
      <c r="A159" s="12" t="s">
        <v>78</v>
      </c>
      <c r="B159" s="15"/>
      <c r="C159" s="15"/>
      <c r="D159" s="13"/>
      <c r="E159" s="14"/>
      <c r="F159" s="13"/>
      <c r="G159" s="13"/>
      <c r="H159" s="13"/>
      <c r="I159" s="88"/>
      <c r="J159" s="13"/>
      <c r="K159" s="200"/>
      <c r="L159" s="196"/>
      <c r="M159" s="45"/>
      <c r="N159" s="193"/>
      <c r="O159" s="211"/>
      <c r="P159" s="13"/>
      <c r="Q159" s="13"/>
      <c r="R159" s="13"/>
      <c r="S159" s="13"/>
      <c r="T159" s="13">
        <f t="shared" ref="T159" si="118">+Q159+R159</f>
        <v>0</v>
      </c>
      <c r="U159" s="14"/>
      <c r="V159" s="13"/>
      <c r="W159" s="13"/>
      <c r="X159" s="96">
        <f t="shared" si="102"/>
        <v>0</v>
      </c>
      <c r="Y159" s="14"/>
      <c r="Z159" s="13"/>
      <c r="AA159" s="13"/>
      <c r="AB159" s="18">
        <f t="shared" si="114"/>
        <v>0</v>
      </c>
      <c r="AC159" s="14"/>
      <c r="AD159" s="13"/>
      <c r="AE159" s="13"/>
      <c r="AF159" s="13">
        <f t="shared" si="104"/>
        <v>0</v>
      </c>
      <c r="AG159" s="14"/>
      <c r="AH159" s="13"/>
      <c r="AI159" s="13"/>
      <c r="AJ159" s="13">
        <f t="shared" si="105"/>
        <v>0</v>
      </c>
      <c r="AK159" s="14"/>
      <c r="AL159" s="13"/>
      <c r="AM159" s="13"/>
      <c r="AN159" s="13">
        <f>AJ159+AL159</f>
        <v>0</v>
      </c>
      <c r="AO159" s="14"/>
      <c r="AP159" s="13"/>
      <c r="AQ159" s="13"/>
      <c r="AR159" s="13">
        <f>AN159+AP159</f>
        <v>0</v>
      </c>
      <c r="AS159" s="14"/>
    </row>
    <row r="160" spans="1:45" x14ac:dyDescent="0.25">
      <c r="A160" s="12"/>
      <c r="B160" s="15"/>
      <c r="C160" s="15"/>
      <c r="D160" s="13"/>
      <c r="E160" s="14"/>
      <c r="F160" s="13"/>
      <c r="G160" s="13"/>
      <c r="H160" s="13"/>
      <c r="I160" s="88"/>
      <c r="J160" s="13"/>
      <c r="K160" s="194">
        <f>H160+J160</f>
        <v>0</v>
      </c>
      <c r="L160" s="196">
        <v>0</v>
      </c>
      <c r="M160" s="45"/>
      <c r="N160" s="193"/>
      <c r="O160" s="211"/>
      <c r="P160" s="13"/>
      <c r="Q160" s="13">
        <f t="shared" ref="Q160" si="119">+N160-O160</f>
        <v>0</v>
      </c>
      <c r="R160" s="13"/>
      <c r="S160" s="13"/>
      <c r="T160" s="13">
        <f>+Q160+R160</f>
        <v>0</v>
      </c>
      <c r="U160" s="14"/>
      <c r="V160" s="13"/>
      <c r="W160" s="13"/>
      <c r="X160" s="96">
        <f t="shared" si="102"/>
        <v>0</v>
      </c>
      <c r="Y160" s="14"/>
      <c r="Z160" s="13"/>
      <c r="AA160" s="13"/>
      <c r="AB160" s="18"/>
      <c r="AC160" s="14"/>
      <c r="AD160" s="13"/>
      <c r="AE160" s="13"/>
      <c r="AF160" s="13"/>
      <c r="AG160" s="14"/>
      <c r="AH160" s="13"/>
      <c r="AI160" s="13"/>
      <c r="AJ160" s="13"/>
      <c r="AK160" s="14"/>
      <c r="AL160" s="13"/>
      <c r="AM160" s="13"/>
      <c r="AN160" s="13"/>
      <c r="AO160" s="14"/>
      <c r="AP160" s="13"/>
      <c r="AQ160" s="13"/>
      <c r="AR160" s="13"/>
      <c r="AS160" s="14"/>
    </row>
    <row r="161" spans="1:45" x14ac:dyDescent="0.25">
      <c r="A161" s="12" t="s">
        <v>60</v>
      </c>
      <c r="B161" s="13"/>
      <c r="C161" s="13">
        <f>C7</f>
        <v>7389490</v>
      </c>
      <c r="D161" s="13">
        <f>+C161</f>
        <v>7389490</v>
      </c>
      <c r="E161" s="14"/>
      <c r="F161" s="13"/>
      <c r="G161" s="13">
        <f>G7</f>
        <v>8720667</v>
      </c>
      <c r="H161" s="13">
        <f>+G161</f>
        <v>8720667</v>
      </c>
      <c r="I161" s="88"/>
      <c r="J161" s="13">
        <f>J7</f>
        <v>12280462</v>
      </c>
      <c r="K161" s="194">
        <f>+J161</f>
        <v>12280462</v>
      </c>
      <c r="L161" s="196"/>
      <c r="M161" s="45">
        <f>M7</f>
        <v>17607136</v>
      </c>
      <c r="N161" s="193">
        <f>+M161</f>
        <v>17607136</v>
      </c>
      <c r="O161" s="211"/>
      <c r="P161" s="13">
        <f>P7</f>
        <v>12093995</v>
      </c>
      <c r="Q161" s="13">
        <f>+P161</f>
        <v>12093995</v>
      </c>
      <c r="R161" s="13"/>
      <c r="S161" s="13">
        <f>S7</f>
        <v>8411424</v>
      </c>
      <c r="T161" s="13">
        <f>+S161</f>
        <v>8411424</v>
      </c>
      <c r="U161" s="14"/>
      <c r="V161" s="13"/>
      <c r="W161" s="13">
        <f>W7</f>
        <v>6302884</v>
      </c>
      <c r="X161" s="13">
        <f>+W161</f>
        <v>6302884</v>
      </c>
      <c r="Y161" s="14"/>
      <c r="Z161" s="13"/>
      <c r="AA161" s="13">
        <f>AA7</f>
        <v>15173848</v>
      </c>
      <c r="AB161" s="18">
        <f>+AA161</f>
        <v>15173848</v>
      </c>
      <c r="AC161" s="14"/>
      <c r="AD161" s="13"/>
      <c r="AE161" s="13">
        <f>AE7</f>
        <v>14486836</v>
      </c>
      <c r="AF161" s="13">
        <f>+AE161</f>
        <v>14486836</v>
      </c>
      <c r="AG161" s="14"/>
      <c r="AH161" s="13"/>
      <c r="AI161" s="13">
        <f>AI7</f>
        <v>16134322</v>
      </c>
      <c r="AJ161" s="13">
        <f>+AI161</f>
        <v>16134322</v>
      </c>
      <c r="AK161" s="14"/>
      <c r="AL161" s="13">
        <f>+AL7</f>
        <v>1544330</v>
      </c>
      <c r="AM161" s="13">
        <f>AM7</f>
        <v>14740973</v>
      </c>
      <c r="AN161" s="13">
        <f>+AM161</f>
        <v>14740973</v>
      </c>
      <c r="AO161" s="14"/>
      <c r="AP161" s="13"/>
      <c r="AQ161" s="13">
        <f>AQ7</f>
        <v>14435564</v>
      </c>
      <c r="AR161" s="13">
        <f>+AQ161</f>
        <v>14435564</v>
      </c>
      <c r="AS161" s="14"/>
    </row>
    <row r="162" spans="1:45" ht="32.25" customHeight="1" x14ac:dyDescent="0.25">
      <c r="A162" s="12" t="s">
        <v>64</v>
      </c>
      <c r="B162" s="13"/>
      <c r="C162" s="13">
        <f>C161-C21</f>
        <v>7389490</v>
      </c>
      <c r="D162" s="13">
        <f>+C162</f>
        <v>7389490</v>
      </c>
      <c r="E162" s="14"/>
      <c r="F162" s="13"/>
      <c r="G162" s="13">
        <f>G161-G21</f>
        <v>8720667</v>
      </c>
      <c r="H162" s="13">
        <f>+G162</f>
        <v>8720667</v>
      </c>
      <c r="I162" s="88"/>
      <c r="J162" s="13">
        <f>J161-J21</f>
        <v>12280462</v>
      </c>
      <c r="K162" s="194">
        <f>+J162</f>
        <v>12280462</v>
      </c>
      <c r="L162" s="196"/>
      <c r="M162" s="45">
        <f>M161-M21</f>
        <v>17607136</v>
      </c>
      <c r="N162" s="193">
        <f>+M162</f>
        <v>17607136</v>
      </c>
      <c r="O162" s="211"/>
      <c r="P162" s="13">
        <f>P161-P21</f>
        <v>12093995</v>
      </c>
      <c r="Q162" s="13">
        <f>+N162+P162-O162</f>
        <v>29701131</v>
      </c>
      <c r="R162" s="13"/>
      <c r="S162" s="13">
        <f>S161-S21</f>
        <v>8411424</v>
      </c>
      <c r="T162" s="13">
        <f>+S162</f>
        <v>8411424</v>
      </c>
      <c r="U162" s="14"/>
      <c r="V162" s="13"/>
      <c r="W162" s="13">
        <f>W161-W21</f>
        <v>6302884</v>
      </c>
      <c r="X162" s="13">
        <f>+W162</f>
        <v>6302884</v>
      </c>
      <c r="Y162" s="14"/>
      <c r="Z162" s="13"/>
      <c r="AA162" s="13">
        <f>+AA161</f>
        <v>15173848</v>
      </c>
      <c r="AB162" s="18">
        <f>+AA162</f>
        <v>15173848</v>
      </c>
      <c r="AC162" s="14"/>
      <c r="AD162" s="13"/>
      <c r="AE162" s="13">
        <f>AE161-AE21</f>
        <v>14486836</v>
      </c>
      <c r="AF162" s="13">
        <f>+AE162</f>
        <v>14486836</v>
      </c>
      <c r="AG162" s="14"/>
      <c r="AH162" s="13"/>
      <c r="AI162" s="13">
        <f>AI161-AI21</f>
        <v>16134322</v>
      </c>
      <c r="AJ162" s="13">
        <f>+AI162</f>
        <v>16134322</v>
      </c>
      <c r="AK162" s="14"/>
      <c r="AL162" s="13">
        <f>+AL161</f>
        <v>1544330</v>
      </c>
      <c r="AM162" s="13">
        <f>AM161-AM21</f>
        <v>14740973</v>
      </c>
      <c r="AN162" s="13">
        <f>+AM162</f>
        <v>14740973</v>
      </c>
      <c r="AO162" s="14"/>
      <c r="AP162" s="13"/>
      <c r="AQ162" s="13">
        <f>AQ161-AQ21</f>
        <v>14435564</v>
      </c>
      <c r="AR162" s="13">
        <f>+AQ162</f>
        <v>14435564</v>
      </c>
      <c r="AS162" s="14"/>
    </row>
    <row r="163" spans="1:45" x14ac:dyDescent="0.25">
      <c r="A163" s="12" t="s">
        <v>61</v>
      </c>
      <c r="B163" s="13">
        <f>B29-B123</f>
        <v>9947041</v>
      </c>
      <c r="C163" s="13">
        <v>0</v>
      </c>
      <c r="D163" s="11">
        <f>+B163</f>
        <v>9947041</v>
      </c>
      <c r="E163" s="14"/>
      <c r="F163" s="13">
        <f>F29-F123</f>
        <v>13136716</v>
      </c>
      <c r="G163" s="13">
        <v>0</v>
      </c>
      <c r="H163" s="11">
        <f>+D163+F163</f>
        <v>23083757</v>
      </c>
      <c r="I163" s="88">
        <f>I29-I123</f>
        <v>11222287.82</v>
      </c>
      <c r="J163" s="13">
        <v>0</v>
      </c>
      <c r="K163" s="201">
        <f>+H163+I163</f>
        <v>34306044.82</v>
      </c>
      <c r="L163" s="123">
        <f>L29-L123</f>
        <v>13880419</v>
      </c>
      <c r="M163" s="15">
        <v>0</v>
      </c>
      <c r="N163" s="193">
        <f>+K163+L163</f>
        <v>48186463.82</v>
      </c>
      <c r="O163" s="211">
        <f>+O30+O145</f>
        <v>12971414</v>
      </c>
      <c r="P163" s="13">
        <v>0</v>
      </c>
      <c r="Q163" s="11">
        <f>+N163+O163</f>
        <v>61157877.82</v>
      </c>
      <c r="R163" s="13">
        <f>R30+R145</f>
        <v>10918657</v>
      </c>
      <c r="S163" s="13">
        <v>0</v>
      </c>
      <c r="T163" s="11">
        <f>+Q163+R163</f>
        <v>72076534.819999993</v>
      </c>
      <c r="U163" s="14"/>
      <c r="V163" s="13">
        <f>V30+V145</f>
        <v>11152404</v>
      </c>
      <c r="W163" s="13">
        <v>0</v>
      </c>
      <c r="X163" s="11">
        <f>+U163+V163</f>
        <v>11152404</v>
      </c>
      <c r="Y163" s="14"/>
      <c r="Z163" s="13">
        <f>Z29-Z123</f>
        <v>11530628</v>
      </c>
      <c r="AA163" s="13">
        <v>0</v>
      </c>
      <c r="AB163" s="11">
        <f>+Y163+Z163</f>
        <v>11530628</v>
      </c>
      <c r="AC163" s="225">
        <f>Q165+T165+X165+AB165</f>
        <v>-4590952</v>
      </c>
      <c r="AD163" s="13">
        <f>AD29-AD123</f>
        <v>14014468</v>
      </c>
      <c r="AE163" s="13">
        <v>0</v>
      </c>
      <c r="AF163" s="11">
        <f>+AC163+AD163</f>
        <v>9423516</v>
      </c>
      <c r="AG163" s="14"/>
      <c r="AH163" s="13">
        <f>AH29-AH123</f>
        <v>14110605</v>
      </c>
      <c r="AI163" s="13">
        <v>0</v>
      </c>
      <c r="AJ163" s="11">
        <f>+AG163+AH163</f>
        <v>14110605</v>
      </c>
      <c r="AK163" s="14"/>
      <c r="AL163" s="13">
        <f>AL29+AL161</f>
        <v>13629188.1</v>
      </c>
      <c r="AM163" s="13">
        <v>0</v>
      </c>
      <c r="AN163" s="11">
        <f>+AJ163+AL163</f>
        <v>27739793.100000001</v>
      </c>
      <c r="AO163" s="14"/>
      <c r="AP163" s="13">
        <f>AP29</f>
        <v>14343828</v>
      </c>
      <c r="AQ163" s="13">
        <v>0</v>
      </c>
      <c r="AR163" s="11">
        <f>+AN163+AP163</f>
        <v>42083621.100000001</v>
      </c>
      <c r="AS163" s="14"/>
    </row>
    <row r="164" spans="1:45" ht="66" customHeight="1" x14ac:dyDescent="0.25">
      <c r="A164" s="269" t="s">
        <v>65</v>
      </c>
      <c r="B164" s="270">
        <f>B163</f>
        <v>9947041</v>
      </c>
      <c r="C164" s="270">
        <f>+C162</f>
        <v>7389490</v>
      </c>
      <c r="D164" s="270">
        <f>+C164-B164</f>
        <v>-2557551</v>
      </c>
      <c r="E164" s="270"/>
      <c r="F164" s="270">
        <f>F163</f>
        <v>13136716</v>
      </c>
      <c r="G164" s="270">
        <f>+G162+F7</f>
        <v>8720667</v>
      </c>
      <c r="H164" s="270">
        <f>+G164-F164</f>
        <v>-4416049</v>
      </c>
      <c r="I164" s="271">
        <f>I163</f>
        <v>11222287.82</v>
      </c>
      <c r="J164" s="270">
        <f>+J162+I8</f>
        <v>12280462</v>
      </c>
      <c r="K164" s="270">
        <f>+J164-I164</f>
        <v>1058174.1799999997</v>
      </c>
      <c r="L164" s="271">
        <f>L163</f>
        <v>13880419</v>
      </c>
      <c r="M164" s="270">
        <f>+M162</f>
        <v>17607136</v>
      </c>
      <c r="N164" s="270">
        <f>+M164-L164</f>
        <v>3726717</v>
      </c>
      <c r="O164" s="272">
        <f>+O163</f>
        <v>12971414</v>
      </c>
      <c r="P164" s="270">
        <f>+P162-O162</f>
        <v>12093995</v>
      </c>
      <c r="Q164" s="270">
        <f>+P164-O164</f>
        <v>-877419</v>
      </c>
      <c r="R164" s="270">
        <f>R163</f>
        <v>10918657</v>
      </c>
      <c r="S164" s="270">
        <f>+S162</f>
        <v>8411424</v>
      </c>
      <c r="T164" s="270">
        <f>+S164-R164</f>
        <v>-2507233</v>
      </c>
      <c r="U164" s="270"/>
      <c r="V164" s="270">
        <f>V163</f>
        <v>11152404</v>
      </c>
      <c r="W164" s="270">
        <f>+W162</f>
        <v>6302884</v>
      </c>
      <c r="X164" s="270">
        <f>+W164-V164</f>
        <v>-4849520</v>
      </c>
      <c r="Y164" s="270"/>
      <c r="Z164" s="270">
        <f>Z163</f>
        <v>11530628</v>
      </c>
      <c r="AA164" s="270">
        <f>+AA162-Z7</f>
        <v>15173848</v>
      </c>
      <c r="AB164" s="270">
        <f>+AA164-Z164</f>
        <v>3643220</v>
      </c>
      <c r="AC164" s="273" t="s">
        <v>182</v>
      </c>
      <c r="AD164" s="270">
        <f>AD163</f>
        <v>14014468</v>
      </c>
      <c r="AE164" s="270">
        <f>+AE162+AD7</f>
        <v>14486836</v>
      </c>
      <c r="AF164" s="270">
        <f>+AE164-AD164</f>
        <v>472368</v>
      </c>
      <c r="AG164" s="270"/>
      <c r="AH164" s="270">
        <f>AH163</f>
        <v>14110605</v>
      </c>
      <c r="AI164" s="270">
        <f>+AI162+AH7</f>
        <v>16134322</v>
      </c>
      <c r="AJ164" s="270">
        <f>+AI164-AH164</f>
        <v>2023717</v>
      </c>
      <c r="AK164" s="270"/>
      <c r="AL164" s="270">
        <f>AL163</f>
        <v>13629188.1</v>
      </c>
      <c r="AM164" s="270">
        <f>+AM162</f>
        <v>14740973</v>
      </c>
      <c r="AN164" s="270">
        <f>+AM164-AL164</f>
        <v>1111784.9000000004</v>
      </c>
      <c r="AO164" s="270"/>
      <c r="AP164" s="270">
        <f>AP163</f>
        <v>14343828</v>
      </c>
      <c r="AQ164" s="270">
        <f>+AQ162+AP7</f>
        <v>14435564</v>
      </c>
      <c r="AR164" s="270">
        <f>+AQ164-AP164</f>
        <v>91736</v>
      </c>
      <c r="AS164" s="270"/>
    </row>
    <row r="165" spans="1:45" s="276" customFormat="1" ht="25.5" customHeight="1" thickBot="1" x14ac:dyDescent="0.3">
      <c r="A165" s="274" t="s">
        <v>200</v>
      </c>
      <c r="B165" s="315" t="s">
        <v>201</v>
      </c>
      <c r="C165" s="315"/>
      <c r="D165" s="275">
        <f>+C164-B164</f>
        <v>-2557551</v>
      </c>
      <c r="F165" s="315" t="s">
        <v>97</v>
      </c>
      <c r="G165" s="315"/>
      <c r="H165" s="275">
        <f>+G164-F164</f>
        <v>-4416049</v>
      </c>
      <c r="I165" s="315" t="s">
        <v>202</v>
      </c>
      <c r="J165" s="315"/>
      <c r="K165" s="275">
        <f>+J164-I164</f>
        <v>1058174.1799999997</v>
      </c>
      <c r="L165" s="315" t="s">
        <v>99</v>
      </c>
      <c r="M165" s="315"/>
      <c r="N165" s="275">
        <f>+M164-L164</f>
        <v>3726717</v>
      </c>
      <c r="O165" s="315" t="s">
        <v>229</v>
      </c>
      <c r="P165" s="315"/>
      <c r="Q165" s="275">
        <f>+P164-O164</f>
        <v>-877419</v>
      </c>
      <c r="R165" s="315" t="s">
        <v>263</v>
      </c>
      <c r="S165" s="315"/>
      <c r="T165" s="275">
        <f>+S164-R164</f>
        <v>-2507233</v>
      </c>
      <c r="V165" s="315" t="s">
        <v>230</v>
      </c>
      <c r="W165" s="315"/>
      <c r="X165" s="275">
        <f>+W164-V164</f>
        <v>-4849520</v>
      </c>
      <c r="AA165" s="276" t="s">
        <v>231</v>
      </c>
      <c r="AB165" s="275">
        <f>+AA164-Z164</f>
        <v>3643220</v>
      </c>
      <c r="AD165" s="315" t="s">
        <v>345</v>
      </c>
      <c r="AE165" s="315"/>
      <c r="AF165" s="275">
        <f>+AE164-AD164</f>
        <v>472368</v>
      </c>
      <c r="AH165" s="315" t="s">
        <v>265</v>
      </c>
      <c r="AI165" s="315"/>
      <c r="AJ165" s="275">
        <f>+AI164-AH164</f>
        <v>2023717</v>
      </c>
      <c r="AL165" s="315" t="s">
        <v>266</v>
      </c>
      <c r="AM165" s="315"/>
      <c r="AN165" s="275">
        <f>+AM164-AL164</f>
        <v>1111784.9000000004</v>
      </c>
      <c r="AP165" s="315" t="s">
        <v>346</v>
      </c>
      <c r="AQ165" s="315"/>
      <c r="AR165" s="275">
        <f>+AQ164-AP164</f>
        <v>91736</v>
      </c>
    </row>
    <row r="166" spans="1:45" ht="24.75" customHeight="1" thickTop="1" x14ac:dyDescent="0.25">
      <c r="I166" s="5"/>
      <c r="J166" s="5"/>
      <c r="K166" s="277"/>
      <c r="N166" s="277"/>
      <c r="P166"/>
    </row>
    <row r="167" spans="1:45" s="280" customFormat="1" ht="31.5" customHeight="1" thickBot="1" x14ac:dyDescent="0.3">
      <c r="A167" s="278" t="s">
        <v>344</v>
      </c>
      <c r="B167" s="314" t="s">
        <v>201</v>
      </c>
      <c r="C167" s="314"/>
      <c r="D167" s="279">
        <f>+D165</f>
        <v>-2557551</v>
      </c>
      <c r="E167" s="278"/>
      <c r="F167" s="314" t="s">
        <v>97</v>
      </c>
      <c r="G167" s="314"/>
      <c r="H167" s="279">
        <f>+D167+H165</f>
        <v>-6973600</v>
      </c>
      <c r="I167" s="314" t="s">
        <v>202</v>
      </c>
      <c r="J167" s="314"/>
      <c r="K167" s="279">
        <f>+H167+K165</f>
        <v>-5915425.8200000003</v>
      </c>
      <c r="L167" s="314" t="s">
        <v>99</v>
      </c>
      <c r="M167" s="314"/>
      <c r="N167" s="279">
        <f>+K167+N165</f>
        <v>-2188708.8200000003</v>
      </c>
      <c r="O167" s="314" t="s">
        <v>229</v>
      </c>
      <c r="P167" s="314"/>
      <c r="Q167" s="279">
        <f>+N167+Q165</f>
        <v>-3066127.8200000003</v>
      </c>
      <c r="R167" s="314" t="s">
        <v>263</v>
      </c>
      <c r="S167" s="314"/>
      <c r="T167" s="279">
        <f>+Q167+T165</f>
        <v>-5573360.8200000003</v>
      </c>
      <c r="U167" s="278"/>
      <c r="V167" s="314" t="s">
        <v>230</v>
      </c>
      <c r="W167" s="314"/>
      <c r="X167" s="279">
        <f>+T167+X165</f>
        <v>-10422880.82</v>
      </c>
      <c r="Y167" s="278"/>
      <c r="Z167" s="314" t="s">
        <v>231</v>
      </c>
      <c r="AA167" s="314"/>
      <c r="AB167" s="279">
        <f>+X167+AB165</f>
        <v>-6779660.8200000003</v>
      </c>
      <c r="AC167" s="278"/>
      <c r="AD167" s="314" t="s">
        <v>345</v>
      </c>
      <c r="AE167" s="314"/>
      <c r="AF167" s="279">
        <f>+AB167+AF165</f>
        <v>-6307292.8200000003</v>
      </c>
      <c r="AG167" s="278"/>
      <c r="AH167" s="314" t="s">
        <v>265</v>
      </c>
      <c r="AI167" s="314"/>
      <c r="AJ167" s="279">
        <f>+AF167+AJ165</f>
        <v>-4283575.82</v>
      </c>
      <c r="AK167" s="278"/>
      <c r="AL167" s="314" t="s">
        <v>266</v>
      </c>
      <c r="AM167" s="314"/>
      <c r="AN167" s="279">
        <f>+AJ167+AN165</f>
        <v>-3171790.92</v>
      </c>
      <c r="AO167" s="278"/>
      <c r="AP167" s="314" t="s">
        <v>346</v>
      </c>
      <c r="AQ167" s="314"/>
      <c r="AR167" s="279">
        <f>+AN167+AR165</f>
        <v>-3080054.92</v>
      </c>
      <c r="AS167" s="278"/>
    </row>
    <row r="168" spans="1:45" ht="15.75" thickTop="1" x14ac:dyDescent="0.25"/>
  </sheetData>
  <mergeCells count="57">
    <mergeCell ref="AP165:AQ165"/>
    <mergeCell ref="AP167:AQ167"/>
    <mergeCell ref="AD167:AE167"/>
    <mergeCell ref="AH165:AI165"/>
    <mergeCell ref="AH167:AI167"/>
    <mergeCell ref="AD165:AE165"/>
    <mergeCell ref="AL165:AM165"/>
    <mergeCell ref="AL167:AM167"/>
    <mergeCell ref="R165:S165"/>
    <mergeCell ref="R167:S167"/>
    <mergeCell ref="V165:W165"/>
    <mergeCell ref="V167:W167"/>
    <mergeCell ref="Z167:AA167"/>
    <mergeCell ref="B167:C167"/>
    <mergeCell ref="F167:G167"/>
    <mergeCell ref="I167:J167"/>
    <mergeCell ref="L167:M167"/>
    <mergeCell ref="O165:P165"/>
    <mergeCell ref="O167:P167"/>
    <mergeCell ref="B165:C165"/>
    <mergeCell ref="F165:G165"/>
    <mergeCell ref="I165:J165"/>
    <mergeCell ref="L165:M165"/>
    <mergeCell ref="AP4:AS4"/>
    <mergeCell ref="AP5:AQ5"/>
    <mergeCell ref="AR5:AS5"/>
    <mergeCell ref="AL4:AO4"/>
    <mergeCell ref="AL5:AM5"/>
    <mergeCell ref="AN5:AO5"/>
    <mergeCell ref="AD4:AG4"/>
    <mergeCell ref="AD5:AE5"/>
    <mergeCell ref="AF5:AG5"/>
    <mergeCell ref="AH4:AK4"/>
    <mergeCell ref="AH5:AI5"/>
    <mergeCell ref="AJ5:AK5"/>
    <mergeCell ref="V4:Y4"/>
    <mergeCell ref="V5:W5"/>
    <mergeCell ref="X5:Y5"/>
    <mergeCell ref="Z4:AC4"/>
    <mergeCell ref="Z5:AA5"/>
    <mergeCell ref="AB5:AC5"/>
    <mergeCell ref="O4:Q4"/>
    <mergeCell ref="O5:P5"/>
    <mergeCell ref="R4:U4"/>
    <mergeCell ref="R5:S5"/>
    <mergeCell ref="T5:U5"/>
    <mergeCell ref="L5:M5"/>
    <mergeCell ref="B5:C5"/>
    <mergeCell ref="D5:E5"/>
    <mergeCell ref="F5:G5"/>
    <mergeCell ref="I5:J5"/>
    <mergeCell ref="A1:N1"/>
    <mergeCell ref="A2:N2"/>
    <mergeCell ref="B4:E4"/>
    <mergeCell ref="F4:H4"/>
    <mergeCell ref="I4:K4"/>
    <mergeCell ref="L4:N4"/>
  </mergeCells>
  <phoneticPr fontId="19" type="noConversion"/>
  <pageMargins left="0.70866141732283472" right="0.70866141732283472" top="0.74803149606299213" bottom="0.74803149606299213" header="0.31496062992125984" footer="0.31496062992125984"/>
  <pageSetup scale="21" orientation="portrait" horizontalDpi="360" verticalDpi="360" r:id="rId1"/>
  <rowBreaks count="1" manualBreakCount="1">
    <brk id="80" max="16383" man="1"/>
  </rowBreaks>
  <colBreaks count="2" manualBreakCount="2">
    <brk id="8" max="1048575" man="1"/>
    <brk id="37" max="166" man="1"/>
  </colBreaks>
  <ignoredErrors>
    <ignoredError sqref="AL108 AP108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43"/>
  <sheetViews>
    <sheetView view="pageBreakPreview" topLeftCell="G63" zoomScaleNormal="100" zoomScaleSheetLayoutView="100" workbookViewId="0">
      <selection activeCell="M122" sqref="M122"/>
    </sheetView>
  </sheetViews>
  <sheetFormatPr baseColWidth="10" defaultColWidth="11.42578125" defaultRowHeight="12.75" x14ac:dyDescent="0.2"/>
  <cols>
    <col min="1" max="1" width="4.140625" style="2" customWidth="1"/>
    <col min="2" max="2" width="12.7109375" style="2" bestFit="1" customWidth="1"/>
    <col min="3" max="3" width="14.7109375" style="2" bestFit="1" customWidth="1"/>
    <col min="4" max="4" width="16.42578125" style="2" customWidth="1"/>
    <col min="5" max="5" width="14.7109375" style="2" bestFit="1" customWidth="1"/>
    <col min="6" max="6" width="15.28515625" style="2" bestFit="1" customWidth="1"/>
    <col min="7" max="7" width="16.85546875" style="2" customWidth="1"/>
    <col min="8" max="8" width="14.42578125" style="2" customWidth="1"/>
    <col min="9" max="9" width="14.7109375" style="2" bestFit="1" customWidth="1"/>
    <col min="10" max="10" width="18.7109375" style="2" customWidth="1"/>
    <col min="11" max="13" width="12.42578125" style="2" bestFit="1" customWidth="1"/>
    <col min="14" max="16" width="12.140625" style="2" customWidth="1"/>
    <col min="17" max="17" width="15.28515625" style="2" bestFit="1" customWidth="1"/>
    <col min="18" max="23" width="16.5703125" style="2" customWidth="1"/>
    <col min="24" max="24" width="13.85546875" style="2" customWidth="1"/>
    <col min="25" max="25" width="14.85546875" style="2" bestFit="1" customWidth="1"/>
    <col min="26" max="28" width="13.7109375" style="2" customWidth="1"/>
    <col min="29" max="29" width="14.28515625" style="2" bestFit="1" customWidth="1"/>
    <col min="30" max="31" width="13.7109375" style="2" customWidth="1"/>
    <col min="32" max="32" width="17.5703125" style="2" customWidth="1"/>
    <col min="33" max="33" width="14.28515625" style="2" bestFit="1" customWidth="1"/>
    <col min="34" max="34" width="14.28515625" style="2" customWidth="1"/>
    <col min="35" max="16384" width="11.42578125" style="2"/>
  </cols>
  <sheetData>
    <row r="1" spans="1:44" x14ac:dyDescent="0.2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3"/>
    </row>
    <row r="2" spans="1:44" x14ac:dyDescent="0.2">
      <c r="A2" s="4"/>
      <c r="Q2" s="49"/>
      <c r="AR2" s="3"/>
    </row>
    <row r="3" spans="1:44" x14ac:dyDescent="0.2">
      <c r="A3" s="4"/>
      <c r="E3" s="49"/>
      <c r="R3" s="49"/>
      <c r="S3" s="49"/>
      <c r="T3" s="49"/>
      <c r="U3" s="49"/>
      <c r="V3" s="49"/>
      <c r="W3" s="49"/>
      <c r="AR3" s="3"/>
    </row>
    <row r="4" spans="1:44" ht="13.5" thickBot="1" x14ac:dyDescent="0.25">
      <c r="A4" s="4"/>
      <c r="X4" s="49"/>
      <c r="AR4" s="3"/>
    </row>
    <row r="5" spans="1:44" ht="38.25" customHeight="1" thickBot="1" x14ac:dyDescent="0.25">
      <c r="A5" s="4"/>
      <c r="B5" s="237" t="s">
        <v>88</v>
      </c>
      <c r="C5" s="232" t="s">
        <v>317</v>
      </c>
      <c r="D5" s="182" t="s">
        <v>257</v>
      </c>
      <c r="E5" s="182" t="s">
        <v>222</v>
      </c>
      <c r="F5" s="182" t="s">
        <v>212</v>
      </c>
      <c r="G5" s="182" t="s">
        <v>204</v>
      </c>
      <c r="H5" s="182" t="s">
        <v>102</v>
      </c>
      <c r="I5" s="232" t="s">
        <v>89</v>
      </c>
      <c r="J5" s="232" t="s">
        <v>90</v>
      </c>
      <c r="K5" s="183" t="s">
        <v>318</v>
      </c>
      <c r="L5" s="183" t="s">
        <v>258</v>
      </c>
      <c r="M5" s="183" t="s">
        <v>223</v>
      </c>
      <c r="N5" s="183" t="s">
        <v>213</v>
      </c>
      <c r="O5" s="183" t="s">
        <v>205</v>
      </c>
      <c r="P5" s="183" t="s">
        <v>103</v>
      </c>
      <c r="Q5" s="184" t="s">
        <v>91</v>
      </c>
      <c r="R5" s="246" t="s">
        <v>92</v>
      </c>
      <c r="S5" s="252" t="s">
        <v>319</v>
      </c>
      <c r="T5" s="185" t="s">
        <v>281</v>
      </c>
      <c r="U5" s="185" t="s">
        <v>224</v>
      </c>
      <c r="V5" s="185" t="s">
        <v>214</v>
      </c>
      <c r="W5" s="253" t="s">
        <v>206</v>
      </c>
      <c r="X5" s="249" t="s">
        <v>104</v>
      </c>
      <c r="Y5" s="186" t="s">
        <v>93</v>
      </c>
      <c r="Z5" s="258" t="s">
        <v>94</v>
      </c>
      <c r="AA5" s="187" t="s">
        <v>320</v>
      </c>
      <c r="AB5" s="187" t="s">
        <v>282</v>
      </c>
      <c r="AC5" s="187" t="s">
        <v>225</v>
      </c>
      <c r="AD5" s="187" t="s">
        <v>215</v>
      </c>
      <c r="AE5" s="262" t="s">
        <v>207</v>
      </c>
      <c r="AF5" s="260" t="s">
        <v>190</v>
      </c>
      <c r="AG5" s="187" t="s">
        <v>189</v>
      </c>
      <c r="AH5" s="188" t="s">
        <v>101</v>
      </c>
      <c r="AR5" s="3"/>
    </row>
    <row r="6" spans="1:44" ht="15.75" x14ac:dyDescent="0.25">
      <c r="A6" s="4"/>
      <c r="B6" s="239" t="s">
        <v>96</v>
      </c>
      <c r="C6" s="234">
        <f>+[1]pyg2023!D8</f>
        <v>2319055</v>
      </c>
      <c r="D6" s="233">
        <v>0</v>
      </c>
      <c r="E6" s="233">
        <v>6308768</v>
      </c>
      <c r="F6" s="235">
        <v>4088450</v>
      </c>
      <c r="G6" s="235">
        <v>9772741</v>
      </c>
      <c r="H6" s="235">
        <v>5232922</v>
      </c>
      <c r="I6" s="236">
        <v>20519674</v>
      </c>
      <c r="J6" s="240">
        <v>4068398</v>
      </c>
      <c r="K6" s="238">
        <f>+[1]pyg2023!D16</f>
        <v>5070435</v>
      </c>
      <c r="L6" s="72">
        <v>4878660</v>
      </c>
      <c r="M6" s="72">
        <v>3100823</v>
      </c>
      <c r="N6" s="72">
        <v>5295548</v>
      </c>
      <c r="O6" s="72">
        <v>4656136</v>
      </c>
      <c r="P6" s="72">
        <v>7998115</v>
      </c>
      <c r="Q6" s="72">
        <v>5489862</v>
      </c>
      <c r="R6" s="223">
        <v>3111549</v>
      </c>
      <c r="S6" s="254">
        <f>+'pyg2024'!B163</f>
        <v>9947041</v>
      </c>
      <c r="T6" s="72">
        <v>10152266</v>
      </c>
      <c r="U6" s="72">
        <v>8340075.4400000004</v>
      </c>
      <c r="V6" s="72">
        <v>9031235</v>
      </c>
      <c r="W6" s="255">
        <v>11183760</v>
      </c>
      <c r="X6" s="250">
        <v>8192569</v>
      </c>
      <c r="Y6" s="73">
        <v>7055307</v>
      </c>
      <c r="Z6" s="223">
        <v>10452832</v>
      </c>
      <c r="AR6" s="3"/>
    </row>
    <row r="7" spans="1:44" ht="15.75" x14ac:dyDescent="0.25">
      <c r="A7" s="4"/>
      <c r="B7" s="241" t="s">
        <v>97</v>
      </c>
      <c r="C7" s="74">
        <f>+[1]pyg2023!H8</f>
        <v>2198885</v>
      </c>
      <c r="D7" s="73">
        <v>4332104</v>
      </c>
      <c r="E7" s="73">
        <v>3904163</v>
      </c>
      <c r="F7" s="128">
        <v>3444630</v>
      </c>
      <c r="G7" s="128">
        <v>8662267</v>
      </c>
      <c r="H7" s="128">
        <v>6735984</v>
      </c>
      <c r="I7" s="129">
        <v>347610</v>
      </c>
      <c r="J7" s="240">
        <v>3781685</v>
      </c>
      <c r="K7" s="238">
        <f>+[1]pyg2023!H16</f>
        <v>6521782</v>
      </c>
      <c r="L7" s="72">
        <v>4693673</v>
      </c>
      <c r="M7" s="72">
        <v>7094524</v>
      </c>
      <c r="N7" s="72">
        <v>6881543</v>
      </c>
      <c r="O7" s="72">
        <v>7804429</v>
      </c>
      <c r="P7" s="72">
        <v>4974355</v>
      </c>
      <c r="Q7" s="72">
        <v>7374328</v>
      </c>
      <c r="R7" s="223">
        <v>8157506</v>
      </c>
      <c r="S7" s="254">
        <f>+'pyg2024'!F164</f>
        <v>13136716</v>
      </c>
      <c r="T7" s="72">
        <v>13410419</v>
      </c>
      <c r="U7" s="72">
        <v>9969598</v>
      </c>
      <c r="V7" s="72">
        <v>12420337</v>
      </c>
      <c r="W7" s="255">
        <v>13337610</v>
      </c>
      <c r="X7" s="250">
        <v>8084721</v>
      </c>
      <c r="Y7" s="73">
        <v>8975623</v>
      </c>
      <c r="Z7" s="223">
        <v>8843670</v>
      </c>
      <c r="AR7" s="3"/>
    </row>
    <row r="8" spans="1:44" ht="15.75" x14ac:dyDescent="0.25">
      <c r="A8" s="4"/>
      <c r="B8" s="241" t="s">
        <v>98</v>
      </c>
      <c r="C8" s="74">
        <f>+[1]pyg2023!K8</f>
        <v>5345924</v>
      </c>
      <c r="D8" s="73">
        <v>11179580</v>
      </c>
      <c r="E8" s="73">
        <v>6104727</v>
      </c>
      <c r="F8" s="128">
        <v>4294490</v>
      </c>
      <c r="G8" s="128">
        <v>11213082</v>
      </c>
      <c r="H8" s="128">
        <v>4072345</v>
      </c>
      <c r="I8" s="129">
        <v>245528</v>
      </c>
      <c r="J8" s="240">
        <v>3264345</v>
      </c>
      <c r="K8" s="238">
        <f>+[1]pyg2023!K16</f>
        <v>6934538</v>
      </c>
      <c r="L8" s="72">
        <v>12062967</v>
      </c>
      <c r="M8" s="72">
        <v>11156171</v>
      </c>
      <c r="N8" s="72">
        <v>7901560</v>
      </c>
      <c r="O8" s="72">
        <v>5900305</v>
      </c>
      <c r="P8" s="72">
        <v>7130437</v>
      </c>
      <c r="Q8" s="72">
        <v>5439456</v>
      </c>
      <c r="R8" s="223">
        <v>5780617</v>
      </c>
      <c r="S8" s="254">
        <f>+'pyg2024'!I163</f>
        <v>11222287.82</v>
      </c>
      <c r="T8" s="72">
        <v>16907266</v>
      </c>
      <c r="U8" s="72">
        <v>11403558</v>
      </c>
      <c r="V8" s="72">
        <v>13591375</v>
      </c>
      <c r="W8" s="255">
        <v>10865138</v>
      </c>
      <c r="X8" s="250">
        <v>8025783</v>
      </c>
      <c r="Y8" s="73">
        <v>9788704</v>
      </c>
      <c r="Z8" s="223">
        <v>8621927</v>
      </c>
      <c r="AR8" s="3"/>
    </row>
    <row r="9" spans="1:44" ht="15.75" x14ac:dyDescent="0.25">
      <c r="A9" s="4"/>
      <c r="B9" s="241" t="s">
        <v>99</v>
      </c>
      <c r="C9" s="74">
        <f>+[1]pyg2023!N8</f>
        <v>5705085</v>
      </c>
      <c r="D9" s="73">
        <v>6476561</v>
      </c>
      <c r="E9" s="73">
        <v>4771392</v>
      </c>
      <c r="F9" s="128">
        <v>3094715</v>
      </c>
      <c r="G9" s="128">
        <v>109000</v>
      </c>
      <c r="H9" s="128">
        <v>8902568</v>
      </c>
      <c r="I9" s="129">
        <v>311788</v>
      </c>
      <c r="J9" s="240">
        <v>5714524</v>
      </c>
      <c r="K9" s="238">
        <f>+[1]pyg2023!N16</f>
        <v>11902051</v>
      </c>
      <c r="L9" s="72">
        <v>13101458</v>
      </c>
      <c r="M9" s="72">
        <v>11179990</v>
      </c>
      <c r="N9" s="72">
        <v>10475785</v>
      </c>
      <c r="O9" s="72">
        <v>121014</v>
      </c>
      <c r="P9" s="72">
        <v>6001004</v>
      </c>
      <c r="Q9" s="72">
        <v>7142915</v>
      </c>
      <c r="R9" s="223">
        <v>5636163</v>
      </c>
      <c r="S9" s="254">
        <f>+'pyg2024'!L163</f>
        <v>13880419</v>
      </c>
      <c r="T9" s="72">
        <v>12557124</v>
      </c>
      <c r="U9" s="72">
        <v>11689725</v>
      </c>
      <c r="V9" s="72">
        <v>17060981</v>
      </c>
      <c r="W9" s="255">
        <v>8424882</v>
      </c>
      <c r="X9" s="250">
        <v>11161681</v>
      </c>
      <c r="Y9" s="73">
        <v>9211395</v>
      </c>
      <c r="Z9" s="223">
        <v>6162384</v>
      </c>
      <c r="AR9" s="3"/>
    </row>
    <row r="10" spans="1:44" ht="15.75" x14ac:dyDescent="0.25">
      <c r="A10" s="4"/>
      <c r="B10" s="241" t="s">
        <v>314</v>
      </c>
      <c r="C10" s="215">
        <f>+'pyg2024'!P8</f>
        <v>6312190</v>
      </c>
      <c r="D10" s="73">
        <v>2948466</v>
      </c>
      <c r="E10" s="73">
        <v>3195437</v>
      </c>
      <c r="F10" s="128">
        <v>3036250</v>
      </c>
      <c r="G10" s="128"/>
      <c r="H10" s="128">
        <v>4831245</v>
      </c>
      <c r="I10" s="129">
        <v>2070588</v>
      </c>
      <c r="J10" s="240">
        <v>1563099</v>
      </c>
      <c r="K10" s="238">
        <f>+'pyg2024'!P16</f>
        <v>5781805</v>
      </c>
      <c r="L10" s="72">
        <v>11011958</v>
      </c>
      <c r="M10" s="72">
        <v>9141636</v>
      </c>
      <c r="N10" s="72">
        <v>9475619</v>
      </c>
      <c r="O10" s="72">
        <v>1804105</v>
      </c>
      <c r="P10" s="72">
        <v>7419178</v>
      </c>
      <c r="Q10" s="72">
        <v>5721041</v>
      </c>
      <c r="R10" s="223">
        <v>13796936</v>
      </c>
      <c r="S10" s="254">
        <f>+'pyg2024'!O163</f>
        <v>12971414</v>
      </c>
      <c r="T10" s="72">
        <v>15171959</v>
      </c>
      <c r="U10" s="58">
        <v>11286631</v>
      </c>
      <c r="V10" s="216">
        <v>11744516.633333333</v>
      </c>
      <c r="W10" s="256">
        <v>10909925</v>
      </c>
      <c r="X10" s="251">
        <v>10164486</v>
      </c>
      <c r="Y10" s="77">
        <v>8014528</v>
      </c>
      <c r="Z10" s="259">
        <v>10155182</v>
      </c>
      <c r="AR10" s="3"/>
    </row>
    <row r="11" spans="1:44" ht="15.75" x14ac:dyDescent="0.25">
      <c r="A11" s="4"/>
      <c r="B11" s="241" t="s">
        <v>263</v>
      </c>
      <c r="C11" s="215">
        <f>+'pyg2024'!S8</f>
        <v>5308821</v>
      </c>
      <c r="D11" s="73">
        <v>5460313</v>
      </c>
      <c r="E11" s="73">
        <v>3587643</v>
      </c>
      <c r="F11" s="128">
        <v>3220640</v>
      </c>
      <c r="G11" s="128">
        <v>15088775</v>
      </c>
      <c r="H11" s="128">
        <v>2541098</v>
      </c>
      <c r="I11" s="129">
        <v>4186225</v>
      </c>
      <c r="J11" s="240">
        <v>2504537</v>
      </c>
      <c r="K11" s="238">
        <f>+'pyg2024'!S16</f>
        <v>3102603</v>
      </c>
      <c r="L11" s="72">
        <v>9771991</v>
      </c>
      <c r="M11" s="72">
        <v>6890613</v>
      </c>
      <c r="N11" s="72">
        <v>14072478</v>
      </c>
      <c r="O11" s="72">
        <v>5883300</v>
      </c>
      <c r="P11" s="72">
        <v>6384585</v>
      </c>
      <c r="Q11" s="72">
        <v>4021740</v>
      </c>
      <c r="R11" s="223">
        <v>6565667</v>
      </c>
      <c r="S11" s="254">
        <f>+'pyg2024'!R163</f>
        <v>10918657</v>
      </c>
      <c r="T11" s="72">
        <v>10729339</v>
      </c>
      <c r="U11" s="58">
        <v>12304971</v>
      </c>
      <c r="V11" s="216">
        <v>12797380</v>
      </c>
      <c r="W11" s="256">
        <v>12990071</v>
      </c>
      <c r="X11" s="251">
        <v>8433671</v>
      </c>
      <c r="Y11" s="77">
        <v>7385244</v>
      </c>
      <c r="Z11" s="259">
        <v>14240736</v>
      </c>
      <c r="AR11" s="3"/>
    </row>
    <row r="12" spans="1:44" ht="15.75" x14ac:dyDescent="0.25">
      <c r="A12" s="4"/>
      <c r="B12" s="241" t="s">
        <v>310</v>
      </c>
      <c r="C12" s="215">
        <f>+'pyg2024'!W8</f>
        <v>1368000</v>
      </c>
      <c r="D12" s="73">
        <v>5032261</v>
      </c>
      <c r="E12" s="73">
        <v>5002298</v>
      </c>
      <c r="F12" s="128">
        <v>2982171</v>
      </c>
      <c r="G12" s="128">
        <v>5107405</v>
      </c>
      <c r="H12" s="128">
        <v>2060928</v>
      </c>
      <c r="I12" s="129">
        <v>3502320</v>
      </c>
      <c r="J12" s="240">
        <v>14376812</v>
      </c>
      <c r="K12" s="238">
        <f>+'pyg2024'!W16</f>
        <v>4934884</v>
      </c>
      <c r="L12" s="72">
        <v>5870486</v>
      </c>
      <c r="M12" s="72">
        <v>8564817</v>
      </c>
      <c r="N12" s="72">
        <v>7847354</v>
      </c>
      <c r="O12" s="72">
        <v>9069381</v>
      </c>
      <c r="P12" s="72">
        <v>4374077</v>
      </c>
      <c r="Q12" s="72">
        <v>1959742</v>
      </c>
      <c r="R12" s="223">
        <v>6138041</v>
      </c>
      <c r="S12" s="254">
        <f>+'pyg2024'!V163</f>
        <v>11152404</v>
      </c>
      <c r="T12" s="72">
        <v>10792468</v>
      </c>
      <c r="U12" s="58">
        <v>12624706</v>
      </c>
      <c r="V12" s="216">
        <v>13357892</v>
      </c>
      <c r="W12" s="256">
        <v>11530572</v>
      </c>
      <c r="X12" s="251">
        <v>8752682</v>
      </c>
      <c r="Y12" s="77">
        <v>7676064</v>
      </c>
      <c r="Z12" s="259">
        <v>10531315</v>
      </c>
      <c r="AR12" s="3"/>
    </row>
    <row r="13" spans="1:44" ht="15.75" x14ac:dyDescent="0.25">
      <c r="A13" s="4"/>
      <c r="B13" s="241" t="s">
        <v>311</v>
      </c>
      <c r="C13" s="215">
        <f>+'pyg2024'!AA8</f>
        <v>1818800</v>
      </c>
      <c r="D13" s="73">
        <v>7904377</v>
      </c>
      <c r="E13" s="73">
        <v>6292782</v>
      </c>
      <c r="F13" s="128">
        <v>2259634</v>
      </c>
      <c r="G13" s="128">
        <v>4348355</v>
      </c>
      <c r="H13" s="128">
        <v>722060</v>
      </c>
      <c r="I13" s="129">
        <v>13456626</v>
      </c>
      <c r="J13" s="240">
        <v>9843168</v>
      </c>
      <c r="K13" s="238">
        <f>+'pyg2024'!AA16</f>
        <v>13355048</v>
      </c>
      <c r="L13" s="72">
        <v>7730780</v>
      </c>
      <c r="M13" s="72">
        <v>12002561</v>
      </c>
      <c r="N13" s="72">
        <v>10482068</v>
      </c>
      <c r="O13" s="72">
        <v>6862717</v>
      </c>
      <c r="P13" s="72">
        <v>8088583</v>
      </c>
      <c r="Q13" s="72">
        <v>4820282</v>
      </c>
      <c r="R13" s="223">
        <v>5449400</v>
      </c>
      <c r="S13" s="254">
        <f>+'pyg2024'!Z163</f>
        <v>11530628</v>
      </c>
      <c r="T13" s="72">
        <v>10381456</v>
      </c>
      <c r="U13" s="58">
        <v>0</v>
      </c>
      <c r="V13" s="216">
        <v>12441445</v>
      </c>
      <c r="W13" s="256">
        <v>11013798</v>
      </c>
      <c r="X13" s="251">
        <v>10250005</v>
      </c>
      <c r="Y13" s="77">
        <v>9472439</v>
      </c>
      <c r="Z13" s="259">
        <v>10083753</v>
      </c>
      <c r="AR13" s="3"/>
    </row>
    <row r="14" spans="1:44" ht="15.75" x14ac:dyDescent="0.25">
      <c r="A14" s="4"/>
      <c r="B14" s="241" t="s">
        <v>345</v>
      </c>
      <c r="C14" s="215">
        <f>+'pyg2024'!AE8</f>
        <v>2263580</v>
      </c>
      <c r="D14" s="73">
        <f>+[2]pyg2023!AG9</f>
        <v>60811795</v>
      </c>
      <c r="E14" s="73">
        <v>9534674</v>
      </c>
      <c r="F14" s="128">
        <v>4199993</v>
      </c>
      <c r="G14" s="128">
        <v>5343486</v>
      </c>
      <c r="H14" s="128">
        <v>1921510</v>
      </c>
      <c r="I14" s="129">
        <v>0</v>
      </c>
      <c r="J14" s="129">
        <v>6807513</v>
      </c>
      <c r="K14" s="238">
        <f>+'pyg2024'!AE16</f>
        <v>12223256</v>
      </c>
      <c r="L14" s="72">
        <v>12500720</v>
      </c>
      <c r="M14" s="72">
        <v>8694467</v>
      </c>
      <c r="N14" s="72">
        <v>12769758</v>
      </c>
      <c r="O14" s="72">
        <v>9114471</v>
      </c>
      <c r="P14" s="72">
        <v>5761435</v>
      </c>
      <c r="Q14" s="72">
        <v>6035931</v>
      </c>
      <c r="R14" s="223">
        <v>6941815</v>
      </c>
      <c r="S14" s="254">
        <f>+'pyg2024'!AD29</f>
        <v>14014468</v>
      </c>
      <c r="T14" s="72">
        <v>14685440</v>
      </c>
      <c r="U14" s="58">
        <v>10423141</v>
      </c>
      <c r="V14" s="216">
        <v>14262071</v>
      </c>
      <c r="W14" s="256">
        <v>11098718</v>
      </c>
      <c r="X14" s="251">
        <v>12341540.75</v>
      </c>
      <c r="Y14" s="77">
        <v>16476675</v>
      </c>
      <c r="Z14" s="259">
        <v>13656658</v>
      </c>
      <c r="AR14" s="3"/>
    </row>
    <row r="15" spans="1:44" ht="15.75" x14ac:dyDescent="0.25">
      <c r="A15" s="4"/>
      <c r="B15" s="241" t="s">
        <v>265</v>
      </c>
      <c r="C15" s="215">
        <f>+'pyg2024'!AI8</f>
        <v>3401625</v>
      </c>
      <c r="D15" s="73">
        <f>+[2]pyg2023!AK9</f>
        <v>70303543</v>
      </c>
      <c r="E15" s="73">
        <v>8627180</v>
      </c>
      <c r="F15" s="128">
        <v>5953903</v>
      </c>
      <c r="G15" s="128">
        <v>5206920</v>
      </c>
      <c r="H15" s="128">
        <v>1940050</v>
      </c>
      <c r="I15" s="129">
        <v>11000000</v>
      </c>
      <c r="J15" s="129">
        <v>3921439</v>
      </c>
      <c r="K15" s="238">
        <f>+'pyg2024'!AI16</f>
        <v>12732697</v>
      </c>
      <c r="L15" s="72">
        <v>7560400</v>
      </c>
      <c r="M15" s="72">
        <v>6596990</v>
      </c>
      <c r="N15" s="72">
        <v>11490263</v>
      </c>
      <c r="O15" s="72">
        <v>11912109.83</v>
      </c>
      <c r="P15" s="72">
        <v>5903667</v>
      </c>
      <c r="Q15" s="72">
        <v>10697305</v>
      </c>
      <c r="R15" s="223">
        <v>5541550</v>
      </c>
      <c r="S15" s="254">
        <f>+'pyg2024'!AH29</f>
        <v>14110605</v>
      </c>
      <c r="T15" s="72">
        <v>22974686</v>
      </c>
      <c r="U15" s="58">
        <v>10630364</v>
      </c>
      <c r="V15" s="216">
        <v>11384483</v>
      </c>
      <c r="W15" s="256">
        <v>14559398</v>
      </c>
      <c r="X15" s="251">
        <v>13788360.75</v>
      </c>
      <c r="Y15" s="77">
        <v>10699836</v>
      </c>
      <c r="Z15" s="259">
        <v>12463405</v>
      </c>
      <c r="AR15" s="3"/>
    </row>
    <row r="16" spans="1:44" ht="15.75" x14ac:dyDescent="0.25">
      <c r="A16" s="4"/>
      <c r="B16" s="241" t="s">
        <v>266</v>
      </c>
      <c r="C16" s="215">
        <f>+'pyg2024'!AM8-'pyg2024'!AL8</f>
        <v>2974890</v>
      </c>
      <c r="D16" s="73">
        <f>+[2]pyg2023!AO9</f>
        <v>76691258</v>
      </c>
      <c r="E16" s="73">
        <v>9834611</v>
      </c>
      <c r="F16" s="128">
        <v>3450527</v>
      </c>
      <c r="G16" s="128">
        <v>4539945</v>
      </c>
      <c r="H16" s="128">
        <v>6096979</v>
      </c>
      <c r="I16" s="129">
        <v>12000000</v>
      </c>
      <c r="J16" s="129">
        <v>2545390</v>
      </c>
      <c r="K16" s="238">
        <f>+'pyg2024'!AM16</f>
        <v>10221753</v>
      </c>
      <c r="L16" s="72">
        <v>7355430</v>
      </c>
      <c r="M16" s="72">
        <v>10351450</v>
      </c>
      <c r="N16" s="72">
        <v>13482352</v>
      </c>
      <c r="O16" s="72">
        <v>9403633</v>
      </c>
      <c r="P16" s="72">
        <v>6953987</v>
      </c>
      <c r="Q16" s="72">
        <v>7259988</v>
      </c>
      <c r="R16" s="223">
        <v>6901480</v>
      </c>
      <c r="S16" s="254">
        <f>+'pyg2024'!AL29</f>
        <v>12084858.1</v>
      </c>
      <c r="T16" s="72">
        <v>13205069</v>
      </c>
      <c r="U16" s="58">
        <v>13793441</v>
      </c>
      <c r="V16" s="216">
        <v>9460840</v>
      </c>
      <c r="W16" s="256">
        <v>15548745</v>
      </c>
      <c r="X16" s="251">
        <v>12146150.75</v>
      </c>
      <c r="Y16" s="77">
        <v>12696365</v>
      </c>
      <c r="Z16" s="259">
        <v>13179987</v>
      </c>
      <c r="AR16" s="3"/>
    </row>
    <row r="17" spans="1:44" ht="15.75" x14ac:dyDescent="0.25">
      <c r="A17" s="4"/>
      <c r="B17" s="241" t="s">
        <v>346</v>
      </c>
      <c r="C17" s="215">
        <f>+'pyg2024'!AQ8</f>
        <v>3456110</v>
      </c>
      <c r="D17" s="73">
        <f>+[2]pyg2023!AS9</f>
        <v>85652181</v>
      </c>
      <c r="E17" s="73">
        <v>6687564</v>
      </c>
      <c r="F17" s="128">
        <v>3437926</v>
      </c>
      <c r="G17" s="128">
        <v>5671900</v>
      </c>
      <c r="H17" s="128">
        <v>10802895</v>
      </c>
      <c r="I17" s="129">
        <v>13000000</v>
      </c>
      <c r="J17" s="291">
        <v>68513641</v>
      </c>
      <c r="K17" s="47">
        <f>+'pyg2024'!AQ16</f>
        <v>10979454</v>
      </c>
      <c r="L17" s="24">
        <v>8377765</v>
      </c>
      <c r="M17" s="24">
        <v>10009636</v>
      </c>
      <c r="N17" s="24">
        <v>8072834</v>
      </c>
      <c r="O17" s="24">
        <v>11129725</v>
      </c>
      <c r="P17" s="24">
        <v>3580427</v>
      </c>
      <c r="Q17" s="24">
        <v>8230584</v>
      </c>
      <c r="R17" s="247">
        <v>7106144</v>
      </c>
      <c r="S17" s="257">
        <f>+'pyg2024'!AP29</f>
        <v>14343828</v>
      </c>
      <c r="T17" s="24">
        <v>19716602</v>
      </c>
      <c r="U17" s="24">
        <v>14685347</v>
      </c>
      <c r="V17" s="24">
        <v>10271878</v>
      </c>
      <c r="W17" s="243">
        <v>12796951</v>
      </c>
      <c r="X17" s="61">
        <v>9554095.75</v>
      </c>
      <c r="Y17" s="24">
        <v>8852048</v>
      </c>
      <c r="Z17" s="247">
        <v>27294325</v>
      </c>
      <c r="AR17" s="3"/>
    </row>
    <row r="18" spans="1:44" ht="15.75" x14ac:dyDescent="0.25">
      <c r="A18" s="4"/>
      <c r="B18" s="285"/>
      <c r="C18" s="78"/>
      <c r="D18" s="78"/>
      <c r="E18" s="288"/>
      <c r="F18" s="261"/>
      <c r="G18" s="261"/>
      <c r="H18" s="261"/>
      <c r="I18" s="220"/>
      <c r="J18" s="289"/>
      <c r="K18" s="47"/>
      <c r="L18" s="47"/>
      <c r="M18" s="47"/>
      <c r="N18" s="47"/>
      <c r="O18" s="47"/>
      <c r="P18" s="47"/>
      <c r="Q18" s="47"/>
      <c r="R18" s="248"/>
      <c r="S18" s="263"/>
      <c r="T18" s="220"/>
      <c r="U18" s="220"/>
      <c r="V18" s="220"/>
      <c r="W18" s="289"/>
      <c r="X18" s="61"/>
      <c r="Y18" s="47"/>
      <c r="Z18" s="248"/>
      <c r="AA18" s="263"/>
      <c r="AB18" s="220"/>
      <c r="AC18" s="220"/>
      <c r="AD18" s="220"/>
      <c r="AE18" s="290"/>
      <c r="AF18" s="261"/>
      <c r="AG18" s="47"/>
      <c r="AH18" s="47"/>
      <c r="AR18" s="3"/>
    </row>
    <row r="19" spans="1:44" ht="16.5" thickBot="1" x14ac:dyDescent="0.3">
      <c r="A19" s="4"/>
      <c r="B19" s="244" t="s">
        <v>95</v>
      </c>
      <c r="C19" s="245">
        <f>SUM(C6:C17)</f>
        <v>42472965</v>
      </c>
      <c r="D19" s="245">
        <f t="shared" ref="D19:Z19" si="0">SUM(D6:D17)</f>
        <v>336792439</v>
      </c>
      <c r="E19" s="245">
        <f t="shared" si="0"/>
        <v>73851239</v>
      </c>
      <c r="F19" s="245">
        <f t="shared" si="0"/>
        <v>43463329</v>
      </c>
      <c r="G19" s="245">
        <f t="shared" si="0"/>
        <v>75063876</v>
      </c>
      <c r="H19" s="245">
        <f t="shared" si="0"/>
        <v>55860584</v>
      </c>
      <c r="I19" s="245">
        <f t="shared" si="0"/>
        <v>80640359</v>
      </c>
      <c r="J19" s="245">
        <f t="shared" si="0"/>
        <v>126904551</v>
      </c>
      <c r="K19" s="245">
        <f t="shared" si="0"/>
        <v>103760306</v>
      </c>
      <c r="L19" s="245">
        <f t="shared" si="0"/>
        <v>104916288</v>
      </c>
      <c r="M19" s="245">
        <f t="shared" si="0"/>
        <v>104783678</v>
      </c>
      <c r="N19" s="245">
        <f t="shared" si="0"/>
        <v>118247162</v>
      </c>
      <c r="O19" s="245">
        <f t="shared" si="0"/>
        <v>83661325.829999998</v>
      </c>
      <c r="P19" s="245">
        <f t="shared" si="0"/>
        <v>74569850</v>
      </c>
      <c r="Q19" s="245">
        <f t="shared" si="0"/>
        <v>74193174</v>
      </c>
      <c r="R19" s="245">
        <f t="shared" si="0"/>
        <v>81126868</v>
      </c>
      <c r="S19" s="245">
        <f t="shared" si="0"/>
        <v>149313325.91999999</v>
      </c>
      <c r="T19" s="245">
        <f t="shared" si="0"/>
        <v>170684094</v>
      </c>
      <c r="U19" s="245">
        <f t="shared" si="0"/>
        <v>127151557.44</v>
      </c>
      <c r="V19" s="245">
        <f t="shared" si="0"/>
        <v>147824433.63333333</v>
      </c>
      <c r="W19" s="245">
        <f t="shared" si="0"/>
        <v>144259568</v>
      </c>
      <c r="X19" s="245">
        <f t="shared" si="0"/>
        <v>120895746</v>
      </c>
      <c r="Y19" s="245">
        <f t="shared" si="0"/>
        <v>116304228</v>
      </c>
      <c r="Z19" s="245">
        <f t="shared" si="0"/>
        <v>145686174</v>
      </c>
      <c r="AA19" s="245">
        <f t="shared" ref="AA19:AH19" si="1">SUM(C130:C141)</f>
        <v>-3080054.92</v>
      </c>
      <c r="AB19" s="245">
        <f t="shared" si="1"/>
        <v>13769097</v>
      </c>
      <c r="AC19" s="245">
        <f t="shared" si="1"/>
        <v>21095449.559999999</v>
      </c>
      <c r="AD19" s="245">
        <f t="shared" si="1"/>
        <v>13887078.366666667</v>
      </c>
      <c r="AE19" s="245">
        <f t="shared" si="1"/>
        <v>14465633.829999998</v>
      </c>
      <c r="AF19" s="245">
        <f t="shared" si="1"/>
        <v>9534688</v>
      </c>
      <c r="AG19" s="245">
        <f t="shared" si="1"/>
        <v>18188372</v>
      </c>
      <c r="AH19" s="245">
        <f t="shared" si="1"/>
        <v>62345245</v>
      </c>
      <c r="AI19" s="245"/>
      <c r="AR19" s="3"/>
    </row>
    <row r="20" spans="1:44" x14ac:dyDescent="0.2">
      <c r="A20" s="4"/>
      <c r="C20" s="49"/>
      <c r="H20" s="49"/>
      <c r="AC20" s="46"/>
      <c r="AR20" s="3"/>
    </row>
    <row r="21" spans="1:44" x14ac:dyDescent="0.2">
      <c r="A21" s="4"/>
      <c r="G21" s="49"/>
      <c r="H21" s="49"/>
      <c r="I21" s="49"/>
      <c r="J21" s="49"/>
      <c r="K21" s="49"/>
      <c r="L21" s="49"/>
      <c r="M21" s="49"/>
      <c r="N21" s="49"/>
      <c r="O21" s="49"/>
      <c r="P21" s="49"/>
      <c r="X21" s="49"/>
      <c r="AC21" s="49"/>
      <c r="AR21" s="3"/>
    </row>
    <row r="22" spans="1:44" ht="15" x14ac:dyDescent="0.25">
      <c r="A22" s="4"/>
      <c r="F22" s="49"/>
      <c r="H22" s="49"/>
      <c r="I22" s="28"/>
      <c r="J22" s="28"/>
      <c r="K22" s="28"/>
      <c r="L22" s="28"/>
      <c r="M22" s="28"/>
      <c r="N22" s="28"/>
      <c r="O22" s="28"/>
      <c r="P22" s="28"/>
      <c r="V22" s="49"/>
      <c r="W22" s="49"/>
      <c r="X22" s="49"/>
      <c r="Y22" s="49"/>
      <c r="AD22" s="49"/>
      <c r="AF22" s="49"/>
      <c r="AR22" s="3"/>
    </row>
    <row r="23" spans="1:44" ht="15.75" x14ac:dyDescent="0.25">
      <c r="A23" s="4"/>
      <c r="F23" s="49"/>
      <c r="G23" s="49"/>
      <c r="H23" s="57"/>
      <c r="I23" s="28"/>
      <c r="J23" s="28"/>
      <c r="K23" s="28"/>
      <c r="L23" s="28"/>
      <c r="M23" s="28"/>
      <c r="N23" s="28"/>
      <c r="O23" s="28"/>
      <c r="P23" s="28"/>
      <c r="AR23" s="3"/>
    </row>
    <row r="24" spans="1:44" ht="15.75" x14ac:dyDescent="0.25">
      <c r="A24" s="4"/>
      <c r="F24" s="49"/>
      <c r="H24" s="57"/>
      <c r="I24" s="28"/>
      <c r="J24" s="28"/>
      <c r="K24" s="28"/>
      <c r="L24" s="28"/>
      <c r="M24" s="28"/>
      <c r="N24" s="28"/>
      <c r="O24" s="28"/>
      <c r="P24" s="28"/>
      <c r="AR24" s="3"/>
    </row>
    <row r="25" spans="1:44" ht="15.75" x14ac:dyDescent="0.25">
      <c r="A25" s="4"/>
      <c r="F25" s="49"/>
      <c r="H25" s="57"/>
      <c r="I25" s="28"/>
      <c r="J25" s="28"/>
      <c r="K25" s="28"/>
      <c r="L25" s="28"/>
      <c r="M25" s="28"/>
      <c r="N25" s="28"/>
      <c r="O25" s="28"/>
      <c r="P25" s="28"/>
      <c r="AR25" s="3"/>
    </row>
    <row r="26" spans="1:44" ht="15.75" x14ac:dyDescent="0.25">
      <c r="A26" s="4"/>
      <c r="F26" s="49"/>
      <c r="H26" s="57"/>
      <c r="AR26" s="3"/>
    </row>
    <row r="27" spans="1:44" ht="15.75" x14ac:dyDescent="0.25">
      <c r="A27" s="4"/>
      <c r="F27" s="49"/>
      <c r="H27" s="57"/>
      <c r="AR27" s="3"/>
    </row>
    <row r="28" spans="1:44" ht="15.75" x14ac:dyDescent="0.25">
      <c r="A28" s="4"/>
      <c r="F28" s="49"/>
      <c r="H28" s="57"/>
      <c r="AR28" s="3"/>
    </row>
    <row r="29" spans="1:44" ht="15.75" x14ac:dyDescent="0.25">
      <c r="A29" s="4"/>
      <c r="F29" s="49"/>
      <c r="H29" s="57"/>
      <c r="AR29" s="3"/>
    </row>
    <row r="30" spans="1:44" ht="15.75" x14ac:dyDescent="0.25">
      <c r="A30" s="4"/>
      <c r="F30" s="49"/>
      <c r="H30" s="57"/>
      <c r="AR30" s="3"/>
    </row>
    <row r="31" spans="1:44" ht="15.75" x14ac:dyDescent="0.25">
      <c r="A31" s="4"/>
      <c r="H31" s="57"/>
      <c r="AR31" s="3"/>
    </row>
    <row r="32" spans="1:44" ht="15.75" x14ac:dyDescent="0.25">
      <c r="A32" s="4"/>
      <c r="H32" s="57"/>
      <c r="AR32" s="3"/>
    </row>
    <row r="33" spans="1:44" ht="12.75" customHeight="1" x14ac:dyDescent="0.2">
      <c r="A33" s="4"/>
      <c r="AR33" s="3"/>
    </row>
    <row r="34" spans="1:44" x14ac:dyDescent="0.2">
      <c r="A34" s="4"/>
      <c r="AR34" s="3"/>
    </row>
    <row r="35" spans="1:44" x14ac:dyDescent="0.2">
      <c r="A35" s="4"/>
      <c r="AR35" s="3"/>
    </row>
    <row r="36" spans="1:44" ht="13.5" customHeight="1" x14ac:dyDescent="0.2">
      <c r="A36" s="4"/>
      <c r="AR36" s="3"/>
    </row>
    <row r="37" spans="1:44" ht="12.75" customHeight="1" x14ac:dyDescent="0.2">
      <c r="A37" s="4"/>
      <c r="AR37" s="3"/>
    </row>
    <row r="38" spans="1:44" x14ac:dyDescent="0.2">
      <c r="A38" s="4"/>
      <c r="AR38" s="3"/>
    </row>
    <row r="39" spans="1:44" ht="13.5" customHeight="1" x14ac:dyDescent="0.2">
      <c r="A39" s="4"/>
      <c r="AR39" s="3"/>
    </row>
    <row r="40" spans="1:44" ht="13.5" customHeight="1" thickBot="1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1"/>
    </row>
    <row r="43" spans="1:44" ht="13.5" customHeight="1" thickBot="1" x14ac:dyDescent="0.25"/>
    <row r="44" spans="1:44" ht="21" x14ac:dyDescent="0.2">
      <c r="B44" s="33" t="s">
        <v>88</v>
      </c>
      <c r="C44" s="70" t="s">
        <v>317</v>
      </c>
      <c r="D44" s="70" t="s">
        <v>257</v>
      </c>
      <c r="E44" s="130" t="s">
        <v>222</v>
      </c>
      <c r="F44" s="130" t="s">
        <v>212</v>
      </c>
      <c r="G44" s="130" t="s">
        <v>204</v>
      </c>
      <c r="H44" s="63" t="s">
        <v>102</v>
      </c>
      <c r="I44" s="33" t="s">
        <v>89</v>
      </c>
      <c r="J44" s="34" t="s">
        <v>90</v>
      </c>
      <c r="K44" s="36"/>
      <c r="L44" s="36"/>
      <c r="M44" s="36"/>
      <c r="N44" s="36"/>
      <c r="O44" s="36"/>
      <c r="P44" s="36"/>
    </row>
    <row r="45" spans="1:44" ht="15.75" x14ac:dyDescent="0.25">
      <c r="B45" s="242" t="s">
        <v>96</v>
      </c>
      <c r="C45" s="74">
        <v>2319055</v>
      </c>
      <c r="D45" s="74">
        <v>0</v>
      </c>
      <c r="E45" s="74">
        <v>6308768</v>
      </c>
      <c r="F45" s="74">
        <v>4088450</v>
      </c>
      <c r="G45" s="74">
        <v>9772741</v>
      </c>
      <c r="H45" s="74">
        <v>5232922</v>
      </c>
      <c r="I45" s="74">
        <v>20519674</v>
      </c>
      <c r="J45" s="74">
        <v>4068398</v>
      </c>
      <c r="K45" s="79"/>
      <c r="L45" s="79"/>
      <c r="M45" s="57"/>
      <c r="N45" s="57"/>
      <c r="O45" s="57"/>
      <c r="P45" s="57"/>
    </row>
    <row r="46" spans="1:44" ht="15.75" x14ac:dyDescent="0.25">
      <c r="B46" s="242" t="s">
        <v>97</v>
      </c>
      <c r="C46" s="74">
        <v>2198885</v>
      </c>
      <c r="D46" s="74">
        <v>4332104</v>
      </c>
      <c r="E46" s="74">
        <v>3904163</v>
      </c>
      <c r="F46" s="74">
        <v>3444630</v>
      </c>
      <c r="G46" s="74">
        <v>8662267</v>
      </c>
      <c r="H46" s="74">
        <v>6735984</v>
      </c>
      <c r="I46" s="74">
        <v>347610</v>
      </c>
      <c r="J46" s="74">
        <v>3781685</v>
      </c>
      <c r="K46" s="79"/>
      <c r="L46" s="79"/>
      <c r="M46" s="57"/>
      <c r="N46" s="57"/>
      <c r="O46" s="57"/>
      <c r="P46" s="57"/>
    </row>
    <row r="47" spans="1:44" ht="15.75" x14ac:dyDescent="0.25">
      <c r="B47" s="242" t="s">
        <v>98</v>
      </c>
      <c r="C47" s="74">
        <v>5345924</v>
      </c>
      <c r="D47" s="74">
        <v>11179580</v>
      </c>
      <c r="E47" s="74">
        <v>6104727</v>
      </c>
      <c r="F47" s="74">
        <v>4294490</v>
      </c>
      <c r="G47" s="74">
        <v>11213082</v>
      </c>
      <c r="H47" s="74">
        <v>4072345</v>
      </c>
      <c r="I47" s="74">
        <v>245528</v>
      </c>
      <c r="J47" s="74">
        <v>3264345</v>
      </c>
      <c r="K47" s="79"/>
      <c r="L47" s="79"/>
      <c r="M47" s="57"/>
      <c r="N47" s="57"/>
      <c r="O47" s="57"/>
      <c r="P47" s="57"/>
    </row>
    <row r="48" spans="1:44" ht="15.75" x14ac:dyDescent="0.25">
      <c r="B48" s="242" t="s">
        <v>99</v>
      </c>
      <c r="C48" s="74">
        <v>5705085</v>
      </c>
      <c r="D48" s="74">
        <v>6476561</v>
      </c>
      <c r="E48" s="74">
        <v>4771392</v>
      </c>
      <c r="F48" s="74">
        <v>3094715</v>
      </c>
      <c r="G48" s="74">
        <v>109000</v>
      </c>
      <c r="H48" s="74">
        <v>8902568</v>
      </c>
      <c r="I48" s="74">
        <v>311788</v>
      </c>
      <c r="J48" s="74">
        <v>5714524</v>
      </c>
      <c r="K48" s="79"/>
      <c r="L48" s="79"/>
      <c r="M48" s="57"/>
      <c r="N48" s="57"/>
      <c r="O48" s="57"/>
      <c r="P48" s="57"/>
    </row>
    <row r="49" spans="2:16" ht="15.75" x14ac:dyDescent="0.25">
      <c r="B49" s="242" t="s">
        <v>314</v>
      </c>
      <c r="C49" s="74">
        <v>6312190</v>
      </c>
      <c r="D49" s="74">
        <v>2948466</v>
      </c>
      <c r="E49" s="74">
        <v>3195437</v>
      </c>
      <c r="F49" s="74">
        <v>3036250</v>
      </c>
      <c r="G49" s="74">
        <v>0</v>
      </c>
      <c r="H49" s="74">
        <v>4831245</v>
      </c>
      <c r="I49" s="74">
        <v>2070588</v>
      </c>
      <c r="J49" s="74">
        <v>1563099</v>
      </c>
      <c r="K49" s="80"/>
      <c r="L49" s="80"/>
      <c r="M49" s="189"/>
      <c r="N49" s="189"/>
      <c r="O49" s="189"/>
      <c r="P49" s="189"/>
    </row>
    <row r="50" spans="2:16" ht="15.75" x14ac:dyDescent="0.25">
      <c r="B50" s="242" t="s">
        <v>263</v>
      </c>
      <c r="C50" s="74">
        <v>5308821</v>
      </c>
      <c r="D50" s="74">
        <v>5460313</v>
      </c>
      <c r="E50" s="74">
        <v>3587643</v>
      </c>
      <c r="F50" s="74">
        <v>3220640</v>
      </c>
      <c r="G50" s="74">
        <v>15088775</v>
      </c>
      <c r="H50" s="74">
        <v>2541098</v>
      </c>
      <c r="I50" s="74">
        <v>4186225</v>
      </c>
      <c r="J50" s="74">
        <v>2504537</v>
      </c>
      <c r="K50" s="189"/>
      <c r="L50" s="189"/>
      <c r="M50" s="189"/>
      <c r="N50" s="189"/>
      <c r="O50" s="189"/>
      <c r="P50" s="189"/>
    </row>
    <row r="51" spans="2:16" ht="15.75" x14ac:dyDescent="0.25">
      <c r="B51" s="242" t="s">
        <v>310</v>
      </c>
      <c r="C51" s="74">
        <v>1368000</v>
      </c>
      <c r="D51" s="74">
        <v>5032261</v>
      </c>
      <c r="E51" s="74">
        <v>5002298</v>
      </c>
      <c r="F51" s="74">
        <v>2982171</v>
      </c>
      <c r="G51" s="74">
        <v>5107405</v>
      </c>
      <c r="H51" s="74">
        <v>2060928</v>
      </c>
      <c r="I51" s="74">
        <v>3502320</v>
      </c>
      <c r="J51" s="74">
        <v>14376812</v>
      </c>
      <c r="K51" s="190"/>
      <c r="L51" s="190"/>
      <c r="M51" s="190"/>
      <c r="N51" s="190"/>
      <c r="O51" s="190"/>
      <c r="P51" s="190"/>
    </row>
    <row r="52" spans="2:16" ht="15.75" x14ac:dyDescent="0.25">
      <c r="B52" s="242" t="s">
        <v>311</v>
      </c>
      <c r="C52" s="74">
        <v>1818800</v>
      </c>
      <c r="D52" s="74">
        <v>7904377</v>
      </c>
      <c r="E52" s="74">
        <v>6292782</v>
      </c>
      <c r="F52" s="74">
        <v>2259634</v>
      </c>
      <c r="G52" s="74">
        <v>4348355</v>
      </c>
      <c r="H52" s="74">
        <v>722060</v>
      </c>
      <c r="I52" s="74">
        <v>13456626</v>
      </c>
      <c r="J52" s="74">
        <v>9843168</v>
      </c>
      <c r="K52" s="48"/>
      <c r="L52" s="48"/>
      <c r="M52" s="48"/>
      <c r="N52" s="48"/>
      <c r="O52" s="48"/>
      <c r="P52" s="48"/>
    </row>
    <row r="53" spans="2:16" ht="15.75" x14ac:dyDescent="0.25">
      <c r="B53" s="292" t="s">
        <v>345</v>
      </c>
      <c r="C53" s="217">
        <v>2263580</v>
      </c>
      <c r="D53" s="217">
        <v>60811795</v>
      </c>
      <c r="E53" s="217">
        <v>9534674</v>
      </c>
      <c r="F53" s="217">
        <v>4199993</v>
      </c>
      <c r="G53" s="217">
        <v>5343486</v>
      </c>
      <c r="H53" s="217">
        <v>1921510</v>
      </c>
      <c r="I53" s="217">
        <v>0</v>
      </c>
      <c r="J53" s="215">
        <v>6807513</v>
      </c>
      <c r="K53" s="48"/>
      <c r="L53" s="48"/>
      <c r="M53" s="48"/>
      <c r="N53" s="48"/>
      <c r="O53" s="48"/>
      <c r="P53" s="48"/>
    </row>
    <row r="54" spans="2:16" ht="15.75" x14ac:dyDescent="0.25">
      <c r="B54" s="292" t="s">
        <v>265</v>
      </c>
      <c r="C54" s="217">
        <v>3401625</v>
      </c>
      <c r="D54" s="217">
        <v>70303543</v>
      </c>
      <c r="E54" s="217">
        <v>8627180</v>
      </c>
      <c r="F54" s="217">
        <v>5953903</v>
      </c>
      <c r="G54" s="217">
        <v>5206920</v>
      </c>
      <c r="H54" s="217">
        <v>1940050</v>
      </c>
      <c r="I54" s="217">
        <v>11000000</v>
      </c>
      <c r="J54" s="215">
        <v>3921439</v>
      </c>
      <c r="K54" s="48"/>
      <c r="L54" s="48"/>
      <c r="M54" s="48"/>
      <c r="N54" s="48"/>
      <c r="O54" s="48"/>
      <c r="P54" s="48"/>
    </row>
    <row r="55" spans="2:16" ht="15.75" x14ac:dyDescent="0.25">
      <c r="B55" s="292" t="s">
        <v>266</v>
      </c>
      <c r="C55" s="217">
        <v>2974890</v>
      </c>
      <c r="D55" s="217">
        <v>76691258</v>
      </c>
      <c r="E55" s="217">
        <v>9834611</v>
      </c>
      <c r="F55" s="217">
        <v>3450527</v>
      </c>
      <c r="G55" s="217">
        <v>4539945</v>
      </c>
      <c r="H55" s="217">
        <v>6096979</v>
      </c>
      <c r="I55" s="217">
        <v>12000000</v>
      </c>
      <c r="J55" s="215">
        <v>2545390</v>
      </c>
      <c r="K55" s="48"/>
      <c r="L55" s="48"/>
      <c r="M55" s="48"/>
      <c r="N55" s="48"/>
      <c r="O55" s="48"/>
      <c r="P55" s="48"/>
    </row>
    <row r="56" spans="2:16" ht="15.75" x14ac:dyDescent="0.25">
      <c r="B56" s="292" t="s">
        <v>346</v>
      </c>
      <c r="C56" s="217">
        <v>3456110</v>
      </c>
      <c r="D56" s="217">
        <v>85652181</v>
      </c>
      <c r="E56" s="217">
        <v>6687564</v>
      </c>
      <c r="F56" s="217">
        <v>3437926</v>
      </c>
      <c r="G56" s="217">
        <v>5671900</v>
      </c>
      <c r="H56" s="217">
        <v>10802895</v>
      </c>
      <c r="I56" s="217">
        <v>13000000</v>
      </c>
      <c r="J56" s="215">
        <v>68513641</v>
      </c>
      <c r="K56" s="48"/>
      <c r="L56" s="48"/>
      <c r="M56" s="48"/>
      <c r="N56" s="48"/>
      <c r="O56" s="48"/>
      <c r="P56" s="48"/>
    </row>
    <row r="57" spans="2:16" ht="15.75" x14ac:dyDescent="0.25">
      <c r="B57" s="292"/>
      <c r="C57" s="217"/>
      <c r="D57" s="217"/>
      <c r="E57" s="217"/>
      <c r="F57" s="217"/>
      <c r="G57" s="217"/>
      <c r="H57" s="217"/>
      <c r="I57" s="217"/>
      <c r="J57" s="215"/>
      <c r="K57" s="48"/>
      <c r="L57" s="48"/>
      <c r="M57" s="48"/>
      <c r="N57" s="48"/>
      <c r="O57" s="48"/>
      <c r="P57" s="48"/>
    </row>
    <row r="58" spans="2:16" ht="13.5" thickBot="1" x14ac:dyDescent="0.25">
      <c r="B58" s="244" t="s">
        <v>95</v>
      </c>
      <c r="C58" s="64">
        <v>42472965</v>
      </c>
      <c r="D58" s="64">
        <v>336792439</v>
      </c>
      <c r="E58" s="64">
        <v>73851239</v>
      </c>
      <c r="F58" s="64">
        <v>43463329</v>
      </c>
      <c r="G58" s="64">
        <v>75063876</v>
      </c>
      <c r="H58" s="64">
        <v>55860584</v>
      </c>
      <c r="I58" s="64">
        <v>80640359</v>
      </c>
      <c r="J58" s="64">
        <v>126904551</v>
      </c>
      <c r="K58" s="49"/>
      <c r="L58" s="49"/>
      <c r="M58" s="49"/>
      <c r="N58" s="49"/>
      <c r="O58" s="49"/>
      <c r="P58" s="49"/>
    </row>
    <row r="61" spans="2:16" x14ac:dyDescent="0.2">
      <c r="F61" s="49"/>
      <c r="I61" s="49"/>
    </row>
    <row r="69" spans="2:24" ht="13.5" thickBot="1" x14ac:dyDescent="0.25"/>
    <row r="70" spans="2:24" ht="21" x14ac:dyDescent="0.2">
      <c r="B70" s="32" t="s">
        <v>88</v>
      </c>
      <c r="C70" s="32" t="s">
        <v>318</v>
      </c>
      <c r="D70" s="32" t="s">
        <v>258</v>
      </c>
      <c r="E70" s="32" t="s">
        <v>223</v>
      </c>
      <c r="F70" s="32" t="s">
        <v>213</v>
      </c>
      <c r="G70" s="32" t="s">
        <v>205</v>
      </c>
      <c r="H70" s="32" t="s">
        <v>103</v>
      </c>
      <c r="I70" s="32" t="s">
        <v>91</v>
      </c>
      <c r="J70" s="34" t="s">
        <v>92</v>
      </c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spans="2:24" ht="15.75" x14ac:dyDescent="0.25">
      <c r="B71" s="25" t="s">
        <v>96</v>
      </c>
      <c r="C71" s="74">
        <v>5070435</v>
      </c>
      <c r="D71" s="74">
        <v>4878660</v>
      </c>
      <c r="E71" s="74">
        <v>3100823</v>
      </c>
      <c r="F71" s="74">
        <v>5295548</v>
      </c>
      <c r="G71" s="74">
        <v>4656136</v>
      </c>
      <c r="H71" s="74">
        <v>7998115</v>
      </c>
      <c r="I71" s="74">
        <v>5489862</v>
      </c>
      <c r="J71" s="74">
        <v>3111549</v>
      </c>
      <c r="K71" s="79"/>
      <c r="L71" s="79"/>
      <c r="M71" s="50"/>
      <c r="N71" s="50"/>
      <c r="O71" s="50"/>
      <c r="P71" s="50"/>
      <c r="Q71" s="37"/>
      <c r="R71" s="38"/>
      <c r="S71" s="38"/>
      <c r="T71" s="38"/>
      <c r="U71" s="38"/>
      <c r="V71" s="38"/>
      <c r="W71" s="38"/>
      <c r="X71" s="38"/>
    </row>
    <row r="72" spans="2:24" ht="15.75" x14ac:dyDescent="0.25">
      <c r="B72" s="25" t="s">
        <v>97</v>
      </c>
      <c r="C72" s="74">
        <v>6521782</v>
      </c>
      <c r="D72" s="74">
        <v>4693673</v>
      </c>
      <c r="E72" s="74">
        <v>7094524</v>
      </c>
      <c r="F72" s="74">
        <v>6881543</v>
      </c>
      <c r="G72" s="74">
        <v>7804429</v>
      </c>
      <c r="H72" s="74">
        <v>4974355</v>
      </c>
      <c r="I72" s="74">
        <v>7374328</v>
      </c>
      <c r="J72" s="74">
        <v>8157506</v>
      </c>
      <c r="K72" s="79"/>
      <c r="L72" s="79"/>
      <c r="M72" s="50"/>
      <c r="N72" s="50"/>
      <c r="O72" s="50"/>
      <c r="P72" s="50"/>
      <c r="Q72" s="37"/>
      <c r="R72" s="38"/>
      <c r="S72" s="38"/>
      <c r="T72" s="38"/>
      <c r="U72" s="38"/>
      <c r="V72" s="38"/>
      <c r="W72" s="38"/>
      <c r="X72" s="38"/>
    </row>
    <row r="73" spans="2:24" ht="15.75" x14ac:dyDescent="0.25">
      <c r="B73" s="25" t="s">
        <v>98</v>
      </c>
      <c r="C73" s="74">
        <v>6934538</v>
      </c>
      <c r="D73" s="74">
        <v>12062967</v>
      </c>
      <c r="E73" s="74">
        <v>11156171</v>
      </c>
      <c r="F73" s="74">
        <v>7901560</v>
      </c>
      <c r="G73" s="74">
        <v>5900305</v>
      </c>
      <c r="H73" s="74">
        <v>7130437</v>
      </c>
      <c r="I73" s="74">
        <v>5439456</v>
      </c>
      <c r="J73" s="74">
        <v>5780617</v>
      </c>
      <c r="K73" s="79"/>
      <c r="L73" s="79"/>
      <c r="M73" s="50"/>
      <c r="N73" s="50"/>
      <c r="O73" s="50"/>
      <c r="P73" s="50"/>
      <c r="Q73" s="37"/>
      <c r="R73" s="38"/>
      <c r="S73" s="38"/>
      <c r="T73" s="38"/>
      <c r="U73" s="38"/>
      <c r="V73" s="38"/>
      <c r="W73" s="38"/>
      <c r="X73" s="38"/>
    </row>
    <row r="74" spans="2:24" ht="15.75" x14ac:dyDescent="0.25">
      <c r="B74" s="25" t="s">
        <v>99</v>
      </c>
      <c r="C74" s="74">
        <v>11902051</v>
      </c>
      <c r="D74" s="74">
        <v>13101458</v>
      </c>
      <c r="E74" s="74">
        <v>11179990</v>
      </c>
      <c r="F74" s="74">
        <v>10475785</v>
      </c>
      <c r="G74" s="74">
        <v>121014</v>
      </c>
      <c r="H74" s="74">
        <v>6001004</v>
      </c>
      <c r="I74" s="74">
        <v>7142915</v>
      </c>
      <c r="J74" s="74">
        <v>5636163</v>
      </c>
      <c r="K74" s="79"/>
      <c r="L74" s="79"/>
      <c r="M74" s="50"/>
      <c r="N74" s="50"/>
      <c r="O74" s="50"/>
      <c r="P74" s="50"/>
      <c r="Q74" s="37"/>
      <c r="R74" s="38"/>
      <c r="S74" s="38"/>
      <c r="T74" s="38"/>
      <c r="U74" s="38"/>
      <c r="V74" s="38"/>
      <c r="W74" s="38"/>
      <c r="X74" s="38"/>
    </row>
    <row r="75" spans="2:24" ht="15.75" x14ac:dyDescent="0.25">
      <c r="B75" s="25" t="s">
        <v>314</v>
      </c>
      <c r="C75" s="74">
        <v>5781805</v>
      </c>
      <c r="D75" s="74">
        <v>11011958</v>
      </c>
      <c r="E75" s="74">
        <v>9141636</v>
      </c>
      <c r="F75" s="74">
        <v>9475619</v>
      </c>
      <c r="G75" s="74">
        <v>1804105</v>
      </c>
      <c r="H75" s="74">
        <v>7419178</v>
      </c>
      <c r="I75" s="74">
        <v>5721041</v>
      </c>
      <c r="J75" s="74">
        <v>13796936</v>
      </c>
      <c r="K75" s="79"/>
      <c r="L75" s="79"/>
      <c r="M75" s="50"/>
      <c r="N75" s="50"/>
      <c r="O75" s="50"/>
      <c r="P75" s="50"/>
      <c r="Q75" s="37"/>
      <c r="R75" s="38"/>
      <c r="S75" s="38"/>
      <c r="T75" s="38"/>
      <c r="U75" s="38"/>
      <c r="V75" s="38"/>
      <c r="W75" s="38"/>
      <c r="X75" s="38"/>
    </row>
    <row r="76" spans="2:24" ht="15.75" x14ac:dyDescent="0.25">
      <c r="B76" s="25" t="s">
        <v>263</v>
      </c>
      <c r="C76" s="74">
        <v>3102603</v>
      </c>
      <c r="D76" s="74">
        <v>9771991</v>
      </c>
      <c r="E76" s="74">
        <v>6890613</v>
      </c>
      <c r="F76" s="74">
        <v>14072478</v>
      </c>
      <c r="G76" s="74">
        <v>5883300</v>
      </c>
      <c r="H76" s="74">
        <v>6384585</v>
      </c>
      <c r="I76" s="74">
        <v>4021740</v>
      </c>
      <c r="J76" s="74">
        <v>6565667</v>
      </c>
      <c r="K76" s="79"/>
      <c r="L76" s="79"/>
      <c r="M76" s="50"/>
      <c r="N76" s="50"/>
      <c r="O76" s="50"/>
      <c r="P76" s="50"/>
      <c r="Q76" s="37"/>
      <c r="R76" s="38"/>
      <c r="S76" s="38"/>
      <c r="T76" s="38"/>
      <c r="U76" s="38"/>
      <c r="V76" s="38"/>
      <c r="W76" s="38"/>
      <c r="X76" s="38"/>
    </row>
    <row r="77" spans="2:24" ht="15.75" x14ac:dyDescent="0.25">
      <c r="B77" s="25" t="s">
        <v>310</v>
      </c>
      <c r="C77" s="74">
        <v>4934884</v>
      </c>
      <c r="D77" s="74">
        <v>5870486</v>
      </c>
      <c r="E77" s="74">
        <v>8564817</v>
      </c>
      <c r="F77" s="74">
        <v>7847354</v>
      </c>
      <c r="G77" s="74">
        <v>9069381</v>
      </c>
      <c r="H77" s="74">
        <v>4374077</v>
      </c>
      <c r="I77" s="74">
        <v>1959742</v>
      </c>
      <c r="J77" s="74">
        <v>6138041</v>
      </c>
      <c r="K77" s="50"/>
      <c r="L77" s="50"/>
      <c r="M77" s="50"/>
      <c r="N77" s="50"/>
      <c r="O77" s="50"/>
      <c r="P77" s="50"/>
      <c r="Q77" s="37"/>
      <c r="R77" s="38"/>
      <c r="S77" s="38"/>
      <c r="T77" s="38"/>
      <c r="U77" s="38"/>
      <c r="V77" s="38"/>
      <c r="W77" s="38"/>
      <c r="X77" s="38"/>
    </row>
    <row r="78" spans="2:24" ht="15.75" x14ac:dyDescent="0.25">
      <c r="B78" s="25" t="s">
        <v>311</v>
      </c>
      <c r="C78" s="74">
        <v>13355048</v>
      </c>
      <c r="D78" s="74">
        <v>7730780</v>
      </c>
      <c r="E78" s="74">
        <v>12002561</v>
      </c>
      <c r="F78" s="74">
        <v>10482068</v>
      </c>
      <c r="G78" s="74">
        <v>6862717</v>
      </c>
      <c r="H78" s="74">
        <v>8088583</v>
      </c>
      <c r="I78" s="74">
        <v>4820282</v>
      </c>
      <c r="J78" s="74">
        <v>5449400</v>
      </c>
      <c r="K78" s="50"/>
      <c r="L78" s="50"/>
      <c r="M78" s="50"/>
      <c r="N78" s="50"/>
      <c r="O78" s="50"/>
      <c r="P78" s="50"/>
      <c r="Q78" s="37"/>
      <c r="R78" s="38"/>
      <c r="S78" s="38"/>
      <c r="T78" s="38"/>
      <c r="U78" s="38"/>
      <c r="V78" s="38"/>
      <c r="W78" s="38"/>
      <c r="X78" s="38"/>
    </row>
    <row r="79" spans="2:24" ht="15.75" x14ac:dyDescent="0.25">
      <c r="B79" s="25" t="s">
        <v>345</v>
      </c>
      <c r="C79" s="215">
        <v>12223256</v>
      </c>
      <c r="D79" s="217">
        <v>12500720</v>
      </c>
      <c r="E79" s="217">
        <v>8694467</v>
      </c>
      <c r="F79" s="217">
        <v>12769758</v>
      </c>
      <c r="G79" s="217">
        <v>9114471</v>
      </c>
      <c r="H79" s="217">
        <v>5761435</v>
      </c>
      <c r="I79" s="217">
        <v>6035931</v>
      </c>
      <c r="J79" s="215">
        <v>6941815</v>
      </c>
      <c r="K79" s="50"/>
      <c r="L79" s="50"/>
      <c r="M79" s="50"/>
      <c r="N79" s="50"/>
      <c r="O79" s="50"/>
      <c r="P79" s="50"/>
      <c r="Q79" s="37"/>
      <c r="R79" s="38"/>
      <c r="S79" s="38"/>
      <c r="T79" s="38"/>
      <c r="U79" s="38"/>
      <c r="V79" s="38"/>
      <c r="W79" s="38"/>
      <c r="X79" s="38"/>
    </row>
    <row r="80" spans="2:24" ht="15.75" x14ac:dyDescent="0.25">
      <c r="B80" s="25" t="s">
        <v>265</v>
      </c>
      <c r="C80" s="215">
        <v>12732697</v>
      </c>
      <c r="D80" s="217">
        <v>7560400</v>
      </c>
      <c r="E80" s="217">
        <v>6596990</v>
      </c>
      <c r="F80" s="217">
        <v>11490263</v>
      </c>
      <c r="G80" s="217">
        <v>11912109.83</v>
      </c>
      <c r="H80" s="217">
        <v>5903667</v>
      </c>
      <c r="I80" s="217">
        <v>10697305</v>
      </c>
      <c r="J80" s="215">
        <v>5541550</v>
      </c>
      <c r="K80" s="50"/>
      <c r="L80" s="50"/>
      <c r="M80" s="50"/>
      <c r="N80" s="50"/>
      <c r="O80" s="50"/>
      <c r="P80" s="50"/>
      <c r="Q80" s="37"/>
      <c r="R80" s="38"/>
      <c r="S80" s="38"/>
      <c r="T80" s="38"/>
      <c r="U80" s="38"/>
      <c r="V80" s="38"/>
      <c r="W80" s="38"/>
      <c r="X80" s="38"/>
    </row>
    <row r="81" spans="2:24" ht="15.75" x14ac:dyDescent="0.25">
      <c r="B81" s="25" t="s">
        <v>266</v>
      </c>
      <c r="C81" s="215">
        <v>10221753</v>
      </c>
      <c r="D81" s="217">
        <v>7355430</v>
      </c>
      <c r="E81" s="217">
        <v>10351450</v>
      </c>
      <c r="F81" s="217">
        <v>13482352</v>
      </c>
      <c r="G81" s="217">
        <v>9403633</v>
      </c>
      <c r="H81" s="217">
        <v>6953987</v>
      </c>
      <c r="I81" s="217">
        <v>7259988</v>
      </c>
      <c r="J81" s="215">
        <v>6901480</v>
      </c>
      <c r="K81" s="50"/>
      <c r="L81" s="50"/>
      <c r="M81" s="50"/>
      <c r="N81" s="50"/>
      <c r="O81" s="50"/>
      <c r="P81" s="50"/>
      <c r="Q81" s="37"/>
      <c r="R81" s="38"/>
      <c r="S81" s="38"/>
      <c r="T81" s="38"/>
      <c r="U81" s="38"/>
      <c r="V81" s="38"/>
      <c r="W81" s="38"/>
      <c r="X81" s="38"/>
    </row>
    <row r="82" spans="2:24" ht="15.75" x14ac:dyDescent="0.25">
      <c r="B82" s="25" t="s">
        <v>346</v>
      </c>
      <c r="C82" s="215">
        <v>10979454</v>
      </c>
      <c r="D82" s="217">
        <v>8377765</v>
      </c>
      <c r="E82" s="217">
        <v>10009636</v>
      </c>
      <c r="F82" s="217">
        <v>8072834</v>
      </c>
      <c r="G82" s="217">
        <v>11129725</v>
      </c>
      <c r="H82" s="217">
        <v>3580427</v>
      </c>
      <c r="I82" s="217">
        <v>8230584</v>
      </c>
      <c r="J82" s="215">
        <v>7106144</v>
      </c>
      <c r="K82" s="50"/>
      <c r="L82" s="50"/>
      <c r="M82" s="50"/>
      <c r="N82" s="50"/>
      <c r="O82" s="50"/>
      <c r="P82" s="50"/>
      <c r="Q82" s="37"/>
      <c r="R82" s="38"/>
      <c r="S82" s="38"/>
      <c r="T82" s="38"/>
      <c r="U82" s="38"/>
      <c r="V82" s="38"/>
      <c r="W82" s="38"/>
      <c r="X82" s="38"/>
    </row>
    <row r="83" spans="2:24" ht="15.75" x14ac:dyDescent="0.25">
      <c r="B83" s="26"/>
      <c r="C83" s="78"/>
      <c r="D83" s="219"/>
      <c r="E83" s="219"/>
      <c r="F83" s="220"/>
      <c r="G83" s="39"/>
      <c r="H83" s="39"/>
      <c r="I83" s="41"/>
      <c r="J83" s="40"/>
      <c r="K83" s="50"/>
      <c r="L83" s="50"/>
      <c r="M83" s="50"/>
      <c r="N83" s="50"/>
      <c r="O83" s="50"/>
      <c r="P83" s="50"/>
      <c r="Q83" s="37"/>
      <c r="R83" s="38"/>
      <c r="S83" s="38"/>
      <c r="T83" s="38"/>
      <c r="U83" s="38"/>
      <c r="V83" s="38"/>
      <c r="W83" s="38"/>
      <c r="X83" s="38"/>
    </row>
    <row r="84" spans="2:24" ht="13.5" thickBot="1" x14ac:dyDescent="0.25">
      <c r="B84" s="27" t="s">
        <v>95</v>
      </c>
      <c r="C84" s="71">
        <v>103760306</v>
      </c>
      <c r="D84" s="71">
        <v>104916288</v>
      </c>
      <c r="E84" s="71">
        <v>104783678</v>
      </c>
      <c r="F84" s="71">
        <v>118247162</v>
      </c>
      <c r="G84" s="71">
        <v>83661325.829999998</v>
      </c>
      <c r="H84" s="71">
        <v>74569850</v>
      </c>
      <c r="I84" s="71">
        <v>74193174</v>
      </c>
      <c r="J84" s="71">
        <v>81126868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7" spans="2:24" x14ac:dyDescent="0.2">
      <c r="F87" s="49"/>
      <c r="I87" s="66"/>
    </row>
    <row r="102" spans="2:34" ht="13.5" thickBot="1" x14ac:dyDescent="0.25"/>
    <row r="103" spans="2:34" x14ac:dyDescent="0.2">
      <c r="B103" s="32" t="s">
        <v>88</v>
      </c>
      <c r="C103" s="33" t="s">
        <v>321</v>
      </c>
      <c r="D103" s="33" t="s">
        <v>283</v>
      </c>
      <c r="E103" s="33" t="s">
        <v>226</v>
      </c>
      <c r="F103" s="33" t="s">
        <v>216</v>
      </c>
      <c r="G103" s="33" t="s">
        <v>208</v>
      </c>
      <c r="H103" s="33" t="s">
        <v>104</v>
      </c>
      <c r="I103" s="33" t="s">
        <v>93</v>
      </c>
      <c r="J103" s="34" t="s">
        <v>94</v>
      </c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spans="2:34" ht="15.75" x14ac:dyDescent="0.25">
      <c r="B104" s="25" t="s">
        <v>96</v>
      </c>
      <c r="C104" s="72">
        <v>9947041</v>
      </c>
      <c r="D104" s="72">
        <v>10152266</v>
      </c>
      <c r="E104" s="58">
        <v>8340075.4400000004</v>
      </c>
      <c r="F104" s="58">
        <v>9031235</v>
      </c>
      <c r="G104" s="58">
        <v>11183760</v>
      </c>
      <c r="H104" s="58">
        <v>8192569</v>
      </c>
      <c r="I104" s="72">
        <v>7055307</v>
      </c>
      <c r="J104" s="72">
        <v>10452832</v>
      </c>
      <c r="K104" s="79"/>
      <c r="L104" s="79"/>
      <c r="M104" s="37"/>
      <c r="N104" s="37"/>
      <c r="O104" s="37"/>
      <c r="P104" s="37"/>
      <c r="Q104" s="37"/>
      <c r="R104" s="38"/>
      <c r="S104" s="38"/>
      <c r="T104" s="38"/>
      <c r="U104" s="38"/>
      <c r="V104" s="38"/>
      <c r="W104" s="38"/>
      <c r="X104" s="38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2:34" ht="15.75" x14ac:dyDescent="0.25">
      <c r="B105" s="25" t="s">
        <v>97</v>
      </c>
      <c r="C105" s="72">
        <v>13136716</v>
      </c>
      <c r="D105" s="72">
        <v>13410419</v>
      </c>
      <c r="E105" s="58">
        <v>9969598</v>
      </c>
      <c r="F105" s="58">
        <v>12420337</v>
      </c>
      <c r="G105" s="58">
        <v>13337610</v>
      </c>
      <c r="H105" s="58">
        <v>8084721</v>
      </c>
      <c r="I105" s="72">
        <v>8975623</v>
      </c>
      <c r="J105" s="72">
        <v>8843670</v>
      </c>
      <c r="K105" s="79"/>
      <c r="L105" s="79"/>
      <c r="M105" s="37"/>
      <c r="N105" s="37"/>
      <c r="O105" s="37"/>
      <c r="P105" s="37"/>
      <c r="Q105" s="37"/>
      <c r="R105" s="38"/>
      <c r="S105" s="38"/>
      <c r="T105" s="38"/>
      <c r="U105" s="38"/>
      <c r="V105" s="38"/>
      <c r="W105" s="38"/>
      <c r="X105" s="38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2:34" ht="15.75" x14ac:dyDescent="0.25">
      <c r="B106" s="25" t="s">
        <v>98</v>
      </c>
      <c r="C106" s="72">
        <v>11222287.82</v>
      </c>
      <c r="D106" s="72">
        <v>16907266</v>
      </c>
      <c r="E106" s="58">
        <v>11403558</v>
      </c>
      <c r="F106" s="58">
        <v>13591375</v>
      </c>
      <c r="G106" s="58">
        <v>10865138</v>
      </c>
      <c r="H106" s="58">
        <v>8025783</v>
      </c>
      <c r="I106" s="72">
        <v>9788704</v>
      </c>
      <c r="J106" s="72">
        <v>8621927</v>
      </c>
      <c r="K106" s="79"/>
      <c r="L106" s="79"/>
      <c r="M106" s="37"/>
      <c r="N106" s="37"/>
      <c r="O106" s="37"/>
      <c r="P106" s="37"/>
      <c r="Q106" s="37"/>
      <c r="R106" s="38"/>
      <c r="S106" s="38"/>
      <c r="T106" s="38"/>
      <c r="U106" s="38"/>
      <c r="V106" s="38"/>
      <c r="W106" s="38"/>
      <c r="X106" s="38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ht="15.75" x14ac:dyDescent="0.25">
      <c r="B107" s="25" t="s">
        <v>99</v>
      </c>
      <c r="C107" s="72">
        <v>13880419</v>
      </c>
      <c r="D107" s="72">
        <v>12557124</v>
      </c>
      <c r="E107" s="58">
        <v>11689725</v>
      </c>
      <c r="F107" s="58">
        <v>17060981</v>
      </c>
      <c r="G107" s="58">
        <v>8424882</v>
      </c>
      <c r="H107" s="58">
        <v>11161681</v>
      </c>
      <c r="I107" s="72">
        <v>9211395</v>
      </c>
      <c r="J107" s="72">
        <v>6162384</v>
      </c>
      <c r="K107" s="79"/>
      <c r="L107" s="79"/>
      <c r="M107" s="48"/>
      <c r="N107" s="48"/>
      <c r="O107" s="48"/>
      <c r="P107" s="48"/>
      <c r="Q107" s="37"/>
      <c r="R107" s="38"/>
      <c r="S107" s="38"/>
      <c r="T107" s="38"/>
      <c r="U107" s="38"/>
      <c r="V107" s="38"/>
      <c r="W107" s="38"/>
      <c r="X107" s="38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ht="15.75" x14ac:dyDescent="0.25">
      <c r="B108" s="25" t="s">
        <v>229</v>
      </c>
      <c r="C108" s="72">
        <v>12971414</v>
      </c>
      <c r="D108" s="218">
        <v>15171959</v>
      </c>
      <c r="E108" s="221">
        <v>11286631</v>
      </c>
      <c r="F108" s="221">
        <v>11744516.633333333</v>
      </c>
      <c r="G108" s="58">
        <v>10909925</v>
      </c>
      <c r="H108" s="221">
        <v>10164486</v>
      </c>
      <c r="I108" s="72">
        <v>8014528</v>
      </c>
      <c r="J108" s="222">
        <v>10155182</v>
      </c>
      <c r="K108" s="79"/>
      <c r="L108" s="79"/>
      <c r="M108" s="48"/>
      <c r="N108" s="48"/>
      <c r="O108" s="48"/>
      <c r="P108" s="48"/>
      <c r="Q108" s="37"/>
      <c r="R108" s="38"/>
      <c r="S108" s="38"/>
      <c r="T108" s="38"/>
      <c r="U108" s="38"/>
      <c r="V108" s="38"/>
      <c r="W108" s="38"/>
      <c r="X108" s="38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ht="15.75" x14ac:dyDescent="0.25">
      <c r="B109" s="25" t="s">
        <v>330</v>
      </c>
      <c r="C109" s="72">
        <v>10918657</v>
      </c>
      <c r="D109" s="218">
        <v>10729339</v>
      </c>
      <c r="E109" s="221">
        <v>12304971</v>
      </c>
      <c r="F109" s="221">
        <v>12797380</v>
      </c>
      <c r="G109" s="58">
        <v>12990071</v>
      </c>
      <c r="H109" s="221">
        <v>8433671</v>
      </c>
      <c r="I109" s="72">
        <v>7385244</v>
      </c>
      <c r="J109" s="222">
        <v>14240736</v>
      </c>
      <c r="K109" s="79"/>
      <c r="L109" s="79"/>
      <c r="M109" s="48"/>
      <c r="N109" s="48"/>
      <c r="O109" s="48"/>
      <c r="P109" s="48"/>
      <c r="Q109" s="37"/>
      <c r="R109" s="38"/>
      <c r="S109" s="38"/>
      <c r="T109" s="38"/>
      <c r="U109" s="38"/>
      <c r="V109" s="38"/>
      <c r="W109" s="38"/>
      <c r="X109" s="38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ht="15.75" x14ac:dyDescent="0.25">
      <c r="B110" s="25" t="s">
        <v>230</v>
      </c>
      <c r="C110" s="72">
        <v>11152404</v>
      </c>
      <c r="D110" s="218">
        <v>10792468</v>
      </c>
      <c r="E110" s="221">
        <v>12624706</v>
      </c>
      <c r="F110" s="221">
        <v>13357892</v>
      </c>
      <c r="G110" s="58">
        <v>11530572</v>
      </c>
      <c r="H110" s="221">
        <v>8752682</v>
      </c>
      <c r="I110" s="72">
        <v>7676064</v>
      </c>
      <c r="J110" s="222">
        <v>10531315</v>
      </c>
      <c r="K110" s="79"/>
      <c r="L110" s="79"/>
      <c r="M110" s="48"/>
      <c r="N110" s="48"/>
      <c r="O110" s="48"/>
      <c r="P110" s="48"/>
      <c r="Q110" s="37"/>
      <c r="R110" s="38"/>
      <c r="S110" s="38"/>
      <c r="T110" s="38"/>
      <c r="U110" s="38"/>
      <c r="V110" s="38"/>
      <c r="W110" s="38"/>
      <c r="X110" s="38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ht="15.75" x14ac:dyDescent="0.25">
      <c r="B111" s="25" t="s">
        <v>231</v>
      </c>
      <c r="C111" s="72">
        <v>11530628</v>
      </c>
      <c r="D111" s="218">
        <v>10381456</v>
      </c>
      <c r="E111" s="221">
        <v>0</v>
      </c>
      <c r="F111" s="221">
        <v>12441445</v>
      </c>
      <c r="G111" s="58">
        <v>11013798</v>
      </c>
      <c r="H111" s="221">
        <v>10250005</v>
      </c>
      <c r="I111" s="72">
        <v>9472439</v>
      </c>
      <c r="J111" s="222">
        <v>10083753</v>
      </c>
      <c r="K111" s="79"/>
      <c r="L111" s="79"/>
      <c r="M111" s="48"/>
      <c r="N111" s="48"/>
      <c r="O111" s="48"/>
      <c r="P111" s="48"/>
      <c r="Q111" s="37"/>
      <c r="R111" s="38"/>
      <c r="S111" s="38"/>
      <c r="T111" s="38"/>
      <c r="U111" s="38"/>
      <c r="V111" s="38"/>
      <c r="W111" s="38"/>
      <c r="X111" s="38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ht="15.75" x14ac:dyDescent="0.25">
      <c r="B112" s="25" t="s">
        <v>345</v>
      </c>
      <c r="C112" s="218">
        <v>14014468</v>
      </c>
      <c r="D112" s="218">
        <v>14685440</v>
      </c>
      <c r="E112" s="221">
        <v>10423141</v>
      </c>
      <c r="F112" s="221">
        <v>14262071</v>
      </c>
      <c r="G112" s="221">
        <v>11098718</v>
      </c>
      <c r="H112" s="221">
        <v>12341540.75</v>
      </c>
      <c r="I112" s="72">
        <v>16476675</v>
      </c>
      <c r="J112" s="222">
        <v>13656658</v>
      </c>
      <c r="K112" s="79"/>
      <c r="L112" s="79"/>
      <c r="M112" s="48"/>
      <c r="N112" s="48"/>
      <c r="O112" s="48"/>
      <c r="P112" s="48"/>
      <c r="Q112" s="37"/>
      <c r="R112" s="38"/>
      <c r="S112" s="38"/>
      <c r="T112" s="38"/>
      <c r="U112" s="38"/>
      <c r="V112" s="38"/>
      <c r="W112" s="38"/>
      <c r="X112" s="38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2:34" ht="15.75" x14ac:dyDescent="0.25">
      <c r="B113" s="25" t="s">
        <v>265</v>
      </c>
      <c r="C113" s="218">
        <v>14110605</v>
      </c>
      <c r="D113" s="218">
        <v>22974686</v>
      </c>
      <c r="E113" s="221">
        <v>10630364</v>
      </c>
      <c r="F113" s="221">
        <v>11384483</v>
      </c>
      <c r="G113" s="221">
        <v>14559398</v>
      </c>
      <c r="H113" s="221">
        <v>13788360.75</v>
      </c>
      <c r="I113" s="72">
        <v>10699836</v>
      </c>
      <c r="J113" s="222">
        <v>12463405</v>
      </c>
      <c r="K113" s="79"/>
      <c r="L113" s="79"/>
      <c r="M113" s="48"/>
      <c r="N113" s="48"/>
      <c r="O113" s="48"/>
      <c r="P113" s="48"/>
      <c r="Q113" s="37"/>
      <c r="R113" s="38"/>
      <c r="S113" s="38"/>
      <c r="T113" s="38"/>
      <c r="U113" s="38"/>
      <c r="V113" s="38"/>
      <c r="W113" s="38"/>
      <c r="X113" s="38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2:34" ht="15.75" x14ac:dyDescent="0.25">
      <c r="B114" s="25" t="s">
        <v>266</v>
      </c>
      <c r="C114" s="218">
        <v>12084858.1</v>
      </c>
      <c r="D114" s="218">
        <v>13205069</v>
      </c>
      <c r="E114" s="221">
        <v>13793441</v>
      </c>
      <c r="F114" s="221">
        <v>9460840</v>
      </c>
      <c r="G114" s="221">
        <v>15548745</v>
      </c>
      <c r="H114" s="221">
        <v>12146150.75</v>
      </c>
      <c r="I114" s="72">
        <v>12696365</v>
      </c>
      <c r="J114" s="222">
        <v>13179987</v>
      </c>
      <c r="K114" s="79"/>
      <c r="L114" s="79"/>
      <c r="M114" s="48"/>
      <c r="N114" s="48"/>
      <c r="O114" s="48"/>
      <c r="P114" s="48"/>
      <c r="Q114" s="37"/>
      <c r="R114" s="38"/>
      <c r="S114" s="38"/>
      <c r="T114" s="38"/>
      <c r="U114" s="38"/>
      <c r="V114" s="38"/>
      <c r="W114" s="38"/>
      <c r="X114" s="38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2:34" ht="16.5" thickBot="1" x14ac:dyDescent="0.3">
      <c r="B115" s="25" t="s">
        <v>346</v>
      </c>
      <c r="C115" s="69">
        <v>14343828</v>
      </c>
      <c r="D115" s="69">
        <v>19716602</v>
      </c>
      <c r="E115" s="52">
        <v>14685347</v>
      </c>
      <c r="F115" s="52">
        <v>10271878</v>
      </c>
      <c r="G115" s="52">
        <v>12796951</v>
      </c>
      <c r="H115" s="52">
        <v>9554095.75</v>
      </c>
      <c r="I115" s="35">
        <v>8852048</v>
      </c>
      <c r="J115" s="51">
        <v>27294325</v>
      </c>
      <c r="K115" s="6"/>
      <c r="L115" s="6"/>
      <c r="M115" s="6"/>
      <c r="N115" s="6"/>
      <c r="O115" s="6"/>
      <c r="P115" s="6"/>
      <c r="Q115" s="37"/>
      <c r="R115" s="38"/>
      <c r="S115" s="38"/>
      <c r="T115" s="38"/>
      <c r="U115" s="38"/>
      <c r="V115" s="38"/>
      <c r="W115" s="38"/>
      <c r="X115" s="38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2:34" ht="13.5" thickBot="1" x14ac:dyDescent="0.25">
      <c r="B116" s="53" t="s">
        <v>95</v>
      </c>
      <c r="C116" s="54">
        <f>SUM(C104:C115)</f>
        <v>149313325.91999999</v>
      </c>
      <c r="D116" s="54">
        <f t="shared" ref="D116:J116" si="2">SUM(D104:D115)</f>
        <v>170684094</v>
      </c>
      <c r="E116" s="54">
        <f t="shared" si="2"/>
        <v>127151557.44</v>
      </c>
      <c r="F116" s="54">
        <f t="shared" si="2"/>
        <v>147824433.63333333</v>
      </c>
      <c r="G116" s="54">
        <f t="shared" si="2"/>
        <v>144259568</v>
      </c>
      <c r="H116" s="54">
        <f t="shared" si="2"/>
        <v>120895746</v>
      </c>
      <c r="I116" s="54">
        <f t="shared" si="2"/>
        <v>116304228</v>
      </c>
      <c r="J116" s="54">
        <f t="shared" si="2"/>
        <v>145686174</v>
      </c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20" spans="2:34" x14ac:dyDescent="0.2">
      <c r="H120" s="46"/>
    </row>
    <row r="128" spans="2:34" ht="13.5" thickBot="1" x14ac:dyDescent="0.25"/>
    <row r="129" spans="2:16" x14ac:dyDescent="0.2">
      <c r="B129" s="32" t="s">
        <v>88</v>
      </c>
      <c r="C129" s="70" t="s">
        <v>320</v>
      </c>
      <c r="D129" s="70" t="s">
        <v>282</v>
      </c>
      <c r="E129" s="70" t="s">
        <v>225</v>
      </c>
      <c r="F129" s="70" t="s">
        <v>215</v>
      </c>
      <c r="G129" s="33" t="s">
        <v>207</v>
      </c>
      <c r="H129" s="33" t="s">
        <v>105</v>
      </c>
      <c r="I129" s="33" t="s">
        <v>100</v>
      </c>
      <c r="J129" s="34" t="s">
        <v>101</v>
      </c>
      <c r="K129" s="36"/>
      <c r="L129" s="36"/>
      <c r="M129" s="36"/>
      <c r="N129" s="36"/>
      <c r="O129" s="36"/>
      <c r="P129" s="36"/>
    </row>
    <row r="130" spans="2:16" ht="15.75" x14ac:dyDescent="0.25">
      <c r="B130" s="25" t="s">
        <v>96</v>
      </c>
      <c r="C130" s="241">
        <f t="shared" ref="C130:C141" si="3">+C6+K6-S6</f>
        <v>-2557551</v>
      </c>
      <c r="D130" s="73">
        <v>-5273606</v>
      </c>
      <c r="E130" s="73">
        <v>-1150802.4400000004</v>
      </c>
      <c r="F130" s="73">
        <v>352800</v>
      </c>
      <c r="G130" s="255">
        <v>3245117</v>
      </c>
      <c r="H130" s="74">
        <v>5038468</v>
      </c>
      <c r="I130" s="73">
        <v>18954229</v>
      </c>
      <c r="J130" s="73">
        <v>-3272885</v>
      </c>
      <c r="K130" s="79"/>
      <c r="L130" s="79"/>
      <c r="M130" s="37"/>
      <c r="N130" s="37"/>
      <c r="O130" s="37"/>
      <c r="P130" s="37"/>
    </row>
    <row r="131" spans="2:16" ht="15.75" x14ac:dyDescent="0.25">
      <c r="B131" s="25" t="s">
        <v>97</v>
      </c>
      <c r="C131" s="241">
        <f t="shared" si="3"/>
        <v>-4416049</v>
      </c>
      <c r="D131" s="73">
        <v>-4384642</v>
      </c>
      <c r="E131" s="73">
        <v>569556</v>
      </c>
      <c r="F131" s="73">
        <v>-2094164</v>
      </c>
      <c r="G131" s="255">
        <v>3129086</v>
      </c>
      <c r="H131" s="74">
        <v>3625618</v>
      </c>
      <c r="I131" s="73">
        <v>-1253685</v>
      </c>
      <c r="J131" s="73">
        <v>3095521</v>
      </c>
      <c r="K131" s="79"/>
      <c r="L131" s="79"/>
      <c r="M131" s="37"/>
      <c r="N131" s="37"/>
      <c r="O131" s="37"/>
      <c r="P131" s="37"/>
    </row>
    <row r="132" spans="2:16" ht="15.75" x14ac:dyDescent="0.25">
      <c r="B132" s="25" t="s">
        <v>98</v>
      </c>
      <c r="C132" s="241">
        <f t="shared" si="3"/>
        <v>1058174.1799999997</v>
      </c>
      <c r="D132" s="73">
        <v>6335281</v>
      </c>
      <c r="E132" s="73">
        <v>4047103</v>
      </c>
      <c r="F132" s="73">
        <v>-1395325</v>
      </c>
      <c r="G132" s="255">
        <v>6248249</v>
      </c>
      <c r="H132" s="74">
        <v>3176999</v>
      </c>
      <c r="I132" s="73">
        <v>-4103720</v>
      </c>
      <c r="J132" s="73">
        <v>423035</v>
      </c>
      <c r="K132" s="79"/>
      <c r="L132" s="79"/>
      <c r="M132" s="37"/>
      <c r="N132" s="37"/>
      <c r="O132" s="37"/>
      <c r="P132" s="37"/>
    </row>
    <row r="133" spans="2:16" ht="15.75" x14ac:dyDescent="0.25">
      <c r="B133" s="25" t="s">
        <v>99</v>
      </c>
      <c r="C133" s="241">
        <f t="shared" si="3"/>
        <v>3726717</v>
      </c>
      <c r="D133" s="73">
        <v>7020895</v>
      </c>
      <c r="E133" s="73">
        <v>2584980</v>
      </c>
      <c r="F133" s="73">
        <v>-3490481</v>
      </c>
      <c r="G133" s="255">
        <v>-8194868</v>
      </c>
      <c r="H133" s="74">
        <v>3741891</v>
      </c>
      <c r="I133" s="73">
        <v>-1756692</v>
      </c>
      <c r="J133" s="73">
        <v>5188303</v>
      </c>
      <c r="K133" s="79"/>
      <c r="L133" s="79"/>
      <c r="M133" s="37"/>
      <c r="N133" s="37"/>
      <c r="O133" s="37"/>
      <c r="P133" s="37"/>
    </row>
    <row r="134" spans="2:16" ht="15.75" x14ac:dyDescent="0.25">
      <c r="B134" s="25" t="s">
        <v>229</v>
      </c>
      <c r="C134" s="241">
        <f t="shared" si="3"/>
        <v>-877419</v>
      </c>
      <c r="D134" s="73">
        <v>-1211535</v>
      </c>
      <c r="E134" s="73">
        <v>891255</v>
      </c>
      <c r="F134" s="73">
        <v>767352.36666666716</v>
      </c>
      <c r="G134" s="255">
        <v>-9105820</v>
      </c>
      <c r="H134" s="74">
        <v>2085937</v>
      </c>
      <c r="I134" s="73">
        <v>-222899</v>
      </c>
      <c r="J134" s="73">
        <v>5204853</v>
      </c>
      <c r="K134" s="79"/>
      <c r="L134" s="79"/>
      <c r="M134" s="37"/>
      <c r="N134" s="37"/>
      <c r="O134" s="37"/>
      <c r="P134" s="37"/>
    </row>
    <row r="135" spans="2:16" ht="15.75" x14ac:dyDescent="0.25">
      <c r="B135" s="25" t="s">
        <v>330</v>
      </c>
      <c r="C135" s="241">
        <f t="shared" si="3"/>
        <v>-2507233</v>
      </c>
      <c r="D135" s="73">
        <v>4502965</v>
      </c>
      <c r="E135" s="73">
        <v>-2193718</v>
      </c>
      <c r="F135" s="73">
        <v>4495738</v>
      </c>
      <c r="G135" s="255">
        <v>7982004</v>
      </c>
      <c r="H135" s="74">
        <v>492012</v>
      </c>
      <c r="I135" s="73">
        <v>822721</v>
      </c>
      <c r="J135" s="73">
        <v>-5170532</v>
      </c>
      <c r="K135" s="79"/>
      <c r="L135" s="79"/>
      <c r="M135" s="37"/>
      <c r="N135" s="37"/>
      <c r="O135" s="37"/>
      <c r="P135" s="37"/>
    </row>
    <row r="136" spans="2:16" ht="15.75" x14ac:dyDescent="0.25">
      <c r="B136" s="25" t="s">
        <v>230</v>
      </c>
      <c r="C136" s="241">
        <f t="shared" si="3"/>
        <v>-4849520</v>
      </c>
      <c r="D136" s="73">
        <v>110279</v>
      </c>
      <c r="E136" s="73">
        <v>-1077718</v>
      </c>
      <c r="F136" s="73">
        <v>-2527014</v>
      </c>
      <c r="G136" s="255">
        <v>2646214</v>
      </c>
      <c r="H136" s="74">
        <v>-2317677</v>
      </c>
      <c r="I136" s="73">
        <v>-2214002</v>
      </c>
      <c r="J136" s="73">
        <v>9983538</v>
      </c>
      <c r="K136" s="79"/>
      <c r="L136" s="79"/>
      <c r="M136" s="37"/>
      <c r="N136" s="37"/>
      <c r="O136" s="37"/>
      <c r="P136" s="37"/>
    </row>
    <row r="137" spans="2:16" ht="15.75" x14ac:dyDescent="0.25">
      <c r="B137" s="25" t="s">
        <v>231</v>
      </c>
      <c r="C137" s="241">
        <f t="shared" si="3"/>
        <v>3643220</v>
      </c>
      <c r="D137" s="73">
        <v>5253701</v>
      </c>
      <c r="E137" s="73">
        <v>14262195</v>
      </c>
      <c r="F137" s="73">
        <v>299710</v>
      </c>
      <c r="G137" s="255">
        <v>197274</v>
      </c>
      <c r="H137" s="74">
        <v>-1439362</v>
      </c>
      <c r="I137" s="73">
        <v>8804469</v>
      </c>
      <c r="J137" s="73">
        <v>5208815</v>
      </c>
      <c r="K137" s="79"/>
      <c r="L137" s="79"/>
      <c r="M137" s="37"/>
      <c r="N137" s="37"/>
      <c r="O137" s="37"/>
      <c r="P137" s="37"/>
    </row>
    <row r="138" spans="2:16" ht="15.75" x14ac:dyDescent="0.25">
      <c r="B138" s="25" t="s">
        <v>345</v>
      </c>
      <c r="C138" s="241">
        <f t="shared" si="3"/>
        <v>472368</v>
      </c>
      <c r="D138" s="286">
        <v>9178135</v>
      </c>
      <c r="E138" s="286">
        <v>2471319</v>
      </c>
      <c r="F138" s="286">
        <v>2707680</v>
      </c>
      <c r="G138" s="287">
        <v>3359239</v>
      </c>
      <c r="H138" s="217">
        <v>-4658595.75</v>
      </c>
      <c r="I138" s="73">
        <v>-10440744</v>
      </c>
      <c r="J138" s="73">
        <v>92670</v>
      </c>
      <c r="K138" s="79"/>
      <c r="L138" s="79"/>
      <c r="M138" s="37"/>
      <c r="N138" s="37"/>
      <c r="O138" s="37"/>
      <c r="P138" s="37"/>
    </row>
    <row r="139" spans="2:16" ht="15.75" x14ac:dyDescent="0.25">
      <c r="B139" s="25" t="s">
        <v>265</v>
      </c>
      <c r="C139" s="241">
        <f t="shared" si="3"/>
        <v>2023717</v>
      </c>
      <c r="D139" s="286">
        <v>-5922538</v>
      </c>
      <c r="E139" s="286">
        <v>1920529</v>
      </c>
      <c r="F139" s="286">
        <v>6059683</v>
      </c>
      <c r="G139" s="287">
        <v>2559631.8299999982</v>
      </c>
      <c r="H139" s="217">
        <v>-5944643.75</v>
      </c>
      <c r="I139" s="73">
        <v>4755101</v>
      </c>
      <c r="J139" s="73">
        <v>-3000416</v>
      </c>
      <c r="K139" s="79"/>
      <c r="L139" s="79"/>
      <c r="M139" s="37"/>
      <c r="N139" s="37"/>
      <c r="O139" s="37"/>
      <c r="P139" s="37"/>
    </row>
    <row r="140" spans="2:16" ht="15.75" x14ac:dyDescent="0.25">
      <c r="B140" s="25" t="s">
        <v>266</v>
      </c>
      <c r="C140" s="241">
        <f t="shared" si="3"/>
        <v>1111784.9000000004</v>
      </c>
      <c r="D140" s="286">
        <v>538076</v>
      </c>
      <c r="E140" s="286">
        <v>8536</v>
      </c>
      <c r="F140" s="286">
        <v>7472128</v>
      </c>
      <c r="G140" s="287">
        <v>-1605167</v>
      </c>
      <c r="H140" s="217">
        <v>904815.25</v>
      </c>
      <c r="I140" s="73">
        <v>-380592</v>
      </c>
      <c r="J140" s="73">
        <v>-3733117</v>
      </c>
      <c r="K140" s="79"/>
      <c r="L140" s="79"/>
      <c r="M140" s="37"/>
      <c r="N140" s="37"/>
      <c r="O140" s="37"/>
      <c r="P140" s="37"/>
    </row>
    <row r="141" spans="2:16" ht="15.75" x14ac:dyDescent="0.25">
      <c r="B141" s="25" t="s">
        <v>346</v>
      </c>
      <c r="C141" s="241">
        <f t="shared" si="3"/>
        <v>91736</v>
      </c>
      <c r="D141" s="60">
        <v>-2377914</v>
      </c>
      <c r="E141" s="60">
        <v>-1237785</v>
      </c>
      <c r="F141" s="60">
        <v>1238971</v>
      </c>
      <c r="G141" s="264">
        <v>4004674</v>
      </c>
      <c r="H141" s="261">
        <v>4829226.25</v>
      </c>
      <c r="I141" s="24">
        <v>5224186</v>
      </c>
      <c r="J141" s="24">
        <v>48325460</v>
      </c>
      <c r="K141" s="37"/>
      <c r="L141" s="37"/>
      <c r="M141" s="37"/>
      <c r="N141" s="37"/>
      <c r="O141" s="37"/>
      <c r="P141" s="37"/>
    </row>
    <row r="142" spans="2:16" ht="13.5" thickBot="1" x14ac:dyDescent="0.25">
      <c r="B142" s="25"/>
      <c r="C142" s="78"/>
      <c r="D142" s="78"/>
      <c r="E142" s="52"/>
      <c r="F142" s="59"/>
      <c r="G142" s="44"/>
      <c r="H142" s="44"/>
      <c r="I142" s="45"/>
      <c r="J142" s="55"/>
      <c r="K142" s="6"/>
      <c r="L142" s="6"/>
      <c r="M142" s="6"/>
      <c r="N142" s="6"/>
      <c r="O142" s="6"/>
      <c r="P142" s="6"/>
    </row>
    <row r="143" spans="2:16" ht="13.5" thickBot="1" x14ac:dyDescent="0.25">
      <c r="B143" s="53" t="s">
        <v>95</v>
      </c>
      <c r="C143" s="71">
        <f t="shared" ref="C143:J143" si="4">SUM(C130:C142)</f>
        <v>-3080054.92</v>
      </c>
      <c r="D143" s="71">
        <f t="shared" si="4"/>
        <v>13769097</v>
      </c>
      <c r="E143" s="71">
        <f t="shared" si="4"/>
        <v>21095449.559999999</v>
      </c>
      <c r="F143" s="71">
        <f t="shared" si="4"/>
        <v>13887078.366666667</v>
      </c>
      <c r="G143" s="42">
        <f t="shared" si="4"/>
        <v>14465633.829999998</v>
      </c>
      <c r="H143" s="42">
        <f t="shared" si="4"/>
        <v>9534688</v>
      </c>
      <c r="I143" s="42">
        <f t="shared" si="4"/>
        <v>18188372</v>
      </c>
      <c r="J143" s="56">
        <f t="shared" si="4"/>
        <v>62345245</v>
      </c>
      <c r="K143" s="43"/>
      <c r="L143" s="43"/>
      <c r="M143" s="43"/>
      <c r="N143" s="43"/>
      <c r="O143" s="43"/>
      <c r="P143" s="43"/>
    </row>
  </sheetData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3" verticalDpi="360" r:id="rId1"/>
  <rowBreaks count="2" manualBreakCount="2">
    <brk id="40" max="42" man="1"/>
    <brk id="127" max="16383" man="1"/>
  </rowBreaks>
  <colBreaks count="1" manualBreakCount="1">
    <brk id="3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8F00-9CB6-416E-A5D4-6017480C2387}">
  <dimension ref="A2:H41"/>
  <sheetViews>
    <sheetView topLeftCell="A18" workbookViewId="0">
      <selection activeCell="D30" sqref="D30"/>
    </sheetView>
  </sheetViews>
  <sheetFormatPr baseColWidth="10" defaultRowHeight="15" x14ac:dyDescent="0.25"/>
  <cols>
    <col min="1" max="1" width="33" customWidth="1"/>
    <col min="2" max="2" width="19.5703125" customWidth="1"/>
    <col min="3" max="3" width="24.140625" customWidth="1"/>
    <col min="4" max="4" width="26.85546875" customWidth="1"/>
    <col min="6" max="6" width="12.7109375" bestFit="1" customWidth="1"/>
    <col min="7" max="7" width="15.5703125" bestFit="1" customWidth="1"/>
  </cols>
  <sheetData>
    <row r="2" spans="1:8" ht="39" customHeight="1" thickBot="1" x14ac:dyDescent="0.3">
      <c r="A2" s="316" t="s">
        <v>390</v>
      </c>
      <c r="B2" s="317"/>
      <c r="C2" s="137"/>
    </row>
    <row r="3" spans="1:8" ht="17.25" thickBot="1" x14ac:dyDescent="0.3">
      <c r="A3" s="138"/>
      <c r="B3" s="131"/>
      <c r="C3" s="139"/>
    </row>
    <row r="4" spans="1:8" ht="18" thickBot="1" x14ac:dyDescent="0.3">
      <c r="A4" s="140" t="s">
        <v>293</v>
      </c>
      <c r="B4" s="151">
        <f>+'BALANCE DICIEMBRE'!D10</f>
        <v>24386159</v>
      </c>
      <c r="C4" s="141"/>
    </row>
    <row r="5" spans="1:8" ht="18" thickBot="1" x14ac:dyDescent="0.3">
      <c r="A5" s="140" t="s">
        <v>294</v>
      </c>
      <c r="B5" s="151">
        <f>+'BALANCE DICIEMBRE'!D14</f>
        <v>10438236</v>
      </c>
      <c r="C5" s="141"/>
    </row>
    <row r="6" spans="1:8" ht="17.25" thickBot="1" x14ac:dyDescent="0.3">
      <c r="A6" s="142"/>
      <c r="B6" s="132"/>
      <c r="C6" s="141"/>
    </row>
    <row r="7" spans="1:8" ht="18" thickBot="1" x14ac:dyDescent="0.3">
      <c r="A7" s="143" t="s">
        <v>286</v>
      </c>
      <c r="B7" s="132"/>
      <c r="C7" s="318">
        <f>+B4+B5</f>
        <v>34824395</v>
      </c>
    </row>
    <row r="8" spans="1:8" ht="17.25" thickBot="1" x14ac:dyDescent="0.3">
      <c r="A8" s="142"/>
      <c r="B8" s="132"/>
      <c r="C8" s="319"/>
    </row>
    <row r="9" spans="1:8" ht="17.25" x14ac:dyDescent="0.25">
      <c r="A9" s="144" t="s">
        <v>287</v>
      </c>
      <c r="B9" s="320"/>
      <c r="C9" s="322">
        <f>+B11</f>
        <v>4312900</v>
      </c>
    </row>
    <row r="10" spans="1:8" ht="18" thickBot="1" x14ac:dyDescent="0.3">
      <c r="A10" s="145" t="s">
        <v>288</v>
      </c>
      <c r="B10" s="321"/>
      <c r="C10" s="323"/>
    </row>
    <row r="11" spans="1:8" ht="18" thickBot="1" x14ac:dyDescent="0.3">
      <c r="A11" s="140" t="s">
        <v>289</v>
      </c>
      <c r="B11" s="151">
        <f>+'BALANCE DICIEMBRE'!E78</f>
        <v>4312900</v>
      </c>
      <c r="C11" s="141"/>
    </row>
    <row r="12" spans="1:8" ht="18" thickBot="1" x14ac:dyDescent="0.3">
      <c r="A12" s="146"/>
      <c r="B12" s="133"/>
      <c r="C12" s="147"/>
    </row>
    <row r="13" spans="1:8" ht="18" thickBot="1" x14ac:dyDescent="0.3">
      <c r="A13" s="148" t="s">
        <v>290</v>
      </c>
      <c r="B13" s="134"/>
      <c r="C13" s="152">
        <f>+C7-C9</f>
        <v>30511495</v>
      </c>
    </row>
    <row r="14" spans="1:8" ht="18" thickTop="1" thickBot="1" x14ac:dyDescent="0.3">
      <c r="A14" s="149"/>
      <c r="B14" s="135"/>
      <c r="C14" s="150"/>
    </row>
    <row r="15" spans="1:8" s="156" customFormat="1" ht="36" customHeight="1" thickBot="1" x14ac:dyDescent="0.3">
      <c r="A15" s="324" t="s">
        <v>295</v>
      </c>
      <c r="B15" s="320"/>
      <c r="C15" s="327">
        <v>30911830</v>
      </c>
      <c r="D15" s="229" t="s">
        <v>338</v>
      </c>
      <c r="F15" s="151">
        <v>20700000</v>
      </c>
      <c r="G15" s="156" t="s">
        <v>385</v>
      </c>
      <c r="H15" s="283">
        <f>+C15-F15</f>
        <v>10211830</v>
      </c>
    </row>
    <row r="16" spans="1:8" x14ac:dyDescent="0.25">
      <c r="A16" s="325"/>
      <c r="B16" s="326"/>
      <c r="C16" s="328"/>
    </row>
    <row r="17" spans="1:7" ht="45.75" thickBot="1" x14ac:dyDescent="0.3">
      <c r="A17" s="158" t="s">
        <v>389</v>
      </c>
      <c r="B17" s="159"/>
      <c r="C17" s="160">
        <f>+C13-C15</f>
        <v>-400335</v>
      </c>
      <c r="G17" s="161"/>
    </row>
    <row r="18" spans="1:7" ht="18.75" thickTop="1" thickBot="1" x14ac:dyDescent="0.3">
      <c r="A18" s="162"/>
      <c r="B18" s="154"/>
      <c r="C18" s="163"/>
    </row>
    <row r="19" spans="1:7" ht="34.5" thickBot="1" x14ac:dyDescent="0.3">
      <c r="A19" s="164" t="s">
        <v>292</v>
      </c>
      <c r="B19" s="159"/>
      <c r="C19" s="165">
        <f>+C17</f>
        <v>-400335</v>
      </c>
    </row>
    <row r="20" spans="1:7" ht="18.75" thickTop="1" thickBot="1" x14ac:dyDescent="0.3">
      <c r="A20" s="162"/>
      <c r="B20" s="154"/>
      <c r="C20" s="163"/>
    </row>
    <row r="21" spans="1:7" ht="18" thickBot="1" x14ac:dyDescent="0.3">
      <c r="A21" s="162"/>
      <c r="B21" s="166"/>
      <c r="C21" s="163"/>
    </row>
    <row r="22" spans="1:7" ht="18" thickBot="1" x14ac:dyDescent="0.3">
      <c r="A22" s="162"/>
      <c r="B22" s="166"/>
      <c r="C22" s="163"/>
    </row>
    <row r="23" spans="1:7" ht="33" x14ac:dyDescent="0.25">
      <c r="A23" s="167" t="s">
        <v>299</v>
      </c>
      <c r="B23" s="157"/>
      <c r="C23" s="168">
        <f>+C19</f>
        <v>-400335</v>
      </c>
    </row>
    <row r="24" spans="1:7" ht="17.25" x14ac:dyDescent="0.25">
      <c r="A24" s="167"/>
      <c r="B24" s="157"/>
      <c r="C24" s="168"/>
    </row>
    <row r="25" spans="1:7" ht="18" thickBot="1" x14ac:dyDescent="0.3">
      <c r="A25" s="167"/>
      <c r="B25" s="157"/>
      <c r="C25" s="168"/>
    </row>
    <row r="26" spans="1:7" ht="18" thickBot="1" x14ac:dyDescent="0.3">
      <c r="A26" s="140"/>
      <c r="B26" s="153"/>
      <c r="C26" s="155"/>
    </row>
    <row r="27" spans="1:7" ht="33.75" thickBot="1" x14ac:dyDescent="0.3">
      <c r="A27" s="142" t="s">
        <v>296</v>
      </c>
      <c r="B27" s="136"/>
      <c r="C27" s="155">
        <f>+'BALANCE DICIEMBRE'!D20+'BALANCE DICIEMBRE'!D21</f>
        <v>8077545</v>
      </c>
      <c r="D27" s="155"/>
      <c r="E27" t="s">
        <v>297</v>
      </c>
      <c r="G27" s="161"/>
    </row>
    <row r="28" spans="1:7" ht="50.25" thickBot="1" x14ac:dyDescent="0.3">
      <c r="A28" s="142" t="s">
        <v>298</v>
      </c>
      <c r="B28" s="136"/>
      <c r="C28" s="224">
        <f>+'BALANCE DICIEMBRE'!D22</f>
        <v>2378609</v>
      </c>
      <c r="D28" s="155"/>
      <c r="E28" t="s">
        <v>337</v>
      </c>
      <c r="G28" s="161"/>
    </row>
    <row r="29" spans="1:7" ht="17.25" x14ac:dyDescent="0.25">
      <c r="A29" s="169"/>
      <c r="B29" s="170"/>
      <c r="C29" s="171"/>
    </row>
    <row r="30" spans="1:7" ht="18" thickBot="1" x14ac:dyDescent="0.3">
      <c r="A30" s="164" t="s">
        <v>291</v>
      </c>
      <c r="B30" s="159"/>
      <c r="C30" s="172">
        <f>+C27+C28</f>
        <v>10456154</v>
      </c>
      <c r="D30" s="230">
        <f>+C23+C27+C28</f>
        <v>10055819</v>
      </c>
    </row>
    <row r="31" spans="1:7" ht="15.75" thickTop="1" x14ac:dyDescent="0.25"/>
    <row r="35" spans="1:1" x14ac:dyDescent="0.25">
      <c r="A35" s="5"/>
    </row>
    <row r="36" spans="1:1" x14ac:dyDescent="0.25">
      <c r="A36" s="173"/>
    </row>
    <row r="37" spans="1:1" x14ac:dyDescent="0.25">
      <c r="A37" s="173"/>
    </row>
    <row r="38" spans="1:1" x14ac:dyDescent="0.25">
      <c r="A38" s="161"/>
    </row>
    <row r="39" spans="1:1" x14ac:dyDescent="0.25">
      <c r="A39" s="161"/>
    </row>
    <row r="40" spans="1:1" x14ac:dyDescent="0.25">
      <c r="A40" s="174"/>
    </row>
    <row r="41" spans="1:1" x14ac:dyDescent="0.25">
      <c r="A41" s="174"/>
    </row>
  </sheetData>
  <mergeCells count="7">
    <mergeCell ref="A2:B2"/>
    <mergeCell ref="C7:C8"/>
    <mergeCell ref="B9:B10"/>
    <mergeCell ref="C9:C10"/>
    <mergeCell ref="A15:A16"/>
    <mergeCell ref="B15:B16"/>
    <mergeCell ref="C15: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0186-EC11-43A8-9559-CABFD2D4B2E8}">
  <dimension ref="B3:G29"/>
  <sheetViews>
    <sheetView tabSelected="1" workbookViewId="0">
      <selection activeCell="G30" sqref="G30"/>
    </sheetView>
  </sheetViews>
  <sheetFormatPr baseColWidth="10" defaultRowHeight="15" x14ac:dyDescent="0.25"/>
  <cols>
    <col min="3" max="3" width="29.85546875" bestFit="1" customWidth="1"/>
  </cols>
  <sheetData>
    <row r="3" spans="3:4" x14ac:dyDescent="0.25">
      <c r="C3" s="330" t="s">
        <v>349</v>
      </c>
      <c r="D3" s="330"/>
    </row>
    <row r="4" spans="3:4" ht="18.75" x14ac:dyDescent="0.3">
      <c r="C4" s="329" t="s">
        <v>316</v>
      </c>
      <c r="D4" s="329"/>
    </row>
    <row r="5" spans="3:4" ht="13.5" customHeight="1" x14ac:dyDescent="0.25">
      <c r="C5" s="281" t="s">
        <v>300</v>
      </c>
      <c r="D5" s="181">
        <v>1267750</v>
      </c>
    </row>
    <row r="6" spans="3:4" hidden="1" x14ac:dyDescent="0.25">
      <c r="C6" s="282" t="s">
        <v>301</v>
      </c>
      <c r="D6" s="181">
        <v>0</v>
      </c>
    </row>
    <row r="7" spans="3:4" hidden="1" x14ac:dyDescent="0.25">
      <c r="C7" s="282" t="s">
        <v>302</v>
      </c>
      <c r="D7" s="181">
        <v>0</v>
      </c>
    </row>
    <row r="8" spans="3:4" hidden="1" x14ac:dyDescent="0.25">
      <c r="C8" s="282" t="s">
        <v>303</v>
      </c>
      <c r="D8" s="181">
        <v>0</v>
      </c>
    </row>
    <row r="9" spans="3:4" hidden="1" x14ac:dyDescent="0.25">
      <c r="C9" s="282" t="s">
        <v>304</v>
      </c>
      <c r="D9" s="181">
        <v>0</v>
      </c>
    </row>
    <row r="10" spans="3:4" hidden="1" x14ac:dyDescent="0.25">
      <c r="C10" s="282" t="s">
        <v>305</v>
      </c>
      <c r="D10" s="181">
        <v>0</v>
      </c>
    </row>
    <row r="11" spans="3:4" hidden="1" x14ac:dyDescent="0.25">
      <c r="C11" s="282" t="s">
        <v>306</v>
      </c>
      <c r="D11" s="181">
        <v>0</v>
      </c>
    </row>
    <row r="12" spans="3:4" hidden="1" x14ac:dyDescent="0.25">
      <c r="C12" s="282" t="s">
        <v>307</v>
      </c>
      <c r="D12" s="181">
        <v>0</v>
      </c>
    </row>
    <row r="13" spans="3:4" hidden="1" x14ac:dyDescent="0.25">
      <c r="C13" s="282" t="s">
        <v>308</v>
      </c>
      <c r="D13" s="181"/>
    </row>
    <row r="14" spans="3:4" x14ac:dyDescent="0.25">
      <c r="C14" s="281" t="s">
        <v>347</v>
      </c>
      <c r="D14" s="181">
        <v>3026549</v>
      </c>
    </row>
    <row r="15" spans="3:4" x14ac:dyDescent="0.25">
      <c r="C15" s="281" t="s">
        <v>348</v>
      </c>
      <c r="D15" s="181">
        <v>49450</v>
      </c>
    </row>
    <row r="16" spans="3:4" x14ac:dyDescent="0.25">
      <c r="C16" s="282" t="s">
        <v>95</v>
      </c>
      <c r="D16" s="181">
        <f>SUM(D5:D15)</f>
        <v>4343749</v>
      </c>
    </row>
    <row r="19" spans="2:7" ht="18.75" x14ac:dyDescent="0.3">
      <c r="B19" s="329" t="s">
        <v>356</v>
      </c>
      <c r="C19" s="329"/>
      <c r="D19" s="329"/>
    </row>
    <row r="20" spans="2:7" x14ac:dyDescent="0.25">
      <c r="B20" s="92">
        <v>546</v>
      </c>
      <c r="C20" s="92" t="s">
        <v>351</v>
      </c>
      <c r="D20" s="181">
        <v>240000</v>
      </c>
    </row>
    <row r="21" spans="2:7" x14ac:dyDescent="0.25">
      <c r="B21" s="92">
        <v>545</v>
      </c>
      <c r="C21" s="92" t="s">
        <v>351</v>
      </c>
      <c r="D21" s="181">
        <v>1309844</v>
      </c>
    </row>
    <row r="22" spans="2:7" x14ac:dyDescent="0.25">
      <c r="B22" s="92">
        <v>544</v>
      </c>
      <c r="C22" s="92" t="s">
        <v>352</v>
      </c>
      <c r="D22" s="181">
        <v>25000</v>
      </c>
    </row>
    <row r="23" spans="2:7" x14ac:dyDescent="0.25">
      <c r="B23" s="92">
        <v>543</v>
      </c>
      <c r="C23" s="92" t="s">
        <v>352</v>
      </c>
      <c r="D23" s="181">
        <v>148512</v>
      </c>
    </row>
    <row r="24" spans="2:7" x14ac:dyDescent="0.25">
      <c r="B24" s="92">
        <v>538</v>
      </c>
      <c r="C24" s="92" t="s">
        <v>353</v>
      </c>
      <c r="D24" s="181">
        <v>150000</v>
      </c>
    </row>
    <row r="25" spans="2:7" x14ac:dyDescent="0.25">
      <c r="B25" s="92">
        <v>537</v>
      </c>
      <c r="C25" s="92" t="s">
        <v>353</v>
      </c>
      <c r="D25" s="181">
        <v>742560</v>
      </c>
    </row>
    <row r="26" spans="2:7" x14ac:dyDescent="0.25">
      <c r="B26" s="92">
        <v>533</v>
      </c>
      <c r="C26" s="92" t="s">
        <v>354</v>
      </c>
      <c r="D26" s="181">
        <v>514080</v>
      </c>
    </row>
    <row r="27" spans="2:7" x14ac:dyDescent="0.25">
      <c r="B27" s="92">
        <v>525</v>
      </c>
      <c r="C27" s="92" t="s">
        <v>386</v>
      </c>
      <c r="D27" s="181">
        <v>103800</v>
      </c>
    </row>
    <row r="28" spans="2:7" x14ac:dyDescent="0.25">
      <c r="B28" s="92">
        <v>497</v>
      </c>
      <c r="C28" s="92" t="s">
        <v>355</v>
      </c>
      <c r="D28" s="181">
        <v>500000</v>
      </c>
      <c r="E28" s="293">
        <v>45837</v>
      </c>
    </row>
    <row r="29" spans="2:7" x14ac:dyDescent="0.25">
      <c r="B29" s="92"/>
      <c r="C29" s="92"/>
      <c r="D29" s="181">
        <f>SUM(D20:D28)</f>
        <v>3733796</v>
      </c>
      <c r="G29" s="173">
        <f>D16+D29</f>
        <v>8077545</v>
      </c>
    </row>
  </sheetData>
  <mergeCells count="3">
    <mergeCell ref="C4:D4"/>
    <mergeCell ref="C3:D3"/>
    <mergeCell ref="B19:D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8174-3019-446F-AC79-D3E6C3A36D77}">
  <dimension ref="A2:O49"/>
  <sheetViews>
    <sheetView topLeftCell="B16" workbookViewId="0">
      <selection activeCell="G38" sqref="G38:H38"/>
    </sheetView>
  </sheetViews>
  <sheetFormatPr baseColWidth="10" defaultRowHeight="15" x14ac:dyDescent="0.25"/>
  <cols>
    <col min="2" max="2" width="24.5703125" customWidth="1"/>
  </cols>
  <sheetData>
    <row r="2" spans="1:15" ht="18.75" x14ac:dyDescent="0.3">
      <c r="A2" s="334"/>
      <c r="B2" s="334"/>
      <c r="C2" s="334"/>
    </row>
    <row r="3" spans="1:15" x14ac:dyDescent="0.25">
      <c r="A3" s="284"/>
      <c r="B3" s="284"/>
      <c r="C3" s="284"/>
    </row>
    <row r="4" spans="1:15" x14ac:dyDescent="0.25">
      <c r="A4" s="284"/>
      <c r="B4" s="284"/>
      <c r="C4" s="284"/>
      <c r="L4" t="s">
        <v>322</v>
      </c>
    </row>
    <row r="5" spans="1:15" ht="15.75" thickBot="1" x14ac:dyDescent="0.3"/>
    <row r="6" spans="1:15" x14ac:dyDescent="0.25">
      <c r="A6" s="173"/>
      <c r="C6" s="173"/>
      <c r="G6" s="331" t="s">
        <v>309</v>
      </c>
      <c r="H6" s="332"/>
      <c r="M6" s="173"/>
      <c r="N6" s="173"/>
      <c r="O6" s="173"/>
    </row>
    <row r="7" spans="1:15" x14ac:dyDescent="0.25">
      <c r="A7" s="173"/>
      <c r="C7" s="173"/>
      <c r="G7" s="178"/>
      <c r="H7" s="179"/>
      <c r="L7" t="s">
        <v>327</v>
      </c>
      <c r="M7" s="173">
        <v>26000</v>
      </c>
      <c r="N7" s="173">
        <v>2319000</v>
      </c>
      <c r="O7" s="173"/>
    </row>
    <row r="8" spans="1:15" x14ac:dyDescent="0.25">
      <c r="A8" s="173"/>
      <c r="C8" s="173"/>
      <c r="G8" s="178" t="s">
        <v>263</v>
      </c>
      <c r="H8" s="179">
        <v>5087939</v>
      </c>
      <c r="L8" t="s">
        <v>328</v>
      </c>
      <c r="M8" s="173">
        <v>24000</v>
      </c>
      <c r="N8" s="173">
        <v>2199000</v>
      </c>
      <c r="O8" s="173"/>
    </row>
    <row r="9" spans="1:15" x14ac:dyDescent="0.25">
      <c r="A9" s="173"/>
      <c r="C9" s="173"/>
      <c r="G9" s="178" t="s">
        <v>310</v>
      </c>
      <c r="H9" s="179">
        <v>1526381</v>
      </c>
      <c r="L9" t="s">
        <v>329</v>
      </c>
      <c r="M9" s="173">
        <v>59000</v>
      </c>
      <c r="N9" s="173">
        <v>5346000</v>
      </c>
      <c r="O9" s="173"/>
    </row>
    <row r="10" spans="1:15" x14ac:dyDescent="0.25">
      <c r="A10" s="173"/>
      <c r="C10" s="173"/>
      <c r="G10" s="178" t="s">
        <v>311</v>
      </c>
      <c r="H10" s="179">
        <v>1526381</v>
      </c>
      <c r="L10" t="s">
        <v>228</v>
      </c>
      <c r="M10" s="173">
        <v>63000</v>
      </c>
      <c r="N10" s="173">
        <v>5726000</v>
      </c>
      <c r="O10" s="173"/>
    </row>
    <row r="11" spans="1:15" x14ac:dyDescent="0.25">
      <c r="A11" s="173"/>
      <c r="C11" s="173"/>
      <c r="G11" s="178" t="s">
        <v>264</v>
      </c>
      <c r="H11" s="179">
        <v>1526381</v>
      </c>
      <c r="L11" t="s">
        <v>323</v>
      </c>
      <c r="M11" s="173">
        <v>69000</v>
      </c>
      <c r="N11" s="173">
        <v>6312000</v>
      </c>
      <c r="O11" s="173"/>
    </row>
    <row r="12" spans="1:15" x14ac:dyDescent="0.25">
      <c r="A12" s="173"/>
      <c r="C12" s="173"/>
      <c r="G12" s="178" t="s">
        <v>265</v>
      </c>
      <c r="H12" s="179">
        <v>1526381</v>
      </c>
      <c r="L12" t="s">
        <v>325</v>
      </c>
      <c r="M12" s="173">
        <v>58000</v>
      </c>
      <c r="N12" s="173">
        <v>5309000</v>
      </c>
      <c r="O12" s="173"/>
    </row>
    <row r="13" spans="1:15" x14ac:dyDescent="0.25">
      <c r="A13" s="173"/>
      <c r="C13" s="173"/>
      <c r="G13" s="178" t="s">
        <v>266</v>
      </c>
      <c r="H13" s="179">
        <v>1526381</v>
      </c>
      <c r="L13" t="s">
        <v>324</v>
      </c>
      <c r="M13" s="173">
        <v>16000</v>
      </c>
      <c r="N13" s="173">
        <v>1473000</v>
      </c>
      <c r="O13" s="173"/>
    </row>
    <row r="14" spans="1:15" x14ac:dyDescent="0.25">
      <c r="A14" s="173"/>
      <c r="C14" s="173"/>
      <c r="G14" s="178" t="s">
        <v>312</v>
      </c>
      <c r="H14" s="179">
        <v>1526381</v>
      </c>
      <c r="L14" t="s">
        <v>326</v>
      </c>
      <c r="M14" s="173">
        <v>20000</v>
      </c>
      <c r="N14" s="173">
        <v>1819000</v>
      </c>
      <c r="O14" s="173"/>
    </row>
    <row r="15" spans="1:15" x14ac:dyDescent="0.25">
      <c r="A15" s="173"/>
      <c r="C15" s="173"/>
      <c r="G15" s="178" t="s">
        <v>201</v>
      </c>
      <c r="H15" s="179">
        <v>1526381</v>
      </c>
      <c r="L15" t="s">
        <v>357</v>
      </c>
      <c r="M15" s="173">
        <v>25000</v>
      </c>
      <c r="N15" s="173">
        <v>2264000</v>
      </c>
      <c r="O15" s="173"/>
    </row>
    <row r="16" spans="1:15" x14ac:dyDescent="0.25">
      <c r="A16" s="173"/>
      <c r="C16" s="173"/>
      <c r="G16" s="178" t="s">
        <v>313</v>
      </c>
      <c r="H16" s="179">
        <v>1526381</v>
      </c>
      <c r="M16" s="173"/>
      <c r="N16" s="173"/>
      <c r="O16" s="173"/>
    </row>
    <row r="17" spans="1:15" x14ac:dyDescent="0.25">
      <c r="A17" s="173"/>
      <c r="C17" s="173"/>
      <c r="G17" s="178" t="s">
        <v>98</v>
      </c>
      <c r="H17" s="179">
        <v>1526381</v>
      </c>
      <c r="M17" s="173"/>
      <c r="N17" s="173"/>
      <c r="O17" s="173"/>
    </row>
    <row r="18" spans="1:15" x14ac:dyDescent="0.25">
      <c r="G18" s="178" t="s">
        <v>99</v>
      </c>
      <c r="H18" s="179">
        <v>1526381</v>
      </c>
      <c r="L18" t="s">
        <v>277</v>
      </c>
      <c r="M18" s="173">
        <v>37000</v>
      </c>
      <c r="N18" s="173">
        <v>3402000</v>
      </c>
      <c r="O18" s="173"/>
    </row>
    <row r="19" spans="1:15" x14ac:dyDescent="0.25">
      <c r="A19" s="335"/>
      <c r="B19" s="335"/>
      <c r="C19" s="283"/>
      <c r="G19" s="178" t="s">
        <v>314</v>
      </c>
      <c r="H19" s="179">
        <v>1526381</v>
      </c>
      <c r="L19" t="s">
        <v>278</v>
      </c>
      <c r="M19" s="173">
        <v>33000</v>
      </c>
      <c r="N19" s="173">
        <v>2975000</v>
      </c>
      <c r="O19" s="173"/>
    </row>
    <row r="20" spans="1:15" x14ac:dyDescent="0.25">
      <c r="G20" s="178" t="s">
        <v>263</v>
      </c>
      <c r="H20" s="179">
        <v>1526381</v>
      </c>
      <c r="L20" t="s">
        <v>312</v>
      </c>
      <c r="M20" s="173">
        <v>38000</v>
      </c>
      <c r="N20" s="173">
        <v>3456000</v>
      </c>
      <c r="O20" s="173"/>
    </row>
    <row r="21" spans="1:15" x14ac:dyDescent="0.25">
      <c r="A21" s="333"/>
      <c r="B21" s="333"/>
      <c r="C21" s="283"/>
      <c r="G21" s="178" t="s">
        <v>310</v>
      </c>
      <c r="H21" s="179">
        <v>1526381</v>
      </c>
    </row>
    <row r="22" spans="1:15" x14ac:dyDescent="0.25">
      <c r="G22" s="178" t="s">
        <v>311</v>
      </c>
      <c r="H22" s="179">
        <v>1526381</v>
      </c>
      <c r="M22" s="173">
        <f>SUM(M7:M21)</f>
        <v>468000</v>
      </c>
    </row>
    <row r="23" spans="1:15" x14ac:dyDescent="0.25">
      <c r="G23" s="178" t="s">
        <v>264</v>
      </c>
      <c r="H23" s="179">
        <v>1526381</v>
      </c>
      <c r="L23" s="173"/>
    </row>
    <row r="24" spans="1:15" x14ac:dyDescent="0.25">
      <c r="G24" s="178" t="s">
        <v>265</v>
      </c>
      <c r="H24" s="179">
        <v>1526381</v>
      </c>
    </row>
    <row r="25" spans="1:15" x14ac:dyDescent="0.25">
      <c r="G25" s="178" t="s">
        <v>266</v>
      </c>
      <c r="H25" s="179">
        <v>1526381</v>
      </c>
      <c r="L25" s="173"/>
    </row>
    <row r="26" spans="1:15" x14ac:dyDescent="0.25">
      <c r="G26" s="178" t="s">
        <v>312</v>
      </c>
      <c r="H26" s="179">
        <v>1526381</v>
      </c>
    </row>
    <row r="27" spans="1:15" x14ac:dyDescent="0.25">
      <c r="G27" s="265">
        <v>45292</v>
      </c>
      <c r="H27" s="179">
        <v>1526381</v>
      </c>
      <c r="L27" s="173"/>
    </row>
    <row r="28" spans="1:15" x14ac:dyDescent="0.25">
      <c r="G28" s="265">
        <v>45323</v>
      </c>
      <c r="H28" s="179">
        <v>1526381</v>
      </c>
    </row>
    <row r="29" spans="1:15" x14ac:dyDescent="0.25">
      <c r="G29" s="265">
        <v>45352</v>
      </c>
      <c r="H29" s="179">
        <v>1526381</v>
      </c>
    </row>
    <row r="30" spans="1:15" x14ac:dyDescent="0.25">
      <c r="G30" s="265">
        <v>45383</v>
      </c>
      <c r="H30" s="179">
        <v>1526381</v>
      </c>
    </row>
    <row r="31" spans="1:15" x14ac:dyDescent="0.25">
      <c r="G31" s="265">
        <v>45413</v>
      </c>
      <c r="H31" s="179">
        <v>1526381</v>
      </c>
    </row>
    <row r="32" spans="1:15" x14ac:dyDescent="0.25">
      <c r="G32" s="265">
        <v>45444</v>
      </c>
      <c r="H32" s="179">
        <v>1526381</v>
      </c>
    </row>
    <row r="33" spans="7:8" x14ac:dyDescent="0.25">
      <c r="G33" s="265">
        <v>45474</v>
      </c>
      <c r="H33" s="179">
        <v>1526381</v>
      </c>
    </row>
    <row r="34" spans="7:8" x14ac:dyDescent="0.25">
      <c r="G34" s="265">
        <v>45505</v>
      </c>
      <c r="H34" s="179">
        <v>1526381</v>
      </c>
    </row>
    <row r="35" spans="7:8" x14ac:dyDescent="0.25">
      <c r="G35" s="265">
        <v>45536</v>
      </c>
      <c r="H35" s="179">
        <v>1526381</v>
      </c>
    </row>
    <row r="36" spans="7:8" x14ac:dyDescent="0.25">
      <c r="G36" s="265">
        <v>45566</v>
      </c>
      <c r="H36" s="179">
        <v>1526381</v>
      </c>
    </row>
    <row r="37" spans="7:8" x14ac:dyDescent="0.25">
      <c r="G37" s="265">
        <v>45597</v>
      </c>
      <c r="H37" s="179">
        <v>1526381</v>
      </c>
    </row>
    <row r="38" spans="7:8" x14ac:dyDescent="0.25">
      <c r="G38" s="265"/>
      <c r="H38" s="179"/>
    </row>
    <row r="39" spans="7:8" x14ac:dyDescent="0.25">
      <c r="G39" s="178"/>
      <c r="H39" s="179"/>
    </row>
    <row r="40" spans="7:8" ht="15.75" thickBot="1" x14ac:dyDescent="0.3">
      <c r="G40" s="180" t="s">
        <v>95</v>
      </c>
      <c r="H40" s="266">
        <f>SUM(H8:H39)</f>
        <v>49352988</v>
      </c>
    </row>
    <row r="44" spans="7:8" x14ac:dyDescent="0.25">
      <c r="H44" s="173"/>
    </row>
    <row r="45" spans="7:8" x14ac:dyDescent="0.25">
      <c r="H45" s="173"/>
    </row>
    <row r="46" spans="7:8" x14ac:dyDescent="0.25">
      <c r="H46" s="173"/>
    </row>
    <row r="47" spans="7:8" x14ac:dyDescent="0.25">
      <c r="H47" s="173"/>
    </row>
    <row r="48" spans="7:8" x14ac:dyDescent="0.25">
      <c r="H48" s="173"/>
    </row>
    <row r="49" spans="8:8" x14ac:dyDescent="0.25">
      <c r="H49" s="173"/>
    </row>
  </sheetData>
  <mergeCells count="4">
    <mergeCell ref="G6:H6"/>
    <mergeCell ref="A21:B21"/>
    <mergeCell ref="A2:C2"/>
    <mergeCell ref="A19:B1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4DDA-E8CD-4E2A-BAB6-2935F8665707}">
  <dimension ref="A1:J33"/>
  <sheetViews>
    <sheetView topLeftCell="A19" workbookViewId="0">
      <selection activeCell="H33" sqref="H33"/>
    </sheetView>
  </sheetViews>
  <sheetFormatPr baseColWidth="10" defaultRowHeight="15" x14ac:dyDescent="0.25"/>
  <sheetData>
    <row r="1" spans="1:10" x14ac:dyDescent="0.25">
      <c r="A1" t="s">
        <v>358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</row>
    <row r="2" spans="1:10" x14ac:dyDescent="0.25">
      <c r="A2" s="231">
        <v>45381</v>
      </c>
      <c r="B2" t="s">
        <v>368</v>
      </c>
      <c r="C2">
        <v>13551504</v>
      </c>
      <c r="D2" t="s">
        <v>369</v>
      </c>
      <c r="E2">
        <v>900133059</v>
      </c>
      <c r="F2" t="s">
        <v>370</v>
      </c>
      <c r="H2">
        <v>7142</v>
      </c>
      <c r="I2">
        <v>0</v>
      </c>
      <c r="J2">
        <v>7142</v>
      </c>
    </row>
    <row r="3" spans="1:10" x14ac:dyDescent="0.25">
      <c r="A3" s="231">
        <v>45381</v>
      </c>
      <c r="B3" t="s">
        <v>368</v>
      </c>
      <c r="C3">
        <v>13551504</v>
      </c>
      <c r="D3" t="s">
        <v>369</v>
      </c>
      <c r="E3">
        <v>900133059</v>
      </c>
      <c r="F3" t="s">
        <v>370</v>
      </c>
      <c r="H3">
        <v>56240</v>
      </c>
      <c r="I3">
        <v>0</v>
      </c>
      <c r="J3">
        <v>56240</v>
      </c>
    </row>
    <row r="4" spans="1:10" x14ac:dyDescent="0.25">
      <c r="A4" s="231">
        <v>45412</v>
      </c>
      <c r="B4" t="s">
        <v>371</v>
      </c>
      <c r="C4">
        <v>13551504</v>
      </c>
      <c r="D4" t="s">
        <v>369</v>
      </c>
      <c r="E4">
        <v>900133059</v>
      </c>
      <c r="F4" t="s">
        <v>370</v>
      </c>
      <c r="H4">
        <v>7142</v>
      </c>
      <c r="I4">
        <v>0</v>
      </c>
      <c r="J4">
        <v>7142</v>
      </c>
    </row>
    <row r="5" spans="1:10" x14ac:dyDescent="0.25">
      <c r="A5" s="231">
        <v>45412</v>
      </c>
      <c r="B5" t="s">
        <v>371</v>
      </c>
      <c r="C5">
        <v>13551504</v>
      </c>
      <c r="D5" t="s">
        <v>369</v>
      </c>
      <c r="E5">
        <v>900133059</v>
      </c>
      <c r="F5" t="s">
        <v>370</v>
      </c>
      <c r="H5">
        <v>106765</v>
      </c>
      <c r="I5">
        <v>0</v>
      </c>
      <c r="J5">
        <v>106765</v>
      </c>
    </row>
    <row r="6" spans="1:10" x14ac:dyDescent="0.25">
      <c r="A6" s="231">
        <v>45412</v>
      </c>
      <c r="B6" t="s">
        <v>371</v>
      </c>
      <c r="C6">
        <v>13551504</v>
      </c>
      <c r="D6" t="s">
        <v>369</v>
      </c>
      <c r="E6">
        <v>900133059</v>
      </c>
      <c r="F6" t="s">
        <v>370</v>
      </c>
      <c r="H6">
        <v>2800</v>
      </c>
      <c r="I6">
        <v>0</v>
      </c>
      <c r="J6">
        <v>2800</v>
      </c>
    </row>
    <row r="7" spans="1:10" x14ac:dyDescent="0.25">
      <c r="A7" s="231">
        <v>45412</v>
      </c>
      <c r="B7" t="s">
        <v>371</v>
      </c>
      <c r="C7">
        <v>13551504</v>
      </c>
      <c r="D7" t="s">
        <v>369</v>
      </c>
      <c r="E7">
        <v>900133059</v>
      </c>
      <c r="F7" t="s">
        <v>370</v>
      </c>
      <c r="H7">
        <v>4173</v>
      </c>
      <c r="I7">
        <v>0</v>
      </c>
      <c r="J7">
        <v>4173</v>
      </c>
    </row>
    <row r="8" spans="1:10" x14ac:dyDescent="0.25">
      <c r="A8" s="231">
        <v>45443</v>
      </c>
      <c r="B8" t="s">
        <v>372</v>
      </c>
      <c r="C8">
        <v>13551504</v>
      </c>
      <c r="D8" t="s">
        <v>369</v>
      </c>
      <c r="E8">
        <v>900133059</v>
      </c>
      <c r="F8" t="s">
        <v>370</v>
      </c>
      <c r="H8">
        <v>49831</v>
      </c>
      <c r="I8">
        <v>0</v>
      </c>
      <c r="J8">
        <v>49831</v>
      </c>
    </row>
    <row r="9" spans="1:10" x14ac:dyDescent="0.25">
      <c r="A9" s="231">
        <v>45443</v>
      </c>
      <c r="B9" t="s">
        <v>372</v>
      </c>
      <c r="C9">
        <v>13551504</v>
      </c>
      <c r="D9" t="s">
        <v>369</v>
      </c>
      <c r="E9">
        <v>900443315</v>
      </c>
      <c r="F9" t="s">
        <v>373</v>
      </c>
      <c r="H9">
        <v>51716</v>
      </c>
      <c r="I9">
        <v>0</v>
      </c>
      <c r="J9">
        <v>51716</v>
      </c>
    </row>
    <row r="10" spans="1:10" x14ac:dyDescent="0.25">
      <c r="A10" s="231">
        <v>45473</v>
      </c>
      <c r="B10" t="s">
        <v>374</v>
      </c>
      <c r="C10">
        <v>13551504</v>
      </c>
      <c r="D10" t="s">
        <v>369</v>
      </c>
      <c r="E10">
        <v>900133059</v>
      </c>
      <c r="F10" t="s">
        <v>370</v>
      </c>
      <c r="H10">
        <v>52991</v>
      </c>
      <c r="I10">
        <v>0</v>
      </c>
      <c r="J10">
        <v>52991</v>
      </c>
    </row>
    <row r="11" spans="1:10" x14ac:dyDescent="0.25">
      <c r="A11" s="231">
        <v>45473</v>
      </c>
      <c r="B11" t="s">
        <v>374</v>
      </c>
      <c r="C11">
        <v>13551504</v>
      </c>
      <c r="D11" t="s">
        <v>369</v>
      </c>
      <c r="E11">
        <v>900133059</v>
      </c>
      <c r="F11" t="s">
        <v>370</v>
      </c>
      <c r="H11">
        <v>14054</v>
      </c>
      <c r="I11">
        <v>0</v>
      </c>
      <c r="J11">
        <v>14054</v>
      </c>
    </row>
    <row r="12" spans="1:10" x14ac:dyDescent="0.25">
      <c r="A12" s="231">
        <v>45473</v>
      </c>
      <c r="B12" t="s">
        <v>374</v>
      </c>
      <c r="C12">
        <v>13551504</v>
      </c>
      <c r="D12" t="s">
        <v>369</v>
      </c>
      <c r="E12">
        <v>900502897</v>
      </c>
      <c r="F12" t="s">
        <v>375</v>
      </c>
      <c r="H12">
        <v>20738</v>
      </c>
      <c r="I12">
        <v>0</v>
      </c>
      <c r="J12">
        <v>20738</v>
      </c>
    </row>
    <row r="13" spans="1:10" x14ac:dyDescent="0.25">
      <c r="A13" s="231">
        <v>45473</v>
      </c>
      <c r="B13" t="s">
        <v>374</v>
      </c>
      <c r="C13">
        <v>13551504</v>
      </c>
      <c r="D13" t="s">
        <v>369</v>
      </c>
      <c r="E13">
        <v>900443315</v>
      </c>
      <c r="F13" t="s">
        <v>373</v>
      </c>
      <c r="H13">
        <v>158536</v>
      </c>
      <c r="I13">
        <v>0</v>
      </c>
      <c r="J13">
        <v>158536</v>
      </c>
    </row>
    <row r="14" spans="1:10" x14ac:dyDescent="0.25">
      <c r="A14" s="231">
        <v>45473</v>
      </c>
      <c r="B14" t="s">
        <v>374</v>
      </c>
      <c r="C14">
        <v>13551504</v>
      </c>
      <c r="D14" t="s">
        <v>369</v>
      </c>
      <c r="E14">
        <v>900443315</v>
      </c>
      <c r="F14" t="s">
        <v>373</v>
      </c>
      <c r="H14">
        <v>1200</v>
      </c>
      <c r="I14">
        <v>0</v>
      </c>
      <c r="J14">
        <v>1200</v>
      </c>
    </row>
    <row r="15" spans="1:10" x14ac:dyDescent="0.25">
      <c r="A15" s="231">
        <v>45473</v>
      </c>
      <c r="B15" t="s">
        <v>374</v>
      </c>
      <c r="C15">
        <v>13551504</v>
      </c>
      <c r="D15" t="s">
        <v>369</v>
      </c>
      <c r="E15">
        <v>900133059</v>
      </c>
      <c r="F15" t="s">
        <v>370</v>
      </c>
      <c r="H15">
        <v>51282</v>
      </c>
      <c r="I15">
        <v>0</v>
      </c>
      <c r="J15">
        <v>51282</v>
      </c>
    </row>
    <row r="16" spans="1:10" x14ac:dyDescent="0.25">
      <c r="A16" s="231">
        <v>45504</v>
      </c>
      <c r="B16" t="s">
        <v>376</v>
      </c>
      <c r="C16">
        <v>13551504</v>
      </c>
      <c r="D16" t="s">
        <v>369</v>
      </c>
      <c r="E16">
        <v>900133059</v>
      </c>
      <c r="F16" t="s">
        <v>370</v>
      </c>
      <c r="H16">
        <v>51532</v>
      </c>
      <c r="I16">
        <v>0</v>
      </c>
      <c r="J16">
        <v>51532</v>
      </c>
    </row>
    <row r="17" spans="1:10" x14ac:dyDescent="0.25">
      <c r="A17" s="231">
        <v>45535</v>
      </c>
      <c r="B17" t="s">
        <v>377</v>
      </c>
      <c r="C17">
        <v>13551504</v>
      </c>
      <c r="D17" t="s">
        <v>369</v>
      </c>
      <c r="E17">
        <v>900443315</v>
      </c>
      <c r="F17" t="s">
        <v>373</v>
      </c>
      <c r="H17">
        <v>44466</v>
      </c>
      <c r="I17">
        <v>0</v>
      </c>
      <c r="J17">
        <v>44466</v>
      </c>
    </row>
    <row r="18" spans="1:10" x14ac:dyDescent="0.25">
      <c r="A18" s="231">
        <v>45565</v>
      </c>
      <c r="B18" t="s">
        <v>378</v>
      </c>
      <c r="C18">
        <v>13551504</v>
      </c>
      <c r="D18" t="s">
        <v>369</v>
      </c>
      <c r="E18">
        <v>900443315</v>
      </c>
      <c r="F18" t="s">
        <v>373</v>
      </c>
      <c r="H18">
        <v>16715</v>
      </c>
      <c r="I18">
        <v>0</v>
      </c>
      <c r="J18">
        <v>16715</v>
      </c>
    </row>
    <row r="19" spans="1:10" x14ac:dyDescent="0.25">
      <c r="A19" s="231">
        <v>45565</v>
      </c>
      <c r="B19" t="s">
        <v>378</v>
      </c>
      <c r="C19">
        <v>13551504</v>
      </c>
      <c r="D19" t="s">
        <v>369</v>
      </c>
      <c r="E19">
        <v>900133059</v>
      </c>
      <c r="F19" t="s">
        <v>370</v>
      </c>
      <c r="H19">
        <v>46501</v>
      </c>
      <c r="I19">
        <v>0</v>
      </c>
      <c r="J19">
        <v>46501</v>
      </c>
    </row>
    <row r="20" spans="1:10" x14ac:dyDescent="0.25">
      <c r="A20" s="231">
        <v>45565</v>
      </c>
      <c r="B20" t="s">
        <v>378</v>
      </c>
      <c r="C20">
        <v>13551504</v>
      </c>
      <c r="D20" t="s">
        <v>369</v>
      </c>
      <c r="E20">
        <v>901765638</v>
      </c>
      <c r="F20" t="s">
        <v>339</v>
      </c>
      <c r="H20">
        <v>23668</v>
      </c>
      <c r="I20">
        <v>0</v>
      </c>
      <c r="J20">
        <v>23668</v>
      </c>
    </row>
    <row r="21" spans="1:10" x14ac:dyDescent="0.25">
      <c r="A21" s="231">
        <v>45565</v>
      </c>
      <c r="B21" t="s">
        <v>378</v>
      </c>
      <c r="C21">
        <v>13551504</v>
      </c>
      <c r="D21" t="s">
        <v>369</v>
      </c>
      <c r="E21">
        <v>901765638</v>
      </c>
      <c r="F21" t="s">
        <v>339</v>
      </c>
      <c r="H21">
        <v>3401</v>
      </c>
      <c r="I21">
        <v>0</v>
      </c>
      <c r="J21">
        <v>3401</v>
      </c>
    </row>
    <row r="22" spans="1:10" x14ac:dyDescent="0.25">
      <c r="A22" s="231">
        <v>45596</v>
      </c>
      <c r="B22" t="s">
        <v>379</v>
      </c>
      <c r="C22">
        <v>13551504</v>
      </c>
      <c r="D22" t="s">
        <v>369</v>
      </c>
      <c r="E22">
        <v>900133059</v>
      </c>
      <c r="F22" t="s">
        <v>370</v>
      </c>
      <c r="H22">
        <v>25510</v>
      </c>
      <c r="I22">
        <v>0</v>
      </c>
      <c r="J22">
        <v>25510</v>
      </c>
    </row>
    <row r="23" spans="1:10" x14ac:dyDescent="0.25">
      <c r="A23" s="231">
        <v>45596</v>
      </c>
      <c r="B23" t="s">
        <v>379</v>
      </c>
      <c r="C23">
        <v>13551504</v>
      </c>
      <c r="D23" t="s">
        <v>369</v>
      </c>
      <c r="E23">
        <v>901765638</v>
      </c>
      <c r="F23" t="s">
        <v>339</v>
      </c>
      <c r="H23">
        <v>42232</v>
      </c>
      <c r="I23">
        <v>0</v>
      </c>
      <c r="J23">
        <v>42232</v>
      </c>
    </row>
    <row r="24" spans="1:10" x14ac:dyDescent="0.25">
      <c r="A24" s="231">
        <v>45596</v>
      </c>
      <c r="B24" t="s">
        <v>379</v>
      </c>
      <c r="C24">
        <v>13551504</v>
      </c>
      <c r="D24" t="s">
        <v>369</v>
      </c>
      <c r="E24">
        <v>900133059</v>
      </c>
      <c r="F24" t="s">
        <v>370</v>
      </c>
      <c r="H24">
        <v>26208</v>
      </c>
      <c r="I24">
        <v>0</v>
      </c>
      <c r="J24">
        <v>26208</v>
      </c>
    </row>
    <row r="25" spans="1:10" x14ac:dyDescent="0.25">
      <c r="A25" s="231">
        <v>45596</v>
      </c>
      <c r="B25" t="s">
        <v>379</v>
      </c>
      <c r="C25">
        <v>13551504</v>
      </c>
      <c r="D25" t="s">
        <v>369</v>
      </c>
      <c r="E25">
        <v>900133059</v>
      </c>
      <c r="F25" t="s">
        <v>370</v>
      </c>
      <c r="H25">
        <v>1553</v>
      </c>
      <c r="I25">
        <v>0</v>
      </c>
      <c r="J25">
        <v>1553</v>
      </c>
    </row>
    <row r="26" spans="1:10" x14ac:dyDescent="0.25">
      <c r="A26" s="231">
        <v>45596</v>
      </c>
      <c r="B26" t="s">
        <v>379</v>
      </c>
      <c r="C26">
        <v>13551504</v>
      </c>
      <c r="D26" t="s">
        <v>369</v>
      </c>
      <c r="E26">
        <v>900133059</v>
      </c>
      <c r="F26" t="s">
        <v>370</v>
      </c>
      <c r="H26">
        <v>1587</v>
      </c>
      <c r="I26">
        <v>0</v>
      </c>
      <c r="J26">
        <v>1587</v>
      </c>
    </row>
    <row r="27" spans="1:10" x14ac:dyDescent="0.25">
      <c r="A27" s="231">
        <v>45596</v>
      </c>
      <c r="B27" t="s">
        <v>379</v>
      </c>
      <c r="C27">
        <v>13551504</v>
      </c>
      <c r="D27" t="s">
        <v>369</v>
      </c>
      <c r="E27">
        <v>900133059</v>
      </c>
      <c r="F27" t="s">
        <v>370</v>
      </c>
      <c r="H27">
        <v>1638</v>
      </c>
      <c r="I27">
        <v>0</v>
      </c>
      <c r="J27">
        <v>1638</v>
      </c>
    </row>
    <row r="28" spans="1:10" x14ac:dyDescent="0.25">
      <c r="A28" s="231">
        <v>45626</v>
      </c>
      <c r="B28" t="s">
        <v>380</v>
      </c>
      <c r="C28">
        <v>13551504</v>
      </c>
      <c r="D28" t="s">
        <v>369</v>
      </c>
      <c r="E28">
        <v>901765638</v>
      </c>
      <c r="F28" t="s">
        <v>339</v>
      </c>
      <c r="H28">
        <v>54516</v>
      </c>
      <c r="I28">
        <v>0</v>
      </c>
      <c r="J28">
        <v>54516</v>
      </c>
    </row>
    <row r="29" spans="1:10" x14ac:dyDescent="0.25">
      <c r="A29" s="231">
        <v>45626</v>
      </c>
      <c r="B29" t="s">
        <v>380</v>
      </c>
      <c r="C29">
        <v>13551504</v>
      </c>
      <c r="D29" t="s">
        <v>369</v>
      </c>
      <c r="E29">
        <v>901765638</v>
      </c>
      <c r="F29" t="s">
        <v>339</v>
      </c>
      <c r="H29">
        <v>2450</v>
      </c>
      <c r="I29">
        <v>0</v>
      </c>
      <c r="J29">
        <v>2450</v>
      </c>
    </row>
    <row r="30" spans="1:10" x14ac:dyDescent="0.25">
      <c r="A30" s="231">
        <v>45657</v>
      </c>
      <c r="B30" t="s">
        <v>381</v>
      </c>
      <c r="C30">
        <v>13551504</v>
      </c>
      <c r="D30" t="s">
        <v>369</v>
      </c>
      <c r="E30">
        <v>800248806</v>
      </c>
      <c r="F30" t="s">
        <v>382</v>
      </c>
      <c r="H30">
        <v>6440</v>
      </c>
      <c r="I30">
        <v>0</v>
      </c>
      <c r="J30">
        <v>6440</v>
      </c>
    </row>
    <row r="31" spans="1:10" x14ac:dyDescent="0.25">
      <c r="A31" s="231">
        <v>45657</v>
      </c>
      <c r="B31" t="s">
        <v>381</v>
      </c>
      <c r="C31">
        <v>13551504</v>
      </c>
      <c r="D31" t="s">
        <v>369</v>
      </c>
      <c r="E31">
        <v>900133059</v>
      </c>
      <c r="F31" t="s">
        <v>370</v>
      </c>
      <c r="H31">
        <v>21600</v>
      </c>
      <c r="I31">
        <v>0</v>
      </c>
      <c r="J31">
        <v>21600</v>
      </c>
    </row>
    <row r="32" spans="1:10" x14ac:dyDescent="0.25">
      <c r="A32" s="231">
        <v>45657</v>
      </c>
      <c r="B32" t="s">
        <v>381</v>
      </c>
      <c r="C32">
        <v>13551507</v>
      </c>
      <c r="D32" t="s">
        <v>383</v>
      </c>
      <c r="E32">
        <v>901765638</v>
      </c>
      <c r="F32" t="s">
        <v>339</v>
      </c>
      <c r="H32">
        <v>67824</v>
      </c>
      <c r="I32">
        <v>0</v>
      </c>
      <c r="J32">
        <v>67824</v>
      </c>
    </row>
    <row r="33" spans="8:8" x14ac:dyDescent="0.25">
      <c r="H33">
        <f>SUM(H2:H32)</f>
        <v>1022451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BALANCE DICIEMBRE</vt:lpstr>
      <vt:lpstr>pyg2024</vt:lpstr>
      <vt:lpstr>GRAFICAS PYG</vt:lpstr>
      <vt:lpstr>DISPONIBLE DICIEMBRE </vt:lpstr>
      <vt:lpstr>CARTERA</vt:lpstr>
      <vt:lpstr>Hoja2</vt:lpstr>
      <vt:lpstr>RETE</vt:lpstr>
      <vt:lpstr>'GRAFICAS PYG'!Área_de_impresión</vt:lpstr>
      <vt:lpstr>'pyg2024'!Área_de_impresión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equioriente Ltda</cp:lastModifiedBy>
  <cp:lastPrinted>2024-10-16T13:20:18Z</cp:lastPrinted>
  <dcterms:created xsi:type="dcterms:W3CDTF">2018-06-18T16:56:31Z</dcterms:created>
  <dcterms:modified xsi:type="dcterms:W3CDTF">2025-02-02T22:44:07Z</dcterms:modified>
</cp:coreProperties>
</file>
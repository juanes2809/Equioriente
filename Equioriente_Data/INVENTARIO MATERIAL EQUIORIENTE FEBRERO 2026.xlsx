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anus.EQUIORIENTE\Desktop\INVENTARIO\"/>
    </mc:Choice>
  </mc:AlternateContent>
  <xr:revisionPtr revIDLastSave="0" documentId="13_ncr:1_{5063C20A-FE00-4E48-9DEC-28286040A0D6}" xr6:coauthVersionLast="47" xr6:coauthVersionMax="47" xr10:uidLastSave="{00000000-0000-0000-0000-000000000000}"/>
  <bookViews>
    <workbookView xWindow="-120" yWindow="-120" windowWidth="20730" windowHeight="11040" xr2:uid="{461A49D5-843E-4E40-A48B-D304753233C5}"/>
  </bookViews>
  <sheets>
    <sheet name="INVENTARIO 202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9" i="6" l="1"/>
  <c r="E59" i="6"/>
  <c r="E58" i="6"/>
  <c r="G58" i="6" s="1"/>
  <c r="E57" i="6"/>
  <c r="G57" i="6" s="1"/>
  <c r="E7" i="6"/>
  <c r="G7" i="6" s="1"/>
  <c r="E6" i="6"/>
  <c r="G6" i="6" s="1"/>
  <c r="E44" i="6"/>
  <c r="G44" i="6" s="1"/>
  <c r="E56" i="6" l="1"/>
  <c r="G56" i="6" s="1"/>
  <c r="E5" i="6"/>
  <c r="G5" i="6" s="1"/>
  <c r="E8" i="6"/>
  <c r="G8" i="6" s="1"/>
  <c r="E9" i="6"/>
  <c r="G9" i="6" s="1"/>
  <c r="E10" i="6"/>
  <c r="G10" i="6" s="1"/>
  <c r="E11" i="6"/>
  <c r="G11" i="6" s="1"/>
  <c r="E12" i="6"/>
  <c r="G12" i="6" s="1"/>
  <c r="E13" i="6"/>
  <c r="G13" i="6" s="1"/>
  <c r="E14" i="6"/>
  <c r="G14" i="6" s="1"/>
  <c r="E15" i="6"/>
  <c r="G15" i="6" s="1"/>
  <c r="E16" i="6"/>
  <c r="G16" i="6" s="1"/>
  <c r="E17" i="6"/>
  <c r="G17" i="6" s="1"/>
  <c r="E18" i="6"/>
  <c r="G18" i="6" s="1"/>
  <c r="E19" i="6"/>
  <c r="G19" i="6" s="1"/>
  <c r="E20" i="6"/>
  <c r="G20" i="6" s="1"/>
  <c r="E21" i="6"/>
  <c r="G21" i="6" s="1"/>
  <c r="E23" i="6"/>
  <c r="G23" i="6" s="1"/>
  <c r="E24" i="6"/>
  <c r="G24" i="6" s="1"/>
  <c r="E25" i="6"/>
  <c r="G25" i="6" s="1"/>
  <c r="E26" i="6"/>
  <c r="G26" i="6" s="1"/>
  <c r="E27" i="6"/>
  <c r="G27" i="6" s="1"/>
  <c r="E28" i="6"/>
  <c r="G28" i="6" s="1"/>
  <c r="E29" i="6"/>
  <c r="G29" i="6" s="1"/>
  <c r="E30" i="6"/>
  <c r="G30" i="6" s="1"/>
  <c r="E31" i="6"/>
  <c r="G31" i="6" s="1"/>
  <c r="E32" i="6"/>
  <c r="G32" i="6" s="1"/>
  <c r="E33" i="6"/>
  <c r="G33" i="6" s="1"/>
  <c r="E34" i="6"/>
  <c r="G34" i="6" s="1"/>
  <c r="E35" i="6"/>
  <c r="G35" i="6" s="1"/>
  <c r="E36" i="6"/>
  <c r="G36" i="6" s="1"/>
  <c r="E37" i="6"/>
  <c r="G37" i="6" s="1"/>
  <c r="E38" i="6"/>
  <c r="G38" i="6" s="1"/>
  <c r="E39" i="6"/>
  <c r="G39" i="6" s="1"/>
  <c r="E40" i="6"/>
  <c r="G40" i="6" s="1"/>
  <c r="E41" i="6"/>
  <c r="G41" i="6" s="1"/>
  <c r="E42" i="6"/>
  <c r="G42" i="6" s="1"/>
  <c r="E43" i="6"/>
  <c r="G43" i="6" s="1"/>
  <c r="E45" i="6"/>
  <c r="G45" i="6" s="1"/>
  <c r="E46" i="6"/>
  <c r="G46" i="6" s="1"/>
  <c r="E47" i="6"/>
  <c r="G47" i="6" s="1"/>
  <c r="E48" i="6"/>
  <c r="G48" i="6" s="1"/>
  <c r="E49" i="6"/>
  <c r="G49" i="6" s="1"/>
  <c r="E50" i="6"/>
  <c r="G50" i="6" s="1"/>
  <c r="E51" i="6"/>
  <c r="G51" i="6" s="1"/>
  <c r="E52" i="6"/>
  <c r="G52" i="6" s="1"/>
  <c r="E53" i="6"/>
  <c r="G53" i="6" s="1"/>
  <c r="E54" i="6"/>
  <c r="G54" i="6" s="1"/>
  <c r="E55" i="6"/>
  <c r="G55" i="6" s="1"/>
  <c r="E22" i="6"/>
  <c r="G22" i="6" s="1"/>
  <c r="E4" i="6"/>
  <c r="G4" i="6" s="1"/>
  <c r="G60" i="6" l="1"/>
  <c r="G6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D25" authorId="0" shapeId="0" xr:uid="{29492DFF-3559-4C40-96CB-E7C32724EE0F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 Y PLY
</t>
        </r>
      </text>
    </comment>
    <comment ref="D34" authorId="0" shapeId="0" xr:uid="{9013A1EC-B360-49C7-B0E2-BA8BFA34794D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POLIMYS
</t>
        </r>
      </text>
    </comment>
  </commentList>
</comments>
</file>

<file path=xl/sharedStrings.xml><?xml version="1.0" encoding="utf-8"?>
<sst xmlns="http://schemas.openxmlformats.org/spreadsheetml/2006/main" count="72" uniqueCount="71">
  <si>
    <t>MATERIAL</t>
  </si>
  <si>
    <t>MATERIAL ALQUILADO</t>
  </si>
  <si>
    <t>TOTAL MATERIAL</t>
  </si>
  <si>
    <t>BANDAS DE 40 X 140</t>
  </si>
  <si>
    <t>PARALES DE 1 M</t>
  </si>
  <si>
    <t>PARALES 3.00 MTS</t>
  </si>
  <si>
    <t>PARALES DE 3,50</t>
  </si>
  <si>
    <t>PARALES 4.00 MTS</t>
  </si>
  <si>
    <t>PARALES DE 6 MTS</t>
  </si>
  <si>
    <t>MARCOS DE ANDAMIO 2*90</t>
  </si>
  <si>
    <t>CERCHA DE 1,2 MTS</t>
  </si>
  <si>
    <t>CERCHA DE 1,5 MTS</t>
  </si>
  <si>
    <t>CERCHA DE 2 MTS</t>
  </si>
  <si>
    <t>CERCHAS  3 MTS</t>
  </si>
  <si>
    <t>ALINEADORES DE 6.00 MTS</t>
  </si>
  <si>
    <t>ANGULOS DE 120</t>
  </si>
  <si>
    <t>ANGULO DE 60</t>
  </si>
  <si>
    <t>RUEDAS DE ANDAMIO</t>
  </si>
  <si>
    <t xml:space="preserve">POLEAS COLGANTES </t>
  </si>
  <si>
    <t>TABLEROS DE MADERA 70 x 140</t>
  </si>
  <si>
    <t>CONTEO                         MATERIAL EN BODEGA</t>
  </si>
  <si>
    <t>CERCHA DE 1 MTS</t>
  </si>
  <si>
    <t>TABLONES 3 MTS</t>
  </si>
  <si>
    <t>PASAMANOS 6 MTS</t>
  </si>
  <si>
    <t>POLEAS MANUAL C/ LAZO</t>
  </si>
  <si>
    <t>PASAMANOS 3 MTS</t>
  </si>
  <si>
    <t>CHAPETAS CUADRADAS</t>
  </si>
  <si>
    <t>TABLERO METALICO  30 X 60</t>
  </si>
  <si>
    <t>TABLERO METALICO 120 X 60</t>
  </si>
  <si>
    <t>TABLERO METALICO 120 X 55</t>
  </si>
  <si>
    <t>TABLERO METALICO 120 X 50</t>
  </si>
  <si>
    <t>TABLERO METALICO 120 X 45</t>
  </si>
  <si>
    <t>TABLERO METALICO 120 X 40</t>
  </si>
  <si>
    <t>TABLERO METALICO 120 X 35</t>
  </si>
  <si>
    <t>TABLERO METALICO 120 X 30</t>
  </si>
  <si>
    <t>TABLERO METALICO 120 X 27,5</t>
  </si>
  <si>
    <t>TABLERO METALICO 120 X 25</t>
  </si>
  <si>
    <t>TABLERO METALICO 120 X 20</t>
  </si>
  <si>
    <t>TABLERO METALICO 120 X 15</t>
  </si>
  <si>
    <t>TABLERO METALICO 120 X 12</t>
  </si>
  <si>
    <t>TABLERO METALICO 120 X 10</t>
  </si>
  <si>
    <t>TABLERO METALICO 120 X 5</t>
  </si>
  <si>
    <t>MEZCLADORA DE CEMENTO 1 1/2 DIESEL</t>
  </si>
  <si>
    <t>RINCONERAS 15 X 15 X 120</t>
  </si>
  <si>
    <t>TABLONES CORTOS</t>
  </si>
  <si>
    <t>ALINEADORES DE 2,50 MTS</t>
  </si>
  <si>
    <t>ALINEADORES DE 3 MTS</t>
  </si>
  <si>
    <t>ANGULOS DE 2.40</t>
  </si>
  <si>
    <t>ALINEADORES DE 3.70</t>
  </si>
  <si>
    <t>ALINEADORES DE 2 MTROS</t>
  </si>
  <si>
    <t>ESCALERA DE TIJERA EN ALUMINIO 3 MTS</t>
  </si>
  <si>
    <t>INVENTARIO MATERIAL  Y EQUIPOS EQUIORIENTE</t>
  </si>
  <si>
    <t>SUBALQUILADO</t>
  </si>
  <si>
    <t>RINCONERAS 10 X 10 X 60</t>
  </si>
  <si>
    <t>CRUCETAS DE ANDAMIO 2,40 MTS</t>
  </si>
  <si>
    <t>RINCONERAS 10X 10 X 120</t>
  </si>
  <si>
    <t>valor unitario</t>
  </si>
  <si>
    <t>VALOR TOTAL</t>
  </si>
  <si>
    <t>TOTAL</t>
  </si>
  <si>
    <t>ojo</t>
  </si>
  <si>
    <t>ENTRADA : 13117</t>
  </si>
  <si>
    <t>SALIDA:13403</t>
  </si>
  <si>
    <t>BANDAS DE 40 X 120</t>
  </si>
  <si>
    <t>BANDAS DE 40 X 100</t>
  </si>
  <si>
    <t>MARCOS DE ANDAMIOS 1,5</t>
  </si>
  <si>
    <t>ALINEADORES DE1 MTROS</t>
  </si>
  <si>
    <t>ALINEADORES DE 1.5  MTROS</t>
  </si>
  <si>
    <t>TENSORES</t>
  </si>
  <si>
    <t>VALOR TOTAL MATERIAL</t>
  </si>
  <si>
    <t>CAMION JAC</t>
  </si>
  <si>
    <t>AVALUO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</si>
</sst>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4" tint="-0.499984740745262"/>
      <name val="Arial Narrow"/>
      <family val="2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499984740745262"/>
      <name val="Arial Narrow"/>
      <family val="2"/>
    </font>
    <font>
      <b/>
      <sz val="16"/>
      <name val="Arial Narrow"/>
      <family val="2"/>
    </font>
    <font>
      <b/>
      <sz val="12"/>
      <name val="Arial Blac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 Black"/>
      <family val="2"/>
    </font>
    <font>
      <b/>
      <sz val="10"/>
      <color theme="1"/>
      <name val="Arial Black"/>
      <family val="2"/>
    </font>
    <font>
      <b/>
      <sz val="12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57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0" borderId="3" xfId="0" applyBorder="1"/>
    <xf numFmtId="0" fontId="3" fillId="3" borderId="4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5" fillId="0" borderId="6" xfId="0" applyFont="1" applyBorder="1" applyAlignment="1">
      <alignment horizontal="center" vertical="center"/>
    </xf>
    <xf numFmtId="0" fontId="2" fillId="2" borderId="6" xfId="0" applyFont="1" applyFill="1" applyBorder="1"/>
    <xf numFmtId="0" fontId="2" fillId="0" borderId="6" xfId="0" applyFont="1" applyBorder="1"/>
    <xf numFmtId="0" fontId="2" fillId="2" borderId="7" xfId="0" applyFont="1" applyFill="1" applyBorder="1"/>
    <xf numFmtId="0" fontId="0" fillId="0" borderId="2" xfId="0" applyBorder="1"/>
    <xf numFmtId="164" fontId="0" fillId="0" borderId="0" xfId="1" applyNumberFormat="1" applyFont="1"/>
    <xf numFmtId="0" fontId="7" fillId="3" borderId="10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1" fillId="0" borderId="0" xfId="0" applyFont="1"/>
    <xf numFmtId="0" fontId="12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44" fontId="0" fillId="0" borderId="0" xfId="1" applyFont="1" applyBorder="1"/>
    <xf numFmtId="0" fontId="12" fillId="4" borderId="1" xfId="0" applyFont="1" applyFill="1" applyBorder="1" applyAlignment="1">
      <alignment horizontal="center"/>
    </xf>
    <xf numFmtId="164" fontId="0" fillId="0" borderId="1" xfId="1" applyNumberFormat="1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16" fontId="8" fillId="0" borderId="6" xfId="0" applyNumberFormat="1" applyFont="1" applyBorder="1"/>
    <xf numFmtId="0" fontId="5" fillId="0" borderId="15" xfId="0" applyFont="1" applyBorder="1"/>
    <xf numFmtId="0" fontId="5" fillId="0" borderId="16" xfId="0" applyFont="1" applyBorder="1"/>
    <xf numFmtId="0" fontId="2" fillId="2" borderId="20" xfId="0" applyFont="1" applyFill="1" applyBorder="1"/>
    <xf numFmtId="0" fontId="3" fillId="3" borderId="21" xfId="0" applyFont="1" applyFill="1" applyBorder="1" applyAlignment="1">
      <alignment horizontal="center"/>
    </xf>
    <xf numFmtId="164" fontId="0" fillId="0" borderId="22" xfId="1" applyNumberFormat="1" applyFont="1" applyFill="1" applyBorder="1"/>
    <xf numFmtId="164" fontId="0" fillId="0" borderId="22" xfId="0" applyNumberFormat="1" applyBorder="1"/>
    <xf numFmtId="0" fontId="4" fillId="0" borderId="0" xfId="0" applyFont="1"/>
    <xf numFmtId="164" fontId="4" fillId="0" borderId="0" xfId="1" applyNumberFormat="1" applyFont="1"/>
    <xf numFmtId="0" fontId="13" fillId="5" borderId="11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164" fontId="17" fillId="0" borderId="1" xfId="1" applyNumberFormat="1" applyFont="1" applyBorder="1"/>
    <xf numFmtId="0" fontId="18" fillId="2" borderId="5" xfId="0" applyFont="1" applyFill="1" applyBorder="1"/>
    <xf numFmtId="0" fontId="19" fillId="0" borderId="8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7" fillId="0" borderId="0" xfId="0" applyFont="1"/>
    <xf numFmtId="164" fontId="17" fillId="0" borderId="0" xfId="1" applyNumberFormat="1" applyFont="1"/>
    <xf numFmtId="0" fontId="17" fillId="0" borderId="3" xfId="0" applyFont="1" applyBorder="1"/>
    <xf numFmtId="0" fontId="6" fillId="0" borderId="17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9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469900</xdr:colOff>
      <xdr:row>0</xdr:row>
      <xdr:rowOff>339725</xdr:rowOff>
    </xdr:from>
    <xdr:to>
      <xdr:col>0</xdr:col>
      <xdr:colOff>1993900</xdr:colOff>
      <xdr:row>0</xdr:row>
      <xdr:rowOff>911225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EAB4A5-8E04-4649-9E00-567585B6D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339725"/>
          <a:ext cx="1524000" cy="5715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D04E-4A82-4A15-8047-1B837AC7D24E}">
  <sheetPr>
    <pageSetUpPr fitToPage="1"/>
  </sheetPr>
  <dimension ref="A1:L67"/>
  <sheetViews>
    <sheetView tabSelected="1" view="pageBreakPreview" topLeftCell="A52" zoomScale="75" zoomScaleNormal="100" zoomScaleSheetLayoutView="75" workbookViewId="0">
      <pane xSplit="1" topLeftCell="B1" activePane="topRight" state="frozen"/>
      <selection activeCell="A3" sqref="A3"/>
      <selection pane="topRight" activeCell="G62" sqref="G62"/>
    </sheetView>
  </sheetViews>
  <sheetFormatPr baseColWidth="10" defaultRowHeight="15" x14ac:dyDescent="0.25"/>
  <cols>
    <col min="1" max="1" width="39.7109375" customWidth="1"/>
    <col min="2" max="2" width="32.5703125" customWidth="1"/>
    <col min="3" max="4" width="24.7109375" customWidth="1"/>
    <col min="5" max="5" width="32" customWidth="1"/>
    <col min="6" max="6" width="15.140625" customWidth="1"/>
    <col min="7" max="7" width="22.42578125" customWidth="1"/>
    <col min="8" max="8" width="14.28515625" customWidth="1"/>
  </cols>
  <sheetData>
    <row r="1" spans="1:12" ht="112.5" customHeight="1" x14ac:dyDescent="0.4">
      <c r="A1" s="54" t="s">
        <v>51</v>
      </c>
      <c r="B1" s="55"/>
      <c r="C1" s="55"/>
      <c r="D1" s="55"/>
      <c r="E1" s="55"/>
      <c r="F1" s="55"/>
      <c r="G1" s="56"/>
    </row>
    <row r="2" spans="1:12" ht="15.75" x14ac:dyDescent="0.25">
      <c r="A2" s="29">
        <v>46073</v>
      </c>
      <c r="B2" s="30" t="s">
        <v>60</v>
      </c>
      <c r="C2" s="30" t="s">
        <v>61</v>
      </c>
      <c r="D2" s="31" t="s">
        <v>0</v>
      </c>
      <c r="E2" s="50" t="s">
        <v>2</v>
      </c>
      <c r="F2" s="52" t="s">
        <v>56</v>
      </c>
      <c r="G2" s="26"/>
    </row>
    <row r="3" spans="1:12" ht="26.25" x14ac:dyDescent="0.25">
      <c r="A3" s="5" t="s">
        <v>0</v>
      </c>
      <c r="B3" s="4" t="s">
        <v>20</v>
      </c>
      <c r="C3" s="4" t="s">
        <v>1</v>
      </c>
      <c r="D3" s="11" t="s">
        <v>52</v>
      </c>
      <c r="E3" s="51"/>
      <c r="F3" s="53"/>
      <c r="G3" s="27" t="s">
        <v>57</v>
      </c>
    </row>
    <row r="4" spans="1:12" ht="24" customHeight="1" x14ac:dyDescent="0.4">
      <c r="A4" s="6" t="s">
        <v>19</v>
      </c>
      <c r="B4" s="1">
        <v>242</v>
      </c>
      <c r="C4" s="20">
        <v>188</v>
      </c>
      <c r="D4" s="12"/>
      <c r="E4" s="39">
        <f>B4+C4-D4</f>
        <v>430</v>
      </c>
      <c r="F4" s="25">
        <v>40000</v>
      </c>
      <c r="G4" s="28">
        <f>E4*F4</f>
        <v>17200000</v>
      </c>
      <c r="H4" s="23"/>
    </row>
    <row r="5" spans="1:12" ht="20.25" x14ac:dyDescent="0.3">
      <c r="A5" s="6" t="s">
        <v>3</v>
      </c>
      <c r="B5" s="1">
        <v>20</v>
      </c>
      <c r="C5" s="21">
        <v>50</v>
      </c>
      <c r="D5" s="12"/>
      <c r="E5" s="39">
        <f t="shared" ref="E5:E43" si="0">B5+C5-D5</f>
        <v>70</v>
      </c>
      <c r="F5" s="25">
        <v>30000</v>
      </c>
      <c r="G5" s="28">
        <f t="shared" ref="G5:G56" si="1">E5*F5</f>
        <v>2100000</v>
      </c>
      <c r="L5" s="14"/>
    </row>
    <row r="6" spans="1:12" ht="20.25" x14ac:dyDescent="0.3">
      <c r="A6" s="6" t="s">
        <v>62</v>
      </c>
      <c r="B6" s="1">
        <v>49</v>
      </c>
      <c r="C6" s="21"/>
      <c r="D6" s="12"/>
      <c r="E6" s="39">
        <f t="shared" ref="E6:E7" si="2">B6+C6-D6</f>
        <v>49</v>
      </c>
      <c r="F6" s="25">
        <v>20000</v>
      </c>
      <c r="G6" s="28">
        <f t="shared" ref="G6:G7" si="3">E6*F6</f>
        <v>980000</v>
      </c>
      <c r="L6" s="14"/>
    </row>
    <row r="7" spans="1:12" ht="20.25" x14ac:dyDescent="0.3">
      <c r="A7" s="6" t="s">
        <v>63</v>
      </c>
      <c r="B7" s="1">
        <v>52</v>
      </c>
      <c r="C7" s="21">
        <v>50</v>
      </c>
      <c r="D7" s="12"/>
      <c r="E7" s="39">
        <f t="shared" si="2"/>
        <v>102</v>
      </c>
      <c r="F7" s="25">
        <v>15000</v>
      </c>
      <c r="G7" s="28">
        <f t="shared" si="3"/>
        <v>1530000</v>
      </c>
      <c r="L7" s="14"/>
    </row>
    <row r="8" spans="1:12" ht="20.25" x14ac:dyDescent="0.3">
      <c r="A8" s="6" t="s">
        <v>4</v>
      </c>
      <c r="B8" s="1">
        <v>1</v>
      </c>
      <c r="C8" s="21">
        <v>4</v>
      </c>
      <c r="D8" s="12"/>
      <c r="E8" s="39">
        <f t="shared" si="0"/>
        <v>5</v>
      </c>
      <c r="F8" s="25">
        <v>15000</v>
      </c>
      <c r="G8" s="28">
        <f t="shared" si="1"/>
        <v>75000</v>
      </c>
    </row>
    <row r="9" spans="1:12" ht="20.25" x14ac:dyDescent="0.3">
      <c r="A9" s="6" t="s">
        <v>5</v>
      </c>
      <c r="B9" s="1">
        <v>123</v>
      </c>
      <c r="C9" s="21">
        <v>227</v>
      </c>
      <c r="D9" s="12"/>
      <c r="E9" s="39">
        <f t="shared" si="0"/>
        <v>350</v>
      </c>
      <c r="F9" s="25">
        <v>40000</v>
      </c>
      <c r="G9" s="28">
        <f t="shared" si="1"/>
        <v>14000000</v>
      </c>
    </row>
    <row r="10" spans="1:12" ht="20.25" x14ac:dyDescent="0.3">
      <c r="A10" s="6" t="s">
        <v>6</v>
      </c>
      <c r="B10" s="1">
        <v>50</v>
      </c>
      <c r="C10" s="21">
        <v>47</v>
      </c>
      <c r="D10" s="12"/>
      <c r="E10" s="39">
        <f t="shared" si="0"/>
        <v>97</v>
      </c>
      <c r="F10" s="25">
        <v>50000</v>
      </c>
      <c r="G10" s="28">
        <f t="shared" si="1"/>
        <v>4850000</v>
      </c>
    </row>
    <row r="11" spans="1:12" ht="20.25" x14ac:dyDescent="0.3">
      <c r="A11" s="6" t="s">
        <v>7</v>
      </c>
      <c r="B11" s="1">
        <v>181</v>
      </c>
      <c r="C11" s="21">
        <v>113</v>
      </c>
      <c r="D11" s="12"/>
      <c r="E11" s="39">
        <f t="shared" si="0"/>
        <v>294</v>
      </c>
      <c r="F11" s="25">
        <v>60000</v>
      </c>
      <c r="G11" s="28">
        <f t="shared" si="1"/>
        <v>17640000</v>
      </c>
    </row>
    <row r="12" spans="1:12" ht="20.25" x14ac:dyDescent="0.3">
      <c r="A12" s="6" t="s">
        <v>8</v>
      </c>
      <c r="B12" s="1">
        <v>28</v>
      </c>
      <c r="C12" s="21">
        <v>4</v>
      </c>
      <c r="D12" s="12"/>
      <c r="E12" s="39">
        <f t="shared" si="0"/>
        <v>32</v>
      </c>
      <c r="F12" s="25">
        <v>90000</v>
      </c>
      <c r="G12" s="28">
        <f t="shared" si="1"/>
        <v>2880000</v>
      </c>
    </row>
    <row r="13" spans="1:12" ht="20.25" x14ac:dyDescent="0.3">
      <c r="A13" s="7" t="s">
        <v>64</v>
      </c>
      <c r="B13" s="1">
        <v>6</v>
      </c>
      <c r="C13" s="21">
        <v>54</v>
      </c>
      <c r="D13" s="38">
        <v>8</v>
      </c>
      <c r="E13" s="39">
        <f t="shared" si="0"/>
        <v>52</v>
      </c>
      <c r="F13" s="25">
        <v>40000</v>
      </c>
      <c r="G13" s="28">
        <f t="shared" si="1"/>
        <v>2080000</v>
      </c>
    </row>
    <row r="14" spans="1:12" ht="20.25" x14ac:dyDescent="0.3">
      <c r="A14" s="7" t="s">
        <v>54</v>
      </c>
      <c r="B14" s="1">
        <v>19</v>
      </c>
      <c r="C14" s="21">
        <v>72</v>
      </c>
      <c r="D14" s="38">
        <v>11</v>
      </c>
      <c r="E14" s="39">
        <f t="shared" si="0"/>
        <v>80</v>
      </c>
      <c r="F14" s="25">
        <v>10000</v>
      </c>
      <c r="G14" s="28">
        <f t="shared" si="1"/>
        <v>800000</v>
      </c>
    </row>
    <row r="15" spans="1:12" ht="20.25" x14ac:dyDescent="0.3">
      <c r="A15" s="7" t="s">
        <v>9</v>
      </c>
      <c r="B15" s="1">
        <v>8</v>
      </c>
      <c r="C15" s="21">
        <v>12</v>
      </c>
      <c r="D15" s="12"/>
      <c r="E15" s="39">
        <f t="shared" si="0"/>
        <v>20</v>
      </c>
      <c r="F15" s="25">
        <v>60000</v>
      </c>
      <c r="G15" s="28">
        <f t="shared" si="1"/>
        <v>1200000</v>
      </c>
    </row>
    <row r="16" spans="1:12" ht="20.25" x14ac:dyDescent="0.3">
      <c r="A16" s="6" t="s">
        <v>21</v>
      </c>
      <c r="B16" s="1">
        <v>6</v>
      </c>
      <c r="C16" s="21">
        <v>7</v>
      </c>
      <c r="D16" s="12"/>
      <c r="E16" s="39">
        <f t="shared" si="0"/>
        <v>13</v>
      </c>
      <c r="F16" s="25">
        <v>35000</v>
      </c>
      <c r="G16" s="28">
        <f t="shared" si="1"/>
        <v>455000</v>
      </c>
    </row>
    <row r="17" spans="1:8" ht="20.25" x14ac:dyDescent="0.3">
      <c r="A17" s="6" t="s">
        <v>10</v>
      </c>
      <c r="B17" s="1">
        <v>4</v>
      </c>
      <c r="C17" s="21">
        <v>5</v>
      </c>
      <c r="D17" s="12"/>
      <c r="E17" s="39">
        <f t="shared" si="0"/>
        <v>9</v>
      </c>
      <c r="F17" s="25">
        <v>40000</v>
      </c>
      <c r="G17" s="28">
        <f t="shared" si="1"/>
        <v>360000</v>
      </c>
    </row>
    <row r="18" spans="1:8" ht="20.25" x14ac:dyDescent="0.3">
      <c r="A18" s="6" t="s">
        <v>11</v>
      </c>
      <c r="B18" s="1">
        <v>10</v>
      </c>
      <c r="C18" s="21">
        <v>11</v>
      </c>
      <c r="D18" s="12"/>
      <c r="E18" s="39">
        <f t="shared" si="0"/>
        <v>21</v>
      </c>
      <c r="F18" s="25">
        <v>45000</v>
      </c>
      <c r="G18" s="28">
        <f t="shared" si="1"/>
        <v>945000</v>
      </c>
    </row>
    <row r="19" spans="1:8" ht="20.25" x14ac:dyDescent="0.3">
      <c r="A19" s="6" t="s">
        <v>12</v>
      </c>
      <c r="B19" s="1">
        <v>6</v>
      </c>
      <c r="C19" s="21">
        <v>27</v>
      </c>
      <c r="D19" s="12"/>
      <c r="E19" s="39">
        <f t="shared" si="0"/>
        <v>33</v>
      </c>
      <c r="F19" s="25">
        <v>65000</v>
      </c>
      <c r="G19" s="28">
        <f t="shared" si="1"/>
        <v>2145000</v>
      </c>
    </row>
    <row r="20" spans="1:8" ht="20.25" x14ac:dyDescent="0.3">
      <c r="A20" s="6" t="s">
        <v>13</v>
      </c>
      <c r="B20" s="1">
        <v>75</v>
      </c>
      <c r="C20" s="21">
        <v>44</v>
      </c>
      <c r="D20" s="12"/>
      <c r="E20" s="39">
        <f t="shared" si="0"/>
        <v>119</v>
      </c>
      <c r="F20" s="25">
        <v>95000</v>
      </c>
      <c r="G20" s="28">
        <f t="shared" si="1"/>
        <v>11305000</v>
      </c>
      <c r="H20" t="s">
        <v>59</v>
      </c>
    </row>
    <row r="21" spans="1:8" ht="20.25" x14ac:dyDescent="0.3">
      <c r="A21" s="6" t="s">
        <v>26</v>
      </c>
      <c r="B21" s="1">
        <v>231</v>
      </c>
      <c r="C21" s="21">
        <v>1500</v>
      </c>
      <c r="D21" s="12"/>
      <c r="E21" s="39">
        <f t="shared" si="0"/>
        <v>1731</v>
      </c>
      <c r="F21" s="25">
        <v>1300</v>
      </c>
      <c r="G21" s="28">
        <f t="shared" si="1"/>
        <v>2250300</v>
      </c>
    </row>
    <row r="22" spans="1:8" ht="20.25" x14ac:dyDescent="0.3">
      <c r="A22" s="8" t="s">
        <v>47</v>
      </c>
      <c r="B22" s="3">
        <v>12</v>
      </c>
      <c r="C22" s="22">
        <v>14</v>
      </c>
      <c r="D22" s="13"/>
      <c r="E22" s="39">
        <f>B22+C22-D22</f>
        <v>26</v>
      </c>
      <c r="F22" s="25">
        <v>25000</v>
      </c>
      <c r="G22" s="28">
        <f>E22*F22</f>
        <v>650000</v>
      </c>
    </row>
    <row r="23" spans="1:8" ht="20.25" x14ac:dyDescent="0.3">
      <c r="A23" s="6" t="s">
        <v>15</v>
      </c>
      <c r="B23" s="1">
        <v>96</v>
      </c>
      <c r="C23" s="21">
        <v>15</v>
      </c>
      <c r="D23" s="12"/>
      <c r="E23" s="39">
        <f t="shared" si="0"/>
        <v>111</v>
      </c>
      <c r="F23" s="25">
        <v>12000</v>
      </c>
      <c r="G23" s="28">
        <f t="shared" si="1"/>
        <v>1332000</v>
      </c>
    </row>
    <row r="24" spans="1:8" ht="20.25" x14ac:dyDescent="0.3">
      <c r="A24" s="6" t="s">
        <v>16</v>
      </c>
      <c r="B24" s="1">
        <v>69</v>
      </c>
      <c r="C24" s="21">
        <v>30</v>
      </c>
      <c r="D24" s="12"/>
      <c r="E24" s="39">
        <f t="shared" si="0"/>
        <v>99</v>
      </c>
      <c r="F24" s="25">
        <v>6000</v>
      </c>
      <c r="G24" s="28">
        <f t="shared" si="1"/>
        <v>594000</v>
      </c>
    </row>
    <row r="25" spans="1:8" ht="20.25" x14ac:dyDescent="0.3">
      <c r="A25" s="6" t="s">
        <v>28</v>
      </c>
      <c r="B25" s="1">
        <v>5</v>
      </c>
      <c r="C25" s="21">
        <v>360</v>
      </c>
      <c r="D25" s="38">
        <v>156</v>
      </c>
      <c r="E25" s="39">
        <f t="shared" si="0"/>
        <v>209</v>
      </c>
      <c r="F25" s="25">
        <v>100000</v>
      </c>
      <c r="G25" s="28">
        <f t="shared" si="1"/>
        <v>20900000</v>
      </c>
    </row>
    <row r="26" spans="1:8" ht="20.25" x14ac:dyDescent="0.3">
      <c r="A26" s="6" t="s">
        <v>29</v>
      </c>
      <c r="B26" s="1">
        <v>2</v>
      </c>
      <c r="C26" s="15"/>
      <c r="D26" s="17"/>
      <c r="E26" s="39">
        <f t="shared" si="0"/>
        <v>2</v>
      </c>
      <c r="F26" s="25">
        <v>95000</v>
      </c>
      <c r="G26" s="28">
        <f t="shared" si="1"/>
        <v>190000</v>
      </c>
    </row>
    <row r="27" spans="1:8" ht="20.25" x14ac:dyDescent="0.3">
      <c r="A27" s="6" t="s">
        <v>30</v>
      </c>
      <c r="B27" s="1">
        <v>3</v>
      </c>
      <c r="C27" s="21">
        <v>5</v>
      </c>
      <c r="D27" s="17"/>
      <c r="E27" s="39">
        <f t="shared" si="0"/>
        <v>8</v>
      </c>
      <c r="F27" s="25">
        <v>90000</v>
      </c>
      <c r="G27" s="28">
        <f t="shared" si="1"/>
        <v>720000</v>
      </c>
    </row>
    <row r="28" spans="1:8" ht="20.25" x14ac:dyDescent="0.3">
      <c r="A28" s="6" t="s">
        <v>31</v>
      </c>
      <c r="B28" s="1"/>
      <c r="C28" s="21">
        <v>18</v>
      </c>
      <c r="D28" s="17"/>
      <c r="E28" s="39">
        <f t="shared" si="0"/>
        <v>18</v>
      </c>
      <c r="F28" s="25">
        <v>85000</v>
      </c>
      <c r="G28" s="28">
        <f t="shared" si="1"/>
        <v>1530000</v>
      </c>
    </row>
    <row r="29" spans="1:8" ht="20.25" x14ac:dyDescent="0.3">
      <c r="A29" s="6" t="s">
        <v>32</v>
      </c>
      <c r="B29" s="1">
        <v>8</v>
      </c>
      <c r="C29" s="21">
        <v>50</v>
      </c>
      <c r="D29" s="38">
        <v>3</v>
      </c>
      <c r="E29" s="39">
        <f t="shared" si="0"/>
        <v>55</v>
      </c>
      <c r="F29" s="25">
        <v>80000</v>
      </c>
      <c r="G29" s="28">
        <f t="shared" si="1"/>
        <v>4400000</v>
      </c>
    </row>
    <row r="30" spans="1:8" ht="20.25" x14ac:dyDescent="0.3">
      <c r="A30" s="6" t="s">
        <v>33</v>
      </c>
      <c r="B30" s="1">
        <v>30</v>
      </c>
      <c r="C30" s="15"/>
      <c r="D30" s="17"/>
      <c r="E30" s="39">
        <f t="shared" si="0"/>
        <v>30</v>
      </c>
      <c r="F30" s="25">
        <v>75000</v>
      </c>
      <c r="G30" s="28">
        <f t="shared" si="1"/>
        <v>2250000</v>
      </c>
    </row>
    <row r="31" spans="1:8" ht="20.25" x14ac:dyDescent="0.3">
      <c r="A31" s="6" t="s">
        <v>34</v>
      </c>
      <c r="B31" s="1"/>
      <c r="C31" s="21">
        <v>34</v>
      </c>
      <c r="D31" s="18"/>
      <c r="E31" s="39">
        <f t="shared" si="0"/>
        <v>34</v>
      </c>
      <c r="F31" s="25">
        <v>70000</v>
      </c>
      <c r="G31" s="28">
        <f t="shared" si="1"/>
        <v>2380000</v>
      </c>
    </row>
    <row r="32" spans="1:8" ht="20.25" x14ac:dyDescent="0.3">
      <c r="A32" s="6" t="s">
        <v>35</v>
      </c>
      <c r="B32" s="1">
        <v>37</v>
      </c>
      <c r="C32" s="15"/>
      <c r="D32" s="17"/>
      <c r="E32" s="39">
        <f t="shared" si="0"/>
        <v>37</v>
      </c>
      <c r="F32" s="25">
        <v>67500</v>
      </c>
      <c r="G32" s="28">
        <f t="shared" si="1"/>
        <v>2497500</v>
      </c>
    </row>
    <row r="33" spans="1:7" ht="20.25" x14ac:dyDescent="0.3">
      <c r="A33" s="6" t="s">
        <v>36</v>
      </c>
      <c r="B33" s="1">
        <v>40</v>
      </c>
      <c r="C33" s="21">
        <v>12</v>
      </c>
      <c r="D33" s="17"/>
      <c r="E33" s="39">
        <f t="shared" si="0"/>
        <v>52</v>
      </c>
      <c r="F33" s="25">
        <v>65000</v>
      </c>
      <c r="G33" s="28">
        <f t="shared" si="1"/>
        <v>3380000</v>
      </c>
    </row>
    <row r="34" spans="1:7" ht="20.25" x14ac:dyDescent="0.3">
      <c r="A34" s="6" t="s">
        <v>37</v>
      </c>
      <c r="B34" s="1">
        <v>1</v>
      </c>
      <c r="C34" s="21">
        <v>31</v>
      </c>
      <c r="D34" s="38">
        <v>5</v>
      </c>
      <c r="E34" s="39">
        <f t="shared" si="0"/>
        <v>27</v>
      </c>
      <c r="F34" s="25">
        <v>60000</v>
      </c>
      <c r="G34" s="28">
        <f t="shared" si="1"/>
        <v>1620000</v>
      </c>
    </row>
    <row r="35" spans="1:7" ht="20.25" x14ac:dyDescent="0.3">
      <c r="A35" s="6" t="s">
        <v>38</v>
      </c>
      <c r="B35" s="1">
        <v>23</v>
      </c>
      <c r="C35" s="21">
        <v>45</v>
      </c>
      <c r="D35" s="17"/>
      <c r="E35" s="39">
        <f t="shared" si="0"/>
        <v>68</v>
      </c>
      <c r="F35" s="25">
        <v>55000</v>
      </c>
      <c r="G35" s="28">
        <f t="shared" si="1"/>
        <v>3740000</v>
      </c>
    </row>
    <row r="36" spans="1:7" ht="20.25" x14ac:dyDescent="0.3">
      <c r="A36" s="6" t="s">
        <v>39</v>
      </c>
      <c r="B36" s="1">
        <v>12</v>
      </c>
      <c r="C36" s="15"/>
      <c r="D36" s="17"/>
      <c r="E36" s="39">
        <f t="shared" si="0"/>
        <v>12</v>
      </c>
      <c r="F36" s="25">
        <v>52500</v>
      </c>
      <c r="G36" s="28">
        <f t="shared" si="1"/>
        <v>630000</v>
      </c>
    </row>
    <row r="37" spans="1:7" ht="20.25" x14ac:dyDescent="0.3">
      <c r="A37" s="6" t="s">
        <v>40</v>
      </c>
      <c r="B37" s="1">
        <v>3</v>
      </c>
      <c r="C37" s="21">
        <v>5</v>
      </c>
      <c r="D37" s="17"/>
      <c r="E37" s="39">
        <f t="shared" si="0"/>
        <v>8</v>
      </c>
      <c r="F37" s="25">
        <v>50000</v>
      </c>
      <c r="G37" s="28">
        <f t="shared" si="1"/>
        <v>400000</v>
      </c>
    </row>
    <row r="38" spans="1:7" ht="20.25" x14ac:dyDescent="0.3">
      <c r="A38" s="6" t="s">
        <v>41</v>
      </c>
      <c r="B38" s="1">
        <v>13</v>
      </c>
      <c r="C38" s="21">
        <v>21</v>
      </c>
      <c r="D38" s="17"/>
      <c r="E38" s="39">
        <f t="shared" si="0"/>
        <v>34</v>
      </c>
      <c r="F38" s="25">
        <v>25000</v>
      </c>
      <c r="G38" s="28">
        <f t="shared" si="1"/>
        <v>850000</v>
      </c>
    </row>
    <row r="39" spans="1:7" ht="20.25" x14ac:dyDescent="0.3">
      <c r="A39" s="6" t="s">
        <v>27</v>
      </c>
      <c r="B39" s="1">
        <v>3</v>
      </c>
      <c r="C39" s="16">
        <v>5</v>
      </c>
      <c r="D39" s="17"/>
      <c r="E39" s="39">
        <f t="shared" si="0"/>
        <v>8</v>
      </c>
      <c r="F39" s="25">
        <v>30000</v>
      </c>
      <c r="G39" s="28">
        <f t="shared" si="1"/>
        <v>240000</v>
      </c>
    </row>
    <row r="40" spans="1:7" ht="20.25" x14ac:dyDescent="0.3">
      <c r="A40" s="6" t="s">
        <v>22</v>
      </c>
      <c r="B40" s="1">
        <v>4</v>
      </c>
      <c r="C40" s="21">
        <v>30</v>
      </c>
      <c r="D40" s="38">
        <v>10</v>
      </c>
      <c r="E40" s="39">
        <f t="shared" si="0"/>
        <v>24</v>
      </c>
      <c r="F40" s="25">
        <v>20000</v>
      </c>
      <c r="G40" s="28">
        <f t="shared" si="1"/>
        <v>480000</v>
      </c>
    </row>
    <row r="41" spans="1:7" ht="20.25" x14ac:dyDescent="0.3">
      <c r="A41" s="6" t="s">
        <v>44</v>
      </c>
      <c r="B41" s="1">
        <v>4</v>
      </c>
      <c r="C41" s="21">
        <v>6</v>
      </c>
      <c r="D41" s="17"/>
      <c r="E41" s="39">
        <f t="shared" si="0"/>
        <v>10</v>
      </c>
      <c r="F41" s="25">
        <v>15000</v>
      </c>
      <c r="G41" s="28">
        <f t="shared" si="1"/>
        <v>150000</v>
      </c>
    </row>
    <row r="42" spans="1:7" ht="20.25" x14ac:dyDescent="0.3">
      <c r="A42" s="6" t="s">
        <v>53</v>
      </c>
      <c r="B42" s="1">
        <v>6</v>
      </c>
      <c r="C42" s="21"/>
      <c r="D42" s="12"/>
      <c r="E42" s="39">
        <f t="shared" si="0"/>
        <v>6</v>
      </c>
      <c r="F42" s="25">
        <v>10000</v>
      </c>
      <c r="G42" s="28">
        <f t="shared" si="1"/>
        <v>60000</v>
      </c>
    </row>
    <row r="43" spans="1:7" ht="20.25" x14ac:dyDescent="0.3">
      <c r="A43" s="6" t="s">
        <v>43</v>
      </c>
      <c r="B43" s="1">
        <v>9</v>
      </c>
      <c r="C43" s="16"/>
      <c r="D43" s="12"/>
      <c r="E43" s="39">
        <f t="shared" si="0"/>
        <v>9</v>
      </c>
      <c r="F43" s="25">
        <v>30000</v>
      </c>
      <c r="G43" s="28">
        <f t="shared" si="1"/>
        <v>270000</v>
      </c>
    </row>
    <row r="44" spans="1:7" ht="20.25" x14ac:dyDescent="0.3">
      <c r="A44" s="6" t="s">
        <v>55</v>
      </c>
      <c r="B44" s="1">
        <v>40</v>
      </c>
      <c r="C44" s="16"/>
      <c r="D44" s="12"/>
      <c r="E44" s="39">
        <f t="shared" ref="E44" si="4">B44+C44-D44</f>
        <v>40</v>
      </c>
      <c r="F44" s="25">
        <v>20000</v>
      </c>
      <c r="G44" s="28">
        <f t="shared" si="1"/>
        <v>800000</v>
      </c>
    </row>
    <row r="45" spans="1:7" ht="20.25" x14ac:dyDescent="0.3">
      <c r="A45" s="6" t="s">
        <v>14</v>
      </c>
      <c r="B45" s="1"/>
      <c r="C45" s="24">
        <v>4</v>
      </c>
      <c r="D45" s="12"/>
      <c r="E45" s="39">
        <f t="shared" ref="E45:E56" si="5">B45+C45-D45</f>
        <v>4</v>
      </c>
      <c r="F45" s="25">
        <v>90000</v>
      </c>
      <c r="G45" s="28">
        <f t="shared" si="1"/>
        <v>360000</v>
      </c>
    </row>
    <row r="46" spans="1:7" ht="20.25" x14ac:dyDescent="0.3">
      <c r="A46" s="6" t="s">
        <v>45</v>
      </c>
      <c r="B46" s="1">
        <v>7</v>
      </c>
      <c r="C46" s="15"/>
      <c r="D46" s="12"/>
      <c r="E46" s="39">
        <f t="shared" si="5"/>
        <v>7</v>
      </c>
      <c r="F46" s="25">
        <v>40000</v>
      </c>
      <c r="G46" s="28">
        <f t="shared" si="1"/>
        <v>280000</v>
      </c>
    </row>
    <row r="47" spans="1:7" ht="20.25" x14ac:dyDescent="0.3">
      <c r="A47" s="6" t="s">
        <v>46</v>
      </c>
      <c r="B47" s="1">
        <v>2</v>
      </c>
      <c r="C47" s="21">
        <v>3</v>
      </c>
      <c r="D47" s="12"/>
      <c r="E47" s="39">
        <f t="shared" si="5"/>
        <v>5</v>
      </c>
      <c r="F47" s="25">
        <v>45000</v>
      </c>
      <c r="G47" s="28">
        <f t="shared" si="1"/>
        <v>225000</v>
      </c>
    </row>
    <row r="48" spans="1:7" ht="20.25" x14ac:dyDescent="0.3">
      <c r="A48" s="8" t="s">
        <v>48</v>
      </c>
      <c r="B48" s="3">
        <v>1</v>
      </c>
      <c r="C48" s="19"/>
      <c r="D48" s="13"/>
      <c r="E48" s="39">
        <f t="shared" si="5"/>
        <v>1</v>
      </c>
      <c r="F48" s="25">
        <v>55000</v>
      </c>
      <c r="G48" s="28">
        <f t="shared" si="1"/>
        <v>55000</v>
      </c>
    </row>
    <row r="49" spans="1:7" ht="20.25" x14ac:dyDescent="0.3">
      <c r="A49" s="8" t="s">
        <v>49</v>
      </c>
      <c r="B49" s="3">
        <v>60</v>
      </c>
      <c r="C49" s="19"/>
      <c r="D49" s="13"/>
      <c r="E49" s="39">
        <f t="shared" si="5"/>
        <v>60</v>
      </c>
      <c r="F49" s="25">
        <v>40000</v>
      </c>
      <c r="G49" s="28">
        <f t="shared" si="1"/>
        <v>2400000</v>
      </c>
    </row>
    <row r="50" spans="1:7" ht="20.25" x14ac:dyDescent="0.3">
      <c r="A50" s="6" t="s">
        <v>17</v>
      </c>
      <c r="B50" s="1">
        <v>8</v>
      </c>
      <c r="C50" s="15"/>
      <c r="D50" s="12"/>
      <c r="E50" s="39">
        <f t="shared" si="5"/>
        <v>8</v>
      </c>
      <c r="F50" s="25">
        <v>25000</v>
      </c>
      <c r="G50" s="28">
        <f t="shared" si="1"/>
        <v>200000</v>
      </c>
    </row>
    <row r="51" spans="1:7" ht="20.25" x14ac:dyDescent="0.3">
      <c r="A51" s="6" t="s">
        <v>50</v>
      </c>
      <c r="B51" s="1">
        <v>1</v>
      </c>
      <c r="C51" s="16"/>
      <c r="D51" s="12"/>
      <c r="E51" s="39">
        <f t="shared" si="5"/>
        <v>1</v>
      </c>
      <c r="F51" s="25">
        <v>500000</v>
      </c>
      <c r="G51" s="28">
        <f t="shared" si="1"/>
        <v>500000</v>
      </c>
    </row>
    <row r="52" spans="1:7" ht="20.25" x14ac:dyDescent="0.3">
      <c r="A52" s="6" t="s">
        <v>25</v>
      </c>
      <c r="B52" s="1"/>
      <c r="C52" s="24">
        <v>2</v>
      </c>
      <c r="D52" s="12"/>
      <c r="E52" s="39">
        <f t="shared" si="5"/>
        <v>2</v>
      </c>
      <c r="F52" s="25">
        <v>5000</v>
      </c>
      <c r="G52" s="28">
        <f t="shared" si="1"/>
        <v>10000</v>
      </c>
    </row>
    <row r="53" spans="1:7" ht="20.25" x14ac:dyDescent="0.3">
      <c r="A53" s="6" t="s">
        <v>23</v>
      </c>
      <c r="B53" s="1"/>
      <c r="C53" s="24">
        <v>4</v>
      </c>
      <c r="D53" s="12"/>
      <c r="E53" s="39">
        <f t="shared" si="5"/>
        <v>4</v>
      </c>
      <c r="F53" s="25">
        <v>10000</v>
      </c>
      <c r="G53" s="28">
        <f t="shared" si="1"/>
        <v>40000</v>
      </c>
    </row>
    <row r="54" spans="1:7" ht="20.25" x14ac:dyDescent="0.3">
      <c r="A54" s="6" t="s">
        <v>42</v>
      </c>
      <c r="B54" s="1">
        <v>1</v>
      </c>
      <c r="C54" s="15"/>
      <c r="D54" s="12"/>
      <c r="E54" s="39">
        <f t="shared" si="5"/>
        <v>1</v>
      </c>
      <c r="F54" s="25">
        <v>3000000</v>
      </c>
      <c r="G54" s="28">
        <f t="shared" si="1"/>
        <v>3000000</v>
      </c>
    </row>
    <row r="55" spans="1:7" ht="20.25" x14ac:dyDescent="0.3">
      <c r="A55" s="6" t="s">
        <v>18</v>
      </c>
      <c r="B55" s="1">
        <v>4</v>
      </c>
      <c r="C55" s="24">
        <v>2</v>
      </c>
      <c r="D55" s="12"/>
      <c r="E55" s="39">
        <f t="shared" si="5"/>
        <v>6</v>
      </c>
      <c r="F55" s="25">
        <v>1750000</v>
      </c>
      <c r="G55" s="28">
        <f t="shared" si="1"/>
        <v>10500000</v>
      </c>
    </row>
    <row r="56" spans="1:7" ht="20.25" x14ac:dyDescent="0.3">
      <c r="A56" s="8" t="s">
        <v>24</v>
      </c>
      <c r="B56" s="1">
        <v>1</v>
      </c>
      <c r="C56" s="15"/>
      <c r="D56" s="12"/>
      <c r="E56" s="39">
        <f t="shared" si="5"/>
        <v>1</v>
      </c>
      <c r="F56" s="25">
        <v>70000</v>
      </c>
      <c r="G56" s="28">
        <f t="shared" si="1"/>
        <v>70000</v>
      </c>
    </row>
    <row r="57" spans="1:7" ht="20.25" x14ac:dyDescent="0.3">
      <c r="A57" s="8" t="s">
        <v>65</v>
      </c>
      <c r="B57" s="3">
        <v>41</v>
      </c>
      <c r="C57" s="19"/>
      <c r="D57" s="13"/>
      <c r="E57" s="39">
        <f t="shared" ref="E57" si="6">B57+C57-D57</f>
        <v>41</v>
      </c>
      <c r="F57" s="25">
        <v>20000</v>
      </c>
      <c r="G57" s="28">
        <f t="shared" ref="G57" si="7">E57*F57</f>
        <v>820000</v>
      </c>
    </row>
    <row r="58" spans="1:7" ht="20.25" x14ac:dyDescent="0.3">
      <c r="A58" s="8" t="s">
        <v>66</v>
      </c>
      <c r="B58" s="3">
        <v>3</v>
      </c>
      <c r="C58" s="19"/>
      <c r="D58" s="13"/>
      <c r="E58" s="39">
        <f t="shared" ref="E58:E59" si="8">B58+C58-D58</f>
        <v>3</v>
      </c>
      <c r="F58" s="25">
        <v>25000</v>
      </c>
      <c r="G58" s="28">
        <f t="shared" ref="G58:G59" si="9">E58*F58</f>
        <v>75000</v>
      </c>
    </row>
    <row r="59" spans="1:7" ht="16.5" x14ac:dyDescent="0.3">
      <c r="A59" s="32" t="s">
        <v>67</v>
      </c>
      <c r="B59" s="33">
        <v>123</v>
      </c>
      <c r="E59" s="40">
        <f t="shared" si="8"/>
        <v>123</v>
      </c>
      <c r="F59" s="34">
        <v>6000</v>
      </c>
      <c r="G59" s="35">
        <f t="shared" si="9"/>
        <v>738000</v>
      </c>
    </row>
    <row r="60" spans="1:7" ht="20.25" thickBot="1" x14ac:dyDescent="0.45">
      <c r="A60" s="42" t="s">
        <v>68</v>
      </c>
      <c r="B60" s="43"/>
      <c r="C60" s="43"/>
      <c r="D60" s="44"/>
      <c r="E60" s="45"/>
      <c r="F60" s="46"/>
      <c r="G60" s="41">
        <f>SUM(G4:G59)</f>
        <v>152131800</v>
      </c>
    </row>
    <row r="61" spans="1:7" ht="18.75" x14ac:dyDescent="0.4">
      <c r="A61" s="47" t="s">
        <v>69</v>
      </c>
      <c r="B61" s="47"/>
      <c r="C61" s="47"/>
      <c r="D61" s="47"/>
      <c r="E61" s="47"/>
      <c r="F61" s="47"/>
      <c r="G61" s="48">
        <v>30000000</v>
      </c>
    </row>
    <row r="62" spans="1:7" ht="18.75" x14ac:dyDescent="0.4">
      <c r="A62" s="49" t="s">
        <v>70</v>
      </c>
      <c r="E62" s="2"/>
      <c r="F62" s="36" t="s">
        <v>58</v>
      </c>
      <c r="G62" s="37">
        <f>G60+G61</f>
        <v>182131800</v>
      </c>
    </row>
    <row r="63" spans="1:7" x14ac:dyDescent="0.25">
      <c r="B63" s="9"/>
      <c r="C63" s="9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</sheetData>
  <mergeCells count="3">
    <mergeCell ref="E2:E3"/>
    <mergeCell ref="F2:F3"/>
    <mergeCell ref="A1:G1"/>
  </mergeCells>
  <phoneticPr fontId="10" type="noConversion"/>
  <pageMargins left="0.70866141732283472" right="0.70866141732283472" top="0.74803149606299213" bottom="0.74803149606299213" header="0.31496062992125984" footer="0.31496062992125984"/>
  <pageSetup scale="38" orientation="landscape" r:id="rId1"/>
  <colBreaks count="2" manualBreakCount="2">
    <brk id="2" max="1048575" man="1"/>
    <brk id="7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2026-02-24T14:06:09Z</cp:lastPrinted>
  <dcterms:created xsi:type="dcterms:W3CDTF">2022-05-26T14:43:04Z</dcterms:created>
  <dcterms:modified xsi:type="dcterms:W3CDTF">2026-08-02T15:02:26Z</dcterms:modified>
</cp:coreProperties>
</file>
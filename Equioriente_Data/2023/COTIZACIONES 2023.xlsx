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EQUIORIENTE\Dropbox\Mi PC (EQUIORIENTE_PRIMER_PISO)\Desktop\2023\"/>
    </mc:Choice>
  </mc:AlternateContent>
  <xr:revisionPtr revIDLastSave="0" documentId="13_ncr:1_{6A758ED1-5746-4395-B816-A6FAEA9C727C}" xr6:coauthVersionLast="47" xr6:coauthVersionMax="47" xr10:uidLastSave="{00000000-0000-0000-0000-000000000000}"/>
  <bookViews>
    <workbookView xWindow="-120" yWindow="-120" windowWidth="20730" windowHeight="11175" firstSheet="5" activeTab="5" xr2:uid="{7730D1D0-5327-4369-80D7-CDB81B26FD10}"/>
  </bookViews>
  <sheets>
    <sheet name="JHON JAIRO RAMOS" sheetId="1" r:id="rId1"/>
    <sheet name="JOSE BARAJAS" sheetId="2" r:id="rId2"/>
    <sheet name="GUSTAVO ROZO" sheetId="19" r:id="rId3"/>
    <sheet name="MAYERLY JAIMES" sheetId="20" r:id="rId4"/>
    <sheet name="DIEGO GUTIERREZ" sheetId="9" r:id="rId5"/>
    <sheet name="ROSA EMMA SANCHEZ" sheetId="29" r:id="rId6"/>
    <sheet name="DIEGO MIRADORES" sheetId="30" r:id="rId7"/>
    <sheet name="MAXIMINO ROJAS" sheetId="31" r:id="rId8"/>
    <sheet name="FUNDACION SHADDAY" sheetId="10" r:id="rId9"/>
    <sheet name="LEONARDO AGUILAR" sheetId="8" r:id="rId10"/>
    <sheet name="EMA SANCHEZ" sheetId="25" r:id="rId11"/>
    <sheet name="EUGENIO ESTEBAN VARGAS" sheetId="26" r:id="rId12"/>
    <sheet name="JUAN MATANZA " sheetId="12" r:id="rId13"/>
    <sheet name="MARTA MIRADORES" sheetId="5" r:id="rId14"/>
    <sheet name="MIRAMANGA FIDEL" sheetId="11" r:id="rId15"/>
    <sheet name="JOSE CUY ALVAREZ" sheetId="6" r:id="rId16"/>
    <sheet name="ALBERTO HERRERA" sheetId="3" r:id="rId17"/>
    <sheet name="GP CONSTRUCTORA" sheetId="15" r:id="rId18"/>
    <sheet name="LEONARDO ARIAS" sheetId="16" r:id="rId19"/>
    <sheet name="EFRAIN ACOSTA" sheetId="17" r:id="rId20"/>
    <sheet name="TUA" sheetId="4" r:id="rId21"/>
    <sheet name="JUAN CARLOS GALVIZ" sheetId="13" r:id="rId22"/>
    <sheet name="MAURICIO BOSQUE BAJO GONZALEZ" sheetId="21" r:id="rId23"/>
    <sheet name="DIEGO JAIMES" sheetId="27" r:id="rId24"/>
    <sheet name="HERVIN VARGAS" sheetId="22" r:id="rId25"/>
    <sheet name="AURA" sheetId="24" r:id="rId26"/>
    <sheet name="DECORACIONES SANTANDER" sheetId="34" r:id="rId27"/>
    <sheet name="SAUL DUARTE" sheetId="35" r:id="rId28"/>
    <sheet name="ALBEIRO LOPEZ" sheetId="32" r:id="rId29"/>
    <sheet name="MARIO ACOSTA" sheetId="33" r:id="rId30"/>
    <sheet name="ANTONIO GUTIERREZ" sheetId="14" r:id="rId31"/>
    <sheet name="RICARDO OSORIO" sheetId="18" r:id="rId3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35" l="1"/>
  <c r="F28" i="35" s="1"/>
  <c r="E29" i="35"/>
  <c r="E30" i="35"/>
  <c r="E31" i="35"/>
  <c r="H31" i="35"/>
  <c r="F31" i="35"/>
  <c r="H30" i="35"/>
  <c r="F30" i="35"/>
  <c r="H29" i="35"/>
  <c r="F29" i="35"/>
  <c r="H28" i="35"/>
  <c r="H27" i="35"/>
  <c r="E27" i="35"/>
  <c r="F27" i="35" s="1"/>
  <c r="H32" i="35" l="1"/>
  <c r="E33" i="35"/>
  <c r="E35" i="35" s="1"/>
  <c r="E32" i="35"/>
  <c r="E16" i="35" l="1"/>
  <c r="E11" i="35"/>
  <c r="F11" i="35" s="1"/>
  <c r="E7" i="35"/>
  <c r="F7" i="35" s="1"/>
  <c r="E15" i="35" l="1"/>
  <c r="E17" i="35" s="1"/>
  <c r="E10" i="35"/>
  <c r="F10" i="35" s="1"/>
  <c r="E9" i="35"/>
  <c r="F9" i="35" s="1"/>
  <c r="E8" i="35"/>
  <c r="F8" i="35" s="1"/>
  <c r="E6" i="35"/>
  <c r="F6" i="35" s="1"/>
  <c r="H8" i="34"/>
  <c r="E8" i="34"/>
  <c r="F8" i="34" s="1"/>
  <c r="H7" i="34"/>
  <c r="E7" i="34"/>
  <c r="F7" i="34" s="1"/>
  <c r="H6" i="34"/>
  <c r="E6" i="34"/>
  <c r="E31" i="32"/>
  <c r="F31" i="32" s="1"/>
  <c r="E30" i="32"/>
  <c r="F30" i="32" s="1"/>
  <c r="H31" i="32"/>
  <c r="H30" i="32"/>
  <c r="H29" i="32"/>
  <c r="E29" i="32"/>
  <c r="F29" i="32" s="1"/>
  <c r="H28" i="32"/>
  <c r="E28" i="32"/>
  <c r="F28" i="32" s="1"/>
  <c r="H27" i="32"/>
  <c r="E27" i="32"/>
  <c r="F27" i="32" s="1"/>
  <c r="F8" i="33"/>
  <c r="F9" i="33"/>
  <c r="E15" i="33" s="1"/>
  <c r="F11" i="33"/>
  <c r="E11" i="33"/>
  <c r="E10" i="33"/>
  <c r="F10" i="33" s="1"/>
  <c r="E9" i="33"/>
  <c r="E8" i="33"/>
  <c r="E7" i="33"/>
  <c r="E9" i="34" l="1"/>
  <c r="F6" i="34"/>
  <c r="H9" i="34"/>
  <c r="E10" i="34"/>
  <c r="E12" i="34" s="1"/>
  <c r="H32" i="32"/>
  <c r="E33" i="32"/>
  <c r="E35" i="32" s="1"/>
  <c r="E32" i="32"/>
  <c r="H7" i="32"/>
  <c r="H8" i="32"/>
  <c r="H9" i="32"/>
  <c r="H10" i="32"/>
  <c r="H11" i="32"/>
  <c r="E7" i="32"/>
  <c r="F7" i="32" s="1"/>
  <c r="E8" i="32"/>
  <c r="F8" i="32" s="1"/>
  <c r="E11" i="32"/>
  <c r="F11" i="32" s="1"/>
  <c r="E10" i="32"/>
  <c r="F10" i="32" s="1"/>
  <c r="E9" i="32"/>
  <c r="F9" i="32" s="1"/>
  <c r="H6" i="32"/>
  <c r="E6" i="32"/>
  <c r="H49" i="12"/>
  <c r="F49" i="12"/>
  <c r="E49" i="12"/>
  <c r="H48" i="12"/>
  <c r="E48" i="12"/>
  <c r="F48" i="12" s="1"/>
  <c r="H47" i="12"/>
  <c r="F47" i="12"/>
  <c r="E47" i="12"/>
  <c r="H46" i="12"/>
  <c r="E46" i="12"/>
  <c r="F46" i="12" s="1"/>
  <c r="H45" i="12"/>
  <c r="E45" i="12"/>
  <c r="E50" i="12" s="1"/>
  <c r="H29" i="12"/>
  <c r="E29" i="12"/>
  <c r="F29" i="12" s="1"/>
  <c r="H31" i="12"/>
  <c r="E31" i="12"/>
  <c r="F31" i="12" s="1"/>
  <c r="H30" i="12"/>
  <c r="E30" i="12"/>
  <c r="F30" i="12" s="1"/>
  <c r="H28" i="12"/>
  <c r="E28" i="12"/>
  <c r="F28" i="12" s="1"/>
  <c r="H27" i="12"/>
  <c r="E27" i="12"/>
  <c r="F27" i="12" s="1"/>
  <c r="E12" i="31"/>
  <c r="H10" i="31"/>
  <c r="E10" i="31"/>
  <c r="F10" i="31" s="1"/>
  <c r="H9" i="31"/>
  <c r="E9" i="31"/>
  <c r="F9" i="31" s="1"/>
  <c r="H8" i="31"/>
  <c r="E8" i="31"/>
  <c r="H7" i="31"/>
  <c r="F11" i="31" s="1"/>
  <c r="E7" i="31"/>
  <c r="F7" i="31" s="1"/>
  <c r="F6" i="30"/>
  <c r="F7" i="30"/>
  <c r="F8" i="30"/>
  <c r="F9" i="30"/>
  <c r="E6" i="30"/>
  <c r="E7" i="30"/>
  <c r="E8" i="30"/>
  <c r="E9" i="30"/>
  <c r="H9" i="30"/>
  <c r="H8" i="30"/>
  <c r="H7" i="30"/>
  <c r="H6" i="30"/>
  <c r="H5" i="30"/>
  <c r="G10" i="30" s="1"/>
  <c r="E5" i="30"/>
  <c r="E64" i="24"/>
  <c r="E62" i="24"/>
  <c r="D21" i="24"/>
  <c r="D22" i="24" s="1"/>
  <c r="H12" i="32" l="1"/>
  <c r="E12" i="32"/>
  <c r="F6" i="32"/>
  <c r="F45" i="12"/>
  <c r="E51" i="12" s="1"/>
  <c r="E53" i="12" s="1"/>
  <c r="H50" i="12"/>
  <c r="H32" i="12"/>
  <c r="E33" i="12"/>
  <c r="E35" i="12" s="1"/>
  <c r="E32" i="12"/>
  <c r="F8" i="31"/>
  <c r="E14" i="31" s="1"/>
  <c r="E10" i="30"/>
  <c r="F5" i="30"/>
  <c r="E11" i="30" s="1"/>
  <c r="E13" i="30" s="1"/>
  <c r="E44" i="24"/>
  <c r="E56" i="24"/>
  <c r="F56" i="24" s="1"/>
  <c r="E57" i="24"/>
  <c r="F57" i="24" s="1"/>
  <c r="E58" i="24"/>
  <c r="F58" i="24" s="1"/>
  <c r="E59" i="24"/>
  <c r="F59" i="24" s="1"/>
  <c r="E60" i="24"/>
  <c r="F60" i="24" s="1"/>
  <c r="H60" i="24"/>
  <c r="H59" i="24"/>
  <c r="H58" i="24"/>
  <c r="H57" i="24"/>
  <c r="H56" i="24"/>
  <c r="H55" i="24"/>
  <c r="E55" i="24"/>
  <c r="F55" i="24" s="1"/>
  <c r="E39" i="24"/>
  <c r="F39" i="24" s="1"/>
  <c r="E40" i="24"/>
  <c r="F40" i="24" s="1"/>
  <c r="E41" i="24"/>
  <c r="F41" i="24" s="1"/>
  <c r="E42" i="24"/>
  <c r="F42" i="24" s="1"/>
  <c r="E7" i="24"/>
  <c r="E8" i="24"/>
  <c r="E9" i="24"/>
  <c r="E10" i="24"/>
  <c r="E11" i="24"/>
  <c r="E12" i="24"/>
  <c r="E13" i="24"/>
  <c r="F13" i="24" s="1"/>
  <c r="H12" i="24"/>
  <c r="H13" i="24"/>
  <c r="E13" i="32" l="1"/>
  <c r="E15" i="32" s="1"/>
  <c r="H61" i="24"/>
  <c r="H9" i="29"/>
  <c r="E9" i="29"/>
  <c r="F9" i="29" s="1"/>
  <c r="H7" i="29"/>
  <c r="E7" i="29"/>
  <c r="F7" i="29" s="1"/>
  <c r="H11" i="29"/>
  <c r="E11" i="29"/>
  <c r="F11" i="29" s="1"/>
  <c r="H10" i="29"/>
  <c r="E10" i="29"/>
  <c r="F10" i="29" s="1"/>
  <c r="H8" i="29"/>
  <c r="E8" i="29"/>
  <c r="F8" i="29" s="1"/>
  <c r="H6" i="29"/>
  <c r="E6" i="29"/>
  <c r="F6" i="29" s="1"/>
  <c r="H5" i="29"/>
  <c r="E5" i="29"/>
  <c r="F5" i="29" s="1"/>
  <c r="E13" i="29" s="1"/>
  <c r="E12" i="29" l="1"/>
  <c r="E15" i="29" s="1"/>
  <c r="G12" i="29"/>
  <c r="H26" i="9" l="1"/>
  <c r="E26" i="9"/>
  <c r="F26" i="9" s="1"/>
  <c r="H25" i="9"/>
  <c r="E25" i="9"/>
  <c r="F25" i="9" s="1"/>
  <c r="H24" i="9"/>
  <c r="E24" i="9"/>
  <c r="H31" i="26"/>
  <c r="F31" i="26"/>
  <c r="E31" i="26"/>
  <c r="H30" i="26"/>
  <c r="E30" i="26"/>
  <c r="F30" i="26" s="1"/>
  <c r="H29" i="26"/>
  <c r="E29" i="26"/>
  <c r="F29" i="26" s="1"/>
  <c r="H28" i="26"/>
  <c r="E28" i="26"/>
  <c r="F28" i="26" s="1"/>
  <c r="H27" i="26"/>
  <c r="F27" i="26"/>
  <c r="E27" i="26"/>
  <c r="H26" i="26"/>
  <c r="H32" i="26" s="1"/>
  <c r="E26" i="26"/>
  <c r="E32" i="26" s="1"/>
  <c r="E28" i="27"/>
  <c r="F28" i="27" s="1"/>
  <c r="E29" i="27"/>
  <c r="F29" i="27" s="1"/>
  <c r="E30" i="27"/>
  <c r="E31" i="27"/>
  <c r="F31" i="27" s="1"/>
  <c r="H31" i="27"/>
  <c r="H30" i="27"/>
  <c r="F30" i="27"/>
  <c r="H29" i="27"/>
  <c r="H28" i="27"/>
  <c r="H27" i="27"/>
  <c r="E27" i="27"/>
  <c r="H7" i="27"/>
  <c r="H6" i="27"/>
  <c r="E7" i="27"/>
  <c r="F7" i="27" s="1"/>
  <c r="E6" i="27"/>
  <c r="F6" i="27" s="1"/>
  <c r="E32" i="27" l="1"/>
  <c r="E33" i="27" s="1"/>
  <c r="E34" i="27" s="1"/>
  <c r="E27" i="9"/>
  <c r="H27" i="9"/>
  <c r="F24" i="9"/>
  <c r="E28" i="9"/>
  <c r="E30" i="9" s="1"/>
  <c r="F26" i="26"/>
  <c r="E33" i="26" s="1"/>
  <c r="H32" i="27"/>
  <c r="E9" i="27"/>
  <c r="F27" i="27"/>
  <c r="E8" i="27"/>
  <c r="H7" i="26"/>
  <c r="H8" i="26"/>
  <c r="H9" i="26"/>
  <c r="H10" i="26"/>
  <c r="H11" i="26"/>
  <c r="E13" i="26"/>
  <c r="E12" i="26"/>
  <c r="E9" i="26"/>
  <c r="F9" i="26" s="1"/>
  <c r="E11" i="26"/>
  <c r="F11" i="26" s="1"/>
  <c r="E10" i="26"/>
  <c r="F10" i="26" s="1"/>
  <c r="E8" i="26"/>
  <c r="F8" i="26" s="1"/>
  <c r="E7" i="26"/>
  <c r="F7" i="26" s="1"/>
  <c r="H6" i="26"/>
  <c r="E6" i="26"/>
  <c r="F6" i="26" s="1"/>
  <c r="F10" i="25"/>
  <c r="F11" i="25"/>
  <c r="F12" i="25"/>
  <c r="F13" i="25"/>
  <c r="F14" i="25"/>
  <c r="F15" i="25"/>
  <c r="E10" i="25"/>
  <c r="E11" i="25"/>
  <c r="E12" i="25"/>
  <c r="E13" i="25"/>
  <c r="E14" i="25"/>
  <c r="E15" i="25"/>
  <c r="E9" i="25"/>
  <c r="F9" i="25" s="1"/>
  <c r="E11" i="27" l="1"/>
  <c r="H12" i="26"/>
  <c r="F19" i="25"/>
  <c r="E46" i="24" l="1"/>
  <c r="H42" i="24"/>
  <c r="H41" i="24"/>
  <c r="H13" i="22"/>
  <c r="E13" i="22"/>
  <c r="F13" i="22" s="1"/>
  <c r="H12" i="22"/>
  <c r="E12" i="22"/>
  <c r="F12" i="22" s="1"/>
  <c r="H40" i="24"/>
  <c r="H39" i="24"/>
  <c r="H38" i="24"/>
  <c r="E38" i="24"/>
  <c r="F38" i="24" s="1"/>
  <c r="F12" i="24"/>
  <c r="H43" i="24" l="1"/>
  <c r="F7" i="24"/>
  <c r="F8" i="24"/>
  <c r="F9" i="24"/>
  <c r="F10" i="24"/>
  <c r="F11" i="24"/>
  <c r="H9" i="24"/>
  <c r="H11" i="24"/>
  <c r="H10" i="24"/>
  <c r="H8" i="24"/>
  <c r="H7" i="24"/>
  <c r="H6" i="24"/>
  <c r="E6" i="24"/>
  <c r="H11" i="22"/>
  <c r="E11" i="22"/>
  <c r="F11" i="22" s="1"/>
  <c r="H10" i="22"/>
  <c r="E10" i="22"/>
  <c r="F10" i="22" s="1"/>
  <c r="H9" i="22"/>
  <c r="E9" i="22"/>
  <c r="F9" i="22" s="1"/>
  <c r="H8" i="22"/>
  <c r="E8" i="22"/>
  <c r="F8" i="22" s="1"/>
  <c r="H7" i="22"/>
  <c r="E7" i="22"/>
  <c r="H6" i="22"/>
  <c r="E6" i="22"/>
  <c r="F6" i="22" s="1"/>
  <c r="E22" i="21"/>
  <c r="E21" i="21"/>
  <c r="F17" i="21"/>
  <c r="F18" i="21"/>
  <c r="H18" i="21"/>
  <c r="E18" i="21"/>
  <c r="H17" i="21"/>
  <c r="E17" i="21"/>
  <c r="H19" i="21"/>
  <c r="E19" i="21"/>
  <c r="F19" i="21" s="1"/>
  <c r="H16" i="21"/>
  <c r="E16" i="21"/>
  <c r="F16" i="21" s="1"/>
  <c r="E15" i="21"/>
  <c r="F15" i="21" s="1"/>
  <c r="H15" i="21"/>
  <c r="E14" i="21"/>
  <c r="F14" i="21" s="1"/>
  <c r="E20" i="21"/>
  <c r="F20" i="21" s="1"/>
  <c r="H8" i="21"/>
  <c r="H9" i="21"/>
  <c r="H10" i="21"/>
  <c r="H11" i="21"/>
  <c r="H12" i="21"/>
  <c r="H13" i="21"/>
  <c r="H14" i="21"/>
  <c r="H20" i="21"/>
  <c r="E12" i="21"/>
  <c r="F12" i="21" s="1"/>
  <c r="E13" i="21"/>
  <c r="F13" i="21" s="1"/>
  <c r="E8" i="21"/>
  <c r="F8" i="21" s="1"/>
  <c r="H7" i="21"/>
  <c r="E7" i="21"/>
  <c r="F7" i="21" s="1"/>
  <c r="E10" i="21"/>
  <c r="F10" i="21" s="1"/>
  <c r="E11" i="21"/>
  <c r="F11" i="21" s="1"/>
  <c r="E9" i="21"/>
  <c r="F9" i="21" s="1"/>
  <c r="E7" i="20"/>
  <c r="E13" i="20" s="1"/>
  <c r="E8" i="20"/>
  <c r="F8" i="20" s="1"/>
  <c r="E9" i="20"/>
  <c r="E10" i="20"/>
  <c r="E11" i="20"/>
  <c r="F11" i="20" s="1"/>
  <c r="E12" i="20"/>
  <c r="F12" i="20" s="1"/>
  <c r="H7" i="20"/>
  <c r="H8" i="20"/>
  <c r="H9" i="20"/>
  <c r="H10" i="20"/>
  <c r="H11" i="20"/>
  <c r="H12" i="20"/>
  <c r="H6" i="20"/>
  <c r="H13" i="20" s="1"/>
  <c r="F10" i="20"/>
  <c r="F9" i="20"/>
  <c r="F7" i="20"/>
  <c r="E6" i="20"/>
  <c r="H18" i="19"/>
  <c r="H8" i="19"/>
  <c r="H9" i="19"/>
  <c r="H10" i="19"/>
  <c r="H11" i="19"/>
  <c r="H12" i="19"/>
  <c r="H13" i="19"/>
  <c r="H14" i="19"/>
  <c r="H15" i="19"/>
  <c r="H16" i="19"/>
  <c r="H17" i="19"/>
  <c r="H7" i="19"/>
  <c r="F8" i="19"/>
  <c r="F9" i="19"/>
  <c r="F10" i="19"/>
  <c r="F11" i="19"/>
  <c r="F12" i="19"/>
  <c r="F13" i="19"/>
  <c r="F16" i="19"/>
  <c r="F17" i="19"/>
  <c r="E8" i="19"/>
  <c r="E9" i="19"/>
  <c r="E10" i="19"/>
  <c r="E11" i="19"/>
  <c r="E12" i="19"/>
  <c r="E13" i="19"/>
  <c r="E14" i="19"/>
  <c r="F14" i="19" s="1"/>
  <c r="E15" i="19"/>
  <c r="F15" i="19" s="1"/>
  <c r="E16" i="19"/>
  <c r="E17" i="19"/>
  <c r="H14" i="22" l="1"/>
  <c r="F6" i="24"/>
  <c r="E14" i="24"/>
  <c r="E15" i="24" s="1"/>
  <c r="E17" i="24" s="1"/>
  <c r="D23" i="24" s="1"/>
  <c r="F7" i="22"/>
  <c r="E15" i="22" s="1"/>
  <c r="E17" i="22" s="1"/>
  <c r="E14" i="22"/>
  <c r="H14" i="24"/>
  <c r="H21" i="21"/>
  <c r="E24" i="21"/>
  <c r="F6" i="20"/>
  <c r="E19" i="19"/>
  <c r="E14" i="20" l="1"/>
  <c r="E16" i="20" s="1"/>
  <c r="K51" i="5"/>
  <c r="E7" i="19" l="1"/>
  <c r="E38" i="2"/>
  <c r="E40" i="2" s="1"/>
  <c r="H37" i="2"/>
  <c r="I37" i="2" s="1"/>
  <c r="E36" i="2"/>
  <c r="F36" i="2" s="1"/>
  <c r="E35" i="2"/>
  <c r="F35" i="2" s="1"/>
  <c r="E34" i="2"/>
  <c r="F34" i="2" s="1"/>
  <c r="E33" i="2"/>
  <c r="F33" i="2" s="1"/>
  <c r="E32" i="2"/>
  <c r="F32" i="2" s="1"/>
  <c r="E21" i="18"/>
  <c r="H20" i="18"/>
  <c r="E20" i="18"/>
  <c r="F20" i="18" s="1"/>
  <c r="H19" i="18"/>
  <c r="H21" i="18" s="1"/>
  <c r="F19" i="18"/>
  <c r="E22" i="18" s="1"/>
  <c r="E24" i="18" s="1"/>
  <c r="E19" i="18"/>
  <c r="E11" i="18"/>
  <c r="H7" i="18"/>
  <c r="E7" i="18"/>
  <c r="F7" i="18" s="1"/>
  <c r="H6" i="18"/>
  <c r="E6" i="18"/>
  <c r="E8" i="18" s="1"/>
  <c r="F8" i="17"/>
  <c r="F9" i="17"/>
  <c r="H7" i="17"/>
  <c r="H8" i="17"/>
  <c r="H9" i="17"/>
  <c r="H10" i="17"/>
  <c r="H11" i="17"/>
  <c r="E7" i="17"/>
  <c r="F7" i="17" s="1"/>
  <c r="E8" i="17"/>
  <c r="E9" i="17"/>
  <c r="E10" i="17"/>
  <c r="F10" i="17" s="1"/>
  <c r="E11" i="17"/>
  <c r="F11" i="17" s="1"/>
  <c r="H6" i="17"/>
  <c r="E6" i="17"/>
  <c r="F6" i="17" s="1"/>
  <c r="H8" i="16"/>
  <c r="E8" i="16"/>
  <c r="F8" i="16" s="1"/>
  <c r="H7" i="16"/>
  <c r="E7" i="16"/>
  <c r="F7" i="16" s="1"/>
  <c r="H6" i="16"/>
  <c r="H9" i="16" s="1"/>
  <c r="E6" i="16"/>
  <c r="F6" i="16" s="1"/>
  <c r="E17" i="14"/>
  <c r="E16" i="14"/>
  <c r="H15" i="14"/>
  <c r="H16" i="14"/>
  <c r="H14" i="14"/>
  <c r="H13" i="14"/>
  <c r="H12" i="14"/>
  <c r="E15" i="14"/>
  <c r="F15" i="14" s="1"/>
  <c r="E14" i="14"/>
  <c r="F14" i="14" s="1"/>
  <c r="E13" i="14"/>
  <c r="F13" i="14" s="1"/>
  <c r="E12" i="14"/>
  <c r="F12" i="14" s="1"/>
  <c r="E28" i="14"/>
  <c r="F28" i="14" s="1"/>
  <c r="E29" i="14"/>
  <c r="F29" i="14" s="1"/>
  <c r="E30" i="14"/>
  <c r="F30" i="14" s="1"/>
  <c r="E31" i="14"/>
  <c r="F31" i="14" s="1"/>
  <c r="H28" i="14"/>
  <c r="H27" i="14"/>
  <c r="E27" i="14"/>
  <c r="F8" i="4"/>
  <c r="F10" i="4"/>
  <c r="F11" i="4"/>
  <c r="E7" i="4"/>
  <c r="F7" i="4" s="1"/>
  <c r="E8" i="4"/>
  <c r="E9" i="4"/>
  <c r="F9" i="4" s="1"/>
  <c r="E10" i="4"/>
  <c r="E11" i="4"/>
  <c r="H7" i="4"/>
  <c r="E8" i="15"/>
  <c r="F8" i="15" s="1"/>
  <c r="H8" i="15"/>
  <c r="H7" i="15"/>
  <c r="E7" i="15"/>
  <c r="F7" i="15" s="1"/>
  <c r="H6" i="15"/>
  <c r="E6" i="15"/>
  <c r="F6" i="15" s="1"/>
  <c r="H9" i="14"/>
  <c r="E9" i="14"/>
  <c r="F9" i="14" s="1"/>
  <c r="H11" i="14"/>
  <c r="E11" i="14"/>
  <c r="F11" i="14" s="1"/>
  <c r="H10" i="14"/>
  <c r="E10" i="14"/>
  <c r="F10" i="14" s="1"/>
  <c r="H8" i="14"/>
  <c r="E8" i="14"/>
  <c r="F8" i="14" s="1"/>
  <c r="H7" i="14"/>
  <c r="E7" i="14"/>
  <c r="F7" i="14" s="1"/>
  <c r="E18" i="19" l="1"/>
  <c r="E21" i="19" s="1"/>
  <c r="F7" i="19"/>
  <c r="H8" i="18"/>
  <c r="F6" i="18"/>
  <c r="E9" i="18" s="1"/>
  <c r="H12" i="17"/>
  <c r="E13" i="17"/>
  <c r="E15" i="17" s="1"/>
  <c r="E12" i="17"/>
  <c r="E9" i="16"/>
  <c r="E10" i="16"/>
  <c r="E12" i="16" s="1"/>
  <c r="E32" i="14"/>
  <c r="H32" i="14"/>
  <c r="F27" i="14"/>
  <c r="E33" i="14" s="1"/>
  <c r="H9" i="15"/>
  <c r="E10" i="15"/>
  <c r="E12" i="15" s="1"/>
  <c r="E9" i="15"/>
  <c r="E19" i="14"/>
  <c r="H8" i="13" l="1"/>
  <c r="E8" i="13"/>
  <c r="H7" i="13"/>
  <c r="E7" i="13"/>
  <c r="F7" i="13" s="1"/>
  <c r="H6" i="13"/>
  <c r="E6" i="13"/>
  <c r="F6" i="13" s="1"/>
  <c r="H13" i="12"/>
  <c r="E13" i="12"/>
  <c r="F13" i="12" s="1"/>
  <c r="H9" i="12"/>
  <c r="H10" i="12"/>
  <c r="E9" i="12"/>
  <c r="F9" i="12" s="1"/>
  <c r="H8" i="12"/>
  <c r="E8" i="12"/>
  <c r="F8" i="12" s="1"/>
  <c r="H11" i="12"/>
  <c r="E11" i="12"/>
  <c r="F11" i="12" s="1"/>
  <c r="H9" i="11"/>
  <c r="F9" i="11"/>
  <c r="E9" i="11"/>
  <c r="H9" i="13" l="1"/>
  <c r="E9" i="13"/>
  <c r="F8" i="13"/>
  <c r="E10" i="13" s="1"/>
  <c r="H34" i="5"/>
  <c r="F34" i="5"/>
  <c r="E34" i="5"/>
  <c r="H33" i="5"/>
  <c r="E33" i="5"/>
  <c r="F33" i="5" s="1"/>
  <c r="H32" i="5"/>
  <c r="E32" i="5"/>
  <c r="F32" i="5" s="1"/>
  <c r="H31" i="5"/>
  <c r="E31" i="5"/>
  <c r="F31" i="5" s="1"/>
  <c r="H30" i="5"/>
  <c r="H35" i="5" s="1"/>
  <c r="E30" i="5"/>
  <c r="F30" i="5" s="1"/>
  <c r="E36" i="5" s="1"/>
  <c r="E38" i="5" s="1"/>
  <c r="H47" i="5"/>
  <c r="E47" i="5"/>
  <c r="F47" i="5" s="1"/>
  <c r="H46" i="5"/>
  <c r="E46" i="5"/>
  <c r="F46" i="5" s="1"/>
  <c r="E6" i="12"/>
  <c r="E7" i="12"/>
  <c r="E10" i="12"/>
  <c r="F10" i="12" s="1"/>
  <c r="E12" i="12"/>
  <c r="E14" i="12"/>
  <c r="F14" i="12" s="1"/>
  <c r="E15" i="12"/>
  <c r="F15" i="12" s="1"/>
  <c r="H15" i="12"/>
  <c r="H6" i="12"/>
  <c r="H7" i="12"/>
  <c r="H14" i="12"/>
  <c r="H12" i="12"/>
  <c r="F12" i="12"/>
  <c r="E36" i="8"/>
  <c r="E35" i="8"/>
  <c r="E38" i="8" s="1"/>
  <c r="H34" i="8"/>
  <c r="E34" i="8"/>
  <c r="F34" i="8" s="1"/>
  <c r="H31" i="8"/>
  <c r="E31" i="8"/>
  <c r="F31" i="8" s="1"/>
  <c r="F30" i="8"/>
  <c r="E29" i="8"/>
  <c r="F29" i="8" s="1"/>
  <c r="E30" i="8"/>
  <c r="E32" i="8"/>
  <c r="F32" i="8" s="1"/>
  <c r="E33" i="8"/>
  <c r="F33" i="8" s="1"/>
  <c r="H32" i="8"/>
  <c r="H35" i="8" s="1"/>
  <c r="H29" i="8"/>
  <c r="H33" i="8"/>
  <c r="H30" i="8"/>
  <c r="H28" i="8"/>
  <c r="E28" i="8"/>
  <c r="F28" i="8" s="1"/>
  <c r="E30" i="11"/>
  <c r="E32" i="11" s="1"/>
  <c r="H28" i="11"/>
  <c r="E28" i="11"/>
  <c r="F28" i="11" s="1"/>
  <c r="H27" i="11"/>
  <c r="E27" i="11"/>
  <c r="F27" i="11" s="1"/>
  <c r="H26" i="11"/>
  <c r="E26" i="11"/>
  <c r="F26" i="11" s="1"/>
  <c r="E12" i="11"/>
  <c r="E11" i="13" l="1"/>
  <c r="E13" i="13" s="1"/>
  <c r="H29" i="11"/>
  <c r="E35" i="5"/>
  <c r="H48" i="5"/>
  <c r="E49" i="5"/>
  <c r="E51" i="5" s="1"/>
  <c r="E48" i="5"/>
  <c r="H16" i="12"/>
  <c r="H8" i="11"/>
  <c r="E8" i="11"/>
  <c r="F8" i="11" s="1"/>
  <c r="H7" i="11"/>
  <c r="E7" i="11"/>
  <c r="F7" i="11" s="1"/>
  <c r="H6" i="11"/>
  <c r="E6" i="11"/>
  <c r="F6" i="11" s="1"/>
  <c r="E14" i="10"/>
  <c r="E8" i="10"/>
  <c r="F8" i="10" s="1"/>
  <c r="E13" i="10"/>
  <c r="F13" i="10" s="1"/>
  <c r="E12" i="10"/>
  <c r="F12" i="10" s="1"/>
  <c r="E11" i="10"/>
  <c r="F11" i="10" s="1"/>
  <c r="E10" i="10"/>
  <c r="F10" i="10" s="1"/>
  <c r="E16" i="10" s="1"/>
  <c r="E9" i="10"/>
  <c r="F9" i="10" s="1"/>
  <c r="E7" i="10"/>
  <c r="F7" i="10" s="1"/>
  <c r="F8" i="9"/>
  <c r="F9" i="9"/>
  <c r="E7" i="9"/>
  <c r="F7" i="9" s="1"/>
  <c r="E8" i="9"/>
  <c r="E9" i="9"/>
  <c r="E10" i="9"/>
  <c r="F10" i="9" s="1"/>
  <c r="H10" i="9"/>
  <c r="H9" i="9"/>
  <c r="H8" i="9"/>
  <c r="H7" i="9"/>
  <c r="H6" i="9"/>
  <c r="E6" i="9"/>
  <c r="F6" i="9" s="1"/>
  <c r="E13" i="8"/>
  <c r="H11" i="11" l="1"/>
  <c r="E14" i="11"/>
  <c r="E11" i="9"/>
  <c r="E15" i="10"/>
  <c r="F14" i="10"/>
  <c r="E18" i="10"/>
  <c r="E12" i="9"/>
  <c r="E14" i="9" s="1"/>
  <c r="H11" i="9"/>
  <c r="E11" i="8"/>
  <c r="F11" i="8" s="1"/>
  <c r="E10" i="8"/>
  <c r="F10" i="8" s="1"/>
  <c r="E9" i="8"/>
  <c r="F9" i="8" s="1"/>
  <c r="E8" i="8"/>
  <c r="F8" i="8" s="1"/>
  <c r="E7" i="8"/>
  <c r="E12" i="2"/>
  <c r="F12" i="2" s="1"/>
  <c r="E11" i="2"/>
  <c r="F11" i="2" s="1"/>
  <c r="E10" i="2"/>
  <c r="F10" i="2" s="1"/>
  <c r="E9" i="2"/>
  <c r="F9" i="2" s="1"/>
  <c r="E8" i="2"/>
  <c r="F8" i="2" s="1"/>
  <c r="E7" i="2"/>
  <c r="E13" i="2" l="1"/>
  <c r="F7" i="2"/>
  <c r="E14" i="2" s="1"/>
  <c r="E16" i="2" s="1"/>
  <c r="F7" i="8"/>
  <c r="E15" i="8" s="1"/>
  <c r="H9" i="6" l="1"/>
  <c r="E9" i="6"/>
  <c r="F9" i="6" s="1"/>
  <c r="H8" i="6"/>
  <c r="E8" i="6"/>
  <c r="H7" i="6"/>
  <c r="E7" i="6"/>
  <c r="F7" i="6" s="1"/>
  <c r="H6" i="6"/>
  <c r="E6" i="6"/>
  <c r="F6" i="6" s="1"/>
  <c r="E10" i="6" l="1"/>
  <c r="H10" i="6"/>
  <c r="F8" i="6"/>
  <c r="E11" i="6" l="1"/>
  <c r="E13" i="6" s="1"/>
  <c r="H7" i="5" l="1"/>
  <c r="E7" i="5"/>
  <c r="F7" i="5" s="1"/>
  <c r="H10" i="5"/>
  <c r="E10" i="5"/>
  <c r="F10" i="5" s="1"/>
  <c r="H9" i="5"/>
  <c r="E9" i="5"/>
  <c r="F9" i="5" s="1"/>
  <c r="H8" i="5"/>
  <c r="E8" i="5"/>
  <c r="F8" i="5" s="1"/>
  <c r="H6" i="5"/>
  <c r="E6" i="5"/>
  <c r="F6" i="5" s="1"/>
  <c r="H30" i="3"/>
  <c r="H29" i="3"/>
  <c r="H28" i="3"/>
  <c r="H27" i="3"/>
  <c r="H26" i="3"/>
  <c r="E30" i="3"/>
  <c r="F30" i="3" s="1"/>
  <c r="F29" i="3"/>
  <c r="E29" i="3"/>
  <c r="E28" i="3"/>
  <c r="F28" i="3" s="1"/>
  <c r="F27" i="3"/>
  <c r="E27" i="3"/>
  <c r="E26" i="3"/>
  <c r="E31" i="3" s="1"/>
  <c r="H9" i="4"/>
  <c r="H10" i="4"/>
  <c r="H11" i="4"/>
  <c r="H6" i="4"/>
  <c r="E6" i="4"/>
  <c r="H9" i="3"/>
  <c r="H10" i="3"/>
  <c r="H11" i="3"/>
  <c r="H12" i="3"/>
  <c r="E9" i="3"/>
  <c r="F9" i="3" s="1"/>
  <c r="E10" i="3"/>
  <c r="F10" i="3" s="1"/>
  <c r="E11" i="3"/>
  <c r="F11" i="3" s="1"/>
  <c r="E12" i="3"/>
  <c r="F12" i="3" s="1"/>
  <c r="H8" i="3"/>
  <c r="E8" i="3"/>
  <c r="F8" i="3" s="1"/>
  <c r="H11" i="5" l="1"/>
  <c r="E12" i="5"/>
  <c r="E14" i="5" s="1"/>
  <c r="E11" i="5"/>
  <c r="F26" i="3"/>
  <c r="E32" i="3" s="1"/>
  <c r="E34" i="3" s="1"/>
  <c r="E12" i="4"/>
  <c r="H12" i="4"/>
  <c r="F6" i="4"/>
  <c r="E13" i="4" s="1"/>
  <c r="E15" i="4" s="1"/>
  <c r="H13" i="3"/>
  <c r="E14" i="3"/>
  <c r="E16" i="3" s="1"/>
  <c r="E13" i="3"/>
  <c r="H52" i="1" l="1"/>
  <c r="H48" i="1"/>
  <c r="H49" i="1"/>
  <c r="H50" i="1"/>
  <c r="H51" i="1"/>
  <c r="H47" i="1"/>
  <c r="F50" i="1"/>
  <c r="E50" i="1"/>
  <c r="E49" i="1"/>
  <c r="F49" i="1" s="1"/>
  <c r="E51" i="1"/>
  <c r="F51" i="1" s="1"/>
  <c r="E48" i="1"/>
  <c r="F48" i="1" s="1"/>
  <c r="E47" i="1"/>
  <c r="F47" i="1" s="1"/>
  <c r="E35" i="1"/>
  <c r="E37" i="1" s="1"/>
  <c r="E33" i="1"/>
  <c r="F33" i="1" s="1"/>
  <c r="E32" i="1"/>
  <c r="F32" i="1" s="1"/>
  <c r="E31" i="1"/>
  <c r="F31" i="1" s="1"/>
  <c r="E30" i="1"/>
  <c r="F30" i="1" s="1"/>
  <c r="E29" i="1"/>
  <c r="F29" i="1" s="1"/>
  <c r="E13" i="1"/>
  <c r="E15" i="1" s="1"/>
  <c r="E11" i="1"/>
  <c r="F11" i="1" s="1"/>
  <c r="E10" i="1"/>
  <c r="F10" i="1" s="1"/>
  <c r="E9" i="1"/>
  <c r="F9" i="1" s="1"/>
  <c r="E8" i="1"/>
  <c r="F8" i="1" s="1"/>
  <c r="E7" i="1"/>
  <c r="F7" i="1" s="1"/>
  <c r="E52" i="1" l="1"/>
  <c r="E53" i="1" s="1"/>
  <c r="E55" i="1" s="1"/>
  <c r="F7" i="12" l="1"/>
  <c r="E16" i="12"/>
  <c r="F6" i="12"/>
  <c r="E17" i="12" l="1"/>
  <c r="E19" i="12" s="1"/>
</calcChain>
</file>

<file path=xl/sharedStrings.xml><?xml version="1.0" encoding="utf-8"?>
<sst xmlns="http://schemas.openxmlformats.org/spreadsheetml/2006/main" count="1381" uniqueCount="338">
  <si>
    <t>JIMMY A. JAIMES CARRILLO C.C.72,185,935-7</t>
  </si>
  <si>
    <t>VEREDA SAN CAYETANO MAESTRO NELSON: 3154898334</t>
  </si>
  <si>
    <t>JHON JAIRO RAMOS CELY: 3183030596</t>
  </si>
  <si>
    <t>COTIZACION 4COLUMNAS DE 25X20X2,40</t>
  </si>
  <si>
    <t>MATERIAL</t>
  </si>
  <si>
    <t>DETALLES</t>
  </si>
  <si>
    <t>COSTOS</t>
  </si>
  <si>
    <t>DIAS</t>
  </si>
  <si>
    <t>CANTIDAD</t>
  </si>
  <si>
    <t>VALOR</t>
  </si>
  <si>
    <t>COSTO DIARIO</t>
  </si>
  <si>
    <t>PRECIO DIARIO</t>
  </si>
  <si>
    <t>FORMALETA 25 X 1,20</t>
  </si>
  <si>
    <t>FORMALETA 20 X 1,20</t>
  </si>
  <si>
    <t>ANGULOS 60</t>
  </si>
  <si>
    <t>ANGULOS 1,20</t>
  </si>
  <si>
    <t>CHAPETAS</t>
  </si>
  <si>
    <t>12 AL 16 ENERO 2023</t>
  </si>
  <si>
    <t>SUB-TOTAL DIARIO</t>
  </si>
  <si>
    <t>TOTAL DIAS</t>
  </si>
  <si>
    <t>LLEVADA YTRAIDA</t>
  </si>
  <si>
    <t xml:space="preserve"> GRANTOTAL</t>
  </si>
  <si>
    <t>REQUISITOS</t>
  </si>
  <si>
    <t>CEDULA CIUDADANIA</t>
  </si>
  <si>
    <t>FORMATO CLIENTES</t>
  </si>
  <si>
    <t>RECIBO DEL INMUEBLE</t>
  </si>
  <si>
    <t>DEPOSITO:$ 400,000</t>
  </si>
  <si>
    <t>CANCELO EL ALQUILER: $202,000</t>
  </si>
  <si>
    <t>15 DIAS</t>
  </si>
  <si>
    <t>FORMALETA 60X 1,20</t>
  </si>
  <si>
    <t>CERCHAS 3 MTS</t>
  </si>
  <si>
    <t>CERCHAS 2MTS</t>
  </si>
  <si>
    <t>PARALES 3 MTS</t>
  </si>
  <si>
    <t>PLACA DE 8MTS X 10 MTS SIN BANDEAR</t>
  </si>
  <si>
    <t>JOSE BARAJAS : 3186489356</t>
  </si>
  <si>
    <t>CALLE 7 ENTRE CARRERA 24 Y 25</t>
  </si>
  <si>
    <t>COTIZACION 2 COLUMNAS 25 X 25 X 240</t>
  </si>
  <si>
    <t>CEDULA DE CIUDADANIA</t>
  </si>
  <si>
    <t>PAGO ALQUILER</t>
  </si>
  <si>
    <t xml:space="preserve">DFEPOSITO </t>
  </si>
  <si>
    <t>FORMATO DE CLIENTES</t>
  </si>
  <si>
    <t xml:space="preserve">RECIBO SERVICIO PUBLICO RECIENTE </t>
  </si>
  <si>
    <t>JIMMY A. JAIMES CARRILLO C.C.72.185.935-7</t>
  </si>
  <si>
    <t>COTIZACION EQUIPO PARA LA CONSTRUCCION</t>
  </si>
  <si>
    <t>PESO</t>
  </si>
  <si>
    <t>PESO EN KG</t>
  </si>
  <si>
    <t xml:space="preserve">TOTAL PESO </t>
  </si>
  <si>
    <t>TABLERO 70 X 1,40</t>
  </si>
  <si>
    <t>CERCHA 3 MTS</t>
  </si>
  <si>
    <t>PESO TOTAL</t>
  </si>
  <si>
    <t>TRANSPORTE</t>
  </si>
  <si>
    <t>LLEVADA Y RECOGIDA</t>
  </si>
  <si>
    <t>GRAN TOTAL</t>
  </si>
  <si>
    <t>ALBERTO HERRERA: 3158888660</t>
  </si>
  <si>
    <t>EDGAR HERRRA: 3155872885</t>
  </si>
  <si>
    <t>CERCHA2 MTS</t>
  </si>
  <si>
    <t>CERCHA 1,5MTS</t>
  </si>
  <si>
    <t>CARRERA 16 # 50-51. SAN MIGUEL</t>
  </si>
  <si>
    <t>PARALES 6 MTS</t>
  </si>
  <si>
    <t>TENSORES</t>
  </si>
  <si>
    <t>30 DIAS</t>
  </si>
  <si>
    <t>SUB-TOTAL DIARIOCON IVA</t>
  </si>
  <si>
    <t>ALQUILER MURO DE CONTENCION  TUA</t>
  </si>
  <si>
    <t>30 DIAS IVA INCLUIDO</t>
  </si>
  <si>
    <t>EQUIORIENTE LTDA</t>
  </si>
  <si>
    <t>ARQ. LEDYN OMAR :3138233953</t>
  </si>
  <si>
    <t>FORMALETA 30 X 1,20</t>
  </si>
  <si>
    <t>5 DIAS</t>
  </si>
  <si>
    <t>TABLERO 40 X 1,40</t>
  </si>
  <si>
    <t>MARTA MIRADORES DE LA UIS:3232092702</t>
  </si>
  <si>
    <t xml:space="preserve">IMPUESTO PREDIAL DEL INMUEBLE </t>
  </si>
  <si>
    <t>PAGO DEL ALQUILER</t>
  </si>
  <si>
    <t>CEDULA DE CIUDADANIA RESPONSABLE</t>
  </si>
  <si>
    <t>LLENAR FORMATO DE CLIENTES</t>
  </si>
  <si>
    <t>DEPOSITO DE $1.000.000</t>
  </si>
  <si>
    <t>ESTA COTIZACION ES UN APROXIMADO DEL MATERIAL Y SUS CANTIDADES DEBE VERIFICARLAS EL MAESTRO QUE HACE LA OBRA</t>
  </si>
  <si>
    <t>SE COBRAN LOS DIAS DE ALQUILER.15 dias de alquiler es una referencia</t>
  </si>
  <si>
    <t>EL MATERIAL SE COBRA DESDE EL DIA QUE SALE HASTA EL DIA QUE SE RECIBE INCLUYE DOMINGOS Y FESTIVOS</t>
  </si>
  <si>
    <t>COSTO 
DIARIO</t>
  </si>
  <si>
    <t>PRECIO
 DIARIO</t>
  </si>
  <si>
    <t>PESO
 EN KG</t>
  </si>
  <si>
    <t xml:space="preserve">TOTAL
 PESO </t>
  </si>
  <si>
    <t>TABLONES 3M</t>
  </si>
  <si>
    <t>CARRERA 9 # 29-48</t>
  </si>
  <si>
    <t>JOSE CUY ALVAREZ :3152366696</t>
  </si>
  <si>
    <t>SECCIONES DE  ANDAMIO 2M X ,09</t>
  </si>
  <si>
    <t>RUEDAS DE ANDAMIO</t>
  </si>
  <si>
    <t>PLATAFORMAS DE ALUMINIO</t>
  </si>
  <si>
    <t>10 DIAS</t>
  </si>
  <si>
    <t>ALQUILER 10 DIAS</t>
  </si>
  <si>
    <t xml:space="preserve">TOTAL </t>
  </si>
  <si>
    <t>LLENAR FORMATO CLIENTES</t>
  </si>
  <si>
    <t>FOTOCOPIA CEDULA</t>
  </si>
  <si>
    <t>CARTA MEMBRETEADA DEL ALMACEN SOLICITANDO EL MATERIAL</t>
  </si>
  <si>
    <t>DEPOSITO</t>
  </si>
  <si>
    <t>COTIZACION ANDAMIOS Y TABLONES</t>
  </si>
  <si>
    <t>TRANSPORTE  LLEVADA Y TRAIDA</t>
  </si>
  <si>
    <t xml:space="preserve">VALOR TOTAL </t>
  </si>
  <si>
    <t>PINES</t>
  </si>
  <si>
    <t>FORMALETA 15 X 1,20</t>
  </si>
  <si>
    <t>18 AL 23 ENERO/ 2023</t>
  </si>
  <si>
    <t>FORMALETA30 X 1,20</t>
  </si>
  <si>
    <t>FORMALETA20 X 1,20</t>
  </si>
  <si>
    <t>ANGULOS 2,4</t>
  </si>
  <si>
    <t>RECIBO INMUEBLE</t>
  </si>
  <si>
    <t>DEPOSITO : $400,000</t>
  </si>
  <si>
    <t>CERCHA MTS</t>
  </si>
  <si>
    <t>PARALES 4 MTS</t>
  </si>
  <si>
    <t xml:space="preserve">DIEGO GUTIERREZ </t>
  </si>
  <si>
    <t>7 DIAS</t>
  </si>
  <si>
    <t>FORMALETA 30X 1,20</t>
  </si>
  <si>
    <t>SECCION DE ANDAMIO</t>
  </si>
  <si>
    <t>CERCHA DE 3 MTS</t>
  </si>
  <si>
    <t>SUB-TOTAL DIARIO INCLUIDO IVA</t>
  </si>
  <si>
    <t>7 DIAS INCLUIDO IVA</t>
  </si>
  <si>
    <t>COTIZACION 4 COLUMNAS DE 30 X 20 X 240</t>
  </si>
  <si>
    <t>CARRERA 23 # 7-25</t>
  </si>
  <si>
    <t>FUNDACION SHADDAY.NANCY: 3153827155</t>
  </si>
  <si>
    <t>LLEVADA Y TRAIDA</t>
  </si>
  <si>
    <t>VALOR 7 DIAS INCLUIDO IVA</t>
  </si>
  <si>
    <t>TOTAL7 DIAS CON TRANSPORTE</t>
  </si>
  <si>
    <t>RERQUISITOS</t>
  </si>
  <si>
    <t>VIA MIRAMANGA CASA 24 SECTOR 1FIDEL: 3153808644</t>
  </si>
  <si>
    <t>ENERO 30 A FEBRERO 13</t>
  </si>
  <si>
    <t>BANDAS 40 X 140</t>
  </si>
  <si>
    <t>CERCHA 1,5 MTS</t>
  </si>
  <si>
    <t>CERCHA 2 MTS</t>
  </si>
  <si>
    <t>SECCION DE ANDAMIOS</t>
  </si>
  <si>
    <t xml:space="preserve">FORMALETA 30 X 120 </t>
  </si>
  <si>
    <t xml:space="preserve">CHAPETAS </t>
  </si>
  <si>
    <t xml:space="preserve">ANGULOS 2,4 MTS </t>
  </si>
  <si>
    <t xml:space="preserve">5 DIAS </t>
  </si>
  <si>
    <t>MATANZA . Maestro juan: 3112930796</t>
  </si>
  <si>
    <t xml:space="preserve">LLEVADA </t>
  </si>
  <si>
    <t xml:space="preserve">FEBRERO 1 AL 15 </t>
  </si>
  <si>
    <t xml:space="preserve">                                                                                                                   </t>
  </si>
  <si>
    <t>CARRERA 17 # 7 -36</t>
  </si>
  <si>
    <t>TABLERO40 X 1,40</t>
  </si>
  <si>
    <t>LEONARDO AGUILAR:3184366088</t>
  </si>
  <si>
    <t xml:space="preserve">FORMALETA 20 X 120 </t>
  </si>
  <si>
    <t xml:space="preserve">CERCHAS 2 MTS </t>
  </si>
  <si>
    <t>FORMALETA  15 X 120</t>
  </si>
  <si>
    <t>FORMALETA 10 X 120</t>
  </si>
  <si>
    <t xml:space="preserve">ANGULOS 1,20 MTS 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</si>
  <si>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</si>
  <si>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IVA 19%</t>
  </si>
  <si>
    <t>BIOCOMBUSTIBLES</t>
  </si>
  <si>
    <t>PREFACTURA ANDAMIOS Y TABLONES Y RUEDAS</t>
  </si>
  <si>
    <t>FEBRERO 1 AL 3</t>
  </si>
  <si>
    <t xml:space="preserve">COTIZACION TRAMO DE PLACA </t>
  </si>
  <si>
    <t>FORMALETAS DE 60 X 120</t>
  </si>
  <si>
    <t>VALOR COTIZACION</t>
  </si>
  <si>
    <t>PARALES DE 4 MTS</t>
  </si>
  <si>
    <t>CERCHAS 1, 1,2</t>
  </si>
  <si>
    <t>FORMALETAS DE 25 X 120</t>
  </si>
  <si>
    <t>SECCIONES DE  ANDAMIO 1,5 M</t>
  </si>
  <si>
    <t>RUEDASNIVELADORAS</t>
  </si>
  <si>
    <t>ALQUILER 5 DIAS</t>
  </si>
  <si>
    <t>CEDULA DE REPRESENTE LEGAL</t>
  </si>
  <si>
    <t xml:space="preserve">CAMARA DE COMERCIO </t>
  </si>
  <si>
    <t>JULIAN GARCIA</t>
  </si>
  <si>
    <t>JOHANA GOMEZ: 3182687444.CALLE 8 # 19 -37. AMARANTHUS</t>
  </si>
  <si>
    <t>FEBRERO 18AL 12</t>
  </si>
  <si>
    <t>FORMALETA METALICA 15 X 120</t>
  </si>
  <si>
    <t>POLIMYS</t>
  </si>
  <si>
    <t>ALINEADORES 6 MTS</t>
  </si>
  <si>
    <t>ANTONIO GUTIERREZ: 3165259054</t>
  </si>
  <si>
    <t>FERRETERIA VENADO DE ORO</t>
  </si>
  <si>
    <t>COLUMNAS</t>
  </si>
  <si>
    <t>FORMALETAS DE 40 X 120</t>
  </si>
  <si>
    <t>FORMALETAS DE 20 X 120</t>
  </si>
  <si>
    <t>ANGULOS 120</t>
  </si>
  <si>
    <t>CHAPETAS REDONDAS</t>
  </si>
  <si>
    <t>TOTAL</t>
  </si>
  <si>
    <t>CANCELADO</t>
  </si>
  <si>
    <t>FEBRERO 2 AL 5</t>
  </si>
  <si>
    <t>FEBRERO 6 AL 20</t>
  </si>
  <si>
    <t>CANCELADOS</t>
  </si>
  <si>
    <t xml:space="preserve">abono </t>
  </si>
  <si>
    <t>LEONARDO ARIAS: 3182927727</t>
  </si>
  <si>
    <t>OBRA: CRA 35 CON CALLE 48</t>
  </si>
  <si>
    <t>RECIBO SERVIVIOS PUBLICOS INMUEBLE</t>
  </si>
  <si>
    <t>CERCHAS 2</t>
  </si>
  <si>
    <t>CERCHA 1 MTS</t>
  </si>
  <si>
    <t>CALLE 6 No 20 -23</t>
  </si>
  <si>
    <t>RECIBO DE INMUEBLE</t>
  </si>
  <si>
    <t>EFRAIN ACOSTA : 3102822544</t>
  </si>
  <si>
    <t>FEBRERO 11 AL 22</t>
  </si>
  <si>
    <t>BANDAS DE MADERA 40 X 100</t>
  </si>
  <si>
    <t>NOTA: EL ALQUILER SE COBRA DESDE EL DIA QUE SALE HASTA CUANDO ENTRA INCLUYENDO FESTIVOS</t>
  </si>
  <si>
    <t>ALQUILER 5DIAS</t>
  </si>
  <si>
    <t>RICARDO OSORIO: 3234950254</t>
  </si>
  <si>
    <t>secciones de andamio 1,5</t>
  </si>
  <si>
    <t>SAN ALONSOCALLE 18 No. 32-62 Apartamento 504</t>
  </si>
  <si>
    <t xml:space="preserve">PREFACTURA ANDAMIOS Y TABLONES </t>
  </si>
  <si>
    <t>FEBRERO 15/2023</t>
  </si>
  <si>
    <t>FEBRERO 15 /2023</t>
  </si>
  <si>
    <t>COTIZACION 3 COLUMNAS 25 X 25 X 240</t>
  </si>
  <si>
    <t>FEBRERO 17 AL 21/ 2023</t>
  </si>
  <si>
    <t>DETRÁS DE LA UIS</t>
  </si>
  <si>
    <t>FEBREO 7 AL 15</t>
  </si>
  <si>
    <t>ANGULOS 60 CMS</t>
  </si>
  <si>
    <t>ANGULOS 120CMS</t>
  </si>
  <si>
    <t>ALINEADORES 2 MTS</t>
  </si>
  <si>
    <t>ALINEADORES 2, 5 MTS</t>
  </si>
  <si>
    <t>CORBATAS MURO e= 20</t>
  </si>
  <si>
    <t>GUSTAVO ROZO</t>
  </si>
  <si>
    <t>TANQUE</t>
  </si>
  <si>
    <t>AL LADO BAVARIA 2</t>
  </si>
  <si>
    <t>RINCONERAS 10 X 10 X 120</t>
  </si>
  <si>
    <t>MAYERLY JAIMES:3168323518</t>
  </si>
  <si>
    <t>FORMALETA40X 1,20</t>
  </si>
  <si>
    <t>FORMALETA 25X 1,20</t>
  </si>
  <si>
    <t>PARALES1 MTS</t>
  </si>
  <si>
    <t>VALOR DIARIO INCLUIDO IVA</t>
  </si>
  <si>
    <t>VALOR 5 DIAS INCLUIDO IVA</t>
  </si>
  <si>
    <t>CEDULA DE RESPONSABLE</t>
  </si>
  <si>
    <t>RUT EMPRESA</t>
  </si>
  <si>
    <t>PAGO ALQUILER POR 5 DIAS MINIMO</t>
  </si>
  <si>
    <t>OBRA SAN MIGUEL: CALLE 50 A # 15-63</t>
  </si>
  <si>
    <t>PESO MATERIAL : 6 TONELADAS</t>
  </si>
  <si>
    <t>EQUIORIENTE: 900206780-7</t>
  </si>
  <si>
    <t>COTIZACION MURO DE CONTENCION</t>
  </si>
  <si>
    <t>MAURICIO GONSALEZ: 3173876421</t>
  </si>
  <si>
    <t>VALOR DIARIO</t>
  </si>
  <si>
    <t>VALOR TOTAL</t>
  </si>
  <si>
    <t>FORMALETAS DE 50 X 120</t>
  </si>
  <si>
    <t>FORMALETAS DE40 X 120</t>
  </si>
  <si>
    <t>FORMALETAS DE 45 X 120</t>
  </si>
  <si>
    <t>FORMALETAS DE 55 X 120</t>
  </si>
  <si>
    <t>CORBATAS PARA MURO e=25</t>
  </si>
  <si>
    <t>RINCONERAS 120</t>
  </si>
  <si>
    <t>ANGULOS DE 120</t>
  </si>
  <si>
    <t xml:space="preserve">VEREDA VERICUTE. </t>
  </si>
  <si>
    <t xml:space="preserve">DEPOSITO </t>
  </si>
  <si>
    <t>FORMATOP DE CLIENTES</t>
  </si>
  <si>
    <t>RECIBO DE SERVICIOS PUBLICOS</t>
  </si>
  <si>
    <t>FORMALETAS DE30X 120</t>
  </si>
  <si>
    <t>FORMALETAS DE10 X 120</t>
  </si>
  <si>
    <t>PARALES3,5 MTS</t>
  </si>
  <si>
    <t>HERVIN VARGAS: 3186200402</t>
  </si>
  <si>
    <t>LA JUVENTUD. CARRERA 20 # 2N A -30</t>
  </si>
  <si>
    <t>PLACA CASA</t>
  </si>
  <si>
    <t>FORMALETAS DE30X 60</t>
  </si>
  <si>
    <t>MAESTRO RAMON:3237619353</t>
  </si>
  <si>
    <t>CARRERA 16 CALLE 7 ESQUINA</t>
  </si>
  <si>
    <t>CORBATAS MURO e=30cm</t>
  </si>
  <si>
    <t>SECCION ANDAMIO VERDE</t>
  </si>
  <si>
    <t>TABLON</t>
  </si>
  <si>
    <t>2 AL 31 DE MARZO /2023</t>
  </si>
  <si>
    <t>POLEAS 30 MTS</t>
  </si>
  <si>
    <t>TABLERO 70 X 1,40 MTS</t>
  </si>
  <si>
    <t>PASAMANOS 6 MTS</t>
  </si>
  <si>
    <t>PASAMANOS 3 MTS</t>
  </si>
  <si>
    <t>VALOPR UNITARIO</t>
  </si>
  <si>
    <t>ALINEADOR DE 3 MTS</t>
  </si>
  <si>
    <t>VALOR ALQUILER 10 DIAS</t>
  </si>
  <si>
    <t>VALOR LLEVADA Y TRAIDA</t>
  </si>
  <si>
    <t>VALOR UNITARIO</t>
  </si>
  <si>
    <t>ANGULO DE 6 MTS</t>
  </si>
  <si>
    <t>EMA SANCHEZ</t>
  </si>
  <si>
    <t>PARALES3 MTS</t>
  </si>
  <si>
    <t>CERCHAS 2 MTS</t>
  </si>
  <si>
    <t>LLENAR FORMATO DE FORMATO DE CLIENTES</t>
  </si>
  <si>
    <t>DEPOSITO : $1.200.000</t>
  </si>
  <si>
    <t>LA JUVENTUD</t>
  </si>
  <si>
    <t>EUGENIO ESTEBAN VARGAS: 3143291613</t>
  </si>
  <si>
    <t>CARRERA 23 # 11-79</t>
  </si>
  <si>
    <t>DIEGO JAIMES : 3107984517</t>
  </si>
  <si>
    <t xml:space="preserve">DEPOSITO: </t>
  </si>
  <si>
    <t xml:space="preserve">CEDULA </t>
  </si>
  <si>
    <t>3 COLUMNAS 25X 25 X120</t>
  </si>
  <si>
    <t>8 al 22 de MARZO</t>
  </si>
  <si>
    <t>ABONO</t>
  </si>
  <si>
    <t>PESO UNITARIO</t>
  </si>
  <si>
    <t>POLEAS CON GUAYA 30 MTS</t>
  </si>
  <si>
    <t>ANGULOS 6 MTS</t>
  </si>
  <si>
    <t>ANGULOS 3 MTS</t>
  </si>
  <si>
    <t>ROSA EMMA SANCHEZ : 31668206794</t>
  </si>
  <si>
    <t>10DIAS</t>
  </si>
  <si>
    <t>COTIZACION POLEAS COLSEGUROS</t>
  </si>
  <si>
    <t>SUB TOTAL</t>
  </si>
  <si>
    <t>CANCELO ALQUILER</t>
  </si>
  <si>
    <t>TABLONES DE 250</t>
  </si>
  <si>
    <t>FORMALETAS D 60X 120</t>
  </si>
  <si>
    <t>CERCHA DE 3M TS</t>
  </si>
  <si>
    <t>CERCHA 1,22 MTS</t>
  </si>
  <si>
    <t xml:space="preserve">DEPOSITO  </t>
  </si>
  <si>
    <t>AURA : PLACA CASA 12,8 X 7,8</t>
  </si>
  <si>
    <t>TABLERO DE MADERA 70 X 140</t>
  </si>
  <si>
    <t>CERCHA 1MTS</t>
  </si>
  <si>
    <t>FORMALETAS 30 X 120</t>
  </si>
  <si>
    <t>MATERIAL EN VENTA DICIEMBRE /2022</t>
  </si>
  <si>
    <t>DESCRIPCION</t>
  </si>
  <si>
    <t>CANT.</t>
  </si>
  <si>
    <t xml:space="preserve">VALOR EN VENTA </t>
  </si>
  <si>
    <t>TOTAL MATERIAL EN VENTA</t>
  </si>
  <si>
    <t>MARZ0 13 AL 27/2023</t>
  </si>
  <si>
    <t>COTIZACION POLEAS MIRADOR</t>
  </si>
  <si>
    <t>CARRERA 15 A  # 3-05</t>
  </si>
  <si>
    <t>MAXIMINO ROJAS:3186911404</t>
  </si>
  <si>
    <t>ANGULOS 240</t>
  </si>
  <si>
    <t>PARALES 3,5 MTS</t>
  </si>
  <si>
    <t>FORMATO CLIENTEAS</t>
  </si>
  <si>
    <t>FORMALETA PARA 4 COLUMNAS 30 X30 X260</t>
  </si>
  <si>
    <t>FORMALETA 60 X 120</t>
  </si>
  <si>
    <t>MARZO 17 AL 31</t>
  </si>
  <si>
    <t>PLACA VILLA LUZ Maestro juan: 3112930796</t>
  </si>
  <si>
    <t>RECIBO DEL INMUEBLE DONDE ESTA MATERIAL</t>
  </si>
  <si>
    <t>ALBEIRO LOPEZ:3186318497</t>
  </si>
  <si>
    <t>BARRIO DIVINO NIÑO</t>
  </si>
  <si>
    <t>PARALES 4MTS</t>
  </si>
  <si>
    <t>REQUIISITOS</t>
  </si>
  <si>
    <t>TABLONES 3 MTS</t>
  </si>
  <si>
    <t>FOTOCOPIA  CEDULA</t>
  </si>
  <si>
    <t>RECIBO IMPUEST PREDIAL INMUEBLE AÑO 2023</t>
  </si>
  <si>
    <t>CERCHAS 1 MTS</t>
  </si>
  <si>
    <t>MARIO ACOSTA:</t>
  </si>
  <si>
    <t>MARZO 22 AL 26 /2023</t>
  </si>
  <si>
    <t>COTIZACION 2COLUMNAS 20 X 20 X 240</t>
  </si>
  <si>
    <t>5 COLUMNAS 30 X 30 X 300</t>
  </si>
  <si>
    <t>BARRIO MINUT0 DE DIOS</t>
  </si>
  <si>
    <t>COTIZACION</t>
  </si>
  <si>
    <t>DECORACIONES SANTANDER: 3158917009</t>
  </si>
  <si>
    <t>CALLE 45 # 21-59</t>
  </si>
  <si>
    <t>ALQUILER5DIAS</t>
  </si>
  <si>
    <t>RUT DE LA EMPRESA O FOTOCOPIA CEDULA RESPONDABLE</t>
  </si>
  <si>
    <t>RECIBO SERVICIOS PUBLICOS DEL INMUEBLE INFERIOR A 3 MESES</t>
  </si>
  <si>
    <t>SAUL DUARTE: 3152932943</t>
  </si>
  <si>
    <t>FORMALETA 40 x 120</t>
  </si>
  <si>
    <t>FORMALETA 50x 120</t>
  </si>
  <si>
    <t>DISTANCIADORES DE 40 CMS</t>
  </si>
  <si>
    <t>BANDAS DE MADERA 50 X140</t>
  </si>
  <si>
    <t>CERCHA 1,2  MTS</t>
  </si>
  <si>
    <t xml:space="preserve">CALLE 31 No 25-12 PLACA 7,5 X 19 </t>
  </si>
  <si>
    <t>CALLE 31 No 25-12.  4 COLUMNAS 40X 40 Y 1 COLUMNA DE 40 X 50</t>
  </si>
  <si>
    <t>IMPUIESTO PREDIAL</t>
  </si>
  <si>
    <t>FOTOCOPIA DE LA CEDULA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</si>
</sst>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\ #,##0;[Red]\-&quot;$&quot;\ #,##0"/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&quot;$&quot;\ #,##0"/>
    <numFmt numFmtId="168" formatCode="[$$-240A]#,##0;\([$$-240A]#,##0\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20"/>
      <color theme="1"/>
      <name val="Arial Black"/>
      <family val="2"/>
    </font>
    <font>
      <sz val="11"/>
      <color theme="1"/>
      <name val="Arial Black"/>
      <family val="2"/>
    </font>
    <font>
      <b/>
      <sz val="14"/>
      <color theme="1"/>
      <name val="Arial Black"/>
      <family val="2"/>
    </font>
    <font>
      <sz val="16"/>
      <color theme="1"/>
      <name val="Arial Black"/>
      <family val="2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 Black"/>
      <family val="2"/>
    </font>
    <font>
      <sz val="10"/>
      <color theme="1"/>
      <name val="Calibri"/>
      <family val="2"/>
      <scheme val="minor"/>
    </font>
    <font>
      <b/>
      <sz val="12"/>
      <color theme="1"/>
      <name val="Arial Black"/>
      <family val="2"/>
    </font>
    <font>
      <b/>
      <sz val="9"/>
      <color theme="1"/>
      <name val="Calibri"/>
      <family val="2"/>
      <scheme val="minor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Calibri"/>
      <family val="2"/>
      <scheme val="minor"/>
    </font>
    <font>
      <sz val="9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5">
    <xf numFmtId="0" fontId="0" fillId="0" borderId="0" xfId="0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164" fontId="0" fillId="3" borderId="5" xfId="1" applyNumberFormat="1" applyFont="1" applyFill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164" fontId="6" fillId="4" borderId="5" xfId="1" applyNumberFormat="1" applyFont="1" applyFill="1" applyBorder="1"/>
    <xf numFmtId="164" fontId="6" fillId="4" borderId="11" xfId="1" applyNumberFormat="1" applyFont="1" applyFill="1" applyBorder="1"/>
    <xf numFmtId="164" fontId="7" fillId="5" borderId="16" xfId="1" applyNumberFormat="1" applyFont="1" applyFill="1" applyBorder="1"/>
    <xf numFmtId="0" fontId="0" fillId="0" borderId="18" xfId="0" applyBorder="1"/>
    <xf numFmtId="0" fontId="0" fillId="0" borderId="6" xfId="0" applyBorder="1" applyAlignment="1">
      <alignment horizontal="center"/>
    </xf>
    <xf numFmtId="6" fontId="0" fillId="0" borderId="0" xfId="0" applyNumberFormat="1"/>
    <xf numFmtId="0" fontId="0" fillId="3" borderId="5" xfId="0" applyFill="1" applyBorder="1" applyAlignment="1">
      <alignment horizontal="center"/>
    </xf>
    <xf numFmtId="4" fontId="0" fillId="0" borderId="5" xfId="0" applyNumberFormat="1" applyBorder="1"/>
    <xf numFmtId="164" fontId="6" fillId="6" borderId="5" xfId="1" applyNumberFormat="1" applyFont="1" applyFill="1" applyBorder="1"/>
    <xf numFmtId="0" fontId="6" fillId="0" borderId="6" xfId="0" applyFont="1" applyBorder="1"/>
    <xf numFmtId="164" fontId="6" fillId="0" borderId="16" xfId="1" applyNumberFormat="1" applyFont="1" applyBorder="1"/>
    <xf numFmtId="164" fontId="6" fillId="4" borderId="16" xfId="1" applyNumberFormat="1" applyFont="1" applyFill="1" applyBorder="1"/>
    <xf numFmtId="0" fontId="11" fillId="0" borderId="0" xfId="0" applyFont="1"/>
    <xf numFmtId="0" fontId="2" fillId="0" borderId="5" xfId="0" applyFont="1" applyBorder="1" applyAlignment="1">
      <alignment horizontal="center" wrapText="1"/>
    </xf>
    <xf numFmtId="0" fontId="0" fillId="0" borderId="5" xfId="0" applyBorder="1"/>
    <xf numFmtId="164" fontId="0" fillId="0" borderId="5" xfId="1" applyNumberFormat="1" applyFont="1" applyBorder="1" applyAlignment="1"/>
    <xf numFmtId="165" fontId="0" fillId="0" borderId="5" xfId="1" applyNumberFormat="1" applyFont="1" applyFill="1" applyBorder="1"/>
    <xf numFmtId="164" fontId="0" fillId="0" borderId="5" xfId="1" applyNumberFormat="1" applyFont="1" applyFill="1" applyBorder="1"/>
    <xf numFmtId="2" fontId="0" fillId="0" borderId="5" xfId="1" applyNumberFormat="1" applyFont="1" applyFill="1" applyBorder="1" applyAlignment="1">
      <alignment horizontal="right"/>
    </xf>
    <xf numFmtId="165" fontId="0" fillId="0" borderId="5" xfId="1" applyNumberFormat="1" applyFont="1" applyBorder="1"/>
    <xf numFmtId="0" fontId="6" fillId="0" borderId="5" xfId="0" applyFont="1" applyBorder="1"/>
    <xf numFmtId="164" fontId="6" fillId="0" borderId="5" xfId="1" applyNumberFormat="1" applyFont="1" applyBorder="1"/>
    <xf numFmtId="0" fontId="12" fillId="0" borderId="5" xfId="0" applyFont="1" applyBorder="1" applyAlignment="1">
      <alignment wrapText="1"/>
    </xf>
    <xf numFmtId="165" fontId="0" fillId="0" borderId="0" xfId="1" applyNumberFormat="1" applyFont="1"/>
    <xf numFmtId="0" fontId="2" fillId="0" borderId="32" xfId="0" applyFont="1" applyBorder="1" applyAlignment="1">
      <alignment horizontal="center"/>
    </xf>
    <xf numFmtId="164" fontId="6" fillId="6" borderId="27" xfId="1" applyNumberFormat="1" applyFont="1" applyFill="1" applyBorder="1"/>
    <xf numFmtId="164" fontId="6" fillId="0" borderId="36" xfId="1" applyNumberFormat="1" applyFont="1" applyBorder="1"/>
    <xf numFmtId="164" fontId="6" fillId="7" borderId="36" xfId="1" applyNumberFormat="1" applyFont="1" applyFill="1" applyBorder="1"/>
    <xf numFmtId="164" fontId="7" fillId="5" borderId="28" xfId="1" applyNumberFormat="1" applyFont="1" applyFill="1" applyBorder="1"/>
    <xf numFmtId="164" fontId="6" fillId="8" borderId="5" xfId="1" applyNumberFormat="1" applyFont="1" applyFill="1" applyBorder="1"/>
    <xf numFmtId="164" fontId="6" fillId="7" borderId="5" xfId="1" applyNumberFormat="1" applyFont="1" applyFill="1" applyBorder="1"/>
    <xf numFmtId="164" fontId="6" fillId="9" borderId="11" xfId="1" applyNumberFormat="1" applyFont="1" applyFill="1" applyBorder="1"/>
    <xf numFmtId="0" fontId="0" fillId="9" borderId="0" xfId="0" applyFill="1"/>
    <xf numFmtId="0" fontId="0" fillId="7" borderId="0" xfId="0" applyFill="1"/>
    <xf numFmtId="0" fontId="0" fillId="5" borderId="0" xfId="0" applyFill="1"/>
    <xf numFmtId="0" fontId="14" fillId="0" borderId="0" xfId="0" applyFont="1"/>
    <xf numFmtId="44" fontId="14" fillId="0" borderId="0" xfId="1" applyFont="1"/>
    <xf numFmtId="165" fontId="14" fillId="0" borderId="0" xfId="1" applyNumberFormat="1" applyFont="1"/>
    <xf numFmtId="1" fontId="6" fillId="0" borderId="6" xfId="0" applyNumberFormat="1" applyFont="1" applyBorder="1"/>
    <xf numFmtId="0" fontId="11" fillId="0" borderId="4" xfId="0" applyFont="1" applyBorder="1"/>
    <xf numFmtId="0" fontId="2" fillId="3" borderId="5" xfId="0" applyFont="1" applyFill="1" applyBorder="1" applyAlignment="1">
      <alignment horizontal="center"/>
    </xf>
    <xf numFmtId="14" fontId="6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164" fontId="6" fillId="3" borderId="0" xfId="1" applyNumberFormat="1" applyFont="1" applyFill="1" applyBorder="1"/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0" borderId="6" xfId="0" applyFont="1" applyBorder="1" applyAlignment="1">
      <alignment horizontal="center" wrapText="1"/>
    </xf>
    <xf numFmtId="0" fontId="12" fillId="0" borderId="4" xfId="0" applyFont="1" applyBorder="1" applyAlignment="1">
      <alignment wrapText="1"/>
    </xf>
    <xf numFmtId="165" fontId="2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 applyFill="1" applyBorder="1"/>
    <xf numFmtId="0" fontId="0" fillId="0" borderId="39" xfId="0" applyBorder="1"/>
    <xf numFmtId="0" fontId="0" fillId="0" borderId="25" xfId="0" applyBorder="1"/>
    <xf numFmtId="2" fontId="0" fillId="0" borderId="0" xfId="1" applyNumberFormat="1" applyFont="1" applyFill="1" applyBorder="1" applyAlignment="1">
      <alignment horizontal="right"/>
    </xf>
    <xf numFmtId="166" fontId="2" fillId="0" borderId="0" xfId="1" applyNumberFormat="1" applyFont="1" applyFill="1" applyBorder="1" applyAlignment="1">
      <alignment horizontal="center"/>
    </xf>
    <xf numFmtId="0" fontId="16" fillId="0" borderId="4" xfId="0" applyFont="1" applyBorder="1"/>
    <xf numFmtId="0" fontId="16" fillId="0" borderId="4" xfId="0" applyFont="1" applyBorder="1" applyAlignment="1">
      <alignment wrapText="1"/>
    </xf>
    <xf numFmtId="0" fontId="10" fillId="0" borderId="5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164" fontId="16" fillId="0" borderId="5" xfId="1" applyNumberFormat="1" applyFont="1" applyBorder="1" applyAlignment="1"/>
    <xf numFmtId="4" fontId="16" fillId="0" borderId="5" xfId="0" applyNumberFormat="1" applyFont="1" applyBorder="1"/>
    <xf numFmtId="0" fontId="16" fillId="0" borderId="6" xfId="0" applyFont="1" applyBorder="1" applyAlignment="1">
      <alignment horizontal="center"/>
    </xf>
    <xf numFmtId="165" fontId="16" fillId="0" borderId="5" xfId="1" applyNumberFormat="1" applyFont="1" applyFill="1" applyBorder="1"/>
    <xf numFmtId="2" fontId="16" fillId="0" borderId="5" xfId="1" applyNumberFormat="1" applyFont="1" applyFill="1" applyBorder="1" applyAlignment="1">
      <alignment horizontal="right"/>
    </xf>
    <xf numFmtId="164" fontId="0" fillId="0" borderId="0" xfId="0" applyNumberFormat="1"/>
    <xf numFmtId="164" fontId="17" fillId="5" borderId="16" xfId="1" applyNumberFormat="1" applyFont="1" applyFill="1" applyBorder="1"/>
    <xf numFmtId="0" fontId="2" fillId="0" borderId="3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27" xfId="0" applyFont="1" applyBorder="1" applyAlignment="1">
      <alignment horizontal="center"/>
    </xf>
    <xf numFmtId="164" fontId="0" fillId="0" borderId="5" xfId="1" applyNumberFormat="1" applyFont="1" applyFill="1" applyBorder="1" applyAlignment="1"/>
    <xf numFmtId="0" fontId="0" fillId="0" borderId="34" xfId="0" applyBorder="1"/>
    <xf numFmtId="165" fontId="0" fillId="0" borderId="0" xfId="1" applyNumberFormat="1" applyFont="1" applyBorder="1"/>
    <xf numFmtId="0" fontId="0" fillId="0" borderId="40" xfId="0" applyBorder="1"/>
    <xf numFmtId="0" fontId="2" fillId="3" borderId="5" xfId="0" applyFont="1" applyFill="1" applyBorder="1" applyAlignment="1">
      <alignment horizontal="center" wrapText="1"/>
    </xf>
    <xf numFmtId="0" fontId="12" fillId="3" borderId="5" xfId="0" applyFont="1" applyFill="1" applyBorder="1" applyAlignment="1">
      <alignment wrapText="1"/>
    </xf>
    <xf numFmtId="164" fontId="0" fillId="3" borderId="5" xfId="1" applyNumberFormat="1" applyFont="1" applyFill="1" applyBorder="1" applyAlignment="1"/>
    <xf numFmtId="4" fontId="0" fillId="3" borderId="5" xfId="0" applyNumberFormat="1" applyFill="1" applyBorder="1"/>
    <xf numFmtId="0" fontId="0" fillId="3" borderId="5" xfId="0" applyFill="1" applyBorder="1"/>
    <xf numFmtId="165" fontId="0" fillId="3" borderId="5" xfId="1" applyNumberFormat="1" applyFont="1" applyFill="1" applyBorder="1"/>
    <xf numFmtId="2" fontId="0" fillId="3" borderId="5" xfId="1" applyNumberFormat="1" applyFont="1" applyFill="1" applyBorder="1" applyAlignment="1">
      <alignment horizontal="right"/>
    </xf>
    <xf numFmtId="164" fontId="6" fillId="3" borderId="5" xfId="1" applyNumberFormat="1" applyFont="1" applyFill="1" applyBorder="1"/>
    <xf numFmtId="0" fontId="6" fillId="3" borderId="5" xfId="0" applyFont="1" applyFill="1" applyBorder="1"/>
    <xf numFmtId="165" fontId="2" fillId="3" borderId="0" xfId="1" applyNumberFormat="1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167" fontId="20" fillId="3" borderId="5" xfId="1" applyNumberFormat="1" applyFont="1" applyFill="1" applyBorder="1" applyAlignment="1">
      <alignment horizontal="center"/>
    </xf>
    <xf numFmtId="168" fontId="20" fillId="3" borderId="5" xfId="0" applyNumberFormat="1" applyFont="1" applyFill="1" applyBorder="1"/>
    <xf numFmtId="167" fontId="20" fillId="0" borderId="5" xfId="1" applyNumberFormat="1" applyFont="1" applyFill="1" applyBorder="1" applyAlignment="1">
      <alignment horizontal="center" vertical="top"/>
    </xf>
    <xf numFmtId="0" fontId="20" fillId="7" borderId="5" xfId="0" applyFont="1" applyFill="1" applyBorder="1" applyAlignment="1">
      <alignment horizontal="center"/>
    </xf>
    <xf numFmtId="0" fontId="20" fillId="7" borderId="5" xfId="0" applyFont="1" applyFill="1" applyBorder="1" applyAlignment="1">
      <alignment horizontal="center" vertical="top"/>
    </xf>
    <xf numFmtId="0" fontId="19" fillId="10" borderId="5" xfId="0" applyFont="1" applyFill="1" applyBorder="1"/>
    <xf numFmtId="0" fontId="20" fillId="10" borderId="5" xfId="0" applyFont="1" applyFill="1" applyBorder="1" applyAlignment="1">
      <alignment horizontal="center"/>
    </xf>
    <xf numFmtId="164" fontId="20" fillId="10" borderId="5" xfId="1" applyNumberFormat="1" applyFont="1" applyFill="1" applyBorder="1" applyAlignment="1">
      <alignment horizontal="center"/>
    </xf>
    <xf numFmtId="0" fontId="20" fillId="10" borderId="5" xfId="0" applyFont="1" applyFill="1" applyBorder="1"/>
    <xf numFmtId="0" fontId="20" fillId="3" borderId="5" xfId="0" applyFont="1" applyFill="1" applyBorder="1" applyAlignment="1">
      <alignment horizontal="left"/>
    </xf>
    <xf numFmtId="168" fontId="21" fillId="3" borderId="5" xfId="0" applyNumberFormat="1" applyFont="1" applyFill="1" applyBorder="1"/>
    <xf numFmtId="168" fontId="0" fillId="0" borderId="5" xfId="0" applyNumberFormat="1" applyBorder="1"/>
    <xf numFmtId="0" fontId="2" fillId="0" borderId="12" xfId="0" applyFont="1" applyBorder="1" applyAlignment="1">
      <alignment horizontal="center"/>
    </xf>
    <xf numFmtId="0" fontId="0" fillId="4" borderId="5" xfId="0" applyFill="1" applyBorder="1" applyAlignment="1">
      <alignment horizontal="center"/>
    </xf>
    <xf numFmtId="164" fontId="0" fillId="0" borderId="12" xfId="1" applyNumberFormat="1" applyFont="1" applyBorder="1"/>
    <xf numFmtId="0" fontId="2" fillId="4" borderId="5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164" fontId="6" fillId="0" borderId="11" xfId="1" applyNumberFormat="1" applyFont="1" applyBorder="1"/>
    <xf numFmtId="164" fontId="17" fillId="4" borderId="16" xfId="0" applyNumberFormat="1" applyFont="1" applyFill="1" applyBorder="1"/>
    <xf numFmtId="165" fontId="2" fillId="0" borderId="0" xfId="1" applyNumberFormat="1" applyFont="1"/>
    <xf numFmtId="0" fontId="0" fillId="0" borderId="44" xfId="0" applyBorder="1" applyAlignment="1">
      <alignment horizontal="center"/>
    </xf>
    <xf numFmtId="0" fontId="24" fillId="12" borderId="4" xfId="0" applyFont="1" applyFill="1" applyBorder="1" applyAlignment="1">
      <alignment horizontal="center"/>
    </xf>
    <xf numFmtId="0" fontId="25" fillId="12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166" fontId="0" fillId="0" borderId="0" xfId="1" applyNumberFormat="1" applyFont="1"/>
    <xf numFmtId="0" fontId="0" fillId="13" borderId="5" xfId="0" applyFill="1" applyBorder="1" applyAlignment="1">
      <alignment horizontal="center"/>
    </xf>
    <xf numFmtId="0" fontId="18" fillId="0" borderId="0" xfId="0" applyFont="1"/>
    <xf numFmtId="0" fontId="26" fillId="0" borderId="0" xfId="0" applyFont="1"/>
    <xf numFmtId="0" fontId="2" fillId="0" borderId="5" xfId="0" applyFont="1" applyBorder="1" applyAlignment="1">
      <alignment horizontal="left"/>
    </xf>
    <xf numFmtId="14" fontId="5" fillId="4" borderId="4" xfId="0" applyNumberFormat="1" applyFont="1" applyFill="1" applyBorder="1" applyAlignment="1">
      <alignment horizontal="center" vertical="center" wrapText="1"/>
    </xf>
    <xf numFmtId="14" fontId="5" fillId="4" borderId="5" xfId="0" applyNumberFormat="1" applyFont="1" applyFill="1" applyBorder="1" applyAlignment="1">
      <alignment horizontal="center" vertical="center" wrapText="1"/>
    </xf>
    <xf numFmtId="14" fontId="5" fillId="4" borderId="10" xfId="0" applyNumberFormat="1" applyFont="1" applyFill="1" applyBorder="1" applyAlignment="1">
      <alignment horizontal="center" vertical="center" wrapText="1"/>
    </xf>
    <xf numFmtId="14" fontId="5" fillId="4" borderId="11" xfId="0" applyNumberFormat="1" applyFont="1" applyFill="1" applyBorder="1" applyAlignment="1">
      <alignment horizontal="center" vertical="center" wrapText="1"/>
    </xf>
    <xf numFmtId="14" fontId="5" fillId="4" borderId="15" xfId="0" applyNumberFormat="1" applyFont="1" applyFill="1" applyBorder="1" applyAlignment="1">
      <alignment horizontal="center" vertical="center" wrapText="1"/>
    </xf>
    <xf numFmtId="14" fontId="5" fillId="4" borderId="16" xfId="0" applyNumberFormat="1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8" fillId="0" borderId="5" xfId="0" applyFont="1" applyBorder="1" applyAlignment="1">
      <alignment horizontal="center" vertical="center"/>
    </xf>
    <xf numFmtId="14" fontId="8" fillId="4" borderId="4" xfId="0" applyNumberFormat="1" applyFont="1" applyFill="1" applyBorder="1" applyAlignment="1">
      <alignment horizontal="center" vertical="center" wrapText="1"/>
    </xf>
    <xf numFmtId="14" fontId="8" fillId="4" borderId="5" xfId="0" applyNumberFormat="1" applyFont="1" applyFill="1" applyBorder="1" applyAlignment="1">
      <alignment horizontal="center" vertical="center" wrapText="1"/>
    </xf>
    <xf numFmtId="14" fontId="8" fillId="4" borderId="10" xfId="0" applyNumberFormat="1" applyFont="1" applyFill="1" applyBorder="1" applyAlignment="1">
      <alignment horizontal="center" vertical="center" wrapText="1"/>
    </xf>
    <xf numFmtId="14" fontId="8" fillId="4" borderId="11" xfId="0" applyNumberFormat="1" applyFont="1" applyFill="1" applyBorder="1" applyAlignment="1">
      <alignment horizontal="center" vertical="center" wrapText="1"/>
    </xf>
    <xf numFmtId="14" fontId="8" fillId="4" borderId="15" xfId="0" applyNumberFormat="1" applyFont="1" applyFill="1" applyBorder="1" applyAlignment="1">
      <alignment horizontal="center" vertical="center" wrapText="1"/>
    </xf>
    <xf numFmtId="14" fontId="8" fillId="4" borderId="16" xfId="0" applyNumberFormat="1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22" fillId="0" borderId="5" xfId="0" applyFont="1" applyBorder="1" applyAlignment="1">
      <alignment horizontal="center" vertical="center"/>
    </xf>
    <xf numFmtId="0" fontId="9" fillId="4" borderId="42" xfId="0" applyFont="1" applyFill="1" applyBorder="1" applyAlignment="1">
      <alignment horizontal="center"/>
    </xf>
    <xf numFmtId="0" fontId="9" fillId="4" borderId="43" xfId="0" applyFont="1" applyFill="1" applyBorder="1" applyAlignment="1">
      <alignment horizontal="center"/>
    </xf>
    <xf numFmtId="0" fontId="4" fillId="2" borderId="4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13" fillId="0" borderId="38" xfId="0" applyFon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0" fontId="20" fillId="3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30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" fontId="15" fillId="4" borderId="34" xfId="0" applyNumberFormat="1" applyFont="1" applyFill="1" applyBorder="1" applyAlignment="1">
      <alignment horizontal="center" vertical="center" wrapText="1"/>
    </xf>
    <xf numFmtId="1" fontId="15" fillId="4" borderId="25" xfId="0" applyNumberFormat="1" applyFont="1" applyFill="1" applyBorder="1" applyAlignment="1">
      <alignment horizontal="center" vertical="center" wrapText="1"/>
    </xf>
    <xf numFmtId="1" fontId="15" fillId="4" borderId="35" xfId="0" applyNumberFormat="1" applyFont="1" applyFill="1" applyBorder="1" applyAlignment="1">
      <alignment horizontal="center" vertical="center" wrapText="1"/>
    </xf>
    <xf numFmtId="1" fontId="15" fillId="4" borderId="28" xfId="0" applyNumberFormat="1" applyFont="1" applyFill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14" fontId="6" fillId="4" borderId="5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14" fontId="6" fillId="3" borderId="5" xfId="0" applyNumberFormat="1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 wrapText="1"/>
    </xf>
    <xf numFmtId="14" fontId="6" fillId="4" borderId="15" xfId="0" applyNumberFormat="1" applyFont="1" applyFill="1" applyBorder="1" applyAlignment="1">
      <alignment horizontal="center" vertical="center" wrapText="1"/>
    </xf>
    <xf numFmtId="14" fontId="6" fillId="4" borderId="16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2" fillId="0" borderId="16" xfId="0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165" fontId="6" fillId="0" borderId="17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23" fillId="11" borderId="1" xfId="0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23" fillId="11" borderId="3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165" fontId="2" fillId="4" borderId="5" xfId="1" applyNumberFormat="1" applyFont="1" applyFill="1" applyBorder="1" applyAlignment="1">
      <alignment horizontal="center"/>
    </xf>
    <xf numFmtId="165" fontId="2" fillId="4" borderId="6" xfId="1" applyNumberFormat="1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" fontId="5" fillId="4" borderId="34" xfId="0" applyNumberFormat="1" applyFont="1" applyFill="1" applyBorder="1" applyAlignment="1">
      <alignment horizontal="center" vertical="center" wrapText="1"/>
    </xf>
    <xf numFmtId="1" fontId="5" fillId="4" borderId="25" xfId="0" applyNumberFormat="1" applyFont="1" applyFill="1" applyBorder="1" applyAlignment="1">
      <alignment horizontal="center" vertical="center" wrapText="1"/>
    </xf>
    <xf numFmtId="1" fontId="5" fillId="4" borderId="35" xfId="0" applyNumberFormat="1" applyFont="1" applyFill="1" applyBorder="1" applyAlignment="1">
      <alignment horizontal="center" vertical="center" wrapText="1"/>
    </xf>
    <xf numFmtId="1" fontId="5" fillId="4" borderId="28" xfId="0" applyNumberFormat="1" applyFont="1" applyFill="1" applyBorder="1" applyAlignment="1">
      <alignment horizontal="center" vertical="center" wrapText="1"/>
    </xf>
    <xf numFmtId="0" fontId="2" fillId="0" borderId="3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7" borderId="29" xfId="0" applyFont="1" applyFill="1" applyBorder="1" applyAlignment="1">
      <alignment horizontal="center"/>
    </xf>
    <xf numFmtId="0" fontId="2" fillId="7" borderId="30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5" borderId="29" xfId="0" applyFont="1" applyFill="1" applyBorder="1" applyAlignment="1">
      <alignment horizontal="center"/>
    </xf>
    <xf numFmtId="0" fontId="2" fillId="5" borderId="30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0</xdr:row>
      <xdr:rowOff>85725</xdr:rowOff>
    </xdr:from>
    <xdr:to>
      <xdr:col>2</xdr:col>
      <xdr:colOff>190500</xdr:colOff>
      <xdr:row>0</xdr:row>
      <xdr:rowOff>866775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292202-AE5B-4769-86A8-7422B1165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5725"/>
          <a:ext cx="1781175" cy="7810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466725</xdr:colOff>
      <xdr:row>0</xdr:row>
      <xdr:rowOff>85725</xdr:rowOff>
    </xdr:from>
    <xdr:to>
      <xdr:col>2</xdr:col>
      <xdr:colOff>190500</xdr:colOff>
      <xdr:row>0</xdr:row>
      <xdr:rowOff>866775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42699D-A718-F091-A043-286CE3FFE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85725"/>
          <a:ext cx="1781175" cy="7810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352D-A111-4460-81D8-56A21FA81FF1}">
  <dimension ref="A1:H55"/>
  <sheetViews>
    <sheetView topLeftCell="A40" workbookViewId="0">
      <selection activeCell="A41" sqref="A41:F55"/>
    </sheetView>
  </sheetViews>
  <sheetFormatPr baseColWidth="10" defaultRowHeight="15" x14ac:dyDescent="0.25"/>
  <cols>
    <col min="1" max="1" width="29.42578125" bestFit="1" customWidth="1"/>
    <col min="5" max="5" width="22.140625" customWidth="1"/>
    <col min="6" max="6" width="15.28515625" customWidth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8" x14ac:dyDescent="0.25">
      <c r="A2" s="139" t="s">
        <v>1</v>
      </c>
      <c r="B2" s="140"/>
      <c r="C2" s="140"/>
      <c r="D2" s="140"/>
      <c r="E2" s="140"/>
      <c r="F2" s="141"/>
    </row>
    <row r="3" spans="1:6" ht="18" x14ac:dyDescent="0.25">
      <c r="A3" s="142" t="s">
        <v>2</v>
      </c>
      <c r="B3" s="143"/>
      <c r="C3" s="143"/>
      <c r="D3" s="143"/>
      <c r="E3" s="143"/>
      <c r="F3" s="144"/>
    </row>
    <row r="4" spans="1:6" x14ac:dyDescent="0.25">
      <c r="A4" s="145" t="s">
        <v>3</v>
      </c>
      <c r="B4" s="146"/>
      <c r="C4" s="146"/>
      <c r="D4" s="146"/>
      <c r="E4" s="146"/>
      <c r="F4" s="147"/>
    </row>
    <row r="5" spans="1:6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6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6" x14ac:dyDescent="0.25">
      <c r="A7" s="3" t="s">
        <v>12</v>
      </c>
      <c r="B7" s="4">
        <v>5</v>
      </c>
      <c r="C7" s="4">
        <v>16</v>
      </c>
      <c r="D7" s="5">
        <v>250</v>
      </c>
      <c r="E7" s="6">
        <f>C7*D7</f>
        <v>4000</v>
      </c>
      <c r="F7" s="7">
        <f>B7*E7</f>
        <v>20000</v>
      </c>
    </row>
    <row r="8" spans="1:6" x14ac:dyDescent="0.25">
      <c r="A8" s="3" t="s">
        <v>13</v>
      </c>
      <c r="B8" s="4">
        <v>5</v>
      </c>
      <c r="C8" s="4">
        <v>16</v>
      </c>
      <c r="D8" s="5">
        <v>240</v>
      </c>
      <c r="E8" s="6">
        <f t="shared" ref="E8:E11" si="0">C8*D8</f>
        <v>3840</v>
      </c>
      <c r="F8" s="7">
        <f t="shared" ref="F8:F11" si="1">B8*E8</f>
        <v>19200</v>
      </c>
    </row>
    <row r="9" spans="1:6" x14ac:dyDescent="0.25">
      <c r="A9" s="3" t="s">
        <v>14</v>
      </c>
      <c r="B9" s="4">
        <v>5</v>
      </c>
      <c r="C9" s="4">
        <v>32</v>
      </c>
      <c r="D9" s="5">
        <v>40</v>
      </c>
      <c r="E9" s="6">
        <f t="shared" si="0"/>
        <v>1280</v>
      </c>
      <c r="F9" s="7">
        <f t="shared" si="1"/>
        <v>6400</v>
      </c>
    </row>
    <row r="10" spans="1:6" x14ac:dyDescent="0.25">
      <c r="A10" s="3" t="s">
        <v>15</v>
      </c>
      <c r="B10" s="4">
        <v>5</v>
      </c>
      <c r="C10" s="4">
        <v>16</v>
      </c>
      <c r="D10" s="5">
        <v>71</v>
      </c>
      <c r="E10" s="6">
        <f t="shared" si="0"/>
        <v>1136</v>
      </c>
      <c r="F10" s="7">
        <f t="shared" si="1"/>
        <v>5680</v>
      </c>
    </row>
    <row r="11" spans="1:6" x14ac:dyDescent="0.25">
      <c r="A11" s="3" t="s">
        <v>16</v>
      </c>
      <c r="B11" s="4">
        <v>5</v>
      </c>
      <c r="C11" s="4">
        <v>360</v>
      </c>
      <c r="D11" s="5">
        <v>20</v>
      </c>
      <c r="E11" s="6">
        <f t="shared" si="0"/>
        <v>7200</v>
      </c>
      <c r="F11" s="7">
        <f t="shared" si="1"/>
        <v>36000</v>
      </c>
    </row>
    <row r="12" spans="1:6" ht="18.75" x14ac:dyDescent="0.4">
      <c r="A12" s="123" t="s">
        <v>17</v>
      </c>
      <c r="B12" s="124"/>
      <c r="C12" s="129" t="s">
        <v>18</v>
      </c>
      <c r="D12" s="129"/>
      <c r="E12" s="8">
        <v>17500</v>
      </c>
      <c r="F12" s="130"/>
    </row>
    <row r="13" spans="1:6" ht="18.75" x14ac:dyDescent="0.4">
      <c r="A13" s="123"/>
      <c r="B13" s="124"/>
      <c r="C13" s="129" t="s">
        <v>19</v>
      </c>
      <c r="D13" s="129"/>
      <c r="E13" s="8">
        <f>E12*5</f>
        <v>87500</v>
      </c>
      <c r="F13" s="130"/>
    </row>
    <row r="14" spans="1:6" ht="18.75" x14ac:dyDescent="0.4">
      <c r="A14" s="125"/>
      <c r="B14" s="126"/>
      <c r="C14" s="133" t="s">
        <v>20</v>
      </c>
      <c r="D14" s="134"/>
      <c r="E14" s="9">
        <v>115000</v>
      </c>
      <c r="F14" s="131"/>
    </row>
    <row r="15" spans="1:6" ht="23.25" thickBot="1" x14ac:dyDescent="0.5">
      <c r="A15" s="127"/>
      <c r="B15" s="128"/>
      <c r="C15" s="135" t="s">
        <v>21</v>
      </c>
      <c r="D15" s="135"/>
      <c r="E15" s="10">
        <f>E13+E14</f>
        <v>202500</v>
      </c>
      <c r="F15" s="132"/>
    </row>
    <row r="16" spans="1:6" x14ac:dyDescent="0.25">
      <c r="A16" s="11" t="s">
        <v>22</v>
      </c>
      <c r="B16" s="11"/>
    </row>
    <row r="17" spans="1:6" x14ac:dyDescent="0.25">
      <c r="A17" t="s">
        <v>23</v>
      </c>
    </row>
    <row r="18" spans="1:6" x14ac:dyDescent="0.25">
      <c r="A18" t="s">
        <v>24</v>
      </c>
    </row>
    <row r="19" spans="1:6" x14ac:dyDescent="0.25">
      <c r="A19" t="s">
        <v>25</v>
      </c>
    </row>
    <row r="20" spans="1:6" x14ac:dyDescent="0.25">
      <c r="A20" t="s">
        <v>26</v>
      </c>
    </row>
    <row r="21" spans="1:6" x14ac:dyDescent="0.25">
      <c r="A21" t="s">
        <v>27</v>
      </c>
    </row>
    <row r="22" spans="1:6" ht="15.75" thickBot="1" x14ac:dyDescent="0.3"/>
    <row r="23" spans="1:6" x14ac:dyDescent="0.25">
      <c r="A23" s="136" t="s">
        <v>0</v>
      </c>
      <c r="B23" s="137"/>
      <c r="C23" s="137"/>
      <c r="D23" s="137"/>
      <c r="E23" s="137"/>
      <c r="F23" s="138"/>
    </row>
    <row r="24" spans="1:6" ht="18" x14ac:dyDescent="0.25">
      <c r="A24" s="139" t="s">
        <v>1</v>
      </c>
      <c r="B24" s="140"/>
      <c r="C24" s="140"/>
      <c r="D24" s="140"/>
      <c r="E24" s="140"/>
      <c r="F24" s="141"/>
    </row>
    <row r="25" spans="1:6" ht="18" x14ac:dyDescent="0.25">
      <c r="A25" s="142" t="s">
        <v>2</v>
      </c>
      <c r="B25" s="143"/>
      <c r="C25" s="143"/>
      <c r="D25" s="143"/>
      <c r="E25" s="143"/>
      <c r="F25" s="144"/>
    </row>
    <row r="26" spans="1:6" x14ac:dyDescent="0.25">
      <c r="A26" s="145" t="s">
        <v>3</v>
      </c>
      <c r="B26" s="146"/>
      <c r="C26" s="146"/>
      <c r="D26" s="146"/>
      <c r="E26" s="146"/>
      <c r="F26" s="147"/>
    </row>
    <row r="27" spans="1:6" x14ac:dyDescent="0.25">
      <c r="A27" s="148" t="s">
        <v>4</v>
      </c>
      <c r="B27" s="149" t="s">
        <v>5</v>
      </c>
      <c r="C27" s="149"/>
      <c r="D27" s="149"/>
      <c r="E27" s="149" t="s">
        <v>6</v>
      </c>
      <c r="F27" s="150"/>
    </row>
    <row r="28" spans="1:6" x14ac:dyDescent="0.25">
      <c r="A28" s="148"/>
      <c r="B28" s="1" t="s">
        <v>7</v>
      </c>
      <c r="C28" s="1" t="s">
        <v>8</v>
      </c>
      <c r="D28" s="1" t="s">
        <v>9</v>
      </c>
      <c r="E28" s="1" t="s">
        <v>10</v>
      </c>
      <c r="F28" s="2" t="s">
        <v>11</v>
      </c>
    </row>
    <row r="29" spans="1:6" x14ac:dyDescent="0.25">
      <c r="A29" s="3" t="s">
        <v>12</v>
      </c>
      <c r="B29" s="4">
        <v>5</v>
      </c>
      <c r="C29" s="4">
        <v>16</v>
      </c>
      <c r="D29" s="5">
        <v>250</v>
      </c>
      <c r="E29" s="6">
        <f>C29*D29</f>
        <v>4000</v>
      </c>
      <c r="F29" s="7">
        <f>B29*E29</f>
        <v>20000</v>
      </c>
    </row>
    <row r="30" spans="1:6" x14ac:dyDescent="0.25">
      <c r="A30" s="3" t="s">
        <v>13</v>
      </c>
      <c r="B30" s="4">
        <v>5</v>
      </c>
      <c r="C30" s="4">
        <v>16</v>
      </c>
      <c r="D30" s="5">
        <v>240</v>
      </c>
      <c r="E30" s="6">
        <f t="shared" ref="E30:E33" si="2">C30*D30</f>
        <v>3840</v>
      </c>
      <c r="F30" s="7">
        <f t="shared" ref="F30:F33" si="3">B30*E30</f>
        <v>19200</v>
      </c>
    </row>
    <row r="31" spans="1:6" x14ac:dyDescent="0.25">
      <c r="A31" s="3" t="s">
        <v>14</v>
      </c>
      <c r="B31" s="4">
        <v>5</v>
      </c>
      <c r="C31" s="4">
        <v>32</v>
      </c>
      <c r="D31" s="5">
        <v>40</v>
      </c>
      <c r="E31" s="6">
        <f t="shared" si="2"/>
        <v>1280</v>
      </c>
      <c r="F31" s="7">
        <f t="shared" si="3"/>
        <v>6400</v>
      </c>
    </row>
    <row r="32" spans="1:6" x14ac:dyDescent="0.25">
      <c r="A32" s="3" t="s">
        <v>15</v>
      </c>
      <c r="B32" s="4">
        <v>5</v>
      </c>
      <c r="C32" s="4">
        <v>16</v>
      </c>
      <c r="D32" s="5">
        <v>71</v>
      </c>
      <c r="E32" s="6">
        <f t="shared" si="2"/>
        <v>1136</v>
      </c>
      <c r="F32" s="7">
        <f t="shared" si="3"/>
        <v>5680</v>
      </c>
    </row>
    <row r="33" spans="1:8" x14ac:dyDescent="0.25">
      <c r="A33" s="3" t="s">
        <v>16</v>
      </c>
      <c r="B33" s="4">
        <v>5</v>
      </c>
      <c r="C33" s="4">
        <v>360</v>
      </c>
      <c r="D33" s="5">
        <v>20</v>
      </c>
      <c r="E33" s="6">
        <f t="shared" si="2"/>
        <v>7200</v>
      </c>
      <c r="F33" s="7">
        <f t="shared" si="3"/>
        <v>36000</v>
      </c>
    </row>
    <row r="34" spans="1:8" ht="18.75" x14ac:dyDescent="0.4">
      <c r="A34" s="123" t="s">
        <v>17</v>
      </c>
      <c r="B34" s="124"/>
      <c r="C34" s="129" t="s">
        <v>18</v>
      </c>
      <c r="D34" s="129"/>
      <c r="E34" s="8">
        <v>17500</v>
      </c>
      <c r="F34" s="130"/>
    </row>
    <row r="35" spans="1:8" ht="18.75" x14ac:dyDescent="0.4">
      <c r="A35" s="123"/>
      <c r="B35" s="124"/>
      <c r="C35" s="129" t="s">
        <v>19</v>
      </c>
      <c r="D35" s="129"/>
      <c r="E35" s="8">
        <f>E34*5</f>
        <v>87500</v>
      </c>
      <c r="F35" s="130"/>
    </row>
    <row r="36" spans="1:8" ht="18.75" x14ac:dyDescent="0.4">
      <c r="A36" s="125"/>
      <c r="B36" s="126"/>
      <c r="C36" s="133" t="s">
        <v>20</v>
      </c>
      <c r="D36" s="134"/>
      <c r="E36" s="9">
        <v>115000</v>
      </c>
      <c r="F36" s="131"/>
    </row>
    <row r="37" spans="1:8" ht="23.25" thickBot="1" x14ac:dyDescent="0.5">
      <c r="A37" s="127"/>
      <c r="B37" s="128"/>
      <c r="C37" s="135" t="s">
        <v>21</v>
      </c>
      <c r="D37" s="135"/>
      <c r="E37" s="10">
        <f>E35+E36</f>
        <v>202500</v>
      </c>
      <c r="F37" s="132"/>
    </row>
    <row r="40" spans="1:8" ht="15.75" thickBot="1" x14ac:dyDescent="0.3"/>
    <row r="41" spans="1:8" x14ac:dyDescent="0.25">
      <c r="A41" s="136" t="s">
        <v>0</v>
      </c>
      <c r="B41" s="137"/>
      <c r="C41" s="137"/>
      <c r="D41" s="137"/>
      <c r="E41" s="137"/>
      <c r="F41" s="138"/>
    </row>
    <row r="42" spans="1:8" ht="18" x14ac:dyDescent="0.25">
      <c r="A42" s="139" t="s">
        <v>1</v>
      </c>
      <c r="B42" s="140"/>
      <c r="C42" s="140"/>
      <c r="D42" s="140"/>
      <c r="E42" s="140"/>
      <c r="F42" s="141"/>
    </row>
    <row r="43" spans="1:8" ht="18" x14ac:dyDescent="0.25">
      <c r="A43" s="142" t="s">
        <v>2</v>
      </c>
      <c r="B43" s="143"/>
      <c r="C43" s="143"/>
      <c r="D43" s="143"/>
      <c r="E43" s="143"/>
      <c r="F43" s="144"/>
    </row>
    <row r="44" spans="1:8" x14ac:dyDescent="0.25">
      <c r="A44" s="145" t="s">
        <v>33</v>
      </c>
      <c r="B44" s="146"/>
      <c r="C44" s="146"/>
      <c r="D44" s="146"/>
      <c r="E44" s="146"/>
      <c r="F44" s="147"/>
    </row>
    <row r="45" spans="1:8" x14ac:dyDescent="0.25">
      <c r="A45" s="148" t="s">
        <v>4</v>
      </c>
      <c r="B45" s="149" t="s">
        <v>5</v>
      </c>
      <c r="C45" s="149"/>
      <c r="D45" s="149"/>
      <c r="E45" s="149" t="s">
        <v>6</v>
      </c>
      <c r="F45" s="150"/>
    </row>
    <row r="46" spans="1:8" x14ac:dyDescent="0.25">
      <c r="A46" s="148"/>
      <c r="B46" s="1" t="s">
        <v>7</v>
      </c>
      <c r="C46" s="1" t="s">
        <v>8</v>
      </c>
      <c r="D46" s="1" t="s">
        <v>9</v>
      </c>
      <c r="E46" s="1" t="s">
        <v>10</v>
      </c>
      <c r="F46" s="2" t="s">
        <v>11</v>
      </c>
    </row>
    <row r="47" spans="1:8" x14ac:dyDescent="0.25">
      <c r="A47" s="3" t="s">
        <v>29</v>
      </c>
      <c r="B47" s="4">
        <v>15</v>
      </c>
      <c r="C47" s="4">
        <v>119</v>
      </c>
      <c r="D47" s="5">
        <v>350</v>
      </c>
      <c r="E47" s="6">
        <f>C47*D47</f>
        <v>41650</v>
      </c>
      <c r="F47" s="7">
        <f>B47*E47</f>
        <v>624750</v>
      </c>
      <c r="G47">
        <v>26</v>
      </c>
      <c r="H47">
        <f>C47*G47</f>
        <v>3094</v>
      </c>
    </row>
    <row r="48" spans="1:8" x14ac:dyDescent="0.25">
      <c r="A48" s="3" t="s">
        <v>30</v>
      </c>
      <c r="B48" s="4">
        <v>15</v>
      </c>
      <c r="C48" s="4">
        <v>16</v>
      </c>
      <c r="D48" s="5">
        <v>130</v>
      </c>
      <c r="E48" s="6">
        <f t="shared" ref="E48:E51" si="4">C48*D48</f>
        <v>2080</v>
      </c>
      <c r="F48" s="7">
        <f t="shared" ref="F48:F51" si="5">B48*E48</f>
        <v>31200</v>
      </c>
      <c r="G48">
        <v>29</v>
      </c>
      <c r="H48">
        <f t="shared" ref="H48:H51" si="6">C48*G48</f>
        <v>464</v>
      </c>
    </row>
    <row r="49" spans="1:8" x14ac:dyDescent="0.25">
      <c r="A49" s="3" t="s">
        <v>31</v>
      </c>
      <c r="B49" s="4">
        <v>15</v>
      </c>
      <c r="C49" s="4">
        <v>8</v>
      </c>
      <c r="D49" s="5">
        <v>130</v>
      </c>
      <c r="E49" s="6">
        <f t="shared" ref="E49:E50" si="7">C49*D49</f>
        <v>1040</v>
      </c>
      <c r="F49" s="7">
        <f t="shared" ref="F49:F50" si="8">B49*E49</f>
        <v>15600</v>
      </c>
      <c r="G49">
        <v>16</v>
      </c>
      <c r="H49">
        <f t="shared" si="6"/>
        <v>128</v>
      </c>
    </row>
    <row r="50" spans="1:8" x14ac:dyDescent="0.25">
      <c r="A50" s="3" t="s">
        <v>32</v>
      </c>
      <c r="B50" s="4">
        <v>15</v>
      </c>
      <c r="C50" s="4">
        <v>48</v>
      </c>
      <c r="D50" s="5">
        <v>130</v>
      </c>
      <c r="E50" s="6">
        <f t="shared" si="7"/>
        <v>6240</v>
      </c>
      <c r="F50" s="7">
        <f t="shared" si="8"/>
        <v>93600</v>
      </c>
      <c r="G50">
        <v>18.5</v>
      </c>
      <c r="H50">
        <f t="shared" si="6"/>
        <v>888</v>
      </c>
    </row>
    <row r="51" spans="1:8" x14ac:dyDescent="0.25">
      <c r="A51" s="3" t="s">
        <v>16</v>
      </c>
      <c r="B51" s="4">
        <v>15</v>
      </c>
      <c r="C51" s="4">
        <v>325</v>
      </c>
      <c r="D51" s="5">
        <v>20</v>
      </c>
      <c r="E51" s="6">
        <f t="shared" si="4"/>
        <v>6500</v>
      </c>
      <c r="F51" s="7">
        <f t="shared" si="5"/>
        <v>97500</v>
      </c>
      <c r="G51">
        <v>0.1</v>
      </c>
      <c r="H51">
        <f t="shared" si="6"/>
        <v>32.5</v>
      </c>
    </row>
    <row r="52" spans="1:8" ht="18.75" x14ac:dyDescent="0.4">
      <c r="A52" s="123" t="s">
        <v>28</v>
      </c>
      <c r="B52" s="124"/>
      <c r="C52" s="129" t="s">
        <v>18</v>
      </c>
      <c r="D52" s="129"/>
      <c r="E52" s="8">
        <f>SUM(E47:E51)</f>
        <v>57510</v>
      </c>
      <c r="F52" s="130"/>
      <c r="H52">
        <f>SUM(H47:H51)</f>
        <v>4606.5</v>
      </c>
    </row>
    <row r="53" spans="1:8" ht="18.75" x14ac:dyDescent="0.4">
      <c r="A53" s="123"/>
      <c r="B53" s="124"/>
      <c r="C53" s="129" t="s">
        <v>19</v>
      </c>
      <c r="D53" s="129"/>
      <c r="E53" s="8">
        <f>E52*15</f>
        <v>862650</v>
      </c>
      <c r="F53" s="130"/>
    </row>
    <row r="54" spans="1:8" ht="18.75" x14ac:dyDescent="0.4">
      <c r="A54" s="125"/>
      <c r="B54" s="126"/>
      <c r="C54" s="133" t="s">
        <v>20</v>
      </c>
      <c r="D54" s="134"/>
      <c r="E54" s="9">
        <v>300000</v>
      </c>
      <c r="F54" s="131"/>
    </row>
    <row r="55" spans="1:8" ht="23.25" thickBot="1" x14ac:dyDescent="0.5">
      <c r="A55" s="127"/>
      <c r="B55" s="128"/>
      <c r="C55" s="135" t="s">
        <v>21</v>
      </c>
      <c r="D55" s="135"/>
      <c r="E55" s="10">
        <f>E53+E54</f>
        <v>1162650</v>
      </c>
      <c r="F55" s="132"/>
    </row>
  </sheetData>
  <mergeCells count="39">
    <mergeCell ref="A34:B37"/>
    <mergeCell ref="C34:D34"/>
    <mergeCell ref="F34:F37"/>
    <mergeCell ref="C35:D35"/>
    <mergeCell ref="C36:D36"/>
    <mergeCell ref="C37:D37"/>
    <mergeCell ref="A23:F23"/>
    <mergeCell ref="A24:F24"/>
    <mergeCell ref="A25:F25"/>
    <mergeCell ref="A26:F26"/>
    <mergeCell ref="A27:A28"/>
    <mergeCell ref="B27:D27"/>
    <mergeCell ref="E27:F27"/>
    <mergeCell ref="A12:B15"/>
    <mergeCell ref="C12:D12"/>
    <mergeCell ref="F12:F15"/>
    <mergeCell ref="C13:D13"/>
    <mergeCell ref="C14:D14"/>
    <mergeCell ref="C15:D15"/>
    <mergeCell ref="A1:F1"/>
    <mergeCell ref="A2:F2"/>
    <mergeCell ref="A3:F3"/>
    <mergeCell ref="A4:F4"/>
    <mergeCell ref="A5:A6"/>
    <mergeCell ref="B5:D5"/>
    <mergeCell ref="E5:F5"/>
    <mergeCell ref="A41:F41"/>
    <mergeCell ref="A42:F42"/>
    <mergeCell ref="A43:F43"/>
    <mergeCell ref="A44:F44"/>
    <mergeCell ref="A45:A46"/>
    <mergeCell ref="B45:D45"/>
    <mergeCell ref="E45:F45"/>
    <mergeCell ref="A52:B55"/>
    <mergeCell ref="C52:D52"/>
    <mergeCell ref="F52:F55"/>
    <mergeCell ref="C53:D53"/>
    <mergeCell ref="C54:D54"/>
    <mergeCell ref="C55:D5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846C-6C53-407A-9A1E-8F911A335A9D}">
  <dimension ref="A1:I41"/>
  <sheetViews>
    <sheetView topLeftCell="A22" workbookViewId="0">
      <selection activeCell="A26" sqref="A26:F40"/>
    </sheetView>
  </sheetViews>
  <sheetFormatPr baseColWidth="10" defaultRowHeight="15" x14ac:dyDescent="0.25"/>
  <cols>
    <col min="1" max="1" width="19.85546875" bestFit="1" customWidth="1"/>
    <col min="5" max="5" width="18.42578125" bestFit="1" customWidth="1"/>
    <col min="6" max="6" width="16.5703125" customWidth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8" customHeight="1" x14ac:dyDescent="0.25">
      <c r="A2" s="139" t="s">
        <v>34</v>
      </c>
      <c r="B2" s="140"/>
      <c r="C2" s="140"/>
      <c r="D2" s="140"/>
      <c r="E2" s="140"/>
      <c r="F2" s="141"/>
    </row>
    <row r="3" spans="1:6" ht="18" customHeight="1" x14ac:dyDescent="0.25">
      <c r="A3" s="142" t="s">
        <v>35</v>
      </c>
      <c r="B3" s="143"/>
      <c r="C3" s="143"/>
      <c r="D3" s="143"/>
      <c r="E3" s="143"/>
      <c r="F3" s="144"/>
    </row>
    <row r="4" spans="1:6" x14ac:dyDescent="0.25">
      <c r="A4" s="145" t="s">
        <v>36</v>
      </c>
      <c r="B4" s="146"/>
      <c r="C4" s="146"/>
      <c r="D4" s="146"/>
      <c r="E4" s="146"/>
      <c r="F4" s="147"/>
    </row>
    <row r="5" spans="1:6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6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6" x14ac:dyDescent="0.25">
      <c r="A7" s="3" t="s">
        <v>12</v>
      </c>
      <c r="B7" s="4">
        <v>6</v>
      </c>
      <c r="C7" s="4">
        <v>16</v>
      </c>
      <c r="D7" s="5">
        <v>250</v>
      </c>
      <c r="E7" s="6">
        <f>C7*D7</f>
        <v>4000</v>
      </c>
      <c r="F7" s="7">
        <f>B7*E7</f>
        <v>24000</v>
      </c>
    </row>
    <row r="8" spans="1:6" x14ac:dyDescent="0.25">
      <c r="A8" s="3" t="s">
        <v>14</v>
      </c>
      <c r="B8" s="4">
        <v>6</v>
      </c>
      <c r="C8" s="4">
        <v>16</v>
      </c>
      <c r="D8" s="5">
        <v>45</v>
      </c>
      <c r="E8" s="6">
        <f t="shared" ref="E8:E11" si="0">C8*D8</f>
        <v>720</v>
      </c>
      <c r="F8" s="7">
        <f t="shared" ref="F8:F11" si="1">B8*E8</f>
        <v>4320</v>
      </c>
    </row>
    <row r="9" spans="1:6" x14ac:dyDescent="0.25">
      <c r="A9" s="3" t="s">
        <v>15</v>
      </c>
      <c r="B9" s="4">
        <v>6</v>
      </c>
      <c r="C9" s="4">
        <v>8</v>
      </c>
      <c r="D9" s="5">
        <v>80</v>
      </c>
      <c r="E9" s="6">
        <f t="shared" si="0"/>
        <v>640</v>
      </c>
      <c r="F9" s="7">
        <f t="shared" si="1"/>
        <v>3840</v>
      </c>
    </row>
    <row r="10" spans="1:6" x14ac:dyDescent="0.25">
      <c r="A10" s="3" t="s">
        <v>32</v>
      </c>
      <c r="B10" s="4">
        <v>6</v>
      </c>
      <c r="C10" s="4">
        <v>20</v>
      </c>
      <c r="D10" s="5">
        <v>120</v>
      </c>
      <c r="E10" s="6">
        <f t="shared" si="0"/>
        <v>2400</v>
      </c>
      <c r="F10" s="7">
        <f t="shared" si="1"/>
        <v>14400</v>
      </c>
    </row>
    <row r="11" spans="1:6" x14ac:dyDescent="0.25">
      <c r="A11" s="3" t="s">
        <v>16</v>
      </c>
      <c r="B11" s="4">
        <v>6</v>
      </c>
      <c r="C11" s="4">
        <v>184</v>
      </c>
      <c r="D11" s="5">
        <v>20</v>
      </c>
      <c r="E11" s="6">
        <f t="shared" si="0"/>
        <v>3680</v>
      </c>
      <c r="F11" s="7">
        <f t="shared" si="1"/>
        <v>22080</v>
      </c>
    </row>
    <row r="12" spans="1:6" ht="18.75" customHeight="1" x14ac:dyDescent="0.25">
      <c r="A12" s="3" t="s">
        <v>99</v>
      </c>
      <c r="B12" s="4">
        <v>6</v>
      </c>
      <c r="C12" s="4">
        <v>4</v>
      </c>
      <c r="D12" s="5">
        <v>230</v>
      </c>
      <c r="E12" s="6">
        <f>C12*D12</f>
        <v>920</v>
      </c>
      <c r="F12" s="7">
        <f>B12*E12</f>
        <v>5520</v>
      </c>
    </row>
    <row r="13" spans="1:6" ht="18.75" customHeight="1" x14ac:dyDescent="0.4">
      <c r="A13" s="123" t="s">
        <v>100</v>
      </c>
      <c r="B13" s="124"/>
      <c r="C13" s="129" t="s">
        <v>18</v>
      </c>
      <c r="D13" s="129"/>
      <c r="E13" s="8">
        <f>SUM(E7:E12)</f>
        <v>12360</v>
      </c>
      <c r="F13" s="130"/>
    </row>
    <row r="14" spans="1:6" ht="18.75" customHeight="1" x14ac:dyDescent="0.4">
      <c r="A14" s="123"/>
      <c r="B14" s="124"/>
      <c r="C14" s="129" t="s">
        <v>19</v>
      </c>
      <c r="D14" s="129"/>
      <c r="E14" s="8">
        <f>SUM(F7:F12)</f>
        <v>74160</v>
      </c>
      <c r="F14" s="130"/>
    </row>
    <row r="15" spans="1:6" ht="23.25" customHeight="1" x14ac:dyDescent="0.4">
      <c r="A15" s="125"/>
      <c r="B15" s="126"/>
      <c r="C15" s="133" t="s">
        <v>20</v>
      </c>
      <c r="D15" s="134"/>
      <c r="E15" s="9">
        <v>25000</v>
      </c>
      <c r="F15" s="131"/>
    </row>
    <row r="16" spans="1:6" ht="23.25" thickBot="1" x14ac:dyDescent="0.5">
      <c r="A16" s="127"/>
      <c r="B16" s="128"/>
      <c r="C16" s="135" t="s">
        <v>21</v>
      </c>
      <c r="D16" s="135"/>
      <c r="E16" s="10">
        <f>E14+E15</f>
        <v>99160</v>
      </c>
      <c r="F16" s="132"/>
    </row>
    <row r="17" spans="1:6" x14ac:dyDescent="0.25">
      <c r="A17" t="s">
        <v>37</v>
      </c>
    </row>
    <row r="18" spans="1:6" x14ac:dyDescent="0.25">
      <c r="A18" t="s">
        <v>40</v>
      </c>
    </row>
    <row r="19" spans="1:6" x14ac:dyDescent="0.25">
      <c r="A19" t="s">
        <v>38</v>
      </c>
    </row>
    <row r="20" spans="1:6" x14ac:dyDescent="0.25">
      <c r="A20" t="s">
        <v>39</v>
      </c>
      <c r="B20" s="13">
        <v>300000</v>
      </c>
    </row>
    <row r="21" spans="1:6" x14ac:dyDescent="0.25">
      <c r="A21" t="s">
        <v>41</v>
      </c>
    </row>
    <row r="25" spans="1:6" ht="15.75" thickBot="1" x14ac:dyDescent="0.3"/>
    <row r="26" spans="1:6" x14ac:dyDescent="0.25">
      <c r="A26" s="136" t="s">
        <v>0</v>
      </c>
      <c r="B26" s="137"/>
      <c r="C26" s="137"/>
      <c r="D26" s="137"/>
      <c r="E26" s="137"/>
      <c r="F26" s="138"/>
    </row>
    <row r="27" spans="1:6" ht="18" x14ac:dyDescent="0.25">
      <c r="A27" s="139" t="s">
        <v>34</v>
      </c>
      <c r="B27" s="140"/>
      <c r="C27" s="140"/>
      <c r="D27" s="140"/>
      <c r="E27" s="140"/>
      <c r="F27" s="141"/>
    </row>
    <row r="28" spans="1:6" ht="18" x14ac:dyDescent="0.25">
      <c r="A28" s="142" t="s">
        <v>199</v>
      </c>
      <c r="B28" s="143"/>
      <c r="C28" s="143"/>
      <c r="D28" s="143"/>
      <c r="E28" s="143"/>
      <c r="F28" s="144"/>
    </row>
    <row r="29" spans="1:6" x14ac:dyDescent="0.25">
      <c r="A29" s="145" t="s">
        <v>197</v>
      </c>
      <c r="B29" s="146"/>
      <c r="C29" s="146"/>
      <c r="D29" s="146"/>
      <c r="E29" s="146"/>
      <c r="F29" s="147"/>
    </row>
    <row r="30" spans="1:6" x14ac:dyDescent="0.25">
      <c r="A30" s="148" t="s">
        <v>4</v>
      </c>
      <c r="B30" s="149" t="s">
        <v>5</v>
      </c>
      <c r="C30" s="149"/>
      <c r="D30" s="149"/>
      <c r="E30" s="149" t="s">
        <v>6</v>
      </c>
      <c r="F30" s="150"/>
    </row>
    <row r="31" spans="1:6" x14ac:dyDescent="0.25">
      <c r="A31" s="148"/>
      <c r="B31" s="1" t="s">
        <v>7</v>
      </c>
      <c r="C31" s="1" t="s">
        <v>8</v>
      </c>
      <c r="D31" s="1" t="s">
        <v>9</v>
      </c>
      <c r="E31" s="1" t="s">
        <v>10</v>
      </c>
      <c r="F31" s="2" t="s">
        <v>11</v>
      </c>
    </row>
    <row r="32" spans="1:6" x14ac:dyDescent="0.25">
      <c r="A32" s="3" t="s">
        <v>12</v>
      </c>
      <c r="B32" s="4">
        <v>5</v>
      </c>
      <c r="C32" s="4">
        <v>24</v>
      </c>
      <c r="D32" s="5">
        <v>250</v>
      </c>
      <c r="E32" s="6">
        <f>C32*D32</f>
        <v>6000</v>
      </c>
      <c r="F32" s="7">
        <f>B32*E32</f>
        <v>30000</v>
      </c>
    </row>
    <row r="33" spans="1:9" x14ac:dyDescent="0.25">
      <c r="A33" s="3" t="s">
        <v>14</v>
      </c>
      <c r="B33" s="4">
        <v>5</v>
      </c>
      <c r="C33" s="4">
        <v>24</v>
      </c>
      <c r="D33" s="5">
        <v>45</v>
      </c>
      <c r="E33" s="6">
        <f t="shared" ref="E33:E36" si="2">C33*D33</f>
        <v>1080</v>
      </c>
      <c r="F33" s="7">
        <f t="shared" ref="F33:F36" si="3">B33*E33</f>
        <v>5400</v>
      </c>
    </row>
    <row r="34" spans="1:9" x14ac:dyDescent="0.25">
      <c r="A34" s="3" t="s">
        <v>15</v>
      </c>
      <c r="B34" s="4">
        <v>5</v>
      </c>
      <c r="C34" s="4">
        <v>12</v>
      </c>
      <c r="D34" s="5">
        <v>80</v>
      </c>
      <c r="E34" s="6">
        <f t="shared" si="2"/>
        <v>960</v>
      </c>
      <c r="F34" s="7">
        <f t="shared" si="3"/>
        <v>4800</v>
      </c>
    </row>
    <row r="35" spans="1:9" x14ac:dyDescent="0.25">
      <c r="A35" s="3" t="s">
        <v>32</v>
      </c>
      <c r="B35" s="4">
        <v>5</v>
      </c>
      <c r="C35" s="4">
        <v>20</v>
      </c>
      <c r="D35" s="5">
        <v>120</v>
      </c>
      <c r="E35" s="6">
        <f t="shared" si="2"/>
        <v>2400</v>
      </c>
      <c r="F35" s="7">
        <f t="shared" si="3"/>
        <v>12000</v>
      </c>
    </row>
    <row r="36" spans="1:9" x14ac:dyDescent="0.25">
      <c r="A36" s="3" t="s">
        <v>16</v>
      </c>
      <c r="B36" s="4">
        <v>5</v>
      </c>
      <c r="C36" s="4">
        <v>276</v>
      </c>
      <c r="D36" s="5">
        <v>20</v>
      </c>
      <c r="E36" s="6">
        <f t="shared" si="2"/>
        <v>5520</v>
      </c>
      <c r="F36" s="7">
        <f t="shared" si="3"/>
        <v>27600</v>
      </c>
    </row>
    <row r="37" spans="1:9" ht="18.75" x14ac:dyDescent="0.4">
      <c r="A37" s="123" t="s">
        <v>198</v>
      </c>
      <c r="B37" s="124"/>
      <c r="C37" s="129" t="s">
        <v>18</v>
      </c>
      <c r="D37" s="129"/>
      <c r="E37" s="8">
        <v>16000</v>
      </c>
      <c r="F37" s="130"/>
      <c r="H37">
        <f>C36/2</f>
        <v>138</v>
      </c>
      <c r="I37">
        <f>H37*3</f>
        <v>414</v>
      </c>
    </row>
    <row r="38" spans="1:9" ht="18.75" x14ac:dyDescent="0.4">
      <c r="A38" s="123"/>
      <c r="B38" s="124"/>
      <c r="C38" s="129" t="s">
        <v>19</v>
      </c>
      <c r="D38" s="129"/>
      <c r="E38" s="8">
        <f>E37*5</f>
        <v>80000</v>
      </c>
      <c r="F38" s="130"/>
    </row>
    <row r="39" spans="1:9" ht="18.75" x14ac:dyDescent="0.4">
      <c r="A39" s="125"/>
      <c r="B39" s="126"/>
      <c r="C39" s="133" t="s">
        <v>20</v>
      </c>
      <c r="D39" s="134"/>
      <c r="E39" s="9">
        <v>30000</v>
      </c>
      <c r="F39" s="131"/>
    </row>
    <row r="40" spans="1:9" ht="23.25" thickBot="1" x14ac:dyDescent="0.5">
      <c r="A40" s="127"/>
      <c r="B40" s="128"/>
      <c r="C40" s="135" t="s">
        <v>21</v>
      </c>
      <c r="D40" s="135"/>
      <c r="E40" s="10">
        <f>E38+E39</f>
        <v>110000</v>
      </c>
      <c r="F40" s="132"/>
    </row>
    <row r="41" spans="1:9" x14ac:dyDescent="0.25">
      <c r="A41" t="s">
        <v>39</v>
      </c>
      <c r="B41" s="13">
        <v>200000</v>
      </c>
    </row>
  </sheetData>
  <mergeCells count="26">
    <mergeCell ref="A1:F1"/>
    <mergeCell ref="A2:F2"/>
    <mergeCell ref="A3:F3"/>
    <mergeCell ref="A4:F4"/>
    <mergeCell ref="A5:A6"/>
    <mergeCell ref="B5:D5"/>
    <mergeCell ref="E5:F5"/>
    <mergeCell ref="C13:D13"/>
    <mergeCell ref="C14:D14"/>
    <mergeCell ref="C15:D15"/>
    <mergeCell ref="A13:B16"/>
    <mergeCell ref="F13:F16"/>
    <mergeCell ref="C16:D16"/>
    <mergeCell ref="A26:F26"/>
    <mergeCell ref="A27:F27"/>
    <mergeCell ref="A28:F28"/>
    <mergeCell ref="A29:F29"/>
    <mergeCell ref="A30:A31"/>
    <mergeCell ref="B30:D30"/>
    <mergeCell ref="E30:F30"/>
    <mergeCell ref="A37:B40"/>
    <mergeCell ref="C37:D37"/>
    <mergeCell ref="F37:F40"/>
    <mergeCell ref="C38:D38"/>
    <mergeCell ref="C39:D39"/>
    <mergeCell ref="C40:D40"/>
  </mergeCells>
  <pageMargins left="0.51181102362204722" right="0.51181102362204722" top="0.55118110236220474" bottom="0.5511811023622047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D37F1-3FD4-4C40-B102-051F9C73E42D}">
  <dimension ref="A1:H21"/>
  <sheetViews>
    <sheetView topLeftCell="A6" workbookViewId="0">
      <selection sqref="A1:F21"/>
    </sheetView>
  </sheetViews>
  <sheetFormatPr baseColWidth="10" defaultRowHeight="15" x14ac:dyDescent="0.25"/>
  <cols>
    <col min="1" max="1" width="23.42578125" customWidth="1"/>
    <col min="5" max="5" width="18.42578125" bestFit="1" customWidth="1"/>
    <col min="6" max="6" width="20.28515625" customWidth="1"/>
  </cols>
  <sheetData>
    <row r="1" spans="1:8" x14ac:dyDescent="0.25">
      <c r="A1" s="136" t="s">
        <v>0</v>
      </c>
      <c r="B1" s="137"/>
      <c r="C1" s="137"/>
      <c r="D1" s="137"/>
      <c r="E1" s="137"/>
      <c r="F1" s="138"/>
    </row>
    <row r="2" spans="1:8" ht="18" x14ac:dyDescent="0.25">
      <c r="A2" s="139" t="s">
        <v>206</v>
      </c>
      <c r="B2" s="140"/>
      <c r="C2" s="140"/>
      <c r="D2" s="140"/>
      <c r="E2" s="140"/>
      <c r="F2" s="141"/>
    </row>
    <row r="3" spans="1:8" ht="18" x14ac:dyDescent="0.25">
      <c r="A3" s="142" t="s">
        <v>207</v>
      </c>
      <c r="B3" s="143"/>
      <c r="C3" s="143"/>
      <c r="D3" s="143"/>
      <c r="E3" s="143"/>
      <c r="F3" s="144"/>
    </row>
    <row r="4" spans="1:8" x14ac:dyDescent="0.25">
      <c r="A4" s="145" t="s">
        <v>208</v>
      </c>
      <c r="B4" s="146"/>
      <c r="C4" s="146"/>
      <c r="D4" s="146"/>
      <c r="E4" s="146"/>
      <c r="F4" s="147"/>
    </row>
    <row r="5" spans="1:8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8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8" x14ac:dyDescent="0.25">
      <c r="A7" s="3" t="s">
        <v>29</v>
      </c>
      <c r="B7" s="4">
        <v>5</v>
      </c>
      <c r="C7" s="4">
        <v>56</v>
      </c>
      <c r="D7" s="5">
        <v>350</v>
      </c>
      <c r="E7" s="6">
        <f>C7*D7</f>
        <v>19600</v>
      </c>
      <c r="F7" s="7">
        <f>B7*E7</f>
        <v>98000</v>
      </c>
      <c r="G7">
        <v>26</v>
      </c>
      <c r="H7">
        <f>C7*G7</f>
        <v>1456</v>
      </c>
    </row>
    <row r="8" spans="1:8" x14ac:dyDescent="0.25">
      <c r="A8" s="3" t="s">
        <v>12</v>
      </c>
      <c r="B8" s="4">
        <v>5</v>
      </c>
      <c r="C8" s="4">
        <v>8</v>
      </c>
      <c r="D8" s="5">
        <v>260</v>
      </c>
      <c r="E8" s="6">
        <f t="shared" ref="E8:E17" si="0">C8*D8</f>
        <v>2080</v>
      </c>
      <c r="F8" s="7">
        <f t="shared" ref="F8:F17" si="1">B8*E8</f>
        <v>10400</v>
      </c>
      <c r="G8">
        <v>9.5</v>
      </c>
      <c r="H8">
        <f t="shared" ref="H8:H17" si="2">C8*G8</f>
        <v>76</v>
      </c>
    </row>
    <row r="9" spans="1:8" x14ac:dyDescent="0.25">
      <c r="A9" s="3" t="s">
        <v>16</v>
      </c>
      <c r="B9" s="4">
        <v>5</v>
      </c>
      <c r="C9" s="4">
        <v>300</v>
      </c>
      <c r="D9" s="5">
        <v>20</v>
      </c>
      <c r="E9" s="6">
        <f t="shared" si="0"/>
        <v>6000</v>
      </c>
      <c r="F9" s="7">
        <f t="shared" si="1"/>
        <v>30000</v>
      </c>
      <c r="G9">
        <v>0.2</v>
      </c>
      <c r="H9">
        <f t="shared" si="2"/>
        <v>60</v>
      </c>
    </row>
    <row r="10" spans="1:8" x14ac:dyDescent="0.25">
      <c r="A10" s="3" t="s">
        <v>201</v>
      </c>
      <c r="B10" s="4">
        <v>5</v>
      </c>
      <c r="C10" s="4">
        <v>4</v>
      </c>
      <c r="D10" s="5">
        <v>40</v>
      </c>
      <c r="E10" s="6">
        <f t="shared" si="0"/>
        <v>160</v>
      </c>
      <c r="F10" s="7">
        <f t="shared" si="1"/>
        <v>800</v>
      </c>
      <c r="G10">
        <v>1</v>
      </c>
      <c r="H10">
        <f t="shared" si="2"/>
        <v>4</v>
      </c>
    </row>
    <row r="11" spans="1:8" x14ac:dyDescent="0.25">
      <c r="A11" s="3" t="s">
        <v>202</v>
      </c>
      <c r="B11" s="4">
        <v>5</v>
      </c>
      <c r="C11" s="4">
        <v>8</v>
      </c>
      <c r="D11" s="5">
        <v>80</v>
      </c>
      <c r="E11" s="6">
        <f t="shared" si="0"/>
        <v>640</v>
      </c>
      <c r="F11" s="7">
        <f t="shared" si="1"/>
        <v>3200</v>
      </c>
      <c r="G11">
        <v>3</v>
      </c>
      <c r="H11">
        <f t="shared" si="2"/>
        <v>24</v>
      </c>
    </row>
    <row r="12" spans="1:8" x14ac:dyDescent="0.25">
      <c r="A12" s="3" t="s">
        <v>209</v>
      </c>
      <c r="B12" s="4">
        <v>5</v>
      </c>
      <c r="C12" s="4">
        <v>12</v>
      </c>
      <c r="D12" s="5">
        <v>240</v>
      </c>
      <c r="E12" s="6">
        <f t="shared" si="0"/>
        <v>2880</v>
      </c>
      <c r="F12" s="7">
        <f t="shared" si="1"/>
        <v>14400</v>
      </c>
      <c r="G12">
        <v>9</v>
      </c>
      <c r="H12">
        <f t="shared" si="2"/>
        <v>108</v>
      </c>
    </row>
    <row r="13" spans="1:8" x14ac:dyDescent="0.25">
      <c r="A13" s="3" t="s">
        <v>203</v>
      </c>
      <c r="B13" s="4">
        <v>5</v>
      </c>
      <c r="C13" s="4">
        <v>16</v>
      </c>
      <c r="D13" s="5">
        <v>200</v>
      </c>
      <c r="E13" s="6">
        <f t="shared" si="0"/>
        <v>3200</v>
      </c>
      <c r="F13" s="7">
        <f t="shared" si="1"/>
        <v>16000</v>
      </c>
      <c r="G13">
        <v>10</v>
      </c>
      <c r="H13">
        <f t="shared" si="2"/>
        <v>160</v>
      </c>
    </row>
    <row r="14" spans="1:8" x14ac:dyDescent="0.25">
      <c r="A14" s="3" t="s">
        <v>204</v>
      </c>
      <c r="B14" s="4">
        <v>5</v>
      </c>
      <c r="C14" s="4">
        <v>16</v>
      </c>
      <c r="D14" s="5">
        <v>250</v>
      </c>
      <c r="E14" s="6">
        <f t="shared" si="0"/>
        <v>4000</v>
      </c>
      <c r="F14" s="7">
        <f t="shared" si="1"/>
        <v>20000</v>
      </c>
      <c r="G14">
        <v>12</v>
      </c>
      <c r="H14">
        <f t="shared" si="2"/>
        <v>192</v>
      </c>
    </row>
    <row r="15" spans="1:8" x14ac:dyDescent="0.25">
      <c r="A15" s="3" t="s">
        <v>59</v>
      </c>
      <c r="B15" s="4">
        <v>5</v>
      </c>
      <c r="C15" s="4">
        <v>64</v>
      </c>
      <c r="D15" s="5">
        <v>100</v>
      </c>
      <c r="E15" s="6">
        <f t="shared" si="0"/>
        <v>6400</v>
      </c>
      <c r="F15" s="7">
        <f t="shared" si="1"/>
        <v>32000</v>
      </c>
      <c r="G15">
        <v>0.2</v>
      </c>
      <c r="H15">
        <f t="shared" si="2"/>
        <v>12.8</v>
      </c>
    </row>
    <row r="16" spans="1:8" x14ac:dyDescent="0.25">
      <c r="A16" s="3" t="s">
        <v>205</v>
      </c>
      <c r="B16" s="4">
        <v>5</v>
      </c>
      <c r="C16" s="4">
        <v>50</v>
      </c>
      <c r="D16" s="5">
        <v>30</v>
      </c>
      <c r="E16" s="6">
        <f t="shared" si="0"/>
        <v>1500</v>
      </c>
      <c r="F16" s="7">
        <f t="shared" si="1"/>
        <v>7500</v>
      </c>
      <c r="H16">
        <f t="shared" si="2"/>
        <v>0</v>
      </c>
    </row>
    <row r="17" spans="1:8" x14ac:dyDescent="0.25">
      <c r="A17" s="3" t="s">
        <v>32</v>
      </c>
      <c r="B17" s="4">
        <v>5</v>
      </c>
      <c r="C17" s="4">
        <v>8</v>
      </c>
      <c r="D17" s="5">
        <v>130</v>
      </c>
      <c r="E17" s="6">
        <f t="shared" si="0"/>
        <v>1040</v>
      </c>
      <c r="F17" s="7">
        <f t="shared" si="1"/>
        <v>5200</v>
      </c>
      <c r="G17">
        <v>13.5</v>
      </c>
      <c r="H17">
        <f t="shared" si="2"/>
        <v>108</v>
      </c>
    </row>
    <row r="18" spans="1:8" ht="18.75" x14ac:dyDescent="0.4">
      <c r="A18" s="123" t="s">
        <v>67</v>
      </c>
      <c r="B18" s="124"/>
      <c r="C18" s="129" t="s">
        <v>18</v>
      </c>
      <c r="D18" s="129"/>
      <c r="E18" s="8">
        <f>SUM(E7:E17)</f>
        <v>47500</v>
      </c>
      <c r="F18" s="130"/>
      <c r="H18">
        <f>SUM(H7:H17)</f>
        <v>2200.8000000000002</v>
      </c>
    </row>
    <row r="19" spans="1:8" ht="18.75" x14ac:dyDescent="0.4">
      <c r="A19" s="123"/>
      <c r="B19" s="124"/>
      <c r="C19" s="129" t="s">
        <v>19</v>
      </c>
      <c r="D19" s="129"/>
      <c r="E19" s="8">
        <f>SUM(F7:F17)</f>
        <v>237500</v>
      </c>
      <c r="F19" s="130"/>
    </row>
    <row r="20" spans="1:8" ht="18.75" x14ac:dyDescent="0.4">
      <c r="A20" s="125"/>
      <c r="B20" s="126"/>
      <c r="C20" s="133" t="s">
        <v>20</v>
      </c>
      <c r="D20" s="134"/>
      <c r="E20" s="9">
        <v>120000</v>
      </c>
      <c r="F20" s="131"/>
    </row>
    <row r="21" spans="1:8" ht="23.25" thickBot="1" x14ac:dyDescent="0.5">
      <c r="A21" s="127"/>
      <c r="B21" s="128"/>
      <c r="C21" s="135" t="s">
        <v>21</v>
      </c>
      <c r="D21" s="135"/>
      <c r="E21" s="10">
        <f>E19+E20</f>
        <v>357500</v>
      </c>
      <c r="F21" s="132"/>
    </row>
  </sheetData>
  <mergeCells count="13">
    <mergeCell ref="A18:B21"/>
    <mergeCell ref="C18:D18"/>
    <mergeCell ref="F18:F21"/>
    <mergeCell ref="C19:D19"/>
    <mergeCell ref="C20:D20"/>
    <mergeCell ref="C21:D21"/>
    <mergeCell ref="A1:F1"/>
    <mergeCell ref="A2:F2"/>
    <mergeCell ref="A3:F3"/>
    <mergeCell ref="A4:F4"/>
    <mergeCell ref="A5:A6"/>
    <mergeCell ref="B5:D5"/>
    <mergeCell ref="E5:F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F84C3-B692-47DD-B4B9-717F5179D457}">
  <sheetPr>
    <pageSetUpPr fitToPage="1"/>
  </sheetPr>
  <dimension ref="A1:H21"/>
  <sheetViews>
    <sheetView workbookViewId="0">
      <selection sqref="A1:F21"/>
    </sheetView>
  </sheetViews>
  <sheetFormatPr baseColWidth="10" defaultRowHeight="15" x14ac:dyDescent="0.25"/>
  <cols>
    <col min="1" max="1" width="24.28515625" bestFit="1" customWidth="1"/>
    <col min="4" max="4" width="15.5703125" customWidth="1"/>
    <col min="5" max="5" width="16.28515625" customWidth="1"/>
    <col min="6" max="6" width="30.140625" customWidth="1"/>
  </cols>
  <sheetData>
    <row r="1" spans="1:8" x14ac:dyDescent="0.25">
      <c r="A1" s="136" t="s">
        <v>221</v>
      </c>
      <c r="B1" s="137"/>
      <c r="C1" s="137"/>
      <c r="D1" s="137"/>
      <c r="E1" s="137"/>
      <c r="F1" s="138"/>
    </row>
    <row r="2" spans="1:8" ht="18" x14ac:dyDescent="0.25">
      <c r="A2" s="139" t="s">
        <v>210</v>
      </c>
      <c r="B2" s="140"/>
      <c r="C2" s="140"/>
      <c r="D2" s="140"/>
      <c r="E2" s="140"/>
      <c r="F2" s="141"/>
    </row>
    <row r="3" spans="1:8" ht="18" x14ac:dyDescent="0.25">
      <c r="A3" s="142" t="s">
        <v>219</v>
      </c>
      <c r="B3" s="143"/>
      <c r="C3" s="143"/>
      <c r="D3" s="143"/>
      <c r="E3" s="143"/>
      <c r="F3" s="144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</row>
    <row r="6" spans="1:8" x14ac:dyDescent="0.25">
      <c r="A6" s="3" t="s">
        <v>29</v>
      </c>
      <c r="B6" s="4">
        <v>5</v>
      </c>
      <c r="C6" s="4">
        <v>48</v>
      </c>
      <c r="D6" s="5">
        <v>350</v>
      </c>
      <c r="E6" s="6">
        <f>C6*D6</f>
        <v>16800</v>
      </c>
      <c r="F6" s="7">
        <f>B6*E6</f>
        <v>84000</v>
      </c>
      <c r="G6">
        <v>26</v>
      </c>
      <c r="H6">
        <f>C6*G6</f>
        <v>1248</v>
      </c>
    </row>
    <row r="7" spans="1:8" x14ac:dyDescent="0.25">
      <c r="A7" s="3" t="s">
        <v>211</v>
      </c>
      <c r="B7" s="4">
        <v>5</v>
      </c>
      <c r="C7" s="4">
        <v>90</v>
      </c>
      <c r="D7" s="5">
        <v>260</v>
      </c>
      <c r="E7" s="6">
        <f t="shared" ref="E7:E12" si="0">C7*D7</f>
        <v>23400</v>
      </c>
      <c r="F7" s="7">
        <f t="shared" ref="F7:F11" si="1">B7*E7</f>
        <v>117000</v>
      </c>
      <c r="G7">
        <v>18.5</v>
      </c>
      <c r="H7">
        <f t="shared" ref="H7:H12" si="2">C7*G7</f>
        <v>1665</v>
      </c>
    </row>
    <row r="8" spans="1:8" x14ac:dyDescent="0.25">
      <c r="A8" s="3" t="s">
        <v>212</v>
      </c>
      <c r="B8" s="4">
        <v>5</v>
      </c>
      <c r="C8" s="4">
        <v>30</v>
      </c>
      <c r="D8" s="5">
        <v>260</v>
      </c>
      <c r="E8" s="6">
        <f t="shared" si="0"/>
        <v>7800</v>
      </c>
      <c r="F8" s="7">
        <f t="shared" ref="F8" si="3">B8*E8</f>
        <v>39000</v>
      </c>
      <c r="G8">
        <v>7</v>
      </c>
      <c r="H8">
        <f t="shared" si="2"/>
        <v>210</v>
      </c>
    </row>
    <row r="9" spans="1:8" x14ac:dyDescent="0.25">
      <c r="A9" s="3" t="s">
        <v>16</v>
      </c>
      <c r="B9" s="4">
        <v>5</v>
      </c>
      <c r="C9" s="4">
        <v>1000</v>
      </c>
      <c r="D9" s="5">
        <v>20</v>
      </c>
      <c r="E9" s="6">
        <f t="shared" si="0"/>
        <v>20000</v>
      </c>
      <c r="F9" s="7">
        <f t="shared" si="1"/>
        <v>100000</v>
      </c>
      <c r="G9">
        <v>0.1</v>
      </c>
      <c r="H9">
        <f t="shared" si="2"/>
        <v>100</v>
      </c>
    </row>
    <row r="10" spans="1:8" x14ac:dyDescent="0.25">
      <c r="A10" s="3" t="s">
        <v>202</v>
      </c>
      <c r="B10" s="4">
        <v>5</v>
      </c>
      <c r="C10" s="4">
        <v>90</v>
      </c>
      <c r="D10" s="5">
        <v>80</v>
      </c>
      <c r="E10" s="6">
        <f t="shared" si="0"/>
        <v>7200</v>
      </c>
      <c r="F10" s="7">
        <f t="shared" si="1"/>
        <v>36000</v>
      </c>
      <c r="G10">
        <v>3</v>
      </c>
      <c r="H10">
        <f t="shared" si="2"/>
        <v>270</v>
      </c>
    </row>
    <row r="11" spans="1:8" x14ac:dyDescent="0.25">
      <c r="A11" s="3" t="s">
        <v>32</v>
      </c>
      <c r="B11" s="4">
        <v>5</v>
      </c>
      <c r="C11" s="4">
        <v>130</v>
      </c>
      <c r="D11" s="5">
        <v>120</v>
      </c>
      <c r="E11" s="6">
        <f t="shared" si="0"/>
        <v>15600</v>
      </c>
      <c r="F11" s="7">
        <f t="shared" si="1"/>
        <v>78000</v>
      </c>
      <c r="G11">
        <v>13.5</v>
      </c>
      <c r="H11">
        <f t="shared" si="2"/>
        <v>1755</v>
      </c>
    </row>
    <row r="12" spans="1:8" x14ac:dyDescent="0.25">
      <c r="A12" s="3" t="s">
        <v>213</v>
      </c>
      <c r="B12" s="4">
        <v>5</v>
      </c>
      <c r="C12" s="4">
        <v>40</v>
      </c>
      <c r="D12" s="5">
        <v>90</v>
      </c>
      <c r="E12" s="6">
        <f t="shared" si="0"/>
        <v>3600</v>
      </c>
      <c r="F12" s="7">
        <f t="shared" ref="F12" si="4">B12*E12</f>
        <v>18000</v>
      </c>
      <c r="G12">
        <v>12</v>
      </c>
      <c r="H12">
        <f t="shared" si="2"/>
        <v>480</v>
      </c>
    </row>
    <row r="13" spans="1:8" ht="18.75" x14ac:dyDescent="0.4">
      <c r="A13" s="123" t="s">
        <v>67</v>
      </c>
      <c r="B13" s="124"/>
      <c r="C13" s="151" t="s">
        <v>214</v>
      </c>
      <c r="D13" s="151"/>
      <c r="E13" s="8">
        <f>SUM(E6:E12)*1.19</f>
        <v>112336</v>
      </c>
      <c r="F13" s="130" t="s">
        <v>220</v>
      </c>
      <c r="H13">
        <f>SUM(H6:H12)</f>
        <v>5728</v>
      </c>
    </row>
    <row r="14" spans="1:8" ht="18.75" x14ac:dyDescent="0.4">
      <c r="A14" s="123"/>
      <c r="B14" s="124"/>
      <c r="C14" s="129" t="s">
        <v>215</v>
      </c>
      <c r="D14" s="129"/>
      <c r="E14" s="8">
        <f>SUM(F6:F12)*1.19</f>
        <v>561680</v>
      </c>
      <c r="F14" s="130"/>
    </row>
    <row r="15" spans="1:8" ht="18.75" x14ac:dyDescent="0.4">
      <c r="A15" s="125"/>
      <c r="B15" s="126"/>
      <c r="C15" s="133" t="s">
        <v>20</v>
      </c>
      <c r="D15" s="134"/>
      <c r="E15" s="9">
        <v>200000</v>
      </c>
      <c r="F15" s="131"/>
    </row>
    <row r="16" spans="1:8" ht="20.25" thickBot="1" x14ac:dyDescent="0.45">
      <c r="A16" s="127"/>
      <c r="B16" s="128"/>
      <c r="C16" s="135" t="s">
        <v>21</v>
      </c>
      <c r="D16" s="135"/>
      <c r="E16" s="73">
        <f>E14+E15</f>
        <v>761680</v>
      </c>
      <c r="F16" s="132"/>
    </row>
    <row r="17" spans="1:1" x14ac:dyDescent="0.25">
      <c r="A17" t="s">
        <v>22</v>
      </c>
    </row>
    <row r="18" spans="1:1" x14ac:dyDescent="0.25">
      <c r="A18" t="s">
        <v>216</v>
      </c>
    </row>
    <row r="19" spans="1:1" x14ac:dyDescent="0.25">
      <c r="A19" t="s">
        <v>217</v>
      </c>
    </row>
    <row r="20" spans="1:1" x14ac:dyDescent="0.25">
      <c r="A20" t="s">
        <v>218</v>
      </c>
    </row>
    <row r="21" spans="1:1" x14ac:dyDescent="0.25">
      <c r="A21" t="s">
        <v>73</v>
      </c>
    </row>
  </sheetData>
  <mergeCells count="12">
    <mergeCell ref="A1:F1"/>
    <mergeCell ref="A2:F2"/>
    <mergeCell ref="A3:F3"/>
    <mergeCell ref="A4:A5"/>
    <mergeCell ref="B4:D4"/>
    <mergeCell ref="E4:F4"/>
    <mergeCell ref="A13:B16"/>
    <mergeCell ref="C13:D13"/>
    <mergeCell ref="F13:F16"/>
    <mergeCell ref="C14:D14"/>
    <mergeCell ref="C15:D15"/>
    <mergeCell ref="C16:D16"/>
  </mergeCells>
  <pageMargins left="0.70866141732283472" right="0.70866141732283472" top="0.74803149606299213" bottom="0.74803149606299213" header="0.31496062992125984" footer="0.31496062992125984"/>
  <pageSetup paperSize="9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8EEE-CEFB-4E77-9431-F12B366C5D43}">
  <dimension ref="A1:H31"/>
  <sheetViews>
    <sheetView topLeftCell="A20" workbookViewId="0">
      <selection activeCell="B40" sqref="B40"/>
    </sheetView>
  </sheetViews>
  <sheetFormatPr baseColWidth="10" defaultRowHeight="15" x14ac:dyDescent="0.25"/>
  <cols>
    <col min="1" max="1" width="17" bestFit="1" customWidth="1"/>
    <col min="5" max="5" width="14.42578125" bestFit="1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108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3" t="s">
        <v>47</v>
      </c>
      <c r="B6" s="1">
        <v>15</v>
      </c>
      <c r="C6" s="14">
        <v>60</v>
      </c>
      <c r="D6" s="6">
        <v>150</v>
      </c>
      <c r="E6" s="6">
        <f t="shared" ref="E6:E10" si="0">C6*D6</f>
        <v>9000</v>
      </c>
      <c r="F6" s="6">
        <f>B6*E6</f>
        <v>135000</v>
      </c>
      <c r="G6" s="15">
        <v>25</v>
      </c>
      <c r="H6" s="12">
        <f>G6*C6</f>
        <v>1500</v>
      </c>
    </row>
    <row r="7" spans="1:8" x14ac:dyDescent="0.25">
      <c r="A7" s="3" t="s">
        <v>68</v>
      </c>
      <c r="B7" s="1">
        <v>15</v>
      </c>
      <c r="C7" s="14">
        <v>20</v>
      </c>
      <c r="D7" s="6">
        <v>130</v>
      </c>
      <c r="E7" s="6">
        <f t="shared" si="0"/>
        <v>2600</v>
      </c>
      <c r="F7" s="6">
        <f t="shared" ref="F7:F10" si="1">B7*E7</f>
        <v>39000</v>
      </c>
      <c r="G7" s="15">
        <v>15</v>
      </c>
      <c r="H7" s="12">
        <f>G7*C7</f>
        <v>300</v>
      </c>
    </row>
    <row r="8" spans="1:8" x14ac:dyDescent="0.25">
      <c r="A8" s="3" t="s">
        <v>48</v>
      </c>
      <c r="B8" s="1">
        <v>15</v>
      </c>
      <c r="C8" s="4">
        <v>18</v>
      </c>
      <c r="D8" s="6">
        <v>100</v>
      </c>
      <c r="E8" s="6">
        <f t="shared" si="0"/>
        <v>1800</v>
      </c>
      <c r="F8" s="6">
        <f t="shared" si="1"/>
        <v>27000</v>
      </c>
      <c r="G8" s="15">
        <v>29</v>
      </c>
      <c r="H8" s="12">
        <f t="shared" ref="H8:H10" si="2">G8*C8</f>
        <v>522</v>
      </c>
    </row>
    <row r="9" spans="1:8" x14ac:dyDescent="0.25">
      <c r="A9" s="3" t="s">
        <v>106</v>
      </c>
      <c r="B9" s="1">
        <v>15</v>
      </c>
      <c r="C9" s="4">
        <v>5</v>
      </c>
      <c r="D9" s="6">
        <v>100</v>
      </c>
      <c r="E9" s="6">
        <f t="shared" si="0"/>
        <v>500</v>
      </c>
      <c r="F9" s="6">
        <f t="shared" si="1"/>
        <v>7500</v>
      </c>
      <c r="G9" s="15">
        <v>12</v>
      </c>
      <c r="H9" s="12">
        <f t="shared" si="2"/>
        <v>60</v>
      </c>
    </row>
    <row r="10" spans="1:8" x14ac:dyDescent="0.25">
      <c r="A10" s="3" t="s">
        <v>107</v>
      </c>
      <c r="B10" s="1">
        <v>15</v>
      </c>
      <c r="C10" s="4">
        <v>96</v>
      </c>
      <c r="D10" s="6">
        <v>130</v>
      </c>
      <c r="E10" s="6">
        <f t="shared" si="0"/>
        <v>12480</v>
      </c>
      <c r="F10" s="6">
        <f t="shared" si="1"/>
        <v>187200</v>
      </c>
      <c r="G10" s="15">
        <v>18.5</v>
      </c>
      <c r="H10" s="12">
        <f t="shared" si="2"/>
        <v>1776</v>
      </c>
    </row>
    <row r="11" spans="1:8" ht="18.75" x14ac:dyDescent="0.4">
      <c r="A11" s="152" t="s">
        <v>28</v>
      </c>
      <c r="B11" s="153"/>
      <c r="C11" s="129" t="s">
        <v>18</v>
      </c>
      <c r="D11" s="129"/>
      <c r="E11" s="16">
        <f>SUM(E6:E10)</f>
        <v>26380</v>
      </c>
      <c r="F11" s="149" t="s">
        <v>49</v>
      </c>
      <c r="G11" s="149"/>
      <c r="H11" s="17">
        <f>SUM(H6:H10)</f>
        <v>4158</v>
      </c>
    </row>
    <row r="12" spans="1:8" ht="19.5" thickBot="1" x14ac:dyDescent="0.45">
      <c r="A12" s="154"/>
      <c r="B12" s="155"/>
      <c r="C12" s="135" t="s">
        <v>19</v>
      </c>
      <c r="D12" s="135"/>
      <c r="E12" s="18">
        <f>SUM(F6:F10)</f>
        <v>395700</v>
      </c>
      <c r="F12" s="158"/>
      <c r="G12" s="159"/>
      <c r="H12" s="160"/>
    </row>
    <row r="13" spans="1:8" ht="19.5" thickBot="1" x14ac:dyDescent="0.45">
      <c r="A13" s="154"/>
      <c r="B13" s="155"/>
      <c r="C13" s="161" t="s">
        <v>50</v>
      </c>
      <c r="D13" s="162"/>
      <c r="E13" s="19"/>
      <c r="F13" s="163" t="s">
        <v>51</v>
      </c>
      <c r="G13" s="164"/>
      <c r="H13" s="165"/>
    </row>
    <row r="14" spans="1:8" ht="19.5" thickBot="1" x14ac:dyDescent="0.45">
      <c r="A14" s="156"/>
      <c r="B14" s="157"/>
      <c r="C14" s="135" t="s">
        <v>52</v>
      </c>
      <c r="D14" s="135"/>
      <c r="E14" s="18">
        <f>E12+E13</f>
        <v>395700</v>
      </c>
      <c r="F14" s="166"/>
      <c r="G14" s="166"/>
      <c r="H14" s="167"/>
    </row>
    <row r="18" spans="1:8" ht="15.75" thickBot="1" x14ac:dyDescent="0.3"/>
    <row r="19" spans="1:8" x14ac:dyDescent="0.25">
      <c r="A19" s="136" t="s">
        <v>42</v>
      </c>
      <c r="B19" s="137"/>
      <c r="C19" s="137"/>
      <c r="D19" s="137"/>
      <c r="E19" s="137"/>
      <c r="F19" s="137"/>
      <c r="G19" s="137"/>
      <c r="H19" s="138"/>
    </row>
    <row r="20" spans="1:8" ht="18" x14ac:dyDescent="0.25">
      <c r="A20" s="139" t="s">
        <v>43</v>
      </c>
      <c r="B20" s="140"/>
      <c r="C20" s="140"/>
      <c r="D20" s="140"/>
      <c r="E20" s="140"/>
      <c r="F20" s="140"/>
      <c r="G20" s="140"/>
      <c r="H20" s="141"/>
    </row>
    <row r="21" spans="1:8" x14ac:dyDescent="0.25">
      <c r="A21" s="145" t="s">
        <v>108</v>
      </c>
      <c r="B21" s="146"/>
      <c r="C21" s="146"/>
      <c r="D21" s="146"/>
      <c r="E21" s="146"/>
      <c r="F21" s="146"/>
      <c r="G21" s="146"/>
      <c r="H21" s="147"/>
    </row>
    <row r="22" spans="1:8" x14ac:dyDescent="0.25">
      <c r="A22" s="148" t="s">
        <v>4</v>
      </c>
      <c r="B22" s="149" t="s">
        <v>5</v>
      </c>
      <c r="C22" s="149"/>
      <c r="D22" s="149"/>
      <c r="E22" s="149" t="s">
        <v>6</v>
      </c>
      <c r="F22" s="149"/>
      <c r="G22" s="149" t="s">
        <v>44</v>
      </c>
      <c r="H22" s="150"/>
    </row>
    <row r="23" spans="1:8" x14ac:dyDescent="0.25">
      <c r="A23" s="148"/>
      <c r="B23" s="1" t="s">
        <v>7</v>
      </c>
      <c r="C23" s="1" t="s">
        <v>8</v>
      </c>
      <c r="D23" s="1" t="s">
        <v>9</v>
      </c>
      <c r="E23" s="1" t="s">
        <v>10</v>
      </c>
      <c r="F23" s="1" t="s">
        <v>11</v>
      </c>
      <c r="G23" s="1" t="s">
        <v>45</v>
      </c>
      <c r="H23" s="2" t="s">
        <v>46</v>
      </c>
    </row>
    <row r="24" spans="1:8" x14ac:dyDescent="0.25">
      <c r="A24" s="3" t="s">
        <v>47</v>
      </c>
      <c r="B24" s="1">
        <v>15</v>
      </c>
      <c r="C24" s="14">
        <v>158</v>
      </c>
      <c r="D24" s="6">
        <v>160</v>
      </c>
      <c r="E24" s="6">
        <f t="shared" ref="E24:E26" si="3">C24*D24</f>
        <v>25280</v>
      </c>
      <c r="F24" s="6">
        <f>B24*E24</f>
        <v>379200</v>
      </c>
      <c r="G24" s="15">
        <v>25</v>
      </c>
      <c r="H24" s="12">
        <f>G24*C24</f>
        <v>3950</v>
      </c>
    </row>
    <row r="25" spans="1:8" x14ac:dyDescent="0.25">
      <c r="A25" s="3" t="s">
        <v>48</v>
      </c>
      <c r="B25" s="1">
        <v>15</v>
      </c>
      <c r="C25" s="4">
        <v>48</v>
      </c>
      <c r="D25" s="6">
        <v>110</v>
      </c>
      <c r="E25" s="6">
        <f t="shared" si="3"/>
        <v>5280</v>
      </c>
      <c r="F25" s="6">
        <f t="shared" ref="F25:F26" si="4">B25*E25</f>
        <v>79200</v>
      </c>
      <c r="G25" s="15">
        <v>29</v>
      </c>
      <c r="H25" s="12">
        <f t="shared" ref="H25:H26" si="5">G25*C25</f>
        <v>1392</v>
      </c>
    </row>
    <row r="26" spans="1:8" x14ac:dyDescent="0.25">
      <c r="A26" s="3" t="s">
        <v>107</v>
      </c>
      <c r="B26" s="1">
        <v>15</v>
      </c>
      <c r="C26" s="4">
        <v>120</v>
      </c>
      <c r="D26" s="6">
        <v>140</v>
      </c>
      <c r="E26" s="6">
        <f t="shared" si="3"/>
        <v>16800</v>
      </c>
      <c r="F26" s="6">
        <f t="shared" si="4"/>
        <v>252000</v>
      </c>
      <c r="G26" s="15">
        <v>18.5</v>
      </c>
      <c r="H26" s="12">
        <f t="shared" si="5"/>
        <v>2220</v>
      </c>
    </row>
    <row r="27" spans="1:8" ht="18.75" x14ac:dyDescent="0.4">
      <c r="A27" s="152" t="s">
        <v>272</v>
      </c>
      <c r="B27" s="153"/>
      <c r="C27" s="129" t="s">
        <v>18</v>
      </c>
      <c r="D27" s="129"/>
      <c r="E27" s="16">
        <f>SUM(E24:E26)</f>
        <v>47360</v>
      </c>
      <c r="F27" s="149" t="s">
        <v>49</v>
      </c>
      <c r="G27" s="149"/>
      <c r="H27" s="17">
        <f>SUM(H24:H26)</f>
        <v>7562</v>
      </c>
    </row>
    <row r="28" spans="1:8" ht="19.5" thickBot="1" x14ac:dyDescent="0.45">
      <c r="A28" s="154"/>
      <c r="B28" s="155"/>
      <c r="C28" s="135" t="s">
        <v>19</v>
      </c>
      <c r="D28" s="135"/>
      <c r="E28" s="18">
        <f>SUM(F24:F26)</f>
        <v>710400</v>
      </c>
      <c r="F28" s="158"/>
      <c r="G28" s="159"/>
      <c r="H28" s="160"/>
    </row>
    <row r="29" spans="1:8" ht="19.5" thickBot="1" x14ac:dyDescent="0.45">
      <c r="A29" s="154"/>
      <c r="B29" s="155"/>
      <c r="C29" s="161" t="s">
        <v>50</v>
      </c>
      <c r="D29" s="162"/>
      <c r="E29" s="19"/>
      <c r="F29" s="163" t="s">
        <v>51</v>
      </c>
      <c r="G29" s="164"/>
      <c r="H29" s="165"/>
    </row>
    <row r="30" spans="1:8" ht="19.5" thickBot="1" x14ac:dyDescent="0.45">
      <c r="A30" s="156"/>
      <c r="B30" s="157"/>
      <c r="C30" s="135" t="s">
        <v>52</v>
      </c>
      <c r="D30" s="135"/>
      <c r="E30" s="18">
        <f>E28+E29</f>
        <v>710400</v>
      </c>
      <c r="F30" s="166"/>
      <c r="G30" s="166"/>
      <c r="H30" s="167"/>
    </row>
    <row r="31" spans="1:8" x14ac:dyDescent="0.25">
      <c r="A31" t="s">
        <v>273</v>
      </c>
      <c r="E31" s="31">
        <v>700000</v>
      </c>
    </row>
  </sheetData>
  <mergeCells count="32">
    <mergeCell ref="A27:B30"/>
    <mergeCell ref="C27:D27"/>
    <mergeCell ref="F27:G27"/>
    <mergeCell ref="C28:D28"/>
    <mergeCell ref="F28:H28"/>
    <mergeCell ref="C29:D29"/>
    <mergeCell ref="F29:H29"/>
    <mergeCell ref="C30:D30"/>
    <mergeCell ref="F30:H30"/>
    <mergeCell ref="A19:H19"/>
    <mergeCell ref="A20:H20"/>
    <mergeCell ref="A21:H21"/>
    <mergeCell ref="A22:A23"/>
    <mergeCell ref="B22:D22"/>
    <mergeCell ref="E22:F22"/>
    <mergeCell ref="G22:H22"/>
    <mergeCell ref="A1:H1"/>
    <mergeCell ref="A2:H2"/>
    <mergeCell ref="A3:H3"/>
    <mergeCell ref="A4:A5"/>
    <mergeCell ref="B4:D4"/>
    <mergeCell ref="E4:F4"/>
    <mergeCell ref="G4:H4"/>
    <mergeCell ref="A11:B14"/>
    <mergeCell ref="C11:D11"/>
    <mergeCell ref="F11:G11"/>
    <mergeCell ref="C12:D12"/>
    <mergeCell ref="F12:H12"/>
    <mergeCell ref="C13:D13"/>
    <mergeCell ref="F13:H13"/>
    <mergeCell ref="C14:D14"/>
    <mergeCell ref="F14:H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239A7-E2E4-4687-882D-1A457E996128}">
  <dimension ref="A1:H16"/>
  <sheetViews>
    <sheetView tabSelected="1" workbookViewId="0">
      <selection sqref="A1:H15"/>
    </sheetView>
  </sheetViews>
  <sheetFormatPr baseColWidth="10" defaultRowHeight="15" x14ac:dyDescent="0.25"/>
  <cols>
    <col min="1" max="1" width="25.5703125" bestFit="1" customWidth="1"/>
    <col min="3" max="3" width="10.28515625" bestFit="1" customWidth="1"/>
    <col min="5" max="5" width="15.42578125" bestFit="1" customWidth="1"/>
  </cols>
  <sheetData>
    <row r="1" spans="1:8" ht="18" x14ac:dyDescent="0.25">
      <c r="A1" s="172" t="s">
        <v>280</v>
      </c>
      <c r="B1" s="172"/>
      <c r="C1" s="172"/>
      <c r="D1" s="172"/>
      <c r="E1" s="172"/>
      <c r="F1" s="172"/>
      <c r="G1" s="172"/>
      <c r="H1" s="172"/>
    </row>
    <row r="2" spans="1:8" x14ac:dyDescent="0.25">
      <c r="A2" s="173" t="s">
        <v>278</v>
      </c>
      <c r="B2" s="173"/>
      <c r="C2" s="173"/>
      <c r="D2" s="173"/>
      <c r="E2" s="173"/>
      <c r="F2" s="173"/>
      <c r="G2" s="173"/>
      <c r="H2" s="173"/>
    </row>
    <row r="3" spans="1:8" x14ac:dyDescent="0.25">
      <c r="A3" s="148" t="s">
        <v>4</v>
      </c>
      <c r="B3" s="149" t="s">
        <v>5</v>
      </c>
      <c r="C3" s="149"/>
      <c r="D3" s="149"/>
      <c r="E3" s="149" t="s">
        <v>6</v>
      </c>
      <c r="F3" s="158"/>
      <c r="G3" s="174" t="s">
        <v>44</v>
      </c>
      <c r="H3" s="174"/>
    </row>
    <row r="4" spans="1:8" x14ac:dyDescent="0.25">
      <c r="A4" s="148"/>
      <c r="B4" s="1" t="s">
        <v>7</v>
      </c>
      <c r="C4" s="1" t="s">
        <v>8</v>
      </c>
      <c r="D4" s="1" t="s">
        <v>9</v>
      </c>
      <c r="E4" s="1" t="s">
        <v>10</v>
      </c>
      <c r="F4" s="104" t="s">
        <v>11</v>
      </c>
      <c r="G4" s="1" t="s">
        <v>274</v>
      </c>
      <c r="H4" s="1" t="s">
        <v>49</v>
      </c>
    </row>
    <row r="5" spans="1:8" x14ac:dyDescent="0.25">
      <c r="A5" s="3" t="s">
        <v>275</v>
      </c>
      <c r="B5" s="48">
        <v>10</v>
      </c>
      <c r="C5" s="105">
        <v>2</v>
      </c>
      <c r="D5" s="6">
        <v>3000</v>
      </c>
      <c r="E5" s="6">
        <f>C5*D5</f>
        <v>6000</v>
      </c>
      <c r="F5" s="106">
        <f t="shared" ref="F5:F11" si="0">B5*E5</f>
        <v>60000</v>
      </c>
      <c r="G5" s="22">
        <v>50</v>
      </c>
      <c r="H5" s="22">
        <f>G5*C5</f>
        <v>100</v>
      </c>
    </row>
    <row r="6" spans="1:8" x14ac:dyDescent="0.25">
      <c r="A6" s="3" t="s">
        <v>276</v>
      </c>
      <c r="B6" s="48">
        <v>10</v>
      </c>
      <c r="C6" s="105">
        <v>2</v>
      </c>
      <c r="D6" s="6">
        <v>450</v>
      </c>
      <c r="E6" s="6">
        <f t="shared" ref="E6:E11" si="1">C6*D6</f>
        <v>900</v>
      </c>
      <c r="F6" s="106">
        <f t="shared" si="0"/>
        <v>9000</v>
      </c>
      <c r="G6" s="22">
        <v>50</v>
      </c>
      <c r="H6" s="22">
        <f t="shared" ref="H6:H11" si="2">G6*C6</f>
        <v>100</v>
      </c>
    </row>
    <row r="7" spans="1:8" x14ac:dyDescent="0.25">
      <c r="A7" s="3" t="s">
        <v>277</v>
      </c>
      <c r="B7" s="48">
        <v>10</v>
      </c>
      <c r="C7" s="105">
        <v>2</v>
      </c>
      <c r="D7" s="6">
        <v>400</v>
      </c>
      <c r="E7" s="6">
        <f t="shared" ref="E7" si="3">C7*D7</f>
        <v>800</v>
      </c>
      <c r="F7" s="106">
        <f t="shared" ref="F7" si="4">B7*E7</f>
        <v>8000</v>
      </c>
      <c r="G7" s="22">
        <v>50</v>
      </c>
      <c r="H7" s="22">
        <f t="shared" ref="H7" si="5">G7*C7</f>
        <v>100</v>
      </c>
    </row>
    <row r="8" spans="1:8" x14ac:dyDescent="0.25">
      <c r="A8" s="3" t="s">
        <v>252</v>
      </c>
      <c r="B8" s="48">
        <v>10</v>
      </c>
      <c r="C8" s="105">
        <v>1</v>
      </c>
      <c r="D8" s="6">
        <v>350</v>
      </c>
      <c r="E8" s="6">
        <f t="shared" si="1"/>
        <v>350</v>
      </c>
      <c r="F8" s="106">
        <f t="shared" si="0"/>
        <v>3500</v>
      </c>
      <c r="G8" s="22">
        <v>8</v>
      </c>
      <c r="H8" s="22">
        <f t="shared" si="2"/>
        <v>8</v>
      </c>
    </row>
    <row r="9" spans="1:8" x14ac:dyDescent="0.25">
      <c r="A9" s="3" t="s">
        <v>253</v>
      </c>
      <c r="B9" s="48">
        <v>10</v>
      </c>
      <c r="C9" s="107">
        <v>1</v>
      </c>
      <c r="D9" s="27">
        <v>350</v>
      </c>
      <c r="E9" s="6">
        <f t="shared" ref="E9" si="6">C9*D9</f>
        <v>350</v>
      </c>
      <c r="F9" s="106">
        <f t="shared" ref="F9" si="7">B9*E9</f>
        <v>3500</v>
      </c>
      <c r="G9" s="108">
        <v>40</v>
      </c>
      <c r="H9" s="109">
        <f t="shared" ref="H9" si="8">G9*C9</f>
        <v>40</v>
      </c>
    </row>
    <row r="10" spans="1:8" x14ac:dyDescent="0.25">
      <c r="A10" s="3" t="s">
        <v>47</v>
      </c>
      <c r="B10" s="48">
        <v>10</v>
      </c>
      <c r="C10" s="105">
        <v>5</v>
      </c>
      <c r="D10" s="6">
        <v>200</v>
      </c>
      <c r="E10" s="6">
        <f t="shared" si="1"/>
        <v>1000</v>
      </c>
      <c r="F10" s="106">
        <f t="shared" si="0"/>
        <v>10000</v>
      </c>
      <c r="G10" s="22">
        <v>16</v>
      </c>
      <c r="H10" s="22">
        <f t="shared" si="2"/>
        <v>80</v>
      </c>
    </row>
    <row r="11" spans="1:8" x14ac:dyDescent="0.25">
      <c r="A11" s="3" t="s">
        <v>48</v>
      </c>
      <c r="B11" s="48">
        <v>10</v>
      </c>
      <c r="C11" s="107">
        <v>2</v>
      </c>
      <c r="D11" s="27">
        <v>120</v>
      </c>
      <c r="E11" s="6">
        <f t="shared" si="1"/>
        <v>240</v>
      </c>
      <c r="F11" s="106">
        <f t="shared" si="0"/>
        <v>2400</v>
      </c>
      <c r="G11" s="22">
        <v>29</v>
      </c>
      <c r="H11" s="22">
        <f t="shared" si="2"/>
        <v>58</v>
      </c>
    </row>
    <row r="12" spans="1:8" ht="18.75" x14ac:dyDescent="0.4">
      <c r="A12" s="123" t="s">
        <v>279</v>
      </c>
      <c r="B12" s="124"/>
      <c r="C12" s="129" t="s">
        <v>18</v>
      </c>
      <c r="D12" s="129"/>
      <c r="E12" s="16">
        <f>SUM(E5:E11)</f>
        <v>9640</v>
      </c>
      <c r="F12" s="104" t="s">
        <v>49</v>
      </c>
      <c r="G12" s="163">
        <f>SUM(H5:H11)</f>
        <v>486</v>
      </c>
      <c r="H12" s="168"/>
    </row>
    <row r="13" spans="1:8" ht="18.75" x14ac:dyDescent="0.4">
      <c r="A13" s="123"/>
      <c r="B13" s="124"/>
      <c r="C13" s="129" t="s">
        <v>281</v>
      </c>
      <c r="D13" s="129"/>
      <c r="E13" s="29">
        <f>SUM(F5:F11)</f>
        <v>96400</v>
      </c>
      <c r="F13" s="169"/>
      <c r="G13" s="169"/>
      <c r="H13" s="169"/>
    </row>
    <row r="14" spans="1:8" ht="18.75" x14ac:dyDescent="0.4">
      <c r="A14" s="125"/>
      <c r="B14" s="126"/>
      <c r="C14" s="133" t="s">
        <v>118</v>
      </c>
      <c r="D14" s="134"/>
      <c r="E14" s="110">
        <v>60000</v>
      </c>
      <c r="F14" s="169"/>
      <c r="G14" s="169"/>
      <c r="H14" s="169"/>
    </row>
    <row r="15" spans="1:8" ht="20.25" thickBot="1" x14ac:dyDescent="0.45">
      <c r="A15" s="127"/>
      <c r="B15" s="128"/>
      <c r="C15" s="170" t="s">
        <v>52</v>
      </c>
      <c r="D15" s="171"/>
      <c r="E15" s="111">
        <f>E13+E14</f>
        <v>156400</v>
      </c>
      <c r="F15" s="169"/>
      <c r="G15" s="169"/>
      <c r="H15" s="169"/>
    </row>
    <row r="16" spans="1:8" x14ac:dyDescent="0.25">
      <c r="A16" t="s">
        <v>234</v>
      </c>
      <c r="E16" s="31">
        <v>400000</v>
      </c>
    </row>
  </sheetData>
  <mergeCells count="13">
    <mergeCell ref="A1:H1"/>
    <mergeCell ref="A2:H2"/>
    <mergeCell ref="A3:A4"/>
    <mergeCell ref="B3:D3"/>
    <mergeCell ref="E3:F3"/>
    <mergeCell ref="G3:H3"/>
    <mergeCell ref="A12:B15"/>
    <mergeCell ref="C12:D12"/>
    <mergeCell ref="G12:H12"/>
    <mergeCell ref="C13:D13"/>
    <mergeCell ref="F13:H15"/>
    <mergeCell ref="C14:D14"/>
    <mergeCell ref="C15:D1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518AD-34F6-4994-95BB-75B09EB54D67}">
  <dimension ref="A1:H14"/>
  <sheetViews>
    <sheetView workbookViewId="0">
      <selection sqref="A1:H14"/>
    </sheetView>
  </sheetViews>
  <sheetFormatPr baseColWidth="10" defaultRowHeight="15" x14ac:dyDescent="0.25"/>
  <cols>
    <col min="1" max="1" width="25.5703125" bestFit="1" customWidth="1"/>
    <col min="5" max="5" width="15.42578125" bestFit="1" customWidth="1"/>
  </cols>
  <sheetData>
    <row r="1" spans="1:8" ht="18" x14ac:dyDescent="0.25">
      <c r="A1" s="172" t="s">
        <v>298</v>
      </c>
      <c r="B1" s="172"/>
      <c r="C1" s="172"/>
      <c r="D1" s="172"/>
      <c r="E1" s="172"/>
      <c r="F1" s="172"/>
      <c r="G1" s="172"/>
      <c r="H1" s="172"/>
    </row>
    <row r="2" spans="1:8" x14ac:dyDescent="0.25">
      <c r="A2" s="173" t="s">
        <v>278</v>
      </c>
      <c r="B2" s="173"/>
      <c r="C2" s="173"/>
      <c r="D2" s="173"/>
      <c r="E2" s="173"/>
      <c r="F2" s="173"/>
      <c r="G2" s="173"/>
      <c r="H2" s="173"/>
    </row>
    <row r="3" spans="1:8" x14ac:dyDescent="0.25">
      <c r="A3" s="148" t="s">
        <v>4</v>
      </c>
      <c r="B3" s="149" t="s">
        <v>5</v>
      </c>
      <c r="C3" s="149"/>
      <c r="D3" s="149"/>
      <c r="E3" s="149" t="s">
        <v>6</v>
      </c>
      <c r="F3" s="158"/>
      <c r="G3" s="174" t="s">
        <v>44</v>
      </c>
      <c r="H3" s="174"/>
    </row>
    <row r="4" spans="1:8" x14ac:dyDescent="0.25">
      <c r="A4" s="148"/>
      <c r="B4" s="1" t="s">
        <v>7</v>
      </c>
      <c r="C4" s="1" t="s">
        <v>8</v>
      </c>
      <c r="D4" s="1" t="s">
        <v>9</v>
      </c>
      <c r="E4" s="1" t="s">
        <v>10</v>
      </c>
      <c r="F4" s="104" t="s">
        <v>11</v>
      </c>
      <c r="G4" s="1" t="s">
        <v>274</v>
      </c>
      <c r="H4" s="1" t="s">
        <v>49</v>
      </c>
    </row>
    <row r="5" spans="1:8" x14ac:dyDescent="0.25">
      <c r="A5" s="3" t="s">
        <v>275</v>
      </c>
      <c r="B5" s="48">
        <v>5</v>
      </c>
      <c r="C5" s="105">
        <v>2</v>
      </c>
      <c r="D5" s="6">
        <v>3500</v>
      </c>
      <c r="E5" s="6">
        <f>C5*D5</f>
        <v>7000</v>
      </c>
      <c r="F5" s="106">
        <f t="shared" ref="F5:F9" si="0">B5*E5</f>
        <v>35000</v>
      </c>
      <c r="G5" s="22">
        <v>50</v>
      </c>
      <c r="H5" s="22">
        <f>G5*C5</f>
        <v>100</v>
      </c>
    </row>
    <row r="6" spans="1:8" x14ac:dyDescent="0.25">
      <c r="A6" s="3" t="s">
        <v>276</v>
      </c>
      <c r="B6" s="48">
        <v>5</v>
      </c>
      <c r="C6" s="105">
        <v>2</v>
      </c>
      <c r="D6" s="6">
        <v>450</v>
      </c>
      <c r="E6" s="6">
        <f t="shared" ref="E6:E9" si="1">C6*D6</f>
        <v>900</v>
      </c>
      <c r="F6" s="106">
        <f t="shared" si="0"/>
        <v>4500</v>
      </c>
      <c r="G6" s="22">
        <v>50</v>
      </c>
      <c r="H6" s="22">
        <f t="shared" ref="H6:H9" si="2">G6*C6</f>
        <v>100</v>
      </c>
    </row>
    <row r="7" spans="1:8" x14ac:dyDescent="0.25">
      <c r="A7" s="3" t="s">
        <v>252</v>
      </c>
      <c r="B7" s="48">
        <v>5</v>
      </c>
      <c r="C7" s="105">
        <v>1</v>
      </c>
      <c r="D7" s="6">
        <v>450</v>
      </c>
      <c r="E7" s="6">
        <f t="shared" si="1"/>
        <v>450</v>
      </c>
      <c r="F7" s="106">
        <f t="shared" si="0"/>
        <v>2250</v>
      </c>
      <c r="G7" s="22">
        <v>8</v>
      </c>
      <c r="H7" s="22">
        <f t="shared" si="2"/>
        <v>8</v>
      </c>
    </row>
    <row r="8" spans="1:8" x14ac:dyDescent="0.25">
      <c r="A8" s="3" t="s">
        <v>47</v>
      </c>
      <c r="B8" s="48">
        <v>5</v>
      </c>
      <c r="C8" s="105">
        <v>4</v>
      </c>
      <c r="D8" s="6">
        <v>200</v>
      </c>
      <c r="E8" s="6">
        <f t="shared" si="1"/>
        <v>800</v>
      </c>
      <c r="F8" s="106">
        <f t="shared" si="0"/>
        <v>4000</v>
      </c>
      <c r="G8" s="22">
        <v>16</v>
      </c>
      <c r="H8" s="22">
        <f t="shared" si="2"/>
        <v>64</v>
      </c>
    </row>
    <row r="9" spans="1:8" x14ac:dyDescent="0.25">
      <c r="A9" s="3" t="s">
        <v>48</v>
      </c>
      <c r="B9" s="48">
        <v>5</v>
      </c>
      <c r="C9" s="107">
        <v>2</v>
      </c>
      <c r="D9" s="27">
        <v>130</v>
      </c>
      <c r="E9" s="6">
        <f t="shared" si="1"/>
        <v>260</v>
      </c>
      <c r="F9" s="106">
        <f t="shared" si="0"/>
        <v>1300</v>
      </c>
      <c r="G9" s="22">
        <v>29</v>
      </c>
      <c r="H9" s="22">
        <f t="shared" si="2"/>
        <v>58</v>
      </c>
    </row>
    <row r="10" spans="1:8" ht="18.75" x14ac:dyDescent="0.4">
      <c r="A10" s="123" t="s">
        <v>67</v>
      </c>
      <c r="B10" s="124"/>
      <c r="C10" s="129" t="s">
        <v>18</v>
      </c>
      <c r="D10" s="129"/>
      <c r="E10" s="16">
        <f>SUM(E5:E9)</f>
        <v>9410</v>
      </c>
      <c r="F10" s="104" t="s">
        <v>49</v>
      </c>
      <c r="G10" s="163">
        <f>SUM(H5:H9)</f>
        <v>330</v>
      </c>
      <c r="H10" s="168"/>
    </row>
    <row r="11" spans="1:8" ht="18.75" x14ac:dyDescent="0.4">
      <c r="A11" s="123"/>
      <c r="B11" s="124"/>
      <c r="C11" s="129" t="s">
        <v>281</v>
      </c>
      <c r="D11" s="129"/>
      <c r="E11" s="29">
        <f>SUM(F5:F9)</f>
        <v>47050</v>
      </c>
      <c r="F11" s="169"/>
      <c r="G11" s="169"/>
      <c r="H11" s="169"/>
    </row>
    <row r="12" spans="1:8" ht="18.75" x14ac:dyDescent="0.4">
      <c r="A12" s="125"/>
      <c r="B12" s="126"/>
      <c r="C12" s="133" t="s">
        <v>118</v>
      </c>
      <c r="D12" s="134"/>
      <c r="E12" s="110">
        <v>100000</v>
      </c>
      <c r="F12" s="169"/>
      <c r="G12" s="169"/>
      <c r="H12" s="169"/>
    </row>
    <row r="13" spans="1:8" ht="20.25" thickBot="1" x14ac:dyDescent="0.45">
      <c r="A13" s="127"/>
      <c r="B13" s="128"/>
      <c r="C13" s="170" t="s">
        <v>52</v>
      </c>
      <c r="D13" s="171"/>
      <c r="E13" s="111">
        <f>E11+E12</f>
        <v>147050</v>
      </c>
      <c r="F13" s="169"/>
      <c r="G13" s="169"/>
      <c r="H13" s="169"/>
    </row>
    <row r="14" spans="1:8" x14ac:dyDescent="0.25">
      <c r="A14" t="s">
        <v>234</v>
      </c>
      <c r="E14" s="31">
        <v>300000</v>
      </c>
    </row>
  </sheetData>
  <mergeCells count="13">
    <mergeCell ref="A1:H1"/>
    <mergeCell ref="A2:H2"/>
    <mergeCell ref="A3:A4"/>
    <mergeCell ref="B3:D3"/>
    <mergeCell ref="E3:F3"/>
    <mergeCell ref="G3:H3"/>
    <mergeCell ref="A10:B13"/>
    <mergeCell ref="C10:D10"/>
    <mergeCell ref="G10:H10"/>
    <mergeCell ref="C11:D11"/>
    <mergeCell ref="F11:H13"/>
    <mergeCell ref="C12:D12"/>
    <mergeCell ref="C13:D13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2179C-8197-451E-9F0C-7613326C4C2F}">
  <dimension ref="A1:H19"/>
  <sheetViews>
    <sheetView workbookViewId="0">
      <selection sqref="A1:H19"/>
    </sheetView>
  </sheetViews>
  <sheetFormatPr baseColWidth="10" defaultRowHeight="15" x14ac:dyDescent="0.25"/>
  <cols>
    <col min="1" max="1" width="19.85546875" bestFit="1" customWidth="1"/>
    <col min="5" max="5" width="19.140625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304</v>
      </c>
      <c r="B2" s="140"/>
      <c r="C2" s="140"/>
      <c r="D2" s="140"/>
      <c r="E2" s="140"/>
      <c r="F2" s="140"/>
      <c r="G2" s="140"/>
      <c r="H2" s="141"/>
    </row>
    <row r="3" spans="1:8" ht="18" x14ac:dyDescent="0.25">
      <c r="A3" s="142" t="s">
        <v>299</v>
      </c>
      <c r="B3" s="143"/>
      <c r="C3" s="143"/>
      <c r="D3" s="143"/>
      <c r="E3" s="143"/>
      <c r="F3" s="143"/>
      <c r="G3" s="143"/>
      <c r="H3" s="144"/>
    </row>
    <row r="4" spans="1:8" x14ac:dyDescent="0.25">
      <c r="A4" s="145" t="s">
        <v>300</v>
      </c>
      <c r="B4" s="146"/>
      <c r="C4" s="146"/>
      <c r="D4" s="146"/>
      <c r="E4" s="146"/>
      <c r="F4" s="146"/>
      <c r="G4" s="146"/>
      <c r="H4" s="147"/>
    </row>
    <row r="5" spans="1:8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  <c r="G5" s="149" t="s">
        <v>44</v>
      </c>
      <c r="H5" s="150"/>
    </row>
    <row r="6" spans="1:8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  <c r="G6" s="1" t="s">
        <v>45</v>
      </c>
      <c r="H6" s="2" t="s">
        <v>46</v>
      </c>
    </row>
    <row r="7" spans="1:8" x14ac:dyDescent="0.25">
      <c r="A7" s="3" t="s">
        <v>66</v>
      </c>
      <c r="B7" s="4">
        <v>5</v>
      </c>
      <c r="C7" s="119">
        <v>32</v>
      </c>
      <c r="D7" s="5">
        <v>270</v>
      </c>
      <c r="E7" s="6">
        <f>C7*D7</f>
        <v>8640</v>
      </c>
      <c r="F7" s="7">
        <f>B7*E7</f>
        <v>43200</v>
      </c>
      <c r="G7" s="15">
        <v>13.5</v>
      </c>
      <c r="H7" s="12">
        <f>G7*C7</f>
        <v>432</v>
      </c>
    </row>
    <row r="8" spans="1:8" x14ac:dyDescent="0.25">
      <c r="A8" s="3" t="s">
        <v>301</v>
      </c>
      <c r="B8" s="4">
        <v>5</v>
      </c>
      <c r="C8" s="119">
        <v>16</v>
      </c>
      <c r="D8" s="5">
        <v>40</v>
      </c>
      <c r="E8" s="6">
        <f t="shared" ref="E8:E10" si="0">C8*D8</f>
        <v>640</v>
      </c>
      <c r="F8" s="7">
        <f t="shared" ref="F8:F10" si="1">B8*E8</f>
        <v>3200</v>
      </c>
      <c r="G8" s="15">
        <v>6</v>
      </c>
      <c r="H8" s="12">
        <f t="shared" ref="H8:H10" si="2">G8*C8</f>
        <v>96</v>
      </c>
    </row>
    <row r="9" spans="1:8" x14ac:dyDescent="0.25">
      <c r="A9" s="3" t="s">
        <v>302</v>
      </c>
      <c r="B9" s="4">
        <v>5</v>
      </c>
      <c r="C9" s="119">
        <v>16</v>
      </c>
      <c r="D9" s="5">
        <v>150</v>
      </c>
      <c r="E9" s="6">
        <f t="shared" si="0"/>
        <v>2400</v>
      </c>
      <c r="F9" s="7">
        <f t="shared" si="1"/>
        <v>12000</v>
      </c>
      <c r="G9" s="15">
        <v>15.5</v>
      </c>
      <c r="H9" s="12">
        <f t="shared" si="2"/>
        <v>248</v>
      </c>
    </row>
    <row r="10" spans="1:8" x14ac:dyDescent="0.25">
      <c r="A10" s="3" t="s">
        <v>16</v>
      </c>
      <c r="B10" s="4">
        <v>5</v>
      </c>
      <c r="C10" s="119">
        <v>400</v>
      </c>
      <c r="D10" s="5">
        <v>20</v>
      </c>
      <c r="E10" s="6">
        <f t="shared" si="0"/>
        <v>8000</v>
      </c>
      <c r="F10" s="7">
        <f t="shared" si="1"/>
        <v>40000</v>
      </c>
      <c r="G10" s="15">
        <v>0.02</v>
      </c>
      <c r="H10" s="12">
        <f t="shared" si="2"/>
        <v>8</v>
      </c>
    </row>
    <row r="11" spans="1:8" ht="18.75" x14ac:dyDescent="0.4">
      <c r="A11" s="123" t="s">
        <v>67</v>
      </c>
      <c r="B11" s="124"/>
      <c r="C11" s="129" t="s">
        <v>18</v>
      </c>
      <c r="D11" s="129"/>
      <c r="E11" s="8">
        <v>20000</v>
      </c>
      <c r="F11" s="175">
        <f>SUM(H7:H10)</f>
        <v>784</v>
      </c>
      <c r="G11" s="176"/>
      <c r="H11" s="177"/>
    </row>
    <row r="12" spans="1:8" ht="18.75" x14ac:dyDescent="0.4">
      <c r="A12" s="123"/>
      <c r="B12" s="124"/>
      <c r="C12" s="129" t="s">
        <v>19</v>
      </c>
      <c r="D12" s="129"/>
      <c r="E12" s="8">
        <f>E11*5</f>
        <v>100000</v>
      </c>
      <c r="F12" s="178"/>
      <c r="G12" s="179"/>
      <c r="H12" s="180"/>
    </row>
    <row r="13" spans="1:8" ht="18.75" x14ac:dyDescent="0.4">
      <c r="A13" s="125"/>
      <c r="B13" s="126"/>
      <c r="C13" s="133" t="s">
        <v>20</v>
      </c>
      <c r="D13" s="134"/>
      <c r="E13" s="9">
        <v>40000</v>
      </c>
      <c r="F13" s="178"/>
      <c r="G13" s="179"/>
      <c r="H13" s="180"/>
    </row>
    <row r="14" spans="1:8" ht="23.25" thickBot="1" x14ac:dyDescent="0.5">
      <c r="A14" s="127"/>
      <c r="B14" s="128"/>
      <c r="C14" s="135" t="s">
        <v>21</v>
      </c>
      <c r="D14" s="135"/>
      <c r="E14" s="10">
        <f>E12+E13</f>
        <v>140000</v>
      </c>
      <c r="F14" s="181"/>
      <c r="G14" s="182"/>
      <c r="H14" s="183"/>
    </row>
    <row r="15" spans="1:8" x14ac:dyDescent="0.25">
      <c r="A15" t="s">
        <v>94</v>
      </c>
      <c r="E15" s="31">
        <v>300000</v>
      </c>
    </row>
    <row r="16" spans="1:8" x14ac:dyDescent="0.25">
      <c r="A16" t="s">
        <v>25</v>
      </c>
    </row>
    <row r="17" spans="1:1" x14ac:dyDescent="0.25">
      <c r="A17" t="s">
        <v>23</v>
      </c>
    </row>
    <row r="18" spans="1:1" x14ac:dyDescent="0.25">
      <c r="A18" t="s">
        <v>303</v>
      </c>
    </row>
    <row r="19" spans="1:1" x14ac:dyDescent="0.25">
      <c r="A19" t="s">
        <v>38</v>
      </c>
    </row>
  </sheetData>
  <mergeCells count="14">
    <mergeCell ref="A11:B14"/>
    <mergeCell ref="C11:D11"/>
    <mergeCell ref="F11:H14"/>
    <mergeCell ref="C12:D12"/>
    <mergeCell ref="C13:D13"/>
    <mergeCell ref="C14:D14"/>
    <mergeCell ref="A1:H1"/>
    <mergeCell ref="A2:H2"/>
    <mergeCell ref="A3:H3"/>
    <mergeCell ref="A4:H4"/>
    <mergeCell ref="A5:A6"/>
    <mergeCell ref="B5:D5"/>
    <mergeCell ref="E5:F5"/>
    <mergeCell ref="G5:H5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A3C08-D794-458F-BF70-5FD31B9BE7E1}">
  <dimension ref="A1:F21"/>
  <sheetViews>
    <sheetView topLeftCell="A4" workbookViewId="0">
      <selection activeCell="A2" sqref="A2:F21"/>
    </sheetView>
  </sheetViews>
  <sheetFormatPr baseColWidth="10" defaultRowHeight="15" x14ac:dyDescent="0.25"/>
  <cols>
    <col min="1" max="1" width="25.140625" customWidth="1"/>
    <col min="4" max="4" width="21.42578125" customWidth="1"/>
    <col min="5" max="5" width="20.7109375" customWidth="1"/>
  </cols>
  <sheetData>
    <row r="1" spans="1:6" ht="87.75" customHeight="1" x14ac:dyDescent="0.25">
      <c r="A1" s="136" t="s">
        <v>64</v>
      </c>
      <c r="B1" s="137"/>
      <c r="C1" s="137"/>
      <c r="D1" s="137"/>
      <c r="E1" s="137"/>
      <c r="F1" s="138"/>
    </row>
    <row r="2" spans="1:6" ht="18" x14ac:dyDescent="0.25">
      <c r="A2" s="139" t="s">
        <v>117</v>
      </c>
      <c r="B2" s="140"/>
      <c r="C2" s="140"/>
      <c r="D2" s="140"/>
      <c r="E2" s="140"/>
      <c r="F2" s="141"/>
    </row>
    <row r="3" spans="1:6" ht="18" x14ac:dyDescent="0.25">
      <c r="A3" s="142" t="s">
        <v>116</v>
      </c>
      <c r="B3" s="143"/>
      <c r="C3" s="143"/>
      <c r="D3" s="143"/>
      <c r="E3" s="143"/>
      <c r="F3" s="144"/>
    </row>
    <row r="4" spans="1:6" x14ac:dyDescent="0.25">
      <c r="A4" s="145" t="s">
        <v>115</v>
      </c>
      <c r="B4" s="146"/>
      <c r="C4" s="146"/>
      <c r="D4" s="146"/>
      <c r="E4" s="146"/>
      <c r="F4" s="147"/>
    </row>
    <row r="5" spans="1:6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6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6" ht="15.75" customHeight="1" x14ac:dyDescent="0.25">
      <c r="A7" s="3" t="s">
        <v>110</v>
      </c>
      <c r="B7" s="4">
        <v>7</v>
      </c>
      <c r="C7" s="4">
        <v>16</v>
      </c>
      <c r="D7" s="5">
        <v>260</v>
      </c>
      <c r="E7" s="6">
        <f>C7*D7</f>
        <v>4160</v>
      </c>
      <c r="F7" s="7">
        <f>B7*E7</f>
        <v>29120</v>
      </c>
    </row>
    <row r="8" spans="1:6" ht="15.75" customHeight="1" x14ac:dyDescent="0.25">
      <c r="A8" s="3" t="s">
        <v>13</v>
      </c>
      <c r="B8" s="4">
        <v>7</v>
      </c>
      <c r="C8" s="4">
        <v>16</v>
      </c>
      <c r="D8" s="5">
        <v>240</v>
      </c>
      <c r="E8" s="6">
        <f>C8*D8</f>
        <v>3840</v>
      </c>
      <c r="F8" s="7">
        <f>B8*E8</f>
        <v>26880</v>
      </c>
    </row>
    <row r="9" spans="1:6" x14ac:dyDescent="0.25">
      <c r="A9" s="3" t="s">
        <v>14</v>
      </c>
      <c r="B9" s="4">
        <v>7</v>
      </c>
      <c r="C9" s="4">
        <v>16</v>
      </c>
      <c r="D9" s="5">
        <v>45</v>
      </c>
      <c r="E9" s="6">
        <f t="shared" ref="E9:E12" si="0">C9*D9</f>
        <v>720</v>
      </c>
      <c r="F9" s="7">
        <f t="shared" ref="F9:F12" si="1">B9*E9</f>
        <v>5040</v>
      </c>
    </row>
    <row r="10" spans="1:6" x14ac:dyDescent="0.25">
      <c r="A10" s="3" t="s">
        <v>15</v>
      </c>
      <c r="B10" s="4">
        <v>7</v>
      </c>
      <c r="C10" s="4">
        <v>8</v>
      </c>
      <c r="D10" s="5">
        <v>85</v>
      </c>
      <c r="E10" s="6">
        <f t="shared" si="0"/>
        <v>680</v>
      </c>
      <c r="F10" s="7">
        <f t="shared" si="1"/>
        <v>4760</v>
      </c>
    </row>
    <row r="11" spans="1:6" x14ac:dyDescent="0.25">
      <c r="A11" s="3" t="s">
        <v>32</v>
      </c>
      <c r="B11" s="4">
        <v>7</v>
      </c>
      <c r="C11" s="4">
        <v>16</v>
      </c>
      <c r="D11" s="5">
        <v>120</v>
      </c>
      <c r="E11" s="6">
        <f t="shared" si="0"/>
        <v>1920</v>
      </c>
      <c r="F11" s="7">
        <f t="shared" si="1"/>
        <v>13440</v>
      </c>
    </row>
    <row r="12" spans="1:6" x14ac:dyDescent="0.25">
      <c r="A12" s="3" t="s">
        <v>16</v>
      </c>
      <c r="B12" s="4">
        <v>7</v>
      </c>
      <c r="C12" s="4">
        <v>370</v>
      </c>
      <c r="D12" s="5">
        <v>20</v>
      </c>
      <c r="E12" s="6">
        <f t="shared" si="0"/>
        <v>7400</v>
      </c>
      <c r="F12" s="7">
        <f t="shared" si="1"/>
        <v>51800</v>
      </c>
    </row>
    <row r="13" spans="1:6" x14ac:dyDescent="0.25">
      <c r="A13" s="3" t="s">
        <v>111</v>
      </c>
      <c r="B13" s="4">
        <v>7</v>
      </c>
      <c r="C13" s="4">
        <v>2</v>
      </c>
      <c r="D13" s="5">
        <v>1200</v>
      </c>
      <c r="E13" s="6">
        <f>C13*D13</f>
        <v>2400</v>
      </c>
      <c r="F13" s="7">
        <f>B13*E13</f>
        <v>16800</v>
      </c>
    </row>
    <row r="14" spans="1:6" x14ac:dyDescent="0.25">
      <c r="A14" s="3" t="s">
        <v>112</v>
      </c>
      <c r="B14" s="4">
        <v>7</v>
      </c>
      <c r="C14" s="4">
        <v>1</v>
      </c>
      <c r="D14" s="5">
        <v>120</v>
      </c>
      <c r="E14" s="6">
        <f>C14*D14</f>
        <v>120</v>
      </c>
      <c r="F14" s="7">
        <f>B14*E14</f>
        <v>840</v>
      </c>
    </row>
    <row r="15" spans="1:6" ht="18.75" x14ac:dyDescent="0.4">
      <c r="A15" s="123" t="s">
        <v>109</v>
      </c>
      <c r="B15" s="124"/>
      <c r="C15" s="129" t="s">
        <v>113</v>
      </c>
      <c r="D15" s="129"/>
      <c r="E15" s="37">
        <f>SUM(E7:E14)*1.19</f>
        <v>25275.599999999999</v>
      </c>
      <c r="F15" s="130"/>
    </row>
    <row r="16" spans="1:6" ht="18.75" x14ac:dyDescent="0.4">
      <c r="A16" s="123"/>
      <c r="B16" s="124"/>
      <c r="C16" s="129" t="s">
        <v>114</v>
      </c>
      <c r="D16" s="129"/>
      <c r="E16" s="38">
        <f>SUM(F7:F13)*1.19</f>
        <v>175929.60000000001</v>
      </c>
      <c r="F16" s="130"/>
    </row>
    <row r="17" spans="1:6" ht="18.75" x14ac:dyDescent="0.4">
      <c r="A17" s="125"/>
      <c r="B17" s="126"/>
      <c r="C17" s="133" t="s">
        <v>20</v>
      </c>
      <c r="D17" s="134"/>
      <c r="E17" s="39">
        <v>40000</v>
      </c>
      <c r="F17" s="131"/>
    </row>
    <row r="18" spans="1:6" ht="23.25" thickBot="1" x14ac:dyDescent="0.5">
      <c r="A18" s="127"/>
      <c r="B18" s="128"/>
      <c r="C18" s="135" t="s">
        <v>21</v>
      </c>
      <c r="D18" s="135"/>
      <c r="E18" s="10">
        <f>E16+E17</f>
        <v>215929.60000000001</v>
      </c>
      <c r="F18" s="132"/>
    </row>
    <row r="19" spans="1:6" x14ac:dyDescent="0.25">
      <c r="A19" s="40" t="s">
        <v>118</v>
      </c>
    </row>
    <row r="20" spans="1:6" x14ac:dyDescent="0.25">
      <c r="A20" s="41" t="s">
        <v>119</v>
      </c>
    </row>
    <row r="21" spans="1:6" x14ac:dyDescent="0.25">
      <c r="A21" s="42" t="s">
        <v>120</v>
      </c>
    </row>
  </sheetData>
  <mergeCells count="13">
    <mergeCell ref="A1:F1"/>
    <mergeCell ref="A2:F2"/>
    <mergeCell ref="A3:F3"/>
    <mergeCell ref="A4:F4"/>
    <mergeCell ref="A5:A6"/>
    <mergeCell ref="B5:D5"/>
    <mergeCell ref="E5:F5"/>
    <mergeCell ref="A15:B18"/>
    <mergeCell ref="C15:D15"/>
    <mergeCell ref="F15:F18"/>
    <mergeCell ref="C16:D16"/>
    <mergeCell ref="C17:D17"/>
    <mergeCell ref="C18:D1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C75F-F4D8-433F-B992-CFACA6598BC1}">
  <sheetPr>
    <pageSetUpPr fitToPage="1"/>
  </sheetPr>
  <dimension ref="A1:H38"/>
  <sheetViews>
    <sheetView topLeftCell="A15" workbookViewId="0">
      <selection activeCell="A23" sqref="A23:H38"/>
    </sheetView>
  </sheetViews>
  <sheetFormatPr baseColWidth="10" defaultRowHeight="15" x14ac:dyDescent="0.25"/>
  <cols>
    <col min="1" max="1" width="21.140625" customWidth="1"/>
    <col min="5" max="5" width="18.42578125" customWidth="1"/>
    <col min="6" max="6" width="14.85546875" customWidth="1"/>
    <col min="9" max="9" width="13.5703125" customWidth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8" x14ac:dyDescent="0.25">
      <c r="A2" s="139" t="s">
        <v>138</v>
      </c>
      <c r="B2" s="140"/>
      <c r="C2" s="140"/>
      <c r="D2" s="140"/>
      <c r="E2" s="140"/>
      <c r="F2" s="141"/>
    </row>
    <row r="3" spans="1:6" ht="18" x14ac:dyDescent="0.25">
      <c r="A3" s="142"/>
      <c r="B3" s="143"/>
      <c r="C3" s="143"/>
      <c r="D3" s="143"/>
      <c r="E3" s="143"/>
      <c r="F3" s="144"/>
    </row>
    <row r="4" spans="1:6" x14ac:dyDescent="0.25">
      <c r="A4" s="145"/>
      <c r="B4" s="146"/>
      <c r="C4" s="146"/>
      <c r="D4" s="146"/>
      <c r="E4" s="146"/>
      <c r="F4" s="147"/>
    </row>
    <row r="5" spans="1:6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6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6" x14ac:dyDescent="0.25">
      <c r="A7" s="3" t="s">
        <v>101</v>
      </c>
      <c r="B7" s="4">
        <v>5</v>
      </c>
      <c r="C7" s="4">
        <v>12</v>
      </c>
      <c r="D7" s="5">
        <v>290</v>
      </c>
      <c r="E7" s="6">
        <f>C7*D7</f>
        <v>3480</v>
      </c>
      <c r="F7" s="7">
        <f>B7*E7</f>
        <v>17400</v>
      </c>
    </row>
    <row r="8" spans="1:6" x14ac:dyDescent="0.25">
      <c r="A8" s="3" t="s">
        <v>102</v>
      </c>
      <c r="B8" s="4">
        <v>5</v>
      </c>
      <c r="C8" s="4">
        <v>20</v>
      </c>
      <c r="D8" s="5">
        <v>260</v>
      </c>
      <c r="E8" s="6">
        <f t="shared" ref="E8:E11" si="0">C8*D8</f>
        <v>5200</v>
      </c>
      <c r="F8" s="7">
        <f t="shared" ref="F8:F11" si="1">B8*E8</f>
        <v>26000</v>
      </c>
    </row>
    <row r="9" spans="1:6" x14ac:dyDescent="0.25">
      <c r="A9" s="3" t="s">
        <v>103</v>
      </c>
      <c r="B9" s="4">
        <v>5</v>
      </c>
      <c r="C9" s="4">
        <v>16</v>
      </c>
      <c r="D9" s="5">
        <v>190</v>
      </c>
      <c r="E9" s="6">
        <f t="shared" si="0"/>
        <v>3040</v>
      </c>
      <c r="F9" s="7">
        <f t="shared" si="1"/>
        <v>15200</v>
      </c>
    </row>
    <row r="10" spans="1:6" x14ac:dyDescent="0.25">
      <c r="A10" s="3" t="s">
        <v>32</v>
      </c>
      <c r="B10" s="4">
        <v>5</v>
      </c>
      <c r="C10" s="4">
        <v>16</v>
      </c>
      <c r="D10" s="5">
        <v>130</v>
      </c>
      <c r="E10" s="6">
        <f t="shared" si="0"/>
        <v>2080</v>
      </c>
      <c r="F10" s="7">
        <f t="shared" si="1"/>
        <v>10400</v>
      </c>
    </row>
    <row r="11" spans="1:6" x14ac:dyDescent="0.25">
      <c r="A11" s="3" t="s">
        <v>16</v>
      </c>
      <c r="B11" s="4">
        <v>5</v>
      </c>
      <c r="C11" s="4">
        <v>400</v>
      </c>
      <c r="D11" s="5">
        <v>20</v>
      </c>
      <c r="E11" s="6">
        <f t="shared" si="0"/>
        <v>8000</v>
      </c>
      <c r="F11" s="7">
        <f t="shared" si="1"/>
        <v>40000</v>
      </c>
    </row>
    <row r="12" spans="1:6" ht="18.75" x14ac:dyDescent="0.4">
      <c r="A12" s="123" t="s">
        <v>67</v>
      </c>
      <c r="B12" s="124"/>
      <c r="C12" s="129" t="s">
        <v>18</v>
      </c>
      <c r="D12" s="129"/>
      <c r="E12" s="8">
        <v>21800</v>
      </c>
      <c r="F12" s="130"/>
    </row>
    <row r="13" spans="1:6" ht="18.75" x14ac:dyDescent="0.4">
      <c r="A13" s="123"/>
      <c r="B13" s="124"/>
      <c r="C13" s="129" t="s">
        <v>19</v>
      </c>
      <c r="D13" s="129"/>
      <c r="E13" s="8">
        <f>E12*5</f>
        <v>109000</v>
      </c>
      <c r="F13" s="130"/>
    </row>
    <row r="14" spans="1:6" ht="18.75" x14ac:dyDescent="0.4">
      <c r="A14" s="125"/>
      <c r="B14" s="126"/>
      <c r="C14" s="133" t="s">
        <v>20</v>
      </c>
      <c r="D14" s="134"/>
      <c r="E14" s="9">
        <v>85000</v>
      </c>
      <c r="F14" s="131"/>
    </row>
    <row r="15" spans="1:6" ht="23.25" thickBot="1" x14ac:dyDescent="0.5">
      <c r="A15" s="127"/>
      <c r="B15" s="128"/>
      <c r="C15" s="135" t="s">
        <v>21</v>
      </c>
      <c r="D15" s="135"/>
      <c r="E15" s="10">
        <f>E13+E14</f>
        <v>194000</v>
      </c>
      <c r="F15" s="132"/>
    </row>
    <row r="16" spans="1:6" ht="15.75" thickBot="1" x14ac:dyDescent="0.3"/>
    <row r="17" spans="1:8" ht="18.75" x14ac:dyDescent="0.3">
      <c r="A17" s="184" t="s">
        <v>22</v>
      </c>
      <c r="B17" s="185"/>
      <c r="C17" s="185"/>
      <c r="D17" s="185"/>
      <c r="E17" s="186"/>
    </row>
    <row r="18" spans="1:8" x14ac:dyDescent="0.25">
      <c r="A18" s="187" t="s">
        <v>23</v>
      </c>
      <c r="B18" s="179"/>
      <c r="C18" s="179"/>
      <c r="D18" s="179"/>
      <c r="E18" s="180"/>
    </row>
    <row r="19" spans="1:8" x14ac:dyDescent="0.25">
      <c r="A19" s="187" t="s">
        <v>40</v>
      </c>
      <c r="B19" s="179"/>
      <c r="C19" s="179"/>
      <c r="D19" s="179"/>
      <c r="E19" s="180"/>
    </row>
    <row r="20" spans="1:8" x14ac:dyDescent="0.25">
      <c r="A20" s="187" t="s">
        <v>104</v>
      </c>
      <c r="B20" s="179"/>
      <c r="C20" s="179"/>
      <c r="D20" s="179"/>
      <c r="E20" s="180"/>
    </row>
    <row r="21" spans="1:8" ht="15.75" thickBot="1" x14ac:dyDescent="0.3">
      <c r="A21" s="188" t="s">
        <v>105</v>
      </c>
      <c r="B21" s="182"/>
      <c r="C21" s="182"/>
      <c r="D21" s="182"/>
      <c r="E21" s="183"/>
    </row>
    <row r="22" spans="1:8" ht="15.75" thickBot="1" x14ac:dyDescent="0.3"/>
    <row r="23" spans="1:8" x14ac:dyDescent="0.25">
      <c r="A23" s="136" t="s">
        <v>138</v>
      </c>
      <c r="B23" s="137"/>
      <c r="C23" s="137"/>
      <c r="D23" s="137"/>
      <c r="E23" s="137"/>
      <c r="F23" s="137"/>
      <c r="G23" s="137"/>
      <c r="H23" s="138"/>
    </row>
    <row r="24" spans="1:8" ht="18" x14ac:dyDescent="0.25">
      <c r="A24" s="139" t="s">
        <v>43</v>
      </c>
      <c r="B24" s="140"/>
      <c r="C24" s="140"/>
      <c r="D24" s="140"/>
      <c r="E24" s="140"/>
      <c r="F24" s="140"/>
      <c r="G24" s="140"/>
      <c r="H24" s="141"/>
    </row>
    <row r="25" spans="1:8" x14ac:dyDescent="0.25">
      <c r="A25" s="145"/>
      <c r="B25" s="146"/>
      <c r="C25" s="146"/>
      <c r="D25" s="146"/>
      <c r="E25" s="146"/>
      <c r="F25" s="146"/>
      <c r="G25" s="146"/>
      <c r="H25" s="147"/>
    </row>
    <row r="26" spans="1:8" x14ac:dyDescent="0.25">
      <c r="A26" s="148" t="s">
        <v>4</v>
      </c>
      <c r="B26" s="149" t="s">
        <v>5</v>
      </c>
      <c r="C26" s="149"/>
      <c r="D26" s="149"/>
      <c r="E26" s="149" t="s">
        <v>6</v>
      </c>
      <c r="F26" s="149"/>
      <c r="G26" s="149" t="s">
        <v>44</v>
      </c>
      <c r="H26" s="150"/>
    </row>
    <row r="27" spans="1:8" x14ac:dyDescent="0.25">
      <c r="A27" s="148"/>
      <c r="B27" s="1" t="s">
        <v>7</v>
      </c>
      <c r="C27" s="1" t="s">
        <v>8</v>
      </c>
      <c r="D27" s="1" t="s">
        <v>9</v>
      </c>
      <c r="E27" s="1" t="s">
        <v>10</v>
      </c>
      <c r="F27" s="1" t="s">
        <v>11</v>
      </c>
      <c r="G27" s="1" t="s">
        <v>45</v>
      </c>
      <c r="H27" s="2" t="s">
        <v>46</v>
      </c>
    </row>
    <row r="28" spans="1:8" x14ac:dyDescent="0.25">
      <c r="A28" s="47" t="s">
        <v>47</v>
      </c>
      <c r="B28" s="1">
        <v>15</v>
      </c>
      <c r="C28" s="14">
        <v>90</v>
      </c>
      <c r="D28" s="6">
        <v>180</v>
      </c>
      <c r="E28" s="6">
        <f t="shared" ref="E28:E34" si="2">C28*D28</f>
        <v>16200</v>
      </c>
      <c r="F28" s="6">
        <f>B28*E28</f>
        <v>243000</v>
      </c>
      <c r="G28" s="15">
        <v>25</v>
      </c>
      <c r="H28" s="12">
        <f>G28*C28</f>
        <v>2250</v>
      </c>
    </row>
    <row r="29" spans="1:8" x14ac:dyDescent="0.25">
      <c r="A29" s="47" t="s">
        <v>124</v>
      </c>
      <c r="B29" s="1">
        <v>15</v>
      </c>
      <c r="C29" s="14">
        <v>30</v>
      </c>
      <c r="D29" s="6">
        <v>140</v>
      </c>
      <c r="E29" s="6">
        <f t="shared" si="2"/>
        <v>4200</v>
      </c>
      <c r="F29" s="6">
        <f t="shared" ref="F29:F34" si="3">B29*E29</f>
        <v>63000</v>
      </c>
      <c r="G29" s="15">
        <v>14</v>
      </c>
      <c r="H29" s="12">
        <f>G29*C29</f>
        <v>420</v>
      </c>
    </row>
    <row r="30" spans="1:8" x14ac:dyDescent="0.25">
      <c r="A30" s="47" t="s">
        <v>48</v>
      </c>
      <c r="B30" s="1">
        <v>15</v>
      </c>
      <c r="C30" s="4">
        <v>30</v>
      </c>
      <c r="D30" s="6">
        <v>120</v>
      </c>
      <c r="E30" s="6">
        <f t="shared" si="2"/>
        <v>3600</v>
      </c>
      <c r="F30" s="6">
        <f t="shared" si="3"/>
        <v>54000</v>
      </c>
      <c r="G30" s="15">
        <v>29</v>
      </c>
      <c r="H30" s="12">
        <f t="shared" ref="H30:H34" si="4">G30*C30</f>
        <v>870</v>
      </c>
    </row>
    <row r="31" spans="1:8" ht="15" customHeight="1" x14ac:dyDescent="0.25">
      <c r="A31" s="47" t="s">
        <v>126</v>
      </c>
      <c r="B31" s="1">
        <v>15</v>
      </c>
      <c r="C31" s="4">
        <v>3</v>
      </c>
      <c r="D31" s="6">
        <v>120</v>
      </c>
      <c r="E31" s="6">
        <f t="shared" ref="E31" si="5">C31*D31</f>
        <v>360</v>
      </c>
      <c r="F31" s="6">
        <f t="shared" ref="F31" si="6">B31*E31</f>
        <v>5400</v>
      </c>
      <c r="G31" s="15">
        <v>16</v>
      </c>
      <c r="H31" s="12">
        <f t="shared" ref="H31" si="7">G31*C31</f>
        <v>48</v>
      </c>
    </row>
    <row r="32" spans="1:8" x14ac:dyDescent="0.25">
      <c r="A32" s="47" t="s">
        <v>125</v>
      </c>
      <c r="B32" s="1">
        <v>15</v>
      </c>
      <c r="C32" s="4">
        <v>1</v>
      </c>
      <c r="D32" s="6">
        <v>120</v>
      </c>
      <c r="E32" s="6">
        <f t="shared" si="2"/>
        <v>120</v>
      </c>
      <c r="F32" s="6">
        <f t="shared" si="3"/>
        <v>1800</v>
      </c>
      <c r="G32" s="15">
        <v>14</v>
      </c>
      <c r="H32" s="12">
        <f t="shared" ref="H32" si="8">G32*C32</f>
        <v>14</v>
      </c>
    </row>
    <row r="33" spans="1:8" x14ac:dyDescent="0.25">
      <c r="A33" s="47" t="s">
        <v>32</v>
      </c>
      <c r="B33" s="1">
        <v>15</v>
      </c>
      <c r="C33" s="4">
        <v>60</v>
      </c>
      <c r="D33" s="6">
        <v>120</v>
      </c>
      <c r="E33" s="6">
        <f t="shared" si="2"/>
        <v>7200</v>
      </c>
      <c r="F33" s="6">
        <f t="shared" si="3"/>
        <v>108000</v>
      </c>
      <c r="G33" s="15">
        <v>13.5</v>
      </c>
      <c r="H33" s="12">
        <f t="shared" si="4"/>
        <v>810</v>
      </c>
    </row>
    <row r="34" spans="1:8" x14ac:dyDescent="0.25">
      <c r="A34" s="47" t="s">
        <v>127</v>
      </c>
      <c r="B34" s="1">
        <v>15</v>
      </c>
      <c r="C34" s="4">
        <v>1</v>
      </c>
      <c r="D34" s="6">
        <v>1200</v>
      </c>
      <c r="E34" s="6">
        <f t="shared" si="2"/>
        <v>1200</v>
      </c>
      <c r="F34" s="6">
        <f t="shared" si="3"/>
        <v>18000</v>
      </c>
      <c r="G34" s="15">
        <v>40</v>
      </c>
      <c r="H34" s="12">
        <f t="shared" si="4"/>
        <v>40</v>
      </c>
    </row>
    <row r="35" spans="1:8" ht="18.75" x14ac:dyDescent="0.4">
      <c r="A35" s="152" t="s">
        <v>28</v>
      </c>
      <c r="B35" s="153"/>
      <c r="C35" s="129" t="s">
        <v>18</v>
      </c>
      <c r="D35" s="129"/>
      <c r="E35" s="16">
        <f>SUM(E28:E34)</f>
        <v>32880</v>
      </c>
      <c r="F35" s="149" t="s">
        <v>49</v>
      </c>
      <c r="G35" s="149"/>
      <c r="H35" s="17">
        <f>SUM(H28:H34)</f>
        <v>4452</v>
      </c>
    </row>
    <row r="36" spans="1:8" ht="19.5" thickBot="1" x14ac:dyDescent="0.45">
      <c r="A36" s="154"/>
      <c r="B36" s="155"/>
      <c r="C36" s="135" t="s">
        <v>19</v>
      </c>
      <c r="D36" s="135"/>
      <c r="E36" s="18">
        <f>SUM(F28:F34)</f>
        <v>493200</v>
      </c>
      <c r="F36" s="189"/>
      <c r="G36" s="159"/>
      <c r="H36" s="160"/>
    </row>
    <row r="37" spans="1:8" ht="19.5" thickBot="1" x14ac:dyDescent="0.45">
      <c r="A37" s="154"/>
      <c r="B37" s="155"/>
      <c r="C37" s="161" t="s">
        <v>50</v>
      </c>
      <c r="D37" s="162"/>
      <c r="E37" s="19">
        <v>200000</v>
      </c>
      <c r="F37" s="163" t="s">
        <v>51</v>
      </c>
      <c r="G37" s="164"/>
      <c r="H37" s="165"/>
    </row>
    <row r="38" spans="1:8" ht="19.5" thickBot="1" x14ac:dyDescent="0.45">
      <c r="A38" s="156"/>
      <c r="B38" s="157"/>
      <c r="C38" s="135" t="s">
        <v>52</v>
      </c>
      <c r="D38" s="135"/>
      <c r="E38" s="18">
        <f>E36+E37</f>
        <v>693200</v>
      </c>
      <c r="F38" s="166"/>
      <c r="G38" s="166"/>
      <c r="H38" s="167"/>
    </row>
  </sheetData>
  <mergeCells count="34">
    <mergeCell ref="A35:B38"/>
    <mergeCell ref="C35:D35"/>
    <mergeCell ref="F35:G35"/>
    <mergeCell ref="C36:D36"/>
    <mergeCell ref="F36:H36"/>
    <mergeCell ref="C37:D37"/>
    <mergeCell ref="F37:H37"/>
    <mergeCell ref="C38:D38"/>
    <mergeCell ref="F38:H38"/>
    <mergeCell ref="A23:H23"/>
    <mergeCell ref="A24:H24"/>
    <mergeCell ref="A25:H25"/>
    <mergeCell ref="A26:A27"/>
    <mergeCell ref="B26:D26"/>
    <mergeCell ref="E26:F26"/>
    <mergeCell ref="G26:H26"/>
    <mergeCell ref="A17:E17"/>
    <mergeCell ref="A18:E18"/>
    <mergeCell ref="A19:E19"/>
    <mergeCell ref="A20:E20"/>
    <mergeCell ref="A21:E21"/>
    <mergeCell ref="A12:B15"/>
    <mergeCell ref="C12:D12"/>
    <mergeCell ref="F12:F15"/>
    <mergeCell ref="C13:D13"/>
    <mergeCell ref="C14:D14"/>
    <mergeCell ref="C15:D15"/>
    <mergeCell ref="A1:F1"/>
    <mergeCell ref="A2:F2"/>
    <mergeCell ref="A3:F3"/>
    <mergeCell ref="A4:F4"/>
    <mergeCell ref="A5:A6"/>
    <mergeCell ref="B5:D5"/>
    <mergeCell ref="E5:F5"/>
  </mergeCells>
  <pageMargins left="0.70866141732283472" right="0.70866141732283472" top="0.74803149606299213" bottom="0.74803149606299213" header="0.31496062992125984" footer="0.31496062992125984"/>
  <pageSetup paperSize="9" scale="81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8337-2EA2-4CD4-8849-F197012316DA}">
  <dimension ref="A7:F19"/>
  <sheetViews>
    <sheetView topLeftCell="A6" workbookViewId="0">
      <selection activeCell="A7" sqref="A7:F7"/>
    </sheetView>
  </sheetViews>
  <sheetFormatPr baseColWidth="10" defaultRowHeight="15" x14ac:dyDescent="0.25"/>
  <cols>
    <col min="1" max="1" width="30.85546875" bestFit="1" customWidth="1"/>
    <col min="3" max="3" width="18.85546875" bestFit="1" customWidth="1"/>
  </cols>
  <sheetData>
    <row r="7" spans="1:6" x14ac:dyDescent="0.25">
      <c r="A7" s="174" t="s">
        <v>260</v>
      </c>
      <c r="B7" s="174"/>
      <c r="C7" s="174"/>
      <c r="D7" s="174"/>
      <c r="E7" s="174"/>
      <c r="F7" s="174"/>
    </row>
    <row r="8" spans="1:6" x14ac:dyDescent="0.25">
      <c r="A8" s="97" t="s">
        <v>4</v>
      </c>
      <c r="B8" s="98" t="s">
        <v>7</v>
      </c>
      <c r="C8" s="99" t="s">
        <v>254</v>
      </c>
      <c r="D8" s="98" t="s">
        <v>8</v>
      </c>
      <c r="E8" s="100"/>
      <c r="F8" s="100"/>
    </row>
    <row r="9" spans="1:6" x14ac:dyDescent="0.25">
      <c r="A9" s="101" t="s">
        <v>250</v>
      </c>
      <c r="B9" s="91">
        <v>10</v>
      </c>
      <c r="C9" s="92">
        <v>3000</v>
      </c>
      <c r="D9" s="95">
        <v>4</v>
      </c>
      <c r="E9" s="93">
        <f>D9*C9</f>
        <v>12000</v>
      </c>
      <c r="F9" s="102">
        <f>E9*B9</f>
        <v>120000</v>
      </c>
    </row>
    <row r="10" spans="1:6" x14ac:dyDescent="0.25">
      <c r="A10" s="101" t="s">
        <v>259</v>
      </c>
      <c r="B10" s="91">
        <v>10</v>
      </c>
      <c r="C10" s="92">
        <v>450</v>
      </c>
      <c r="D10" s="95">
        <v>2</v>
      </c>
      <c r="E10" s="93">
        <f t="shared" ref="E10:E15" si="0">D10*C10</f>
        <v>900</v>
      </c>
      <c r="F10" s="102">
        <f t="shared" ref="F10:F15" si="1">E10*B10</f>
        <v>9000</v>
      </c>
    </row>
    <row r="11" spans="1:6" x14ac:dyDescent="0.25">
      <c r="A11" s="101" t="s">
        <v>255</v>
      </c>
      <c r="B11" s="91">
        <v>10</v>
      </c>
      <c r="C11" s="92">
        <v>400</v>
      </c>
      <c r="D11" s="95">
        <v>2</v>
      </c>
      <c r="E11" s="93">
        <f t="shared" si="0"/>
        <v>800</v>
      </c>
      <c r="F11" s="102">
        <f t="shared" si="1"/>
        <v>8000</v>
      </c>
    </row>
    <row r="12" spans="1:6" x14ac:dyDescent="0.25">
      <c r="A12" s="101" t="s">
        <v>251</v>
      </c>
      <c r="B12" s="91">
        <v>10</v>
      </c>
      <c r="C12" s="92">
        <v>160</v>
      </c>
      <c r="D12" s="95">
        <v>6</v>
      </c>
      <c r="E12" s="93">
        <f t="shared" si="0"/>
        <v>960</v>
      </c>
      <c r="F12" s="102">
        <f t="shared" si="1"/>
        <v>9600</v>
      </c>
    </row>
    <row r="13" spans="1:6" x14ac:dyDescent="0.25">
      <c r="A13" s="101" t="s">
        <v>30</v>
      </c>
      <c r="B13" s="91">
        <v>10</v>
      </c>
      <c r="C13" s="94">
        <v>120</v>
      </c>
      <c r="D13" s="96">
        <v>4</v>
      </c>
      <c r="E13" s="93">
        <f t="shared" si="0"/>
        <v>480</v>
      </c>
      <c r="F13" s="102">
        <f t="shared" si="1"/>
        <v>4800</v>
      </c>
    </row>
    <row r="14" spans="1:6" x14ac:dyDescent="0.25">
      <c r="A14" s="101" t="s">
        <v>252</v>
      </c>
      <c r="B14" s="91">
        <v>10</v>
      </c>
      <c r="C14" s="92">
        <v>400</v>
      </c>
      <c r="D14" s="95">
        <v>1</v>
      </c>
      <c r="E14" s="93">
        <f t="shared" si="0"/>
        <v>400</v>
      </c>
      <c r="F14" s="102">
        <f t="shared" si="1"/>
        <v>4000</v>
      </c>
    </row>
    <row r="15" spans="1:6" x14ac:dyDescent="0.25">
      <c r="A15" s="101" t="s">
        <v>253</v>
      </c>
      <c r="B15" s="91">
        <v>10</v>
      </c>
      <c r="C15" s="92">
        <v>300</v>
      </c>
      <c r="D15" s="95">
        <v>1</v>
      </c>
      <c r="E15" s="93">
        <f t="shared" si="0"/>
        <v>300</v>
      </c>
      <c r="F15" s="102">
        <f t="shared" si="1"/>
        <v>3000</v>
      </c>
    </row>
    <row r="16" spans="1:6" x14ac:dyDescent="0.25">
      <c r="A16" s="190" t="s">
        <v>258</v>
      </c>
      <c r="B16" s="190"/>
      <c r="C16" s="190"/>
      <c r="D16" s="190"/>
      <c r="E16" s="93">
        <v>16000</v>
      </c>
      <c r="F16" s="102"/>
    </row>
    <row r="17" spans="1:6" x14ac:dyDescent="0.25">
      <c r="A17" s="174" t="s">
        <v>256</v>
      </c>
      <c r="B17" s="174"/>
      <c r="C17" s="174"/>
      <c r="D17" s="174"/>
      <c r="E17" s="22"/>
      <c r="F17" s="103">
        <v>160000</v>
      </c>
    </row>
    <row r="18" spans="1:6" x14ac:dyDescent="0.25">
      <c r="A18" s="174" t="s">
        <v>257</v>
      </c>
      <c r="B18" s="174"/>
      <c r="C18" s="174"/>
      <c r="D18" s="174"/>
      <c r="E18" s="22"/>
      <c r="F18" s="22">
        <v>60000</v>
      </c>
    </row>
    <row r="19" spans="1:6" x14ac:dyDescent="0.25">
      <c r="A19" s="174" t="s">
        <v>90</v>
      </c>
      <c r="B19" s="174"/>
      <c r="C19" s="174"/>
      <c r="D19" s="174"/>
      <c r="E19" s="22"/>
      <c r="F19" s="103">
        <f>F17+F18</f>
        <v>220000</v>
      </c>
    </row>
  </sheetData>
  <mergeCells count="5">
    <mergeCell ref="A18:D18"/>
    <mergeCell ref="A19:D19"/>
    <mergeCell ref="A16:D16"/>
    <mergeCell ref="A7:F7"/>
    <mergeCell ref="A17:D17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80D4-B3C7-4421-A059-B030AEC989B5}">
  <sheetPr>
    <pageSetUpPr fitToPage="1"/>
  </sheetPr>
  <dimension ref="A1:H36"/>
  <sheetViews>
    <sheetView topLeftCell="A20" workbookViewId="0">
      <selection activeCell="A21" sqref="A21:H35"/>
    </sheetView>
  </sheetViews>
  <sheetFormatPr baseColWidth="10" defaultRowHeight="15" x14ac:dyDescent="0.25"/>
  <cols>
    <col min="1" max="1" width="33.85546875" customWidth="1"/>
    <col min="5" max="5" width="14.42578125" bestFit="1" customWidth="1"/>
  </cols>
  <sheetData>
    <row r="1" spans="1:8" ht="15.75" thickBot="1" x14ac:dyDescent="0.3">
      <c r="A1" s="191" t="s">
        <v>242</v>
      </c>
      <c r="B1" s="192"/>
      <c r="C1" s="192"/>
      <c r="D1" s="192"/>
      <c r="E1" s="192"/>
      <c r="F1" s="192"/>
      <c r="G1" s="192"/>
      <c r="H1" s="193"/>
    </row>
    <row r="2" spans="1:8" ht="18.75" thickBot="1" x14ac:dyDescent="0.3">
      <c r="A2" s="194" t="s">
        <v>266</v>
      </c>
      <c r="B2" s="195"/>
      <c r="C2" s="195"/>
      <c r="D2" s="195"/>
      <c r="E2" s="195"/>
      <c r="F2" s="195"/>
      <c r="G2" s="195"/>
      <c r="H2" s="196"/>
    </row>
    <row r="3" spans="1:8" ht="15.75" thickBot="1" x14ac:dyDescent="0.3">
      <c r="A3" s="191" t="s">
        <v>265</v>
      </c>
      <c r="B3" s="192"/>
      <c r="C3" s="192"/>
      <c r="D3" s="192"/>
      <c r="E3" s="192"/>
      <c r="F3" s="192"/>
      <c r="G3" s="192"/>
      <c r="H3" s="193"/>
    </row>
    <row r="4" spans="1:8" ht="15.75" thickBot="1" x14ac:dyDescent="0.3">
      <c r="A4" s="197" t="s">
        <v>4</v>
      </c>
      <c r="B4" s="199" t="s">
        <v>5</v>
      </c>
      <c r="C4" s="200"/>
      <c r="D4" s="201"/>
      <c r="E4" s="199" t="s">
        <v>6</v>
      </c>
      <c r="F4" s="201"/>
      <c r="G4" s="199" t="s">
        <v>44</v>
      </c>
      <c r="H4" s="201"/>
    </row>
    <row r="5" spans="1:8" x14ac:dyDescent="0.25">
      <c r="A5" s="198"/>
      <c r="B5" s="32" t="s">
        <v>7</v>
      </c>
      <c r="C5" s="32" t="s">
        <v>8</v>
      </c>
      <c r="D5" s="32" t="s">
        <v>9</v>
      </c>
      <c r="E5" s="32" t="s">
        <v>10</v>
      </c>
      <c r="F5" s="32" t="s">
        <v>11</v>
      </c>
      <c r="G5" s="32" t="s">
        <v>45</v>
      </c>
      <c r="H5" s="32" t="s">
        <v>46</v>
      </c>
    </row>
    <row r="6" spans="1:8" x14ac:dyDescent="0.25">
      <c r="A6" s="3" t="s">
        <v>150</v>
      </c>
      <c r="B6" s="1">
        <v>15</v>
      </c>
      <c r="C6" s="14">
        <v>100</v>
      </c>
      <c r="D6" s="23">
        <v>350</v>
      </c>
      <c r="E6" s="23">
        <f>C6*D6</f>
        <v>35000</v>
      </c>
      <c r="F6" s="23">
        <f>B6*E6</f>
        <v>525000</v>
      </c>
      <c r="G6" s="15">
        <v>26</v>
      </c>
      <c r="H6" s="12">
        <f>+G6*C6</f>
        <v>2600</v>
      </c>
    </row>
    <row r="7" spans="1:8" x14ac:dyDescent="0.25">
      <c r="A7" s="3" t="s">
        <v>154</v>
      </c>
      <c r="B7" s="1">
        <v>15</v>
      </c>
      <c r="C7" s="14">
        <v>10</v>
      </c>
      <c r="D7" s="23">
        <v>250</v>
      </c>
      <c r="E7" s="23">
        <f t="shared" ref="E7" si="0">C7*D7</f>
        <v>2500</v>
      </c>
      <c r="F7" s="23">
        <f t="shared" ref="F7:F11" si="1">B7*E7</f>
        <v>37500</v>
      </c>
      <c r="G7" s="15">
        <v>13.5</v>
      </c>
      <c r="H7" s="12">
        <f t="shared" ref="H7:H11" si="2">+G7*C7</f>
        <v>135</v>
      </c>
    </row>
    <row r="8" spans="1:8" x14ac:dyDescent="0.25">
      <c r="A8" s="3" t="s">
        <v>30</v>
      </c>
      <c r="B8" s="1">
        <v>15</v>
      </c>
      <c r="C8" s="14">
        <v>26</v>
      </c>
      <c r="D8" s="77">
        <v>120</v>
      </c>
      <c r="E8" s="23">
        <f t="shared" ref="E8:E11" si="3">C8*D8</f>
        <v>3120</v>
      </c>
      <c r="F8" s="23">
        <f t="shared" si="1"/>
        <v>46800</v>
      </c>
      <c r="G8" s="15">
        <v>26</v>
      </c>
      <c r="H8" s="12">
        <f t="shared" si="2"/>
        <v>676</v>
      </c>
    </row>
    <row r="9" spans="1:8" x14ac:dyDescent="0.25">
      <c r="A9" s="3" t="s">
        <v>262</v>
      </c>
      <c r="B9" s="1">
        <v>15</v>
      </c>
      <c r="C9" s="14">
        <v>1</v>
      </c>
      <c r="D9" s="77">
        <v>120</v>
      </c>
      <c r="E9" s="23">
        <f t="shared" ref="E9" si="4">C9*D9</f>
        <v>120</v>
      </c>
      <c r="F9" s="23">
        <f t="shared" ref="F9" si="5">B9*E9</f>
        <v>1800</v>
      </c>
      <c r="G9" s="15">
        <v>26</v>
      </c>
      <c r="H9" s="12">
        <f t="shared" si="2"/>
        <v>26</v>
      </c>
    </row>
    <row r="10" spans="1:8" x14ac:dyDescent="0.25">
      <c r="A10" s="3" t="s">
        <v>261</v>
      </c>
      <c r="B10" s="1">
        <v>15</v>
      </c>
      <c r="C10" s="14">
        <v>46</v>
      </c>
      <c r="D10" s="77">
        <v>130</v>
      </c>
      <c r="E10" s="23">
        <f t="shared" si="3"/>
        <v>5980</v>
      </c>
      <c r="F10" s="23">
        <f t="shared" si="1"/>
        <v>89700</v>
      </c>
      <c r="G10" s="15">
        <v>15.5</v>
      </c>
      <c r="H10" s="12">
        <f t="shared" si="2"/>
        <v>713</v>
      </c>
    </row>
    <row r="11" spans="1:8" x14ac:dyDescent="0.25">
      <c r="A11" s="3" t="s">
        <v>172</v>
      </c>
      <c r="B11" s="1">
        <v>15</v>
      </c>
      <c r="C11" s="1">
        <v>500</v>
      </c>
      <c r="D11" s="27">
        <v>18</v>
      </c>
      <c r="E11" s="23">
        <f t="shared" si="3"/>
        <v>9000</v>
      </c>
      <c r="F11" s="23">
        <f t="shared" si="1"/>
        <v>135000</v>
      </c>
      <c r="G11" s="26">
        <v>0.02</v>
      </c>
      <c r="H11" s="12">
        <f t="shared" si="2"/>
        <v>10</v>
      </c>
    </row>
    <row r="12" spans="1:8" ht="19.5" thickBot="1" x14ac:dyDescent="0.45">
      <c r="A12" s="202"/>
      <c r="B12" s="203"/>
      <c r="C12" s="206" t="s">
        <v>224</v>
      </c>
      <c r="D12" s="207"/>
      <c r="E12" s="33">
        <f>SUM(E6:E11)</f>
        <v>55720</v>
      </c>
      <c r="F12" s="208" t="s">
        <v>49</v>
      </c>
      <c r="G12" s="209"/>
      <c r="H12" s="12">
        <f>SUM(H6:H11)</f>
        <v>4160</v>
      </c>
    </row>
    <row r="13" spans="1:8" ht="19.5" thickBot="1" x14ac:dyDescent="0.45">
      <c r="A13" s="202"/>
      <c r="B13" s="203"/>
      <c r="C13" s="206" t="s">
        <v>225</v>
      </c>
      <c r="D13" s="207"/>
      <c r="E13" s="33">
        <f>SUM(F6:F11)</f>
        <v>835800</v>
      </c>
      <c r="F13" s="74"/>
      <c r="G13" s="76"/>
      <c r="H13" s="75"/>
    </row>
    <row r="14" spans="1:8" ht="19.5" thickBot="1" x14ac:dyDescent="0.45">
      <c r="A14" s="202"/>
      <c r="B14" s="203"/>
      <c r="C14" s="210" t="s">
        <v>50</v>
      </c>
      <c r="D14" s="211"/>
      <c r="E14" s="33">
        <v>150000</v>
      </c>
      <c r="F14" s="208" t="s">
        <v>118</v>
      </c>
      <c r="G14" s="212"/>
      <c r="H14" s="209"/>
    </row>
    <row r="15" spans="1:8" ht="19.5" thickBot="1" x14ac:dyDescent="0.45">
      <c r="A15" s="204"/>
      <c r="B15" s="205"/>
      <c r="C15" s="210" t="s">
        <v>173</v>
      </c>
      <c r="D15" s="211"/>
      <c r="E15" s="34">
        <v>986000</v>
      </c>
      <c r="F15" s="199"/>
      <c r="G15" s="200"/>
      <c r="H15" s="201"/>
    </row>
    <row r="16" spans="1:8" x14ac:dyDescent="0.25">
      <c r="A16" t="s">
        <v>263</v>
      </c>
    </row>
    <row r="17" spans="1:8" x14ac:dyDescent="0.25">
      <c r="A17" t="s">
        <v>23</v>
      </c>
    </row>
    <row r="18" spans="1:8" x14ac:dyDescent="0.25">
      <c r="A18" t="s">
        <v>264</v>
      </c>
    </row>
    <row r="19" spans="1:8" x14ac:dyDescent="0.25">
      <c r="A19" t="s">
        <v>25</v>
      </c>
    </row>
    <row r="20" spans="1:8" ht="15.75" thickBot="1" x14ac:dyDescent="0.3"/>
    <row r="21" spans="1:8" ht="15.75" thickBot="1" x14ac:dyDescent="0.3">
      <c r="A21" s="191" t="s">
        <v>242</v>
      </c>
      <c r="B21" s="192"/>
      <c r="C21" s="192"/>
      <c r="D21" s="192"/>
      <c r="E21" s="192"/>
      <c r="F21" s="192"/>
      <c r="G21" s="192"/>
      <c r="H21" s="193"/>
    </row>
    <row r="22" spans="1:8" ht="18.75" thickBot="1" x14ac:dyDescent="0.3">
      <c r="A22" s="194" t="s">
        <v>266</v>
      </c>
      <c r="B22" s="195"/>
      <c r="C22" s="195"/>
      <c r="D22" s="195"/>
      <c r="E22" s="195"/>
      <c r="F22" s="195"/>
      <c r="G22" s="195"/>
      <c r="H22" s="196"/>
    </row>
    <row r="23" spans="1:8" ht="15.75" thickBot="1" x14ac:dyDescent="0.3">
      <c r="A23" s="191" t="s">
        <v>265</v>
      </c>
      <c r="B23" s="192"/>
      <c r="C23" s="192"/>
      <c r="D23" s="192"/>
      <c r="E23" s="192"/>
      <c r="F23" s="192"/>
      <c r="G23" s="192"/>
      <c r="H23" s="193"/>
    </row>
    <row r="24" spans="1:8" ht="15.75" thickBot="1" x14ac:dyDescent="0.3">
      <c r="A24" s="197" t="s">
        <v>4</v>
      </c>
      <c r="B24" s="199" t="s">
        <v>5</v>
      </c>
      <c r="C24" s="200"/>
      <c r="D24" s="201"/>
      <c r="E24" s="199" t="s">
        <v>6</v>
      </c>
      <c r="F24" s="201"/>
      <c r="G24" s="199" t="s">
        <v>44</v>
      </c>
      <c r="H24" s="201"/>
    </row>
    <row r="25" spans="1:8" x14ac:dyDescent="0.25">
      <c r="A25" s="198"/>
      <c r="B25" s="32" t="s">
        <v>7</v>
      </c>
      <c r="C25" s="32" t="s">
        <v>8</v>
      </c>
      <c r="D25" s="32" t="s">
        <v>9</v>
      </c>
      <c r="E25" s="32" t="s">
        <v>10</v>
      </c>
      <c r="F25" s="32" t="s">
        <v>11</v>
      </c>
      <c r="G25" s="32" t="s">
        <v>45</v>
      </c>
      <c r="H25" s="32" t="s">
        <v>46</v>
      </c>
    </row>
    <row r="26" spans="1:8" x14ac:dyDescent="0.25">
      <c r="A26" s="3" t="s">
        <v>150</v>
      </c>
      <c r="B26" s="1">
        <v>15</v>
      </c>
      <c r="C26" s="14">
        <v>19</v>
      </c>
      <c r="D26" s="23">
        <v>350</v>
      </c>
      <c r="E26" s="23">
        <f>C26*D26</f>
        <v>6650</v>
      </c>
      <c r="F26" s="23">
        <f>B26*E26</f>
        <v>99750</v>
      </c>
      <c r="G26" s="15">
        <v>26</v>
      </c>
      <c r="H26" s="12">
        <f>+G26*C26</f>
        <v>494</v>
      </c>
    </row>
    <row r="27" spans="1:8" x14ac:dyDescent="0.25">
      <c r="A27" s="3" t="s">
        <v>154</v>
      </c>
      <c r="B27" s="1">
        <v>15</v>
      </c>
      <c r="C27" s="14">
        <v>10</v>
      </c>
      <c r="D27" s="23">
        <v>250</v>
      </c>
      <c r="E27" s="23">
        <f t="shared" ref="E27:E31" si="6">C27*D27</f>
        <v>2500</v>
      </c>
      <c r="F27" s="23">
        <f t="shared" ref="F27:F31" si="7">B27*E27</f>
        <v>37500</v>
      </c>
      <c r="G27" s="15">
        <v>13.5</v>
      </c>
      <c r="H27" s="12">
        <f t="shared" ref="H27:H31" si="8">+G27*C27</f>
        <v>135</v>
      </c>
    </row>
    <row r="28" spans="1:8" x14ac:dyDescent="0.25">
      <c r="A28" s="3" t="s">
        <v>30</v>
      </c>
      <c r="B28" s="1">
        <v>15</v>
      </c>
      <c r="C28" s="14">
        <v>26</v>
      </c>
      <c r="D28" s="77">
        <v>120</v>
      </c>
      <c r="E28" s="23">
        <f t="shared" si="6"/>
        <v>3120</v>
      </c>
      <c r="F28" s="23">
        <f t="shared" si="7"/>
        <v>46800</v>
      </c>
      <c r="G28" s="15">
        <v>26</v>
      </c>
      <c r="H28" s="12">
        <f t="shared" si="8"/>
        <v>676</v>
      </c>
    </row>
    <row r="29" spans="1:8" x14ac:dyDescent="0.25">
      <c r="A29" s="3" t="s">
        <v>262</v>
      </c>
      <c r="B29" s="1">
        <v>15</v>
      </c>
      <c r="C29" s="14">
        <v>1</v>
      </c>
      <c r="D29" s="77">
        <v>120</v>
      </c>
      <c r="E29" s="23">
        <f t="shared" si="6"/>
        <v>120</v>
      </c>
      <c r="F29" s="23">
        <f t="shared" si="7"/>
        <v>1800</v>
      </c>
      <c r="G29" s="15">
        <v>26</v>
      </c>
      <c r="H29" s="12">
        <f t="shared" si="8"/>
        <v>26</v>
      </c>
    </row>
    <row r="30" spans="1:8" x14ac:dyDescent="0.25">
      <c r="A30" s="3" t="s">
        <v>261</v>
      </c>
      <c r="B30" s="1">
        <v>15</v>
      </c>
      <c r="C30" s="14">
        <v>46</v>
      </c>
      <c r="D30" s="77">
        <v>130</v>
      </c>
      <c r="E30" s="23">
        <f t="shared" si="6"/>
        <v>5980</v>
      </c>
      <c r="F30" s="23">
        <f t="shared" si="7"/>
        <v>89700</v>
      </c>
      <c r="G30" s="15">
        <v>15.5</v>
      </c>
      <c r="H30" s="12">
        <f t="shared" si="8"/>
        <v>713</v>
      </c>
    </row>
    <row r="31" spans="1:8" x14ac:dyDescent="0.25">
      <c r="A31" s="3" t="s">
        <v>129</v>
      </c>
      <c r="B31" s="1">
        <v>15</v>
      </c>
      <c r="C31" s="1">
        <v>500</v>
      </c>
      <c r="D31" s="27">
        <v>18</v>
      </c>
      <c r="E31" s="23">
        <f t="shared" si="6"/>
        <v>9000</v>
      </c>
      <c r="F31" s="23">
        <f t="shared" si="7"/>
        <v>135000</v>
      </c>
      <c r="G31" s="26">
        <v>0.02</v>
      </c>
      <c r="H31" s="12">
        <f t="shared" si="8"/>
        <v>10</v>
      </c>
    </row>
    <row r="32" spans="1:8" ht="19.5" thickBot="1" x14ac:dyDescent="0.45">
      <c r="A32" s="202"/>
      <c r="B32" s="203"/>
      <c r="C32" s="206" t="s">
        <v>224</v>
      </c>
      <c r="D32" s="207"/>
      <c r="E32" s="33">
        <f>SUM(E26:E31)</f>
        <v>27370</v>
      </c>
      <c r="F32" s="208" t="s">
        <v>49</v>
      </c>
      <c r="G32" s="209"/>
      <c r="H32" s="12">
        <f>SUM(H26:H31)</f>
        <v>2054</v>
      </c>
    </row>
    <row r="33" spans="1:8" ht="19.5" thickBot="1" x14ac:dyDescent="0.45">
      <c r="A33" s="202"/>
      <c r="B33" s="203"/>
      <c r="C33" s="206" t="s">
        <v>225</v>
      </c>
      <c r="D33" s="207"/>
      <c r="E33" s="33">
        <f>SUM(F26:F31)</f>
        <v>410550</v>
      </c>
      <c r="F33" s="74"/>
      <c r="G33" s="76"/>
      <c r="H33" s="75"/>
    </row>
    <row r="34" spans="1:8" ht="19.5" thickBot="1" x14ac:dyDescent="0.45">
      <c r="A34" s="202"/>
      <c r="B34" s="203"/>
      <c r="C34" s="210" t="s">
        <v>50</v>
      </c>
      <c r="D34" s="211"/>
      <c r="E34" s="33">
        <v>150000</v>
      </c>
      <c r="F34" s="208" t="s">
        <v>118</v>
      </c>
      <c r="G34" s="212"/>
      <c r="H34" s="209"/>
    </row>
    <row r="35" spans="1:8" ht="19.5" thickBot="1" x14ac:dyDescent="0.45">
      <c r="A35" s="204"/>
      <c r="B35" s="205"/>
      <c r="C35" s="210" t="s">
        <v>173</v>
      </c>
      <c r="D35" s="211"/>
      <c r="E35" s="34">
        <v>986000</v>
      </c>
      <c r="F35" s="199"/>
      <c r="G35" s="200"/>
      <c r="H35" s="201"/>
    </row>
    <row r="36" spans="1:8" x14ac:dyDescent="0.25">
      <c r="F36" s="72"/>
    </row>
  </sheetData>
  <mergeCells count="30">
    <mergeCell ref="A32:B35"/>
    <mergeCell ref="C32:D32"/>
    <mergeCell ref="F32:G32"/>
    <mergeCell ref="C33:D33"/>
    <mergeCell ref="C34:D34"/>
    <mergeCell ref="F34:H34"/>
    <mergeCell ref="C35:D35"/>
    <mergeCell ref="F35:H35"/>
    <mergeCell ref="A21:H21"/>
    <mergeCell ref="A22:H22"/>
    <mergeCell ref="A23:H23"/>
    <mergeCell ref="A24:A25"/>
    <mergeCell ref="B24:D24"/>
    <mergeCell ref="E24:F24"/>
    <mergeCell ref="G24:H24"/>
    <mergeCell ref="A12:B15"/>
    <mergeCell ref="C12:D12"/>
    <mergeCell ref="F12:G12"/>
    <mergeCell ref="C13:D13"/>
    <mergeCell ref="C14:D14"/>
    <mergeCell ref="F14:H14"/>
    <mergeCell ref="C15:D15"/>
    <mergeCell ref="F15:H15"/>
    <mergeCell ref="A1:H1"/>
    <mergeCell ref="A2:H2"/>
    <mergeCell ref="A3:H3"/>
    <mergeCell ref="A4:A5"/>
    <mergeCell ref="B4:D4"/>
    <mergeCell ref="E4:F4"/>
    <mergeCell ref="G4:H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8" orientation="landscape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78FA-EFB2-4306-9AC1-3C3E85C340DA}">
  <sheetPr>
    <pageSetUpPr fitToPage="1"/>
  </sheetPr>
  <dimension ref="A1:M55"/>
  <sheetViews>
    <sheetView topLeftCell="A39" workbookViewId="0">
      <selection activeCell="G55" sqref="G55"/>
    </sheetView>
  </sheetViews>
  <sheetFormatPr baseColWidth="10" defaultRowHeight="15" x14ac:dyDescent="0.25"/>
  <cols>
    <col min="1" max="1" width="25.42578125" customWidth="1"/>
    <col min="5" max="5" width="16.42578125" customWidth="1"/>
    <col min="6" max="6" width="14.7109375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132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3" t="s">
        <v>128</v>
      </c>
      <c r="B6" s="1">
        <v>15</v>
      </c>
      <c r="C6" s="14">
        <v>24</v>
      </c>
      <c r="D6" s="6">
        <v>270</v>
      </c>
      <c r="E6" s="6">
        <f>C6*D6</f>
        <v>6480</v>
      </c>
      <c r="F6" s="6">
        <f>B6*E6</f>
        <v>97200</v>
      </c>
      <c r="G6" s="15">
        <v>13.5</v>
      </c>
      <c r="H6" s="12">
        <f>G6*C6</f>
        <v>324</v>
      </c>
    </row>
    <row r="7" spans="1:8" x14ac:dyDescent="0.25">
      <c r="A7" s="3" t="s">
        <v>139</v>
      </c>
      <c r="B7" s="1">
        <v>15</v>
      </c>
      <c r="C7" s="14">
        <v>24</v>
      </c>
      <c r="D7" s="6">
        <v>250</v>
      </c>
      <c r="E7" s="6">
        <f t="shared" ref="E7:E15" si="0">C7*D7</f>
        <v>6000</v>
      </c>
      <c r="F7" s="6">
        <f t="shared" ref="F7:F15" si="1">B7*E7</f>
        <v>90000</v>
      </c>
      <c r="G7" s="15">
        <v>9.5</v>
      </c>
      <c r="H7" s="12">
        <f>G7*C7</f>
        <v>228</v>
      </c>
    </row>
    <row r="8" spans="1:8" x14ac:dyDescent="0.25">
      <c r="A8" s="3" t="s">
        <v>141</v>
      </c>
      <c r="B8" s="1">
        <v>15</v>
      </c>
      <c r="C8" s="14">
        <v>24</v>
      </c>
      <c r="D8" s="6">
        <v>240</v>
      </c>
      <c r="E8" s="6">
        <f t="shared" si="0"/>
        <v>5760</v>
      </c>
      <c r="F8" s="6">
        <f>B8*E8</f>
        <v>86400</v>
      </c>
      <c r="G8" s="15">
        <v>7</v>
      </c>
      <c r="H8" s="12">
        <f>G8*C8</f>
        <v>168</v>
      </c>
    </row>
    <row r="9" spans="1:8" x14ac:dyDescent="0.25">
      <c r="A9" s="3" t="s">
        <v>142</v>
      </c>
      <c r="B9" s="1">
        <v>15</v>
      </c>
      <c r="C9" s="14">
        <v>7</v>
      </c>
      <c r="D9" s="6">
        <v>200</v>
      </c>
      <c r="E9" s="6">
        <f t="shared" si="0"/>
        <v>1400</v>
      </c>
      <c r="F9" s="6">
        <f>B9*E9</f>
        <v>21000</v>
      </c>
      <c r="G9" s="15">
        <v>6</v>
      </c>
      <c r="H9" s="12">
        <f t="shared" ref="H9:H10" si="2">G9*C9</f>
        <v>42</v>
      </c>
    </row>
    <row r="10" spans="1:8" x14ac:dyDescent="0.25">
      <c r="A10" s="3" t="s">
        <v>48</v>
      </c>
      <c r="B10" s="1">
        <v>15</v>
      </c>
      <c r="C10" s="4">
        <v>5</v>
      </c>
      <c r="D10" s="6">
        <v>120</v>
      </c>
      <c r="E10" s="6">
        <f t="shared" si="0"/>
        <v>600</v>
      </c>
      <c r="F10" s="6">
        <f t="shared" si="1"/>
        <v>9000</v>
      </c>
      <c r="G10" s="15">
        <v>29</v>
      </c>
      <c r="H10" s="12">
        <f t="shared" si="2"/>
        <v>145</v>
      </c>
    </row>
    <row r="11" spans="1:8" x14ac:dyDescent="0.25">
      <c r="A11" s="3" t="s">
        <v>140</v>
      </c>
      <c r="B11" s="1">
        <v>15</v>
      </c>
      <c r="C11" s="4">
        <v>4</v>
      </c>
      <c r="D11" s="6">
        <v>120</v>
      </c>
      <c r="E11" s="6">
        <f t="shared" si="0"/>
        <v>480</v>
      </c>
      <c r="F11" s="6">
        <f t="shared" si="1"/>
        <v>7200</v>
      </c>
      <c r="G11" s="15">
        <v>15</v>
      </c>
      <c r="H11" s="12">
        <f t="shared" ref="H11:H15" si="3">G11*C11</f>
        <v>60</v>
      </c>
    </row>
    <row r="12" spans="1:8" x14ac:dyDescent="0.25">
      <c r="A12" s="3" t="s">
        <v>130</v>
      </c>
      <c r="B12" s="1">
        <v>15</v>
      </c>
      <c r="C12" s="4">
        <v>10</v>
      </c>
      <c r="D12" s="6">
        <v>150</v>
      </c>
      <c r="E12" s="6">
        <f t="shared" si="0"/>
        <v>1500</v>
      </c>
      <c r="F12" s="6">
        <f t="shared" si="1"/>
        <v>22500</v>
      </c>
      <c r="G12" s="15">
        <v>6.5</v>
      </c>
      <c r="H12" s="12">
        <f t="shared" si="3"/>
        <v>65</v>
      </c>
    </row>
    <row r="13" spans="1:8" x14ac:dyDescent="0.25">
      <c r="A13" s="3" t="s">
        <v>143</v>
      </c>
      <c r="B13" s="1">
        <v>15</v>
      </c>
      <c r="C13" s="4">
        <v>4</v>
      </c>
      <c r="D13" s="6">
        <v>80</v>
      </c>
      <c r="E13" s="6">
        <f t="shared" si="0"/>
        <v>320</v>
      </c>
      <c r="F13" s="6">
        <f t="shared" si="1"/>
        <v>4800</v>
      </c>
      <c r="G13" s="15">
        <v>3</v>
      </c>
      <c r="H13" s="12">
        <f t="shared" si="3"/>
        <v>12</v>
      </c>
    </row>
    <row r="14" spans="1:8" x14ac:dyDescent="0.25">
      <c r="A14" s="3" t="s">
        <v>32</v>
      </c>
      <c r="B14" s="1">
        <v>15</v>
      </c>
      <c r="C14" s="4">
        <v>13</v>
      </c>
      <c r="D14" s="6">
        <v>120</v>
      </c>
      <c r="E14" s="6">
        <f t="shared" si="0"/>
        <v>1560</v>
      </c>
      <c r="F14" s="6">
        <f t="shared" si="1"/>
        <v>23400</v>
      </c>
      <c r="G14" s="15">
        <v>13.5</v>
      </c>
      <c r="H14" s="12">
        <f t="shared" si="3"/>
        <v>175.5</v>
      </c>
    </row>
    <row r="15" spans="1:8" x14ac:dyDescent="0.25">
      <c r="A15" s="3" t="s">
        <v>129</v>
      </c>
      <c r="B15" s="1">
        <v>15</v>
      </c>
      <c r="C15" s="4">
        <v>150</v>
      </c>
      <c r="D15" s="6">
        <v>20</v>
      </c>
      <c r="E15" s="6">
        <f t="shared" si="0"/>
        <v>3000</v>
      </c>
      <c r="F15" s="6">
        <f t="shared" si="1"/>
        <v>45000</v>
      </c>
      <c r="G15" s="15">
        <v>0.2</v>
      </c>
      <c r="H15" s="12">
        <f t="shared" si="3"/>
        <v>30</v>
      </c>
    </row>
    <row r="16" spans="1:8" ht="18.75" x14ac:dyDescent="0.4">
      <c r="A16" s="152" t="s">
        <v>131</v>
      </c>
      <c r="B16" s="153"/>
      <c r="C16" s="129" t="s">
        <v>18</v>
      </c>
      <c r="D16" s="129"/>
      <c r="E16" s="16">
        <f>SUM(E6:E15)</f>
        <v>27100</v>
      </c>
      <c r="F16" s="149" t="s">
        <v>49</v>
      </c>
      <c r="G16" s="149"/>
      <c r="H16" s="46">
        <f>SUM(H6:H15)</f>
        <v>1249.5</v>
      </c>
    </row>
    <row r="17" spans="1:13" ht="19.5" thickBot="1" x14ac:dyDescent="0.45">
      <c r="A17" s="154"/>
      <c r="B17" s="155"/>
      <c r="C17" s="135" t="s">
        <v>19</v>
      </c>
      <c r="D17" s="135"/>
      <c r="E17" s="16">
        <f>SUM(F6:F15)</f>
        <v>406500</v>
      </c>
      <c r="F17" s="189"/>
      <c r="G17" s="159"/>
      <c r="H17" s="160"/>
    </row>
    <row r="18" spans="1:13" ht="19.5" thickBot="1" x14ac:dyDescent="0.45">
      <c r="A18" s="154"/>
      <c r="B18" s="155"/>
      <c r="C18" s="161" t="s">
        <v>50</v>
      </c>
      <c r="D18" s="162"/>
      <c r="E18" s="16">
        <v>200000</v>
      </c>
      <c r="F18" s="163" t="s">
        <v>51</v>
      </c>
      <c r="G18" s="164"/>
      <c r="H18" s="165"/>
      <c r="M18" t="s">
        <v>144</v>
      </c>
    </row>
    <row r="19" spans="1:13" ht="19.5" thickBot="1" x14ac:dyDescent="0.45">
      <c r="A19" s="156"/>
      <c r="B19" s="157"/>
      <c r="C19" s="135" t="s">
        <v>52</v>
      </c>
      <c r="D19" s="135"/>
      <c r="E19" s="16">
        <f>SUM(E17:E18)</f>
        <v>606500</v>
      </c>
      <c r="F19" s="166"/>
      <c r="G19" s="166"/>
      <c r="H19" s="167"/>
    </row>
    <row r="21" spans="1:13" ht="15.75" thickBot="1" x14ac:dyDescent="0.3"/>
    <row r="22" spans="1:13" x14ac:dyDescent="0.25">
      <c r="A22" s="136" t="s">
        <v>42</v>
      </c>
      <c r="B22" s="137"/>
      <c r="C22" s="137"/>
      <c r="D22" s="137"/>
      <c r="E22" s="137"/>
      <c r="F22" s="137"/>
      <c r="G22" s="137"/>
      <c r="H22" s="138"/>
    </row>
    <row r="23" spans="1:13" ht="18" x14ac:dyDescent="0.25">
      <c r="A23" s="139" t="s">
        <v>43</v>
      </c>
      <c r="B23" s="140"/>
      <c r="C23" s="140"/>
      <c r="D23" s="140"/>
      <c r="E23" s="140"/>
      <c r="F23" s="140"/>
      <c r="G23" s="140"/>
      <c r="H23" s="141"/>
    </row>
    <row r="24" spans="1:13" x14ac:dyDescent="0.25">
      <c r="A24" s="145" t="s">
        <v>307</v>
      </c>
      <c r="B24" s="146"/>
      <c r="C24" s="146"/>
      <c r="D24" s="146"/>
      <c r="E24" s="146"/>
      <c r="F24" s="146"/>
      <c r="G24" s="146"/>
      <c r="H24" s="147"/>
    </row>
    <row r="25" spans="1:13" x14ac:dyDescent="0.25">
      <c r="A25" s="148" t="s">
        <v>4</v>
      </c>
      <c r="B25" s="149" t="s">
        <v>5</v>
      </c>
      <c r="C25" s="149"/>
      <c r="D25" s="149"/>
      <c r="E25" s="149" t="s">
        <v>6</v>
      </c>
      <c r="F25" s="149"/>
      <c r="G25" s="149" t="s">
        <v>44</v>
      </c>
      <c r="H25" s="150"/>
    </row>
    <row r="26" spans="1:13" x14ac:dyDescent="0.25">
      <c r="A26" s="148"/>
      <c r="B26" s="1" t="s">
        <v>7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45</v>
      </c>
      <c r="H26" s="2" t="s">
        <v>46</v>
      </c>
    </row>
    <row r="27" spans="1:13" x14ac:dyDescent="0.25">
      <c r="A27" s="3" t="s">
        <v>305</v>
      </c>
      <c r="B27" s="1">
        <v>15</v>
      </c>
      <c r="C27" s="14">
        <v>72</v>
      </c>
      <c r="D27" s="6">
        <v>360</v>
      </c>
      <c r="E27" s="6">
        <f>C27*D27</f>
        <v>25920</v>
      </c>
      <c r="F27" s="6">
        <f>B27*E27</f>
        <v>388800</v>
      </c>
      <c r="G27" s="15">
        <v>26</v>
      </c>
      <c r="H27" s="12">
        <f>G27*C27</f>
        <v>1872</v>
      </c>
    </row>
    <row r="28" spans="1:13" x14ac:dyDescent="0.25">
      <c r="A28" s="3" t="s">
        <v>48</v>
      </c>
      <c r="B28" s="1">
        <v>15</v>
      </c>
      <c r="C28" s="4">
        <v>15</v>
      </c>
      <c r="D28" s="6">
        <v>120</v>
      </c>
      <c r="E28" s="6">
        <f t="shared" ref="E28:E31" si="4">C28*D28</f>
        <v>1800</v>
      </c>
      <c r="F28" s="6">
        <f t="shared" ref="F28:F31" si="5">B28*E28</f>
        <v>27000</v>
      </c>
      <c r="G28" s="15">
        <v>29</v>
      </c>
      <c r="H28" s="12">
        <f t="shared" ref="H28:H31" si="6">G28*C28</f>
        <v>435</v>
      </c>
    </row>
    <row r="29" spans="1:13" x14ac:dyDescent="0.25">
      <c r="A29" s="3" t="s">
        <v>48</v>
      </c>
      <c r="B29" s="1">
        <v>15</v>
      </c>
      <c r="C29" s="4">
        <v>5</v>
      </c>
      <c r="D29" s="6">
        <v>120</v>
      </c>
      <c r="E29" s="6">
        <f t="shared" ref="E29" si="7">C29*D29</f>
        <v>600</v>
      </c>
      <c r="F29" s="6">
        <f t="shared" ref="F29" si="8">B29*E29</f>
        <v>9000</v>
      </c>
      <c r="G29" s="15">
        <v>29</v>
      </c>
      <c r="H29" s="12">
        <f t="shared" ref="H29" si="9">G29*C29</f>
        <v>145</v>
      </c>
    </row>
    <row r="30" spans="1:13" x14ac:dyDescent="0.25">
      <c r="A30" s="3" t="s">
        <v>32</v>
      </c>
      <c r="B30" s="1">
        <v>15</v>
      </c>
      <c r="C30" s="4">
        <v>40</v>
      </c>
      <c r="D30" s="6">
        <v>120</v>
      </c>
      <c r="E30" s="6">
        <f t="shared" si="4"/>
        <v>4800</v>
      </c>
      <c r="F30" s="6">
        <f t="shared" si="5"/>
        <v>72000</v>
      </c>
      <c r="G30" s="15">
        <v>13.5</v>
      </c>
      <c r="H30" s="12">
        <f t="shared" si="6"/>
        <v>540</v>
      </c>
    </row>
    <row r="31" spans="1:13" x14ac:dyDescent="0.25">
      <c r="A31" s="3" t="s">
        <v>129</v>
      </c>
      <c r="B31" s="1">
        <v>15</v>
      </c>
      <c r="C31" s="4">
        <v>350</v>
      </c>
      <c r="D31" s="6">
        <v>20</v>
      </c>
      <c r="E31" s="6">
        <f t="shared" si="4"/>
        <v>7000</v>
      </c>
      <c r="F31" s="6">
        <f t="shared" si="5"/>
        <v>105000</v>
      </c>
      <c r="G31" s="15">
        <v>0.2</v>
      </c>
      <c r="H31" s="12">
        <f t="shared" si="6"/>
        <v>70</v>
      </c>
    </row>
    <row r="32" spans="1:13" ht="18.75" x14ac:dyDescent="0.4">
      <c r="A32" s="152" t="s">
        <v>306</v>
      </c>
      <c r="B32" s="153"/>
      <c r="C32" s="129" t="s">
        <v>18</v>
      </c>
      <c r="D32" s="129"/>
      <c r="E32" s="16">
        <f>SUM(E27:E31)</f>
        <v>40120</v>
      </c>
      <c r="F32" s="149" t="s">
        <v>49</v>
      </c>
      <c r="G32" s="149"/>
      <c r="H32" s="46">
        <f>SUM(H27:H31)</f>
        <v>3062</v>
      </c>
    </row>
    <row r="33" spans="1:8" ht="19.5" thickBot="1" x14ac:dyDescent="0.45">
      <c r="A33" s="154"/>
      <c r="B33" s="155"/>
      <c r="C33" s="135" t="s">
        <v>19</v>
      </c>
      <c r="D33" s="135"/>
      <c r="E33" s="16">
        <f>SUM(F27:F31)</f>
        <v>601800</v>
      </c>
      <c r="F33" s="189"/>
      <c r="G33" s="159"/>
      <c r="H33" s="160"/>
    </row>
    <row r="34" spans="1:8" ht="19.5" thickBot="1" x14ac:dyDescent="0.45">
      <c r="A34" s="154"/>
      <c r="B34" s="155"/>
      <c r="C34" s="161" t="s">
        <v>50</v>
      </c>
      <c r="D34" s="162"/>
      <c r="E34" s="16">
        <v>140000</v>
      </c>
      <c r="F34" s="163" t="s">
        <v>51</v>
      </c>
      <c r="G34" s="164"/>
      <c r="H34" s="165"/>
    </row>
    <row r="35" spans="1:8" ht="19.5" thickBot="1" x14ac:dyDescent="0.45">
      <c r="A35" s="156"/>
      <c r="B35" s="157"/>
      <c r="C35" s="135" t="s">
        <v>52</v>
      </c>
      <c r="D35" s="135"/>
      <c r="E35" s="16">
        <f>SUM(E33:E34)</f>
        <v>741800</v>
      </c>
      <c r="F35" s="166"/>
      <c r="G35" s="166"/>
      <c r="H35" s="167"/>
    </row>
    <row r="36" spans="1:8" x14ac:dyDescent="0.25">
      <c r="A36" t="s">
        <v>121</v>
      </c>
    </row>
    <row r="37" spans="1:8" x14ac:dyDescent="0.25">
      <c r="A37" t="s">
        <v>94</v>
      </c>
      <c r="E37" s="31">
        <v>800000</v>
      </c>
    </row>
    <row r="38" spans="1:8" x14ac:dyDescent="0.25">
      <c r="A38" t="s">
        <v>308</v>
      </c>
    </row>
    <row r="39" spans="1:8" ht="15.75" thickBot="1" x14ac:dyDescent="0.3"/>
    <row r="40" spans="1:8" x14ac:dyDescent="0.25">
      <c r="A40" s="136" t="s">
        <v>42</v>
      </c>
      <c r="B40" s="137"/>
      <c r="C40" s="137"/>
      <c r="D40" s="137"/>
      <c r="E40" s="137"/>
      <c r="F40" s="137"/>
      <c r="G40" s="137"/>
      <c r="H40" s="138"/>
    </row>
    <row r="41" spans="1:8" ht="18" x14ac:dyDescent="0.25">
      <c r="A41" s="139" t="s">
        <v>43</v>
      </c>
      <c r="B41" s="140"/>
      <c r="C41" s="140"/>
      <c r="D41" s="140"/>
      <c r="E41" s="140"/>
      <c r="F41" s="140"/>
      <c r="G41" s="140"/>
      <c r="H41" s="141"/>
    </row>
    <row r="42" spans="1:8" x14ac:dyDescent="0.25">
      <c r="A42" s="145" t="s">
        <v>307</v>
      </c>
      <c r="B42" s="146"/>
      <c r="C42" s="146"/>
      <c r="D42" s="146"/>
      <c r="E42" s="146"/>
      <c r="F42" s="146"/>
      <c r="G42" s="146"/>
      <c r="H42" s="147"/>
    </row>
    <row r="43" spans="1:8" x14ac:dyDescent="0.25">
      <c r="A43" s="148" t="s">
        <v>4</v>
      </c>
      <c r="B43" s="149" t="s">
        <v>5</v>
      </c>
      <c r="C43" s="149"/>
      <c r="D43" s="149"/>
      <c r="E43" s="149" t="s">
        <v>6</v>
      </c>
      <c r="F43" s="149"/>
      <c r="G43" s="149" t="s">
        <v>44</v>
      </c>
      <c r="H43" s="150"/>
    </row>
    <row r="44" spans="1:8" x14ac:dyDescent="0.25">
      <c r="A44" s="148"/>
      <c r="B44" s="1" t="s">
        <v>7</v>
      </c>
      <c r="C44" s="1" t="s">
        <v>8</v>
      </c>
      <c r="D44" s="1" t="s">
        <v>9</v>
      </c>
      <c r="E44" s="1" t="s">
        <v>10</v>
      </c>
      <c r="F44" s="1" t="s">
        <v>11</v>
      </c>
      <c r="G44" s="1" t="s">
        <v>45</v>
      </c>
      <c r="H44" s="2" t="s">
        <v>46</v>
      </c>
    </row>
    <row r="45" spans="1:8" x14ac:dyDescent="0.25">
      <c r="A45" s="3" t="s">
        <v>305</v>
      </c>
      <c r="B45" s="1">
        <v>15</v>
      </c>
      <c r="C45" s="14">
        <v>72</v>
      </c>
      <c r="D45" s="6">
        <v>360</v>
      </c>
      <c r="E45" s="6">
        <f>C45*D45</f>
        <v>25920</v>
      </c>
      <c r="F45" s="6">
        <f>B45*E45</f>
        <v>388800</v>
      </c>
      <c r="G45" s="15">
        <v>26</v>
      </c>
      <c r="H45" s="12">
        <f>G45*C45</f>
        <v>1872</v>
      </c>
    </row>
    <row r="46" spans="1:8" x14ac:dyDescent="0.25">
      <c r="A46" s="3" t="s">
        <v>48</v>
      </c>
      <c r="B46" s="1">
        <v>15</v>
      </c>
      <c r="C46" s="4">
        <v>15</v>
      </c>
      <c r="D46" s="6">
        <v>120</v>
      </c>
      <c r="E46" s="6">
        <f t="shared" ref="E46:E49" si="10">C46*D46</f>
        <v>1800</v>
      </c>
      <c r="F46" s="6">
        <f t="shared" ref="F46:F49" si="11">B46*E46</f>
        <v>27000</v>
      </c>
      <c r="G46" s="15">
        <v>29</v>
      </c>
      <c r="H46" s="12">
        <f t="shared" ref="H46:H49" si="12">G46*C46</f>
        <v>435</v>
      </c>
    </row>
    <row r="47" spans="1:8" x14ac:dyDescent="0.25">
      <c r="A47" s="3" t="s">
        <v>55</v>
      </c>
      <c r="B47" s="1">
        <v>15</v>
      </c>
      <c r="C47" s="4">
        <v>5</v>
      </c>
      <c r="D47" s="6">
        <v>120</v>
      </c>
      <c r="E47" s="6">
        <f t="shared" si="10"/>
        <v>600</v>
      </c>
      <c r="F47" s="6">
        <f t="shared" si="11"/>
        <v>9000</v>
      </c>
      <c r="G47" s="15">
        <v>16</v>
      </c>
      <c r="H47" s="12">
        <f t="shared" si="12"/>
        <v>80</v>
      </c>
    </row>
    <row r="48" spans="1:8" x14ac:dyDescent="0.25">
      <c r="A48" s="3" t="s">
        <v>32</v>
      </c>
      <c r="B48" s="1">
        <v>15</v>
      </c>
      <c r="C48" s="4">
        <v>40</v>
      </c>
      <c r="D48" s="6">
        <v>120</v>
      </c>
      <c r="E48" s="6">
        <f t="shared" si="10"/>
        <v>4800</v>
      </c>
      <c r="F48" s="6">
        <f t="shared" si="11"/>
        <v>72000</v>
      </c>
      <c r="G48" s="15">
        <v>13.5</v>
      </c>
      <c r="H48" s="12">
        <f t="shared" si="12"/>
        <v>540</v>
      </c>
    </row>
    <row r="49" spans="1:8" x14ac:dyDescent="0.25">
      <c r="A49" s="3" t="s">
        <v>129</v>
      </c>
      <c r="B49" s="1">
        <v>15</v>
      </c>
      <c r="C49" s="4">
        <v>350</v>
      </c>
      <c r="D49" s="6">
        <v>20</v>
      </c>
      <c r="E49" s="6">
        <f t="shared" si="10"/>
        <v>7000</v>
      </c>
      <c r="F49" s="6">
        <f t="shared" si="11"/>
        <v>105000</v>
      </c>
      <c r="G49" s="15">
        <v>0.2</v>
      </c>
      <c r="H49" s="12">
        <f t="shared" si="12"/>
        <v>70</v>
      </c>
    </row>
    <row r="50" spans="1:8" ht="18.75" x14ac:dyDescent="0.4">
      <c r="A50" s="152" t="s">
        <v>306</v>
      </c>
      <c r="B50" s="153"/>
      <c r="C50" s="129" t="s">
        <v>18</v>
      </c>
      <c r="D50" s="129"/>
      <c r="E50" s="16">
        <f>SUM(E45:E49)</f>
        <v>40120</v>
      </c>
      <c r="F50" s="149" t="s">
        <v>49</v>
      </c>
      <c r="G50" s="149"/>
      <c r="H50" s="46">
        <f>SUM(H45:H49)</f>
        <v>2997</v>
      </c>
    </row>
    <row r="51" spans="1:8" ht="19.5" thickBot="1" x14ac:dyDescent="0.45">
      <c r="A51" s="154"/>
      <c r="B51" s="155"/>
      <c r="C51" s="135" t="s">
        <v>19</v>
      </c>
      <c r="D51" s="135"/>
      <c r="E51" s="16">
        <f>SUM(F45:F49)</f>
        <v>601800</v>
      </c>
      <c r="F51" s="189"/>
      <c r="G51" s="159"/>
      <c r="H51" s="160"/>
    </row>
    <row r="52" spans="1:8" ht="19.5" thickBot="1" x14ac:dyDescent="0.45">
      <c r="A52" s="154"/>
      <c r="B52" s="155"/>
      <c r="C52" s="161" t="s">
        <v>50</v>
      </c>
      <c r="D52" s="162"/>
      <c r="E52" s="16">
        <v>140000</v>
      </c>
      <c r="F52" s="163" t="s">
        <v>51</v>
      </c>
      <c r="G52" s="164"/>
      <c r="H52" s="165"/>
    </row>
    <row r="53" spans="1:8" ht="19.5" thickBot="1" x14ac:dyDescent="0.45">
      <c r="A53" s="156"/>
      <c r="B53" s="157"/>
      <c r="C53" s="135" t="s">
        <v>52</v>
      </c>
      <c r="D53" s="135"/>
      <c r="E53" s="16">
        <f>SUM(E51:E52)</f>
        <v>741800</v>
      </c>
      <c r="F53" s="166"/>
      <c r="G53" s="166"/>
      <c r="H53" s="167"/>
    </row>
    <row r="54" spans="1:8" x14ac:dyDescent="0.25">
      <c r="A54" t="s">
        <v>121</v>
      </c>
    </row>
    <row r="55" spans="1:8" x14ac:dyDescent="0.25">
      <c r="A55" t="s">
        <v>273</v>
      </c>
      <c r="E55" s="31">
        <v>800000</v>
      </c>
    </row>
  </sheetData>
  <mergeCells count="48">
    <mergeCell ref="A50:B53"/>
    <mergeCell ref="C50:D50"/>
    <mergeCell ref="F50:G50"/>
    <mergeCell ref="C51:D51"/>
    <mergeCell ref="F51:H51"/>
    <mergeCell ref="C52:D52"/>
    <mergeCell ref="F52:H52"/>
    <mergeCell ref="C53:D53"/>
    <mergeCell ref="F53:H53"/>
    <mergeCell ref="A40:H40"/>
    <mergeCell ref="A41:H41"/>
    <mergeCell ref="A42:H42"/>
    <mergeCell ref="A43:A44"/>
    <mergeCell ref="B43:D43"/>
    <mergeCell ref="E43:F43"/>
    <mergeCell ref="G43:H43"/>
    <mergeCell ref="A1:H1"/>
    <mergeCell ref="A2:H2"/>
    <mergeCell ref="A3:H3"/>
    <mergeCell ref="A4:A5"/>
    <mergeCell ref="B4:D4"/>
    <mergeCell ref="E4:F4"/>
    <mergeCell ref="G4:H4"/>
    <mergeCell ref="A16:B19"/>
    <mergeCell ref="C16:D16"/>
    <mergeCell ref="F16:G16"/>
    <mergeCell ref="C17:D17"/>
    <mergeCell ref="F17:H17"/>
    <mergeCell ref="C18:D18"/>
    <mergeCell ref="F18:H18"/>
    <mergeCell ref="C19:D19"/>
    <mergeCell ref="F19:H19"/>
    <mergeCell ref="A22:H22"/>
    <mergeCell ref="A23:H23"/>
    <mergeCell ref="A24:H24"/>
    <mergeCell ref="A25:A26"/>
    <mergeCell ref="B25:D25"/>
    <mergeCell ref="E25:F25"/>
    <mergeCell ref="G25:H25"/>
    <mergeCell ref="A32:B35"/>
    <mergeCell ref="C32:D32"/>
    <mergeCell ref="F32:G32"/>
    <mergeCell ref="C33:D33"/>
    <mergeCell ref="F33:H33"/>
    <mergeCell ref="C34:D34"/>
    <mergeCell ref="F34:H34"/>
    <mergeCell ref="C35:D35"/>
    <mergeCell ref="F35:H3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76CA-B6EE-4A48-AFD4-1B3330A686D9}">
  <dimension ref="A1:K53"/>
  <sheetViews>
    <sheetView topLeftCell="A40" workbookViewId="0">
      <selection activeCell="A25" sqref="A25:H51"/>
    </sheetView>
  </sheetViews>
  <sheetFormatPr baseColWidth="10" defaultRowHeight="15" x14ac:dyDescent="0.25"/>
  <cols>
    <col min="1" max="1" width="33.85546875" customWidth="1"/>
    <col min="5" max="5" width="17.7109375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69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3" t="s">
        <v>47</v>
      </c>
      <c r="B6" s="1">
        <v>15</v>
      </c>
      <c r="C6" s="14">
        <v>76</v>
      </c>
      <c r="D6" s="6">
        <v>160</v>
      </c>
      <c r="E6" s="6">
        <f t="shared" ref="E6:E10" si="0">C6*D6</f>
        <v>12160</v>
      </c>
      <c r="F6" s="6">
        <f>B6*E6</f>
        <v>182400</v>
      </c>
      <c r="G6" s="15">
        <v>25</v>
      </c>
      <c r="H6" s="12">
        <f>G6*C6</f>
        <v>1900</v>
      </c>
    </row>
    <row r="7" spans="1:8" x14ac:dyDescent="0.25">
      <c r="A7" s="3" t="s">
        <v>68</v>
      </c>
      <c r="B7" s="1">
        <v>15</v>
      </c>
      <c r="C7" s="14">
        <v>10</v>
      </c>
      <c r="D7" s="6">
        <v>160</v>
      </c>
      <c r="E7" s="6">
        <f t="shared" ref="E7" si="1">C7*D7</f>
        <v>1600</v>
      </c>
      <c r="F7" s="6">
        <f>B7*E7</f>
        <v>24000</v>
      </c>
      <c r="G7" s="15">
        <v>16</v>
      </c>
      <c r="H7" s="12">
        <f>G7*C7</f>
        <v>160</v>
      </c>
    </row>
    <row r="8" spans="1:8" x14ac:dyDescent="0.25">
      <c r="A8" s="3" t="s">
        <v>48</v>
      </c>
      <c r="B8" s="1">
        <v>15</v>
      </c>
      <c r="C8" s="4">
        <v>24</v>
      </c>
      <c r="D8" s="6">
        <v>120</v>
      </c>
      <c r="E8" s="6">
        <f t="shared" si="0"/>
        <v>2880</v>
      </c>
      <c r="F8" s="6">
        <f t="shared" ref="F8:F10" si="2">B8*E8</f>
        <v>43200</v>
      </c>
      <c r="G8" s="15">
        <v>29</v>
      </c>
      <c r="H8" s="12">
        <f t="shared" ref="H8:H10" si="3">G8*C8</f>
        <v>696</v>
      </c>
    </row>
    <row r="9" spans="1:8" x14ac:dyDescent="0.25">
      <c r="A9" s="3" t="s">
        <v>56</v>
      </c>
      <c r="B9" s="1">
        <v>15</v>
      </c>
      <c r="C9" s="4">
        <v>6</v>
      </c>
      <c r="D9" s="6">
        <v>120</v>
      </c>
      <c r="E9" s="6">
        <f t="shared" si="0"/>
        <v>720</v>
      </c>
      <c r="F9" s="6">
        <f t="shared" si="2"/>
        <v>10800</v>
      </c>
      <c r="G9" s="15">
        <v>12</v>
      </c>
      <c r="H9" s="12">
        <f t="shared" si="3"/>
        <v>72</v>
      </c>
    </row>
    <row r="10" spans="1:8" x14ac:dyDescent="0.25">
      <c r="A10" s="3" t="s">
        <v>32</v>
      </c>
      <c r="B10" s="1">
        <v>15</v>
      </c>
      <c r="C10" s="4">
        <v>71</v>
      </c>
      <c r="D10" s="6">
        <v>120</v>
      </c>
      <c r="E10" s="6">
        <f t="shared" si="0"/>
        <v>8520</v>
      </c>
      <c r="F10" s="6">
        <f t="shared" si="2"/>
        <v>127800</v>
      </c>
      <c r="G10" s="15">
        <v>13.5</v>
      </c>
      <c r="H10" s="12">
        <f t="shared" si="3"/>
        <v>958.5</v>
      </c>
    </row>
    <row r="11" spans="1:8" ht="18.75" x14ac:dyDescent="0.4">
      <c r="A11" s="152" t="s">
        <v>134</v>
      </c>
      <c r="B11" s="153"/>
      <c r="C11" s="129" t="s">
        <v>18</v>
      </c>
      <c r="D11" s="129"/>
      <c r="E11" s="16">
        <f>SUM(E6:E10)</f>
        <v>25880</v>
      </c>
      <c r="F11" s="149" t="s">
        <v>49</v>
      </c>
      <c r="G11" s="149"/>
      <c r="H11" s="17">
        <f>SUM(H6:H10)</f>
        <v>3786.5</v>
      </c>
    </row>
    <row r="12" spans="1:8" ht="19.5" thickBot="1" x14ac:dyDescent="0.45">
      <c r="A12" s="154"/>
      <c r="B12" s="155"/>
      <c r="C12" s="135" t="s">
        <v>19</v>
      </c>
      <c r="D12" s="135"/>
      <c r="E12" s="18">
        <f>SUM(F6:F10)</f>
        <v>388200</v>
      </c>
      <c r="F12" s="158"/>
      <c r="G12" s="159"/>
      <c r="H12" s="160"/>
    </row>
    <row r="13" spans="1:8" ht="19.5" thickBot="1" x14ac:dyDescent="0.45">
      <c r="A13" s="154"/>
      <c r="B13" s="155"/>
      <c r="C13" s="161" t="s">
        <v>50</v>
      </c>
      <c r="D13" s="162"/>
      <c r="E13" s="19">
        <v>200000</v>
      </c>
      <c r="F13" s="163" t="s">
        <v>51</v>
      </c>
      <c r="G13" s="164"/>
      <c r="H13" s="165"/>
    </row>
    <row r="14" spans="1:8" ht="19.5" thickBot="1" x14ac:dyDescent="0.45">
      <c r="A14" s="156"/>
      <c r="B14" s="157"/>
      <c r="C14" s="135" t="s">
        <v>52</v>
      </c>
      <c r="D14" s="135"/>
      <c r="E14" s="18">
        <f>E12+E13</f>
        <v>588200</v>
      </c>
      <c r="F14" s="166"/>
      <c r="G14" s="166"/>
      <c r="H14" s="167"/>
    </row>
    <row r="15" spans="1:8" x14ac:dyDescent="0.25">
      <c r="A15" t="s">
        <v>22</v>
      </c>
    </row>
    <row r="16" spans="1:8" x14ac:dyDescent="0.25">
      <c r="A16" t="s">
        <v>70</v>
      </c>
    </row>
    <row r="17" spans="1:8" x14ac:dyDescent="0.25">
      <c r="A17" t="s">
        <v>71</v>
      </c>
    </row>
    <row r="18" spans="1:8" x14ac:dyDescent="0.25">
      <c r="A18" t="s">
        <v>72</v>
      </c>
    </row>
    <row r="19" spans="1:8" x14ac:dyDescent="0.25">
      <c r="A19" t="s">
        <v>73</v>
      </c>
    </row>
    <row r="20" spans="1:8" x14ac:dyDescent="0.25">
      <c r="A20" t="s">
        <v>74</v>
      </c>
    </row>
    <row r="21" spans="1:8" x14ac:dyDescent="0.25">
      <c r="A21" t="s">
        <v>76</v>
      </c>
    </row>
    <row r="22" spans="1:8" x14ac:dyDescent="0.25">
      <c r="A22" s="20" t="s">
        <v>75</v>
      </c>
    </row>
    <row r="23" spans="1:8" x14ac:dyDescent="0.25">
      <c r="A23" t="s">
        <v>77</v>
      </c>
    </row>
    <row r="24" spans="1:8" ht="18.75" customHeight="1" thickBot="1" x14ac:dyDescent="0.3"/>
    <row r="25" spans="1:8" ht="18.75" customHeight="1" x14ac:dyDescent="0.25">
      <c r="A25" s="136" t="s">
        <v>135</v>
      </c>
      <c r="B25" s="137"/>
      <c r="C25" s="137"/>
      <c r="D25" s="137"/>
      <c r="E25" s="137"/>
      <c r="F25" s="137"/>
      <c r="G25" s="137"/>
      <c r="H25" s="138"/>
    </row>
    <row r="26" spans="1:8" ht="18.75" customHeight="1" x14ac:dyDescent="0.25">
      <c r="A26" s="139" t="s">
        <v>43</v>
      </c>
      <c r="B26" s="140"/>
      <c r="C26" s="140"/>
      <c r="D26" s="140"/>
      <c r="E26" s="140"/>
      <c r="F26" s="140"/>
      <c r="G26" s="140"/>
      <c r="H26" s="141"/>
    </row>
    <row r="27" spans="1:8" ht="18.75" customHeight="1" x14ac:dyDescent="0.25">
      <c r="A27" s="145" t="s">
        <v>69</v>
      </c>
      <c r="B27" s="146"/>
      <c r="C27" s="146"/>
      <c r="D27" s="146"/>
      <c r="E27" s="146"/>
      <c r="F27" s="146"/>
      <c r="G27" s="146"/>
      <c r="H27" s="147"/>
    </row>
    <row r="28" spans="1:8" ht="18.75" customHeight="1" x14ac:dyDescent="0.25">
      <c r="A28" s="148" t="s">
        <v>4</v>
      </c>
      <c r="B28" s="149" t="s">
        <v>5</v>
      </c>
      <c r="C28" s="149"/>
      <c r="D28" s="149"/>
      <c r="E28" s="149" t="s">
        <v>6</v>
      </c>
      <c r="F28" s="149"/>
      <c r="G28" s="149" t="s">
        <v>44</v>
      </c>
      <c r="H28" s="150"/>
    </row>
    <row r="29" spans="1:8" ht="18.75" customHeight="1" x14ac:dyDescent="0.25">
      <c r="A29" s="148"/>
      <c r="B29" s="1" t="s">
        <v>7</v>
      </c>
      <c r="C29" s="1" t="s">
        <v>8</v>
      </c>
      <c r="D29" s="1" t="s">
        <v>9</v>
      </c>
      <c r="E29" s="1" t="s">
        <v>10</v>
      </c>
      <c r="F29" s="1" t="s">
        <v>11</v>
      </c>
      <c r="G29" s="1" t="s">
        <v>45</v>
      </c>
      <c r="H29" s="2" t="s">
        <v>46</v>
      </c>
    </row>
    <row r="30" spans="1:8" ht="18.75" customHeight="1" x14ac:dyDescent="0.25">
      <c r="A30" s="3" t="s">
        <v>47</v>
      </c>
      <c r="B30" s="1">
        <v>15</v>
      </c>
      <c r="C30" s="14">
        <v>76</v>
      </c>
      <c r="D30" s="6">
        <v>160</v>
      </c>
      <c r="E30" s="6">
        <f t="shared" ref="E30:E34" si="4">C30*D30</f>
        <v>12160</v>
      </c>
      <c r="F30" s="6">
        <f>B30*E30</f>
        <v>182400</v>
      </c>
      <c r="G30" s="15">
        <v>25</v>
      </c>
      <c r="H30" s="12">
        <f>G30*C30</f>
        <v>1900</v>
      </c>
    </row>
    <row r="31" spans="1:8" ht="18.75" customHeight="1" x14ac:dyDescent="0.25">
      <c r="A31" s="3" t="s">
        <v>68</v>
      </c>
      <c r="B31" s="1">
        <v>15</v>
      </c>
      <c r="C31" s="14">
        <v>10</v>
      </c>
      <c r="D31" s="6">
        <v>160</v>
      </c>
      <c r="E31" s="6">
        <f t="shared" si="4"/>
        <v>1600</v>
      </c>
      <c r="F31" s="6">
        <f>B31*E31</f>
        <v>24000</v>
      </c>
      <c r="G31" s="15">
        <v>16</v>
      </c>
      <c r="H31" s="12">
        <f>G31*C31</f>
        <v>160</v>
      </c>
    </row>
    <row r="32" spans="1:8" ht="18.75" customHeight="1" x14ac:dyDescent="0.25">
      <c r="A32" s="3" t="s">
        <v>48</v>
      </c>
      <c r="B32" s="1">
        <v>15</v>
      </c>
      <c r="C32" s="4">
        <v>24</v>
      </c>
      <c r="D32" s="6">
        <v>120</v>
      </c>
      <c r="E32" s="6">
        <f t="shared" si="4"/>
        <v>2880</v>
      </c>
      <c r="F32" s="6">
        <f t="shared" ref="F32:F34" si="5">B32*E32</f>
        <v>43200</v>
      </c>
      <c r="G32" s="15">
        <v>29</v>
      </c>
      <c r="H32" s="12">
        <f t="shared" ref="H32:H34" si="6">G32*C32</f>
        <v>696</v>
      </c>
    </row>
    <row r="33" spans="1:9" ht="18.75" customHeight="1" x14ac:dyDescent="0.25">
      <c r="A33" s="3" t="s">
        <v>56</v>
      </c>
      <c r="B33" s="1">
        <v>15</v>
      </c>
      <c r="C33" s="4">
        <v>6</v>
      </c>
      <c r="D33" s="6">
        <v>120</v>
      </c>
      <c r="E33" s="6">
        <f t="shared" si="4"/>
        <v>720</v>
      </c>
      <c r="F33" s="6">
        <f t="shared" si="5"/>
        <v>10800</v>
      </c>
      <c r="G33" s="15">
        <v>12</v>
      </c>
      <c r="H33" s="12">
        <f t="shared" si="6"/>
        <v>72</v>
      </c>
    </row>
    <row r="34" spans="1:9" ht="18.75" customHeight="1" x14ac:dyDescent="0.25">
      <c r="A34" s="3" t="s">
        <v>32</v>
      </c>
      <c r="B34" s="1">
        <v>15</v>
      </c>
      <c r="C34" s="4">
        <v>71</v>
      </c>
      <c r="D34" s="6">
        <v>120</v>
      </c>
      <c r="E34" s="6">
        <f t="shared" si="4"/>
        <v>8520</v>
      </c>
      <c r="F34" s="6">
        <f t="shared" si="5"/>
        <v>127800</v>
      </c>
      <c r="G34" s="15">
        <v>13.5</v>
      </c>
      <c r="H34" s="12">
        <f t="shared" si="6"/>
        <v>958.5</v>
      </c>
    </row>
    <row r="35" spans="1:9" ht="18.75" customHeight="1" x14ac:dyDescent="0.4">
      <c r="A35" s="152" t="s">
        <v>134</v>
      </c>
      <c r="B35" s="153"/>
      <c r="C35" s="129" t="s">
        <v>18</v>
      </c>
      <c r="D35" s="129"/>
      <c r="E35" s="16">
        <f>SUM(E30:E34)</f>
        <v>25880</v>
      </c>
      <c r="F35" s="149" t="s">
        <v>49</v>
      </c>
      <c r="G35" s="149"/>
      <c r="H35" s="17">
        <f>SUM(H30:H34)</f>
        <v>3786.5</v>
      </c>
    </row>
    <row r="36" spans="1:9" ht="18.75" customHeight="1" thickBot="1" x14ac:dyDescent="0.45">
      <c r="A36" s="154"/>
      <c r="B36" s="155"/>
      <c r="C36" s="135" t="s">
        <v>19</v>
      </c>
      <c r="D36" s="135"/>
      <c r="E36" s="18">
        <f>SUM(F30:F34)</f>
        <v>388200</v>
      </c>
      <c r="F36" s="158"/>
      <c r="G36" s="159"/>
      <c r="H36" s="160"/>
    </row>
    <row r="37" spans="1:9" ht="19.5" thickBot="1" x14ac:dyDescent="0.45">
      <c r="A37" s="154"/>
      <c r="B37" s="155"/>
      <c r="C37" s="161" t="s">
        <v>50</v>
      </c>
      <c r="D37" s="162"/>
      <c r="E37" s="19">
        <v>200000</v>
      </c>
      <c r="F37" s="163" t="s">
        <v>51</v>
      </c>
      <c r="G37" s="164"/>
      <c r="H37" s="165"/>
    </row>
    <row r="38" spans="1:9" ht="19.5" thickBot="1" x14ac:dyDescent="0.45">
      <c r="A38" s="156"/>
      <c r="B38" s="157"/>
      <c r="C38" s="135" t="s">
        <v>52</v>
      </c>
      <c r="D38" s="135"/>
      <c r="E38" s="18">
        <f>E36+E37</f>
        <v>588200</v>
      </c>
      <c r="F38" s="166"/>
      <c r="G38" s="166"/>
      <c r="H38" s="167"/>
    </row>
    <row r="39" spans="1:9" x14ac:dyDescent="0.25">
      <c r="A39" s="20" t="s">
        <v>75</v>
      </c>
    </row>
    <row r="40" spans="1:9" ht="15.75" thickBot="1" x14ac:dyDescent="0.3">
      <c r="A40" t="s">
        <v>77</v>
      </c>
    </row>
    <row r="41" spans="1:9" x14ac:dyDescent="0.25">
      <c r="A41" s="136" t="s">
        <v>42</v>
      </c>
      <c r="B41" s="137"/>
      <c r="C41" s="137"/>
      <c r="D41" s="137"/>
      <c r="E41" s="137"/>
      <c r="F41" s="137"/>
      <c r="G41" s="137"/>
      <c r="H41" s="138"/>
    </row>
    <row r="42" spans="1:9" ht="18" x14ac:dyDescent="0.25">
      <c r="A42" s="139" t="s">
        <v>43</v>
      </c>
      <c r="B42" s="140"/>
      <c r="C42" s="140"/>
      <c r="D42" s="140"/>
      <c r="E42" s="140"/>
      <c r="F42" s="140"/>
      <c r="G42" s="140"/>
      <c r="H42" s="141"/>
    </row>
    <row r="43" spans="1:9" x14ac:dyDescent="0.25">
      <c r="A43" s="145" t="s">
        <v>69</v>
      </c>
      <c r="B43" s="146"/>
      <c r="C43" s="146"/>
      <c r="D43" s="146"/>
      <c r="E43" s="146"/>
      <c r="F43" s="146"/>
      <c r="G43" s="146"/>
      <c r="H43" s="147"/>
    </row>
    <row r="44" spans="1:9" x14ac:dyDescent="0.25">
      <c r="A44" s="148" t="s">
        <v>4</v>
      </c>
      <c r="B44" s="149" t="s">
        <v>5</v>
      </c>
      <c r="C44" s="149"/>
      <c r="D44" s="149"/>
      <c r="E44" s="149" t="s">
        <v>6</v>
      </c>
      <c r="F44" s="149"/>
      <c r="G44" s="149" t="s">
        <v>44</v>
      </c>
      <c r="H44" s="150"/>
    </row>
    <row r="45" spans="1:9" x14ac:dyDescent="0.25">
      <c r="A45" s="148"/>
      <c r="B45" s="1" t="s">
        <v>7</v>
      </c>
      <c r="C45" s="1" t="s">
        <v>8</v>
      </c>
      <c r="D45" s="1" t="s">
        <v>9</v>
      </c>
      <c r="E45" s="1" t="s">
        <v>10</v>
      </c>
      <c r="F45" s="1" t="s">
        <v>11</v>
      </c>
      <c r="G45" s="1" t="s">
        <v>45</v>
      </c>
      <c r="H45" s="2" t="s">
        <v>46</v>
      </c>
    </row>
    <row r="46" spans="1:9" x14ac:dyDescent="0.25">
      <c r="A46" s="3" t="s">
        <v>163</v>
      </c>
      <c r="B46" s="1">
        <v>8</v>
      </c>
      <c r="C46" s="14">
        <v>32</v>
      </c>
      <c r="D46" s="6">
        <v>240</v>
      </c>
      <c r="E46" s="6">
        <f t="shared" ref="E46:E47" si="7">C46*D46</f>
        <v>7680</v>
      </c>
      <c r="F46" s="6">
        <f>B46*E46</f>
        <v>61440</v>
      </c>
      <c r="G46" s="15">
        <v>9.5</v>
      </c>
      <c r="H46" s="12">
        <f>G46*C46</f>
        <v>304</v>
      </c>
      <c r="I46" t="s">
        <v>164</v>
      </c>
    </row>
    <row r="47" spans="1:9" x14ac:dyDescent="0.25">
      <c r="A47" s="3" t="s">
        <v>16</v>
      </c>
      <c r="B47" s="1">
        <v>8</v>
      </c>
      <c r="C47" s="14">
        <v>70</v>
      </c>
      <c r="D47" s="6">
        <v>20</v>
      </c>
      <c r="E47" s="6">
        <f t="shared" si="7"/>
        <v>1400</v>
      </c>
      <c r="F47" s="6">
        <f>B47*E47</f>
        <v>11200</v>
      </c>
      <c r="G47" s="15">
        <v>0.2</v>
      </c>
      <c r="H47" s="12">
        <f>G47*C47</f>
        <v>14</v>
      </c>
    </row>
    <row r="48" spans="1:9" ht="18.75" x14ac:dyDescent="0.4">
      <c r="A48" s="152" t="s">
        <v>200</v>
      </c>
      <c r="B48" s="153"/>
      <c r="C48" s="129" t="s">
        <v>18</v>
      </c>
      <c r="D48" s="129"/>
      <c r="E48" s="16">
        <f>SUM(E46:E47)</f>
        <v>9080</v>
      </c>
      <c r="F48" s="149" t="s">
        <v>49</v>
      </c>
      <c r="G48" s="149"/>
      <c r="H48" s="17">
        <f>SUM(H46:H47)</f>
        <v>318</v>
      </c>
    </row>
    <row r="49" spans="1:11" ht="19.5" thickBot="1" x14ac:dyDescent="0.45">
      <c r="A49" s="154"/>
      <c r="B49" s="155"/>
      <c r="C49" s="135" t="s">
        <v>19</v>
      </c>
      <c r="D49" s="135"/>
      <c r="E49" s="18">
        <f>SUM(F46:F47)</f>
        <v>72640</v>
      </c>
      <c r="F49" s="158"/>
      <c r="G49" s="159"/>
      <c r="H49" s="160"/>
    </row>
    <row r="50" spans="1:11" ht="19.5" thickBot="1" x14ac:dyDescent="0.45">
      <c r="A50" s="154"/>
      <c r="B50" s="155"/>
      <c r="C50" s="161" t="s">
        <v>50</v>
      </c>
      <c r="D50" s="162"/>
      <c r="E50" s="19">
        <v>50000</v>
      </c>
      <c r="F50" s="163" t="s">
        <v>133</v>
      </c>
      <c r="G50" s="164"/>
      <c r="H50" s="165"/>
    </row>
    <row r="51" spans="1:11" ht="19.5" thickBot="1" x14ac:dyDescent="0.45">
      <c r="A51" s="156"/>
      <c r="B51" s="157"/>
      <c r="C51" s="135" t="s">
        <v>52</v>
      </c>
      <c r="D51" s="135"/>
      <c r="E51" s="18">
        <f>E49+E50</f>
        <v>122640</v>
      </c>
      <c r="F51" s="166"/>
      <c r="G51" s="166"/>
      <c r="H51" s="167"/>
      <c r="K51" s="72">
        <f>E36+E49</f>
        <v>460840</v>
      </c>
    </row>
    <row r="52" spans="1:11" x14ac:dyDescent="0.25">
      <c r="A52" s="20" t="s">
        <v>75</v>
      </c>
    </row>
    <row r="53" spans="1:11" x14ac:dyDescent="0.25">
      <c r="A53" t="s">
        <v>77</v>
      </c>
    </row>
  </sheetData>
  <mergeCells count="48">
    <mergeCell ref="A35:B38"/>
    <mergeCell ref="C35:D35"/>
    <mergeCell ref="F35:G35"/>
    <mergeCell ref="C36:D36"/>
    <mergeCell ref="F36:H36"/>
    <mergeCell ref="C37:D37"/>
    <mergeCell ref="F37:H37"/>
    <mergeCell ref="C38:D38"/>
    <mergeCell ref="F38:H38"/>
    <mergeCell ref="A25:H25"/>
    <mergeCell ref="A26:H26"/>
    <mergeCell ref="A27:H27"/>
    <mergeCell ref="A28:A29"/>
    <mergeCell ref="B28:D28"/>
    <mergeCell ref="E28:F28"/>
    <mergeCell ref="G28:H28"/>
    <mergeCell ref="A48:B51"/>
    <mergeCell ref="C48:D48"/>
    <mergeCell ref="F48:G48"/>
    <mergeCell ref="C49:D49"/>
    <mergeCell ref="F49:H49"/>
    <mergeCell ref="C50:D50"/>
    <mergeCell ref="F50:H50"/>
    <mergeCell ref="C51:D51"/>
    <mergeCell ref="F51:H51"/>
    <mergeCell ref="A41:H41"/>
    <mergeCell ref="A42:H42"/>
    <mergeCell ref="A43:H43"/>
    <mergeCell ref="A44:A45"/>
    <mergeCell ref="B44:D44"/>
    <mergeCell ref="E44:F44"/>
    <mergeCell ref="G44:H44"/>
    <mergeCell ref="A11:B14"/>
    <mergeCell ref="C11:D11"/>
    <mergeCell ref="F11:G11"/>
    <mergeCell ref="C12:D12"/>
    <mergeCell ref="F12:H12"/>
    <mergeCell ref="C13:D13"/>
    <mergeCell ref="F13:H13"/>
    <mergeCell ref="C14:D14"/>
    <mergeCell ref="F14:H14"/>
    <mergeCell ref="A1:H1"/>
    <mergeCell ref="A2:H2"/>
    <mergeCell ref="A3:H3"/>
    <mergeCell ref="A4:A5"/>
    <mergeCell ref="B4:D4"/>
    <mergeCell ref="E4:F4"/>
    <mergeCell ref="G4:H4"/>
  </mergeCells>
  <pageMargins left="0.70866141732283472" right="0.70866141732283472" top="0.55118110236220474" bottom="0.55118110236220474" header="0.31496062992125984" footer="0.31496062992125984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0968-4640-47EE-8C98-6D31E3CC518E}">
  <dimension ref="A1:H32"/>
  <sheetViews>
    <sheetView topLeftCell="A22" workbookViewId="0">
      <selection activeCell="E14" sqref="E14"/>
    </sheetView>
  </sheetViews>
  <sheetFormatPr baseColWidth="10" defaultRowHeight="15" x14ac:dyDescent="0.25"/>
  <cols>
    <col min="1" max="1" width="17" bestFit="1" customWidth="1"/>
    <col min="2" max="2" width="13" bestFit="1" customWidth="1"/>
    <col min="5" max="5" width="18.28515625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122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3" t="s">
        <v>47</v>
      </c>
      <c r="B6" s="1">
        <v>15</v>
      </c>
      <c r="C6" s="14">
        <v>64</v>
      </c>
      <c r="D6" s="6">
        <v>180</v>
      </c>
      <c r="E6" s="6">
        <f t="shared" ref="E6:E8" si="0">C6*D6</f>
        <v>11520</v>
      </c>
      <c r="F6" s="6">
        <f>B6*E6</f>
        <v>172800</v>
      </c>
      <c r="G6" s="15">
        <v>25</v>
      </c>
      <c r="H6" s="12">
        <f>G6*C6</f>
        <v>1600</v>
      </c>
    </row>
    <row r="7" spans="1:8" x14ac:dyDescent="0.25">
      <c r="A7" s="3" t="s">
        <v>48</v>
      </c>
      <c r="B7" s="1">
        <v>15</v>
      </c>
      <c r="C7" s="4">
        <v>26</v>
      </c>
      <c r="D7" s="6">
        <v>120</v>
      </c>
      <c r="E7" s="6">
        <f t="shared" si="0"/>
        <v>3120</v>
      </c>
      <c r="F7" s="6">
        <f t="shared" ref="F7:F8" si="1">B7*E7</f>
        <v>46800</v>
      </c>
      <c r="G7" s="15">
        <v>29</v>
      </c>
      <c r="H7" s="12">
        <f t="shared" ref="H7:H8" si="2">G7*C7</f>
        <v>754</v>
      </c>
    </row>
    <row r="8" spans="1:8" x14ac:dyDescent="0.25">
      <c r="A8" s="3" t="s">
        <v>32</v>
      </c>
      <c r="B8" s="1">
        <v>15</v>
      </c>
      <c r="C8" s="4">
        <v>45</v>
      </c>
      <c r="D8" s="6">
        <v>120</v>
      </c>
      <c r="E8" s="6">
        <f t="shared" si="0"/>
        <v>5400</v>
      </c>
      <c r="F8" s="6">
        <f t="shared" si="1"/>
        <v>81000</v>
      </c>
      <c r="G8" s="15">
        <v>13.5</v>
      </c>
      <c r="H8" s="12">
        <f t="shared" si="2"/>
        <v>607.5</v>
      </c>
    </row>
    <row r="9" spans="1:8" x14ac:dyDescent="0.25">
      <c r="A9" s="3" t="s">
        <v>137</v>
      </c>
      <c r="B9" s="1">
        <v>12</v>
      </c>
      <c r="C9" s="14">
        <v>8</v>
      </c>
      <c r="D9" s="6">
        <v>150</v>
      </c>
      <c r="E9" s="6">
        <f t="shared" ref="E9" si="3">C9*D9</f>
        <v>1200</v>
      </c>
      <c r="F9" s="6">
        <f>B9*E9</f>
        <v>14400</v>
      </c>
      <c r="G9" s="15">
        <v>16</v>
      </c>
      <c r="H9" s="12">
        <f>G9*C9</f>
        <v>128</v>
      </c>
    </row>
    <row r="10" spans="1:8" x14ac:dyDescent="0.25">
      <c r="A10" s="3"/>
      <c r="B10" s="1"/>
      <c r="C10" s="4"/>
      <c r="D10" s="6"/>
      <c r="E10" s="6"/>
      <c r="F10" s="6"/>
      <c r="G10" s="15"/>
      <c r="H10" s="12"/>
    </row>
    <row r="11" spans="1:8" ht="18.75" x14ac:dyDescent="0.4">
      <c r="A11" s="152" t="s">
        <v>123</v>
      </c>
      <c r="B11" s="153"/>
      <c r="C11" s="129" t="s">
        <v>18</v>
      </c>
      <c r="D11" s="129"/>
      <c r="E11" s="16">
        <v>19320</v>
      </c>
      <c r="F11" s="149" t="s">
        <v>49</v>
      </c>
      <c r="G11" s="149"/>
      <c r="H11" s="17">
        <f>SUM(H6:H8)</f>
        <v>2961.5</v>
      </c>
    </row>
    <row r="12" spans="1:8" ht="19.5" thickBot="1" x14ac:dyDescent="0.45">
      <c r="A12" s="154"/>
      <c r="B12" s="155"/>
      <c r="C12" s="135" t="s">
        <v>19</v>
      </c>
      <c r="D12" s="135"/>
      <c r="E12" s="18">
        <f>E11*15</f>
        <v>289800</v>
      </c>
      <c r="F12" s="158"/>
      <c r="G12" s="159"/>
      <c r="H12" s="160"/>
    </row>
    <row r="13" spans="1:8" ht="19.5" thickBot="1" x14ac:dyDescent="0.45">
      <c r="A13" s="154"/>
      <c r="B13" s="155"/>
      <c r="C13" s="161" t="s">
        <v>50</v>
      </c>
      <c r="D13" s="162"/>
      <c r="E13" s="19">
        <v>210000</v>
      </c>
      <c r="F13" s="163" t="s">
        <v>51</v>
      </c>
      <c r="G13" s="164"/>
      <c r="H13" s="165"/>
    </row>
    <row r="14" spans="1:8" ht="19.5" thickBot="1" x14ac:dyDescent="0.45">
      <c r="A14" s="156"/>
      <c r="B14" s="157"/>
      <c r="C14" s="135" t="s">
        <v>52</v>
      </c>
      <c r="D14" s="135"/>
      <c r="E14" s="18">
        <f>E12+E13</f>
        <v>499800</v>
      </c>
      <c r="F14" s="166"/>
      <c r="G14" s="166"/>
      <c r="H14" s="167"/>
    </row>
    <row r="15" spans="1:8" x14ac:dyDescent="0.25">
      <c r="A15" t="s">
        <v>121</v>
      </c>
    </row>
    <row r="16" spans="1:8" x14ac:dyDescent="0.25">
      <c r="A16" s="43" t="s">
        <v>25</v>
      </c>
      <c r="B16" s="43"/>
    </row>
    <row r="17" spans="1:8" x14ac:dyDescent="0.25">
      <c r="A17" s="43" t="s">
        <v>23</v>
      </c>
      <c r="B17" s="43"/>
    </row>
    <row r="18" spans="1:8" x14ac:dyDescent="0.25">
      <c r="A18" s="43" t="s">
        <v>24</v>
      </c>
      <c r="B18" s="43"/>
    </row>
    <row r="19" spans="1:8" x14ac:dyDescent="0.25">
      <c r="A19" s="44" t="s">
        <v>94</v>
      </c>
      <c r="B19" s="45">
        <v>800000</v>
      </c>
    </row>
    <row r="20" spans="1:8" ht="15.75" thickBot="1" x14ac:dyDescent="0.3"/>
    <row r="21" spans="1:8" x14ac:dyDescent="0.25">
      <c r="A21" s="136" t="s">
        <v>42</v>
      </c>
      <c r="B21" s="137"/>
      <c r="C21" s="137"/>
      <c r="D21" s="137"/>
      <c r="E21" s="137"/>
      <c r="F21" s="137"/>
      <c r="G21" s="137"/>
      <c r="H21" s="138"/>
    </row>
    <row r="22" spans="1:8" ht="18" x14ac:dyDescent="0.25">
      <c r="A22" s="139" t="s">
        <v>43</v>
      </c>
      <c r="B22" s="140"/>
      <c r="C22" s="140"/>
      <c r="D22" s="140"/>
      <c r="E22" s="140"/>
      <c r="F22" s="140"/>
      <c r="G22" s="140"/>
      <c r="H22" s="141"/>
    </row>
    <row r="23" spans="1:8" x14ac:dyDescent="0.25">
      <c r="A23" s="145" t="s">
        <v>122</v>
      </c>
      <c r="B23" s="146"/>
      <c r="C23" s="146"/>
      <c r="D23" s="146"/>
      <c r="E23" s="146"/>
      <c r="F23" s="146"/>
      <c r="G23" s="146"/>
      <c r="H23" s="147"/>
    </row>
    <row r="24" spans="1:8" x14ac:dyDescent="0.25">
      <c r="A24" s="148" t="s">
        <v>4</v>
      </c>
      <c r="B24" s="149" t="s">
        <v>5</v>
      </c>
      <c r="C24" s="149"/>
      <c r="D24" s="149"/>
      <c r="E24" s="149" t="s">
        <v>6</v>
      </c>
      <c r="F24" s="149"/>
      <c r="G24" s="149" t="s">
        <v>44</v>
      </c>
      <c r="H24" s="150"/>
    </row>
    <row r="25" spans="1:8" x14ac:dyDescent="0.25">
      <c r="A25" s="148"/>
      <c r="B25" s="1" t="s">
        <v>7</v>
      </c>
      <c r="C25" s="1" t="s">
        <v>8</v>
      </c>
      <c r="D25" s="1" t="s">
        <v>9</v>
      </c>
      <c r="E25" s="1" t="s">
        <v>10</v>
      </c>
      <c r="F25" s="1" t="s">
        <v>11</v>
      </c>
      <c r="G25" s="1" t="s">
        <v>45</v>
      </c>
      <c r="H25" s="2" t="s">
        <v>46</v>
      </c>
    </row>
    <row r="26" spans="1:8" x14ac:dyDescent="0.25">
      <c r="A26" s="3" t="s">
        <v>47</v>
      </c>
      <c r="B26" s="1">
        <v>15</v>
      </c>
      <c r="C26" s="14">
        <v>64</v>
      </c>
      <c r="D26" s="6">
        <v>180</v>
      </c>
      <c r="E26" s="6">
        <f t="shared" ref="E26:E28" si="4">C26*D26</f>
        <v>11520</v>
      </c>
      <c r="F26" s="6">
        <f>B26*E26</f>
        <v>172800</v>
      </c>
      <c r="G26" s="15">
        <v>25</v>
      </c>
      <c r="H26" s="12">
        <f>G26*C26</f>
        <v>1600</v>
      </c>
    </row>
    <row r="27" spans="1:8" x14ac:dyDescent="0.25">
      <c r="A27" s="3" t="s">
        <v>48</v>
      </c>
      <c r="B27" s="1">
        <v>15</v>
      </c>
      <c r="C27" s="4">
        <v>20</v>
      </c>
      <c r="D27" s="6">
        <v>120</v>
      </c>
      <c r="E27" s="6">
        <f t="shared" si="4"/>
        <v>2400</v>
      </c>
      <c r="F27" s="6">
        <f t="shared" ref="F27:F28" si="5">B27*E27</f>
        <v>36000</v>
      </c>
      <c r="G27" s="15">
        <v>29</v>
      </c>
      <c r="H27" s="12">
        <f t="shared" ref="H27:H28" si="6">G27*C27</f>
        <v>580</v>
      </c>
    </row>
    <row r="28" spans="1:8" x14ac:dyDescent="0.25">
      <c r="A28" s="3" t="s">
        <v>32</v>
      </c>
      <c r="B28" s="1">
        <v>15</v>
      </c>
      <c r="C28" s="4">
        <v>45</v>
      </c>
      <c r="D28" s="6">
        <v>120</v>
      </c>
      <c r="E28" s="6">
        <f t="shared" si="4"/>
        <v>5400</v>
      </c>
      <c r="F28" s="6">
        <f t="shared" si="5"/>
        <v>81000</v>
      </c>
      <c r="G28" s="15">
        <v>13.5</v>
      </c>
      <c r="H28" s="12">
        <f t="shared" si="6"/>
        <v>607.5</v>
      </c>
    </row>
    <row r="29" spans="1:8" ht="18.75" x14ac:dyDescent="0.4">
      <c r="A29" s="152" t="s">
        <v>123</v>
      </c>
      <c r="B29" s="153"/>
      <c r="C29" s="129" t="s">
        <v>18</v>
      </c>
      <c r="D29" s="129"/>
      <c r="E29" s="16">
        <v>19320</v>
      </c>
      <c r="F29" s="149" t="s">
        <v>49</v>
      </c>
      <c r="G29" s="149"/>
      <c r="H29" s="17">
        <f>SUM(H26:H28)</f>
        <v>2787.5</v>
      </c>
    </row>
    <row r="30" spans="1:8" ht="19.5" thickBot="1" x14ac:dyDescent="0.45">
      <c r="A30" s="154"/>
      <c r="B30" s="155"/>
      <c r="C30" s="135" t="s">
        <v>19</v>
      </c>
      <c r="D30" s="135"/>
      <c r="E30" s="18">
        <f>E29*15</f>
        <v>289800</v>
      </c>
      <c r="F30" s="158"/>
      <c r="G30" s="159"/>
      <c r="H30" s="160"/>
    </row>
    <row r="31" spans="1:8" ht="19.5" thickBot="1" x14ac:dyDescent="0.45">
      <c r="A31" s="154"/>
      <c r="B31" s="155"/>
      <c r="C31" s="161" t="s">
        <v>50</v>
      </c>
      <c r="D31" s="162"/>
      <c r="E31" s="19">
        <v>180000</v>
      </c>
      <c r="F31" s="163" t="s">
        <v>51</v>
      </c>
      <c r="G31" s="164"/>
      <c r="H31" s="165"/>
    </row>
    <row r="32" spans="1:8" ht="19.5" thickBot="1" x14ac:dyDescent="0.45">
      <c r="A32" s="156"/>
      <c r="B32" s="157"/>
      <c r="C32" s="135" t="s">
        <v>52</v>
      </c>
      <c r="D32" s="135"/>
      <c r="E32" s="18">
        <f>E30+E31</f>
        <v>469800</v>
      </c>
      <c r="F32" s="166"/>
      <c r="G32" s="166"/>
      <c r="H32" s="167"/>
    </row>
  </sheetData>
  <mergeCells count="32">
    <mergeCell ref="A11:B14"/>
    <mergeCell ref="C11:D11"/>
    <mergeCell ref="F11:G11"/>
    <mergeCell ref="C12:D12"/>
    <mergeCell ref="F12:H12"/>
    <mergeCell ref="C13:D13"/>
    <mergeCell ref="F13:H13"/>
    <mergeCell ref="C14:D14"/>
    <mergeCell ref="F14:H14"/>
    <mergeCell ref="A1:H1"/>
    <mergeCell ref="A2:H2"/>
    <mergeCell ref="A3:H3"/>
    <mergeCell ref="A4:A5"/>
    <mergeCell ref="B4:D4"/>
    <mergeCell ref="E4:F4"/>
    <mergeCell ref="G4:H4"/>
    <mergeCell ref="A21:H21"/>
    <mergeCell ref="A22:H22"/>
    <mergeCell ref="A23:H23"/>
    <mergeCell ref="A24:A25"/>
    <mergeCell ref="B24:D24"/>
    <mergeCell ref="E24:F24"/>
    <mergeCell ref="G24:H24"/>
    <mergeCell ref="A29:B32"/>
    <mergeCell ref="C29:D29"/>
    <mergeCell ref="F29:G29"/>
    <mergeCell ref="C30:D30"/>
    <mergeCell ref="F30:H30"/>
    <mergeCell ref="C31:D31"/>
    <mergeCell ref="F31:H31"/>
    <mergeCell ref="C32:D32"/>
    <mergeCell ref="F32:H3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9327B-0447-42EC-B9EF-1969101584D7}">
  <dimension ref="A1:H18"/>
  <sheetViews>
    <sheetView workbookViewId="0">
      <selection sqref="A1:H13"/>
    </sheetView>
  </sheetViews>
  <sheetFormatPr baseColWidth="10" defaultRowHeight="15" x14ac:dyDescent="0.25"/>
  <cols>
    <col min="1" max="1" width="39.5703125" customWidth="1"/>
    <col min="2" max="2" width="13" bestFit="1" customWidth="1"/>
    <col min="5" max="5" width="20.140625" customWidth="1"/>
  </cols>
  <sheetData>
    <row r="1" spans="1:8" x14ac:dyDescent="0.25">
      <c r="A1" s="214" t="s">
        <v>95</v>
      </c>
      <c r="B1" s="214"/>
      <c r="C1" s="214"/>
      <c r="D1" s="214"/>
      <c r="E1" s="214"/>
      <c r="F1" s="214"/>
      <c r="G1" s="214"/>
      <c r="H1" s="214"/>
    </row>
    <row r="2" spans="1:8" x14ac:dyDescent="0.25">
      <c r="A2" s="146" t="s">
        <v>84</v>
      </c>
      <c r="B2" s="146"/>
      <c r="C2" s="146"/>
      <c r="D2" s="146"/>
      <c r="E2" s="146"/>
      <c r="F2" s="146"/>
      <c r="G2" s="146"/>
      <c r="H2" s="146"/>
    </row>
    <row r="3" spans="1:8" x14ac:dyDescent="0.25">
      <c r="A3" s="146" t="s">
        <v>83</v>
      </c>
      <c r="B3" s="146"/>
      <c r="C3" s="146"/>
      <c r="D3" s="146"/>
      <c r="E3" s="146"/>
      <c r="F3" s="146"/>
      <c r="G3" s="146"/>
      <c r="H3" s="146"/>
    </row>
    <row r="4" spans="1:8" x14ac:dyDescent="0.25">
      <c r="A4" s="129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49"/>
    </row>
    <row r="5" spans="1:8" ht="30" x14ac:dyDescent="0.25">
      <c r="A5" s="129"/>
      <c r="B5" s="1" t="s">
        <v>7</v>
      </c>
      <c r="C5" s="1" t="s">
        <v>8</v>
      </c>
      <c r="D5" s="1" t="s">
        <v>9</v>
      </c>
      <c r="E5" s="21" t="s">
        <v>78</v>
      </c>
      <c r="F5" s="21" t="s">
        <v>79</v>
      </c>
      <c r="G5" s="21" t="s">
        <v>80</v>
      </c>
      <c r="H5" s="21" t="s">
        <v>81</v>
      </c>
    </row>
    <row r="6" spans="1:8" x14ac:dyDescent="0.25">
      <c r="A6" s="30" t="s">
        <v>85</v>
      </c>
      <c r="B6" s="1">
        <v>10</v>
      </c>
      <c r="C6" s="14">
        <v>6</v>
      </c>
      <c r="D6" s="23">
        <v>1500</v>
      </c>
      <c r="E6" s="23">
        <f>C6*D6</f>
        <v>9000</v>
      </c>
      <c r="F6" s="23">
        <f>B6*E6</f>
        <v>90000</v>
      </c>
      <c r="G6" s="15">
        <v>40</v>
      </c>
      <c r="H6" s="4">
        <f>+G6*C6</f>
        <v>240</v>
      </c>
    </row>
    <row r="7" spans="1:8" x14ac:dyDescent="0.25">
      <c r="A7" s="22" t="s">
        <v>82</v>
      </c>
      <c r="B7" s="1">
        <v>10</v>
      </c>
      <c r="C7" s="1">
        <v>6</v>
      </c>
      <c r="D7" s="24">
        <v>500</v>
      </c>
      <c r="E7" s="6">
        <f t="shared" ref="E7:E8" si="0">C7*D7</f>
        <v>3000</v>
      </c>
      <c r="F7" s="25">
        <f>B7*E7</f>
        <v>30000</v>
      </c>
      <c r="G7" s="26">
        <v>19</v>
      </c>
      <c r="H7" s="4">
        <f t="shared" ref="H7" si="1">+G7*C7</f>
        <v>114</v>
      </c>
    </row>
    <row r="8" spans="1:8" x14ac:dyDescent="0.25">
      <c r="A8" s="22" t="s">
        <v>86</v>
      </c>
      <c r="B8" s="1">
        <v>10</v>
      </c>
      <c r="C8" s="1">
        <v>12</v>
      </c>
      <c r="D8" s="27">
        <v>750</v>
      </c>
      <c r="E8" s="6">
        <f t="shared" si="0"/>
        <v>9000</v>
      </c>
      <c r="F8" s="6">
        <f>B8*E8</f>
        <v>90000</v>
      </c>
      <c r="G8" s="26">
        <v>1</v>
      </c>
      <c r="H8" s="4">
        <f>+G8*C8</f>
        <v>12</v>
      </c>
    </row>
    <row r="9" spans="1:8" x14ac:dyDescent="0.25">
      <c r="A9" s="22" t="s">
        <v>87</v>
      </c>
      <c r="B9" s="1">
        <v>10</v>
      </c>
      <c r="C9" s="1">
        <v>3</v>
      </c>
      <c r="D9" s="27">
        <v>1000</v>
      </c>
      <c r="E9" s="6">
        <f t="shared" ref="E9" si="2">C9*D9</f>
        <v>3000</v>
      </c>
      <c r="F9" s="6">
        <f>B9*E9</f>
        <v>30000</v>
      </c>
      <c r="G9" s="26">
        <v>5</v>
      </c>
      <c r="H9" s="4">
        <f>+G9*C9</f>
        <v>15</v>
      </c>
    </row>
    <row r="10" spans="1:8" ht="18.75" x14ac:dyDescent="0.4">
      <c r="A10" s="213" t="s">
        <v>88</v>
      </c>
      <c r="B10" s="213"/>
      <c r="C10" s="133" t="s">
        <v>18</v>
      </c>
      <c r="D10" s="134"/>
      <c r="E10" s="16">
        <f>SUM(E6:E9)</f>
        <v>24000</v>
      </c>
      <c r="F10" s="149" t="s">
        <v>49</v>
      </c>
      <c r="G10" s="149"/>
      <c r="H10" s="28">
        <f>SUM(H6:H8)</f>
        <v>366</v>
      </c>
    </row>
    <row r="11" spans="1:8" ht="18.75" x14ac:dyDescent="0.4">
      <c r="A11" s="213"/>
      <c r="B11" s="213"/>
      <c r="C11" s="133" t="s">
        <v>89</v>
      </c>
      <c r="D11" s="134"/>
      <c r="E11" s="16">
        <f>SUM(F6:F9)</f>
        <v>240000</v>
      </c>
      <c r="F11" s="1"/>
      <c r="G11" s="1"/>
      <c r="H11" s="28"/>
    </row>
    <row r="12" spans="1:8" ht="18.75" x14ac:dyDescent="0.4">
      <c r="A12" s="213"/>
      <c r="B12" s="213"/>
      <c r="C12" s="133" t="s">
        <v>50</v>
      </c>
      <c r="D12" s="134"/>
      <c r="E12" s="16">
        <v>120000</v>
      </c>
      <c r="F12" s="1"/>
      <c r="G12" s="1"/>
      <c r="H12" s="28"/>
    </row>
    <row r="13" spans="1:8" ht="18.75" x14ac:dyDescent="0.4">
      <c r="A13" s="213"/>
      <c r="B13" s="213"/>
      <c r="C13" s="129" t="s">
        <v>90</v>
      </c>
      <c r="D13" s="129"/>
      <c r="E13" s="29">
        <f>E11+E12</f>
        <v>360000</v>
      </c>
      <c r="F13" s="149"/>
      <c r="G13" s="149"/>
      <c r="H13" s="149"/>
    </row>
    <row r="14" spans="1:8" x14ac:dyDescent="0.25">
      <c r="A14" t="s">
        <v>22</v>
      </c>
    </row>
    <row r="15" spans="1:8" x14ac:dyDescent="0.25">
      <c r="A15" t="s">
        <v>91</v>
      </c>
    </row>
    <row r="16" spans="1:8" x14ac:dyDescent="0.25">
      <c r="A16" t="s">
        <v>92</v>
      </c>
    </row>
    <row r="17" spans="1:2" x14ac:dyDescent="0.25">
      <c r="A17" t="s">
        <v>93</v>
      </c>
    </row>
    <row r="18" spans="1:2" x14ac:dyDescent="0.25">
      <c r="A18" t="s">
        <v>94</v>
      </c>
      <c r="B18" s="31">
        <v>600000</v>
      </c>
    </row>
  </sheetData>
  <mergeCells count="14">
    <mergeCell ref="A1:H1"/>
    <mergeCell ref="A2:H2"/>
    <mergeCell ref="A3:H3"/>
    <mergeCell ref="A4:A5"/>
    <mergeCell ref="B4:D4"/>
    <mergeCell ref="E4:F4"/>
    <mergeCell ref="G4:H4"/>
    <mergeCell ref="A10:B13"/>
    <mergeCell ref="C10:D10"/>
    <mergeCell ref="F10:G10"/>
    <mergeCell ref="C13:D13"/>
    <mergeCell ref="F13:H13"/>
    <mergeCell ref="C12:D12"/>
    <mergeCell ref="C11:D11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D38C4-74EA-4538-A9CD-7D70A934D356}">
  <dimension ref="A1:H34"/>
  <sheetViews>
    <sheetView topLeftCell="A26" workbookViewId="0">
      <selection activeCell="A20" sqref="A20:H34"/>
    </sheetView>
  </sheetViews>
  <sheetFormatPr baseColWidth="10" defaultRowHeight="15" x14ac:dyDescent="0.25"/>
  <cols>
    <col min="1" max="1" width="19.85546875" bestFit="1" customWidth="1"/>
    <col min="5" max="5" width="18.5703125" customWidth="1"/>
    <col min="6" max="6" width="10.85546875" customWidth="1"/>
    <col min="8" max="8" width="15.140625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ht="18" x14ac:dyDescent="0.25">
      <c r="A3" s="142" t="s">
        <v>57</v>
      </c>
      <c r="B3" s="143"/>
      <c r="C3" s="143"/>
      <c r="D3" s="143"/>
      <c r="E3" s="143"/>
      <c r="F3" s="143"/>
      <c r="G3" s="143"/>
      <c r="H3" s="144"/>
    </row>
    <row r="4" spans="1:8" x14ac:dyDescent="0.25">
      <c r="A4" s="145" t="s">
        <v>53</v>
      </c>
      <c r="B4" s="146"/>
      <c r="C4" s="146"/>
      <c r="D4" s="146"/>
      <c r="E4" s="146"/>
      <c r="F4" s="146"/>
      <c r="G4" s="146"/>
      <c r="H4" s="147"/>
    </row>
    <row r="5" spans="1:8" x14ac:dyDescent="0.25">
      <c r="A5" s="145" t="s">
        <v>54</v>
      </c>
      <c r="B5" s="146"/>
      <c r="C5" s="146"/>
      <c r="D5" s="146"/>
      <c r="E5" s="146"/>
      <c r="F5" s="146"/>
      <c r="G5" s="146"/>
      <c r="H5" s="147"/>
    </row>
    <row r="6" spans="1:8" x14ac:dyDescent="0.25">
      <c r="A6" s="148" t="s">
        <v>4</v>
      </c>
      <c r="B6" s="149" t="s">
        <v>5</v>
      </c>
      <c r="C6" s="149"/>
      <c r="D6" s="149"/>
      <c r="E6" s="149" t="s">
        <v>6</v>
      </c>
      <c r="F6" s="149"/>
      <c r="G6" s="149" t="s">
        <v>44</v>
      </c>
      <c r="H6" s="150"/>
    </row>
    <row r="7" spans="1:8" x14ac:dyDescent="0.25">
      <c r="A7" s="148"/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45</v>
      </c>
      <c r="H7" s="2" t="s">
        <v>46</v>
      </c>
    </row>
    <row r="8" spans="1:8" x14ac:dyDescent="0.25">
      <c r="A8" s="3" t="s">
        <v>47</v>
      </c>
      <c r="B8" s="1">
        <v>15</v>
      </c>
      <c r="C8" s="14"/>
      <c r="D8" s="6">
        <v>160</v>
      </c>
      <c r="E8" s="6">
        <f t="shared" ref="E8:E12" si="0">C8*D8</f>
        <v>0</v>
      </c>
      <c r="F8" s="6">
        <f>B8*E8</f>
        <v>0</v>
      </c>
      <c r="G8" s="15">
        <v>25</v>
      </c>
      <c r="H8" s="12">
        <f>G8*C8</f>
        <v>0</v>
      </c>
    </row>
    <row r="9" spans="1:8" x14ac:dyDescent="0.25">
      <c r="A9" s="3" t="s">
        <v>48</v>
      </c>
      <c r="B9" s="1">
        <v>15</v>
      </c>
      <c r="C9" s="4">
        <v>42</v>
      </c>
      <c r="D9" s="6">
        <v>120</v>
      </c>
      <c r="E9" s="6">
        <f t="shared" si="0"/>
        <v>5040</v>
      </c>
      <c r="F9" s="6">
        <f t="shared" ref="F9:F12" si="1">B9*E9</f>
        <v>75600</v>
      </c>
      <c r="G9" s="15">
        <v>29</v>
      </c>
      <c r="H9" s="12">
        <f t="shared" ref="H9:H12" si="2">G9*C9</f>
        <v>1218</v>
      </c>
    </row>
    <row r="10" spans="1:8" x14ac:dyDescent="0.25">
      <c r="A10" s="3" t="s">
        <v>55</v>
      </c>
      <c r="B10" s="1">
        <v>15</v>
      </c>
      <c r="C10" s="4"/>
      <c r="D10" s="6">
        <v>120</v>
      </c>
      <c r="E10" s="6">
        <f t="shared" si="0"/>
        <v>0</v>
      </c>
      <c r="F10" s="6">
        <f t="shared" si="1"/>
        <v>0</v>
      </c>
      <c r="G10" s="15">
        <v>16</v>
      </c>
      <c r="H10" s="12">
        <f t="shared" si="2"/>
        <v>0</v>
      </c>
    </row>
    <row r="11" spans="1:8" x14ac:dyDescent="0.25">
      <c r="A11" s="3" t="s">
        <v>56</v>
      </c>
      <c r="B11" s="1">
        <v>15</v>
      </c>
      <c r="C11" s="4"/>
      <c r="D11" s="6">
        <v>120</v>
      </c>
      <c r="E11" s="6">
        <f t="shared" si="0"/>
        <v>0</v>
      </c>
      <c r="F11" s="6">
        <f t="shared" si="1"/>
        <v>0</v>
      </c>
      <c r="G11" s="15">
        <v>14</v>
      </c>
      <c r="H11" s="12">
        <f t="shared" si="2"/>
        <v>0</v>
      </c>
    </row>
    <row r="12" spans="1:8" x14ac:dyDescent="0.25">
      <c r="A12" s="3" t="s">
        <v>32</v>
      </c>
      <c r="B12" s="1">
        <v>15</v>
      </c>
      <c r="C12" s="4">
        <v>71</v>
      </c>
      <c r="D12" s="6">
        <v>120</v>
      </c>
      <c r="E12" s="6">
        <f t="shared" si="0"/>
        <v>8520</v>
      </c>
      <c r="F12" s="6">
        <f t="shared" si="1"/>
        <v>127800</v>
      </c>
      <c r="G12" s="15">
        <v>13.5</v>
      </c>
      <c r="H12" s="12">
        <f t="shared" si="2"/>
        <v>958.5</v>
      </c>
    </row>
    <row r="13" spans="1:8" ht="18.75" x14ac:dyDescent="0.4">
      <c r="A13" s="152" t="s">
        <v>28</v>
      </c>
      <c r="B13" s="153"/>
      <c r="C13" s="129" t="s">
        <v>18</v>
      </c>
      <c r="D13" s="129"/>
      <c r="E13" s="16">
        <f>SUM(E8:E12)</f>
        <v>13560</v>
      </c>
      <c r="F13" s="149" t="s">
        <v>49</v>
      </c>
      <c r="G13" s="149"/>
      <c r="H13" s="17">
        <f>SUM(H8:H12)</f>
        <v>2176.5</v>
      </c>
    </row>
    <row r="14" spans="1:8" ht="19.5" thickBot="1" x14ac:dyDescent="0.45">
      <c r="A14" s="154"/>
      <c r="B14" s="155"/>
      <c r="C14" s="135" t="s">
        <v>19</v>
      </c>
      <c r="D14" s="135"/>
      <c r="E14" s="18">
        <f>SUM(F8:F12)</f>
        <v>203400</v>
      </c>
      <c r="F14" s="158"/>
      <c r="G14" s="159"/>
      <c r="H14" s="160"/>
    </row>
    <row r="15" spans="1:8" ht="19.5" thickBot="1" x14ac:dyDescent="0.45">
      <c r="A15" s="154"/>
      <c r="B15" s="155"/>
      <c r="C15" s="161" t="s">
        <v>50</v>
      </c>
      <c r="D15" s="162"/>
      <c r="E15" s="18">
        <v>350000</v>
      </c>
      <c r="F15" s="163" t="s">
        <v>51</v>
      </c>
      <c r="G15" s="164"/>
      <c r="H15" s="165"/>
    </row>
    <row r="16" spans="1:8" ht="19.5" thickBot="1" x14ac:dyDescent="0.45">
      <c r="A16" s="156"/>
      <c r="B16" s="157"/>
      <c r="C16" s="135" t="s">
        <v>52</v>
      </c>
      <c r="D16" s="135"/>
      <c r="E16" s="18">
        <f>E14+E15</f>
        <v>553400</v>
      </c>
      <c r="F16" s="166"/>
      <c r="G16" s="166"/>
      <c r="H16" s="167"/>
    </row>
    <row r="19" spans="1:8" ht="15.75" thickBot="1" x14ac:dyDescent="0.3"/>
    <row r="20" spans="1:8" x14ac:dyDescent="0.25">
      <c r="A20" s="136" t="s">
        <v>42</v>
      </c>
      <c r="B20" s="137"/>
      <c r="C20" s="137"/>
      <c r="D20" s="137"/>
      <c r="E20" s="137"/>
      <c r="F20" s="137"/>
      <c r="G20" s="137"/>
      <c r="H20" s="138"/>
    </row>
    <row r="21" spans="1:8" ht="18" customHeight="1" x14ac:dyDescent="0.25">
      <c r="A21" s="139" t="s">
        <v>43</v>
      </c>
      <c r="B21" s="140"/>
      <c r="C21" s="140"/>
      <c r="D21" s="140"/>
      <c r="E21" s="140"/>
      <c r="F21" s="140"/>
      <c r="G21" s="140"/>
      <c r="H21" s="141"/>
    </row>
    <row r="22" spans="1:8" ht="18" customHeight="1" x14ac:dyDescent="0.25">
      <c r="A22" s="142" t="s">
        <v>57</v>
      </c>
      <c r="B22" s="143"/>
      <c r="C22" s="143"/>
      <c r="D22" s="143"/>
      <c r="E22" s="143"/>
      <c r="F22" s="143"/>
      <c r="G22" s="143"/>
      <c r="H22" s="144"/>
    </row>
    <row r="23" spans="1:8" x14ac:dyDescent="0.25">
      <c r="A23" s="145" t="s">
        <v>53</v>
      </c>
      <c r="B23" s="146"/>
      <c r="C23" s="146"/>
      <c r="D23" s="146"/>
      <c r="E23" s="146"/>
      <c r="F23" s="146"/>
      <c r="G23" s="146"/>
      <c r="H23" s="147"/>
    </row>
    <row r="24" spans="1:8" x14ac:dyDescent="0.25">
      <c r="A24" s="148" t="s">
        <v>4</v>
      </c>
      <c r="B24" s="149" t="s">
        <v>5</v>
      </c>
      <c r="C24" s="149"/>
      <c r="D24" s="149"/>
      <c r="E24" s="149" t="s">
        <v>6</v>
      </c>
      <c r="F24" s="150"/>
      <c r="G24" s="149" t="s">
        <v>44</v>
      </c>
      <c r="H24" s="150"/>
    </row>
    <row r="25" spans="1:8" x14ac:dyDescent="0.25">
      <c r="A25" s="148"/>
      <c r="B25" s="1" t="s">
        <v>7</v>
      </c>
      <c r="C25" s="1" t="s">
        <v>8</v>
      </c>
      <c r="D25" s="1" t="s">
        <v>9</v>
      </c>
      <c r="E25" s="1" t="s">
        <v>10</v>
      </c>
      <c r="F25" s="2" t="s">
        <v>11</v>
      </c>
      <c r="G25" s="1" t="s">
        <v>45</v>
      </c>
      <c r="H25" s="2" t="s">
        <v>46</v>
      </c>
    </row>
    <row r="26" spans="1:8" x14ac:dyDescent="0.25">
      <c r="A26" s="3" t="s">
        <v>66</v>
      </c>
      <c r="B26" s="4">
        <v>5</v>
      </c>
      <c r="C26" s="4">
        <v>16</v>
      </c>
      <c r="D26" s="5">
        <v>270</v>
      </c>
      <c r="E26" s="6">
        <f>C26*D26</f>
        <v>4320</v>
      </c>
      <c r="F26" s="7">
        <f>B26*E26</f>
        <v>21600</v>
      </c>
      <c r="G26" s="15">
        <v>25</v>
      </c>
      <c r="H26" s="12">
        <f>G26*C26</f>
        <v>400</v>
      </c>
    </row>
    <row r="27" spans="1:8" x14ac:dyDescent="0.25">
      <c r="A27" s="3" t="s">
        <v>14</v>
      </c>
      <c r="B27" s="4">
        <v>5</v>
      </c>
      <c r="C27" s="4">
        <v>16</v>
      </c>
      <c r="D27" s="5">
        <v>40</v>
      </c>
      <c r="E27" s="6">
        <f t="shared" ref="E27:E30" si="3">C27*D27</f>
        <v>640</v>
      </c>
      <c r="F27" s="7">
        <f t="shared" ref="F27:F30" si="4">B27*E27</f>
        <v>3200</v>
      </c>
      <c r="G27" s="15">
        <v>29</v>
      </c>
      <c r="H27" s="12">
        <f t="shared" ref="H27:H30" si="5">G27*C27</f>
        <v>464</v>
      </c>
    </row>
    <row r="28" spans="1:8" x14ac:dyDescent="0.25">
      <c r="A28" s="3" t="s">
        <v>15</v>
      </c>
      <c r="B28" s="4">
        <v>5</v>
      </c>
      <c r="C28" s="4">
        <v>8</v>
      </c>
      <c r="D28" s="5">
        <v>80</v>
      </c>
      <c r="E28" s="6">
        <f t="shared" si="3"/>
        <v>640</v>
      </c>
      <c r="F28" s="7">
        <f t="shared" si="4"/>
        <v>3200</v>
      </c>
      <c r="G28" s="15">
        <v>16</v>
      </c>
      <c r="H28" s="12">
        <f t="shared" si="5"/>
        <v>128</v>
      </c>
    </row>
    <row r="29" spans="1:8" x14ac:dyDescent="0.25">
      <c r="A29" s="3" t="s">
        <v>32</v>
      </c>
      <c r="B29" s="4">
        <v>5</v>
      </c>
      <c r="C29" s="4">
        <v>8</v>
      </c>
      <c r="D29" s="5">
        <v>120</v>
      </c>
      <c r="E29" s="6">
        <f t="shared" si="3"/>
        <v>960</v>
      </c>
      <c r="F29" s="7">
        <f t="shared" si="4"/>
        <v>4800</v>
      </c>
      <c r="G29" s="15">
        <v>14</v>
      </c>
      <c r="H29" s="12">
        <f t="shared" si="5"/>
        <v>112</v>
      </c>
    </row>
    <row r="30" spans="1:8" x14ac:dyDescent="0.25">
      <c r="A30" s="3" t="s">
        <v>16</v>
      </c>
      <c r="B30" s="4">
        <v>5</v>
      </c>
      <c r="C30" s="4">
        <v>184</v>
      </c>
      <c r="D30" s="5">
        <v>20</v>
      </c>
      <c r="E30" s="6">
        <f t="shared" si="3"/>
        <v>3680</v>
      </c>
      <c r="F30" s="7">
        <f t="shared" si="4"/>
        <v>18400</v>
      </c>
      <c r="G30" s="15">
        <v>13.5</v>
      </c>
      <c r="H30" s="12">
        <f t="shared" si="5"/>
        <v>2484</v>
      </c>
    </row>
    <row r="31" spans="1:8" ht="18.75" x14ac:dyDescent="0.4">
      <c r="A31" s="123" t="s">
        <v>67</v>
      </c>
      <c r="B31" s="124"/>
      <c r="C31" s="129" t="s">
        <v>18</v>
      </c>
      <c r="D31" s="129"/>
      <c r="E31" s="8">
        <f>SUM(E26:E30)</f>
        <v>10240</v>
      </c>
      <c r="F31" s="175"/>
      <c r="G31" s="176"/>
      <c r="H31" s="177"/>
    </row>
    <row r="32" spans="1:8" ht="18.75" x14ac:dyDescent="0.4">
      <c r="A32" s="123"/>
      <c r="B32" s="124"/>
      <c r="C32" s="129" t="s">
        <v>19</v>
      </c>
      <c r="D32" s="129"/>
      <c r="E32" s="8">
        <f>SUM(F26:F30)</f>
        <v>51200</v>
      </c>
      <c r="F32" s="178"/>
      <c r="G32" s="179"/>
      <c r="H32" s="180"/>
    </row>
    <row r="33" spans="1:8" ht="18.75" x14ac:dyDescent="0.4">
      <c r="A33" s="125"/>
      <c r="B33" s="126"/>
      <c r="C33" s="133" t="s">
        <v>20</v>
      </c>
      <c r="D33" s="134"/>
      <c r="E33" s="9">
        <v>70000</v>
      </c>
      <c r="F33" s="178"/>
      <c r="G33" s="179"/>
      <c r="H33" s="180"/>
    </row>
    <row r="34" spans="1:8" ht="23.25" thickBot="1" x14ac:dyDescent="0.5">
      <c r="A34" s="127"/>
      <c r="B34" s="128"/>
      <c r="C34" s="135" t="s">
        <v>21</v>
      </c>
      <c r="D34" s="135"/>
      <c r="E34" s="10">
        <f>E32+E33</f>
        <v>121200</v>
      </c>
      <c r="F34" s="181"/>
      <c r="G34" s="182"/>
      <c r="H34" s="183"/>
    </row>
  </sheetData>
  <mergeCells count="32">
    <mergeCell ref="A1:H1"/>
    <mergeCell ref="A2:H2"/>
    <mergeCell ref="A4:H4"/>
    <mergeCell ref="A5:H5"/>
    <mergeCell ref="A6:A7"/>
    <mergeCell ref="B6:D6"/>
    <mergeCell ref="E6:F6"/>
    <mergeCell ref="G6:H6"/>
    <mergeCell ref="A3:H3"/>
    <mergeCell ref="A13:B16"/>
    <mergeCell ref="C13:D13"/>
    <mergeCell ref="F13:G13"/>
    <mergeCell ref="C14:D14"/>
    <mergeCell ref="F14:H14"/>
    <mergeCell ref="C15:D15"/>
    <mergeCell ref="F15:H15"/>
    <mergeCell ref="C16:D16"/>
    <mergeCell ref="F16:H16"/>
    <mergeCell ref="F31:H34"/>
    <mergeCell ref="A24:A25"/>
    <mergeCell ref="B24:D24"/>
    <mergeCell ref="E24:F24"/>
    <mergeCell ref="A20:H20"/>
    <mergeCell ref="A21:H21"/>
    <mergeCell ref="A22:H22"/>
    <mergeCell ref="A23:H23"/>
    <mergeCell ref="G24:H24"/>
    <mergeCell ref="A31:B34"/>
    <mergeCell ref="C31:D31"/>
    <mergeCell ref="C32:D32"/>
    <mergeCell ref="C33:D33"/>
    <mergeCell ref="C34:D3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E14C-7A3E-4236-8AA8-9AB9B116DE4D}">
  <dimension ref="A1:H15"/>
  <sheetViews>
    <sheetView workbookViewId="0">
      <selection activeCell="D14" sqref="D14"/>
    </sheetView>
  </sheetViews>
  <sheetFormatPr baseColWidth="10" defaultRowHeight="15" x14ac:dyDescent="0.25"/>
  <cols>
    <col min="1" max="1" width="31" customWidth="1"/>
    <col min="2" max="2" width="13" bestFit="1" customWidth="1"/>
    <col min="5" max="5" width="14.42578125" bestFit="1" customWidth="1"/>
  </cols>
  <sheetData>
    <row r="1" spans="1:8" x14ac:dyDescent="0.25">
      <c r="A1" s="215" t="s">
        <v>95</v>
      </c>
      <c r="B1" s="215"/>
      <c r="C1" s="215"/>
      <c r="D1" s="215"/>
      <c r="E1" s="215"/>
      <c r="F1" s="215"/>
      <c r="G1" s="215"/>
      <c r="H1" s="215"/>
    </row>
    <row r="2" spans="1:8" x14ac:dyDescent="0.25">
      <c r="A2" s="216" t="s">
        <v>160</v>
      </c>
      <c r="B2" s="216"/>
      <c r="C2" s="216"/>
      <c r="D2" s="216"/>
      <c r="E2" s="216"/>
      <c r="F2" s="216"/>
      <c r="G2" s="216"/>
      <c r="H2" s="216"/>
    </row>
    <row r="3" spans="1:8" x14ac:dyDescent="0.25">
      <c r="A3" s="216" t="s">
        <v>161</v>
      </c>
      <c r="B3" s="216"/>
      <c r="C3" s="216"/>
      <c r="D3" s="216"/>
      <c r="E3" s="216"/>
      <c r="F3" s="216"/>
      <c r="G3" s="216"/>
      <c r="H3" s="216"/>
    </row>
    <row r="4" spans="1:8" x14ac:dyDescent="0.25">
      <c r="A4" s="217" t="s">
        <v>4</v>
      </c>
      <c r="B4" s="218" t="s">
        <v>5</v>
      </c>
      <c r="C4" s="218"/>
      <c r="D4" s="218"/>
      <c r="E4" s="218" t="s">
        <v>6</v>
      </c>
      <c r="F4" s="218"/>
      <c r="G4" s="218" t="s">
        <v>44</v>
      </c>
      <c r="H4" s="218"/>
    </row>
    <row r="5" spans="1:8" ht="30" x14ac:dyDescent="0.25">
      <c r="A5" s="217"/>
      <c r="B5" s="48" t="s">
        <v>7</v>
      </c>
      <c r="C5" s="48" t="s">
        <v>8</v>
      </c>
      <c r="D5" s="48" t="s">
        <v>9</v>
      </c>
      <c r="E5" s="81" t="s">
        <v>78</v>
      </c>
      <c r="F5" s="81" t="s">
        <v>79</v>
      </c>
      <c r="G5" s="81" t="s">
        <v>80</v>
      </c>
      <c r="H5" s="81" t="s">
        <v>81</v>
      </c>
    </row>
    <row r="6" spans="1:8" x14ac:dyDescent="0.25">
      <c r="A6" s="82" t="s">
        <v>155</v>
      </c>
      <c r="B6" s="48">
        <v>5</v>
      </c>
      <c r="C6" s="14">
        <v>6</v>
      </c>
      <c r="D6" s="83">
        <v>1500</v>
      </c>
      <c r="E6" s="83">
        <f>C6*D6</f>
        <v>9000</v>
      </c>
      <c r="F6" s="83">
        <f>B6*E6</f>
        <v>45000</v>
      </c>
      <c r="G6" s="84">
        <v>40</v>
      </c>
      <c r="H6" s="14">
        <f>+G6*C6</f>
        <v>240</v>
      </c>
    </row>
    <row r="7" spans="1:8" x14ac:dyDescent="0.25">
      <c r="A7" s="85" t="s">
        <v>82</v>
      </c>
      <c r="B7" s="48">
        <v>5</v>
      </c>
      <c r="C7" s="48">
        <v>4</v>
      </c>
      <c r="D7" s="86">
        <v>500</v>
      </c>
      <c r="E7" s="5">
        <f t="shared" ref="E7:E8" si="0">C7*D7</f>
        <v>2000</v>
      </c>
      <c r="F7" s="5">
        <f>B7*E7</f>
        <v>10000</v>
      </c>
      <c r="G7" s="87">
        <v>19</v>
      </c>
      <c r="H7" s="14">
        <f t="shared" ref="H7" si="1">+G7*C7</f>
        <v>76</v>
      </c>
    </row>
    <row r="8" spans="1:8" x14ac:dyDescent="0.25">
      <c r="A8" s="85" t="s">
        <v>156</v>
      </c>
      <c r="B8" s="48">
        <v>5</v>
      </c>
      <c r="C8" s="48">
        <v>4</v>
      </c>
      <c r="D8" s="86">
        <v>750</v>
      </c>
      <c r="E8" s="5">
        <f t="shared" si="0"/>
        <v>3000</v>
      </c>
      <c r="F8" s="5">
        <f>B8*E8</f>
        <v>15000</v>
      </c>
      <c r="G8" s="87">
        <v>1</v>
      </c>
      <c r="H8" s="14">
        <f>+G8*C8</f>
        <v>4</v>
      </c>
    </row>
    <row r="9" spans="1:8" ht="18.75" x14ac:dyDescent="0.4">
      <c r="A9" s="219" t="s">
        <v>162</v>
      </c>
      <c r="B9" s="219"/>
      <c r="C9" s="220" t="s">
        <v>18</v>
      </c>
      <c r="D9" s="221"/>
      <c r="E9" s="88">
        <f>SUM(E6:E8)</f>
        <v>14000</v>
      </c>
      <c r="F9" s="218" t="s">
        <v>49</v>
      </c>
      <c r="G9" s="218"/>
      <c r="H9" s="89">
        <f>SUM(H6:H8)</f>
        <v>320</v>
      </c>
    </row>
    <row r="10" spans="1:8" ht="18.75" x14ac:dyDescent="0.4">
      <c r="A10" s="219"/>
      <c r="B10" s="219"/>
      <c r="C10" s="220" t="s">
        <v>157</v>
      </c>
      <c r="D10" s="221"/>
      <c r="E10" s="88">
        <f>SUM(F6:F8)</f>
        <v>70000</v>
      </c>
      <c r="F10" s="48"/>
      <c r="G10" s="48"/>
      <c r="H10" s="89"/>
    </row>
    <row r="11" spans="1:8" ht="18.75" x14ac:dyDescent="0.4">
      <c r="A11" s="219"/>
      <c r="B11" s="219"/>
      <c r="C11" s="220" t="s">
        <v>50</v>
      </c>
      <c r="D11" s="221"/>
      <c r="E11" s="88">
        <v>20000</v>
      </c>
      <c r="F11" s="48"/>
      <c r="G11" s="48"/>
      <c r="H11" s="89"/>
    </row>
    <row r="12" spans="1:8" ht="18.75" x14ac:dyDescent="0.4">
      <c r="A12" s="219"/>
      <c r="B12" s="219"/>
      <c r="C12" s="217" t="s">
        <v>90</v>
      </c>
      <c r="D12" s="217"/>
      <c r="E12" s="88">
        <f>E10+E11</f>
        <v>90000</v>
      </c>
      <c r="F12" s="218"/>
      <c r="G12" s="218"/>
      <c r="H12" s="218"/>
    </row>
    <row r="13" spans="1:8" x14ac:dyDescent="0.25">
      <c r="A13" s="53" t="s">
        <v>177</v>
      </c>
      <c r="B13" s="90">
        <v>300000</v>
      </c>
      <c r="C13" s="53"/>
      <c r="D13" s="53"/>
      <c r="E13" s="53"/>
      <c r="F13" s="53"/>
      <c r="G13" s="53"/>
      <c r="H13" s="53"/>
    </row>
    <row r="14" spans="1:8" x14ac:dyDescent="0.25">
      <c r="A14" s="53" t="s">
        <v>158</v>
      </c>
      <c r="B14" s="53"/>
      <c r="C14" s="53"/>
      <c r="D14" s="53"/>
      <c r="E14" s="53"/>
      <c r="F14" s="53"/>
      <c r="G14" s="53"/>
      <c r="H14" s="53"/>
    </row>
    <row r="15" spans="1:8" x14ac:dyDescent="0.25">
      <c r="A15" s="53" t="s">
        <v>159</v>
      </c>
      <c r="B15" s="53"/>
      <c r="C15" s="53"/>
      <c r="D15" s="53"/>
      <c r="E15" s="53"/>
      <c r="F15" s="53"/>
      <c r="G15" s="53"/>
      <c r="H15" s="53"/>
    </row>
  </sheetData>
  <mergeCells count="14">
    <mergeCell ref="A9:B12"/>
    <mergeCell ref="C9:D9"/>
    <mergeCell ref="F9:G9"/>
    <mergeCell ref="C10:D10"/>
    <mergeCell ref="C11:D11"/>
    <mergeCell ref="C12:D12"/>
    <mergeCell ref="F12:H12"/>
    <mergeCell ref="A1:H1"/>
    <mergeCell ref="A2:H2"/>
    <mergeCell ref="A3:H3"/>
    <mergeCell ref="A4:A5"/>
    <mergeCell ref="B4:D4"/>
    <mergeCell ref="E4:F4"/>
    <mergeCell ref="G4:H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3BA7F-6CA8-4A66-A41A-AEEB50585677}">
  <dimension ref="A1:H16"/>
  <sheetViews>
    <sheetView workbookViewId="0">
      <selection activeCell="A20" sqref="A20"/>
    </sheetView>
  </sheetViews>
  <sheetFormatPr baseColWidth="10" defaultRowHeight="15" x14ac:dyDescent="0.25"/>
  <cols>
    <col min="1" max="1" width="36.140625" bestFit="1" customWidth="1"/>
    <col min="5" max="5" width="16.42578125" customWidth="1"/>
  </cols>
  <sheetData>
    <row r="1" spans="1:8" x14ac:dyDescent="0.25">
      <c r="A1" s="214" t="s">
        <v>95</v>
      </c>
      <c r="B1" s="214"/>
      <c r="C1" s="214"/>
      <c r="D1" s="214"/>
      <c r="E1" s="214"/>
      <c r="F1" s="214"/>
      <c r="G1" s="214"/>
      <c r="H1" s="214"/>
    </row>
    <row r="2" spans="1:8" x14ac:dyDescent="0.25">
      <c r="A2" s="146" t="s">
        <v>179</v>
      </c>
      <c r="B2" s="146"/>
      <c r="C2" s="146"/>
      <c r="D2" s="146"/>
      <c r="E2" s="146"/>
      <c r="F2" s="146"/>
      <c r="G2" s="146"/>
      <c r="H2" s="146"/>
    </row>
    <row r="3" spans="1:8" x14ac:dyDescent="0.25">
      <c r="A3" s="146" t="s">
        <v>180</v>
      </c>
      <c r="B3" s="146"/>
      <c r="C3" s="146"/>
      <c r="D3" s="146"/>
      <c r="E3" s="146"/>
      <c r="F3" s="146"/>
      <c r="G3" s="146"/>
      <c r="H3" s="146"/>
    </row>
    <row r="4" spans="1:8" x14ac:dyDescent="0.25">
      <c r="A4" s="129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49"/>
    </row>
    <row r="5" spans="1:8" ht="30" x14ac:dyDescent="0.25">
      <c r="A5" s="129"/>
      <c r="B5" s="1" t="s">
        <v>7</v>
      </c>
      <c r="C5" s="1" t="s">
        <v>8</v>
      </c>
      <c r="D5" s="1" t="s">
        <v>9</v>
      </c>
      <c r="E5" s="21" t="s">
        <v>78</v>
      </c>
      <c r="F5" s="21" t="s">
        <v>79</v>
      </c>
      <c r="G5" s="21" t="s">
        <v>80</v>
      </c>
      <c r="H5" s="21" t="s">
        <v>81</v>
      </c>
    </row>
    <row r="6" spans="1:8" x14ac:dyDescent="0.25">
      <c r="A6" s="30" t="s">
        <v>155</v>
      </c>
      <c r="B6" s="1">
        <v>5</v>
      </c>
      <c r="C6" s="14">
        <v>5</v>
      </c>
      <c r="D6" s="23">
        <v>1200</v>
      </c>
      <c r="E6" s="23">
        <f>C6*D6</f>
        <v>6000</v>
      </c>
      <c r="F6" s="23">
        <f>B6*E6</f>
        <v>30000</v>
      </c>
      <c r="G6" s="15">
        <v>40</v>
      </c>
      <c r="H6" s="4">
        <f>+G6*C6</f>
        <v>200</v>
      </c>
    </row>
    <row r="7" spans="1:8" x14ac:dyDescent="0.25">
      <c r="A7" s="22" t="s">
        <v>82</v>
      </c>
      <c r="B7" s="1">
        <v>5</v>
      </c>
      <c r="C7" s="1">
        <v>5</v>
      </c>
      <c r="D7" s="24">
        <v>500</v>
      </c>
      <c r="E7" s="6">
        <f t="shared" ref="E7:E8" si="0">C7*D7</f>
        <v>2500</v>
      </c>
      <c r="F7" s="25">
        <f>B7*E7</f>
        <v>12500</v>
      </c>
      <c r="G7" s="26">
        <v>19</v>
      </c>
      <c r="H7" s="4">
        <f t="shared" ref="H7" si="1">+G7*C7</f>
        <v>95</v>
      </c>
    </row>
    <row r="8" spans="1:8" x14ac:dyDescent="0.25">
      <c r="A8" s="22" t="s">
        <v>156</v>
      </c>
      <c r="B8" s="1">
        <v>5</v>
      </c>
      <c r="C8" s="1">
        <v>4</v>
      </c>
      <c r="D8" s="27">
        <v>750</v>
      </c>
      <c r="E8" s="6">
        <f t="shared" si="0"/>
        <v>3000</v>
      </c>
      <c r="F8" s="6">
        <f>B8*E8</f>
        <v>15000</v>
      </c>
      <c r="G8" s="26">
        <v>1</v>
      </c>
      <c r="H8" s="4">
        <f>+G8*C8</f>
        <v>4</v>
      </c>
    </row>
    <row r="9" spans="1:8" ht="18.75" x14ac:dyDescent="0.4">
      <c r="A9" s="213" t="s">
        <v>67</v>
      </c>
      <c r="B9" s="213"/>
      <c r="C9" s="133" t="s">
        <v>18</v>
      </c>
      <c r="D9" s="134"/>
      <c r="E9" s="16">
        <f>SUM(E6:E8)</f>
        <v>11500</v>
      </c>
      <c r="F9" s="149" t="s">
        <v>49</v>
      </c>
      <c r="G9" s="149"/>
      <c r="H9" s="28">
        <f>SUM(H6:H8)</f>
        <v>299</v>
      </c>
    </row>
    <row r="10" spans="1:8" ht="18.75" x14ac:dyDescent="0.4">
      <c r="A10" s="213"/>
      <c r="B10" s="213"/>
      <c r="C10" s="133" t="s">
        <v>157</v>
      </c>
      <c r="D10" s="134"/>
      <c r="E10" s="16">
        <f>SUM(F6:F8)</f>
        <v>57500</v>
      </c>
      <c r="F10" s="1"/>
      <c r="G10" s="1"/>
      <c r="H10" s="28"/>
    </row>
    <row r="11" spans="1:8" ht="18.75" x14ac:dyDescent="0.4">
      <c r="A11" s="213"/>
      <c r="B11" s="213"/>
      <c r="C11" s="133" t="s">
        <v>50</v>
      </c>
      <c r="D11" s="134"/>
      <c r="E11" s="16">
        <v>60000</v>
      </c>
      <c r="F11" s="1"/>
      <c r="G11" s="1"/>
      <c r="H11" s="28"/>
    </row>
    <row r="12" spans="1:8" ht="18.75" x14ac:dyDescent="0.4">
      <c r="A12" s="213"/>
      <c r="B12" s="213"/>
      <c r="C12" s="129" t="s">
        <v>90</v>
      </c>
      <c r="D12" s="129"/>
      <c r="E12" s="29">
        <f>E10+E11</f>
        <v>117500</v>
      </c>
      <c r="F12" s="149"/>
      <c r="G12" s="149"/>
      <c r="H12" s="149"/>
    </row>
    <row r="13" spans="1:8" x14ac:dyDescent="0.25">
      <c r="A13" t="s">
        <v>94</v>
      </c>
      <c r="B13" s="56">
        <v>400000</v>
      </c>
    </row>
    <row r="14" spans="1:8" x14ac:dyDescent="0.25">
      <c r="A14" t="s">
        <v>158</v>
      </c>
    </row>
    <row r="15" spans="1:8" x14ac:dyDescent="0.25">
      <c r="A15" t="s">
        <v>91</v>
      </c>
    </row>
    <row r="16" spans="1:8" x14ac:dyDescent="0.25">
      <c r="A16" t="s">
        <v>181</v>
      </c>
    </row>
  </sheetData>
  <mergeCells count="14">
    <mergeCell ref="A9:B12"/>
    <mergeCell ref="C9:D9"/>
    <mergeCell ref="F9:G9"/>
    <mergeCell ref="C10:D10"/>
    <mergeCell ref="C11:D11"/>
    <mergeCell ref="C12:D12"/>
    <mergeCell ref="F12:H12"/>
    <mergeCell ref="A1:H1"/>
    <mergeCell ref="A2:H2"/>
    <mergeCell ref="A3:H3"/>
    <mergeCell ref="A4:A5"/>
    <mergeCell ref="B4:D4"/>
    <mergeCell ref="E4:F4"/>
    <mergeCell ref="G4:H4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6E0B-4A6D-4CD5-8A9A-19842599BEDE}">
  <dimension ref="A1:H20"/>
  <sheetViews>
    <sheetView workbookViewId="0">
      <selection sqref="A1:H15"/>
    </sheetView>
  </sheetViews>
  <sheetFormatPr baseColWidth="10" defaultRowHeight="15" x14ac:dyDescent="0.25"/>
  <cols>
    <col min="1" max="1" width="25.42578125" bestFit="1" customWidth="1"/>
    <col min="2" max="2" width="13" bestFit="1" customWidth="1"/>
    <col min="5" max="5" width="14.42578125" bestFit="1" customWidth="1"/>
  </cols>
  <sheetData>
    <row r="1" spans="1:8" x14ac:dyDescent="0.25">
      <c r="A1" s="136" t="s">
        <v>42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186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184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3" t="s">
        <v>47</v>
      </c>
      <c r="B6" s="1">
        <v>12</v>
      </c>
      <c r="C6" s="14">
        <v>45</v>
      </c>
      <c r="D6" s="6">
        <v>180</v>
      </c>
      <c r="E6" s="6">
        <f t="shared" ref="E6:E11" si="0">C6*D6</f>
        <v>8100</v>
      </c>
      <c r="F6" s="6">
        <f>B6*E6</f>
        <v>97200</v>
      </c>
      <c r="G6" s="15">
        <v>25</v>
      </c>
      <c r="H6" s="12">
        <f>G6*C6</f>
        <v>1125</v>
      </c>
    </row>
    <row r="7" spans="1:8" x14ac:dyDescent="0.25">
      <c r="A7" s="63" t="s">
        <v>188</v>
      </c>
      <c r="B7" s="1">
        <v>12</v>
      </c>
      <c r="C7" s="14">
        <v>17</v>
      </c>
      <c r="D7" s="6">
        <v>130</v>
      </c>
      <c r="E7" s="6">
        <f t="shared" si="0"/>
        <v>2210</v>
      </c>
      <c r="F7" s="6">
        <f t="shared" ref="F7:F11" si="1">B7*E7</f>
        <v>26520</v>
      </c>
      <c r="G7" s="15">
        <v>16</v>
      </c>
      <c r="H7" s="12">
        <f t="shared" ref="H7:H11" si="2">G7*C7</f>
        <v>272</v>
      </c>
    </row>
    <row r="8" spans="1:8" x14ac:dyDescent="0.25">
      <c r="A8" s="3" t="s">
        <v>48</v>
      </c>
      <c r="B8" s="1">
        <v>12</v>
      </c>
      <c r="C8" s="4">
        <v>12</v>
      </c>
      <c r="D8" s="6">
        <v>120</v>
      </c>
      <c r="E8" s="6">
        <f t="shared" si="0"/>
        <v>1440</v>
      </c>
      <c r="F8" s="6">
        <f t="shared" si="1"/>
        <v>17280</v>
      </c>
      <c r="G8" s="15">
        <v>29</v>
      </c>
      <c r="H8" s="12">
        <f t="shared" si="2"/>
        <v>348</v>
      </c>
    </row>
    <row r="9" spans="1:8" x14ac:dyDescent="0.25">
      <c r="A9" s="3" t="s">
        <v>182</v>
      </c>
      <c r="B9" s="1">
        <v>12</v>
      </c>
      <c r="C9" s="4">
        <v>19</v>
      </c>
      <c r="D9" s="6">
        <v>120</v>
      </c>
      <c r="E9" s="6">
        <f t="shared" si="0"/>
        <v>2280</v>
      </c>
      <c r="F9" s="6">
        <f t="shared" si="1"/>
        <v>27360</v>
      </c>
      <c r="G9" s="15">
        <v>16</v>
      </c>
      <c r="H9" s="12">
        <f t="shared" si="2"/>
        <v>304</v>
      </c>
    </row>
    <row r="10" spans="1:8" x14ac:dyDescent="0.25">
      <c r="A10" s="3" t="s">
        <v>183</v>
      </c>
      <c r="B10" s="1">
        <v>12</v>
      </c>
      <c r="C10" s="4">
        <v>2</v>
      </c>
      <c r="D10" s="6">
        <v>120</v>
      </c>
      <c r="E10" s="6">
        <f t="shared" si="0"/>
        <v>240</v>
      </c>
      <c r="F10" s="6">
        <f t="shared" si="1"/>
        <v>2880</v>
      </c>
      <c r="G10" s="15">
        <v>10</v>
      </c>
      <c r="H10" s="12">
        <f t="shared" si="2"/>
        <v>20</v>
      </c>
    </row>
    <row r="11" spans="1:8" x14ac:dyDescent="0.25">
      <c r="A11" s="3" t="s">
        <v>32</v>
      </c>
      <c r="B11" s="1">
        <v>12</v>
      </c>
      <c r="C11" s="4">
        <v>50</v>
      </c>
      <c r="D11" s="6">
        <v>120</v>
      </c>
      <c r="E11" s="6">
        <f t="shared" si="0"/>
        <v>6000</v>
      </c>
      <c r="F11" s="6">
        <f t="shared" si="1"/>
        <v>72000</v>
      </c>
      <c r="G11" s="15">
        <v>13.5</v>
      </c>
      <c r="H11" s="12">
        <f t="shared" si="2"/>
        <v>675</v>
      </c>
    </row>
    <row r="12" spans="1:8" ht="18.75" x14ac:dyDescent="0.4">
      <c r="A12" s="152" t="s">
        <v>187</v>
      </c>
      <c r="B12" s="153"/>
      <c r="C12" s="129" t="s">
        <v>18</v>
      </c>
      <c r="D12" s="129"/>
      <c r="E12" s="16">
        <f>SUM(E6:E11)</f>
        <v>20270</v>
      </c>
      <c r="F12" s="149" t="s">
        <v>49</v>
      </c>
      <c r="G12" s="149"/>
      <c r="H12" s="17">
        <f>SUM(H6:H11)</f>
        <v>2744</v>
      </c>
    </row>
    <row r="13" spans="1:8" ht="19.5" thickBot="1" x14ac:dyDescent="0.45">
      <c r="A13" s="154"/>
      <c r="B13" s="155"/>
      <c r="C13" s="135" t="s">
        <v>19</v>
      </c>
      <c r="D13" s="135"/>
      <c r="E13" s="18">
        <f>SUM(F6:F11)</f>
        <v>243240</v>
      </c>
      <c r="F13" s="158"/>
      <c r="G13" s="159"/>
      <c r="H13" s="160"/>
    </row>
    <row r="14" spans="1:8" ht="19.5" thickBot="1" x14ac:dyDescent="0.45">
      <c r="A14" s="154"/>
      <c r="B14" s="155"/>
      <c r="C14" s="161" t="s">
        <v>50</v>
      </c>
      <c r="D14" s="162"/>
      <c r="E14" s="18">
        <v>80000</v>
      </c>
      <c r="F14" s="163" t="s">
        <v>118</v>
      </c>
      <c r="G14" s="164"/>
      <c r="H14" s="165"/>
    </row>
    <row r="15" spans="1:8" ht="19.5" thickBot="1" x14ac:dyDescent="0.45">
      <c r="A15" s="156"/>
      <c r="B15" s="157"/>
      <c r="C15" s="135" t="s">
        <v>52</v>
      </c>
      <c r="D15" s="135"/>
      <c r="E15" s="18">
        <f>E13+E14</f>
        <v>323240</v>
      </c>
      <c r="F15" s="166"/>
      <c r="G15" s="166"/>
      <c r="H15" s="167"/>
    </row>
    <row r="16" spans="1:8" x14ac:dyDescent="0.25">
      <c r="A16" t="s">
        <v>94</v>
      </c>
      <c r="B16" s="62">
        <v>700000</v>
      </c>
    </row>
    <row r="17" spans="1:1" x14ac:dyDescent="0.25">
      <c r="A17" t="s">
        <v>185</v>
      </c>
    </row>
    <row r="18" spans="1:1" x14ac:dyDescent="0.25">
      <c r="A18" t="s">
        <v>73</v>
      </c>
    </row>
    <row r="19" spans="1:1" x14ac:dyDescent="0.25">
      <c r="A19" t="s">
        <v>37</v>
      </c>
    </row>
    <row r="20" spans="1:1" x14ac:dyDescent="0.25">
      <c r="A20" t="s">
        <v>189</v>
      </c>
    </row>
  </sheetData>
  <mergeCells count="16">
    <mergeCell ref="A1:H1"/>
    <mergeCell ref="A2:H2"/>
    <mergeCell ref="A3:H3"/>
    <mergeCell ref="A4:A5"/>
    <mergeCell ref="B4:D4"/>
    <mergeCell ref="E4:F4"/>
    <mergeCell ref="G4:H4"/>
    <mergeCell ref="A12:B15"/>
    <mergeCell ref="C12:D12"/>
    <mergeCell ref="F12:G12"/>
    <mergeCell ref="C13:D13"/>
    <mergeCell ref="F13:H13"/>
    <mergeCell ref="C14:D14"/>
    <mergeCell ref="F14:H14"/>
    <mergeCell ref="C15:D15"/>
    <mergeCell ref="F15:H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EF8A-C954-469E-BFF8-AFE718710896}">
  <dimension ref="A1:H15"/>
  <sheetViews>
    <sheetView workbookViewId="0">
      <selection activeCell="C13" sqref="C13:D13"/>
    </sheetView>
  </sheetViews>
  <sheetFormatPr baseColWidth="10" defaultRowHeight="15" x14ac:dyDescent="0.25"/>
  <cols>
    <col min="1" max="1" width="19.42578125" bestFit="1" customWidth="1"/>
    <col min="5" max="5" width="23.7109375" customWidth="1"/>
    <col min="6" max="6" width="18" customWidth="1"/>
  </cols>
  <sheetData>
    <row r="1" spans="1:8" ht="82.5" customHeight="1" x14ac:dyDescent="0.25">
      <c r="A1" s="136" t="s">
        <v>64</v>
      </c>
      <c r="B1" s="137"/>
      <c r="C1" s="137"/>
      <c r="D1" s="137"/>
      <c r="E1" s="137"/>
      <c r="F1" s="138"/>
    </row>
    <row r="2" spans="1:8" ht="18" x14ac:dyDescent="0.25">
      <c r="A2" s="139" t="s">
        <v>62</v>
      </c>
      <c r="B2" s="140"/>
      <c r="C2" s="140"/>
      <c r="D2" s="140"/>
      <c r="E2" s="140"/>
      <c r="F2" s="141"/>
    </row>
    <row r="3" spans="1:8" ht="18" x14ac:dyDescent="0.25">
      <c r="A3" s="142" t="s">
        <v>65</v>
      </c>
      <c r="B3" s="143"/>
      <c r="C3" s="143"/>
      <c r="D3" s="143"/>
      <c r="E3" s="143"/>
      <c r="F3" s="144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</row>
    <row r="6" spans="1:8" x14ac:dyDescent="0.25">
      <c r="A6" s="3" t="s">
        <v>29</v>
      </c>
      <c r="B6" s="4">
        <v>30</v>
      </c>
      <c r="C6" s="4">
        <v>80</v>
      </c>
      <c r="D6" s="5">
        <v>320</v>
      </c>
      <c r="E6" s="6">
        <f>C6*D6</f>
        <v>25600</v>
      </c>
      <c r="F6" s="7">
        <f>B6*E6</f>
        <v>768000</v>
      </c>
      <c r="G6">
        <v>26</v>
      </c>
      <c r="H6">
        <f>C6*G6</f>
        <v>2080</v>
      </c>
    </row>
    <row r="7" spans="1:8" x14ac:dyDescent="0.25">
      <c r="A7" s="3" t="s">
        <v>30</v>
      </c>
      <c r="B7" s="4">
        <v>30</v>
      </c>
      <c r="C7" s="4">
        <v>14</v>
      </c>
      <c r="D7" s="5">
        <v>120</v>
      </c>
      <c r="E7" s="6">
        <f t="shared" ref="E7:E11" si="0">C7*D7</f>
        <v>1680</v>
      </c>
      <c r="F7" s="7">
        <f t="shared" ref="F7:F11" si="1">B7*E7</f>
        <v>50400</v>
      </c>
      <c r="G7">
        <v>29</v>
      </c>
      <c r="H7">
        <f t="shared" ref="H7:H11" si="2">C7*G7</f>
        <v>406</v>
      </c>
    </row>
    <row r="8" spans="1:8" x14ac:dyDescent="0.25">
      <c r="A8" s="3" t="s">
        <v>165</v>
      </c>
      <c r="B8" s="4">
        <v>30</v>
      </c>
      <c r="C8" s="4">
        <v>12</v>
      </c>
      <c r="D8" s="5">
        <v>480</v>
      </c>
      <c r="E8" s="6">
        <f t="shared" si="0"/>
        <v>5760</v>
      </c>
      <c r="F8" s="7">
        <f t="shared" si="1"/>
        <v>172800</v>
      </c>
    </row>
    <row r="9" spans="1:8" x14ac:dyDescent="0.25">
      <c r="A9" s="3" t="s">
        <v>59</v>
      </c>
      <c r="B9" s="4">
        <v>30</v>
      </c>
      <c r="C9" s="4">
        <v>84</v>
      </c>
      <c r="D9" s="5">
        <v>100</v>
      </c>
      <c r="E9" s="6">
        <f t="shared" si="0"/>
        <v>8400</v>
      </c>
      <c r="F9" s="7">
        <f t="shared" si="1"/>
        <v>252000</v>
      </c>
      <c r="G9">
        <v>0.2</v>
      </c>
      <c r="H9">
        <f t="shared" si="2"/>
        <v>16.8</v>
      </c>
    </row>
    <row r="10" spans="1:8" x14ac:dyDescent="0.25">
      <c r="A10" s="3" t="s">
        <v>58</v>
      </c>
      <c r="B10" s="4">
        <v>30</v>
      </c>
      <c r="C10" s="4">
        <v>28</v>
      </c>
      <c r="D10" s="5">
        <v>300</v>
      </c>
      <c r="E10" s="6">
        <f t="shared" si="0"/>
        <v>8400</v>
      </c>
      <c r="F10" s="7">
        <f t="shared" si="1"/>
        <v>252000</v>
      </c>
      <c r="G10">
        <v>30</v>
      </c>
      <c r="H10">
        <f t="shared" si="2"/>
        <v>840</v>
      </c>
    </row>
    <row r="11" spans="1:8" x14ac:dyDescent="0.25">
      <c r="A11" s="3" t="s">
        <v>16</v>
      </c>
      <c r="B11" s="4">
        <v>30</v>
      </c>
      <c r="C11" s="4">
        <v>800</v>
      </c>
      <c r="D11" s="5">
        <v>18</v>
      </c>
      <c r="E11" s="6">
        <f t="shared" si="0"/>
        <v>14400</v>
      </c>
      <c r="F11" s="7">
        <f t="shared" si="1"/>
        <v>432000</v>
      </c>
      <c r="G11">
        <v>0.1</v>
      </c>
      <c r="H11">
        <f t="shared" si="2"/>
        <v>80</v>
      </c>
    </row>
    <row r="12" spans="1:8" ht="18.75" x14ac:dyDescent="0.4">
      <c r="A12" s="123" t="s">
        <v>60</v>
      </c>
      <c r="B12" s="124"/>
      <c r="C12" s="222" t="s">
        <v>61</v>
      </c>
      <c r="D12" s="222"/>
      <c r="E12" s="8">
        <f>SUM(E6:E11)*1.19</f>
        <v>76445.599999999991</v>
      </c>
      <c r="F12" s="130"/>
      <c r="H12">
        <f>SUM(H6:H11)</f>
        <v>3422.8</v>
      </c>
    </row>
    <row r="13" spans="1:8" ht="18.75" x14ac:dyDescent="0.4">
      <c r="A13" s="123"/>
      <c r="B13" s="124"/>
      <c r="C13" s="129" t="s">
        <v>63</v>
      </c>
      <c r="D13" s="129"/>
      <c r="E13" s="8">
        <f>SUM(F6:F11)*1.19</f>
        <v>2293368</v>
      </c>
      <c r="F13" s="130"/>
    </row>
    <row r="14" spans="1:8" ht="18.75" x14ac:dyDescent="0.4">
      <c r="A14" s="125"/>
      <c r="B14" s="126"/>
      <c r="C14" s="133" t="s">
        <v>20</v>
      </c>
      <c r="D14" s="134"/>
      <c r="E14" s="9">
        <v>200000</v>
      </c>
      <c r="F14" s="131"/>
    </row>
    <row r="15" spans="1:8" ht="23.25" thickBot="1" x14ac:dyDescent="0.5">
      <c r="A15" s="127"/>
      <c r="B15" s="128"/>
      <c r="C15" s="135" t="s">
        <v>21</v>
      </c>
      <c r="D15" s="135"/>
      <c r="E15" s="10">
        <f>E13+E14</f>
        <v>2493368</v>
      </c>
      <c r="F15" s="132"/>
    </row>
  </sheetData>
  <mergeCells count="12">
    <mergeCell ref="A12:B15"/>
    <mergeCell ref="C12:D12"/>
    <mergeCell ref="F12:F15"/>
    <mergeCell ref="C13:D13"/>
    <mergeCell ref="C14:D14"/>
    <mergeCell ref="C15:D15"/>
    <mergeCell ref="A1:F1"/>
    <mergeCell ref="A2:F2"/>
    <mergeCell ref="A3:F3"/>
    <mergeCell ref="A4:A5"/>
    <mergeCell ref="B4:D4"/>
    <mergeCell ref="E4:F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D253B-B7B4-4C04-8B4E-A7E0316FAB4C}">
  <dimension ref="A1:H16"/>
  <sheetViews>
    <sheetView workbookViewId="0">
      <selection sqref="A1:H13"/>
    </sheetView>
  </sheetViews>
  <sheetFormatPr baseColWidth="10" defaultRowHeight="15" x14ac:dyDescent="0.25"/>
  <cols>
    <col min="1" max="1" width="25" customWidth="1"/>
    <col min="5" max="5" width="15" customWidth="1"/>
  </cols>
  <sheetData>
    <row r="1" spans="1:8" ht="15" customHeight="1" x14ac:dyDescent="0.25">
      <c r="A1" s="226" t="s">
        <v>147</v>
      </c>
      <c r="B1" s="227"/>
      <c r="C1" s="227"/>
      <c r="D1" s="227"/>
      <c r="E1" s="227"/>
      <c r="F1" s="227"/>
      <c r="G1" s="227"/>
      <c r="H1" s="228"/>
    </row>
    <row r="2" spans="1:8" x14ac:dyDescent="0.25">
      <c r="A2" s="145" t="s">
        <v>146</v>
      </c>
      <c r="B2" s="146"/>
      <c r="C2" s="146"/>
      <c r="D2" s="146"/>
      <c r="E2" s="146"/>
      <c r="F2" s="146"/>
      <c r="G2" s="146"/>
      <c r="H2" s="147"/>
    </row>
    <row r="3" spans="1:8" x14ac:dyDescent="0.25">
      <c r="A3" s="145" t="s">
        <v>136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ht="30" x14ac:dyDescent="0.25">
      <c r="A5" s="148"/>
      <c r="B5" s="1" t="s">
        <v>7</v>
      </c>
      <c r="C5" s="1" t="s">
        <v>8</v>
      </c>
      <c r="D5" s="1" t="s">
        <v>9</v>
      </c>
      <c r="E5" s="21" t="s">
        <v>78</v>
      </c>
      <c r="F5" s="21" t="s">
        <v>79</v>
      </c>
      <c r="G5" s="21" t="s">
        <v>80</v>
      </c>
      <c r="H5" s="54" t="s">
        <v>81</v>
      </c>
    </row>
    <row r="6" spans="1:8" ht="34.5" customHeight="1" x14ac:dyDescent="0.25">
      <c r="A6" s="55" t="s">
        <v>85</v>
      </c>
      <c r="B6" s="1">
        <v>5</v>
      </c>
      <c r="C6" s="14">
        <v>2</v>
      </c>
      <c r="D6" s="23">
        <v>1500</v>
      </c>
      <c r="E6" s="23">
        <f>C6*D6</f>
        <v>3000</v>
      </c>
      <c r="F6" s="23">
        <f>B6*E6</f>
        <v>15000</v>
      </c>
      <c r="G6" s="15">
        <v>40</v>
      </c>
      <c r="H6" s="12">
        <f>+G6*C6</f>
        <v>80</v>
      </c>
    </row>
    <row r="7" spans="1:8" x14ac:dyDescent="0.25">
      <c r="A7" s="3" t="s">
        <v>82</v>
      </c>
      <c r="B7" s="1">
        <v>5</v>
      </c>
      <c r="C7" s="1">
        <v>3</v>
      </c>
      <c r="D7" s="24">
        <v>500</v>
      </c>
      <c r="E7" s="23">
        <f t="shared" ref="E7:E8" si="0">C7*D7</f>
        <v>1500</v>
      </c>
      <c r="F7" s="23">
        <f t="shared" ref="F7:F8" si="1">B7*E7</f>
        <v>7500</v>
      </c>
      <c r="G7" s="26">
        <v>19</v>
      </c>
      <c r="H7" s="12">
        <f t="shared" ref="H7" si="2">+G7*C7</f>
        <v>57</v>
      </c>
    </row>
    <row r="8" spans="1:8" x14ac:dyDescent="0.25">
      <c r="A8" s="3" t="s">
        <v>86</v>
      </c>
      <c r="B8" s="1">
        <v>5</v>
      </c>
      <c r="C8" s="1">
        <v>4</v>
      </c>
      <c r="D8" s="27">
        <v>750</v>
      </c>
      <c r="E8" s="23">
        <f t="shared" si="0"/>
        <v>3000</v>
      </c>
      <c r="F8" s="23">
        <f t="shared" si="1"/>
        <v>15000</v>
      </c>
      <c r="G8" s="26">
        <v>1</v>
      </c>
      <c r="H8" s="12">
        <f>+G8*C8</f>
        <v>4</v>
      </c>
    </row>
    <row r="9" spans="1:8" ht="18.75" x14ac:dyDescent="0.4">
      <c r="A9" s="223" t="s">
        <v>148</v>
      </c>
      <c r="B9" s="213"/>
      <c r="C9" s="133" t="s">
        <v>18</v>
      </c>
      <c r="D9" s="134"/>
      <c r="E9" s="16">
        <f>SUM(E6:E8)</f>
        <v>7500</v>
      </c>
      <c r="F9" s="149" t="s">
        <v>49</v>
      </c>
      <c r="G9" s="149"/>
      <c r="H9" s="17">
        <f>SUM(H6:H8)</f>
        <v>141</v>
      </c>
    </row>
    <row r="10" spans="1:8" ht="18.75" x14ac:dyDescent="0.4">
      <c r="A10" s="223"/>
      <c r="B10" s="213"/>
      <c r="C10" s="133" t="s">
        <v>89</v>
      </c>
      <c r="D10" s="134"/>
      <c r="E10" s="16">
        <f>SUM(F6:F8)</f>
        <v>37500</v>
      </c>
      <c r="F10" s="1"/>
      <c r="G10" s="1"/>
      <c r="H10" s="17"/>
    </row>
    <row r="11" spans="1:8" ht="18.75" x14ac:dyDescent="0.4">
      <c r="A11" s="223"/>
      <c r="B11" s="213"/>
      <c r="C11" s="133" t="s">
        <v>145</v>
      </c>
      <c r="D11" s="134"/>
      <c r="E11" s="16">
        <f>E10*19%</f>
        <v>7125</v>
      </c>
      <c r="F11" s="1"/>
      <c r="G11" s="1"/>
      <c r="H11" s="17"/>
    </row>
    <row r="12" spans="1:8" ht="18.75" x14ac:dyDescent="0.4">
      <c r="A12" s="223"/>
      <c r="B12" s="213"/>
      <c r="C12" s="133" t="s">
        <v>50</v>
      </c>
      <c r="D12" s="134"/>
      <c r="E12" s="16">
        <v>12500</v>
      </c>
      <c r="F12" s="48"/>
      <c r="G12" s="1"/>
      <c r="H12" s="17"/>
    </row>
    <row r="13" spans="1:8" ht="19.5" thickBot="1" x14ac:dyDescent="0.45">
      <c r="A13" s="224"/>
      <c r="B13" s="225"/>
      <c r="C13" s="135" t="s">
        <v>90</v>
      </c>
      <c r="D13" s="135"/>
      <c r="E13" s="18">
        <f>E10+E12+E11</f>
        <v>57125</v>
      </c>
      <c r="F13" s="166"/>
      <c r="G13" s="166"/>
      <c r="H13" s="167"/>
    </row>
    <row r="14" spans="1:8" s="53" customFormat="1" ht="18.75" x14ac:dyDescent="0.4">
      <c r="A14" s="49"/>
      <c r="B14" s="49"/>
      <c r="C14" s="50"/>
      <c r="D14" s="50"/>
      <c r="E14" s="51"/>
      <c r="F14" s="52"/>
      <c r="G14" s="52"/>
      <c r="H14" s="52"/>
    </row>
    <row r="15" spans="1:8" s="53" customFormat="1" ht="18.75" x14ac:dyDescent="0.4">
      <c r="A15" s="49"/>
      <c r="B15" s="49"/>
      <c r="C15" s="50"/>
      <c r="D15" s="50"/>
      <c r="E15" s="51"/>
      <c r="F15" s="52"/>
      <c r="G15" s="52"/>
      <c r="H15" s="52"/>
    </row>
    <row r="16" spans="1:8" s="53" customFormat="1" ht="18.75" x14ac:dyDescent="0.4">
      <c r="A16" s="49"/>
      <c r="B16" s="49"/>
      <c r="C16" s="50"/>
      <c r="D16" s="50"/>
      <c r="E16" s="51"/>
      <c r="F16" s="52"/>
      <c r="G16" s="52"/>
      <c r="H16" s="52"/>
    </row>
  </sheetData>
  <mergeCells count="15">
    <mergeCell ref="A9:B13"/>
    <mergeCell ref="C13:D13"/>
    <mergeCell ref="F13:H13"/>
    <mergeCell ref="A1:H1"/>
    <mergeCell ref="A2:H2"/>
    <mergeCell ref="A3:H3"/>
    <mergeCell ref="A4:A5"/>
    <mergeCell ref="B4:D4"/>
    <mergeCell ref="E4:F4"/>
    <mergeCell ref="G4:H4"/>
    <mergeCell ref="C9:D9"/>
    <mergeCell ref="F9:G9"/>
    <mergeCell ref="C10:D10"/>
    <mergeCell ref="C11:D11"/>
    <mergeCell ref="C12:D12"/>
  </mergeCells>
  <pageMargins left="0.70866141732283472" right="0.70866141732283472" top="0.55118110236220474" bottom="0.55118110236220474" header="0.31496062992125984" footer="0.31496062992125984"/>
  <pageSetup paperSize="9" orientation="landscape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ADCB-EE47-4FD7-AC5A-C9D4F88608DC}">
  <dimension ref="A1:H28"/>
  <sheetViews>
    <sheetView workbookViewId="0">
      <selection activeCell="D25" sqref="D25"/>
    </sheetView>
  </sheetViews>
  <sheetFormatPr baseColWidth="10" defaultRowHeight="15" x14ac:dyDescent="0.25"/>
  <cols>
    <col min="1" max="1" width="33" customWidth="1"/>
    <col min="2" max="2" width="14.5703125" bestFit="1" customWidth="1"/>
    <col min="5" max="5" width="15.5703125" customWidth="1"/>
    <col min="6" max="6" width="14.42578125" customWidth="1"/>
  </cols>
  <sheetData>
    <row r="1" spans="1:8" ht="15.75" thickBot="1" x14ac:dyDescent="0.3">
      <c r="A1" s="191" t="s">
        <v>222</v>
      </c>
      <c r="B1" s="192"/>
      <c r="C1" s="192"/>
      <c r="D1" s="192"/>
      <c r="E1" s="192"/>
      <c r="F1" s="192"/>
      <c r="G1" s="192"/>
      <c r="H1" s="193"/>
    </row>
    <row r="2" spans="1:8" ht="18.75" thickBot="1" x14ac:dyDescent="0.3">
      <c r="A2" s="194" t="s">
        <v>223</v>
      </c>
      <c r="B2" s="195"/>
      <c r="C2" s="195"/>
      <c r="D2" s="195"/>
      <c r="E2" s="195"/>
      <c r="F2" s="195"/>
      <c r="G2" s="195"/>
      <c r="H2" s="196"/>
    </row>
    <row r="3" spans="1:8" ht="15.75" thickBot="1" x14ac:dyDescent="0.3">
      <c r="A3" s="191" t="s">
        <v>233</v>
      </c>
      <c r="B3" s="192"/>
      <c r="C3" s="192"/>
      <c r="D3" s="192"/>
      <c r="E3" s="192"/>
      <c r="F3" s="192"/>
      <c r="G3" s="192"/>
      <c r="H3" s="193"/>
    </row>
    <row r="4" spans="1:8" ht="15.75" thickBot="1" x14ac:dyDescent="0.3">
      <c r="A4" s="191"/>
      <c r="B4" s="192"/>
      <c r="C4" s="192"/>
      <c r="D4" s="192"/>
      <c r="E4" s="192"/>
      <c r="F4" s="192"/>
      <c r="G4" s="192"/>
      <c r="H4" s="193"/>
    </row>
    <row r="5" spans="1:8" ht="15.75" thickBot="1" x14ac:dyDescent="0.3">
      <c r="A5" s="197" t="s">
        <v>4</v>
      </c>
      <c r="B5" s="199" t="s">
        <v>5</v>
      </c>
      <c r="C5" s="200"/>
      <c r="D5" s="201"/>
      <c r="E5" s="199" t="s">
        <v>6</v>
      </c>
      <c r="F5" s="201"/>
      <c r="G5" s="199" t="s">
        <v>44</v>
      </c>
      <c r="H5" s="201"/>
    </row>
    <row r="6" spans="1:8" x14ac:dyDescent="0.25">
      <c r="A6" s="198"/>
      <c r="B6" s="32" t="s">
        <v>7</v>
      </c>
      <c r="C6" s="32" t="s">
        <v>8</v>
      </c>
      <c r="D6" s="32" t="s">
        <v>9</v>
      </c>
      <c r="E6" s="32" t="s">
        <v>10</v>
      </c>
      <c r="F6" s="32" t="s">
        <v>11</v>
      </c>
      <c r="G6" s="32" t="s">
        <v>45</v>
      </c>
      <c r="H6" s="32" t="s">
        <v>46</v>
      </c>
    </row>
    <row r="7" spans="1:8" x14ac:dyDescent="0.25">
      <c r="A7" s="22" t="s">
        <v>150</v>
      </c>
      <c r="B7" s="1">
        <v>5</v>
      </c>
      <c r="C7" s="14">
        <v>8</v>
      </c>
      <c r="D7" s="23">
        <v>350</v>
      </c>
      <c r="E7" s="23">
        <f>C7*D7</f>
        <v>2800</v>
      </c>
      <c r="F7" s="23">
        <f>B7*E7</f>
        <v>14000</v>
      </c>
      <c r="G7" s="15">
        <v>26</v>
      </c>
      <c r="H7" s="4">
        <f>+G7*C7</f>
        <v>208</v>
      </c>
    </row>
    <row r="8" spans="1:8" x14ac:dyDescent="0.25">
      <c r="A8" s="22" t="s">
        <v>229</v>
      </c>
      <c r="B8" s="1">
        <v>5</v>
      </c>
      <c r="C8" s="14">
        <v>8</v>
      </c>
      <c r="D8" s="23">
        <v>330</v>
      </c>
      <c r="E8" s="23">
        <f t="shared" ref="E8" si="0">C8*D8</f>
        <v>2640</v>
      </c>
      <c r="F8" s="23">
        <f t="shared" ref="F8:F20" si="1">B8*E8</f>
        <v>13200</v>
      </c>
      <c r="G8" s="15">
        <v>23</v>
      </c>
      <c r="H8" s="4">
        <f t="shared" ref="H8:H20" si="2">+G8*C8</f>
        <v>184</v>
      </c>
    </row>
    <row r="9" spans="1:8" x14ac:dyDescent="0.25">
      <c r="A9" s="22" t="s">
        <v>226</v>
      </c>
      <c r="B9" s="1">
        <v>5</v>
      </c>
      <c r="C9" s="14">
        <v>28</v>
      </c>
      <c r="D9" s="23">
        <v>320</v>
      </c>
      <c r="E9" s="23">
        <f>C9*D9</f>
        <v>8960</v>
      </c>
      <c r="F9" s="23">
        <f t="shared" si="1"/>
        <v>44800</v>
      </c>
      <c r="G9" s="15">
        <v>21</v>
      </c>
      <c r="H9" s="4">
        <f t="shared" si="2"/>
        <v>588</v>
      </c>
    </row>
    <row r="10" spans="1:8" x14ac:dyDescent="0.25">
      <c r="A10" s="22" t="s">
        <v>228</v>
      </c>
      <c r="B10" s="1">
        <v>5</v>
      </c>
      <c r="C10" s="14">
        <v>23</v>
      </c>
      <c r="D10" s="23">
        <v>310</v>
      </c>
      <c r="E10" s="23">
        <f t="shared" ref="E10" si="3">C10*D10</f>
        <v>7130</v>
      </c>
      <c r="F10" s="23">
        <f t="shared" si="1"/>
        <v>35650</v>
      </c>
      <c r="G10" s="15">
        <v>20</v>
      </c>
      <c r="H10" s="4">
        <f t="shared" si="2"/>
        <v>460</v>
      </c>
    </row>
    <row r="11" spans="1:8" x14ac:dyDescent="0.25">
      <c r="A11" s="22" t="s">
        <v>227</v>
      </c>
      <c r="B11" s="1">
        <v>5</v>
      </c>
      <c r="C11" s="14">
        <v>26</v>
      </c>
      <c r="D11" s="23">
        <v>300</v>
      </c>
      <c r="E11" s="23">
        <f t="shared" ref="E11:E20" si="4">C11*D11</f>
        <v>7800</v>
      </c>
      <c r="F11" s="23">
        <f t="shared" si="1"/>
        <v>39000</v>
      </c>
      <c r="G11" s="15">
        <v>18.5</v>
      </c>
      <c r="H11" s="4">
        <f t="shared" si="2"/>
        <v>481</v>
      </c>
    </row>
    <row r="12" spans="1:8" x14ac:dyDescent="0.25">
      <c r="A12" s="22" t="s">
        <v>230</v>
      </c>
      <c r="B12" s="1">
        <v>5</v>
      </c>
      <c r="C12" s="14">
        <v>60</v>
      </c>
      <c r="D12" s="77">
        <v>60</v>
      </c>
      <c r="E12" s="23">
        <f t="shared" si="4"/>
        <v>3600</v>
      </c>
      <c r="F12" s="23">
        <f t="shared" si="1"/>
        <v>18000</v>
      </c>
      <c r="G12" s="15">
        <v>5.0000000000000001E-3</v>
      </c>
      <c r="H12" s="4">
        <f t="shared" si="2"/>
        <v>0.3</v>
      </c>
    </row>
    <row r="13" spans="1:8" x14ac:dyDescent="0.25">
      <c r="A13" s="22" t="s">
        <v>98</v>
      </c>
      <c r="B13" s="1">
        <v>5</v>
      </c>
      <c r="C13" s="14">
        <v>120</v>
      </c>
      <c r="D13" s="77">
        <v>15</v>
      </c>
      <c r="E13" s="23">
        <f t="shared" si="4"/>
        <v>1800</v>
      </c>
      <c r="F13" s="23">
        <f t="shared" si="1"/>
        <v>9000</v>
      </c>
      <c r="G13" s="15">
        <v>0.01</v>
      </c>
      <c r="H13" s="4">
        <f t="shared" si="2"/>
        <v>1.2</v>
      </c>
    </row>
    <row r="14" spans="1:8" x14ac:dyDescent="0.25">
      <c r="A14" s="22" t="s">
        <v>231</v>
      </c>
      <c r="B14" s="1">
        <v>5</v>
      </c>
      <c r="C14" s="14">
        <v>2</v>
      </c>
      <c r="D14" s="77">
        <v>220</v>
      </c>
      <c r="E14" s="23">
        <f t="shared" si="4"/>
        <v>440</v>
      </c>
      <c r="F14" s="23">
        <f t="shared" si="1"/>
        <v>2200</v>
      </c>
      <c r="G14" s="15">
        <v>9</v>
      </c>
      <c r="H14" s="4">
        <f t="shared" si="2"/>
        <v>18</v>
      </c>
    </row>
    <row r="15" spans="1:8" x14ac:dyDescent="0.25">
      <c r="A15" s="22" t="s">
        <v>232</v>
      </c>
      <c r="B15" s="1">
        <v>5</v>
      </c>
      <c r="C15" s="14">
        <v>4</v>
      </c>
      <c r="D15" s="77">
        <v>90</v>
      </c>
      <c r="E15" s="23">
        <f t="shared" si="4"/>
        <v>360</v>
      </c>
      <c r="F15" s="23">
        <f t="shared" si="1"/>
        <v>1800</v>
      </c>
      <c r="G15" s="15">
        <v>3</v>
      </c>
      <c r="H15" s="4">
        <f t="shared" si="2"/>
        <v>12</v>
      </c>
    </row>
    <row r="16" spans="1:8" x14ac:dyDescent="0.25">
      <c r="A16" s="22" t="s">
        <v>165</v>
      </c>
      <c r="B16" s="1">
        <v>5</v>
      </c>
      <c r="C16" s="14">
        <v>6</v>
      </c>
      <c r="D16" s="77">
        <v>450</v>
      </c>
      <c r="E16" s="23">
        <f t="shared" ref="E16:E19" si="5">C16*D16</f>
        <v>2700</v>
      </c>
      <c r="F16" s="23">
        <f t="shared" ref="F16:F19" si="6">B16*E16</f>
        <v>13500</v>
      </c>
      <c r="G16" s="15">
        <v>27</v>
      </c>
      <c r="H16" s="4">
        <f t="shared" ref="H16:H19" si="7">+G16*C16</f>
        <v>162</v>
      </c>
    </row>
    <row r="17" spans="1:8" x14ac:dyDescent="0.25">
      <c r="A17" s="22" t="s">
        <v>107</v>
      </c>
      <c r="B17" s="1">
        <v>5</v>
      </c>
      <c r="C17" s="14">
        <v>15</v>
      </c>
      <c r="D17" s="77">
        <v>180</v>
      </c>
      <c r="E17" s="23">
        <f t="shared" ref="E17" si="8">C17*D17</f>
        <v>2700</v>
      </c>
      <c r="F17" s="23">
        <f t="shared" si="6"/>
        <v>13500</v>
      </c>
      <c r="G17" s="15">
        <v>18.5</v>
      </c>
      <c r="H17" s="4">
        <f t="shared" ref="H17" si="9">+G17*C17</f>
        <v>277.5</v>
      </c>
    </row>
    <row r="18" spans="1:8" x14ac:dyDescent="0.25">
      <c r="A18" s="22" t="s">
        <v>32</v>
      </c>
      <c r="B18" s="1">
        <v>5</v>
      </c>
      <c r="C18" s="14">
        <v>15</v>
      </c>
      <c r="D18" s="77">
        <v>120</v>
      </c>
      <c r="E18" s="23">
        <f t="shared" ref="E18" si="10">C18*D18</f>
        <v>1800</v>
      </c>
      <c r="F18" s="23">
        <f t="shared" si="6"/>
        <v>9000</v>
      </c>
      <c r="G18" s="15">
        <v>13.5</v>
      </c>
      <c r="H18" s="4">
        <f t="shared" ref="H18" si="11">+G18*C18</f>
        <v>202.5</v>
      </c>
    </row>
    <row r="19" spans="1:8" x14ac:dyDescent="0.25">
      <c r="A19" s="22" t="s">
        <v>59</v>
      </c>
      <c r="B19" s="1">
        <v>5</v>
      </c>
      <c r="C19" s="14">
        <v>30</v>
      </c>
      <c r="D19" s="77">
        <v>95</v>
      </c>
      <c r="E19" s="23">
        <f t="shared" si="5"/>
        <v>2850</v>
      </c>
      <c r="F19" s="23">
        <f t="shared" si="6"/>
        <v>14250</v>
      </c>
      <c r="G19" s="15">
        <v>0.01</v>
      </c>
      <c r="H19" s="4">
        <f t="shared" si="7"/>
        <v>0.3</v>
      </c>
    </row>
    <row r="20" spans="1:8" x14ac:dyDescent="0.25">
      <c r="A20" s="22" t="s">
        <v>172</v>
      </c>
      <c r="B20" s="1">
        <v>5</v>
      </c>
      <c r="C20" s="1">
        <v>500</v>
      </c>
      <c r="D20" s="27">
        <v>18</v>
      </c>
      <c r="E20" s="23">
        <f t="shared" si="4"/>
        <v>9000</v>
      </c>
      <c r="F20" s="23">
        <f t="shared" si="1"/>
        <v>45000</v>
      </c>
      <c r="G20" s="26">
        <v>0.01</v>
      </c>
      <c r="H20" s="4">
        <f t="shared" si="2"/>
        <v>5</v>
      </c>
    </row>
    <row r="21" spans="1:8" ht="19.5" thickBot="1" x14ac:dyDescent="0.45">
      <c r="A21" s="202"/>
      <c r="B21" s="203"/>
      <c r="C21" s="206" t="s">
        <v>224</v>
      </c>
      <c r="D21" s="207"/>
      <c r="E21" s="33">
        <f>SUM(E7:E20)</f>
        <v>54580</v>
      </c>
      <c r="F21" s="208" t="s">
        <v>49</v>
      </c>
      <c r="G21" s="209"/>
      <c r="H21" s="12">
        <f>SUM(H7:H20)</f>
        <v>2599.8000000000002</v>
      </c>
    </row>
    <row r="22" spans="1:8" ht="19.5" thickBot="1" x14ac:dyDescent="0.45">
      <c r="A22" s="202"/>
      <c r="B22" s="203"/>
      <c r="C22" s="206" t="s">
        <v>225</v>
      </c>
      <c r="D22" s="207"/>
      <c r="E22" s="33">
        <f>SUM(F7:F20)</f>
        <v>272900</v>
      </c>
      <c r="F22" s="74"/>
      <c r="G22" s="76"/>
      <c r="H22" s="75"/>
    </row>
    <row r="23" spans="1:8" ht="19.5" thickBot="1" x14ac:dyDescent="0.45">
      <c r="A23" s="202"/>
      <c r="B23" s="203"/>
      <c r="C23" s="210" t="s">
        <v>50</v>
      </c>
      <c r="D23" s="211"/>
      <c r="E23" s="33">
        <v>210000</v>
      </c>
      <c r="F23" s="199" t="s">
        <v>118</v>
      </c>
      <c r="G23" s="200"/>
      <c r="H23" s="75"/>
    </row>
    <row r="24" spans="1:8" ht="19.5" thickBot="1" x14ac:dyDescent="0.45">
      <c r="A24" s="204"/>
      <c r="B24" s="205"/>
      <c r="C24" s="210" t="s">
        <v>173</v>
      </c>
      <c r="D24" s="211"/>
      <c r="E24" s="34">
        <f>E22+E23</f>
        <v>482900</v>
      </c>
      <c r="F24" s="199"/>
      <c r="G24" s="200"/>
      <c r="H24" s="201"/>
    </row>
    <row r="25" spans="1:8" x14ac:dyDescent="0.25">
      <c r="A25" t="s">
        <v>234</v>
      </c>
      <c r="B25" s="56">
        <v>1000000</v>
      </c>
    </row>
    <row r="26" spans="1:8" x14ac:dyDescent="0.25">
      <c r="A26" t="s">
        <v>235</v>
      </c>
      <c r="B26" s="31"/>
    </row>
    <row r="27" spans="1:8" x14ac:dyDescent="0.25">
      <c r="A27" t="s">
        <v>37</v>
      </c>
      <c r="B27" s="31"/>
    </row>
    <row r="28" spans="1:8" x14ac:dyDescent="0.25">
      <c r="A28" t="s">
        <v>236</v>
      </c>
    </row>
  </sheetData>
  <mergeCells count="16">
    <mergeCell ref="A21:B24"/>
    <mergeCell ref="C21:D21"/>
    <mergeCell ref="F21:G21"/>
    <mergeCell ref="C24:D24"/>
    <mergeCell ref="F24:H24"/>
    <mergeCell ref="C23:D23"/>
    <mergeCell ref="C22:D22"/>
    <mergeCell ref="F23:G23"/>
    <mergeCell ref="A1:H1"/>
    <mergeCell ref="A2:H2"/>
    <mergeCell ref="A3:H3"/>
    <mergeCell ref="A4:H4"/>
    <mergeCell ref="A5:A6"/>
    <mergeCell ref="B5:D5"/>
    <mergeCell ref="E5:F5"/>
    <mergeCell ref="G5:H5"/>
  </mergeCells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203C-D545-4773-B005-4C0DAD2C8582}">
  <dimension ref="A1:H36"/>
  <sheetViews>
    <sheetView topLeftCell="A25" workbookViewId="0">
      <selection activeCell="E36" sqref="E36"/>
    </sheetView>
  </sheetViews>
  <sheetFormatPr baseColWidth="10" defaultRowHeight="15" x14ac:dyDescent="0.25"/>
  <cols>
    <col min="1" max="1" width="23.140625" bestFit="1" customWidth="1"/>
    <col min="2" max="2" width="13" bestFit="1" customWidth="1"/>
    <col min="5" max="5" width="18.42578125" bestFit="1" customWidth="1"/>
  </cols>
  <sheetData>
    <row r="1" spans="1:8" x14ac:dyDescent="0.25">
      <c r="A1" s="136" t="s">
        <v>0</v>
      </c>
      <c r="B1" s="137"/>
      <c r="C1" s="137"/>
      <c r="D1" s="137"/>
      <c r="E1" s="137"/>
      <c r="F1" s="138"/>
    </row>
    <row r="2" spans="1:8" ht="18" x14ac:dyDescent="0.25">
      <c r="A2" s="139" t="s">
        <v>268</v>
      </c>
      <c r="B2" s="140"/>
      <c r="C2" s="140"/>
      <c r="D2" s="140"/>
      <c r="E2" s="140"/>
      <c r="F2" s="141"/>
    </row>
    <row r="3" spans="1:8" ht="18" x14ac:dyDescent="0.25">
      <c r="A3" s="142" t="s">
        <v>267</v>
      </c>
      <c r="B3" s="143"/>
      <c r="C3" s="143"/>
      <c r="D3" s="143"/>
      <c r="E3" s="143"/>
      <c r="F3" s="144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</row>
    <row r="6" spans="1:8" x14ac:dyDescent="0.25">
      <c r="A6" s="3" t="s">
        <v>12</v>
      </c>
      <c r="B6" s="4">
        <v>5</v>
      </c>
      <c r="C6" s="4">
        <v>46</v>
      </c>
      <c r="D6" s="5">
        <v>290</v>
      </c>
      <c r="E6" s="6">
        <f>C6*D6</f>
        <v>13340</v>
      </c>
      <c r="F6" s="7">
        <f>B6*E6</f>
        <v>66700</v>
      </c>
      <c r="G6">
        <v>11</v>
      </c>
      <c r="H6">
        <f>C6*G6</f>
        <v>506</v>
      </c>
    </row>
    <row r="7" spans="1:8" x14ac:dyDescent="0.25">
      <c r="A7" s="3" t="s">
        <v>16</v>
      </c>
      <c r="B7" s="4">
        <v>5</v>
      </c>
      <c r="C7" s="4">
        <v>82</v>
      </c>
      <c r="D7" s="5">
        <v>20</v>
      </c>
      <c r="E7" s="6">
        <f>C7*D7</f>
        <v>1640</v>
      </c>
      <c r="F7" s="7">
        <f>B7*E7</f>
        <v>8200</v>
      </c>
      <c r="G7">
        <v>0.02</v>
      </c>
      <c r="H7">
        <f>C7*G7</f>
        <v>1.6400000000000001</v>
      </c>
    </row>
    <row r="8" spans="1:8" ht="18.75" x14ac:dyDescent="0.4">
      <c r="A8" s="123" t="s">
        <v>67</v>
      </c>
      <c r="B8" s="124"/>
      <c r="C8" s="129" t="s">
        <v>18</v>
      </c>
      <c r="D8" s="129"/>
      <c r="E8" s="8">
        <f>SUM(E6:E7)</f>
        <v>14980</v>
      </c>
      <c r="F8" s="130"/>
    </row>
    <row r="9" spans="1:8" ht="18.75" x14ac:dyDescent="0.4">
      <c r="A9" s="123"/>
      <c r="B9" s="124"/>
      <c r="C9" s="129" t="s">
        <v>19</v>
      </c>
      <c r="D9" s="129"/>
      <c r="E9" s="8">
        <f>SUM(F6:F7)</f>
        <v>74900</v>
      </c>
      <c r="F9" s="130"/>
    </row>
    <row r="10" spans="1:8" ht="18.75" x14ac:dyDescent="0.4">
      <c r="A10" s="125"/>
      <c r="B10" s="126"/>
      <c r="C10" s="133" t="s">
        <v>20</v>
      </c>
      <c r="D10" s="134"/>
      <c r="E10" s="9"/>
      <c r="F10" s="131"/>
    </row>
    <row r="11" spans="1:8" ht="23.25" thickBot="1" x14ac:dyDescent="0.5">
      <c r="A11" s="127"/>
      <c r="B11" s="128"/>
      <c r="C11" s="135" t="s">
        <v>21</v>
      </c>
      <c r="D11" s="135"/>
      <c r="E11" s="10">
        <f>E9+E10</f>
        <v>74900</v>
      </c>
      <c r="F11" s="132"/>
    </row>
    <row r="12" spans="1:8" x14ac:dyDescent="0.25">
      <c r="A12" t="s">
        <v>269</v>
      </c>
      <c r="B12" s="31">
        <v>400000</v>
      </c>
    </row>
    <row r="13" spans="1:8" x14ac:dyDescent="0.25">
      <c r="A13" t="s">
        <v>270</v>
      </c>
    </row>
    <row r="14" spans="1:8" x14ac:dyDescent="0.25">
      <c r="A14" t="s">
        <v>24</v>
      </c>
    </row>
    <row r="15" spans="1:8" x14ac:dyDescent="0.25">
      <c r="A15" t="s">
        <v>104</v>
      </c>
    </row>
    <row r="16" spans="1:8" x14ac:dyDescent="0.25">
      <c r="A16" t="s">
        <v>282</v>
      </c>
      <c r="E16" s="31">
        <v>69100</v>
      </c>
    </row>
    <row r="20" spans="1:8" ht="15.75" thickBot="1" x14ac:dyDescent="0.3"/>
    <row r="21" spans="1:8" x14ac:dyDescent="0.25">
      <c r="A21" s="136" t="s">
        <v>0</v>
      </c>
      <c r="B21" s="137"/>
      <c r="C21" s="137"/>
      <c r="D21" s="137"/>
      <c r="E21" s="137"/>
      <c r="F21" s="137"/>
      <c r="G21" s="137"/>
      <c r="H21" s="138"/>
    </row>
    <row r="22" spans="1:8" x14ac:dyDescent="0.25">
      <c r="A22" s="145" t="s">
        <v>271</v>
      </c>
      <c r="B22" s="146"/>
      <c r="C22" s="146"/>
      <c r="D22" s="146"/>
      <c r="E22" s="146"/>
      <c r="F22" s="146"/>
      <c r="G22" s="146"/>
      <c r="H22" s="147"/>
    </row>
    <row r="23" spans="1:8" ht="18" customHeight="1" x14ac:dyDescent="0.25">
      <c r="A23" s="139" t="s">
        <v>268</v>
      </c>
      <c r="B23" s="140"/>
      <c r="C23" s="140"/>
      <c r="D23" s="140"/>
      <c r="E23" s="140"/>
      <c r="F23" s="140"/>
      <c r="G23" s="140"/>
      <c r="H23" s="141"/>
    </row>
    <row r="24" spans="1:8" ht="18.75" customHeight="1" x14ac:dyDescent="0.25">
      <c r="A24" s="139" t="s">
        <v>267</v>
      </c>
      <c r="B24" s="140"/>
      <c r="C24" s="140"/>
      <c r="D24" s="140"/>
      <c r="E24" s="140"/>
      <c r="F24" s="140"/>
      <c r="G24" s="140"/>
      <c r="H24" s="141"/>
    </row>
    <row r="25" spans="1:8" ht="15.75" thickBot="1" x14ac:dyDescent="0.3">
      <c r="A25" s="198" t="s">
        <v>4</v>
      </c>
      <c r="B25" s="208" t="s">
        <v>5</v>
      </c>
      <c r="C25" s="212"/>
      <c r="D25" s="209"/>
      <c r="E25" s="208" t="s">
        <v>6</v>
      </c>
      <c r="F25" s="209"/>
      <c r="G25" s="208" t="s">
        <v>44</v>
      </c>
      <c r="H25" s="209"/>
    </row>
    <row r="26" spans="1:8" x14ac:dyDescent="0.25">
      <c r="A26" s="198"/>
      <c r="B26" s="32" t="s">
        <v>7</v>
      </c>
      <c r="C26" s="32" t="s">
        <v>8</v>
      </c>
      <c r="D26" s="32" t="s">
        <v>9</v>
      </c>
      <c r="E26" s="32" t="s">
        <v>10</v>
      </c>
      <c r="F26" s="32" t="s">
        <v>11</v>
      </c>
      <c r="G26" s="32" t="s">
        <v>45</v>
      </c>
      <c r="H26" s="32" t="s">
        <v>46</v>
      </c>
    </row>
    <row r="27" spans="1:8" x14ac:dyDescent="0.25">
      <c r="A27" s="3" t="s">
        <v>154</v>
      </c>
      <c r="B27" s="1">
        <v>5</v>
      </c>
      <c r="C27" s="14">
        <v>46</v>
      </c>
      <c r="D27" s="23">
        <v>250</v>
      </c>
      <c r="E27" s="23">
        <f t="shared" ref="E27:E31" si="0">C27*D27</f>
        <v>11500</v>
      </c>
      <c r="F27" s="23">
        <f t="shared" ref="F27:F31" si="1">B27*E27</f>
        <v>57500</v>
      </c>
      <c r="G27" s="15">
        <v>13.5</v>
      </c>
      <c r="H27" s="12">
        <f t="shared" ref="H27:H31" si="2">+G27*C27</f>
        <v>621</v>
      </c>
    </row>
    <row r="28" spans="1:8" x14ac:dyDescent="0.25">
      <c r="A28" s="3" t="s">
        <v>171</v>
      </c>
      <c r="B28" s="1">
        <v>5</v>
      </c>
      <c r="C28" s="14">
        <v>20</v>
      </c>
      <c r="D28" s="77">
        <v>85</v>
      </c>
      <c r="E28" s="23">
        <f t="shared" si="0"/>
        <v>1700</v>
      </c>
      <c r="F28" s="23">
        <f t="shared" si="1"/>
        <v>8500</v>
      </c>
      <c r="G28" s="15">
        <v>26</v>
      </c>
      <c r="H28" s="12">
        <f t="shared" si="2"/>
        <v>520</v>
      </c>
    </row>
    <row r="29" spans="1:8" x14ac:dyDescent="0.25">
      <c r="A29" s="3" t="s">
        <v>14</v>
      </c>
      <c r="B29" s="1">
        <v>5</v>
      </c>
      <c r="C29" s="14">
        <v>40</v>
      </c>
      <c r="D29" s="77">
        <v>40</v>
      </c>
      <c r="E29" s="23">
        <f t="shared" si="0"/>
        <v>1600</v>
      </c>
      <c r="F29" s="23">
        <f t="shared" si="1"/>
        <v>8000</v>
      </c>
      <c r="G29" s="15">
        <v>26</v>
      </c>
      <c r="H29" s="12">
        <f t="shared" si="2"/>
        <v>1040</v>
      </c>
    </row>
    <row r="30" spans="1:8" x14ac:dyDescent="0.25">
      <c r="A30" s="3" t="s">
        <v>261</v>
      </c>
      <c r="B30" s="1">
        <v>5</v>
      </c>
      <c r="C30" s="14">
        <v>20</v>
      </c>
      <c r="D30" s="77">
        <v>130</v>
      </c>
      <c r="E30" s="23">
        <f t="shared" si="0"/>
        <v>2600</v>
      </c>
      <c r="F30" s="23">
        <f t="shared" si="1"/>
        <v>13000</v>
      </c>
      <c r="G30" s="15">
        <v>15.5</v>
      </c>
      <c r="H30" s="12">
        <f t="shared" si="2"/>
        <v>310</v>
      </c>
    </row>
    <row r="31" spans="1:8" x14ac:dyDescent="0.25">
      <c r="A31" s="3" t="s">
        <v>172</v>
      </c>
      <c r="B31" s="1">
        <v>5</v>
      </c>
      <c r="C31" s="1">
        <v>450</v>
      </c>
      <c r="D31" s="27">
        <v>20</v>
      </c>
      <c r="E31" s="23">
        <f t="shared" si="0"/>
        <v>9000</v>
      </c>
      <c r="F31" s="23">
        <f t="shared" si="1"/>
        <v>45000</v>
      </c>
      <c r="G31" s="26">
        <v>0.02</v>
      </c>
      <c r="H31" s="12">
        <f t="shared" si="2"/>
        <v>9</v>
      </c>
    </row>
    <row r="32" spans="1:8" ht="19.5" thickBot="1" x14ac:dyDescent="0.45">
      <c r="A32" s="202"/>
      <c r="B32" s="203"/>
      <c r="C32" s="206" t="s">
        <v>224</v>
      </c>
      <c r="D32" s="207"/>
      <c r="E32" s="33">
        <f>SUM(E27:E31)</f>
        <v>26400</v>
      </c>
      <c r="F32" s="208" t="s">
        <v>49</v>
      </c>
      <c r="G32" s="209"/>
      <c r="H32" s="12">
        <f>SUM(H27:H31)</f>
        <v>2500</v>
      </c>
    </row>
    <row r="33" spans="1:8" ht="19.5" thickBot="1" x14ac:dyDescent="0.45">
      <c r="A33" s="202"/>
      <c r="B33" s="203"/>
      <c r="C33" s="206" t="s">
        <v>225</v>
      </c>
      <c r="D33" s="207"/>
      <c r="E33" s="33">
        <f>E32*5</f>
        <v>132000</v>
      </c>
      <c r="F33" s="74"/>
      <c r="G33" s="76"/>
      <c r="H33" s="75"/>
    </row>
    <row r="34" spans="1:8" ht="19.5" thickBot="1" x14ac:dyDescent="0.45">
      <c r="A34" s="204"/>
      <c r="B34" s="205"/>
      <c r="C34" s="210" t="s">
        <v>173</v>
      </c>
      <c r="D34" s="211"/>
      <c r="E34" s="34">
        <f>E33</f>
        <v>132000</v>
      </c>
      <c r="F34" s="199"/>
      <c r="G34" s="200"/>
      <c r="H34" s="201"/>
    </row>
    <row r="35" spans="1:8" x14ac:dyDescent="0.25">
      <c r="A35" t="s">
        <v>94</v>
      </c>
      <c r="B35" s="62">
        <v>200000</v>
      </c>
    </row>
    <row r="36" spans="1:8" x14ac:dyDescent="0.25">
      <c r="A36" t="s">
        <v>282</v>
      </c>
      <c r="B36" s="57">
        <v>132000</v>
      </c>
      <c r="E36" s="72"/>
    </row>
  </sheetData>
  <mergeCells count="26">
    <mergeCell ref="A21:H21"/>
    <mergeCell ref="A22:H22"/>
    <mergeCell ref="A23:H23"/>
    <mergeCell ref="A24:H24"/>
    <mergeCell ref="A32:B34"/>
    <mergeCell ref="C32:D32"/>
    <mergeCell ref="F32:G32"/>
    <mergeCell ref="C33:D33"/>
    <mergeCell ref="C34:D34"/>
    <mergeCell ref="F34:H34"/>
    <mergeCell ref="A25:A26"/>
    <mergeCell ref="B25:D25"/>
    <mergeCell ref="E25:F25"/>
    <mergeCell ref="G25:H25"/>
    <mergeCell ref="A8:B11"/>
    <mergeCell ref="C8:D8"/>
    <mergeCell ref="F8:F11"/>
    <mergeCell ref="C9:D9"/>
    <mergeCell ref="C10:D10"/>
    <mergeCell ref="C11:D11"/>
    <mergeCell ref="A1:F1"/>
    <mergeCell ref="A2:F2"/>
    <mergeCell ref="A3:F3"/>
    <mergeCell ref="A4:A5"/>
    <mergeCell ref="B4:D4"/>
    <mergeCell ref="E4:F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680A-D15F-4C63-A863-1D903FE4EC2D}">
  <sheetPr>
    <pageSetUpPr fitToPage="1"/>
  </sheetPr>
  <dimension ref="A1:H21"/>
  <sheetViews>
    <sheetView workbookViewId="0">
      <selection sqref="A1:H17"/>
    </sheetView>
  </sheetViews>
  <sheetFormatPr baseColWidth="10" defaultRowHeight="15" x14ac:dyDescent="0.25"/>
  <cols>
    <col min="1" max="1" width="29.140625" bestFit="1" customWidth="1"/>
    <col min="2" max="2" width="12" bestFit="1" customWidth="1"/>
    <col min="5" max="5" width="18" customWidth="1"/>
  </cols>
  <sheetData>
    <row r="1" spans="1:8" ht="15.75" thickBot="1" x14ac:dyDescent="0.3">
      <c r="A1" s="191" t="s">
        <v>242</v>
      </c>
      <c r="B1" s="192"/>
      <c r="C1" s="192"/>
      <c r="D1" s="192"/>
      <c r="E1" s="192"/>
      <c r="F1" s="192"/>
      <c r="G1" s="192"/>
      <c r="H1" s="193"/>
    </row>
    <row r="2" spans="1:8" ht="18.75" thickBot="1" x14ac:dyDescent="0.3">
      <c r="A2" s="194" t="s">
        <v>240</v>
      </c>
      <c r="B2" s="195"/>
      <c r="C2" s="195"/>
      <c r="D2" s="195"/>
      <c r="E2" s="195"/>
      <c r="F2" s="195"/>
      <c r="G2" s="195"/>
      <c r="H2" s="196"/>
    </row>
    <row r="3" spans="1:8" ht="15.75" thickBot="1" x14ac:dyDescent="0.3">
      <c r="A3" s="191" t="s">
        <v>241</v>
      </c>
      <c r="B3" s="192"/>
      <c r="C3" s="192"/>
      <c r="D3" s="192"/>
      <c r="E3" s="192"/>
      <c r="F3" s="192"/>
      <c r="G3" s="192"/>
      <c r="H3" s="193"/>
    </row>
    <row r="4" spans="1:8" ht="15.75" thickBot="1" x14ac:dyDescent="0.3">
      <c r="A4" s="197" t="s">
        <v>4</v>
      </c>
      <c r="B4" s="199" t="s">
        <v>5</v>
      </c>
      <c r="C4" s="200"/>
      <c r="D4" s="201"/>
      <c r="E4" s="199" t="s">
        <v>6</v>
      </c>
      <c r="F4" s="201"/>
      <c r="G4" s="199" t="s">
        <v>44</v>
      </c>
      <c r="H4" s="201"/>
    </row>
    <row r="5" spans="1:8" x14ac:dyDescent="0.25">
      <c r="A5" s="198"/>
      <c r="B5" s="32" t="s">
        <v>7</v>
      </c>
      <c r="C5" s="32" t="s">
        <v>8</v>
      </c>
      <c r="D5" s="32" t="s">
        <v>9</v>
      </c>
      <c r="E5" s="32" t="s">
        <v>10</v>
      </c>
      <c r="F5" s="32" t="s">
        <v>11</v>
      </c>
      <c r="G5" s="32" t="s">
        <v>45</v>
      </c>
      <c r="H5" s="32" t="s">
        <v>46</v>
      </c>
    </row>
    <row r="6" spans="1:8" x14ac:dyDescent="0.25">
      <c r="A6" s="3" t="s">
        <v>150</v>
      </c>
      <c r="B6" s="1">
        <v>30</v>
      </c>
      <c r="C6" s="14">
        <v>90</v>
      </c>
      <c r="D6" s="23">
        <v>350</v>
      </c>
      <c r="E6" s="23">
        <f>C6*D6</f>
        <v>31500</v>
      </c>
      <c r="F6" s="23">
        <f>B6*E6</f>
        <v>945000</v>
      </c>
      <c r="G6" s="15">
        <v>26</v>
      </c>
      <c r="H6" s="12">
        <f>+G6*C6</f>
        <v>2340</v>
      </c>
    </row>
    <row r="7" spans="1:8" x14ac:dyDescent="0.25">
      <c r="A7" s="3" t="s">
        <v>237</v>
      </c>
      <c r="B7" s="1">
        <v>30</v>
      </c>
      <c r="C7" s="14">
        <v>20</v>
      </c>
      <c r="D7" s="23">
        <v>270</v>
      </c>
      <c r="E7" s="23">
        <f t="shared" ref="E7" si="0">C7*D7</f>
        <v>5400</v>
      </c>
      <c r="F7" s="23">
        <f t="shared" ref="F7:F13" si="1">B7*E7</f>
        <v>162000</v>
      </c>
      <c r="G7" s="15">
        <v>13.5</v>
      </c>
      <c r="H7" s="12">
        <f t="shared" ref="H7:H13" si="2">+G7*C7</f>
        <v>270</v>
      </c>
    </row>
    <row r="8" spans="1:8" x14ac:dyDescent="0.25">
      <c r="A8" s="3" t="s">
        <v>238</v>
      </c>
      <c r="B8" s="1">
        <v>30</v>
      </c>
      <c r="C8" s="14">
        <v>18</v>
      </c>
      <c r="D8" s="23">
        <v>200</v>
      </c>
      <c r="E8" s="23">
        <f>C8*D8</f>
        <v>3600</v>
      </c>
      <c r="F8" s="23">
        <f t="shared" si="1"/>
        <v>108000</v>
      </c>
      <c r="G8" s="15">
        <v>6</v>
      </c>
      <c r="H8" s="12">
        <f t="shared" si="2"/>
        <v>108</v>
      </c>
    </row>
    <row r="9" spans="1:8" x14ac:dyDescent="0.25">
      <c r="A9" s="3" t="s">
        <v>30</v>
      </c>
      <c r="B9" s="1">
        <v>30</v>
      </c>
      <c r="C9" s="14">
        <v>24</v>
      </c>
      <c r="D9" s="77">
        <v>120</v>
      </c>
      <c r="E9" s="23">
        <f t="shared" ref="E9:E13" si="3">C9*D9</f>
        <v>2880</v>
      </c>
      <c r="F9" s="23">
        <f t="shared" si="1"/>
        <v>86400</v>
      </c>
      <c r="G9" s="15">
        <v>26</v>
      </c>
      <c r="H9" s="12">
        <f t="shared" si="2"/>
        <v>624</v>
      </c>
    </row>
    <row r="10" spans="1:8" x14ac:dyDescent="0.25">
      <c r="A10" s="3" t="s">
        <v>239</v>
      </c>
      <c r="B10" s="1">
        <v>30</v>
      </c>
      <c r="C10" s="14">
        <v>70</v>
      </c>
      <c r="D10" s="77">
        <v>120</v>
      </c>
      <c r="E10" s="23">
        <f t="shared" si="3"/>
        <v>8400</v>
      </c>
      <c r="F10" s="23">
        <f t="shared" si="1"/>
        <v>252000</v>
      </c>
      <c r="G10" s="15">
        <v>15.5</v>
      </c>
      <c r="H10" s="12">
        <f t="shared" si="2"/>
        <v>1085</v>
      </c>
    </row>
    <row r="11" spans="1:8" x14ac:dyDescent="0.25">
      <c r="A11" s="3" t="s">
        <v>172</v>
      </c>
      <c r="B11" s="1">
        <v>30</v>
      </c>
      <c r="C11" s="1">
        <v>500</v>
      </c>
      <c r="D11" s="27">
        <v>18</v>
      </c>
      <c r="E11" s="23">
        <f t="shared" si="3"/>
        <v>9000</v>
      </c>
      <c r="F11" s="23">
        <f t="shared" si="1"/>
        <v>270000</v>
      </c>
      <c r="G11" s="26">
        <v>0.01</v>
      </c>
      <c r="H11" s="12">
        <f t="shared" si="2"/>
        <v>5</v>
      </c>
    </row>
    <row r="12" spans="1:8" x14ac:dyDescent="0.25">
      <c r="A12" s="3" t="s">
        <v>247</v>
      </c>
      <c r="B12" s="1">
        <v>30</v>
      </c>
      <c r="C12" s="1">
        <v>1</v>
      </c>
      <c r="D12" s="27">
        <v>1500</v>
      </c>
      <c r="E12" s="23">
        <f t="shared" si="3"/>
        <v>1500</v>
      </c>
      <c r="F12" s="23">
        <f t="shared" si="1"/>
        <v>45000</v>
      </c>
      <c r="G12" s="26">
        <v>40</v>
      </c>
      <c r="H12" s="12">
        <f t="shared" si="2"/>
        <v>40</v>
      </c>
    </row>
    <row r="13" spans="1:8" x14ac:dyDescent="0.25">
      <c r="A13" s="78" t="s">
        <v>248</v>
      </c>
      <c r="B13" s="57">
        <v>30</v>
      </c>
      <c r="C13" s="57">
        <v>1</v>
      </c>
      <c r="D13" s="79">
        <v>500</v>
      </c>
      <c r="E13" s="23">
        <f t="shared" si="3"/>
        <v>500</v>
      </c>
      <c r="F13" s="23">
        <f t="shared" si="1"/>
        <v>15000</v>
      </c>
      <c r="G13" s="61">
        <v>19</v>
      </c>
      <c r="H13" s="12">
        <f t="shared" si="2"/>
        <v>19</v>
      </c>
    </row>
    <row r="14" spans="1:8" ht="19.5" customHeight="1" thickBot="1" x14ac:dyDescent="0.45">
      <c r="A14" s="202" t="s">
        <v>249</v>
      </c>
      <c r="B14" s="203"/>
      <c r="C14" s="206" t="s">
        <v>224</v>
      </c>
      <c r="D14" s="207"/>
      <c r="E14" s="33">
        <f>SUM(E6:E13)</f>
        <v>62780</v>
      </c>
      <c r="F14" s="208" t="s">
        <v>49</v>
      </c>
      <c r="G14" s="209"/>
      <c r="H14" s="12">
        <f>SUM(H6:H13)</f>
        <v>4491</v>
      </c>
    </row>
    <row r="15" spans="1:8" ht="19.5" customHeight="1" thickBot="1" x14ac:dyDescent="0.45">
      <c r="A15" s="202"/>
      <c r="B15" s="203"/>
      <c r="C15" s="206" t="s">
        <v>225</v>
      </c>
      <c r="D15" s="207"/>
      <c r="E15" s="33">
        <f>SUM(F6:F13)</f>
        <v>1883400</v>
      </c>
      <c r="F15" s="74"/>
      <c r="G15" s="76"/>
      <c r="H15" s="75"/>
    </row>
    <row r="16" spans="1:8" ht="19.5" customHeight="1" thickBot="1" x14ac:dyDescent="0.45">
      <c r="A16" s="202"/>
      <c r="B16" s="203"/>
      <c r="C16" s="210" t="s">
        <v>50</v>
      </c>
      <c r="D16" s="211"/>
      <c r="E16" s="33">
        <v>150000</v>
      </c>
      <c r="F16" s="208" t="s">
        <v>118</v>
      </c>
      <c r="G16" s="212"/>
      <c r="H16" s="209"/>
    </row>
    <row r="17" spans="1:8" ht="19.5" customHeight="1" thickBot="1" x14ac:dyDescent="0.45">
      <c r="A17" s="204"/>
      <c r="B17" s="205"/>
      <c r="C17" s="210" t="s">
        <v>173</v>
      </c>
      <c r="D17" s="211"/>
      <c r="E17" s="34">
        <f>E15+E16</f>
        <v>2033400</v>
      </c>
      <c r="F17" s="199"/>
      <c r="G17" s="200"/>
      <c r="H17" s="201"/>
    </row>
    <row r="18" spans="1:8" x14ac:dyDescent="0.25">
      <c r="A18" t="s">
        <v>234</v>
      </c>
      <c r="B18" s="56">
        <v>2000000</v>
      </c>
    </row>
    <row r="19" spans="1:8" x14ac:dyDescent="0.25">
      <c r="A19" t="s">
        <v>40</v>
      </c>
      <c r="B19" s="31"/>
    </row>
    <row r="20" spans="1:8" x14ac:dyDescent="0.25">
      <c r="A20" t="s">
        <v>37</v>
      </c>
      <c r="B20" s="31"/>
    </row>
    <row r="21" spans="1:8" x14ac:dyDescent="0.25">
      <c r="A21" t="s">
        <v>236</v>
      </c>
    </row>
  </sheetData>
  <mergeCells count="15">
    <mergeCell ref="A14:B17"/>
    <mergeCell ref="C14:D14"/>
    <mergeCell ref="F14:G14"/>
    <mergeCell ref="C15:D15"/>
    <mergeCell ref="C16:D16"/>
    <mergeCell ref="C17:D17"/>
    <mergeCell ref="F17:H17"/>
    <mergeCell ref="F16:H16"/>
    <mergeCell ref="A1:H1"/>
    <mergeCell ref="A2:H2"/>
    <mergeCell ref="A3:H3"/>
    <mergeCell ref="A4:A5"/>
    <mergeCell ref="B4:D4"/>
    <mergeCell ref="E4:F4"/>
    <mergeCell ref="G4:H4"/>
  </mergeCells>
  <pageMargins left="0.70866141732283472" right="0.70866141732283472" top="0.55118110236220474" bottom="0.55118110236220474" header="0.31496062992125984" footer="0.31496062992125984"/>
  <pageSetup paperSize="9" scale="84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D31B-0932-448F-B8DD-735CA86C6C41}">
  <sheetPr>
    <pageSetUpPr fitToPage="1"/>
  </sheetPr>
  <dimension ref="A1:H65"/>
  <sheetViews>
    <sheetView topLeftCell="A53" workbookViewId="0">
      <selection activeCell="L33" sqref="L33"/>
    </sheetView>
  </sheetViews>
  <sheetFormatPr baseColWidth="10" defaultRowHeight="15" x14ac:dyDescent="0.25"/>
  <cols>
    <col min="1" max="1" width="29.140625" bestFit="1" customWidth="1"/>
    <col min="2" max="2" width="12" bestFit="1" customWidth="1"/>
    <col min="5" max="5" width="16.7109375" bestFit="1" customWidth="1"/>
    <col min="6" max="6" width="14.140625" bestFit="1" customWidth="1"/>
  </cols>
  <sheetData>
    <row r="1" spans="1:8" ht="15.75" thickBot="1" x14ac:dyDescent="0.3">
      <c r="A1" s="191" t="s">
        <v>242</v>
      </c>
      <c r="B1" s="192"/>
      <c r="C1" s="192"/>
      <c r="D1" s="192"/>
      <c r="E1" s="192"/>
      <c r="F1" s="192"/>
      <c r="G1" s="192"/>
      <c r="H1" s="193"/>
    </row>
    <row r="2" spans="1:8" ht="18.75" thickBot="1" x14ac:dyDescent="0.3">
      <c r="A2" s="194" t="s">
        <v>244</v>
      </c>
      <c r="B2" s="195"/>
      <c r="C2" s="195"/>
      <c r="D2" s="195"/>
      <c r="E2" s="195"/>
      <c r="F2" s="195"/>
      <c r="G2" s="195"/>
      <c r="H2" s="196"/>
    </row>
    <row r="3" spans="1:8" ht="15.75" thickBot="1" x14ac:dyDescent="0.3">
      <c r="A3" s="191" t="s">
        <v>245</v>
      </c>
      <c r="B3" s="192"/>
      <c r="C3" s="192"/>
      <c r="D3" s="192"/>
      <c r="E3" s="192"/>
      <c r="F3" s="192"/>
      <c r="G3" s="192"/>
      <c r="H3" s="193"/>
    </row>
    <row r="4" spans="1:8" ht="15.75" thickBot="1" x14ac:dyDescent="0.3">
      <c r="A4" s="197" t="s">
        <v>4</v>
      </c>
      <c r="B4" s="199" t="s">
        <v>5</v>
      </c>
      <c r="C4" s="200"/>
      <c r="D4" s="201"/>
      <c r="E4" s="199" t="s">
        <v>6</v>
      </c>
      <c r="F4" s="201"/>
      <c r="G4" s="199" t="s">
        <v>44</v>
      </c>
      <c r="H4" s="201"/>
    </row>
    <row r="5" spans="1:8" x14ac:dyDescent="0.25">
      <c r="A5" s="198"/>
      <c r="B5" s="32" t="s">
        <v>7</v>
      </c>
      <c r="C5" s="32" t="s">
        <v>8</v>
      </c>
      <c r="D5" s="32" t="s">
        <v>9</v>
      </c>
      <c r="E5" s="32" t="s">
        <v>10</v>
      </c>
      <c r="F5" s="32" t="s">
        <v>11</v>
      </c>
      <c r="G5" s="32" t="s">
        <v>45</v>
      </c>
      <c r="H5" s="32" t="s">
        <v>46</v>
      </c>
    </row>
    <row r="6" spans="1:8" x14ac:dyDescent="0.25">
      <c r="A6" s="22" t="s">
        <v>237</v>
      </c>
      <c r="B6" s="1">
        <v>5</v>
      </c>
      <c r="C6" s="14">
        <v>16</v>
      </c>
      <c r="D6" s="23">
        <v>270</v>
      </c>
      <c r="E6" s="23">
        <f t="shared" ref="E6:E13" si="0">C6*D6</f>
        <v>4320</v>
      </c>
      <c r="F6" s="23">
        <f t="shared" ref="F6:F13" si="1">B6*E6</f>
        <v>21600</v>
      </c>
      <c r="G6" s="15">
        <v>13.5</v>
      </c>
      <c r="H6" s="12">
        <f t="shared" ref="H6:H13" si="2">+G6*C6</f>
        <v>216</v>
      </c>
    </row>
    <row r="7" spans="1:8" x14ac:dyDescent="0.25">
      <c r="A7" s="22" t="s">
        <v>243</v>
      </c>
      <c r="B7" s="1">
        <v>5</v>
      </c>
      <c r="C7" s="14">
        <v>8</v>
      </c>
      <c r="D7" s="23">
        <v>200</v>
      </c>
      <c r="E7" s="23">
        <f t="shared" si="0"/>
        <v>1600</v>
      </c>
      <c r="F7" s="23">
        <f t="shared" si="1"/>
        <v>8000</v>
      </c>
      <c r="G7" s="15">
        <v>7</v>
      </c>
      <c r="H7" s="12">
        <f t="shared" si="2"/>
        <v>56</v>
      </c>
    </row>
    <row r="8" spans="1:8" x14ac:dyDescent="0.25">
      <c r="A8" s="22" t="s">
        <v>171</v>
      </c>
      <c r="B8" s="1">
        <v>5</v>
      </c>
      <c r="C8" s="14">
        <v>16</v>
      </c>
      <c r="D8" s="77">
        <v>120</v>
      </c>
      <c r="E8" s="23">
        <f t="shared" si="0"/>
        <v>1920</v>
      </c>
      <c r="F8" s="23">
        <f t="shared" si="1"/>
        <v>9600</v>
      </c>
      <c r="G8" s="15">
        <v>3</v>
      </c>
      <c r="H8" s="12">
        <f t="shared" si="2"/>
        <v>48</v>
      </c>
    </row>
    <row r="9" spans="1:8" x14ac:dyDescent="0.25">
      <c r="A9" s="22" t="s">
        <v>14</v>
      </c>
      <c r="B9" s="1">
        <v>5</v>
      </c>
      <c r="C9" s="14">
        <v>8</v>
      </c>
      <c r="D9" s="77">
        <v>120</v>
      </c>
      <c r="E9" s="23">
        <f t="shared" si="0"/>
        <v>960</v>
      </c>
      <c r="F9" s="23">
        <f t="shared" si="1"/>
        <v>4800</v>
      </c>
      <c r="G9" s="15">
        <v>1</v>
      </c>
      <c r="H9" s="12">
        <f t="shared" ref="H9" si="3">+G9*C9</f>
        <v>8</v>
      </c>
    </row>
    <row r="10" spans="1:8" x14ac:dyDescent="0.25">
      <c r="A10" s="22" t="s">
        <v>239</v>
      </c>
      <c r="B10" s="1">
        <v>5</v>
      </c>
      <c r="C10" s="14">
        <v>14</v>
      </c>
      <c r="D10" s="77">
        <v>120</v>
      </c>
      <c r="E10" s="23">
        <f t="shared" si="0"/>
        <v>1680</v>
      </c>
      <c r="F10" s="23">
        <f t="shared" si="1"/>
        <v>8400</v>
      </c>
      <c r="G10" s="15">
        <v>15.5</v>
      </c>
      <c r="H10" s="12">
        <f t="shared" si="2"/>
        <v>217</v>
      </c>
    </row>
    <row r="11" spans="1:8" x14ac:dyDescent="0.25">
      <c r="A11" s="22" t="s">
        <v>172</v>
      </c>
      <c r="B11" s="1">
        <v>5</v>
      </c>
      <c r="C11" s="1">
        <v>240</v>
      </c>
      <c r="D11" s="27">
        <v>18</v>
      </c>
      <c r="E11" s="23">
        <f t="shared" si="0"/>
        <v>4320</v>
      </c>
      <c r="F11" s="23">
        <f t="shared" si="1"/>
        <v>21600</v>
      </c>
      <c r="G11" s="26">
        <v>0.01</v>
      </c>
      <c r="H11" s="12">
        <f t="shared" si="2"/>
        <v>2.4</v>
      </c>
    </row>
    <row r="12" spans="1:8" x14ac:dyDescent="0.25">
      <c r="A12" s="22" t="s">
        <v>246</v>
      </c>
      <c r="B12" s="1">
        <v>5</v>
      </c>
      <c r="C12" s="1">
        <v>27</v>
      </c>
      <c r="D12" s="27">
        <v>45</v>
      </c>
      <c r="E12" s="23">
        <f t="shared" si="0"/>
        <v>1215</v>
      </c>
      <c r="F12" s="23">
        <f t="shared" si="1"/>
        <v>6075</v>
      </c>
      <c r="G12" s="26">
        <v>0</v>
      </c>
      <c r="H12" s="12">
        <f t="shared" si="2"/>
        <v>0</v>
      </c>
    </row>
    <row r="13" spans="1:8" x14ac:dyDescent="0.25">
      <c r="A13" s="22" t="s">
        <v>283</v>
      </c>
      <c r="B13" s="1">
        <v>5</v>
      </c>
      <c r="C13" s="1">
        <v>2</v>
      </c>
      <c r="D13" s="27">
        <v>500</v>
      </c>
      <c r="E13" s="23">
        <f t="shared" si="0"/>
        <v>1000</v>
      </c>
      <c r="F13" s="23">
        <f t="shared" si="1"/>
        <v>5000</v>
      </c>
      <c r="G13" s="26">
        <v>19</v>
      </c>
      <c r="H13" s="12">
        <f t="shared" si="2"/>
        <v>38</v>
      </c>
    </row>
    <row r="14" spans="1:8" ht="19.5" thickBot="1" x14ac:dyDescent="0.45">
      <c r="A14" s="202"/>
      <c r="B14" s="203"/>
      <c r="C14" s="206" t="s">
        <v>224</v>
      </c>
      <c r="D14" s="207"/>
      <c r="E14" s="33">
        <f>SUM(E6:E13)</f>
        <v>17015</v>
      </c>
      <c r="F14" s="208" t="s">
        <v>49</v>
      </c>
      <c r="G14" s="209"/>
      <c r="H14" s="12">
        <f>SUM(H6:H11)</f>
        <v>547.4</v>
      </c>
    </row>
    <row r="15" spans="1:8" ht="19.5" thickBot="1" x14ac:dyDescent="0.45">
      <c r="A15" s="202"/>
      <c r="B15" s="203"/>
      <c r="C15" s="206" t="s">
        <v>225</v>
      </c>
      <c r="D15" s="207"/>
      <c r="E15" s="33">
        <f>E14*5</f>
        <v>85075</v>
      </c>
      <c r="F15" s="74"/>
      <c r="G15" s="76"/>
      <c r="H15" s="75"/>
    </row>
    <row r="16" spans="1:8" ht="19.5" thickBot="1" x14ac:dyDescent="0.45">
      <c r="A16" s="202"/>
      <c r="B16" s="203"/>
      <c r="C16" s="210" t="s">
        <v>50</v>
      </c>
      <c r="D16" s="211"/>
      <c r="E16" s="33">
        <v>30000</v>
      </c>
      <c r="F16" s="208" t="s">
        <v>118</v>
      </c>
      <c r="G16" s="212"/>
      <c r="H16" s="209"/>
    </row>
    <row r="17" spans="1:8" ht="19.5" thickBot="1" x14ac:dyDescent="0.45">
      <c r="A17" s="204"/>
      <c r="B17" s="205"/>
      <c r="C17" s="210" t="s">
        <v>173</v>
      </c>
      <c r="D17" s="211"/>
      <c r="E17" s="34">
        <f>E15+E16</f>
        <v>115075</v>
      </c>
      <c r="F17" s="199"/>
      <c r="G17" s="200"/>
      <c r="H17" s="201"/>
    </row>
    <row r="18" spans="1:8" ht="15.75" thickBot="1" x14ac:dyDescent="0.3"/>
    <row r="19" spans="1:8" ht="18.75" x14ac:dyDescent="0.3">
      <c r="A19" s="233" t="s">
        <v>292</v>
      </c>
      <c r="B19" s="234"/>
      <c r="C19" s="234"/>
      <c r="D19" s="234"/>
      <c r="E19" s="235"/>
    </row>
    <row r="20" spans="1:8" x14ac:dyDescent="0.25">
      <c r="A20" s="114" t="s">
        <v>293</v>
      </c>
      <c r="B20" s="115" t="s">
        <v>258</v>
      </c>
      <c r="C20" s="116" t="s">
        <v>294</v>
      </c>
      <c r="D20" s="236" t="s">
        <v>295</v>
      </c>
      <c r="E20" s="237"/>
    </row>
    <row r="21" spans="1:8" x14ac:dyDescent="0.25">
      <c r="A21" s="22" t="s">
        <v>246</v>
      </c>
      <c r="B21" s="27">
        <v>2500</v>
      </c>
      <c r="C21" s="22">
        <v>18</v>
      </c>
      <c r="D21" s="238">
        <f>B21*C21</f>
        <v>45000</v>
      </c>
      <c r="E21" s="239"/>
    </row>
    <row r="22" spans="1:8" ht="19.5" thickBot="1" x14ac:dyDescent="0.45">
      <c r="A22" s="117"/>
      <c r="B22" s="229" t="s">
        <v>296</v>
      </c>
      <c r="C22" s="229"/>
      <c r="D22" s="230">
        <f>SUM(D21:E21)</f>
        <v>45000</v>
      </c>
      <c r="E22" s="231"/>
    </row>
    <row r="23" spans="1:8" x14ac:dyDescent="0.25">
      <c r="A23" t="s">
        <v>173</v>
      </c>
      <c r="D23" s="232">
        <f>E17+D22</f>
        <v>160075</v>
      </c>
      <c r="E23" s="179"/>
    </row>
    <row r="32" spans="1:8" ht="15.75" thickBot="1" x14ac:dyDescent="0.3"/>
    <row r="33" spans="1:8" ht="15.75" thickBot="1" x14ac:dyDescent="0.3">
      <c r="A33" s="191" t="s">
        <v>288</v>
      </c>
      <c r="B33" s="192"/>
      <c r="C33" s="192"/>
      <c r="D33" s="192"/>
      <c r="E33" s="192"/>
      <c r="F33" s="192"/>
      <c r="G33" s="192"/>
      <c r="H33" s="193"/>
    </row>
    <row r="34" spans="1:8" ht="18.75" thickBot="1" x14ac:dyDescent="0.3">
      <c r="A34" s="194" t="s">
        <v>244</v>
      </c>
      <c r="B34" s="195"/>
      <c r="C34" s="195"/>
      <c r="D34" s="195"/>
      <c r="E34" s="195"/>
      <c r="F34" s="195"/>
      <c r="G34" s="195"/>
      <c r="H34" s="196"/>
    </row>
    <row r="35" spans="1:8" ht="15.75" thickBot="1" x14ac:dyDescent="0.3">
      <c r="A35" s="191" t="s">
        <v>245</v>
      </c>
      <c r="B35" s="192"/>
      <c r="C35" s="192"/>
      <c r="D35" s="192"/>
      <c r="E35" s="192"/>
      <c r="F35" s="192"/>
      <c r="G35" s="192"/>
      <c r="H35" s="193"/>
    </row>
    <row r="36" spans="1:8" ht="15.75" thickBot="1" x14ac:dyDescent="0.3">
      <c r="A36" s="197" t="s">
        <v>4</v>
      </c>
      <c r="B36" s="199" t="s">
        <v>5</v>
      </c>
      <c r="C36" s="200"/>
      <c r="D36" s="201"/>
      <c r="E36" s="199" t="s">
        <v>6</v>
      </c>
      <c r="F36" s="201"/>
      <c r="G36" s="199" t="s">
        <v>44</v>
      </c>
      <c r="H36" s="201"/>
    </row>
    <row r="37" spans="1:8" x14ac:dyDescent="0.25">
      <c r="A37" s="198"/>
      <c r="B37" s="32" t="s">
        <v>7</v>
      </c>
      <c r="C37" s="32" t="s">
        <v>8</v>
      </c>
      <c r="D37" s="32" t="s">
        <v>9</v>
      </c>
      <c r="E37" s="32" t="s">
        <v>10</v>
      </c>
      <c r="F37" s="32" t="s">
        <v>11</v>
      </c>
      <c r="G37" s="32" t="s">
        <v>45</v>
      </c>
      <c r="H37" s="32" t="s">
        <v>46</v>
      </c>
    </row>
    <row r="38" spans="1:8" x14ac:dyDescent="0.25">
      <c r="A38" s="3" t="s">
        <v>284</v>
      </c>
      <c r="B38" s="1">
        <v>15</v>
      </c>
      <c r="C38" s="14">
        <v>143</v>
      </c>
      <c r="D38" s="23">
        <v>350</v>
      </c>
      <c r="E38" s="23">
        <f t="shared" ref="E38:E42" si="4">C38*D38</f>
        <v>50050</v>
      </c>
      <c r="F38" s="23">
        <f t="shared" ref="F38:F42" si="5">B38*E38</f>
        <v>750750</v>
      </c>
      <c r="G38" s="15">
        <v>13.5</v>
      </c>
      <c r="H38" s="4">
        <f t="shared" ref="H38:H42" si="6">+G38*C38</f>
        <v>1930.5</v>
      </c>
    </row>
    <row r="39" spans="1:8" x14ac:dyDescent="0.25">
      <c r="A39" s="3" t="s">
        <v>239</v>
      </c>
      <c r="B39" s="1">
        <v>15</v>
      </c>
      <c r="C39" s="14">
        <v>80</v>
      </c>
      <c r="D39" s="77">
        <v>130</v>
      </c>
      <c r="E39" s="23">
        <f t="shared" si="4"/>
        <v>10400</v>
      </c>
      <c r="F39" s="23">
        <f t="shared" si="5"/>
        <v>156000</v>
      </c>
      <c r="G39" s="15">
        <v>15.5</v>
      </c>
      <c r="H39" s="4">
        <f t="shared" si="6"/>
        <v>1240</v>
      </c>
    </row>
    <row r="40" spans="1:8" x14ac:dyDescent="0.25">
      <c r="A40" s="3" t="s">
        <v>172</v>
      </c>
      <c r="B40" s="1">
        <v>15</v>
      </c>
      <c r="C40" s="1">
        <v>450</v>
      </c>
      <c r="D40" s="27">
        <v>20</v>
      </c>
      <c r="E40" s="23">
        <f t="shared" si="4"/>
        <v>9000</v>
      </c>
      <c r="F40" s="23">
        <f t="shared" si="5"/>
        <v>135000</v>
      </c>
      <c r="G40" s="26">
        <v>0.01</v>
      </c>
      <c r="H40" s="4">
        <f t="shared" si="6"/>
        <v>4.5</v>
      </c>
    </row>
    <row r="41" spans="1:8" x14ac:dyDescent="0.25">
      <c r="A41" s="22" t="s">
        <v>286</v>
      </c>
      <c r="B41" s="1">
        <v>15</v>
      </c>
      <c r="C41" s="1">
        <v>8</v>
      </c>
      <c r="D41" s="27">
        <v>120</v>
      </c>
      <c r="E41" s="23">
        <f t="shared" si="4"/>
        <v>960</v>
      </c>
      <c r="F41" s="23">
        <f t="shared" si="5"/>
        <v>14400</v>
      </c>
      <c r="G41" s="26">
        <v>13</v>
      </c>
      <c r="H41" s="4">
        <f t="shared" si="6"/>
        <v>104</v>
      </c>
    </row>
    <row r="42" spans="1:8" x14ac:dyDescent="0.25">
      <c r="A42" s="80" t="s">
        <v>285</v>
      </c>
      <c r="B42" s="1">
        <v>15</v>
      </c>
      <c r="C42" s="1">
        <v>32</v>
      </c>
      <c r="D42" s="27">
        <v>12</v>
      </c>
      <c r="E42" s="23">
        <f t="shared" si="4"/>
        <v>384</v>
      </c>
      <c r="F42" s="23">
        <f t="shared" si="5"/>
        <v>5760</v>
      </c>
      <c r="G42" s="26">
        <v>29</v>
      </c>
      <c r="H42" s="4">
        <f t="shared" si="6"/>
        <v>928</v>
      </c>
    </row>
    <row r="43" spans="1:8" ht="19.5" thickBot="1" x14ac:dyDescent="0.45">
      <c r="A43" s="202"/>
      <c r="B43" s="203"/>
      <c r="C43" s="206" t="s">
        <v>224</v>
      </c>
      <c r="D43" s="207"/>
      <c r="E43" s="33">
        <v>71000</v>
      </c>
      <c r="F43" s="208" t="s">
        <v>49</v>
      </c>
      <c r="G43" s="209"/>
      <c r="H43" s="113">
        <f>SUM(H38:H42)</f>
        <v>4207</v>
      </c>
    </row>
    <row r="44" spans="1:8" ht="19.5" thickBot="1" x14ac:dyDescent="0.45">
      <c r="A44" s="202"/>
      <c r="B44" s="203"/>
      <c r="C44" s="206" t="s">
        <v>225</v>
      </c>
      <c r="D44" s="207"/>
      <c r="E44" s="33">
        <f>E43*15</f>
        <v>1065000</v>
      </c>
      <c r="F44" s="74"/>
      <c r="G44" s="76"/>
      <c r="H44" s="75"/>
    </row>
    <row r="45" spans="1:8" ht="19.5" thickBot="1" x14ac:dyDescent="0.45">
      <c r="A45" s="202"/>
      <c r="B45" s="203"/>
      <c r="C45" s="210" t="s">
        <v>50</v>
      </c>
      <c r="D45" s="211"/>
      <c r="E45" s="33">
        <v>100000</v>
      </c>
      <c r="F45" s="208" t="s">
        <v>118</v>
      </c>
      <c r="G45" s="212"/>
      <c r="H45" s="209"/>
    </row>
    <row r="46" spans="1:8" ht="19.5" thickBot="1" x14ac:dyDescent="0.45">
      <c r="A46" s="204"/>
      <c r="B46" s="205"/>
      <c r="C46" s="210" t="s">
        <v>173</v>
      </c>
      <c r="D46" s="211"/>
      <c r="E46" s="34">
        <f>E44+E45</f>
        <v>1165000</v>
      </c>
      <c r="F46" s="199"/>
      <c r="G46" s="200"/>
      <c r="H46" s="201"/>
    </row>
    <row r="47" spans="1:8" x14ac:dyDescent="0.25">
      <c r="A47" t="s">
        <v>287</v>
      </c>
      <c r="E47" s="112">
        <v>800000</v>
      </c>
    </row>
    <row r="49" spans="1:8" ht="15.75" thickBot="1" x14ac:dyDescent="0.3"/>
    <row r="50" spans="1:8" ht="15.75" thickBot="1" x14ac:dyDescent="0.3">
      <c r="A50" s="191" t="s">
        <v>288</v>
      </c>
      <c r="B50" s="192"/>
      <c r="C50" s="192"/>
      <c r="D50" s="192"/>
      <c r="E50" s="192"/>
      <c r="F50" s="192"/>
      <c r="G50" s="192"/>
      <c r="H50" s="193"/>
    </row>
    <row r="51" spans="1:8" ht="18.75" thickBot="1" x14ac:dyDescent="0.3">
      <c r="A51" s="194" t="s">
        <v>244</v>
      </c>
      <c r="B51" s="195"/>
      <c r="C51" s="195"/>
      <c r="D51" s="195"/>
      <c r="E51" s="195"/>
      <c r="F51" s="195"/>
      <c r="G51" s="195"/>
      <c r="H51" s="196"/>
    </row>
    <row r="52" spans="1:8" ht="15.75" thickBot="1" x14ac:dyDescent="0.3">
      <c r="A52" s="191" t="s">
        <v>245</v>
      </c>
      <c r="B52" s="192"/>
      <c r="C52" s="192"/>
      <c r="D52" s="192"/>
      <c r="E52" s="192"/>
      <c r="F52" s="192"/>
      <c r="G52" s="192"/>
      <c r="H52" s="193"/>
    </row>
    <row r="53" spans="1:8" ht="15.75" thickBot="1" x14ac:dyDescent="0.3">
      <c r="A53" s="197" t="s">
        <v>4</v>
      </c>
      <c r="B53" s="199" t="s">
        <v>5</v>
      </c>
      <c r="C53" s="200"/>
      <c r="D53" s="201"/>
      <c r="E53" s="199" t="s">
        <v>6</v>
      </c>
      <c r="F53" s="201"/>
      <c r="G53" s="199" t="s">
        <v>44</v>
      </c>
      <c r="H53" s="201"/>
    </row>
    <row r="54" spans="1:8" x14ac:dyDescent="0.25">
      <c r="A54" s="198"/>
      <c r="B54" s="32" t="s">
        <v>7</v>
      </c>
      <c r="C54" s="32" t="s">
        <v>8</v>
      </c>
      <c r="D54" s="32" t="s">
        <v>9</v>
      </c>
      <c r="E54" s="32" t="s">
        <v>10</v>
      </c>
      <c r="F54" s="32" t="s">
        <v>11</v>
      </c>
      <c r="G54" s="32" t="s">
        <v>45</v>
      </c>
      <c r="H54" s="32" t="s">
        <v>46</v>
      </c>
    </row>
    <row r="55" spans="1:8" x14ac:dyDescent="0.25">
      <c r="A55" s="3" t="s">
        <v>289</v>
      </c>
      <c r="B55" s="1">
        <v>15</v>
      </c>
      <c r="C55" s="14">
        <v>95</v>
      </c>
      <c r="D55" s="23">
        <v>180</v>
      </c>
      <c r="E55" s="23">
        <f t="shared" ref="E55:E60" si="7">C55*D55</f>
        <v>17100</v>
      </c>
      <c r="F55" s="23">
        <f t="shared" ref="F55:F60" si="8">B55*E55</f>
        <v>256500</v>
      </c>
      <c r="G55" s="15">
        <v>26</v>
      </c>
      <c r="H55" s="4">
        <f t="shared" ref="H55:H60" si="9">+G55*C55</f>
        <v>2470</v>
      </c>
    </row>
    <row r="56" spans="1:8" x14ac:dyDescent="0.25">
      <c r="A56" s="3" t="s">
        <v>239</v>
      </c>
      <c r="B56" s="1">
        <v>15</v>
      </c>
      <c r="C56" s="14">
        <v>80</v>
      </c>
      <c r="D56" s="77">
        <v>150</v>
      </c>
      <c r="E56" s="23">
        <f t="shared" si="7"/>
        <v>12000</v>
      </c>
      <c r="F56" s="23">
        <f t="shared" si="8"/>
        <v>180000</v>
      </c>
      <c r="G56" s="15">
        <v>15.5</v>
      </c>
      <c r="H56" s="4">
        <f t="shared" si="9"/>
        <v>1240</v>
      </c>
    </row>
    <row r="57" spans="1:8" x14ac:dyDescent="0.25">
      <c r="A57" s="3" t="s">
        <v>124</v>
      </c>
      <c r="B57" s="1">
        <v>15</v>
      </c>
      <c r="C57" s="1">
        <v>20</v>
      </c>
      <c r="D57" s="27">
        <v>140</v>
      </c>
      <c r="E57" s="23">
        <f t="shared" si="7"/>
        <v>2800</v>
      </c>
      <c r="F57" s="23">
        <f t="shared" si="8"/>
        <v>42000</v>
      </c>
      <c r="G57" s="26">
        <v>16</v>
      </c>
      <c r="H57" s="4">
        <f t="shared" si="9"/>
        <v>320</v>
      </c>
    </row>
    <row r="58" spans="1:8" x14ac:dyDescent="0.25">
      <c r="A58" s="22" t="s">
        <v>290</v>
      </c>
      <c r="B58" s="1">
        <v>15</v>
      </c>
      <c r="C58" s="1">
        <v>8</v>
      </c>
      <c r="D58" s="27">
        <v>120</v>
      </c>
      <c r="E58" s="23">
        <f t="shared" si="7"/>
        <v>960</v>
      </c>
      <c r="F58" s="23">
        <f t="shared" si="8"/>
        <v>14400</v>
      </c>
      <c r="G58" s="26">
        <v>13</v>
      </c>
      <c r="H58" s="4">
        <f t="shared" si="9"/>
        <v>104</v>
      </c>
    </row>
    <row r="59" spans="1:8" x14ac:dyDescent="0.25">
      <c r="A59" s="80" t="s">
        <v>285</v>
      </c>
      <c r="B59" s="1">
        <v>15</v>
      </c>
      <c r="C59" s="1">
        <v>32</v>
      </c>
      <c r="D59" s="27">
        <v>120</v>
      </c>
      <c r="E59" s="23">
        <f t="shared" si="7"/>
        <v>3840</v>
      </c>
      <c r="F59" s="23">
        <f t="shared" si="8"/>
        <v>57600</v>
      </c>
      <c r="G59" s="26">
        <v>29</v>
      </c>
      <c r="H59" s="4">
        <f t="shared" si="9"/>
        <v>928</v>
      </c>
    </row>
    <row r="60" spans="1:8" x14ac:dyDescent="0.25">
      <c r="A60" s="3" t="s">
        <v>291</v>
      </c>
      <c r="B60" s="1">
        <v>15</v>
      </c>
      <c r="C60" s="14">
        <v>20</v>
      </c>
      <c r="D60" s="23">
        <v>260</v>
      </c>
      <c r="E60" s="23">
        <f t="shared" si="7"/>
        <v>5200</v>
      </c>
      <c r="F60" s="23">
        <f t="shared" si="8"/>
        <v>78000</v>
      </c>
      <c r="G60" s="15">
        <v>13.5</v>
      </c>
      <c r="H60" s="4">
        <f t="shared" si="9"/>
        <v>270</v>
      </c>
    </row>
    <row r="61" spans="1:8" ht="19.5" thickBot="1" x14ac:dyDescent="0.45">
      <c r="A61" s="202" t="s">
        <v>297</v>
      </c>
      <c r="B61" s="203"/>
      <c r="C61" s="206" t="s">
        <v>224</v>
      </c>
      <c r="D61" s="207"/>
      <c r="E61" s="33">
        <v>42000</v>
      </c>
      <c r="F61" s="208" t="s">
        <v>49</v>
      </c>
      <c r="G61" s="209"/>
      <c r="H61" s="113">
        <f>SUM(H55:H59)</f>
        <v>5062</v>
      </c>
    </row>
    <row r="62" spans="1:8" ht="19.5" thickBot="1" x14ac:dyDescent="0.45">
      <c r="A62" s="202"/>
      <c r="B62" s="203"/>
      <c r="C62" s="206" t="s">
        <v>225</v>
      </c>
      <c r="D62" s="207"/>
      <c r="E62" s="33">
        <f>E61*15</f>
        <v>630000</v>
      </c>
      <c r="F62" s="74"/>
      <c r="G62" s="76"/>
      <c r="H62" s="75"/>
    </row>
    <row r="63" spans="1:8" ht="19.5" thickBot="1" x14ac:dyDescent="0.45">
      <c r="A63" s="202"/>
      <c r="B63" s="203"/>
      <c r="C63" s="210" t="s">
        <v>50</v>
      </c>
      <c r="D63" s="211"/>
      <c r="E63" s="33">
        <v>150000</v>
      </c>
      <c r="F63" s="208" t="s">
        <v>118</v>
      </c>
      <c r="G63" s="212"/>
      <c r="H63" s="209"/>
    </row>
    <row r="64" spans="1:8" ht="19.5" thickBot="1" x14ac:dyDescent="0.45">
      <c r="A64" s="204"/>
      <c r="B64" s="205"/>
      <c r="C64" s="210" t="s">
        <v>173</v>
      </c>
      <c r="D64" s="211"/>
      <c r="E64" s="34">
        <f>E62+E63</f>
        <v>780000</v>
      </c>
      <c r="F64" s="199"/>
      <c r="G64" s="200"/>
      <c r="H64" s="201"/>
    </row>
    <row r="65" spans="1:5" x14ac:dyDescent="0.25">
      <c r="A65" t="s">
        <v>94</v>
      </c>
      <c r="E65" s="118">
        <v>800000</v>
      </c>
    </row>
  </sheetData>
  <mergeCells count="51">
    <mergeCell ref="B22:C22"/>
    <mergeCell ref="D22:E22"/>
    <mergeCell ref="D23:E23"/>
    <mergeCell ref="A19:E19"/>
    <mergeCell ref="D20:E20"/>
    <mergeCell ref="D21:E21"/>
    <mergeCell ref="A61:B64"/>
    <mergeCell ref="C61:D61"/>
    <mergeCell ref="F61:G61"/>
    <mergeCell ref="C62:D62"/>
    <mergeCell ref="C63:D63"/>
    <mergeCell ref="F63:H63"/>
    <mergeCell ref="C64:D64"/>
    <mergeCell ref="F64:H64"/>
    <mergeCell ref="A50:H50"/>
    <mergeCell ref="A51:H51"/>
    <mergeCell ref="A52:H52"/>
    <mergeCell ref="A53:A54"/>
    <mergeCell ref="B53:D53"/>
    <mergeCell ref="E53:F53"/>
    <mergeCell ref="G53:H53"/>
    <mergeCell ref="A43:B46"/>
    <mergeCell ref="C43:D43"/>
    <mergeCell ref="F43:G43"/>
    <mergeCell ref="C44:D44"/>
    <mergeCell ref="C45:D45"/>
    <mergeCell ref="F45:H45"/>
    <mergeCell ref="C46:D46"/>
    <mergeCell ref="F46:H46"/>
    <mergeCell ref="A33:H33"/>
    <mergeCell ref="A34:H34"/>
    <mergeCell ref="A35:H35"/>
    <mergeCell ref="A36:A37"/>
    <mergeCell ref="B36:D36"/>
    <mergeCell ref="E36:F36"/>
    <mergeCell ref="G36:H36"/>
    <mergeCell ref="A14:B17"/>
    <mergeCell ref="C14:D14"/>
    <mergeCell ref="F14:G14"/>
    <mergeCell ref="C15:D15"/>
    <mergeCell ref="C16:D16"/>
    <mergeCell ref="F16:H16"/>
    <mergeCell ref="C17:D17"/>
    <mergeCell ref="F17:H17"/>
    <mergeCell ref="A1:H1"/>
    <mergeCell ref="A2:H2"/>
    <mergeCell ref="A3:H3"/>
    <mergeCell ref="A4:A5"/>
    <mergeCell ref="B4:D4"/>
    <mergeCell ref="E4:F4"/>
    <mergeCell ref="G4:H4"/>
  </mergeCells>
  <printOptions horizontalCentered="1" verticalCentered="1"/>
  <pageMargins left="0.70866141732283472" right="0.70866141732283472" top="0.55118110236220474" bottom="0.55118110236220474" header="0.31496062992125984" footer="0.31496062992125984"/>
  <pageSetup paperSize="9" scale="5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25D12-C51B-4555-90AF-73235B2B226C}">
  <dimension ref="A1:H16"/>
  <sheetViews>
    <sheetView workbookViewId="0">
      <selection sqref="A1:H16"/>
    </sheetView>
  </sheetViews>
  <sheetFormatPr baseColWidth="10" defaultRowHeight="15" x14ac:dyDescent="0.25"/>
  <cols>
    <col min="1" max="1" width="26.140625" customWidth="1"/>
    <col min="2" max="2" width="14.5703125" bestFit="1" customWidth="1"/>
    <col min="5" max="5" width="15.7109375" customWidth="1"/>
  </cols>
  <sheetData>
    <row r="1" spans="1:8" x14ac:dyDescent="0.25">
      <c r="A1" s="226" t="s">
        <v>322</v>
      </c>
      <c r="B1" s="227"/>
      <c r="C1" s="227"/>
      <c r="D1" s="227"/>
      <c r="E1" s="227"/>
      <c r="F1" s="227"/>
      <c r="G1" s="227"/>
      <c r="H1" s="228"/>
    </row>
    <row r="2" spans="1:8" x14ac:dyDescent="0.25">
      <c r="A2" s="145" t="s">
        <v>323</v>
      </c>
      <c r="B2" s="146"/>
      <c r="C2" s="146"/>
      <c r="D2" s="146"/>
      <c r="E2" s="146"/>
      <c r="F2" s="146"/>
      <c r="G2" s="146"/>
      <c r="H2" s="147"/>
    </row>
    <row r="3" spans="1:8" x14ac:dyDescent="0.25">
      <c r="A3" s="145" t="s">
        <v>324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ht="30" x14ac:dyDescent="0.25">
      <c r="A5" s="148"/>
      <c r="B5" s="1" t="s">
        <v>7</v>
      </c>
      <c r="C5" s="1" t="s">
        <v>8</v>
      </c>
      <c r="D5" s="1" t="s">
        <v>9</v>
      </c>
      <c r="E5" s="21" t="s">
        <v>78</v>
      </c>
      <c r="F5" s="21" t="s">
        <v>79</v>
      </c>
      <c r="G5" s="21" t="s">
        <v>80</v>
      </c>
      <c r="H5" s="54" t="s">
        <v>81</v>
      </c>
    </row>
    <row r="6" spans="1:8" ht="34.5" x14ac:dyDescent="0.25">
      <c r="A6" s="55" t="s">
        <v>85</v>
      </c>
      <c r="B6" s="1">
        <v>5</v>
      </c>
      <c r="C6" s="14">
        <v>3</v>
      </c>
      <c r="D6" s="23">
        <v>1500</v>
      </c>
      <c r="E6" s="23">
        <f>C6*D6</f>
        <v>4500</v>
      </c>
      <c r="F6" s="23">
        <f>B6*E6</f>
        <v>22500</v>
      </c>
      <c r="G6" s="15">
        <v>40</v>
      </c>
      <c r="H6" s="12">
        <f>+G6*C6</f>
        <v>120</v>
      </c>
    </row>
    <row r="7" spans="1:8" x14ac:dyDescent="0.25">
      <c r="A7" s="3" t="s">
        <v>82</v>
      </c>
      <c r="B7" s="1">
        <v>5</v>
      </c>
      <c r="C7" s="1">
        <v>4</v>
      </c>
      <c r="D7" s="24">
        <v>500</v>
      </c>
      <c r="E7" s="23">
        <f t="shared" ref="E7:E8" si="0">C7*D7</f>
        <v>2000</v>
      </c>
      <c r="F7" s="23">
        <f t="shared" ref="F7:F8" si="1">B7*E7</f>
        <v>10000</v>
      </c>
      <c r="G7" s="26">
        <v>19</v>
      </c>
      <c r="H7" s="12">
        <f t="shared" ref="H7" si="2">+G7*C7</f>
        <v>76</v>
      </c>
    </row>
    <row r="8" spans="1:8" x14ac:dyDescent="0.25">
      <c r="A8" s="3" t="s">
        <v>86</v>
      </c>
      <c r="B8" s="1">
        <v>5</v>
      </c>
      <c r="C8" s="1">
        <v>4</v>
      </c>
      <c r="D8" s="27">
        <v>750</v>
      </c>
      <c r="E8" s="23">
        <f t="shared" si="0"/>
        <v>3000</v>
      </c>
      <c r="F8" s="23">
        <f t="shared" si="1"/>
        <v>15000</v>
      </c>
      <c r="G8" s="26">
        <v>1</v>
      </c>
      <c r="H8" s="12">
        <f>+G8*C8</f>
        <v>4</v>
      </c>
    </row>
    <row r="9" spans="1:8" ht="18.75" x14ac:dyDescent="0.4">
      <c r="A9" s="223"/>
      <c r="B9" s="213"/>
      <c r="C9" s="133" t="s">
        <v>18</v>
      </c>
      <c r="D9" s="134"/>
      <c r="E9" s="16">
        <f>SUM(E6:E8)</f>
        <v>9500</v>
      </c>
      <c r="F9" s="149" t="s">
        <v>49</v>
      </c>
      <c r="G9" s="149"/>
      <c r="H9" s="17">
        <f>SUM(H6:H8)</f>
        <v>200</v>
      </c>
    </row>
    <row r="10" spans="1:8" ht="18.75" x14ac:dyDescent="0.4">
      <c r="A10" s="223"/>
      <c r="B10" s="213"/>
      <c r="C10" s="133" t="s">
        <v>325</v>
      </c>
      <c r="D10" s="134"/>
      <c r="E10" s="16">
        <f>SUM(F6:F8)</f>
        <v>47500</v>
      </c>
      <c r="F10" s="1"/>
      <c r="G10" s="1"/>
      <c r="H10" s="17"/>
    </row>
    <row r="11" spans="1:8" ht="18.75" x14ac:dyDescent="0.4">
      <c r="A11" s="223"/>
      <c r="B11" s="213"/>
      <c r="C11" s="133" t="s">
        <v>50</v>
      </c>
      <c r="D11" s="134"/>
      <c r="E11" s="16">
        <v>70000</v>
      </c>
      <c r="F11" s="240" t="s">
        <v>118</v>
      </c>
      <c r="G11" s="241"/>
      <c r="H11" s="17"/>
    </row>
    <row r="12" spans="1:8" ht="19.5" thickBot="1" x14ac:dyDescent="0.45">
      <c r="A12" s="224"/>
      <c r="B12" s="225"/>
      <c r="C12" s="135" t="s">
        <v>90</v>
      </c>
      <c r="D12" s="135"/>
      <c r="E12" s="18">
        <f>E10+E11</f>
        <v>117500</v>
      </c>
      <c r="F12" s="166"/>
      <c r="G12" s="166"/>
      <c r="H12" s="167"/>
    </row>
    <row r="13" spans="1:8" x14ac:dyDescent="0.25">
      <c r="A13" t="s">
        <v>22</v>
      </c>
    </row>
    <row r="14" spans="1:8" x14ac:dyDescent="0.25">
      <c r="A14" t="s">
        <v>94</v>
      </c>
      <c r="B14" s="56">
        <v>500000</v>
      </c>
    </row>
    <row r="15" spans="1:8" x14ac:dyDescent="0.25">
      <c r="A15" t="s">
        <v>327</v>
      </c>
    </row>
    <row r="16" spans="1:8" x14ac:dyDescent="0.25">
      <c r="A16" t="s">
        <v>326</v>
      </c>
    </row>
  </sheetData>
  <mergeCells count="15">
    <mergeCell ref="A9:B12"/>
    <mergeCell ref="C9:D9"/>
    <mergeCell ref="F9:G9"/>
    <mergeCell ref="C10:D10"/>
    <mergeCell ref="C11:D11"/>
    <mergeCell ref="C12:D12"/>
    <mergeCell ref="F12:H12"/>
    <mergeCell ref="F11:G11"/>
    <mergeCell ref="A1:H1"/>
    <mergeCell ref="A2:H2"/>
    <mergeCell ref="A3:H3"/>
    <mergeCell ref="A4:A5"/>
    <mergeCell ref="B4:D4"/>
    <mergeCell ref="E4:F4"/>
    <mergeCell ref="G4:H4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0F574-F986-40D7-B761-7F4F3D69DE31}">
  <sheetPr>
    <pageSetUpPr fitToPage="1"/>
  </sheetPr>
  <dimension ref="A1:H36"/>
  <sheetViews>
    <sheetView workbookViewId="0">
      <selection activeCell="I3" sqref="I3"/>
    </sheetView>
  </sheetViews>
  <sheetFormatPr baseColWidth="10" defaultRowHeight="15" x14ac:dyDescent="0.25"/>
  <cols>
    <col min="1" max="1" width="26.140625" bestFit="1" customWidth="1"/>
    <col min="4" max="4" width="13" bestFit="1" customWidth="1"/>
    <col min="5" max="5" width="20.28515625" customWidth="1"/>
    <col min="6" max="6" width="14.140625" bestFit="1" customWidth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8" x14ac:dyDescent="0.25">
      <c r="A2" s="139" t="s">
        <v>328</v>
      </c>
      <c r="B2" s="140"/>
      <c r="C2" s="140"/>
      <c r="D2" s="140"/>
      <c r="E2" s="140"/>
      <c r="F2" s="141"/>
    </row>
    <row r="3" spans="1:6" ht="18" x14ac:dyDescent="0.25">
      <c r="A3" s="142" t="s">
        <v>335</v>
      </c>
      <c r="B3" s="143"/>
      <c r="C3" s="143"/>
      <c r="D3" s="143"/>
      <c r="E3" s="143"/>
      <c r="F3" s="144"/>
    </row>
    <row r="4" spans="1:6" x14ac:dyDescent="0.25">
      <c r="A4" s="148" t="s">
        <v>4</v>
      </c>
      <c r="B4" s="149" t="s">
        <v>5</v>
      </c>
      <c r="C4" s="149"/>
      <c r="D4" s="149"/>
      <c r="E4" s="149" t="s">
        <v>6</v>
      </c>
      <c r="F4" s="150"/>
    </row>
    <row r="5" spans="1:6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2" t="s">
        <v>11</v>
      </c>
    </row>
    <row r="6" spans="1:6" x14ac:dyDescent="0.25">
      <c r="A6" s="3" t="s">
        <v>329</v>
      </c>
      <c r="B6" s="4">
        <v>5</v>
      </c>
      <c r="C6" s="4">
        <v>28</v>
      </c>
      <c r="D6" s="5">
        <v>300</v>
      </c>
      <c r="E6" s="6">
        <f>C6*D6</f>
        <v>8400</v>
      </c>
      <c r="F6" s="7">
        <f>B6*E6</f>
        <v>42000</v>
      </c>
    </row>
    <row r="7" spans="1:6" x14ac:dyDescent="0.25">
      <c r="A7" s="3" t="s">
        <v>330</v>
      </c>
      <c r="B7" s="4">
        <v>5</v>
      </c>
      <c r="C7" s="4">
        <v>2</v>
      </c>
      <c r="D7" s="5">
        <v>320</v>
      </c>
      <c r="E7" s="6">
        <f>C7*D7</f>
        <v>640</v>
      </c>
      <c r="F7" s="7">
        <f t="shared" ref="F7:F11" si="0">B7*E7</f>
        <v>3200</v>
      </c>
    </row>
    <row r="8" spans="1:6" x14ac:dyDescent="0.25">
      <c r="A8" s="3" t="s">
        <v>301</v>
      </c>
      <c r="B8" s="4">
        <v>5</v>
      </c>
      <c r="C8" s="4">
        <v>10</v>
      </c>
      <c r="D8" s="5">
        <v>150</v>
      </c>
      <c r="E8" s="6">
        <f t="shared" ref="E8:E11" si="1">C8*D8</f>
        <v>1500</v>
      </c>
      <c r="F8" s="7">
        <f t="shared" si="0"/>
        <v>7500</v>
      </c>
    </row>
    <row r="9" spans="1:6" x14ac:dyDescent="0.25">
      <c r="A9" s="3" t="s">
        <v>32</v>
      </c>
      <c r="B9" s="4">
        <v>5</v>
      </c>
      <c r="C9" s="4">
        <v>30</v>
      </c>
      <c r="D9" s="5">
        <v>120</v>
      </c>
      <c r="E9" s="6">
        <f t="shared" si="1"/>
        <v>3600</v>
      </c>
      <c r="F9" s="7">
        <f t="shared" si="0"/>
        <v>18000</v>
      </c>
    </row>
    <row r="10" spans="1:6" x14ac:dyDescent="0.25">
      <c r="A10" s="3" t="s">
        <v>16</v>
      </c>
      <c r="B10" s="4">
        <v>5</v>
      </c>
      <c r="C10" s="4">
        <v>225</v>
      </c>
      <c r="D10" s="5">
        <v>20</v>
      </c>
      <c r="E10" s="6">
        <f t="shared" si="1"/>
        <v>4500</v>
      </c>
      <c r="F10" s="7">
        <f t="shared" si="0"/>
        <v>22500</v>
      </c>
    </row>
    <row r="11" spans="1:6" x14ac:dyDescent="0.25">
      <c r="A11" s="3" t="s">
        <v>98</v>
      </c>
      <c r="B11" s="4">
        <v>5</v>
      </c>
      <c r="C11" s="4">
        <v>60</v>
      </c>
      <c r="D11" s="5">
        <v>15</v>
      </c>
      <c r="E11" s="6">
        <f t="shared" si="1"/>
        <v>900</v>
      </c>
      <c r="F11" s="7">
        <f t="shared" si="0"/>
        <v>4500</v>
      </c>
    </row>
    <row r="12" spans="1:6" ht="18.75" x14ac:dyDescent="0.4">
      <c r="A12" s="123"/>
      <c r="B12" s="124"/>
      <c r="C12" s="129" t="s">
        <v>18</v>
      </c>
      <c r="D12" s="129"/>
      <c r="E12" s="8">
        <v>20000</v>
      </c>
      <c r="F12" s="130"/>
    </row>
    <row r="13" spans="1:6" ht="18.75" x14ac:dyDescent="0.4">
      <c r="A13" s="123"/>
      <c r="B13" s="124"/>
      <c r="C13" s="129" t="s">
        <v>19</v>
      </c>
      <c r="D13" s="129"/>
      <c r="E13" s="8">
        <v>100000</v>
      </c>
      <c r="F13" s="130"/>
    </row>
    <row r="14" spans="1:6" ht="18.75" x14ac:dyDescent="0.4">
      <c r="A14" s="125"/>
      <c r="B14" s="126"/>
      <c r="C14" s="133" t="s">
        <v>20</v>
      </c>
      <c r="D14" s="134"/>
      <c r="E14" s="9">
        <v>60000</v>
      </c>
      <c r="F14" s="131"/>
    </row>
    <row r="15" spans="1:6" ht="23.25" thickBot="1" x14ac:dyDescent="0.5">
      <c r="A15" s="127"/>
      <c r="B15" s="128"/>
      <c r="C15" s="135" t="s">
        <v>21</v>
      </c>
      <c r="D15" s="135"/>
      <c r="E15" s="10">
        <f>E13+E14</f>
        <v>160000</v>
      </c>
      <c r="F15" s="132"/>
    </row>
    <row r="16" spans="1:6" x14ac:dyDescent="0.25">
      <c r="A16" t="s">
        <v>331</v>
      </c>
      <c r="C16">
        <v>30</v>
      </c>
      <c r="D16" s="31">
        <v>3500</v>
      </c>
      <c r="E16" s="31">
        <f>C16*D16</f>
        <v>105000</v>
      </c>
    </row>
    <row r="17" spans="1:8" x14ac:dyDescent="0.25">
      <c r="A17" t="s">
        <v>173</v>
      </c>
      <c r="E17" s="72">
        <f>E15+E16</f>
        <v>265000</v>
      </c>
    </row>
    <row r="18" spans="1:8" x14ac:dyDescent="0.25">
      <c r="A18" t="s">
        <v>94</v>
      </c>
      <c r="D18" s="31">
        <v>300000</v>
      </c>
    </row>
    <row r="19" spans="1:8" x14ac:dyDescent="0.25">
      <c r="A19" t="s">
        <v>336</v>
      </c>
    </row>
    <row r="20" spans="1:8" x14ac:dyDescent="0.25">
      <c r="A20" t="s">
        <v>337</v>
      </c>
    </row>
    <row r="21" spans="1:8" ht="15.75" thickBot="1" x14ac:dyDescent="0.3">
      <c r="A21" t="s">
        <v>24</v>
      </c>
    </row>
    <row r="22" spans="1:8" x14ac:dyDescent="0.25">
      <c r="A22" s="136" t="s">
        <v>42</v>
      </c>
      <c r="B22" s="137"/>
      <c r="C22" s="137"/>
      <c r="D22" s="137"/>
      <c r="E22" s="137"/>
      <c r="F22" s="137"/>
      <c r="G22" s="137"/>
      <c r="H22" s="138"/>
    </row>
    <row r="23" spans="1:8" ht="18" customHeight="1" x14ac:dyDescent="0.25">
      <c r="A23" s="142" t="s">
        <v>328</v>
      </c>
      <c r="B23" s="143"/>
      <c r="C23" s="143"/>
      <c r="D23" s="143"/>
      <c r="E23" s="143"/>
      <c r="F23" s="143"/>
      <c r="G23" s="143"/>
      <c r="H23" s="144"/>
    </row>
    <row r="24" spans="1:8" x14ac:dyDescent="0.25">
      <c r="A24" s="145" t="s">
        <v>334</v>
      </c>
      <c r="B24" s="146"/>
      <c r="C24" s="146"/>
      <c r="D24" s="146"/>
      <c r="E24" s="146"/>
      <c r="F24" s="146"/>
      <c r="G24" s="146"/>
      <c r="H24" s="147"/>
    </row>
    <row r="25" spans="1:8" x14ac:dyDescent="0.25">
      <c r="A25" s="148" t="s">
        <v>4</v>
      </c>
      <c r="B25" s="149" t="s">
        <v>5</v>
      </c>
      <c r="C25" s="149"/>
      <c r="D25" s="149"/>
      <c r="E25" s="149" t="s">
        <v>6</v>
      </c>
      <c r="F25" s="149"/>
      <c r="G25" s="149" t="s">
        <v>44</v>
      </c>
      <c r="H25" s="150"/>
    </row>
    <row r="26" spans="1:8" x14ac:dyDescent="0.25">
      <c r="A26" s="148"/>
      <c r="B26" s="1" t="s">
        <v>7</v>
      </c>
      <c r="C26" s="1" t="s">
        <v>8</v>
      </c>
      <c r="D26" s="1" t="s">
        <v>9</v>
      </c>
      <c r="E26" s="1" t="s">
        <v>10</v>
      </c>
      <c r="F26" s="1" t="s">
        <v>11</v>
      </c>
      <c r="G26" s="1" t="s">
        <v>45</v>
      </c>
      <c r="H26" s="2" t="s">
        <v>46</v>
      </c>
    </row>
    <row r="27" spans="1:8" x14ac:dyDescent="0.25">
      <c r="A27" s="3" t="s">
        <v>47</v>
      </c>
      <c r="B27" s="1">
        <v>15</v>
      </c>
      <c r="C27" s="14">
        <v>135</v>
      </c>
      <c r="D27" s="6">
        <v>180</v>
      </c>
      <c r="E27" s="6">
        <f t="shared" ref="E27:E31" si="2">C27*D27</f>
        <v>24300</v>
      </c>
      <c r="F27" s="6">
        <f>B27*E27</f>
        <v>364500</v>
      </c>
      <c r="G27" s="15">
        <v>25</v>
      </c>
      <c r="H27" s="12">
        <f>G27*C27</f>
        <v>3375</v>
      </c>
    </row>
    <row r="28" spans="1:8" x14ac:dyDescent="0.25">
      <c r="A28" s="63" t="s">
        <v>332</v>
      </c>
      <c r="B28" s="1">
        <v>15</v>
      </c>
      <c r="C28" s="14">
        <v>14</v>
      </c>
      <c r="D28" s="6">
        <v>130</v>
      </c>
      <c r="E28" s="6">
        <f t="shared" si="2"/>
        <v>1820</v>
      </c>
      <c r="F28" s="6">
        <f t="shared" ref="F28:F31" si="3">B28*E28</f>
        <v>27300</v>
      </c>
      <c r="G28" s="15">
        <v>16</v>
      </c>
      <c r="H28" s="12">
        <f t="shared" ref="H28:H31" si="4">G28*C28</f>
        <v>224</v>
      </c>
    </row>
    <row r="29" spans="1:8" x14ac:dyDescent="0.25">
      <c r="A29" s="3" t="s">
        <v>48</v>
      </c>
      <c r="B29" s="1">
        <v>15</v>
      </c>
      <c r="C29" s="4">
        <v>42</v>
      </c>
      <c r="D29" s="6">
        <v>120</v>
      </c>
      <c r="E29" s="6">
        <f t="shared" si="2"/>
        <v>5040</v>
      </c>
      <c r="F29" s="6">
        <f t="shared" si="3"/>
        <v>75600</v>
      </c>
      <c r="G29" s="15">
        <v>29</v>
      </c>
      <c r="H29" s="12">
        <f t="shared" si="4"/>
        <v>1218</v>
      </c>
    </row>
    <row r="30" spans="1:8" x14ac:dyDescent="0.25">
      <c r="A30" s="3" t="s">
        <v>333</v>
      </c>
      <c r="B30" s="1">
        <v>15</v>
      </c>
      <c r="C30" s="4">
        <v>6</v>
      </c>
      <c r="D30" s="6">
        <v>120</v>
      </c>
      <c r="E30" s="6">
        <f t="shared" si="2"/>
        <v>720</v>
      </c>
      <c r="F30" s="6">
        <f t="shared" si="3"/>
        <v>10800</v>
      </c>
      <c r="G30" s="15">
        <v>10</v>
      </c>
      <c r="H30" s="12">
        <f t="shared" si="4"/>
        <v>60</v>
      </c>
    </row>
    <row r="31" spans="1:8" x14ac:dyDescent="0.25">
      <c r="A31" s="3" t="s">
        <v>32</v>
      </c>
      <c r="B31" s="1">
        <v>15</v>
      </c>
      <c r="C31" s="4">
        <v>96</v>
      </c>
      <c r="D31" s="6">
        <v>120</v>
      </c>
      <c r="E31" s="6">
        <f t="shared" si="2"/>
        <v>11520</v>
      </c>
      <c r="F31" s="6">
        <f t="shared" si="3"/>
        <v>172800</v>
      </c>
      <c r="G31" s="15">
        <v>13.5</v>
      </c>
      <c r="H31" s="12">
        <f t="shared" si="4"/>
        <v>1296</v>
      </c>
    </row>
    <row r="32" spans="1:8" ht="18.75" x14ac:dyDescent="0.4">
      <c r="A32" s="152" t="s">
        <v>28</v>
      </c>
      <c r="B32" s="153"/>
      <c r="C32" s="129" t="s">
        <v>18</v>
      </c>
      <c r="D32" s="129"/>
      <c r="E32" s="16">
        <f>SUM(E27:E31)</f>
        <v>43400</v>
      </c>
      <c r="F32" s="149" t="s">
        <v>49</v>
      </c>
      <c r="G32" s="149"/>
      <c r="H32" s="17">
        <f>SUM(H27:H31)</f>
        <v>6173</v>
      </c>
    </row>
    <row r="33" spans="1:8" ht="19.5" thickBot="1" x14ac:dyDescent="0.45">
      <c r="A33" s="154"/>
      <c r="B33" s="155"/>
      <c r="C33" s="135" t="s">
        <v>19</v>
      </c>
      <c r="D33" s="135"/>
      <c r="E33" s="18">
        <f>SUM(F27:F31)</f>
        <v>651000</v>
      </c>
      <c r="F33" s="158"/>
      <c r="G33" s="159"/>
      <c r="H33" s="160"/>
    </row>
    <row r="34" spans="1:8" ht="19.5" thickBot="1" x14ac:dyDescent="0.45">
      <c r="A34" s="154"/>
      <c r="B34" s="155"/>
      <c r="C34" s="161" t="s">
        <v>50</v>
      </c>
      <c r="D34" s="162"/>
      <c r="E34" s="18">
        <v>200000</v>
      </c>
      <c r="F34" s="163" t="s">
        <v>118</v>
      </c>
      <c r="G34" s="164"/>
      <c r="H34" s="165"/>
    </row>
    <row r="35" spans="1:8" ht="19.5" thickBot="1" x14ac:dyDescent="0.45">
      <c r="A35" s="156"/>
      <c r="B35" s="157"/>
      <c r="C35" s="135" t="s">
        <v>52</v>
      </c>
      <c r="D35" s="135"/>
      <c r="E35" s="18">
        <f>E33+E34</f>
        <v>851000</v>
      </c>
      <c r="F35" s="166"/>
      <c r="G35" s="166"/>
      <c r="H35" s="167"/>
    </row>
    <row r="36" spans="1:8" x14ac:dyDescent="0.25">
      <c r="A36" t="s">
        <v>94</v>
      </c>
      <c r="D36" s="31">
        <v>500000</v>
      </c>
    </row>
  </sheetData>
  <mergeCells count="28">
    <mergeCell ref="A1:F1"/>
    <mergeCell ref="A2:F2"/>
    <mergeCell ref="A3:F3"/>
    <mergeCell ref="A4:A5"/>
    <mergeCell ref="B4:D4"/>
    <mergeCell ref="E4:F4"/>
    <mergeCell ref="A12:B15"/>
    <mergeCell ref="C12:D12"/>
    <mergeCell ref="F12:F15"/>
    <mergeCell ref="C13:D13"/>
    <mergeCell ref="C14:D14"/>
    <mergeCell ref="C15:D15"/>
    <mergeCell ref="A22:H22"/>
    <mergeCell ref="A23:H23"/>
    <mergeCell ref="A24:H24"/>
    <mergeCell ref="A25:A26"/>
    <mergeCell ref="B25:D25"/>
    <mergeCell ref="E25:F25"/>
    <mergeCell ref="G25:H25"/>
    <mergeCell ref="A32:B35"/>
    <mergeCell ref="C32:D32"/>
    <mergeCell ref="F32:G32"/>
    <mergeCell ref="C33:D33"/>
    <mergeCell ref="F33:H33"/>
    <mergeCell ref="C34:D34"/>
    <mergeCell ref="F34:H34"/>
    <mergeCell ref="C35:D35"/>
    <mergeCell ref="F35:H35"/>
  </mergeCells>
  <pageMargins left="0.70866141732283472" right="0.70866141732283472" top="0.74803149606299213" bottom="0.74803149606299213" header="0.31496062992125984" footer="0.31496062992125984"/>
  <pageSetup paperSize="9" scale="86" orientation="landscape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E342-DA24-4D3E-9DA7-623ED74EE25D}">
  <sheetPr>
    <pageSetUpPr fitToPage="1"/>
  </sheetPr>
  <dimension ref="A1:H35"/>
  <sheetViews>
    <sheetView topLeftCell="A17" workbookViewId="0">
      <selection activeCell="C12" sqref="C12:D12"/>
    </sheetView>
  </sheetViews>
  <sheetFormatPr baseColWidth="10" defaultRowHeight="15" x14ac:dyDescent="0.25"/>
  <cols>
    <col min="1" max="1" width="36.28515625" bestFit="1" customWidth="1"/>
    <col min="2" max="2" width="15.5703125" bestFit="1" customWidth="1"/>
    <col min="5" max="5" width="16.7109375" bestFit="1" customWidth="1"/>
  </cols>
  <sheetData>
    <row r="1" spans="1:8" x14ac:dyDescent="0.25">
      <c r="A1" s="136" t="s">
        <v>309</v>
      </c>
      <c r="B1" s="137"/>
      <c r="C1" s="137"/>
      <c r="D1" s="137"/>
      <c r="E1" s="137"/>
      <c r="F1" s="137"/>
      <c r="G1" s="137"/>
      <c r="H1" s="138"/>
    </row>
    <row r="2" spans="1:8" ht="18" x14ac:dyDescent="0.25">
      <c r="A2" s="139" t="s">
        <v>43</v>
      </c>
      <c r="B2" s="140"/>
      <c r="C2" s="140"/>
      <c r="D2" s="140"/>
      <c r="E2" s="140"/>
      <c r="F2" s="140"/>
      <c r="G2" s="140"/>
      <c r="H2" s="141"/>
    </row>
    <row r="3" spans="1:8" x14ac:dyDescent="0.25">
      <c r="A3" s="145" t="s">
        <v>310</v>
      </c>
      <c r="B3" s="146"/>
      <c r="C3" s="146"/>
      <c r="D3" s="146"/>
      <c r="E3" s="146"/>
      <c r="F3" s="146"/>
      <c r="G3" s="146"/>
      <c r="H3" s="147"/>
    </row>
    <row r="4" spans="1:8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8" x14ac:dyDescent="0.25">
      <c r="A5" s="148"/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45</v>
      </c>
      <c r="H5" s="2" t="s">
        <v>46</v>
      </c>
    </row>
    <row r="6" spans="1:8" x14ac:dyDescent="0.25">
      <c r="A6" s="47" t="s">
        <v>47</v>
      </c>
      <c r="B6" s="1">
        <v>15</v>
      </c>
      <c r="C6" s="14">
        <v>253</v>
      </c>
      <c r="D6" s="6">
        <v>180</v>
      </c>
      <c r="E6" s="6">
        <f t="shared" ref="E6:E11" si="0">C6*D6</f>
        <v>45540</v>
      </c>
      <c r="F6" s="6">
        <f>B6*E6</f>
        <v>683100</v>
      </c>
      <c r="G6" s="15">
        <v>25</v>
      </c>
      <c r="H6" s="12">
        <f>G6*C6</f>
        <v>6325</v>
      </c>
    </row>
    <row r="7" spans="1:8" x14ac:dyDescent="0.25">
      <c r="A7" s="47" t="s">
        <v>48</v>
      </c>
      <c r="B7" s="1">
        <v>15</v>
      </c>
      <c r="C7" s="4">
        <v>60</v>
      </c>
      <c r="D7" s="6">
        <v>120</v>
      </c>
      <c r="E7" s="6">
        <f t="shared" si="0"/>
        <v>7200</v>
      </c>
      <c r="F7" s="6">
        <f t="shared" ref="F7:F8" si="1">B7*E7</f>
        <v>108000</v>
      </c>
      <c r="G7" s="15">
        <v>29</v>
      </c>
      <c r="H7" s="12">
        <f t="shared" ref="H7:H11" si="2">G7*C7</f>
        <v>1740</v>
      </c>
    </row>
    <row r="8" spans="1:8" x14ac:dyDescent="0.25">
      <c r="A8" s="122" t="s">
        <v>316</v>
      </c>
      <c r="B8" s="1">
        <v>15</v>
      </c>
      <c r="C8" s="4">
        <v>12</v>
      </c>
      <c r="D8" s="6">
        <v>120</v>
      </c>
      <c r="E8" s="6">
        <f t="shared" si="0"/>
        <v>1440</v>
      </c>
      <c r="F8" s="6">
        <f t="shared" si="1"/>
        <v>21600</v>
      </c>
      <c r="G8" s="15">
        <v>12</v>
      </c>
      <c r="H8" s="12">
        <f t="shared" si="2"/>
        <v>144</v>
      </c>
    </row>
    <row r="9" spans="1:8" x14ac:dyDescent="0.25">
      <c r="A9" s="47" t="s">
        <v>311</v>
      </c>
      <c r="B9" s="1">
        <v>15</v>
      </c>
      <c r="C9" s="4">
        <v>144</v>
      </c>
      <c r="D9" s="6">
        <v>180</v>
      </c>
      <c r="E9" s="6">
        <f t="shared" si="0"/>
        <v>25920</v>
      </c>
      <c r="F9" s="6">
        <f t="shared" ref="F9:F11" si="3">B9*E9</f>
        <v>388800</v>
      </c>
      <c r="G9" s="15">
        <v>18.5</v>
      </c>
      <c r="H9" s="12">
        <f t="shared" si="2"/>
        <v>2664</v>
      </c>
    </row>
    <row r="10" spans="1:8" x14ac:dyDescent="0.25">
      <c r="A10" s="47" t="s">
        <v>127</v>
      </c>
      <c r="B10" s="1">
        <v>15</v>
      </c>
      <c r="C10" s="4">
        <v>2</v>
      </c>
      <c r="D10" s="6">
        <v>1500</v>
      </c>
      <c r="E10" s="6">
        <f t="shared" si="0"/>
        <v>3000</v>
      </c>
      <c r="F10" s="6">
        <f t="shared" si="3"/>
        <v>45000</v>
      </c>
      <c r="G10" s="15">
        <v>40</v>
      </c>
      <c r="H10" s="12">
        <f t="shared" si="2"/>
        <v>80</v>
      </c>
    </row>
    <row r="11" spans="1:8" x14ac:dyDescent="0.25">
      <c r="A11" s="47" t="s">
        <v>313</v>
      </c>
      <c r="B11" s="1">
        <v>15</v>
      </c>
      <c r="C11" s="4">
        <v>4</v>
      </c>
      <c r="D11" s="6">
        <v>500</v>
      </c>
      <c r="E11" s="6">
        <f t="shared" si="0"/>
        <v>2000</v>
      </c>
      <c r="F11" s="6">
        <f t="shared" si="3"/>
        <v>30000</v>
      </c>
      <c r="G11" s="15">
        <v>19</v>
      </c>
      <c r="H11" s="12">
        <f t="shared" si="2"/>
        <v>76</v>
      </c>
    </row>
    <row r="12" spans="1:8" ht="18.75" x14ac:dyDescent="0.4">
      <c r="A12" s="152" t="s">
        <v>28</v>
      </c>
      <c r="B12" s="153"/>
      <c r="C12" s="129" t="s">
        <v>18</v>
      </c>
      <c r="D12" s="129"/>
      <c r="E12" s="16">
        <f>SUM(E6:E11)</f>
        <v>85100</v>
      </c>
      <c r="F12" s="149" t="s">
        <v>49</v>
      </c>
      <c r="G12" s="149"/>
      <c r="H12" s="17">
        <f>SUM(H6:H11)</f>
        <v>11029</v>
      </c>
    </row>
    <row r="13" spans="1:8" ht="19.5" thickBot="1" x14ac:dyDescent="0.45">
      <c r="A13" s="154"/>
      <c r="B13" s="155"/>
      <c r="C13" s="135" t="s">
        <v>19</v>
      </c>
      <c r="D13" s="135"/>
      <c r="E13" s="18">
        <f>SUM(F6:F11)</f>
        <v>1276500</v>
      </c>
      <c r="F13" s="189"/>
      <c r="G13" s="159"/>
      <c r="H13" s="160"/>
    </row>
    <row r="14" spans="1:8" ht="19.5" thickBot="1" x14ac:dyDescent="0.45">
      <c r="A14" s="154"/>
      <c r="B14" s="155"/>
      <c r="C14" s="161" t="s">
        <v>50</v>
      </c>
      <c r="D14" s="162"/>
      <c r="E14" s="19"/>
      <c r="F14" s="163" t="s">
        <v>51</v>
      </c>
      <c r="G14" s="164"/>
      <c r="H14" s="165"/>
    </row>
    <row r="15" spans="1:8" ht="19.5" thickBot="1" x14ac:dyDescent="0.45">
      <c r="A15" s="156"/>
      <c r="B15" s="157"/>
      <c r="C15" s="135" t="s">
        <v>52</v>
      </c>
      <c r="D15" s="135"/>
      <c r="E15" s="18">
        <f>E13+E14</f>
        <v>1276500</v>
      </c>
      <c r="F15" s="166"/>
      <c r="G15" s="166"/>
      <c r="H15" s="167"/>
    </row>
    <row r="16" spans="1:8" ht="15.75" x14ac:dyDescent="0.3">
      <c r="A16" s="121" t="s">
        <v>312</v>
      </c>
    </row>
    <row r="17" spans="1:8" x14ac:dyDescent="0.25">
      <c r="A17" s="20" t="s">
        <v>40</v>
      </c>
    </row>
    <row r="18" spans="1:8" x14ac:dyDescent="0.25">
      <c r="A18" s="20" t="s">
        <v>314</v>
      </c>
    </row>
    <row r="19" spans="1:8" x14ac:dyDescent="0.25">
      <c r="A19" s="20" t="s">
        <v>315</v>
      </c>
    </row>
    <row r="20" spans="1:8" x14ac:dyDescent="0.25">
      <c r="A20" s="120" t="s">
        <v>94</v>
      </c>
      <c r="B20" s="112">
        <v>2000000</v>
      </c>
    </row>
    <row r="21" spans="1:8" ht="15.75" thickBot="1" x14ac:dyDescent="0.3"/>
    <row r="22" spans="1:8" ht="15.75" thickBot="1" x14ac:dyDescent="0.3">
      <c r="A22" s="136" t="s">
        <v>309</v>
      </c>
      <c r="B22" s="137"/>
      <c r="C22" s="137"/>
      <c r="D22" s="137"/>
      <c r="E22" s="137"/>
      <c r="F22" s="137"/>
      <c r="G22" s="137"/>
      <c r="H22" s="138"/>
    </row>
    <row r="23" spans="1:8" ht="18.75" thickBot="1" x14ac:dyDescent="0.3">
      <c r="A23" s="194" t="s">
        <v>320</v>
      </c>
      <c r="B23" s="195"/>
      <c r="C23" s="195"/>
      <c r="D23" s="195"/>
      <c r="E23" s="195"/>
      <c r="F23" s="195"/>
      <c r="G23" s="195"/>
      <c r="H23" s="196"/>
    </row>
    <row r="24" spans="1:8" ht="15.75" thickBot="1" x14ac:dyDescent="0.3">
      <c r="A24" s="191" t="s">
        <v>321</v>
      </c>
      <c r="B24" s="192"/>
      <c r="C24" s="192"/>
      <c r="D24" s="192"/>
      <c r="E24" s="192"/>
      <c r="F24" s="192"/>
      <c r="G24" s="192"/>
      <c r="H24" s="193"/>
    </row>
    <row r="25" spans="1:8" ht="15.75" thickBot="1" x14ac:dyDescent="0.3">
      <c r="A25" s="197" t="s">
        <v>4</v>
      </c>
      <c r="B25" s="199" t="s">
        <v>5</v>
      </c>
      <c r="C25" s="200"/>
      <c r="D25" s="201"/>
      <c r="E25" s="199" t="s">
        <v>6</v>
      </c>
      <c r="F25" s="201"/>
      <c r="G25" s="199" t="s">
        <v>44</v>
      </c>
      <c r="H25" s="201"/>
    </row>
    <row r="26" spans="1:8" x14ac:dyDescent="0.25">
      <c r="A26" s="198"/>
      <c r="B26" s="32" t="s">
        <v>7</v>
      </c>
      <c r="C26" s="32" t="s">
        <v>8</v>
      </c>
      <c r="D26" s="32" t="s">
        <v>9</v>
      </c>
      <c r="E26" s="32" t="s">
        <v>10</v>
      </c>
      <c r="F26" s="32" t="s">
        <v>11</v>
      </c>
      <c r="G26" s="32" t="s">
        <v>45</v>
      </c>
      <c r="H26" s="32" t="s">
        <v>46</v>
      </c>
    </row>
    <row r="27" spans="1:8" x14ac:dyDescent="0.25">
      <c r="A27" s="3" t="s">
        <v>237</v>
      </c>
      <c r="B27" s="1">
        <v>5</v>
      </c>
      <c r="C27" s="14">
        <v>60</v>
      </c>
      <c r="D27" s="23">
        <v>270</v>
      </c>
      <c r="E27" s="23">
        <f t="shared" ref="E27" si="4">C27*D27</f>
        <v>16200</v>
      </c>
      <c r="F27" s="23">
        <f t="shared" ref="F27:F31" si="5">B27*E27</f>
        <v>81000</v>
      </c>
      <c r="G27" s="15">
        <v>13.5</v>
      </c>
      <c r="H27" s="12">
        <f t="shared" ref="H27:H31" si="6">+G27*C27</f>
        <v>810</v>
      </c>
    </row>
    <row r="28" spans="1:8" x14ac:dyDescent="0.25">
      <c r="A28" s="3" t="s">
        <v>239</v>
      </c>
      <c r="B28" s="1">
        <v>5</v>
      </c>
      <c r="C28" s="14">
        <v>20</v>
      </c>
      <c r="D28" s="77">
        <v>130</v>
      </c>
      <c r="E28" s="23">
        <f t="shared" ref="E28:E31" si="7">C28*D28</f>
        <v>2600</v>
      </c>
      <c r="F28" s="23">
        <f t="shared" si="5"/>
        <v>13000</v>
      </c>
      <c r="G28" s="15">
        <v>15.5</v>
      </c>
      <c r="H28" s="12">
        <f t="shared" si="6"/>
        <v>310</v>
      </c>
    </row>
    <row r="29" spans="1:8" x14ac:dyDescent="0.25">
      <c r="A29" s="3" t="s">
        <v>172</v>
      </c>
      <c r="B29" s="1">
        <v>5</v>
      </c>
      <c r="C29" s="1">
        <v>625</v>
      </c>
      <c r="D29" s="27">
        <v>20</v>
      </c>
      <c r="E29" s="23">
        <f t="shared" si="7"/>
        <v>12500</v>
      </c>
      <c r="F29" s="23">
        <f t="shared" si="5"/>
        <v>62500</v>
      </c>
      <c r="G29" s="26">
        <v>0.01</v>
      </c>
      <c r="H29" s="12">
        <f t="shared" si="6"/>
        <v>6.25</v>
      </c>
    </row>
    <row r="30" spans="1:8" x14ac:dyDescent="0.25">
      <c r="A30" s="3" t="s">
        <v>14</v>
      </c>
      <c r="B30" s="4">
        <v>5</v>
      </c>
      <c r="C30" s="4">
        <v>40</v>
      </c>
      <c r="D30" s="5">
        <v>45</v>
      </c>
      <c r="E30" s="6">
        <f t="shared" si="7"/>
        <v>1800</v>
      </c>
      <c r="F30" s="7">
        <f t="shared" si="5"/>
        <v>9000</v>
      </c>
      <c r="G30" s="26">
        <v>1</v>
      </c>
      <c r="H30" s="12">
        <f t="shared" si="6"/>
        <v>40</v>
      </c>
    </row>
    <row r="31" spans="1:8" x14ac:dyDescent="0.25">
      <c r="A31" s="3" t="s">
        <v>15</v>
      </c>
      <c r="B31" s="4">
        <v>5</v>
      </c>
      <c r="C31" s="4">
        <v>40</v>
      </c>
      <c r="D31" s="5">
        <v>80</v>
      </c>
      <c r="E31" s="6">
        <f t="shared" si="7"/>
        <v>3200</v>
      </c>
      <c r="F31" s="7">
        <f t="shared" si="5"/>
        <v>16000</v>
      </c>
      <c r="G31" s="61">
        <v>3</v>
      </c>
      <c r="H31" s="12">
        <f t="shared" si="6"/>
        <v>120</v>
      </c>
    </row>
    <row r="32" spans="1:8" ht="19.5" thickBot="1" x14ac:dyDescent="0.45">
      <c r="A32" s="202"/>
      <c r="B32" s="203"/>
      <c r="C32" s="206" t="s">
        <v>224</v>
      </c>
      <c r="D32" s="207"/>
      <c r="E32" s="33">
        <f>SUM(E27:E31)</f>
        <v>36300</v>
      </c>
      <c r="F32" s="208" t="s">
        <v>49</v>
      </c>
      <c r="G32" s="209"/>
      <c r="H32" s="12">
        <f>SUM(H27:H31)</f>
        <v>1286.25</v>
      </c>
    </row>
    <row r="33" spans="1:8" ht="19.5" thickBot="1" x14ac:dyDescent="0.45">
      <c r="A33" s="202"/>
      <c r="B33" s="203"/>
      <c r="C33" s="206" t="s">
        <v>225</v>
      </c>
      <c r="D33" s="207"/>
      <c r="E33" s="33">
        <f>SUM(F27:F31)</f>
        <v>181500</v>
      </c>
      <c r="F33" s="74"/>
      <c r="G33" s="76"/>
      <c r="H33" s="75"/>
    </row>
    <row r="34" spans="1:8" ht="19.5" thickBot="1" x14ac:dyDescent="0.45">
      <c r="A34" s="202"/>
      <c r="B34" s="203"/>
      <c r="C34" s="210" t="s">
        <v>50</v>
      </c>
      <c r="D34" s="211"/>
      <c r="E34" s="33">
        <v>60000</v>
      </c>
      <c r="F34" s="208" t="s">
        <v>118</v>
      </c>
      <c r="G34" s="212"/>
      <c r="H34" s="209"/>
    </row>
    <row r="35" spans="1:8" ht="19.5" thickBot="1" x14ac:dyDescent="0.45">
      <c r="A35" s="204"/>
      <c r="B35" s="205"/>
      <c r="C35" s="210" t="s">
        <v>173</v>
      </c>
      <c r="D35" s="211"/>
      <c r="E35" s="34">
        <f>E33+E34</f>
        <v>241500</v>
      </c>
      <c r="F35" s="199"/>
      <c r="G35" s="200"/>
      <c r="H35" s="201"/>
    </row>
  </sheetData>
  <mergeCells count="31">
    <mergeCell ref="A1:H1"/>
    <mergeCell ref="A2:H2"/>
    <mergeCell ref="A3:H3"/>
    <mergeCell ref="A4:A5"/>
    <mergeCell ref="B4:D4"/>
    <mergeCell ref="E4:F4"/>
    <mergeCell ref="G4:H4"/>
    <mergeCell ref="A12:B15"/>
    <mergeCell ref="C12:D12"/>
    <mergeCell ref="F12:G12"/>
    <mergeCell ref="C13:D13"/>
    <mergeCell ref="F13:H13"/>
    <mergeCell ref="C14:D14"/>
    <mergeCell ref="F14:H14"/>
    <mergeCell ref="C15:D15"/>
    <mergeCell ref="F15:H15"/>
    <mergeCell ref="A22:H22"/>
    <mergeCell ref="A23:H23"/>
    <mergeCell ref="A24:H24"/>
    <mergeCell ref="A25:A26"/>
    <mergeCell ref="B25:D25"/>
    <mergeCell ref="E25:F25"/>
    <mergeCell ref="G25:H25"/>
    <mergeCell ref="A32:B35"/>
    <mergeCell ref="C32:D32"/>
    <mergeCell ref="F32:G32"/>
    <mergeCell ref="C33:D33"/>
    <mergeCell ref="C34:D34"/>
    <mergeCell ref="F34:H34"/>
    <mergeCell ref="C35:D35"/>
    <mergeCell ref="F35:H35"/>
  </mergeCells>
  <pageMargins left="0.70866141732283472" right="0.70866141732283472" top="0.74803149606299213" bottom="0.74803149606299213" header="0.31496062992125984" footer="0.31496062992125984"/>
  <pageSetup paperSize="9" scale="88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9CC25-41FE-47FD-B610-D94EA179B0E5}">
  <dimension ref="A1:F15"/>
  <sheetViews>
    <sheetView workbookViewId="0">
      <selection activeCell="A8" sqref="A8:F9"/>
    </sheetView>
  </sheetViews>
  <sheetFormatPr baseColWidth="10" defaultRowHeight="15" x14ac:dyDescent="0.25"/>
  <cols>
    <col min="1" max="1" width="19.85546875" bestFit="1" customWidth="1"/>
    <col min="5" max="5" width="18.42578125" bestFit="1" customWidth="1"/>
  </cols>
  <sheetData>
    <row r="1" spans="1:6" x14ac:dyDescent="0.25">
      <c r="A1" s="136" t="s">
        <v>0</v>
      </c>
      <c r="B1" s="137"/>
      <c r="C1" s="137"/>
      <c r="D1" s="137"/>
      <c r="E1" s="137"/>
      <c r="F1" s="138"/>
    </row>
    <row r="2" spans="1:6" ht="18" x14ac:dyDescent="0.25">
      <c r="A2" s="139" t="s">
        <v>317</v>
      </c>
      <c r="B2" s="140"/>
      <c r="C2" s="140"/>
      <c r="D2" s="140"/>
      <c r="E2" s="140"/>
      <c r="F2" s="141"/>
    </row>
    <row r="3" spans="1:6" ht="18" x14ac:dyDescent="0.25">
      <c r="A3" s="142" t="s">
        <v>199</v>
      </c>
      <c r="B3" s="143"/>
      <c r="C3" s="143"/>
      <c r="D3" s="143"/>
      <c r="E3" s="143"/>
      <c r="F3" s="144"/>
    </row>
    <row r="4" spans="1:6" x14ac:dyDescent="0.25">
      <c r="A4" s="145" t="s">
        <v>319</v>
      </c>
      <c r="B4" s="146"/>
      <c r="C4" s="146"/>
      <c r="D4" s="146"/>
      <c r="E4" s="146"/>
      <c r="F4" s="147"/>
    </row>
    <row r="5" spans="1:6" x14ac:dyDescent="0.25">
      <c r="A5" s="148" t="s">
        <v>4</v>
      </c>
      <c r="B5" s="149" t="s">
        <v>5</v>
      </c>
      <c r="C5" s="149"/>
      <c r="D5" s="149"/>
      <c r="E5" s="149" t="s">
        <v>6</v>
      </c>
      <c r="F5" s="150"/>
    </row>
    <row r="6" spans="1:6" x14ac:dyDescent="0.25">
      <c r="A6" s="148"/>
      <c r="B6" s="1" t="s">
        <v>7</v>
      </c>
      <c r="C6" s="1" t="s">
        <v>8</v>
      </c>
      <c r="D6" s="1" t="s">
        <v>9</v>
      </c>
      <c r="E6" s="1" t="s">
        <v>10</v>
      </c>
      <c r="F6" s="2" t="s">
        <v>11</v>
      </c>
    </row>
    <row r="7" spans="1:6" x14ac:dyDescent="0.25">
      <c r="A7" s="3" t="s">
        <v>13</v>
      </c>
      <c r="B7" s="4">
        <v>5</v>
      </c>
      <c r="C7" s="4">
        <v>16</v>
      </c>
      <c r="D7" s="5">
        <v>270</v>
      </c>
      <c r="E7" s="6">
        <f>C7*D7</f>
        <v>4320</v>
      </c>
      <c r="F7" s="7"/>
    </row>
    <row r="8" spans="1:6" x14ac:dyDescent="0.25">
      <c r="A8" s="3" t="s">
        <v>14</v>
      </c>
      <c r="B8" s="4">
        <v>5</v>
      </c>
      <c r="C8" s="4">
        <v>16</v>
      </c>
      <c r="D8" s="5">
        <v>45</v>
      </c>
      <c r="E8" s="6">
        <f t="shared" ref="E8:E11" si="0">C8*D8</f>
        <v>720</v>
      </c>
      <c r="F8" s="7">
        <f t="shared" ref="F8:F11" si="1">B8*E8</f>
        <v>3600</v>
      </c>
    </row>
    <row r="9" spans="1:6" x14ac:dyDescent="0.25">
      <c r="A9" s="3" t="s">
        <v>15</v>
      </c>
      <c r="B9" s="4">
        <v>5</v>
      </c>
      <c r="C9" s="4">
        <v>8</v>
      </c>
      <c r="D9" s="5">
        <v>80</v>
      </c>
      <c r="E9" s="6">
        <f t="shared" si="0"/>
        <v>640</v>
      </c>
      <c r="F9" s="7">
        <f t="shared" si="1"/>
        <v>3200</v>
      </c>
    </row>
    <row r="10" spans="1:6" x14ac:dyDescent="0.25">
      <c r="A10" s="3" t="s">
        <v>32</v>
      </c>
      <c r="B10" s="4">
        <v>5</v>
      </c>
      <c r="C10" s="4">
        <v>8</v>
      </c>
      <c r="D10" s="5">
        <v>120</v>
      </c>
      <c r="E10" s="6">
        <f t="shared" si="0"/>
        <v>960</v>
      </c>
      <c r="F10" s="7">
        <f t="shared" si="1"/>
        <v>4800</v>
      </c>
    </row>
    <row r="11" spans="1:6" x14ac:dyDescent="0.25">
      <c r="A11" s="3" t="s">
        <v>16</v>
      </c>
      <c r="B11" s="4">
        <v>5</v>
      </c>
      <c r="C11" s="4">
        <v>160</v>
      </c>
      <c r="D11" s="5">
        <v>20</v>
      </c>
      <c r="E11" s="6">
        <f t="shared" si="0"/>
        <v>3200</v>
      </c>
      <c r="F11" s="7">
        <f t="shared" si="1"/>
        <v>16000</v>
      </c>
    </row>
    <row r="12" spans="1:6" ht="18.75" x14ac:dyDescent="0.4">
      <c r="A12" s="123" t="s">
        <v>318</v>
      </c>
      <c r="B12" s="124"/>
      <c r="C12" s="129" t="s">
        <v>18</v>
      </c>
      <c r="D12" s="129"/>
      <c r="E12" s="8">
        <v>10000</v>
      </c>
      <c r="F12" s="130"/>
    </row>
    <row r="13" spans="1:6" ht="18.75" x14ac:dyDescent="0.4">
      <c r="A13" s="123"/>
      <c r="B13" s="124"/>
      <c r="C13" s="129" t="s">
        <v>19</v>
      </c>
      <c r="D13" s="129"/>
      <c r="E13" s="8">
        <v>50000</v>
      </c>
      <c r="F13" s="130"/>
    </row>
    <row r="14" spans="1:6" ht="18.75" x14ac:dyDescent="0.4">
      <c r="A14" s="125"/>
      <c r="B14" s="126"/>
      <c r="C14" s="133" t="s">
        <v>20</v>
      </c>
      <c r="D14" s="134"/>
      <c r="E14" s="9"/>
      <c r="F14" s="131"/>
    </row>
    <row r="15" spans="1:6" ht="23.25" thickBot="1" x14ac:dyDescent="0.5">
      <c r="A15" s="127"/>
      <c r="B15" s="128"/>
      <c r="C15" s="135" t="s">
        <v>21</v>
      </c>
      <c r="D15" s="135"/>
      <c r="E15" s="10">
        <f>E13+E14</f>
        <v>50000</v>
      </c>
      <c r="F15" s="132"/>
    </row>
  </sheetData>
  <mergeCells count="13">
    <mergeCell ref="A12:B15"/>
    <mergeCell ref="C12:D12"/>
    <mergeCell ref="F12:F15"/>
    <mergeCell ref="C13:D13"/>
    <mergeCell ref="C14:D14"/>
    <mergeCell ref="C15:D15"/>
    <mergeCell ref="A1:F1"/>
    <mergeCell ref="A2:F2"/>
    <mergeCell ref="A3:F3"/>
    <mergeCell ref="A4:F4"/>
    <mergeCell ref="A5:A6"/>
    <mergeCell ref="B5:D5"/>
    <mergeCell ref="E5:F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A3441-BF4E-4E73-9528-3F28CD3A3DDE}">
  <dimension ref="A1:H34"/>
  <sheetViews>
    <sheetView topLeftCell="A2" workbookViewId="0">
      <selection activeCell="A21" sqref="A21:H34"/>
    </sheetView>
  </sheetViews>
  <sheetFormatPr baseColWidth="10" defaultRowHeight="15" x14ac:dyDescent="0.25"/>
  <cols>
    <col min="1" max="1" width="23.140625" bestFit="1" customWidth="1"/>
    <col min="2" max="2" width="13" bestFit="1" customWidth="1"/>
    <col min="5" max="5" width="20.7109375" customWidth="1"/>
    <col min="6" max="6" width="16.5703125" customWidth="1"/>
  </cols>
  <sheetData>
    <row r="1" spans="1:8" ht="15.75" thickBot="1" x14ac:dyDescent="0.3">
      <c r="A1" s="191" t="s">
        <v>0</v>
      </c>
      <c r="B1" s="192"/>
      <c r="C1" s="192"/>
      <c r="D1" s="192"/>
      <c r="E1" s="192"/>
      <c r="F1" s="192"/>
      <c r="G1" s="192"/>
      <c r="H1" s="193"/>
    </row>
    <row r="2" spans="1:8" ht="18.75" thickBot="1" x14ac:dyDescent="0.3">
      <c r="A2" s="194" t="s">
        <v>149</v>
      </c>
      <c r="B2" s="195"/>
      <c r="C2" s="195"/>
      <c r="D2" s="195"/>
      <c r="E2" s="195"/>
      <c r="F2" s="195"/>
      <c r="G2" s="195"/>
      <c r="H2" s="196"/>
    </row>
    <row r="3" spans="1:8" ht="15.75" thickBot="1" x14ac:dyDescent="0.3">
      <c r="A3" s="191" t="s">
        <v>166</v>
      </c>
      <c r="B3" s="192"/>
      <c r="C3" s="192"/>
      <c r="D3" s="192"/>
      <c r="E3" s="192"/>
      <c r="F3" s="192"/>
      <c r="G3" s="192"/>
      <c r="H3" s="193"/>
    </row>
    <row r="4" spans="1:8" ht="15.75" thickBot="1" x14ac:dyDescent="0.3">
      <c r="A4" s="191" t="s">
        <v>167</v>
      </c>
      <c r="B4" s="192"/>
      <c r="C4" s="192"/>
      <c r="D4" s="192"/>
      <c r="E4" s="192"/>
      <c r="F4" s="192"/>
      <c r="G4" s="192"/>
      <c r="H4" s="193"/>
    </row>
    <row r="5" spans="1:8" ht="15.75" thickBot="1" x14ac:dyDescent="0.3">
      <c r="A5" s="197" t="s">
        <v>4</v>
      </c>
      <c r="B5" s="199" t="s">
        <v>5</v>
      </c>
      <c r="C5" s="200"/>
      <c r="D5" s="201"/>
      <c r="E5" s="199" t="s">
        <v>6</v>
      </c>
      <c r="F5" s="201"/>
      <c r="G5" s="199" t="s">
        <v>44</v>
      </c>
      <c r="H5" s="201"/>
    </row>
    <row r="6" spans="1:8" x14ac:dyDescent="0.25">
      <c r="A6" s="198"/>
      <c r="B6" s="32" t="s">
        <v>7</v>
      </c>
      <c r="C6" s="32" t="s">
        <v>8</v>
      </c>
      <c r="D6" s="32" t="s">
        <v>9</v>
      </c>
      <c r="E6" s="32" t="s">
        <v>10</v>
      </c>
      <c r="F6" s="32" t="s">
        <v>11</v>
      </c>
      <c r="G6" s="32" t="s">
        <v>45</v>
      </c>
      <c r="H6" s="32" t="s">
        <v>46</v>
      </c>
    </row>
    <row r="7" spans="1:8" x14ac:dyDescent="0.25">
      <c r="A7" s="22" t="s">
        <v>150</v>
      </c>
      <c r="B7" s="1">
        <v>14</v>
      </c>
      <c r="C7" s="14">
        <v>50</v>
      </c>
      <c r="D7" s="23">
        <v>300</v>
      </c>
      <c r="E7" s="23">
        <f>C7*D7</f>
        <v>15000</v>
      </c>
      <c r="F7" s="23">
        <f>B7*E7</f>
        <v>210000</v>
      </c>
      <c r="G7" s="15">
        <v>26</v>
      </c>
      <c r="H7" s="4">
        <f>+G7*C7</f>
        <v>1300</v>
      </c>
    </row>
    <row r="8" spans="1:8" x14ac:dyDescent="0.25">
      <c r="A8" s="22" t="s">
        <v>152</v>
      </c>
      <c r="B8" s="1">
        <v>15</v>
      </c>
      <c r="C8" s="4">
        <v>40</v>
      </c>
      <c r="D8" s="6">
        <v>140</v>
      </c>
      <c r="E8" s="6">
        <f t="shared" ref="E8:E11" si="0">C8*D8</f>
        <v>5600</v>
      </c>
      <c r="F8" s="6">
        <f t="shared" ref="F8:F11" si="1">B8*E8</f>
        <v>84000</v>
      </c>
      <c r="G8" s="15">
        <v>18.5</v>
      </c>
      <c r="H8" s="4">
        <f t="shared" ref="H8:H15" si="2">+G8*C8</f>
        <v>740</v>
      </c>
    </row>
    <row r="9" spans="1:8" x14ac:dyDescent="0.25">
      <c r="A9" s="22" t="s">
        <v>154</v>
      </c>
      <c r="B9" s="1">
        <v>14</v>
      </c>
      <c r="C9" s="14">
        <v>20</v>
      </c>
      <c r="D9" s="23">
        <v>225</v>
      </c>
      <c r="E9" s="23">
        <f>C9*D9</f>
        <v>4500</v>
      </c>
      <c r="F9" s="23">
        <f>B9*E9</f>
        <v>63000</v>
      </c>
      <c r="G9" s="15">
        <v>26</v>
      </c>
      <c r="H9" s="4">
        <f>+G9*C9</f>
        <v>520</v>
      </c>
    </row>
    <row r="10" spans="1:8" x14ac:dyDescent="0.25">
      <c r="A10" s="22" t="s">
        <v>30</v>
      </c>
      <c r="B10" s="1">
        <v>15</v>
      </c>
      <c r="C10" s="1">
        <v>12</v>
      </c>
      <c r="D10" s="27">
        <v>110</v>
      </c>
      <c r="E10" s="6">
        <f t="shared" si="0"/>
        <v>1320</v>
      </c>
      <c r="F10" s="6">
        <f t="shared" si="1"/>
        <v>19800</v>
      </c>
      <c r="G10" s="26">
        <v>29</v>
      </c>
      <c r="H10" s="4">
        <f t="shared" si="2"/>
        <v>348</v>
      </c>
    </row>
    <row r="11" spans="1:8" x14ac:dyDescent="0.25">
      <c r="A11" s="22" t="s">
        <v>153</v>
      </c>
      <c r="B11" s="1">
        <v>15</v>
      </c>
      <c r="C11" s="1">
        <v>12</v>
      </c>
      <c r="D11" s="27">
        <v>110</v>
      </c>
      <c r="E11" s="6">
        <f t="shared" si="0"/>
        <v>1320</v>
      </c>
      <c r="F11" s="6">
        <f t="shared" si="1"/>
        <v>19800</v>
      </c>
      <c r="G11" s="26">
        <v>16</v>
      </c>
      <c r="H11" s="4">
        <f t="shared" si="2"/>
        <v>192</v>
      </c>
    </row>
    <row r="12" spans="1:8" x14ac:dyDescent="0.25">
      <c r="A12" s="3" t="s">
        <v>169</v>
      </c>
      <c r="B12" s="1">
        <v>14</v>
      </c>
      <c r="C12" s="14">
        <v>12</v>
      </c>
      <c r="D12" s="23">
        <v>230</v>
      </c>
      <c r="E12" s="23">
        <f>C12*D12</f>
        <v>2760</v>
      </c>
      <c r="F12" s="23">
        <f>B12*E12</f>
        <v>38640</v>
      </c>
      <c r="G12" s="61">
        <v>18.5</v>
      </c>
      <c r="H12" s="4">
        <f t="shared" si="2"/>
        <v>222</v>
      </c>
    </row>
    <row r="13" spans="1:8" x14ac:dyDescent="0.25">
      <c r="A13" s="3" t="s">
        <v>170</v>
      </c>
      <c r="B13" s="1">
        <v>14</v>
      </c>
      <c r="C13" s="14">
        <v>12</v>
      </c>
      <c r="D13" s="23">
        <v>225</v>
      </c>
      <c r="E13" s="23">
        <f t="shared" ref="E13:E15" si="3">C13*D13</f>
        <v>2700</v>
      </c>
      <c r="F13" s="23">
        <f t="shared" ref="F13:F15" si="4">B13*E13</f>
        <v>37800</v>
      </c>
      <c r="G13" s="61">
        <v>9.5</v>
      </c>
      <c r="H13" s="4">
        <f t="shared" si="2"/>
        <v>114</v>
      </c>
    </row>
    <row r="14" spans="1:8" x14ac:dyDescent="0.25">
      <c r="A14" s="3" t="s">
        <v>171</v>
      </c>
      <c r="B14" s="1">
        <v>14</v>
      </c>
      <c r="C14" s="4">
        <v>16</v>
      </c>
      <c r="D14" s="6">
        <v>70</v>
      </c>
      <c r="E14" s="23">
        <f t="shared" si="3"/>
        <v>1120</v>
      </c>
      <c r="F14" s="23">
        <f t="shared" si="4"/>
        <v>15680</v>
      </c>
      <c r="G14" s="61">
        <v>3</v>
      </c>
      <c r="H14" s="4">
        <f t="shared" si="2"/>
        <v>48</v>
      </c>
    </row>
    <row r="15" spans="1:8" x14ac:dyDescent="0.25">
      <c r="A15" s="59" t="s">
        <v>14</v>
      </c>
      <c r="B15" s="57">
        <v>14</v>
      </c>
      <c r="C15" s="4">
        <v>16</v>
      </c>
      <c r="D15" s="58">
        <v>40</v>
      </c>
      <c r="E15" s="23">
        <f t="shared" si="3"/>
        <v>640</v>
      </c>
      <c r="F15" s="23">
        <f t="shared" si="4"/>
        <v>8960</v>
      </c>
      <c r="G15" s="61">
        <v>1</v>
      </c>
      <c r="H15" s="4">
        <f t="shared" si="2"/>
        <v>16</v>
      </c>
    </row>
    <row r="16" spans="1:8" ht="19.5" thickBot="1" x14ac:dyDescent="0.45">
      <c r="A16" s="242" t="s">
        <v>176</v>
      </c>
      <c r="B16" s="243"/>
      <c r="C16" s="206" t="s">
        <v>151</v>
      </c>
      <c r="D16" s="207"/>
      <c r="E16" s="33">
        <f>SUM(E7:E15)</f>
        <v>34960</v>
      </c>
      <c r="F16" s="208" t="s">
        <v>49</v>
      </c>
      <c r="G16" s="209"/>
      <c r="H16" s="4">
        <f>SUM(H7:H15)</f>
        <v>3500</v>
      </c>
    </row>
    <row r="17" spans="1:8" ht="19.5" thickBot="1" x14ac:dyDescent="0.45">
      <c r="A17" s="242"/>
      <c r="B17" s="243"/>
      <c r="C17" s="210"/>
      <c r="D17" s="211"/>
      <c r="E17" s="34">
        <f>SUM(F7:F15)</f>
        <v>497680</v>
      </c>
      <c r="F17" s="246"/>
      <c r="G17" s="247"/>
      <c r="H17" s="248"/>
    </row>
    <row r="18" spans="1:8" ht="19.5" thickBot="1" x14ac:dyDescent="0.45">
      <c r="A18" s="242"/>
      <c r="B18" s="243"/>
      <c r="C18" s="210" t="s">
        <v>50</v>
      </c>
      <c r="D18" s="211"/>
      <c r="E18" s="35"/>
      <c r="F18" s="249" t="s">
        <v>96</v>
      </c>
      <c r="G18" s="250"/>
      <c r="H18" s="251"/>
    </row>
    <row r="19" spans="1:8" ht="23.25" thickBot="1" x14ac:dyDescent="0.5">
      <c r="A19" s="244"/>
      <c r="B19" s="245"/>
      <c r="C19" s="210" t="s">
        <v>21</v>
      </c>
      <c r="D19" s="211"/>
      <c r="E19" s="36">
        <f>E17+E18</f>
        <v>497680</v>
      </c>
      <c r="F19" s="252" t="s">
        <v>97</v>
      </c>
      <c r="G19" s="253"/>
      <c r="H19" s="254"/>
    </row>
    <row r="20" spans="1:8" ht="15.75" thickBot="1" x14ac:dyDescent="0.3">
      <c r="A20" t="s">
        <v>178</v>
      </c>
      <c r="B20" s="56"/>
      <c r="E20" s="112">
        <v>300000</v>
      </c>
    </row>
    <row r="21" spans="1:8" ht="15.75" thickBot="1" x14ac:dyDescent="0.3">
      <c r="A21" s="191" t="s">
        <v>0</v>
      </c>
      <c r="B21" s="192"/>
      <c r="C21" s="192"/>
      <c r="D21" s="192"/>
      <c r="E21" s="192"/>
      <c r="F21" s="192"/>
      <c r="G21" s="192"/>
      <c r="H21" s="193"/>
    </row>
    <row r="22" spans="1:8" ht="18.75" thickBot="1" x14ac:dyDescent="0.3">
      <c r="A22" s="194" t="s">
        <v>168</v>
      </c>
      <c r="B22" s="195"/>
      <c r="C22" s="195"/>
      <c r="D22" s="195"/>
      <c r="E22" s="195"/>
      <c r="F22" s="195"/>
      <c r="G22" s="195"/>
      <c r="H22" s="196"/>
    </row>
    <row r="23" spans="1:8" ht="15.75" thickBot="1" x14ac:dyDescent="0.3">
      <c r="A23" s="191" t="s">
        <v>166</v>
      </c>
      <c r="B23" s="192"/>
      <c r="C23" s="192"/>
      <c r="D23" s="192"/>
      <c r="E23" s="192"/>
      <c r="F23" s="192"/>
      <c r="G23" s="192"/>
      <c r="H23" s="193"/>
    </row>
    <row r="24" spans="1:8" ht="15.75" thickBot="1" x14ac:dyDescent="0.3">
      <c r="A24" s="191" t="s">
        <v>167</v>
      </c>
      <c r="B24" s="192"/>
      <c r="C24" s="192"/>
      <c r="D24" s="192"/>
      <c r="E24" s="192"/>
      <c r="F24" s="192"/>
      <c r="G24" s="192"/>
      <c r="H24" s="193"/>
    </row>
    <row r="25" spans="1:8" ht="15.75" thickBot="1" x14ac:dyDescent="0.3">
      <c r="A25" s="197" t="s">
        <v>4</v>
      </c>
      <c r="B25" s="199" t="s">
        <v>5</v>
      </c>
      <c r="C25" s="200"/>
      <c r="D25" s="201"/>
      <c r="E25" s="199" t="s">
        <v>6</v>
      </c>
      <c r="F25" s="201"/>
      <c r="G25" s="199" t="s">
        <v>44</v>
      </c>
      <c r="H25" s="201"/>
    </row>
    <row r="26" spans="1:8" x14ac:dyDescent="0.25">
      <c r="A26" s="198"/>
      <c r="B26" s="32" t="s">
        <v>7</v>
      </c>
      <c r="C26" s="32" t="s">
        <v>8</v>
      </c>
      <c r="D26" s="32" t="s">
        <v>9</v>
      </c>
      <c r="E26" s="32" t="s">
        <v>10</v>
      </c>
      <c r="F26" s="32" t="s">
        <v>11</v>
      </c>
      <c r="G26" s="32" t="s">
        <v>45</v>
      </c>
      <c r="H26" s="32" t="s">
        <v>46</v>
      </c>
    </row>
    <row r="27" spans="1:8" x14ac:dyDescent="0.25">
      <c r="A27" s="3" t="s">
        <v>169</v>
      </c>
      <c r="B27" s="1">
        <v>5</v>
      </c>
      <c r="C27" s="14">
        <v>12</v>
      </c>
      <c r="D27" s="23">
        <v>230</v>
      </c>
      <c r="E27" s="23">
        <f>C27*D27</f>
        <v>2760</v>
      </c>
      <c r="F27" s="23">
        <f>B27*E27</f>
        <v>13800</v>
      </c>
      <c r="G27" s="15">
        <v>26</v>
      </c>
      <c r="H27" s="12">
        <f>+G27*C27</f>
        <v>312</v>
      </c>
    </row>
    <row r="28" spans="1:8" x14ac:dyDescent="0.25">
      <c r="A28" s="3" t="s">
        <v>170</v>
      </c>
      <c r="B28" s="1">
        <v>5</v>
      </c>
      <c r="C28" s="14">
        <v>12</v>
      </c>
      <c r="D28" s="23">
        <v>225</v>
      </c>
      <c r="E28" s="23">
        <f t="shared" ref="E28:E31" si="5">C28*D28</f>
        <v>2700</v>
      </c>
      <c r="F28" s="23">
        <f t="shared" ref="F28:F31" si="6">B28*E28</f>
        <v>13500</v>
      </c>
      <c r="G28" s="15">
        <v>26</v>
      </c>
      <c r="H28" s="12">
        <f>+G28*C28</f>
        <v>312</v>
      </c>
    </row>
    <row r="29" spans="1:8" x14ac:dyDescent="0.25">
      <c r="A29" s="3" t="s">
        <v>171</v>
      </c>
      <c r="B29" s="1">
        <v>5</v>
      </c>
      <c r="C29" s="4">
        <v>16</v>
      </c>
      <c r="D29" s="6">
        <v>70</v>
      </c>
      <c r="E29" s="23">
        <f t="shared" si="5"/>
        <v>1120</v>
      </c>
      <c r="F29" s="23">
        <f t="shared" si="6"/>
        <v>5600</v>
      </c>
      <c r="G29" s="15"/>
      <c r="H29" s="12"/>
    </row>
    <row r="30" spans="1:8" x14ac:dyDescent="0.25">
      <c r="A30" s="59" t="s">
        <v>14</v>
      </c>
      <c r="B30" s="57">
        <v>5</v>
      </c>
      <c r="C30" s="4">
        <v>16</v>
      </c>
      <c r="D30" s="58">
        <v>40</v>
      </c>
      <c r="E30" s="23">
        <f t="shared" si="5"/>
        <v>640</v>
      </c>
      <c r="F30" s="23">
        <f t="shared" si="6"/>
        <v>3200</v>
      </c>
      <c r="H30" s="60"/>
    </row>
    <row r="31" spans="1:8" x14ac:dyDescent="0.25">
      <c r="A31" s="3" t="s">
        <v>172</v>
      </c>
      <c r="B31" s="1">
        <v>5</v>
      </c>
      <c r="C31" s="1">
        <v>300</v>
      </c>
      <c r="D31" s="27">
        <v>18</v>
      </c>
      <c r="E31" s="23">
        <f t="shared" si="5"/>
        <v>5400</v>
      </c>
      <c r="F31" s="23">
        <f t="shared" si="6"/>
        <v>27000</v>
      </c>
      <c r="G31" s="26"/>
      <c r="H31" s="12"/>
    </row>
    <row r="32" spans="1:8" ht="19.5" thickBot="1" x14ac:dyDescent="0.45">
      <c r="A32" s="202" t="s">
        <v>175</v>
      </c>
      <c r="B32" s="203"/>
      <c r="C32" s="206" t="s">
        <v>151</v>
      </c>
      <c r="D32" s="207"/>
      <c r="E32" s="33">
        <f>SUM(E27:E31)</f>
        <v>12620</v>
      </c>
      <c r="F32" s="208" t="s">
        <v>49</v>
      </c>
      <c r="G32" s="209"/>
      <c r="H32" s="12">
        <f>SUM(H27:H31)</f>
        <v>624</v>
      </c>
    </row>
    <row r="33" spans="1:8" ht="35.25" customHeight="1" thickBot="1" x14ac:dyDescent="0.45">
      <c r="A33" s="204"/>
      <c r="B33" s="205"/>
      <c r="C33" s="210" t="s">
        <v>173</v>
      </c>
      <c r="D33" s="211"/>
      <c r="E33" s="34">
        <f>SUM(F27:F31)</f>
        <v>63100</v>
      </c>
      <c r="F33" s="199"/>
      <c r="G33" s="200"/>
      <c r="H33" s="201"/>
    </row>
    <row r="34" spans="1:8" x14ac:dyDescent="0.25">
      <c r="A34" t="s">
        <v>174</v>
      </c>
      <c r="B34" s="57"/>
      <c r="E34" s="112">
        <v>63100</v>
      </c>
    </row>
  </sheetData>
  <mergeCells count="30">
    <mergeCell ref="A1:H1"/>
    <mergeCell ref="A2:H2"/>
    <mergeCell ref="A3:H3"/>
    <mergeCell ref="A4:H4"/>
    <mergeCell ref="A5:A6"/>
    <mergeCell ref="B5:D5"/>
    <mergeCell ref="E5:F5"/>
    <mergeCell ref="G5:H5"/>
    <mergeCell ref="A16:B19"/>
    <mergeCell ref="C16:D16"/>
    <mergeCell ref="F16:G16"/>
    <mergeCell ref="C17:D17"/>
    <mergeCell ref="F17:H17"/>
    <mergeCell ref="C18:D18"/>
    <mergeCell ref="F18:H18"/>
    <mergeCell ref="C19:D19"/>
    <mergeCell ref="F19:H19"/>
    <mergeCell ref="A21:H21"/>
    <mergeCell ref="A22:H22"/>
    <mergeCell ref="A23:H23"/>
    <mergeCell ref="A24:H24"/>
    <mergeCell ref="A25:A26"/>
    <mergeCell ref="B25:D25"/>
    <mergeCell ref="E25:F25"/>
    <mergeCell ref="G25:H25"/>
    <mergeCell ref="A32:B33"/>
    <mergeCell ref="C32:D32"/>
    <mergeCell ref="F32:G32"/>
    <mergeCell ref="C33:D33"/>
    <mergeCell ref="F33:H3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52B9-C5F8-4DDA-AF14-3926BBD3614C}">
  <dimension ref="A1:K24"/>
  <sheetViews>
    <sheetView topLeftCell="A13" workbookViewId="0">
      <selection sqref="A1:H24"/>
    </sheetView>
  </sheetViews>
  <sheetFormatPr baseColWidth="10" defaultRowHeight="15" x14ac:dyDescent="0.25"/>
  <cols>
    <col min="1" max="1" width="24.7109375" customWidth="1"/>
    <col min="3" max="3" width="13" bestFit="1" customWidth="1"/>
    <col min="5" max="5" width="13" bestFit="1" customWidth="1"/>
  </cols>
  <sheetData>
    <row r="1" spans="1:11" x14ac:dyDescent="0.25">
      <c r="A1" s="226" t="s">
        <v>194</v>
      </c>
      <c r="B1" s="227"/>
      <c r="C1" s="227"/>
      <c r="D1" s="227"/>
      <c r="E1" s="227"/>
      <c r="F1" s="227"/>
      <c r="G1" s="227"/>
      <c r="H1" s="228"/>
    </row>
    <row r="2" spans="1:11" x14ac:dyDescent="0.25">
      <c r="A2" s="145" t="s">
        <v>191</v>
      </c>
      <c r="B2" s="146"/>
      <c r="C2" s="146"/>
      <c r="D2" s="146"/>
      <c r="E2" s="146"/>
      <c r="F2" s="146"/>
      <c r="G2" s="146"/>
      <c r="H2" s="147"/>
    </row>
    <row r="3" spans="1:11" x14ac:dyDescent="0.25">
      <c r="A3" s="145" t="s">
        <v>193</v>
      </c>
      <c r="B3" s="146"/>
      <c r="C3" s="146"/>
      <c r="D3" s="146"/>
      <c r="E3" s="146"/>
      <c r="F3" s="146"/>
      <c r="G3" s="146"/>
      <c r="H3" s="147"/>
    </row>
    <row r="4" spans="1:11" x14ac:dyDescent="0.25">
      <c r="A4" s="148" t="s">
        <v>4</v>
      </c>
      <c r="B4" s="149" t="s">
        <v>5</v>
      </c>
      <c r="C4" s="149"/>
      <c r="D4" s="149"/>
      <c r="E4" s="149" t="s">
        <v>6</v>
      </c>
      <c r="F4" s="149"/>
      <c r="G4" s="149" t="s">
        <v>44</v>
      </c>
      <c r="H4" s="150"/>
    </row>
    <row r="5" spans="1:11" ht="30" x14ac:dyDescent="0.25">
      <c r="A5" s="148"/>
      <c r="B5" s="1" t="s">
        <v>7</v>
      </c>
      <c r="C5" s="1" t="s">
        <v>8</v>
      </c>
      <c r="D5" s="1" t="s">
        <v>9</v>
      </c>
      <c r="E5" s="21" t="s">
        <v>78</v>
      </c>
      <c r="F5" s="21" t="s">
        <v>79</v>
      </c>
      <c r="G5" s="21" t="s">
        <v>80</v>
      </c>
      <c r="H5" s="54" t="s">
        <v>81</v>
      </c>
    </row>
    <row r="6" spans="1:11" ht="26.25" x14ac:dyDescent="0.25">
      <c r="A6" s="64" t="s">
        <v>192</v>
      </c>
      <c r="B6" s="65">
        <v>5</v>
      </c>
      <c r="C6" s="66">
        <v>3</v>
      </c>
      <c r="D6" s="67">
        <v>1500</v>
      </c>
      <c r="E6" s="67">
        <f>C6*D6</f>
        <v>4500</v>
      </c>
      <c r="F6" s="67">
        <f>B6*E6</f>
        <v>22500</v>
      </c>
      <c r="G6" s="68">
        <v>40</v>
      </c>
      <c r="H6" s="69">
        <f>+G6*C6</f>
        <v>120</v>
      </c>
    </row>
    <row r="7" spans="1:11" x14ac:dyDescent="0.25">
      <c r="A7" s="63" t="s">
        <v>82</v>
      </c>
      <c r="B7" s="65">
        <v>5</v>
      </c>
      <c r="C7" s="65">
        <v>2</v>
      </c>
      <c r="D7" s="70">
        <v>500</v>
      </c>
      <c r="E7" s="67">
        <f t="shared" ref="E7" si="0">C7*D7</f>
        <v>1000</v>
      </c>
      <c r="F7" s="67">
        <f t="shared" ref="F7" si="1">B7*E7</f>
        <v>5000</v>
      </c>
      <c r="G7" s="71">
        <v>19</v>
      </c>
      <c r="H7" s="69">
        <f t="shared" ref="H7" si="2">+G7*C7</f>
        <v>38</v>
      </c>
    </row>
    <row r="8" spans="1:11" ht="18.75" x14ac:dyDescent="0.4">
      <c r="A8" s="223" t="s">
        <v>195</v>
      </c>
      <c r="B8" s="213"/>
      <c r="C8" s="133" t="s">
        <v>18</v>
      </c>
      <c r="D8" s="134"/>
      <c r="E8" s="16">
        <f>SUM(E6:E7)</f>
        <v>5500</v>
      </c>
      <c r="F8" s="149" t="s">
        <v>49</v>
      </c>
      <c r="G8" s="149"/>
      <c r="H8" s="17">
        <f>SUM(H6:H7)</f>
        <v>158</v>
      </c>
    </row>
    <row r="9" spans="1:11" ht="18.75" x14ac:dyDescent="0.4">
      <c r="A9" s="223"/>
      <c r="B9" s="213"/>
      <c r="C9" s="133" t="s">
        <v>190</v>
      </c>
      <c r="D9" s="134"/>
      <c r="E9" s="16">
        <f>SUM(F6:F7)</f>
        <v>27500</v>
      </c>
      <c r="F9" s="1"/>
      <c r="G9" s="1"/>
      <c r="H9" s="17"/>
    </row>
    <row r="10" spans="1:11" ht="18.75" x14ac:dyDescent="0.4">
      <c r="A10" s="223"/>
      <c r="B10" s="213"/>
      <c r="C10" s="133" t="s">
        <v>50</v>
      </c>
      <c r="D10" s="134"/>
      <c r="E10" s="16">
        <v>35000</v>
      </c>
      <c r="F10" s="1"/>
      <c r="G10" s="1"/>
      <c r="H10" s="17"/>
    </row>
    <row r="11" spans="1:11" ht="19.5" thickBot="1" x14ac:dyDescent="0.45">
      <c r="A11" s="224"/>
      <c r="B11" s="225"/>
      <c r="C11" s="135" t="s">
        <v>90</v>
      </c>
      <c r="D11" s="135"/>
      <c r="E11" s="18">
        <f>E9+E10</f>
        <v>62500</v>
      </c>
      <c r="F11" s="166"/>
      <c r="G11" s="166"/>
      <c r="H11" s="167"/>
    </row>
    <row r="12" spans="1:11" x14ac:dyDescent="0.25">
      <c r="A12" t="s">
        <v>94</v>
      </c>
      <c r="C12" s="31">
        <v>300000</v>
      </c>
    </row>
    <row r="13" spans="1:11" ht="15.75" thickBot="1" x14ac:dyDescent="0.3">
      <c r="K13">
        <v>1</v>
      </c>
    </row>
    <row r="14" spans="1:11" x14ac:dyDescent="0.25">
      <c r="A14" s="226" t="s">
        <v>194</v>
      </c>
      <c r="B14" s="227"/>
      <c r="C14" s="227"/>
      <c r="D14" s="227"/>
      <c r="E14" s="227"/>
      <c r="F14" s="227"/>
      <c r="G14" s="227"/>
      <c r="H14" s="228"/>
    </row>
    <row r="15" spans="1:11" x14ac:dyDescent="0.25">
      <c r="A15" s="145" t="s">
        <v>191</v>
      </c>
      <c r="B15" s="146"/>
      <c r="C15" s="146"/>
      <c r="D15" s="146"/>
      <c r="E15" s="146"/>
      <c r="F15" s="146"/>
      <c r="G15" s="146"/>
      <c r="H15" s="147"/>
    </row>
    <row r="16" spans="1:11" x14ac:dyDescent="0.25">
      <c r="A16" s="145" t="s">
        <v>193</v>
      </c>
      <c r="B16" s="146"/>
      <c r="C16" s="146"/>
      <c r="D16" s="146"/>
      <c r="E16" s="146"/>
      <c r="F16" s="146"/>
      <c r="G16" s="146"/>
      <c r="H16" s="147"/>
    </row>
    <row r="17" spans="1:8" x14ac:dyDescent="0.25">
      <c r="A17" s="148" t="s">
        <v>4</v>
      </c>
      <c r="B17" s="149" t="s">
        <v>5</v>
      </c>
      <c r="C17" s="149"/>
      <c r="D17" s="149"/>
      <c r="E17" s="149" t="s">
        <v>6</v>
      </c>
      <c r="F17" s="149"/>
      <c r="G17" s="149" t="s">
        <v>44</v>
      </c>
      <c r="H17" s="150"/>
    </row>
    <row r="18" spans="1:8" ht="30" x14ac:dyDescent="0.25">
      <c r="A18" s="148"/>
      <c r="B18" s="1" t="s">
        <v>7</v>
      </c>
      <c r="C18" s="1" t="s">
        <v>8</v>
      </c>
      <c r="D18" s="1" t="s">
        <v>9</v>
      </c>
      <c r="E18" s="21" t="s">
        <v>78</v>
      </c>
      <c r="F18" s="21" t="s">
        <v>79</v>
      </c>
      <c r="G18" s="21" t="s">
        <v>80</v>
      </c>
      <c r="H18" s="54" t="s">
        <v>81</v>
      </c>
    </row>
    <row r="19" spans="1:8" x14ac:dyDescent="0.25">
      <c r="A19" s="64" t="s">
        <v>192</v>
      </c>
      <c r="B19" s="65">
        <v>5</v>
      </c>
      <c r="C19" s="66">
        <v>3</v>
      </c>
      <c r="D19" s="67">
        <v>1500</v>
      </c>
      <c r="E19" s="67">
        <f>C19*D19</f>
        <v>4500</v>
      </c>
      <c r="F19" s="67">
        <f>B19*E19</f>
        <v>22500</v>
      </c>
      <c r="G19" s="68">
        <v>40</v>
      </c>
      <c r="H19" s="69">
        <f>+G19*C19</f>
        <v>120</v>
      </c>
    </row>
    <row r="20" spans="1:8" x14ac:dyDescent="0.25">
      <c r="A20" s="63" t="s">
        <v>82</v>
      </c>
      <c r="B20" s="65">
        <v>5</v>
      </c>
      <c r="C20" s="65">
        <v>2</v>
      </c>
      <c r="D20" s="70">
        <v>500</v>
      </c>
      <c r="E20" s="67">
        <f t="shared" ref="E20" si="3">C20*D20</f>
        <v>1000</v>
      </c>
      <c r="F20" s="67">
        <f t="shared" ref="F20" si="4">B20*E20</f>
        <v>5000</v>
      </c>
      <c r="G20" s="71">
        <v>19</v>
      </c>
      <c r="H20" s="69">
        <f t="shared" ref="H20" si="5">+G20*C20</f>
        <v>38</v>
      </c>
    </row>
    <row r="21" spans="1:8" ht="18.75" x14ac:dyDescent="0.4">
      <c r="A21" s="223" t="s">
        <v>196</v>
      </c>
      <c r="B21" s="213"/>
      <c r="C21" s="133" t="s">
        <v>18</v>
      </c>
      <c r="D21" s="134"/>
      <c r="E21" s="16">
        <f>SUM(E19:E20)</f>
        <v>5500</v>
      </c>
      <c r="F21" s="149" t="s">
        <v>49</v>
      </c>
      <c r="G21" s="149"/>
      <c r="H21" s="17">
        <f>SUM(H19:H20)</f>
        <v>158</v>
      </c>
    </row>
    <row r="22" spans="1:8" ht="18.75" x14ac:dyDescent="0.4">
      <c r="A22" s="223"/>
      <c r="B22" s="213"/>
      <c r="C22" s="133" t="s">
        <v>190</v>
      </c>
      <c r="D22" s="134"/>
      <c r="E22" s="16">
        <f>SUM(F19:F20)</f>
        <v>27500</v>
      </c>
      <c r="F22" s="1"/>
      <c r="G22" s="1"/>
      <c r="H22" s="17"/>
    </row>
    <row r="23" spans="1:8" ht="18.75" x14ac:dyDescent="0.4">
      <c r="A23" s="223"/>
      <c r="B23" s="213"/>
      <c r="C23" s="133" t="s">
        <v>50</v>
      </c>
      <c r="D23" s="134"/>
      <c r="E23" s="16">
        <v>35000</v>
      </c>
      <c r="F23" s="1"/>
      <c r="G23" s="1"/>
      <c r="H23" s="17"/>
    </row>
    <row r="24" spans="1:8" ht="19.5" thickBot="1" x14ac:dyDescent="0.45">
      <c r="A24" s="224"/>
      <c r="B24" s="225"/>
      <c r="C24" s="135" t="s">
        <v>90</v>
      </c>
      <c r="D24" s="135"/>
      <c r="E24" s="18">
        <f>E22+E23</f>
        <v>62500</v>
      </c>
      <c r="F24" s="166"/>
      <c r="G24" s="166"/>
      <c r="H24" s="167"/>
    </row>
  </sheetData>
  <mergeCells count="28">
    <mergeCell ref="A21:B24"/>
    <mergeCell ref="C21:D21"/>
    <mergeCell ref="F21:G21"/>
    <mergeCell ref="C22:D22"/>
    <mergeCell ref="C23:D23"/>
    <mergeCell ref="C24:D24"/>
    <mergeCell ref="F24:H24"/>
    <mergeCell ref="A14:H14"/>
    <mergeCell ref="A15:H15"/>
    <mergeCell ref="A16:H16"/>
    <mergeCell ref="A17:A18"/>
    <mergeCell ref="B17:D17"/>
    <mergeCell ref="E17:F17"/>
    <mergeCell ref="G17:H17"/>
    <mergeCell ref="A1:H1"/>
    <mergeCell ref="A2:H2"/>
    <mergeCell ref="A3:H3"/>
    <mergeCell ref="A4:A5"/>
    <mergeCell ref="B4:D4"/>
    <mergeCell ref="E4:F4"/>
    <mergeCell ref="G4:H4"/>
    <mergeCell ref="A8:B11"/>
    <mergeCell ref="C8:D8"/>
    <mergeCell ref="F8:G8"/>
    <mergeCell ref="C9:D9"/>
    <mergeCell ref="C10:D10"/>
    <mergeCell ref="C11:D11"/>
    <mergeCell ref="F11:H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32</vt:i4>
      </vt:variant>
    </vt:vector>
  </HeadingPairs>
  <TitlesOfParts>
    <vt:vector size="32" baseType="lpstr">
      <vt:lpstr>JHON JAIRO RAMOS</vt:lpstr>
      <vt:lpstr>JOSE BARAJAS</vt:lpstr>
      <vt:lpstr>GUSTAVO ROZO</vt:lpstr>
      <vt:lpstr>MAYERLY JAIMES</vt:lpstr>
      <vt:lpstr>DIEGO GUTIERREZ</vt:lpstr>
      <vt:lpstr>ROSA EMMA SANCHEZ</vt:lpstr>
      <vt:lpstr>DIEGO MIRADORES</vt:lpstr>
      <vt:lpstr>MAXIMINO ROJAS</vt:lpstr>
      <vt:lpstr>FUNDACION SHADDAY</vt:lpstr>
      <vt:lpstr>LEONARDO AGUILAR</vt:lpstr>
      <vt:lpstr>EMA SANCHEZ</vt:lpstr>
      <vt:lpstr>EUGENIO ESTEBAN VARGAS</vt:lpstr>
      <vt:lpstr>JUAN MATANZA </vt:lpstr>
      <vt:lpstr>MARTA MIRADORES</vt:lpstr>
      <vt:lpstr>MIRAMANGA FIDEL</vt:lpstr>
      <vt:lpstr>JOSE CUY ALVAREZ</vt:lpstr>
      <vt:lpstr>ALBERTO HERRERA</vt:lpstr>
      <vt:lpstr>GP CONSTRUCTORA</vt:lpstr>
      <vt:lpstr>LEONARDO ARIAS</vt:lpstr>
      <vt:lpstr>EFRAIN ACOSTA</vt:lpstr>
      <vt:lpstr>TUA</vt:lpstr>
      <vt:lpstr>JUAN CARLOS GALVIZ</vt:lpstr>
      <vt:lpstr>MAURICIO BOSQUE BAJO GONZALEZ</vt:lpstr>
      <vt:lpstr>DIEGO JAIMES</vt:lpstr>
      <vt:lpstr>HERVIN VARGAS</vt:lpstr>
      <vt:lpstr>AURA</vt:lpstr>
      <vt:lpstr>DECORACIONES SANTANDER</vt:lpstr>
      <vt:lpstr>SAUL DUARTE</vt:lpstr>
      <vt:lpstr>ALBEIRO LOPEZ</vt:lpstr>
      <vt:lpstr>MARIO ACOSTA</vt:lpstr>
      <vt:lpstr>ANTONIO GUTIERREZ</vt:lpstr>
      <vt:lpstr>RICARDO OSORIO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2023-03-27T16:40:11Z</cp:lastPrinted>
  <dcterms:created xsi:type="dcterms:W3CDTF">2023-01-12T18:46:44Z</dcterms:created>
  <dcterms:modified xsi:type="dcterms:W3CDTF">2023-03-28T23:32:39Z</dcterms:modified>
</cp:coreProperties>
</file>
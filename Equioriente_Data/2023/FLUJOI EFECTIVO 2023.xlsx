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3\"/>
    </mc:Choice>
  </mc:AlternateContent>
  <xr:revisionPtr revIDLastSave="0" documentId="13_ncr:1_{38B9DD5F-C1B0-4AC9-A57A-2BE55965A7AF}" xr6:coauthVersionLast="47" xr6:coauthVersionMax="47" xr10:uidLastSave="{00000000-0000-0000-0000-000000000000}"/>
  <bookViews>
    <workbookView xWindow="-120" yWindow="-120" windowWidth="20730" windowHeight="11175" activeTab="2" xr2:uid="{E9C82C60-AE19-4D5C-BD36-137252F4FD92}"/>
  </bookViews>
  <sheets>
    <sheet name="DICIEMBRE 2022" sheetId="1" r:id="rId1"/>
    <sheet name="ENERO 2023" sheetId="2" r:id="rId2"/>
    <sheet name="FEBRERO 2023" sheetId="3" r:id="rId3"/>
    <sheet name="MARZO 2023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4" l="1"/>
  <c r="C92" i="3"/>
  <c r="G118" i="4"/>
  <c r="G113" i="4"/>
  <c r="G114" i="4"/>
  <c r="G115" i="4"/>
  <c r="G116" i="4"/>
  <c r="G117" i="4"/>
  <c r="C26" i="3" l="1"/>
  <c r="D16" i="3" l="1"/>
  <c r="E98" i="3"/>
  <c r="E99" i="3" s="1"/>
  <c r="C63" i="2" l="1"/>
  <c r="G112" i="4"/>
  <c r="C100" i="4"/>
  <c r="D100" i="4" l="1"/>
  <c r="G119" i="4"/>
  <c r="F105" i="4" s="1"/>
  <c r="F108" i="4" s="1"/>
  <c r="C110" i="3"/>
  <c r="D92" i="3" l="1"/>
  <c r="F53" i="2"/>
  <c r="C119" i="1"/>
  <c r="G135" i="1"/>
  <c r="G134" i="1"/>
  <c r="G133" i="1"/>
  <c r="G132" i="1"/>
  <c r="G136" i="1" s="1"/>
  <c r="F122" i="1" s="1"/>
  <c r="F125" i="1" s="1"/>
  <c r="F126" i="1" s="1"/>
  <c r="G131" i="1"/>
  <c r="G130" i="1"/>
  <c r="G129" i="1"/>
  <c r="C32" i="1" l="1"/>
  <c r="H25" i="1"/>
  <c r="C21" i="2"/>
  <c r="C3" i="1"/>
  <c r="D63" i="2" l="1"/>
  <c r="C3" i="2"/>
  <c r="C64" i="2" s="1"/>
  <c r="C3" i="3" l="1"/>
  <c r="C93" i="3" s="1"/>
  <c r="C3" i="4" l="1"/>
  <c r="C101" i="4" s="1"/>
  <c r="F109" i="4" s="1"/>
</calcChain>
</file>

<file path=xl/sharedStrings.xml><?xml version="1.0" encoding="utf-8"?>
<sst xmlns="http://schemas.openxmlformats.org/spreadsheetml/2006/main" count="377" uniqueCount="330">
  <si>
    <t>INGRESOS</t>
  </si>
  <si>
    <t>Fecha:DICIEMBRE 1 AL 31</t>
  </si>
  <si>
    <t>SALDO EN CAJA:</t>
  </si>
  <si>
    <t>FECHA</t>
  </si>
  <si>
    <t>DETALLE</t>
  </si>
  <si>
    <t>VALOR</t>
  </si>
  <si>
    <t>ALQUIER ANDAMIOS GONZALO</t>
  </si>
  <si>
    <t>ABONO JULIO PEÑA NEQUI</t>
  </si>
  <si>
    <t>ALQUILER DE NOVIEMBRE JOSE PORTILLA</t>
  </si>
  <si>
    <t>EDWIN ALQUILER OCTUBRE 1 A NOVIEMBRE 30</t>
  </si>
  <si>
    <t>ABONOP CARLOS ACEVEDO</t>
  </si>
  <si>
    <t>RETIRO CAJERO BBVA4333</t>
  </si>
  <si>
    <t>saldo ivan lopez noviembre</t>
  </si>
  <si>
    <t>ALQUILER DAVID CASANOVA DICIEMBRE 1 AL 13</t>
  </si>
  <si>
    <t>SALDO A 27 NOVIEMBRE LUZ MARINA CARREÑO</t>
  </si>
  <si>
    <t>ALQUILER DICIEMBRE INGECOM</t>
  </si>
  <si>
    <t>TRANSPORTE DIOCIEMBRE IONGECOM</t>
  </si>
  <si>
    <t>acarreo marcos angarita</t>
  </si>
  <si>
    <t>ALQUILER GIOVANYSIERRA</t>
  </si>
  <si>
    <t>Pago alquiler diciembre JAVIER MUÑOZ IGLESIA ADVENTISTA+</t>
  </si>
  <si>
    <t>VICTOR SANDOVAL ALQUILER DICIEMBRE 12 AL 19</t>
  </si>
  <si>
    <t>MIGUEL CASTRO PAGO ALQUILER TABLONERS DICIEMBRE</t>
  </si>
  <si>
    <t>RETIRO BBVA  NOVIEMBRE 2022</t>
  </si>
  <si>
    <t>PAGO JOSE LUIS</t>
  </si>
  <si>
    <t>PAGO JESUS SANABRIA</t>
  </si>
  <si>
    <t>NAVIDAD YULI NEQUI</t>
  </si>
  <si>
    <t>NAVIDAD NATA</t>
  </si>
  <si>
    <t>PAGO ALQUILER DICIEMBRE EDWIN BARBOSA</t>
  </si>
  <si>
    <t>PAGO CHAPETAS DICIEMBRE REYNALDO CARVAJAL</t>
  </si>
  <si>
    <t>RETITO BBVA</t>
  </si>
  <si>
    <t xml:space="preserve">BASTOS DICIEMBRE 20 AL 28 </t>
  </si>
  <si>
    <t>EGRESOS</t>
  </si>
  <si>
    <t>TKEO JAC LA HORMIGA FV 55049-02</t>
  </si>
  <si>
    <t>SURTILATAS COMPRA DE DEFENSA, FAROLAS Y BOMPER JAC</t>
  </si>
  <si>
    <t>PRESTAMO PAGAR NOVIEMBRE A FABY Y 2 ASEOS</t>
  </si>
  <si>
    <t>EDWIN BARBOSA ALQUILER DEL 23 OCTUBRE AL 28 NOVIEMBRE YOLANDA 10 SECCIONES Y 7 TABLONES</t>
  </si>
  <si>
    <t>EDWIN BARBOSA ALQUILER DEL 14OCTUBRE AL 30 NOVIEMBRE8 TABLONES GUSTAVO ROZO YOLANDA</t>
  </si>
  <si>
    <t>BOTELLONES DE AGUA 3</t>
  </si>
  <si>
    <t>EIDER DE JESOS PAGO DEL 29 AL 30 NOVIEMBRE</t>
  </si>
  <si>
    <t>JOSE CANTILLO PAGO DEL 28 N0VIEMBRE AL 3 DE DICIEMBRE</t>
  </si>
  <si>
    <t>JUAN ESTEBAN JAIMES 1 AL 3 DICIEMBRE</t>
  </si>
  <si>
    <t>PINTASMAS FVE 22961(RODILLO Y BROCHA)</t>
  </si>
  <si>
    <t>compra alcohol y acetaminofen</t>
  </si>
  <si>
    <t>parqueadro</t>
  </si>
  <si>
    <t>cabler ed grupo maroel</t>
  </si>
  <si>
    <t>PAGO FACTURA LINEA FIJA E INTERNET BBVA</t>
  </si>
  <si>
    <t>PARQUEADERO NANCY CONSUELO</t>
  </si>
  <si>
    <t>PINTASMAS FVE 23113( 1 GALON ESMALTE BLANCO)</t>
  </si>
  <si>
    <t>EIDER DE JESUS PAGO DIC 5 AL 7</t>
  </si>
  <si>
    <t>JOSE CANTILLO PAGO DICIEMBRE 5 AL 7</t>
  </si>
  <si>
    <t>PAGO JUAN ESTEBAN</t>
  </si>
  <si>
    <t>abono mugs</t>
  </si>
  <si>
    <t>PAGO LUNA SANCHEZ</t>
  </si>
  <si>
    <t>PAGO 9 Y 10 DICIEMBRE JUNES</t>
  </si>
  <si>
    <t>PAGOP 9 Y 10 DICIEMBRE JOSE</t>
  </si>
  <si>
    <t>ABNCHETAS ASEADOR</t>
  </si>
  <si>
    <t>VISITA TECNICA</t>
  </si>
  <si>
    <t>ASEO OFICINA</t>
  </si>
  <si>
    <t>PARQUEADERO LA 18</t>
  </si>
  <si>
    <t>PAGO ASEO OFICINA FABIANA</t>
  </si>
  <si>
    <t>TU PERSA ( 5 KGS DE SOLDADIRA, 2 CEPILLOS DE ALAMBRE Y 1 DISCO DE PULIR 7 ")</t>
  </si>
  <si>
    <t>PAGO FACTURA MOVISTAR LINEAS CELULARES</t>
  </si>
  <si>
    <t>PAGO BONIFICACION PRIMERA DICIEMBRE JIMMY JAIMES</t>
  </si>
  <si>
    <t>ARRIENDO DICIEMBRE2022JHON JAIMES</t>
  </si>
  <si>
    <t>ARRIENDO DICIEMBRE 2022 HEIDY JAIMES</t>
  </si>
  <si>
    <t>ARRIENDO DICIEMBRE 2022JIMMY JAIMES</t>
  </si>
  <si>
    <t>ARRIENDO DICIEMBRE 2022 FLORALBA CARRILLO</t>
  </si>
  <si>
    <t>PAGO SERVICIOS CONTABLES DICIEMBRE</t>
  </si>
  <si>
    <t>peaje parque industrial B/MANGA</t>
  </si>
  <si>
    <t>SALDO MUGS</t>
  </si>
  <si>
    <t>COMNPRA 1 SECCION ANDAMIO</t>
  </si>
  <si>
    <t>JOSE CANTILLO DIC 12 AL 17</t>
  </si>
  <si>
    <t>EIDER DE JESUS PAGO DIC 12 AL 17</t>
  </si>
  <si>
    <t>EIDER DE JESUS PAGO POR PRODUCTIVIDAD</t>
  </si>
  <si>
    <t>JOSE CANTILLO PAGO POR PRODUCTIVIDAD</t>
  </si>
  <si>
    <t>PAGO PRIMA FIN DEW AÑO JAIME LUNA</t>
  </si>
  <si>
    <t>PAGO RECIBO LUZ DICIEMBRE ESSA</t>
  </si>
  <si>
    <t>LLEVO DUCTOLON</t>
  </si>
  <si>
    <t>PARQUEADERO COMPRA DUCTOLON</t>
  </si>
  <si>
    <t>COMERCIALIZADORA CALYPSO ( 2 ROLLOS DE DUCTOLON)</t>
  </si>
  <si>
    <t>FERRETERIA FIXXY 2 LBS DE PUNTILLA 3"</t>
  </si>
  <si>
    <t>CAJA MENOR LISETH</t>
  </si>
  <si>
    <t>COMPRA FACTURA JAVIER PARRA</t>
  </si>
  <si>
    <t>PRIMA FIN DE AÑO JIMMY JAIMES</t>
  </si>
  <si>
    <t>JOOVANY OROZCO(1 POLARIZADA FAROLAS)</t>
  </si>
  <si>
    <t>PAGO 17, 20 Y 21 DICIEMBRE LISETH MUZKUZ</t>
  </si>
  <si>
    <t>PAGO BONIFICACION SEGUNDA DICIEMBRE JIMMY JAIMES</t>
  </si>
  <si>
    <t>COMPRA1 SECCION DE ANDAMIOS</t>
  </si>
  <si>
    <t>COMPRA DE CERCOS</t>
  </si>
  <si>
    <t>JOSE CANTILLO PAGO DICIEMBRE 19 AL 23</t>
  </si>
  <si>
    <t>EIDER DE JESUS CAICEDO DICIEMBRE 19 AL 23</t>
  </si>
  <si>
    <t>INSERCO NOVIEMBRE</t>
  </si>
  <si>
    <t>PINTASMAS FVE 139559( THINER, AEROSOL, CINTA)</t>
  </si>
  <si>
    <t>DADOS A JAIME TKEO JAC</t>
  </si>
  <si>
    <t>PAGO AGUA MES DE OCTUBRE</t>
  </si>
  <si>
    <t>ACPM TKEO JAC</t>
  </si>
  <si>
    <t>JOSE CANTILLO PAGO 26 Y 27 DICIEMBRE</t>
  </si>
  <si>
    <t>LISEYH MUZKUZ PAGO DIA DE TRABAJO</t>
  </si>
  <si>
    <t xml:space="preserve">CHAPINERO TKEO JAC </t>
  </si>
  <si>
    <t>FVE PINTASMAS FVE (2 CINTAS SOCOECO 3/4"</t>
  </si>
  <si>
    <t>COMPRA DE 2 SECCIONDE DE ANDAMIO VERDES</t>
  </si>
  <si>
    <t>COMPRA FACTURA JAVIER PARRA ( COMPRA CERCHAS)</t>
  </si>
  <si>
    <t>pago alquiler edwin diciembre</t>
  </si>
  <si>
    <t>CERRAJERIA SAN SEBASTIAN 1121(CAMBIO 2 CHAPAS E INSTALACION)</t>
  </si>
  <si>
    <t>PINTASMAS SAS (FVE 9319 THINER)</t>
  </si>
  <si>
    <t>JAIME LUNA 22,23, 26 ,27 Y 28 DICIEMBRE</t>
  </si>
  <si>
    <t>PAGO VACACIONES AÑO 2012 JAIME LUNA AVILA</t>
  </si>
  <si>
    <t>PAGO VACACIONES AÑO 2012 JIMMY JAIMES CARRILLO</t>
  </si>
  <si>
    <t>ABONO A ARREGLO DEL CAMION JAC</t>
  </si>
  <si>
    <t>CAMARA DE COMERCIO</t>
  </si>
  <si>
    <t>SALDO EN CAJA ACTUAL</t>
  </si>
  <si>
    <t>Fecha:ENERO 1 AL 31</t>
  </si>
  <si>
    <t>ALQUILER MEZCLADORA BIOCOMBUSTIBLES</t>
  </si>
  <si>
    <t>LLEVADA Y TRAIDA MEZCLADORA BIOCOMBUSTIBLES</t>
  </si>
  <si>
    <t>ALQUILER DICIEMBRE ADELFO</t>
  </si>
  <si>
    <t>TRANSPORTES DICIEMBRFE ADELFO</t>
  </si>
  <si>
    <t>1 JUEGO PLACAS CAMION JAC JOVANHY CARDOZO PAVA FV 353</t>
  </si>
  <si>
    <t>CHEQUE GERENCIA</t>
  </si>
  <si>
    <t>EFECTIVO</t>
  </si>
  <si>
    <t>CUENTA BBVA</t>
  </si>
  <si>
    <t>NEQUI</t>
  </si>
  <si>
    <t>GUARDADOS 120BILLETAS DE $50.000</t>
  </si>
  <si>
    <t xml:space="preserve"> </t>
  </si>
  <si>
    <t>ABONO ARREGLO SILLAS</t>
  </si>
  <si>
    <t>ALQUILERCOLUMNAS JHON RAMOS 12 AL 16 ENERO 2023</t>
  </si>
  <si>
    <t>LLEVADA Y RECOGIDACOLUMNAS JHON RAMOS 12 AL 16 ENERO 2023</t>
  </si>
  <si>
    <t>ESTACION DE SERVICIO EMANUEL TKEO JAC}</t>
  </si>
  <si>
    <t>INTERESES CESANTIAS JAIME LUNA</t>
  </si>
  <si>
    <t xml:space="preserve">  </t>
  </si>
  <si>
    <t>INTERESES CESANTIAS JIMMY JAIMES</t>
  </si>
  <si>
    <t>ABONO ALQUILER A PARTIR 12/01 DIEGO SALIDA 10918</t>
  </si>
  <si>
    <t>REYNALDO VEGA ACARREOS DIARIOS |10 ENERO /2023</t>
  </si>
  <si>
    <t>PAGO ALQUILER VIBRADOR PARA LUZ MARINA CARRTEÑOLUNA SANCHEZ</t>
  </si>
  <si>
    <t>PAGO 10 AL 14 ENERO /2023 LUIS PASTRANA</t>
  </si>
  <si>
    <t>PAGO 10 AL 14 ENERO /2023 JOISE CANTILLO</t>
  </si>
  <si>
    <t>SABADO 14 ENERO NATALIA BARBOSA</t>
  </si>
  <si>
    <t>RETIRO BBVA</t>
  </si>
  <si>
    <t>DEVOLICION DIMERO PAGADO DE MAS EQUIPAMENTO URBANO</t>
  </si>
  <si>
    <t>ALQUILER 17AL 22 ENERO 4 PÓLEAS PARA FREDY</t>
  </si>
  <si>
    <t>ALQUILER 2 DIAS VIBRADOR ELECTRICO PARA LUZ MARINA CARREÑO</t>
  </si>
  <si>
    <t>PAGO SERVIVIO LUZ ELEVTRICA ENERO /2023</t>
  </si>
  <si>
    <t>PAGO DE ENERO 10 AL15 JAIME LUNA</t>
  </si>
  <si>
    <t>ABONO JIMMY ENERO 2023</t>
  </si>
  <si>
    <t>PAGO ALQUILER GONZALEZ BOHORQUEZ ENERO 18 AL 22 SIN IVA</t>
  </si>
  <si>
    <t>16, 17 y 18 enero natalia leon</t>
  </si>
  <si>
    <t>LUIS PASTRANA 16 AL 21 ENERO /2023</t>
  </si>
  <si>
    <t>JOSE CANTILLO 16 AL 21 ENERO/2023</t>
  </si>
  <si>
    <t>LIZETH NUZKUZ 21 ENERO/2023</t>
  </si>
  <si>
    <t>ALQUILER COLUMNAS JOSEB BARAJAS ENERO 2023</t>
  </si>
  <si>
    <t>25/01/222</t>
  </si>
  <si>
    <t>ABONO DIEGO GUTIERREZ PLACA A PARTIR DEL 25 ENERO AL 8 FEBRERO</t>
  </si>
  <si>
    <t>SALDO</t>
  </si>
  <si>
    <t>HECHURA 10 TALONARIOS ENTRADA Y 10 SALIDA RABAC</t>
  </si>
  <si>
    <t>PAGO ALQUILER ANDAMIOS RABAC X 10 DIAS</t>
  </si>
  <si>
    <t>PARQUEADERO</t>
  </si>
  <si>
    <t>FIXXY FV 20158 ( 1 GRTA)</t>
  </si>
  <si>
    <t>EL REBUSQUE H.ORTIZ F 6327 ( 6 GUANTES Y 1 GRATA)</t>
  </si>
  <si>
    <t>TKEO JAC</t>
  </si>
  <si>
    <t>RECIBO AGUA NOVIEMBRE 2022</t>
  </si>
  <si>
    <t>TRANSPORTES GALVIZ COMPROBANTE 1990( RENOVACION SERVICIO PUBLICO</t>
  </si>
  <si>
    <t>ASERRIO LAPAZ( COMPRA 5 TABLAS MONCORO Y 5 LISTONES 3X0,09X 0,04</t>
  </si>
  <si>
    <t>PAGO 26 Y 27 ENERO /2023</t>
  </si>
  <si>
    <t>OMAR PABON COLUMNAS ZAPATOCA A PARTIR 14 ENERO 2023</t>
  </si>
  <si>
    <t>IMPUESTO PREDIAL EQUIORIENTE 2323</t>
  </si>
  <si>
    <t>PAGO ENERO 2023 VICTOR HUGO ALQUILER ANDAMIOS</t>
  </si>
  <si>
    <t xml:space="preserve">DEPOSITO MIRANDA FV 1409COMPRA DE 9 TABLAS DE 300 CM X 24 CM X .18 </t>
  </si>
  <si>
    <t>FVE 12500 INDURRUEDAS ( 1 CAJ 25 KGS PUNTILLAS 2 ")</t>
  </si>
  <si>
    <t>30 Y 31 ENERIO NATALIA BARBOSA</t>
  </si>
  <si>
    <t>ABONO A LUNA SANCHEZ ALQUIÑER BANDAS MADERA</t>
  </si>
  <si>
    <t>INDURRUEDAS FVE 12537 ( 2 RUEDAS DE ANDAMIO)</t>
  </si>
  <si>
    <t>PILAS TELEFONOP FIJO</t>
  </si>
  <si>
    <t>PERA JAC</t>
  </si>
  <si>
    <t>GASOLINA LIMPIEZA JAC</t>
  </si>
  <si>
    <t>DIA TRABAJO NATALIA LEON</t>
  </si>
  <si>
    <t>RETIRO BBBA</t>
  </si>
  <si>
    <t>Fecha:FEBRERO 1 AL 28</t>
  </si>
  <si>
    <t>CAMBIO PERA DE ACEITE JAC JAVIER</t>
  </si>
  <si>
    <t>SALDO PINTADA CABINA JAC</t>
  </si>
  <si>
    <t>RETIRO BBVA TRANS 4796</t>
  </si>
  <si>
    <t>RETIRO BBVA TRANS 4845</t>
  </si>
  <si>
    <t>PARQUEADERO SAN LAUREANO</t>
  </si>
  <si>
    <t>ABONO ALQUILER FEBRERO 6 AL 20 ANTONIO GUTIERREZ</t>
  </si>
  <si>
    <t>PAGO ALQUILER ANTONIO GUTIERREZ COLUMNAS FEBRERO 2 AL 6</t>
  </si>
  <si>
    <t xml:space="preserve">TKEO JAC ESTACION EMANUEL </t>
  </si>
  <si>
    <t>JOSE CANTILLOSEMANA ENERO 28 A FEBRERO 4</t>
  </si>
  <si>
    <t>LUIS PASTRANA SEMANAENERO 28 A FEBRERO 4</t>
  </si>
  <si>
    <t>EDWIN BARBOSA ABONO ALQUILER 8 ALIN Y 20 PAR 1 MTS FEBRERO</t>
  </si>
  <si>
    <t>DISTRIBUCIONES HERREÑO FVE POSD1184996(CINTAS REFLECTIVAS CAMION JAC</t>
  </si>
  <si>
    <t>ANTICIPO PRIMERA FEBRERO JAIME LUBNA</t>
  </si>
  <si>
    <t xml:space="preserve"> FIIXXY FV 20257 ( 1 LB PUNTILLA 2 1/2 "</t>
  </si>
  <si>
    <t>PAGO ALQUILER ENERO ALBERTO HERRERA</t>
  </si>
  <si>
    <t>PAGO A ALQUIOBRAS DE 21 DISTANCIADORES PARA FREDY VALBUENA</t>
  </si>
  <si>
    <t>PAGO SEMANA FEBRERO 6 AL 11 LUIS PASTRANA</t>
  </si>
  <si>
    <t>PAGO SEMANA FEBRERO 6 AL 11JOSE CANTILLO</t>
  </si>
  <si>
    <t>NATALIA BARBOSA PAGO FEBRERO 6,9 Y 10</t>
  </si>
  <si>
    <t>ABONO PINTURA TOTTO</t>
  </si>
  <si>
    <t>COLOMBIAS TELECOMUNICACIONES PAGO TELEFONIA MOVIL MOVISTAR</t>
  </si>
  <si>
    <t>RETIRO BBVA TRANS 7125</t>
  </si>
  <si>
    <t>PAGO PRIMERA QUINCENA FEBRERO 2023 JIMMY JAIMES</t>
  </si>
  <si>
    <t>PAGO PRIMERA QUINCENA FEBRERO 2023 JAIME LUNA</t>
  </si>
  <si>
    <t>RECARGA EXTINTOR JACV FV 15314( SISTEMA NACIONAL PREVENCION INCENDIOS</t>
  </si>
  <si>
    <t>SERVIO LUZ BODEGA FEBRERO</t>
  </si>
  <si>
    <t>PAPELERIA JAIRO (lapiz rojo; lapíceros, 5 separadores de carton)</t>
  </si>
  <si>
    <t>PAGO ALQUILER FORMALETA MARTA ACUÑA FEBRERO 1 AL 15</t>
  </si>
  <si>
    <t>PAGO TRANSPORTE FORMALETA MARTA ACUÑA FEBRERO 1 AL 15</t>
  </si>
  <si>
    <t>GASTO SEMANAL PROVISIONALES</t>
  </si>
  <si>
    <t xml:space="preserve">LA HORMIGA TKEO JAC 57144-2 </t>
  </si>
  <si>
    <t>COMPRA DE 10 PARES DE GUANTES</t>
  </si>
  <si>
    <t>SAQUE DE NEQUI DE ABONOS DIEGO</t>
  </si>
  <si>
    <t>JOSE CANTILLO SEMANA DEL 13 AL 18</t>
  </si>
  <si>
    <t>LUIS PASTRANA SEMANA DEL 13 AL 18</t>
  </si>
  <si>
    <t>NATALIA LEON 13, 16 , 17 Y SABADO 18 CON 1 HORA EXTRA</t>
  </si>
  <si>
    <t>QUINCENAJIMMY JAIMES ENERO 10 AL 15</t>
  </si>
  <si>
    <t>ALQUILER JUAN MATANZA FEBRRO 7 AL28</t>
  </si>
  <si>
    <t>BONIFICACION JIMMY ENERO</t>
  </si>
  <si>
    <t>SALDO LUNA SANCHEZ 17 ENEROA FEBRERO 17 ALQUILER BANDAS Y POLEAS</t>
  </si>
  <si>
    <t xml:space="preserve">FERREAGROVALLE  FACO 13894 (1 TKE COMBUSTIUBLE TROMPO Y 2 AMORTIGUADORES </t>
  </si>
  <si>
    <t>PAGO 20 Y 21 FEBREO 2023 JOSE CANTILLO</t>
  </si>
  <si>
    <t>BIOCOMBUSTIBLES 16 AL 21 FEBRERO</t>
  </si>
  <si>
    <t>PAGO DICIEMBRE 2022 A INSERCO (CON IVA)</t>
  </si>
  <si>
    <t>RECIBO AGUA DICIEMBRE</t>
  </si>
  <si>
    <t>JORGE LIBARDO JAIMES ALQUILER FEBRERO</t>
  </si>
  <si>
    <t>JORGE LIBARDO JAIMESTRANSPORTE FEBRERO</t>
  </si>
  <si>
    <t>FEERREAGROVALLE SAS (2 CUARTOS ACEITE Y FILTRO DE AIRE )</t>
  </si>
  <si>
    <t>COMPRA DE ACPM MTO FORMALETA METALICA</t>
  </si>
  <si>
    <t>SOLUCIONES MAF( RESMA CARTA 18200 Y DISTANCIADORES9</t>
  </si>
  <si>
    <t>RETIRO CAJERO BBVA 8329</t>
  </si>
  <si>
    <t>LLANTAS LA 9 FV 997 ( 1 DESPINCHADA</t>
  </si>
  <si>
    <t>LUIS PASTRANA FEBRERO 21 AL 24 Y SDABADO 25</t>
  </si>
  <si>
    <t xml:space="preserve">JOSE CANTILLO VIERNES 24 Y SABADO 25 </t>
  </si>
  <si>
    <t>NATALIA BARBOSA FEB 21 AL 24 Y SABADO 25</t>
  </si>
  <si>
    <t>MEGAREDIL A TU SERVICIO ( PAPEL HIGIENICO Y BOMBILLOS)</t>
  </si>
  <si>
    <t>PAGO 20 DE FEBRERO LUIS PASTRANA</t>
  </si>
  <si>
    <t>PAGO  MES DE DICIEMBRE FREDY VALBUENA</t>
  </si>
  <si>
    <t>PARTE PRESUNTIVA Y VENTA CAMION JIMMY</t>
  </si>
  <si>
    <t xml:space="preserve">FVE 12140 DISTRIBUCIONES MAX REPUESTOS </t>
  </si>
  <si>
    <t>COMPRA DE 1 SECCION ANDAMIO Y 4 TABLONES JAVIER CARMONA</t>
  </si>
  <si>
    <t>FERRETERIA FIXXY 20369 ( 2 LB PUNTILLA</t>
  </si>
  <si>
    <t>DEPOSITO MIRANDA FACT1419( 10 TABLAS CARACOLI REPARACION MADERA</t>
  </si>
  <si>
    <t>LIMPIADOR ASEO</t>
  </si>
  <si>
    <t>SAQUE NEQUI DIEGO GUTIERREZ</t>
  </si>
  <si>
    <t>ABONO  ENERO 2023 FREDY VALBUENA</t>
  </si>
  <si>
    <t>PAGO ALQUILER DICIEMBRE LUZ MARINA CARREÑO</t>
  </si>
  <si>
    <t>PAGO TRANSPORTES  DICIEMBRE LUZ MARINA CARREÑO</t>
  </si>
  <si>
    <t>AUTO SANDOVAL SAS FV 94951 (CAMBIO ACEITE MOTOR CAMION JAC)</t>
  </si>
  <si>
    <t>RECOGIDAJUAN MATANZA FEBRERO 7</t>
  </si>
  <si>
    <t>Fecha:MARZO 1 AL 31</t>
  </si>
  <si>
    <t>ALQUILER ANDAMIOS FEBRERO 24 A MARZO 1 2023 NELSON ENRIQUE</t>
  </si>
  <si>
    <t>PAGO A METALIZA ALQUILER TB DE 60 X 120 POR 12 DIAS A PARTIR 3 DE MARZO</t>
  </si>
  <si>
    <t>RECIBO 1417CENTRO LUBRICACION GONZA AUTOS (CUÑETE ACEITE QUEMADO CON CANECA)</t>
  </si>
  <si>
    <t>ESTACION LA HORMIGA 57479-02TKEO JAC</t>
  </si>
  <si>
    <t>LLEVO PAGAR TOTTO</t>
  </si>
  <si>
    <t>REFORTMA ESTATUTOS CAMARA DE COMERCIO CONVERIR A SAS</t>
  </si>
  <si>
    <t>ESTAMPILLAS CASA LIBRO CONVERTIR A SAS</t>
  </si>
  <si>
    <t>SERVICIOS CONTABLES ENERO 2023</t>
  </si>
  <si>
    <t xml:space="preserve">ALQUILER FEBRERO ALBERTO ACOSTA A 27 FEBRERO </t>
  </si>
  <si>
    <t>SERVICIOS CONTABLES FEBRERO 2023</t>
  </si>
  <si>
    <t>GUARDADOS</t>
  </si>
  <si>
    <t>NATALIA BARBOSA MARZO 1 AL 4</t>
  </si>
  <si>
    <t>NATALIA BARBOSA 1 TARDE</t>
  </si>
  <si>
    <t>JOSE CANTILLO FEBRERO 27 Y 28</t>
  </si>
  <si>
    <t>LUIS PASTRANA FEBRERO 27 Y 28</t>
  </si>
  <si>
    <t>LUIS PASTRANA MARZO 1 AL 4</t>
  </si>
  <si>
    <t>JOSE CANTILLO MARZO 1 AL 4</t>
  </si>
  <si>
    <t xml:space="preserve">PAGO ALQUILER BIOCOMBUSTIBLES </t>
  </si>
  <si>
    <t>ALQUILER</t>
  </si>
  <si>
    <t>IVA</t>
  </si>
  <si>
    <t>TRANSPORTE</t>
  </si>
  <si>
    <t>alquiler diego jaimes formaleta comentacion Marzo 7 al 11</t>
  </si>
  <si>
    <t>FERRETERIA FIXXY 20426 ( 1 AEROSOL NARANJA )</t>
  </si>
  <si>
    <t>FVE TH 26630 ( 5 KGS SOLDADURA WELD ALLOY6013 1/8"</t>
  </si>
  <si>
    <t>sistema prewvencion incendios recarga extintor</t>
  </si>
  <si>
    <t>ALQUILER LUIS TAMI MARZO</t>
  </si>
  <si>
    <t>ACARREOS LUIS TAMI MARZO</t>
  </si>
  <si>
    <t>GASTOS PAPELERIA DONDE JAIRO</t>
  </si>
  <si>
    <t>ALQUILER 10 AL 14 MARZO COLUMNAS DIEGO JAIMES</t>
  </si>
  <si>
    <t>llevo linea fija y movil</t>
  </si>
  <si>
    <t>AURA ALQUILER COLUMNAS 6 AL 10 DE MARZO</t>
  </si>
  <si>
    <t>AURA TRTANSPORTE 6 AL 10 DE MARZO</t>
  </si>
  <si>
    <t>AURA VENTA 18 C0RBATAS MURO e=30</t>
  </si>
  <si>
    <t>REYCOL FVE 14891 ( REXON A21 INDUSTRIALCORREA SIERRA)</t>
  </si>
  <si>
    <t>PARQUEADERTO VUELTAS CDT</t>
  </si>
  <si>
    <t>ANTICIPO CORRECTIVO CAMARAS</t>
  </si>
  <si>
    <t>PRESTAMO JIMMY JAIMES TARJETA CREDITO PAGO SALDO UTILIDAD 2022</t>
  </si>
  <si>
    <t>PAGO ALQUILER INSERCO ENERO /2023</t>
  </si>
  <si>
    <t>ABONO DIEGO NUEVA PLACA</t>
  </si>
  <si>
    <t>TKEO JAC CHAPINERO</t>
  </si>
  <si>
    <t>GFERRETERIA FIXXY 20490</t>
  </si>
  <si>
    <t>VEBTA NEUMATICO R 15MEZCLADORA DIESEL</t>
  </si>
  <si>
    <t>ASERRIO LA PAZ COMPRA 5 TABLAS MADERA</t>
  </si>
  <si>
    <t>DIEGO GUTIERREZ ABONO</t>
  </si>
  <si>
    <t>2 BOTELLONES DE AGUA</t>
  </si>
  <si>
    <t>ABONO ANTONIO GUTIERREZ ALQUILER FEBRERO 2 A MARZO 17/2023</t>
  </si>
  <si>
    <t>PAGO A ALQUIOBRAS 25 CORBATAS DE 20 GUSTAVO ROZO</t>
  </si>
  <si>
    <t>abono diego gutierrez alquiler 28 cerchas 3 mts metalisa</t>
  </si>
  <si>
    <t>ABONO  A  METALISA</t>
  </si>
  <si>
    <t>ALQUILER JUEGO DE POLEAS SERGIO HUELLAS MARZO /2023</t>
  </si>
  <si>
    <t>12 CERCOS MONCORO ASERRIO LA PAZ</t>
  </si>
  <si>
    <t>PINTAS MAS COMPRA AEROSOL CON IVA</t>
  </si>
  <si>
    <t>NELSON BERNAL ALQUILER ANDAMIOS MARZO 18 AL 22</t>
  </si>
  <si>
    <t>COMPRA ALINEADOR DE 3MTS</t>
  </si>
  <si>
    <t>NELSON BERNAL 23 AL 27 MARZO/2023</t>
  </si>
  <si>
    <t>PAGO A LUNA SANCHEZ ALQUILER 2 POLEAS Y 1 CERCHA A SERGIO HUELLAS</t>
  </si>
  <si>
    <t>PAGOP A LUNA ALQUILER 37 TABLEROS DE MADERA</t>
  </si>
  <si>
    <t>MARIO ACOSTA COLUMNAS MARZO 22 AL 26</t>
  </si>
  <si>
    <t xml:space="preserve">COMPRA 3CRUCETA 2,4 </t>
  </si>
  <si>
    <t>ASERRIO LA PAZ FVE 3081 5 TABLAS MADERA 300 X 30 X 1,8</t>
  </si>
  <si>
    <t>ASERRIO LA PAZ C308110 CERCOS MONCORO</t>
  </si>
  <si>
    <t>LUIS PASTRANA SEMANA 21 AL 25 MARZO /2023</t>
  </si>
  <si>
    <t>JOSSE CANTILLO SEMANA 21 AL 25 MARZO /2023</t>
  </si>
  <si>
    <t>JAVIER MALDONADO ALQUILER FEBRERO/2023</t>
  </si>
  <si>
    <t>NATALIA BARBOSA MARZO 21 AL 25</t>
  </si>
  <si>
    <t>AGUA ENERO /2023 BODEGA EQUIORIENTE</t>
  </si>
  <si>
    <t>PRESTAMO A JAIME LUNA</t>
  </si>
  <si>
    <t>pago servicioLUZ  marzo/2023</t>
  </si>
  <si>
    <t>TU PERSA SAS COMPRA MARCO DE ANDAMIO ( 1 TUBO 1" Y 1 TUBO 1 1/4 " Y 1 VARILLA LISA 12 mm)</t>
  </si>
  <si>
    <t>PAGO ARRIENDO MARZO JIMMY JAIMES</t>
  </si>
  <si>
    <t>PAGO ARRIENDO MARZO JHON JAIMES</t>
  </si>
  <si>
    <t>PAGO ARRIENDO FEBRERO JHON JAIMES</t>
  </si>
  <si>
    <t>PAGO ARRIENDO FEBREROJIMMY JAIMESJAIMES</t>
  </si>
  <si>
    <t>DEPOSITO  DIEGO JAIMES XALQUILER</t>
  </si>
  <si>
    <t>PINTASMAAS FVE 27637(1/ 8 ESMALTE AZUL)</t>
  </si>
  <si>
    <t>PAGO MES DE ENERO LUZ MARINA CARTREÑO</t>
  </si>
  <si>
    <t>DIEGO GUTIERREZ 20 PARALES 22AL 31 MARZO</t>
  </si>
  <si>
    <t xml:space="preserve">PAGO ARRIENDO MARZO FLORALBA </t>
  </si>
  <si>
    <t>PAGO ARRIENDO FEBRERO HEIDY JAIMES</t>
  </si>
  <si>
    <t>PAGO ARRIENDO FEBRERO FLORALBA CARRILLO DE JAIMES</t>
  </si>
  <si>
    <t>PAGO ARRIENDO MARZOHEIDY  JAIMES</t>
  </si>
  <si>
    <t>FVE 49391 ( RODAMIENTO SSY 356</t>
  </si>
  <si>
    <t>ERWIN VARGAS MARZO 2 AL 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</si>
</sst>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&quot;$&quot;\ * #,##0_);_(&quot;$&quot;\ * \(#,##0\);_(&quot;$&quot;\ * &quot;-&quot;??_);_(@_)"/>
    <numFmt numFmtId="165" formatCode="_-&quot;$&quot;\ * #,##0_-;\-&quot;$&quot;\ * #,##0_-;_-&quot;$&quot;\ * &quot;-&quot;??_-;_-@_-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Arial"/>
      <family val="2"/>
    </font>
    <font>
      <b/>
      <sz val="11"/>
      <color theme="1"/>
      <name val="Arial"/>
      <family val="2"/>
    </font>
    <font>
      <b/>
      <sz val="18"/>
      <color theme="1"/>
      <name val="Arial"/>
      <family val="2"/>
    </font>
    <font>
      <b/>
      <sz val="10"/>
      <color theme="1"/>
      <name val="Arial Black"/>
      <family val="2"/>
    </font>
    <font>
      <b/>
      <sz val="12"/>
      <color theme="1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10"/>
      <name val="Congenial"/>
    </font>
    <font>
      <b/>
      <sz val="10"/>
      <color theme="1"/>
      <name val="Arial"/>
      <family val="2"/>
    </font>
    <font>
      <b/>
      <sz val="8"/>
      <color theme="1"/>
      <name val="Congenial"/>
    </font>
    <font>
      <sz val="14"/>
      <color theme="1"/>
      <name val="Arial Black"/>
      <family val="2"/>
    </font>
    <font>
      <sz val="10"/>
      <color theme="1"/>
      <name val="Arial Black"/>
      <family val="2"/>
    </font>
    <font>
      <b/>
      <sz val="18"/>
      <color theme="1"/>
      <name val="Arial Black"/>
      <family val="2"/>
    </font>
    <font>
      <b/>
      <sz val="9"/>
      <color theme="1"/>
      <name val="Arial"/>
      <family val="2"/>
    </font>
    <font>
      <b/>
      <sz val="16"/>
      <color theme="1"/>
      <name val="Arial Black"/>
      <family val="2"/>
    </font>
    <font>
      <b/>
      <sz val="8"/>
      <color theme="1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6"/>
      <color theme="1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6"/>
      <color theme="1"/>
      <name val="Arial"/>
      <family val="2"/>
    </font>
    <font>
      <b/>
      <sz val="8"/>
      <name val="Congenial"/>
    </font>
    <font>
      <b/>
      <sz val="14"/>
      <color theme="1"/>
      <name val="Arial Black"/>
      <family val="2"/>
    </font>
    <font>
      <sz val="12"/>
      <color theme="1"/>
      <name val="Arial Black"/>
      <family val="2"/>
    </font>
  </fonts>
  <fills count="1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4">
    <xf numFmtId="0" fontId="0" fillId="0" borderId="0" xfId="0"/>
    <xf numFmtId="0" fontId="2" fillId="2" borderId="1" xfId="0" applyFont="1" applyFill="1" applyBorder="1"/>
    <xf numFmtId="0" fontId="3" fillId="3" borderId="2" xfId="0" applyFont="1" applyFill="1" applyBorder="1" applyAlignment="1">
      <alignment horizontal="center" vertical="center"/>
    </xf>
    <xf numFmtId="164" fontId="4" fillId="3" borderId="3" xfId="0" applyNumberFormat="1" applyFont="1" applyFill="1" applyBorder="1"/>
    <xf numFmtId="0" fontId="2" fillId="4" borderId="4" xfId="0" applyFont="1" applyFill="1" applyBorder="1"/>
    <xf numFmtId="0" fontId="5" fillId="5" borderId="5" xfId="0" applyFont="1" applyFill="1" applyBorder="1" applyAlignment="1">
      <alignment horizontal="center" wrapText="1"/>
    </xf>
    <xf numFmtId="164" fontId="4" fillId="5" borderId="6" xfId="0" applyNumberFormat="1" applyFont="1" applyFill="1" applyBorder="1"/>
    <xf numFmtId="0" fontId="5" fillId="5" borderId="5" xfId="0" applyFont="1" applyFill="1" applyBorder="1" applyAlignment="1">
      <alignment horizontal="center"/>
    </xf>
    <xf numFmtId="164" fontId="6" fillId="6" borderId="6" xfId="1" applyNumberFormat="1" applyFont="1" applyFill="1" applyBorder="1"/>
    <xf numFmtId="0" fontId="7" fillId="5" borderId="7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164" fontId="7" fillId="5" borderId="9" xfId="1" applyNumberFormat="1" applyFont="1" applyFill="1" applyBorder="1" applyAlignment="1">
      <alignment horizontal="center" vertical="center"/>
    </xf>
    <xf numFmtId="16" fontId="0" fillId="0" borderId="0" xfId="0" applyNumberFormat="1"/>
    <xf numFmtId="14" fontId="8" fillId="0" borderId="4" xfId="0" applyNumberFormat="1" applyFont="1" applyBorder="1" applyAlignment="1">
      <alignment horizontal="left" vertical="center"/>
    </xf>
    <xf numFmtId="14" fontId="9" fillId="7" borderId="10" xfId="0" applyNumberFormat="1" applyFont="1" applyFill="1" applyBorder="1" applyAlignment="1">
      <alignment horizontal="left" vertical="center"/>
    </xf>
    <xf numFmtId="165" fontId="9" fillId="7" borderId="5" xfId="2" applyNumberFormat="1" applyFont="1" applyFill="1" applyBorder="1" applyAlignment="1">
      <alignment horizontal="left" vertical="center"/>
    </xf>
    <xf numFmtId="14" fontId="8" fillId="0" borderId="11" xfId="0" applyNumberFormat="1" applyFont="1" applyBorder="1" applyAlignment="1">
      <alignment horizontal="left" vertical="center"/>
    </xf>
    <xf numFmtId="14" fontId="10" fillId="0" borderId="10" xfId="0" applyNumberFormat="1" applyFont="1" applyBorder="1" applyAlignment="1">
      <alignment horizontal="left"/>
    </xf>
    <xf numFmtId="165" fontId="9" fillId="0" borderId="5" xfId="2" applyNumberFormat="1" applyFont="1" applyFill="1" applyBorder="1" applyAlignment="1">
      <alignment horizontal="left" vertical="center"/>
    </xf>
    <xf numFmtId="14" fontId="11" fillId="7" borderId="10" xfId="0" applyNumberFormat="1" applyFont="1" applyFill="1" applyBorder="1" applyAlignment="1">
      <alignment horizontal="center" vertical="center"/>
    </xf>
    <xf numFmtId="165" fontId="12" fillId="7" borderId="10" xfId="2" applyNumberFormat="1" applyFont="1" applyFill="1" applyBorder="1" applyAlignment="1">
      <alignment vertical="center"/>
    </xf>
    <xf numFmtId="0" fontId="0" fillId="7" borderId="5" xfId="0" applyFill="1" applyBorder="1"/>
    <xf numFmtId="165" fontId="0" fillId="7" borderId="5" xfId="2" applyNumberFormat="1" applyFont="1" applyFill="1" applyBorder="1"/>
    <xf numFmtId="14" fontId="0" fillId="0" borderId="5" xfId="0" applyNumberFormat="1" applyBorder="1"/>
    <xf numFmtId="0" fontId="13" fillId="8" borderId="5" xfId="0" applyFont="1" applyFill="1" applyBorder="1" applyAlignment="1">
      <alignment horizontal="center" wrapText="1"/>
    </xf>
    <xf numFmtId="164" fontId="14" fillId="8" borderId="5" xfId="2" applyNumberFormat="1" applyFont="1" applyFill="1" applyBorder="1"/>
    <xf numFmtId="0" fontId="0" fillId="0" borderId="1" xfId="0" applyBorder="1"/>
    <xf numFmtId="0" fontId="15" fillId="9" borderId="2" xfId="0" applyFont="1" applyFill="1" applyBorder="1" applyAlignment="1">
      <alignment horizontal="left" vertical="center"/>
    </xf>
    <xf numFmtId="164" fontId="3" fillId="9" borderId="3" xfId="0" applyNumberFormat="1" applyFont="1" applyFill="1" applyBorder="1" applyAlignment="1">
      <alignment vertical="center"/>
    </xf>
    <xf numFmtId="14" fontId="16" fillId="7" borderId="4" xfId="0" applyNumberFormat="1" applyFont="1" applyFill="1" applyBorder="1" applyAlignment="1">
      <alignment horizontal="left" vertical="center"/>
    </xf>
    <xf numFmtId="164" fontId="3" fillId="5" borderId="6" xfId="0" applyNumberFormat="1" applyFont="1" applyFill="1" applyBorder="1" applyAlignment="1">
      <alignment vertical="center"/>
    </xf>
    <xf numFmtId="14" fontId="17" fillId="5" borderId="4" xfId="0" applyNumberFormat="1" applyFont="1" applyFill="1" applyBorder="1" applyAlignment="1">
      <alignment horizontal="center" vertical="center"/>
    </xf>
    <xf numFmtId="0" fontId="17" fillId="5" borderId="5" xfId="0" applyFont="1" applyFill="1" applyBorder="1" applyAlignment="1">
      <alignment horizontal="center" vertical="center"/>
    </xf>
    <xf numFmtId="164" fontId="17" fillId="5" borderId="6" xfId="1" applyNumberFormat="1" applyFont="1" applyFill="1" applyBorder="1" applyAlignment="1">
      <alignment horizontal="center" vertical="center"/>
    </xf>
    <xf numFmtId="14" fontId="18" fillId="7" borderId="10" xfId="0" applyNumberFormat="1" applyFont="1" applyFill="1" applyBorder="1" applyAlignment="1">
      <alignment horizontal="center" vertical="center"/>
    </xf>
    <xf numFmtId="14" fontId="19" fillId="7" borderId="4" xfId="0" applyNumberFormat="1" applyFont="1" applyFill="1" applyBorder="1" applyAlignment="1">
      <alignment horizontal="center" vertical="center"/>
    </xf>
    <xf numFmtId="165" fontId="12" fillId="7" borderId="6" xfId="2" applyNumberFormat="1" applyFont="1" applyFill="1" applyBorder="1" applyAlignment="1">
      <alignment vertical="center"/>
    </xf>
    <xf numFmtId="14" fontId="18" fillId="10" borderId="10" xfId="0" applyNumberFormat="1" applyFont="1" applyFill="1" applyBorder="1" applyAlignment="1">
      <alignment horizontal="center" vertical="center"/>
    </xf>
    <xf numFmtId="165" fontId="12" fillId="10" borderId="6" xfId="2" applyNumberFormat="1" applyFont="1" applyFill="1" applyBorder="1" applyAlignment="1">
      <alignment vertical="center"/>
    </xf>
    <xf numFmtId="14" fontId="20" fillId="7" borderId="4" xfId="0" applyNumberFormat="1" applyFont="1" applyFill="1" applyBorder="1"/>
    <xf numFmtId="0" fontId="21" fillId="7" borderId="5" xfId="0" applyFont="1" applyFill="1" applyBorder="1" applyAlignment="1">
      <alignment horizontal="left"/>
    </xf>
    <xf numFmtId="165" fontId="22" fillId="7" borderId="6" xfId="2" applyNumberFormat="1" applyFont="1" applyFill="1" applyBorder="1" applyAlignment="1">
      <alignment horizontal="center"/>
    </xf>
    <xf numFmtId="0" fontId="20" fillId="7" borderId="5" xfId="0" applyFont="1" applyFill="1" applyBorder="1" applyAlignment="1">
      <alignment horizontal="left"/>
    </xf>
    <xf numFmtId="0" fontId="20" fillId="9" borderId="5" xfId="0" applyFont="1" applyFill="1" applyBorder="1" applyAlignment="1">
      <alignment horizontal="left"/>
    </xf>
    <xf numFmtId="165" fontId="22" fillId="9" borderId="6" xfId="2" applyNumberFormat="1" applyFont="1" applyFill="1" applyBorder="1" applyAlignment="1">
      <alignment horizontal="center"/>
    </xf>
    <xf numFmtId="14" fontId="18" fillId="9" borderId="10" xfId="0" applyNumberFormat="1" applyFont="1" applyFill="1" applyBorder="1" applyAlignment="1">
      <alignment horizontal="center" vertical="center"/>
    </xf>
    <xf numFmtId="165" fontId="12" fillId="9" borderId="6" xfId="2" applyNumberFormat="1" applyFont="1" applyFill="1" applyBorder="1" applyAlignment="1">
      <alignment vertical="center"/>
    </xf>
    <xf numFmtId="14" fontId="19" fillId="7" borderId="0" xfId="0" applyNumberFormat="1" applyFont="1" applyFill="1" applyAlignment="1">
      <alignment horizontal="center" vertical="center"/>
    </xf>
    <xf numFmtId="0" fontId="0" fillId="7" borderId="0" xfId="0" applyFill="1"/>
    <xf numFmtId="165" fontId="12" fillId="9" borderId="10" xfId="2" applyNumberFormat="1" applyFont="1" applyFill="1" applyBorder="1" applyAlignment="1">
      <alignment vertical="center"/>
    </xf>
    <xf numFmtId="14" fontId="4" fillId="9" borderId="10" xfId="0" applyNumberFormat="1" applyFont="1" applyFill="1" applyBorder="1" applyAlignment="1">
      <alignment horizontal="center" vertical="center"/>
    </xf>
    <xf numFmtId="14" fontId="23" fillId="7" borderId="5" xfId="0" applyNumberFormat="1" applyFont="1" applyFill="1" applyBorder="1" applyAlignment="1">
      <alignment horizontal="left"/>
    </xf>
    <xf numFmtId="165" fontId="24" fillId="9" borderId="5" xfId="2" applyNumberFormat="1" applyFont="1" applyFill="1" applyBorder="1" applyAlignment="1">
      <alignment horizontal="left"/>
    </xf>
    <xf numFmtId="14" fontId="8" fillId="7" borderId="4" xfId="0" applyNumberFormat="1" applyFont="1" applyFill="1" applyBorder="1" applyAlignment="1">
      <alignment horizontal="left" vertical="center"/>
    </xf>
    <xf numFmtId="14" fontId="10" fillId="7" borderId="10" xfId="0" applyNumberFormat="1" applyFont="1" applyFill="1" applyBorder="1" applyAlignment="1">
      <alignment horizontal="left"/>
    </xf>
    <xf numFmtId="14" fontId="8" fillId="7" borderId="0" xfId="0" applyNumberFormat="1" applyFont="1" applyFill="1" applyAlignment="1">
      <alignment horizontal="left" vertical="center"/>
    </xf>
    <xf numFmtId="165" fontId="9" fillId="7" borderId="10" xfId="2" applyNumberFormat="1" applyFont="1" applyFill="1" applyBorder="1" applyAlignment="1">
      <alignment horizontal="left" vertical="center"/>
    </xf>
    <xf numFmtId="14" fontId="10" fillId="7" borderId="12" xfId="0" applyNumberFormat="1" applyFont="1" applyFill="1" applyBorder="1" applyAlignment="1">
      <alignment horizontal="left"/>
    </xf>
    <xf numFmtId="165" fontId="9" fillId="7" borderId="12" xfId="2" applyNumberFormat="1" applyFont="1" applyFill="1" applyBorder="1" applyAlignment="1">
      <alignment horizontal="left" vertical="center"/>
    </xf>
    <xf numFmtId="14" fontId="25" fillId="7" borderId="10" xfId="0" applyNumberFormat="1" applyFont="1" applyFill="1" applyBorder="1" applyAlignment="1">
      <alignment horizontal="center" vertical="center"/>
    </xf>
    <xf numFmtId="165" fontId="12" fillId="10" borderId="10" xfId="2" applyNumberFormat="1" applyFont="1" applyFill="1" applyBorder="1" applyAlignment="1">
      <alignment vertical="center"/>
    </xf>
    <xf numFmtId="14" fontId="18" fillId="11" borderId="10" xfId="0" applyNumberFormat="1" applyFont="1" applyFill="1" applyBorder="1" applyAlignment="1">
      <alignment horizontal="center" vertical="center"/>
    </xf>
    <xf numFmtId="165" fontId="12" fillId="11" borderId="10" xfId="2" applyNumberFormat="1" applyFont="1" applyFill="1" applyBorder="1" applyAlignment="1">
      <alignment vertical="center"/>
    </xf>
    <xf numFmtId="14" fontId="18" fillId="12" borderId="10" xfId="0" applyNumberFormat="1" applyFont="1" applyFill="1" applyBorder="1" applyAlignment="1">
      <alignment horizontal="center" vertical="center"/>
    </xf>
    <xf numFmtId="165" fontId="12" fillId="12" borderId="10" xfId="2" applyNumberFormat="1" applyFont="1" applyFill="1" applyBorder="1" applyAlignment="1">
      <alignment vertical="center"/>
    </xf>
    <xf numFmtId="14" fontId="19" fillId="12" borderId="5" xfId="0" applyNumberFormat="1" applyFont="1" applyFill="1" applyBorder="1" applyAlignment="1">
      <alignment horizontal="center" vertical="center"/>
    </xf>
    <xf numFmtId="165" fontId="26" fillId="12" borderId="6" xfId="2" applyNumberFormat="1" applyFont="1" applyFill="1" applyBorder="1" applyAlignment="1">
      <alignment vertical="center"/>
    </xf>
    <xf numFmtId="165" fontId="12" fillId="7" borderId="12" xfId="2" applyNumberFormat="1" applyFont="1" applyFill="1" applyBorder="1" applyAlignment="1">
      <alignment vertical="center"/>
    </xf>
    <xf numFmtId="16" fontId="0" fillId="7" borderId="0" xfId="0" applyNumberFormat="1" applyFill="1"/>
    <xf numFmtId="14" fontId="0" fillId="7" borderId="0" xfId="0" applyNumberFormat="1" applyFill="1"/>
    <xf numFmtId="0" fontId="27" fillId="6" borderId="13" xfId="0" applyFont="1" applyFill="1" applyBorder="1" applyAlignment="1">
      <alignment horizontal="left"/>
    </xf>
    <xf numFmtId="164" fontId="28" fillId="13" borderId="14" xfId="0" applyNumberFormat="1" applyFont="1" applyFill="1" applyBorder="1"/>
    <xf numFmtId="14" fontId="4" fillId="7" borderId="10" xfId="0" applyNumberFormat="1" applyFont="1" applyFill="1" applyBorder="1" applyAlignment="1">
      <alignment horizontal="center" vertical="center"/>
    </xf>
    <xf numFmtId="164" fontId="0" fillId="0" borderId="0" xfId="2" applyNumberFormat="1" applyFont="1"/>
    <xf numFmtId="165" fontId="0" fillId="0" borderId="0" xfId="2" applyNumberFormat="1" applyFont="1"/>
    <xf numFmtId="164" fontId="0" fillId="0" borderId="0" xfId="0" applyNumberFormat="1"/>
    <xf numFmtId="1" fontId="0" fillId="0" borderId="0" xfId="2" applyNumberFormat="1" applyFont="1" applyBorder="1"/>
    <xf numFmtId="14" fontId="0" fillId="0" borderId="0" xfId="0" applyNumberFormat="1"/>
    <xf numFmtId="165" fontId="9" fillId="0" borderId="12" xfId="2" applyNumberFormat="1" applyFont="1" applyFill="1" applyBorder="1" applyAlignment="1">
      <alignment horizontal="left" vertical="center"/>
    </xf>
    <xf numFmtId="14" fontId="10" fillId="0" borderId="12" xfId="0" applyNumberFormat="1" applyFont="1" applyBorder="1" applyAlignment="1">
      <alignment horizontal="left"/>
    </xf>
    <xf numFmtId="165" fontId="0" fillId="0" borderId="0" xfId="0" applyNumberFormat="1"/>
    <xf numFmtId="0" fontId="2" fillId="0" borderId="0" xfId="0" applyFont="1"/>
    <xf numFmtId="165" fontId="2" fillId="0" borderId="0" xfId="2" applyNumberFormat="1" applyFont="1"/>
    <xf numFmtId="0" fontId="0" fillId="9" borderId="5" xfId="0" applyFill="1" applyBorder="1"/>
    <xf numFmtId="165" fontId="0" fillId="9" borderId="5" xfId="2" applyNumberFormat="1" applyFont="1" applyFill="1" applyBorder="1"/>
    <xf numFmtId="165" fontId="9" fillId="9" borderId="5" xfId="2" applyNumberFormat="1" applyFont="1" applyFill="1" applyBorder="1" applyAlignment="1">
      <alignment horizontal="left" vertical="center"/>
    </xf>
    <xf numFmtId="0" fontId="0" fillId="11" borderId="5" xfId="0" applyFill="1" applyBorder="1"/>
    <xf numFmtId="165" fontId="0" fillId="11" borderId="5" xfId="2" applyNumberFormat="1" applyFont="1" applyFill="1" applyBorder="1"/>
    <xf numFmtId="165" fontId="12" fillId="11" borderId="6" xfId="2" applyNumberFormat="1" applyFont="1" applyFill="1" applyBorder="1" applyAlignment="1">
      <alignment vertical="center"/>
    </xf>
    <xf numFmtId="165" fontId="22" fillId="11" borderId="6" xfId="2" applyNumberFormat="1" applyFont="1" applyFill="1" applyBorder="1" applyAlignment="1">
      <alignment horizontal="center"/>
    </xf>
    <xf numFmtId="165" fontId="9" fillId="11" borderId="5" xfId="2" applyNumberFormat="1" applyFont="1" applyFill="1" applyBorder="1" applyAlignment="1">
      <alignment horizontal="left" vertical="center"/>
    </xf>
    <xf numFmtId="14" fontId="10" fillId="9" borderId="10" xfId="0" applyNumberFormat="1" applyFont="1" applyFill="1" applyBorder="1" applyAlignment="1">
      <alignment horizontal="left"/>
    </xf>
    <xf numFmtId="14" fontId="18" fillId="14" borderId="10" xfId="0" applyNumberFormat="1" applyFont="1" applyFill="1" applyBorder="1" applyAlignment="1">
      <alignment horizontal="center" vertical="center"/>
    </xf>
    <xf numFmtId="165" fontId="12" fillId="14" borderId="6" xfId="2" applyNumberFormat="1" applyFont="1" applyFill="1" applyBorder="1" applyAlignment="1">
      <alignment vertical="center"/>
    </xf>
    <xf numFmtId="0" fontId="0" fillId="14" borderId="5" xfId="0" applyFill="1" applyBorder="1"/>
    <xf numFmtId="165" fontId="0" fillId="14" borderId="5" xfId="2" applyNumberFormat="1" applyFont="1" applyFill="1" applyBorder="1"/>
    <xf numFmtId="14" fontId="8" fillId="0" borderId="0" xfId="0" applyNumberFormat="1" applyFont="1" applyAlignment="1">
      <alignment horizontal="left" vertical="center"/>
    </xf>
    <xf numFmtId="0" fontId="0" fillId="10" borderId="5" xfId="0" applyFill="1" applyBorder="1"/>
    <xf numFmtId="165" fontId="0" fillId="10" borderId="5" xfId="2" applyNumberFormat="1" applyFont="1" applyFill="1" applyBorder="1"/>
    <xf numFmtId="14" fontId="8" fillId="7" borderId="11" xfId="0" applyNumberFormat="1" applyFont="1" applyFill="1" applyBorder="1" applyAlignment="1">
      <alignment horizontal="left" vertical="center"/>
    </xf>
    <xf numFmtId="0" fontId="22" fillId="7" borderId="5" xfId="0" applyFont="1" applyFill="1" applyBorder="1"/>
    <xf numFmtId="14" fontId="10" fillId="4" borderId="10" xfId="0" applyNumberFormat="1" applyFont="1" applyFill="1" applyBorder="1" applyAlignment="1">
      <alignment horizontal="left"/>
    </xf>
    <xf numFmtId="165" fontId="9" fillId="4" borderId="5" xfId="2" applyNumberFormat="1" applyFont="1" applyFill="1" applyBorder="1" applyAlignment="1">
      <alignment horizontal="left" vertical="center"/>
    </xf>
    <xf numFmtId="14" fontId="18" fillId="15" borderId="10" xfId="0" applyNumberFormat="1" applyFont="1" applyFill="1" applyBorder="1" applyAlignment="1">
      <alignment horizontal="center" vertical="center"/>
    </xf>
    <xf numFmtId="165" fontId="12" fillId="15" borderId="6" xfId="2" applyNumberFormat="1" applyFont="1" applyFill="1" applyBorder="1" applyAlignment="1">
      <alignment vertical="center"/>
    </xf>
    <xf numFmtId="0" fontId="0" fillId="15" borderId="5" xfId="0" applyFill="1" applyBorder="1"/>
    <xf numFmtId="165" fontId="0" fillId="15" borderId="5" xfId="2" applyNumberFormat="1" applyFont="1" applyFill="1" applyBorder="1"/>
    <xf numFmtId="0" fontId="0" fillId="16" borderId="5" xfId="0" applyFill="1" applyBorder="1"/>
    <xf numFmtId="165" fontId="0" fillId="16" borderId="5" xfId="2" applyNumberFormat="1" applyFont="1" applyFill="1" applyBorder="1"/>
    <xf numFmtId="0" fontId="0" fillId="7" borderId="10" xfId="0" applyFill="1" applyBorder="1"/>
    <xf numFmtId="0" fontId="0" fillId="3" borderId="5" xfId="0" applyFill="1" applyBorder="1"/>
    <xf numFmtId="165" fontId="0" fillId="3" borderId="5" xfId="2" applyNumberFormat="1" applyFont="1" applyFill="1" applyBorder="1"/>
    <xf numFmtId="0" fontId="0" fillId="12" borderId="5" xfId="0" applyFill="1" applyBorder="1"/>
    <xf numFmtId="165" fontId="0" fillId="12" borderId="5" xfId="2" applyNumberFormat="1" applyFont="1" applyFill="1" applyBorder="1"/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LUJO%20CAJA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ERO 2022"/>
      <sheetName val="FEBRERO 2022"/>
      <sheetName val="MARZO 2022"/>
      <sheetName val="ABRIL 2022"/>
      <sheetName val="MAYO 2022"/>
      <sheetName val="JUNIO 2022"/>
      <sheetName val="JULIO 2022"/>
      <sheetName val="AGOSTO 2022"/>
      <sheetName val="SEPTIEMBRE 2022"/>
      <sheetName val="octubre 2022"/>
      <sheetName val="NOVIEMBRE 2022"/>
      <sheetName val="DICIEMBRE 20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F19DF-3127-4FF8-96F9-3F29AB295817}">
  <dimension ref="A1:J136"/>
  <sheetViews>
    <sheetView topLeftCell="A62" workbookViewId="0">
      <selection activeCell="C119" sqref="C119"/>
    </sheetView>
  </sheetViews>
  <sheetFormatPr baseColWidth="10" defaultRowHeight="15" x14ac:dyDescent="0.25"/>
  <cols>
    <col min="1" max="1" width="12.85546875" bestFit="1" customWidth="1"/>
    <col min="2" max="2" width="63.140625" bestFit="1" customWidth="1"/>
    <col min="3" max="3" width="19.42578125" bestFit="1" customWidth="1"/>
    <col min="5" max="5" width="19" bestFit="1" customWidth="1"/>
    <col min="6" max="6" width="13.7109375" bestFit="1" customWidth="1"/>
    <col min="7" max="7" width="12" bestFit="1" customWidth="1"/>
  </cols>
  <sheetData>
    <row r="1" spans="1:3" ht="26.25" x14ac:dyDescent="0.25">
      <c r="A1" s="1"/>
      <c r="B1" s="2" t="s">
        <v>0</v>
      </c>
      <c r="C1" s="3"/>
    </row>
    <row r="2" spans="1:3" ht="23.25" x14ac:dyDescent="0.35">
      <c r="A2" s="4"/>
      <c r="B2" s="5" t="s">
        <v>1</v>
      </c>
      <c r="C2" s="6"/>
    </row>
    <row r="3" spans="1:3" ht="23.25" x14ac:dyDescent="0.35">
      <c r="A3" s="4"/>
      <c r="B3" s="7" t="s">
        <v>2</v>
      </c>
      <c r="C3" s="8">
        <f>'[1]NOVIEMBRE 2022'!C74</f>
        <v>0</v>
      </c>
    </row>
    <row r="4" spans="1:3" ht="15.75" x14ac:dyDescent="0.25">
      <c r="A4" s="9" t="s">
        <v>3</v>
      </c>
      <c r="B4" s="10" t="s">
        <v>4</v>
      </c>
      <c r="C4" s="11" t="s">
        <v>5</v>
      </c>
    </row>
    <row r="5" spans="1:3" x14ac:dyDescent="0.25">
      <c r="A5" s="12">
        <v>44896</v>
      </c>
      <c r="B5" t="s">
        <v>6</v>
      </c>
    </row>
    <row r="6" spans="1:3" x14ac:dyDescent="0.25">
      <c r="A6" s="13"/>
      <c r="B6" s="14" t="s">
        <v>7</v>
      </c>
      <c r="C6" s="15"/>
    </row>
    <row r="7" spans="1:3" x14ac:dyDescent="0.25">
      <c r="A7" s="13">
        <v>44897</v>
      </c>
      <c r="B7" s="14" t="s">
        <v>8</v>
      </c>
      <c r="C7" s="15">
        <v>210000</v>
      </c>
    </row>
    <row r="8" spans="1:3" x14ac:dyDescent="0.25">
      <c r="A8" s="16"/>
      <c r="B8" s="14" t="s">
        <v>9</v>
      </c>
      <c r="C8" s="15">
        <v>166750</v>
      </c>
    </row>
    <row r="9" spans="1:3" x14ac:dyDescent="0.25">
      <c r="A9" s="13">
        <v>44898</v>
      </c>
      <c r="B9" s="17" t="s">
        <v>10</v>
      </c>
      <c r="C9" s="18"/>
    </row>
    <row r="10" spans="1:3" x14ac:dyDescent="0.25">
      <c r="A10" s="16">
        <v>44902</v>
      </c>
      <c r="B10" s="17" t="s">
        <v>11</v>
      </c>
      <c r="C10" s="18">
        <v>600000</v>
      </c>
    </row>
    <row r="11" spans="1:3" x14ac:dyDescent="0.25">
      <c r="A11" s="16"/>
      <c r="B11" s="19" t="s">
        <v>12</v>
      </c>
      <c r="C11" s="20"/>
    </row>
    <row r="12" spans="1:3" x14ac:dyDescent="0.25">
      <c r="A12" s="16">
        <v>44909</v>
      </c>
      <c r="B12" s="17" t="s">
        <v>13</v>
      </c>
      <c r="C12" s="18">
        <v>202000</v>
      </c>
    </row>
    <row r="13" spans="1:3" x14ac:dyDescent="0.25">
      <c r="A13" s="16"/>
      <c r="B13" s="17" t="s">
        <v>14</v>
      </c>
      <c r="C13" s="18"/>
    </row>
    <row r="14" spans="1:3" x14ac:dyDescent="0.25">
      <c r="A14" s="16"/>
      <c r="B14" s="17" t="s">
        <v>15</v>
      </c>
      <c r="C14" s="18">
        <v>35000</v>
      </c>
    </row>
    <row r="15" spans="1:3" x14ac:dyDescent="0.25">
      <c r="A15" s="16"/>
      <c r="B15" s="17" t="s">
        <v>16</v>
      </c>
      <c r="C15" s="18">
        <v>40000</v>
      </c>
    </row>
    <row r="16" spans="1:3" x14ac:dyDescent="0.25">
      <c r="A16" s="16"/>
      <c r="B16" s="17" t="s">
        <v>17</v>
      </c>
      <c r="C16" s="18">
        <v>90000</v>
      </c>
    </row>
    <row r="17" spans="1:8" x14ac:dyDescent="0.25">
      <c r="A17" s="16"/>
      <c r="B17" s="17" t="s">
        <v>18</v>
      </c>
      <c r="C17" s="18">
        <v>1230000</v>
      </c>
    </row>
    <row r="18" spans="1:8" x14ac:dyDescent="0.25">
      <c r="A18" s="16"/>
      <c r="B18" s="17" t="s">
        <v>19</v>
      </c>
      <c r="C18" s="18">
        <v>95000</v>
      </c>
    </row>
    <row r="19" spans="1:8" x14ac:dyDescent="0.25">
      <c r="A19" s="16">
        <v>44915</v>
      </c>
      <c r="B19" s="17" t="s">
        <v>20</v>
      </c>
      <c r="C19" s="18">
        <v>104000</v>
      </c>
    </row>
    <row r="20" spans="1:8" x14ac:dyDescent="0.25">
      <c r="A20" s="16"/>
      <c r="B20" s="17" t="s">
        <v>21</v>
      </c>
      <c r="C20" s="18">
        <v>150000</v>
      </c>
    </row>
    <row r="21" spans="1:8" x14ac:dyDescent="0.25">
      <c r="A21" s="16">
        <v>44916</v>
      </c>
      <c r="B21" s="17" t="s">
        <v>22</v>
      </c>
      <c r="C21" s="18">
        <v>2000000</v>
      </c>
    </row>
    <row r="22" spans="1:8" x14ac:dyDescent="0.25">
      <c r="A22" s="16">
        <v>44921</v>
      </c>
      <c r="B22" s="17" t="s">
        <v>23</v>
      </c>
      <c r="C22" s="18">
        <v>60000</v>
      </c>
    </row>
    <row r="23" spans="1:8" x14ac:dyDescent="0.25">
      <c r="A23" s="16"/>
      <c r="B23" s="17" t="s">
        <v>24</v>
      </c>
      <c r="C23" s="18"/>
    </row>
    <row r="24" spans="1:8" x14ac:dyDescent="0.25">
      <c r="A24" s="16"/>
      <c r="B24" s="17" t="s">
        <v>25</v>
      </c>
      <c r="C24" s="18">
        <v>300000</v>
      </c>
    </row>
    <row r="25" spans="1:8" x14ac:dyDescent="0.25">
      <c r="A25" s="16"/>
      <c r="B25" s="17" t="s">
        <v>26</v>
      </c>
      <c r="C25" s="18">
        <v>300000</v>
      </c>
      <c r="H25">
        <f>685000-140000</f>
        <v>545000</v>
      </c>
    </row>
    <row r="26" spans="1:8" x14ac:dyDescent="0.25">
      <c r="A26" s="16">
        <v>44923</v>
      </c>
      <c r="B26" s="17" t="s">
        <v>27</v>
      </c>
      <c r="C26" s="18">
        <v>30000</v>
      </c>
    </row>
    <row r="27" spans="1:8" x14ac:dyDescent="0.25">
      <c r="A27" s="16">
        <v>44924</v>
      </c>
      <c r="B27" s="17" t="s">
        <v>28</v>
      </c>
      <c r="C27" s="18"/>
    </row>
    <row r="28" spans="1:8" x14ac:dyDescent="0.25">
      <c r="A28" s="16"/>
      <c r="B28" s="17" t="s">
        <v>29</v>
      </c>
      <c r="C28" s="18">
        <v>1600000</v>
      </c>
    </row>
    <row r="29" spans="1:8" x14ac:dyDescent="0.25">
      <c r="A29" s="16"/>
      <c r="B29" s="21" t="s">
        <v>30</v>
      </c>
      <c r="C29" s="22">
        <v>309000</v>
      </c>
    </row>
    <row r="30" spans="1:8" x14ac:dyDescent="0.25">
      <c r="A30" s="16"/>
      <c r="B30" s="21" t="s">
        <v>115</v>
      </c>
      <c r="C30" s="22">
        <v>120000</v>
      </c>
    </row>
    <row r="31" spans="1:8" x14ac:dyDescent="0.25">
      <c r="A31" s="16"/>
      <c r="B31" s="21" t="s">
        <v>114</v>
      </c>
      <c r="C31" s="22">
        <v>545000</v>
      </c>
    </row>
    <row r="32" spans="1:8" ht="22.5" x14ac:dyDescent="0.45">
      <c r="A32" s="23"/>
      <c r="B32" s="24"/>
      <c r="C32" s="25">
        <f>SUM(C5:C31)</f>
        <v>8186750</v>
      </c>
    </row>
    <row r="34" spans="1:3" ht="15.75" thickBot="1" x14ac:dyDescent="0.3"/>
    <row r="35" spans="1:3" ht="27" x14ac:dyDescent="0.25">
      <c r="A35" s="26"/>
      <c r="B35" s="27" t="s">
        <v>31</v>
      </c>
      <c r="C35" s="28"/>
    </row>
    <row r="36" spans="1:3" ht="26.25" x14ac:dyDescent="0.35">
      <c r="A36" s="29"/>
      <c r="B36" s="5" t="s">
        <v>1</v>
      </c>
      <c r="C36" s="30"/>
    </row>
    <row r="37" spans="1:3" ht="24.75" x14ac:dyDescent="0.25">
      <c r="A37" s="31" t="s">
        <v>3</v>
      </c>
      <c r="B37" s="32" t="s">
        <v>4</v>
      </c>
      <c r="C37" s="33" t="s">
        <v>5</v>
      </c>
    </row>
    <row r="38" spans="1:3" x14ac:dyDescent="0.25">
      <c r="A38" s="13">
        <v>44896</v>
      </c>
      <c r="B38" s="34" t="s">
        <v>32</v>
      </c>
      <c r="C38" s="20">
        <v>100000</v>
      </c>
    </row>
    <row r="39" spans="1:3" x14ac:dyDescent="0.25">
      <c r="A39" s="35"/>
      <c r="B39" s="34" t="s">
        <v>33</v>
      </c>
      <c r="C39" s="36">
        <v>1020000</v>
      </c>
    </row>
    <row r="40" spans="1:3" x14ac:dyDescent="0.25">
      <c r="A40" s="35"/>
      <c r="B40" s="37" t="s">
        <v>34</v>
      </c>
      <c r="C40" s="38">
        <v>420000</v>
      </c>
    </row>
    <row r="41" spans="1:3" x14ac:dyDescent="0.25">
      <c r="A41" s="39">
        <v>44897</v>
      </c>
      <c r="B41" s="40" t="s">
        <v>35</v>
      </c>
      <c r="C41" s="41">
        <v>323750</v>
      </c>
    </row>
    <row r="42" spans="1:3" x14ac:dyDescent="0.25">
      <c r="A42" s="39"/>
      <c r="B42" s="40" t="s">
        <v>36</v>
      </c>
      <c r="C42" s="41">
        <v>96000</v>
      </c>
    </row>
    <row r="43" spans="1:3" x14ac:dyDescent="0.25">
      <c r="A43" s="39"/>
      <c r="B43" s="42" t="s">
        <v>37</v>
      </c>
      <c r="C43" s="41">
        <v>39000</v>
      </c>
    </row>
    <row r="44" spans="1:3" x14ac:dyDescent="0.25">
      <c r="A44" s="39">
        <v>44898</v>
      </c>
      <c r="B44" s="43" t="s">
        <v>38</v>
      </c>
      <c r="C44" s="44">
        <v>183000</v>
      </c>
    </row>
    <row r="45" spans="1:3" x14ac:dyDescent="0.25">
      <c r="A45" s="39"/>
      <c r="B45" s="43" t="s">
        <v>39</v>
      </c>
      <c r="C45" s="44">
        <v>198000</v>
      </c>
    </row>
    <row r="46" spans="1:3" x14ac:dyDescent="0.25">
      <c r="A46" s="35"/>
      <c r="B46" s="45" t="s">
        <v>40</v>
      </c>
      <c r="C46" s="46">
        <v>93000</v>
      </c>
    </row>
    <row r="47" spans="1:3" x14ac:dyDescent="0.25">
      <c r="A47" s="35">
        <v>44899</v>
      </c>
      <c r="B47" s="34" t="s">
        <v>41</v>
      </c>
      <c r="C47" s="36">
        <v>8000</v>
      </c>
    </row>
    <row r="48" spans="1:3" x14ac:dyDescent="0.25">
      <c r="A48" s="35">
        <v>44900</v>
      </c>
      <c r="B48" s="34" t="s">
        <v>42</v>
      </c>
      <c r="C48" s="36">
        <v>7000</v>
      </c>
    </row>
    <row r="49" spans="1:3" x14ac:dyDescent="0.25">
      <c r="A49" s="35">
        <v>44901</v>
      </c>
      <c r="B49" s="34" t="s">
        <v>43</v>
      </c>
      <c r="C49" s="36">
        <v>3000</v>
      </c>
    </row>
    <row r="50" spans="1:3" x14ac:dyDescent="0.25">
      <c r="A50" s="35"/>
      <c r="B50" s="34" t="s">
        <v>44</v>
      </c>
      <c r="C50" s="36">
        <v>4000</v>
      </c>
    </row>
    <row r="51" spans="1:3" x14ac:dyDescent="0.25">
      <c r="A51" s="47">
        <v>44902</v>
      </c>
      <c r="B51" s="34" t="s">
        <v>45</v>
      </c>
      <c r="C51" s="20">
        <v>96000</v>
      </c>
    </row>
    <row r="52" spans="1:3" x14ac:dyDescent="0.25">
      <c r="A52" s="48"/>
      <c r="B52" s="34" t="s">
        <v>46</v>
      </c>
      <c r="C52" s="36">
        <v>6000</v>
      </c>
    </row>
    <row r="53" spans="1:3" x14ac:dyDescent="0.25">
      <c r="A53" s="47"/>
      <c r="B53" s="34" t="s">
        <v>47</v>
      </c>
      <c r="C53" s="20">
        <v>44000</v>
      </c>
    </row>
    <row r="54" spans="1:3" x14ac:dyDescent="0.25">
      <c r="A54" s="47"/>
      <c r="B54" s="45" t="s">
        <v>48</v>
      </c>
      <c r="C54" s="49">
        <v>120000</v>
      </c>
    </row>
    <row r="55" spans="1:3" x14ac:dyDescent="0.25">
      <c r="A55" s="47"/>
      <c r="B55" s="45" t="s">
        <v>49</v>
      </c>
      <c r="C55" s="49">
        <v>105000</v>
      </c>
    </row>
    <row r="56" spans="1:3" x14ac:dyDescent="0.25">
      <c r="A56" s="47"/>
      <c r="B56" s="50" t="s">
        <v>50</v>
      </c>
      <c r="C56" s="49">
        <v>56000</v>
      </c>
    </row>
    <row r="57" spans="1:3" x14ac:dyDescent="0.25">
      <c r="A57" s="47"/>
      <c r="B57" s="34" t="s">
        <v>51</v>
      </c>
      <c r="C57" s="20">
        <v>70000</v>
      </c>
    </row>
    <row r="58" spans="1:3" x14ac:dyDescent="0.25">
      <c r="A58" s="47">
        <v>44904</v>
      </c>
      <c r="B58" s="34" t="s">
        <v>52</v>
      </c>
      <c r="C58" s="20">
        <v>21000</v>
      </c>
    </row>
    <row r="59" spans="1:3" x14ac:dyDescent="0.25">
      <c r="A59" s="51">
        <v>44905</v>
      </c>
      <c r="B59" s="45" t="s">
        <v>53</v>
      </c>
      <c r="C59" s="52">
        <v>58000</v>
      </c>
    </row>
    <row r="60" spans="1:3" x14ac:dyDescent="0.25">
      <c r="A60" s="53"/>
      <c r="B60" s="54" t="s">
        <v>54</v>
      </c>
      <c r="C60" s="15">
        <v>58000</v>
      </c>
    </row>
    <row r="61" spans="1:3" x14ac:dyDescent="0.25">
      <c r="A61" s="55"/>
      <c r="B61" s="54" t="s">
        <v>55</v>
      </c>
      <c r="C61" s="56">
        <v>45000</v>
      </c>
    </row>
    <row r="62" spans="1:3" x14ac:dyDescent="0.25">
      <c r="A62" s="55"/>
      <c r="B62" s="54" t="s">
        <v>56</v>
      </c>
      <c r="C62" s="56">
        <v>60000</v>
      </c>
    </row>
    <row r="63" spans="1:3" x14ac:dyDescent="0.25">
      <c r="A63" s="47"/>
      <c r="B63" s="57" t="s">
        <v>57</v>
      </c>
      <c r="C63" s="58">
        <v>40000</v>
      </c>
    </row>
    <row r="64" spans="1:3" x14ac:dyDescent="0.25">
      <c r="A64" s="47">
        <v>44907</v>
      </c>
      <c r="B64" s="57" t="s">
        <v>58</v>
      </c>
      <c r="C64" s="58">
        <v>2400</v>
      </c>
    </row>
    <row r="65" spans="1:3" x14ac:dyDescent="0.25">
      <c r="A65" s="47">
        <v>44908</v>
      </c>
      <c r="B65" s="57" t="s">
        <v>59</v>
      </c>
      <c r="C65" s="58">
        <v>40000</v>
      </c>
    </row>
    <row r="66" spans="1:3" x14ac:dyDescent="0.25">
      <c r="A66" s="47">
        <v>44909</v>
      </c>
      <c r="B66" s="57" t="s">
        <v>32</v>
      </c>
      <c r="C66" s="58">
        <v>100000</v>
      </c>
    </row>
    <row r="67" spans="1:3" x14ac:dyDescent="0.25">
      <c r="A67" s="47"/>
      <c r="B67" s="59" t="s">
        <v>60</v>
      </c>
      <c r="C67" s="20">
        <v>92200</v>
      </c>
    </row>
    <row r="68" spans="1:3" x14ac:dyDescent="0.25">
      <c r="A68" s="47"/>
      <c r="B68" s="37" t="s">
        <v>61</v>
      </c>
      <c r="C68" s="60">
        <v>125000</v>
      </c>
    </row>
    <row r="69" spans="1:3" x14ac:dyDescent="0.25">
      <c r="A69" s="47">
        <v>44910</v>
      </c>
      <c r="B69" s="61" t="s">
        <v>62</v>
      </c>
      <c r="C69" s="62">
        <v>193000</v>
      </c>
    </row>
    <row r="70" spans="1:3" x14ac:dyDescent="0.25">
      <c r="B70" s="63" t="s">
        <v>63</v>
      </c>
      <c r="C70" s="64">
        <v>300000</v>
      </c>
    </row>
    <row r="71" spans="1:3" x14ac:dyDescent="0.25">
      <c r="A71" s="47"/>
      <c r="B71" s="63" t="s">
        <v>64</v>
      </c>
      <c r="C71" s="64">
        <v>300000</v>
      </c>
    </row>
    <row r="72" spans="1:3" x14ac:dyDescent="0.25">
      <c r="A72" s="47"/>
      <c r="B72" s="63" t="s">
        <v>65</v>
      </c>
      <c r="C72" s="64">
        <v>300000</v>
      </c>
    </row>
    <row r="73" spans="1:3" x14ac:dyDescent="0.25">
      <c r="A73" s="47"/>
      <c r="B73" s="63" t="s">
        <v>66</v>
      </c>
      <c r="C73" s="64">
        <v>1100000</v>
      </c>
    </row>
    <row r="74" spans="1:3" x14ac:dyDescent="0.25">
      <c r="A74" s="47"/>
      <c r="B74" s="65" t="s">
        <v>67</v>
      </c>
      <c r="C74" s="66">
        <v>300000</v>
      </c>
    </row>
    <row r="75" spans="1:3" x14ac:dyDescent="0.25">
      <c r="A75" s="47">
        <v>44911</v>
      </c>
      <c r="B75" s="34" t="s">
        <v>68</v>
      </c>
      <c r="C75" s="67">
        <v>4500</v>
      </c>
    </row>
    <row r="76" spans="1:3" x14ac:dyDescent="0.25">
      <c r="A76" s="47"/>
      <c r="B76" s="34" t="s">
        <v>68</v>
      </c>
      <c r="C76" s="67">
        <v>4500</v>
      </c>
    </row>
    <row r="77" spans="1:3" x14ac:dyDescent="0.25">
      <c r="A77" s="47"/>
      <c r="B77" s="34" t="s">
        <v>69</v>
      </c>
      <c r="C77" s="20">
        <v>140000</v>
      </c>
    </row>
    <row r="78" spans="1:3" x14ac:dyDescent="0.25">
      <c r="A78" s="47"/>
      <c r="B78" s="34" t="s">
        <v>70</v>
      </c>
      <c r="C78" s="20">
        <v>130000</v>
      </c>
    </row>
    <row r="79" spans="1:3" x14ac:dyDescent="0.25">
      <c r="A79" s="48"/>
      <c r="B79" s="34" t="s">
        <v>71</v>
      </c>
      <c r="C79" s="36">
        <v>198000</v>
      </c>
    </row>
    <row r="80" spans="1:3" x14ac:dyDescent="0.25">
      <c r="A80" s="48"/>
      <c r="B80" s="21" t="s">
        <v>72</v>
      </c>
      <c r="C80" s="22">
        <v>223000</v>
      </c>
    </row>
    <row r="81" spans="1:3" x14ac:dyDescent="0.25">
      <c r="A81" s="48"/>
      <c r="B81" s="21" t="s">
        <v>73</v>
      </c>
      <c r="C81" s="22">
        <v>400000</v>
      </c>
    </row>
    <row r="82" spans="1:3" x14ac:dyDescent="0.25">
      <c r="A82" s="48"/>
      <c r="B82" s="21" t="s">
        <v>74</v>
      </c>
      <c r="C82" s="22">
        <v>200000</v>
      </c>
    </row>
    <row r="83" spans="1:3" x14ac:dyDescent="0.25">
      <c r="A83" s="48"/>
      <c r="B83" s="21" t="s">
        <v>75</v>
      </c>
      <c r="C83" s="22">
        <v>571086</v>
      </c>
    </row>
    <row r="84" spans="1:3" x14ac:dyDescent="0.25">
      <c r="A84" s="48"/>
      <c r="B84" s="21" t="s">
        <v>76</v>
      </c>
      <c r="C84" s="22">
        <v>133700</v>
      </c>
    </row>
    <row r="85" spans="1:3" x14ac:dyDescent="0.25">
      <c r="A85" s="68">
        <v>44915</v>
      </c>
      <c r="B85" s="21" t="s">
        <v>77</v>
      </c>
      <c r="C85" s="22">
        <v>300000</v>
      </c>
    </row>
    <row r="86" spans="1:3" x14ac:dyDescent="0.25">
      <c r="A86" s="48"/>
      <c r="B86" s="21" t="s">
        <v>78</v>
      </c>
      <c r="C86" s="22">
        <v>2800</v>
      </c>
    </row>
    <row r="87" spans="1:3" x14ac:dyDescent="0.25">
      <c r="A87" s="48"/>
      <c r="B87" s="21" t="s">
        <v>79</v>
      </c>
      <c r="C87" s="22">
        <v>175000</v>
      </c>
    </row>
    <row r="88" spans="1:3" x14ac:dyDescent="0.25">
      <c r="A88" s="48"/>
      <c r="B88" s="21" t="s">
        <v>80</v>
      </c>
      <c r="C88" s="22">
        <v>11000</v>
      </c>
    </row>
    <row r="89" spans="1:3" x14ac:dyDescent="0.25">
      <c r="A89" s="48"/>
      <c r="B89" s="21" t="s">
        <v>81</v>
      </c>
      <c r="C89" s="22">
        <v>50000</v>
      </c>
    </row>
    <row r="90" spans="1:3" x14ac:dyDescent="0.25">
      <c r="A90" s="69">
        <v>44916</v>
      </c>
      <c r="B90" s="21" t="s">
        <v>82</v>
      </c>
      <c r="C90" s="22">
        <v>1000000</v>
      </c>
    </row>
    <row r="91" spans="1:3" x14ac:dyDescent="0.25">
      <c r="A91" s="69"/>
      <c r="B91" s="21" t="s">
        <v>83</v>
      </c>
      <c r="C91" s="22">
        <v>1150000</v>
      </c>
    </row>
    <row r="92" spans="1:3" x14ac:dyDescent="0.25">
      <c r="A92" s="69"/>
      <c r="B92" s="21" t="s">
        <v>84</v>
      </c>
      <c r="C92" s="22">
        <v>35000</v>
      </c>
    </row>
    <row r="93" spans="1:3" x14ac:dyDescent="0.25">
      <c r="A93" s="69"/>
      <c r="B93" s="21" t="s">
        <v>85</v>
      </c>
      <c r="C93" s="22">
        <v>115000</v>
      </c>
    </row>
    <row r="94" spans="1:3" x14ac:dyDescent="0.25">
      <c r="A94" s="69"/>
      <c r="B94" s="61" t="s">
        <v>86</v>
      </c>
      <c r="C94" s="62">
        <v>77200</v>
      </c>
    </row>
    <row r="95" spans="1:3" x14ac:dyDescent="0.25">
      <c r="A95" s="69">
        <v>44917</v>
      </c>
      <c r="B95" s="21" t="s">
        <v>87</v>
      </c>
      <c r="C95" s="22">
        <v>130000</v>
      </c>
    </row>
    <row r="96" spans="1:3" x14ac:dyDescent="0.25">
      <c r="A96" s="69"/>
      <c r="B96" s="21" t="s">
        <v>88</v>
      </c>
      <c r="C96" s="22">
        <v>150000</v>
      </c>
    </row>
    <row r="97" spans="1:3" x14ac:dyDescent="0.25">
      <c r="A97" s="69">
        <v>44918</v>
      </c>
      <c r="B97" s="21" t="s">
        <v>89</v>
      </c>
      <c r="C97" s="22">
        <v>175000</v>
      </c>
    </row>
    <row r="98" spans="1:3" x14ac:dyDescent="0.25">
      <c r="A98" s="69"/>
      <c r="B98" s="21" t="s">
        <v>90</v>
      </c>
      <c r="C98" s="22">
        <v>200000</v>
      </c>
    </row>
    <row r="99" spans="1:3" x14ac:dyDescent="0.25">
      <c r="A99" s="69"/>
      <c r="B99" s="21" t="s">
        <v>91</v>
      </c>
      <c r="C99" s="22">
        <v>784000</v>
      </c>
    </row>
    <row r="100" spans="1:3" x14ac:dyDescent="0.25">
      <c r="A100" s="69">
        <v>44921</v>
      </c>
      <c r="B100" s="21" t="s">
        <v>92</v>
      </c>
      <c r="C100" s="22">
        <v>44000</v>
      </c>
    </row>
    <row r="101" spans="1:3" x14ac:dyDescent="0.25">
      <c r="A101" s="69"/>
      <c r="B101" s="21" t="s">
        <v>93</v>
      </c>
      <c r="C101" s="22">
        <v>100000</v>
      </c>
    </row>
    <row r="102" spans="1:3" x14ac:dyDescent="0.25">
      <c r="A102" s="69"/>
      <c r="B102" s="21" t="s">
        <v>94</v>
      </c>
      <c r="C102" s="22">
        <v>67500</v>
      </c>
    </row>
    <row r="103" spans="1:3" x14ac:dyDescent="0.25">
      <c r="A103" s="69">
        <v>44922</v>
      </c>
      <c r="B103" s="21" t="s">
        <v>95</v>
      </c>
      <c r="C103" s="22">
        <v>30000</v>
      </c>
    </row>
    <row r="104" spans="1:3" x14ac:dyDescent="0.25">
      <c r="A104" s="69"/>
      <c r="B104" s="21" t="s">
        <v>96</v>
      </c>
      <c r="C104" s="22">
        <v>80000</v>
      </c>
    </row>
    <row r="105" spans="1:3" x14ac:dyDescent="0.25">
      <c r="A105" s="69"/>
      <c r="B105" s="21" t="s">
        <v>97</v>
      </c>
      <c r="C105" s="22">
        <v>60000</v>
      </c>
    </row>
    <row r="106" spans="1:3" x14ac:dyDescent="0.25">
      <c r="A106" s="69"/>
      <c r="B106" s="21" t="s">
        <v>98</v>
      </c>
      <c r="C106" s="22">
        <v>30000</v>
      </c>
    </row>
    <row r="107" spans="1:3" x14ac:dyDescent="0.25">
      <c r="A107" s="69"/>
      <c r="B107" s="21" t="s">
        <v>99</v>
      </c>
      <c r="C107" s="22">
        <v>8000</v>
      </c>
    </row>
    <row r="108" spans="1:3" x14ac:dyDescent="0.25">
      <c r="A108" s="69">
        <v>44923</v>
      </c>
      <c r="B108" s="21" t="s">
        <v>100</v>
      </c>
      <c r="C108" s="22">
        <v>240000</v>
      </c>
    </row>
    <row r="109" spans="1:3" x14ac:dyDescent="0.25">
      <c r="A109" s="69"/>
      <c r="B109" s="21" t="s">
        <v>101</v>
      </c>
      <c r="C109" s="22">
        <v>550000</v>
      </c>
    </row>
    <row r="110" spans="1:3" x14ac:dyDescent="0.25">
      <c r="A110" s="69"/>
      <c r="B110" s="21" t="s">
        <v>102</v>
      </c>
      <c r="C110" s="22">
        <v>56000</v>
      </c>
    </row>
    <row r="111" spans="1:3" x14ac:dyDescent="0.25">
      <c r="A111" s="69"/>
      <c r="B111" s="21" t="s">
        <v>103</v>
      </c>
      <c r="C111" s="22">
        <v>135000</v>
      </c>
    </row>
    <row r="112" spans="1:3" x14ac:dyDescent="0.25">
      <c r="A112" s="69"/>
      <c r="B112" s="21" t="s">
        <v>104</v>
      </c>
      <c r="C112" s="22">
        <v>25000</v>
      </c>
    </row>
    <row r="113" spans="1:6" x14ac:dyDescent="0.25">
      <c r="A113" s="69"/>
      <c r="B113" s="21" t="s">
        <v>105</v>
      </c>
      <c r="C113" s="22">
        <v>250000</v>
      </c>
    </row>
    <row r="114" spans="1:6" x14ac:dyDescent="0.25">
      <c r="A114" s="69">
        <v>44924</v>
      </c>
      <c r="B114" s="21" t="s">
        <v>106</v>
      </c>
      <c r="C114" s="22">
        <v>485451</v>
      </c>
    </row>
    <row r="115" spans="1:6" x14ac:dyDescent="0.25">
      <c r="A115" s="69"/>
      <c r="B115" s="21" t="s">
        <v>107</v>
      </c>
      <c r="C115" s="22">
        <v>1070139</v>
      </c>
    </row>
    <row r="116" spans="1:6" x14ac:dyDescent="0.25">
      <c r="A116" s="69"/>
      <c r="B116" s="21" t="s">
        <v>108</v>
      </c>
      <c r="C116" s="22">
        <v>1000000</v>
      </c>
    </row>
    <row r="117" spans="1:6" x14ac:dyDescent="0.25">
      <c r="A117" s="69">
        <v>45291</v>
      </c>
      <c r="B117" s="21" t="s">
        <v>109</v>
      </c>
      <c r="C117" s="22">
        <v>7200</v>
      </c>
    </row>
    <row r="118" spans="1:6" x14ac:dyDescent="0.25">
      <c r="A118" s="69"/>
      <c r="B118" s="21" t="s">
        <v>123</v>
      </c>
      <c r="C118" s="22">
        <v>200000</v>
      </c>
    </row>
    <row r="119" spans="1:6" ht="22.5" x14ac:dyDescent="0.45">
      <c r="B119" s="24"/>
      <c r="C119" s="25">
        <f>SUM(C38:C118)</f>
        <v>16924426</v>
      </c>
    </row>
    <row r="120" spans="1:6" ht="23.25" thickBot="1" x14ac:dyDescent="0.5">
      <c r="B120" s="70" t="s">
        <v>110</v>
      </c>
      <c r="C120" s="71">
        <v>44792910</v>
      </c>
    </row>
    <row r="121" spans="1:6" x14ac:dyDescent="0.25">
      <c r="E121" s="73" t="s">
        <v>117</v>
      </c>
      <c r="F121" s="74">
        <v>30000000</v>
      </c>
    </row>
    <row r="122" spans="1:6" x14ac:dyDescent="0.25">
      <c r="E122" s="73" t="s">
        <v>118</v>
      </c>
      <c r="F122" s="74">
        <f>G136</f>
        <v>7056100</v>
      </c>
    </row>
    <row r="123" spans="1:6" x14ac:dyDescent="0.25">
      <c r="E123" t="s">
        <v>119</v>
      </c>
      <c r="F123" s="74">
        <v>200000</v>
      </c>
    </row>
    <row r="124" spans="1:6" x14ac:dyDescent="0.25">
      <c r="E124" s="75" t="s">
        <v>120</v>
      </c>
      <c r="F124" s="74"/>
    </row>
    <row r="125" spans="1:6" x14ac:dyDescent="0.25">
      <c r="F125" s="75">
        <f>SUM(F121:F124)</f>
        <v>37256100</v>
      </c>
    </row>
    <row r="126" spans="1:6" x14ac:dyDescent="0.25">
      <c r="F126" s="75">
        <f>C117-F125</f>
        <v>-37248900</v>
      </c>
    </row>
    <row r="129" spans="5:10" x14ac:dyDescent="0.25">
      <c r="E129" s="76">
        <v>6</v>
      </c>
      <c r="F129" s="75">
        <v>100000</v>
      </c>
      <c r="G129" s="73">
        <f>F129*E129</f>
        <v>600000</v>
      </c>
    </row>
    <row r="130" spans="5:10" x14ac:dyDescent="0.25">
      <c r="E130" s="76">
        <v>126</v>
      </c>
      <c r="F130" s="75">
        <v>50000</v>
      </c>
      <c r="G130" s="74">
        <f>E130*F130</f>
        <v>6300000</v>
      </c>
      <c r="H130" t="s">
        <v>121</v>
      </c>
    </row>
    <row r="131" spans="5:10" x14ac:dyDescent="0.25">
      <c r="E131" s="76">
        <v>7</v>
      </c>
      <c r="F131" s="75">
        <v>20000</v>
      </c>
      <c r="G131" s="74">
        <f>E131*F131</f>
        <v>140000</v>
      </c>
    </row>
    <row r="132" spans="5:10" x14ac:dyDescent="0.25">
      <c r="E132" s="76">
        <v>1</v>
      </c>
      <c r="F132" s="75">
        <v>10000</v>
      </c>
      <c r="G132" s="74">
        <f>E132*F132</f>
        <v>10000</v>
      </c>
    </row>
    <row r="133" spans="5:10" x14ac:dyDescent="0.25">
      <c r="E133" s="76">
        <v>1</v>
      </c>
      <c r="F133" s="75">
        <v>5000</v>
      </c>
      <c r="G133" s="74">
        <f>E133*F133</f>
        <v>5000</v>
      </c>
    </row>
    <row r="134" spans="5:10" x14ac:dyDescent="0.25">
      <c r="E134" s="76"/>
      <c r="F134" s="75">
        <v>2000</v>
      </c>
      <c r="G134" s="74">
        <f>E134*F134</f>
        <v>0</v>
      </c>
      <c r="J134">
        <v>119</v>
      </c>
    </row>
    <row r="135" spans="5:10" x14ac:dyDescent="0.25">
      <c r="E135" s="76"/>
      <c r="F135" s="75">
        <v>1100</v>
      </c>
      <c r="G135" s="74">
        <f>F135</f>
        <v>1100</v>
      </c>
    </row>
    <row r="136" spans="5:10" x14ac:dyDescent="0.25">
      <c r="F136" t="s">
        <v>122</v>
      </c>
      <c r="G136" s="75">
        <f>SUM(G129:G135)</f>
        <v>7056100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74395-76DA-45BE-B35B-5E6BB874EF7E}">
  <sheetPr>
    <pageSetUpPr fitToPage="1"/>
  </sheetPr>
  <dimension ref="A1:F64"/>
  <sheetViews>
    <sheetView topLeftCell="A50" workbookViewId="0">
      <selection sqref="A1:C21"/>
    </sheetView>
  </sheetViews>
  <sheetFormatPr baseColWidth="10" defaultRowHeight="15" x14ac:dyDescent="0.25"/>
  <cols>
    <col min="2" max="2" width="67" customWidth="1"/>
    <col min="3" max="3" width="19.42578125" bestFit="1" customWidth="1"/>
    <col min="4" max="4" width="13" bestFit="1" customWidth="1"/>
    <col min="5" max="5" width="18.28515625" customWidth="1"/>
    <col min="6" max="6" width="17.5703125" customWidth="1"/>
    <col min="7" max="7" width="20.85546875" customWidth="1"/>
  </cols>
  <sheetData>
    <row r="1" spans="1:5" ht="26.25" x14ac:dyDescent="0.25">
      <c r="A1" s="1"/>
      <c r="B1" s="2" t="s">
        <v>0</v>
      </c>
      <c r="C1" s="3"/>
    </row>
    <row r="2" spans="1:5" ht="23.25" x14ac:dyDescent="0.35">
      <c r="A2" s="4"/>
      <c r="B2" s="5" t="s">
        <v>111</v>
      </c>
      <c r="C2" s="6"/>
    </row>
    <row r="3" spans="1:5" ht="23.25" x14ac:dyDescent="0.35">
      <c r="A3" s="4"/>
      <c r="B3" s="7" t="s">
        <v>2</v>
      </c>
      <c r="C3" s="8">
        <f>'DICIEMBRE 2022'!C120</f>
        <v>44792910</v>
      </c>
    </row>
    <row r="4" spans="1:5" ht="15.75" x14ac:dyDescent="0.25">
      <c r="A4" s="9" t="s">
        <v>3</v>
      </c>
      <c r="B4" s="10" t="s">
        <v>4</v>
      </c>
      <c r="C4" s="11" t="s">
        <v>5</v>
      </c>
    </row>
    <row r="5" spans="1:5" x14ac:dyDescent="0.25">
      <c r="A5" s="12">
        <v>44937</v>
      </c>
      <c r="B5" t="s">
        <v>113</v>
      </c>
      <c r="C5" s="74">
        <v>20000</v>
      </c>
    </row>
    <row r="6" spans="1:5" x14ac:dyDescent="0.25">
      <c r="A6" s="13"/>
      <c r="B6" s="14" t="s">
        <v>112</v>
      </c>
      <c r="C6" s="15">
        <v>60000</v>
      </c>
    </row>
    <row r="7" spans="1:5" x14ac:dyDescent="0.25">
      <c r="A7" s="13">
        <v>44938</v>
      </c>
      <c r="B7" s="14" t="s">
        <v>124</v>
      </c>
      <c r="C7" s="15">
        <v>87500</v>
      </c>
    </row>
    <row r="8" spans="1:5" x14ac:dyDescent="0.25">
      <c r="A8" s="16"/>
      <c r="B8" s="14" t="s">
        <v>125</v>
      </c>
      <c r="C8" s="15">
        <v>115000</v>
      </c>
    </row>
    <row r="9" spans="1:5" x14ac:dyDescent="0.25">
      <c r="A9" s="13"/>
      <c r="B9" s="17" t="s">
        <v>130</v>
      </c>
      <c r="C9" s="90">
        <v>100000</v>
      </c>
    </row>
    <row r="10" spans="1:5" x14ac:dyDescent="0.25">
      <c r="A10" s="16">
        <v>44940</v>
      </c>
      <c r="B10" s="19" t="s">
        <v>136</v>
      </c>
      <c r="C10" s="20">
        <v>600000</v>
      </c>
    </row>
    <row r="11" spans="1:5" x14ac:dyDescent="0.25">
      <c r="A11" s="16">
        <v>44941</v>
      </c>
      <c r="B11" s="17" t="s">
        <v>240</v>
      </c>
      <c r="C11" s="18">
        <v>100000</v>
      </c>
    </row>
    <row r="12" spans="1:5" x14ac:dyDescent="0.25">
      <c r="A12" s="16">
        <v>44579</v>
      </c>
      <c r="B12" s="17" t="s">
        <v>143</v>
      </c>
      <c r="C12" s="18">
        <v>50000</v>
      </c>
    </row>
    <row r="13" spans="1:5" x14ac:dyDescent="0.25">
      <c r="A13" s="77">
        <v>44585</v>
      </c>
      <c r="B13" s="79" t="s">
        <v>148</v>
      </c>
      <c r="C13" s="78">
        <v>100000</v>
      </c>
    </row>
    <row r="14" spans="1:5" x14ac:dyDescent="0.25">
      <c r="A14" s="16" t="s">
        <v>149</v>
      </c>
      <c r="B14" s="17" t="s">
        <v>150</v>
      </c>
      <c r="C14" s="90">
        <v>270000</v>
      </c>
      <c r="D14" t="s">
        <v>151</v>
      </c>
      <c r="E14" s="74">
        <v>125000</v>
      </c>
    </row>
    <row r="15" spans="1:5" x14ac:dyDescent="0.25">
      <c r="A15" s="16"/>
      <c r="B15" s="17" t="s">
        <v>153</v>
      </c>
      <c r="C15" s="18">
        <v>180000</v>
      </c>
    </row>
    <row r="16" spans="1:5" x14ac:dyDescent="0.25">
      <c r="A16" s="16">
        <v>44953</v>
      </c>
      <c r="B16" s="17" t="s">
        <v>179</v>
      </c>
      <c r="C16" s="18">
        <v>750000</v>
      </c>
    </row>
    <row r="17" spans="1:3" x14ac:dyDescent="0.25">
      <c r="A17" s="16"/>
      <c r="B17" s="79" t="s">
        <v>242</v>
      </c>
      <c r="C17" s="78">
        <v>3000000</v>
      </c>
    </row>
    <row r="18" spans="1:3" x14ac:dyDescent="0.25">
      <c r="A18" s="16"/>
      <c r="B18" s="79" t="s">
        <v>243</v>
      </c>
      <c r="C18" s="78">
        <v>105000</v>
      </c>
    </row>
    <row r="19" spans="1:3" x14ac:dyDescent="0.25">
      <c r="A19" s="16"/>
      <c r="B19" s="17" t="s">
        <v>162</v>
      </c>
      <c r="C19" s="18">
        <v>500000</v>
      </c>
    </row>
    <row r="20" spans="1:3" x14ac:dyDescent="0.25">
      <c r="A20" s="16"/>
      <c r="B20" s="17" t="s">
        <v>164</v>
      </c>
      <c r="C20" s="18">
        <v>350000</v>
      </c>
    </row>
    <row r="21" spans="1:3" ht="22.5" x14ac:dyDescent="0.45">
      <c r="A21" s="23"/>
      <c r="B21" s="24"/>
      <c r="C21" s="25">
        <f>SUM(C5:C20)</f>
        <v>6387500</v>
      </c>
    </row>
    <row r="23" spans="1:3" ht="15.75" thickBot="1" x14ac:dyDescent="0.3"/>
    <row r="24" spans="1:3" ht="27" x14ac:dyDescent="0.25">
      <c r="A24" s="26"/>
      <c r="B24" s="27" t="s">
        <v>31</v>
      </c>
      <c r="C24" s="28"/>
    </row>
    <row r="25" spans="1:3" ht="26.25" x14ac:dyDescent="0.35">
      <c r="A25" s="29"/>
      <c r="B25" s="5" t="s">
        <v>111</v>
      </c>
      <c r="C25" s="30"/>
    </row>
    <row r="26" spans="1:3" ht="24.75" x14ac:dyDescent="0.25">
      <c r="A26" s="31" t="s">
        <v>3</v>
      </c>
      <c r="B26" s="32" t="s">
        <v>4</v>
      </c>
      <c r="C26" s="33" t="s">
        <v>5</v>
      </c>
    </row>
    <row r="27" spans="1:3" x14ac:dyDescent="0.25">
      <c r="A27" s="13">
        <v>44936</v>
      </c>
      <c r="B27" s="34" t="s">
        <v>116</v>
      </c>
      <c r="C27" s="20">
        <v>60000</v>
      </c>
    </row>
    <row r="28" spans="1:3" x14ac:dyDescent="0.25">
      <c r="A28" s="35"/>
      <c r="B28" s="34" t="s">
        <v>126</v>
      </c>
      <c r="C28" s="36">
        <v>93000</v>
      </c>
    </row>
    <row r="29" spans="1:3" x14ac:dyDescent="0.25">
      <c r="A29" s="35">
        <v>44937</v>
      </c>
      <c r="B29" s="61" t="s">
        <v>127</v>
      </c>
      <c r="C29" s="88">
        <v>123000</v>
      </c>
    </row>
    <row r="30" spans="1:3" x14ac:dyDescent="0.25">
      <c r="A30" s="39"/>
      <c r="B30" s="61" t="s">
        <v>129</v>
      </c>
      <c r="C30" s="89">
        <v>224000</v>
      </c>
    </row>
    <row r="31" spans="1:3" x14ac:dyDescent="0.25">
      <c r="A31" s="39">
        <v>44940</v>
      </c>
      <c r="B31" s="40" t="s">
        <v>131</v>
      </c>
      <c r="C31" s="41">
        <v>90000</v>
      </c>
    </row>
    <row r="32" spans="1:3" x14ac:dyDescent="0.25">
      <c r="A32" s="39"/>
      <c r="B32" s="42" t="s">
        <v>132</v>
      </c>
      <c r="C32" s="41">
        <v>45000</v>
      </c>
    </row>
    <row r="33" spans="1:3" x14ac:dyDescent="0.25">
      <c r="A33" s="39"/>
      <c r="B33" s="43" t="s">
        <v>134</v>
      </c>
      <c r="C33" s="44">
        <v>205000</v>
      </c>
    </row>
    <row r="34" spans="1:3" x14ac:dyDescent="0.25">
      <c r="A34" s="39"/>
      <c r="B34" s="43" t="s">
        <v>133</v>
      </c>
      <c r="C34" s="44">
        <v>165000</v>
      </c>
    </row>
    <row r="35" spans="1:3" x14ac:dyDescent="0.25">
      <c r="A35" s="35"/>
      <c r="B35" s="45" t="s">
        <v>135</v>
      </c>
      <c r="C35" s="46">
        <v>25000</v>
      </c>
    </row>
    <row r="36" spans="1:3" x14ac:dyDescent="0.25">
      <c r="A36" s="35"/>
      <c r="B36" s="34" t="s">
        <v>137</v>
      </c>
      <c r="C36" s="36">
        <v>178800</v>
      </c>
    </row>
    <row r="37" spans="1:3" x14ac:dyDescent="0.25">
      <c r="A37" s="35"/>
      <c r="B37" s="45" t="s">
        <v>212</v>
      </c>
      <c r="C37" s="46">
        <v>421200</v>
      </c>
    </row>
    <row r="38" spans="1:3" x14ac:dyDescent="0.25">
      <c r="A38" s="69">
        <v>44941</v>
      </c>
      <c r="B38" s="45" t="s">
        <v>141</v>
      </c>
      <c r="C38" s="46">
        <v>246800</v>
      </c>
    </row>
    <row r="39" spans="1:3" x14ac:dyDescent="0.25">
      <c r="A39" s="47"/>
      <c r="B39" s="45" t="s">
        <v>142</v>
      </c>
      <c r="C39" s="49">
        <v>470000</v>
      </c>
    </row>
    <row r="40" spans="1:3" x14ac:dyDescent="0.25">
      <c r="A40" s="35">
        <v>44943</v>
      </c>
      <c r="B40" s="34" t="s">
        <v>139</v>
      </c>
      <c r="C40" s="36">
        <v>90000</v>
      </c>
    </row>
    <row r="41" spans="1:3" x14ac:dyDescent="0.25">
      <c r="A41" s="35"/>
      <c r="B41" s="92" t="s">
        <v>138</v>
      </c>
      <c r="C41" s="93">
        <v>133000</v>
      </c>
    </row>
    <row r="42" spans="1:3" x14ac:dyDescent="0.25">
      <c r="A42" s="47"/>
      <c r="B42" s="34" t="s">
        <v>140</v>
      </c>
      <c r="C42" s="20">
        <v>135600</v>
      </c>
    </row>
    <row r="43" spans="1:3" x14ac:dyDescent="0.25">
      <c r="A43" s="16">
        <v>44945</v>
      </c>
      <c r="B43" s="91" t="s">
        <v>144</v>
      </c>
      <c r="C43" s="85">
        <v>105000</v>
      </c>
    </row>
    <row r="44" spans="1:3" x14ac:dyDescent="0.25">
      <c r="A44" s="47">
        <v>44947</v>
      </c>
      <c r="B44" s="45" t="s">
        <v>145</v>
      </c>
      <c r="C44" s="49">
        <v>200000</v>
      </c>
    </row>
    <row r="45" spans="1:3" x14ac:dyDescent="0.25">
      <c r="A45" s="47"/>
      <c r="B45" s="50" t="s">
        <v>146</v>
      </c>
      <c r="C45" s="49">
        <v>250000</v>
      </c>
    </row>
    <row r="46" spans="1:3" x14ac:dyDescent="0.25">
      <c r="A46" s="47"/>
      <c r="B46" s="45" t="s">
        <v>147</v>
      </c>
      <c r="C46" s="49">
        <v>25000</v>
      </c>
    </row>
    <row r="47" spans="1:3" x14ac:dyDescent="0.25">
      <c r="A47" s="47"/>
      <c r="B47" s="34" t="s">
        <v>155</v>
      </c>
      <c r="C47" s="20">
        <v>190000</v>
      </c>
    </row>
    <row r="48" spans="1:3" x14ac:dyDescent="0.25">
      <c r="A48" s="55"/>
      <c r="B48" s="54" t="s">
        <v>154</v>
      </c>
      <c r="C48" s="56">
        <v>3500</v>
      </c>
    </row>
    <row r="49" spans="1:6" x14ac:dyDescent="0.25">
      <c r="A49" s="55"/>
      <c r="B49" s="54" t="s">
        <v>156</v>
      </c>
      <c r="C49" s="56">
        <v>50000</v>
      </c>
      <c r="D49" s="74">
        <v>400000</v>
      </c>
    </row>
    <row r="50" spans="1:6" x14ac:dyDescent="0.25">
      <c r="A50" s="69"/>
      <c r="B50" s="21" t="s">
        <v>157</v>
      </c>
      <c r="C50" s="22">
        <v>112700</v>
      </c>
    </row>
    <row r="51" spans="1:6" x14ac:dyDescent="0.25">
      <c r="A51" s="69"/>
      <c r="B51" s="105" t="s">
        <v>214</v>
      </c>
      <c r="C51" s="106">
        <v>138000</v>
      </c>
    </row>
    <row r="52" spans="1:6" x14ac:dyDescent="0.25">
      <c r="A52" s="69"/>
      <c r="B52" s="21" t="s">
        <v>158</v>
      </c>
      <c r="C52" s="22">
        <v>67450</v>
      </c>
    </row>
    <row r="53" spans="1:6" x14ac:dyDescent="0.25">
      <c r="A53" s="69">
        <v>44953</v>
      </c>
      <c r="B53" s="17" t="s">
        <v>159</v>
      </c>
      <c r="C53" s="18">
        <v>130000</v>
      </c>
      <c r="E53" s="74">
        <v>360000</v>
      </c>
      <c r="F53" s="80">
        <f>C16-E53</f>
        <v>390000</v>
      </c>
    </row>
    <row r="54" spans="1:6" x14ac:dyDescent="0.25">
      <c r="A54" s="69"/>
      <c r="B54" s="21" t="s">
        <v>160</v>
      </c>
      <c r="C54" s="22">
        <v>160000</v>
      </c>
    </row>
    <row r="55" spans="1:6" x14ac:dyDescent="0.25">
      <c r="A55" s="69"/>
      <c r="B55" s="21" t="s">
        <v>161</v>
      </c>
      <c r="C55" s="22">
        <v>70000</v>
      </c>
    </row>
    <row r="56" spans="1:6" x14ac:dyDescent="0.25">
      <c r="A56" s="69"/>
      <c r="B56" s="107" t="s">
        <v>163</v>
      </c>
      <c r="C56" s="108">
        <v>3218000</v>
      </c>
    </row>
    <row r="57" spans="1:6" x14ac:dyDescent="0.25">
      <c r="A57" s="69">
        <v>44956</v>
      </c>
      <c r="B57" s="21" t="s">
        <v>165</v>
      </c>
      <c r="C57" s="22">
        <v>135000</v>
      </c>
    </row>
    <row r="58" spans="1:6" x14ac:dyDescent="0.25">
      <c r="A58" s="69"/>
      <c r="B58" s="21" t="s">
        <v>166</v>
      </c>
      <c r="C58" s="22">
        <v>203900</v>
      </c>
    </row>
    <row r="59" spans="1:6" x14ac:dyDescent="0.25">
      <c r="A59" s="69"/>
      <c r="B59" s="21" t="s">
        <v>180</v>
      </c>
      <c r="C59" s="22">
        <v>3700</v>
      </c>
    </row>
    <row r="60" spans="1:6" x14ac:dyDescent="0.25">
      <c r="A60" s="69">
        <v>44957</v>
      </c>
      <c r="B60" s="83" t="s">
        <v>167</v>
      </c>
      <c r="C60" s="84">
        <v>60000</v>
      </c>
    </row>
    <row r="61" spans="1:6" x14ac:dyDescent="0.25">
      <c r="A61" s="69"/>
      <c r="B61" s="94" t="s">
        <v>168</v>
      </c>
      <c r="C61" s="95">
        <v>19500</v>
      </c>
    </row>
    <row r="62" spans="1:6" x14ac:dyDescent="0.25">
      <c r="A62" s="69"/>
      <c r="B62" s="94" t="s">
        <v>254</v>
      </c>
      <c r="C62" s="95">
        <v>300000</v>
      </c>
    </row>
    <row r="63" spans="1:6" ht="22.5" x14ac:dyDescent="0.45">
      <c r="B63" s="24"/>
      <c r="C63" s="25">
        <f>SUM(C27:C62)</f>
        <v>8147150</v>
      </c>
      <c r="D63" s="75">
        <f>C21-C63</f>
        <v>-1759650</v>
      </c>
    </row>
    <row r="64" spans="1:6" ht="23.25" thickBot="1" x14ac:dyDescent="0.5">
      <c r="B64" s="70" t="s">
        <v>110</v>
      </c>
      <c r="C64" s="71">
        <f>C3+C21-C63</f>
        <v>43033260</v>
      </c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8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E6517-3D6F-4D99-A6B0-C52844C45282}">
  <dimension ref="A1:E110"/>
  <sheetViews>
    <sheetView tabSelected="1" topLeftCell="A80" workbookViewId="0">
      <selection activeCell="C26" sqref="C26"/>
    </sheetView>
  </sheetViews>
  <sheetFormatPr baseColWidth="10" defaultRowHeight="15" x14ac:dyDescent="0.25"/>
  <cols>
    <col min="2" max="2" width="73.5703125" customWidth="1"/>
    <col min="3" max="3" width="19.42578125" bestFit="1" customWidth="1"/>
    <col min="4" max="4" width="12" bestFit="1" customWidth="1"/>
    <col min="5" max="5" width="19" bestFit="1" customWidth="1"/>
    <col min="6" max="6" width="13.7109375" bestFit="1" customWidth="1"/>
    <col min="7" max="7" width="12" bestFit="1" customWidth="1"/>
  </cols>
  <sheetData>
    <row r="1" spans="1:4" ht="26.25" x14ac:dyDescent="0.25">
      <c r="A1" s="1"/>
      <c r="B1" s="2" t="s">
        <v>0</v>
      </c>
      <c r="C1" s="3"/>
    </row>
    <row r="2" spans="1:4" ht="23.25" x14ac:dyDescent="0.35">
      <c r="A2" s="4"/>
      <c r="B2" s="5" t="s">
        <v>175</v>
      </c>
      <c r="C2" s="6"/>
    </row>
    <row r="3" spans="1:4" ht="23.25" x14ac:dyDescent="0.35">
      <c r="A3" s="4"/>
      <c r="B3" s="7" t="s">
        <v>2</v>
      </c>
      <c r="C3" s="8">
        <f>'ENERO 2023'!C64</f>
        <v>43033260</v>
      </c>
    </row>
    <row r="4" spans="1:4" ht="15.75" x14ac:dyDescent="0.25">
      <c r="A4" s="9" t="s">
        <v>3</v>
      </c>
      <c r="B4" s="10" t="s">
        <v>4</v>
      </c>
      <c r="C4" s="11" t="s">
        <v>5</v>
      </c>
    </row>
    <row r="5" spans="1:4" x14ac:dyDescent="0.25">
      <c r="A5" s="16">
        <v>44960</v>
      </c>
      <c r="B5" s="17" t="s">
        <v>174</v>
      </c>
      <c r="C5" s="18">
        <v>200000</v>
      </c>
    </row>
    <row r="6" spans="1:4" x14ac:dyDescent="0.25">
      <c r="A6" s="16">
        <v>44596</v>
      </c>
      <c r="B6" s="14" t="s">
        <v>178</v>
      </c>
      <c r="C6" s="15">
        <v>500000</v>
      </c>
    </row>
    <row r="7" spans="1:4" x14ac:dyDescent="0.25">
      <c r="A7" s="13"/>
      <c r="B7" s="101" t="s">
        <v>264</v>
      </c>
      <c r="C7" s="102">
        <v>57500</v>
      </c>
    </row>
    <row r="8" spans="1:4" x14ac:dyDescent="0.25">
      <c r="A8" s="16">
        <v>44964</v>
      </c>
      <c r="B8" s="19" t="s">
        <v>181</v>
      </c>
      <c r="C8" s="20">
        <v>300000</v>
      </c>
    </row>
    <row r="9" spans="1:4" x14ac:dyDescent="0.25">
      <c r="A9" s="16"/>
      <c r="B9" s="17" t="s">
        <v>182</v>
      </c>
      <c r="C9" s="18">
        <v>63000</v>
      </c>
    </row>
    <row r="10" spans="1:4" x14ac:dyDescent="0.25">
      <c r="A10" s="16">
        <v>44965</v>
      </c>
      <c r="B10" s="17" t="s">
        <v>186</v>
      </c>
      <c r="C10" s="18">
        <v>50000</v>
      </c>
    </row>
    <row r="11" spans="1:4" x14ac:dyDescent="0.25">
      <c r="A11" s="77"/>
      <c r="B11" s="79" t="s">
        <v>190</v>
      </c>
      <c r="C11" s="78">
        <v>1000000</v>
      </c>
    </row>
    <row r="12" spans="1:4" x14ac:dyDescent="0.25">
      <c r="A12" s="16">
        <v>44973</v>
      </c>
      <c r="B12" s="17" t="s">
        <v>197</v>
      </c>
      <c r="C12" s="18">
        <v>2000000</v>
      </c>
    </row>
    <row r="13" spans="1:4" x14ac:dyDescent="0.25">
      <c r="A13" s="16">
        <v>44974</v>
      </c>
      <c r="B13" s="17" t="s">
        <v>203</v>
      </c>
      <c r="C13" s="18">
        <v>460850</v>
      </c>
    </row>
    <row r="14" spans="1:4" x14ac:dyDescent="0.25">
      <c r="A14" s="16"/>
      <c r="B14" s="17" t="s">
        <v>204</v>
      </c>
      <c r="C14" s="18">
        <v>250000</v>
      </c>
    </row>
    <row r="15" spans="1:4" x14ac:dyDescent="0.25">
      <c r="A15" s="16">
        <v>44973</v>
      </c>
      <c r="B15" s="17" t="s">
        <v>208</v>
      </c>
      <c r="C15" s="18">
        <v>180000</v>
      </c>
    </row>
    <row r="16" spans="1:4" x14ac:dyDescent="0.25">
      <c r="A16" s="16">
        <v>44977</v>
      </c>
      <c r="B16" s="101" t="s">
        <v>218</v>
      </c>
      <c r="C16" s="102">
        <v>42000</v>
      </c>
      <c r="D16" s="80">
        <f>C7+C16</f>
        <v>99500</v>
      </c>
    </row>
    <row r="17" spans="1:3" x14ac:dyDescent="0.25">
      <c r="A17" s="96">
        <v>44978</v>
      </c>
      <c r="B17" s="21" t="s">
        <v>226</v>
      </c>
      <c r="C17" s="22">
        <v>200000</v>
      </c>
    </row>
    <row r="18" spans="1:3" x14ac:dyDescent="0.25">
      <c r="A18" s="69">
        <v>44980</v>
      </c>
      <c r="B18" s="21" t="s">
        <v>233</v>
      </c>
      <c r="C18" s="22">
        <v>3555467</v>
      </c>
    </row>
    <row r="19" spans="1:3" x14ac:dyDescent="0.25">
      <c r="A19" s="69"/>
      <c r="B19" s="21" t="s">
        <v>241</v>
      </c>
      <c r="C19" s="22">
        <v>1444533</v>
      </c>
    </row>
    <row r="20" spans="1:3" x14ac:dyDescent="0.25">
      <c r="A20" s="16"/>
      <c r="B20" s="21" t="s">
        <v>221</v>
      </c>
      <c r="C20" s="22">
        <v>112500</v>
      </c>
    </row>
    <row r="21" spans="1:3" x14ac:dyDescent="0.25">
      <c r="A21" s="16"/>
      <c r="B21" s="21" t="s">
        <v>222</v>
      </c>
      <c r="C21" s="22">
        <v>40000</v>
      </c>
    </row>
    <row r="22" spans="1:3" x14ac:dyDescent="0.25">
      <c r="A22" s="16">
        <v>44985</v>
      </c>
      <c r="B22" s="17" t="s">
        <v>213</v>
      </c>
      <c r="C22" s="18">
        <v>700000</v>
      </c>
    </row>
    <row r="23" spans="1:3" x14ac:dyDescent="0.25">
      <c r="A23" s="16"/>
      <c r="B23" s="17" t="s">
        <v>245</v>
      </c>
      <c r="C23" s="18">
        <v>100000</v>
      </c>
    </row>
    <row r="24" spans="1:3" x14ac:dyDescent="0.25">
      <c r="A24" s="16"/>
      <c r="B24" s="17" t="s">
        <v>255</v>
      </c>
      <c r="C24" s="18">
        <v>1000000</v>
      </c>
    </row>
    <row r="25" spans="1:3" x14ac:dyDescent="0.25">
      <c r="A25" s="16"/>
      <c r="B25" s="17" t="s">
        <v>322</v>
      </c>
      <c r="C25" s="18">
        <v>1200000</v>
      </c>
    </row>
    <row r="26" spans="1:3" ht="22.5" x14ac:dyDescent="0.45">
      <c r="A26" s="23"/>
      <c r="B26" s="24"/>
      <c r="C26" s="25">
        <f>SUM(C5:C25)</f>
        <v>13455850</v>
      </c>
    </row>
    <row r="28" spans="1:3" ht="15.75" thickBot="1" x14ac:dyDescent="0.3"/>
    <row r="29" spans="1:3" ht="27" x14ac:dyDescent="0.25">
      <c r="A29" s="26"/>
      <c r="B29" s="27" t="s">
        <v>31</v>
      </c>
      <c r="C29" s="28"/>
    </row>
    <row r="30" spans="1:3" ht="26.25" x14ac:dyDescent="0.35">
      <c r="A30" s="29"/>
      <c r="B30" s="5" t="s">
        <v>175</v>
      </c>
      <c r="C30" s="30"/>
    </row>
    <row r="31" spans="1:3" ht="24.75" x14ac:dyDescent="0.25">
      <c r="A31" s="31" t="s">
        <v>3</v>
      </c>
      <c r="B31" s="32" t="s">
        <v>4</v>
      </c>
      <c r="C31" s="33" t="s">
        <v>5</v>
      </c>
    </row>
    <row r="32" spans="1:3" x14ac:dyDescent="0.25">
      <c r="A32" s="69">
        <v>44593</v>
      </c>
      <c r="B32" s="21" t="s">
        <v>169</v>
      </c>
      <c r="C32" s="22">
        <v>205000</v>
      </c>
    </row>
    <row r="33" spans="1:3" x14ac:dyDescent="0.25">
      <c r="A33" s="69"/>
      <c r="B33" s="21" t="s">
        <v>170</v>
      </c>
      <c r="C33" s="22">
        <v>4500</v>
      </c>
    </row>
    <row r="34" spans="1:3" x14ac:dyDescent="0.25">
      <c r="A34" s="69">
        <v>44595</v>
      </c>
      <c r="B34" s="54" t="s">
        <v>152</v>
      </c>
      <c r="C34" s="15">
        <v>180000</v>
      </c>
    </row>
    <row r="35" spans="1:3" x14ac:dyDescent="0.25">
      <c r="B35" s="83" t="s">
        <v>173</v>
      </c>
      <c r="C35" s="84">
        <v>35000</v>
      </c>
    </row>
    <row r="36" spans="1:3" x14ac:dyDescent="0.25">
      <c r="A36" s="69"/>
      <c r="B36" s="21" t="s">
        <v>172</v>
      </c>
      <c r="C36" s="22">
        <v>10000</v>
      </c>
    </row>
    <row r="37" spans="1:3" x14ac:dyDescent="0.25">
      <c r="A37" s="69"/>
      <c r="B37" s="21" t="s">
        <v>171</v>
      </c>
      <c r="C37" s="22">
        <v>20000</v>
      </c>
    </row>
    <row r="38" spans="1:3" x14ac:dyDescent="0.25">
      <c r="A38" s="69"/>
      <c r="B38" s="21" t="s">
        <v>176</v>
      </c>
      <c r="C38" s="22">
        <v>20000</v>
      </c>
    </row>
    <row r="39" spans="1:3" x14ac:dyDescent="0.25">
      <c r="A39" s="39">
        <v>44596</v>
      </c>
      <c r="B39" s="42" t="s">
        <v>177</v>
      </c>
      <c r="C39" s="41">
        <v>500000</v>
      </c>
    </row>
    <row r="40" spans="1:3" x14ac:dyDescent="0.25">
      <c r="A40" s="39"/>
      <c r="B40" s="43" t="s">
        <v>184</v>
      </c>
      <c r="C40" s="44">
        <v>250000</v>
      </c>
    </row>
    <row r="41" spans="1:3" x14ac:dyDescent="0.25">
      <c r="A41" s="35"/>
      <c r="B41" s="43" t="s">
        <v>185</v>
      </c>
      <c r="C41" s="46">
        <v>218000</v>
      </c>
    </row>
    <row r="42" spans="1:3" x14ac:dyDescent="0.25">
      <c r="A42" s="35">
        <v>44964</v>
      </c>
      <c r="B42" s="34" t="s">
        <v>183</v>
      </c>
      <c r="C42" s="36">
        <v>115000</v>
      </c>
    </row>
    <row r="43" spans="1:3" x14ac:dyDescent="0.25">
      <c r="A43" s="35"/>
      <c r="B43" s="34" t="s">
        <v>187</v>
      </c>
      <c r="C43" s="36">
        <v>102000</v>
      </c>
    </row>
    <row r="44" spans="1:3" x14ac:dyDescent="0.25">
      <c r="A44" s="69">
        <v>44965</v>
      </c>
      <c r="B44" s="45" t="s">
        <v>188</v>
      </c>
      <c r="C44" s="46">
        <v>20000</v>
      </c>
    </row>
    <row r="45" spans="1:3" x14ac:dyDescent="0.25">
      <c r="A45" s="35"/>
      <c r="B45" s="45" t="s">
        <v>189</v>
      </c>
      <c r="C45" s="36">
        <v>5800</v>
      </c>
    </row>
    <row r="46" spans="1:3" x14ac:dyDescent="0.25">
      <c r="A46" s="35">
        <v>44967</v>
      </c>
      <c r="B46" s="34" t="s">
        <v>191</v>
      </c>
      <c r="C46" s="36">
        <v>52500</v>
      </c>
    </row>
    <row r="47" spans="1:3" x14ac:dyDescent="0.25">
      <c r="A47" s="47"/>
      <c r="B47" s="45" t="s">
        <v>192</v>
      </c>
      <c r="C47" s="49">
        <v>215000</v>
      </c>
    </row>
    <row r="48" spans="1:3" x14ac:dyDescent="0.25">
      <c r="A48" s="16"/>
      <c r="B48" s="45" t="s">
        <v>193</v>
      </c>
      <c r="C48" s="85">
        <v>250000</v>
      </c>
    </row>
    <row r="49" spans="1:3" x14ac:dyDescent="0.25">
      <c r="A49" s="47"/>
      <c r="B49" s="45" t="s">
        <v>194</v>
      </c>
      <c r="C49" s="49">
        <v>65000</v>
      </c>
    </row>
    <row r="50" spans="1:3" x14ac:dyDescent="0.25">
      <c r="A50" s="47"/>
      <c r="B50" s="72" t="s">
        <v>195</v>
      </c>
      <c r="C50" s="20">
        <v>200000</v>
      </c>
    </row>
    <row r="51" spans="1:3" x14ac:dyDescent="0.25">
      <c r="A51" s="53">
        <v>44971</v>
      </c>
      <c r="B51" s="54" t="s">
        <v>196</v>
      </c>
      <c r="C51" s="15">
        <v>123000</v>
      </c>
    </row>
    <row r="52" spans="1:3" x14ac:dyDescent="0.25">
      <c r="A52" s="21" t="s">
        <v>198</v>
      </c>
      <c r="B52" s="86" t="s">
        <v>198</v>
      </c>
      <c r="C52" s="87">
        <v>1227280</v>
      </c>
    </row>
    <row r="53" spans="1:3" x14ac:dyDescent="0.25">
      <c r="A53" s="69"/>
      <c r="B53" s="86" t="s">
        <v>199</v>
      </c>
      <c r="C53" s="87">
        <v>617243</v>
      </c>
    </row>
    <row r="54" spans="1:3" x14ac:dyDescent="0.25">
      <c r="A54" s="69"/>
      <c r="B54" s="21" t="s">
        <v>200</v>
      </c>
      <c r="C54" s="22">
        <v>20000</v>
      </c>
    </row>
    <row r="55" spans="1:3" x14ac:dyDescent="0.25">
      <c r="A55" s="69"/>
      <c r="B55" s="17" t="s">
        <v>201</v>
      </c>
      <c r="C55" s="18">
        <v>109000</v>
      </c>
    </row>
    <row r="56" spans="1:3" x14ac:dyDescent="0.25">
      <c r="A56" s="69">
        <v>44973</v>
      </c>
      <c r="B56" s="21" t="s">
        <v>202</v>
      </c>
      <c r="C56" s="22">
        <v>25900</v>
      </c>
    </row>
    <row r="57" spans="1:3" x14ac:dyDescent="0.25">
      <c r="A57" s="69">
        <v>44974</v>
      </c>
      <c r="B57" s="21" t="s">
        <v>206</v>
      </c>
      <c r="C57" s="22">
        <v>107000</v>
      </c>
    </row>
    <row r="58" spans="1:3" x14ac:dyDescent="0.25">
      <c r="A58" s="69"/>
      <c r="B58" s="21" t="s">
        <v>207</v>
      </c>
      <c r="C58" s="22">
        <v>70000</v>
      </c>
    </row>
    <row r="59" spans="1:3" x14ac:dyDescent="0.25">
      <c r="A59" s="69"/>
      <c r="B59" s="83" t="s">
        <v>209</v>
      </c>
      <c r="C59" s="84">
        <v>250000</v>
      </c>
    </row>
    <row r="60" spans="1:3" x14ac:dyDescent="0.25">
      <c r="A60" s="69"/>
      <c r="B60" s="83" t="s">
        <v>210</v>
      </c>
      <c r="C60" s="84">
        <v>250000</v>
      </c>
    </row>
    <row r="61" spans="1:3" x14ac:dyDescent="0.25">
      <c r="A61" s="69"/>
      <c r="B61" s="83" t="s">
        <v>211</v>
      </c>
      <c r="C61" s="84">
        <v>90000</v>
      </c>
    </row>
    <row r="62" spans="1:3" x14ac:dyDescent="0.25">
      <c r="A62" s="69"/>
      <c r="B62" s="94" t="s">
        <v>215</v>
      </c>
      <c r="C62" s="95">
        <v>226570</v>
      </c>
    </row>
    <row r="63" spans="1:3" x14ac:dyDescent="0.25">
      <c r="A63" s="69"/>
      <c r="B63" s="21" t="s">
        <v>216</v>
      </c>
      <c r="C63" s="22">
        <v>100000</v>
      </c>
    </row>
    <row r="64" spans="1:3" x14ac:dyDescent="0.25">
      <c r="A64" s="69">
        <v>44978</v>
      </c>
      <c r="B64" s="21" t="s">
        <v>217</v>
      </c>
      <c r="C64" s="22">
        <v>90000</v>
      </c>
    </row>
    <row r="65" spans="1:4" x14ac:dyDescent="0.25">
      <c r="A65" s="69">
        <v>44979</v>
      </c>
      <c r="B65" s="21" t="s">
        <v>219</v>
      </c>
      <c r="C65" s="22">
        <v>300800</v>
      </c>
    </row>
    <row r="66" spans="1:4" x14ac:dyDescent="0.25">
      <c r="A66" s="69"/>
      <c r="B66" s="21" t="s">
        <v>220</v>
      </c>
      <c r="C66" s="22">
        <v>67410</v>
      </c>
      <c r="D66" s="74"/>
    </row>
    <row r="67" spans="1:4" x14ac:dyDescent="0.25">
      <c r="A67" s="69"/>
      <c r="B67" s="83" t="s">
        <v>232</v>
      </c>
      <c r="C67" s="84">
        <v>38000</v>
      </c>
    </row>
    <row r="68" spans="1:4" x14ac:dyDescent="0.25">
      <c r="A68" s="69">
        <v>44980</v>
      </c>
      <c r="B68" s="21" t="s">
        <v>223</v>
      </c>
      <c r="C68" s="22">
        <v>55000</v>
      </c>
    </row>
    <row r="69" spans="1:4" x14ac:dyDescent="0.25">
      <c r="A69" s="69"/>
      <c r="B69" s="21" t="s">
        <v>224</v>
      </c>
      <c r="C69" s="22">
        <v>150000</v>
      </c>
    </row>
    <row r="70" spans="1:4" x14ac:dyDescent="0.25">
      <c r="A70" s="69"/>
      <c r="B70" s="21" t="s">
        <v>227</v>
      </c>
      <c r="C70" s="22">
        <v>7000</v>
      </c>
    </row>
    <row r="71" spans="1:4" x14ac:dyDescent="0.25">
      <c r="A71" s="69">
        <v>44981</v>
      </c>
      <c r="B71" s="21" t="s">
        <v>225</v>
      </c>
      <c r="C71" s="22">
        <v>21400</v>
      </c>
    </row>
    <row r="72" spans="1:4" x14ac:dyDescent="0.25">
      <c r="A72" s="69">
        <v>44982</v>
      </c>
      <c r="B72" s="83" t="s">
        <v>228</v>
      </c>
      <c r="C72" s="84">
        <v>177000</v>
      </c>
    </row>
    <row r="73" spans="1:4" x14ac:dyDescent="0.25">
      <c r="A73" s="69"/>
      <c r="B73" s="83" t="s">
        <v>229</v>
      </c>
      <c r="C73" s="84">
        <v>65000</v>
      </c>
    </row>
    <row r="74" spans="1:4" x14ac:dyDescent="0.25">
      <c r="A74" s="69"/>
      <c r="B74" s="83" t="s">
        <v>230</v>
      </c>
      <c r="C74" s="84">
        <v>105000</v>
      </c>
    </row>
    <row r="75" spans="1:4" x14ac:dyDescent="0.25">
      <c r="A75" s="69"/>
      <c r="B75" s="21" t="s">
        <v>235</v>
      </c>
      <c r="C75" s="22">
        <v>114000</v>
      </c>
    </row>
    <row r="76" spans="1:4" x14ac:dyDescent="0.25">
      <c r="A76" s="69"/>
      <c r="B76" s="21" t="s">
        <v>231</v>
      </c>
      <c r="C76" s="22">
        <v>37590</v>
      </c>
    </row>
    <row r="77" spans="1:4" x14ac:dyDescent="0.25">
      <c r="A77" s="69"/>
      <c r="B77" s="97" t="s">
        <v>234</v>
      </c>
      <c r="C77" s="98">
        <v>1800000</v>
      </c>
    </row>
    <row r="78" spans="1:4" x14ac:dyDescent="0.25">
      <c r="A78" s="69">
        <v>44984</v>
      </c>
      <c r="B78" s="21" t="s">
        <v>236</v>
      </c>
      <c r="C78" s="22">
        <v>300000</v>
      </c>
    </row>
    <row r="79" spans="1:4" x14ac:dyDescent="0.25">
      <c r="A79" s="69"/>
      <c r="B79" s="21" t="s">
        <v>237</v>
      </c>
      <c r="C79" s="22">
        <v>11600</v>
      </c>
    </row>
    <row r="80" spans="1:4" x14ac:dyDescent="0.25">
      <c r="A80" s="69"/>
      <c r="B80" s="21" t="s">
        <v>238</v>
      </c>
      <c r="C80" s="22">
        <v>135000</v>
      </c>
    </row>
    <row r="81" spans="1:4" x14ac:dyDescent="0.25">
      <c r="A81" s="69"/>
      <c r="B81" s="21" t="s">
        <v>239</v>
      </c>
      <c r="C81" s="22">
        <v>10000</v>
      </c>
    </row>
    <row r="82" spans="1:4" x14ac:dyDescent="0.25">
      <c r="A82" s="69"/>
      <c r="B82" s="83" t="s">
        <v>259</v>
      </c>
      <c r="C82" s="84">
        <v>20000</v>
      </c>
    </row>
    <row r="83" spans="1:4" x14ac:dyDescent="0.25">
      <c r="A83" s="69">
        <v>44985</v>
      </c>
      <c r="B83" s="21" t="s">
        <v>244</v>
      </c>
      <c r="C83" s="22">
        <v>186000</v>
      </c>
    </row>
    <row r="84" spans="1:4" x14ac:dyDescent="0.25">
      <c r="A84" s="69"/>
      <c r="B84" s="21" t="s">
        <v>248</v>
      </c>
      <c r="C84" s="22">
        <v>284000</v>
      </c>
    </row>
    <row r="85" spans="1:4" x14ac:dyDescent="0.25">
      <c r="A85" s="69"/>
      <c r="B85" s="94" t="s">
        <v>256</v>
      </c>
      <c r="C85" s="95">
        <v>300000</v>
      </c>
    </row>
    <row r="86" spans="1:4" x14ac:dyDescent="0.25">
      <c r="A86" s="69"/>
      <c r="B86" s="83" t="s">
        <v>260</v>
      </c>
      <c r="C86" s="84">
        <v>90000</v>
      </c>
    </row>
    <row r="87" spans="1:4" x14ac:dyDescent="0.25">
      <c r="A87" s="69"/>
      <c r="B87" s="83" t="s">
        <v>261</v>
      </c>
      <c r="C87" s="84">
        <v>76000</v>
      </c>
    </row>
    <row r="88" spans="1:4" x14ac:dyDescent="0.25">
      <c r="A88" s="69"/>
      <c r="B88" s="112" t="s">
        <v>318</v>
      </c>
      <c r="C88" s="113">
        <v>117600</v>
      </c>
    </row>
    <row r="89" spans="1:4" x14ac:dyDescent="0.25">
      <c r="A89" s="69"/>
      <c r="B89" s="112" t="s">
        <v>319</v>
      </c>
      <c r="C89" s="113">
        <v>117600</v>
      </c>
    </row>
    <row r="90" spans="1:4" x14ac:dyDescent="0.25">
      <c r="A90" s="69"/>
      <c r="B90" s="112" t="s">
        <v>325</v>
      </c>
      <c r="C90" s="113">
        <v>117600</v>
      </c>
    </row>
    <row r="91" spans="1:4" x14ac:dyDescent="0.25">
      <c r="A91" s="69"/>
      <c r="B91" s="112" t="s">
        <v>326</v>
      </c>
      <c r="C91" s="113">
        <v>431200</v>
      </c>
    </row>
    <row r="92" spans="1:4" ht="22.5" x14ac:dyDescent="0.45">
      <c r="B92" s="24"/>
      <c r="C92" s="25">
        <f>SUM(C32:C91)</f>
        <v>10908593</v>
      </c>
      <c r="D92" s="75">
        <f>C26-C92</f>
        <v>2547257</v>
      </c>
    </row>
    <row r="93" spans="1:4" ht="23.25" thickBot="1" x14ac:dyDescent="0.5">
      <c r="B93" s="70" t="s">
        <v>110</v>
      </c>
      <c r="C93" s="71">
        <f>C3+C26-C92</f>
        <v>45580517</v>
      </c>
    </row>
    <row r="97" spans="2:5" x14ac:dyDescent="0.25">
      <c r="D97" t="s">
        <v>265</v>
      </c>
      <c r="E97">
        <v>37815</v>
      </c>
    </row>
    <row r="98" spans="2:5" x14ac:dyDescent="0.25">
      <c r="D98" t="s">
        <v>266</v>
      </c>
      <c r="E98">
        <f>E97*19%</f>
        <v>7184.85</v>
      </c>
    </row>
    <row r="99" spans="2:5" x14ac:dyDescent="0.25">
      <c r="E99">
        <f>SUM(E97:E98)</f>
        <v>44999.85</v>
      </c>
    </row>
    <row r="100" spans="2:5" x14ac:dyDescent="0.25">
      <c r="D100" t="s">
        <v>267</v>
      </c>
      <c r="E100">
        <v>12500</v>
      </c>
    </row>
    <row r="110" spans="2:5" x14ac:dyDescent="0.25">
      <c r="B110" s="81" t="s">
        <v>205</v>
      </c>
      <c r="C110" s="82">
        <f>250000+215000+85000</f>
        <v>550000</v>
      </c>
    </row>
  </sheetData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5565F-9A13-4C33-B577-E332D4D21BF0}">
  <dimension ref="A1:G119"/>
  <sheetViews>
    <sheetView topLeftCell="A52" workbookViewId="0">
      <selection activeCell="E118" sqref="E118"/>
    </sheetView>
  </sheetViews>
  <sheetFormatPr baseColWidth="10" defaultRowHeight="15" x14ac:dyDescent="0.25"/>
  <cols>
    <col min="2" max="2" width="88.7109375" bestFit="1" customWidth="1"/>
    <col min="3" max="3" width="19.42578125" bestFit="1" customWidth="1"/>
    <col min="4" max="4" width="12.7109375" bestFit="1" customWidth="1"/>
    <col min="5" max="5" width="19" bestFit="1" customWidth="1"/>
    <col min="6" max="6" width="13" bestFit="1" customWidth="1"/>
    <col min="7" max="7" width="12" bestFit="1" customWidth="1"/>
  </cols>
  <sheetData>
    <row r="1" spans="1:3" ht="26.25" x14ac:dyDescent="0.25">
      <c r="A1" s="1"/>
      <c r="B1" s="2" t="s">
        <v>0</v>
      </c>
      <c r="C1" s="3"/>
    </row>
    <row r="2" spans="1:3" ht="23.25" x14ac:dyDescent="0.35">
      <c r="A2" s="4"/>
      <c r="B2" s="5" t="s">
        <v>246</v>
      </c>
      <c r="C2" s="6"/>
    </row>
    <row r="3" spans="1:3" ht="23.25" x14ac:dyDescent="0.35">
      <c r="A3" s="4"/>
      <c r="B3" s="7" t="s">
        <v>2</v>
      </c>
      <c r="C3" s="8">
        <f>'FEBRERO 2023'!C93</f>
        <v>45580517</v>
      </c>
    </row>
    <row r="4" spans="1:3" ht="15.75" x14ac:dyDescent="0.25">
      <c r="A4" s="9" t="s">
        <v>3</v>
      </c>
      <c r="B4" s="10" t="s">
        <v>4</v>
      </c>
      <c r="C4" s="11" t="s">
        <v>5</v>
      </c>
    </row>
    <row r="5" spans="1:3" x14ac:dyDescent="0.25">
      <c r="A5" s="16">
        <v>44986</v>
      </c>
      <c r="B5" s="17" t="s">
        <v>247</v>
      </c>
      <c r="C5" s="18">
        <v>92000</v>
      </c>
    </row>
    <row r="6" spans="1:3" x14ac:dyDescent="0.25">
      <c r="A6" s="16">
        <v>44992</v>
      </c>
      <c r="B6" s="14" t="s">
        <v>268</v>
      </c>
      <c r="C6" s="15">
        <v>69500</v>
      </c>
    </row>
    <row r="7" spans="1:3" x14ac:dyDescent="0.25">
      <c r="A7" s="16"/>
      <c r="B7" s="14" t="s">
        <v>320</v>
      </c>
      <c r="C7" s="56">
        <v>400000</v>
      </c>
    </row>
    <row r="8" spans="1:3" x14ac:dyDescent="0.25">
      <c r="A8" s="16">
        <v>44993</v>
      </c>
      <c r="B8" s="19" t="s">
        <v>272</v>
      </c>
      <c r="C8" s="20">
        <v>50000</v>
      </c>
    </row>
    <row r="9" spans="1:3" x14ac:dyDescent="0.25">
      <c r="A9" s="16"/>
      <c r="B9" s="19" t="s">
        <v>273</v>
      </c>
      <c r="C9" s="18">
        <v>50000</v>
      </c>
    </row>
    <row r="10" spans="1:3" x14ac:dyDescent="0.25">
      <c r="A10" s="16"/>
      <c r="B10" s="19" t="s">
        <v>290</v>
      </c>
      <c r="C10" s="18">
        <v>700000</v>
      </c>
    </row>
    <row r="11" spans="1:3" x14ac:dyDescent="0.25">
      <c r="A11" s="16">
        <v>44995</v>
      </c>
      <c r="B11" s="17" t="s">
        <v>275</v>
      </c>
      <c r="C11" s="18">
        <v>132000</v>
      </c>
    </row>
    <row r="12" spans="1:3" x14ac:dyDescent="0.25">
      <c r="A12" s="77"/>
      <c r="B12" s="79" t="s">
        <v>277</v>
      </c>
      <c r="C12" s="78">
        <v>85000</v>
      </c>
    </row>
    <row r="13" spans="1:3" x14ac:dyDescent="0.25">
      <c r="A13" s="16"/>
      <c r="B13" s="17" t="s">
        <v>278</v>
      </c>
      <c r="C13" s="18">
        <v>30000</v>
      </c>
    </row>
    <row r="14" spans="1:3" x14ac:dyDescent="0.25">
      <c r="A14" s="16"/>
      <c r="B14" s="17" t="s">
        <v>279</v>
      </c>
      <c r="C14" s="18">
        <v>45000</v>
      </c>
    </row>
    <row r="15" spans="1:3" x14ac:dyDescent="0.25">
      <c r="A15" s="16">
        <v>45002</v>
      </c>
      <c r="B15" s="17" t="s">
        <v>285</v>
      </c>
      <c r="C15" s="18">
        <v>300000</v>
      </c>
    </row>
    <row r="16" spans="1:3" x14ac:dyDescent="0.25">
      <c r="A16" s="16"/>
      <c r="B16" s="17" t="s">
        <v>292</v>
      </c>
      <c r="C16" s="18">
        <v>450000</v>
      </c>
    </row>
    <row r="17" spans="1:3" x14ac:dyDescent="0.25">
      <c r="A17" s="16">
        <v>45007</v>
      </c>
      <c r="B17" s="17" t="s">
        <v>294</v>
      </c>
      <c r="C17" s="18">
        <v>50000</v>
      </c>
    </row>
    <row r="18" spans="1:3" x14ac:dyDescent="0.25">
      <c r="A18" s="69"/>
      <c r="B18" s="21" t="s">
        <v>296</v>
      </c>
      <c r="C18" s="22">
        <v>150000</v>
      </c>
    </row>
    <row r="19" spans="1:3" x14ac:dyDescent="0.25">
      <c r="A19" s="69"/>
      <c r="B19" s="21" t="s">
        <v>299</v>
      </c>
      <c r="C19" s="22">
        <v>20000</v>
      </c>
    </row>
    <row r="20" spans="1:3" x14ac:dyDescent="0.25">
      <c r="A20" s="16">
        <v>44980</v>
      </c>
      <c r="B20" s="21" t="s">
        <v>301</v>
      </c>
      <c r="C20" s="22">
        <v>20000</v>
      </c>
    </row>
    <row r="21" spans="1:3" x14ac:dyDescent="0.25">
      <c r="A21" s="16"/>
      <c r="B21" s="109" t="s">
        <v>304</v>
      </c>
      <c r="C21" s="22">
        <v>50000</v>
      </c>
    </row>
    <row r="22" spans="1:3" x14ac:dyDescent="0.25">
      <c r="A22" s="16"/>
      <c r="B22" s="109" t="s">
        <v>323</v>
      </c>
      <c r="C22" s="22">
        <v>22000</v>
      </c>
    </row>
    <row r="23" spans="1:3" x14ac:dyDescent="0.25">
      <c r="A23" s="16">
        <v>45010</v>
      </c>
      <c r="B23" s="109" t="s">
        <v>292</v>
      </c>
      <c r="C23" s="22">
        <v>700000</v>
      </c>
    </row>
    <row r="24" spans="1:3" x14ac:dyDescent="0.25">
      <c r="A24" s="16">
        <v>45012</v>
      </c>
      <c r="B24" s="17" t="s">
        <v>310</v>
      </c>
      <c r="C24" s="18">
        <v>50000</v>
      </c>
    </row>
    <row r="25" spans="1:3" x14ac:dyDescent="0.25">
      <c r="A25" s="16">
        <v>45013</v>
      </c>
      <c r="B25" s="17" t="s">
        <v>329</v>
      </c>
      <c r="C25" s="18">
        <v>1960000</v>
      </c>
    </row>
    <row r="26" spans="1:3" x14ac:dyDescent="0.25">
      <c r="A26" s="16"/>
      <c r="B26" s="17"/>
      <c r="C26" s="18"/>
    </row>
    <row r="27" spans="1:3" x14ac:dyDescent="0.25">
      <c r="A27" s="16"/>
      <c r="B27" s="17"/>
      <c r="C27" s="18"/>
    </row>
    <row r="28" spans="1:3" x14ac:dyDescent="0.25">
      <c r="A28" s="16"/>
      <c r="B28" s="17"/>
      <c r="C28" s="18"/>
    </row>
    <row r="29" spans="1:3" x14ac:dyDescent="0.25">
      <c r="A29" s="16"/>
      <c r="B29" s="17"/>
      <c r="C29" s="18"/>
    </row>
    <row r="30" spans="1:3" x14ac:dyDescent="0.25">
      <c r="A30" s="16"/>
      <c r="B30" s="17"/>
      <c r="C30" s="18"/>
    </row>
    <row r="31" spans="1:3" x14ac:dyDescent="0.25">
      <c r="A31" s="16"/>
      <c r="B31" s="17"/>
      <c r="C31" s="18"/>
    </row>
    <row r="32" spans="1:3" x14ac:dyDescent="0.25">
      <c r="A32" s="16"/>
      <c r="B32" s="17"/>
      <c r="C32" s="18"/>
    </row>
    <row r="33" spans="1:3" x14ac:dyDescent="0.25">
      <c r="A33" s="16"/>
      <c r="B33" s="17"/>
      <c r="C33" s="18"/>
    </row>
    <row r="34" spans="1:3" x14ac:dyDescent="0.25">
      <c r="A34" s="16"/>
      <c r="B34" s="17"/>
      <c r="C34" s="18"/>
    </row>
    <row r="35" spans="1:3" x14ac:dyDescent="0.25">
      <c r="A35" s="16"/>
      <c r="B35" s="17"/>
      <c r="C35" s="18"/>
    </row>
    <row r="36" spans="1:3" x14ac:dyDescent="0.25">
      <c r="A36" s="16"/>
      <c r="B36" s="17"/>
      <c r="C36" s="18"/>
    </row>
    <row r="37" spans="1:3" ht="22.5" x14ac:dyDescent="0.45">
      <c r="A37" s="23"/>
      <c r="B37" s="24"/>
      <c r="C37" s="25">
        <f>SUM(C5:C25)</f>
        <v>5425500</v>
      </c>
    </row>
    <row r="39" spans="1:3" ht="15.75" thickBot="1" x14ac:dyDescent="0.3"/>
    <row r="40" spans="1:3" ht="27" x14ac:dyDescent="0.25">
      <c r="A40" s="26"/>
      <c r="B40" s="27" t="s">
        <v>31</v>
      </c>
      <c r="C40" s="28"/>
    </row>
    <row r="41" spans="1:3" ht="26.25" x14ac:dyDescent="0.35">
      <c r="A41" s="29"/>
      <c r="B41" s="5" t="s">
        <v>246</v>
      </c>
      <c r="C41" s="30"/>
    </row>
    <row r="42" spans="1:3" ht="24.75" x14ac:dyDescent="0.25">
      <c r="A42" s="31" t="s">
        <v>3</v>
      </c>
      <c r="B42" s="32" t="s">
        <v>4</v>
      </c>
      <c r="C42" s="33" t="s">
        <v>5</v>
      </c>
    </row>
    <row r="43" spans="1:3" x14ac:dyDescent="0.25">
      <c r="A43" s="69"/>
      <c r="B43" s="21" t="s">
        <v>250</v>
      </c>
      <c r="C43" s="22">
        <v>100000</v>
      </c>
    </row>
    <row r="44" spans="1:3" x14ac:dyDescent="0.25">
      <c r="A44" s="69"/>
      <c r="B44" s="100" t="s">
        <v>249</v>
      </c>
      <c r="C44" s="22">
        <v>150000</v>
      </c>
    </row>
    <row r="45" spans="1:3" x14ac:dyDescent="0.25">
      <c r="A45" s="69">
        <v>44988</v>
      </c>
      <c r="B45" s="54" t="s">
        <v>251</v>
      </c>
      <c r="C45" s="15">
        <v>550000</v>
      </c>
    </row>
    <row r="46" spans="1:3" x14ac:dyDescent="0.25">
      <c r="A46" s="48"/>
      <c r="B46" s="86" t="s">
        <v>283</v>
      </c>
      <c r="C46" s="87">
        <v>1150000</v>
      </c>
    </row>
    <row r="47" spans="1:3" x14ac:dyDescent="0.25">
      <c r="A47" s="69"/>
      <c r="B47" s="21" t="s">
        <v>252</v>
      </c>
      <c r="C47" s="22">
        <v>53000</v>
      </c>
    </row>
    <row r="48" spans="1:3" x14ac:dyDescent="0.25">
      <c r="A48" s="69"/>
      <c r="B48" s="21" t="s">
        <v>253</v>
      </c>
      <c r="C48" s="22">
        <v>184004</v>
      </c>
    </row>
    <row r="49" spans="1:3" x14ac:dyDescent="0.25">
      <c r="A49" s="39">
        <v>44989</v>
      </c>
      <c r="B49" s="43" t="s">
        <v>258</v>
      </c>
      <c r="C49" s="44">
        <v>105000</v>
      </c>
    </row>
    <row r="50" spans="1:3" x14ac:dyDescent="0.25">
      <c r="A50" s="39"/>
      <c r="B50" s="43" t="s">
        <v>262</v>
      </c>
      <c r="C50" s="44">
        <v>139000</v>
      </c>
    </row>
    <row r="51" spans="1:3" x14ac:dyDescent="0.25">
      <c r="A51" s="35"/>
      <c r="B51" s="43" t="s">
        <v>263</v>
      </c>
      <c r="C51" s="46">
        <v>160000</v>
      </c>
    </row>
    <row r="52" spans="1:3" x14ac:dyDescent="0.25">
      <c r="A52" s="35">
        <v>44991</v>
      </c>
      <c r="B52" s="34" t="s">
        <v>269</v>
      </c>
      <c r="C52" s="36">
        <v>10000</v>
      </c>
    </row>
    <row r="53" spans="1:3" x14ac:dyDescent="0.25">
      <c r="A53" s="35"/>
      <c r="B53" s="34" t="s">
        <v>270</v>
      </c>
      <c r="C53" s="36">
        <v>69500</v>
      </c>
    </row>
    <row r="54" spans="1:3" x14ac:dyDescent="0.25">
      <c r="A54" s="35">
        <v>44992</v>
      </c>
      <c r="B54" s="17" t="s">
        <v>271</v>
      </c>
      <c r="C54" s="18">
        <v>90000</v>
      </c>
    </row>
    <row r="55" spans="1:3" x14ac:dyDescent="0.25">
      <c r="A55" s="69">
        <v>44995</v>
      </c>
      <c r="B55" s="103" t="s">
        <v>274</v>
      </c>
      <c r="C55" s="104">
        <v>33800</v>
      </c>
    </row>
    <row r="56" spans="1:3" x14ac:dyDescent="0.25">
      <c r="A56" s="35"/>
      <c r="B56" s="34" t="s">
        <v>276</v>
      </c>
      <c r="C56" s="36">
        <v>236000</v>
      </c>
    </row>
    <row r="57" spans="1:3" x14ac:dyDescent="0.25">
      <c r="A57" s="35"/>
      <c r="B57" s="17" t="s">
        <v>314</v>
      </c>
      <c r="C57" s="18">
        <v>134563</v>
      </c>
    </row>
    <row r="58" spans="1:3" x14ac:dyDescent="0.25">
      <c r="A58" s="47">
        <v>45000</v>
      </c>
      <c r="B58" s="34" t="s">
        <v>280</v>
      </c>
      <c r="C58" s="20">
        <v>5000</v>
      </c>
    </row>
    <row r="59" spans="1:3" x14ac:dyDescent="0.25">
      <c r="A59" s="99"/>
      <c r="B59" s="34" t="s">
        <v>281</v>
      </c>
      <c r="C59" s="15">
        <v>6000</v>
      </c>
    </row>
    <row r="60" spans="1:3" x14ac:dyDescent="0.25">
      <c r="A60" s="47"/>
      <c r="B60" s="34" t="s">
        <v>282</v>
      </c>
      <c r="C60" s="20">
        <v>400000</v>
      </c>
    </row>
    <row r="61" spans="1:3" x14ac:dyDescent="0.25">
      <c r="A61" s="47">
        <v>45001</v>
      </c>
      <c r="B61" s="72" t="s">
        <v>284</v>
      </c>
      <c r="C61" s="20">
        <v>188782</v>
      </c>
    </row>
    <row r="62" spans="1:3" x14ac:dyDescent="0.25">
      <c r="A62" s="53"/>
      <c r="B62" s="54" t="s">
        <v>286</v>
      </c>
      <c r="C62" s="15">
        <v>100000</v>
      </c>
    </row>
    <row r="63" spans="1:3" x14ac:dyDescent="0.25">
      <c r="A63" s="21"/>
      <c r="B63" s="21" t="s">
        <v>287</v>
      </c>
      <c r="C63" s="22">
        <v>11600</v>
      </c>
    </row>
    <row r="64" spans="1:3" x14ac:dyDescent="0.25">
      <c r="A64" s="69"/>
      <c r="B64" s="21" t="s">
        <v>288</v>
      </c>
      <c r="C64" s="22">
        <v>22000</v>
      </c>
    </row>
    <row r="65" spans="1:3" x14ac:dyDescent="0.25">
      <c r="A65" s="69">
        <v>45002</v>
      </c>
      <c r="B65" s="21" t="s">
        <v>289</v>
      </c>
      <c r="C65" s="22">
        <v>105000</v>
      </c>
    </row>
    <row r="66" spans="1:3" x14ac:dyDescent="0.25">
      <c r="A66" s="69">
        <v>45003</v>
      </c>
      <c r="B66" s="21" t="s">
        <v>288</v>
      </c>
      <c r="C66" s="22">
        <v>22000</v>
      </c>
    </row>
    <row r="67" spans="1:3" x14ac:dyDescent="0.25">
      <c r="A67" s="69"/>
      <c r="B67" s="54" t="s">
        <v>291</v>
      </c>
      <c r="C67" s="15">
        <v>29000</v>
      </c>
    </row>
    <row r="68" spans="1:3" x14ac:dyDescent="0.25">
      <c r="A68" s="69">
        <v>45006</v>
      </c>
      <c r="B68" s="21" t="s">
        <v>295</v>
      </c>
      <c r="C68" s="22">
        <v>200000</v>
      </c>
    </row>
    <row r="69" spans="1:3" x14ac:dyDescent="0.25">
      <c r="A69" s="69"/>
      <c r="B69" s="21" t="s">
        <v>293</v>
      </c>
      <c r="C69" s="22">
        <v>45000</v>
      </c>
    </row>
    <row r="70" spans="1:3" x14ac:dyDescent="0.25">
      <c r="A70" s="69"/>
      <c r="B70" s="21" t="s">
        <v>298</v>
      </c>
      <c r="C70" s="22">
        <v>9500</v>
      </c>
    </row>
    <row r="71" spans="1:3" x14ac:dyDescent="0.25">
      <c r="A71" s="69">
        <v>45007</v>
      </c>
      <c r="B71" s="21" t="s">
        <v>297</v>
      </c>
      <c r="C71" s="22">
        <v>96000</v>
      </c>
    </row>
    <row r="72" spans="1:3" x14ac:dyDescent="0.25">
      <c r="A72" s="69">
        <v>45008</v>
      </c>
      <c r="B72" s="21" t="s">
        <v>300</v>
      </c>
      <c r="C72" s="22">
        <v>35000</v>
      </c>
    </row>
    <row r="73" spans="1:3" x14ac:dyDescent="0.25">
      <c r="A73" s="69"/>
      <c r="B73" s="21" t="s">
        <v>305</v>
      </c>
      <c r="C73" s="22">
        <v>75000</v>
      </c>
    </row>
    <row r="74" spans="1:3" x14ac:dyDescent="0.25">
      <c r="A74" s="69"/>
      <c r="B74" s="21" t="s">
        <v>302</v>
      </c>
      <c r="C74" s="22">
        <v>38400</v>
      </c>
    </row>
    <row r="75" spans="1:3" x14ac:dyDescent="0.25">
      <c r="A75" s="69"/>
      <c r="B75" s="21" t="s">
        <v>303</v>
      </c>
      <c r="C75" s="22">
        <v>62200</v>
      </c>
    </row>
    <row r="76" spans="1:3" x14ac:dyDescent="0.25">
      <c r="A76" s="69"/>
      <c r="B76" s="21" t="s">
        <v>306</v>
      </c>
      <c r="C76" s="22">
        <v>105000</v>
      </c>
    </row>
    <row r="77" spans="1:3" x14ac:dyDescent="0.25">
      <c r="A77" s="69"/>
      <c r="B77" s="21" t="s">
        <v>307</v>
      </c>
      <c r="C77" s="22">
        <v>80000</v>
      </c>
    </row>
    <row r="78" spans="1:3" x14ac:dyDescent="0.25">
      <c r="A78" s="69"/>
      <c r="B78" s="21" t="s">
        <v>315</v>
      </c>
      <c r="C78" s="22">
        <v>161700</v>
      </c>
    </row>
    <row r="79" spans="1:3" x14ac:dyDescent="0.25">
      <c r="A79" s="69">
        <v>45010</v>
      </c>
      <c r="B79" s="83" t="s">
        <v>308</v>
      </c>
      <c r="C79" s="84">
        <v>177000</v>
      </c>
    </row>
    <row r="80" spans="1:3" x14ac:dyDescent="0.25">
      <c r="A80" s="69"/>
      <c r="B80" s="83" t="s">
        <v>309</v>
      </c>
      <c r="C80" s="84">
        <v>205000</v>
      </c>
    </row>
    <row r="81" spans="1:4" x14ac:dyDescent="0.25">
      <c r="A81" s="69"/>
      <c r="B81" s="83" t="s">
        <v>311</v>
      </c>
      <c r="C81" s="84">
        <v>85000</v>
      </c>
    </row>
    <row r="82" spans="1:4" x14ac:dyDescent="0.25">
      <c r="A82" s="69"/>
      <c r="B82" s="110" t="s">
        <v>313</v>
      </c>
      <c r="C82" s="111">
        <v>20000</v>
      </c>
    </row>
    <row r="83" spans="1:4" x14ac:dyDescent="0.25">
      <c r="A83" s="69">
        <v>45012</v>
      </c>
      <c r="B83" s="21" t="s">
        <v>312</v>
      </c>
      <c r="C83" s="22">
        <v>68000</v>
      </c>
    </row>
    <row r="84" spans="1:4" x14ac:dyDescent="0.25">
      <c r="A84" s="69"/>
      <c r="B84" s="112" t="s">
        <v>316</v>
      </c>
      <c r="C84" s="113">
        <v>300000</v>
      </c>
    </row>
    <row r="85" spans="1:4" x14ac:dyDescent="0.25">
      <c r="A85" s="69"/>
      <c r="B85" s="112" t="s">
        <v>317</v>
      </c>
      <c r="C85" s="113">
        <v>300000</v>
      </c>
    </row>
    <row r="86" spans="1:4" x14ac:dyDescent="0.25">
      <c r="A86" s="69"/>
      <c r="B86" s="112" t="s">
        <v>324</v>
      </c>
      <c r="C86" s="113">
        <v>1100000</v>
      </c>
    </row>
    <row r="87" spans="1:4" x14ac:dyDescent="0.25">
      <c r="A87" s="69"/>
      <c r="B87" s="112" t="s">
        <v>327</v>
      </c>
      <c r="C87" s="113">
        <v>300000</v>
      </c>
    </row>
    <row r="88" spans="1:4" x14ac:dyDescent="0.25">
      <c r="A88" s="69"/>
      <c r="B88" s="21" t="s">
        <v>321</v>
      </c>
      <c r="C88" s="22">
        <v>11500</v>
      </c>
    </row>
    <row r="89" spans="1:4" x14ac:dyDescent="0.25">
      <c r="A89" s="69">
        <v>45013</v>
      </c>
      <c r="B89" s="94" t="s">
        <v>256</v>
      </c>
      <c r="C89" s="95">
        <v>300000</v>
      </c>
      <c r="D89" t="s">
        <v>257</v>
      </c>
    </row>
    <row r="90" spans="1:4" x14ac:dyDescent="0.25">
      <c r="A90" s="69"/>
      <c r="B90" s="21" t="s">
        <v>328</v>
      </c>
      <c r="C90" s="22">
        <v>50000</v>
      </c>
    </row>
    <row r="91" spans="1:4" x14ac:dyDescent="0.25">
      <c r="A91" s="69"/>
      <c r="B91" s="21"/>
      <c r="C91" s="22"/>
    </row>
    <row r="92" spans="1:4" x14ac:dyDescent="0.25">
      <c r="A92" s="69"/>
      <c r="B92" s="21"/>
      <c r="C92" s="22"/>
    </row>
    <row r="93" spans="1:4" x14ac:dyDescent="0.25">
      <c r="A93" s="69"/>
      <c r="B93" s="21"/>
      <c r="C93" s="22"/>
    </row>
    <row r="94" spans="1:4" x14ac:dyDescent="0.25">
      <c r="A94" s="69"/>
      <c r="B94" s="21"/>
      <c r="C94" s="22"/>
    </row>
    <row r="95" spans="1:4" x14ac:dyDescent="0.25">
      <c r="A95" s="69"/>
      <c r="B95" s="21"/>
      <c r="C95" s="22"/>
    </row>
    <row r="96" spans="1:4" x14ac:dyDescent="0.25">
      <c r="A96" s="69"/>
      <c r="B96" s="21"/>
      <c r="C96" s="22"/>
    </row>
    <row r="97" spans="1:7" x14ac:dyDescent="0.25">
      <c r="A97" s="69"/>
      <c r="B97" s="21"/>
      <c r="C97" s="22"/>
    </row>
    <row r="98" spans="1:7" x14ac:dyDescent="0.25">
      <c r="A98" s="69"/>
      <c r="B98" s="21"/>
      <c r="C98" s="22"/>
    </row>
    <row r="99" spans="1:7" x14ac:dyDescent="0.25">
      <c r="A99" s="69"/>
      <c r="B99" s="21"/>
      <c r="C99" s="22"/>
    </row>
    <row r="100" spans="1:7" ht="22.5" x14ac:dyDescent="0.45">
      <c r="B100" s="24"/>
      <c r="C100" s="25">
        <f>SUM(C43:C99)</f>
        <v>7878549</v>
      </c>
      <c r="D100" s="75">
        <f>C37-C100</f>
        <v>-2453049</v>
      </c>
    </row>
    <row r="101" spans="1:7" ht="23.25" thickBot="1" x14ac:dyDescent="0.5">
      <c r="B101" s="70" t="s">
        <v>110</v>
      </c>
      <c r="C101" s="71">
        <f>C3+C37-C100</f>
        <v>43127468</v>
      </c>
    </row>
    <row r="104" spans="1:7" x14ac:dyDescent="0.25">
      <c r="E104" s="73" t="s">
        <v>117</v>
      </c>
      <c r="F104" s="74">
        <v>30000000</v>
      </c>
    </row>
    <row r="105" spans="1:7" x14ac:dyDescent="0.25">
      <c r="E105" s="73" t="s">
        <v>118</v>
      </c>
      <c r="F105" s="74">
        <f>G119</f>
        <v>2763400</v>
      </c>
    </row>
    <row r="106" spans="1:7" x14ac:dyDescent="0.25">
      <c r="E106" t="s">
        <v>119</v>
      </c>
      <c r="F106" s="74">
        <v>0</v>
      </c>
    </row>
    <row r="107" spans="1:7" x14ac:dyDescent="0.25">
      <c r="E107" s="75" t="s">
        <v>120</v>
      </c>
      <c r="F107" s="74">
        <v>100000</v>
      </c>
    </row>
    <row r="108" spans="1:7" x14ac:dyDescent="0.25">
      <c r="F108" s="75">
        <f>SUM(F104:F107)</f>
        <v>32863400</v>
      </c>
    </row>
    <row r="109" spans="1:7" x14ac:dyDescent="0.25">
      <c r="F109" s="75">
        <f>C101-F108</f>
        <v>10264068</v>
      </c>
    </row>
    <row r="112" spans="1:7" x14ac:dyDescent="0.25">
      <c r="E112" s="76">
        <v>1</v>
      </c>
      <c r="F112" s="75">
        <v>100000</v>
      </c>
      <c r="G112" s="73">
        <f>F112*E112</f>
        <v>100000</v>
      </c>
    </row>
    <row r="113" spans="5:7" x14ac:dyDescent="0.25">
      <c r="E113" s="76">
        <v>49</v>
      </c>
      <c r="F113" s="75">
        <v>50000</v>
      </c>
      <c r="G113" s="73">
        <f t="shared" ref="G113:G117" si="0">F113*E113</f>
        <v>2450000</v>
      </c>
    </row>
    <row r="114" spans="5:7" x14ac:dyDescent="0.25">
      <c r="E114" s="76">
        <v>7</v>
      </c>
      <c r="F114" s="75">
        <v>20000</v>
      </c>
      <c r="G114" s="73">
        <f t="shared" si="0"/>
        <v>140000</v>
      </c>
    </row>
    <row r="115" spans="5:7" x14ac:dyDescent="0.25">
      <c r="E115" s="76">
        <v>6</v>
      </c>
      <c r="F115" s="75">
        <v>10000</v>
      </c>
      <c r="G115" s="73">
        <f t="shared" si="0"/>
        <v>60000</v>
      </c>
    </row>
    <row r="116" spans="5:7" x14ac:dyDescent="0.25">
      <c r="E116" s="76">
        <v>1</v>
      </c>
      <c r="F116" s="75">
        <v>5000</v>
      </c>
      <c r="G116" s="73">
        <f t="shared" si="0"/>
        <v>5000</v>
      </c>
    </row>
    <row r="117" spans="5:7" x14ac:dyDescent="0.25">
      <c r="E117" s="76">
        <v>4</v>
      </c>
      <c r="F117" s="75">
        <v>2000</v>
      </c>
      <c r="G117" s="73">
        <f t="shared" si="0"/>
        <v>8000</v>
      </c>
    </row>
    <row r="118" spans="5:7" x14ac:dyDescent="0.25">
      <c r="E118" s="76"/>
      <c r="F118" s="75">
        <v>400</v>
      </c>
      <c r="G118" s="73">
        <f>F118</f>
        <v>400</v>
      </c>
    </row>
    <row r="119" spans="5:7" x14ac:dyDescent="0.25">
      <c r="F119" t="s">
        <v>128</v>
      </c>
      <c r="G119" s="75">
        <f>SUM(G112:G118)</f>
        <v>2763400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DICIEMBRE 2022</vt:lpstr>
      <vt:lpstr>ENERO 2023</vt:lpstr>
      <vt:lpstr>FEBRERO 2023</vt:lpstr>
      <vt:lpstr>MARZO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Jaimes</dc:creator>
  <cp:lastModifiedBy>Jimmy Jaimes</cp:lastModifiedBy>
  <cp:lastPrinted>2023-03-25T17:14:04Z</cp:lastPrinted>
  <dcterms:created xsi:type="dcterms:W3CDTF">2023-01-11T17:59:29Z</dcterms:created>
  <dcterms:modified xsi:type="dcterms:W3CDTF">2023-05-18T16:29:52Z</dcterms:modified>
</cp:coreProperties>
</file>
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0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anus.EQUIORIENTE\Dropbox\Mi PC (EQUIORIENTE_PRIMER_PISO)\Desktop\"/>
    </mc:Choice>
  </mc:AlternateContent>
  <xr:revisionPtr revIDLastSave="0" documentId="8_{F99D6367-6846-45E0-A721-1D55A158034A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porte_Documentos_20220425_210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J73" i="1" l="1"/>
  <c r="J72" i="1"/>
  <c r="J44" i="1"/>
</calcChain>
</file>

<file path=xl/sharedStrings.xml><?xml version="1.0" encoding="utf-8"?>
<sst xmlns="http://schemas.openxmlformats.org/spreadsheetml/2006/main" count="763" uniqueCount="245">
  <si>
    <t>Tipo de documento</t>
  </si>
  <si>
    <t>Folio</t>
  </si>
  <si>
    <t>Prefijo</t>
  </si>
  <si>
    <t>Fecha Emisión</t>
  </si>
  <si>
    <t>Fecha Recepción</t>
  </si>
  <si>
    <t>NIT Emisor</t>
  </si>
  <si>
    <t>Nombre Emisor</t>
  </si>
  <si>
    <t>NIT Receptor</t>
  </si>
  <si>
    <t>Nombre Receptor</t>
  </si>
  <si>
    <t>IVA</t>
  </si>
  <si>
    <t>ICA</t>
  </si>
  <si>
    <t>IPC</t>
  </si>
  <si>
    <t>Total</t>
  </si>
  <si>
    <t>Estado</t>
  </si>
  <si>
    <t>Grupo</t>
  </si>
  <si>
    <t>Factura electrónica</t>
  </si>
  <si>
    <t>124</t>
  </si>
  <si>
    <t>FVE</t>
  </si>
  <si>
    <t>06-04-2022</t>
  </si>
  <si>
    <t>06-04-2022 17:02:30</t>
  </si>
  <si>
    <t>900206780</t>
  </si>
  <si>
    <t>ALQUILERES Y EQUIPOS DEL ORIENTE LIMITADA</t>
  </si>
  <si>
    <t>901006326</t>
  </si>
  <si>
    <t>GOBRAND SAS</t>
  </si>
  <si>
    <t>Aprobado con notificación</t>
  </si>
  <si>
    <t>Emitido</t>
  </si>
  <si>
    <t>123</t>
  </si>
  <si>
    <t>06-04-2022 17:01:43</t>
  </si>
  <si>
    <t>122</t>
  </si>
  <si>
    <t>06-04-2022 17:01:08</t>
  </si>
  <si>
    <t>890204220</t>
  </si>
  <si>
    <t>Gonzalez Bohorquez SAS</t>
  </si>
  <si>
    <t>121</t>
  </si>
  <si>
    <t>06-04-2022 17:00:04</t>
  </si>
  <si>
    <t>900382295</t>
  </si>
  <si>
    <t>IVAN SOLANO FUENTES SAS</t>
  </si>
  <si>
    <t>120</t>
  </si>
  <si>
    <t>06-04-2022 16:59:09</t>
  </si>
  <si>
    <t>119</t>
  </si>
  <si>
    <t>06-04-2022 16:57:07</t>
  </si>
  <si>
    <t>900786204</t>
  </si>
  <si>
    <t>GRUPO FERRAN PROYECTOS Y CONSTRUCCION  S.A.S.</t>
  </si>
  <si>
    <t>118</t>
  </si>
  <si>
    <t>06-04-2022 16:55:53</t>
  </si>
  <si>
    <t>901540165</t>
  </si>
  <si>
    <t>MAO CONSTRUCTORA SAS</t>
  </si>
  <si>
    <t>117</t>
  </si>
  <si>
    <t>06-04-2022 16:55:12</t>
  </si>
  <si>
    <t>116</t>
  </si>
  <si>
    <t>06-04-2022 16:54:13</t>
  </si>
  <si>
    <t>900974933</t>
  </si>
  <si>
    <t>DISEÑOS INOXIDABLES DE COLOMBIA</t>
  </si>
  <si>
    <t>115</t>
  </si>
  <si>
    <t>06-04-2022 16:50:50</t>
  </si>
  <si>
    <t>901457379</t>
  </si>
  <si>
    <t>inversiones MBO SAS</t>
  </si>
  <si>
    <t>114</t>
  </si>
  <si>
    <t>06-04-2022 16:50:27</t>
  </si>
  <si>
    <t>111</t>
  </si>
  <si>
    <t>05-03-2022</t>
  </si>
  <si>
    <t>05-03-2022 14:55:41</t>
  </si>
  <si>
    <t>GRUPO FERRANI PROYECTOS Y CONSTRUCCION  S.A.S.</t>
  </si>
  <si>
    <t>Nota de crédito electrónica</t>
  </si>
  <si>
    <t>8</t>
  </si>
  <si>
    <t>NCE</t>
  </si>
  <si>
    <t>29-03-2022</t>
  </si>
  <si>
    <t>29-03-2022 20:10:31</t>
  </si>
  <si>
    <t>Aprobado</t>
  </si>
  <si>
    <t>110</t>
  </si>
  <si>
    <t>05-03-2022 14:49:29</t>
  </si>
  <si>
    <t>7</t>
  </si>
  <si>
    <t>29-03-2022 20:09:02</t>
  </si>
  <si>
    <t>113</t>
  </si>
  <si>
    <t>14-03-2022</t>
  </si>
  <si>
    <t>14-03-2022 19:32:12</t>
  </si>
  <si>
    <t>112</t>
  </si>
  <si>
    <t>14-03-2022 19:31:23</t>
  </si>
  <si>
    <t>109</t>
  </si>
  <si>
    <t>02-03-2022</t>
  </si>
  <si>
    <t>02-03-2022 20:53:13</t>
  </si>
  <si>
    <t>108</t>
  </si>
  <si>
    <t>02-03-2022 20:50:18</t>
  </si>
  <si>
    <t>107</t>
  </si>
  <si>
    <t>02-03-2022 20:45:34</t>
  </si>
  <si>
    <t>106</t>
  </si>
  <si>
    <t>02-03-2022 20:42:25</t>
  </si>
  <si>
    <t>105</t>
  </si>
  <si>
    <t>02-03-2022 20:40:26</t>
  </si>
  <si>
    <t>104</t>
  </si>
  <si>
    <t>02-03-2022 20:37:03</t>
  </si>
  <si>
    <t>103</t>
  </si>
  <si>
    <t>02-03-2022 19:47:55</t>
  </si>
  <si>
    <t>102</t>
  </si>
  <si>
    <t>10-02-2022</t>
  </si>
  <si>
    <t>10-02-2022 16:48:19</t>
  </si>
  <si>
    <t>101</t>
  </si>
  <si>
    <t>09-02-2022</t>
  </si>
  <si>
    <t>09-02-2022 22:47:29</t>
  </si>
  <si>
    <t>100</t>
  </si>
  <si>
    <t>08-02-2022</t>
  </si>
  <si>
    <t>08-02-2022 14:27:23</t>
  </si>
  <si>
    <t>804004185</t>
  </si>
  <si>
    <t>IMAN INGENIERIA Y MANTENIMIENTO SAS</t>
  </si>
  <si>
    <t>99</t>
  </si>
  <si>
    <t>08-02-2022 14:23:48</t>
  </si>
  <si>
    <t>6</t>
  </si>
  <si>
    <t>03-02-2022</t>
  </si>
  <si>
    <t>03-02-2022 23:10:37</t>
  </si>
  <si>
    <t>97</t>
  </si>
  <si>
    <t>02-02-2022</t>
  </si>
  <si>
    <t>02-02-2022 14:49:38</t>
  </si>
  <si>
    <t>98</t>
  </si>
  <si>
    <t>02-02-2022 20:01:23</t>
  </si>
  <si>
    <t>96</t>
  </si>
  <si>
    <t>21-01-2022</t>
  </si>
  <si>
    <t>21-01-2022 15:44:44</t>
  </si>
  <si>
    <t>95</t>
  </si>
  <si>
    <t>21-01-2022 15:41:36</t>
  </si>
  <si>
    <t>94</t>
  </si>
  <si>
    <t>21-01-2022 15:00:46</t>
  </si>
  <si>
    <t>93</t>
  </si>
  <si>
    <t>20-01-2022</t>
  </si>
  <si>
    <t>20-01-2022 19:47:44</t>
  </si>
  <si>
    <t>92</t>
  </si>
  <si>
    <t>20-01-2022 16:39:45</t>
  </si>
  <si>
    <t>900907803</t>
  </si>
  <si>
    <t>TODO REPUESTOS Y FRENOS LA 61 SAS TODO REPUESTOS</t>
  </si>
  <si>
    <t>91</t>
  </si>
  <si>
    <t>20-01-2022 16:38:54</t>
  </si>
  <si>
    <t>90</t>
  </si>
  <si>
    <t>19-01-2022</t>
  </si>
  <si>
    <t>19-01-2022 18:45:43</t>
  </si>
  <si>
    <t>IMAN INGENIERIA Y MANTENIMIENTO SAS IMAN</t>
  </si>
  <si>
    <t>89</t>
  </si>
  <si>
    <t>19-01-2022 18:43:35</t>
  </si>
  <si>
    <t>88</t>
  </si>
  <si>
    <t>19-01-2022 16:54:31</t>
  </si>
  <si>
    <t>87</t>
  </si>
  <si>
    <t>19-01-2022 16:50:49</t>
  </si>
  <si>
    <t>86</t>
  </si>
  <si>
    <t>18-01-2022</t>
  </si>
  <si>
    <t>18-01-2022 19:57:19</t>
  </si>
  <si>
    <t>382969</t>
  </si>
  <si>
    <t>RE01</t>
  </si>
  <si>
    <t>22-04-2022</t>
  </si>
  <si>
    <t>22-04-2022 16:21:38</t>
  </si>
  <si>
    <t>890200110</t>
  </si>
  <si>
    <t>CAMARA DE COMERCIO DE BUCARAMANGA</t>
  </si>
  <si>
    <t>Recibido</t>
  </si>
  <si>
    <t>10115</t>
  </si>
  <si>
    <t>FAFP</t>
  </si>
  <si>
    <t>01-04-2022</t>
  </si>
  <si>
    <t>04-04-2022 18:58:24</t>
  </si>
  <si>
    <t>900206797</t>
  </si>
  <si>
    <t>INMOBILIARIA E INGENIERIA AJC LIMITADA</t>
  </si>
  <si>
    <t>EQUIORIENTE LTDA</t>
  </si>
  <si>
    <t>10063</t>
  </si>
  <si>
    <t>04-04-2022 18:53:32</t>
  </si>
  <si>
    <t>10061</t>
  </si>
  <si>
    <t>04-04-2022 18:53:22</t>
  </si>
  <si>
    <t>249403421</t>
  </si>
  <si>
    <t>EC</t>
  </si>
  <si>
    <t>30-03-2022</t>
  </si>
  <si>
    <t>30-03-2022 23:26:23</t>
  </si>
  <si>
    <t>830122566</t>
  </si>
  <si>
    <t>COLOMBIA TELECOMUNICACIONES S.A. E.S.P. BIC</t>
  </si>
  <si>
    <t>ALQUILERES Y EQUIPOS DEL ORIEN TE LIMITADA</t>
  </si>
  <si>
    <t>232442</t>
  </si>
  <si>
    <t>FESD</t>
  </si>
  <si>
    <t>26-03-2022</t>
  </si>
  <si>
    <t>27-03-2022 08:56:31</t>
  </si>
  <si>
    <t>900319753</t>
  </si>
  <si>
    <t>PriceSmart Colombia S.A.S.</t>
  </si>
  <si>
    <t>50647</t>
  </si>
  <si>
    <t>FE</t>
  </si>
  <si>
    <t>15-03-2022</t>
  </si>
  <si>
    <t>18-03-2022 13:43:45</t>
  </si>
  <si>
    <t>901331275</t>
  </si>
  <si>
    <t>AUTOSANDOVAL SAS</t>
  </si>
  <si>
    <t>ALQUILERES Y EQUIPOS DEL ORIENTE LTDA</t>
  </si>
  <si>
    <t>46583</t>
  </si>
  <si>
    <t>04-03-2022 17:44:02</t>
  </si>
  <si>
    <t>900484033</t>
  </si>
  <si>
    <t>TUPERSA S.A.S.</t>
  </si>
  <si>
    <t>ALQUILERES Y EQUIPOS DEL ORIENTE LTD</t>
  </si>
  <si>
    <t>9506</t>
  </si>
  <si>
    <t>04-03-2022 13:03:36</t>
  </si>
  <si>
    <t>9453</t>
  </si>
  <si>
    <t>04-03-2022 12:57:46</t>
  </si>
  <si>
    <t>9451</t>
  </si>
  <si>
    <t>04-03-2022 12:57:38</t>
  </si>
  <si>
    <t>249277632</t>
  </si>
  <si>
    <t>02-03-2022 19:31:26</t>
  </si>
  <si>
    <t>7168</t>
  </si>
  <si>
    <t>TH</t>
  </si>
  <si>
    <t>25-02-2022</t>
  </si>
  <si>
    <t>25-02-2022 20:00:25</t>
  </si>
  <si>
    <t>900471930</t>
  </si>
  <si>
    <t>TODAS LAS HERRAMIENTAS SAS</t>
  </si>
  <si>
    <t>4319</t>
  </si>
  <si>
    <t>TW2E</t>
  </si>
  <si>
    <t>23-02-2022</t>
  </si>
  <si>
    <t>23-02-2022 21:04:41</t>
  </si>
  <si>
    <t>901487881</t>
  </si>
  <si>
    <t xml:space="preserve">DISTRIBUCIONES  PAPELERIAS GRANEROS ORIENTALES Y TWIST S.A.S </t>
  </si>
  <si>
    <t>5636</t>
  </si>
  <si>
    <t>EG</t>
  </si>
  <si>
    <t>09-02-2022 17:09:22</t>
  </si>
  <si>
    <t>901170759</t>
  </si>
  <si>
    <t>GRUPO MAROEL &amp; CIA S.A.S</t>
  </si>
  <si>
    <t>8910</t>
  </si>
  <si>
    <t>04-02-2022</t>
  </si>
  <si>
    <t>05-02-2022 16:58:13</t>
  </si>
  <si>
    <t>8857</t>
  </si>
  <si>
    <t>05-02-2022 16:52:06</t>
  </si>
  <si>
    <t>8855</t>
  </si>
  <si>
    <t>05-02-2022 16:51:55</t>
  </si>
  <si>
    <t>249145521</t>
  </si>
  <si>
    <t>30-01-2022</t>
  </si>
  <si>
    <t>31-01-2022 23:00:53</t>
  </si>
  <si>
    <t>2546426</t>
  </si>
  <si>
    <t>POL</t>
  </si>
  <si>
    <t>18-01-2022 15:37:04</t>
  </si>
  <si>
    <t>860002180</t>
  </si>
  <si>
    <t>SEGUROS COMERCIALES BOLIVAR SA</t>
  </si>
  <si>
    <t>8327</t>
  </si>
  <si>
    <t>12-01-2022</t>
  </si>
  <si>
    <t>15-01-2022 16:56:36</t>
  </si>
  <si>
    <t>8271</t>
  </si>
  <si>
    <t>15-01-2022 16:51:49</t>
  </si>
  <si>
    <t>8269</t>
  </si>
  <si>
    <t>15-01-2022 16:51:40</t>
  </si>
  <si>
    <t>Factura electrónica de contingencia</t>
  </si>
  <si>
    <t>1164935822</t>
  </si>
  <si>
    <t>BICT</t>
  </si>
  <si>
    <t>04-01-2022</t>
  </si>
  <si>
    <t>07-01-2022 10:23:28</t>
  </si>
  <si>
    <t>830114921</t>
  </si>
  <si>
    <t>COLOMBIA MOVIL S.A.ESP</t>
  </si>
  <si>
    <t>270984</t>
  </si>
  <si>
    <t>03-01-2022</t>
  </si>
  <si>
    <t>03-01-2022 12:11:30</t>
  </si>
  <si>
    <t>16658165</t>
  </si>
  <si>
    <t>EV</t>
  </si>
  <si>
    <t>03-01-2022 13:21:14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</si>
</sst>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name val="Calibri"/>
    </font>
    <font>
      <sz val="10"/>
      <name val="Calibri"/>
      <family val="2"/>
    </font>
    <font>
      <b/>
      <sz val="10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48441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 applyNumberFormat="1" applyFont="1" applyProtection="1"/>
    <xf numFmtId="0" fontId="1" fillId="0" borderId="0" xfId="0" applyNumberFormat="1" applyFont="1" applyProtection="1"/>
    <xf numFmtId="0" fontId="2" fillId="2" borderId="0" xfId="0" applyNumberFormat="1" applyFont="1" applyFill="1" applyAlignment="1" applyProtection="1">
      <alignment horizontal="center" vertical="center"/>
    </xf>
    <xf numFmtId="3" fontId="2" fillId="2" borderId="0" xfId="0" applyNumberFormat="1" applyFont="1" applyFill="1" applyAlignment="1" applyProtection="1">
      <alignment horizontal="center" vertical="center"/>
    </xf>
    <xf numFmtId="3" fontId="1" fillId="0" borderId="0" xfId="0" applyNumberFormat="1" applyFo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73"/>
  <sheetViews>
    <sheetView tabSelected="1" topLeftCell="H52" workbookViewId="0">
      <selection activeCell="H52" sqref="A1:XFD1048576"/>
    </sheetView>
  </sheetViews>
  <sheetFormatPr baseColWidth="10" defaultColWidth="9.140625" defaultRowHeight="12.75"/>
  <cols>
    <col min="1" max="1" width="32.5703125" style="1" customWidth="1"/>
    <col min="2" max="2" width="12.28515625" style="1" customWidth="1"/>
    <col min="3" max="3" width="9.140625" style="1" customWidth="1"/>
    <col min="4" max="4" width="13.85546875" style="1" customWidth="1"/>
    <col min="5" max="5" width="19.7109375" style="1" customWidth="1"/>
    <col min="6" max="6" width="11.28515625" style="1" customWidth="1"/>
    <col min="7" max="7" width="61.5703125" style="1" customWidth="1"/>
    <col min="8" max="8" width="12.85546875" style="1" customWidth="1"/>
    <col min="9" max="9" width="52" style="1" customWidth="1"/>
    <col min="10" max="10" width="10.7109375" style="4" customWidth="1"/>
    <col min="11" max="12" width="9.140625" style="4" customWidth="1"/>
    <col min="13" max="13" width="11.85546875" style="4" customWidth="1"/>
    <col min="14" max="14" width="24.5703125" style="1" customWidth="1"/>
    <col min="15" max="16" width="9.140625" style="1" customWidth="1"/>
    <col min="17" max="16384" width="9.140625" style="1"/>
  </cols>
  <sheetData>
    <row r="1" spans="1:1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2" t="s">
        <v>13</v>
      </c>
      <c r="O1" s="2" t="s">
        <v>14</v>
      </c>
    </row>
    <row r="2" spans="1:15">
      <c r="A2" s="1" t="s">
        <v>15</v>
      </c>
      <c r="B2" s="1" t="s">
        <v>16</v>
      </c>
      <c r="C2" s="1" t="s">
        <v>17</v>
      </c>
      <c r="D2" s="1" t="s">
        <v>18</v>
      </c>
      <c r="E2" s="1" t="s">
        <v>19</v>
      </c>
      <c r="F2" s="1" t="s">
        <v>20</v>
      </c>
      <c r="G2" s="1" t="s">
        <v>21</v>
      </c>
      <c r="H2" s="1" t="s">
        <v>22</v>
      </c>
      <c r="I2" s="1" t="s">
        <v>23</v>
      </c>
      <c r="J2" s="4">
        <v>0</v>
      </c>
      <c r="K2" s="4">
        <v>0</v>
      </c>
      <c r="L2" s="4">
        <v>0</v>
      </c>
      <c r="M2" s="4">
        <v>180000</v>
      </c>
      <c r="N2" s="1" t="s">
        <v>24</v>
      </c>
      <c r="O2" s="1" t="s">
        <v>25</v>
      </c>
    </row>
    <row r="3" spans="1:15">
      <c r="A3" s="1" t="s">
        <v>15</v>
      </c>
      <c r="B3" s="1" t="s">
        <v>26</v>
      </c>
      <c r="C3" s="1" t="s">
        <v>17</v>
      </c>
      <c r="D3" s="1" t="s">
        <v>18</v>
      </c>
      <c r="E3" s="1" t="s">
        <v>27</v>
      </c>
      <c r="F3" s="1" t="s">
        <v>20</v>
      </c>
      <c r="G3" s="1" t="s">
        <v>21</v>
      </c>
      <c r="H3" s="1" t="s">
        <v>22</v>
      </c>
      <c r="I3" s="1" t="s">
        <v>23</v>
      </c>
      <c r="J3" s="4">
        <v>46369.5</v>
      </c>
      <c r="K3" s="4">
        <v>0</v>
      </c>
      <c r="L3" s="4">
        <v>0</v>
      </c>
      <c r="M3" s="4">
        <v>290419.5</v>
      </c>
      <c r="N3" s="1" t="s">
        <v>24</v>
      </c>
      <c r="O3" s="1" t="s">
        <v>25</v>
      </c>
    </row>
    <row r="4" spans="1:15">
      <c r="A4" s="1" t="s">
        <v>15</v>
      </c>
      <c r="B4" s="1" t="s">
        <v>28</v>
      </c>
      <c r="C4" s="1" t="s">
        <v>17</v>
      </c>
      <c r="D4" s="1" t="s">
        <v>18</v>
      </c>
      <c r="E4" s="1" t="s">
        <v>29</v>
      </c>
      <c r="F4" s="1" t="s">
        <v>20</v>
      </c>
      <c r="G4" s="1" t="s">
        <v>21</v>
      </c>
      <c r="H4" s="1" t="s">
        <v>30</v>
      </c>
      <c r="I4" s="1" t="s">
        <v>31</v>
      </c>
      <c r="J4" s="4">
        <v>225193.89</v>
      </c>
      <c r="K4" s="4">
        <v>0</v>
      </c>
      <c r="L4" s="4">
        <v>0</v>
      </c>
      <c r="M4" s="4">
        <v>1410424.89</v>
      </c>
      <c r="N4" s="1" t="s">
        <v>24</v>
      </c>
      <c r="O4" s="1" t="s">
        <v>25</v>
      </c>
    </row>
    <row r="5" spans="1:15">
      <c r="A5" s="1" t="s">
        <v>15</v>
      </c>
      <c r="B5" s="1" t="s">
        <v>32</v>
      </c>
      <c r="C5" s="1" t="s">
        <v>17</v>
      </c>
      <c r="D5" s="1" t="s">
        <v>18</v>
      </c>
      <c r="E5" s="1" t="s">
        <v>33</v>
      </c>
      <c r="F5" s="1" t="s">
        <v>20</v>
      </c>
      <c r="G5" s="1" t="s">
        <v>21</v>
      </c>
      <c r="H5" s="1" t="s">
        <v>34</v>
      </c>
      <c r="I5" s="1" t="s">
        <v>35</v>
      </c>
      <c r="J5" s="4">
        <v>0</v>
      </c>
      <c r="K5" s="4">
        <v>0</v>
      </c>
      <c r="L5" s="4">
        <v>0</v>
      </c>
      <c r="M5" s="4">
        <v>37500</v>
      </c>
      <c r="N5" s="1" t="s">
        <v>24</v>
      </c>
      <c r="O5" s="1" t="s">
        <v>25</v>
      </c>
    </row>
    <row r="6" spans="1:15">
      <c r="A6" s="1" t="s">
        <v>15</v>
      </c>
      <c r="B6" s="1" t="s">
        <v>36</v>
      </c>
      <c r="C6" s="1" t="s">
        <v>17</v>
      </c>
      <c r="D6" s="1" t="s">
        <v>18</v>
      </c>
      <c r="E6" s="1" t="s">
        <v>37</v>
      </c>
      <c r="F6" s="1" t="s">
        <v>20</v>
      </c>
      <c r="G6" s="1" t="s">
        <v>21</v>
      </c>
      <c r="H6" s="1" t="s">
        <v>34</v>
      </c>
      <c r="I6" s="1" t="s">
        <v>35</v>
      </c>
      <c r="J6" s="4">
        <v>205669.68</v>
      </c>
      <c r="K6" s="4">
        <v>0</v>
      </c>
      <c r="L6" s="4">
        <v>0</v>
      </c>
      <c r="M6" s="4">
        <v>1288141.68</v>
      </c>
      <c r="N6" s="1" t="s">
        <v>24</v>
      </c>
      <c r="O6" s="1" t="s">
        <v>25</v>
      </c>
    </row>
    <row r="7" spans="1:15">
      <c r="A7" s="1" t="s">
        <v>15</v>
      </c>
      <c r="B7" s="1" t="s">
        <v>38</v>
      </c>
      <c r="C7" s="1" t="s">
        <v>17</v>
      </c>
      <c r="D7" s="1" t="s">
        <v>18</v>
      </c>
      <c r="E7" s="1" t="s">
        <v>39</v>
      </c>
      <c r="F7" s="1" t="s">
        <v>20</v>
      </c>
      <c r="G7" s="1" t="s">
        <v>21</v>
      </c>
      <c r="H7" s="1" t="s">
        <v>40</v>
      </c>
      <c r="I7" s="1" t="s">
        <v>41</v>
      </c>
      <c r="J7" s="4">
        <v>46177.599999999999</v>
      </c>
      <c r="K7" s="4">
        <v>0</v>
      </c>
      <c r="L7" s="4">
        <v>0</v>
      </c>
      <c r="M7" s="4">
        <v>289217.59999999998</v>
      </c>
      <c r="N7" s="1" t="s">
        <v>24</v>
      </c>
      <c r="O7" s="1" t="s">
        <v>25</v>
      </c>
    </row>
    <row r="8" spans="1:15">
      <c r="A8" s="1" t="s">
        <v>15</v>
      </c>
      <c r="B8" s="1" t="s">
        <v>42</v>
      </c>
      <c r="C8" s="1" t="s">
        <v>17</v>
      </c>
      <c r="D8" s="1" t="s">
        <v>18</v>
      </c>
      <c r="E8" s="1" t="s">
        <v>43</v>
      </c>
      <c r="F8" s="1" t="s">
        <v>20</v>
      </c>
      <c r="G8" s="1" t="s">
        <v>21</v>
      </c>
      <c r="H8" s="1" t="s">
        <v>44</v>
      </c>
      <c r="I8" s="1" t="s">
        <v>45</v>
      </c>
      <c r="J8" s="4">
        <v>0</v>
      </c>
      <c r="K8" s="4">
        <v>0</v>
      </c>
      <c r="L8" s="4">
        <v>0</v>
      </c>
      <c r="M8" s="4">
        <v>160000</v>
      </c>
      <c r="N8" s="1" t="s">
        <v>24</v>
      </c>
      <c r="O8" s="1" t="s">
        <v>25</v>
      </c>
    </row>
    <row r="9" spans="1:15">
      <c r="A9" s="1" t="s">
        <v>15</v>
      </c>
      <c r="B9" s="1" t="s">
        <v>46</v>
      </c>
      <c r="C9" s="1" t="s">
        <v>17</v>
      </c>
      <c r="D9" s="1" t="s">
        <v>18</v>
      </c>
      <c r="E9" s="1" t="s">
        <v>47</v>
      </c>
      <c r="F9" s="1" t="s">
        <v>20</v>
      </c>
      <c r="G9" s="1" t="s">
        <v>21</v>
      </c>
      <c r="H9" s="1" t="s">
        <v>44</v>
      </c>
      <c r="I9" s="1" t="s">
        <v>45</v>
      </c>
      <c r="J9" s="4">
        <v>131594.38</v>
      </c>
      <c r="K9" s="4">
        <v>0</v>
      </c>
      <c r="L9" s="4">
        <v>0</v>
      </c>
      <c r="M9" s="4">
        <v>824196.38</v>
      </c>
      <c r="N9" s="1" t="s">
        <v>24</v>
      </c>
      <c r="O9" s="1" t="s">
        <v>25</v>
      </c>
    </row>
    <row r="10" spans="1:15">
      <c r="A10" s="1" t="s">
        <v>15</v>
      </c>
      <c r="B10" s="1" t="s">
        <v>48</v>
      </c>
      <c r="C10" s="1" t="s">
        <v>17</v>
      </c>
      <c r="D10" s="1" t="s">
        <v>18</v>
      </c>
      <c r="E10" s="1" t="s">
        <v>49</v>
      </c>
      <c r="F10" s="1" t="s">
        <v>20</v>
      </c>
      <c r="G10" s="1" t="s">
        <v>21</v>
      </c>
      <c r="H10" s="1" t="s">
        <v>50</v>
      </c>
      <c r="I10" s="1" t="s">
        <v>51</v>
      </c>
      <c r="J10" s="4">
        <v>138224.46</v>
      </c>
      <c r="K10" s="4">
        <v>0</v>
      </c>
      <c r="L10" s="4">
        <v>0</v>
      </c>
      <c r="M10" s="4">
        <v>865721.61</v>
      </c>
      <c r="N10" s="1" t="s">
        <v>24</v>
      </c>
      <c r="O10" s="1" t="s">
        <v>25</v>
      </c>
    </row>
    <row r="11" spans="1:15">
      <c r="A11" s="1" t="s">
        <v>15</v>
      </c>
      <c r="B11" s="1" t="s">
        <v>52</v>
      </c>
      <c r="C11" s="1" t="s">
        <v>17</v>
      </c>
      <c r="D11" s="1" t="s">
        <v>18</v>
      </c>
      <c r="E11" s="1" t="s">
        <v>53</v>
      </c>
      <c r="F11" s="1" t="s">
        <v>20</v>
      </c>
      <c r="G11" s="1" t="s">
        <v>21</v>
      </c>
      <c r="H11" s="1" t="s">
        <v>54</v>
      </c>
      <c r="I11" s="1" t="s">
        <v>55</v>
      </c>
      <c r="J11" s="4">
        <v>0</v>
      </c>
      <c r="K11" s="4">
        <v>0</v>
      </c>
      <c r="L11" s="4">
        <v>0</v>
      </c>
      <c r="M11" s="4">
        <v>30000</v>
      </c>
      <c r="N11" s="1" t="s">
        <v>24</v>
      </c>
      <c r="O11" s="1" t="s">
        <v>25</v>
      </c>
    </row>
    <row r="12" spans="1:15">
      <c r="A12" s="1" t="s">
        <v>15</v>
      </c>
      <c r="B12" s="1" t="s">
        <v>56</v>
      </c>
      <c r="C12" s="1" t="s">
        <v>17</v>
      </c>
      <c r="D12" s="1" t="s">
        <v>18</v>
      </c>
      <c r="E12" s="1" t="s">
        <v>57</v>
      </c>
      <c r="F12" s="1" t="s">
        <v>20</v>
      </c>
      <c r="G12" s="1" t="s">
        <v>21</v>
      </c>
      <c r="H12" s="1" t="s">
        <v>54</v>
      </c>
      <c r="I12" s="1" t="s">
        <v>55</v>
      </c>
      <c r="J12" s="4">
        <v>35910</v>
      </c>
      <c r="K12" s="4">
        <v>0</v>
      </c>
      <c r="L12" s="4">
        <v>0</v>
      </c>
      <c r="M12" s="4">
        <v>224910</v>
      </c>
      <c r="N12" s="1" t="s">
        <v>24</v>
      </c>
      <c r="O12" s="1" t="s">
        <v>25</v>
      </c>
    </row>
    <row r="13" spans="1:15">
      <c r="A13" s="1" t="s">
        <v>15</v>
      </c>
      <c r="B13" s="1" t="s">
        <v>58</v>
      </c>
      <c r="C13" s="1" t="s">
        <v>17</v>
      </c>
      <c r="D13" s="1" t="s">
        <v>59</v>
      </c>
      <c r="E13" s="1" t="s">
        <v>60</v>
      </c>
      <c r="F13" s="1" t="s">
        <v>20</v>
      </c>
      <c r="G13" s="1" t="s">
        <v>21</v>
      </c>
      <c r="H13" s="1" t="s">
        <v>40</v>
      </c>
      <c r="I13" s="1" t="s">
        <v>61</v>
      </c>
      <c r="J13" s="4">
        <v>0</v>
      </c>
      <c r="K13" s="4">
        <v>0</v>
      </c>
      <c r="L13" s="4">
        <v>0</v>
      </c>
      <c r="M13" s="4">
        <v>15000</v>
      </c>
      <c r="N13" s="1" t="s">
        <v>24</v>
      </c>
      <c r="O13" s="1" t="s">
        <v>25</v>
      </c>
    </row>
    <row r="14" spans="1:15">
      <c r="A14" s="1" t="s">
        <v>62</v>
      </c>
      <c r="B14" s="1" t="s">
        <v>63</v>
      </c>
      <c r="C14" s="1" t="s">
        <v>64</v>
      </c>
      <c r="D14" s="1" t="s">
        <v>65</v>
      </c>
      <c r="E14" s="1" t="s">
        <v>66</v>
      </c>
      <c r="F14" s="1" t="s">
        <v>20</v>
      </c>
      <c r="G14" s="1" t="s">
        <v>21</v>
      </c>
      <c r="H14" s="1" t="s">
        <v>40</v>
      </c>
      <c r="I14" s="1" t="s">
        <v>41</v>
      </c>
      <c r="J14" s="4">
        <v>0</v>
      </c>
      <c r="K14" s="4">
        <v>0</v>
      </c>
      <c r="L14" s="4">
        <v>0</v>
      </c>
      <c r="M14" s="4">
        <v>15000</v>
      </c>
      <c r="N14" s="1" t="s">
        <v>67</v>
      </c>
      <c r="O14" s="1" t="s">
        <v>25</v>
      </c>
    </row>
    <row r="15" spans="1:15">
      <c r="A15" s="1" t="s">
        <v>15</v>
      </c>
      <c r="B15" s="1" t="s">
        <v>68</v>
      </c>
      <c r="C15" s="1" t="s">
        <v>17</v>
      </c>
      <c r="D15" s="1" t="s">
        <v>59</v>
      </c>
      <c r="E15" s="1" t="s">
        <v>69</v>
      </c>
      <c r="F15" s="1" t="s">
        <v>20</v>
      </c>
      <c r="G15" s="1" t="s">
        <v>21</v>
      </c>
      <c r="H15" s="1" t="s">
        <v>40</v>
      </c>
      <c r="I15" s="1" t="s">
        <v>61</v>
      </c>
      <c r="J15" s="4">
        <v>63384</v>
      </c>
      <c r="K15" s="4">
        <v>0</v>
      </c>
      <c r="L15" s="4">
        <v>0</v>
      </c>
      <c r="M15" s="4">
        <v>396984</v>
      </c>
      <c r="N15" s="1" t="s">
        <v>24</v>
      </c>
      <c r="O15" s="1" t="s">
        <v>25</v>
      </c>
    </row>
    <row r="16" spans="1:15">
      <c r="A16" s="1" t="s">
        <v>62</v>
      </c>
      <c r="B16" s="1" t="s">
        <v>70</v>
      </c>
      <c r="C16" s="1" t="s">
        <v>64</v>
      </c>
      <c r="D16" s="1" t="s">
        <v>65</v>
      </c>
      <c r="E16" s="1" t="s">
        <v>71</v>
      </c>
      <c r="F16" s="1" t="s">
        <v>20</v>
      </c>
      <c r="G16" s="1" t="s">
        <v>21</v>
      </c>
      <c r="H16" s="1" t="s">
        <v>40</v>
      </c>
      <c r="I16" s="1" t="s">
        <v>41</v>
      </c>
      <c r="J16" s="4">
        <v>63384</v>
      </c>
      <c r="K16" s="4">
        <v>0</v>
      </c>
      <c r="L16" s="4">
        <v>0</v>
      </c>
      <c r="M16" s="4">
        <v>396984</v>
      </c>
      <c r="N16" s="1" t="s">
        <v>67</v>
      </c>
      <c r="O16" s="1" t="s">
        <v>25</v>
      </c>
    </row>
    <row r="17" spans="1:15">
      <c r="A17" s="1" t="s">
        <v>15</v>
      </c>
      <c r="B17" s="1" t="s">
        <v>72</v>
      </c>
      <c r="C17" s="1" t="s">
        <v>17</v>
      </c>
      <c r="D17" s="1" t="s">
        <v>73</v>
      </c>
      <c r="E17" s="1" t="s">
        <v>74</v>
      </c>
      <c r="F17" s="1" t="s">
        <v>20</v>
      </c>
      <c r="G17" s="1" t="s">
        <v>21</v>
      </c>
      <c r="H17" s="1" t="s">
        <v>40</v>
      </c>
      <c r="I17" s="1" t="s">
        <v>41</v>
      </c>
      <c r="J17" s="4">
        <v>0</v>
      </c>
      <c r="K17" s="4">
        <v>0</v>
      </c>
      <c r="L17" s="4">
        <v>0</v>
      </c>
      <c r="M17" s="4">
        <v>15000</v>
      </c>
      <c r="N17" s="1" t="s">
        <v>24</v>
      </c>
      <c r="O17" s="1" t="s">
        <v>25</v>
      </c>
    </row>
    <row r="18" spans="1:15">
      <c r="A18" s="1" t="s">
        <v>15</v>
      </c>
      <c r="B18" s="1" t="s">
        <v>75</v>
      </c>
      <c r="C18" s="1" t="s">
        <v>17</v>
      </c>
      <c r="D18" s="1" t="s">
        <v>73</v>
      </c>
      <c r="E18" s="1" t="s">
        <v>76</v>
      </c>
      <c r="F18" s="1" t="s">
        <v>20</v>
      </c>
      <c r="G18" s="1" t="s">
        <v>21</v>
      </c>
      <c r="H18" s="1" t="s">
        <v>40</v>
      </c>
      <c r="I18" s="1" t="s">
        <v>41</v>
      </c>
      <c r="J18" s="4">
        <v>65755.199999999997</v>
      </c>
      <c r="K18" s="4">
        <v>0</v>
      </c>
      <c r="L18" s="4">
        <v>0</v>
      </c>
      <c r="M18" s="4">
        <v>411835.2</v>
      </c>
      <c r="N18" s="1" t="s">
        <v>24</v>
      </c>
      <c r="O18" s="1" t="s">
        <v>25</v>
      </c>
    </row>
    <row r="19" spans="1:15">
      <c r="A19" s="1" t="s">
        <v>15</v>
      </c>
      <c r="B19" s="1" t="s">
        <v>77</v>
      </c>
      <c r="C19" s="1" t="s">
        <v>17</v>
      </c>
      <c r="D19" s="1" t="s">
        <v>78</v>
      </c>
      <c r="E19" s="1" t="s">
        <v>79</v>
      </c>
      <c r="F19" s="1" t="s">
        <v>20</v>
      </c>
      <c r="G19" s="1" t="s">
        <v>21</v>
      </c>
      <c r="H19" s="1" t="s">
        <v>44</v>
      </c>
      <c r="I19" s="1" t="s">
        <v>45</v>
      </c>
      <c r="J19" s="4">
        <v>0</v>
      </c>
      <c r="K19" s="4">
        <v>0</v>
      </c>
      <c r="L19" s="4">
        <v>0</v>
      </c>
      <c r="M19" s="4">
        <v>210000</v>
      </c>
      <c r="N19" s="1" t="s">
        <v>24</v>
      </c>
      <c r="O19" s="1" t="s">
        <v>25</v>
      </c>
    </row>
    <row r="20" spans="1:15">
      <c r="A20" s="1" t="s">
        <v>15</v>
      </c>
      <c r="B20" s="1" t="s">
        <v>80</v>
      </c>
      <c r="C20" s="1" t="s">
        <v>17</v>
      </c>
      <c r="D20" s="1" t="s">
        <v>78</v>
      </c>
      <c r="E20" s="1" t="s">
        <v>81</v>
      </c>
      <c r="F20" s="1" t="s">
        <v>20</v>
      </c>
      <c r="G20" s="1" t="s">
        <v>21</v>
      </c>
      <c r="H20" s="1" t="s">
        <v>44</v>
      </c>
      <c r="I20" s="1" t="s">
        <v>45</v>
      </c>
      <c r="J20" s="4">
        <v>130723.23</v>
      </c>
      <c r="K20" s="4">
        <v>0</v>
      </c>
      <c r="L20" s="4">
        <v>0</v>
      </c>
      <c r="M20" s="4">
        <v>818740.23</v>
      </c>
      <c r="N20" s="1" t="s">
        <v>24</v>
      </c>
      <c r="O20" s="1" t="s">
        <v>25</v>
      </c>
    </row>
    <row r="21" spans="1:15">
      <c r="A21" s="1" t="s">
        <v>15</v>
      </c>
      <c r="B21" s="1" t="s">
        <v>82</v>
      </c>
      <c r="C21" s="1" t="s">
        <v>17</v>
      </c>
      <c r="D21" s="1" t="s">
        <v>78</v>
      </c>
      <c r="E21" s="1" t="s">
        <v>83</v>
      </c>
      <c r="F21" s="1" t="s">
        <v>20</v>
      </c>
      <c r="G21" s="1" t="s">
        <v>21</v>
      </c>
      <c r="H21" s="1" t="s">
        <v>50</v>
      </c>
      <c r="I21" s="1" t="s">
        <v>51</v>
      </c>
      <c r="J21" s="4">
        <v>73208.429999999993</v>
      </c>
      <c r="K21" s="4">
        <v>0</v>
      </c>
      <c r="L21" s="4">
        <v>0</v>
      </c>
      <c r="M21" s="4">
        <v>458515.98</v>
      </c>
      <c r="N21" s="1" t="s">
        <v>24</v>
      </c>
      <c r="O21" s="1" t="s">
        <v>25</v>
      </c>
    </row>
    <row r="22" spans="1:15">
      <c r="A22" s="1" t="s">
        <v>15</v>
      </c>
      <c r="B22" s="1" t="s">
        <v>84</v>
      </c>
      <c r="C22" s="1" t="s">
        <v>17</v>
      </c>
      <c r="D22" s="1" t="s">
        <v>78</v>
      </c>
      <c r="E22" s="1" t="s">
        <v>85</v>
      </c>
      <c r="F22" s="1" t="s">
        <v>20</v>
      </c>
      <c r="G22" s="1" t="s">
        <v>21</v>
      </c>
      <c r="H22" s="1" t="s">
        <v>54</v>
      </c>
      <c r="I22" s="1" t="s">
        <v>55</v>
      </c>
      <c r="J22" s="4">
        <v>0</v>
      </c>
      <c r="K22" s="4">
        <v>0</v>
      </c>
      <c r="L22" s="4">
        <v>0</v>
      </c>
      <c r="M22" s="4">
        <v>90000</v>
      </c>
      <c r="N22" s="1" t="s">
        <v>24</v>
      </c>
      <c r="O22" s="1" t="s">
        <v>25</v>
      </c>
    </row>
    <row r="23" spans="1:15">
      <c r="A23" s="1" t="s">
        <v>15</v>
      </c>
      <c r="B23" s="1" t="s">
        <v>86</v>
      </c>
      <c r="C23" s="1" t="s">
        <v>17</v>
      </c>
      <c r="D23" s="1" t="s">
        <v>78</v>
      </c>
      <c r="E23" s="1" t="s">
        <v>87</v>
      </c>
      <c r="F23" s="1" t="s">
        <v>20</v>
      </c>
      <c r="G23" s="1" t="s">
        <v>21</v>
      </c>
      <c r="H23" s="1" t="s">
        <v>54</v>
      </c>
      <c r="I23" s="1" t="s">
        <v>55</v>
      </c>
      <c r="J23" s="4">
        <v>21874.7</v>
      </c>
      <c r="K23" s="4">
        <v>0</v>
      </c>
      <c r="L23" s="4">
        <v>0</v>
      </c>
      <c r="M23" s="4">
        <v>137004.70000000001</v>
      </c>
      <c r="N23" s="1" t="s">
        <v>24</v>
      </c>
      <c r="O23" s="1" t="s">
        <v>25</v>
      </c>
    </row>
    <row r="24" spans="1:15">
      <c r="A24" s="1" t="s">
        <v>15</v>
      </c>
      <c r="B24" s="1" t="s">
        <v>88</v>
      </c>
      <c r="C24" s="1" t="s">
        <v>17</v>
      </c>
      <c r="D24" s="1" t="s">
        <v>78</v>
      </c>
      <c r="E24" s="1" t="s">
        <v>89</v>
      </c>
      <c r="F24" s="1" t="s">
        <v>20</v>
      </c>
      <c r="G24" s="1" t="s">
        <v>21</v>
      </c>
      <c r="H24" s="1" t="s">
        <v>30</v>
      </c>
      <c r="I24" s="1" t="s">
        <v>31</v>
      </c>
      <c r="J24" s="4">
        <v>254103.72</v>
      </c>
      <c r="K24" s="4">
        <v>0</v>
      </c>
      <c r="L24" s="4">
        <v>0</v>
      </c>
      <c r="M24" s="4">
        <v>1591491.72</v>
      </c>
      <c r="N24" s="1" t="s">
        <v>24</v>
      </c>
      <c r="O24" s="1" t="s">
        <v>25</v>
      </c>
    </row>
    <row r="25" spans="1:15">
      <c r="A25" s="1" t="s">
        <v>15</v>
      </c>
      <c r="B25" s="1" t="s">
        <v>90</v>
      </c>
      <c r="C25" s="1" t="s">
        <v>17</v>
      </c>
      <c r="D25" s="1" t="s">
        <v>78</v>
      </c>
      <c r="E25" s="1" t="s">
        <v>91</v>
      </c>
      <c r="F25" s="1" t="s">
        <v>20</v>
      </c>
      <c r="G25" s="1" t="s">
        <v>21</v>
      </c>
      <c r="H25" s="1" t="s">
        <v>34</v>
      </c>
      <c r="I25" s="1" t="s">
        <v>35</v>
      </c>
      <c r="J25" s="4">
        <v>554382.76</v>
      </c>
      <c r="K25" s="4">
        <v>0</v>
      </c>
      <c r="L25" s="4">
        <v>0</v>
      </c>
      <c r="M25" s="4">
        <v>3472186.76</v>
      </c>
      <c r="N25" s="1" t="s">
        <v>24</v>
      </c>
      <c r="O25" s="1" t="s">
        <v>25</v>
      </c>
    </row>
    <row r="26" spans="1:15">
      <c r="A26" s="1" t="s">
        <v>15</v>
      </c>
      <c r="B26" s="1" t="s">
        <v>92</v>
      </c>
      <c r="C26" s="1" t="s">
        <v>17</v>
      </c>
      <c r="D26" s="1" t="s">
        <v>93</v>
      </c>
      <c r="E26" s="1" t="s">
        <v>94</v>
      </c>
      <c r="F26" s="1" t="s">
        <v>20</v>
      </c>
      <c r="G26" s="1" t="s">
        <v>21</v>
      </c>
      <c r="H26" s="1" t="s">
        <v>54</v>
      </c>
      <c r="I26" s="1" t="s">
        <v>55</v>
      </c>
      <c r="J26" s="4">
        <v>11400</v>
      </c>
      <c r="K26" s="4">
        <v>0</v>
      </c>
      <c r="L26" s="4">
        <v>0</v>
      </c>
      <c r="M26" s="4">
        <v>71400</v>
      </c>
      <c r="N26" s="1" t="s">
        <v>24</v>
      </c>
      <c r="O26" s="1" t="s">
        <v>25</v>
      </c>
    </row>
    <row r="27" spans="1:15">
      <c r="A27" s="1" t="s">
        <v>15</v>
      </c>
      <c r="B27" s="1" t="s">
        <v>95</v>
      </c>
      <c r="C27" s="1" t="s">
        <v>17</v>
      </c>
      <c r="D27" s="1" t="s">
        <v>96</v>
      </c>
      <c r="E27" s="1" t="s">
        <v>97</v>
      </c>
      <c r="F27" s="1" t="s">
        <v>20</v>
      </c>
      <c r="G27" s="1" t="s">
        <v>21</v>
      </c>
      <c r="H27" s="1" t="s">
        <v>54</v>
      </c>
      <c r="I27" s="1" t="s">
        <v>55</v>
      </c>
      <c r="J27" s="4">
        <v>32395</v>
      </c>
      <c r="K27" s="4">
        <v>0</v>
      </c>
      <c r="L27" s="4">
        <v>0</v>
      </c>
      <c r="M27" s="4">
        <v>202895</v>
      </c>
      <c r="N27" s="1" t="s">
        <v>24</v>
      </c>
      <c r="O27" s="1" t="s">
        <v>25</v>
      </c>
    </row>
    <row r="28" spans="1:15">
      <c r="A28" s="1" t="s">
        <v>15</v>
      </c>
      <c r="B28" s="1" t="s">
        <v>98</v>
      </c>
      <c r="C28" s="1" t="s">
        <v>17</v>
      </c>
      <c r="D28" s="1" t="s">
        <v>99</v>
      </c>
      <c r="E28" s="1" t="s">
        <v>100</v>
      </c>
      <c r="F28" s="1" t="s">
        <v>20</v>
      </c>
      <c r="G28" s="1" t="s">
        <v>21</v>
      </c>
      <c r="H28" s="1" t="s">
        <v>101</v>
      </c>
      <c r="I28" s="1" t="s">
        <v>102</v>
      </c>
      <c r="J28" s="4">
        <v>0</v>
      </c>
      <c r="K28" s="4">
        <v>0</v>
      </c>
      <c r="L28" s="4">
        <v>0</v>
      </c>
      <c r="M28" s="4">
        <v>42500</v>
      </c>
      <c r="N28" s="1" t="s">
        <v>24</v>
      </c>
      <c r="O28" s="1" t="s">
        <v>25</v>
      </c>
    </row>
    <row r="29" spans="1:15">
      <c r="A29" s="1" t="s">
        <v>15</v>
      </c>
      <c r="B29" s="1" t="s">
        <v>103</v>
      </c>
      <c r="C29" s="1" t="s">
        <v>17</v>
      </c>
      <c r="D29" s="1" t="s">
        <v>99</v>
      </c>
      <c r="E29" s="1" t="s">
        <v>104</v>
      </c>
      <c r="F29" s="1" t="s">
        <v>20</v>
      </c>
      <c r="G29" s="1" t="s">
        <v>21</v>
      </c>
      <c r="H29" s="1" t="s">
        <v>101</v>
      </c>
      <c r="I29" s="1" t="s">
        <v>102</v>
      </c>
      <c r="J29" s="4">
        <v>356473.63</v>
      </c>
      <c r="K29" s="4">
        <v>0</v>
      </c>
      <c r="L29" s="4">
        <v>0</v>
      </c>
      <c r="M29" s="4">
        <v>2232650.63</v>
      </c>
      <c r="N29" s="1" t="s">
        <v>24</v>
      </c>
      <c r="O29" s="1" t="s">
        <v>25</v>
      </c>
    </row>
    <row r="30" spans="1:15">
      <c r="A30" s="1" t="s">
        <v>62</v>
      </c>
      <c r="B30" s="1" t="s">
        <v>105</v>
      </c>
      <c r="C30" s="1" t="s">
        <v>64</v>
      </c>
      <c r="D30" s="1" t="s">
        <v>106</v>
      </c>
      <c r="E30" s="1" t="s">
        <v>107</v>
      </c>
      <c r="F30" s="1" t="s">
        <v>20</v>
      </c>
      <c r="G30" s="1" t="s">
        <v>21</v>
      </c>
      <c r="H30" s="1" t="s">
        <v>101</v>
      </c>
      <c r="I30" s="1" t="s">
        <v>102</v>
      </c>
      <c r="J30" s="4">
        <v>333447.34000000003</v>
      </c>
      <c r="K30" s="4">
        <v>0</v>
      </c>
      <c r="L30" s="4">
        <v>0</v>
      </c>
      <c r="M30" s="4">
        <v>2088433.34</v>
      </c>
      <c r="N30" s="1" t="s">
        <v>67</v>
      </c>
      <c r="O30" s="1" t="s">
        <v>25</v>
      </c>
    </row>
    <row r="31" spans="1:15">
      <c r="A31" s="1" t="s">
        <v>15</v>
      </c>
      <c r="B31" s="1" t="s">
        <v>108</v>
      </c>
      <c r="C31" s="1" t="s">
        <v>17</v>
      </c>
      <c r="D31" s="1" t="s">
        <v>109</v>
      </c>
      <c r="E31" s="1" t="s">
        <v>110</v>
      </c>
      <c r="F31" s="1" t="s">
        <v>20</v>
      </c>
      <c r="G31" s="1" t="s">
        <v>21</v>
      </c>
      <c r="H31" s="1" t="s">
        <v>101</v>
      </c>
      <c r="I31" s="1" t="s">
        <v>102</v>
      </c>
      <c r="J31" s="4">
        <v>333447.34000000003</v>
      </c>
      <c r="K31" s="4">
        <v>0</v>
      </c>
      <c r="L31" s="4">
        <v>0</v>
      </c>
      <c r="M31" s="4">
        <v>2088433.34</v>
      </c>
      <c r="N31" s="1" t="s">
        <v>24</v>
      </c>
      <c r="O31" s="1" t="s">
        <v>25</v>
      </c>
    </row>
    <row r="32" spans="1:15">
      <c r="A32" s="1" t="s">
        <v>15</v>
      </c>
      <c r="B32" s="1" t="s">
        <v>111</v>
      </c>
      <c r="C32" s="1" t="s">
        <v>17</v>
      </c>
      <c r="D32" s="1" t="s">
        <v>109</v>
      </c>
      <c r="E32" s="1" t="s">
        <v>112</v>
      </c>
      <c r="F32" s="1" t="s">
        <v>20</v>
      </c>
      <c r="G32" s="1" t="s">
        <v>21</v>
      </c>
      <c r="H32" s="1" t="s">
        <v>30</v>
      </c>
      <c r="I32" s="1" t="s">
        <v>31</v>
      </c>
      <c r="J32" s="4">
        <v>333447.34000000003</v>
      </c>
      <c r="K32" s="4">
        <v>0</v>
      </c>
      <c r="L32" s="4">
        <v>0</v>
      </c>
      <c r="M32" s="4">
        <v>2088433.34</v>
      </c>
      <c r="N32" s="1" t="s">
        <v>24</v>
      </c>
      <c r="O32" s="1" t="s">
        <v>25</v>
      </c>
    </row>
    <row r="33" spans="1:15">
      <c r="A33" s="1" t="s">
        <v>15</v>
      </c>
      <c r="B33" s="1" t="s">
        <v>113</v>
      </c>
      <c r="C33" s="1" t="s">
        <v>17</v>
      </c>
      <c r="D33" s="1" t="s">
        <v>114</v>
      </c>
      <c r="E33" s="1" t="s">
        <v>115</v>
      </c>
      <c r="F33" s="1" t="s">
        <v>20</v>
      </c>
      <c r="G33" s="1" t="s">
        <v>21</v>
      </c>
      <c r="H33" s="1" t="s">
        <v>101</v>
      </c>
      <c r="I33" s="1" t="s">
        <v>102</v>
      </c>
      <c r="J33" s="4">
        <v>0</v>
      </c>
      <c r="K33" s="4">
        <v>0</v>
      </c>
      <c r="L33" s="4">
        <v>0</v>
      </c>
      <c r="M33" s="4">
        <v>80000</v>
      </c>
      <c r="N33" s="1" t="s">
        <v>24</v>
      </c>
      <c r="O33" s="1" t="s">
        <v>25</v>
      </c>
    </row>
    <row r="34" spans="1:15">
      <c r="A34" s="1" t="s">
        <v>15</v>
      </c>
      <c r="B34" s="1" t="s">
        <v>116</v>
      </c>
      <c r="C34" s="1" t="s">
        <v>17</v>
      </c>
      <c r="D34" s="1" t="s">
        <v>114</v>
      </c>
      <c r="E34" s="1" t="s">
        <v>117</v>
      </c>
      <c r="F34" s="1" t="s">
        <v>20</v>
      </c>
      <c r="G34" s="1" t="s">
        <v>21</v>
      </c>
      <c r="H34" s="1" t="s">
        <v>101</v>
      </c>
      <c r="I34" s="1" t="s">
        <v>102</v>
      </c>
      <c r="J34" s="4">
        <v>464358.1</v>
      </c>
      <c r="K34" s="4">
        <v>0</v>
      </c>
      <c r="L34" s="4">
        <v>0</v>
      </c>
      <c r="M34" s="4">
        <v>2908348.1</v>
      </c>
      <c r="N34" s="1" t="s">
        <v>24</v>
      </c>
      <c r="O34" s="1" t="s">
        <v>25</v>
      </c>
    </row>
    <row r="35" spans="1:15">
      <c r="A35" s="1" t="s">
        <v>15</v>
      </c>
      <c r="B35" s="1" t="s">
        <v>118</v>
      </c>
      <c r="C35" s="1" t="s">
        <v>17</v>
      </c>
      <c r="D35" s="1" t="s">
        <v>114</v>
      </c>
      <c r="E35" s="1" t="s">
        <v>119</v>
      </c>
      <c r="F35" s="1" t="s">
        <v>20</v>
      </c>
      <c r="G35" s="1" t="s">
        <v>21</v>
      </c>
      <c r="H35" s="1" t="s">
        <v>50</v>
      </c>
      <c r="I35" s="1" t="s">
        <v>51</v>
      </c>
      <c r="J35" s="4">
        <v>45404.68</v>
      </c>
      <c r="K35" s="4">
        <v>0</v>
      </c>
      <c r="L35" s="4">
        <v>0</v>
      </c>
      <c r="M35" s="4">
        <v>284376.68</v>
      </c>
      <c r="N35" s="1" t="s">
        <v>24</v>
      </c>
      <c r="O35" s="1" t="s">
        <v>25</v>
      </c>
    </row>
    <row r="36" spans="1:15">
      <c r="A36" s="1" t="s">
        <v>15</v>
      </c>
      <c r="B36" s="1" t="s">
        <v>120</v>
      </c>
      <c r="C36" s="1" t="s">
        <v>17</v>
      </c>
      <c r="D36" s="1" t="s">
        <v>121</v>
      </c>
      <c r="E36" s="1" t="s">
        <v>122</v>
      </c>
      <c r="F36" s="1" t="s">
        <v>20</v>
      </c>
      <c r="G36" s="1" t="s">
        <v>21</v>
      </c>
      <c r="H36" s="1" t="s">
        <v>54</v>
      </c>
      <c r="I36" s="1" t="s">
        <v>55</v>
      </c>
      <c r="J36" s="4">
        <v>32395</v>
      </c>
      <c r="K36" s="4">
        <v>0</v>
      </c>
      <c r="L36" s="4">
        <v>0</v>
      </c>
      <c r="M36" s="4">
        <v>202895</v>
      </c>
      <c r="N36" s="1" t="s">
        <v>24</v>
      </c>
      <c r="O36" s="1" t="s">
        <v>25</v>
      </c>
    </row>
    <row r="37" spans="1:15">
      <c r="A37" s="1" t="s">
        <v>15</v>
      </c>
      <c r="B37" s="1" t="s">
        <v>123</v>
      </c>
      <c r="C37" s="1" t="s">
        <v>17</v>
      </c>
      <c r="D37" s="1" t="s">
        <v>121</v>
      </c>
      <c r="E37" s="1" t="s">
        <v>124</v>
      </c>
      <c r="F37" s="1" t="s">
        <v>20</v>
      </c>
      <c r="G37" s="1" t="s">
        <v>21</v>
      </c>
      <c r="H37" s="1" t="s">
        <v>125</v>
      </c>
      <c r="I37" s="1" t="s">
        <v>126</v>
      </c>
      <c r="J37" s="4">
        <v>0</v>
      </c>
      <c r="K37" s="4">
        <v>0</v>
      </c>
      <c r="L37" s="4">
        <v>0</v>
      </c>
      <c r="M37" s="4">
        <v>25000</v>
      </c>
      <c r="N37" s="1" t="s">
        <v>24</v>
      </c>
      <c r="O37" s="1" t="s">
        <v>25</v>
      </c>
    </row>
    <row r="38" spans="1:15">
      <c r="A38" s="1" t="s">
        <v>15</v>
      </c>
      <c r="B38" s="1" t="s">
        <v>127</v>
      </c>
      <c r="C38" s="1" t="s">
        <v>17</v>
      </c>
      <c r="D38" s="1" t="s">
        <v>121</v>
      </c>
      <c r="E38" s="1" t="s">
        <v>128</v>
      </c>
      <c r="F38" s="1" t="s">
        <v>20</v>
      </c>
      <c r="G38" s="1" t="s">
        <v>21</v>
      </c>
      <c r="H38" s="1" t="s">
        <v>125</v>
      </c>
      <c r="I38" s="1" t="s">
        <v>126</v>
      </c>
      <c r="J38" s="4">
        <v>2736</v>
      </c>
      <c r="K38" s="4">
        <v>0</v>
      </c>
      <c r="L38" s="4">
        <v>0</v>
      </c>
      <c r="M38" s="4">
        <v>17136</v>
      </c>
      <c r="N38" s="1" t="s">
        <v>24</v>
      </c>
      <c r="O38" s="1" t="s">
        <v>25</v>
      </c>
    </row>
    <row r="39" spans="1:15">
      <c r="A39" s="1" t="s">
        <v>15</v>
      </c>
      <c r="B39" s="1" t="s">
        <v>129</v>
      </c>
      <c r="C39" s="1" t="s">
        <v>17</v>
      </c>
      <c r="D39" s="1" t="s">
        <v>130</v>
      </c>
      <c r="E39" s="1" t="s">
        <v>131</v>
      </c>
      <c r="F39" s="1" t="s">
        <v>20</v>
      </c>
      <c r="G39" s="1" t="s">
        <v>21</v>
      </c>
      <c r="H39" s="1" t="s">
        <v>101</v>
      </c>
      <c r="I39" s="1" t="s">
        <v>132</v>
      </c>
      <c r="J39" s="4">
        <v>0</v>
      </c>
      <c r="K39" s="4">
        <v>0</v>
      </c>
      <c r="L39" s="4">
        <v>0</v>
      </c>
      <c r="M39" s="4">
        <v>60000</v>
      </c>
      <c r="N39" s="1" t="s">
        <v>24</v>
      </c>
      <c r="O39" s="1" t="s">
        <v>25</v>
      </c>
    </row>
    <row r="40" spans="1:15">
      <c r="A40" s="1" t="s">
        <v>15</v>
      </c>
      <c r="B40" s="1" t="s">
        <v>133</v>
      </c>
      <c r="C40" s="1" t="s">
        <v>17</v>
      </c>
      <c r="D40" s="1" t="s">
        <v>130</v>
      </c>
      <c r="E40" s="1" t="s">
        <v>134</v>
      </c>
      <c r="F40" s="1" t="s">
        <v>20</v>
      </c>
      <c r="G40" s="1" t="s">
        <v>21</v>
      </c>
      <c r="H40" s="1" t="s">
        <v>101</v>
      </c>
      <c r="I40" s="1" t="s">
        <v>132</v>
      </c>
      <c r="J40" s="4">
        <v>13680</v>
      </c>
      <c r="K40" s="4">
        <v>0</v>
      </c>
      <c r="L40" s="4">
        <v>0</v>
      </c>
      <c r="M40" s="4">
        <v>85680</v>
      </c>
      <c r="N40" s="1" t="s">
        <v>24</v>
      </c>
      <c r="O40" s="1" t="s">
        <v>25</v>
      </c>
    </row>
    <row r="41" spans="1:15">
      <c r="A41" s="1" t="s">
        <v>15</v>
      </c>
      <c r="B41" s="1" t="s">
        <v>135</v>
      </c>
      <c r="C41" s="1" t="s">
        <v>17</v>
      </c>
      <c r="D41" s="1" t="s">
        <v>130</v>
      </c>
      <c r="E41" s="1" t="s">
        <v>136</v>
      </c>
      <c r="F41" s="1" t="s">
        <v>20</v>
      </c>
      <c r="G41" s="1" t="s">
        <v>21</v>
      </c>
      <c r="H41" s="1" t="s">
        <v>125</v>
      </c>
      <c r="I41" s="1" t="s">
        <v>126</v>
      </c>
      <c r="J41" s="4">
        <v>0</v>
      </c>
      <c r="K41" s="4">
        <v>0</v>
      </c>
      <c r="L41" s="4">
        <v>0</v>
      </c>
      <c r="M41" s="4">
        <v>105000</v>
      </c>
      <c r="N41" s="1" t="s">
        <v>24</v>
      </c>
      <c r="O41" s="1" t="s">
        <v>25</v>
      </c>
    </row>
    <row r="42" spans="1:15">
      <c r="A42" s="1" t="s">
        <v>15</v>
      </c>
      <c r="B42" s="1" t="s">
        <v>137</v>
      </c>
      <c r="C42" s="1" t="s">
        <v>17</v>
      </c>
      <c r="D42" s="1" t="s">
        <v>130</v>
      </c>
      <c r="E42" s="1" t="s">
        <v>138</v>
      </c>
      <c r="F42" s="1" t="s">
        <v>20</v>
      </c>
      <c r="G42" s="1" t="s">
        <v>21</v>
      </c>
      <c r="H42" s="1" t="s">
        <v>125</v>
      </c>
      <c r="I42" s="1" t="s">
        <v>126</v>
      </c>
      <c r="J42" s="4">
        <v>103546.2</v>
      </c>
      <c r="K42" s="4">
        <v>0</v>
      </c>
      <c r="L42" s="4">
        <v>0</v>
      </c>
      <c r="M42" s="4">
        <v>648526.19999999995</v>
      </c>
      <c r="N42" s="1" t="s">
        <v>24</v>
      </c>
      <c r="O42" s="1" t="s">
        <v>25</v>
      </c>
    </row>
    <row r="43" spans="1:15">
      <c r="A43" s="1" t="s">
        <v>15</v>
      </c>
      <c r="B43" s="1" t="s">
        <v>139</v>
      </c>
      <c r="C43" s="1" t="s">
        <v>17</v>
      </c>
      <c r="D43" s="1" t="s">
        <v>140</v>
      </c>
      <c r="E43" s="1" t="s">
        <v>141</v>
      </c>
      <c r="F43" s="1" t="s">
        <v>20</v>
      </c>
      <c r="G43" s="1" t="s">
        <v>21</v>
      </c>
      <c r="H43" s="1" t="s">
        <v>30</v>
      </c>
      <c r="I43" s="1" t="s">
        <v>31</v>
      </c>
      <c r="J43" s="4">
        <v>485245.94</v>
      </c>
      <c r="K43" s="4">
        <v>0</v>
      </c>
      <c r="L43" s="4">
        <v>0</v>
      </c>
      <c r="M43" s="4">
        <v>3039171.94</v>
      </c>
      <c r="N43" s="1" t="s">
        <v>24</v>
      </c>
      <c r="O43" s="1" t="s">
        <v>25</v>
      </c>
    </row>
    <row r="44" spans="1:15">
      <c r="J44" s="4">
        <f>SUM(J2:J43)</f>
        <v>4603932.12</v>
      </c>
    </row>
    <row r="46" spans="1:15">
      <c r="A46" s="1" t="s">
        <v>15</v>
      </c>
      <c r="B46" s="1" t="s">
        <v>142</v>
      </c>
      <c r="C46" s="1" t="s">
        <v>143</v>
      </c>
      <c r="D46" s="1" t="s">
        <v>144</v>
      </c>
      <c r="E46" s="1" t="s">
        <v>145</v>
      </c>
      <c r="F46" s="1" t="s">
        <v>146</v>
      </c>
      <c r="G46" s="1" t="s">
        <v>147</v>
      </c>
      <c r="H46" s="1" t="s">
        <v>20</v>
      </c>
      <c r="I46" s="1" t="s">
        <v>21</v>
      </c>
      <c r="J46" s="4">
        <v>0</v>
      </c>
      <c r="K46" s="4">
        <v>0</v>
      </c>
      <c r="L46" s="4">
        <v>0</v>
      </c>
      <c r="M46" s="4">
        <v>6500</v>
      </c>
      <c r="N46" s="1" t="s">
        <v>67</v>
      </c>
      <c r="O46" s="1" t="s">
        <v>148</v>
      </c>
    </row>
    <row r="47" spans="1:15">
      <c r="A47" s="1" t="s">
        <v>15</v>
      </c>
      <c r="B47" s="1" t="s">
        <v>149</v>
      </c>
      <c r="C47" s="1" t="s">
        <v>150</v>
      </c>
      <c r="D47" s="1" t="s">
        <v>151</v>
      </c>
      <c r="E47" s="1" t="s">
        <v>152</v>
      </c>
      <c r="F47" s="1" t="s">
        <v>153</v>
      </c>
      <c r="G47" s="1" t="s">
        <v>154</v>
      </c>
      <c r="H47" s="1" t="s">
        <v>20</v>
      </c>
      <c r="I47" s="1" t="s">
        <v>155</v>
      </c>
      <c r="J47" s="4">
        <v>16595</v>
      </c>
      <c r="K47" s="4">
        <v>0</v>
      </c>
      <c r="L47" s="4">
        <v>0</v>
      </c>
      <c r="M47" s="4">
        <v>103935</v>
      </c>
      <c r="N47" s="1" t="s">
        <v>24</v>
      </c>
      <c r="O47" s="1" t="s">
        <v>148</v>
      </c>
    </row>
    <row r="48" spans="1:15">
      <c r="A48" s="1" t="s">
        <v>15</v>
      </c>
      <c r="B48" s="1" t="s">
        <v>156</v>
      </c>
      <c r="C48" s="1" t="s">
        <v>150</v>
      </c>
      <c r="D48" s="1" t="s">
        <v>151</v>
      </c>
      <c r="E48" s="1" t="s">
        <v>157</v>
      </c>
      <c r="F48" s="1" t="s">
        <v>153</v>
      </c>
      <c r="G48" s="1" t="s">
        <v>154</v>
      </c>
      <c r="H48" s="1" t="s">
        <v>20</v>
      </c>
      <c r="I48" s="1" t="s">
        <v>155</v>
      </c>
      <c r="J48" s="4">
        <v>13803</v>
      </c>
      <c r="K48" s="4">
        <v>0</v>
      </c>
      <c r="L48" s="4">
        <v>0</v>
      </c>
      <c r="M48" s="4">
        <v>86453</v>
      </c>
      <c r="N48" s="1" t="s">
        <v>24</v>
      </c>
      <c r="O48" s="1" t="s">
        <v>148</v>
      </c>
    </row>
    <row r="49" spans="1:15">
      <c r="A49" s="1" t="s">
        <v>15</v>
      </c>
      <c r="B49" s="1" t="s">
        <v>158</v>
      </c>
      <c r="C49" s="1" t="s">
        <v>150</v>
      </c>
      <c r="D49" s="1" t="s">
        <v>151</v>
      </c>
      <c r="E49" s="1" t="s">
        <v>159</v>
      </c>
      <c r="F49" s="1" t="s">
        <v>153</v>
      </c>
      <c r="G49" s="1" t="s">
        <v>154</v>
      </c>
      <c r="H49" s="1" t="s">
        <v>20</v>
      </c>
      <c r="I49" s="1" t="s">
        <v>155</v>
      </c>
      <c r="J49" s="4">
        <v>17152</v>
      </c>
      <c r="K49" s="4">
        <v>0</v>
      </c>
      <c r="L49" s="4">
        <v>0</v>
      </c>
      <c r="M49" s="4">
        <v>107429</v>
      </c>
      <c r="N49" s="1" t="s">
        <v>24</v>
      </c>
      <c r="O49" s="1" t="s">
        <v>148</v>
      </c>
    </row>
    <row r="50" spans="1:15">
      <c r="A50" s="1" t="s">
        <v>15</v>
      </c>
      <c r="B50" s="1" t="s">
        <v>160</v>
      </c>
      <c r="C50" s="1" t="s">
        <v>161</v>
      </c>
      <c r="D50" s="1" t="s">
        <v>162</v>
      </c>
      <c r="E50" s="1" t="s">
        <v>163</v>
      </c>
      <c r="F50" s="1" t="s">
        <v>164</v>
      </c>
      <c r="G50" s="1" t="s">
        <v>165</v>
      </c>
      <c r="H50" s="1" t="s">
        <v>20</v>
      </c>
      <c r="I50" s="1" t="s">
        <v>166</v>
      </c>
      <c r="J50" s="4">
        <v>17445.990000000002</v>
      </c>
      <c r="K50" s="4">
        <v>0</v>
      </c>
      <c r="L50" s="4">
        <v>0</v>
      </c>
      <c r="M50" s="4">
        <v>109715</v>
      </c>
      <c r="N50" s="1" t="s">
        <v>67</v>
      </c>
      <c r="O50" s="1" t="s">
        <v>148</v>
      </c>
    </row>
    <row r="51" spans="1:15">
      <c r="A51" s="1" t="s">
        <v>15</v>
      </c>
      <c r="B51" s="1" t="s">
        <v>167</v>
      </c>
      <c r="C51" s="1" t="s">
        <v>168</v>
      </c>
      <c r="D51" s="1" t="s">
        <v>169</v>
      </c>
      <c r="E51" s="1" t="s">
        <v>170</v>
      </c>
      <c r="F51" s="1" t="s">
        <v>171</v>
      </c>
      <c r="G51" s="1" t="s">
        <v>172</v>
      </c>
      <c r="H51" s="1" t="s">
        <v>20</v>
      </c>
      <c r="I51" s="1" t="s">
        <v>155</v>
      </c>
      <c r="J51" s="4">
        <v>10380</v>
      </c>
      <c r="K51" s="4">
        <v>0</v>
      </c>
      <c r="L51" s="4">
        <v>0</v>
      </c>
      <c r="M51" s="4">
        <v>97000</v>
      </c>
      <c r="N51" s="1" t="s">
        <v>24</v>
      </c>
      <c r="O51" s="1" t="s">
        <v>148</v>
      </c>
    </row>
    <row r="52" spans="1:15">
      <c r="A52" s="1" t="s">
        <v>15</v>
      </c>
      <c r="B52" s="1" t="s">
        <v>173</v>
      </c>
      <c r="C52" s="1" t="s">
        <v>174</v>
      </c>
      <c r="D52" s="1" t="s">
        <v>175</v>
      </c>
      <c r="E52" s="1" t="s">
        <v>176</v>
      </c>
      <c r="F52" s="1" t="s">
        <v>177</v>
      </c>
      <c r="G52" s="1" t="s">
        <v>178</v>
      </c>
      <c r="H52" s="1" t="s">
        <v>20</v>
      </c>
      <c r="I52" s="1" t="s">
        <v>179</v>
      </c>
      <c r="J52" s="4">
        <v>11655.46</v>
      </c>
      <c r="K52" s="4">
        <v>0</v>
      </c>
      <c r="L52" s="4">
        <v>0</v>
      </c>
      <c r="M52" s="4">
        <v>183000</v>
      </c>
      <c r="N52" s="1" t="s">
        <v>24</v>
      </c>
      <c r="O52" s="1" t="s">
        <v>148</v>
      </c>
    </row>
    <row r="53" spans="1:15">
      <c r="A53" s="1" t="s">
        <v>15</v>
      </c>
      <c r="B53" s="1" t="s">
        <v>180</v>
      </c>
      <c r="C53" s="1" t="s">
        <v>17</v>
      </c>
      <c r="D53" s="1" t="s">
        <v>78</v>
      </c>
      <c r="E53" s="1" t="s">
        <v>181</v>
      </c>
      <c r="F53" s="1" t="s">
        <v>182</v>
      </c>
      <c r="G53" s="1" t="s">
        <v>183</v>
      </c>
      <c r="H53" s="1" t="s">
        <v>20</v>
      </c>
      <c r="I53" s="1" t="s">
        <v>184</v>
      </c>
      <c r="J53" s="4">
        <v>4135.29</v>
      </c>
      <c r="K53" s="4">
        <v>0</v>
      </c>
      <c r="L53" s="4">
        <v>0</v>
      </c>
      <c r="M53" s="4">
        <v>25900</v>
      </c>
      <c r="N53" s="1" t="s">
        <v>67</v>
      </c>
      <c r="O53" s="1" t="s">
        <v>148</v>
      </c>
    </row>
    <row r="54" spans="1:15">
      <c r="A54" s="1" t="s">
        <v>15</v>
      </c>
      <c r="B54" s="1" t="s">
        <v>185</v>
      </c>
      <c r="C54" s="1" t="s">
        <v>150</v>
      </c>
      <c r="D54" s="1" t="s">
        <v>78</v>
      </c>
      <c r="E54" s="1" t="s">
        <v>186</v>
      </c>
      <c r="F54" s="1" t="s">
        <v>153</v>
      </c>
      <c r="G54" s="1" t="s">
        <v>154</v>
      </c>
      <c r="H54" s="1" t="s">
        <v>20</v>
      </c>
      <c r="I54" s="1" t="s">
        <v>155</v>
      </c>
      <c r="J54" s="4">
        <v>16796</v>
      </c>
      <c r="K54" s="4">
        <v>0</v>
      </c>
      <c r="L54" s="4">
        <v>0</v>
      </c>
      <c r="M54" s="4">
        <v>105196</v>
      </c>
      <c r="N54" s="1" t="s">
        <v>24</v>
      </c>
      <c r="O54" s="1" t="s">
        <v>148</v>
      </c>
    </row>
    <row r="55" spans="1:15">
      <c r="A55" s="1" t="s">
        <v>15</v>
      </c>
      <c r="B55" s="1" t="s">
        <v>187</v>
      </c>
      <c r="C55" s="1" t="s">
        <v>150</v>
      </c>
      <c r="D55" s="1" t="s">
        <v>78</v>
      </c>
      <c r="E55" s="1" t="s">
        <v>188</v>
      </c>
      <c r="F55" s="1" t="s">
        <v>153</v>
      </c>
      <c r="G55" s="1" t="s">
        <v>154</v>
      </c>
      <c r="H55" s="1" t="s">
        <v>20</v>
      </c>
      <c r="I55" s="1" t="s">
        <v>155</v>
      </c>
      <c r="J55" s="4">
        <v>13803</v>
      </c>
      <c r="K55" s="4">
        <v>0</v>
      </c>
      <c r="L55" s="4">
        <v>0</v>
      </c>
      <c r="M55" s="4">
        <v>86453</v>
      </c>
      <c r="N55" s="1" t="s">
        <v>24</v>
      </c>
      <c r="O55" s="1" t="s">
        <v>148</v>
      </c>
    </row>
    <row r="56" spans="1:15">
      <c r="A56" s="1" t="s">
        <v>15</v>
      </c>
      <c r="B56" s="1" t="s">
        <v>189</v>
      </c>
      <c r="C56" s="1" t="s">
        <v>150</v>
      </c>
      <c r="D56" s="1" t="s">
        <v>78</v>
      </c>
      <c r="E56" s="1" t="s">
        <v>190</v>
      </c>
      <c r="F56" s="1" t="s">
        <v>153</v>
      </c>
      <c r="G56" s="1" t="s">
        <v>154</v>
      </c>
      <c r="H56" s="1" t="s">
        <v>20</v>
      </c>
      <c r="I56" s="1" t="s">
        <v>155</v>
      </c>
      <c r="J56" s="4">
        <v>17152</v>
      </c>
      <c r="K56" s="4">
        <v>0</v>
      </c>
      <c r="L56" s="4">
        <v>0</v>
      </c>
      <c r="M56" s="4">
        <v>107429</v>
      </c>
      <c r="N56" s="1" t="s">
        <v>24</v>
      </c>
      <c r="O56" s="1" t="s">
        <v>148</v>
      </c>
    </row>
    <row r="57" spans="1:15">
      <c r="A57" s="1" t="s">
        <v>15</v>
      </c>
      <c r="B57" s="1" t="s">
        <v>191</v>
      </c>
      <c r="C57" s="1" t="s">
        <v>161</v>
      </c>
      <c r="D57" s="1" t="s">
        <v>78</v>
      </c>
      <c r="E57" s="1" t="s">
        <v>192</v>
      </c>
      <c r="F57" s="1" t="s">
        <v>164</v>
      </c>
      <c r="G57" s="1" t="s">
        <v>165</v>
      </c>
      <c r="H57" s="1" t="s">
        <v>20</v>
      </c>
      <c r="I57" s="1" t="s">
        <v>166</v>
      </c>
      <c r="J57" s="4">
        <v>17442.95</v>
      </c>
      <c r="K57" s="4">
        <v>0</v>
      </c>
      <c r="L57" s="4">
        <v>0</v>
      </c>
      <c r="M57" s="4">
        <v>109696</v>
      </c>
      <c r="N57" s="1" t="s">
        <v>67</v>
      </c>
      <c r="O57" s="1" t="s">
        <v>148</v>
      </c>
    </row>
    <row r="58" spans="1:15">
      <c r="A58" s="1" t="s">
        <v>15</v>
      </c>
      <c r="B58" s="1" t="s">
        <v>193</v>
      </c>
      <c r="C58" s="1" t="s">
        <v>194</v>
      </c>
      <c r="D58" s="1" t="s">
        <v>195</v>
      </c>
      <c r="E58" s="1" t="s">
        <v>196</v>
      </c>
      <c r="F58" s="1" t="s">
        <v>197</v>
      </c>
      <c r="G58" s="1" t="s">
        <v>198</v>
      </c>
      <c r="H58" s="1" t="s">
        <v>20</v>
      </c>
      <c r="I58" s="1" t="s">
        <v>155</v>
      </c>
      <c r="J58" s="4">
        <v>6386.55</v>
      </c>
      <c r="K58" s="4">
        <v>0</v>
      </c>
      <c r="L58" s="4">
        <v>0</v>
      </c>
      <c r="M58" s="4">
        <v>40000</v>
      </c>
      <c r="N58" s="1" t="s">
        <v>67</v>
      </c>
      <c r="O58" s="1" t="s">
        <v>148</v>
      </c>
    </row>
    <row r="59" spans="1:15">
      <c r="A59" s="1" t="s">
        <v>15</v>
      </c>
      <c r="B59" s="1" t="s">
        <v>199</v>
      </c>
      <c r="C59" s="1" t="s">
        <v>200</v>
      </c>
      <c r="D59" s="1" t="s">
        <v>201</v>
      </c>
      <c r="E59" s="1" t="s">
        <v>202</v>
      </c>
      <c r="F59" s="1" t="s">
        <v>203</v>
      </c>
      <c r="G59" s="1" t="s">
        <v>204</v>
      </c>
      <c r="H59" s="1" t="s">
        <v>20</v>
      </c>
      <c r="I59" s="1" t="s">
        <v>21</v>
      </c>
      <c r="J59" s="4">
        <v>4422.6899999999996</v>
      </c>
      <c r="K59" s="4">
        <v>0</v>
      </c>
      <c r="L59" s="4">
        <v>0</v>
      </c>
      <c r="M59" s="4">
        <v>27700</v>
      </c>
      <c r="N59" s="1" t="s">
        <v>67</v>
      </c>
      <c r="O59" s="1" t="s">
        <v>148</v>
      </c>
    </row>
    <row r="60" spans="1:15">
      <c r="A60" s="1" t="s">
        <v>15</v>
      </c>
      <c r="B60" s="1" t="s">
        <v>205</v>
      </c>
      <c r="C60" s="1" t="s">
        <v>206</v>
      </c>
      <c r="D60" s="1" t="s">
        <v>96</v>
      </c>
      <c r="E60" s="1" t="s">
        <v>207</v>
      </c>
      <c r="F60" s="1" t="s">
        <v>208</v>
      </c>
      <c r="G60" s="1" t="s">
        <v>209</v>
      </c>
      <c r="H60" s="1" t="s">
        <v>20</v>
      </c>
      <c r="I60" s="1" t="s">
        <v>21</v>
      </c>
      <c r="J60" s="4">
        <v>9740</v>
      </c>
      <c r="K60" s="4">
        <v>0</v>
      </c>
      <c r="L60" s="4">
        <v>0</v>
      </c>
      <c r="M60" s="4">
        <v>61001</v>
      </c>
      <c r="N60" s="1" t="s">
        <v>67</v>
      </c>
      <c r="O60" s="1" t="s">
        <v>148</v>
      </c>
    </row>
    <row r="61" spans="1:15">
      <c r="A61" s="1" t="s">
        <v>15</v>
      </c>
      <c r="B61" s="1" t="s">
        <v>210</v>
      </c>
      <c r="C61" s="1" t="s">
        <v>150</v>
      </c>
      <c r="D61" s="1" t="s">
        <v>211</v>
      </c>
      <c r="E61" s="1" t="s">
        <v>212</v>
      </c>
      <c r="F61" s="1" t="s">
        <v>153</v>
      </c>
      <c r="G61" s="1" t="s">
        <v>154</v>
      </c>
      <c r="H61" s="1" t="s">
        <v>20</v>
      </c>
      <c r="I61" s="1" t="s">
        <v>155</v>
      </c>
      <c r="J61" s="4">
        <v>16796</v>
      </c>
      <c r="K61" s="4">
        <v>0</v>
      </c>
      <c r="L61" s="4">
        <v>0</v>
      </c>
      <c r="M61" s="4">
        <v>105196</v>
      </c>
      <c r="N61" s="1" t="s">
        <v>24</v>
      </c>
      <c r="O61" s="1" t="s">
        <v>148</v>
      </c>
    </row>
    <row r="62" spans="1:15">
      <c r="A62" s="1" t="s">
        <v>15</v>
      </c>
      <c r="B62" s="1" t="s">
        <v>213</v>
      </c>
      <c r="C62" s="1" t="s">
        <v>150</v>
      </c>
      <c r="D62" s="1" t="s">
        <v>211</v>
      </c>
      <c r="E62" s="1" t="s">
        <v>214</v>
      </c>
      <c r="F62" s="1" t="s">
        <v>153</v>
      </c>
      <c r="G62" s="1" t="s">
        <v>154</v>
      </c>
      <c r="H62" s="1" t="s">
        <v>20</v>
      </c>
      <c r="I62" s="1" t="s">
        <v>155</v>
      </c>
      <c r="J62" s="4">
        <v>13803</v>
      </c>
      <c r="K62" s="4">
        <v>0</v>
      </c>
      <c r="L62" s="4">
        <v>0</v>
      </c>
      <c r="M62" s="4">
        <v>86453</v>
      </c>
      <c r="N62" s="1" t="s">
        <v>24</v>
      </c>
      <c r="O62" s="1" t="s">
        <v>148</v>
      </c>
    </row>
    <row r="63" spans="1:15">
      <c r="A63" s="1" t="s">
        <v>15</v>
      </c>
      <c r="B63" s="1" t="s">
        <v>215</v>
      </c>
      <c r="C63" s="1" t="s">
        <v>150</v>
      </c>
      <c r="D63" s="1" t="s">
        <v>211</v>
      </c>
      <c r="E63" s="1" t="s">
        <v>216</v>
      </c>
      <c r="F63" s="1" t="s">
        <v>153</v>
      </c>
      <c r="G63" s="1" t="s">
        <v>154</v>
      </c>
      <c r="H63" s="1" t="s">
        <v>20</v>
      </c>
      <c r="I63" s="1" t="s">
        <v>155</v>
      </c>
      <c r="J63" s="4">
        <v>17152</v>
      </c>
      <c r="K63" s="4">
        <v>0</v>
      </c>
      <c r="L63" s="4">
        <v>0</v>
      </c>
      <c r="M63" s="4">
        <v>107429</v>
      </c>
      <c r="N63" s="1" t="s">
        <v>24</v>
      </c>
      <c r="O63" s="1" t="s">
        <v>148</v>
      </c>
    </row>
    <row r="64" spans="1:15">
      <c r="A64" s="1" t="s">
        <v>15</v>
      </c>
      <c r="B64" s="1" t="s">
        <v>217</v>
      </c>
      <c r="C64" s="1" t="s">
        <v>161</v>
      </c>
      <c r="D64" s="1" t="s">
        <v>218</v>
      </c>
      <c r="E64" s="1" t="s">
        <v>219</v>
      </c>
      <c r="F64" s="1" t="s">
        <v>164</v>
      </c>
      <c r="G64" s="1" t="s">
        <v>165</v>
      </c>
      <c r="H64" s="1" t="s">
        <v>20</v>
      </c>
      <c r="I64" s="1" t="s">
        <v>166</v>
      </c>
      <c r="J64" s="4">
        <v>24271.93</v>
      </c>
      <c r="K64" s="4">
        <v>0</v>
      </c>
      <c r="L64" s="4">
        <v>0</v>
      </c>
      <c r="M64" s="4">
        <v>152680</v>
      </c>
      <c r="N64" s="1" t="s">
        <v>67</v>
      </c>
      <c r="O64" s="1" t="s">
        <v>148</v>
      </c>
    </row>
    <row r="65" spans="1:15">
      <c r="A65" s="1" t="s">
        <v>15</v>
      </c>
      <c r="B65" s="1" t="s">
        <v>220</v>
      </c>
      <c r="C65" s="1" t="s">
        <v>221</v>
      </c>
      <c r="D65" s="1" t="s">
        <v>130</v>
      </c>
      <c r="E65" s="1" t="s">
        <v>222</v>
      </c>
      <c r="F65" s="1" t="s">
        <v>223</v>
      </c>
      <c r="G65" s="1" t="s">
        <v>224</v>
      </c>
      <c r="H65" s="1" t="s">
        <v>20</v>
      </c>
      <c r="I65" s="1" t="s">
        <v>21</v>
      </c>
      <c r="J65" s="4">
        <v>0</v>
      </c>
      <c r="K65" s="4">
        <v>0</v>
      </c>
      <c r="L65" s="4">
        <v>0</v>
      </c>
      <c r="M65" s="4">
        <v>684300</v>
      </c>
      <c r="N65" s="1" t="s">
        <v>24</v>
      </c>
      <c r="O65" s="1" t="s">
        <v>148</v>
      </c>
    </row>
    <row r="66" spans="1:15">
      <c r="A66" s="1" t="s">
        <v>15</v>
      </c>
      <c r="B66" s="1" t="s">
        <v>225</v>
      </c>
      <c r="C66" s="1" t="s">
        <v>150</v>
      </c>
      <c r="D66" s="1" t="s">
        <v>226</v>
      </c>
      <c r="E66" s="1" t="s">
        <v>227</v>
      </c>
      <c r="F66" s="1" t="s">
        <v>153</v>
      </c>
      <c r="G66" s="1" t="s">
        <v>154</v>
      </c>
      <c r="H66" s="1" t="s">
        <v>20</v>
      </c>
      <c r="I66" s="1" t="s">
        <v>155</v>
      </c>
      <c r="J66" s="4">
        <v>13025</v>
      </c>
      <c r="K66" s="4">
        <v>0</v>
      </c>
      <c r="L66" s="4">
        <v>0</v>
      </c>
      <c r="M66" s="4">
        <v>81577</v>
      </c>
      <c r="N66" s="1" t="s">
        <v>24</v>
      </c>
      <c r="O66" s="1" t="s">
        <v>148</v>
      </c>
    </row>
    <row r="67" spans="1:15">
      <c r="A67" s="1" t="s">
        <v>15</v>
      </c>
      <c r="B67" s="1" t="s">
        <v>228</v>
      </c>
      <c r="C67" s="1" t="s">
        <v>150</v>
      </c>
      <c r="D67" s="1" t="s">
        <v>226</v>
      </c>
      <c r="E67" s="1" t="s">
        <v>229</v>
      </c>
      <c r="F67" s="1" t="s">
        <v>153</v>
      </c>
      <c r="G67" s="1" t="s">
        <v>154</v>
      </c>
      <c r="H67" s="1" t="s">
        <v>20</v>
      </c>
      <c r="I67" s="1" t="s">
        <v>155</v>
      </c>
      <c r="J67" s="4">
        <v>10331</v>
      </c>
      <c r="K67" s="4">
        <v>0</v>
      </c>
      <c r="L67" s="4">
        <v>0</v>
      </c>
      <c r="M67" s="4">
        <v>64707</v>
      </c>
      <c r="N67" s="1" t="s">
        <v>24</v>
      </c>
      <c r="O67" s="1" t="s">
        <v>148</v>
      </c>
    </row>
    <row r="68" spans="1:15">
      <c r="A68" s="1" t="s">
        <v>15</v>
      </c>
      <c r="B68" s="1" t="s">
        <v>230</v>
      </c>
      <c r="C68" s="1" t="s">
        <v>150</v>
      </c>
      <c r="D68" s="1" t="s">
        <v>226</v>
      </c>
      <c r="E68" s="1" t="s">
        <v>231</v>
      </c>
      <c r="F68" s="1" t="s">
        <v>153</v>
      </c>
      <c r="G68" s="1" t="s">
        <v>154</v>
      </c>
      <c r="H68" s="1" t="s">
        <v>20</v>
      </c>
      <c r="I68" s="1" t="s">
        <v>155</v>
      </c>
      <c r="J68" s="4">
        <v>13679</v>
      </c>
      <c r="K68" s="4">
        <v>0</v>
      </c>
      <c r="L68" s="4">
        <v>0</v>
      </c>
      <c r="M68" s="4">
        <v>85676</v>
      </c>
      <c r="N68" s="1" t="s">
        <v>24</v>
      </c>
      <c r="O68" s="1" t="s">
        <v>148</v>
      </c>
    </row>
    <row r="69" spans="1:15">
      <c r="A69" s="1" t="s">
        <v>232</v>
      </c>
      <c r="B69" s="1" t="s">
        <v>233</v>
      </c>
      <c r="C69" s="1" t="s">
        <v>234</v>
      </c>
      <c r="D69" s="1" t="s">
        <v>235</v>
      </c>
      <c r="E69" s="1" t="s">
        <v>236</v>
      </c>
      <c r="F69" s="1" t="s">
        <v>237</v>
      </c>
      <c r="G69" s="1" t="s">
        <v>238</v>
      </c>
      <c r="H69" s="1" t="s">
        <v>20</v>
      </c>
      <c r="I69" s="1" t="s">
        <v>21</v>
      </c>
      <c r="J69" s="4">
        <v>7073</v>
      </c>
      <c r="K69" s="4">
        <v>0</v>
      </c>
      <c r="L69" s="4">
        <v>0</v>
      </c>
      <c r="M69" s="4">
        <v>45000</v>
      </c>
      <c r="N69" s="1" t="s">
        <v>24</v>
      </c>
      <c r="O69" s="1" t="s">
        <v>148</v>
      </c>
    </row>
    <row r="70" spans="1:15">
      <c r="A70" s="1" t="s">
        <v>15</v>
      </c>
      <c r="B70" s="1" t="s">
        <v>239</v>
      </c>
      <c r="C70" s="1" t="s">
        <v>143</v>
      </c>
      <c r="D70" s="1" t="s">
        <v>240</v>
      </c>
      <c r="E70" s="1" t="s">
        <v>241</v>
      </c>
      <c r="F70" s="1" t="s">
        <v>146</v>
      </c>
      <c r="G70" s="1" t="s">
        <v>147</v>
      </c>
      <c r="H70" s="1" t="s">
        <v>20</v>
      </c>
      <c r="I70" s="1" t="s">
        <v>21</v>
      </c>
      <c r="J70" s="4">
        <v>0</v>
      </c>
      <c r="K70" s="4">
        <v>0</v>
      </c>
      <c r="L70" s="4">
        <v>0</v>
      </c>
      <c r="M70" s="4">
        <v>6500</v>
      </c>
      <c r="N70" s="1" t="s">
        <v>67</v>
      </c>
      <c r="O70" s="1" t="s">
        <v>148</v>
      </c>
    </row>
    <row r="71" spans="1:15">
      <c r="A71" s="1" t="s">
        <v>15</v>
      </c>
      <c r="B71" s="1" t="s">
        <v>242</v>
      </c>
      <c r="C71" s="1" t="s">
        <v>243</v>
      </c>
      <c r="D71" s="1" t="s">
        <v>240</v>
      </c>
      <c r="E71" s="1" t="s">
        <v>244</v>
      </c>
      <c r="F71" s="1" t="s">
        <v>164</v>
      </c>
      <c r="G71" s="1" t="s">
        <v>165</v>
      </c>
      <c r="H71" s="1" t="s">
        <v>20</v>
      </c>
      <c r="I71" s="1" t="s">
        <v>166</v>
      </c>
      <c r="J71" s="4">
        <v>957.98</v>
      </c>
      <c r="K71" s="4">
        <v>0</v>
      </c>
      <c r="L71" s="4">
        <v>0</v>
      </c>
      <c r="M71" s="4">
        <v>6000</v>
      </c>
      <c r="N71" s="1" t="s">
        <v>67</v>
      </c>
      <c r="O71" s="1" t="s">
        <v>148</v>
      </c>
    </row>
    <row r="72" spans="1:15">
      <c r="J72" s="4">
        <f>SUM(J46:J71)</f>
        <v>293998.83999999997</v>
      </c>
    </row>
    <row r="73" spans="1:15">
      <c r="J73" s="4">
        <f>+J44-J72</f>
        <v>4309933.28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Reporte_Documentos_20220425_210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Jimmy Jaimes</dc:creator>
  <cp:lastModifiedBy>Jimmy Jaimes</cp:lastModifiedBy>
  <dcterms:created xsi:type="dcterms:W3CDTF">2022-04-25T21:12:37Z</dcterms:created>
  <dcterms:modified xsi:type="dcterms:W3CDTF">2022-04-25T21:12:37Z</dcterms:modified>
</cp:coreProperties>
</file>
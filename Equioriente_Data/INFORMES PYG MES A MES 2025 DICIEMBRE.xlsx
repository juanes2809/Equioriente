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BAB1784-AC2E-4A6F-9C08-9981CC577A33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BALANCE DICIEMBRE" sheetId="36" r:id="rId1"/>
    <sheet name="VALOR EMPRESA 2025" sheetId="45" r:id="rId2"/>
    <sheet name="pyg2025" sheetId="5" r:id="rId3"/>
    <sheet name="GRAFICAS PYG" sheetId="38" r:id="rId4"/>
    <sheet name="CARTERA" sheetId="29" r:id="rId5"/>
    <sheet name="ANTICIPOS" sheetId="28" r:id="rId6"/>
    <sheet name="CUENTAS CDTS" sheetId="44" r:id="rId7"/>
    <sheet name="ZION " sheetId="40" r:id="rId8"/>
    <sheet name="AUTO RRETENCIONES" sheetId="42" r:id="rId9"/>
    <sheet name="Hoja1" sheetId="41" r:id="rId10"/>
    <sheet name="Hoja4" sheetId="43" r:id="rId11"/>
  </sheets>
  <externalReferences>
    <externalReference r:id="rId12"/>
    <externalReference r:id="rId13"/>
  </externalReferences>
  <definedNames>
    <definedName name="_xlnm.Print_Area" localSheetId="3">'GRAFICAS PYG'!$A$1:$AI$131</definedName>
    <definedName name="_xlnm.Print_Area" localSheetId="2">'pyg2025'!$A$1:$AT$169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6" i="40" l="1"/>
  <c r="R11" i="5" l="1"/>
  <c r="R10" i="5"/>
  <c r="D9" i="5"/>
  <c r="H13" i="40" l="1"/>
  <c r="D129" i="38"/>
  <c r="E129" i="38"/>
  <c r="F129" i="38"/>
  <c r="G129" i="38"/>
  <c r="H129" i="38"/>
  <c r="C129" i="38"/>
  <c r="D102" i="38"/>
  <c r="E102" i="38"/>
  <c r="F102" i="38"/>
  <c r="G102" i="38"/>
  <c r="H102" i="38"/>
  <c r="C102" i="38"/>
  <c r="D57" i="38"/>
  <c r="E57" i="38"/>
  <c r="F57" i="38"/>
  <c r="G57" i="38"/>
  <c r="H57" i="38"/>
  <c r="C57" i="38"/>
  <c r="D78" i="38"/>
  <c r="E78" i="38"/>
  <c r="F78" i="38"/>
  <c r="G78" i="38"/>
  <c r="H78" i="38"/>
  <c r="C78" i="38"/>
  <c r="D5" i="45"/>
  <c r="D14" i="45"/>
  <c r="D9" i="45"/>
  <c r="D8" i="45"/>
  <c r="D13" i="45" l="1"/>
  <c r="D15" i="45" s="1"/>
  <c r="AR18" i="5" l="1"/>
  <c r="L21" i="44"/>
  <c r="B20" i="44"/>
  <c r="B15" i="44"/>
  <c r="B12" i="44"/>
  <c r="G19" i="40"/>
  <c r="I23" i="36" l="1"/>
  <c r="I24" i="36" s="1"/>
  <c r="B16" i="42" l="1"/>
  <c r="C16" i="42"/>
  <c r="D34" i="36"/>
  <c r="H20" i="41"/>
  <c r="D46" i="36" l="1"/>
  <c r="D18" i="36"/>
  <c r="J19" i="36"/>
  <c r="D19" i="36" s="1"/>
  <c r="D28" i="29"/>
  <c r="D22" i="29"/>
  <c r="AJ18" i="5" l="1"/>
  <c r="C17" i="38"/>
  <c r="O15" i="38"/>
  <c r="O14" i="38"/>
  <c r="I16" i="38"/>
  <c r="I14" i="38"/>
  <c r="V6" i="38"/>
  <c r="V7" i="38"/>
  <c r="V8" i="38"/>
  <c r="V9" i="38"/>
  <c r="V10" i="38"/>
  <c r="V11" i="38"/>
  <c r="V12" i="38"/>
  <c r="V13" i="38"/>
  <c r="V14" i="38"/>
  <c r="V15" i="38"/>
  <c r="V16" i="38"/>
  <c r="V17" i="38"/>
  <c r="C16" i="38" l="1"/>
  <c r="C15" i="38"/>
  <c r="C14" i="38"/>
  <c r="U14" i="38" s="1"/>
  <c r="AS14" i="5"/>
  <c r="AS8" i="5"/>
  <c r="AQ147" i="5"/>
  <c r="AQ146" i="5"/>
  <c r="AR9" i="5"/>
  <c r="AR8" i="5"/>
  <c r="AQ31" i="5" l="1"/>
  <c r="AM62" i="5"/>
  <c r="AM31" i="5"/>
  <c r="AN17" i="5"/>
  <c r="AN9" i="5"/>
  <c r="AN8" i="5"/>
  <c r="AI155" i="5"/>
  <c r="AI62" i="5"/>
  <c r="AI31" i="5"/>
  <c r="AJ9" i="5"/>
  <c r="AA98" i="5"/>
  <c r="AA155" i="5"/>
  <c r="AF164" i="5"/>
  <c r="AF166" i="5"/>
  <c r="AE95" i="5"/>
  <c r="AE31" i="5"/>
  <c r="S31" i="5"/>
  <c r="S30" i="5" s="1"/>
  <c r="AE52" i="5"/>
  <c r="AE47" i="5"/>
  <c r="AE147" i="5"/>
  <c r="AE146" i="5" s="1"/>
  <c r="AD146" i="5"/>
  <c r="AF9" i="5"/>
  <c r="AF8" i="5" s="1"/>
  <c r="O12" i="38"/>
  <c r="U12" i="38" s="1"/>
  <c r="O9" i="38"/>
  <c r="O8" i="38"/>
  <c r="O7" i="38"/>
  <c r="O6" i="38"/>
  <c r="C6" i="38"/>
  <c r="W31" i="5"/>
  <c r="X164" i="5"/>
  <c r="X163" i="5"/>
  <c r="M109" i="5"/>
  <c r="AB27" i="5"/>
  <c r="D12" i="40" l="1"/>
  <c r="D17" i="40" s="1"/>
  <c r="D18" i="40" l="1"/>
  <c r="D14" i="40"/>
  <c r="D19" i="40"/>
  <c r="D16" i="40"/>
  <c r="D35" i="40" l="1"/>
  <c r="D23" i="40"/>
  <c r="H23" i="40" s="1"/>
  <c r="D24" i="40"/>
  <c r="H24" i="40" s="1"/>
  <c r="D25" i="40"/>
  <c r="H25" i="40" s="1"/>
  <c r="D20" i="40"/>
  <c r="H26" i="40" l="1"/>
  <c r="G28" i="40" s="1"/>
  <c r="K23" i="40"/>
  <c r="G31" i="40" l="1"/>
  <c r="I31" i="40" s="1"/>
  <c r="H28" i="40"/>
  <c r="E16" i="36" l="1"/>
  <c r="E19" i="38" l="1"/>
  <c r="F19" i="38"/>
  <c r="G19" i="38"/>
  <c r="H19" i="38"/>
  <c r="K19" i="38"/>
  <c r="L19" i="38"/>
  <c r="M19" i="38"/>
  <c r="N19" i="38"/>
  <c r="Q19" i="38"/>
  <c r="R19" i="38"/>
  <c r="S19" i="38"/>
  <c r="T19" i="38"/>
  <c r="W19" i="38"/>
  <c r="X19" i="38"/>
  <c r="Y19" i="38"/>
  <c r="Z19" i="38"/>
  <c r="I7" i="38"/>
  <c r="I6" i="38"/>
  <c r="C9" i="38"/>
  <c r="U9" i="38" s="1"/>
  <c r="C8" i="38"/>
  <c r="C7" i="38"/>
  <c r="U6" i="38" l="1"/>
  <c r="U7" i="38"/>
  <c r="C19" i="38"/>
  <c r="U8" i="38"/>
  <c r="D19" i="38" l="1"/>
  <c r="J19" i="38"/>
  <c r="P19" i="38"/>
  <c r="E9" i="36"/>
  <c r="V19" i="38" l="1"/>
  <c r="D23" i="36" l="1"/>
  <c r="E22" i="36" s="1"/>
  <c r="E94" i="36" l="1"/>
  <c r="E85" i="36"/>
  <c r="E73" i="36"/>
  <c r="E67" i="36"/>
  <c r="E63" i="36"/>
  <c r="E58" i="36"/>
  <c r="E54" i="36"/>
  <c r="E48" i="36"/>
  <c r="E37" i="36"/>
  <c r="E31" i="36"/>
  <c r="D29" i="36"/>
  <c r="E28" i="36" s="1"/>
  <c r="E13" i="36"/>
  <c r="AC157" i="5"/>
  <c r="AC158" i="5"/>
  <c r="AC159" i="5"/>
  <c r="AC160" i="5"/>
  <c r="AC161" i="5"/>
  <c r="AC162" i="5"/>
  <c r="AB8" i="5"/>
  <c r="AB9" i="5"/>
  <c r="R8" i="5"/>
  <c r="X8" i="5"/>
  <c r="X9" i="5"/>
  <c r="Y9" i="5" s="1"/>
  <c r="T17" i="5"/>
  <c r="Y10" i="5"/>
  <c r="Y11" i="5"/>
  <c r="Y12" i="5"/>
  <c r="Y13" i="5"/>
  <c r="U9" i="5"/>
  <c r="U10" i="5"/>
  <c r="U11" i="5"/>
  <c r="U12" i="5"/>
  <c r="U13" i="5"/>
  <c r="U8" i="5"/>
  <c r="R9" i="5"/>
  <c r="R12" i="5"/>
  <c r="R13" i="5"/>
  <c r="R14" i="5"/>
  <c r="R15" i="5"/>
  <c r="L9" i="5"/>
  <c r="L10" i="5"/>
  <c r="L11" i="5"/>
  <c r="L12" i="5"/>
  <c r="L13" i="5"/>
  <c r="L14" i="5"/>
  <c r="L15" i="5"/>
  <c r="L8" i="5"/>
  <c r="Y14" i="5"/>
  <c r="E80" i="36" l="1"/>
  <c r="W147" i="5"/>
  <c r="S147" i="5"/>
  <c r="U14" i="5"/>
  <c r="Q9" i="5"/>
  <c r="Q8" i="5" s="1"/>
  <c r="L55" i="5"/>
  <c r="S7" i="5"/>
  <c r="S43" i="5"/>
  <c r="S39" i="5"/>
  <c r="Y8" i="5" l="1"/>
  <c r="T8" i="5"/>
  <c r="W7" i="5"/>
  <c r="X17" i="5"/>
  <c r="U19" i="5"/>
  <c r="Y19" i="5" s="1"/>
  <c r="U20" i="5"/>
  <c r="T21" i="5"/>
  <c r="U21" i="5"/>
  <c r="X21" i="5"/>
  <c r="U22" i="5"/>
  <c r="Y22" i="5"/>
  <c r="U23" i="5"/>
  <c r="T24" i="5"/>
  <c r="X24" i="5"/>
  <c r="S26" i="5"/>
  <c r="T26" i="5"/>
  <c r="U26" i="5" s="1"/>
  <c r="W26" i="5"/>
  <c r="U27" i="5"/>
  <c r="Y27" i="5" s="1"/>
  <c r="U46" i="5"/>
  <c r="S47" i="5"/>
  <c r="U47" i="5" s="1"/>
  <c r="W47" i="5"/>
  <c r="U48" i="5"/>
  <c r="Y48" i="5" s="1"/>
  <c r="U49" i="5"/>
  <c r="Y49" i="5"/>
  <c r="U50" i="5"/>
  <c r="Y50" i="5" s="1"/>
  <c r="U51" i="5"/>
  <c r="Y51" i="5" s="1"/>
  <c r="S52" i="5"/>
  <c r="U52" i="5" s="1"/>
  <c r="W52" i="5"/>
  <c r="U53" i="5"/>
  <c r="Y53" i="5" s="1"/>
  <c r="U54" i="5"/>
  <c r="Y54" i="5"/>
  <c r="U56" i="5"/>
  <c r="Y56" i="5"/>
  <c r="U57" i="5"/>
  <c r="S58" i="5"/>
  <c r="W58" i="5"/>
  <c r="U61" i="5"/>
  <c r="U62" i="5"/>
  <c r="Y62" i="5"/>
  <c r="U63" i="5"/>
  <c r="Y63" i="5"/>
  <c r="U64" i="5"/>
  <c r="S65" i="5"/>
  <c r="U65" i="5" s="1"/>
  <c r="Y65" i="5" s="1"/>
  <c r="W65" i="5"/>
  <c r="U66" i="5"/>
  <c r="Y66" i="5" s="1"/>
  <c r="U67" i="5"/>
  <c r="Y67" i="5" s="1"/>
  <c r="U68" i="5"/>
  <c r="Y68" i="5" s="1"/>
  <c r="U69" i="5"/>
  <c r="Y69" i="5" s="1"/>
  <c r="S70" i="5"/>
  <c r="W70" i="5"/>
  <c r="U71" i="5"/>
  <c r="Y71" i="5" s="1"/>
  <c r="U75" i="5"/>
  <c r="Y75" i="5" s="1"/>
  <c r="U76" i="5"/>
  <c r="Y76" i="5" s="1"/>
  <c r="U77" i="5"/>
  <c r="Y77" i="5" s="1"/>
  <c r="U78" i="5"/>
  <c r="Y78" i="5"/>
  <c r="U79" i="5"/>
  <c r="Y79" i="5" s="1"/>
  <c r="U81" i="5"/>
  <c r="Y81" i="5" s="1"/>
  <c r="S82" i="5"/>
  <c r="U82" i="5" s="1"/>
  <c r="Y82" i="5" s="1"/>
  <c r="W82" i="5"/>
  <c r="U83" i="5"/>
  <c r="Y83" i="5" s="1"/>
  <c r="U84" i="5"/>
  <c r="Y84" i="5" s="1"/>
  <c r="U85" i="5"/>
  <c r="Y85" i="5" s="1"/>
  <c r="U86" i="5"/>
  <c r="Y86" i="5" s="1"/>
  <c r="U87" i="5"/>
  <c r="S88" i="5"/>
  <c r="W88" i="5"/>
  <c r="U89" i="5"/>
  <c r="Y89" i="5" s="1"/>
  <c r="U91" i="5"/>
  <c r="Y91" i="5" s="1"/>
  <c r="U92" i="5"/>
  <c r="Y92" i="5" s="1"/>
  <c r="U93" i="5"/>
  <c r="Y93" i="5" s="1"/>
  <c r="U94" i="5"/>
  <c r="S95" i="5"/>
  <c r="U95" i="5"/>
  <c r="W95" i="5"/>
  <c r="U96" i="5"/>
  <c r="Y96" i="5"/>
  <c r="U97" i="5"/>
  <c r="Y97" i="5"/>
  <c r="U98" i="5"/>
  <c r="Y98" i="5"/>
  <c r="U99" i="5"/>
  <c r="Y99" i="5"/>
  <c r="U100" i="5"/>
  <c r="Y100" i="5"/>
  <c r="S101" i="5"/>
  <c r="U101" i="5" s="1"/>
  <c r="Y101" i="5" s="1"/>
  <c r="W101" i="5"/>
  <c r="U102" i="5"/>
  <c r="Y102" i="5" s="1"/>
  <c r="U103" i="5"/>
  <c r="Y103" i="5"/>
  <c r="U104" i="5"/>
  <c r="Y104" i="5" s="1"/>
  <c r="U105" i="5"/>
  <c r="Y105" i="5"/>
  <c r="U106" i="5"/>
  <c r="Y106" i="5" s="1"/>
  <c r="U107" i="5"/>
  <c r="Y107" i="5"/>
  <c r="U108" i="5"/>
  <c r="S109" i="5"/>
  <c r="W109" i="5"/>
  <c r="U110" i="5"/>
  <c r="Y110" i="5" s="1"/>
  <c r="U111" i="5"/>
  <c r="Y111" i="5" s="1"/>
  <c r="U112" i="5"/>
  <c r="Y112" i="5" s="1"/>
  <c r="U113" i="5"/>
  <c r="Y113" i="5" s="1"/>
  <c r="U114" i="5"/>
  <c r="Y114" i="5" s="1"/>
  <c r="U115" i="5"/>
  <c r="Y115" i="5" s="1"/>
  <c r="U116" i="5"/>
  <c r="Y116" i="5" s="1"/>
  <c r="U117" i="5"/>
  <c r="Y117" i="5" s="1"/>
  <c r="U118" i="5"/>
  <c r="Y118" i="5" s="1"/>
  <c r="U119" i="5"/>
  <c r="Y119" i="5" s="1"/>
  <c r="U120" i="5"/>
  <c r="Y120" i="5" s="1"/>
  <c r="U123" i="5"/>
  <c r="Y123" i="5" s="1"/>
  <c r="U125" i="5"/>
  <c r="Y125" i="5" s="1"/>
  <c r="U126" i="5"/>
  <c r="Y126" i="5" s="1"/>
  <c r="U127" i="5"/>
  <c r="S128" i="5"/>
  <c r="S124" i="5" s="1"/>
  <c r="U124" i="5" s="1"/>
  <c r="Y124" i="5" s="1"/>
  <c r="U128" i="5"/>
  <c r="Y128" i="5" s="1"/>
  <c r="W128" i="5"/>
  <c r="U129" i="5"/>
  <c r="Y129" i="5"/>
  <c r="U130" i="5"/>
  <c r="Y130" i="5" s="1"/>
  <c r="S131" i="5"/>
  <c r="U131" i="5"/>
  <c r="Y131" i="5" s="1"/>
  <c r="W131" i="5"/>
  <c r="U132" i="5"/>
  <c r="Y132" i="5"/>
  <c r="U133" i="5"/>
  <c r="Y133" i="5" s="1"/>
  <c r="S134" i="5"/>
  <c r="U134" i="5"/>
  <c r="W134" i="5"/>
  <c r="Y134" i="5" s="1"/>
  <c r="U135" i="5"/>
  <c r="Y135" i="5"/>
  <c r="U136" i="5"/>
  <c r="S137" i="5"/>
  <c r="U137" i="5" s="1"/>
  <c r="Y137" i="5" s="1"/>
  <c r="W137" i="5"/>
  <c r="W124" i="5" s="1"/>
  <c r="U138" i="5"/>
  <c r="Y138" i="5"/>
  <c r="U139" i="5"/>
  <c r="Y139" i="5" s="1"/>
  <c r="S140" i="5"/>
  <c r="U140" i="5"/>
  <c r="Y140" i="5" s="1"/>
  <c r="W140" i="5"/>
  <c r="U141" i="5"/>
  <c r="Y141" i="5"/>
  <c r="U142" i="5"/>
  <c r="Y142" i="5" s="1"/>
  <c r="S143" i="5"/>
  <c r="U143" i="5" s="1"/>
  <c r="Y143" i="5" s="1"/>
  <c r="W143" i="5"/>
  <c r="U144" i="5"/>
  <c r="Y144" i="5" s="1"/>
  <c r="U145" i="5"/>
  <c r="Y145" i="5" s="1"/>
  <c r="S146" i="5"/>
  <c r="U146" i="5" s="1"/>
  <c r="U148" i="5"/>
  <c r="Y148" i="5" s="1"/>
  <c r="U149" i="5"/>
  <c r="Y149" i="5" s="1"/>
  <c r="U150" i="5"/>
  <c r="Y150" i="5" s="1"/>
  <c r="U151" i="5"/>
  <c r="Y151" i="5" s="1"/>
  <c r="U152" i="5"/>
  <c r="Y152" i="5" s="1"/>
  <c r="U153" i="5"/>
  <c r="Y153" i="5" s="1"/>
  <c r="U154" i="5"/>
  <c r="Y154" i="5" s="1"/>
  <c r="S155" i="5"/>
  <c r="U155" i="5" s="1"/>
  <c r="Y155" i="5" s="1"/>
  <c r="U156" i="5"/>
  <c r="Y156" i="5" s="1"/>
  <c r="U157" i="5"/>
  <c r="Y157" i="5" s="1"/>
  <c r="S158" i="5"/>
  <c r="U158" i="5" s="1"/>
  <c r="Y158" i="5" s="1"/>
  <c r="W158" i="5"/>
  <c r="W155" i="5" s="1"/>
  <c r="U161" i="5"/>
  <c r="Y161" i="5" s="1"/>
  <c r="U162" i="5"/>
  <c r="Y162" i="5" s="1"/>
  <c r="W30" i="5" l="1"/>
  <c r="Y26" i="5"/>
  <c r="Y52" i="5"/>
  <c r="Y95" i="5"/>
  <c r="Y47" i="5"/>
  <c r="T16" i="5"/>
  <c r="T7" i="5" s="1"/>
  <c r="Y21" i="5"/>
  <c r="X16" i="5"/>
  <c r="X7" i="5" s="1"/>
  <c r="W146" i="5"/>
  <c r="Y146" i="5"/>
  <c r="U147" i="5"/>
  <c r="Y147" i="5" s="1"/>
  <c r="W165" i="5" l="1"/>
  <c r="Y165" i="5" s="1"/>
  <c r="W29" i="5"/>
  <c r="Y163" i="5"/>
  <c r="T163" i="5"/>
  <c r="X166" i="5"/>
  <c r="Y164" i="5"/>
  <c r="S165" i="5"/>
  <c r="S29" i="5"/>
  <c r="S166" i="5" l="1"/>
  <c r="O11" i="38"/>
  <c r="U11" i="38" s="1"/>
  <c r="W166" i="5"/>
  <c r="Y167" i="5" s="1"/>
  <c r="U163" i="5"/>
  <c r="T164" i="5"/>
  <c r="O148" i="5"/>
  <c r="O149" i="5"/>
  <c r="O150" i="5"/>
  <c r="O151" i="5"/>
  <c r="O152" i="5"/>
  <c r="O153" i="5"/>
  <c r="O154" i="5"/>
  <c r="L148" i="5"/>
  <c r="L149" i="5"/>
  <c r="L150" i="5"/>
  <c r="L151" i="5"/>
  <c r="L152" i="5"/>
  <c r="L153" i="5"/>
  <c r="L154" i="5"/>
  <c r="I147" i="5"/>
  <c r="I150" i="5"/>
  <c r="I151" i="5"/>
  <c r="I152" i="5"/>
  <c r="I153" i="5"/>
  <c r="C147" i="5"/>
  <c r="E150" i="5"/>
  <c r="U164" i="5" l="1"/>
  <c r="T166" i="5"/>
  <c r="U167" i="5" l="1"/>
  <c r="I9" i="5"/>
  <c r="I8" i="5"/>
  <c r="H9" i="5"/>
  <c r="E40" i="28" l="1"/>
  <c r="H24" i="5" l="1"/>
  <c r="M70" i="5" l="1"/>
  <c r="M88" i="5"/>
  <c r="M155" i="5"/>
  <c r="J95" i="5"/>
  <c r="C82" i="5"/>
  <c r="C70" i="5"/>
  <c r="N17" i="5"/>
  <c r="D17" i="5"/>
  <c r="D17" i="29" l="1"/>
  <c r="D26" i="36" s="1"/>
  <c r="E25" i="36" s="1"/>
  <c r="E51" i="36" s="1"/>
  <c r="AA31" i="5" l="1"/>
  <c r="AG161" i="5"/>
  <c r="AK161" i="5" s="1"/>
  <c r="AO161" i="5" s="1"/>
  <c r="AS161" i="5" s="1"/>
  <c r="J147" i="5"/>
  <c r="J146" i="5" s="1"/>
  <c r="J109" i="5"/>
  <c r="J58" i="5"/>
  <c r="J31" i="5"/>
  <c r="K24" i="5"/>
  <c r="K17" i="5"/>
  <c r="N24" i="5"/>
  <c r="N26" i="5"/>
  <c r="K9" i="5"/>
  <c r="K8" i="5" s="1"/>
  <c r="K26" i="5"/>
  <c r="K21" i="5"/>
  <c r="K14" i="5"/>
  <c r="P31" i="5"/>
  <c r="P47" i="5"/>
  <c r="P52" i="5"/>
  <c r="P58" i="5"/>
  <c r="P62" i="5"/>
  <c r="P65" i="5"/>
  <c r="P70" i="5"/>
  <c r="P82" i="5" a="1"/>
  <c r="P82" i="5" s="1"/>
  <c r="P88" i="5"/>
  <c r="P95" i="5"/>
  <c r="P101" i="5"/>
  <c r="P109" i="5"/>
  <c r="P147" i="5"/>
  <c r="P146" i="5" s="1"/>
  <c r="Q26" i="5"/>
  <c r="Q24" i="5"/>
  <c r="Q21" i="5"/>
  <c r="Q17" i="5"/>
  <c r="P128" i="5"/>
  <c r="P131" i="5"/>
  <c r="P137" i="5"/>
  <c r="P143" i="5"/>
  <c r="P134" i="5"/>
  <c r="P140" i="5"/>
  <c r="G155" i="5"/>
  <c r="C155" i="5"/>
  <c r="E155" i="5" s="1"/>
  <c r="J155" i="5"/>
  <c r="J47" i="5"/>
  <c r="J52" i="5"/>
  <c r="J62" i="5"/>
  <c r="J65" i="5"/>
  <c r="J70" i="5"/>
  <c r="J82" i="5"/>
  <c r="J88" i="5"/>
  <c r="J101" i="5"/>
  <c r="J128" i="5"/>
  <c r="J131" i="5"/>
  <c r="J137" i="5"/>
  <c r="J143" i="5"/>
  <c r="AR17" i="5"/>
  <c r="AR21" i="5"/>
  <c r="AR24" i="5"/>
  <c r="AR26" i="5"/>
  <c r="AQ14" i="5"/>
  <c r="AQ7" i="5" s="1"/>
  <c r="AQ47" i="5"/>
  <c r="AQ52" i="5"/>
  <c r="AQ58" i="5"/>
  <c r="AQ65" i="5"/>
  <c r="AQ70" i="5"/>
  <c r="AQ82" i="5"/>
  <c r="AQ88" i="5"/>
  <c r="AQ95" i="5"/>
  <c r="AQ101" i="5"/>
  <c r="AQ109" i="5"/>
  <c r="AQ155" i="5"/>
  <c r="AQ128" i="5"/>
  <c r="AQ131" i="5"/>
  <c r="AQ137" i="5"/>
  <c r="AQ143" i="5"/>
  <c r="AQ134" i="5"/>
  <c r="AS134" i="5" s="1"/>
  <c r="AQ140" i="5"/>
  <c r="AN21" i="5"/>
  <c r="AN24" i="5"/>
  <c r="AN16" i="5" s="1"/>
  <c r="AN26" i="5"/>
  <c r="AM7" i="5"/>
  <c r="AM47" i="5"/>
  <c r="AM52" i="5"/>
  <c r="AM58" i="5"/>
  <c r="AM65" i="5"/>
  <c r="AM70" i="5"/>
  <c r="AM82" i="5"/>
  <c r="AM88" i="5"/>
  <c r="AM95" i="5"/>
  <c r="AM101" i="5"/>
  <c r="AM109" i="5"/>
  <c r="AM147" i="5"/>
  <c r="AM155" i="5"/>
  <c r="AM128" i="5"/>
  <c r="AM131" i="5"/>
  <c r="AM137" i="5"/>
  <c r="AM143" i="5"/>
  <c r="AM134" i="5"/>
  <c r="AO134" i="5" s="1"/>
  <c r="AM140" i="5"/>
  <c r="AJ8" i="5"/>
  <c r="AJ17" i="5"/>
  <c r="AJ16" i="5" s="1"/>
  <c r="I15" i="38" s="1"/>
  <c r="AJ21" i="5"/>
  <c r="AJ24" i="5"/>
  <c r="AI14" i="5"/>
  <c r="AI7" i="5" s="1"/>
  <c r="AI47" i="5"/>
  <c r="AI52" i="5"/>
  <c r="AI58" i="5"/>
  <c r="AI65" i="5"/>
  <c r="AI70" i="5"/>
  <c r="AI82" i="5"/>
  <c r="AI88" i="5"/>
  <c r="AI95" i="5"/>
  <c r="AI101" i="5"/>
  <c r="AI109" i="5"/>
  <c r="AI147" i="5"/>
  <c r="AI128" i="5"/>
  <c r="AI131" i="5"/>
  <c r="AI137" i="5"/>
  <c r="AI143" i="5"/>
  <c r="AI134" i="5"/>
  <c r="AK134" i="5" s="1"/>
  <c r="AI140" i="5"/>
  <c r="AF17" i="5"/>
  <c r="AF21" i="5"/>
  <c r="AF24" i="5"/>
  <c r="AF26" i="5"/>
  <c r="AE14" i="5"/>
  <c r="AE7" i="5" s="1"/>
  <c r="AE58" i="5"/>
  <c r="AE30" i="5" s="1"/>
  <c r="AE62" i="5"/>
  <c r="AE65" i="5"/>
  <c r="AE70" i="5"/>
  <c r="AE82" i="5"/>
  <c r="AE88" i="5"/>
  <c r="AE101" i="5"/>
  <c r="AE109" i="5"/>
  <c r="AE128" i="5"/>
  <c r="AE131" i="5"/>
  <c r="AE137" i="5"/>
  <c r="AE143" i="5"/>
  <c r="AE134" i="5"/>
  <c r="AG134" i="5" s="1"/>
  <c r="AE140" i="5"/>
  <c r="AB17" i="5"/>
  <c r="AB21" i="5"/>
  <c r="AB24" i="5"/>
  <c r="AB26" i="5"/>
  <c r="AA7" i="5"/>
  <c r="AA47" i="5"/>
  <c r="AA52" i="5"/>
  <c r="AA58" i="5"/>
  <c r="AA65" i="5"/>
  <c r="AA70" i="5"/>
  <c r="AA82" i="5"/>
  <c r="AA88" i="5"/>
  <c r="AA95" i="5"/>
  <c r="AA101" i="5"/>
  <c r="AA109" i="5"/>
  <c r="AA147" i="5"/>
  <c r="AA128" i="5"/>
  <c r="AA131" i="5"/>
  <c r="AA137" i="5"/>
  <c r="AA143" i="5"/>
  <c r="AA134" i="5"/>
  <c r="AC134" i="5" s="1"/>
  <c r="AA140" i="5"/>
  <c r="N9" i="5"/>
  <c r="N8" i="5" s="1"/>
  <c r="N21" i="5"/>
  <c r="M42" i="5"/>
  <c r="M31" i="5" s="1"/>
  <c r="M47" i="5"/>
  <c r="M52" i="5"/>
  <c r="M58" i="5"/>
  <c r="M65" i="5"/>
  <c r="M82" i="5"/>
  <c r="M95" i="5"/>
  <c r="M147" i="5"/>
  <c r="M146" i="5" s="1"/>
  <c r="M128" i="5"/>
  <c r="M131" i="5"/>
  <c r="M137" i="5"/>
  <c r="M143" i="5"/>
  <c r="M134" i="5"/>
  <c r="M140" i="5"/>
  <c r="J8" i="5"/>
  <c r="J7" i="5" s="1"/>
  <c r="H8" i="5"/>
  <c r="H17" i="5"/>
  <c r="H21" i="5"/>
  <c r="H26" i="5"/>
  <c r="G14" i="5"/>
  <c r="G7" i="5" s="1"/>
  <c r="G31" i="5"/>
  <c r="G47" i="5"/>
  <c r="G52" i="5"/>
  <c r="G58" i="5"/>
  <c r="G62" i="5"/>
  <c r="G65" i="5"/>
  <c r="G70" i="5"/>
  <c r="G82" i="5"/>
  <c r="G88" i="5"/>
  <c r="G95" i="5"/>
  <c r="G101" i="5"/>
  <c r="G109" i="5"/>
  <c r="G147" i="5"/>
  <c r="G125" i="5"/>
  <c r="G128" i="5"/>
  <c r="G131" i="5"/>
  <c r="G137" i="5"/>
  <c r="G143" i="5"/>
  <c r="G140" i="5"/>
  <c r="I140" i="5" s="1"/>
  <c r="L140" i="5" s="1"/>
  <c r="D8" i="5"/>
  <c r="D21" i="5"/>
  <c r="E21" i="5" s="1"/>
  <c r="I21" i="5" s="1"/>
  <c r="L21" i="5" s="1"/>
  <c r="D24" i="5"/>
  <c r="E24" i="5" s="1"/>
  <c r="I24" i="5" s="1"/>
  <c r="D26" i="5"/>
  <c r="E26" i="5" s="1"/>
  <c r="C31" i="5"/>
  <c r="E31" i="5" s="1"/>
  <c r="C47" i="5"/>
  <c r="E47" i="5" s="1"/>
  <c r="C52" i="5"/>
  <c r="E52" i="5" s="1"/>
  <c r="C58" i="5"/>
  <c r="E58" i="5" s="1"/>
  <c r="C62" i="5"/>
  <c r="C65" i="5"/>
  <c r="E65" i="5" s="1"/>
  <c r="E82" i="5"/>
  <c r="C88" i="5"/>
  <c r="E88" i="5" s="1"/>
  <c r="C95" i="5"/>
  <c r="E95" i="5" s="1"/>
  <c r="C101" i="5"/>
  <c r="E101" i="5" s="1"/>
  <c r="C109" i="5"/>
  <c r="E109" i="5" s="1"/>
  <c r="C131" i="5"/>
  <c r="C137" i="5"/>
  <c r="E137" i="5" s="1"/>
  <c r="C143" i="5"/>
  <c r="E143" i="5" s="1"/>
  <c r="I143" i="5" s="1"/>
  <c r="L143" i="5" s="1"/>
  <c r="AS162" i="5"/>
  <c r="R162" i="5"/>
  <c r="L162" i="5"/>
  <c r="R158" i="5"/>
  <c r="E157" i="5"/>
  <c r="I157" i="5" s="1"/>
  <c r="L157" i="5" s="1"/>
  <c r="O157" i="5" s="1"/>
  <c r="R157" i="5" s="1"/>
  <c r="AG157" i="5" s="1"/>
  <c r="AK157" i="5" s="1"/>
  <c r="AO157" i="5" s="1"/>
  <c r="AS157" i="5" s="1"/>
  <c r="E156" i="5"/>
  <c r="I156" i="5" s="1"/>
  <c r="L156" i="5" s="1"/>
  <c r="O156" i="5" s="1"/>
  <c r="R156" i="5" s="1"/>
  <c r="AC156" i="5" s="1"/>
  <c r="AG156" i="5" s="1"/>
  <c r="AK156" i="5" s="1"/>
  <c r="AO156" i="5" s="1"/>
  <c r="AS156" i="5" s="1"/>
  <c r="AE155" i="5"/>
  <c r="E154" i="5"/>
  <c r="I154" i="5" s="1"/>
  <c r="R154" i="5" s="1"/>
  <c r="AC154" i="5" s="1"/>
  <c r="AG154" i="5" s="1"/>
  <c r="AK154" i="5" s="1"/>
  <c r="AO154" i="5" s="1"/>
  <c r="AS154" i="5" s="1"/>
  <c r="E153" i="5"/>
  <c r="R153" i="5" s="1"/>
  <c r="AC153" i="5" s="1"/>
  <c r="AG153" i="5" s="1"/>
  <c r="AK153" i="5" s="1"/>
  <c r="AO153" i="5" s="1"/>
  <c r="AS153" i="5" s="1"/>
  <c r="E152" i="5"/>
  <c r="R152" i="5" s="1"/>
  <c r="AC152" i="5" s="1"/>
  <c r="AG152" i="5" s="1"/>
  <c r="AK152" i="5" s="1"/>
  <c r="AO152" i="5" s="1"/>
  <c r="AS152" i="5" s="1"/>
  <c r="E151" i="5"/>
  <c r="R151" i="5" s="1"/>
  <c r="AC151" i="5" s="1"/>
  <c r="AG151" i="5" s="1"/>
  <c r="AK151" i="5" s="1"/>
  <c r="AO151" i="5" s="1"/>
  <c r="AS151" i="5" s="1"/>
  <c r="R150" i="5"/>
  <c r="AC150" i="5" s="1"/>
  <c r="AG150" i="5" s="1"/>
  <c r="AK150" i="5" s="1"/>
  <c r="AO150" i="5" s="1"/>
  <c r="AS150" i="5" s="1"/>
  <c r="E149" i="5"/>
  <c r="I149" i="5" s="1"/>
  <c r="R149" i="5" s="1"/>
  <c r="AC149" i="5" s="1"/>
  <c r="AG149" i="5" s="1"/>
  <c r="AK149" i="5" s="1"/>
  <c r="AO149" i="5" s="1"/>
  <c r="AS149" i="5" s="1"/>
  <c r="E148" i="5"/>
  <c r="I148" i="5" s="1"/>
  <c r="R148" i="5" s="1"/>
  <c r="AC148" i="5" s="1"/>
  <c r="AG148" i="5" s="1"/>
  <c r="AK148" i="5" s="1"/>
  <c r="AO148" i="5" s="1"/>
  <c r="AS148" i="5" s="1"/>
  <c r="E145" i="5"/>
  <c r="I145" i="5" s="1"/>
  <c r="L145" i="5" s="1"/>
  <c r="O145" i="5" s="1"/>
  <c r="R145" i="5" s="1"/>
  <c r="AC145" i="5" s="1"/>
  <c r="AG145" i="5" s="1"/>
  <c r="AK145" i="5" s="1"/>
  <c r="AO145" i="5" s="1"/>
  <c r="AS145" i="5" s="1"/>
  <c r="E144" i="5"/>
  <c r="I144" i="5" s="1"/>
  <c r="L144" i="5" s="1"/>
  <c r="O144" i="5" s="1"/>
  <c r="R144" i="5" s="1"/>
  <c r="AC144" i="5" s="1"/>
  <c r="AG144" i="5" s="1"/>
  <c r="AK144" i="5" s="1"/>
  <c r="AO144" i="5" s="1"/>
  <c r="AS144" i="5" s="1"/>
  <c r="E142" i="5"/>
  <c r="I142" i="5" s="1"/>
  <c r="L142" i="5" s="1"/>
  <c r="O142" i="5" s="1"/>
  <c r="R142" i="5" s="1"/>
  <c r="AC142" i="5" s="1"/>
  <c r="AG142" i="5" s="1"/>
  <c r="AK142" i="5" s="1"/>
  <c r="AO142" i="5" s="1"/>
  <c r="AS142" i="5" s="1"/>
  <c r="I141" i="5"/>
  <c r="L141" i="5" s="1"/>
  <c r="O141" i="5" s="1"/>
  <c r="R141" i="5" s="1"/>
  <c r="AC141" i="5" s="1"/>
  <c r="AG141" i="5" s="1"/>
  <c r="AK141" i="5" s="1"/>
  <c r="AO141" i="5" s="1"/>
  <c r="AS141" i="5" s="1"/>
  <c r="I139" i="5"/>
  <c r="L139" i="5" s="1"/>
  <c r="O139" i="5" s="1"/>
  <c r="R139" i="5" s="1"/>
  <c r="AC139" i="5" s="1"/>
  <c r="AG139" i="5" s="1"/>
  <c r="AK139" i="5" s="1"/>
  <c r="AO139" i="5" s="1"/>
  <c r="AS139" i="5" s="1"/>
  <c r="E138" i="5"/>
  <c r="I138" i="5" s="1"/>
  <c r="L138" i="5" s="1"/>
  <c r="O138" i="5" s="1"/>
  <c r="R138" i="5" s="1"/>
  <c r="AC138" i="5" s="1"/>
  <c r="AG138" i="5" s="1"/>
  <c r="AK138" i="5" s="1"/>
  <c r="AO138" i="5" s="1"/>
  <c r="AS138" i="5" s="1"/>
  <c r="I136" i="5"/>
  <c r="L136" i="5" s="1"/>
  <c r="O136" i="5" s="1"/>
  <c r="R136" i="5" s="1"/>
  <c r="AS135" i="5"/>
  <c r="AO135" i="5"/>
  <c r="AK135" i="5"/>
  <c r="AG135" i="5"/>
  <c r="AC135" i="5"/>
  <c r="E135" i="5"/>
  <c r="I135" i="5" s="1"/>
  <c r="L135" i="5" s="1"/>
  <c r="O135" i="5" s="1"/>
  <c r="R135" i="5" s="1"/>
  <c r="E134" i="5"/>
  <c r="I134" i="5" s="1"/>
  <c r="L134" i="5" s="1"/>
  <c r="E133" i="5"/>
  <c r="I133" i="5" s="1"/>
  <c r="L133" i="5" s="1"/>
  <c r="O133" i="5" s="1"/>
  <c r="R133" i="5" s="1"/>
  <c r="AC133" i="5" s="1"/>
  <c r="AG133" i="5" s="1"/>
  <c r="AK133" i="5" s="1"/>
  <c r="AO133" i="5" s="1"/>
  <c r="AS133" i="5" s="1"/>
  <c r="E132" i="5"/>
  <c r="I132" i="5" s="1"/>
  <c r="L132" i="5" s="1"/>
  <c r="O132" i="5" s="1"/>
  <c r="R132" i="5" s="1"/>
  <c r="AC132" i="5" s="1"/>
  <c r="AG132" i="5" s="1"/>
  <c r="AK132" i="5" s="1"/>
  <c r="AO132" i="5" s="1"/>
  <c r="AS132" i="5" s="1"/>
  <c r="D132" i="5"/>
  <c r="E130" i="5"/>
  <c r="I130" i="5" s="1"/>
  <c r="L130" i="5" s="1"/>
  <c r="O130" i="5" s="1"/>
  <c r="R130" i="5" s="1"/>
  <c r="AC130" i="5" s="1"/>
  <c r="AG130" i="5" s="1"/>
  <c r="AK130" i="5" s="1"/>
  <c r="AO130" i="5" s="1"/>
  <c r="AS130" i="5" s="1"/>
  <c r="E129" i="5"/>
  <c r="I129" i="5" s="1"/>
  <c r="L129" i="5" s="1"/>
  <c r="O129" i="5" s="1"/>
  <c r="R129" i="5" s="1"/>
  <c r="AC129" i="5" s="1"/>
  <c r="AG129" i="5" s="1"/>
  <c r="AK129" i="5" s="1"/>
  <c r="AO129" i="5" s="1"/>
  <c r="AS129" i="5" s="1"/>
  <c r="E128" i="5"/>
  <c r="E127" i="5"/>
  <c r="I127" i="5" s="1"/>
  <c r="L127" i="5" s="1"/>
  <c r="O127" i="5" s="1"/>
  <c r="R127" i="5" s="1"/>
  <c r="E126" i="5"/>
  <c r="I126" i="5" s="1"/>
  <c r="L126" i="5" s="1"/>
  <c r="O126" i="5" s="1"/>
  <c r="R126" i="5" s="1"/>
  <c r="AC126" i="5" s="1"/>
  <c r="AG126" i="5" s="1"/>
  <c r="AK126" i="5" s="1"/>
  <c r="AO126" i="5" s="1"/>
  <c r="AS126" i="5" s="1"/>
  <c r="E125" i="5"/>
  <c r="E123" i="5"/>
  <c r="I123" i="5" s="1"/>
  <c r="L123" i="5" s="1"/>
  <c r="O123" i="5" s="1"/>
  <c r="R123" i="5" s="1"/>
  <c r="AC123" i="5" s="1"/>
  <c r="AG123" i="5" s="1"/>
  <c r="AK123" i="5" s="1"/>
  <c r="AO123" i="5" s="1"/>
  <c r="AS123" i="5" s="1"/>
  <c r="E122" i="5"/>
  <c r="I122" i="5" s="1"/>
  <c r="L122" i="5" s="1"/>
  <c r="O122" i="5" s="1"/>
  <c r="R122" i="5" s="1"/>
  <c r="I121" i="5"/>
  <c r="L121" i="5" s="1"/>
  <c r="O121" i="5" s="1"/>
  <c r="R121" i="5" s="1"/>
  <c r="E120" i="5"/>
  <c r="I120" i="5" s="1"/>
  <c r="L120" i="5" s="1"/>
  <c r="O120" i="5" s="1"/>
  <c r="R120" i="5" s="1"/>
  <c r="AC120" i="5" s="1"/>
  <c r="AG120" i="5" s="1"/>
  <c r="AK120" i="5" s="1"/>
  <c r="AO120" i="5" s="1"/>
  <c r="AS120" i="5" s="1"/>
  <c r="E119" i="5"/>
  <c r="I119" i="5" s="1"/>
  <c r="L119" i="5" s="1"/>
  <c r="O119" i="5" s="1"/>
  <c r="R119" i="5" s="1"/>
  <c r="AC119" i="5" s="1"/>
  <c r="AG119" i="5" s="1"/>
  <c r="AK119" i="5" s="1"/>
  <c r="AO119" i="5" s="1"/>
  <c r="AS119" i="5" s="1"/>
  <c r="E118" i="5"/>
  <c r="I118" i="5" s="1"/>
  <c r="L118" i="5" s="1"/>
  <c r="O118" i="5" s="1"/>
  <c r="R118" i="5" s="1"/>
  <c r="AC118" i="5" s="1"/>
  <c r="AG118" i="5" s="1"/>
  <c r="AK118" i="5" s="1"/>
  <c r="AO118" i="5" s="1"/>
  <c r="AS118" i="5" s="1"/>
  <c r="E117" i="5"/>
  <c r="I117" i="5" s="1"/>
  <c r="L117" i="5" s="1"/>
  <c r="O117" i="5" s="1"/>
  <c r="R117" i="5" s="1"/>
  <c r="AC117" i="5" s="1"/>
  <c r="AG117" i="5" s="1"/>
  <c r="AK117" i="5" s="1"/>
  <c r="AO117" i="5" s="1"/>
  <c r="AS117" i="5" s="1"/>
  <c r="E116" i="5"/>
  <c r="I116" i="5" s="1"/>
  <c r="L116" i="5" s="1"/>
  <c r="O116" i="5" s="1"/>
  <c r="R116" i="5" s="1"/>
  <c r="AC116" i="5" s="1"/>
  <c r="AG116" i="5" s="1"/>
  <c r="AK116" i="5" s="1"/>
  <c r="AO116" i="5" s="1"/>
  <c r="AS116" i="5" s="1"/>
  <c r="E115" i="5"/>
  <c r="I115" i="5" s="1"/>
  <c r="L115" i="5" s="1"/>
  <c r="O115" i="5" s="1"/>
  <c r="R115" i="5" s="1"/>
  <c r="AC115" i="5" s="1"/>
  <c r="AG115" i="5" s="1"/>
  <c r="AK115" i="5" s="1"/>
  <c r="AO115" i="5" s="1"/>
  <c r="AS115" i="5" s="1"/>
  <c r="E114" i="5"/>
  <c r="I114" i="5" s="1"/>
  <c r="L114" i="5" s="1"/>
  <c r="O114" i="5" s="1"/>
  <c r="R114" i="5" s="1"/>
  <c r="AC114" i="5" s="1"/>
  <c r="AG114" i="5" s="1"/>
  <c r="AK114" i="5" s="1"/>
  <c r="AO114" i="5" s="1"/>
  <c r="AS114" i="5" s="1"/>
  <c r="E113" i="5"/>
  <c r="I113" i="5" s="1"/>
  <c r="L113" i="5" s="1"/>
  <c r="O113" i="5" s="1"/>
  <c r="R113" i="5" s="1"/>
  <c r="AC113" i="5" s="1"/>
  <c r="AG113" i="5" s="1"/>
  <c r="AK113" i="5" s="1"/>
  <c r="AO113" i="5" s="1"/>
  <c r="AS113" i="5" s="1"/>
  <c r="E112" i="5"/>
  <c r="I112" i="5" s="1"/>
  <c r="L112" i="5" s="1"/>
  <c r="O112" i="5" s="1"/>
  <c r="R112" i="5" s="1"/>
  <c r="AC112" i="5" s="1"/>
  <c r="AG112" i="5" s="1"/>
  <c r="AK112" i="5" s="1"/>
  <c r="AO112" i="5" s="1"/>
  <c r="AS112" i="5" s="1"/>
  <c r="E111" i="5"/>
  <c r="I111" i="5" s="1"/>
  <c r="L111" i="5" s="1"/>
  <c r="O111" i="5" s="1"/>
  <c r="R111" i="5" s="1"/>
  <c r="AC111" i="5" s="1"/>
  <c r="AG111" i="5" s="1"/>
  <c r="AK111" i="5" s="1"/>
  <c r="AO111" i="5" s="1"/>
  <c r="AS111" i="5" s="1"/>
  <c r="E110" i="5"/>
  <c r="I110" i="5" s="1"/>
  <c r="L110" i="5" s="1"/>
  <c r="O110" i="5" s="1"/>
  <c r="R110" i="5" s="1"/>
  <c r="AC110" i="5" s="1"/>
  <c r="AG110" i="5" s="1"/>
  <c r="AK110" i="5" s="1"/>
  <c r="AO110" i="5" s="1"/>
  <c r="AS110" i="5" s="1"/>
  <c r="I108" i="5"/>
  <c r="L108" i="5" s="1"/>
  <c r="O108" i="5" s="1"/>
  <c r="R108" i="5" s="1"/>
  <c r="I107" i="5"/>
  <c r="L107" i="5" s="1"/>
  <c r="O107" i="5" s="1"/>
  <c r="R107" i="5" s="1"/>
  <c r="AC107" i="5" s="1"/>
  <c r="AG107" i="5" s="1"/>
  <c r="AK107" i="5" s="1"/>
  <c r="AO107" i="5" s="1"/>
  <c r="AS107" i="5" s="1"/>
  <c r="E106" i="5"/>
  <c r="I106" i="5" s="1"/>
  <c r="L106" i="5" s="1"/>
  <c r="O106" i="5" s="1"/>
  <c r="R106" i="5" s="1"/>
  <c r="AC106" i="5" s="1"/>
  <c r="AG106" i="5" s="1"/>
  <c r="AK106" i="5" s="1"/>
  <c r="AO106" i="5" s="1"/>
  <c r="AS106" i="5" s="1"/>
  <c r="E105" i="5"/>
  <c r="I105" i="5" s="1"/>
  <c r="L105" i="5" s="1"/>
  <c r="O105" i="5" s="1"/>
  <c r="R105" i="5" s="1"/>
  <c r="AC105" i="5" s="1"/>
  <c r="AG105" i="5" s="1"/>
  <c r="AK105" i="5" s="1"/>
  <c r="AO105" i="5" s="1"/>
  <c r="AS105" i="5" s="1"/>
  <c r="E104" i="5"/>
  <c r="I104" i="5" s="1"/>
  <c r="L104" i="5" s="1"/>
  <c r="O104" i="5" s="1"/>
  <c r="R104" i="5" s="1"/>
  <c r="AC104" i="5" s="1"/>
  <c r="AG104" i="5" s="1"/>
  <c r="AK104" i="5" s="1"/>
  <c r="AO104" i="5" s="1"/>
  <c r="AS104" i="5" s="1"/>
  <c r="E103" i="5"/>
  <c r="I103" i="5" s="1"/>
  <c r="L103" i="5" s="1"/>
  <c r="O103" i="5" s="1"/>
  <c r="R103" i="5" s="1"/>
  <c r="AC103" i="5" s="1"/>
  <c r="AG103" i="5" s="1"/>
  <c r="AK103" i="5" s="1"/>
  <c r="AO103" i="5" s="1"/>
  <c r="AS103" i="5" s="1"/>
  <c r="E102" i="5"/>
  <c r="I102" i="5" s="1"/>
  <c r="L102" i="5" s="1"/>
  <c r="O102" i="5" s="1"/>
  <c r="R102" i="5" s="1"/>
  <c r="AC102" i="5" s="1"/>
  <c r="AG102" i="5" s="1"/>
  <c r="AK102" i="5" s="1"/>
  <c r="AO102" i="5" s="1"/>
  <c r="AS102" i="5" s="1"/>
  <c r="E100" i="5"/>
  <c r="I100" i="5" s="1"/>
  <c r="L100" i="5" s="1"/>
  <c r="O100" i="5" s="1"/>
  <c r="R100" i="5" s="1"/>
  <c r="AC100" i="5" s="1"/>
  <c r="AG100" i="5" s="1"/>
  <c r="AK100" i="5" s="1"/>
  <c r="AO100" i="5" s="1"/>
  <c r="AS100" i="5" s="1"/>
  <c r="E99" i="5"/>
  <c r="I99" i="5" s="1"/>
  <c r="L99" i="5" s="1"/>
  <c r="O99" i="5" s="1"/>
  <c r="R99" i="5" s="1"/>
  <c r="AC99" i="5" s="1"/>
  <c r="AG99" i="5" s="1"/>
  <c r="AK99" i="5" s="1"/>
  <c r="AO99" i="5" s="1"/>
  <c r="AS99" i="5" s="1"/>
  <c r="E98" i="5"/>
  <c r="I98" i="5" s="1"/>
  <c r="L98" i="5" s="1"/>
  <c r="O98" i="5" s="1"/>
  <c r="R98" i="5" s="1"/>
  <c r="AC98" i="5" s="1"/>
  <c r="AG98" i="5" s="1"/>
  <c r="AK98" i="5" s="1"/>
  <c r="AO98" i="5" s="1"/>
  <c r="AS98" i="5" s="1"/>
  <c r="E97" i="5"/>
  <c r="I97" i="5" s="1"/>
  <c r="L97" i="5" s="1"/>
  <c r="O97" i="5" s="1"/>
  <c r="R97" i="5" s="1"/>
  <c r="AC97" i="5" s="1"/>
  <c r="AG97" i="5" s="1"/>
  <c r="AK97" i="5" s="1"/>
  <c r="AO97" i="5" s="1"/>
  <c r="AS97" i="5" s="1"/>
  <c r="E96" i="5"/>
  <c r="I96" i="5" s="1"/>
  <c r="L96" i="5" s="1"/>
  <c r="O96" i="5" s="1"/>
  <c r="R96" i="5" s="1"/>
  <c r="AC96" i="5" s="1"/>
  <c r="AG96" i="5" s="1"/>
  <c r="AK96" i="5" s="1"/>
  <c r="AO96" i="5" s="1"/>
  <c r="AS96" i="5" s="1"/>
  <c r="E94" i="5"/>
  <c r="I94" i="5" s="1"/>
  <c r="L94" i="5" s="1"/>
  <c r="O94" i="5" s="1"/>
  <c r="R94" i="5" s="1"/>
  <c r="E93" i="5"/>
  <c r="I93" i="5" s="1"/>
  <c r="L93" i="5" s="1"/>
  <c r="O93" i="5" s="1"/>
  <c r="R93" i="5" s="1"/>
  <c r="AC93" i="5" s="1"/>
  <c r="AG93" i="5" s="1"/>
  <c r="AK93" i="5" s="1"/>
  <c r="AO93" i="5" s="1"/>
  <c r="AS93" i="5" s="1"/>
  <c r="E92" i="5"/>
  <c r="I92" i="5" s="1"/>
  <c r="L92" i="5" s="1"/>
  <c r="O92" i="5" s="1"/>
  <c r="R92" i="5" s="1"/>
  <c r="AC92" i="5" s="1"/>
  <c r="AG92" i="5" s="1"/>
  <c r="AK92" i="5" s="1"/>
  <c r="AO92" i="5" s="1"/>
  <c r="AS92" i="5" s="1"/>
  <c r="E91" i="5"/>
  <c r="I91" i="5" s="1"/>
  <c r="L91" i="5" s="1"/>
  <c r="O91" i="5" s="1"/>
  <c r="R91" i="5" s="1"/>
  <c r="AC91" i="5" s="1"/>
  <c r="AG91" i="5" s="1"/>
  <c r="AK91" i="5" s="1"/>
  <c r="AO91" i="5" s="1"/>
  <c r="AS91" i="5" s="1"/>
  <c r="E90" i="5"/>
  <c r="I90" i="5" s="1"/>
  <c r="L90" i="5" s="1"/>
  <c r="O90" i="5" s="1"/>
  <c r="R90" i="5" s="1"/>
  <c r="I89" i="5"/>
  <c r="L89" i="5" s="1"/>
  <c r="O89" i="5" s="1"/>
  <c r="R89" i="5" s="1"/>
  <c r="AC89" i="5" s="1"/>
  <c r="AG89" i="5" s="1"/>
  <c r="AK89" i="5" s="1"/>
  <c r="AO89" i="5" s="1"/>
  <c r="AS89" i="5" s="1"/>
  <c r="AK87" i="5"/>
  <c r="E87" i="5"/>
  <c r="I87" i="5" s="1"/>
  <c r="L87" i="5" s="1"/>
  <c r="O87" i="5" s="1"/>
  <c r="R87" i="5" s="1"/>
  <c r="E86" i="5"/>
  <c r="I86" i="5" s="1"/>
  <c r="L86" i="5" s="1"/>
  <c r="O86" i="5" s="1"/>
  <c r="R86" i="5" s="1"/>
  <c r="AC86" i="5" s="1"/>
  <c r="AG86" i="5" s="1"/>
  <c r="AK86" i="5" s="1"/>
  <c r="AO86" i="5" s="1"/>
  <c r="AS86" i="5" s="1"/>
  <c r="E85" i="5"/>
  <c r="I85" i="5" s="1"/>
  <c r="L85" i="5" s="1"/>
  <c r="O85" i="5" s="1"/>
  <c r="R85" i="5" s="1"/>
  <c r="AC85" i="5" s="1"/>
  <c r="AG85" i="5" s="1"/>
  <c r="AK85" i="5" s="1"/>
  <c r="AO85" i="5" s="1"/>
  <c r="AS85" i="5" s="1"/>
  <c r="E84" i="5"/>
  <c r="I84" i="5" s="1"/>
  <c r="L84" i="5" s="1"/>
  <c r="O84" i="5" s="1"/>
  <c r="R84" i="5" s="1"/>
  <c r="AC84" i="5" s="1"/>
  <c r="AG84" i="5" s="1"/>
  <c r="AK84" i="5" s="1"/>
  <c r="AO84" i="5" s="1"/>
  <c r="AS84" i="5" s="1"/>
  <c r="E83" i="5"/>
  <c r="I83" i="5" s="1"/>
  <c r="L83" i="5" s="1"/>
  <c r="O83" i="5" s="1"/>
  <c r="E81" i="5"/>
  <c r="I81" i="5" s="1"/>
  <c r="L81" i="5" s="1"/>
  <c r="O81" i="5" s="1"/>
  <c r="R81" i="5" s="1"/>
  <c r="AC81" i="5" s="1"/>
  <c r="AG81" i="5" s="1"/>
  <c r="AK81" i="5" s="1"/>
  <c r="AO81" i="5" s="1"/>
  <c r="AS81" i="5" s="1"/>
  <c r="E79" i="5"/>
  <c r="I79" i="5" s="1"/>
  <c r="L79" i="5" s="1"/>
  <c r="O79" i="5" s="1"/>
  <c r="R79" i="5" s="1"/>
  <c r="AC79" i="5" s="1"/>
  <c r="AG79" i="5" s="1"/>
  <c r="AK79" i="5" s="1"/>
  <c r="AO79" i="5" s="1"/>
  <c r="AS79" i="5" s="1"/>
  <c r="E78" i="5"/>
  <c r="I78" i="5" s="1"/>
  <c r="L78" i="5" s="1"/>
  <c r="O78" i="5" s="1"/>
  <c r="R78" i="5" s="1"/>
  <c r="AC78" i="5" s="1"/>
  <c r="AG78" i="5" s="1"/>
  <c r="AK78" i="5" s="1"/>
  <c r="AO78" i="5" s="1"/>
  <c r="AS78" i="5" s="1"/>
  <c r="E77" i="5"/>
  <c r="I77" i="5" s="1"/>
  <c r="L77" i="5" s="1"/>
  <c r="O77" i="5" s="1"/>
  <c r="R77" i="5" s="1"/>
  <c r="AC77" i="5" s="1"/>
  <c r="AG77" i="5" s="1"/>
  <c r="AK77" i="5" s="1"/>
  <c r="AO77" i="5" s="1"/>
  <c r="AS77" i="5" s="1"/>
  <c r="E76" i="5"/>
  <c r="I76" i="5" s="1"/>
  <c r="L76" i="5" s="1"/>
  <c r="O76" i="5" s="1"/>
  <c r="R76" i="5" s="1"/>
  <c r="AC76" i="5" s="1"/>
  <c r="AG76" i="5" s="1"/>
  <c r="AK76" i="5" s="1"/>
  <c r="AO76" i="5" s="1"/>
  <c r="AS76" i="5" s="1"/>
  <c r="E75" i="5"/>
  <c r="I75" i="5" s="1"/>
  <c r="L75" i="5" s="1"/>
  <c r="O75" i="5" s="1"/>
  <c r="R75" i="5" s="1"/>
  <c r="AC75" i="5" s="1"/>
  <c r="AG75" i="5" s="1"/>
  <c r="AK75" i="5" s="1"/>
  <c r="AO75" i="5" s="1"/>
  <c r="AS75" i="5" s="1"/>
  <c r="E74" i="5"/>
  <c r="I74" i="5" s="1"/>
  <c r="L74" i="5" s="1"/>
  <c r="O74" i="5" s="1"/>
  <c r="R74" i="5" s="1"/>
  <c r="I73" i="5"/>
  <c r="L73" i="5" s="1"/>
  <c r="O73" i="5" s="1"/>
  <c r="R73" i="5" s="1"/>
  <c r="U73" i="5" s="1"/>
  <c r="E72" i="5"/>
  <c r="I72" i="5" s="1"/>
  <c r="L72" i="5" s="1"/>
  <c r="O72" i="5" s="1"/>
  <c r="R72" i="5" s="1"/>
  <c r="I69" i="5"/>
  <c r="L69" i="5" s="1"/>
  <c r="O69" i="5" s="1"/>
  <c r="R69" i="5" s="1"/>
  <c r="AC69" i="5" s="1"/>
  <c r="AG69" i="5" s="1"/>
  <c r="AK69" i="5" s="1"/>
  <c r="AO69" i="5" s="1"/>
  <c r="AS69" i="5" s="1"/>
  <c r="E68" i="5"/>
  <c r="I68" i="5" s="1"/>
  <c r="L68" i="5" s="1"/>
  <c r="O68" i="5" s="1"/>
  <c r="R68" i="5" s="1"/>
  <c r="AC68" i="5" s="1"/>
  <c r="AG68" i="5" s="1"/>
  <c r="AK68" i="5" s="1"/>
  <c r="AO68" i="5" s="1"/>
  <c r="AS68" i="5" s="1"/>
  <c r="E67" i="5"/>
  <c r="I67" i="5" s="1"/>
  <c r="L67" i="5" s="1"/>
  <c r="O67" i="5" s="1"/>
  <c r="R67" i="5" s="1"/>
  <c r="AC67" i="5" s="1"/>
  <c r="AG67" i="5" s="1"/>
  <c r="AK67" i="5" s="1"/>
  <c r="AO67" i="5" s="1"/>
  <c r="AS67" i="5" s="1"/>
  <c r="E66" i="5"/>
  <c r="I66" i="5" s="1"/>
  <c r="L66" i="5" s="1"/>
  <c r="O66" i="5" s="1"/>
  <c r="R66" i="5" s="1"/>
  <c r="AC66" i="5" s="1"/>
  <c r="AG66" i="5" s="1"/>
  <c r="AK66" i="5" s="1"/>
  <c r="AO66" i="5" s="1"/>
  <c r="AS66" i="5" s="1"/>
  <c r="I64" i="5"/>
  <c r="L64" i="5" s="1"/>
  <c r="O64" i="5" s="1"/>
  <c r="R64" i="5" s="1"/>
  <c r="E63" i="5"/>
  <c r="I63" i="5" s="1"/>
  <c r="L63" i="5" s="1"/>
  <c r="O63" i="5" s="1"/>
  <c r="R63" i="5" s="1"/>
  <c r="AC63" i="5" s="1"/>
  <c r="AG63" i="5" s="1"/>
  <c r="AK63" i="5" s="1"/>
  <c r="AO63" i="5" s="1"/>
  <c r="AS63" i="5" s="1"/>
  <c r="I61" i="5"/>
  <c r="L61" i="5" s="1"/>
  <c r="O61" i="5" s="1"/>
  <c r="R61" i="5" s="1"/>
  <c r="E60" i="5"/>
  <c r="I60" i="5" s="1"/>
  <c r="L60" i="5" s="1"/>
  <c r="O60" i="5" s="1"/>
  <c r="R60" i="5" s="1"/>
  <c r="E59" i="5"/>
  <c r="I59" i="5" s="1"/>
  <c r="L59" i="5" s="1"/>
  <c r="O59" i="5" s="1"/>
  <c r="R59" i="5" s="1"/>
  <c r="I57" i="5"/>
  <c r="L57" i="5" s="1"/>
  <c r="O57" i="5" s="1"/>
  <c r="R57" i="5" s="1"/>
  <c r="E56" i="5"/>
  <c r="I56" i="5" s="1"/>
  <c r="L56" i="5" s="1"/>
  <c r="O56" i="5" s="1"/>
  <c r="R56" i="5" s="1"/>
  <c r="AC56" i="5" s="1"/>
  <c r="AG56" i="5" s="1"/>
  <c r="AK56" i="5" s="1"/>
  <c r="AO56" i="5" s="1"/>
  <c r="AS56" i="5" s="1"/>
  <c r="E55" i="5"/>
  <c r="I55" i="5" s="1"/>
  <c r="O55" i="5" s="1"/>
  <c r="R55" i="5" s="1"/>
  <c r="E54" i="5"/>
  <c r="I54" i="5" s="1"/>
  <c r="L54" i="5" s="1"/>
  <c r="O54" i="5" s="1"/>
  <c r="R54" i="5" s="1"/>
  <c r="AC54" i="5" s="1"/>
  <c r="AG54" i="5" s="1"/>
  <c r="AK54" i="5" s="1"/>
  <c r="AO54" i="5" s="1"/>
  <c r="AS54" i="5" s="1"/>
  <c r="E53" i="5"/>
  <c r="I53" i="5" s="1"/>
  <c r="L53" i="5" s="1"/>
  <c r="O53" i="5" s="1"/>
  <c r="R53" i="5" s="1"/>
  <c r="AC53" i="5" s="1"/>
  <c r="AG53" i="5" s="1"/>
  <c r="AK53" i="5" s="1"/>
  <c r="AO53" i="5" s="1"/>
  <c r="AS53" i="5" s="1"/>
  <c r="I51" i="5"/>
  <c r="L51" i="5" s="1"/>
  <c r="O51" i="5" s="1"/>
  <c r="R51" i="5" s="1"/>
  <c r="AC51" i="5" s="1"/>
  <c r="AG51" i="5" s="1"/>
  <c r="AK51" i="5" s="1"/>
  <c r="AO51" i="5" s="1"/>
  <c r="AS51" i="5" s="1"/>
  <c r="I50" i="5"/>
  <c r="L50" i="5" s="1"/>
  <c r="O50" i="5" s="1"/>
  <c r="R50" i="5" s="1"/>
  <c r="AC50" i="5" s="1"/>
  <c r="AG50" i="5" s="1"/>
  <c r="AK50" i="5" s="1"/>
  <c r="AO50" i="5" s="1"/>
  <c r="AS50" i="5" s="1"/>
  <c r="E49" i="5"/>
  <c r="I49" i="5" s="1"/>
  <c r="L49" i="5" s="1"/>
  <c r="O49" i="5" s="1"/>
  <c r="R49" i="5" s="1"/>
  <c r="AC49" i="5" s="1"/>
  <c r="AG49" i="5" s="1"/>
  <c r="AK49" i="5" s="1"/>
  <c r="AO49" i="5" s="1"/>
  <c r="AS49" i="5" s="1"/>
  <c r="E48" i="5"/>
  <c r="I48" i="5" s="1"/>
  <c r="L48" i="5" s="1"/>
  <c r="O48" i="5" s="1"/>
  <c r="R48" i="5" s="1"/>
  <c r="AC48" i="5" s="1"/>
  <c r="AG48" i="5" s="1"/>
  <c r="AK48" i="5" s="1"/>
  <c r="AO48" i="5" s="1"/>
  <c r="AS48" i="5" s="1"/>
  <c r="I46" i="5"/>
  <c r="L46" i="5" s="1"/>
  <c r="O46" i="5" s="1"/>
  <c r="R46" i="5" s="1"/>
  <c r="E45" i="5"/>
  <c r="I45" i="5" s="1"/>
  <c r="L45" i="5" s="1"/>
  <c r="O45" i="5" s="1"/>
  <c r="R45" i="5" s="1"/>
  <c r="E44" i="5"/>
  <c r="I44" i="5" s="1"/>
  <c r="L44" i="5" s="1"/>
  <c r="O44" i="5" s="1"/>
  <c r="R44" i="5" s="1"/>
  <c r="E43" i="5"/>
  <c r="I43" i="5" s="1"/>
  <c r="L43" i="5" s="1"/>
  <c r="O43" i="5" s="1"/>
  <c r="R43" i="5" s="1"/>
  <c r="E42" i="5"/>
  <c r="I42" i="5" s="1"/>
  <c r="L42" i="5" s="1"/>
  <c r="E41" i="5"/>
  <c r="I41" i="5" s="1"/>
  <c r="L41" i="5" s="1"/>
  <c r="O41" i="5" s="1"/>
  <c r="R41" i="5" s="1"/>
  <c r="E40" i="5"/>
  <c r="I40" i="5" s="1"/>
  <c r="L40" i="5" s="1"/>
  <c r="O40" i="5" s="1"/>
  <c r="R40" i="5" s="1"/>
  <c r="E39" i="5"/>
  <c r="I39" i="5" s="1"/>
  <c r="L39" i="5" s="1"/>
  <c r="O39" i="5" s="1"/>
  <c r="R39" i="5" s="1"/>
  <c r="E38" i="5"/>
  <c r="I38" i="5" s="1"/>
  <c r="L38" i="5" s="1"/>
  <c r="O38" i="5" s="1"/>
  <c r="R38" i="5" s="1"/>
  <c r="E37" i="5"/>
  <c r="I37" i="5" s="1"/>
  <c r="L37" i="5" s="1"/>
  <c r="O37" i="5" s="1"/>
  <c r="R37" i="5" s="1"/>
  <c r="E36" i="5"/>
  <c r="I36" i="5" s="1"/>
  <c r="L36" i="5" s="1"/>
  <c r="O36" i="5" s="1"/>
  <c r="R36" i="5" s="1"/>
  <c r="E35" i="5"/>
  <c r="I35" i="5" s="1"/>
  <c r="L35" i="5" s="1"/>
  <c r="O35" i="5" s="1"/>
  <c r="R35" i="5" s="1"/>
  <c r="E34" i="5"/>
  <c r="I34" i="5" s="1"/>
  <c r="L34" i="5" s="1"/>
  <c r="O34" i="5" s="1"/>
  <c r="R34" i="5" s="1"/>
  <c r="I33" i="5"/>
  <c r="L33" i="5" s="1"/>
  <c r="O33" i="5" s="1"/>
  <c r="R33" i="5" s="1"/>
  <c r="E32" i="5"/>
  <c r="I32" i="5" s="1"/>
  <c r="L32" i="5" s="1"/>
  <c r="O32" i="5" s="1"/>
  <c r="R32" i="5" s="1"/>
  <c r="Q30" i="5"/>
  <c r="N30" i="5"/>
  <c r="I28" i="5"/>
  <c r="L28" i="5" s="1"/>
  <c r="E27" i="5"/>
  <c r="I27" i="5" s="1"/>
  <c r="L27" i="5" s="1"/>
  <c r="O27" i="5" s="1"/>
  <c r="R27" i="5" s="1"/>
  <c r="AC27" i="5" s="1"/>
  <c r="AG27" i="5" s="1"/>
  <c r="AK27" i="5" s="1"/>
  <c r="AO27" i="5" s="1"/>
  <c r="AS27" i="5" s="1"/>
  <c r="P26" i="5"/>
  <c r="M26" i="5"/>
  <c r="E25" i="5"/>
  <c r="I25" i="5" s="1"/>
  <c r="L25" i="5" s="1"/>
  <c r="O25" i="5" s="1"/>
  <c r="R25" i="5" s="1"/>
  <c r="I23" i="5"/>
  <c r="L23" i="5" s="1"/>
  <c r="O23" i="5" s="1"/>
  <c r="R23" i="5" s="1"/>
  <c r="E22" i="5"/>
  <c r="I22" i="5" s="1"/>
  <c r="L22" i="5" s="1"/>
  <c r="O22" i="5" s="1"/>
  <c r="R22" i="5" s="1"/>
  <c r="AC22" i="5" s="1"/>
  <c r="AG22" i="5" s="1"/>
  <c r="AK22" i="5" s="1"/>
  <c r="AO22" i="5" s="1"/>
  <c r="AS22" i="5" s="1"/>
  <c r="I20" i="5"/>
  <c r="L20" i="5" s="1"/>
  <c r="O20" i="5" s="1"/>
  <c r="R20" i="5" s="1"/>
  <c r="E19" i="5"/>
  <c r="I19" i="5" s="1"/>
  <c r="L19" i="5" s="1"/>
  <c r="O19" i="5" s="1"/>
  <c r="R19" i="5" s="1"/>
  <c r="AC19" i="5" s="1"/>
  <c r="AG19" i="5" s="1"/>
  <c r="AK19" i="5" s="1"/>
  <c r="AO19" i="5" s="1"/>
  <c r="AS19" i="5" s="1"/>
  <c r="E18" i="5"/>
  <c r="E17" i="5"/>
  <c r="AQ17" i="5"/>
  <c r="AQ16" i="5" s="1"/>
  <c r="AM17" i="5"/>
  <c r="AM16" i="5" s="1"/>
  <c r="AI17" i="5"/>
  <c r="AI16" i="5" s="1"/>
  <c r="AE17" i="5"/>
  <c r="AE16" i="5" s="1"/>
  <c r="AA17" i="5"/>
  <c r="AA16" i="5" s="1"/>
  <c r="I15" i="5"/>
  <c r="J15" i="5"/>
  <c r="H14" i="5"/>
  <c r="E14" i="5"/>
  <c r="AS13" i="5"/>
  <c r="E13" i="5"/>
  <c r="E12" i="5"/>
  <c r="I12" i="5" s="1"/>
  <c r="O12" i="5" s="1"/>
  <c r="E11" i="5"/>
  <c r="I11" i="5" s="1"/>
  <c r="O11" i="5" s="1"/>
  <c r="E10" i="5"/>
  <c r="I10" i="5" s="1"/>
  <c r="E9" i="5"/>
  <c r="AQ8" i="5"/>
  <c r="AM8" i="5"/>
  <c r="AA8" i="5"/>
  <c r="G8" i="5"/>
  <c r="P7" i="5"/>
  <c r="M7" i="5"/>
  <c r="U121" i="5" l="1"/>
  <c r="Y121" i="5" s="1"/>
  <c r="AC121" i="5" s="1"/>
  <c r="AG121" i="5" s="1"/>
  <c r="AK121" i="5" s="1"/>
  <c r="AO121" i="5" s="1"/>
  <c r="AS121" i="5" s="1"/>
  <c r="U122" i="5"/>
  <c r="Y122" i="5" s="1"/>
  <c r="AC122" i="5" s="1"/>
  <c r="AG122" i="5" s="1"/>
  <c r="AK122" i="5" s="1"/>
  <c r="AO122" i="5" s="1"/>
  <c r="AS122" i="5" s="1"/>
  <c r="U90" i="5"/>
  <c r="Y90" i="5" s="1"/>
  <c r="AC90" i="5" s="1"/>
  <c r="AG90" i="5" s="1"/>
  <c r="AK90" i="5" s="1"/>
  <c r="AO90" i="5" s="1"/>
  <c r="AS90" i="5" s="1"/>
  <c r="U59" i="5"/>
  <c r="Y59" i="5" s="1"/>
  <c r="AC59" i="5" s="1"/>
  <c r="AG59" i="5" s="1"/>
  <c r="AK59" i="5" s="1"/>
  <c r="AO59" i="5" s="1"/>
  <c r="AS59" i="5" s="1"/>
  <c r="AC11" i="5"/>
  <c r="AG11" i="5" s="1"/>
  <c r="AK11" i="5" s="1"/>
  <c r="AO11" i="5" s="1"/>
  <c r="AS11" i="5" s="1"/>
  <c r="U72" i="5"/>
  <c r="Y72" i="5" s="1"/>
  <c r="AC72" i="5" s="1"/>
  <c r="AG72" i="5" s="1"/>
  <c r="AK72" i="5" s="1"/>
  <c r="AO72" i="5" s="1"/>
  <c r="AS72" i="5" s="1"/>
  <c r="U74" i="5"/>
  <c r="Y74" i="5" s="1"/>
  <c r="AC74" i="5" s="1"/>
  <c r="AG74" i="5" s="1"/>
  <c r="AK74" i="5" s="1"/>
  <c r="AO74" i="5" s="1"/>
  <c r="AS74" i="5" s="1"/>
  <c r="U55" i="5"/>
  <c r="Y55" i="5" s="1"/>
  <c r="AC55" i="5" s="1"/>
  <c r="AG55" i="5" s="1"/>
  <c r="AK55" i="5" s="1"/>
  <c r="AO55" i="5" s="1"/>
  <c r="AS55" i="5" s="1"/>
  <c r="U34" i="5"/>
  <c r="Y34" i="5" s="1"/>
  <c r="AC34" i="5" s="1"/>
  <c r="AG34" i="5" s="1"/>
  <c r="AK34" i="5" s="1"/>
  <c r="AO34" i="5" s="1"/>
  <c r="AS34" i="5" s="1"/>
  <c r="U35" i="5"/>
  <c r="Y35" i="5" s="1"/>
  <c r="AC35" i="5" s="1"/>
  <c r="AG35" i="5" s="1"/>
  <c r="AK35" i="5" s="1"/>
  <c r="AO35" i="5" s="1"/>
  <c r="AS35" i="5" s="1"/>
  <c r="U43" i="5"/>
  <c r="Y43" i="5" s="1"/>
  <c r="AC43" i="5" s="1"/>
  <c r="AG43" i="5" s="1"/>
  <c r="AK43" i="5" s="1"/>
  <c r="AO43" i="5" s="1"/>
  <c r="AS43" i="5" s="1"/>
  <c r="U32" i="5"/>
  <c r="Y32" i="5" s="1"/>
  <c r="AC32" i="5" s="1"/>
  <c r="AG32" i="5" s="1"/>
  <c r="AK32" i="5" s="1"/>
  <c r="AO32" i="5" s="1"/>
  <c r="AS32" i="5" s="1"/>
  <c r="U36" i="5"/>
  <c r="Y36" i="5" s="1"/>
  <c r="AC36" i="5" s="1"/>
  <c r="AG36" i="5" s="1"/>
  <c r="AK36" i="5" s="1"/>
  <c r="AO36" i="5" s="1"/>
  <c r="AS36" i="5" s="1"/>
  <c r="U40" i="5"/>
  <c r="Y40" i="5" s="1"/>
  <c r="AC40" i="5" s="1"/>
  <c r="AG40" i="5" s="1"/>
  <c r="AK40" i="5" s="1"/>
  <c r="AO40" i="5" s="1"/>
  <c r="AS40" i="5" s="1"/>
  <c r="U44" i="5"/>
  <c r="Y44" i="5" s="1"/>
  <c r="AC44" i="5" s="1"/>
  <c r="AG44" i="5" s="1"/>
  <c r="AK44" i="5" s="1"/>
  <c r="AO44" i="5" s="1"/>
  <c r="AS44" i="5" s="1"/>
  <c r="U38" i="5"/>
  <c r="Y38" i="5" s="1"/>
  <c r="AC38" i="5" s="1"/>
  <c r="AG38" i="5" s="1"/>
  <c r="AK38" i="5" s="1"/>
  <c r="AO38" i="5" s="1"/>
  <c r="AS38" i="5" s="1"/>
  <c r="U39" i="5"/>
  <c r="Y39" i="5" s="1"/>
  <c r="AC39" i="5" s="1"/>
  <c r="AG39" i="5" s="1"/>
  <c r="AK39" i="5" s="1"/>
  <c r="AO39" i="5" s="1"/>
  <c r="AS39" i="5" s="1"/>
  <c r="U33" i="5"/>
  <c r="Y33" i="5" s="1"/>
  <c r="AC33" i="5" s="1"/>
  <c r="AG33" i="5" s="1"/>
  <c r="AK33" i="5" s="1"/>
  <c r="AO33" i="5" s="1"/>
  <c r="AS33" i="5" s="1"/>
  <c r="U37" i="5"/>
  <c r="Y37" i="5" s="1"/>
  <c r="AC37" i="5" s="1"/>
  <c r="AG37" i="5" s="1"/>
  <c r="AK37" i="5" s="1"/>
  <c r="AO37" i="5" s="1"/>
  <c r="AS37" i="5" s="1"/>
  <c r="U41" i="5"/>
  <c r="Y41" i="5" s="1"/>
  <c r="AC41" i="5" s="1"/>
  <c r="AG41" i="5" s="1"/>
  <c r="AK41" i="5" s="1"/>
  <c r="AO41" i="5" s="1"/>
  <c r="AS41" i="5" s="1"/>
  <c r="U45" i="5"/>
  <c r="Y45" i="5" s="1"/>
  <c r="AC45" i="5" s="1"/>
  <c r="AG45" i="5" s="1"/>
  <c r="AK45" i="5" s="1"/>
  <c r="AO45" i="5" s="1"/>
  <c r="AS45" i="5" s="1"/>
  <c r="U25" i="5"/>
  <c r="Y25" i="5" s="1"/>
  <c r="AC25" i="5" s="1"/>
  <c r="AG25" i="5" s="1"/>
  <c r="AK25" i="5" s="1"/>
  <c r="AO25" i="5" s="1"/>
  <c r="AS25" i="5" s="1"/>
  <c r="U60" i="5"/>
  <c r="Y60" i="5" s="1"/>
  <c r="AC60" i="5" s="1"/>
  <c r="AG60" i="5" s="1"/>
  <c r="AK60" i="5" s="1"/>
  <c r="AO60" i="5" s="1"/>
  <c r="AS60" i="5" s="1"/>
  <c r="I137" i="5"/>
  <c r="L137" i="5" s="1"/>
  <c r="O137" i="5" s="1"/>
  <c r="R137" i="5" s="1"/>
  <c r="AC137" i="5" s="1"/>
  <c r="AG137" i="5" s="1"/>
  <c r="AK137" i="5" s="1"/>
  <c r="AO137" i="5" s="1"/>
  <c r="AS137" i="5" s="1"/>
  <c r="O143" i="5"/>
  <c r="AI8" i="5"/>
  <c r="I65" i="5"/>
  <c r="L65" i="5" s="1"/>
  <c r="O65" i="5" s="1"/>
  <c r="R65" i="5" s="1"/>
  <c r="AC65" i="5" s="1"/>
  <c r="AG65" i="5" s="1"/>
  <c r="AK65" i="5" s="1"/>
  <c r="AO65" i="5" s="1"/>
  <c r="AS65" i="5" s="1"/>
  <c r="I125" i="5"/>
  <c r="L125" i="5" s="1"/>
  <c r="O125" i="5" s="1"/>
  <c r="R125" i="5" s="1"/>
  <c r="AC125" i="5" s="1"/>
  <c r="AG125" i="5" s="1"/>
  <c r="AK125" i="5" s="1"/>
  <c r="AO125" i="5" s="1"/>
  <c r="AS125" i="5" s="1"/>
  <c r="O42" i="5"/>
  <c r="R42" i="5" s="1"/>
  <c r="C146" i="5"/>
  <c r="E146" i="5" s="1"/>
  <c r="O140" i="5"/>
  <c r="R140" i="5" s="1"/>
  <c r="AC140" i="5" s="1"/>
  <c r="AG140" i="5" s="1"/>
  <c r="AK140" i="5" s="1"/>
  <c r="AO140" i="5" s="1"/>
  <c r="AS140" i="5" s="1"/>
  <c r="O15" i="5"/>
  <c r="R143" i="5"/>
  <c r="AC143" i="5" s="1"/>
  <c r="AG143" i="5" s="1"/>
  <c r="AK143" i="5" s="1"/>
  <c r="AO143" i="5" s="1"/>
  <c r="AS143" i="5" s="1"/>
  <c r="I82" i="5"/>
  <c r="L82" i="5" s="1"/>
  <c r="O82" i="5" s="1"/>
  <c r="R82" i="5" s="1"/>
  <c r="AC82" i="5" s="1"/>
  <c r="AG82" i="5" s="1"/>
  <c r="AK82" i="5" s="1"/>
  <c r="AO82" i="5" s="1"/>
  <c r="AS82" i="5" s="1"/>
  <c r="AE8" i="5"/>
  <c r="O134" i="5"/>
  <c r="R134" i="5" s="1"/>
  <c r="AI146" i="5"/>
  <c r="AQ30" i="5"/>
  <c r="I58" i="5"/>
  <c r="L58" i="5" s="1"/>
  <c r="O58" i="5" s="1"/>
  <c r="R58" i="5" s="1"/>
  <c r="I17" i="5"/>
  <c r="L17" i="5" s="1"/>
  <c r="O17" i="5" s="1"/>
  <c r="R17" i="5" s="1"/>
  <c r="O21" i="5"/>
  <c r="R21" i="5" s="1"/>
  <c r="AC21" i="5" s="1"/>
  <c r="AG21" i="5" s="1"/>
  <c r="AK21" i="5" s="1"/>
  <c r="AO21" i="5" s="1"/>
  <c r="AS21" i="5" s="1"/>
  <c r="E62" i="5"/>
  <c r="I62" i="5" s="1"/>
  <c r="L62" i="5" s="1"/>
  <c r="O62" i="5" s="1"/>
  <c r="R62" i="5" s="1"/>
  <c r="AC62" i="5" s="1"/>
  <c r="AG62" i="5" s="1"/>
  <c r="AK62" i="5" s="1"/>
  <c r="AO62" i="5" s="1"/>
  <c r="AS62" i="5" s="1"/>
  <c r="M30" i="5"/>
  <c r="I31" i="5"/>
  <c r="L31" i="5" s="1"/>
  <c r="O31" i="5" s="1"/>
  <c r="R31" i="5" s="1"/>
  <c r="I109" i="5"/>
  <c r="L109" i="5" s="1"/>
  <c r="I88" i="5"/>
  <c r="L88" i="5" s="1"/>
  <c r="O88" i="5" s="1"/>
  <c r="R88" i="5" s="1"/>
  <c r="I47" i="5"/>
  <c r="L47" i="5" s="1"/>
  <c r="O47" i="5" s="1"/>
  <c r="R47" i="5" s="1"/>
  <c r="AC47" i="5" s="1"/>
  <c r="AG47" i="5" s="1"/>
  <c r="AK47" i="5" s="1"/>
  <c r="AO47" i="5" s="1"/>
  <c r="AS47" i="5" s="1"/>
  <c r="I18" i="5"/>
  <c r="L18" i="5" s="1"/>
  <c r="O18" i="5" s="1"/>
  <c r="R18" i="5" s="1"/>
  <c r="O9" i="5"/>
  <c r="I26" i="5"/>
  <c r="L26" i="5" s="1"/>
  <c r="O26" i="5" s="1"/>
  <c r="R26" i="5" s="1"/>
  <c r="AC26" i="5" s="1"/>
  <c r="AG26" i="5" s="1"/>
  <c r="AK26" i="5" s="1"/>
  <c r="AO26" i="5" s="1"/>
  <c r="AS26" i="5" s="1"/>
  <c r="AG158" i="5"/>
  <c r="AK158" i="5" s="1"/>
  <c r="AO158" i="5" s="1"/>
  <c r="AS158" i="5" s="1"/>
  <c r="G124" i="5"/>
  <c r="AM146" i="5"/>
  <c r="AR16" i="5"/>
  <c r="J124" i="5"/>
  <c r="I128" i="5"/>
  <c r="L128" i="5" s="1"/>
  <c r="O128" i="5" s="1"/>
  <c r="R128" i="5" s="1"/>
  <c r="AC128" i="5" s="1"/>
  <c r="AG128" i="5" s="1"/>
  <c r="AK128" i="5" s="1"/>
  <c r="AO128" i="5" s="1"/>
  <c r="AS128" i="5" s="1"/>
  <c r="E8" i="5"/>
  <c r="I14" i="5"/>
  <c r="O14" i="5" s="1"/>
  <c r="AC14" i="5" s="1"/>
  <c r="AG14" i="5" s="1"/>
  <c r="AK14" i="5" s="1"/>
  <c r="AO14" i="5" s="1"/>
  <c r="R83" i="5"/>
  <c r="AC83" i="5" s="1"/>
  <c r="AG83" i="5" s="1"/>
  <c r="AK83" i="5" s="1"/>
  <c r="AO83" i="5" s="1"/>
  <c r="AS83" i="5" s="1"/>
  <c r="M124" i="5"/>
  <c r="AM124" i="5"/>
  <c r="I95" i="5"/>
  <c r="L95" i="5" s="1"/>
  <c r="O95" i="5" s="1"/>
  <c r="R95" i="5" s="1"/>
  <c r="AC95" i="5" s="1"/>
  <c r="AG95" i="5" s="1"/>
  <c r="AK95" i="5" s="1"/>
  <c r="AO95" i="5" s="1"/>
  <c r="AS95" i="5" s="1"/>
  <c r="AF16" i="5"/>
  <c r="AF7" i="5" s="1"/>
  <c r="AF163" i="5" s="1"/>
  <c r="P30" i="5"/>
  <c r="P165" i="5" s="1"/>
  <c r="O10" i="38" s="1"/>
  <c r="L24" i="5"/>
  <c r="O24" i="5" s="1"/>
  <c r="R24" i="5" s="1"/>
  <c r="I52" i="5"/>
  <c r="L52" i="5" s="1"/>
  <c r="O52" i="5" s="1"/>
  <c r="R52" i="5" s="1"/>
  <c r="AC52" i="5" s="1"/>
  <c r="AG52" i="5" s="1"/>
  <c r="AK52" i="5" s="1"/>
  <c r="AO52" i="5" s="1"/>
  <c r="AS52" i="5" s="1"/>
  <c r="E147" i="5"/>
  <c r="L147" i="5" s="1"/>
  <c r="O147" i="5" s="1"/>
  <c r="R147" i="5" s="1"/>
  <c r="AC147" i="5" s="1"/>
  <c r="AG147" i="5" s="1"/>
  <c r="AK147" i="5" s="1"/>
  <c r="AO147" i="5" s="1"/>
  <c r="AS147" i="5" s="1"/>
  <c r="AA146" i="5"/>
  <c r="I155" i="5"/>
  <c r="L155" i="5" s="1"/>
  <c r="O155" i="5" s="1"/>
  <c r="R155" i="5" s="1"/>
  <c r="AC155" i="5" s="1"/>
  <c r="AG155" i="5" s="1"/>
  <c r="AK155" i="5" s="1"/>
  <c r="AO155" i="5" s="1"/>
  <c r="AS155" i="5" s="1"/>
  <c r="I101" i="5"/>
  <c r="L101" i="5" s="1"/>
  <c r="O101" i="5" s="1"/>
  <c r="R101" i="5" s="1"/>
  <c r="AC101" i="5" s="1"/>
  <c r="AG101" i="5" s="1"/>
  <c r="AK101" i="5" s="1"/>
  <c r="AO101" i="5" s="1"/>
  <c r="AS101" i="5" s="1"/>
  <c r="D16" i="5"/>
  <c r="E16" i="5" s="1"/>
  <c r="AN7" i="5"/>
  <c r="AN163" i="5" s="1"/>
  <c r="AN164" i="5" s="1"/>
  <c r="O10" i="5"/>
  <c r="AA30" i="5"/>
  <c r="AI30" i="5"/>
  <c r="J30" i="5"/>
  <c r="G146" i="5"/>
  <c r="AE124" i="5"/>
  <c r="K16" i="5"/>
  <c r="K7" i="5" s="1"/>
  <c r="K163" i="5" s="1"/>
  <c r="C124" i="5"/>
  <c r="E124" i="5" s="1"/>
  <c r="E131" i="5"/>
  <c r="I131" i="5" s="1"/>
  <c r="L131" i="5" s="1"/>
  <c r="O131" i="5" s="1"/>
  <c r="R131" i="5" s="1"/>
  <c r="AC131" i="5" s="1"/>
  <c r="AG131" i="5" s="1"/>
  <c r="AK131" i="5" s="1"/>
  <c r="AO131" i="5" s="1"/>
  <c r="AS131" i="5" s="1"/>
  <c r="H16" i="5"/>
  <c r="AB16" i="5"/>
  <c r="AE29" i="5"/>
  <c r="AI124" i="5"/>
  <c r="AM30" i="5"/>
  <c r="P124" i="5"/>
  <c r="N16" i="5"/>
  <c r="N7" i="5" s="1"/>
  <c r="N163" i="5" s="1"/>
  <c r="AA124" i="5"/>
  <c r="AQ124" i="5"/>
  <c r="Q16" i="5"/>
  <c r="G30" i="5"/>
  <c r="I17" i="38" l="1"/>
  <c r="AR7" i="5"/>
  <c r="AR163" i="5" s="1"/>
  <c r="AJ7" i="5"/>
  <c r="AJ163" i="5" s="1"/>
  <c r="AK163" i="5" s="1"/>
  <c r="U10" i="38"/>
  <c r="U17" i="5"/>
  <c r="Y17" i="5" s="1"/>
  <c r="AC17" i="5" s="1"/>
  <c r="AG17" i="5" s="1"/>
  <c r="AK17" i="5" s="1"/>
  <c r="AO17" i="5" s="1"/>
  <c r="AS17" i="5" s="1"/>
  <c r="U18" i="5"/>
  <c r="Y18" i="5" s="1"/>
  <c r="AC18" i="5" s="1"/>
  <c r="AG18" i="5" s="1"/>
  <c r="AK18" i="5" s="1"/>
  <c r="AO18" i="5" s="1"/>
  <c r="AS18" i="5" s="1"/>
  <c r="O109" i="5"/>
  <c r="R109" i="5" s="1"/>
  <c r="U88" i="5"/>
  <c r="Y88" i="5" s="1"/>
  <c r="AC88" i="5" s="1"/>
  <c r="AG88" i="5" s="1"/>
  <c r="AK88" i="5" s="1"/>
  <c r="AO88" i="5" s="1"/>
  <c r="AS88" i="5" s="1"/>
  <c r="U15" i="5"/>
  <c r="Y15" i="5" s="1"/>
  <c r="AC15" i="5" s="1"/>
  <c r="AG15" i="5" s="1"/>
  <c r="AK15" i="5" s="1"/>
  <c r="AO15" i="5" s="1"/>
  <c r="AS15" i="5" s="1"/>
  <c r="AC12" i="5"/>
  <c r="AG12" i="5" s="1"/>
  <c r="AK12" i="5" s="1"/>
  <c r="AO12" i="5" s="1"/>
  <c r="AS12" i="5" s="1"/>
  <c r="U31" i="5"/>
  <c r="Y31" i="5" s="1"/>
  <c r="AC31" i="5" s="1"/>
  <c r="AG31" i="5" s="1"/>
  <c r="AK31" i="5" s="1"/>
  <c r="AO31" i="5" s="1"/>
  <c r="AS31" i="5" s="1"/>
  <c r="U42" i="5"/>
  <c r="Y42" i="5" s="1"/>
  <c r="AC42" i="5" s="1"/>
  <c r="AG42" i="5" s="1"/>
  <c r="AK42" i="5" s="1"/>
  <c r="AO42" i="5" s="1"/>
  <c r="AS42" i="5" s="1"/>
  <c r="U24" i="5"/>
  <c r="Y24" i="5" s="1"/>
  <c r="AC24" i="5" s="1"/>
  <c r="AG24" i="5" s="1"/>
  <c r="AK24" i="5" s="1"/>
  <c r="AO24" i="5" s="1"/>
  <c r="AS24" i="5" s="1"/>
  <c r="U58" i="5"/>
  <c r="Y58" i="5" s="1"/>
  <c r="AC58" i="5" s="1"/>
  <c r="AG58" i="5" s="1"/>
  <c r="AK58" i="5" s="1"/>
  <c r="AO58" i="5" s="1"/>
  <c r="AS58" i="5" s="1"/>
  <c r="AQ29" i="5"/>
  <c r="I146" i="5"/>
  <c r="L146" i="5" s="1"/>
  <c r="J29" i="5"/>
  <c r="J165" i="5" s="1"/>
  <c r="P166" i="5"/>
  <c r="Q7" i="5"/>
  <c r="Q163" i="5" s="1"/>
  <c r="R163" i="5" s="1"/>
  <c r="D7" i="5"/>
  <c r="D163" i="5" s="1"/>
  <c r="D164" i="5" s="1"/>
  <c r="O8" i="5"/>
  <c r="AC8" i="5" s="1"/>
  <c r="AB7" i="5"/>
  <c r="AB163" i="5" s="1"/>
  <c r="AB164" i="5" s="1"/>
  <c r="AB166" i="5" s="1"/>
  <c r="E7" i="5"/>
  <c r="I124" i="5"/>
  <c r="L124" i="5" s="1"/>
  <c r="O124" i="5" s="1"/>
  <c r="R124" i="5" s="1"/>
  <c r="AC124" i="5" s="1"/>
  <c r="AG124" i="5" s="1"/>
  <c r="AK124" i="5" s="1"/>
  <c r="AO124" i="5" s="1"/>
  <c r="AS124" i="5" s="1"/>
  <c r="AM29" i="5"/>
  <c r="P29" i="5"/>
  <c r="AO163" i="5"/>
  <c r="M29" i="5"/>
  <c r="M165" i="5" s="1"/>
  <c r="AE165" i="5"/>
  <c r="AG165" i="5" s="1"/>
  <c r="AI29" i="5"/>
  <c r="AI165" i="5" s="1"/>
  <c r="AK165" i="5" s="1"/>
  <c r="AG163" i="5"/>
  <c r="N164" i="5"/>
  <c r="O163" i="5"/>
  <c r="K164" i="5"/>
  <c r="L163" i="5"/>
  <c r="AO164" i="5"/>
  <c r="AN166" i="5"/>
  <c r="G29" i="5"/>
  <c r="H7" i="5"/>
  <c r="I16" i="5"/>
  <c r="L16" i="5" s="1"/>
  <c r="O16" i="5" s="1"/>
  <c r="R16" i="5" s="1"/>
  <c r="AA29" i="5"/>
  <c r="AA165" i="5" s="1"/>
  <c r="AC9" i="5"/>
  <c r="AG9" i="5" s="1"/>
  <c r="O17" i="38" l="1"/>
  <c r="AQ165" i="5"/>
  <c r="U17" i="38"/>
  <c r="AM165" i="5"/>
  <c r="AM166" i="5" s="1"/>
  <c r="O16" i="38"/>
  <c r="U16" i="38" s="1"/>
  <c r="AR164" i="5"/>
  <c r="AS163" i="5"/>
  <c r="AJ164" i="5"/>
  <c r="AK164" i="5" s="1"/>
  <c r="U15" i="38"/>
  <c r="I19" i="38"/>
  <c r="AQ166" i="5"/>
  <c r="U109" i="5"/>
  <c r="Y109" i="5" s="1"/>
  <c r="AC109" i="5" s="1"/>
  <c r="AG109" i="5" s="1"/>
  <c r="AK109" i="5" s="1"/>
  <c r="AO109" i="5" s="1"/>
  <c r="AS109" i="5" s="1"/>
  <c r="AC10" i="5"/>
  <c r="AG10" i="5" s="1"/>
  <c r="AK10" i="5" s="1"/>
  <c r="AO10" i="5" s="1"/>
  <c r="AS10" i="5" s="1"/>
  <c r="AS9" i="5" s="1"/>
  <c r="U16" i="5"/>
  <c r="AO165" i="5"/>
  <c r="AJ166" i="5"/>
  <c r="AO167" i="5"/>
  <c r="Q164" i="5"/>
  <c r="Q166" i="5" s="1"/>
  <c r="R167" i="5" s="1"/>
  <c r="AE166" i="5"/>
  <c r="AG167" i="5" s="1"/>
  <c r="J166" i="5"/>
  <c r="AC163" i="5"/>
  <c r="O146" i="5"/>
  <c r="R146" i="5" s="1"/>
  <c r="AC146" i="5" s="1"/>
  <c r="AG146" i="5" s="1"/>
  <c r="AK146" i="5" s="1"/>
  <c r="AO146" i="5" s="1"/>
  <c r="AS146" i="5" s="1"/>
  <c r="M166" i="5"/>
  <c r="E163" i="5"/>
  <c r="AI166" i="5"/>
  <c r="AG164" i="5"/>
  <c r="E164" i="5"/>
  <c r="D166" i="5"/>
  <c r="AG8" i="5"/>
  <c r="AK9" i="5"/>
  <c r="H163" i="5"/>
  <c r="I7" i="5"/>
  <c r="L7" i="5" s="1"/>
  <c r="O7" i="5" s="1"/>
  <c r="G165" i="5"/>
  <c r="G166" i="5" s="1"/>
  <c r="R7" i="5"/>
  <c r="U7" i="5" s="1"/>
  <c r="Y7" i="5" s="1"/>
  <c r="AC164" i="5"/>
  <c r="AC165" i="5"/>
  <c r="AA166" i="5"/>
  <c r="O13" i="38" s="1"/>
  <c r="U13" i="38" s="1"/>
  <c r="K166" i="5"/>
  <c r="L164" i="5"/>
  <c r="O164" i="5"/>
  <c r="N166" i="5"/>
  <c r="AR166" i="5" l="1"/>
  <c r="AS167" i="5" s="1"/>
  <c r="AS164" i="5"/>
  <c r="AS165" i="5"/>
  <c r="U19" i="38"/>
  <c r="O19" i="38"/>
  <c r="Y16" i="5"/>
  <c r="AC16" i="5" s="1"/>
  <c r="AG16" i="5" s="1"/>
  <c r="AK16" i="5" s="1"/>
  <c r="AO16" i="5" s="1"/>
  <c r="AS16" i="5" s="1"/>
  <c r="AC7" i="5"/>
  <c r="AG7" i="5" s="1"/>
  <c r="AK7" i="5" s="1"/>
  <c r="AO7" i="5" s="1"/>
  <c r="AS7" i="5" s="1"/>
  <c r="AK167" i="5"/>
  <c r="R164" i="5"/>
  <c r="L167" i="5"/>
  <c r="O167" i="5"/>
  <c r="AC167" i="5"/>
  <c r="AK8" i="5"/>
  <c r="AO9" i="5"/>
  <c r="H164" i="5"/>
  <c r="I163" i="5"/>
  <c r="I164" i="5" l="1"/>
  <c r="H166" i="5"/>
  <c r="I167" i="5" s="1"/>
  <c r="AO8" i="5"/>
  <c r="C30" i="5"/>
  <c r="C29" i="5" s="1"/>
  <c r="E70" i="5"/>
  <c r="I70" i="5" s="1"/>
  <c r="L70" i="5" s="1"/>
  <c r="O70" i="5" s="1"/>
  <c r="R70" i="5" s="1"/>
  <c r="E71" i="5"/>
  <c r="I71" i="5" s="1"/>
  <c r="L71" i="5" s="1"/>
  <c r="O71" i="5" s="1"/>
  <c r="R71" i="5" s="1"/>
  <c r="AC71" i="5" s="1"/>
  <c r="AG71" i="5" s="1"/>
  <c r="AK71" i="5" s="1"/>
  <c r="AO71" i="5" s="1"/>
  <c r="AS71" i="5" s="1"/>
  <c r="U70" i="5" l="1"/>
  <c r="Y70" i="5" s="1"/>
  <c r="AC70" i="5" s="1"/>
  <c r="AG70" i="5" s="1"/>
  <c r="AK70" i="5" s="1"/>
  <c r="AO70" i="5" s="1"/>
  <c r="AS70" i="5" s="1"/>
  <c r="E30" i="5"/>
  <c r="I30" i="5" s="1"/>
  <c r="L30" i="5" s="1"/>
  <c r="O30" i="5" s="1"/>
  <c r="R30" i="5" s="1"/>
  <c r="E29" i="5"/>
  <c r="I29" i="5" s="1"/>
  <c r="L29" i="5" s="1"/>
  <c r="O29" i="5" s="1"/>
  <c r="R29" i="5" s="1"/>
  <c r="C165" i="5"/>
  <c r="U29" i="5" l="1"/>
  <c r="Y29" i="5" s="1"/>
  <c r="AC29" i="5" s="1"/>
  <c r="AG29" i="5" s="1"/>
  <c r="AK29" i="5" s="1"/>
  <c r="AO29" i="5" s="1"/>
  <c r="AS29" i="5" s="1"/>
  <c r="U30" i="5"/>
  <c r="Y30" i="5" s="1"/>
  <c r="AC30" i="5" s="1"/>
  <c r="AG30" i="5" s="1"/>
  <c r="AK30" i="5" s="1"/>
  <c r="AO30" i="5" s="1"/>
  <c r="AS30" i="5" s="1"/>
  <c r="C166" i="5"/>
  <c r="E165" i="5"/>
  <c r="I165" i="5" s="1"/>
  <c r="L165" i="5" s="1"/>
  <c r="O165" i="5" s="1"/>
  <c r="R165" i="5" s="1"/>
  <c r="U165" i="5" s="1"/>
  <c r="E166" i="5" l="1"/>
  <c r="I166" i="5" s="1"/>
  <c r="L166" i="5" s="1"/>
  <c r="O166" i="5" s="1"/>
  <c r="R166" i="5" s="1"/>
  <c r="E167" i="5"/>
  <c r="U166" i="5" l="1"/>
  <c r="Y166" i="5" s="1"/>
  <c r="AC166" i="5" l="1"/>
  <c r="AG166" i="5" l="1"/>
  <c r="AK166" i="5" s="1"/>
  <c r="AC169" i="5"/>
  <c r="AO166" i="5" l="1"/>
  <c r="AS166" i="5" l="1"/>
  <c r="D91" i="36" l="1"/>
  <c r="E90" i="36" s="1"/>
  <c r="E98" i="36" s="1"/>
  <c r="E102" i="36" s="1"/>
  <c r="AS169" i="5"/>
  <c r="E100" i="3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Johana Villamizar Ochoa</author>
    <author>tc={FF357693-EA5C-4C07-A99C-49F4A32147F5}</author>
    <author>Jimmy Jaimes</author>
  </authors>
  <commentList>
    <comment ref="C90" authorId="0" shapeId="0" xr:uid="{8F504509-FC51-414C-A931-FE5BF2569BA7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de madera
</t>
        </r>
      </text>
    </comment>
    <comment ref="G90" authorId="0" shapeId="0" xr:uid="{A057E02C-DDC5-4C17-BD58-F5159F7BFC52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madera</t>
        </r>
      </text>
    </comment>
    <comment ref="J90" authorId="0" shapeId="0" xr:uid="{49ABD2B0-F0D8-4DA4-A29F-04655A74D54A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madera</t>
        </r>
      </text>
    </comment>
    <comment ref="M91" authorId="0" shapeId="0" xr:uid="{76147E5D-74F1-45EA-81BB-CCE8F8E59DF0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$450.000 MANGUERA VIBRADOR Y MADERA Y PUNTILLAS </t>
        </r>
      </text>
    </comment>
    <comment ref="G92" authorId="0" shapeId="0" xr:uid="{B5906948-CE02-44B1-990D-FA0FF3F2C5A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camara e instalacion</t>
        </r>
      </text>
    </comment>
    <comment ref="M93" authorId="0" shapeId="0" xr:uid="{5F15A9FC-D82B-42B5-8162-06C10475934C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lavado camion</t>
        </r>
      </text>
    </comment>
    <comment ref="P93" authorId="1" shapeId="0" xr:uid="{FF357693-EA5C-4C07-A99C-49F4A32147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COMPRA LLANTAS</t>
      </text>
    </comment>
    <comment ref="G96" authorId="0" shapeId="0" xr:uid="{107F9A9F-AC56-490D-A854-2ECEF90E614A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bombillo</t>
        </r>
      </text>
    </comment>
    <comment ref="J96" authorId="0" shapeId="0" xr:uid="{F7923019-193F-44CF-816A-44EC25266958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lampara bodega</t>
        </r>
      </text>
    </comment>
    <comment ref="M98" authorId="0" shapeId="0" xr:uid="{8C523A07-4ECD-44E1-BCC6-9C8495EE359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arreglo baño</t>
        </r>
      </text>
    </comment>
    <comment ref="J121" authorId="0" shapeId="0" xr:uid="{CA6E2AF4-4901-4F77-A640-974E613C46FB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extintores</t>
        </r>
      </text>
    </comment>
    <comment ref="AQ123" authorId="2" shapeId="0" xr:uid="{BD093D32-1CB0-45DB-AF97-5FF3F440D62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realiza deterioro de cartera y de inventario por desgaste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<sst xmlns="http://schemas.openxmlformats.org/spreadsheetml/2006/main" count="717" uniqueCount="473">
  <si>
    <t>EQUIORIENTE LTDA</t>
  </si>
  <si>
    <t>Cuenta</t>
  </si>
  <si>
    <t>Cód.</t>
  </si>
  <si>
    <t>Nombre</t>
  </si>
  <si>
    <t xml:space="preserve">Débitos </t>
  </si>
  <si>
    <t xml:space="preserve">Créditos </t>
  </si>
  <si>
    <t xml:space="preserve">Saldo actual </t>
  </si>
  <si>
    <t>4</t>
  </si>
  <si>
    <t>INGRESOS</t>
  </si>
  <si>
    <t>41</t>
  </si>
  <si>
    <t>Operacionales</t>
  </si>
  <si>
    <t>4155</t>
  </si>
  <si>
    <t>Actividades inmobiliarias, empresariales y de alquiler</t>
  </si>
  <si>
    <t>415520</t>
  </si>
  <si>
    <t>Transporte</t>
  </si>
  <si>
    <t>42</t>
  </si>
  <si>
    <t>No operacionales</t>
  </si>
  <si>
    <t>4210</t>
  </si>
  <si>
    <t>Financieros</t>
  </si>
  <si>
    <t>421005</t>
  </si>
  <si>
    <t>Intereses</t>
  </si>
  <si>
    <t>4220</t>
  </si>
  <si>
    <t>ARRENDAMIENTOS APARTAMENTOS</t>
  </si>
  <si>
    <t>422010</t>
  </si>
  <si>
    <t>Apartamentos Arrendados</t>
  </si>
  <si>
    <t>4235</t>
  </si>
  <si>
    <t>Servicios</t>
  </si>
  <si>
    <t>423510</t>
  </si>
  <si>
    <t>VENTAS SIN IVA</t>
  </si>
  <si>
    <t>5</t>
  </si>
  <si>
    <t>GASTOS</t>
  </si>
  <si>
    <t>51</t>
  </si>
  <si>
    <t>Operacionales de administración</t>
  </si>
  <si>
    <t>5105</t>
  </si>
  <si>
    <t>Gastos de personal</t>
  </si>
  <si>
    <t>510506</t>
  </si>
  <si>
    <t>Sueldos</t>
  </si>
  <si>
    <t>510527</t>
  </si>
  <si>
    <t>Auxilio de transporte</t>
  </si>
  <si>
    <t>510530</t>
  </si>
  <si>
    <t>Cesantías</t>
  </si>
  <si>
    <t>510533</t>
  </si>
  <si>
    <t>Intereses sobre cesantías</t>
  </si>
  <si>
    <t>510536</t>
  </si>
  <si>
    <t>Prima de servicios</t>
  </si>
  <si>
    <t>510539</t>
  </si>
  <si>
    <t>Vacaciones</t>
  </si>
  <si>
    <t>510551</t>
  </si>
  <si>
    <t>510568</t>
  </si>
  <si>
    <t>Aportes a administradoras de riesgos profesionales arp</t>
  </si>
  <si>
    <t>510569</t>
  </si>
  <si>
    <t>Aportes a entidades promotoras de salud eps</t>
  </si>
  <si>
    <t>510570</t>
  </si>
  <si>
    <t>Aportes a fondos de pensiones y/o cesantías</t>
  </si>
  <si>
    <t>510572</t>
  </si>
  <si>
    <t>Aportes cajas de compensación familiar</t>
  </si>
  <si>
    <t>5110</t>
  </si>
  <si>
    <t>Honorarios</t>
  </si>
  <si>
    <t>511030</t>
  </si>
  <si>
    <t>Asesoría financiera</t>
  </si>
  <si>
    <t>5115</t>
  </si>
  <si>
    <t>Impuestos</t>
  </si>
  <si>
    <t>511540</t>
  </si>
  <si>
    <t>De vehículos</t>
  </si>
  <si>
    <t>5120</t>
  </si>
  <si>
    <t>Arrendamientos</t>
  </si>
  <si>
    <t>512010</t>
  </si>
  <si>
    <t>Construcciones y edificaciones</t>
  </si>
  <si>
    <t>5130</t>
  </si>
  <si>
    <t>Seguros</t>
  </si>
  <si>
    <t>513095</t>
  </si>
  <si>
    <t>Otros</t>
  </si>
  <si>
    <t>5135</t>
  </si>
  <si>
    <t>513505</t>
  </si>
  <si>
    <t>Aseo y vigilancia</t>
  </si>
  <si>
    <t>513510</t>
  </si>
  <si>
    <t>Temporales</t>
  </si>
  <si>
    <t>513525</t>
  </si>
  <si>
    <t>Acueducto y alcantarillado</t>
  </si>
  <si>
    <t>513530</t>
  </si>
  <si>
    <t>Energía eléctrica</t>
  </si>
  <si>
    <t>513535</t>
  </si>
  <si>
    <t>5140</t>
  </si>
  <si>
    <t>Gastos legales</t>
  </si>
  <si>
    <t>514010</t>
  </si>
  <si>
    <t>Registro mercantil</t>
  </si>
  <si>
    <t>514015</t>
  </si>
  <si>
    <t>Trámites y licencias</t>
  </si>
  <si>
    <t>5145</t>
  </si>
  <si>
    <t>Mantenimiento y reparaciones</t>
  </si>
  <si>
    <t>514515</t>
  </si>
  <si>
    <t>Maquinaria y equipo</t>
  </si>
  <si>
    <t>514520</t>
  </si>
  <si>
    <t>Equipo de oficina</t>
  </si>
  <si>
    <t>514540</t>
  </si>
  <si>
    <t>Flota y equipo de transportes</t>
  </si>
  <si>
    <t>5150</t>
  </si>
  <si>
    <t>Adecuación e instalación</t>
  </si>
  <si>
    <t>515095</t>
  </si>
  <si>
    <t>5195</t>
  </si>
  <si>
    <t>Diversos</t>
  </si>
  <si>
    <t>519520</t>
  </si>
  <si>
    <t>Gastos de representación y relaciones públicas</t>
  </si>
  <si>
    <t>519525</t>
  </si>
  <si>
    <t>Elementos de aseo y cafetería</t>
  </si>
  <si>
    <t>519530</t>
  </si>
  <si>
    <t>Utiles, papelería y fotocopias</t>
  </si>
  <si>
    <t>519535</t>
  </si>
  <si>
    <t>Combustibles Turbo</t>
  </si>
  <si>
    <t>519545</t>
  </si>
  <si>
    <t>Taxis y buses</t>
  </si>
  <si>
    <t>519555</t>
  </si>
  <si>
    <t>Peajes</t>
  </si>
  <si>
    <t>519560</t>
  </si>
  <si>
    <t>Casino y restaurante</t>
  </si>
  <si>
    <t>519565</t>
  </si>
  <si>
    <t>Parqueaderos</t>
  </si>
  <si>
    <t>53</t>
  </si>
  <si>
    <t>5305</t>
  </si>
  <si>
    <t>530505</t>
  </si>
  <si>
    <t>Gastos bancarios</t>
  </si>
  <si>
    <t>530515</t>
  </si>
  <si>
    <t>Comisiones</t>
  </si>
  <si>
    <t>530525</t>
  </si>
  <si>
    <t>4 X MIL</t>
  </si>
  <si>
    <t>530540</t>
  </si>
  <si>
    <t>5315</t>
  </si>
  <si>
    <t>Gastos extraordinarios</t>
  </si>
  <si>
    <t>531520</t>
  </si>
  <si>
    <t>Impuestos asumidos</t>
  </si>
  <si>
    <t>Total Ingresos :</t>
  </si>
  <si>
    <t>Total Egresos :</t>
  </si>
  <si>
    <t>VENTA EQUIPO</t>
  </si>
  <si>
    <t>Alquiler IVA</t>
  </si>
  <si>
    <t>TOTAL INGRESOS OPERATIVOS(RESTANDO ARRIENDOS)</t>
  </si>
  <si>
    <t>UTILIDADES ACUMULADAS</t>
  </si>
  <si>
    <t>Teléfono fijo y moviles</t>
  </si>
  <si>
    <t>Dotación y elementos seguridad  trabajadores</t>
  </si>
  <si>
    <t>Transportes, fletes y acarreos</t>
  </si>
  <si>
    <t>Notariales</t>
  </si>
  <si>
    <t>Equipo de computación y comunicación</t>
  </si>
  <si>
    <t>Combustible Mantenimiento</t>
  </si>
  <si>
    <t>Operacionales de ventas</t>
  </si>
  <si>
    <t>Descuentos comerciales condicionados</t>
  </si>
  <si>
    <t xml:space="preserve">Ajuste al peso </t>
  </si>
  <si>
    <t>DIVERSOS</t>
  </si>
  <si>
    <t xml:space="preserve">Insdustria y Comercio </t>
  </si>
  <si>
    <t>514005</t>
  </si>
  <si>
    <t>514095</t>
  </si>
  <si>
    <t>514525</t>
  </si>
  <si>
    <t>519540</t>
  </si>
  <si>
    <t>52</t>
  </si>
  <si>
    <t>5215</t>
  </si>
  <si>
    <t>521595</t>
  </si>
  <si>
    <t>5220</t>
  </si>
  <si>
    <t>522015</t>
  </si>
  <si>
    <t>5245</t>
  </si>
  <si>
    <t>524510</t>
  </si>
  <si>
    <t>530535</t>
  </si>
  <si>
    <t>511505</t>
  </si>
  <si>
    <t xml:space="preserve">A la propiedad raiz </t>
  </si>
  <si>
    <t xml:space="preserve">Otros </t>
  </si>
  <si>
    <t xml:space="preserve">Instalaciones electricas </t>
  </si>
  <si>
    <t>Arreglos ornamentales</t>
  </si>
  <si>
    <t xml:space="preserve">Reparaciones locativas </t>
  </si>
  <si>
    <t xml:space="preserve">Asesoria Juridica </t>
  </si>
  <si>
    <t>Correo portes y telegrama</t>
  </si>
  <si>
    <t xml:space="preserve">Afiliaciones </t>
  </si>
  <si>
    <t xml:space="preserve">DIVERSOS </t>
  </si>
  <si>
    <t>Comisiones inmobiliaria</t>
  </si>
  <si>
    <t xml:space="preserve">Maquinaria y equipo </t>
  </si>
  <si>
    <t>MES</t>
  </si>
  <si>
    <t xml:space="preserve">TOTAL </t>
  </si>
  <si>
    <t xml:space="preserve">ENERO </t>
  </si>
  <si>
    <t xml:space="preserve">FEBRERO </t>
  </si>
  <si>
    <t>MARZO</t>
  </si>
  <si>
    <t xml:space="preserve">ABRIL </t>
  </si>
  <si>
    <t xml:space="preserve">SITUACION FINANCIERA </t>
  </si>
  <si>
    <t>1</t>
  </si>
  <si>
    <t>ACTIVO</t>
  </si>
  <si>
    <t>11</t>
  </si>
  <si>
    <t>Efectivo y equivalentes al efectivo</t>
  </si>
  <si>
    <t>1105</t>
  </si>
  <si>
    <t>Caja</t>
  </si>
  <si>
    <t>110505</t>
  </si>
  <si>
    <t>Caja general</t>
  </si>
  <si>
    <t>1120</t>
  </si>
  <si>
    <t>Cuentas de ahorro</t>
  </si>
  <si>
    <t>112005</t>
  </si>
  <si>
    <t>Bancos</t>
  </si>
  <si>
    <t>11200501</t>
  </si>
  <si>
    <t>BBVA</t>
  </si>
  <si>
    <t>13</t>
  </si>
  <si>
    <t>Cuentas por cobrar (instrumentos financieros)</t>
  </si>
  <si>
    <t>Clientes</t>
  </si>
  <si>
    <t>130505</t>
  </si>
  <si>
    <t>Nacionales</t>
  </si>
  <si>
    <t>130515</t>
  </si>
  <si>
    <t>Deudores facturacion sin iva</t>
  </si>
  <si>
    <t>1355</t>
  </si>
  <si>
    <t>Anticipo de impuestos y contribuciones o saldos a favor</t>
  </si>
  <si>
    <t>135505</t>
  </si>
  <si>
    <t>Anticipo de impuestos de renta y complementarios</t>
  </si>
  <si>
    <t>135515</t>
  </si>
  <si>
    <t>Retención en la fuente</t>
  </si>
  <si>
    <t>13559006</t>
  </si>
  <si>
    <t>15</t>
  </si>
  <si>
    <t>Propiedades planta y equipo</t>
  </si>
  <si>
    <t>1516</t>
  </si>
  <si>
    <t>151605</t>
  </si>
  <si>
    <t xml:space="preserve">Apto sion </t>
  </si>
  <si>
    <t>1528</t>
  </si>
  <si>
    <t>152805</t>
  </si>
  <si>
    <t>Equipo de procesamiento de datos</t>
  </si>
  <si>
    <t>1540</t>
  </si>
  <si>
    <t>Flota y equipo de transporte</t>
  </si>
  <si>
    <t>154008</t>
  </si>
  <si>
    <t>Camiones, volquetas y furgones</t>
  </si>
  <si>
    <t>1592</t>
  </si>
  <si>
    <t>Depreciación acumulada</t>
  </si>
  <si>
    <t>16</t>
  </si>
  <si>
    <t>Intangibles</t>
  </si>
  <si>
    <t>1635</t>
  </si>
  <si>
    <t>Licencias</t>
  </si>
  <si>
    <t xml:space="preserve">TOTAL ACTIVO </t>
  </si>
  <si>
    <t>2365</t>
  </si>
  <si>
    <t>2370</t>
  </si>
  <si>
    <t>Retenciones y aportes de nómina</t>
  </si>
  <si>
    <t>Aportes a entidades promotoras de salud EPS</t>
  </si>
  <si>
    <t>237010</t>
  </si>
  <si>
    <t>Aportes al i.c.b.f, sena y cajas compensación</t>
  </si>
  <si>
    <t>2380</t>
  </si>
  <si>
    <t>Acreedores varios</t>
  </si>
  <si>
    <t>24</t>
  </si>
  <si>
    <t>Impuestos, gravámenes y tasas</t>
  </si>
  <si>
    <t>Impuesto sobre las ventas por pagar</t>
  </si>
  <si>
    <t>26</t>
  </si>
  <si>
    <t>Provisión de pasivos</t>
  </si>
  <si>
    <t>2610</t>
  </si>
  <si>
    <t>Para obligaciones laborales</t>
  </si>
  <si>
    <t>261005</t>
  </si>
  <si>
    <t>261010</t>
  </si>
  <si>
    <t xml:space="preserve">TOTAL PASIVO </t>
  </si>
  <si>
    <t>3</t>
  </si>
  <si>
    <t>PATRIMONIO</t>
  </si>
  <si>
    <t>31</t>
  </si>
  <si>
    <t>Capital social</t>
  </si>
  <si>
    <t>3105</t>
  </si>
  <si>
    <t>Capital suscrito y pagado</t>
  </si>
  <si>
    <t>310505</t>
  </si>
  <si>
    <t>36</t>
  </si>
  <si>
    <t>Resultados del ejercicio</t>
  </si>
  <si>
    <t xml:space="preserve">UTILIDAD DEL EJERCICIO ANTERIORES </t>
  </si>
  <si>
    <t xml:space="preserve">TOTAL PATRIMONIO </t>
  </si>
  <si>
    <t>TOTAL PATRIMONIO  Y PASIVO</t>
  </si>
  <si>
    <t>UTILIDAD ACUMULADA DEL CUATRIMESTRE</t>
  </si>
  <si>
    <t>Autorretencion de renta</t>
  </si>
  <si>
    <t>EXOGENA</t>
  </si>
  <si>
    <t xml:space="preserve">Horas extras </t>
  </si>
  <si>
    <t xml:space="preserve">servicios </t>
  </si>
  <si>
    <t>inmuebles</t>
  </si>
  <si>
    <t>intereses prestamos socios</t>
  </si>
  <si>
    <t>Depreciacion</t>
  </si>
  <si>
    <t>construcciones y edificaciones</t>
  </si>
  <si>
    <t>maquinaria y equipo</t>
  </si>
  <si>
    <t>equipo de oficina</t>
  </si>
  <si>
    <t>equipo de computacion</t>
  </si>
  <si>
    <t>flota y equipo de transporte</t>
  </si>
  <si>
    <t>ADECUACIONES E INSTALACIONES</t>
  </si>
  <si>
    <t>Reparaciones locativas</t>
  </si>
  <si>
    <t xml:space="preserve">Industria y comercio </t>
  </si>
  <si>
    <t xml:space="preserve">UTILIDAD MENSUAL </t>
  </si>
  <si>
    <t>ENERO</t>
  </si>
  <si>
    <t xml:space="preserve">MARZO </t>
  </si>
  <si>
    <t>Drogas y medicamentos</t>
  </si>
  <si>
    <t>VENTAS FISCALES 2020</t>
  </si>
  <si>
    <t>VENTAS SIN IVA 2020</t>
  </si>
  <si>
    <t>GASTOS 2020</t>
  </si>
  <si>
    <t>UTILIDAD 2020</t>
  </si>
  <si>
    <t>FUMIGACION</t>
  </si>
  <si>
    <t xml:space="preserve">Retención en la fuente </t>
  </si>
  <si>
    <t xml:space="preserve">Reteica </t>
  </si>
  <si>
    <t>VENTAS FISCALES 2021</t>
  </si>
  <si>
    <t>VENTAS SIN IVA 2021</t>
  </si>
  <si>
    <t>GASTOS 2021</t>
  </si>
  <si>
    <t>UTILIDAD 2021</t>
  </si>
  <si>
    <t xml:space="preserve">Otros SOAT </t>
  </si>
  <si>
    <t xml:space="preserve">Obligatorio accidente de transito </t>
  </si>
  <si>
    <t>Devoluciones en ventas (db)</t>
  </si>
  <si>
    <t>No Deducible</t>
  </si>
  <si>
    <t xml:space="preserve">Flota y equipo de transporte </t>
  </si>
  <si>
    <t>VENTAS FISCALES 2022</t>
  </si>
  <si>
    <t>VENTAS SIN IVA 2022</t>
  </si>
  <si>
    <t>GASTOS 2022</t>
  </si>
  <si>
    <t>UTILIDAD 2022</t>
  </si>
  <si>
    <t xml:space="preserve">Prima </t>
  </si>
  <si>
    <t>MAYO</t>
  </si>
  <si>
    <t>JULIO</t>
  </si>
  <si>
    <t>AGOSTO</t>
  </si>
  <si>
    <t xml:space="preserve">Varios </t>
  </si>
  <si>
    <t>Puerta de Oro etapa 3</t>
  </si>
  <si>
    <t>Saldos a 30/12/2022</t>
  </si>
  <si>
    <t>Mov. 01/12/2022 a 31/12/2022</t>
  </si>
  <si>
    <t>Saldos a 30/11/2022</t>
  </si>
  <si>
    <t>Mov. 01/11/2022 a 30/11/2022</t>
  </si>
  <si>
    <t>Mov. 01/10/2022 a 31/10/2022</t>
  </si>
  <si>
    <t>Saldos a 31/10/2022</t>
  </si>
  <si>
    <t>Mov. 01/09/2022 a 30/09/2022</t>
  </si>
  <si>
    <t>Saldos a 30/09/2022</t>
  </si>
  <si>
    <t>Saldos a 30/08/2022</t>
  </si>
  <si>
    <t>Saldos a 31/07/2022</t>
  </si>
  <si>
    <t>Afilicaciones y contribuciones</t>
  </si>
  <si>
    <t>Saldos a 31/01/23</t>
  </si>
  <si>
    <t>Saldos a 28/02/2023</t>
  </si>
  <si>
    <t>Mov. 01/03/2023 a 31/03/2023</t>
  </si>
  <si>
    <t>Saldos a 31/03/2023</t>
  </si>
  <si>
    <t>Mov. 01/04/2023 a 30/04/2023</t>
  </si>
  <si>
    <t>Saldos a 30/04/2023</t>
  </si>
  <si>
    <t>Mov. 01/05/2023 a 31/05/2023</t>
  </si>
  <si>
    <t>Saldos a 31/05/2023</t>
  </si>
  <si>
    <t>Mov. 01/06/2023 a 30/06/202</t>
  </si>
  <si>
    <t>Saldos a 30/06/2023</t>
  </si>
  <si>
    <t>Mov. 01/07/2023 a 31/07/2023</t>
  </si>
  <si>
    <t>Mov. 01/08/2023 a 31/08/2023</t>
  </si>
  <si>
    <t>Bonificaciones</t>
  </si>
  <si>
    <t>Procesamiento datos</t>
  </si>
  <si>
    <t>VENTAS FISCALES 2023</t>
  </si>
  <si>
    <t>VENTAS SIN IVA 2023</t>
  </si>
  <si>
    <t>2408</t>
  </si>
  <si>
    <t xml:space="preserve">Gastos Diversos </t>
  </si>
  <si>
    <t>otros</t>
  </si>
  <si>
    <t>Gastos manejo y emision de bonos</t>
  </si>
  <si>
    <t xml:space="preserve">JUNIO </t>
  </si>
  <si>
    <t>SEPT</t>
  </si>
  <si>
    <t>OCTUBRE</t>
  </si>
  <si>
    <t>NOVIEMBRE</t>
  </si>
  <si>
    <t>DICIEMBRE</t>
  </si>
  <si>
    <t>Utilidad de ejercicios anteriores</t>
  </si>
  <si>
    <t>1305</t>
  </si>
  <si>
    <t>236525</t>
  </si>
  <si>
    <t>Autorretencion</t>
  </si>
  <si>
    <t>237005</t>
  </si>
  <si>
    <t>237006</t>
  </si>
  <si>
    <t>238030</t>
  </si>
  <si>
    <t>Fondos de cesantías y/o pensiones</t>
  </si>
  <si>
    <t xml:space="preserve">industria y comercio </t>
  </si>
  <si>
    <t>OCT</t>
  </si>
  <si>
    <t>NOV</t>
  </si>
  <si>
    <t xml:space="preserve">Capital autorizado suscrito y pagado </t>
  </si>
  <si>
    <t>Deterioro de cartera</t>
  </si>
  <si>
    <t>GASTOS 2023</t>
  </si>
  <si>
    <t>UTILIDAD 2023</t>
  </si>
  <si>
    <t xml:space="preserve">MAQUINARIA Y EQUIPO </t>
  </si>
  <si>
    <t>Formaleta</t>
  </si>
  <si>
    <t>NILSON RUEDA</t>
  </si>
  <si>
    <t>PABLO JAIMES</t>
  </si>
  <si>
    <t>MAURICIO</t>
  </si>
  <si>
    <t>JUAN PABLO SARMIENTO</t>
  </si>
  <si>
    <t>CARLOS RIVERA</t>
  </si>
  <si>
    <t>GERARDO CONTRERAS</t>
  </si>
  <si>
    <t>REYNALDO ARDILA</t>
  </si>
  <si>
    <t>EDWIN</t>
  </si>
  <si>
    <t xml:space="preserve">JULIO </t>
  </si>
  <si>
    <t xml:space="preserve">AGOSTO </t>
  </si>
  <si>
    <t>DIC</t>
  </si>
  <si>
    <t>FEBRERO</t>
  </si>
  <si>
    <t xml:space="preserve">MAYO </t>
  </si>
  <si>
    <t>Perdida de ejercicio</t>
  </si>
  <si>
    <t>CARTERA NO FISCAL</t>
  </si>
  <si>
    <t>VENTAS FISCALES 2024</t>
  </si>
  <si>
    <t>VENTAS SIN IVA 2024</t>
  </si>
  <si>
    <t>GASTOS 2024</t>
  </si>
  <si>
    <t>UTILIDAD 2024</t>
  </si>
  <si>
    <t>JUNIO</t>
  </si>
  <si>
    <t>INFORMES AÑO 2025</t>
  </si>
  <si>
    <t>|</t>
  </si>
  <si>
    <t>VENTAS FISCALES 2025</t>
  </si>
  <si>
    <t>VENTAS SIN IVA 2025</t>
  </si>
  <si>
    <t>GASTOS 2025</t>
  </si>
  <si>
    <t>UTILIDAD 2025</t>
  </si>
  <si>
    <t>CARTERA FISCAL</t>
  </si>
  <si>
    <t>TOTAL</t>
  </si>
  <si>
    <t>CDT</t>
  </si>
  <si>
    <t>ANTICIPO PUERTA DE ORO</t>
  </si>
  <si>
    <t>DISTRIBUCION GASTOS ZION</t>
  </si>
  <si>
    <t>Valor Venta</t>
  </si>
  <si>
    <t>Comision Yamile</t>
  </si>
  <si>
    <t>Gastos paz y salvos Yamile</t>
  </si>
  <si>
    <t>Boleta fiscal y registro</t>
  </si>
  <si>
    <t>Derechos notariales</t>
  </si>
  <si>
    <t>Subtotal</t>
  </si>
  <si>
    <t>Consignado en Equioriente</t>
  </si>
  <si>
    <t>Efectivo</t>
  </si>
  <si>
    <t>Heidy</t>
  </si>
  <si>
    <t>Jhon</t>
  </si>
  <si>
    <t>Jimmy</t>
  </si>
  <si>
    <t>Madre</t>
  </si>
  <si>
    <t>Distribucion efectivo</t>
  </si>
  <si>
    <t>Saldo pendiente por Equioriente.</t>
  </si>
  <si>
    <t>zion</t>
  </si>
  <si>
    <t>se cruczo con cuenta davivienda</t>
  </si>
  <si>
    <t>PUERTA DE ORO</t>
  </si>
  <si>
    <t>CDT1 JULIO 18</t>
  </si>
  <si>
    <t>CDT2 FEBRERO 20</t>
  </si>
  <si>
    <t xml:space="preserve">DE LO ENTREGADO EFECTIVO </t>
  </si>
  <si>
    <t>DE LO CONSIGNADO EQUIORIENTE</t>
  </si>
  <si>
    <t xml:space="preserve">SE ENTREGA DE LA SIGUIENTE MANERA </t>
  </si>
  <si>
    <t>SEPTIEMBRE</t>
  </si>
  <si>
    <t>polymis</t>
  </si>
  <si>
    <t xml:space="preserve">geison amaya </t>
  </si>
  <si>
    <t>copower</t>
  </si>
  <si>
    <t>enr27</t>
  </si>
  <si>
    <t>nestor lopez</t>
  </si>
  <si>
    <t>CDT BBVA 19/12/2025</t>
  </si>
  <si>
    <t>venci 19/03/2026</t>
  </si>
  <si>
    <t>CDT COMULTRASAN20/02/2025</t>
  </si>
  <si>
    <t>CDT COOMULTRASAN  18/07/2025</t>
  </si>
  <si>
    <t>VENC 20/08/2025</t>
  </si>
  <si>
    <t>VENC 18/10/2025</t>
  </si>
  <si>
    <t>TRIMESTRE</t>
  </si>
  <si>
    <t>Fecha documento</t>
  </si>
  <si>
    <t>Documento #</t>
  </si>
  <si>
    <t>Cuenta - Cód.</t>
  </si>
  <si>
    <t>Cuenta - Nombre de la cuenta NIIF</t>
  </si>
  <si>
    <t>Tercero - Cód.</t>
  </si>
  <si>
    <t>Tercero - Nombre-apellido</t>
  </si>
  <si>
    <t>CC imputado - Cód.</t>
  </si>
  <si>
    <t>Débito</t>
  </si>
  <si>
    <t>Crédito</t>
  </si>
  <si>
    <t>Saldo</t>
  </si>
  <si>
    <t>CI-000160</t>
  </si>
  <si>
    <t>Ret. por servicios en general</t>
  </si>
  <si>
    <t>CUBYCO CONSTRUCTORES SA</t>
  </si>
  <si>
    <t>INVERSIONES G Y C23 S.A.S.</t>
  </si>
  <si>
    <t>PERFOSANDER L</t>
  </si>
  <si>
    <t>INVERSIONES ULLOA MONSALVE SAS</t>
  </si>
  <si>
    <t>CI-000172</t>
  </si>
  <si>
    <t>STERICARE PLUS SAS</t>
  </si>
  <si>
    <t>EDUSYS SISTEMAS LTDA</t>
  </si>
  <si>
    <t>CI-000171</t>
  </si>
  <si>
    <t>NT-2507008</t>
  </si>
  <si>
    <t>Ret. por comisiones</t>
  </si>
  <si>
    <t>INMOBILIARIA E INGENIERIA AJC LTDA</t>
  </si>
  <si>
    <t>NT-2507009</t>
  </si>
  <si>
    <t>Ret. por rendimientos financieros.</t>
  </si>
  <si>
    <t>ALQILERES Y EQIPOS DEL ORIENTE</t>
  </si>
  <si>
    <t>NT-2508006</t>
  </si>
  <si>
    <t xml:space="preserve">AUTORRETENCION </t>
  </si>
  <si>
    <t xml:space="preserve">INMUEBLE </t>
  </si>
  <si>
    <t>DEPREC</t>
  </si>
  <si>
    <t>VENTA ZION  CDT</t>
  </si>
  <si>
    <t>MENOS OPERACIÓN</t>
  </si>
  <si>
    <t>CDT 1</t>
  </si>
  <si>
    <t>CDT 2</t>
  </si>
  <si>
    <t xml:space="preserve"> NOTA ESTA INCLUIDO LOS INTERESES  $ 336,240</t>
  </si>
  <si>
    <t xml:space="preserve"> NOTA ESTA INCLUIDO LOS INTERESES  $ 426707</t>
  </si>
  <si>
    <t>SALDO AGOSTO 31</t>
  </si>
  <si>
    <t>CDT 3</t>
  </si>
  <si>
    <t>INTERESES SEPT A DIC</t>
  </si>
  <si>
    <t>SALDO PEND JIMMY</t>
  </si>
  <si>
    <t>NOTA : $ 89642300 MENOS ($4,857,700) MAS INTERESES $ 1722509 + SALDO $1,630,187</t>
  </si>
  <si>
    <t>FECHA: 31 de Diciembre DE 2025</t>
  </si>
  <si>
    <t xml:space="preserve">MATERIAL DE FORMALETA </t>
  </si>
  <si>
    <t>EQUIPO DE CONSTRUCCION</t>
  </si>
  <si>
    <t>DEPRE</t>
  </si>
  <si>
    <t>VR FORMALETA</t>
  </si>
  <si>
    <t>APTO ANTICIPOS PUERTA ORO</t>
  </si>
  <si>
    <t>CAJA</t>
  </si>
  <si>
    <t xml:space="preserve">PASIVOS </t>
  </si>
  <si>
    <t xml:space="preserve">PUERTA DE ORO </t>
  </si>
  <si>
    <t>SE DESCUENTA SALDO PENDIENTE DE EQUIORIENTE</t>
  </si>
  <si>
    <t>NUEVO CDT</t>
  </si>
  <si>
    <t>TOTAL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</si>
</sst>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\ #,##0;\-&quot;$&quot;\ #,##0"/>
    <numFmt numFmtId="7" formatCode="&quot;$&quot;\ #,##0.00;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.00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&quot;$&quot;#,##0.00;\-&quot;$&quot;#,##0.00"/>
    <numFmt numFmtId="169" formatCode="_ &quot;$&quot;\ * #,##0.00_ ;_ &quot;$&quot;\ * \-#,##0.00_ ;_ &quot;$&quot;\ * &quot;-&quot;??_ ;_ @_ "/>
    <numFmt numFmtId="170" formatCode="_-&quot;$&quot;\ * #,##0_-;\-&quot;$&quot;\ * #,##0_-;_-&quot;$&quot;\ * &quot;-&quot;??_-;_-@_-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color theme="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8"/>
      <name val="MS Sans Serif"/>
    </font>
    <font>
      <sz val="11"/>
      <color theme="0"/>
      <name val="Calibri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8"/>
      <color theme="1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3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>
      <alignment vertical="top"/>
    </xf>
    <xf numFmtId="0" fontId="16" fillId="0" borderId="0"/>
    <xf numFmtId="16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00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7" fontId="2" fillId="0" borderId="0" xfId="1" applyNumberFormat="1" applyFont="1" applyAlignment="1">
      <alignment horizontal="right" vertical="top" wrapText="1"/>
    </xf>
    <xf numFmtId="0" fontId="1" fillId="0" borderId="7" xfId="1" applyBorder="1"/>
    <xf numFmtId="0" fontId="1" fillId="0" borderId="6" xfId="1" applyBorder="1"/>
    <xf numFmtId="0" fontId="1" fillId="0" borderId="8" xfId="1" applyBorder="1"/>
    <xf numFmtId="3" fontId="3" fillId="0" borderId="4" xfId="1" applyNumberFormat="1" applyFont="1" applyBorder="1" applyAlignment="1">
      <alignment vertical="top" wrapText="1"/>
    </xf>
    <xf numFmtId="3" fontId="8" fillId="0" borderId="10" xfId="2" applyNumberFormat="1" applyFont="1" applyBorder="1"/>
    <xf numFmtId="3" fontId="3" fillId="0" borderId="11" xfId="1" applyNumberFormat="1" applyFont="1" applyBorder="1" applyAlignment="1">
      <alignment horizontal="center" vertical="top" wrapText="1"/>
    </xf>
    <xf numFmtId="3" fontId="3" fillId="0" borderId="12" xfId="1" applyNumberFormat="1" applyFont="1" applyBorder="1" applyAlignment="1">
      <alignment horizontal="center" vertical="top" wrapText="1"/>
    </xf>
    <xf numFmtId="3" fontId="3" fillId="0" borderId="13" xfId="1" applyNumberFormat="1" applyFont="1" applyBorder="1" applyAlignment="1">
      <alignment horizontal="center" vertical="top" wrapText="1"/>
    </xf>
    <xf numFmtId="164" fontId="0" fillId="0" borderId="0" xfId="3" applyFont="1"/>
    <xf numFmtId="0" fontId="1" fillId="0" borderId="3" xfId="1" applyBorder="1"/>
    <xf numFmtId="0" fontId="1" fillId="0" borderId="14" xfId="1" applyBorder="1"/>
    <xf numFmtId="0" fontId="1" fillId="0" borderId="15" xfId="1" applyBorder="1"/>
    <xf numFmtId="3" fontId="3" fillId="0" borderId="16" xfId="1" applyNumberFormat="1" applyFont="1" applyBorder="1" applyAlignment="1">
      <alignment vertical="top" wrapText="1"/>
    </xf>
    <xf numFmtId="3" fontId="3" fillId="0" borderId="17" xfId="1" applyNumberFormat="1" applyFont="1" applyBorder="1" applyAlignment="1">
      <alignment vertical="top" wrapText="1"/>
    </xf>
    <xf numFmtId="3" fontId="3" fillId="0" borderId="0" xfId="1" applyNumberFormat="1" applyFont="1" applyAlignment="1">
      <alignment vertical="top" wrapText="1"/>
    </xf>
    <xf numFmtId="3" fontId="2" fillId="0" borderId="0" xfId="1" applyNumberFormat="1" applyFont="1" applyAlignment="1">
      <alignment horizontal="right" vertical="top" wrapText="1"/>
    </xf>
    <xf numFmtId="167" fontId="8" fillId="0" borderId="0" xfId="2" applyNumberFormat="1" applyFont="1"/>
    <xf numFmtId="167" fontId="8" fillId="0" borderId="18" xfId="2" applyNumberFormat="1" applyFont="1" applyBorder="1"/>
    <xf numFmtId="168" fontId="1" fillId="0" borderId="0" xfId="1" applyNumberFormat="1"/>
    <xf numFmtId="3" fontId="2" fillId="0" borderId="10" xfId="1" applyNumberFormat="1" applyFont="1" applyBorder="1" applyAlignment="1">
      <alignment horizontal="right" vertical="top" wrapText="1"/>
    </xf>
    <xf numFmtId="3" fontId="3" fillId="0" borderId="10" xfId="1" applyNumberFormat="1" applyFont="1" applyBorder="1" applyAlignment="1">
      <alignment horizontal="center" vertical="top" wrapText="1"/>
    </xf>
    <xf numFmtId="7" fontId="2" fillId="0" borderId="10" xfId="1" applyNumberFormat="1" applyFont="1" applyBorder="1" applyAlignment="1">
      <alignment horizontal="right" vertical="top" wrapText="1"/>
    </xf>
    <xf numFmtId="7" fontId="1" fillId="0" borderId="0" xfId="1" applyNumberFormat="1"/>
    <xf numFmtId="3" fontId="0" fillId="0" borderId="0" xfId="3" applyNumberFormat="1" applyFont="1" applyBorder="1"/>
    <xf numFmtId="3" fontId="1" fillId="0" borderId="0" xfId="1" applyNumberFormat="1"/>
    <xf numFmtId="167" fontId="8" fillId="0" borderId="0" xfId="2" applyNumberFormat="1" applyFont="1" applyBorder="1"/>
    <xf numFmtId="3" fontId="3" fillId="0" borderId="18" xfId="1" applyNumberFormat="1" applyFont="1" applyBorder="1" applyAlignment="1">
      <alignment horizontal="center" vertical="top" wrapText="1"/>
    </xf>
    <xf numFmtId="3" fontId="3" fillId="0" borderId="4" xfId="1" applyNumberFormat="1" applyFont="1" applyBorder="1" applyAlignment="1">
      <alignment horizontal="center" vertical="top" wrapText="1"/>
    </xf>
    <xf numFmtId="3" fontId="8" fillId="0" borderId="0" xfId="2" applyNumberFormat="1" applyFont="1" applyBorder="1"/>
    <xf numFmtId="3" fontId="8" fillId="8" borderId="18" xfId="2" applyNumberFormat="1" applyFont="1" applyFill="1" applyBorder="1"/>
    <xf numFmtId="3" fontId="0" fillId="0" borderId="10" xfId="3" applyNumberFormat="1" applyFont="1" applyFill="1" applyBorder="1"/>
    <xf numFmtId="3" fontId="3" fillId="0" borderId="20" xfId="1" applyNumberFormat="1" applyFont="1" applyBorder="1" applyAlignment="1">
      <alignment horizontal="center" vertical="top" wrapText="1"/>
    </xf>
    <xf numFmtId="3" fontId="8" fillId="0" borderId="18" xfId="2" applyNumberFormat="1" applyFont="1" applyBorder="1"/>
    <xf numFmtId="3" fontId="8" fillId="0" borderId="20" xfId="2" applyNumberFormat="1" applyFont="1" applyFill="1" applyBorder="1"/>
    <xf numFmtId="7" fontId="9" fillId="0" borderId="0" xfId="4" applyNumberFormat="1" applyProtection="1">
      <alignment vertical="top"/>
      <protection locked="0"/>
    </xf>
    <xf numFmtId="43" fontId="9" fillId="0" borderId="0" xfId="4" applyNumberFormat="1" applyProtection="1">
      <alignment vertical="top"/>
      <protection locked="0"/>
    </xf>
    <xf numFmtId="3" fontId="3" fillId="0" borderId="19" xfId="1" applyNumberFormat="1" applyFont="1" applyBorder="1" applyAlignment="1">
      <alignment horizontal="center" vertical="top" wrapText="1"/>
    </xf>
    <xf numFmtId="3" fontId="3" fillId="0" borderId="26" xfId="1" applyNumberFormat="1" applyFont="1" applyBorder="1" applyAlignment="1">
      <alignment vertical="top" wrapText="1"/>
    </xf>
    <xf numFmtId="168" fontId="1" fillId="0" borderId="24" xfId="1" applyNumberFormat="1" applyBorder="1"/>
    <xf numFmtId="3" fontId="8" fillId="0" borderId="10" xfId="7" applyNumberFormat="1" applyFont="1" applyBorder="1"/>
    <xf numFmtId="3" fontId="8" fillId="0" borderId="10" xfId="7" applyNumberFormat="1" applyFont="1" applyFill="1" applyBorder="1"/>
    <xf numFmtId="3" fontId="8" fillId="0" borderId="20" xfId="7" applyNumberFormat="1" applyFont="1" applyFill="1" applyBorder="1"/>
    <xf numFmtId="3" fontId="3" fillId="0" borderId="27" xfId="1" applyNumberFormat="1" applyFont="1" applyBorder="1" applyAlignment="1">
      <alignment horizontal="center" vertical="top" wrapText="1"/>
    </xf>
    <xf numFmtId="3" fontId="8" fillId="0" borderId="0" xfId="7" applyNumberFormat="1" applyFont="1" applyBorder="1"/>
    <xf numFmtId="3" fontId="8" fillId="0" borderId="0" xfId="11" applyNumberFormat="1" applyFont="1" applyFill="1" applyBorder="1"/>
    <xf numFmtId="170" fontId="14" fillId="0" borderId="0" xfId="13" applyNumberFormat="1" applyFont="1" applyAlignment="1" applyProtection="1">
      <alignment vertical="top"/>
      <protection locked="0"/>
    </xf>
    <xf numFmtId="170" fontId="13" fillId="0" borderId="0" xfId="13" applyNumberFormat="1" applyFont="1" applyAlignment="1" applyProtection="1">
      <alignment vertical="top"/>
      <protection locked="0"/>
    </xf>
    <xf numFmtId="0" fontId="14" fillId="0" borderId="0" xfId="4" applyFont="1" applyAlignment="1">
      <alignment horizontal="left" vertical="top"/>
    </xf>
    <xf numFmtId="0" fontId="13" fillId="0" borderId="0" xfId="4" applyFont="1" applyAlignment="1">
      <alignment horizontal="left" vertical="top"/>
    </xf>
    <xf numFmtId="0" fontId="11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0" fontId="0" fillId="0" borderId="10" xfId="0" applyBorder="1"/>
    <xf numFmtId="0" fontId="9" fillId="0" borderId="0" xfId="4" applyProtection="1">
      <alignment vertical="top"/>
      <protection locked="0"/>
    </xf>
    <xf numFmtId="3" fontId="14" fillId="0" borderId="0" xfId="4" applyNumberFormat="1" applyFont="1" applyAlignment="1">
      <alignment horizontal="right" vertical="top"/>
    </xf>
    <xf numFmtId="0" fontId="12" fillId="0" borderId="0" xfId="4" applyFont="1" applyAlignment="1">
      <alignment horizontal="right" vertical="top"/>
    </xf>
    <xf numFmtId="3" fontId="13" fillId="0" borderId="0" xfId="4" applyNumberFormat="1" applyFont="1" applyAlignment="1">
      <alignment horizontal="right" vertical="top"/>
    </xf>
    <xf numFmtId="0" fontId="13" fillId="0" borderId="0" xfId="4" applyFont="1" applyAlignment="1">
      <alignment horizontal="right" vertical="top"/>
    </xf>
    <xf numFmtId="3" fontId="9" fillId="0" borderId="0" xfId="4" applyNumberFormat="1" applyProtection="1">
      <alignment vertical="top"/>
      <protection locked="0"/>
    </xf>
    <xf numFmtId="0" fontId="9" fillId="4" borderId="0" xfId="4" applyFill="1" applyProtection="1">
      <alignment vertical="top"/>
      <protection locked="0"/>
    </xf>
    <xf numFmtId="0" fontId="14" fillId="0" borderId="0" xfId="4" applyFont="1" applyProtection="1">
      <alignment vertical="top"/>
      <protection locked="0"/>
    </xf>
    <xf numFmtId="0" fontId="9" fillId="0" borderId="0" xfId="4" applyAlignment="1" applyProtection="1">
      <alignment horizontal="right" vertical="top"/>
      <protection locked="0"/>
    </xf>
    <xf numFmtId="3" fontId="9" fillId="0" borderId="0" xfId="4" applyNumberFormat="1" applyAlignment="1" applyProtection="1">
      <alignment horizontal="right" vertical="top"/>
      <protection locked="0"/>
    </xf>
    <xf numFmtId="0" fontId="20" fillId="0" borderId="0" xfId="4" applyFont="1" applyAlignment="1">
      <alignment horizontal="left" vertical="top"/>
    </xf>
    <xf numFmtId="0" fontId="18" fillId="0" borderId="0" xfId="4" applyFont="1" applyProtection="1">
      <alignment vertical="top"/>
      <protection locked="0"/>
    </xf>
    <xf numFmtId="3" fontId="20" fillId="4" borderId="0" xfId="4" applyNumberFormat="1" applyFont="1" applyFill="1" applyAlignment="1">
      <alignment horizontal="right" vertical="top"/>
    </xf>
    <xf numFmtId="0" fontId="18" fillId="4" borderId="0" xfId="4" applyFont="1" applyFill="1" applyProtection="1">
      <alignment vertical="top"/>
      <protection locked="0"/>
    </xf>
    <xf numFmtId="3" fontId="14" fillId="4" borderId="0" xfId="4" applyNumberFormat="1" applyFont="1" applyFill="1" applyAlignment="1">
      <alignment horizontal="right" vertical="top"/>
    </xf>
    <xf numFmtId="0" fontId="14" fillId="4" borderId="0" xfId="4" applyFont="1" applyFill="1" applyAlignment="1">
      <alignment horizontal="left" vertical="top"/>
    </xf>
    <xf numFmtId="3" fontId="13" fillId="0" borderId="0" xfId="4" applyNumberFormat="1" applyFont="1" applyAlignment="1">
      <alignment horizontal="center" vertical="top"/>
    </xf>
    <xf numFmtId="5" fontId="14" fillId="0" borderId="0" xfId="4" applyNumberFormat="1" applyFont="1" applyAlignment="1">
      <alignment horizontal="center" vertical="top"/>
    </xf>
    <xf numFmtId="5" fontId="9" fillId="0" borderId="0" xfId="4" applyNumberFormat="1" applyProtection="1">
      <alignment vertical="top"/>
      <protection locked="0"/>
    </xf>
    <xf numFmtId="3" fontId="8" fillId="0" borderId="10" xfId="14" applyNumberFormat="1" applyFont="1" applyBorder="1"/>
    <xf numFmtId="3" fontId="0" fillId="0" borderId="0" xfId="0" applyNumberFormat="1"/>
    <xf numFmtId="3" fontId="14" fillId="0" borderId="0" xfId="4" applyNumberFormat="1" applyFont="1" applyProtection="1">
      <alignment vertical="top"/>
      <protection locked="0"/>
    </xf>
    <xf numFmtId="17" fontId="0" fillId="0" borderId="0" xfId="0" applyNumberFormat="1"/>
    <xf numFmtId="0" fontId="0" fillId="0" borderId="2" xfId="0" applyBorder="1"/>
    <xf numFmtId="3" fontId="0" fillId="0" borderId="1" xfId="0" applyNumberFormat="1" applyBorder="1"/>
    <xf numFmtId="0" fontId="0" fillId="0" borderId="3" xfId="0" applyBorder="1"/>
    <xf numFmtId="3" fontId="0" fillId="0" borderId="10" xfId="0" applyNumberFormat="1" applyBorder="1"/>
    <xf numFmtId="3" fontId="3" fillId="10" borderId="25" xfId="1" applyNumberFormat="1" applyFont="1" applyFill="1" applyBorder="1" applyAlignment="1">
      <alignment vertical="top" wrapText="1"/>
    </xf>
    <xf numFmtId="3" fontId="3" fillId="10" borderId="21" xfId="1" applyNumberFormat="1" applyFont="1" applyFill="1" applyBorder="1" applyAlignment="1">
      <alignment vertical="top" wrapText="1"/>
    </xf>
    <xf numFmtId="3" fontId="3" fillId="13" borderId="6" xfId="1" applyNumberFormat="1" applyFont="1" applyFill="1" applyBorder="1" applyAlignment="1">
      <alignment vertical="top" wrapText="1"/>
    </xf>
    <xf numFmtId="3" fontId="3" fillId="5" borderId="5" xfId="1" applyNumberFormat="1" applyFont="1" applyFill="1" applyBorder="1" applyAlignment="1">
      <alignment vertical="top" wrapText="1"/>
    </xf>
    <xf numFmtId="3" fontId="3" fillId="9" borderId="9" xfId="1" applyNumberFormat="1" applyFont="1" applyFill="1" applyBorder="1" applyAlignment="1">
      <alignment vertical="top" wrapText="1"/>
    </xf>
    <xf numFmtId="3" fontId="8" fillId="0" borderId="0" xfId="2" applyNumberFormat="1" applyFont="1" applyFill="1" applyBorder="1"/>
    <xf numFmtId="166" fontId="8" fillId="0" borderId="0" xfId="13" applyNumberFormat="1" applyFont="1" applyFill="1" applyBorder="1"/>
    <xf numFmtId="3" fontId="8" fillId="0" borderId="27" xfId="7" applyNumberFormat="1" applyFont="1" applyFill="1" applyBorder="1"/>
    <xf numFmtId="3" fontId="8" fillId="0" borderId="19" xfId="7" applyNumberFormat="1" applyFont="1" applyBorder="1"/>
    <xf numFmtId="3" fontId="8" fillId="0" borderId="29" xfId="7" applyNumberFormat="1" applyFont="1" applyBorder="1"/>
    <xf numFmtId="3" fontId="8" fillId="0" borderId="29" xfId="2" applyNumberFormat="1" applyFont="1" applyBorder="1"/>
    <xf numFmtId="3" fontId="0" fillId="0" borderId="18" xfId="3" applyNumberFormat="1" applyFont="1" applyFill="1" applyBorder="1"/>
    <xf numFmtId="7" fontId="2" fillId="4" borderId="10" xfId="1" applyNumberFormat="1" applyFont="1" applyFill="1" applyBorder="1" applyAlignment="1">
      <alignment horizontal="right" vertical="top" wrapText="1"/>
    </xf>
    <xf numFmtId="0" fontId="0" fillId="10" borderId="10" xfId="0" applyFill="1" applyBorder="1"/>
    <xf numFmtId="0" fontId="1" fillId="0" borderId="10" xfId="1" applyBorder="1"/>
    <xf numFmtId="0" fontId="6" fillId="2" borderId="10" xfId="1" applyFont="1" applyFill="1" applyBorder="1" applyAlignment="1">
      <alignment horizontal="center" vertical="top" wrapText="1"/>
    </xf>
    <xf numFmtId="0" fontId="6" fillId="2" borderId="10" xfId="1" applyFont="1" applyFill="1" applyBorder="1" applyAlignment="1">
      <alignment horizontal="left" vertical="top" wrapText="1"/>
    </xf>
    <xf numFmtId="0" fontId="6" fillId="2" borderId="10" xfId="1" applyFont="1" applyFill="1" applyBorder="1" applyAlignment="1">
      <alignment horizontal="right" vertical="top" wrapText="1"/>
    </xf>
    <xf numFmtId="0" fontId="2" fillId="5" borderId="10" xfId="1" applyFont="1" applyFill="1" applyBorder="1" applyAlignment="1">
      <alignment horizontal="left" vertical="top" wrapText="1"/>
    </xf>
    <xf numFmtId="7" fontId="2" fillId="5" borderId="10" xfId="1" applyNumberFormat="1" applyFont="1" applyFill="1" applyBorder="1" applyAlignment="1">
      <alignment horizontal="right" vertical="top" wrapText="1"/>
    </xf>
    <xf numFmtId="0" fontId="2" fillId="5" borderId="10" xfId="1" applyFont="1" applyFill="1" applyBorder="1" applyAlignment="1">
      <alignment horizontal="center" vertical="top" wrapText="1"/>
    </xf>
    <xf numFmtId="7" fontId="2" fillId="12" borderId="10" xfId="1" applyNumberFormat="1" applyFont="1" applyFill="1" applyBorder="1" applyAlignment="1">
      <alignment horizontal="right" vertical="top" wrapText="1"/>
    </xf>
    <xf numFmtId="7" fontId="2" fillId="10" borderId="10" xfId="1" applyNumberFormat="1" applyFont="1" applyFill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center" vertical="top" wrapText="1"/>
    </xf>
    <xf numFmtId="0" fontId="3" fillId="0" borderId="10" xfId="1" applyFont="1" applyBorder="1" applyAlignment="1">
      <alignment horizontal="left" vertical="top" wrapText="1"/>
    </xf>
    <xf numFmtId="7" fontId="2" fillId="3" borderId="10" xfId="1" applyNumberFormat="1" applyFont="1" applyFill="1" applyBorder="1" applyAlignment="1">
      <alignment horizontal="right" vertical="top" wrapText="1"/>
    </xf>
    <xf numFmtId="7" fontId="2" fillId="8" borderId="10" xfId="1" applyNumberFormat="1" applyFont="1" applyFill="1" applyBorder="1" applyAlignment="1">
      <alignment horizontal="right" vertical="top" wrapText="1"/>
    </xf>
    <xf numFmtId="0" fontId="0" fillId="4" borderId="10" xfId="0" applyFill="1" applyBorder="1"/>
    <xf numFmtId="7" fontId="17" fillId="0" borderId="10" xfId="1" applyNumberFormat="1" applyFont="1" applyBorder="1" applyAlignment="1">
      <alignment horizontal="right" vertical="top" wrapText="1"/>
    </xf>
    <xf numFmtId="0" fontId="17" fillId="0" borderId="10" xfId="1" applyFont="1" applyBorder="1" applyAlignment="1">
      <alignment horizontal="center" vertical="top" wrapText="1"/>
    </xf>
    <xf numFmtId="7" fontId="17" fillId="4" borderId="10" xfId="1" applyNumberFormat="1" applyFont="1" applyFill="1" applyBorder="1" applyAlignment="1">
      <alignment horizontal="right" vertical="top" wrapText="1"/>
    </xf>
    <xf numFmtId="0" fontId="2" fillId="10" borderId="10" xfId="1" applyFont="1" applyFill="1" applyBorder="1" applyAlignment="1">
      <alignment horizontal="left" vertical="top" wrapText="1"/>
    </xf>
    <xf numFmtId="0" fontId="2" fillId="10" borderId="10" xfId="1" applyFont="1" applyFill="1" applyBorder="1" applyAlignment="1">
      <alignment horizontal="center" vertical="top" wrapText="1"/>
    </xf>
    <xf numFmtId="0" fontId="2" fillId="5" borderId="10" xfId="1" applyFont="1" applyFill="1" applyBorder="1" applyAlignment="1">
      <alignment horizontal="left" wrapText="1"/>
    </xf>
    <xf numFmtId="7" fontId="2" fillId="5" borderId="10" xfId="1" applyNumberFormat="1" applyFont="1" applyFill="1" applyBorder="1" applyAlignment="1">
      <alignment horizontal="right" wrapText="1"/>
    </xf>
    <xf numFmtId="0" fontId="2" fillId="5" borderId="10" xfId="1" applyFont="1" applyFill="1" applyBorder="1" applyAlignment="1">
      <alignment horizontal="center" wrapText="1"/>
    </xf>
    <xf numFmtId="7" fontId="2" fillId="0" borderId="10" xfId="1" applyNumberFormat="1" applyFont="1" applyBorder="1" applyAlignment="1">
      <alignment horizontal="right" wrapText="1"/>
    </xf>
    <xf numFmtId="0" fontId="1" fillId="3" borderId="10" xfId="1" applyFill="1" applyBorder="1"/>
    <xf numFmtId="0" fontId="2" fillId="3" borderId="10" xfId="1" applyFont="1" applyFill="1" applyBorder="1" applyAlignment="1">
      <alignment horizontal="left" vertical="top" wrapText="1"/>
    </xf>
    <xf numFmtId="7" fontId="3" fillId="6" borderId="10" xfId="1" applyNumberFormat="1" applyFont="1" applyFill="1" applyBorder="1" applyAlignment="1">
      <alignment horizontal="center" vertical="center" wrapText="1"/>
    </xf>
    <xf numFmtId="7" fontId="3" fillId="6" borderId="10" xfId="1" applyNumberFormat="1" applyFont="1" applyFill="1" applyBorder="1" applyAlignment="1">
      <alignment horizontal="right" vertical="top" wrapText="1"/>
    </xf>
    <xf numFmtId="0" fontId="0" fillId="0" borderId="10" xfId="0" applyBorder="1" applyAlignment="1">
      <alignment wrapText="1"/>
    </xf>
    <xf numFmtId="165" fontId="0" fillId="0" borderId="10" xfId="0" applyNumberFormat="1" applyBorder="1"/>
    <xf numFmtId="165" fontId="0" fillId="11" borderId="10" xfId="0" applyNumberFormat="1" applyFill="1" applyBorder="1"/>
    <xf numFmtId="7" fontId="0" fillId="0" borderId="10" xfId="0" applyNumberFormat="1" applyBorder="1"/>
    <xf numFmtId="17" fontId="0" fillId="0" borderId="2" xfId="0" applyNumberFormat="1" applyBorder="1" applyAlignment="1">
      <alignment horizontal="left"/>
    </xf>
    <xf numFmtId="3" fontId="0" fillId="0" borderId="15" xfId="0" applyNumberFormat="1" applyBorder="1"/>
    <xf numFmtId="3" fontId="8" fillId="0" borderId="28" xfId="7" applyNumberFormat="1" applyFont="1" applyFill="1" applyBorder="1"/>
    <xf numFmtId="3" fontId="8" fillId="0" borderId="0" xfId="7" applyNumberFormat="1" applyFont="1" applyFill="1" applyBorder="1"/>
    <xf numFmtId="3" fontId="8" fillId="0" borderId="20" xfId="14" applyNumberFormat="1" applyFont="1" applyBorder="1"/>
    <xf numFmtId="0" fontId="9" fillId="0" borderId="0" xfId="4" applyAlignment="1" applyProtection="1">
      <alignment horizontal="center" vertical="top"/>
      <protection locked="0"/>
    </xf>
    <xf numFmtId="3" fontId="14" fillId="0" borderId="23" xfId="4" applyNumberFormat="1" applyFont="1" applyBorder="1" applyAlignment="1">
      <alignment horizontal="right" vertical="top"/>
    </xf>
    <xf numFmtId="0" fontId="11" fillId="0" borderId="0" xfId="4" applyFont="1" applyAlignment="1">
      <alignment horizontal="right" vertical="top"/>
    </xf>
    <xf numFmtId="7" fontId="14" fillId="0" borderId="0" xfId="4" applyNumberFormat="1" applyFont="1" applyAlignment="1">
      <alignment horizontal="right" vertical="top"/>
    </xf>
    <xf numFmtId="0" fontId="14" fillId="0" borderId="0" xfId="4" applyFont="1" applyAlignment="1">
      <alignment horizontal="right" vertical="top"/>
    </xf>
    <xf numFmtId="3" fontId="15" fillId="7" borderId="22" xfId="4" applyNumberFormat="1" applyFont="1" applyFill="1" applyBorder="1" applyAlignment="1">
      <alignment horizontal="right" vertical="top"/>
    </xf>
    <xf numFmtId="3" fontId="3" fillId="14" borderId="28" xfId="1" applyNumberFormat="1" applyFont="1" applyFill="1" applyBorder="1" applyAlignment="1">
      <alignment vertical="top" wrapText="1"/>
    </xf>
    <xf numFmtId="3" fontId="3" fillId="14" borderId="10" xfId="1" applyNumberFormat="1" applyFont="1" applyFill="1" applyBorder="1" applyAlignment="1">
      <alignment vertical="top" wrapText="1"/>
    </xf>
    <xf numFmtId="3" fontId="3" fillId="0" borderId="10" xfId="1" applyNumberFormat="1" applyFont="1" applyBorder="1" applyAlignment="1">
      <alignment vertical="top" wrapText="1"/>
    </xf>
    <xf numFmtId="3" fontId="14" fillId="0" borderId="0" xfId="4" applyNumberFormat="1" applyFont="1" applyAlignment="1">
      <alignment horizontal="left" vertical="top"/>
    </xf>
    <xf numFmtId="44" fontId="0" fillId="0" borderId="0" xfId="13" applyFont="1"/>
    <xf numFmtId="0" fontId="0" fillId="0" borderId="23" xfId="0" applyBorder="1"/>
    <xf numFmtId="44" fontId="0" fillId="0" borderId="23" xfId="13" applyFont="1" applyBorder="1"/>
    <xf numFmtId="0" fontId="0" fillId="10" borderId="0" xfId="0" applyFill="1"/>
    <xf numFmtId="44" fontId="0" fillId="10" borderId="0" xfId="0" applyNumberFormat="1" applyFill="1"/>
    <xf numFmtId="44" fontId="0" fillId="0" borderId="0" xfId="0" applyNumberFormat="1"/>
    <xf numFmtId="44" fontId="0" fillId="0" borderId="10" xfId="0" applyNumberFormat="1" applyBorder="1"/>
    <xf numFmtId="9" fontId="0" fillId="0" borderId="10" xfId="0" applyNumberFormat="1" applyBorder="1"/>
    <xf numFmtId="9" fontId="0" fillId="0" borderId="0" xfId="0" applyNumberFormat="1"/>
    <xf numFmtId="9" fontId="0" fillId="0" borderId="10" xfId="22" applyFont="1" applyBorder="1"/>
    <xf numFmtId="9" fontId="0" fillId="0" borderId="0" xfId="22" applyFont="1" applyBorder="1"/>
    <xf numFmtId="0" fontId="0" fillId="0" borderId="0" xfId="0" applyAlignment="1">
      <alignment horizontal="center"/>
    </xf>
    <xf numFmtId="170" fontId="0" fillId="0" borderId="0" xfId="13" applyNumberFormat="1" applyFont="1"/>
    <xf numFmtId="44" fontId="0" fillId="15" borderId="0" xfId="0" applyNumberFormat="1" applyFill="1"/>
    <xf numFmtId="3" fontId="15" fillId="7" borderId="22" xfId="4" applyNumberFormat="1" applyFont="1" applyFill="1" applyBorder="1" applyAlignment="1">
      <alignment horizontal="center" vertical="top"/>
    </xf>
    <xf numFmtId="3" fontId="8" fillId="0" borderId="18" xfId="7" applyNumberFormat="1" applyFont="1" applyFill="1" applyBorder="1"/>
    <xf numFmtId="3" fontId="8" fillId="0" borderId="29" xfId="7" applyNumberFormat="1" applyFont="1" applyFill="1" applyBorder="1"/>
    <xf numFmtId="3" fontId="8" fillId="0" borderId="31" xfId="7" applyNumberFormat="1" applyFont="1" applyFill="1" applyBorder="1"/>
    <xf numFmtId="3" fontId="8" fillId="0" borderId="32" xfId="7" applyNumberFormat="1" applyFont="1" applyFill="1" applyBorder="1"/>
    <xf numFmtId="3" fontId="8" fillId="0" borderId="32" xfId="2" applyNumberFormat="1" applyFont="1" applyFill="1" applyBorder="1"/>
    <xf numFmtId="3" fontId="8" fillId="10" borderId="10" xfId="7" applyNumberFormat="1" applyFont="1" applyFill="1" applyBorder="1"/>
    <xf numFmtId="0" fontId="23" fillId="4" borderId="10" xfId="0" applyFont="1" applyFill="1" applyBorder="1" applyAlignment="1">
      <alignment horizontal="left"/>
    </xf>
    <xf numFmtId="166" fontId="26" fillId="0" borderId="10" xfId="0" applyNumberFormat="1" applyFont="1" applyBorder="1" applyAlignment="1">
      <alignment horizontal="center"/>
    </xf>
    <xf numFmtId="14" fontId="0" fillId="0" borderId="0" xfId="0" applyNumberFormat="1"/>
    <xf numFmtId="3" fontId="27" fillId="0" borderId="0" xfId="4" applyNumberFormat="1" applyFont="1" applyAlignment="1" applyProtection="1">
      <alignment horizontal="right" vertical="top"/>
      <protection locked="0"/>
    </xf>
    <xf numFmtId="170" fontId="0" fillId="0" borderId="0" xfId="13" applyNumberFormat="1" applyFont="1" applyBorder="1"/>
    <xf numFmtId="0" fontId="0" fillId="0" borderId="22" xfId="0" applyBorder="1"/>
    <xf numFmtId="3" fontId="14" fillId="0" borderId="27" xfId="4" applyNumberFormat="1" applyFont="1" applyBorder="1" applyAlignment="1">
      <alignment horizontal="right" vertical="top"/>
    </xf>
    <xf numFmtId="3" fontId="0" fillId="0" borderId="27" xfId="0" applyNumberFormat="1" applyBorder="1"/>
    <xf numFmtId="0" fontId="28" fillId="0" borderId="0" xfId="0" applyFont="1"/>
    <xf numFmtId="44" fontId="28" fillId="0" borderId="0" xfId="13" applyFont="1"/>
    <xf numFmtId="44" fontId="0" fillId="16" borderId="0" xfId="0" applyNumberFormat="1" applyFill="1"/>
    <xf numFmtId="44" fontId="0" fillId="16" borderId="10" xfId="0" applyNumberFormat="1" applyFill="1" applyBorder="1"/>
    <xf numFmtId="44" fontId="0" fillId="17" borderId="10" xfId="0" applyNumberFormat="1" applyFill="1" applyBorder="1"/>
    <xf numFmtId="44" fontId="0" fillId="0" borderId="23" xfId="0" applyNumberFormat="1" applyBorder="1"/>
    <xf numFmtId="3" fontId="0" fillId="0" borderId="22" xfId="0" applyNumberFormat="1" applyBorder="1"/>
    <xf numFmtId="0" fontId="29" fillId="18" borderId="0" xfId="0" applyFont="1" applyFill="1"/>
    <xf numFmtId="170" fontId="7" fillId="4" borderId="0" xfId="13" applyNumberFormat="1" applyFont="1" applyFill="1"/>
    <xf numFmtId="3" fontId="15" fillId="7" borderId="22" xfId="4" applyNumberFormat="1" applyFont="1" applyFill="1" applyBorder="1" applyAlignment="1">
      <alignment horizontal="center" vertical="top"/>
    </xf>
    <xf numFmtId="0" fontId="11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0" fontId="13" fillId="0" borderId="0" xfId="4" applyFont="1" applyAlignment="1">
      <alignment horizontal="left" vertical="top"/>
    </xf>
    <xf numFmtId="0" fontId="14" fillId="0" borderId="0" xfId="4" applyFont="1" applyAlignment="1">
      <alignment horizontal="left" vertical="top"/>
    </xf>
    <xf numFmtId="0" fontId="10" fillId="0" borderId="0" xfId="4" applyFont="1" applyAlignment="1">
      <alignment horizontal="center" vertical="top" wrapText="1"/>
    </xf>
    <xf numFmtId="0" fontId="9" fillId="0" borderId="0" xfId="4" applyAlignment="1" applyProtection="1">
      <alignment horizontal="center" vertical="top"/>
      <protection locked="0"/>
    </xf>
    <xf numFmtId="17" fontId="4" fillId="0" borderId="10" xfId="1" applyNumberFormat="1" applyFont="1" applyBorder="1" applyAlignment="1">
      <alignment horizontal="center"/>
    </xf>
    <xf numFmtId="0" fontId="6" fillId="2" borderId="10" xfId="1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</cellXfs>
  <cellStyles count="41">
    <cellStyle name="Millares 2" xfId="2" xr:uid="{00000000-0005-0000-0000-000000000000}"/>
    <cellStyle name="Millares 2 2" xfId="7" xr:uid="{99F89B59-3BE9-4227-8529-8D1171FB7C74}"/>
    <cellStyle name="Millares 2 2 2" xfId="16" xr:uid="{D7D370DD-170E-479D-A4E5-71511C6F67CF}"/>
    <cellStyle name="Millares 2 3" xfId="11" xr:uid="{1E3332DB-9B68-4EC1-A5AB-B551BF31F7CE}"/>
    <cellStyle name="Millares 2 3 2" xfId="18" xr:uid="{B931B093-46FA-4189-9BD4-EF6299FDE8F3}"/>
    <cellStyle name="Millares 2 4" xfId="14" xr:uid="{F74E68A4-7459-4773-8AC0-DD08207D8718}"/>
    <cellStyle name="Moneda" xfId="13" xr:uid="{4364F538-FBB9-40B3-88D2-3DC269657694}"/>
    <cellStyle name="Moneda [0] 2" xfId="2" xr:uid="{00000000-0005-0000-0000-000002000000}"/>
    <cellStyle name="Moneda [0] 2 2" xfId="7" xr:uid="{8E81CEDD-C779-42FD-932F-2ABF5F83E785}"/>
    <cellStyle name="Moneda [0] 2 2 2" xfId="16" xr:uid="{7F53FBE3-3C74-4369-8D9A-07B8765AD7D1}"/>
    <cellStyle name="Moneda [0] 2 3" xfId="11" xr:uid="{FD2541DE-C39D-4E3C-A22F-5A091D8C52EB}"/>
    <cellStyle name="Moneda [0] 2 3 2" xfId="18" xr:uid="{A6092571-8A75-4BEA-B13B-DFC81AF10286}"/>
    <cellStyle name="Moneda [0] 2 4" xfId="14" xr:uid="{E4BCA803-B413-4B05-8BAF-71458F3C25B4}"/>
    <cellStyle name="Moneda 2" xfId="2" xr:uid="{00000000-0005-0000-0000-000003000000}"/>
    <cellStyle name="Moneda 2 2" xfId="7" xr:uid="{C4070647-BB78-46E6-8E4B-850AC0316C53}"/>
    <cellStyle name="Moneda 2 2 2" xfId="16" xr:uid="{35C796BC-3702-4484-B02C-4428D63B811A}"/>
    <cellStyle name="Moneda 2 3" xfId="11" xr:uid="{1183D0FF-AAC3-43E4-828B-DB7AAFC0AC59}"/>
    <cellStyle name="Moneda 2 3 2" xfId="18" xr:uid="{C92DDE2A-DDDD-48B8-8E39-48C0E6CDA2A2}"/>
    <cellStyle name="Moneda 2 4" xfId="14" xr:uid="{6519D1A5-36B6-4A09-8103-65C8684004AA}"/>
    <cellStyle name="Moneda 2 5" xfId="21" xr:uid="{65D00F7F-EDD4-4A27-968D-8B3AD54F1F14}"/>
    <cellStyle name="Moneda 3" xfId="3" xr:uid="{00000000-0005-0000-0000-000004000000}"/>
    <cellStyle name="Moneda 4" xfId="6" xr:uid="{00000000-0005-0000-0000-000005000000}"/>
    <cellStyle name="Moneda 4 2" xfId="10" xr:uid="{1F772817-BA86-41D0-AFC1-B6618E4014F8}"/>
    <cellStyle name="Moneda 5" xfId="8" xr:uid="{2A391BCB-916A-48E0-83C6-2554410DA563}"/>
    <cellStyle name="Moneda 5 2" xfId="17" xr:uid="{6DB39911-83C8-4760-B414-0196006ECE84}"/>
    <cellStyle name="Moneda 6" xfId="12" xr:uid="{905975C1-579A-47A0-9378-6E5031D1DCC5}"/>
    <cellStyle name="Moneda 6 2" xfId="19" xr:uid="{732A9383-CE19-4B66-ADE1-BF706D9A6FEC}"/>
    <cellStyle name="Moneda 7" xfId="15" xr:uid="{D027B7BE-7555-4FDB-9064-A8E22EBF4FC9}"/>
    <cellStyle name="Moneda 8" xfId="20" xr:uid="{E98873ED-6229-4B68-B767-0ADA04DFEAFF}"/>
    <cellStyle name="Normal" xfId="0" builtinId="0"/>
    <cellStyle name="Normal 2" xfId="1" xr:uid="{00000000-0005-0000-0000-000007000000}"/>
    <cellStyle name="Normal 3" xfId="4" xr:uid="{00000000-0005-0000-0000-000008000000}"/>
    <cellStyle name="Normal 4" xfId="5" xr:uid="{00000000-0005-0000-0000-000009000000}"/>
    <cellStyle name="Normal 4 2" xfId="9" xr:uid="{610B1DC9-2206-420B-98C4-1D57A830B82F}"/>
    <cellStyle name="Porcentaje" xfId="22" builtinId="5"/>
    <cellStyle name="Porcentaje 2" xfId="2" xr:uid="{00000000-0005-0000-0000-00000B000000}"/>
    <cellStyle name="Porcentaje 2 2" xfId="7" xr:uid="{6FFC32B9-7377-409D-B4DF-CE01D0ABC5C0}"/>
    <cellStyle name="Porcentaje 2 2 2" xfId="16" xr:uid="{E4D8018B-07A6-4A98-836B-D1A10F62C6AC}"/>
    <cellStyle name="Porcentaje 2 3" xfId="11" xr:uid="{FF99095D-38C2-43A1-AB75-269CD1FF9265}"/>
    <cellStyle name="Porcentaje 2 3 2" xfId="18" xr:uid="{08E1A958-F393-4496-8541-41E3910E77FE}"/>
    <cellStyle name="Porcentaje 2 4" xfId="14" xr:uid="{B6737D6E-232C-40FB-BE64-32EFA6043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</a:t>
            </a:r>
            <a:r>
              <a:rPr lang="es-CO" baseline="0"/>
              <a:t> FISCALES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PYG'!$C$44</c:f>
              <c:strCache>
                <c:ptCount val="1"/>
                <c:pt idx="0">
                  <c:v>VENTAS FISCALES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PYG'!$B$45:$B$57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PYG'!$C$45:$C$57</c:f>
              <c:numCache>
                <c:formatCode>#,##0</c:formatCode>
                <c:ptCount val="13"/>
                <c:pt idx="0">
                  <c:v>496100</c:v>
                </c:pt>
                <c:pt idx="1">
                  <c:v>24370</c:v>
                </c:pt>
                <c:pt idx="2">
                  <c:v>100949</c:v>
                </c:pt>
                <c:pt idx="3">
                  <c:v>55000</c:v>
                </c:pt>
                <c:pt idx="4">
                  <c:v>4552322</c:v>
                </c:pt>
                <c:pt idx="5">
                  <c:v>4248410</c:v>
                </c:pt>
                <c:pt idx="6">
                  <c:v>5508975</c:v>
                </c:pt>
                <c:pt idx="7">
                  <c:v>1143000</c:v>
                </c:pt>
                <c:pt idx="8">
                  <c:v>1275896</c:v>
                </c:pt>
                <c:pt idx="9">
                  <c:v>914530</c:v>
                </c:pt>
                <c:pt idx="10">
                  <c:v>1555310</c:v>
                </c:pt>
                <c:pt idx="11">
                  <c:v>14214215</c:v>
                </c:pt>
                <c:pt idx="12">
                  <c:v>34089077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7-4716-A0A1-208316E3BBB1}"/>
            </c:ext>
          </c:extLst>
        </c:ser>
        <c:ser>
          <c:idx val="1"/>
          <c:order val="1"/>
          <c:tx>
            <c:strRef>
              <c:f>'GRAFICAS PYG'!$D$44</c:f>
              <c:strCache>
                <c:ptCount val="1"/>
                <c:pt idx="0">
                  <c:v>VENTAS FISCALES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PYG'!$B$45:$B$57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PYG'!$D$45:$D$57</c:f>
              <c:numCache>
                <c:formatCode>#,##0</c:formatCode>
                <c:ptCount val="13"/>
                <c:pt idx="0">
                  <c:v>2319055</c:v>
                </c:pt>
                <c:pt idx="1">
                  <c:v>2198885</c:v>
                </c:pt>
                <c:pt idx="2">
                  <c:v>5345924</c:v>
                </c:pt>
                <c:pt idx="3">
                  <c:v>5705085</c:v>
                </c:pt>
                <c:pt idx="4">
                  <c:v>6312190</c:v>
                </c:pt>
                <c:pt idx="5">
                  <c:v>5308821</c:v>
                </c:pt>
                <c:pt idx="6">
                  <c:v>1368000</c:v>
                </c:pt>
                <c:pt idx="7">
                  <c:v>1818800</c:v>
                </c:pt>
                <c:pt idx="8">
                  <c:v>2263580</c:v>
                </c:pt>
                <c:pt idx="9">
                  <c:v>3401625</c:v>
                </c:pt>
                <c:pt idx="10">
                  <c:v>2974890</c:v>
                </c:pt>
                <c:pt idx="11">
                  <c:v>3456110</c:v>
                </c:pt>
                <c:pt idx="12">
                  <c:v>42472965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7-4716-A0A1-208316E3BBB1}"/>
            </c:ext>
          </c:extLst>
        </c:ser>
        <c:ser>
          <c:idx val="2"/>
          <c:order val="2"/>
          <c:tx>
            <c:strRef>
              <c:f>'GRAFICAS PYG'!$E$44</c:f>
              <c:strCache>
                <c:ptCount val="1"/>
                <c:pt idx="0">
                  <c:v>VENTAS FISCALES 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PYG'!$B$45:$B$57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PYG'!$E$45:$E$57</c:f>
              <c:numCache>
                <c:formatCode>#,##0</c:formatCode>
                <c:ptCount val="13"/>
                <c:pt idx="0">
                  <c:v>0</c:v>
                </c:pt>
                <c:pt idx="1">
                  <c:v>4332104</c:v>
                </c:pt>
                <c:pt idx="2">
                  <c:v>11179580</c:v>
                </c:pt>
                <c:pt idx="3">
                  <c:v>6476561</c:v>
                </c:pt>
                <c:pt idx="4">
                  <c:v>2948466</c:v>
                </c:pt>
                <c:pt idx="5">
                  <c:v>5460313</c:v>
                </c:pt>
                <c:pt idx="6">
                  <c:v>5032261</c:v>
                </c:pt>
                <c:pt idx="7">
                  <c:v>7904377</c:v>
                </c:pt>
                <c:pt idx="8">
                  <c:v>11362855</c:v>
                </c:pt>
                <c:pt idx="9">
                  <c:v>9491748</c:v>
                </c:pt>
                <c:pt idx="10">
                  <c:v>6387715</c:v>
                </c:pt>
                <c:pt idx="11">
                  <c:v>8960923</c:v>
                </c:pt>
                <c:pt idx="12">
                  <c:v>79536903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7-4716-A0A1-208316E3BBB1}"/>
            </c:ext>
          </c:extLst>
        </c:ser>
        <c:ser>
          <c:idx val="3"/>
          <c:order val="3"/>
          <c:tx>
            <c:strRef>
              <c:f>'GRAFICAS PYG'!$F$44</c:f>
              <c:strCache>
                <c:ptCount val="1"/>
                <c:pt idx="0">
                  <c:v>VENTAS FISCALES 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PYG'!$B$45:$B$57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PYG'!$F$45:$F$57</c:f>
              <c:numCache>
                <c:formatCode>#,##0</c:formatCode>
                <c:ptCount val="13"/>
                <c:pt idx="0">
                  <c:v>6308768</c:v>
                </c:pt>
                <c:pt idx="1">
                  <c:v>3904163</c:v>
                </c:pt>
                <c:pt idx="2">
                  <c:v>6104727</c:v>
                </c:pt>
                <c:pt idx="3">
                  <c:v>4771392</c:v>
                </c:pt>
                <c:pt idx="4">
                  <c:v>3195437</c:v>
                </c:pt>
                <c:pt idx="5">
                  <c:v>3587643</c:v>
                </c:pt>
                <c:pt idx="6">
                  <c:v>5002298</c:v>
                </c:pt>
                <c:pt idx="7">
                  <c:v>6292782</c:v>
                </c:pt>
                <c:pt idx="8">
                  <c:v>9534674</c:v>
                </c:pt>
                <c:pt idx="9">
                  <c:v>8627180</c:v>
                </c:pt>
                <c:pt idx="10">
                  <c:v>9834611</c:v>
                </c:pt>
                <c:pt idx="11">
                  <c:v>6687564</c:v>
                </c:pt>
                <c:pt idx="12">
                  <c:v>73851239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27-4716-A0A1-208316E3BBB1}"/>
            </c:ext>
          </c:extLst>
        </c:ser>
        <c:ser>
          <c:idx val="4"/>
          <c:order val="4"/>
          <c:tx>
            <c:strRef>
              <c:f>'GRAFICAS PYG'!$G$44</c:f>
              <c:strCache>
                <c:ptCount val="1"/>
                <c:pt idx="0">
                  <c:v>VENTAS FISCALES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PYG'!$B$45:$B$57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PYG'!$G$45:$G$57</c:f>
              <c:numCache>
                <c:formatCode>#,##0</c:formatCode>
                <c:ptCount val="13"/>
                <c:pt idx="0">
                  <c:v>4088450</c:v>
                </c:pt>
                <c:pt idx="1">
                  <c:v>3444630</c:v>
                </c:pt>
                <c:pt idx="2">
                  <c:v>4294490</c:v>
                </c:pt>
                <c:pt idx="3">
                  <c:v>3094715</c:v>
                </c:pt>
                <c:pt idx="4">
                  <c:v>3036250</c:v>
                </c:pt>
                <c:pt idx="5">
                  <c:v>3220640</c:v>
                </c:pt>
                <c:pt idx="6">
                  <c:v>2982171</c:v>
                </c:pt>
                <c:pt idx="7">
                  <c:v>2259634</c:v>
                </c:pt>
                <c:pt idx="8">
                  <c:v>4199993</c:v>
                </c:pt>
                <c:pt idx="9">
                  <c:v>5953903</c:v>
                </c:pt>
                <c:pt idx="10">
                  <c:v>3450527</c:v>
                </c:pt>
                <c:pt idx="11">
                  <c:v>3437926</c:v>
                </c:pt>
                <c:pt idx="12">
                  <c:v>43463329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7-4716-A0A1-208316E3BBB1}"/>
            </c:ext>
          </c:extLst>
        </c:ser>
        <c:ser>
          <c:idx val="5"/>
          <c:order val="5"/>
          <c:tx>
            <c:strRef>
              <c:f>'GRAFICAS PYG'!$H$44</c:f>
              <c:strCache>
                <c:ptCount val="1"/>
                <c:pt idx="0">
                  <c:v>VENTAS FISCALES 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PYG'!$B$45:$B$57</c:f>
              <c:strCache>
                <c:ptCount val="13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TOTAL </c:v>
                </c:pt>
              </c:strCache>
            </c:strRef>
          </c:cat>
          <c:val>
            <c:numRef>
              <c:f>'GRAFICAS PYG'!$H$45:$H$57</c:f>
              <c:numCache>
                <c:formatCode>#,##0</c:formatCode>
                <c:ptCount val="13"/>
                <c:pt idx="0">
                  <c:v>9772741</c:v>
                </c:pt>
                <c:pt idx="1">
                  <c:v>8662267</c:v>
                </c:pt>
                <c:pt idx="2">
                  <c:v>11213082</c:v>
                </c:pt>
                <c:pt idx="3">
                  <c:v>109000</c:v>
                </c:pt>
                <c:pt idx="4">
                  <c:v>0</c:v>
                </c:pt>
                <c:pt idx="5">
                  <c:v>15088775</c:v>
                </c:pt>
                <c:pt idx="6">
                  <c:v>5107405</c:v>
                </c:pt>
                <c:pt idx="7">
                  <c:v>4348355</c:v>
                </c:pt>
                <c:pt idx="8">
                  <c:v>5343486</c:v>
                </c:pt>
                <c:pt idx="9">
                  <c:v>5206920</c:v>
                </c:pt>
                <c:pt idx="10">
                  <c:v>4539945</c:v>
                </c:pt>
                <c:pt idx="11">
                  <c:v>5671900</c:v>
                </c:pt>
                <c:pt idx="12">
                  <c:v>75063876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27-4716-A0A1-208316E3B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472143"/>
        <c:axId val="1361480783"/>
      </c:barChart>
      <c:catAx>
        <c:axId val="136147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480783"/>
        <c:crosses val="autoZero"/>
        <c:auto val="1"/>
        <c:lblAlgn val="ctr"/>
        <c:lblOffset val="100"/>
        <c:noMultiLvlLbl val="0"/>
      </c:catAx>
      <c:valAx>
        <c:axId val="136148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147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</a:t>
            </a:r>
            <a:r>
              <a:rPr lang="es-CO" baseline="0"/>
              <a:t> SIN IVA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PYG'!$C$64</c:f>
              <c:strCache>
                <c:ptCount val="1"/>
                <c:pt idx="0">
                  <c:v>VENTAS SIN IVA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PYG'!$B$65:$B$78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PYG'!$C$65:$C$78</c:f>
              <c:numCache>
                <c:formatCode>#,##0</c:formatCode>
                <c:ptCount val="14"/>
                <c:pt idx="0">
                  <c:v>3154060</c:v>
                </c:pt>
                <c:pt idx="1">
                  <c:v>8170074</c:v>
                </c:pt>
                <c:pt idx="2">
                  <c:v>15848964</c:v>
                </c:pt>
                <c:pt idx="3">
                  <c:v>8045964</c:v>
                </c:pt>
                <c:pt idx="4">
                  <c:v>13860164</c:v>
                </c:pt>
                <c:pt idx="5">
                  <c:v>7977361</c:v>
                </c:pt>
                <c:pt idx="6">
                  <c:v>9013371</c:v>
                </c:pt>
                <c:pt idx="7">
                  <c:v>18563466</c:v>
                </c:pt>
                <c:pt idx="8">
                  <c:v>11325371</c:v>
                </c:pt>
                <c:pt idx="9">
                  <c:v>12517646</c:v>
                </c:pt>
                <c:pt idx="10">
                  <c:v>9654899</c:v>
                </c:pt>
                <c:pt idx="11">
                  <c:v>9782680</c:v>
                </c:pt>
                <c:pt idx="13">
                  <c:v>127914020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7-428B-AEC8-B44EF697745C}"/>
            </c:ext>
          </c:extLst>
        </c:ser>
        <c:ser>
          <c:idx val="1"/>
          <c:order val="1"/>
          <c:tx>
            <c:strRef>
              <c:f>'GRAFICAS PYG'!$D$64</c:f>
              <c:strCache>
                <c:ptCount val="1"/>
                <c:pt idx="0">
                  <c:v>VENTAS SIN IVA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PYG'!$B$65:$B$78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PYG'!$D$65:$D$78</c:f>
              <c:numCache>
                <c:formatCode>#,##0</c:formatCode>
                <c:ptCount val="14"/>
                <c:pt idx="0">
                  <c:v>5070435</c:v>
                </c:pt>
                <c:pt idx="1">
                  <c:v>6521782</c:v>
                </c:pt>
                <c:pt idx="2">
                  <c:v>6934538</c:v>
                </c:pt>
                <c:pt idx="3">
                  <c:v>11902051</c:v>
                </c:pt>
                <c:pt idx="4">
                  <c:v>5781805</c:v>
                </c:pt>
                <c:pt idx="5">
                  <c:v>3102603</c:v>
                </c:pt>
                <c:pt idx="6">
                  <c:v>4934884</c:v>
                </c:pt>
                <c:pt idx="7">
                  <c:v>13355048</c:v>
                </c:pt>
                <c:pt idx="8">
                  <c:v>12223256</c:v>
                </c:pt>
                <c:pt idx="9">
                  <c:v>12732697</c:v>
                </c:pt>
                <c:pt idx="10">
                  <c:v>10221753</c:v>
                </c:pt>
                <c:pt idx="11">
                  <c:v>10979454</c:v>
                </c:pt>
                <c:pt idx="13">
                  <c:v>103760306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B7-428B-AEC8-B44EF697745C}"/>
            </c:ext>
          </c:extLst>
        </c:ser>
        <c:ser>
          <c:idx val="2"/>
          <c:order val="2"/>
          <c:tx>
            <c:strRef>
              <c:f>'GRAFICAS PYG'!$E$64</c:f>
              <c:strCache>
                <c:ptCount val="1"/>
                <c:pt idx="0">
                  <c:v>VENTAS SIN IVA 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PYG'!$B$65:$B$78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PYG'!$E$65:$E$78</c:f>
              <c:numCache>
                <c:formatCode>#,##0</c:formatCode>
                <c:ptCount val="14"/>
                <c:pt idx="0">
                  <c:v>4878660</c:v>
                </c:pt>
                <c:pt idx="1">
                  <c:v>4693673</c:v>
                </c:pt>
                <c:pt idx="2">
                  <c:v>12062967</c:v>
                </c:pt>
                <c:pt idx="3">
                  <c:v>13101458</c:v>
                </c:pt>
                <c:pt idx="4">
                  <c:v>11011958</c:v>
                </c:pt>
                <c:pt idx="5">
                  <c:v>9771991</c:v>
                </c:pt>
                <c:pt idx="6">
                  <c:v>5870486</c:v>
                </c:pt>
                <c:pt idx="7">
                  <c:v>7730780</c:v>
                </c:pt>
                <c:pt idx="8">
                  <c:v>12500720</c:v>
                </c:pt>
                <c:pt idx="9">
                  <c:v>7560400</c:v>
                </c:pt>
                <c:pt idx="10">
                  <c:v>7355430</c:v>
                </c:pt>
                <c:pt idx="11">
                  <c:v>8377765</c:v>
                </c:pt>
                <c:pt idx="13">
                  <c:v>104916288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B7-428B-AEC8-B44EF697745C}"/>
            </c:ext>
          </c:extLst>
        </c:ser>
        <c:ser>
          <c:idx val="3"/>
          <c:order val="3"/>
          <c:tx>
            <c:strRef>
              <c:f>'GRAFICAS PYG'!$F$64</c:f>
              <c:strCache>
                <c:ptCount val="1"/>
                <c:pt idx="0">
                  <c:v>VENTAS SIN IVA 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PYG'!$B$65:$B$78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PYG'!$F$65:$F$78</c:f>
              <c:numCache>
                <c:formatCode>#,##0</c:formatCode>
                <c:ptCount val="14"/>
                <c:pt idx="0">
                  <c:v>3100823</c:v>
                </c:pt>
                <c:pt idx="1">
                  <c:v>7094524</c:v>
                </c:pt>
                <c:pt idx="2">
                  <c:v>11156171</c:v>
                </c:pt>
                <c:pt idx="3">
                  <c:v>11179990</c:v>
                </c:pt>
                <c:pt idx="4">
                  <c:v>9141636</c:v>
                </c:pt>
                <c:pt idx="5">
                  <c:v>6890613</c:v>
                </c:pt>
                <c:pt idx="6">
                  <c:v>8564817</c:v>
                </c:pt>
                <c:pt idx="7">
                  <c:v>12002561</c:v>
                </c:pt>
                <c:pt idx="8">
                  <c:v>8694467</c:v>
                </c:pt>
                <c:pt idx="9">
                  <c:v>6596990</c:v>
                </c:pt>
                <c:pt idx="10">
                  <c:v>10351450</c:v>
                </c:pt>
                <c:pt idx="11">
                  <c:v>10009636</c:v>
                </c:pt>
                <c:pt idx="13">
                  <c:v>104783678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B7-428B-AEC8-B44EF697745C}"/>
            </c:ext>
          </c:extLst>
        </c:ser>
        <c:ser>
          <c:idx val="4"/>
          <c:order val="4"/>
          <c:tx>
            <c:strRef>
              <c:f>'GRAFICAS PYG'!$G$64</c:f>
              <c:strCache>
                <c:ptCount val="1"/>
                <c:pt idx="0">
                  <c:v>VENTAS SIN IVA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PYG'!$B$65:$B$78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PYG'!$G$65:$G$78</c:f>
              <c:numCache>
                <c:formatCode>#,##0</c:formatCode>
                <c:ptCount val="14"/>
                <c:pt idx="0">
                  <c:v>5295548</c:v>
                </c:pt>
                <c:pt idx="1">
                  <c:v>6881543</c:v>
                </c:pt>
                <c:pt idx="2">
                  <c:v>7901560</c:v>
                </c:pt>
                <c:pt idx="3">
                  <c:v>10475785</c:v>
                </c:pt>
                <c:pt idx="4">
                  <c:v>9475619</c:v>
                </c:pt>
                <c:pt idx="5">
                  <c:v>14072478</c:v>
                </c:pt>
                <c:pt idx="6">
                  <c:v>7847354</c:v>
                </c:pt>
                <c:pt idx="7">
                  <c:v>10482068</c:v>
                </c:pt>
                <c:pt idx="8">
                  <c:v>12769758</c:v>
                </c:pt>
                <c:pt idx="9">
                  <c:v>11490263</c:v>
                </c:pt>
                <c:pt idx="10">
                  <c:v>13482352</c:v>
                </c:pt>
                <c:pt idx="11">
                  <c:v>8072834</c:v>
                </c:pt>
                <c:pt idx="13">
                  <c:v>118247162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B7-428B-AEC8-B44EF697745C}"/>
            </c:ext>
          </c:extLst>
        </c:ser>
        <c:ser>
          <c:idx val="5"/>
          <c:order val="5"/>
          <c:tx>
            <c:strRef>
              <c:f>'GRAFICAS PYG'!$H$64</c:f>
              <c:strCache>
                <c:ptCount val="1"/>
                <c:pt idx="0">
                  <c:v>VENTAS SIN IVA 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PYG'!$B$65:$B$78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PYG'!$H$65:$H$78</c:f>
              <c:numCache>
                <c:formatCode>#,##0</c:formatCode>
                <c:ptCount val="14"/>
                <c:pt idx="0">
                  <c:v>4656136</c:v>
                </c:pt>
                <c:pt idx="1">
                  <c:v>7804429</c:v>
                </c:pt>
                <c:pt idx="2">
                  <c:v>5900305</c:v>
                </c:pt>
                <c:pt idx="3">
                  <c:v>121014</c:v>
                </c:pt>
                <c:pt idx="4">
                  <c:v>1804105</c:v>
                </c:pt>
                <c:pt idx="5">
                  <c:v>5883300</c:v>
                </c:pt>
                <c:pt idx="6">
                  <c:v>9069381</c:v>
                </c:pt>
                <c:pt idx="7">
                  <c:v>6862717</c:v>
                </c:pt>
                <c:pt idx="8">
                  <c:v>9114471</c:v>
                </c:pt>
                <c:pt idx="9">
                  <c:v>11912109.83</c:v>
                </c:pt>
                <c:pt idx="10">
                  <c:v>9403633</c:v>
                </c:pt>
                <c:pt idx="11">
                  <c:v>11129725</c:v>
                </c:pt>
                <c:pt idx="13">
                  <c:v>83661325.829999998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B7-428B-AEC8-B44EF6977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324751"/>
        <c:axId val="1359325711"/>
      </c:barChart>
      <c:catAx>
        <c:axId val="135932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325711"/>
        <c:crosses val="autoZero"/>
        <c:auto val="1"/>
        <c:lblAlgn val="ctr"/>
        <c:lblOffset val="100"/>
        <c:noMultiLvlLbl val="0"/>
      </c:catAx>
      <c:valAx>
        <c:axId val="135932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32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PYG'!$C$87</c:f>
              <c:strCache>
                <c:ptCount val="1"/>
                <c:pt idx="0">
                  <c:v>GASTOS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PYG'!$B$88:$B$102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PYG'!$C$88:$C$102</c:f>
              <c:numCache>
                <c:formatCode>#,##0</c:formatCode>
                <c:ptCount val="15"/>
                <c:pt idx="0">
                  <c:v>10157985</c:v>
                </c:pt>
                <c:pt idx="1">
                  <c:v>12636419</c:v>
                </c:pt>
                <c:pt idx="2">
                  <c:v>15699505</c:v>
                </c:pt>
                <c:pt idx="3">
                  <c:v>13845188</c:v>
                </c:pt>
                <c:pt idx="4">
                  <c:v>16159541</c:v>
                </c:pt>
                <c:pt idx="5">
                  <c:v>13183791</c:v>
                </c:pt>
                <c:pt idx="6">
                  <c:v>13164418</c:v>
                </c:pt>
                <c:pt idx="7">
                  <c:v>12998509</c:v>
                </c:pt>
                <c:pt idx="8">
                  <c:v>15385036</c:v>
                </c:pt>
                <c:pt idx="9">
                  <c:v>15449005</c:v>
                </c:pt>
                <c:pt idx="10">
                  <c:v>16781585</c:v>
                </c:pt>
                <c:pt idx="11">
                  <c:v>13073986</c:v>
                </c:pt>
                <c:pt idx="14">
                  <c:v>168534968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8-4031-8CC9-7F7494C654AE}"/>
            </c:ext>
          </c:extLst>
        </c:ser>
        <c:ser>
          <c:idx val="1"/>
          <c:order val="1"/>
          <c:tx>
            <c:strRef>
              <c:f>'GRAFICAS PYG'!$D$87</c:f>
              <c:strCache>
                <c:ptCount val="1"/>
                <c:pt idx="0">
                  <c:v>GASTOS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PYG'!$B$88:$B$102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PYG'!$D$88:$D$102</c:f>
              <c:numCache>
                <c:formatCode>#,##0</c:formatCode>
                <c:ptCount val="15"/>
                <c:pt idx="0">
                  <c:v>9947041</c:v>
                </c:pt>
                <c:pt idx="1">
                  <c:v>13136716</c:v>
                </c:pt>
                <c:pt idx="2">
                  <c:v>11222287.82</c:v>
                </c:pt>
                <c:pt idx="3">
                  <c:v>13880419</c:v>
                </c:pt>
                <c:pt idx="4">
                  <c:v>12971414</c:v>
                </c:pt>
                <c:pt idx="5">
                  <c:v>10918657</c:v>
                </c:pt>
                <c:pt idx="6">
                  <c:v>11152404</c:v>
                </c:pt>
                <c:pt idx="7">
                  <c:v>11530628</c:v>
                </c:pt>
                <c:pt idx="8">
                  <c:v>14014468</c:v>
                </c:pt>
                <c:pt idx="9">
                  <c:v>14110605</c:v>
                </c:pt>
                <c:pt idx="10">
                  <c:v>12084858.1</c:v>
                </c:pt>
                <c:pt idx="11">
                  <c:v>14343828</c:v>
                </c:pt>
                <c:pt idx="14">
                  <c:v>149313325.91999999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8-4031-8CC9-7F7494C654AE}"/>
            </c:ext>
          </c:extLst>
        </c:ser>
        <c:ser>
          <c:idx val="2"/>
          <c:order val="2"/>
          <c:tx>
            <c:strRef>
              <c:f>'GRAFICAS PYG'!$E$87</c:f>
              <c:strCache>
                <c:ptCount val="1"/>
                <c:pt idx="0">
                  <c:v>GASTOS 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PYG'!$B$88:$B$102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PYG'!$E$88:$E$102</c:f>
              <c:numCache>
                <c:formatCode>#,##0</c:formatCode>
                <c:ptCount val="15"/>
                <c:pt idx="0">
                  <c:v>10152266</c:v>
                </c:pt>
                <c:pt idx="1">
                  <c:v>13410419</c:v>
                </c:pt>
                <c:pt idx="2">
                  <c:v>16907266</c:v>
                </c:pt>
                <c:pt idx="3">
                  <c:v>12557124</c:v>
                </c:pt>
                <c:pt idx="4">
                  <c:v>15171959</c:v>
                </c:pt>
                <c:pt idx="5">
                  <c:v>10729339</c:v>
                </c:pt>
                <c:pt idx="6">
                  <c:v>10792468</c:v>
                </c:pt>
                <c:pt idx="7">
                  <c:v>10381456</c:v>
                </c:pt>
                <c:pt idx="8">
                  <c:v>14685440</c:v>
                </c:pt>
                <c:pt idx="9">
                  <c:v>22974686</c:v>
                </c:pt>
                <c:pt idx="10">
                  <c:v>13205069</c:v>
                </c:pt>
                <c:pt idx="11">
                  <c:v>19716602</c:v>
                </c:pt>
                <c:pt idx="14">
                  <c:v>170684094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8-4031-8CC9-7F7494C654AE}"/>
            </c:ext>
          </c:extLst>
        </c:ser>
        <c:ser>
          <c:idx val="3"/>
          <c:order val="3"/>
          <c:tx>
            <c:strRef>
              <c:f>'GRAFICAS PYG'!$F$87</c:f>
              <c:strCache>
                <c:ptCount val="1"/>
                <c:pt idx="0">
                  <c:v>GASTOS 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PYG'!$B$88:$B$102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PYG'!$F$88:$F$102</c:f>
              <c:numCache>
                <c:formatCode>#,##0</c:formatCode>
                <c:ptCount val="15"/>
                <c:pt idx="0">
                  <c:v>8340075.4400000004</c:v>
                </c:pt>
                <c:pt idx="1">
                  <c:v>9969598</c:v>
                </c:pt>
                <c:pt idx="2">
                  <c:v>11403558</c:v>
                </c:pt>
                <c:pt idx="3">
                  <c:v>11689725</c:v>
                </c:pt>
                <c:pt idx="4">
                  <c:v>11286631</c:v>
                </c:pt>
                <c:pt idx="5">
                  <c:v>12304971</c:v>
                </c:pt>
                <c:pt idx="6">
                  <c:v>12624706</c:v>
                </c:pt>
                <c:pt idx="7">
                  <c:v>0</c:v>
                </c:pt>
                <c:pt idx="8">
                  <c:v>10423141</c:v>
                </c:pt>
                <c:pt idx="9">
                  <c:v>10630364</c:v>
                </c:pt>
                <c:pt idx="10">
                  <c:v>13793441</c:v>
                </c:pt>
                <c:pt idx="11">
                  <c:v>14685347</c:v>
                </c:pt>
                <c:pt idx="14">
                  <c:v>127151557.44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A8-4031-8CC9-7F7494C654AE}"/>
            </c:ext>
          </c:extLst>
        </c:ser>
        <c:ser>
          <c:idx val="4"/>
          <c:order val="4"/>
          <c:tx>
            <c:strRef>
              <c:f>'GRAFICAS PYG'!$G$87</c:f>
              <c:strCache>
                <c:ptCount val="1"/>
                <c:pt idx="0">
                  <c:v>GASTOS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PYG'!$B$88:$B$102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PYG'!$G$88:$G$102</c:f>
              <c:numCache>
                <c:formatCode>#,##0</c:formatCode>
                <c:ptCount val="15"/>
                <c:pt idx="0">
                  <c:v>9031235</c:v>
                </c:pt>
                <c:pt idx="1">
                  <c:v>12420337</c:v>
                </c:pt>
                <c:pt idx="2">
                  <c:v>13591375</c:v>
                </c:pt>
                <c:pt idx="3">
                  <c:v>17060981</c:v>
                </c:pt>
                <c:pt idx="4">
                  <c:v>11744516.633333333</c:v>
                </c:pt>
                <c:pt idx="5">
                  <c:v>12797380</c:v>
                </c:pt>
                <c:pt idx="6">
                  <c:v>13357892</c:v>
                </c:pt>
                <c:pt idx="7">
                  <c:v>12441445</c:v>
                </c:pt>
                <c:pt idx="8">
                  <c:v>14262071</c:v>
                </c:pt>
                <c:pt idx="9">
                  <c:v>11384483</c:v>
                </c:pt>
                <c:pt idx="10">
                  <c:v>9460840</c:v>
                </c:pt>
                <c:pt idx="11">
                  <c:v>10271878</c:v>
                </c:pt>
                <c:pt idx="14">
                  <c:v>147824433.63333333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A8-4031-8CC9-7F7494C654AE}"/>
            </c:ext>
          </c:extLst>
        </c:ser>
        <c:ser>
          <c:idx val="5"/>
          <c:order val="5"/>
          <c:tx>
            <c:strRef>
              <c:f>'GRAFICAS PYG'!$H$87</c:f>
              <c:strCache>
                <c:ptCount val="1"/>
                <c:pt idx="0">
                  <c:v>GASTOS 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PYG'!$B$88:$B$102</c:f>
              <c:strCache>
                <c:ptCount val="15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4">
                  <c:v>TOTAL </c:v>
                </c:pt>
              </c:strCache>
            </c:strRef>
          </c:cat>
          <c:val>
            <c:numRef>
              <c:f>'GRAFICAS PYG'!$H$88:$H$102</c:f>
              <c:numCache>
                <c:formatCode>#,##0</c:formatCode>
                <c:ptCount val="15"/>
                <c:pt idx="0">
                  <c:v>11183760</c:v>
                </c:pt>
                <c:pt idx="1">
                  <c:v>13337610</c:v>
                </c:pt>
                <c:pt idx="2">
                  <c:v>10865138</c:v>
                </c:pt>
                <c:pt idx="3">
                  <c:v>8424882</c:v>
                </c:pt>
                <c:pt idx="4">
                  <c:v>10909925</c:v>
                </c:pt>
                <c:pt idx="5">
                  <c:v>12990071</c:v>
                </c:pt>
                <c:pt idx="6">
                  <c:v>11530572</c:v>
                </c:pt>
                <c:pt idx="7">
                  <c:v>11013798</c:v>
                </c:pt>
                <c:pt idx="8">
                  <c:v>11098718</c:v>
                </c:pt>
                <c:pt idx="9">
                  <c:v>14559398</c:v>
                </c:pt>
                <c:pt idx="10">
                  <c:v>15548745</c:v>
                </c:pt>
                <c:pt idx="11">
                  <c:v>12796951</c:v>
                </c:pt>
                <c:pt idx="14">
                  <c:v>144259568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A8-4031-8CC9-7F7494C65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304591"/>
        <c:axId val="1359281071"/>
      </c:barChart>
      <c:catAx>
        <c:axId val="135930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281071"/>
        <c:crosses val="autoZero"/>
        <c:auto val="1"/>
        <c:lblAlgn val="ctr"/>
        <c:lblOffset val="100"/>
        <c:noMultiLvlLbl val="0"/>
      </c:catAx>
      <c:valAx>
        <c:axId val="13592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30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UTILIDAD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PYG'!$C$115</c:f>
              <c:strCache>
                <c:ptCount val="1"/>
                <c:pt idx="0">
                  <c:v>UTILIDAD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PYG'!$B$116:$B$129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PYG'!$C$116:$C$129</c:f>
              <c:numCache>
                <c:formatCode>#,##0</c:formatCode>
                <c:ptCount val="14"/>
                <c:pt idx="0">
                  <c:v>-6507825</c:v>
                </c:pt>
                <c:pt idx="1">
                  <c:v>-4441975</c:v>
                </c:pt>
                <c:pt idx="2">
                  <c:v>250408</c:v>
                </c:pt>
                <c:pt idx="3">
                  <c:v>-5744224</c:v>
                </c:pt>
                <c:pt idx="4">
                  <c:v>2252945</c:v>
                </c:pt>
                <c:pt idx="5">
                  <c:v>-958020</c:v>
                </c:pt>
                <c:pt idx="6">
                  <c:v>1357928</c:v>
                </c:pt>
                <c:pt idx="7">
                  <c:v>6707957</c:v>
                </c:pt>
                <c:pt idx="8">
                  <c:v>-2783769</c:v>
                </c:pt>
                <c:pt idx="9">
                  <c:v>-2016829</c:v>
                </c:pt>
                <c:pt idx="10">
                  <c:v>-5571376</c:v>
                </c:pt>
                <c:pt idx="11">
                  <c:v>10922909</c:v>
                </c:pt>
                <c:pt idx="13" formatCode="&quot;$&quot;#,##0.00;\-&quot;$&quot;#,##0.00">
                  <c:v>-6531871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5-420F-8285-136ACD5D52D9}"/>
            </c:ext>
          </c:extLst>
        </c:ser>
        <c:ser>
          <c:idx val="1"/>
          <c:order val="1"/>
          <c:tx>
            <c:strRef>
              <c:f>'GRAFICAS PYG'!$D$115</c:f>
              <c:strCache>
                <c:ptCount val="1"/>
                <c:pt idx="0">
                  <c:v>UTILIDAD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PYG'!$B$116:$B$129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PYG'!$D$116:$D$129</c:f>
              <c:numCache>
                <c:formatCode>#,##0</c:formatCode>
                <c:ptCount val="14"/>
                <c:pt idx="0">
                  <c:v>-2557551</c:v>
                </c:pt>
                <c:pt idx="1">
                  <c:v>-4416049</c:v>
                </c:pt>
                <c:pt idx="2">
                  <c:v>1058174.1799999997</c:v>
                </c:pt>
                <c:pt idx="3">
                  <c:v>3726717</c:v>
                </c:pt>
                <c:pt idx="4">
                  <c:v>-877419</c:v>
                </c:pt>
                <c:pt idx="5">
                  <c:v>-2507233</c:v>
                </c:pt>
                <c:pt idx="6">
                  <c:v>-4849520</c:v>
                </c:pt>
                <c:pt idx="7">
                  <c:v>3643220</c:v>
                </c:pt>
                <c:pt idx="8">
                  <c:v>472368</c:v>
                </c:pt>
                <c:pt idx="9">
                  <c:v>2023717</c:v>
                </c:pt>
                <c:pt idx="10">
                  <c:v>1111784.9000000004</c:v>
                </c:pt>
                <c:pt idx="11">
                  <c:v>91736</c:v>
                </c:pt>
                <c:pt idx="13" formatCode="&quot;$&quot;#,##0.00;\-&quot;$&quot;#,##0.00">
                  <c:v>-3080054.92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5-420F-8285-136ACD5D52D9}"/>
            </c:ext>
          </c:extLst>
        </c:ser>
        <c:ser>
          <c:idx val="2"/>
          <c:order val="2"/>
          <c:tx>
            <c:strRef>
              <c:f>'GRAFICAS PYG'!$E$115</c:f>
              <c:strCache>
                <c:ptCount val="1"/>
                <c:pt idx="0">
                  <c:v>UTILIDAD 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PYG'!$B$116:$B$129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PYG'!$E$116:$E$129</c:f>
              <c:numCache>
                <c:formatCode>#,##0</c:formatCode>
                <c:ptCount val="14"/>
                <c:pt idx="0">
                  <c:v>-5273606</c:v>
                </c:pt>
                <c:pt idx="1">
                  <c:v>-4384642</c:v>
                </c:pt>
                <c:pt idx="2">
                  <c:v>6335281</c:v>
                </c:pt>
                <c:pt idx="3">
                  <c:v>7020895</c:v>
                </c:pt>
                <c:pt idx="4">
                  <c:v>-1211535</c:v>
                </c:pt>
                <c:pt idx="5">
                  <c:v>4502965</c:v>
                </c:pt>
                <c:pt idx="6">
                  <c:v>110279</c:v>
                </c:pt>
                <c:pt idx="7">
                  <c:v>5253701</c:v>
                </c:pt>
                <c:pt idx="8">
                  <c:v>9178135</c:v>
                </c:pt>
                <c:pt idx="9">
                  <c:v>-5922538</c:v>
                </c:pt>
                <c:pt idx="10">
                  <c:v>538076</c:v>
                </c:pt>
                <c:pt idx="11">
                  <c:v>-2377914</c:v>
                </c:pt>
                <c:pt idx="13" formatCode="&quot;$&quot;#,##0.00;\-&quot;$&quot;#,##0.00">
                  <c:v>13769097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5-420F-8285-136ACD5D52D9}"/>
            </c:ext>
          </c:extLst>
        </c:ser>
        <c:ser>
          <c:idx val="3"/>
          <c:order val="3"/>
          <c:tx>
            <c:strRef>
              <c:f>'GRAFICAS PYG'!$F$115</c:f>
              <c:strCache>
                <c:ptCount val="1"/>
                <c:pt idx="0">
                  <c:v>UTILIDAD 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PYG'!$B$116:$B$129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PYG'!$F$116:$F$129</c:f>
              <c:numCache>
                <c:formatCode>#,##0</c:formatCode>
                <c:ptCount val="14"/>
                <c:pt idx="0">
                  <c:v>-1150802.4400000004</c:v>
                </c:pt>
                <c:pt idx="1">
                  <c:v>569556</c:v>
                </c:pt>
                <c:pt idx="2">
                  <c:v>4047103</c:v>
                </c:pt>
                <c:pt idx="3">
                  <c:v>2584980</c:v>
                </c:pt>
                <c:pt idx="4">
                  <c:v>891255</c:v>
                </c:pt>
                <c:pt idx="5">
                  <c:v>-2193718</c:v>
                </c:pt>
                <c:pt idx="6">
                  <c:v>-1077718</c:v>
                </c:pt>
                <c:pt idx="7">
                  <c:v>14262195</c:v>
                </c:pt>
                <c:pt idx="8">
                  <c:v>2471319</c:v>
                </c:pt>
                <c:pt idx="9">
                  <c:v>1920529</c:v>
                </c:pt>
                <c:pt idx="10">
                  <c:v>8536</c:v>
                </c:pt>
                <c:pt idx="11">
                  <c:v>-1237785</c:v>
                </c:pt>
                <c:pt idx="13" formatCode="&quot;$&quot;#,##0.00;\-&quot;$&quot;#,##0.00">
                  <c:v>21095449.559999999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55-420F-8285-136ACD5D52D9}"/>
            </c:ext>
          </c:extLst>
        </c:ser>
        <c:ser>
          <c:idx val="4"/>
          <c:order val="4"/>
          <c:tx>
            <c:strRef>
              <c:f>'GRAFICAS PYG'!$G$115</c:f>
              <c:strCache>
                <c:ptCount val="1"/>
                <c:pt idx="0">
                  <c:v>UTILIDAD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PYG'!$B$116:$B$129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PYG'!$G$116:$G$129</c:f>
              <c:numCache>
                <c:formatCode>#,##0</c:formatCode>
                <c:ptCount val="14"/>
                <c:pt idx="0">
                  <c:v>352800</c:v>
                </c:pt>
                <c:pt idx="1">
                  <c:v>-2094164</c:v>
                </c:pt>
                <c:pt idx="2">
                  <c:v>-1395325</c:v>
                </c:pt>
                <c:pt idx="3">
                  <c:v>-3490481</c:v>
                </c:pt>
                <c:pt idx="4">
                  <c:v>767352.36666666716</c:v>
                </c:pt>
                <c:pt idx="5">
                  <c:v>4495738</c:v>
                </c:pt>
                <c:pt idx="6">
                  <c:v>-2527014</c:v>
                </c:pt>
                <c:pt idx="7">
                  <c:v>299710</c:v>
                </c:pt>
                <c:pt idx="8">
                  <c:v>2707680</c:v>
                </c:pt>
                <c:pt idx="9">
                  <c:v>6059683</c:v>
                </c:pt>
                <c:pt idx="10">
                  <c:v>7472128</c:v>
                </c:pt>
                <c:pt idx="11">
                  <c:v>1238971</c:v>
                </c:pt>
                <c:pt idx="13" formatCode="&quot;$&quot;#,##0.00;\-&quot;$&quot;#,##0.00">
                  <c:v>13887078.366666667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55-420F-8285-136ACD5D52D9}"/>
            </c:ext>
          </c:extLst>
        </c:ser>
        <c:ser>
          <c:idx val="5"/>
          <c:order val="5"/>
          <c:tx>
            <c:strRef>
              <c:f>'GRAFICAS PYG'!$H$115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PYG'!$B$116:$B$129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PYG'!$H$116:$H$129</c:f>
              <c:numCache>
                <c:formatCode>#,##0</c:formatCode>
                <c:ptCount val="14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  <c:pt idx="4">
                  <c:v>-9105820</c:v>
                </c:pt>
                <c:pt idx="5">
                  <c:v>7982004</c:v>
                </c:pt>
                <c:pt idx="6">
                  <c:v>2646214</c:v>
                </c:pt>
                <c:pt idx="7">
                  <c:v>197274</c:v>
                </c:pt>
                <c:pt idx="8">
                  <c:v>3359239</c:v>
                </c:pt>
                <c:pt idx="9">
                  <c:v>2559631.8299999982</c:v>
                </c:pt>
                <c:pt idx="10">
                  <c:v>-1605167</c:v>
                </c:pt>
                <c:pt idx="11">
                  <c:v>4004674</c:v>
                </c:pt>
                <c:pt idx="13" formatCode="&quot;$&quot;#,##0.00;\-&quot;$&quot;#,##0.00">
                  <c:v>14465633.829999998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55-420F-8285-136ACD5D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359791"/>
        <c:axId val="1359345391"/>
      </c:barChart>
      <c:catAx>
        <c:axId val="13593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345391"/>
        <c:crosses val="autoZero"/>
        <c:auto val="1"/>
        <c:lblAlgn val="ctr"/>
        <c:lblOffset val="100"/>
        <c:noMultiLvlLbl val="0"/>
      </c:catAx>
      <c:valAx>
        <c:axId val="13593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935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204787</xdr:colOff>
      <xdr:row>40</xdr:row>
      <xdr:rowOff>147637</xdr:rowOff>
    </xdr:from>
    <xdr:to>
      <xdr:col>13</xdr:col>
      <xdr:colOff>404812</xdr:colOff>
      <xdr:row>56</xdr:row>
      <xdr:rowOff>195262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B9234B-36C4-CD63-008E-82EA88CF9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61</xdr:row>
      <xdr:rowOff>128587</xdr:rowOff>
    </xdr:from>
    <xdr:to>
      <xdr:col>13</xdr:col>
      <xdr:colOff>495300</xdr:colOff>
      <xdr:row>79</xdr:row>
      <xdr:rowOff>100012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2A0B54C-D157-7645-64C3-504333A4C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290512</xdr:colOff>
      <xdr:row>85</xdr:row>
      <xdr:rowOff>14287</xdr:rowOff>
    </xdr:from>
    <xdr:to>
      <xdr:col>13</xdr:col>
      <xdr:colOff>490537</xdr:colOff>
      <xdr:row>104</xdr:row>
      <xdr:rowOff>14287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C07F94E-070C-0420-0F58-73635E73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376237</xdr:colOff>
      <xdr:row>113</xdr:row>
      <xdr:rowOff>138112</xdr:rowOff>
    </xdr:from>
    <xdr:to>
      <xdr:col>13</xdr:col>
      <xdr:colOff>576262</xdr:colOff>
      <xdr:row>131</xdr:row>
      <xdr:rowOff>14287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A5600B1-662D-8699-33CD-53152B2CD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us.EQUIORIENTE\Downloads\INFORME%20P%20Y%20G%20MES%20A%20MES%202025%20ABRILxx.xlsx" TargetMode="External"/><Relationship Id="rId1" Type="http://schemas.openxmlformats.org/officeDocument/2006/relationships/externalLinkPath" Target="file:///C:\Users\Janus.EQUIORIENTE\Downloads\INFORME%20P%20Y%20G%20MES%20A%20MES%202025%20ABRILx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us.EQUIORIENTE\Desktop\INFORMES%20CONTABLES%20EQUIORIENTE\INFORME%20P%20Y%20G%20MES%20A%20MES%202025%20MAYO.xlsx" TargetMode="External"/><Relationship Id="rId1" Type="http://schemas.openxmlformats.org/officeDocument/2006/relationships/externalLinkPath" Target="file:///C:\Users\DELL\Downloads\INFORME%20P%20Y%20G%20MES%20A%20MES%202025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ABRIL "/>
      <sheetName val="pyg2025"/>
      <sheetName val="GRAFICAS PYG"/>
      <sheetName val="DISPONIBLE ABRIL"/>
      <sheetName val="Hoja3"/>
      <sheetName val="Hoja5"/>
      <sheetName val="Hoja2"/>
      <sheetName val="Hoja1"/>
    </sheetNames>
    <sheetDataSet>
      <sheetData sheetId="0"/>
      <sheetData sheetId="1">
        <row r="9">
          <cell r="D9">
            <v>496100</v>
          </cell>
          <cell r="H9">
            <v>24370</v>
          </cell>
          <cell r="K9">
            <v>100949</v>
          </cell>
          <cell r="N9">
            <v>55000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ABRIL "/>
      <sheetName val="BALANCE MAYO"/>
      <sheetName val="GRAFICAS PYG (2)"/>
      <sheetName val="pyg2025"/>
      <sheetName val="PRESUPUESTO"/>
      <sheetName val="GRAFICAS PYG"/>
      <sheetName val="DISPONIBLE ABRIL"/>
      <sheetName val="DISPONIBLE MAYO"/>
      <sheetName val="Hoja3"/>
      <sheetName val="Hoja2"/>
    </sheetNames>
    <sheetDataSet>
      <sheetData sheetId="0"/>
      <sheetData sheetId="1"/>
      <sheetData sheetId="2"/>
      <sheetData sheetId="3">
        <row r="16">
          <cell r="D16">
            <v>3154060</v>
          </cell>
          <cell r="H16">
            <v>8170074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nica Johana Villamizar Ochoa" id="{03482E18-8F1C-4223-96D0-B2B4EC4F7C67}" userId="4c016885f2ac4dd0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93" dT="2025-07-12T00:32:28.22" personId="{03482E18-8F1C-4223-96D0-B2B4EC4F7C67}" id="{FF357693-EA5C-4C07-A99C-49F4A32147F5}">
    <text>COMPRA LLANTAS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78D-F50E-4EB8-9021-8807B9E8AE27}">
  <dimension ref="A1:L103"/>
  <sheetViews>
    <sheetView showOutlineSymbols="0" topLeftCell="A16" workbookViewId="0">
      <selection activeCell="E22" sqref="E22"/>
    </sheetView>
  </sheetViews>
  <sheetFormatPr baseColWidth="10" defaultColWidth="6.85546875" defaultRowHeight="15" x14ac:dyDescent="0.25"/>
  <cols>
    <col min="1" max="1" width="7.7109375" style="57" customWidth="1"/>
    <col min="2" max="2" width="10.42578125" style="57" customWidth="1"/>
    <col min="3" max="3" width="45" style="57" customWidth="1"/>
    <col min="4" max="4" width="15" style="57" customWidth="1"/>
    <col min="5" max="5" width="14" style="65" bestFit="1" customWidth="1"/>
    <col min="6" max="6" width="6.85546875" style="57"/>
    <col min="7" max="7" width="8.42578125" style="57" bestFit="1" customWidth="1"/>
    <col min="8" max="8" width="19.7109375" style="57" bestFit="1" customWidth="1"/>
    <col min="9" max="9" width="12.140625" style="57" bestFit="1" customWidth="1"/>
    <col min="10" max="10" width="11.7109375" style="57" customWidth="1"/>
    <col min="11" max="11" width="13.85546875" style="57" customWidth="1"/>
    <col min="12" max="12" width="19.140625" style="57" customWidth="1"/>
    <col min="13" max="13" width="10" style="57" bestFit="1" customWidth="1"/>
    <col min="14" max="256" width="6.85546875" style="57"/>
    <col min="257" max="258" width="6" style="57" customWidth="1"/>
    <col min="259" max="259" width="38.140625" style="57" customWidth="1"/>
    <col min="260" max="260" width="15" style="57" customWidth="1"/>
    <col min="261" max="261" width="18.140625" style="57" customWidth="1"/>
    <col min="262" max="512" width="6.85546875" style="57"/>
    <col min="513" max="514" width="6" style="57" customWidth="1"/>
    <col min="515" max="515" width="38.140625" style="57" customWidth="1"/>
    <col min="516" max="516" width="15" style="57" customWidth="1"/>
    <col min="517" max="517" width="18.140625" style="57" customWidth="1"/>
    <col min="518" max="768" width="6.85546875" style="57"/>
    <col min="769" max="770" width="6" style="57" customWidth="1"/>
    <col min="771" max="771" width="38.140625" style="57" customWidth="1"/>
    <col min="772" max="772" width="15" style="57" customWidth="1"/>
    <col min="773" max="773" width="18.140625" style="57" customWidth="1"/>
    <col min="774" max="1024" width="6.85546875" style="57"/>
    <col min="1025" max="1026" width="6" style="57" customWidth="1"/>
    <col min="1027" max="1027" width="38.140625" style="57" customWidth="1"/>
    <col min="1028" max="1028" width="15" style="57" customWidth="1"/>
    <col min="1029" max="1029" width="18.140625" style="57" customWidth="1"/>
    <col min="1030" max="1280" width="6.85546875" style="57"/>
    <col min="1281" max="1282" width="6" style="57" customWidth="1"/>
    <col min="1283" max="1283" width="38.140625" style="57" customWidth="1"/>
    <col min="1284" max="1284" width="15" style="57" customWidth="1"/>
    <col min="1285" max="1285" width="18.140625" style="57" customWidth="1"/>
    <col min="1286" max="1536" width="6.85546875" style="57"/>
    <col min="1537" max="1538" width="6" style="57" customWidth="1"/>
    <col min="1539" max="1539" width="38.140625" style="57" customWidth="1"/>
    <col min="1540" max="1540" width="15" style="57" customWidth="1"/>
    <col min="1541" max="1541" width="18.140625" style="57" customWidth="1"/>
    <col min="1542" max="1792" width="6.85546875" style="57"/>
    <col min="1793" max="1794" width="6" style="57" customWidth="1"/>
    <col min="1795" max="1795" width="38.140625" style="57" customWidth="1"/>
    <col min="1796" max="1796" width="15" style="57" customWidth="1"/>
    <col min="1797" max="1797" width="18.140625" style="57" customWidth="1"/>
    <col min="1798" max="2048" width="6.85546875" style="57"/>
    <col min="2049" max="2050" width="6" style="57" customWidth="1"/>
    <col min="2051" max="2051" width="38.140625" style="57" customWidth="1"/>
    <col min="2052" max="2052" width="15" style="57" customWidth="1"/>
    <col min="2053" max="2053" width="18.140625" style="57" customWidth="1"/>
    <col min="2054" max="2304" width="6.85546875" style="57"/>
    <col min="2305" max="2306" width="6" style="57" customWidth="1"/>
    <col min="2307" max="2307" width="38.140625" style="57" customWidth="1"/>
    <col min="2308" max="2308" width="15" style="57" customWidth="1"/>
    <col min="2309" max="2309" width="18.140625" style="57" customWidth="1"/>
    <col min="2310" max="2560" width="6.85546875" style="57"/>
    <col min="2561" max="2562" width="6" style="57" customWidth="1"/>
    <col min="2563" max="2563" width="38.140625" style="57" customWidth="1"/>
    <col min="2564" max="2564" width="15" style="57" customWidth="1"/>
    <col min="2565" max="2565" width="18.140625" style="57" customWidth="1"/>
    <col min="2566" max="2816" width="6.85546875" style="57"/>
    <col min="2817" max="2818" width="6" style="57" customWidth="1"/>
    <col min="2819" max="2819" width="38.140625" style="57" customWidth="1"/>
    <col min="2820" max="2820" width="15" style="57" customWidth="1"/>
    <col min="2821" max="2821" width="18.140625" style="57" customWidth="1"/>
    <col min="2822" max="3072" width="6.85546875" style="57"/>
    <col min="3073" max="3074" width="6" style="57" customWidth="1"/>
    <col min="3075" max="3075" width="38.140625" style="57" customWidth="1"/>
    <col min="3076" max="3076" width="15" style="57" customWidth="1"/>
    <col min="3077" max="3077" width="18.140625" style="57" customWidth="1"/>
    <col min="3078" max="3328" width="6.85546875" style="57"/>
    <col min="3329" max="3330" width="6" style="57" customWidth="1"/>
    <col min="3331" max="3331" width="38.140625" style="57" customWidth="1"/>
    <col min="3332" max="3332" width="15" style="57" customWidth="1"/>
    <col min="3333" max="3333" width="18.140625" style="57" customWidth="1"/>
    <col min="3334" max="3584" width="6.85546875" style="57"/>
    <col min="3585" max="3586" width="6" style="57" customWidth="1"/>
    <col min="3587" max="3587" width="38.140625" style="57" customWidth="1"/>
    <col min="3588" max="3588" width="15" style="57" customWidth="1"/>
    <col min="3589" max="3589" width="18.140625" style="57" customWidth="1"/>
    <col min="3590" max="3840" width="6.85546875" style="57"/>
    <col min="3841" max="3842" width="6" style="57" customWidth="1"/>
    <col min="3843" max="3843" width="38.140625" style="57" customWidth="1"/>
    <col min="3844" max="3844" width="15" style="57" customWidth="1"/>
    <col min="3845" max="3845" width="18.140625" style="57" customWidth="1"/>
    <col min="3846" max="4096" width="6.85546875" style="57"/>
    <col min="4097" max="4098" width="6" style="57" customWidth="1"/>
    <col min="4099" max="4099" width="38.140625" style="57" customWidth="1"/>
    <col min="4100" max="4100" width="15" style="57" customWidth="1"/>
    <col min="4101" max="4101" width="18.140625" style="57" customWidth="1"/>
    <col min="4102" max="4352" width="6.85546875" style="57"/>
    <col min="4353" max="4354" width="6" style="57" customWidth="1"/>
    <col min="4355" max="4355" width="38.140625" style="57" customWidth="1"/>
    <col min="4356" max="4356" width="15" style="57" customWidth="1"/>
    <col min="4357" max="4357" width="18.140625" style="57" customWidth="1"/>
    <col min="4358" max="4608" width="6.85546875" style="57"/>
    <col min="4609" max="4610" width="6" style="57" customWidth="1"/>
    <col min="4611" max="4611" width="38.140625" style="57" customWidth="1"/>
    <col min="4612" max="4612" width="15" style="57" customWidth="1"/>
    <col min="4613" max="4613" width="18.140625" style="57" customWidth="1"/>
    <col min="4614" max="4864" width="6.85546875" style="57"/>
    <col min="4865" max="4866" width="6" style="57" customWidth="1"/>
    <col min="4867" max="4867" width="38.140625" style="57" customWidth="1"/>
    <col min="4868" max="4868" width="15" style="57" customWidth="1"/>
    <col min="4869" max="4869" width="18.140625" style="57" customWidth="1"/>
    <col min="4870" max="5120" width="6.85546875" style="57"/>
    <col min="5121" max="5122" width="6" style="57" customWidth="1"/>
    <col min="5123" max="5123" width="38.140625" style="57" customWidth="1"/>
    <col min="5124" max="5124" width="15" style="57" customWidth="1"/>
    <col min="5125" max="5125" width="18.140625" style="57" customWidth="1"/>
    <col min="5126" max="5376" width="6.85546875" style="57"/>
    <col min="5377" max="5378" width="6" style="57" customWidth="1"/>
    <col min="5379" max="5379" width="38.140625" style="57" customWidth="1"/>
    <col min="5380" max="5380" width="15" style="57" customWidth="1"/>
    <col min="5381" max="5381" width="18.140625" style="57" customWidth="1"/>
    <col min="5382" max="5632" width="6.85546875" style="57"/>
    <col min="5633" max="5634" width="6" style="57" customWidth="1"/>
    <col min="5635" max="5635" width="38.140625" style="57" customWidth="1"/>
    <col min="5636" max="5636" width="15" style="57" customWidth="1"/>
    <col min="5637" max="5637" width="18.140625" style="57" customWidth="1"/>
    <col min="5638" max="5888" width="6.85546875" style="57"/>
    <col min="5889" max="5890" width="6" style="57" customWidth="1"/>
    <col min="5891" max="5891" width="38.140625" style="57" customWidth="1"/>
    <col min="5892" max="5892" width="15" style="57" customWidth="1"/>
    <col min="5893" max="5893" width="18.140625" style="57" customWidth="1"/>
    <col min="5894" max="6144" width="6.85546875" style="57"/>
    <col min="6145" max="6146" width="6" style="57" customWidth="1"/>
    <col min="6147" max="6147" width="38.140625" style="57" customWidth="1"/>
    <col min="6148" max="6148" width="15" style="57" customWidth="1"/>
    <col min="6149" max="6149" width="18.140625" style="57" customWidth="1"/>
    <col min="6150" max="6400" width="6.85546875" style="57"/>
    <col min="6401" max="6402" width="6" style="57" customWidth="1"/>
    <col min="6403" max="6403" width="38.140625" style="57" customWidth="1"/>
    <col min="6404" max="6404" width="15" style="57" customWidth="1"/>
    <col min="6405" max="6405" width="18.140625" style="57" customWidth="1"/>
    <col min="6406" max="6656" width="6.85546875" style="57"/>
    <col min="6657" max="6658" width="6" style="57" customWidth="1"/>
    <col min="6659" max="6659" width="38.140625" style="57" customWidth="1"/>
    <col min="6660" max="6660" width="15" style="57" customWidth="1"/>
    <col min="6661" max="6661" width="18.140625" style="57" customWidth="1"/>
    <col min="6662" max="6912" width="6.85546875" style="57"/>
    <col min="6913" max="6914" width="6" style="57" customWidth="1"/>
    <col min="6915" max="6915" width="38.140625" style="57" customWidth="1"/>
    <col min="6916" max="6916" width="15" style="57" customWidth="1"/>
    <col min="6917" max="6917" width="18.140625" style="57" customWidth="1"/>
    <col min="6918" max="7168" width="6.85546875" style="57"/>
    <col min="7169" max="7170" width="6" style="57" customWidth="1"/>
    <col min="7171" max="7171" width="38.140625" style="57" customWidth="1"/>
    <col min="7172" max="7172" width="15" style="57" customWidth="1"/>
    <col min="7173" max="7173" width="18.140625" style="57" customWidth="1"/>
    <col min="7174" max="7424" width="6.85546875" style="57"/>
    <col min="7425" max="7426" width="6" style="57" customWidth="1"/>
    <col min="7427" max="7427" width="38.140625" style="57" customWidth="1"/>
    <col min="7428" max="7428" width="15" style="57" customWidth="1"/>
    <col min="7429" max="7429" width="18.140625" style="57" customWidth="1"/>
    <col min="7430" max="7680" width="6.85546875" style="57"/>
    <col min="7681" max="7682" width="6" style="57" customWidth="1"/>
    <col min="7683" max="7683" width="38.140625" style="57" customWidth="1"/>
    <col min="7684" max="7684" width="15" style="57" customWidth="1"/>
    <col min="7685" max="7685" width="18.140625" style="57" customWidth="1"/>
    <col min="7686" max="7936" width="6.85546875" style="57"/>
    <col min="7937" max="7938" width="6" style="57" customWidth="1"/>
    <col min="7939" max="7939" width="38.140625" style="57" customWidth="1"/>
    <col min="7940" max="7940" width="15" style="57" customWidth="1"/>
    <col min="7941" max="7941" width="18.140625" style="57" customWidth="1"/>
    <col min="7942" max="8192" width="6.85546875" style="57"/>
    <col min="8193" max="8194" width="6" style="57" customWidth="1"/>
    <col min="8195" max="8195" width="38.140625" style="57" customWidth="1"/>
    <col min="8196" max="8196" width="15" style="57" customWidth="1"/>
    <col min="8197" max="8197" width="18.140625" style="57" customWidth="1"/>
    <col min="8198" max="8448" width="6.85546875" style="57"/>
    <col min="8449" max="8450" width="6" style="57" customWidth="1"/>
    <col min="8451" max="8451" width="38.140625" style="57" customWidth="1"/>
    <col min="8452" max="8452" width="15" style="57" customWidth="1"/>
    <col min="8453" max="8453" width="18.140625" style="57" customWidth="1"/>
    <col min="8454" max="8704" width="6.85546875" style="57"/>
    <col min="8705" max="8706" width="6" style="57" customWidth="1"/>
    <col min="8707" max="8707" width="38.140625" style="57" customWidth="1"/>
    <col min="8708" max="8708" width="15" style="57" customWidth="1"/>
    <col min="8709" max="8709" width="18.140625" style="57" customWidth="1"/>
    <col min="8710" max="8960" width="6.85546875" style="57"/>
    <col min="8961" max="8962" width="6" style="57" customWidth="1"/>
    <col min="8963" max="8963" width="38.140625" style="57" customWidth="1"/>
    <col min="8964" max="8964" width="15" style="57" customWidth="1"/>
    <col min="8965" max="8965" width="18.140625" style="57" customWidth="1"/>
    <col min="8966" max="9216" width="6.85546875" style="57"/>
    <col min="9217" max="9218" width="6" style="57" customWidth="1"/>
    <col min="9219" max="9219" width="38.140625" style="57" customWidth="1"/>
    <col min="9220" max="9220" width="15" style="57" customWidth="1"/>
    <col min="9221" max="9221" width="18.140625" style="57" customWidth="1"/>
    <col min="9222" max="9472" width="6.85546875" style="57"/>
    <col min="9473" max="9474" width="6" style="57" customWidth="1"/>
    <col min="9475" max="9475" width="38.140625" style="57" customWidth="1"/>
    <col min="9476" max="9476" width="15" style="57" customWidth="1"/>
    <col min="9477" max="9477" width="18.140625" style="57" customWidth="1"/>
    <col min="9478" max="9728" width="6.85546875" style="57"/>
    <col min="9729" max="9730" width="6" style="57" customWidth="1"/>
    <col min="9731" max="9731" width="38.140625" style="57" customWidth="1"/>
    <col min="9732" max="9732" width="15" style="57" customWidth="1"/>
    <col min="9733" max="9733" width="18.140625" style="57" customWidth="1"/>
    <col min="9734" max="9984" width="6.85546875" style="57"/>
    <col min="9985" max="9986" width="6" style="57" customWidth="1"/>
    <col min="9987" max="9987" width="38.140625" style="57" customWidth="1"/>
    <col min="9988" max="9988" width="15" style="57" customWidth="1"/>
    <col min="9989" max="9989" width="18.140625" style="57" customWidth="1"/>
    <col min="9990" max="10240" width="6.85546875" style="57"/>
    <col min="10241" max="10242" width="6" style="57" customWidth="1"/>
    <col min="10243" max="10243" width="38.140625" style="57" customWidth="1"/>
    <col min="10244" max="10244" width="15" style="57" customWidth="1"/>
    <col min="10245" max="10245" width="18.140625" style="57" customWidth="1"/>
    <col min="10246" max="10496" width="6.85546875" style="57"/>
    <col min="10497" max="10498" width="6" style="57" customWidth="1"/>
    <col min="10499" max="10499" width="38.140625" style="57" customWidth="1"/>
    <col min="10500" max="10500" width="15" style="57" customWidth="1"/>
    <col min="10501" max="10501" width="18.140625" style="57" customWidth="1"/>
    <col min="10502" max="10752" width="6.85546875" style="57"/>
    <col min="10753" max="10754" width="6" style="57" customWidth="1"/>
    <col min="10755" max="10755" width="38.140625" style="57" customWidth="1"/>
    <col min="10756" max="10756" width="15" style="57" customWidth="1"/>
    <col min="10757" max="10757" width="18.140625" style="57" customWidth="1"/>
    <col min="10758" max="11008" width="6.85546875" style="57"/>
    <col min="11009" max="11010" width="6" style="57" customWidth="1"/>
    <col min="11011" max="11011" width="38.140625" style="57" customWidth="1"/>
    <col min="11012" max="11012" width="15" style="57" customWidth="1"/>
    <col min="11013" max="11013" width="18.140625" style="57" customWidth="1"/>
    <col min="11014" max="11264" width="6.85546875" style="57"/>
    <col min="11265" max="11266" width="6" style="57" customWidth="1"/>
    <col min="11267" max="11267" width="38.140625" style="57" customWidth="1"/>
    <col min="11268" max="11268" width="15" style="57" customWidth="1"/>
    <col min="11269" max="11269" width="18.140625" style="57" customWidth="1"/>
    <col min="11270" max="11520" width="6.85546875" style="57"/>
    <col min="11521" max="11522" width="6" style="57" customWidth="1"/>
    <col min="11523" max="11523" width="38.140625" style="57" customWidth="1"/>
    <col min="11524" max="11524" width="15" style="57" customWidth="1"/>
    <col min="11525" max="11525" width="18.140625" style="57" customWidth="1"/>
    <col min="11526" max="11776" width="6.85546875" style="57"/>
    <col min="11777" max="11778" width="6" style="57" customWidth="1"/>
    <col min="11779" max="11779" width="38.140625" style="57" customWidth="1"/>
    <col min="11780" max="11780" width="15" style="57" customWidth="1"/>
    <col min="11781" max="11781" width="18.140625" style="57" customWidth="1"/>
    <col min="11782" max="12032" width="6.85546875" style="57"/>
    <col min="12033" max="12034" width="6" style="57" customWidth="1"/>
    <col min="12035" max="12035" width="38.140625" style="57" customWidth="1"/>
    <col min="12036" max="12036" width="15" style="57" customWidth="1"/>
    <col min="12037" max="12037" width="18.140625" style="57" customWidth="1"/>
    <col min="12038" max="12288" width="6.85546875" style="57"/>
    <col min="12289" max="12290" width="6" style="57" customWidth="1"/>
    <col min="12291" max="12291" width="38.140625" style="57" customWidth="1"/>
    <col min="12292" max="12292" width="15" style="57" customWidth="1"/>
    <col min="12293" max="12293" width="18.140625" style="57" customWidth="1"/>
    <col min="12294" max="12544" width="6.85546875" style="57"/>
    <col min="12545" max="12546" width="6" style="57" customWidth="1"/>
    <col min="12547" max="12547" width="38.140625" style="57" customWidth="1"/>
    <col min="12548" max="12548" width="15" style="57" customWidth="1"/>
    <col min="12549" max="12549" width="18.140625" style="57" customWidth="1"/>
    <col min="12550" max="12800" width="6.85546875" style="57"/>
    <col min="12801" max="12802" width="6" style="57" customWidth="1"/>
    <col min="12803" max="12803" width="38.140625" style="57" customWidth="1"/>
    <col min="12804" max="12804" width="15" style="57" customWidth="1"/>
    <col min="12805" max="12805" width="18.140625" style="57" customWidth="1"/>
    <col min="12806" max="13056" width="6.85546875" style="57"/>
    <col min="13057" max="13058" width="6" style="57" customWidth="1"/>
    <col min="13059" max="13059" width="38.140625" style="57" customWidth="1"/>
    <col min="13060" max="13060" width="15" style="57" customWidth="1"/>
    <col min="13061" max="13061" width="18.140625" style="57" customWidth="1"/>
    <col min="13062" max="13312" width="6.85546875" style="57"/>
    <col min="13313" max="13314" width="6" style="57" customWidth="1"/>
    <col min="13315" max="13315" width="38.140625" style="57" customWidth="1"/>
    <col min="13316" max="13316" width="15" style="57" customWidth="1"/>
    <col min="13317" max="13317" width="18.140625" style="57" customWidth="1"/>
    <col min="13318" max="13568" width="6.85546875" style="57"/>
    <col min="13569" max="13570" width="6" style="57" customWidth="1"/>
    <col min="13571" max="13571" width="38.140625" style="57" customWidth="1"/>
    <col min="13572" max="13572" width="15" style="57" customWidth="1"/>
    <col min="13573" max="13573" width="18.140625" style="57" customWidth="1"/>
    <col min="13574" max="13824" width="6.85546875" style="57"/>
    <col min="13825" max="13826" width="6" style="57" customWidth="1"/>
    <col min="13827" max="13827" width="38.140625" style="57" customWidth="1"/>
    <col min="13828" max="13828" width="15" style="57" customWidth="1"/>
    <col min="13829" max="13829" width="18.140625" style="57" customWidth="1"/>
    <col min="13830" max="14080" width="6.85546875" style="57"/>
    <col min="14081" max="14082" width="6" style="57" customWidth="1"/>
    <col min="14083" max="14083" width="38.140625" style="57" customWidth="1"/>
    <col min="14084" max="14084" width="15" style="57" customWidth="1"/>
    <col min="14085" max="14085" width="18.140625" style="57" customWidth="1"/>
    <col min="14086" max="14336" width="6.85546875" style="57"/>
    <col min="14337" max="14338" width="6" style="57" customWidth="1"/>
    <col min="14339" max="14339" width="38.140625" style="57" customWidth="1"/>
    <col min="14340" max="14340" width="15" style="57" customWidth="1"/>
    <col min="14341" max="14341" width="18.140625" style="57" customWidth="1"/>
    <col min="14342" max="14592" width="6.85546875" style="57"/>
    <col min="14593" max="14594" width="6" style="57" customWidth="1"/>
    <col min="14595" max="14595" width="38.140625" style="57" customWidth="1"/>
    <col min="14596" max="14596" width="15" style="57" customWidth="1"/>
    <col min="14597" max="14597" width="18.140625" style="57" customWidth="1"/>
    <col min="14598" max="14848" width="6.85546875" style="57"/>
    <col min="14849" max="14850" width="6" style="57" customWidth="1"/>
    <col min="14851" max="14851" width="38.140625" style="57" customWidth="1"/>
    <col min="14852" max="14852" width="15" style="57" customWidth="1"/>
    <col min="14853" max="14853" width="18.140625" style="57" customWidth="1"/>
    <col min="14854" max="15104" width="6.85546875" style="57"/>
    <col min="15105" max="15106" width="6" style="57" customWidth="1"/>
    <col min="15107" max="15107" width="38.140625" style="57" customWidth="1"/>
    <col min="15108" max="15108" width="15" style="57" customWidth="1"/>
    <col min="15109" max="15109" width="18.140625" style="57" customWidth="1"/>
    <col min="15110" max="15360" width="6.85546875" style="57"/>
    <col min="15361" max="15362" width="6" style="57" customWidth="1"/>
    <col min="15363" max="15363" width="38.140625" style="57" customWidth="1"/>
    <col min="15364" max="15364" width="15" style="57" customWidth="1"/>
    <col min="15365" max="15365" width="18.140625" style="57" customWidth="1"/>
    <col min="15366" max="15616" width="6.85546875" style="57"/>
    <col min="15617" max="15618" width="6" style="57" customWidth="1"/>
    <col min="15619" max="15619" width="38.140625" style="57" customWidth="1"/>
    <col min="15620" max="15620" width="15" style="57" customWidth="1"/>
    <col min="15621" max="15621" width="18.140625" style="57" customWidth="1"/>
    <col min="15622" max="15872" width="6.85546875" style="57"/>
    <col min="15873" max="15874" width="6" style="57" customWidth="1"/>
    <col min="15875" max="15875" width="38.140625" style="57" customWidth="1"/>
    <col min="15876" max="15876" width="15" style="57" customWidth="1"/>
    <col min="15877" max="15877" width="18.140625" style="57" customWidth="1"/>
    <col min="15878" max="16128" width="6.85546875" style="57"/>
    <col min="16129" max="16130" width="6" style="57" customWidth="1"/>
    <col min="16131" max="16131" width="38.140625" style="57" customWidth="1"/>
    <col min="16132" max="16132" width="15" style="57" customWidth="1"/>
    <col min="16133" max="16133" width="18.140625" style="57" customWidth="1"/>
    <col min="16134" max="16384" width="6.85546875" style="57"/>
  </cols>
  <sheetData>
    <row r="1" spans="1:12" ht="16.5" customHeight="1" x14ac:dyDescent="0.25">
      <c r="A1" s="188" t="s">
        <v>0</v>
      </c>
      <c r="B1" s="188"/>
      <c r="C1" s="188"/>
      <c r="D1" s="188"/>
      <c r="E1" s="188"/>
      <c r="H1" s="52"/>
      <c r="I1" s="58"/>
      <c r="K1" s="72"/>
      <c r="L1" s="71"/>
    </row>
    <row r="2" spans="1:12" ht="13.5" customHeight="1" x14ac:dyDescent="0.25">
      <c r="A2" s="189" t="s">
        <v>177</v>
      </c>
      <c r="B2" s="189"/>
      <c r="C2" s="189"/>
      <c r="D2" s="189"/>
      <c r="E2" s="189"/>
      <c r="H2" s="52"/>
      <c r="I2" s="58"/>
      <c r="K2" s="72"/>
      <c r="L2" s="71"/>
    </row>
    <row r="3" spans="1:12" ht="20.25" customHeight="1" x14ac:dyDescent="0.25">
      <c r="A3" s="189" t="s">
        <v>461</v>
      </c>
      <c r="B3" s="189"/>
      <c r="C3" s="189"/>
      <c r="D3" s="189"/>
      <c r="E3" s="189"/>
      <c r="H3" s="52"/>
      <c r="I3" s="58"/>
      <c r="K3" s="72"/>
      <c r="L3" s="71"/>
    </row>
    <row r="4" spans="1:12" ht="14.25" customHeight="1" x14ac:dyDescent="0.25">
      <c r="H4" s="52"/>
      <c r="I4" s="58"/>
      <c r="K4" s="72"/>
      <c r="L4" s="71"/>
    </row>
    <row r="5" spans="1:12" ht="12.75" customHeight="1" x14ac:dyDescent="0.25">
      <c r="H5" s="52"/>
      <c r="I5" s="58"/>
      <c r="K5" s="72"/>
      <c r="L5" s="71"/>
    </row>
    <row r="6" spans="1:12" ht="12.75" customHeight="1" x14ac:dyDescent="0.25">
      <c r="A6" s="184" t="s">
        <v>178</v>
      </c>
      <c r="B6" s="184"/>
      <c r="C6" s="54" t="s">
        <v>179</v>
      </c>
      <c r="D6" s="54"/>
      <c r="E6" s="137"/>
      <c r="H6" s="52"/>
      <c r="I6" s="58"/>
      <c r="K6" s="72"/>
      <c r="L6" s="71"/>
    </row>
    <row r="7" spans="1:12" ht="9.9499999999999993" customHeight="1" x14ac:dyDescent="0.25">
      <c r="K7" s="63"/>
      <c r="L7" s="63"/>
    </row>
    <row r="8" spans="1:12" ht="18.600000000000001" customHeight="1" x14ac:dyDescent="0.25">
      <c r="A8" s="185" t="s">
        <v>180</v>
      </c>
      <c r="B8" s="185"/>
      <c r="C8" s="55" t="s">
        <v>181</v>
      </c>
      <c r="D8" s="59"/>
      <c r="E8" s="60"/>
      <c r="K8" s="63"/>
      <c r="L8" s="63"/>
    </row>
    <row r="9" spans="1:12" ht="14.85" customHeight="1" x14ac:dyDescent="0.25">
      <c r="A9" s="186" t="s">
        <v>182</v>
      </c>
      <c r="B9" s="186"/>
      <c r="C9" s="53" t="s">
        <v>183</v>
      </c>
      <c r="D9" s="60"/>
      <c r="E9" s="60">
        <f>+D10</f>
        <v>9204613</v>
      </c>
      <c r="H9" s="58"/>
      <c r="I9" s="62"/>
      <c r="K9" s="63"/>
      <c r="L9" s="63"/>
    </row>
    <row r="10" spans="1:12" ht="17.649999999999999" customHeight="1" x14ac:dyDescent="0.25">
      <c r="A10" s="187" t="s">
        <v>184</v>
      </c>
      <c r="B10" s="187"/>
      <c r="C10" s="52" t="s">
        <v>185</v>
      </c>
      <c r="D10" s="136">
        <v>9204613</v>
      </c>
      <c r="E10" s="60"/>
      <c r="H10" s="58"/>
      <c r="I10" s="144"/>
      <c r="K10" s="72"/>
      <c r="L10" s="71"/>
    </row>
    <row r="11" spans="1:12" ht="17.649999999999999" customHeight="1" x14ac:dyDescent="0.25">
      <c r="A11" s="52"/>
      <c r="B11" s="52"/>
      <c r="C11" s="52"/>
      <c r="D11" s="58"/>
      <c r="E11" s="60"/>
      <c r="H11" s="58"/>
      <c r="I11" s="144"/>
    </row>
    <row r="12" spans="1:12" ht="14.85" customHeight="1" x14ac:dyDescent="0.25">
      <c r="A12" s="186" t="s">
        <v>186</v>
      </c>
      <c r="B12" s="186"/>
      <c r="C12" s="53" t="s">
        <v>187</v>
      </c>
      <c r="D12" s="61"/>
      <c r="E12" s="60"/>
      <c r="H12" s="62"/>
    </row>
    <row r="13" spans="1:12" ht="12" customHeight="1" x14ac:dyDescent="0.25">
      <c r="A13" s="187" t="s">
        <v>188</v>
      </c>
      <c r="B13" s="187"/>
      <c r="C13" s="52" t="s">
        <v>189</v>
      </c>
      <c r="D13" s="58"/>
      <c r="E13" s="60">
        <f>+D14</f>
        <v>6165540.4299999997</v>
      </c>
      <c r="H13" s="62"/>
      <c r="K13" s="67"/>
      <c r="L13" s="69"/>
    </row>
    <row r="14" spans="1:12" ht="14.85" customHeight="1" x14ac:dyDescent="0.25">
      <c r="A14" s="187" t="s">
        <v>190</v>
      </c>
      <c r="B14" s="187"/>
      <c r="C14" s="52" t="s">
        <v>191</v>
      </c>
      <c r="D14" s="136">
        <v>6165540.4299999997</v>
      </c>
      <c r="E14" s="60"/>
      <c r="H14" s="40"/>
      <c r="J14" s="62"/>
      <c r="K14" s="67"/>
      <c r="L14" s="69"/>
    </row>
    <row r="15" spans="1:12" ht="14.85" customHeight="1" x14ac:dyDescent="0.25">
      <c r="A15" s="52"/>
      <c r="B15" s="52"/>
      <c r="C15" s="52"/>
      <c r="D15" s="58"/>
      <c r="E15" s="60"/>
      <c r="H15" s="40"/>
      <c r="J15" s="62"/>
      <c r="K15" s="67"/>
      <c r="L15" s="69"/>
    </row>
    <row r="16" spans="1:12" ht="14.85" customHeight="1" x14ac:dyDescent="0.25">
      <c r="A16" s="52">
        <v>1220</v>
      </c>
      <c r="B16" s="52"/>
      <c r="C16" s="52" t="s">
        <v>382</v>
      </c>
      <c r="D16" s="58"/>
      <c r="E16" s="60">
        <f>+D17+D19</f>
        <v>110901494</v>
      </c>
      <c r="H16" s="40"/>
      <c r="J16" s="62"/>
      <c r="K16" s="67"/>
      <c r="L16" s="69"/>
    </row>
    <row r="17" spans="1:12" ht="14.85" customHeight="1" x14ac:dyDescent="0.25">
      <c r="A17" s="52"/>
      <c r="B17" s="52"/>
      <c r="C17" s="52" t="s">
        <v>413</v>
      </c>
      <c r="D17" s="58">
        <v>88137296</v>
      </c>
      <c r="E17" s="60"/>
      <c r="H17" s="52" t="s">
        <v>414</v>
      </c>
      <c r="I17" s="58" t="s">
        <v>419</v>
      </c>
      <c r="J17" s="62"/>
      <c r="K17" s="67"/>
      <c r="L17" s="69"/>
    </row>
    <row r="18" spans="1:12" ht="14.85" customHeight="1" x14ac:dyDescent="0.25">
      <c r="A18" s="52"/>
      <c r="B18" s="52"/>
      <c r="C18" s="52" t="s">
        <v>415</v>
      </c>
      <c r="D18" s="58">
        <f>7474000+J18</f>
        <v>7810240</v>
      </c>
      <c r="E18" s="60"/>
      <c r="H18" s="52" t="s">
        <v>417</v>
      </c>
      <c r="I18" s="58" t="s">
        <v>419</v>
      </c>
      <c r="J18" s="62">
        <v>336240</v>
      </c>
      <c r="K18" s="67"/>
      <c r="L18" s="69"/>
    </row>
    <row r="19" spans="1:12" ht="14.85" customHeight="1" x14ac:dyDescent="0.25">
      <c r="A19" s="52"/>
      <c r="B19" s="52"/>
      <c r="C19" s="52" t="s">
        <v>416</v>
      </c>
      <c r="D19" s="136">
        <f>22337500+J19</f>
        <v>22764198</v>
      </c>
      <c r="E19" s="60"/>
      <c r="H19" s="52" t="s">
        <v>418</v>
      </c>
      <c r="I19" s="136" t="s">
        <v>419</v>
      </c>
      <c r="J19" s="62">
        <f>444477-17779</f>
        <v>426698</v>
      </c>
      <c r="K19" s="67"/>
      <c r="L19" s="69"/>
    </row>
    <row r="20" spans="1:12" ht="15.75" customHeight="1" x14ac:dyDescent="0.25">
      <c r="D20" s="58"/>
      <c r="E20" s="60"/>
      <c r="I20" s="73"/>
      <c r="K20" s="67"/>
      <c r="L20" s="69"/>
    </row>
    <row r="21" spans="1:12" ht="15.75" customHeight="1" x14ac:dyDescent="0.25">
      <c r="A21" s="185" t="s">
        <v>192</v>
      </c>
      <c r="B21" s="185"/>
      <c r="C21" s="55" t="s">
        <v>193</v>
      </c>
      <c r="D21" s="58"/>
      <c r="E21" s="60"/>
      <c r="I21" s="73"/>
      <c r="K21" s="67"/>
      <c r="L21" s="69"/>
    </row>
    <row r="22" spans="1:12" ht="15.75" customHeight="1" x14ac:dyDescent="0.25">
      <c r="A22" s="186" t="s">
        <v>338</v>
      </c>
      <c r="B22" s="186"/>
      <c r="C22" s="53" t="s">
        <v>194</v>
      </c>
      <c r="D22" s="58"/>
      <c r="E22" s="60">
        <f>+D23</f>
        <v>5426583</v>
      </c>
      <c r="H22" s="57" t="s">
        <v>448</v>
      </c>
      <c r="I22" s="73">
        <v>91000000</v>
      </c>
      <c r="K22" s="67"/>
      <c r="L22" s="69"/>
    </row>
    <row r="23" spans="1:12" ht="15.75" customHeight="1" x14ac:dyDescent="0.25">
      <c r="A23" s="187" t="s">
        <v>195</v>
      </c>
      <c r="B23" s="187"/>
      <c r="C23" s="52" t="s">
        <v>196</v>
      </c>
      <c r="D23" s="136">
        <f>+CARTERA!D28</f>
        <v>5426583</v>
      </c>
      <c r="E23" s="60"/>
      <c r="H23" s="57" t="s">
        <v>449</v>
      </c>
      <c r="I23" s="62">
        <f>+D17-I22</f>
        <v>-2862704</v>
      </c>
      <c r="K23" s="67"/>
      <c r="L23" s="69"/>
    </row>
    <row r="24" spans="1:12" ht="15.75" customHeight="1" x14ac:dyDescent="0.25">
      <c r="A24" s="52"/>
      <c r="B24" s="52"/>
      <c r="C24" s="52"/>
      <c r="D24" s="58"/>
      <c r="E24" s="60"/>
      <c r="I24" s="62">
        <f>+I22+I23</f>
        <v>88137296</v>
      </c>
      <c r="K24" s="67"/>
      <c r="L24" s="69"/>
    </row>
    <row r="25" spans="1:12" ht="15.75" customHeight="1" x14ac:dyDescent="0.25">
      <c r="A25" s="187" t="s">
        <v>197</v>
      </c>
      <c r="B25" s="187"/>
      <c r="C25" s="52" t="s">
        <v>198</v>
      </c>
      <c r="D25" s="58"/>
      <c r="E25" s="60">
        <f>+D26</f>
        <v>30240</v>
      </c>
      <c r="I25" s="62"/>
      <c r="K25" s="67"/>
      <c r="L25" s="69"/>
    </row>
    <row r="26" spans="1:12" ht="18.600000000000001" customHeight="1" x14ac:dyDescent="0.25">
      <c r="A26" s="52"/>
      <c r="B26" s="52"/>
      <c r="C26" s="52" t="s">
        <v>299</v>
      </c>
      <c r="D26" s="136">
        <f>+CARTERA!D17</f>
        <v>30240</v>
      </c>
      <c r="E26" s="60"/>
      <c r="K26" s="68"/>
      <c r="L26" s="70"/>
    </row>
    <row r="27" spans="1:12" ht="14.85" customHeight="1" x14ac:dyDescent="0.25">
      <c r="A27" s="52"/>
      <c r="B27" s="52"/>
      <c r="C27" s="52"/>
      <c r="D27" s="58"/>
      <c r="E27" s="60"/>
      <c r="H27" s="62"/>
      <c r="K27" s="68"/>
      <c r="L27" s="70"/>
    </row>
    <row r="28" spans="1:12" ht="12" customHeight="1" x14ac:dyDescent="0.25">
      <c r="A28" s="52">
        <v>1330</v>
      </c>
      <c r="B28" s="52"/>
      <c r="C28" s="52" t="s">
        <v>383</v>
      </c>
      <c r="D28" s="58"/>
      <c r="E28" s="60">
        <f>+D29</f>
        <v>50879370</v>
      </c>
      <c r="K28" s="67"/>
      <c r="L28" s="69"/>
    </row>
    <row r="29" spans="1:12" ht="12" customHeight="1" x14ac:dyDescent="0.25">
      <c r="A29" s="52"/>
      <c r="B29" s="52"/>
      <c r="C29" s="52" t="s">
        <v>300</v>
      </c>
      <c r="D29" s="136">
        <f>+ANTICIPOS!E40</f>
        <v>50879370</v>
      </c>
      <c r="E29" s="60"/>
      <c r="K29" s="67"/>
      <c r="L29" s="69"/>
    </row>
    <row r="30" spans="1:12" ht="22.5" customHeight="1" x14ac:dyDescent="0.25">
      <c r="A30" s="52"/>
      <c r="B30" s="52"/>
      <c r="C30" s="52"/>
      <c r="D30" s="58"/>
      <c r="E30" s="60"/>
    </row>
    <row r="31" spans="1:12" ht="17.649999999999999" customHeight="1" x14ac:dyDescent="0.25">
      <c r="A31" s="186" t="s">
        <v>199</v>
      </c>
      <c r="B31" s="186"/>
      <c r="C31" s="53" t="s">
        <v>200</v>
      </c>
      <c r="D31" s="58"/>
      <c r="E31" s="60">
        <f>SUM(D32:D35)</f>
        <v>4551523.4000000004</v>
      </c>
    </row>
    <row r="32" spans="1:12" ht="17.649999999999999" customHeight="1" x14ac:dyDescent="0.25">
      <c r="A32" s="187" t="s">
        <v>201</v>
      </c>
      <c r="B32" s="187"/>
      <c r="C32" s="52" t="s">
        <v>202</v>
      </c>
      <c r="D32" s="58">
        <v>3476000</v>
      </c>
      <c r="E32" s="60"/>
    </row>
    <row r="33" spans="1:12" ht="17.649999999999999" customHeight="1" x14ac:dyDescent="0.25">
      <c r="A33" s="52">
        <v>135518</v>
      </c>
      <c r="B33" s="52"/>
      <c r="C33" s="52" t="s">
        <v>281</v>
      </c>
      <c r="D33" s="58">
        <v>50487</v>
      </c>
      <c r="E33" s="60"/>
    </row>
    <row r="34" spans="1:12" ht="17.649999999999999" customHeight="1" x14ac:dyDescent="0.25">
      <c r="A34" s="187" t="s">
        <v>203</v>
      </c>
      <c r="B34" s="187"/>
      <c r="C34" s="52" t="s">
        <v>280</v>
      </c>
      <c r="D34" s="58">
        <f>+Hoja1!H20</f>
        <v>570036.4</v>
      </c>
      <c r="E34" s="60"/>
    </row>
    <row r="35" spans="1:12" ht="17.649999999999999" customHeight="1" x14ac:dyDescent="0.25">
      <c r="A35" s="187" t="s">
        <v>205</v>
      </c>
      <c r="B35" s="187"/>
      <c r="C35" s="52" t="s">
        <v>256</v>
      </c>
      <c r="D35" s="136">
        <v>455000</v>
      </c>
      <c r="E35" s="60"/>
    </row>
    <row r="36" spans="1:12" ht="17.649999999999999" customHeight="1" x14ac:dyDescent="0.25">
      <c r="D36" s="58"/>
    </row>
    <row r="37" spans="1:12" ht="17.649999999999999" customHeight="1" x14ac:dyDescent="0.25">
      <c r="A37" s="185" t="s">
        <v>206</v>
      </c>
      <c r="B37" s="185"/>
      <c r="C37" s="55" t="s">
        <v>207</v>
      </c>
      <c r="D37" s="58"/>
      <c r="E37" s="138">
        <f>SUM(D38:D46)</f>
        <v>222134229</v>
      </c>
    </row>
    <row r="38" spans="1:12" ht="17.649999999999999" customHeight="1" x14ac:dyDescent="0.25">
      <c r="A38" s="186" t="s">
        <v>208</v>
      </c>
      <c r="B38" s="186"/>
      <c r="C38" s="53" t="s">
        <v>67</v>
      </c>
      <c r="D38" s="58"/>
      <c r="E38" s="61"/>
    </row>
    <row r="39" spans="1:12" ht="17.649999999999999" customHeight="1" x14ac:dyDescent="0.25">
      <c r="A39" s="187" t="s">
        <v>209</v>
      </c>
      <c r="B39" s="187"/>
      <c r="C39" s="52" t="s">
        <v>210</v>
      </c>
      <c r="D39" s="58">
        <v>0</v>
      </c>
      <c r="E39" s="139"/>
    </row>
    <row r="40" spans="1:12" ht="17.649999999999999" customHeight="1" x14ac:dyDescent="0.25">
      <c r="A40" s="52">
        <v>1520</v>
      </c>
      <c r="B40" s="52"/>
      <c r="C40" s="52" t="s">
        <v>352</v>
      </c>
      <c r="D40" s="136">
        <v>192065553</v>
      </c>
      <c r="E40" s="139"/>
    </row>
    <row r="41" spans="1:12" ht="17.649999999999999" customHeight="1" x14ac:dyDescent="0.25">
      <c r="A41" s="187">
        <v>152005</v>
      </c>
      <c r="B41" s="187"/>
      <c r="C41" s="52" t="s">
        <v>353</v>
      </c>
      <c r="D41" s="58"/>
      <c r="E41" s="139"/>
      <c r="F41" s="63"/>
      <c r="G41" s="63"/>
      <c r="J41" s="58"/>
      <c r="K41" s="74"/>
      <c r="L41" s="74"/>
    </row>
    <row r="42" spans="1:12" ht="12" customHeight="1" x14ac:dyDescent="0.25">
      <c r="A42" s="186" t="s">
        <v>211</v>
      </c>
      <c r="B42" s="186"/>
      <c r="C42" s="53" t="s">
        <v>140</v>
      </c>
      <c r="D42" s="58"/>
      <c r="E42" s="61"/>
      <c r="K42" s="75"/>
      <c r="L42" s="74"/>
    </row>
    <row r="43" spans="1:12" ht="12" customHeight="1" x14ac:dyDescent="0.25">
      <c r="A43" s="187" t="s">
        <v>212</v>
      </c>
      <c r="B43" s="187"/>
      <c r="C43" s="52" t="s">
        <v>213</v>
      </c>
      <c r="D43" s="58">
        <v>3718000</v>
      </c>
      <c r="E43" s="139"/>
      <c r="J43" s="58"/>
      <c r="K43" s="75"/>
      <c r="L43" s="74"/>
    </row>
    <row r="44" spans="1:12" ht="12" customHeight="1" x14ac:dyDescent="0.25">
      <c r="A44" s="186" t="s">
        <v>214</v>
      </c>
      <c r="B44" s="186"/>
      <c r="C44" s="53" t="s">
        <v>215</v>
      </c>
      <c r="D44" s="58">
        <v>0</v>
      </c>
      <c r="E44" s="61"/>
    </row>
    <row r="45" spans="1:12" ht="12" customHeight="1" x14ac:dyDescent="0.25">
      <c r="A45" s="187" t="s">
        <v>216</v>
      </c>
      <c r="B45" s="187"/>
      <c r="C45" s="52" t="s">
        <v>217</v>
      </c>
      <c r="D45" s="58">
        <v>34596000</v>
      </c>
      <c r="E45" s="139"/>
    </row>
    <row r="46" spans="1:12" ht="12" customHeight="1" x14ac:dyDescent="0.25">
      <c r="A46" s="186" t="s">
        <v>218</v>
      </c>
      <c r="B46" s="186"/>
      <c r="C46" s="53" t="s">
        <v>219</v>
      </c>
      <c r="D46" s="136">
        <f>-11108028+2862704</f>
        <v>-8245324</v>
      </c>
      <c r="E46" s="61"/>
    </row>
    <row r="47" spans="1:12" ht="12" customHeight="1" x14ac:dyDescent="0.25">
      <c r="D47" s="58"/>
      <c r="L47" s="75"/>
    </row>
    <row r="48" spans="1:12" ht="12" customHeight="1" x14ac:dyDescent="0.25">
      <c r="A48" s="185" t="s">
        <v>220</v>
      </c>
      <c r="B48" s="185"/>
      <c r="C48" s="55" t="s">
        <v>221</v>
      </c>
      <c r="D48" s="58"/>
      <c r="E48" s="138">
        <f>+D49</f>
        <v>2548980</v>
      </c>
    </row>
    <row r="49" spans="1:8" ht="13.5" customHeight="1" x14ac:dyDescent="0.25">
      <c r="A49" s="186" t="s">
        <v>222</v>
      </c>
      <c r="B49" s="186"/>
      <c r="C49" s="53" t="s">
        <v>223</v>
      </c>
      <c r="D49" s="136">
        <v>2548980</v>
      </c>
      <c r="E49" s="61"/>
    </row>
    <row r="50" spans="1:8" ht="13.5" customHeight="1" x14ac:dyDescent="0.25">
      <c r="A50" s="53"/>
      <c r="B50" s="53"/>
      <c r="C50" s="53"/>
      <c r="D50" s="58"/>
      <c r="E50" s="61"/>
    </row>
    <row r="51" spans="1:8" ht="13.5" customHeight="1" thickBot="1" x14ac:dyDescent="0.3">
      <c r="A51" s="183" t="s">
        <v>224</v>
      </c>
      <c r="B51" s="183"/>
      <c r="C51" s="183"/>
      <c r="D51" s="159"/>
      <c r="E51" s="140">
        <f>SUM(E9:E49)</f>
        <v>411842572.83000004</v>
      </c>
    </row>
    <row r="52" spans="1:8" ht="13.5" customHeight="1" thickTop="1" x14ac:dyDescent="0.25">
      <c r="A52" s="53"/>
      <c r="B52" s="53"/>
      <c r="C52" s="53"/>
      <c r="D52" s="58"/>
      <c r="E52" s="61"/>
    </row>
    <row r="53" spans="1:8" ht="18.600000000000001" customHeight="1" x14ac:dyDescent="0.25">
      <c r="A53" s="52"/>
      <c r="B53" s="52"/>
      <c r="C53" s="52"/>
      <c r="D53" s="58"/>
      <c r="E53" s="139"/>
    </row>
    <row r="54" spans="1:8" ht="14.85" customHeight="1" x14ac:dyDescent="0.25">
      <c r="A54" s="186" t="s">
        <v>225</v>
      </c>
      <c r="B54" s="186"/>
      <c r="C54" s="53" t="s">
        <v>204</v>
      </c>
      <c r="D54" s="58"/>
      <c r="E54" s="60">
        <f>+D55+D56</f>
        <v>150000</v>
      </c>
      <c r="H54" s="58"/>
    </row>
    <row r="55" spans="1:8" ht="10.5" customHeight="1" x14ac:dyDescent="0.25">
      <c r="A55" s="187" t="s">
        <v>339</v>
      </c>
      <c r="B55" s="187"/>
      <c r="C55" s="52" t="s">
        <v>204</v>
      </c>
      <c r="D55" s="58">
        <v>0</v>
      </c>
      <c r="E55" s="139"/>
    </row>
    <row r="56" spans="1:8" ht="10.15" customHeight="1" x14ac:dyDescent="0.25">
      <c r="A56" s="52">
        <v>236706</v>
      </c>
      <c r="B56" s="52"/>
      <c r="C56" s="52" t="s">
        <v>340</v>
      </c>
      <c r="D56" s="136">
        <v>150000</v>
      </c>
      <c r="E56" s="139"/>
    </row>
    <row r="57" spans="1:8" ht="18.600000000000001" customHeight="1" x14ac:dyDescent="0.25">
      <c r="A57" s="187"/>
      <c r="B57" s="187"/>
      <c r="C57" s="52"/>
      <c r="D57" s="58"/>
      <c r="E57" s="139"/>
    </row>
    <row r="58" spans="1:8" ht="14.85" customHeight="1" x14ac:dyDescent="0.25">
      <c r="A58" s="186" t="s">
        <v>226</v>
      </c>
      <c r="B58" s="186"/>
      <c r="C58" s="53" t="s">
        <v>227</v>
      </c>
      <c r="D58" s="58"/>
      <c r="E58" s="60">
        <f>+D59+D60+D61</f>
        <v>370400</v>
      </c>
    </row>
    <row r="59" spans="1:8" ht="17.649999999999999" customHeight="1" x14ac:dyDescent="0.25">
      <c r="A59" s="187" t="s">
        <v>341</v>
      </c>
      <c r="B59" s="187"/>
      <c r="C59" s="52" t="s">
        <v>228</v>
      </c>
      <c r="D59" s="58">
        <v>168200</v>
      </c>
      <c r="E59" s="139"/>
    </row>
    <row r="60" spans="1:8" ht="17.649999999999999" customHeight="1" x14ac:dyDescent="0.25">
      <c r="A60" s="187" t="s">
        <v>342</v>
      </c>
      <c r="B60" s="187"/>
      <c r="C60" s="52" t="s">
        <v>49</v>
      </c>
      <c r="D60" s="58">
        <v>34000</v>
      </c>
      <c r="E60" s="139"/>
    </row>
    <row r="61" spans="1:8" ht="14.85" customHeight="1" x14ac:dyDescent="0.25">
      <c r="A61" s="187" t="s">
        <v>229</v>
      </c>
      <c r="B61" s="187"/>
      <c r="C61" s="52" t="s">
        <v>230</v>
      </c>
      <c r="D61" s="136">
        <v>168200</v>
      </c>
      <c r="E61" s="139"/>
    </row>
    <row r="62" spans="1:8" ht="12" customHeight="1" x14ac:dyDescent="0.25">
      <c r="A62" s="52"/>
      <c r="B62" s="52"/>
      <c r="C62" s="52"/>
      <c r="D62" s="58"/>
      <c r="E62" s="139"/>
    </row>
    <row r="63" spans="1:8" ht="17.649999999999999" customHeight="1" x14ac:dyDescent="0.25">
      <c r="A63" s="186" t="s">
        <v>231</v>
      </c>
      <c r="B63" s="186"/>
      <c r="C63" s="53" t="s">
        <v>232</v>
      </c>
      <c r="D63" s="58"/>
      <c r="E63" s="60">
        <f>+D64</f>
        <v>672700</v>
      </c>
    </row>
    <row r="64" spans="1:8" ht="17.649999999999999" customHeight="1" x14ac:dyDescent="0.25">
      <c r="A64" s="187" t="s">
        <v>343</v>
      </c>
      <c r="B64" s="187"/>
      <c r="C64" s="52" t="s">
        <v>344</v>
      </c>
      <c r="D64" s="136">
        <v>672700</v>
      </c>
      <c r="E64" s="139"/>
    </row>
    <row r="65" spans="1:11" ht="14.85" customHeight="1" x14ac:dyDescent="0.25">
      <c r="A65" s="187"/>
      <c r="B65" s="187"/>
      <c r="C65" s="52"/>
      <c r="D65" s="58"/>
      <c r="E65" s="139"/>
    </row>
    <row r="66" spans="1:11" ht="14.85" customHeight="1" x14ac:dyDescent="0.25">
      <c r="D66" s="58"/>
    </row>
    <row r="67" spans="1:11" ht="17.649999999999999" customHeight="1" x14ac:dyDescent="0.25">
      <c r="A67" s="185" t="s">
        <v>233</v>
      </c>
      <c r="B67" s="185"/>
      <c r="C67" s="55" t="s">
        <v>234</v>
      </c>
      <c r="D67" s="58"/>
      <c r="E67" s="60">
        <f>+D68+D69</f>
        <v>2107000</v>
      </c>
    </row>
    <row r="68" spans="1:11" ht="14.85" customHeight="1" x14ac:dyDescent="0.25">
      <c r="A68" s="186" t="s">
        <v>328</v>
      </c>
      <c r="B68" s="186"/>
      <c r="C68" s="53" t="s">
        <v>235</v>
      </c>
      <c r="D68" s="58">
        <v>2107000</v>
      </c>
      <c r="E68" s="58"/>
    </row>
    <row r="69" spans="1:11" ht="17.649999999999999" customHeight="1" x14ac:dyDescent="0.25">
      <c r="A69" s="53">
        <v>2412</v>
      </c>
      <c r="B69" s="53"/>
      <c r="C69" s="53" t="s">
        <v>345</v>
      </c>
      <c r="D69" s="136"/>
      <c r="E69" s="58"/>
    </row>
    <row r="70" spans="1:11" ht="17.649999999999999" customHeight="1" x14ac:dyDescent="0.25">
      <c r="A70" s="53"/>
      <c r="B70" s="53"/>
      <c r="C70" s="53"/>
      <c r="D70" s="58"/>
      <c r="E70" s="58"/>
    </row>
    <row r="71" spans="1:11" ht="14.85" customHeight="1" x14ac:dyDescent="0.25">
      <c r="D71" s="58"/>
    </row>
    <row r="72" spans="1:11" x14ac:dyDescent="0.25">
      <c r="A72" s="185" t="s">
        <v>236</v>
      </c>
      <c r="B72" s="185"/>
      <c r="C72" s="55" t="s">
        <v>237</v>
      </c>
      <c r="D72" s="58"/>
      <c r="E72" s="59"/>
    </row>
    <row r="73" spans="1:11" ht="14.85" customHeight="1" x14ac:dyDescent="0.25">
      <c r="A73" s="186" t="s">
        <v>238</v>
      </c>
      <c r="B73" s="186"/>
      <c r="C73" s="53" t="s">
        <v>239</v>
      </c>
      <c r="D73" s="58"/>
      <c r="E73" s="60">
        <f>SUM(D74:D77)</f>
        <v>3591840</v>
      </c>
      <c r="H73" s="39"/>
    </row>
    <row r="74" spans="1:11" ht="13.5" customHeight="1" x14ac:dyDescent="0.25">
      <c r="A74" s="187" t="s">
        <v>240</v>
      </c>
      <c r="B74" s="187"/>
      <c r="C74" s="52" t="s">
        <v>40</v>
      </c>
      <c r="D74" s="58">
        <v>3207000</v>
      </c>
      <c r="E74" s="139"/>
    </row>
    <row r="75" spans="1:11" ht="18.600000000000001" customHeight="1" x14ac:dyDescent="0.25">
      <c r="A75" s="187" t="s">
        <v>241</v>
      </c>
      <c r="B75" s="187"/>
      <c r="C75" s="52" t="s">
        <v>42</v>
      </c>
      <c r="D75" s="58">
        <v>384840</v>
      </c>
      <c r="E75" s="139"/>
      <c r="H75" s="39"/>
    </row>
    <row r="76" spans="1:11" ht="14.85" customHeight="1" x14ac:dyDescent="0.25">
      <c r="A76" s="52">
        <v>261015</v>
      </c>
      <c r="B76" s="52"/>
      <c r="C76" s="52" t="s">
        <v>46</v>
      </c>
      <c r="D76" s="58">
        <v>0</v>
      </c>
      <c r="E76" s="139"/>
    </row>
    <row r="77" spans="1:11" ht="14.85" customHeight="1" x14ac:dyDescent="0.25">
      <c r="A77" s="52">
        <v>261020</v>
      </c>
      <c r="B77" s="52"/>
      <c r="C77" s="52" t="s">
        <v>295</v>
      </c>
      <c r="D77" s="136">
        <v>0</v>
      </c>
      <c r="E77" s="139"/>
    </row>
    <row r="78" spans="1:11" ht="14.85" customHeight="1" x14ac:dyDescent="0.25">
      <c r="A78" s="52"/>
      <c r="B78" s="52"/>
      <c r="C78" s="52"/>
      <c r="D78" s="58"/>
      <c r="E78" s="139"/>
    </row>
    <row r="79" spans="1:11" ht="14.85" customHeight="1" x14ac:dyDescent="0.25">
      <c r="A79" s="53"/>
      <c r="B79" s="53"/>
      <c r="C79" s="53"/>
      <c r="D79" s="58"/>
      <c r="E79" s="60"/>
      <c r="H79" s="39"/>
    </row>
    <row r="80" spans="1:11" s="64" customFormat="1" ht="17.649999999999999" customHeight="1" thickBot="1" x14ac:dyDescent="0.3">
      <c r="A80" s="183" t="s">
        <v>242</v>
      </c>
      <c r="B80" s="183"/>
      <c r="C80" s="183"/>
      <c r="D80" s="159"/>
      <c r="E80" s="140">
        <f>SUM(E53:E78)</f>
        <v>6891940</v>
      </c>
      <c r="I80" s="78"/>
      <c r="J80" s="50"/>
      <c r="K80" s="50"/>
    </row>
    <row r="81" spans="1:11" s="64" customFormat="1" ht="17.649999999999999" customHeight="1" thickTop="1" x14ac:dyDescent="0.25">
      <c r="A81" s="57"/>
      <c r="B81" s="57"/>
      <c r="C81" s="57"/>
      <c r="D81" s="57"/>
      <c r="E81" s="65"/>
      <c r="J81" s="50"/>
      <c r="K81" s="50"/>
    </row>
    <row r="82" spans="1:11" s="64" customFormat="1" ht="17.649999999999999" customHeight="1" x14ac:dyDescent="0.25">
      <c r="A82" s="57"/>
      <c r="B82" s="57"/>
      <c r="C82" s="57"/>
      <c r="D82" s="57"/>
      <c r="E82" s="65"/>
      <c r="J82" s="50"/>
      <c r="K82" s="50"/>
    </row>
    <row r="83" spans="1:11" s="64" customFormat="1" ht="17.649999999999999" customHeight="1" x14ac:dyDescent="0.25">
      <c r="A83" s="184" t="s">
        <v>243</v>
      </c>
      <c r="B83" s="184"/>
      <c r="C83" s="54" t="s">
        <v>244</v>
      </c>
      <c r="D83" s="54"/>
      <c r="E83" s="137"/>
    </row>
    <row r="84" spans="1:11" s="64" customFormat="1" ht="17.649999999999999" customHeight="1" x14ac:dyDescent="0.25">
      <c r="A84" s="57"/>
      <c r="B84" s="57"/>
      <c r="C84" s="57"/>
      <c r="D84" s="57"/>
      <c r="E84" s="60"/>
      <c r="J84" s="57"/>
    </row>
    <row r="85" spans="1:11" s="64" customFormat="1" ht="17.649999999999999" customHeight="1" x14ac:dyDescent="0.25">
      <c r="A85" s="185" t="s">
        <v>245</v>
      </c>
      <c r="B85" s="185"/>
      <c r="C85" s="55" t="s">
        <v>246</v>
      </c>
      <c r="D85" s="58"/>
      <c r="E85" s="60">
        <f>+D86</f>
        <v>406721928</v>
      </c>
      <c r="J85" s="58"/>
    </row>
    <row r="86" spans="1:11" s="64" customFormat="1" ht="17.649999999999999" customHeight="1" x14ac:dyDescent="0.25">
      <c r="A86" s="186" t="s">
        <v>247</v>
      </c>
      <c r="B86" s="186"/>
      <c r="C86" s="53" t="s">
        <v>248</v>
      </c>
      <c r="D86" s="58">
        <v>406721928</v>
      </c>
      <c r="E86" s="60"/>
      <c r="H86" s="58"/>
      <c r="I86" s="78"/>
      <c r="J86" s="58"/>
    </row>
    <row r="87" spans="1:11" s="64" customFormat="1" ht="17.649999999999999" customHeight="1" x14ac:dyDescent="0.25">
      <c r="A87" s="187" t="s">
        <v>249</v>
      </c>
      <c r="B87" s="187"/>
      <c r="C87" s="52" t="s">
        <v>348</v>
      </c>
      <c r="D87" s="58"/>
      <c r="E87" s="60"/>
      <c r="J87" s="58"/>
    </row>
    <row r="88" spans="1:11" s="64" customFormat="1" ht="14.85" customHeight="1" x14ac:dyDescent="0.25">
      <c r="A88" s="52"/>
      <c r="B88" s="52"/>
      <c r="C88" s="52"/>
      <c r="D88" s="58"/>
      <c r="E88" s="60"/>
      <c r="J88" s="58"/>
    </row>
    <row r="89" spans="1:11" s="64" customFormat="1" ht="14.85" customHeight="1" x14ac:dyDescent="0.25">
      <c r="A89" s="57"/>
      <c r="B89" s="57"/>
      <c r="C89" s="57"/>
      <c r="D89" s="58"/>
      <c r="E89" s="60"/>
      <c r="J89" s="51"/>
    </row>
    <row r="90" spans="1:11" s="64" customFormat="1" ht="12" customHeight="1" x14ac:dyDescent="0.25">
      <c r="A90" s="185" t="s">
        <v>250</v>
      </c>
      <c r="B90" s="185"/>
      <c r="C90" s="55" t="s">
        <v>251</v>
      </c>
      <c r="D90" s="58"/>
      <c r="E90" s="60">
        <f>+D91</f>
        <v>-6531871</v>
      </c>
      <c r="J90" s="50"/>
    </row>
    <row r="91" spans="1:11" s="64" customFormat="1" ht="12" customHeight="1" x14ac:dyDescent="0.25">
      <c r="A91" s="186">
        <v>361010</v>
      </c>
      <c r="B91" s="186"/>
      <c r="C91" s="52" t="s">
        <v>367</v>
      </c>
      <c r="D91" s="58">
        <f>+'pyg2025'!AS166</f>
        <v>-6531871</v>
      </c>
      <c r="E91" s="61"/>
      <c r="J91" s="50"/>
    </row>
    <row r="92" spans="1:11" s="64" customFormat="1" ht="12" customHeight="1" x14ac:dyDescent="0.25">
      <c r="A92" s="187"/>
      <c r="B92" s="187"/>
      <c r="C92" s="52"/>
      <c r="D92" s="58"/>
      <c r="E92" s="139"/>
      <c r="J92" s="50"/>
    </row>
    <row r="93" spans="1:11" s="64" customFormat="1" ht="12" customHeight="1" x14ac:dyDescent="0.25">
      <c r="A93" s="52"/>
      <c r="B93" s="52"/>
      <c r="C93" s="52"/>
      <c r="D93" s="58"/>
      <c r="E93" s="139"/>
    </row>
    <row r="94" spans="1:11" s="64" customFormat="1" ht="12" customHeight="1" x14ac:dyDescent="0.25">
      <c r="A94" s="52">
        <v>37</v>
      </c>
      <c r="B94" s="52"/>
      <c r="C94" s="52" t="s">
        <v>252</v>
      </c>
      <c r="D94" s="58"/>
      <c r="E94" s="58">
        <f>+D95</f>
        <v>4760576</v>
      </c>
    </row>
    <row r="95" spans="1:11" s="64" customFormat="1" ht="17.649999999999999" customHeight="1" x14ac:dyDescent="0.25">
      <c r="A95" s="52">
        <v>370501</v>
      </c>
      <c r="B95" s="52"/>
      <c r="C95" s="52" t="s">
        <v>337</v>
      </c>
      <c r="D95" s="58">
        <v>4760576</v>
      </c>
      <c r="E95" s="139"/>
    </row>
    <row r="96" spans="1:11" ht="14.85" customHeight="1" x14ac:dyDescent="0.25">
      <c r="A96" s="52"/>
      <c r="B96" s="52"/>
      <c r="C96" s="52"/>
      <c r="D96" s="58"/>
      <c r="E96" s="139"/>
    </row>
    <row r="97" spans="1:5" ht="12" customHeight="1" x14ac:dyDescent="0.25">
      <c r="A97" s="187"/>
      <c r="B97" s="187"/>
      <c r="C97" s="52"/>
      <c r="D97" s="52"/>
      <c r="E97" s="139"/>
    </row>
    <row r="98" spans="1:5" ht="17.25" customHeight="1" thickBot="1" x14ac:dyDescent="0.3">
      <c r="A98" s="183" t="s">
        <v>253</v>
      </c>
      <c r="B98" s="183"/>
      <c r="C98" s="183"/>
      <c r="D98" s="159"/>
      <c r="E98" s="140">
        <f>+E85+E90+E94</f>
        <v>404950633</v>
      </c>
    </row>
    <row r="99" spans="1:5" ht="17.649999999999999" customHeight="1" thickTop="1" x14ac:dyDescent="0.25">
      <c r="D99" s="135"/>
    </row>
    <row r="100" spans="1:5" ht="17.649999999999999" customHeight="1" thickBot="1" x14ac:dyDescent="0.3">
      <c r="A100" s="183" t="s">
        <v>254</v>
      </c>
      <c r="B100" s="183"/>
      <c r="C100" s="183"/>
      <c r="D100" s="159"/>
      <c r="E100" s="140">
        <f>+E98+E80</f>
        <v>411842573</v>
      </c>
    </row>
    <row r="101" spans="1:5" ht="14.85" customHeight="1" thickTop="1" x14ac:dyDescent="0.25">
      <c r="E101" s="66"/>
    </row>
    <row r="102" spans="1:5" ht="12" customHeight="1" x14ac:dyDescent="0.25">
      <c r="E102" s="169">
        <f>+E51-E80-E98</f>
        <v>-0.16999995708465576</v>
      </c>
    </row>
    <row r="103" spans="1:5" x14ac:dyDescent="0.25">
      <c r="E103" s="66"/>
    </row>
  </sheetData>
  <mergeCells count="57">
    <mergeCell ref="A22:B22"/>
    <mergeCell ref="A1:E1"/>
    <mergeCell ref="A2:E2"/>
    <mergeCell ref="A3:E3"/>
    <mergeCell ref="A6:B6"/>
    <mergeCell ref="A8:B8"/>
    <mergeCell ref="A9:B9"/>
    <mergeCell ref="A10:B10"/>
    <mergeCell ref="A12:B12"/>
    <mergeCell ref="A13:B13"/>
    <mergeCell ref="A14:B14"/>
    <mergeCell ref="A21:B21"/>
    <mergeCell ref="A43:B43"/>
    <mergeCell ref="A23:B23"/>
    <mergeCell ref="A25:B25"/>
    <mergeCell ref="A31:B31"/>
    <mergeCell ref="A32:B32"/>
    <mergeCell ref="A34:B34"/>
    <mergeCell ref="A35:B35"/>
    <mergeCell ref="A37:B37"/>
    <mergeCell ref="A38:B38"/>
    <mergeCell ref="A39:B39"/>
    <mergeCell ref="A41:B41"/>
    <mergeCell ref="A42:B42"/>
    <mergeCell ref="A58:B58"/>
    <mergeCell ref="A44:B44"/>
    <mergeCell ref="A45:B45"/>
    <mergeCell ref="A46:B46"/>
    <mergeCell ref="A48:B48"/>
    <mergeCell ref="A49:B49"/>
    <mergeCell ref="A51:C51"/>
    <mergeCell ref="A54:B54"/>
    <mergeCell ref="A55:B55"/>
    <mergeCell ref="A57:B57"/>
    <mergeCell ref="A75:B75"/>
    <mergeCell ref="A59:B59"/>
    <mergeCell ref="A60:B60"/>
    <mergeCell ref="A61:B61"/>
    <mergeCell ref="A63:B63"/>
    <mergeCell ref="A64:B64"/>
    <mergeCell ref="A65:B65"/>
    <mergeCell ref="A67:B67"/>
    <mergeCell ref="A68:B68"/>
    <mergeCell ref="A72:B72"/>
    <mergeCell ref="A73:B73"/>
    <mergeCell ref="A74:B74"/>
    <mergeCell ref="A80:C80"/>
    <mergeCell ref="A83:B83"/>
    <mergeCell ref="A85:B85"/>
    <mergeCell ref="A86:B86"/>
    <mergeCell ref="A100:C100"/>
    <mergeCell ref="A87:B87"/>
    <mergeCell ref="A90:B90"/>
    <mergeCell ref="A91:B91"/>
    <mergeCell ref="A92:B92"/>
    <mergeCell ref="A97:B97"/>
    <mergeCell ref="A98:C98"/>
  </mergeCells>
  <pageMargins left="0.55119997262954712" right="0" top="0.2362000048160553" bottom="0.2362000048160553" header="0" footer="0"/>
  <pageSetup firstPageNumber="0" fitToHeight="0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5743-D9AB-4017-BC05-721C43E11D6F}">
  <dimension ref="A3:J15"/>
  <sheetViews>
    <sheetView workbookViewId="0">
      <selection activeCell="D6" sqref="D6"/>
    </sheetView>
  </sheetViews>
  <sheetFormatPr baseColWidth="10" defaultRowHeight="15" x14ac:dyDescent="0.25"/>
  <cols>
    <col min="1" max="1" width="31.140625" customWidth="1"/>
    <col min="2" max="2" width="0.42578125" hidden="1" customWidth="1"/>
    <col min="3" max="3" width="11.42578125" hidden="1" customWidth="1"/>
  </cols>
  <sheetData>
    <row r="3" spans="1:10" x14ac:dyDescent="0.25">
      <c r="A3" t="s">
        <v>462</v>
      </c>
    </row>
    <row r="4" spans="1:10" x14ac:dyDescent="0.25">
      <c r="B4">
        <v>2018</v>
      </c>
      <c r="C4" t="s">
        <v>464</v>
      </c>
      <c r="D4" t="s">
        <v>465</v>
      </c>
    </row>
    <row r="5" spans="1:10" x14ac:dyDescent="0.25">
      <c r="A5" s="52" t="s">
        <v>463</v>
      </c>
      <c r="B5" s="77">
        <v>381000000</v>
      </c>
      <c r="C5" s="77">
        <v>152400000</v>
      </c>
      <c r="D5" s="58">
        <f>+B5-C5-6250000</f>
        <v>222350000</v>
      </c>
      <c r="E5" s="77"/>
      <c r="I5" s="52"/>
      <c r="J5" s="58"/>
    </row>
    <row r="6" spans="1:10" x14ac:dyDescent="0.25">
      <c r="A6" s="52" t="s">
        <v>466</v>
      </c>
      <c r="C6" s="77"/>
      <c r="D6" s="58">
        <v>192665553</v>
      </c>
      <c r="E6" s="77"/>
    </row>
    <row r="7" spans="1:10" x14ac:dyDescent="0.25">
      <c r="A7" s="52" t="s">
        <v>413</v>
      </c>
      <c r="C7" s="77"/>
      <c r="D7" s="58">
        <v>88137296</v>
      </c>
      <c r="E7" s="77"/>
    </row>
    <row r="8" spans="1:10" x14ac:dyDescent="0.25">
      <c r="A8" s="52" t="s">
        <v>415</v>
      </c>
      <c r="C8" s="77"/>
      <c r="D8" s="58">
        <f>7474000+H8</f>
        <v>7474000</v>
      </c>
      <c r="E8" s="77"/>
    </row>
    <row r="9" spans="1:10" x14ac:dyDescent="0.25">
      <c r="A9" s="52" t="s">
        <v>416</v>
      </c>
      <c r="C9" s="77"/>
      <c r="D9" s="136">
        <f>22337500+H9</f>
        <v>22337500</v>
      </c>
      <c r="E9" s="77"/>
    </row>
    <row r="10" spans="1:10" x14ac:dyDescent="0.25">
      <c r="A10" s="52" t="s">
        <v>467</v>
      </c>
      <c r="C10" s="77"/>
      <c r="D10" s="58">
        <v>9204613</v>
      </c>
      <c r="E10" s="77"/>
    </row>
    <row r="11" spans="1:10" x14ac:dyDescent="0.25">
      <c r="E11" s="77"/>
    </row>
    <row r="12" spans="1:10" x14ac:dyDescent="0.25">
      <c r="E12" s="77"/>
    </row>
    <row r="13" spans="1:10" x14ac:dyDescent="0.25">
      <c r="B13" s="77"/>
      <c r="C13" s="77"/>
      <c r="D13" s="172">
        <f>SUM(D5:D9)</f>
        <v>532964349</v>
      </c>
      <c r="E13" s="77"/>
    </row>
    <row r="14" spans="1:10" x14ac:dyDescent="0.25">
      <c r="A14" s="52" t="s">
        <v>468</v>
      </c>
      <c r="D14" s="77">
        <f>+'BALANCE DICIEMBRE'!E80</f>
        <v>6891940</v>
      </c>
    </row>
    <row r="15" spans="1:10" x14ac:dyDescent="0.25">
      <c r="D15" s="173">
        <f>+D13-D14</f>
        <v>526072409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69"/>
  <sheetViews>
    <sheetView view="pageBreakPreview" topLeftCell="A5" zoomScale="91" zoomScaleNormal="82" zoomScaleSheetLayoutView="91" workbookViewId="0">
      <pane xSplit="1" topLeftCell="B1" activePane="topRight" state="frozen"/>
      <selection pane="topRight" activeCell="AZ2" sqref="AZ2"/>
    </sheetView>
  </sheetViews>
  <sheetFormatPr baseColWidth="10" defaultColWidth="4.28515625" defaultRowHeight="15" x14ac:dyDescent="0.25"/>
  <cols>
    <col min="1" max="1" width="25.28515625" style="56" customWidth="1"/>
    <col min="2" max="2" width="21.85546875" style="56" bestFit="1" customWidth="1"/>
    <col min="3" max="3" width="12.5703125" style="56" bestFit="1" customWidth="1"/>
    <col min="4" max="4" width="11.7109375" style="56" bestFit="1" customWidth="1"/>
    <col min="5" max="5" width="14.42578125" style="56" bestFit="1" customWidth="1"/>
    <col min="6" max="6" width="10.28515625" style="56" customWidth="1"/>
    <col min="7" max="7" width="12.5703125" style="56" bestFit="1" customWidth="1"/>
    <col min="8" max="8" width="12.140625" style="56" customWidth="1"/>
    <col min="9" max="9" width="14.42578125" style="56" customWidth="1"/>
    <col min="10" max="10" width="14" style="56" customWidth="1"/>
    <col min="11" max="11" width="14.85546875" style="56" customWidth="1"/>
    <col min="12" max="13" width="13.7109375" style="56" customWidth="1"/>
    <col min="14" max="14" width="14.140625" style="56" customWidth="1"/>
    <col min="15" max="15" width="15.42578125" style="56" bestFit="1" customWidth="1"/>
    <col min="16" max="16" width="12.5703125" style="56" bestFit="1" customWidth="1"/>
    <col min="17" max="17" width="12.140625" style="97" customWidth="1"/>
    <col min="18" max="18" width="15.42578125" style="56" customWidth="1"/>
    <col min="19" max="19" width="12.42578125" style="56" customWidth="1"/>
    <col min="20" max="20" width="19.140625" style="56" customWidth="1"/>
    <col min="21" max="21" width="14.42578125" style="56" bestFit="1" customWidth="1"/>
    <col min="22" max="22" width="15" style="56" hidden="1" customWidth="1"/>
    <col min="23" max="23" width="17.140625" style="56" customWidth="1"/>
    <col min="24" max="24" width="12.85546875" style="56" customWidth="1"/>
    <col min="25" max="25" width="15.42578125" style="56" customWidth="1"/>
    <col min="26" max="26" width="7.28515625" style="56" hidden="1" customWidth="1"/>
    <col min="27" max="27" width="14" style="56" customWidth="1"/>
    <col min="28" max="28" width="12.85546875" style="56" bestFit="1" customWidth="1"/>
    <col min="29" max="29" width="14.42578125" style="56" customWidth="1"/>
    <col min="30" max="30" width="3.7109375" style="56" customWidth="1"/>
    <col min="31" max="31" width="12.85546875" style="56" bestFit="1" customWidth="1"/>
    <col min="32" max="32" width="12.42578125" style="56" customWidth="1"/>
    <col min="33" max="33" width="14.5703125" style="56" bestFit="1" customWidth="1"/>
    <col min="34" max="34" width="2.7109375" style="56" customWidth="1"/>
    <col min="35" max="35" width="15.5703125" style="56" customWidth="1"/>
    <col min="36" max="36" width="15.7109375" style="56" customWidth="1"/>
    <col min="37" max="37" width="15.140625" style="56" customWidth="1"/>
    <col min="38" max="38" width="9.5703125" style="56" customWidth="1"/>
    <col min="39" max="39" width="15.5703125" style="56" customWidth="1"/>
    <col min="40" max="40" width="13" style="56" customWidth="1"/>
    <col min="41" max="41" width="15.42578125" style="56" bestFit="1" customWidth="1"/>
    <col min="42" max="42" width="3.42578125" style="56" customWidth="1"/>
    <col min="43" max="43" width="16.140625" style="56" customWidth="1"/>
    <col min="44" max="44" width="17" style="56" customWidth="1"/>
    <col min="45" max="45" width="16.42578125" style="56" bestFit="1" customWidth="1"/>
    <col min="46" max="46" width="9.85546875" style="56" customWidth="1"/>
    <col min="47" max="47" width="8.7109375" style="56" customWidth="1"/>
    <col min="48" max="51" width="4.28515625" style="56"/>
    <col min="52" max="52" width="7.42578125" style="56" customWidth="1"/>
    <col min="53" max="16384" width="4.28515625" style="56"/>
  </cols>
  <sheetData>
    <row r="1" spans="1:46" ht="20.25" x14ac:dyDescent="0.3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46" ht="20.25" x14ac:dyDescent="0.3">
      <c r="A2" s="193" t="s">
        <v>374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</row>
    <row r="3" spans="1:46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S3" s="190">
        <v>45809</v>
      </c>
      <c r="T3" s="190"/>
      <c r="U3" s="190"/>
      <c r="V3" s="190"/>
    </row>
    <row r="4" spans="1:46" ht="15.75" customHeight="1" x14ac:dyDescent="0.25">
      <c r="A4" s="98"/>
      <c r="B4" s="98"/>
      <c r="C4" s="190">
        <v>45658</v>
      </c>
      <c r="D4" s="190"/>
      <c r="E4" s="190"/>
      <c r="F4" s="190"/>
      <c r="G4" s="190">
        <v>45689</v>
      </c>
      <c r="H4" s="190"/>
      <c r="I4" s="190"/>
      <c r="J4" s="190">
        <v>45717</v>
      </c>
      <c r="K4" s="190"/>
      <c r="L4" s="190"/>
      <c r="M4" s="190">
        <v>45748</v>
      </c>
      <c r="N4" s="190"/>
      <c r="O4" s="190"/>
      <c r="P4" s="190">
        <v>45778</v>
      </c>
      <c r="Q4" s="190"/>
      <c r="R4" s="190"/>
      <c r="W4" s="190">
        <v>45839</v>
      </c>
      <c r="X4" s="190"/>
      <c r="Y4" s="190"/>
      <c r="Z4" s="190"/>
      <c r="AA4" s="190">
        <v>45870</v>
      </c>
      <c r="AB4" s="190"/>
      <c r="AC4" s="190"/>
      <c r="AD4" s="190"/>
      <c r="AE4" s="190">
        <v>45901</v>
      </c>
      <c r="AF4" s="190"/>
      <c r="AG4" s="190"/>
      <c r="AH4" s="190"/>
      <c r="AI4" s="190">
        <v>45931</v>
      </c>
      <c r="AJ4" s="190"/>
      <c r="AK4" s="190"/>
      <c r="AL4" s="190"/>
      <c r="AM4" s="190">
        <v>45962</v>
      </c>
      <c r="AN4" s="190"/>
      <c r="AO4" s="190"/>
      <c r="AP4" s="190"/>
      <c r="AQ4" s="190">
        <v>45992</v>
      </c>
      <c r="AR4" s="190"/>
      <c r="AS4" s="190"/>
      <c r="AT4" s="190"/>
    </row>
    <row r="5" spans="1:46" ht="21.75" customHeight="1" x14ac:dyDescent="0.25">
      <c r="A5" s="191" t="s">
        <v>1</v>
      </c>
      <c r="B5" s="191"/>
      <c r="C5" s="191"/>
      <c r="D5" s="191"/>
      <c r="E5" s="191" t="s">
        <v>312</v>
      </c>
      <c r="F5" s="191"/>
      <c r="G5" s="191">
        <v>4</v>
      </c>
      <c r="H5" s="191"/>
      <c r="I5" s="99" t="s">
        <v>313</v>
      </c>
      <c r="J5" s="191" t="s">
        <v>314</v>
      </c>
      <c r="K5" s="191"/>
      <c r="L5" s="99" t="s">
        <v>315</v>
      </c>
      <c r="M5" s="191" t="s">
        <v>316</v>
      </c>
      <c r="N5" s="191"/>
      <c r="O5" s="99" t="s">
        <v>317</v>
      </c>
      <c r="P5" s="191" t="s">
        <v>318</v>
      </c>
      <c r="Q5" s="191"/>
      <c r="R5" s="99" t="s">
        <v>319</v>
      </c>
      <c r="S5" s="191" t="s">
        <v>320</v>
      </c>
      <c r="T5" s="191"/>
      <c r="U5" s="191" t="s">
        <v>321</v>
      </c>
      <c r="V5" s="191"/>
      <c r="W5" s="191" t="s">
        <v>322</v>
      </c>
      <c r="X5" s="191"/>
      <c r="Y5" s="191" t="s">
        <v>310</v>
      </c>
      <c r="Z5" s="191"/>
      <c r="AA5" s="191" t="s">
        <v>323</v>
      </c>
      <c r="AB5" s="191"/>
      <c r="AC5" s="191" t="s">
        <v>309</v>
      </c>
      <c r="AD5" s="191"/>
      <c r="AE5" s="191" t="s">
        <v>307</v>
      </c>
      <c r="AF5" s="191"/>
      <c r="AG5" s="191" t="s">
        <v>308</v>
      </c>
      <c r="AH5" s="191"/>
      <c r="AI5" s="191" t="s">
        <v>305</v>
      </c>
      <c r="AJ5" s="191"/>
      <c r="AK5" s="191" t="s">
        <v>306</v>
      </c>
      <c r="AL5" s="191"/>
      <c r="AM5" s="191" t="s">
        <v>304</v>
      </c>
      <c r="AN5" s="191"/>
      <c r="AO5" s="191" t="s">
        <v>303</v>
      </c>
      <c r="AP5" s="191"/>
      <c r="AQ5" s="191" t="s">
        <v>302</v>
      </c>
      <c r="AR5" s="191"/>
      <c r="AS5" s="191" t="s">
        <v>301</v>
      </c>
      <c r="AT5" s="191"/>
    </row>
    <row r="6" spans="1:46" ht="15" customHeight="1" x14ac:dyDescent="0.25">
      <c r="A6" s="100" t="s">
        <v>2</v>
      </c>
      <c r="B6" s="100" t="s">
        <v>3</v>
      </c>
      <c r="C6" s="101" t="s">
        <v>4</v>
      </c>
      <c r="D6" s="101" t="s">
        <v>5</v>
      </c>
      <c r="E6" s="101" t="s">
        <v>6</v>
      </c>
      <c r="F6" s="100"/>
      <c r="G6" s="101" t="s">
        <v>4</v>
      </c>
      <c r="H6" s="101" t="s">
        <v>5</v>
      </c>
      <c r="I6" s="101" t="s">
        <v>6</v>
      </c>
      <c r="J6" s="101" t="s">
        <v>4</v>
      </c>
      <c r="K6" s="101" t="s">
        <v>5</v>
      </c>
      <c r="L6" s="101" t="s">
        <v>6</v>
      </c>
      <c r="M6" s="101" t="s">
        <v>4</v>
      </c>
      <c r="N6" s="101" t="s">
        <v>5</v>
      </c>
      <c r="O6" s="101" t="s">
        <v>6</v>
      </c>
      <c r="P6" s="101" t="s">
        <v>4</v>
      </c>
      <c r="Q6" s="101" t="s">
        <v>5</v>
      </c>
      <c r="R6" s="101" t="s">
        <v>6</v>
      </c>
      <c r="S6" s="101" t="s">
        <v>4</v>
      </c>
      <c r="T6" s="101" t="s">
        <v>5</v>
      </c>
      <c r="U6" s="101" t="s">
        <v>6</v>
      </c>
      <c r="V6" s="100"/>
      <c r="W6" s="101" t="s">
        <v>4</v>
      </c>
      <c r="X6" s="101" t="s">
        <v>5</v>
      </c>
      <c r="Y6" s="101" t="s">
        <v>6</v>
      </c>
      <c r="Z6" s="100"/>
      <c r="AA6" s="101" t="s">
        <v>4</v>
      </c>
      <c r="AB6" s="101" t="s">
        <v>5</v>
      </c>
      <c r="AC6" s="101" t="s">
        <v>6</v>
      </c>
      <c r="AD6" s="100"/>
      <c r="AE6" s="101" t="s">
        <v>4</v>
      </c>
      <c r="AF6" s="101" t="s">
        <v>5</v>
      </c>
      <c r="AG6" s="101" t="s">
        <v>6</v>
      </c>
      <c r="AH6" s="100"/>
      <c r="AI6" s="101" t="s">
        <v>4</v>
      </c>
      <c r="AJ6" s="101" t="s">
        <v>5</v>
      </c>
      <c r="AK6" s="101" t="s">
        <v>6</v>
      </c>
      <c r="AL6" s="100"/>
      <c r="AM6" s="101" t="s">
        <v>4</v>
      </c>
      <c r="AN6" s="101" t="s">
        <v>5</v>
      </c>
      <c r="AO6" s="101" t="s">
        <v>6</v>
      </c>
      <c r="AP6" s="100"/>
      <c r="AQ6" s="101" t="s">
        <v>4</v>
      </c>
      <c r="AR6" s="101" t="s">
        <v>5</v>
      </c>
      <c r="AS6" s="101" t="s">
        <v>6</v>
      </c>
      <c r="AT6" s="100"/>
    </row>
    <row r="7" spans="1:46" x14ac:dyDescent="0.25">
      <c r="A7" s="102" t="s">
        <v>7</v>
      </c>
      <c r="B7" s="102" t="s">
        <v>8</v>
      </c>
      <c r="C7" s="103">
        <v>0</v>
      </c>
      <c r="D7" s="103">
        <f>D8+D16</f>
        <v>3650160</v>
      </c>
      <c r="E7" s="103">
        <f>E8+E16</f>
        <v>3650160</v>
      </c>
      <c r="F7" s="104"/>
      <c r="G7" s="103">
        <f>G14</f>
        <v>0</v>
      </c>
      <c r="H7" s="103">
        <f>H8+H16</f>
        <v>8194444</v>
      </c>
      <c r="I7" s="103">
        <f>+E7+H7</f>
        <v>11844604</v>
      </c>
      <c r="J7" s="103">
        <f>+J8</f>
        <v>0</v>
      </c>
      <c r="K7" s="103">
        <f>K16+K8</f>
        <v>15949913</v>
      </c>
      <c r="L7" s="103">
        <f>+I7+J7+K7</f>
        <v>27794517</v>
      </c>
      <c r="M7" s="103">
        <f>+M14</f>
        <v>0</v>
      </c>
      <c r="N7" s="103">
        <f>N8+N16</f>
        <v>8100964</v>
      </c>
      <c r="O7" s="103">
        <f>+L7-M7+N7</f>
        <v>35895481</v>
      </c>
      <c r="P7" s="103">
        <f>+P8</f>
        <v>0</v>
      </c>
      <c r="Q7" s="103">
        <f>Q8+Q16</f>
        <v>18412486</v>
      </c>
      <c r="R7" s="105">
        <f>R8+R16</f>
        <v>54307967</v>
      </c>
      <c r="S7" s="105">
        <f>+S14</f>
        <v>1071520</v>
      </c>
      <c r="T7" s="105">
        <f>T8+T16</f>
        <v>13297291</v>
      </c>
      <c r="U7" s="105">
        <f>+R7-S7+T7</f>
        <v>66533738</v>
      </c>
      <c r="V7" s="104"/>
      <c r="W7" s="103">
        <f>+W15</f>
        <v>0</v>
      </c>
      <c r="X7" s="106">
        <f>+X8+X16</f>
        <v>14522346</v>
      </c>
      <c r="Y7" s="103">
        <f>U7+X7</f>
        <v>81056084</v>
      </c>
      <c r="Z7" s="104"/>
      <c r="AA7" s="103">
        <f>+AA14</f>
        <v>0</v>
      </c>
      <c r="AB7" s="106">
        <f>+AB8+AB16</f>
        <v>19706466</v>
      </c>
      <c r="AC7" s="103">
        <f>+Y7+AB7-AA7</f>
        <v>100762550</v>
      </c>
      <c r="AD7" s="104"/>
      <c r="AE7" s="103">
        <f>+AE14</f>
        <v>0</v>
      </c>
      <c r="AF7" s="106">
        <f>+AF8+AF16</f>
        <v>12601267</v>
      </c>
      <c r="AG7" s="103">
        <f>AC7+AF7</f>
        <v>113363817</v>
      </c>
      <c r="AH7" s="104"/>
      <c r="AI7" s="103">
        <f>+AI14</f>
        <v>0</v>
      </c>
      <c r="AJ7" s="106">
        <f>+AJ8+AJ16</f>
        <v>13432176</v>
      </c>
      <c r="AK7" s="103">
        <f t="shared" ref="AK7" si="0">AG7+AJ7</f>
        <v>126795993</v>
      </c>
      <c r="AL7" s="104"/>
      <c r="AM7" s="103">
        <f>+AM14</f>
        <v>0</v>
      </c>
      <c r="AN7" s="106">
        <f>+AN8+AN16</f>
        <v>11210209</v>
      </c>
      <c r="AO7" s="103">
        <f t="shared" ref="AO7" si="1">AK7+AN7</f>
        <v>138006202</v>
      </c>
      <c r="AP7" s="104"/>
      <c r="AQ7" s="103">
        <f>+AQ14</f>
        <v>7800</v>
      </c>
      <c r="AR7" s="106">
        <f>+AR8+AR16</f>
        <v>24004695</v>
      </c>
      <c r="AS7" s="103">
        <f>AO7+AR7-AQ7</f>
        <v>162003097</v>
      </c>
      <c r="AT7" s="104"/>
    </row>
    <row r="8" spans="1:46" ht="23.25" customHeight="1" x14ac:dyDescent="0.25">
      <c r="A8" s="107" t="s">
        <v>9</v>
      </c>
      <c r="B8" s="107" t="s">
        <v>10</v>
      </c>
      <c r="C8" s="26">
        <v>0</v>
      </c>
      <c r="D8" s="26">
        <f>+D9</f>
        <v>496100</v>
      </c>
      <c r="E8" s="26">
        <f>+E9+E14</f>
        <v>496100</v>
      </c>
      <c r="F8" s="108"/>
      <c r="G8" s="26">
        <f>G15</f>
        <v>0</v>
      </c>
      <c r="H8" s="26">
        <f>H9</f>
        <v>24370</v>
      </c>
      <c r="I8" s="26">
        <f>+E8+H8</f>
        <v>520470</v>
      </c>
      <c r="J8" s="26">
        <f>+J14</f>
        <v>0</v>
      </c>
      <c r="K8" s="26">
        <f>+K9+K13</f>
        <v>100949</v>
      </c>
      <c r="L8" s="26">
        <f>+I8-J8+K8</f>
        <v>621419</v>
      </c>
      <c r="M8" s="26">
        <v>0</v>
      </c>
      <c r="N8" s="26">
        <f>N9</f>
        <v>55000</v>
      </c>
      <c r="O8" s="103">
        <f>+L8+N8</f>
        <v>676419</v>
      </c>
      <c r="P8" s="26"/>
      <c r="Q8" s="26">
        <f>+Q9</f>
        <v>4552322</v>
      </c>
      <c r="R8" s="26">
        <f>+O8-P8+Q8</f>
        <v>5228741</v>
      </c>
      <c r="S8" s="26">
        <v>0</v>
      </c>
      <c r="T8" s="26">
        <f>+T9+T10+T11+T12+T13+T14+T15</f>
        <v>5319930</v>
      </c>
      <c r="U8" s="26">
        <f>+R8-S8+T8</f>
        <v>10548671</v>
      </c>
      <c r="V8" s="108"/>
      <c r="W8" s="26">
        <v>0</v>
      </c>
      <c r="X8" s="26">
        <f>+X9</f>
        <v>5508975</v>
      </c>
      <c r="Y8" s="26">
        <f>+U8-W8+X8</f>
        <v>16057646</v>
      </c>
      <c r="Z8" s="108"/>
      <c r="AA8" s="26">
        <f>+AA14</f>
        <v>0</v>
      </c>
      <c r="AB8" s="26">
        <f>+AB9</f>
        <v>1143000</v>
      </c>
      <c r="AC8" s="103">
        <f>+Y8+AB8-AA8</f>
        <v>17200646</v>
      </c>
      <c r="AD8" s="108"/>
      <c r="AE8" s="26">
        <f>+AE14</f>
        <v>0</v>
      </c>
      <c r="AF8" s="26">
        <f>+AF9</f>
        <v>1275896</v>
      </c>
      <c r="AG8" s="26">
        <f>+AG9+AG14</f>
        <v>14228132</v>
      </c>
      <c r="AH8" s="108"/>
      <c r="AI8" s="26">
        <f>+AI14</f>
        <v>0</v>
      </c>
      <c r="AJ8" s="26">
        <f>AJ9</f>
        <v>914530</v>
      </c>
      <c r="AK8" s="26">
        <f>+AK9+AK14</f>
        <v>15142662</v>
      </c>
      <c r="AL8" s="108"/>
      <c r="AM8" s="26">
        <f>+AM14</f>
        <v>0</v>
      </c>
      <c r="AN8" s="26">
        <f>AN9</f>
        <v>1555310</v>
      </c>
      <c r="AO8" s="26">
        <f>+AO9+AO14</f>
        <v>16697972</v>
      </c>
      <c r="AP8" s="108"/>
      <c r="AQ8" s="26">
        <f>+AQ14</f>
        <v>7800</v>
      </c>
      <c r="AR8" s="26">
        <f>AR9</f>
        <v>14222015</v>
      </c>
      <c r="AS8" s="26">
        <f>+AO8-AQ8+AR8</f>
        <v>30912187</v>
      </c>
      <c r="AT8" s="108"/>
    </row>
    <row r="9" spans="1:46" ht="21" x14ac:dyDescent="0.25">
      <c r="A9" s="107" t="s">
        <v>11</v>
      </c>
      <c r="B9" s="107" t="s">
        <v>12</v>
      </c>
      <c r="C9" s="26">
        <v>0</v>
      </c>
      <c r="D9" s="106">
        <f>846100-350000</f>
        <v>496100</v>
      </c>
      <c r="E9" s="26">
        <f>D9</f>
        <v>496100</v>
      </c>
      <c r="F9" s="108"/>
      <c r="G9" s="26">
        <v>0</v>
      </c>
      <c r="H9" s="106">
        <f>H10+H11+H12</f>
        <v>24370</v>
      </c>
      <c r="I9" s="26">
        <f>+E9+H9</f>
        <v>520470</v>
      </c>
      <c r="J9" s="26">
        <v>0</v>
      </c>
      <c r="K9" s="106">
        <f>K10+K12</f>
        <v>100949</v>
      </c>
      <c r="L9" s="26">
        <f t="shared" ref="L9:L15" si="2">+I9-J9+K9</f>
        <v>621419</v>
      </c>
      <c r="M9" s="26">
        <v>0</v>
      </c>
      <c r="N9" s="26">
        <f>+N10+N12</f>
        <v>55000</v>
      </c>
      <c r="O9" s="103">
        <f t="shared" ref="O9:O15" si="3">+L9+N9</f>
        <v>676419</v>
      </c>
      <c r="P9" s="26">
        <v>0</v>
      </c>
      <c r="Q9" s="26">
        <f>+Q10+Q12</f>
        <v>4552322</v>
      </c>
      <c r="R9" s="26">
        <f t="shared" ref="R9:R15" si="4">+O9-P9+Q9</f>
        <v>5228741</v>
      </c>
      <c r="S9" s="26">
        <v>0</v>
      </c>
      <c r="T9" s="26"/>
      <c r="U9" s="26">
        <f t="shared" ref="U9:U13" si="5">+R9-S9+T9</f>
        <v>5228741</v>
      </c>
      <c r="V9" s="108"/>
      <c r="W9" s="26">
        <v>0</v>
      </c>
      <c r="X9" s="26">
        <f>+X10+X11+X12+X13</f>
        <v>5508975</v>
      </c>
      <c r="Y9" s="26">
        <f t="shared" ref="Y9:Y13" si="6">+U9-W9+X9</f>
        <v>10737716</v>
      </c>
      <c r="Z9" s="108"/>
      <c r="AA9" s="26">
        <v>0</v>
      </c>
      <c r="AB9" s="26">
        <f>+AB10+AB12</f>
        <v>1143000</v>
      </c>
      <c r="AC9" s="103">
        <f>Y9+AB9</f>
        <v>11880716</v>
      </c>
      <c r="AD9" s="108"/>
      <c r="AE9" s="26">
        <v>0</v>
      </c>
      <c r="AF9" s="26">
        <f>+AF10+AF11+AF12+AF13</f>
        <v>1275896</v>
      </c>
      <c r="AG9" s="26">
        <f>AC9+AF9</f>
        <v>13156612</v>
      </c>
      <c r="AH9" s="108"/>
      <c r="AI9" s="26">
        <v>0</v>
      </c>
      <c r="AJ9" s="26">
        <f>+AJ10+AJ11+AJ12+AJ13</f>
        <v>914530</v>
      </c>
      <c r="AK9" s="26">
        <f>AG9+AJ9</f>
        <v>14071142</v>
      </c>
      <c r="AL9" s="108"/>
      <c r="AM9" s="26">
        <v>0</v>
      </c>
      <c r="AN9" s="26">
        <f>+AN10+AN11+AN12+AN13</f>
        <v>1555310</v>
      </c>
      <c r="AO9" s="26">
        <f>AK9+AN9</f>
        <v>15626452</v>
      </c>
      <c r="AP9" s="108"/>
      <c r="AQ9" s="26">
        <v>0</v>
      </c>
      <c r="AR9" s="26">
        <f>+AR10+AR11+AR12+AR13</f>
        <v>14222015</v>
      </c>
      <c r="AS9" s="26">
        <f>+AS10+AS11+AS12</f>
        <v>34672297</v>
      </c>
      <c r="AT9" s="108"/>
    </row>
    <row r="10" spans="1:46" x14ac:dyDescent="0.25">
      <c r="A10" s="107" t="s">
        <v>13</v>
      </c>
      <c r="B10" s="107" t="s">
        <v>133</v>
      </c>
      <c r="C10" s="26">
        <v>0</v>
      </c>
      <c r="D10" s="26"/>
      <c r="E10" s="26">
        <f>+D10</f>
        <v>0</v>
      </c>
      <c r="F10" s="108"/>
      <c r="G10" s="26">
        <v>0</v>
      </c>
      <c r="H10" s="26">
        <v>24370</v>
      </c>
      <c r="I10" s="26">
        <f>+E10+H10</f>
        <v>24370</v>
      </c>
      <c r="J10" s="26">
        <v>0</v>
      </c>
      <c r="K10" s="26">
        <v>75949</v>
      </c>
      <c r="L10" s="26">
        <f t="shared" si="2"/>
        <v>100319</v>
      </c>
      <c r="M10" s="26">
        <v>0</v>
      </c>
      <c r="N10" s="26">
        <v>55000</v>
      </c>
      <c r="O10" s="103">
        <f t="shared" si="3"/>
        <v>155319</v>
      </c>
      <c r="P10" s="26">
        <v>0</v>
      </c>
      <c r="Q10" s="26">
        <v>4027322</v>
      </c>
      <c r="R10" s="26">
        <f>+O10-P10+Q10</f>
        <v>4182641</v>
      </c>
      <c r="S10" s="26">
        <v>0</v>
      </c>
      <c r="T10" s="26">
        <v>4522430</v>
      </c>
      <c r="U10" s="26">
        <f t="shared" si="5"/>
        <v>8705071</v>
      </c>
      <c r="V10" s="108"/>
      <c r="W10" s="26">
        <v>0</v>
      </c>
      <c r="X10" s="26">
        <v>5168975</v>
      </c>
      <c r="Y10" s="26">
        <f t="shared" si="6"/>
        <v>13874046</v>
      </c>
      <c r="Z10" s="108"/>
      <c r="AA10" s="26">
        <v>0</v>
      </c>
      <c r="AB10" s="26">
        <v>973000</v>
      </c>
      <c r="AC10" s="103">
        <f>+Y10+AB10</f>
        <v>14847046</v>
      </c>
      <c r="AD10" s="108"/>
      <c r="AE10" s="26">
        <v>0</v>
      </c>
      <c r="AF10" s="26">
        <v>1235896</v>
      </c>
      <c r="AG10" s="26">
        <f>+AC10+AF10</f>
        <v>16082942</v>
      </c>
      <c r="AH10" s="108"/>
      <c r="AI10" s="26">
        <v>0</v>
      </c>
      <c r="AJ10" s="26">
        <v>779530</v>
      </c>
      <c r="AK10" s="26">
        <f>+AG10+AJ10</f>
        <v>16862472</v>
      </c>
      <c r="AL10" s="108"/>
      <c r="AM10" s="26">
        <v>0</v>
      </c>
      <c r="AN10" s="26">
        <v>1335310</v>
      </c>
      <c r="AO10" s="26">
        <f>AK10+AN10</f>
        <v>18197782</v>
      </c>
      <c r="AP10" s="108"/>
      <c r="AQ10" s="26">
        <v>0</v>
      </c>
      <c r="AR10" s="26">
        <v>13202015</v>
      </c>
      <c r="AS10" s="106">
        <f t="shared" ref="AS10:AS15" si="7">AO10+AR10</f>
        <v>31399797</v>
      </c>
      <c r="AT10" s="108"/>
    </row>
    <row r="11" spans="1:46" x14ac:dyDescent="0.25">
      <c r="A11" s="107">
        <v>415525</v>
      </c>
      <c r="B11" s="107" t="s">
        <v>132</v>
      </c>
      <c r="C11" s="26"/>
      <c r="D11" s="26">
        <v>0</v>
      </c>
      <c r="E11" s="26">
        <f>+D11</f>
        <v>0</v>
      </c>
      <c r="F11" s="108"/>
      <c r="G11" s="26">
        <v>0</v>
      </c>
      <c r="H11" s="26">
        <v>0</v>
      </c>
      <c r="I11" s="26">
        <f t="shared" ref="I11:I74" si="8">+G11+H11+E11</f>
        <v>0</v>
      </c>
      <c r="J11" s="26"/>
      <c r="K11" s="26">
        <v>0</v>
      </c>
      <c r="L11" s="26">
        <f t="shared" si="2"/>
        <v>0</v>
      </c>
      <c r="M11" s="26">
        <v>0</v>
      </c>
      <c r="N11" s="26">
        <v>0</v>
      </c>
      <c r="O11" s="103">
        <f t="shared" si="3"/>
        <v>0</v>
      </c>
      <c r="P11" s="26">
        <v>0</v>
      </c>
      <c r="Q11" s="26">
        <v>0</v>
      </c>
      <c r="R11" s="26">
        <f>+O11-P11+Q11</f>
        <v>0</v>
      </c>
      <c r="S11" s="26"/>
      <c r="T11" s="26"/>
      <c r="U11" s="26">
        <f t="shared" si="5"/>
        <v>0</v>
      </c>
      <c r="V11" s="108"/>
      <c r="W11" s="26"/>
      <c r="X11" s="26"/>
      <c r="Y11" s="26">
        <f t="shared" si="6"/>
        <v>0</v>
      </c>
      <c r="Z11" s="108"/>
      <c r="AA11" s="26"/>
      <c r="AB11" s="26"/>
      <c r="AC11" s="103">
        <f t="shared" ref="AC11:AC12" si="9">Y11+AB11</f>
        <v>0</v>
      </c>
      <c r="AD11" s="108"/>
      <c r="AE11" s="26"/>
      <c r="AF11" s="26"/>
      <c r="AG11" s="26">
        <f t="shared" ref="AG11:AG12" si="10">AC11+AF11</f>
        <v>0</v>
      </c>
      <c r="AH11" s="108"/>
      <c r="AI11" s="26"/>
      <c r="AJ11" s="26"/>
      <c r="AK11" s="26">
        <f t="shared" ref="AK11:AK12" si="11">AG11+AJ11</f>
        <v>0</v>
      </c>
      <c r="AL11" s="108"/>
      <c r="AM11" s="26"/>
      <c r="AN11" s="26"/>
      <c r="AO11" s="26">
        <f t="shared" ref="AO11:AO12" si="12">AK11+AN11</f>
        <v>0</v>
      </c>
      <c r="AP11" s="108"/>
      <c r="AQ11" s="26"/>
      <c r="AR11" s="26"/>
      <c r="AS11" s="26">
        <f t="shared" si="7"/>
        <v>0</v>
      </c>
      <c r="AT11" s="108"/>
    </row>
    <row r="12" spans="1:46" x14ac:dyDescent="0.25">
      <c r="A12" s="107">
        <v>415515</v>
      </c>
      <c r="B12" s="107" t="s">
        <v>14</v>
      </c>
      <c r="C12" s="26">
        <v>0</v>
      </c>
      <c r="D12" s="26"/>
      <c r="E12" s="26">
        <f>+D12</f>
        <v>0</v>
      </c>
      <c r="F12" s="108"/>
      <c r="G12" s="26">
        <v>0</v>
      </c>
      <c r="H12" s="26">
        <v>0</v>
      </c>
      <c r="I12" s="26">
        <f>+E12+H12</f>
        <v>0</v>
      </c>
      <c r="J12" s="26">
        <v>0</v>
      </c>
      <c r="K12" s="26">
        <v>25000</v>
      </c>
      <c r="L12" s="26">
        <f t="shared" si="2"/>
        <v>25000</v>
      </c>
      <c r="M12" s="26">
        <v>0</v>
      </c>
      <c r="N12" s="26">
        <v>0</v>
      </c>
      <c r="O12" s="103">
        <f t="shared" si="3"/>
        <v>25000</v>
      </c>
      <c r="P12" s="26">
        <v>0</v>
      </c>
      <c r="Q12" s="26">
        <v>525000</v>
      </c>
      <c r="R12" s="26">
        <f t="shared" si="4"/>
        <v>550000</v>
      </c>
      <c r="S12" s="26">
        <v>0</v>
      </c>
      <c r="T12" s="26">
        <v>797500</v>
      </c>
      <c r="U12" s="26">
        <f t="shared" si="5"/>
        <v>1347500</v>
      </c>
      <c r="V12" s="108"/>
      <c r="W12" s="26">
        <v>0</v>
      </c>
      <c r="X12" s="26">
        <v>340000</v>
      </c>
      <c r="Y12" s="26">
        <f t="shared" si="6"/>
        <v>1687500</v>
      </c>
      <c r="Z12" s="108"/>
      <c r="AA12" s="26">
        <v>0</v>
      </c>
      <c r="AB12" s="26">
        <v>170000</v>
      </c>
      <c r="AC12" s="103">
        <f t="shared" si="9"/>
        <v>1857500</v>
      </c>
      <c r="AD12" s="108"/>
      <c r="AE12" s="26">
        <v>0</v>
      </c>
      <c r="AF12" s="26">
        <v>40000</v>
      </c>
      <c r="AG12" s="26">
        <f t="shared" si="10"/>
        <v>1897500</v>
      </c>
      <c r="AH12" s="108"/>
      <c r="AI12" s="26">
        <v>0</v>
      </c>
      <c r="AJ12" s="26">
        <v>135000</v>
      </c>
      <c r="AK12" s="26">
        <f t="shared" si="11"/>
        <v>2032500</v>
      </c>
      <c r="AL12" s="108"/>
      <c r="AM12" s="26">
        <v>0</v>
      </c>
      <c r="AN12" s="26">
        <v>220000</v>
      </c>
      <c r="AO12" s="26">
        <f t="shared" si="12"/>
        <v>2252500</v>
      </c>
      <c r="AP12" s="108"/>
      <c r="AQ12" s="26">
        <v>0</v>
      </c>
      <c r="AR12" s="26">
        <v>1020000</v>
      </c>
      <c r="AS12" s="106">
        <f t="shared" si="7"/>
        <v>3272500</v>
      </c>
      <c r="AT12" s="108"/>
    </row>
    <row r="13" spans="1:46" x14ac:dyDescent="0.25">
      <c r="A13" s="107">
        <v>415595</v>
      </c>
      <c r="B13" s="107"/>
      <c r="C13" s="26"/>
      <c r="D13" s="26"/>
      <c r="E13" s="26">
        <f t="shared" ref="E13:E14" si="13">+D13</f>
        <v>0</v>
      </c>
      <c r="F13" s="108"/>
      <c r="G13" s="26"/>
      <c r="H13" s="26"/>
      <c r="I13" s="26"/>
      <c r="J13" s="26"/>
      <c r="K13" s="26"/>
      <c r="L13" s="26">
        <f t="shared" si="2"/>
        <v>0</v>
      </c>
      <c r="M13" s="26">
        <v>0</v>
      </c>
      <c r="N13" s="26">
        <v>0</v>
      </c>
      <c r="O13" s="103"/>
      <c r="P13" s="26">
        <v>0</v>
      </c>
      <c r="Q13" s="26"/>
      <c r="R13" s="26">
        <f t="shared" si="4"/>
        <v>0</v>
      </c>
      <c r="S13" s="26"/>
      <c r="T13" s="26"/>
      <c r="U13" s="26">
        <f t="shared" si="5"/>
        <v>0</v>
      </c>
      <c r="V13" s="108"/>
      <c r="W13" s="26"/>
      <c r="X13" s="26"/>
      <c r="Y13" s="26">
        <f t="shared" si="6"/>
        <v>0</v>
      </c>
      <c r="Z13" s="108"/>
      <c r="AA13" s="26"/>
      <c r="AB13" s="26"/>
      <c r="AC13" s="103"/>
      <c r="AD13" s="108"/>
      <c r="AE13" s="26"/>
      <c r="AF13" s="26"/>
      <c r="AG13" s="26"/>
      <c r="AH13" s="108"/>
      <c r="AI13" s="26"/>
      <c r="AJ13" s="26"/>
      <c r="AK13" s="26"/>
      <c r="AL13" s="108"/>
      <c r="AM13" s="26"/>
      <c r="AN13" s="26"/>
      <c r="AO13" s="26"/>
      <c r="AP13" s="108"/>
      <c r="AQ13" s="26"/>
      <c r="AR13" s="26"/>
      <c r="AS13" s="26">
        <f t="shared" si="7"/>
        <v>0</v>
      </c>
      <c r="AT13" s="108"/>
    </row>
    <row r="14" spans="1:46" x14ac:dyDescent="0.25">
      <c r="A14" s="107">
        <v>4175</v>
      </c>
      <c r="B14" s="107" t="s">
        <v>288</v>
      </c>
      <c r="C14" s="26"/>
      <c r="D14" s="26"/>
      <c r="E14" s="26">
        <f t="shared" si="13"/>
        <v>0</v>
      </c>
      <c r="F14" s="108"/>
      <c r="G14" s="26">
        <f>G15</f>
        <v>0</v>
      </c>
      <c r="H14" s="26">
        <f>H15</f>
        <v>0</v>
      </c>
      <c r="I14" s="26">
        <f t="shared" si="8"/>
        <v>0</v>
      </c>
      <c r="J14" s="26">
        <v>0</v>
      </c>
      <c r="K14" s="26">
        <f>+K15</f>
        <v>0</v>
      </c>
      <c r="L14" s="26">
        <f t="shared" si="2"/>
        <v>0</v>
      </c>
      <c r="M14" s="26">
        <v>0</v>
      </c>
      <c r="N14" s="26">
        <v>0</v>
      </c>
      <c r="O14" s="103">
        <f>+L14+N14</f>
        <v>0</v>
      </c>
      <c r="P14" s="26"/>
      <c r="Q14" s="26"/>
      <c r="R14" s="26">
        <f t="shared" si="4"/>
        <v>0</v>
      </c>
      <c r="S14" s="26">
        <v>1071520</v>
      </c>
      <c r="T14" s="26"/>
      <c r="U14" s="26">
        <f>+S14</f>
        <v>1071520</v>
      </c>
      <c r="V14" s="108"/>
      <c r="W14" s="26"/>
      <c r="X14" s="26"/>
      <c r="Y14" s="26">
        <f t="shared" ref="Y14:Y15" si="14">+U14+X14</f>
        <v>1071520</v>
      </c>
      <c r="Z14" s="108"/>
      <c r="AA14" s="26"/>
      <c r="AB14" s="26"/>
      <c r="AC14" s="103">
        <f>+Y14-AA14</f>
        <v>1071520</v>
      </c>
      <c r="AD14" s="108"/>
      <c r="AE14" s="26">
        <f>+AE15</f>
        <v>0</v>
      </c>
      <c r="AF14" s="26"/>
      <c r="AG14" s="26">
        <f>+AC14+AE14</f>
        <v>1071520</v>
      </c>
      <c r="AH14" s="108"/>
      <c r="AI14" s="26">
        <f>+AI15</f>
        <v>0</v>
      </c>
      <c r="AJ14" s="26"/>
      <c r="AK14" s="26">
        <f>+AG14+AI14</f>
        <v>1071520</v>
      </c>
      <c r="AL14" s="108"/>
      <c r="AM14" s="26">
        <v>0</v>
      </c>
      <c r="AN14" s="26"/>
      <c r="AO14" s="26">
        <f>+AK14+AM14</f>
        <v>1071520</v>
      </c>
      <c r="AP14" s="108"/>
      <c r="AQ14" s="26">
        <f>+AQ15</f>
        <v>7800</v>
      </c>
      <c r="AR14" s="26"/>
      <c r="AS14" s="26">
        <f>+AO14+AQ14</f>
        <v>1079320</v>
      </c>
      <c r="AT14" s="108"/>
    </row>
    <row r="15" spans="1:46" x14ac:dyDescent="0.25">
      <c r="A15" s="107">
        <v>417501</v>
      </c>
      <c r="B15" s="107" t="s">
        <v>288</v>
      </c>
      <c r="C15" s="26"/>
      <c r="D15" s="26"/>
      <c r="E15" s="26"/>
      <c r="F15" s="108"/>
      <c r="G15" s="26"/>
      <c r="H15" s="26"/>
      <c r="I15" s="26">
        <f t="shared" si="8"/>
        <v>0</v>
      </c>
      <c r="J15" s="26">
        <f>+J14</f>
        <v>0</v>
      </c>
      <c r="K15" s="26"/>
      <c r="L15" s="26">
        <f t="shared" si="2"/>
        <v>0</v>
      </c>
      <c r="M15" s="26">
        <v>0</v>
      </c>
      <c r="N15" s="26">
        <v>0</v>
      </c>
      <c r="O15" s="103">
        <f t="shared" si="3"/>
        <v>0</v>
      </c>
      <c r="P15" s="26"/>
      <c r="Q15" s="26"/>
      <c r="R15" s="26">
        <f t="shared" si="4"/>
        <v>0</v>
      </c>
      <c r="S15" s="26"/>
      <c r="T15" s="26"/>
      <c r="U15" s="26">
        <f>R15+T15</f>
        <v>0</v>
      </c>
      <c r="V15" s="108"/>
      <c r="W15" s="26"/>
      <c r="X15" s="26"/>
      <c r="Y15" s="26">
        <f t="shared" si="14"/>
        <v>0</v>
      </c>
      <c r="Z15" s="108"/>
      <c r="AA15" s="26">
        <v>0</v>
      </c>
      <c r="AB15" s="26"/>
      <c r="AC15" s="103">
        <f>+Y15+AA15</f>
        <v>0</v>
      </c>
      <c r="AD15" s="108"/>
      <c r="AE15" s="26"/>
      <c r="AF15" s="26"/>
      <c r="AG15" s="26">
        <f>+AC15+AE15</f>
        <v>0</v>
      </c>
      <c r="AH15" s="108"/>
      <c r="AI15" s="26"/>
      <c r="AJ15" s="26"/>
      <c r="AK15" s="26">
        <f>+AG15+AI15</f>
        <v>0</v>
      </c>
      <c r="AL15" s="108"/>
      <c r="AM15" s="26">
        <v>0</v>
      </c>
      <c r="AN15" s="26"/>
      <c r="AO15" s="26">
        <f>+AK15+AM15</f>
        <v>0</v>
      </c>
      <c r="AP15" s="108"/>
      <c r="AQ15" s="26">
        <v>7800</v>
      </c>
      <c r="AR15" s="26"/>
      <c r="AS15" s="26">
        <f t="shared" si="7"/>
        <v>0</v>
      </c>
      <c r="AT15" s="108"/>
    </row>
    <row r="16" spans="1:46" x14ac:dyDescent="0.25">
      <c r="A16" s="102" t="s">
        <v>15</v>
      </c>
      <c r="B16" s="102" t="s">
        <v>16</v>
      </c>
      <c r="C16" s="103">
        <v>0</v>
      </c>
      <c r="D16" s="103">
        <f>D17+D21+D24+D26</f>
        <v>3154060</v>
      </c>
      <c r="E16" s="103">
        <f>+D16</f>
        <v>3154060</v>
      </c>
      <c r="F16" s="104"/>
      <c r="G16" s="103">
        <v>0</v>
      </c>
      <c r="H16" s="103">
        <f>H17+H21+H24+H26</f>
        <v>8170074</v>
      </c>
      <c r="I16" s="26">
        <f t="shared" si="8"/>
        <v>11324134</v>
      </c>
      <c r="J16" s="103">
        <v>0</v>
      </c>
      <c r="K16" s="103">
        <f>K17+K21+K24</f>
        <v>15848964</v>
      </c>
      <c r="L16" s="103">
        <f>I16+K16</f>
        <v>27173098</v>
      </c>
      <c r="M16" s="103">
        <v>0</v>
      </c>
      <c r="N16" s="103">
        <f>N17+N21+N24+N26</f>
        <v>8045964</v>
      </c>
      <c r="O16" s="103">
        <f>+L16+N16</f>
        <v>35219062</v>
      </c>
      <c r="P16" s="103">
        <v>0</v>
      </c>
      <c r="Q16" s="103">
        <f>Q17+Q21+Q24+Q26</f>
        <v>13860164</v>
      </c>
      <c r="R16" s="105">
        <f>+O16+Q16</f>
        <v>49079226</v>
      </c>
      <c r="S16" s="103">
        <v>0</v>
      </c>
      <c r="T16" s="106">
        <f>T17+T21+T24+T26</f>
        <v>7977361</v>
      </c>
      <c r="U16" s="103">
        <f>R16+T16</f>
        <v>57056587</v>
      </c>
      <c r="V16" s="104"/>
      <c r="W16" s="103">
        <v>0</v>
      </c>
      <c r="X16" s="106">
        <f>X17+X21+X24+X26</f>
        <v>9013371</v>
      </c>
      <c r="Y16" s="103">
        <f>U16+X16</f>
        <v>66069958</v>
      </c>
      <c r="Z16" s="104"/>
      <c r="AA16" s="103">
        <f>AA17+AA21+AA24</f>
        <v>0</v>
      </c>
      <c r="AB16" s="106">
        <f>AB17+AB21+AB24+AB26</f>
        <v>18563466</v>
      </c>
      <c r="AC16" s="103">
        <f>Y16+AB16</f>
        <v>84633424</v>
      </c>
      <c r="AD16" s="104"/>
      <c r="AE16" s="103">
        <f>AE17+AE21+AE24</f>
        <v>0</v>
      </c>
      <c r="AF16" s="106">
        <f>AF17+AF21+AF24+AF26</f>
        <v>11325371</v>
      </c>
      <c r="AG16" s="103">
        <f>AC16+AF16</f>
        <v>95958795</v>
      </c>
      <c r="AH16" s="104"/>
      <c r="AI16" s="103">
        <f>AI17+AI21+AI24</f>
        <v>0</v>
      </c>
      <c r="AJ16" s="106">
        <f>AJ17+AJ21+AJ24+AJ26</f>
        <v>12517646</v>
      </c>
      <c r="AK16" s="103">
        <f>AG16+AJ16</f>
        <v>108476441</v>
      </c>
      <c r="AL16" s="104"/>
      <c r="AM16" s="103">
        <f>AM17+AM21+AM24</f>
        <v>0</v>
      </c>
      <c r="AN16" s="106">
        <f>AN17+AN21+AN24+AN26</f>
        <v>9654899</v>
      </c>
      <c r="AO16" s="103">
        <f>AK16+AN16</f>
        <v>118131340</v>
      </c>
      <c r="AP16" s="104"/>
      <c r="AQ16" s="103">
        <f>AQ17+AQ21+AQ24</f>
        <v>0</v>
      </c>
      <c r="AR16" s="106">
        <f>AR17+AR21+AR24+AR26</f>
        <v>9782680</v>
      </c>
      <c r="AS16" s="103">
        <f>AO16+AR16</f>
        <v>127914020</v>
      </c>
      <c r="AT16" s="104"/>
    </row>
    <row r="17" spans="1:46" x14ac:dyDescent="0.25">
      <c r="A17" s="107" t="s">
        <v>17</v>
      </c>
      <c r="B17" s="107" t="s">
        <v>18</v>
      </c>
      <c r="C17" s="26">
        <v>0</v>
      </c>
      <c r="D17" s="26">
        <f>D18</f>
        <v>110</v>
      </c>
      <c r="E17" s="26">
        <f>+D17</f>
        <v>110</v>
      </c>
      <c r="F17" s="108"/>
      <c r="G17" s="26">
        <v>0</v>
      </c>
      <c r="H17" s="26">
        <f>+H18</f>
        <v>54</v>
      </c>
      <c r="I17" s="26">
        <f t="shared" si="8"/>
        <v>164</v>
      </c>
      <c r="J17" s="26">
        <v>0</v>
      </c>
      <c r="K17" s="26">
        <f>K18+K19+K20</f>
        <v>4</v>
      </c>
      <c r="L17" s="26">
        <f>I17+K17</f>
        <v>168</v>
      </c>
      <c r="M17" s="26">
        <v>0</v>
      </c>
      <c r="N17" s="26">
        <f>+N18+N19</f>
        <v>34</v>
      </c>
      <c r="O17" s="103">
        <f>+L17+N17</f>
        <v>202</v>
      </c>
      <c r="P17" s="26">
        <v>0</v>
      </c>
      <c r="Q17" s="26">
        <f>Q18+Q19+Q20</f>
        <v>524</v>
      </c>
      <c r="R17" s="26">
        <f t="shared" ref="R17:R27" si="15">+O17+Q17</f>
        <v>726</v>
      </c>
      <c r="S17" s="26">
        <v>0</v>
      </c>
      <c r="T17" s="26">
        <f>T18+T19</f>
        <v>1101</v>
      </c>
      <c r="U17" s="26">
        <f t="shared" ref="U17:U27" si="16">R17+T17</f>
        <v>1827</v>
      </c>
      <c r="V17" s="108"/>
      <c r="W17" s="26">
        <v>0</v>
      </c>
      <c r="X17" s="26">
        <f>+X18+X19</f>
        <v>1633</v>
      </c>
      <c r="Y17" s="26">
        <f>U17+X17</f>
        <v>3460</v>
      </c>
      <c r="Z17" s="108"/>
      <c r="AA17" s="26">
        <f>AA18+AA19+AA20</f>
        <v>0</v>
      </c>
      <c r="AB17" s="26">
        <f>+AB20</f>
        <v>0</v>
      </c>
      <c r="AC17" s="103">
        <f>Y17+AB17</f>
        <v>3460</v>
      </c>
      <c r="AD17" s="108"/>
      <c r="AE17" s="26">
        <f>AE18+AE19+AE20</f>
        <v>0</v>
      </c>
      <c r="AF17" s="26">
        <f>+AF18+AF19</f>
        <v>211</v>
      </c>
      <c r="AG17" s="26">
        <f>AC17+AF17</f>
        <v>3671</v>
      </c>
      <c r="AH17" s="108"/>
      <c r="AI17" s="26">
        <f>AI18+AI19+AI20</f>
        <v>0</v>
      </c>
      <c r="AJ17" s="26">
        <f>+AJ18+AJ19</f>
        <v>426712</v>
      </c>
      <c r="AK17" s="26">
        <f>AG17+AJ17</f>
        <v>430383</v>
      </c>
      <c r="AL17" s="108"/>
      <c r="AM17" s="26">
        <f>AM18+AM19+AM20</f>
        <v>0</v>
      </c>
      <c r="AN17" s="26">
        <f>+AN18+AN19</f>
        <v>999</v>
      </c>
      <c r="AO17" s="26">
        <f>AK17+AN17</f>
        <v>431382</v>
      </c>
      <c r="AP17" s="108"/>
      <c r="AQ17" s="26">
        <f>AQ18+AQ19+AQ20</f>
        <v>0</v>
      </c>
      <c r="AR17" s="26">
        <f>+AR18+AR19</f>
        <v>1722552</v>
      </c>
      <c r="AS17" s="26">
        <f>AO17+AR17</f>
        <v>2153934</v>
      </c>
      <c r="AT17" s="108"/>
    </row>
    <row r="18" spans="1:46" x14ac:dyDescent="0.25">
      <c r="A18" s="107" t="s">
        <v>19</v>
      </c>
      <c r="B18" s="107" t="s">
        <v>20</v>
      </c>
      <c r="C18" s="26">
        <v>0</v>
      </c>
      <c r="D18" s="26">
        <v>110</v>
      </c>
      <c r="E18" s="26">
        <f>+D18</f>
        <v>110</v>
      </c>
      <c r="F18" s="108"/>
      <c r="G18" s="26">
        <v>0</v>
      </c>
      <c r="H18" s="26">
        <v>54</v>
      </c>
      <c r="I18" s="26">
        <f>+G18+H18+E18</f>
        <v>164</v>
      </c>
      <c r="J18" s="26">
        <v>0</v>
      </c>
      <c r="K18" s="26">
        <v>4</v>
      </c>
      <c r="L18" s="26">
        <f>I18+K18</f>
        <v>168</v>
      </c>
      <c r="M18" s="26">
        <v>0</v>
      </c>
      <c r="N18" s="26">
        <v>34</v>
      </c>
      <c r="O18" s="103">
        <f>+L18+N18</f>
        <v>202</v>
      </c>
      <c r="P18" s="26">
        <v>0</v>
      </c>
      <c r="Q18" s="26">
        <v>524</v>
      </c>
      <c r="R18" s="26">
        <f t="shared" si="15"/>
        <v>726</v>
      </c>
      <c r="S18" s="26">
        <v>0</v>
      </c>
      <c r="T18" s="26">
        <v>34</v>
      </c>
      <c r="U18" s="26">
        <f t="shared" si="16"/>
        <v>760</v>
      </c>
      <c r="V18" s="108"/>
      <c r="W18" s="26">
        <v>0</v>
      </c>
      <c r="X18" s="26">
        <v>36</v>
      </c>
      <c r="Y18" s="106">
        <f>U18+X18</f>
        <v>796</v>
      </c>
      <c r="Z18" s="108"/>
      <c r="AA18" s="26">
        <v>0</v>
      </c>
      <c r="AB18" s="26">
        <v>336240</v>
      </c>
      <c r="AC18" s="103">
        <f>Y18+AB18</f>
        <v>337036</v>
      </c>
      <c r="AD18" s="108"/>
      <c r="AE18" s="26">
        <v>0</v>
      </c>
      <c r="AF18" s="26">
        <v>211</v>
      </c>
      <c r="AG18" s="26">
        <f>AC18+AF18</f>
        <v>337247</v>
      </c>
      <c r="AH18" s="108"/>
      <c r="AI18" s="26">
        <v>0</v>
      </c>
      <c r="AJ18" s="26">
        <f>14+'BALANCE DICIEMBRE'!J19</f>
        <v>426712</v>
      </c>
      <c r="AK18" s="26">
        <f>AG18+AJ18</f>
        <v>763959</v>
      </c>
      <c r="AL18" s="108"/>
      <c r="AM18" s="26">
        <v>0</v>
      </c>
      <c r="AN18" s="26">
        <v>999</v>
      </c>
      <c r="AO18" s="26">
        <f>AK18+AN18</f>
        <v>764958</v>
      </c>
      <c r="AP18" s="108"/>
      <c r="AQ18" s="26">
        <v>0</v>
      </c>
      <c r="AR18" s="26">
        <f>43+1722509</f>
        <v>1722552</v>
      </c>
      <c r="AS18" s="106">
        <f>AO18+AR18</f>
        <v>2487510</v>
      </c>
      <c r="AT18" s="108"/>
    </row>
    <row r="19" spans="1:46" x14ac:dyDescent="0.25">
      <c r="A19" s="107">
        <v>421095</v>
      </c>
      <c r="B19" s="107" t="s">
        <v>261</v>
      </c>
      <c r="C19" s="26"/>
      <c r="D19" s="26"/>
      <c r="E19" s="26">
        <f>+D19</f>
        <v>0</v>
      </c>
      <c r="F19" s="108"/>
      <c r="G19" s="26"/>
      <c r="H19" s="26">
        <v>0</v>
      </c>
      <c r="I19" s="26">
        <f t="shared" si="8"/>
        <v>0</v>
      </c>
      <c r="J19" s="26"/>
      <c r="K19" s="26">
        <v>0</v>
      </c>
      <c r="L19" s="26">
        <f t="shared" ref="L19:L28" si="17">I19+K19</f>
        <v>0</v>
      </c>
      <c r="M19" s="26">
        <v>0</v>
      </c>
      <c r="N19" s="26">
        <v>0</v>
      </c>
      <c r="O19" s="103">
        <f t="shared" ref="O19:O27" si="18">+L19+N19</f>
        <v>0</v>
      </c>
      <c r="P19" s="26">
        <v>0</v>
      </c>
      <c r="Q19" s="26">
        <v>0</v>
      </c>
      <c r="R19" s="26">
        <f t="shared" si="15"/>
        <v>0</v>
      </c>
      <c r="S19" s="26">
        <v>0</v>
      </c>
      <c r="T19" s="26">
        <v>1067</v>
      </c>
      <c r="U19" s="26">
        <f t="shared" si="16"/>
        <v>1067</v>
      </c>
      <c r="V19" s="108"/>
      <c r="W19" s="26">
        <v>0</v>
      </c>
      <c r="X19" s="26">
        <v>1597</v>
      </c>
      <c r="Y19" s="26">
        <f>U19+X19</f>
        <v>2664</v>
      </c>
      <c r="Z19" s="108"/>
      <c r="AA19" s="26">
        <v>0</v>
      </c>
      <c r="AB19" s="26">
        <v>0</v>
      </c>
      <c r="AC19" s="103">
        <f>Y19+AB19</f>
        <v>2664</v>
      </c>
      <c r="AD19" s="108"/>
      <c r="AE19" s="26">
        <v>0</v>
      </c>
      <c r="AF19" s="26">
        <v>0</v>
      </c>
      <c r="AG19" s="26">
        <f>AC19+AF19</f>
        <v>2664</v>
      </c>
      <c r="AH19" s="108"/>
      <c r="AI19" s="26">
        <v>0</v>
      </c>
      <c r="AJ19" s="26"/>
      <c r="AK19" s="26">
        <f>AG19+AJ19</f>
        <v>2664</v>
      </c>
      <c r="AL19" s="108"/>
      <c r="AM19" s="26">
        <v>0</v>
      </c>
      <c r="AN19" s="26">
        <v>0</v>
      </c>
      <c r="AO19" s="26">
        <f>AK19+AN19</f>
        <v>2664</v>
      </c>
      <c r="AP19" s="108"/>
      <c r="AQ19" s="26">
        <v>0</v>
      </c>
      <c r="AR19" s="26">
        <v>0</v>
      </c>
      <c r="AS19" s="26">
        <f>AO19+AR19</f>
        <v>2664</v>
      </c>
      <c r="AT19" s="108"/>
    </row>
    <row r="20" spans="1:46" ht="21" x14ac:dyDescent="0.25">
      <c r="A20" s="107">
        <v>421040</v>
      </c>
      <c r="B20" s="107" t="s">
        <v>143</v>
      </c>
      <c r="C20" s="26"/>
      <c r="D20" s="26"/>
      <c r="E20" s="26"/>
      <c r="F20" s="108"/>
      <c r="G20" s="26"/>
      <c r="H20" s="26"/>
      <c r="I20" s="26">
        <f t="shared" si="8"/>
        <v>0</v>
      </c>
      <c r="J20" s="26"/>
      <c r="K20" s="26"/>
      <c r="L20" s="26">
        <f t="shared" si="17"/>
        <v>0</v>
      </c>
      <c r="M20" s="26"/>
      <c r="N20" s="26"/>
      <c r="O20" s="103">
        <f t="shared" si="18"/>
        <v>0</v>
      </c>
      <c r="P20" s="26"/>
      <c r="Q20" s="26"/>
      <c r="R20" s="26">
        <f t="shared" si="15"/>
        <v>0</v>
      </c>
      <c r="S20" s="26"/>
      <c r="T20" s="26"/>
      <c r="U20" s="26">
        <f t="shared" si="16"/>
        <v>0</v>
      </c>
      <c r="V20" s="108"/>
      <c r="W20" s="26"/>
      <c r="X20" s="26"/>
      <c r="Y20" s="26"/>
      <c r="Z20" s="108"/>
      <c r="AA20" s="26"/>
      <c r="AB20" s="26">
        <v>0</v>
      </c>
      <c r="AC20" s="103"/>
      <c r="AD20" s="108"/>
      <c r="AE20" s="26"/>
      <c r="AF20" s="26"/>
      <c r="AG20" s="26"/>
      <c r="AH20" s="108"/>
      <c r="AI20" s="26"/>
      <c r="AJ20" s="26"/>
      <c r="AK20" s="26"/>
      <c r="AL20" s="108"/>
      <c r="AM20" s="26"/>
      <c r="AN20" s="26"/>
      <c r="AO20" s="26"/>
      <c r="AP20" s="108"/>
      <c r="AQ20" s="26"/>
      <c r="AR20" s="26"/>
      <c r="AS20" s="26"/>
      <c r="AT20" s="108"/>
    </row>
    <row r="21" spans="1:46" ht="21" customHeight="1" x14ac:dyDescent="0.25">
      <c r="A21" s="107" t="s">
        <v>21</v>
      </c>
      <c r="B21" s="109" t="s">
        <v>22</v>
      </c>
      <c r="C21" s="26">
        <v>0</v>
      </c>
      <c r="D21" s="26">
        <f>D22</f>
        <v>0</v>
      </c>
      <c r="E21" s="26">
        <f>+D21</f>
        <v>0</v>
      </c>
      <c r="F21" s="108"/>
      <c r="G21" s="26">
        <v>0</v>
      </c>
      <c r="H21" s="26">
        <f>+H22</f>
        <v>0</v>
      </c>
      <c r="I21" s="26">
        <f t="shared" si="8"/>
        <v>0</v>
      </c>
      <c r="J21" s="26">
        <v>0</v>
      </c>
      <c r="K21" s="26">
        <f>+K22</f>
        <v>0</v>
      </c>
      <c r="L21" s="26">
        <f t="shared" si="17"/>
        <v>0</v>
      </c>
      <c r="M21" s="26">
        <v>0</v>
      </c>
      <c r="N21" s="26">
        <f>N22</f>
        <v>0</v>
      </c>
      <c r="O21" s="103">
        <f t="shared" si="18"/>
        <v>0</v>
      </c>
      <c r="P21" s="26">
        <v>0</v>
      </c>
      <c r="Q21" s="26">
        <f>+Q22</f>
        <v>0</v>
      </c>
      <c r="R21" s="26">
        <f t="shared" si="15"/>
        <v>0</v>
      </c>
      <c r="S21" s="26">
        <v>0</v>
      </c>
      <c r="T21" s="26">
        <f>+T22</f>
        <v>0</v>
      </c>
      <c r="U21" s="26">
        <f t="shared" si="16"/>
        <v>0</v>
      </c>
      <c r="V21" s="108"/>
      <c r="W21" s="26">
        <v>0</v>
      </c>
      <c r="X21" s="26">
        <f>X22</f>
        <v>955998</v>
      </c>
      <c r="Y21" s="26">
        <f>U21+X21</f>
        <v>955998</v>
      </c>
      <c r="Z21" s="108"/>
      <c r="AA21" s="26">
        <v>0</v>
      </c>
      <c r="AB21" s="26">
        <f>AB22</f>
        <v>0</v>
      </c>
      <c r="AC21" s="103">
        <f>Y21+AB21</f>
        <v>955998</v>
      </c>
      <c r="AD21" s="108"/>
      <c r="AE21" s="26">
        <v>0</v>
      </c>
      <c r="AF21" s="26">
        <f>AF22</f>
        <v>11325160</v>
      </c>
      <c r="AG21" s="26">
        <f>AC21+AF21</f>
        <v>12281158</v>
      </c>
      <c r="AH21" s="108"/>
      <c r="AI21" s="26">
        <v>0</v>
      </c>
      <c r="AJ21" s="26">
        <f>AJ22</f>
        <v>0</v>
      </c>
      <c r="AK21" s="26">
        <f>AG21+AJ21</f>
        <v>12281158</v>
      </c>
      <c r="AL21" s="108"/>
      <c r="AM21" s="26">
        <v>0</v>
      </c>
      <c r="AN21" s="26">
        <f>AN22</f>
        <v>0</v>
      </c>
      <c r="AO21" s="26">
        <f>AK21+AN21</f>
        <v>12281158</v>
      </c>
      <c r="AP21" s="108"/>
      <c r="AQ21" s="26">
        <v>0</v>
      </c>
      <c r="AR21" s="26">
        <f>AR22</f>
        <v>0</v>
      </c>
      <c r="AS21" s="26">
        <f>AO21+AR21</f>
        <v>12281158</v>
      </c>
      <c r="AT21" s="108"/>
    </row>
    <row r="22" spans="1:46" x14ac:dyDescent="0.25">
      <c r="A22" s="107" t="s">
        <v>23</v>
      </c>
      <c r="B22" s="107" t="s">
        <v>24</v>
      </c>
      <c r="C22" s="26">
        <v>0</v>
      </c>
      <c r="D22" s="26"/>
      <c r="E22" s="26">
        <f>+D22</f>
        <v>0</v>
      </c>
      <c r="F22" s="108"/>
      <c r="G22" s="26">
        <v>0</v>
      </c>
      <c r="H22" s="26"/>
      <c r="I22" s="26">
        <f t="shared" si="8"/>
        <v>0</v>
      </c>
      <c r="J22" s="26">
        <v>0</v>
      </c>
      <c r="K22" s="26"/>
      <c r="L22" s="26">
        <f t="shared" si="17"/>
        <v>0</v>
      </c>
      <c r="M22" s="26">
        <v>0</v>
      </c>
      <c r="N22" s="26"/>
      <c r="O22" s="103">
        <f t="shared" si="18"/>
        <v>0</v>
      </c>
      <c r="P22" s="26">
        <v>0</v>
      </c>
      <c r="Q22" s="26"/>
      <c r="R22" s="26">
        <f t="shared" si="15"/>
        <v>0</v>
      </c>
      <c r="S22" s="26">
        <v>0</v>
      </c>
      <c r="T22" s="26"/>
      <c r="U22" s="26">
        <f t="shared" si="16"/>
        <v>0</v>
      </c>
      <c r="V22" s="108"/>
      <c r="W22" s="26">
        <v>0</v>
      </c>
      <c r="X22" s="106">
        <v>955998</v>
      </c>
      <c r="Y22" s="26">
        <f>U22+X22</f>
        <v>955998</v>
      </c>
      <c r="Z22" s="108"/>
      <c r="AA22" s="26">
        <v>0</v>
      </c>
      <c r="AB22" s="26"/>
      <c r="AC22" s="103">
        <f>Y22+AB22</f>
        <v>955998</v>
      </c>
      <c r="AD22" s="108"/>
      <c r="AE22" s="26">
        <v>0</v>
      </c>
      <c r="AF22" s="26">
        <v>11325160</v>
      </c>
      <c r="AG22" s="26">
        <f>AC22+AF22</f>
        <v>12281158</v>
      </c>
      <c r="AH22" s="108"/>
      <c r="AI22" s="26">
        <v>0</v>
      </c>
      <c r="AJ22" s="26"/>
      <c r="AK22" s="26">
        <f>AG22+AJ22</f>
        <v>12281158</v>
      </c>
      <c r="AL22" s="108"/>
      <c r="AM22" s="26">
        <v>0</v>
      </c>
      <c r="AN22" s="26"/>
      <c r="AO22" s="26">
        <f>AK22+AN22</f>
        <v>12281158</v>
      </c>
      <c r="AP22" s="108"/>
      <c r="AQ22" s="26">
        <v>0</v>
      </c>
      <c r="AR22" s="26"/>
      <c r="AS22" s="26">
        <f>AO22+AR22</f>
        <v>12281158</v>
      </c>
      <c r="AT22" s="108"/>
    </row>
    <row r="23" spans="1:46" x14ac:dyDescent="0.25">
      <c r="A23" s="107"/>
      <c r="B23" s="107"/>
      <c r="C23" s="26"/>
      <c r="D23" s="26"/>
      <c r="E23" s="26"/>
      <c r="F23" s="108"/>
      <c r="G23" s="26"/>
      <c r="H23" s="26"/>
      <c r="I23" s="26">
        <f t="shared" si="8"/>
        <v>0</v>
      </c>
      <c r="J23" s="26"/>
      <c r="K23" s="26"/>
      <c r="L23" s="26">
        <f t="shared" si="17"/>
        <v>0</v>
      </c>
      <c r="M23" s="26"/>
      <c r="N23" s="26"/>
      <c r="O23" s="103">
        <f t="shared" si="18"/>
        <v>0</v>
      </c>
      <c r="P23" s="26"/>
      <c r="Q23" s="26"/>
      <c r="R23" s="26">
        <f t="shared" si="15"/>
        <v>0</v>
      </c>
      <c r="S23" s="26"/>
      <c r="T23" s="26"/>
      <c r="U23" s="26">
        <f t="shared" si="16"/>
        <v>0</v>
      </c>
      <c r="V23" s="108"/>
      <c r="W23" s="26"/>
      <c r="X23" s="26"/>
      <c r="Y23" s="26"/>
      <c r="Z23" s="108"/>
      <c r="AA23" s="26"/>
      <c r="AB23" s="26"/>
      <c r="AC23" s="103"/>
      <c r="AD23" s="108"/>
      <c r="AE23" s="26"/>
      <c r="AF23" s="26"/>
      <c r="AG23" s="26"/>
      <c r="AH23" s="108"/>
      <c r="AI23" s="26"/>
      <c r="AJ23" s="26"/>
      <c r="AK23" s="26"/>
      <c r="AL23" s="108"/>
      <c r="AM23" s="26"/>
      <c r="AN23" s="26"/>
      <c r="AO23" s="26"/>
      <c r="AP23" s="108"/>
      <c r="AQ23" s="26"/>
      <c r="AR23" s="26"/>
      <c r="AS23" s="26"/>
      <c r="AT23" s="108"/>
    </row>
    <row r="24" spans="1:46" x14ac:dyDescent="0.25">
      <c r="A24" s="107" t="s">
        <v>25</v>
      </c>
      <c r="B24" s="107" t="s">
        <v>26</v>
      </c>
      <c r="C24" s="26">
        <v>0</v>
      </c>
      <c r="D24" s="106">
        <f>D25</f>
        <v>3153950</v>
      </c>
      <c r="E24" s="26">
        <f>+D24</f>
        <v>3153950</v>
      </c>
      <c r="F24" s="108"/>
      <c r="G24" s="26">
        <v>0</v>
      </c>
      <c r="H24" s="26">
        <f>H25</f>
        <v>8170020</v>
      </c>
      <c r="I24" s="106">
        <f t="shared" si="8"/>
        <v>11323970</v>
      </c>
      <c r="J24" s="26">
        <v>0</v>
      </c>
      <c r="K24" s="26">
        <f>K25</f>
        <v>15848960</v>
      </c>
      <c r="L24" s="106">
        <f t="shared" si="17"/>
        <v>27172930</v>
      </c>
      <c r="M24" s="26">
        <v>0</v>
      </c>
      <c r="N24" s="26">
        <f>N25</f>
        <v>8045930</v>
      </c>
      <c r="O24" s="103">
        <f t="shared" si="18"/>
        <v>35218860</v>
      </c>
      <c r="P24" s="26">
        <v>0</v>
      </c>
      <c r="Q24" s="26">
        <f>+Q25</f>
        <v>13859640</v>
      </c>
      <c r="R24" s="26">
        <f t="shared" si="15"/>
        <v>49078500</v>
      </c>
      <c r="S24" s="26">
        <v>0</v>
      </c>
      <c r="T24" s="26">
        <f>T25</f>
        <v>7976260</v>
      </c>
      <c r="U24" s="26">
        <f t="shared" si="16"/>
        <v>57054760</v>
      </c>
      <c r="V24" s="108"/>
      <c r="W24" s="26">
        <v>0</v>
      </c>
      <c r="X24" s="26">
        <f>X25</f>
        <v>8055740</v>
      </c>
      <c r="Y24" s="26">
        <f>U24+X24</f>
        <v>65110500</v>
      </c>
      <c r="Z24" s="108"/>
      <c r="AA24" s="26">
        <v>0</v>
      </c>
      <c r="AB24" s="26">
        <f>AB25</f>
        <v>18562760</v>
      </c>
      <c r="AC24" s="103">
        <f>Y24+AB24</f>
        <v>83673260</v>
      </c>
      <c r="AD24" s="108"/>
      <c r="AE24" s="26">
        <v>0</v>
      </c>
      <c r="AF24" s="26">
        <f>AF25</f>
        <v>0</v>
      </c>
      <c r="AG24" s="26">
        <f>AC24+AF24</f>
        <v>83673260</v>
      </c>
      <c r="AH24" s="108"/>
      <c r="AI24" s="26">
        <v>0</v>
      </c>
      <c r="AJ24" s="26">
        <f>AJ25</f>
        <v>12090934</v>
      </c>
      <c r="AK24" s="26">
        <f>AG24+AJ24</f>
        <v>95764194</v>
      </c>
      <c r="AL24" s="108"/>
      <c r="AM24" s="26">
        <v>0</v>
      </c>
      <c r="AN24" s="26">
        <f>AN25</f>
        <v>9653900</v>
      </c>
      <c r="AO24" s="26">
        <f>AK24+AN24</f>
        <v>105418094</v>
      </c>
      <c r="AP24" s="108"/>
      <c r="AQ24" s="26">
        <v>0</v>
      </c>
      <c r="AR24" s="26">
        <f>AR25</f>
        <v>8060128</v>
      </c>
      <c r="AS24" s="26">
        <f>AO24+AR24</f>
        <v>113478222</v>
      </c>
      <c r="AT24" s="108"/>
    </row>
    <row r="25" spans="1:46" x14ac:dyDescent="0.25">
      <c r="A25" s="107" t="s">
        <v>27</v>
      </c>
      <c r="B25" s="109" t="s">
        <v>28</v>
      </c>
      <c r="C25" s="26">
        <v>0</v>
      </c>
      <c r="D25" s="106">
        <v>3153950</v>
      </c>
      <c r="E25" s="26">
        <f t="shared" ref="E25:E27" si="19">+D25</f>
        <v>3153950</v>
      </c>
      <c r="F25" s="108"/>
      <c r="G25" s="26">
        <v>0</v>
      </c>
      <c r="H25" s="106">
        <v>8170020</v>
      </c>
      <c r="I25" s="26">
        <f t="shared" si="8"/>
        <v>11323970</v>
      </c>
      <c r="J25" s="26">
        <v>0</v>
      </c>
      <c r="K25" s="106">
        <v>15848960</v>
      </c>
      <c r="L25" s="26">
        <f t="shared" si="17"/>
        <v>27172930</v>
      </c>
      <c r="M25" s="26"/>
      <c r="N25" s="106">
        <v>8045930</v>
      </c>
      <c r="O25" s="103">
        <f t="shared" si="18"/>
        <v>35218860</v>
      </c>
      <c r="P25" s="26"/>
      <c r="Q25" s="26">
        <v>13859640</v>
      </c>
      <c r="R25" s="26">
        <f t="shared" si="15"/>
        <v>49078500</v>
      </c>
      <c r="S25" s="26">
        <v>0</v>
      </c>
      <c r="T25" s="26">
        <v>7976260</v>
      </c>
      <c r="U25" s="26">
        <f t="shared" si="16"/>
        <v>57054760</v>
      </c>
      <c r="V25" s="108"/>
      <c r="W25" s="26">
        <v>0</v>
      </c>
      <c r="X25" s="26">
        <v>8055740</v>
      </c>
      <c r="Y25" s="26">
        <f>U25+X25</f>
        <v>65110500</v>
      </c>
      <c r="Z25" s="108"/>
      <c r="AA25" s="26">
        <v>0</v>
      </c>
      <c r="AB25" s="26">
        <v>18562760</v>
      </c>
      <c r="AC25" s="103">
        <f>Y25+AB25</f>
        <v>83673260</v>
      </c>
      <c r="AD25" s="108"/>
      <c r="AE25" s="26">
        <v>0</v>
      </c>
      <c r="AF25" s="26"/>
      <c r="AG25" s="26">
        <f>AC25+AF25</f>
        <v>83673260</v>
      </c>
      <c r="AH25" s="108"/>
      <c r="AI25" s="26">
        <v>0</v>
      </c>
      <c r="AJ25" s="26">
        <v>12090934</v>
      </c>
      <c r="AK25" s="26">
        <f>AG25+AJ25</f>
        <v>95764194</v>
      </c>
      <c r="AL25" s="108"/>
      <c r="AM25" s="26">
        <v>0</v>
      </c>
      <c r="AN25" s="26">
        <v>9653900</v>
      </c>
      <c r="AO25" s="26">
        <f>AK25+AN25</f>
        <v>105418094</v>
      </c>
      <c r="AP25" s="108"/>
      <c r="AQ25" s="26">
        <v>0</v>
      </c>
      <c r="AR25" s="26">
        <v>8060128</v>
      </c>
      <c r="AS25" s="26">
        <f>AO25+AR25</f>
        <v>113478222</v>
      </c>
      <c r="AT25" s="108"/>
    </row>
    <row r="26" spans="1:46" x14ac:dyDescent="0.25">
      <c r="A26" s="107">
        <v>4295</v>
      </c>
      <c r="B26" s="107" t="s">
        <v>145</v>
      </c>
      <c r="C26" s="26">
        <v>0</v>
      </c>
      <c r="D26" s="26">
        <f>+D27</f>
        <v>0</v>
      </c>
      <c r="E26" s="26">
        <f t="shared" si="19"/>
        <v>0</v>
      </c>
      <c r="F26" s="108"/>
      <c r="G26" s="26">
        <v>0</v>
      </c>
      <c r="H26" s="26">
        <f>+H27</f>
        <v>0</v>
      </c>
      <c r="I26" s="26">
        <f t="shared" si="8"/>
        <v>0</v>
      </c>
      <c r="J26" s="26">
        <v>0</v>
      </c>
      <c r="K26" s="26">
        <f>+K27</f>
        <v>0</v>
      </c>
      <c r="L26" s="26">
        <f t="shared" si="17"/>
        <v>0</v>
      </c>
      <c r="M26" s="26">
        <f>M27</f>
        <v>0</v>
      </c>
      <c r="N26" s="26">
        <f>+N27</f>
        <v>0</v>
      </c>
      <c r="O26" s="103">
        <f t="shared" si="18"/>
        <v>0</v>
      </c>
      <c r="P26" s="26">
        <f>P27</f>
        <v>0</v>
      </c>
      <c r="Q26" s="26">
        <f>+Q27</f>
        <v>0</v>
      </c>
      <c r="R26" s="26">
        <f t="shared" si="15"/>
        <v>0</v>
      </c>
      <c r="S26" s="26">
        <f>S27</f>
        <v>0</v>
      </c>
      <c r="T26" s="26">
        <f>+T27</f>
        <v>0</v>
      </c>
      <c r="U26" s="26">
        <f t="shared" si="16"/>
        <v>0</v>
      </c>
      <c r="V26" s="108"/>
      <c r="W26" s="26">
        <f>W27</f>
        <v>0</v>
      </c>
      <c r="X26" s="26"/>
      <c r="Y26" s="26">
        <f>U26+X26</f>
        <v>0</v>
      </c>
      <c r="Z26" s="108"/>
      <c r="AA26" s="26">
        <v>0</v>
      </c>
      <c r="AB26" s="26">
        <f>+AB27</f>
        <v>706</v>
      </c>
      <c r="AC26" s="103">
        <f>Y26+AB26</f>
        <v>706</v>
      </c>
      <c r="AD26" s="108"/>
      <c r="AE26" s="26">
        <v>0</v>
      </c>
      <c r="AF26" s="26">
        <f>+AF27</f>
        <v>0</v>
      </c>
      <c r="AG26" s="26">
        <f>AC26+AF26</f>
        <v>706</v>
      </c>
      <c r="AH26" s="108"/>
      <c r="AI26" s="26">
        <v>0</v>
      </c>
      <c r="AJ26" s="26"/>
      <c r="AK26" s="26">
        <f>AG26+AJ26</f>
        <v>706</v>
      </c>
      <c r="AL26" s="108"/>
      <c r="AM26" s="26">
        <v>0</v>
      </c>
      <c r="AN26" s="26">
        <f>+AN27</f>
        <v>0</v>
      </c>
      <c r="AO26" s="26">
        <f>AK26+AN26</f>
        <v>706</v>
      </c>
      <c r="AP26" s="108"/>
      <c r="AQ26" s="26">
        <v>0</v>
      </c>
      <c r="AR26" s="26">
        <f>+AR27</f>
        <v>0</v>
      </c>
      <c r="AS26" s="26">
        <f>AO26+AR26</f>
        <v>706</v>
      </c>
      <c r="AT26" s="108"/>
    </row>
    <row r="27" spans="1:46" x14ac:dyDescent="0.25">
      <c r="A27" s="107">
        <v>429581</v>
      </c>
      <c r="B27" s="107" t="s">
        <v>144</v>
      </c>
      <c r="C27" s="26">
        <v>0</v>
      </c>
      <c r="D27" s="26"/>
      <c r="E27" s="26">
        <f t="shared" si="19"/>
        <v>0</v>
      </c>
      <c r="F27" s="108"/>
      <c r="G27" s="26">
        <v>0</v>
      </c>
      <c r="H27" s="26"/>
      <c r="I27" s="26">
        <f t="shared" si="8"/>
        <v>0</v>
      </c>
      <c r="J27" s="26">
        <v>0</v>
      </c>
      <c r="K27" s="26"/>
      <c r="L27" s="26">
        <f t="shared" si="17"/>
        <v>0</v>
      </c>
      <c r="M27" s="26"/>
      <c r="N27" s="26"/>
      <c r="O27" s="103">
        <f t="shared" si="18"/>
        <v>0</v>
      </c>
      <c r="P27" s="26"/>
      <c r="Q27" s="26"/>
      <c r="R27" s="26">
        <f t="shared" si="15"/>
        <v>0</v>
      </c>
      <c r="S27" s="26"/>
      <c r="T27" s="26"/>
      <c r="U27" s="26">
        <f t="shared" si="16"/>
        <v>0</v>
      </c>
      <c r="V27" s="108"/>
      <c r="W27" s="26"/>
      <c r="X27" s="26"/>
      <c r="Y27" s="26">
        <f>U27+X27</f>
        <v>0</v>
      </c>
      <c r="Z27" s="108"/>
      <c r="AA27" s="26">
        <v>0</v>
      </c>
      <c r="AB27" s="26">
        <f>36+670</f>
        <v>706</v>
      </c>
      <c r="AC27" s="103">
        <f>Y27+AB27</f>
        <v>706</v>
      </c>
      <c r="AD27" s="108"/>
      <c r="AE27" s="26">
        <v>0</v>
      </c>
      <c r="AF27" s="26"/>
      <c r="AG27" s="26">
        <f>AC27+AF27</f>
        <v>706</v>
      </c>
      <c r="AH27" s="108"/>
      <c r="AI27" s="26">
        <v>0</v>
      </c>
      <c r="AJ27" s="26"/>
      <c r="AK27" s="26">
        <f>AG27+AJ27</f>
        <v>706</v>
      </c>
      <c r="AL27" s="108"/>
      <c r="AM27" s="26">
        <v>0</v>
      </c>
      <c r="AN27" s="26"/>
      <c r="AO27" s="26">
        <f>AK27+AN27</f>
        <v>706</v>
      </c>
      <c r="AP27" s="108"/>
      <c r="AQ27" s="26">
        <v>0</v>
      </c>
      <c r="AR27" s="26"/>
      <c r="AS27" s="26">
        <f>AO27+AR27</f>
        <v>706</v>
      </c>
      <c r="AT27" s="108"/>
    </row>
    <row r="28" spans="1:46" x14ac:dyDescent="0.25">
      <c r="A28" s="107"/>
      <c r="B28" s="109"/>
      <c r="C28" s="26"/>
      <c r="D28" s="26"/>
      <c r="E28" s="26"/>
      <c r="F28" s="108"/>
      <c r="G28" s="26"/>
      <c r="H28" s="26"/>
      <c r="I28" s="26">
        <f t="shared" si="8"/>
        <v>0</v>
      </c>
      <c r="J28" s="26"/>
      <c r="K28" s="26"/>
      <c r="L28" s="26">
        <f t="shared" si="17"/>
        <v>0</v>
      </c>
      <c r="M28" s="26"/>
      <c r="N28" s="26"/>
      <c r="O28" s="103"/>
      <c r="P28" s="26"/>
      <c r="Q28" s="26"/>
      <c r="R28" s="26"/>
      <c r="S28" s="26"/>
      <c r="T28" s="26"/>
      <c r="U28" s="26"/>
      <c r="V28" s="108"/>
      <c r="W28" s="26"/>
      <c r="X28" s="26"/>
      <c r="Y28" s="26"/>
      <c r="Z28" s="108"/>
      <c r="AA28" s="26"/>
      <c r="AB28" s="26"/>
      <c r="AC28" s="103"/>
      <c r="AD28" s="108"/>
      <c r="AE28" s="26"/>
      <c r="AF28" s="26"/>
      <c r="AG28" s="26"/>
      <c r="AH28" s="108"/>
      <c r="AI28" s="26"/>
      <c r="AJ28" s="26"/>
      <c r="AK28" s="26"/>
      <c r="AL28" s="108"/>
      <c r="AM28" s="26"/>
      <c r="AN28" s="26"/>
      <c r="AO28" s="26"/>
      <c r="AP28" s="108"/>
      <c r="AQ28" s="26"/>
      <c r="AR28" s="26"/>
      <c r="AS28" s="26"/>
      <c r="AT28" s="108"/>
    </row>
    <row r="29" spans="1:46" x14ac:dyDescent="0.25">
      <c r="A29" s="102" t="s">
        <v>29</v>
      </c>
      <c r="B29" s="102" t="s">
        <v>30</v>
      </c>
      <c r="C29" s="103">
        <f>C30+C146+C124</f>
        <v>10157985</v>
      </c>
      <c r="D29" s="103">
        <v>0</v>
      </c>
      <c r="E29" s="103">
        <f>+C29</f>
        <v>10157985</v>
      </c>
      <c r="F29" s="104"/>
      <c r="G29" s="103">
        <f>G30+G146+G124</f>
        <v>12636419</v>
      </c>
      <c r="H29" s="103">
        <v>0</v>
      </c>
      <c r="I29" s="26">
        <f t="shared" si="8"/>
        <v>22794404</v>
      </c>
      <c r="J29" s="103">
        <f>J30+J146+J124</f>
        <v>15699505</v>
      </c>
      <c r="K29" s="103">
        <v>0</v>
      </c>
      <c r="L29" s="110">
        <f>+I29+J29</f>
        <v>38493909</v>
      </c>
      <c r="M29" s="103">
        <f>M30+M146+M124</f>
        <v>13845188</v>
      </c>
      <c r="N29" s="106">
        <v>0</v>
      </c>
      <c r="O29" s="103">
        <f>+L29+M29</f>
        <v>52339097</v>
      </c>
      <c r="P29" s="103">
        <f>P30+P146+P124</f>
        <v>16159541</v>
      </c>
      <c r="Q29" s="106">
        <v>0</v>
      </c>
      <c r="R29" s="105">
        <f>+O29+P29</f>
        <v>68498638</v>
      </c>
      <c r="S29" s="103">
        <f>S30+S146+S124</f>
        <v>13183791</v>
      </c>
      <c r="T29" s="106">
        <v>0</v>
      </c>
      <c r="U29" s="103">
        <f>+R29+S29</f>
        <v>81682429</v>
      </c>
      <c r="V29" s="104"/>
      <c r="W29" s="103">
        <f>W30+W146+W124</f>
        <v>13164418</v>
      </c>
      <c r="X29" s="106">
        <v>0</v>
      </c>
      <c r="Y29" s="103">
        <f t="shared" ref="Y29:Y30" si="20">U29+W29</f>
        <v>94846847</v>
      </c>
      <c r="Z29" s="104"/>
      <c r="AA29" s="103">
        <f>AA30+AA146+AA124</f>
        <v>12998509</v>
      </c>
      <c r="AB29" s="106">
        <v>0</v>
      </c>
      <c r="AC29" s="103">
        <f t="shared" ref="AC29" si="21">Y29+AA29</f>
        <v>107845356</v>
      </c>
      <c r="AD29" s="104"/>
      <c r="AE29" s="103">
        <f>AE30+AE146+AE124</f>
        <v>15385036</v>
      </c>
      <c r="AF29" s="106">
        <v>0</v>
      </c>
      <c r="AG29" s="103">
        <f>AC29+AE29</f>
        <v>123230392</v>
      </c>
      <c r="AH29" s="104"/>
      <c r="AI29" s="103">
        <f>AI30+AI146+AI124</f>
        <v>15449005</v>
      </c>
      <c r="AJ29" s="106">
        <v>0</v>
      </c>
      <c r="AK29" s="103">
        <f t="shared" ref="AK29:AK30" si="22">AG29+AI29</f>
        <v>138679397</v>
      </c>
      <c r="AL29" s="104"/>
      <c r="AM29" s="103">
        <f>AM30+AM146+AM124</f>
        <v>16781585</v>
      </c>
      <c r="AN29" s="106">
        <v>0</v>
      </c>
      <c r="AO29" s="103">
        <f t="shared" ref="AO29:AO45" si="23">AK29+AM29</f>
        <v>155460982</v>
      </c>
      <c r="AP29" s="104"/>
      <c r="AQ29" s="103">
        <f>AQ30+AQ146+AQ124</f>
        <v>13073986</v>
      </c>
      <c r="AR29" s="106">
        <v>0</v>
      </c>
      <c r="AS29" s="103">
        <f t="shared" ref="AS29:AS45" si="24">AO29+AQ29</f>
        <v>168534968</v>
      </c>
      <c r="AT29" s="104"/>
    </row>
    <row r="30" spans="1:46" ht="21" x14ac:dyDescent="0.25">
      <c r="A30" s="107" t="s">
        <v>31</v>
      </c>
      <c r="B30" s="107" t="s">
        <v>32</v>
      </c>
      <c r="C30" s="26">
        <f>+C31+C47+C52+C58+C62+C65+C70+C82+C88+C95+C101+C109</f>
        <v>10021333</v>
      </c>
      <c r="D30" s="26">
        <v>0</v>
      </c>
      <c r="E30" s="26">
        <f>+C30</f>
        <v>10021333</v>
      </c>
      <c r="F30" s="108"/>
      <c r="G30" s="26">
        <f>+G31+G47+G52+G58+G62+G65+G70+G82+G88+G95+G101+G109</f>
        <v>12566177</v>
      </c>
      <c r="H30" s="26">
        <v>0</v>
      </c>
      <c r="I30" s="26">
        <f t="shared" si="8"/>
        <v>22587510</v>
      </c>
      <c r="J30" s="26">
        <f>+J31+J47+J52+J58+J62+J65+J70+J82+J88+J95+J101+J109</f>
        <v>15435906</v>
      </c>
      <c r="K30" s="26">
        <v>0</v>
      </c>
      <c r="L30" s="26">
        <f>I30+J30</f>
        <v>38023416</v>
      </c>
      <c r="M30" s="26">
        <f>+M31+M47+M52+M58+M62+M65+M70+M82+M88+M95+M101+M109</f>
        <v>13681519</v>
      </c>
      <c r="N30" s="26">
        <f>N31+N47+N58+N52+N65+N70+N82+N88+N95+N109+N62+N101</f>
        <v>0</v>
      </c>
      <c r="O30" s="103">
        <f>+L30+M30</f>
        <v>51704935</v>
      </c>
      <c r="P30" s="103">
        <f>+P31+P47+P52+P58+P62+P65+P70+P82+P88+P95+P101+P109</f>
        <v>16015883</v>
      </c>
      <c r="Q30" s="26">
        <f>Q31+Q47+Q58+Q52+Q65+Q70+Q82+Q88+Q95+Q109+Q62+Q101</f>
        <v>0</v>
      </c>
      <c r="R30" s="26">
        <f>+O30+P30</f>
        <v>67720818</v>
      </c>
      <c r="S30" s="26">
        <f>+S31+S47+S52+S58+S62+S65+S70+S82+S88+S95+S101+S109</f>
        <v>13043546</v>
      </c>
      <c r="T30" s="26">
        <v>0</v>
      </c>
      <c r="U30" s="26">
        <f t="shared" ref="U30:U94" si="25">+R30+S30</f>
        <v>80764364</v>
      </c>
      <c r="V30" s="108"/>
      <c r="W30" s="26">
        <f>+W31+W47+W52+W58+W62+W65+W70+W82+W88+W95+W101+W109</f>
        <v>12988921</v>
      </c>
      <c r="X30" s="26">
        <v>0</v>
      </c>
      <c r="Y30" s="26">
        <f t="shared" si="20"/>
        <v>93753285</v>
      </c>
      <c r="Z30" s="108"/>
      <c r="AA30" s="26">
        <f>+AA31+AA47+AA52+AA58+AA62+AA65+AA70+AA82+AA88+AA95+AA101+AA109</f>
        <v>12780064</v>
      </c>
      <c r="AB30" s="26">
        <v>0</v>
      </c>
      <c r="AC30" s="103">
        <f>Y30+AA30</f>
        <v>106533349</v>
      </c>
      <c r="AD30" s="108"/>
      <c r="AE30" s="26">
        <f>+AE31+AE47+AE52+AE58+AE62+AE65+AE70+AE82+AE88+AE95+AE101+AE109</f>
        <v>15214228</v>
      </c>
      <c r="AF30" s="26">
        <v>0</v>
      </c>
      <c r="AG30" s="26">
        <f t="shared" ref="AG30" si="26">AC30+AE30</f>
        <v>121747577</v>
      </c>
      <c r="AH30" s="108"/>
      <c r="AI30" s="26">
        <f>+AI31+AI47+AI52+AI58+AI62+AI65+AI70+AI82+AI88+AI95+AI101+AI109</f>
        <v>15297669</v>
      </c>
      <c r="AJ30" s="26">
        <v>0</v>
      </c>
      <c r="AK30" s="26">
        <f t="shared" si="22"/>
        <v>137045246</v>
      </c>
      <c r="AL30" s="108"/>
      <c r="AM30" s="26">
        <f>+AM31+AM47+AM52+AM58+AM62+AM65+AM70+AM82+AM88+AM95+AM101+AM109</f>
        <v>16601670</v>
      </c>
      <c r="AN30" s="26">
        <v>0</v>
      </c>
      <c r="AO30" s="26">
        <f t="shared" si="23"/>
        <v>153646916</v>
      </c>
      <c r="AP30" s="108"/>
      <c r="AQ30" s="26">
        <f>+AQ31+AQ47+AQ52+AQ58+AQ62+AQ65+AQ70+AQ82+AQ88+AQ95+AQ101+AQ109</f>
        <v>12860497</v>
      </c>
      <c r="AR30" s="26">
        <v>0</v>
      </c>
      <c r="AS30" s="26">
        <f t="shared" si="24"/>
        <v>166507413</v>
      </c>
      <c r="AT30" s="108"/>
    </row>
    <row r="31" spans="1:46" x14ac:dyDescent="0.25">
      <c r="A31" s="107" t="s">
        <v>33</v>
      </c>
      <c r="B31" s="107" t="s">
        <v>34</v>
      </c>
      <c r="C31" s="26">
        <f>C32+C33+C34+C35+C36+C37+C38+C39+C40+C41+C42+C43+C44+C45</f>
        <v>2236775</v>
      </c>
      <c r="D31" s="26">
        <v>0</v>
      </c>
      <c r="E31" s="26">
        <f t="shared" ref="E31:E60" si="27">+C31</f>
        <v>2236775</v>
      </c>
      <c r="F31" s="108"/>
      <c r="G31" s="26">
        <f>SUM(G32:G44)</f>
        <v>7001974</v>
      </c>
      <c r="H31" s="26">
        <v>0</v>
      </c>
      <c r="I31" s="26">
        <f t="shared" si="8"/>
        <v>9238749</v>
      </c>
      <c r="J31" s="26">
        <f>SUM(J32:J44)</f>
        <v>7235201</v>
      </c>
      <c r="K31" s="26">
        <v>0</v>
      </c>
      <c r="L31" s="26">
        <f t="shared" ref="L31:M95" si="28">I31+J31</f>
        <v>16473950</v>
      </c>
      <c r="M31" s="26">
        <f>SUM(M32:M44)</f>
        <v>6661974</v>
      </c>
      <c r="N31" s="26">
        <v>0</v>
      </c>
      <c r="O31" s="103">
        <f t="shared" ref="O31:O95" si="29">+L31+M31</f>
        <v>23135924</v>
      </c>
      <c r="P31" s="96">
        <f>+P32+P33+P34+P35+P36+P37+P38+P39+P40+P41+P42+P43+P44+P45</f>
        <v>5433676</v>
      </c>
      <c r="Q31" s="26">
        <v>0</v>
      </c>
      <c r="R31" s="26">
        <f t="shared" ref="R31:S95" si="30">+O31+P31</f>
        <v>28569600</v>
      </c>
      <c r="S31" s="26">
        <f>SUM(S32:S44)</f>
        <v>5483676</v>
      </c>
      <c r="T31" s="26">
        <v>0</v>
      </c>
      <c r="U31" s="26">
        <f t="shared" si="25"/>
        <v>34053276</v>
      </c>
      <c r="V31" s="108"/>
      <c r="W31" s="26">
        <f>W32+W33+W34+W35+W36+W37+W38+W39+W40+W41+W42+W43+W44+W45</f>
        <v>6955221</v>
      </c>
      <c r="X31" s="26">
        <v>0</v>
      </c>
      <c r="Y31" s="26">
        <f>U31+W31</f>
        <v>41008497</v>
      </c>
      <c r="Z31" s="108"/>
      <c r="AA31" s="26">
        <f>AA32+AA33+AA34+AA35+AA36+AA37+AA38+AA39+AA40+AA41+AA42+AA43+AA44+AA45</f>
        <v>6656666</v>
      </c>
      <c r="AB31" s="26">
        <v>0</v>
      </c>
      <c r="AC31" s="103">
        <f>Y31+AA31</f>
        <v>47665163</v>
      </c>
      <c r="AD31" s="108"/>
      <c r="AE31" s="26">
        <f>SUM(AE32:AE44)</f>
        <v>6540919</v>
      </c>
      <c r="AF31" s="26">
        <v>0</v>
      </c>
      <c r="AG31" s="26">
        <f>AC31+AE31</f>
        <v>54206082</v>
      </c>
      <c r="AH31" s="108"/>
      <c r="AI31" s="26">
        <f>SUM(AI32:AI45)</f>
        <v>6766017</v>
      </c>
      <c r="AJ31" s="26">
        <v>0</v>
      </c>
      <c r="AK31" s="26">
        <f>AG31+AI31</f>
        <v>60972099</v>
      </c>
      <c r="AL31" s="108"/>
      <c r="AM31" s="26">
        <f>SUM(AM32:AM45)</f>
        <v>6389516</v>
      </c>
      <c r="AN31" s="26">
        <v>0</v>
      </c>
      <c r="AO31" s="26">
        <f t="shared" si="23"/>
        <v>67361615</v>
      </c>
      <c r="AP31" s="108"/>
      <c r="AQ31" s="26">
        <f>SUM(AQ32:AQ45)</f>
        <v>4551236</v>
      </c>
      <c r="AR31" s="26">
        <v>0</v>
      </c>
      <c r="AS31" s="26">
        <f t="shared" si="24"/>
        <v>71912851</v>
      </c>
      <c r="AT31" s="108"/>
    </row>
    <row r="32" spans="1:46" x14ac:dyDescent="0.25">
      <c r="A32" s="107" t="s">
        <v>35</v>
      </c>
      <c r="B32" s="107" t="s">
        <v>36</v>
      </c>
      <c r="C32" s="26">
        <v>1603500</v>
      </c>
      <c r="D32" s="26">
        <v>0</v>
      </c>
      <c r="E32" s="26">
        <f t="shared" si="27"/>
        <v>1603500</v>
      </c>
      <c r="F32" s="108"/>
      <c r="G32" s="26">
        <v>4637000</v>
      </c>
      <c r="H32" s="26"/>
      <c r="I32" s="26">
        <f t="shared" si="8"/>
        <v>6240500</v>
      </c>
      <c r="J32" s="26">
        <v>4637000</v>
      </c>
      <c r="K32" s="26"/>
      <c r="L32" s="26">
        <f t="shared" si="28"/>
        <v>10877500</v>
      </c>
      <c r="M32" s="26">
        <v>4637000</v>
      </c>
      <c r="N32" s="26"/>
      <c r="O32" s="103">
        <f t="shared" si="29"/>
        <v>15514500</v>
      </c>
      <c r="P32" s="96">
        <v>3918750</v>
      </c>
      <c r="Q32" s="26"/>
      <c r="R32" s="26">
        <f t="shared" si="30"/>
        <v>19433250</v>
      </c>
      <c r="S32" s="26">
        <v>3918750</v>
      </c>
      <c r="T32" s="26"/>
      <c r="U32" s="26">
        <f t="shared" si="25"/>
        <v>23352000</v>
      </c>
      <c r="V32" s="108"/>
      <c r="W32" s="26">
        <v>4630500</v>
      </c>
      <c r="X32" s="26"/>
      <c r="Y32" s="26">
        <f>U32+W32</f>
        <v>27982500</v>
      </c>
      <c r="Z32" s="108"/>
      <c r="AA32" s="26">
        <v>4630500</v>
      </c>
      <c r="AB32" s="26"/>
      <c r="AC32" s="103">
        <f>Y32+AA32</f>
        <v>32613000</v>
      </c>
      <c r="AD32" s="108"/>
      <c r="AE32" s="26">
        <v>4583050</v>
      </c>
      <c r="AF32" s="26"/>
      <c r="AG32" s="26">
        <f>AC32+AE32</f>
        <v>37196050</v>
      </c>
      <c r="AH32" s="108"/>
      <c r="AI32" s="26">
        <v>4535600</v>
      </c>
      <c r="AJ32" s="26"/>
      <c r="AK32" s="26">
        <f>AG32+AI32</f>
        <v>41731650</v>
      </c>
      <c r="AL32" s="108"/>
      <c r="AM32" s="26">
        <v>4630500</v>
      </c>
      <c r="AN32" s="26"/>
      <c r="AO32" s="26">
        <f t="shared" si="23"/>
        <v>46362150</v>
      </c>
      <c r="AP32" s="108"/>
      <c r="AQ32" s="26">
        <v>3241350</v>
      </c>
      <c r="AR32" s="26"/>
      <c r="AS32" s="26">
        <f t="shared" si="24"/>
        <v>49603500</v>
      </c>
      <c r="AT32" s="108"/>
    </row>
    <row r="33" spans="1:46" x14ac:dyDescent="0.25">
      <c r="A33" s="107">
        <v>510515</v>
      </c>
      <c r="B33" s="107" t="s">
        <v>258</v>
      </c>
      <c r="C33" s="26"/>
      <c r="D33" s="26">
        <v>0</v>
      </c>
      <c r="E33" s="26">
        <v>0</v>
      </c>
      <c r="F33" s="108"/>
      <c r="G33" s="26"/>
      <c r="H33" s="26"/>
      <c r="I33" s="26">
        <f t="shared" si="8"/>
        <v>0</v>
      </c>
      <c r="J33" s="26"/>
      <c r="K33" s="26"/>
      <c r="L33" s="26">
        <f t="shared" si="28"/>
        <v>0</v>
      </c>
      <c r="M33" s="26">
        <v>0</v>
      </c>
      <c r="N33" s="26"/>
      <c r="O33" s="103">
        <f t="shared" si="29"/>
        <v>0</v>
      </c>
      <c r="P33" s="96"/>
      <c r="Q33" s="26"/>
      <c r="R33" s="26">
        <f t="shared" si="30"/>
        <v>0</v>
      </c>
      <c r="S33" s="26"/>
      <c r="T33" s="26"/>
      <c r="U33" s="26">
        <f t="shared" si="25"/>
        <v>0</v>
      </c>
      <c r="V33" s="108"/>
      <c r="W33" s="26"/>
      <c r="X33" s="26"/>
      <c r="Y33" s="26">
        <f t="shared" ref="Y33:Y45" si="31">U33+W33</f>
        <v>0</v>
      </c>
      <c r="Z33" s="108"/>
      <c r="AA33" s="26"/>
      <c r="AB33" s="26"/>
      <c r="AC33" s="103">
        <f t="shared" ref="AC33:AC45" si="32">Y33+AA33</f>
        <v>0</v>
      </c>
      <c r="AD33" s="108"/>
      <c r="AE33" s="26">
        <v>0</v>
      </c>
      <c r="AF33" s="26"/>
      <c r="AG33" s="26">
        <f t="shared" ref="AG33:AG45" si="33">AC33+AE33</f>
        <v>0</v>
      </c>
      <c r="AH33" s="108"/>
      <c r="AI33" s="26">
        <v>0</v>
      </c>
      <c r="AJ33" s="26"/>
      <c r="AK33" s="26">
        <f t="shared" ref="AK33:AK45" si="34">AG33+AI33</f>
        <v>0</v>
      </c>
      <c r="AL33" s="108"/>
      <c r="AM33" s="26">
        <v>0</v>
      </c>
      <c r="AN33" s="26"/>
      <c r="AO33" s="26">
        <f t="shared" si="23"/>
        <v>0</v>
      </c>
      <c r="AP33" s="108"/>
      <c r="AQ33" s="26">
        <v>0</v>
      </c>
      <c r="AR33" s="26"/>
      <c r="AS33" s="26">
        <f t="shared" si="24"/>
        <v>0</v>
      </c>
      <c r="AT33" s="108"/>
    </row>
    <row r="34" spans="1:46" x14ac:dyDescent="0.25">
      <c r="A34" s="107" t="s">
        <v>37</v>
      </c>
      <c r="B34" s="107" t="s">
        <v>38</v>
      </c>
      <c r="C34" s="26"/>
      <c r="D34" s="26">
        <v>0</v>
      </c>
      <c r="E34" s="26">
        <f t="shared" si="27"/>
        <v>0</v>
      </c>
      <c r="F34" s="108"/>
      <c r="G34" s="26">
        <v>200000</v>
      </c>
      <c r="H34" s="26"/>
      <c r="I34" s="26">
        <f t="shared" si="8"/>
        <v>200000</v>
      </c>
      <c r="J34" s="26">
        <v>200000</v>
      </c>
      <c r="K34" s="26"/>
      <c r="L34" s="26">
        <f t="shared" si="28"/>
        <v>400000</v>
      </c>
      <c r="M34" s="26">
        <v>200000</v>
      </c>
      <c r="N34" s="26"/>
      <c r="O34" s="103">
        <f t="shared" si="29"/>
        <v>600000</v>
      </c>
      <c r="P34" s="96">
        <v>100000</v>
      </c>
      <c r="Q34" s="26"/>
      <c r="R34" s="26">
        <f t="shared" si="30"/>
        <v>700000</v>
      </c>
      <c r="S34" s="26">
        <v>100000</v>
      </c>
      <c r="T34" s="26"/>
      <c r="U34" s="26">
        <f t="shared" si="25"/>
        <v>800000</v>
      </c>
      <c r="V34" s="108"/>
      <c r="W34" s="26">
        <v>200000</v>
      </c>
      <c r="X34" s="26"/>
      <c r="Y34" s="26">
        <f t="shared" si="31"/>
        <v>1000000</v>
      </c>
      <c r="Z34" s="108"/>
      <c r="AA34" s="26">
        <v>200000</v>
      </c>
      <c r="AB34" s="26"/>
      <c r="AC34" s="103">
        <f t="shared" si="32"/>
        <v>1200000</v>
      </c>
      <c r="AD34" s="108"/>
      <c r="AE34" s="26">
        <v>193334</v>
      </c>
      <c r="AF34" s="26"/>
      <c r="AG34" s="26">
        <f t="shared" si="33"/>
        <v>1393334</v>
      </c>
      <c r="AH34" s="108"/>
      <c r="AI34" s="26">
        <v>186667</v>
      </c>
      <c r="AJ34" s="26"/>
      <c r="AK34" s="26">
        <f t="shared" si="34"/>
        <v>1580001</v>
      </c>
      <c r="AL34" s="108"/>
      <c r="AM34" s="26">
        <v>106666</v>
      </c>
      <c r="AN34" s="26"/>
      <c r="AO34" s="26">
        <f t="shared" si="23"/>
        <v>1686667</v>
      </c>
      <c r="AP34" s="108"/>
      <c r="AQ34" s="26">
        <v>140000</v>
      </c>
      <c r="AR34" s="26"/>
      <c r="AS34" s="26">
        <f t="shared" si="24"/>
        <v>1826667</v>
      </c>
      <c r="AT34" s="108"/>
    </row>
    <row r="35" spans="1:46" x14ac:dyDescent="0.25">
      <c r="A35" s="107" t="s">
        <v>39</v>
      </c>
      <c r="B35" s="107" t="s">
        <v>40</v>
      </c>
      <c r="C35" s="26">
        <v>133572</v>
      </c>
      <c r="D35" s="26">
        <v>0</v>
      </c>
      <c r="E35" s="26">
        <f t="shared" si="27"/>
        <v>133572</v>
      </c>
      <c r="F35" s="108"/>
      <c r="G35" s="26">
        <v>402922</v>
      </c>
      <c r="H35" s="26"/>
      <c r="I35" s="26">
        <f t="shared" si="8"/>
        <v>536494</v>
      </c>
      <c r="J35" s="26">
        <v>402922</v>
      </c>
      <c r="K35" s="26"/>
      <c r="L35" s="26">
        <f t="shared" si="28"/>
        <v>939416</v>
      </c>
      <c r="M35" s="26">
        <v>402922</v>
      </c>
      <c r="N35" s="26"/>
      <c r="O35" s="103">
        <f t="shared" si="29"/>
        <v>1342338</v>
      </c>
      <c r="P35" s="96">
        <v>334762</v>
      </c>
      <c r="Q35" s="26"/>
      <c r="R35" s="26">
        <f t="shared" si="30"/>
        <v>1677100</v>
      </c>
      <c r="S35" s="26">
        <v>334762</v>
      </c>
      <c r="T35" s="26"/>
      <c r="U35" s="26">
        <f t="shared" si="25"/>
        <v>2011862</v>
      </c>
      <c r="V35" s="108"/>
      <c r="W35" s="26">
        <v>402381</v>
      </c>
      <c r="X35" s="26"/>
      <c r="Y35" s="26">
        <f t="shared" si="31"/>
        <v>2414243</v>
      </c>
      <c r="Z35" s="108"/>
      <c r="AA35" s="26">
        <v>402381</v>
      </c>
      <c r="AB35" s="26"/>
      <c r="AC35" s="103">
        <f t="shared" si="32"/>
        <v>2816624</v>
      </c>
      <c r="AD35" s="108"/>
      <c r="AE35" s="26">
        <v>397873</v>
      </c>
      <c r="AF35" s="26"/>
      <c r="AG35" s="26">
        <f t="shared" si="33"/>
        <v>3214497</v>
      </c>
      <c r="AH35" s="108"/>
      <c r="AI35" s="26">
        <v>393365</v>
      </c>
      <c r="AJ35" s="26"/>
      <c r="AK35" s="26">
        <f t="shared" si="34"/>
        <v>3607862</v>
      </c>
      <c r="AL35" s="108"/>
      <c r="AM35" s="26">
        <v>393365</v>
      </c>
      <c r="AN35" s="26"/>
      <c r="AO35" s="26">
        <f t="shared" si="23"/>
        <v>4001227</v>
      </c>
      <c r="AP35" s="108"/>
      <c r="AQ35" s="26">
        <v>281666</v>
      </c>
      <c r="AR35" s="26"/>
      <c r="AS35" s="26">
        <f t="shared" si="24"/>
        <v>4282893</v>
      </c>
      <c r="AT35" s="108"/>
    </row>
    <row r="36" spans="1:46" x14ac:dyDescent="0.25">
      <c r="A36" s="107" t="s">
        <v>41</v>
      </c>
      <c r="B36" s="107" t="s">
        <v>42</v>
      </c>
      <c r="C36" s="26">
        <v>16029</v>
      </c>
      <c r="D36" s="26">
        <v>0</v>
      </c>
      <c r="E36" s="26">
        <f t="shared" si="27"/>
        <v>16029</v>
      </c>
      <c r="F36" s="108"/>
      <c r="G36" s="26">
        <v>4029</v>
      </c>
      <c r="H36" s="26"/>
      <c r="I36" s="26">
        <f t="shared" si="8"/>
        <v>20058</v>
      </c>
      <c r="J36" s="26">
        <v>4029</v>
      </c>
      <c r="K36" s="26"/>
      <c r="L36" s="26">
        <f t="shared" si="28"/>
        <v>24087</v>
      </c>
      <c r="M36" s="26">
        <v>4029</v>
      </c>
      <c r="N36" s="26"/>
      <c r="O36" s="103">
        <f t="shared" si="29"/>
        <v>28116</v>
      </c>
      <c r="P36" s="96">
        <v>3347</v>
      </c>
      <c r="Q36" s="26"/>
      <c r="R36" s="26">
        <f>+O36+P36</f>
        <v>31463</v>
      </c>
      <c r="S36" s="26">
        <v>3347</v>
      </c>
      <c r="T36" s="26"/>
      <c r="U36" s="26">
        <f t="shared" si="25"/>
        <v>34810</v>
      </c>
      <c r="V36" s="108"/>
      <c r="W36" s="26">
        <v>4023</v>
      </c>
      <c r="X36" s="26"/>
      <c r="Y36" s="26">
        <f t="shared" si="31"/>
        <v>38833</v>
      </c>
      <c r="Z36" s="108"/>
      <c r="AA36" s="26">
        <v>4023</v>
      </c>
      <c r="AB36" s="26"/>
      <c r="AC36" s="103">
        <f t="shared" si="32"/>
        <v>42856</v>
      </c>
      <c r="AD36" s="108"/>
      <c r="AE36" s="26">
        <v>3978</v>
      </c>
      <c r="AF36" s="26"/>
      <c r="AG36" s="26">
        <f t="shared" si="33"/>
        <v>46834</v>
      </c>
      <c r="AH36" s="108"/>
      <c r="AI36" s="26">
        <v>3933</v>
      </c>
      <c r="AJ36" s="26"/>
      <c r="AK36" s="26">
        <f t="shared" si="34"/>
        <v>50767</v>
      </c>
      <c r="AL36" s="108"/>
      <c r="AM36" s="26">
        <v>3933</v>
      </c>
      <c r="AN36" s="26"/>
      <c r="AO36" s="26">
        <f t="shared" si="23"/>
        <v>54700</v>
      </c>
      <c r="AP36" s="108"/>
      <c r="AQ36" s="26">
        <v>33800</v>
      </c>
      <c r="AR36" s="26"/>
      <c r="AS36" s="26">
        <f t="shared" si="24"/>
        <v>88500</v>
      </c>
      <c r="AT36" s="108"/>
    </row>
    <row r="37" spans="1:46" x14ac:dyDescent="0.25">
      <c r="A37" s="107" t="s">
        <v>43</v>
      </c>
      <c r="B37" s="107" t="s">
        <v>44</v>
      </c>
      <c r="C37" s="26">
        <v>133572</v>
      </c>
      <c r="D37" s="26">
        <v>0</v>
      </c>
      <c r="E37" s="26">
        <f t="shared" si="27"/>
        <v>133572</v>
      </c>
      <c r="F37" s="108"/>
      <c r="G37" s="26">
        <v>402922</v>
      </c>
      <c r="H37" s="26"/>
      <c r="I37" s="26">
        <f t="shared" si="8"/>
        <v>536494</v>
      </c>
      <c r="J37" s="26">
        <v>402922</v>
      </c>
      <c r="K37" s="26"/>
      <c r="L37" s="26">
        <f t="shared" si="28"/>
        <v>939416</v>
      </c>
      <c r="M37" s="26">
        <v>402922</v>
      </c>
      <c r="N37" s="26"/>
      <c r="O37" s="103">
        <f t="shared" si="29"/>
        <v>1342338</v>
      </c>
      <c r="P37" s="96">
        <v>334762</v>
      </c>
      <c r="Q37" s="26"/>
      <c r="R37" s="26">
        <f t="shared" si="30"/>
        <v>1677100</v>
      </c>
      <c r="S37" s="26">
        <v>334762</v>
      </c>
      <c r="T37" s="26"/>
      <c r="U37" s="26">
        <f t="shared" si="25"/>
        <v>2011862</v>
      </c>
      <c r="V37" s="108"/>
      <c r="W37" s="26">
        <v>402381</v>
      </c>
      <c r="X37" s="26"/>
      <c r="Y37" s="26">
        <f t="shared" si="31"/>
        <v>2414243</v>
      </c>
      <c r="Z37" s="108"/>
      <c r="AA37" s="26">
        <v>402381</v>
      </c>
      <c r="AB37" s="26"/>
      <c r="AC37" s="103">
        <f t="shared" si="32"/>
        <v>2816624</v>
      </c>
      <c r="AD37" s="108"/>
      <c r="AE37" s="26">
        <v>397873</v>
      </c>
      <c r="AF37" s="26"/>
      <c r="AG37" s="26">
        <f t="shared" si="33"/>
        <v>3214497</v>
      </c>
      <c r="AH37" s="108"/>
      <c r="AI37" s="26">
        <v>393365</v>
      </c>
      <c r="AJ37" s="26"/>
      <c r="AK37" s="26">
        <f t="shared" si="34"/>
        <v>3607862</v>
      </c>
      <c r="AL37" s="108"/>
      <c r="AM37" s="26">
        <v>393365</v>
      </c>
      <c r="AN37" s="26"/>
      <c r="AO37" s="26">
        <f t="shared" si="23"/>
        <v>4001227</v>
      </c>
      <c r="AP37" s="108"/>
      <c r="AQ37" s="26">
        <v>281666</v>
      </c>
      <c r="AR37" s="26"/>
      <c r="AS37" s="26">
        <f t="shared" si="24"/>
        <v>4282893</v>
      </c>
      <c r="AT37" s="108"/>
    </row>
    <row r="38" spans="1:46" x14ac:dyDescent="0.25">
      <c r="A38" s="107" t="s">
        <v>45</v>
      </c>
      <c r="B38" s="107" t="s">
        <v>46</v>
      </c>
      <c r="C38" s="26">
        <v>66866</v>
      </c>
      <c r="D38" s="26">
        <v>0</v>
      </c>
      <c r="E38" s="26">
        <f t="shared" si="27"/>
        <v>66866</v>
      </c>
      <c r="F38" s="108"/>
      <c r="G38" s="26">
        <v>193363</v>
      </c>
      <c r="H38" s="26"/>
      <c r="I38" s="26">
        <f t="shared" si="8"/>
        <v>260229</v>
      </c>
      <c r="J38" s="26">
        <v>193363</v>
      </c>
      <c r="K38" s="26"/>
      <c r="L38" s="26">
        <f t="shared" si="28"/>
        <v>453592</v>
      </c>
      <c r="M38" s="26">
        <v>193363</v>
      </c>
      <c r="N38" s="26"/>
      <c r="O38" s="103">
        <f t="shared" si="29"/>
        <v>646955</v>
      </c>
      <c r="P38" s="96">
        <v>163412</v>
      </c>
      <c r="Q38" s="26"/>
      <c r="R38" s="26">
        <f t="shared" si="30"/>
        <v>810367</v>
      </c>
      <c r="S38" s="26">
        <v>163412</v>
      </c>
      <c r="T38" s="26"/>
      <c r="U38" s="26">
        <f t="shared" si="25"/>
        <v>973779</v>
      </c>
      <c r="V38" s="108"/>
      <c r="W38" s="26">
        <v>193092</v>
      </c>
      <c r="X38" s="26"/>
      <c r="Y38" s="26">
        <f t="shared" si="31"/>
        <v>1166871</v>
      </c>
      <c r="Z38" s="108"/>
      <c r="AA38" s="26">
        <v>193092</v>
      </c>
      <c r="AB38" s="26"/>
      <c r="AC38" s="103">
        <f t="shared" si="32"/>
        <v>1359963</v>
      </c>
      <c r="AD38" s="108"/>
      <c r="AE38" s="26">
        <v>191113</v>
      </c>
      <c r="AF38" s="26"/>
      <c r="AG38" s="26">
        <f t="shared" si="33"/>
        <v>1551076</v>
      </c>
      <c r="AH38" s="108"/>
      <c r="AI38" s="26">
        <v>189135</v>
      </c>
      <c r="AJ38" s="26"/>
      <c r="AK38" s="26">
        <f t="shared" si="34"/>
        <v>1740211</v>
      </c>
      <c r="AL38" s="108"/>
      <c r="AM38" s="26">
        <v>189135</v>
      </c>
      <c r="AN38" s="26"/>
      <c r="AO38" s="26">
        <f t="shared" si="23"/>
        <v>1929346</v>
      </c>
      <c r="AP38" s="108"/>
      <c r="AQ38" s="26">
        <v>135164</v>
      </c>
      <c r="AR38" s="26"/>
      <c r="AS38" s="26">
        <f t="shared" si="24"/>
        <v>2064510</v>
      </c>
      <c r="AT38" s="108"/>
    </row>
    <row r="39" spans="1:46" x14ac:dyDescent="0.25">
      <c r="A39" s="107">
        <v>510548</v>
      </c>
      <c r="B39" s="107" t="s">
        <v>324</v>
      </c>
      <c r="C39" s="26"/>
      <c r="D39" s="26">
        <v>0</v>
      </c>
      <c r="E39" s="26">
        <f t="shared" si="27"/>
        <v>0</v>
      </c>
      <c r="F39" s="108"/>
      <c r="G39" s="26"/>
      <c r="H39" s="26">
        <v>0</v>
      </c>
      <c r="I39" s="26">
        <f t="shared" si="8"/>
        <v>0</v>
      </c>
      <c r="J39" s="26"/>
      <c r="K39" s="26"/>
      <c r="L39" s="26">
        <f t="shared" si="28"/>
        <v>0</v>
      </c>
      <c r="M39" s="26"/>
      <c r="N39" s="26"/>
      <c r="O39" s="103">
        <f t="shared" si="29"/>
        <v>0</v>
      </c>
      <c r="P39" s="96"/>
      <c r="Q39" s="26"/>
      <c r="R39" s="26">
        <f t="shared" si="30"/>
        <v>0</v>
      </c>
      <c r="S39" s="26">
        <f t="shared" si="30"/>
        <v>0</v>
      </c>
      <c r="T39" s="26"/>
      <c r="U39" s="26">
        <f t="shared" si="25"/>
        <v>0</v>
      </c>
      <c r="V39" s="108"/>
      <c r="W39" s="26">
        <v>160000</v>
      </c>
      <c r="X39" s="26"/>
      <c r="Y39" s="26">
        <f t="shared" si="31"/>
        <v>160000</v>
      </c>
      <c r="Z39" s="108"/>
      <c r="AA39" s="26">
        <v>150000</v>
      </c>
      <c r="AB39" s="26"/>
      <c r="AC39" s="103">
        <f t="shared" si="32"/>
        <v>310000</v>
      </c>
      <c r="AD39" s="108"/>
      <c r="AE39" s="26">
        <v>150000</v>
      </c>
      <c r="AF39" s="26"/>
      <c r="AG39" s="26">
        <f t="shared" si="33"/>
        <v>460000</v>
      </c>
      <c r="AH39" s="108"/>
      <c r="AI39" s="26">
        <v>300000</v>
      </c>
      <c r="AJ39" s="26"/>
      <c r="AK39" s="26">
        <f t="shared" si="34"/>
        <v>760000</v>
      </c>
      <c r="AL39" s="108"/>
      <c r="AM39" s="26"/>
      <c r="AN39" s="26"/>
      <c r="AO39" s="26">
        <f t="shared" si="23"/>
        <v>760000</v>
      </c>
      <c r="AP39" s="108"/>
      <c r="AQ39" s="26"/>
      <c r="AR39" s="26"/>
      <c r="AS39" s="26">
        <f t="shared" si="24"/>
        <v>760000</v>
      </c>
      <c r="AT39" s="108"/>
    </row>
    <row r="40" spans="1:46" ht="21" customHeight="1" x14ac:dyDescent="0.25">
      <c r="A40" s="107" t="s">
        <v>47</v>
      </c>
      <c r="B40" s="107" t="s">
        <v>137</v>
      </c>
      <c r="C40" s="26">
        <v>10000</v>
      </c>
      <c r="D40" s="26">
        <v>0</v>
      </c>
      <c r="E40" s="26">
        <f t="shared" si="27"/>
        <v>10000</v>
      </c>
      <c r="F40" s="108"/>
      <c r="G40" s="26">
        <v>355000</v>
      </c>
      <c r="H40" s="26">
        <v>0</v>
      </c>
      <c r="I40" s="26">
        <f t="shared" si="8"/>
        <v>365000</v>
      </c>
      <c r="J40" s="26">
        <v>588227</v>
      </c>
      <c r="K40" s="26"/>
      <c r="L40" s="26">
        <f t="shared" si="28"/>
        <v>953227</v>
      </c>
      <c r="M40" s="26">
        <v>15000</v>
      </c>
      <c r="N40" s="26"/>
      <c r="O40" s="103">
        <f t="shared" si="29"/>
        <v>968227</v>
      </c>
      <c r="P40" s="96"/>
      <c r="Q40" s="26"/>
      <c r="R40" s="26">
        <f t="shared" si="30"/>
        <v>968227</v>
      </c>
      <c r="S40" s="26">
        <v>50000</v>
      </c>
      <c r="T40" s="26"/>
      <c r="U40" s="26">
        <f t="shared" si="25"/>
        <v>1018227</v>
      </c>
      <c r="V40" s="108"/>
      <c r="W40" s="26">
        <v>352000</v>
      </c>
      <c r="X40" s="26"/>
      <c r="Y40" s="26">
        <f t="shared" si="31"/>
        <v>1370227</v>
      </c>
      <c r="Z40" s="108"/>
      <c r="AA40" s="26">
        <v>63445</v>
      </c>
      <c r="AB40" s="26"/>
      <c r="AC40" s="103">
        <f t="shared" si="32"/>
        <v>1433672</v>
      </c>
      <c r="AD40" s="108"/>
      <c r="AE40" s="26">
        <v>15000</v>
      </c>
      <c r="AF40" s="26"/>
      <c r="AG40" s="26">
        <f t="shared" si="33"/>
        <v>1448672</v>
      </c>
      <c r="AH40" s="108"/>
      <c r="AI40" s="26">
        <v>140000</v>
      </c>
      <c r="AJ40" s="26"/>
      <c r="AK40" s="26">
        <f t="shared" si="34"/>
        <v>1588672</v>
      </c>
      <c r="AL40" s="108"/>
      <c r="AM40" s="26"/>
      <c r="AN40" s="26"/>
      <c r="AO40" s="26">
        <f t="shared" si="23"/>
        <v>1588672</v>
      </c>
      <c r="AP40" s="108"/>
      <c r="AQ40" s="26">
        <v>10000</v>
      </c>
      <c r="AR40" s="26"/>
      <c r="AS40" s="26">
        <f t="shared" si="24"/>
        <v>1598672</v>
      </c>
      <c r="AT40" s="108"/>
    </row>
    <row r="41" spans="1:46" ht="21" x14ac:dyDescent="0.25">
      <c r="A41" s="107" t="s">
        <v>48</v>
      </c>
      <c r="B41" s="107" t="s">
        <v>49</v>
      </c>
      <c r="C41" s="26">
        <v>16676</v>
      </c>
      <c r="D41" s="26">
        <v>0</v>
      </c>
      <c r="E41" s="26">
        <f t="shared" si="27"/>
        <v>16676</v>
      </c>
      <c r="F41" s="108"/>
      <c r="G41" s="26">
        <v>40818</v>
      </c>
      <c r="H41" s="26">
        <v>0</v>
      </c>
      <c r="I41" s="26">
        <f t="shared" si="8"/>
        <v>57494</v>
      </c>
      <c r="J41" s="26">
        <v>40818</v>
      </c>
      <c r="K41" s="26"/>
      <c r="L41" s="26">
        <f t="shared" si="28"/>
        <v>98312</v>
      </c>
      <c r="M41" s="26">
        <v>40818</v>
      </c>
      <c r="N41" s="26"/>
      <c r="O41" s="103">
        <f t="shared" si="29"/>
        <v>139130</v>
      </c>
      <c r="P41" s="96">
        <v>37053</v>
      </c>
      <c r="Q41" s="26"/>
      <c r="R41" s="26">
        <f t="shared" si="30"/>
        <v>176183</v>
      </c>
      <c r="S41" s="26"/>
      <c r="T41" s="26"/>
      <c r="U41" s="26">
        <f t="shared" si="25"/>
        <v>176183</v>
      </c>
      <c r="V41" s="108"/>
      <c r="W41" s="26">
        <v>40784</v>
      </c>
      <c r="X41" s="26"/>
      <c r="Y41" s="26">
        <f t="shared" si="31"/>
        <v>216967</v>
      </c>
      <c r="Z41" s="108"/>
      <c r="AA41" s="26">
        <v>40784</v>
      </c>
      <c r="AB41" s="26"/>
      <c r="AC41" s="103">
        <f t="shared" si="32"/>
        <v>257751</v>
      </c>
      <c r="AD41" s="108"/>
      <c r="AE41" s="26">
        <v>40536</v>
      </c>
      <c r="AF41" s="26"/>
      <c r="AG41" s="26">
        <f t="shared" si="33"/>
        <v>298287</v>
      </c>
      <c r="AH41" s="108"/>
      <c r="AI41" s="26">
        <v>40288</v>
      </c>
      <c r="AJ41" s="26"/>
      <c r="AK41" s="26">
        <f t="shared" si="34"/>
        <v>338575</v>
      </c>
      <c r="AL41" s="108"/>
      <c r="AM41" s="26">
        <v>40288</v>
      </c>
      <c r="AN41" s="26"/>
      <c r="AO41" s="26">
        <f t="shared" si="23"/>
        <v>378863</v>
      </c>
      <c r="AP41" s="108"/>
      <c r="AQ41" s="26">
        <v>28548</v>
      </c>
      <c r="AR41" s="26"/>
      <c r="AS41" s="26">
        <f t="shared" si="24"/>
        <v>407411</v>
      </c>
      <c r="AT41" s="108"/>
    </row>
    <row r="42" spans="1:46" ht="21" customHeight="1" x14ac:dyDescent="0.25">
      <c r="A42" s="107" t="s">
        <v>50</v>
      </c>
      <c r="B42" s="107" t="s">
        <v>51</v>
      </c>
      <c r="C42" s="26"/>
      <c r="D42" s="26">
        <v>0</v>
      </c>
      <c r="E42" s="26">
        <f t="shared" si="27"/>
        <v>0</v>
      </c>
      <c r="F42" s="108"/>
      <c r="G42" s="26"/>
      <c r="H42" s="26">
        <v>0</v>
      </c>
      <c r="I42" s="26">
        <f t="shared" si="8"/>
        <v>0</v>
      </c>
      <c r="J42" s="26"/>
      <c r="K42" s="26">
        <v>0</v>
      </c>
      <c r="L42" s="26">
        <f t="shared" si="28"/>
        <v>0</v>
      </c>
      <c r="M42" s="26">
        <f t="shared" si="28"/>
        <v>0</v>
      </c>
      <c r="N42" s="26"/>
      <c r="O42" s="103">
        <f t="shared" si="29"/>
        <v>0</v>
      </c>
      <c r="P42" s="96"/>
      <c r="Q42" s="26"/>
      <c r="R42" s="26">
        <f t="shared" si="30"/>
        <v>0</v>
      </c>
      <c r="S42" s="26">
        <v>37053</v>
      </c>
      <c r="T42" s="26">
        <v>0</v>
      </c>
      <c r="U42" s="26">
        <f t="shared" si="25"/>
        <v>37053</v>
      </c>
      <c r="V42" s="108"/>
      <c r="W42" s="26"/>
      <c r="X42" s="26">
        <v>0</v>
      </c>
      <c r="Y42" s="26">
        <f t="shared" si="31"/>
        <v>37053</v>
      </c>
      <c r="Z42" s="108"/>
      <c r="AA42" s="26"/>
      <c r="AB42" s="26">
        <v>0</v>
      </c>
      <c r="AC42" s="103">
        <f t="shared" si="32"/>
        <v>37053</v>
      </c>
      <c r="AD42" s="108"/>
      <c r="AE42" s="26"/>
      <c r="AF42" s="26">
        <v>0</v>
      </c>
      <c r="AG42" s="26">
        <f t="shared" si="33"/>
        <v>37053</v>
      </c>
      <c r="AH42" s="108"/>
      <c r="AI42" s="26"/>
      <c r="AJ42" s="26">
        <v>0</v>
      </c>
      <c r="AK42" s="26">
        <f t="shared" si="34"/>
        <v>37053</v>
      </c>
      <c r="AL42" s="108"/>
      <c r="AM42" s="26"/>
      <c r="AN42" s="26">
        <v>0</v>
      </c>
      <c r="AO42" s="26">
        <f t="shared" si="23"/>
        <v>37053</v>
      </c>
      <c r="AP42" s="108"/>
      <c r="AQ42" s="26"/>
      <c r="AR42" s="26">
        <v>0</v>
      </c>
      <c r="AS42" s="26">
        <f t="shared" si="24"/>
        <v>37053</v>
      </c>
      <c r="AT42" s="108"/>
    </row>
    <row r="43" spans="1:46" ht="21" customHeight="1" x14ac:dyDescent="0.25">
      <c r="A43" s="107" t="s">
        <v>52</v>
      </c>
      <c r="B43" s="107" t="s">
        <v>53</v>
      </c>
      <c r="C43" s="26">
        <v>192420</v>
      </c>
      <c r="D43" s="26">
        <v>0</v>
      </c>
      <c r="E43" s="26">
        <f t="shared" si="27"/>
        <v>192420</v>
      </c>
      <c r="F43" s="108"/>
      <c r="G43" s="26">
        <v>580440</v>
      </c>
      <c r="H43" s="26">
        <v>0</v>
      </c>
      <c r="I43" s="26">
        <f t="shared" si="8"/>
        <v>772860</v>
      </c>
      <c r="J43" s="26">
        <v>580440</v>
      </c>
      <c r="K43" s="26"/>
      <c r="L43" s="26">
        <f t="shared" si="28"/>
        <v>1353300</v>
      </c>
      <c r="M43" s="26">
        <v>580440</v>
      </c>
      <c r="N43" s="26"/>
      <c r="O43" s="103">
        <f t="shared" si="29"/>
        <v>1933740</v>
      </c>
      <c r="P43" s="96">
        <v>384840</v>
      </c>
      <c r="Q43" s="26"/>
      <c r="R43" s="26">
        <f t="shared" si="30"/>
        <v>2318580</v>
      </c>
      <c r="S43" s="26">
        <f t="shared" si="30"/>
        <v>384840</v>
      </c>
      <c r="T43" s="26"/>
      <c r="U43" s="26">
        <f t="shared" si="25"/>
        <v>2703420</v>
      </c>
      <c r="V43" s="108"/>
      <c r="W43" s="26">
        <v>384840</v>
      </c>
      <c r="X43" s="26"/>
      <c r="Y43" s="26">
        <f t="shared" si="31"/>
        <v>3088260</v>
      </c>
      <c r="Z43" s="108"/>
      <c r="AA43" s="26">
        <v>384840</v>
      </c>
      <c r="AB43" s="26"/>
      <c r="AC43" s="103">
        <f t="shared" si="32"/>
        <v>3473100</v>
      </c>
      <c r="AD43" s="108"/>
      <c r="AE43" s="26">
        <v>384840</v>
      </c>
      <c r="AF43" s="26"/>
      <c r="AG43" s="26">
        <f t="shared" si="33"/>
        <v>3857940</v>
      </c>
      <c r="AH43" s="108"/>
      <c r="AI43" s="26">
        <v>384840</v>
      </c>
      <c r="AJ43" s="26"/>
      <c r="AK43" s="26">
        <f t="shared" si="34"/>
        <v>4242780</v>
      </c>
      <c r="AL43" s="108"/>
      <c r="AM43" s="26">
        <v>384840</v>
      </c>
      <c r="AN43" s="26"/>
      <c r="AO43" s="26">
        <f t="shared" si="23"/>
        <v>4627620</v>
      </c>
      <c r="AP43" s="108"/>
      <c r="AQ43" s="26">
        <v>269388</v>
      </c>
      <c r="AR43" s="26"/>
      <c r="AS43" s="26">
        <f t="shared" si="24"/>
        <v>4897008</v>
      </c>
      <c r="AT43" s="108"/>
    </row>
    <row r="44" spans="1:46" ht="21" customHeight="1" x14ac:dyDescent="0.25">
      <c r="A44" s="107" t="s">
        <v>54</v>
      </c>
      <c r="B44" s="107" t="s">
        <v>55</v>
      </c>
      <c r="C44" s="26">
        <v>64140</v>
      </c>
      <c r="D44" s="26">
        <v>0</v>
      </c>
      <c r="E44" s="26">
        <f t="shared" si="27"/>
        <v>64140</v>
      </c>
      <c r="F44" s="108"/>
      <c r="G44" s="26">
        <v>185480</v>
      </c>
      <c r="H44" s="26">
        <v>0</v>
      </c>
      <c r="I44" s="26">
        <f t="shared" si="8"/>
        <v>249620</v>
      </c>
      <c r="J44" s="26">
        <v>185480</v>
      </c>
      <c r="K44" s="26"/>
      <c r="L44" s="26">
        <f t="shared" si="28"/>
        <v>435100</v>
      </c>
      <c r="M44" s="26">
        <v>185480</v>
      </c>
      <c r="N44" s="26"/>
      <c r="O44" s="103">
        <f t="shared" si="29"/>
        <v>620580</v>
      </c>
      <c r="P44" s="96">
        <v>156750</v>
      </c>
      <c r="Q44" s="26"/>
      <c r="R44" s="26">
        <f t="shared" si="30"/>
        <v>777330</v>
      </c>
      <c r="S44" s="26">
        <v>156750</v>
      </c>
      <c r="T44" s="26"/>
      <c r="U44" s="26">
        <f t="shared" si="25"/>
        <v>934080</v>
      </c>
      <c r="V44" s="108"/>
      <c r="W44" s="26">
        <v>185220</v>
      </c>
      <c r="X44" s="26"/>
      <c r="Y44" s="26">
        <f t="shared" si="31"/>
        <v>1119300</v>
      </c>
      <c r="Z44" s="108"/>
      <c r="AA44" s="26">
        <v>185220</v>
      </c>
      <c r="AB44" s="26"/>
      <c r="AC44" s="103">
        <f t="shared" si="32"/>
        <v>1304520</v>
      </c>
      <c r="AD44" s="108"/>
      <c r="AE44" s="26">
        <v>183322</v>
      </c>
      <c r="AF44" s="26"/>
      <c r="AG44" s="26">
        <f t="shared" si="33"/>
        <v>1487842</v>
      </c>
      <c r="AH44" s="108"/>
      <c r="AI44" s="26">
        <v>181424</v>
      </c>
      <c r="AJ44" s="26"/>
      <c r="AK44" s="26">
        <f t="shared" si="34"/>
        <v>1669266</v>
      </c>
      <c r="AL44" s="108"/>
      <c r="AM44" s="26">
        <v>181424</v>
      </c>
      <c r="AN44" s="26"/>
      <c r="AO44" s="26">
        <f t="shared" si="23"/>
        <v>1850690</v>
      </c>
      <c r="AP44" s="108"/>
      <c r="AQ44" s="26">
        <v>129654</v>
      </c>
      <c r="AR44" s="26"/>
      <c r="AS44" s="26">
        <f t="shared" si="24"/>
        <v>1980344</v>
      </c>
      <c r="AT44" s="108"/>
    </row>
    <row r="45" spans="1:46" ht="21" customHeight="1" x14ac:dyDescent="0.25">
      <c r="A45" s="107">
        <v>510584</v>
      </c>
      <c r="B45" s="107" t="s">
        <v>274</v>
      </c>
      <c r="C45" s="26"/>
      <c r="D45" s="26"/>
      <c r="E45" s="26">
        <f t="shared" si="27"/>
        <v>0</v>
      </c>
      <c r="F45" s="108"/>
      <c r="H45" s="26"/>
      <c r="I45" s="26">
        <f t="shared" si="8"/>
        <v>0</v>
      </c>
      <c r="J45" s="26"/>
      <c r="K45" s="26"/>
      <c r="L45" s="26">
        <f t="shared" si="28"/>
        <v>0</v>
      </c>
      <c r="M45" s="26"/>
      <c r="N45" s="26"/>
      <c r="O45" s="103">
        <f t="shared" si="29"/>
        <v>0</v>
      </c>
      <c r="P45" s="96"/>
      <c r="Q45" s="26"/>
      <c r="R45" s="26">
        <f t="shared" si="30"/>
        <v>0</v>
      </c>
      <c r="S45" s="26"/>
      <c r="T45" s="26"/>
      <c r="U45" s="26">
        <f t="shared" si="25"/>
        <v>0</v>
      </c>
      <c r="V45" s="108"/>
      <c r="W45" s="26"/>
      <c r="X45" s="26"/>
      <c r="Y45" s="26">
        <f t="shared" si="31"/>
        <v>0</v>
      </c>
      <c r="Z45" s="108"/>
      <c r="AA45" s="26"/>
      <c r="AB45" s="26"/>
      <c r="AC45" s="103">
        <f t="shared" si="32"/>
        <v>0</v>
      </c>
      <c r="AD45" s="108"/>
      <c r="AE45" s="26"/>
      <c r="AF45" s="26"/>
      <c r="AG45" s="26">
        <f t="shared" si="33"/>
        <v>0</v>
      </c>
      <c r="AH45" s="108"/>
      <c r="AI45" s="26">
        <v>17400</v>
      </c>
      <c r="AJ45" s="26"/>
      <c r="AK45" s="26">
        <f t="shared" si="34"/>
        <v>17400</v>
      </c>
      <c r="AL45" s="108"/>
      <c r="AM45" s="26">
        <v>66000</v>
      </c>
      <c r="AN45" s="26"/>
      <c r="AO45" s="26">
        <f t="shared" si="23"/>
        <v>83400</v>
      </c>
      <c r="AP45" s="108"/>
      <c r="AQ45" s="26"/>
      <c r="AR45" s="26"/>
      <c r="AS45" s="26">
        <f t="shared" si="24"/>
        <v>83400</v>
      </c>
      <c r="AT45" s="108"/>
    </row>
    <row r="46" spans="1:46" ht="21" customHeight="1" x14ac:dyDescent="0.25">
      <c r="A46" s="107"/>
      <c r="B46" s="107"/>
      <c r="C46" s="26"/>
      <c r="D46" s="26"/>
      <c r="E46" s="26"/>
      <c r="F46" s="108"/>
      <c r="G46" s="26"/>
      <c r="H46" s="26"/>
      <c r="I46" s="26">
        <f t="shared" si="8"/>
        <v>0</v>
      </c>
      <c r="J46" s="26"/>
      <c r="K46" s="26"/>
      <c r="L46" s="26">
        <f t="shared" si="28"/>
        <v>0</v>
      </c>
      <c r="M46" s="26"/>
      <c r="N46" s="26"/>
      <c r="O46" s="103">
        <f t="shared" si="29"/>
        <v>0</v>
      </c>
      <c r="P46" s="96"/>
      <c r="Q46" s="26"/>
      <c r="R46" s="26">
        <f t="shared" si="30"/>
        <v>0</v>
      </c>
      <c r="S46" s="26"/>
      <c r="T46" s="26"/>
      <c r="U46" s="26">
        <f t="shared" si="25"/>
        <v>0</v>
      </c>
      <c r="V46" s="108"/>
      <c r="W46" s="26"/>
      <c r="X46" s="26"/>
      <c r="Y46" s="26"/>
      <c r="Z46" s="108"/>
      <c r="AA46" s="26"/>
      <c r="AB46" s="26"/>
      <c r="AC46" s="103"/>
      <c r="AD46" s="108"/>
      <c r="AE46" s="26"/>
      <c r="AF46" s="26"/>
      <c r="AG46" s="26"/>
      <c r="AH46" s="108"/>
      <c r="AI46" s="26"/>
      <c r="AJ46" s="26"/>
      <c r="AK46" s="26"/>
      <c r="AL46" s="108"/>
      <c r="AM46" s="26"/>
      <c r="AN46" s="26"/>
      <c r="AO46" s="26"/>
      <c r="AP46" s="108"/>
      <c r="AQ46" s="26"/>
      <c r="AR46" s="26"/>
      <c r="AS46" s="26"/>
      <c r="AT46" s="108"/>
    </row>
    <row r="47" spans="1:46" x14ac:dyDescent="0.25">
      <c r="A47" s="102" t="s">
        <v>56</v>
      </c>
      <c r="B47" s="102" t="s">
        <v>57</v>
      </c>
      <c r="C47" s="103">
        <f>C48+C49+C50</f>
        <v>300000</v>
      </c>
      <c r="D47" s="103">
        <v>0</v>
      </c>
      <c r="E47" s="103">
        <f t="shared" si="27"/>
        <v>300000</v>
      </c>
      <c r="F47" s="104"/>
      <c r="G47" s="103">
        <f>+G49</f>
        <v>300000</v>
      </c>
      <c r="H47" s="103">
        <v>0</v>
      </c>
      <c r="I47" s="103">
        <f t="shared" si="8"/>
        <v>600000</v>
      </c>
      <c r="J47" s="103">
        <f>J48+J49+J50</f>
        <v>300000</v>
      </c>
      <c r="K47" s="103">
        <v>0</v>
      </c>
      <c r="L47" s="103">
        <f t="shared" si="28"/>
        <v>900000</v>
      </c>
      <c r="M47" s="103">
        <f>M48+M49+M50</f>
        <v>300000</v>
      </c>
      <c r="N47" s="103">
        <v>0</v>
      </c>
      <c r="O47" s="103">
        <f>+L47+M47</f>
        <v>1200000</v>
      </c>
      <c r="P47" s="103">
        <f>P48+P49+P50</f>
        <v>300000</v>
      </c>
      <c r="Q47" s="103">
        <v>0</v>
      </c>
      <c r="R47" s="103">
        <f t="shared" si="30"/>
        <v>1500000</v>
      </c>
      <c r="S47" s="103">
        <f>S48+S49+S50</f>
        <v>300000</v>
      </c>
      <c r="T47" s="103">
        <v>0</v>
      </c>
      <c r="U47" s="103">
        <f t="shared" si="25"/>
        <v>1800000</v>
      </c>
      <c r="V47" s="104"/>
      <c r="W47" s="103">
        <f>W48+W49+W50</f>
        <v>300000</v>
      </c>
      <c r="X47" s="103">
        <v>0</v>
      </c>
      <c r="Y47" s="103">
        <f t="shared" ref="Y47:Y56" si="35">U47+W47</f>
        <v>2100000</v>
      </c>
      <c r="Z47" s="104"/>
      <c r="AA47" s="103">
        <f>AA48+AA49+AA50</f>
        <v>300000</v>
      </c>
      <c r="AB47" s="103">
        <v>0</v>
      </c>
      <c r="AC47" s="103">
        <f t="shared" ref="AC47:AC56" si="36">Y47+AA47</f>
        <v>2400000</v>
      </c>
      <c r="AD47" s="104"/>
      <c r="AE47" s="103">
        <f>AE48+AE49+AE50</f>
        <v>300000</v>
      </c>
      <c r="AF47" s="103">
        <v>0</v>
      </c>
      <c r="AG47" s="103">
        <f t="shared" ref="AG47:AG56" si="37">AC47+AE47</f>
        <v>2700000</v>
      </c>
      <c r="AH47" s="104"/>
      <c r="AI47" s="103">
        <f>+AI49</f>
        <v>300000</v>
      </c>
      <c r="AJ47" s="103">
        <v>0</v>
      </c>
      <c r="AK47" s="103">
        <f t="shared" ref="AK47:AK56" si="38">AG47+AI47</f>
        <v>3000000</v>
      </c>
      <c r="AL47" s="104"/>
      <c r="AM47" s="103">
        <f>AM48+AM49+AM50</f>
        <v>300000</v>
      </c>
      <c r="AN47" s="103">
        <v>0</v>
      </c>
      <c r="AO47" s="103">
        <f t="shared" ref="AO47:AO56" si="39">AK47+AM47</f>
        <v>3300000</v>
      </c>
      <c r="AP47" s="104"/>
      <c r="AQ47" s="103">
        <f>AQ48+AQ49+AQ50</f>
        <v>300000</v>
      </c>
      <c r="AR47" s="103">
        <v>0</v>
      </c>
      <c r="AS47" s="103">
        <f t="shared" ref="AS47:AS56" si="40">AO47+AQ47</f>
        <v>3600000</v>
      </c>
      <c r="AT47" s="104"/>
    </row>
    <row r="48" spans="1:46" x14ac:dyDescent="0.25">
      <c r="A48" s="107">
        <v>511025</v>
      </c>
      <c r="B48" s="107" t="s">
        <v>165</v>
      </c>
      <c r="C48" s="26"/>
      <c r="D48" s="26">
        <v>0</v>
      </c>
      <c r="E48" s="26">
        <f t="shared" si="27"/>
        <v>0</v>
      </c>
      <c r="F48" s="108"/>
      <c r="G48" s="26">
        <v>0</v>
      </c>
      <c r="H48" s="26">
        <v>0</v>
      </c>
      <c r="I48" s="26">
        <f t="shared" si="8"/>
        <v>0</v>
      </c>
      <c r="J48" s="26">
        <v>0</v>
      </c>
      <c r="K48" s="26">
        <v>0</v>
      </c>
      <c r="L48" s="26">
        <f t="shared" si="28"/>
        <v>0</v>
      </c>
      <c r="M48" s="26">
        <v>0</v>
      </c>
      <c r="N48" s="26">
        <v>0</v>
      </c>
      <c r="O48" s="103">
        <f t="shared" ref="O48:O70" si="41">+L48+M48</f>
        <v>0</v>
      </c>
      <c r="P48" s="96">
        <v>0</v>
      </c>
      <c r="Q48" s="26">
        <v>0</v>
      </c>
      <c r="R48" s="26">
        <f t="shared" si="30"/>
        <v>0</v>
      </c>
      <c r="S48" s="26"/>
      <c r="T48" s="26">
        <v>0</v>
      </c>
      <c r="U48" s="26">
        <f t="shared" si="25"/>
        <v>0</v>
      </c>
      <c r="V48" s="108"/>
      <c r="W48" s="26">
        <v>0</v>
      </c>
      <c r="X48" s="26">
        <v>0</v>
      </c>
      <c r="Y48" s="26">
        <f t="shared" si="35"/>
        <v>0</v>
      </c>
      <c r="Z48" s="108"/>
      <c r="AA48" s="26">
        <v>0</v>
      </c>
      <c r="AB48" s="26">
        <v>0</v>
      </c>
      <c r="AC48" s="103">
        <f t="shared" si="36"/>
        <v>0</v>
      </c>
      <c r="AD48" s="108"/>
      <c r="AE48" s="26">
        <v>0</v>
      </c>
      <c r="AF48" s="26">
        <v>0</v>
      </c>
      <c r="AG48" s="26">
        <f t="shared" si="37"/>
        <v>0</v>
      </c>
      <c r="AH48" s="108"/>
      <c r="AI48" s="26">
        <v>0</v>
      </c>
      <c r="AJ48" s="26">
        <v>0</v>
      </c>
      <c r="AK48" s="26">
        <f t="shared" si="38"/>
        <v>0</v>
      </c>
      <c r="AL48" s="108"/>
      <c r="AM48" s="26">
        <v>0</v>
      </c>
      <c r="AN48" s="26">
        <v>0</v>
      </c>
      <c r="AO48" s="26">
        <f t="shared" si="39"/>
        <v>0</v>
      </c>
      <c r="AP48" s="108"/>
      <c r="AQ48" s="26">
        <v>0</v>
      </c>
      <c r="AR48" s="26">
        <v>0</v>
      </c>
      <c r="AS48" s="26">
        <f t="shared" si="40"/>
        <v>0</v>
      </c>
      <c r="AT48" s="108"/>
    </row>
    <row r="49" spans="1:46" x14ac:dyDescent="0.25">
      <c r="A49" s="107" t="s">
        <v>58</v>
      </c>
      <c r="B49" s="107" t="s">
        <v>59</v>
      </c>
      <c r="C49" s="26">
        <v>300000</v>
      </c>
      <c r="D49" s="26">
        <v>0</v>
      </c>
      <c r="E49" s="26">
        <f t="shared" si="27"/>
        <v>300000</v>
      </c>
      <c r="F49" s="108"/>
      <c r="G49" s="26">
        <v>300000</v>
      </c>
      <c r="H49" s="26">
        <v>0</v>
      </c>
      <c r="I49" s="26">
        <f t="shared" si="8"/>
        <v>600000</v>
      </c>
      <c r="J49" s="26">
        <v>300000</v>
      </c>
      <c r="K49" s="26"/>
      <c r="L49" s="26">
        <f t="shared" si="28"/>
        <v>900000</v>
      </c>
      <c r="M49" s="26">
        <v>300000</v>
      </c>
      <c r="N49" s="26"/>
      <c r="O49" s="103">
        <f t="shared" si="41"/>
        <v>1200000</v>
      </c>
      <c r="P49" s="96">
        <v>300000</v>
      </c>
      <c r="Q49" s="26"/>
      <c r="R49" s="26">
        <f t="shared" si="30"/>
        <v>1500000</v>
      </c>
      <c r="S49" s="96">
        <v>300000</v>
      </c>
      <c r="T49" s="26"/>
      <c r="U49" s="26">
        <f t="shared" si="25"/>
        <v>1800000</v>
      </c>
      <c r="V49" s="108"/>
      <c r="W49" s="96">
        <v>300000</v>
      </c>
      <c r="X49" s="26"/>
      <c r="Y49" s="26">
        <f t="shared" si="35"/>
        <v>2100000</v>
      </c>
      <c r="Z49" s="108"/>
      <c r="AA49" s="96">
        <v>300000</v>
      </c>
      <c r="AB49" s="26"/>
      <c r="AC49" s="103">
        <f t="shared" si="36"/>
        <v>2400000</v>
      </c>
      <c r="AD49" s="108"/>
      <c r="AE49" s="96">
        <v>300000</v>
      </c>
      <c r="AF49" s="26"/>
      <c r="AG49" s="26">
        <f t="shared" si="37"/>
        <v>2700000</v>
      </c>
      <c r="AH49" s="108"/>
      <c r="AI49" s="26">
        <v>300000</v>
      </c>
      <c r="AJ49" s="26"/>
      <c r="AK49" s="26">
        <f t="shared" si="38"/>
        <v>3000000</v>
      </c>
      <c r="AL49" s="108"/>
      <c r="AM49" s="26">
        <v>300000</v>
      </c>
      <c r="AN49" s="26"/>
      <c r="AO49" s="26">
        <f t="shared" si="39"/>
        <v>3300000</v>
      </c>
      <c r="AP49" s="108"/>
      <c r="AQ49" s="26">
        <v>300000</v>
      </c>
      <c r="AR49" s="26"/>
      <c r="AS49" s="26">
        <f t="shared" si="40"/>
        <v>3600000</v>
      </c>
      <c r="AT49" s="108"/>
    </row>
    <row r="50" spans="1:46" x14ac:dyDescent="0.25">
      <c r="A50" s="107">
        <v>511095</v>
      </c>
      <c r="B50" s="107" t="s">
        <v>257</v>
      </c>
      <c r="C50" s="26"/>
      <c r="D50" s="26"/>
      <c r="E50" s="26"/>
      <c r="F50" s="108"/>
      <c r="G50" s="26"/>
      <c r="H50" s="26"/>
      <c r="I50" s="26">
        <f t="shared" si="8"/>
        <v>0</v>
      </c>
      <c r="J50" s="26"/>
      <c r="K50" s="26"/>
      <c r="L50" s="26">
        <f t="shared" si="28"/>
        <v>0</v>
      </c>
      <c r="M50" s="26"/>
      <c r="N50" s="26"/>
      <c r="O50" s="103">
        <f t="shared" si="41"/>
        <v>0</v>
      </c>
      <c r="P50" s="96"/>
      <c r="Q50" s="26"/>
      <c r="R50" s="26">
        <f t="shared" si="30"/>
        <v>0</v>
      </c>
      <c r="S50" s="26"/>
      <c r="T50" s="26"/>
      <c r="U50" s="26">
        <f t="shared" si="25"/>
        <v>0</v>
      </c>
      <c r="V50" s="108"/>
      <c r="W50" s="26"/>
      <c r="X50" s="26"/>
      <c r="Y50" s="26">
        <f t="shared" si="35"/>
        <v>0</v>
      </c>
      <c r="Z50" s="108"/>
      <c r="AA50" s="26"/>
      <c r="AB50" s="26"/>
      <c r="AC50" s="103">
        <f t="shared" si="36"/>
        <v>0</v>
      </c>
      <c r="AD50" s="108"/>
      <c r="AE50" s="26"/>
      <c r="AF50" s="26"/>
      <c r="AG50" s="26">
        <f t="shared" si="37"/>
        <v>0</v>
      </c>
      <c r="AH50" s="108"/>
      <c r="AI50" s="26"/>
      <c r="AJ50" s="26"/>
      <c r="AK50" s="26">
        <f t="shared" si="38"/>
        <v>0</v>
      </c>
      <c r="AL50" s="108"/>
      <c r="AM50" s="26"/>
      <c r="AN50" s="26"/>
      <c r="AO50" s="26">
        <f t="shared" si="39"/>
        <v>0</v>
      </c>
      <c r="AP50" s="108"/>
      <c r="AQ50" s="26"/>
      <c r="AR50" s="26"/>
      <c r="AS50" s="26">
        <f t="shared" si="40"/>
        <v>0</v>
      </c>
      <c r="AT50" s="108"/>
    </row>
    <row r="51" spans="1:46" x14ac:dyDescent="0.25">
      <c r="A51" s="107"/>
      <c r="B51" s="107"/>
      <c r="C51" s="26"/>
      <c r="D51" s="26"/>
      <c r="E51" s="26"/>
      <c r="F51" s="108"/>
      <c r="G51" s="26"/>
      <c r="H51" s="26"/>
      <c r="I51" s="26">
        <f t="shared" si="8"/>
        <v>0</v>
      </c>
      <c r="J51" s="26"/>
      <c r="K51" s="26"/>
      <c r="L51" s="26">
        <f t="shared" si="28"/>
        <v>0</v>
      </c>
      <c r="M51" s="26"/>
      <c r="N51" s="26"/>
      <c r="O51" s="103">
        <f t="shared" si="41"/>
        <v>0</v>
      </c>
      <c r="P51" s="96"/>
      <c r="Q51" s="26"/>
      <c r="R51" s="26">
        <f t="shared" si="30"/>
        <v>0</v>
      </c>
      <c r="T51" s="26"/>
      <c r="U51" s="26">
        <f>+R51+T51</f>
        <v>0</v>
      </c>
      <c r="V51" s="108"/>
      <c r="W51" s="26"/>
      <c r="X51" s="26"/>
      <c r="Y51" s="26">
        <f t="shared" si="35"/>
        <v>0</v>
      </c>
      <c r="Z51" s="108"/>
      <c r="AA51" s="26"/>
      <c r="AB51" s="26"/>
      <c r="AC51" s="103">
        <f t="shared" si="36"/>
        <v>0</v>
      </c>
      <c r="AD51" s="108"/>
      <c r="AE51" s="26"/>
      <c r="AF51" s="26"/>
      <c r="AG51" s="26">
        <f t="shared" si="37"/>
        <v>0</v>
      </c>
      <c r="AH51" s="108"/>
      <c r="AI51" s="26"/>
      <c r="AJ51" s="26"/>
      <c r="AK51" s="26">
        <f t="shared" si="38"/>
        <v>0</v>
      </c>
      <c r="AL51" s="108"/>
      <c r="AM51" s="26"/>
      <c r="AN51" s="26"/>
      <c r="AO51" s="26">
        <f t="shared" si="39"/>
        <v>0</v>
      </c>
      <c r="AP51" s="108"/>
      <c r="AQ51" s="26"/>
      <c r="AR51" s="26"/>
      <c r="AS51" s="26">
        <f t="shared" si="40"/>
        <v>0</v>
      </c>
      <c r="AT51" s="108"/>
    </row>
    <row r="52" spans="1:46" x14ac:dyDescent="0.25">
      <c r="A52" s="102" t="s">
        <v>60</v>
      </c>
      <c r="B52" s="102" t="s">
        <v>61</v>
      </c>
      <c r="C52" s="103">
        <f>+C53+C54+C55</f>
        <v>446976</v>
      </c>
      <c r="D52" s="103">
        <v>0</v>
      </c>
      <c r="E52" s="103">
        <f t="shared" si="27"/>
        <v>446976</v>
      </c>
      <c r="F52" s="104"/>
      <c r="G52" s="103">
        <f>G55</f>
        <v>0</v>
      </c>
      <c r="H52" s="103">
        <v>0</v>
      </c>
      <c r="I52" s="103">
        <f t="shared" si="8"/>
        <v>446976</v>
      </c>
      <c r="J52" s="103">
        <f>+J54+J53+J55+J56</f>
        <v>0</v>
      </c>
      <c r="K52" s="103">
        <v>0</v>
      </c>
      <c r="L52" s="103">
        <f t="shared" si="28"/>
        <v>446976</v>
      </c>
      <c r="M52" s="103">
        <f>+M53</f>
        <v>0</v>
      </c>
      <c r="N52" s="103">
        <v>0</v>
      </c>
      <c r="O52" s="103">
        <f t="shared" si="41"/>
        <v>446976</v>
      </c>
      <c r="P52" s="103">
        <f>+P53+P54+P55+P56</f>
        <v>0</v>
      </c>
      <c r="Q52" s="103">
        <v>0</v>
      </c>
      <c r="R52" s="103">
        <f t="shared" si="30"/>
        <v>446976</v>
      </c>
      <c r="S52" s="103">
        <f>+S56</f>
        <v>0</v>
      </c>
      <c r="T52" s="103">
        <v>0</v>
      </c>
      <c r="U52" s="103">
        <f t="shared" si="25"/>
        <v>446976</v>
      </c>
      <c r="V52" s="104"/>
      <c r="W52" s="103">
        <f>W53+W54+W55+W56</f>
        <v>411800</v>
      </c>
      <c r="X52" s="103">
        <v>0</v>
      </c>
      <c r="Y52" s="103">
        <f t="shared" si="35"/>
        <v>858776</v>
      </c>
      <c r="Z52" s="104"/>
      <c r="AA52" s="103">
        <f>+AA56</f>
        <v>0</v>
      </c>
      <c r="AB52" s="103">
        <v>0</v>
      </c>
      <c r="AC52" s="103">
        <f t="shared" si="36"/>
        <v>858776</v>
      </c>
      <c r="AD52" s="104"/>
      <c r="AE52" s="103">
        <f>SUM(AE53:AE57)</f>
        <v>0</v>
      </c>
      <c r="AF52" s="103">
        <v>0</v>
      </c>
      <c r="AG52" s="103">
        <f t="shared" si="37"/>
        <v>858776</v>
      </c>
      <c r="AH52" s="104"/>
      <c r="AI52" s="103">
        <f>+AI56</f>
        <v>0</v>
      </c>
      <c r="AJ52" s="103">
        <v>0</v>
      </c>
      <c r="AK52" s="103">
        <f t="shared" si="38"/>
        <v>858776</v>
      </c>
      <c r="AL52" s="104"/>
      <c r="AM52" s="103">
        <f>+AM56</f>
        <v>0</v>
      </c>
      <c r="AN52" s="103">
        <v>0</v>
      </c>
      <c r="AO52" s="103">
        <f t="shared" si="39"/>
        <v>858776</v>
      </c>
      <c r="AP52" s="104"/>
      <c r="AQ52" s="103">
        <f>+AQ56</f>
        <v>0</v>
      </c>
      <c r="AR52" s="103">
        <v>0</v>
      </c>
      <c r="AS52" s="103">
        <f t="shared" si="40"/>
        <v>858776</v>
      </c>
      <c r="AT52" s="104"/>
    </row>
    <row r="53" spans="1:46" x14ac:dyDescent="0.25">
      <c r="A53" s="107" t="s">
        <v>159</v>
      </c>
      <c r="B53" s="107" t="s">
        <v>146</v>
      </c>
      <c r="C53" s="26">
        <v>0</v>
      </c>
      <c r="D53" s="26">
        <v>0</v>
      </c>
      <c r="E53" s="26">
        <f t="shared" si="27"/>
        <v>0</v>
      </c>
      <c r="F53" s="108"/>
      <c r="G53" s="26">
        <v>0</v>
      </c>
      <c r="H53" s="26">
        <v>0</v>
      </c>
      <c r="I53" s="26">
        <f t="shared" si="8"/>
        <v>0</v>
      </c>
      <c r="J53" s="26"/>
      <c r="K53" s="26">
        <v>0</v>
      </c>
      <c r="L53" s="26">
        <f t="shared" si="28"/>
        <v>0</v>
      </c>
      <c r="M53" s="26"/>
      <c r="N53" s="26"/>
      <c r="O53" s="103">
        <f t="shared" si="41"/>
        <v>0</v>
      </c>
      <c r="P53" s="96"/>
      <c r="Q53" s="26"/>
      <c r="R53" s="26">
        <f t="shared" si="30"/>
        <v>0</v>
      </c>
      <c r="S53" s="26"/>
      <c r="T53" s="26"/>
      <c r="U53" s="26">
        <f t="shared" si="25"/>
        <v>0</v>
      </c>
      <c r="V53" s="108"/>
      <c r="W53" s="26"/>
      <c r="X53" s="26"/>
      <c r="Y53" s="26">
        <f t="shared" si="35"/>
        <v>0</v>
      </c>
      <c r="Z53" s="108"/>
      <c r="AA53" s="26">
        <v>0</v>
      </c>
      <c r="AB53" s="26"/>
      <c r="AC53" s="103">
        <f t="shared" si="36"/>
        <v>0</v>
      </c>
      <c r="AD53" s="108"/>
      <c r="AE53" s="26">
        <v>0</v>
      </c>
      <c r="AF53" s="26"/>
      <c r="AG53" s="26">
        <f t="shared" si="37"/>
        <v>0</v>
      </c>
      <c r="AH53" s="108"/>
      <c r="AI53" s="26">
        <v>0</v>
      </c>
      <c r="AJ53" s="26"/>
      <c r="AK53" s="26">
        <f t="shared" si="38"/>
        <v>0</v>
      </c>
      <c r="AL53" s="108"/>
      <c r="AM53" s="26">
        <v>0</v>
      </c>
      <c r="AN53" s="26"/>
      <c r="AO53" s="26">
        <f t="shared" si="39"/>
        <v>0</v>
      </c>
      <c r="AP53" s="108"/>
      <c r="AQ53" s="26">
        <v>0</v>
      </c>
      <c r="AR53" s="26"/>
      <c r="AS53" s="26">
        <f t="shared" si="40"/>
        <v>0</v>
      </c>
      <c r="AT53" s="108"/>
    </row>
    <row r="54" spans="1:46" x14ac:dyDescent="0.25">
      <c r="A54" s="107">
        <v>511515</v>
      </c>
      <c r="B54" s="107" t="s">
        <v>160</v>
      </c>
      <c r="C54" s="26">
        <v>0</v>
      </c>
      <c r="D54" s="26">
        <v>0</v>
      </c>
      <c r="E54" s="26">
        <f t="shared" si="27"/>
        <v>0</v>
      </c>
      <c r="F54" s="108"/>
      <c r="G54" s="26">
        <v>0</v>
      </c>
      <c r="H54" s="26">
        <v>0</v>
      </c>
      <c r="I54" s="26">
        <f t="shared" si="8"/>
        <v>0</v>
      </c>
      <c r="J54" s="26">
        <v>0</v>
      </c>
      <c r="K54" s="26">
        <v>0</v>
      </c>
      <c r="L54" s="26">
        <f t="shared" si="28"/>
        <v>0</v>
      </c>
      <c r="M54" s="26">
        <v>0</v>
      </c>
      <c r="N54" s="26">
        <v>0</v>
      </c>
      <c r="O54" s="103">
        <f t="shared" si="41"/>
        <v>0</v>
      </c>
      <c r="P54" s="96">
        <v>0</v>
      </c>
      <c r="Q54" s="26">
        <v>0</v>
      </c>
      <c r="R54" s="26">
        <f t="shared" si="30"/>
        <v>0</v>
      </c>
      <c r="S54" s="26"/>
      <c r="T54" s="26">
        <v>0</v>
      </c>
      <c r="U54" s="26">
        <f t="shared" si="25"/>
        <v>0</v>
      </c>
      <c r="V54" s="108"/>
      <c r="W54" s="26">
        <v>327000</v>
      </c>
      <c r="X54" s="26">
        <v>0</v>
      </c>
      <c r="Y54" s="26">
        <f t="shared" si="35"/>
        <v>327000</v>
      </c>
      <c r="Z54" s="108"/>
      <c r="AA54" s="26">
        <v>0</v>
      </c>
      <c r="AB54" s="26">
        <v>0</v>
      </c>
      <c r="AC54" s="103">
        <f t="shared" si="36"/>
        <v>327000</v>
      </c>
      <c r="AD54" s="108"/>
      <c r="AE54" s="26">
        <v>0</v>
      </c>
      <c r="AF54" s="26">
        <v>0</v>
      </c>
      <c r="AG54" s="26">
        <f t="shared" si="37"/>
        <v>327000</v>
      </c>
      <c r="AH54" s="108"/>
      <c r="AI54" s="26">
        <v>0</v>
      </c>
      <c r="AJ54" s="26">
        <v>0</v>
      </c>
      <c r="AK54" s="26">
        <f t="shared" si="38"/>
        <v>327000</v>
      </c>
      <c r="AL54" s="108"/>
      <c r="AM54" s="26">
        <v>0</v>
      </c>
      <c r="AN54" s="26">
        <v>0</v>
      </c>
      <c r="AO54" s="26">
        <f t="shared" si="39"/>
        <v>327000</v>
      </c>
      <c r="AP54" s="108"/>
      <c r="AQ54" s="26">
        <v>0</v>
      </c>
      <c r="AR54" s="26">
        <v>0</v>
      </c>
      <c r="AS54" s="26">
        <f t="shared" si="40"/>
        <v>327000</v>
      </c>
      <c r="AT54" s="108"/>
    </row>
    <row r="55" spans="1:46" x14ac:dyDescent="0.25">
      <c r="A55" s="107" t="s">
        <v>62</v>
      </c>
      <c r="B55" s="107" t="s">
        <v>63</v>
      </c>
      <c r="C55" s="26">
        <v>446976</v>
      </c>
      <c r="D55" s="26">
        <v>0</v>
      </c>
      <c r="E55" s="26">
        <f t="shared" si="27"/>
        <v>446976</v>
      </c>
      <c r="F55" s="108"/>
      <c r="G55" s="26"/>
      <c r="H55" s="26">
        <v>0</v>
      </c>
      <c r="I55" s="26">
        <f t="shared" si="8"/>
        <v>446976</v>
      </c>
      <c r="J55" s="26"/>
      <c r="K55" s="26">
        <v>0</v>
      </c>
      <c r="L55" s="26">
        <f t="shared" si="28"/>
        <v>446976</v>
      </c>
      <c r="M55" s="26">
        <v>0</v>
      </c>
      <c r="N55" s="26">
        <v>0</v>
      </c>
      <c r="O55" s="103">
        <f t="shared" si="41"/>
        <v>446976</v>
      </c>
      <c r="P55" s="96">
        <v>0</v>
      </c>
      <c r="Q55" s="26">
        <v>0</v>
      </c>
      <c r="R55" s="26">
        <f t="shared" si="30"/>
        <v>446976</v>
      </c>
      <c r="S55" s="26"/>
      <c r="T55" s="26">
        <v>0</v>
      </c>
      <c r="U55" s="26">
        <f t="shared" si="25"/>
        <v>446976</v>
      </c>
      <c r="V55" s="108"/>
      <c r="W55" s="26">
        <v>84800</v>
      </c>
      <c r="X55" s="26">
        <v>0</v>
      </c>
      <c r="Y55" s="26">
        <f t="shared" si="35"/>
        <v>531776</v>
      </c>
      <c r="Z55" s="108"/>
      <c r="AA55" s="26">
        <v>0</v>
      </c>
      <c r="AB55" s="26">
        <v>0</v>
      </c>
      <c r="AC55" s="103">
        <f t="shared" si="36"/>
        <v>531776</v>
      </c>
      <c r="AD55" s="108"/>
      <c r="AE55" s="26">
        <v>0</v>
      </c>
      <c r="AF55" s="26">
        <v>0</v>
      </c>
      <c r="AG55" s="26">
        <f t="shared" si="37"/>
        <v>531776</v>
      </c>
      <c r="AH55" s="108"/>
      <c r="AI55" s="26">
        <v>0</v>
      </c>
      <c r="AJ55" s="26">
        <v>0</v>
      </c>
      <c r="AK55" s="26">
        <f t="shared" si="38"/>
        <v>531776</v>
      </c>
      <c r="AL55" s="108"/>
      <c r="AM55" s="26">
        <v>0</v>
      </c>
      <c r="AN55" s="26">
        <v>0</v>
      </c>
      <c r="AO55" s="26">
        <f t="shared" si="39"/>
        <v>531776</v>
      </c>
      <c r="AP55" s="108"/>
      <c r="AQ55" s="26">
        <v>0</v>
      </c>
      <c r="AR55" s="26">
        <v>0</v>
      </c>
      <c r="AS55" s="26">
        <f t="shared" si="40"/>
        <v>531776</v>
      </c>
      <c r="AT55" s="108"/>
    </row>
    <row r="56" spans="1:46" x14ac:dyDescent="0.25">
      <c r="A56" s="107">
        <v>511595</v>
      </c>
      <c r="B56" s="107" t="s">
        <v>71</v>
      </c>
      <c r="C56" s="26">
        <v>0</v>
      </c>
      <c r="D56" s="26"/>
      <c r="E56" s="26">
        <f t="shared" si="27"/>
        <v>0</v>
      </c>
      <c r="F56" s="108"/>
      <c r="G56" s="26"/>
      <c r="H56" s="26"/>
      <c r="I56" s="26">
        <f t="shared" si="8"/>
        <v>0</v>
      </c>
      <c r="J56" s="26"/>
      <c r="K56" s="26"/>
      <c r="L56" s="26">
        <f t="shared" si="28"/>
        <v>0</v>
      </c>
      <c r="M56" s="26">
        <v>0</v>
      </c>
      <c r="N56" s="26"/>
      <c r="O56" s="103">
        <f t="shared" si="41"/>
        <v>0</v>
      </c>
      <c r="P56" s="96">
        <v>0</v>
      </c>
      <c r="Q56" s="26"/>
      <c r="R56" s="26">
        <f t="shared" si="30"/>
        <v>0</v>
      </c>
      <c r="S56" s="26">
        <v>0</v>
      </c>
      <c r="T56" s="26"/>
      <c r="U56" s="26">
        <f t="shared" si="25"/>
        <v>0</v>
      </c>
      <c r="V56" s="108"/>
      <c r="W56" s="26">
        <v>0</v>
      </c>
      <c r="X56" s="26"/>
      <c r="Y56" s="26">
        <f t="shared" si="35"/>
        <v>0</v>
      </c>
      <c r="Z56" s="108"/>
      <c r="AA56" s="26">
        <v>0</v>
      </c>
      <c r="AB56" s="26"/>
      <c r="AC56" s="103">
        <f t="shared" si="36"/>
        <v>0</v>
      </c>
      <c r="AD56" s="108"/>
      <c r="AE56" s="26">
        <v>0</v>
      </c>
      <c r="AF56" s="26"/>
      <c r="AG56" s="26">
        <f t="shared" si="37"/>
        <v>0</v>
      </c>
      <c r="AH56" s="108"/>
      <c r="AI56" s="26">
        <v>0</v>
      </c>
      <c r="AJ56" s="26"/>
      <c r="AK56" s="26">
        <f t="shared" si="38"/>
        <v>0</v>
      </c>
      <c r="AL56" s="108"/>
      <c r="AM56" s="26">
        <v>0</v>
      </c>
      <c r="AN56" s="26"/>
      <c r="AO56" s="26">
        <f t="shared" si="39"/>
        <v>0</v>
      </c>
      <c r="AP56" s="108"/>
      <c r="AQ56" s="26">
        <v>0</v>
      </c>
      <c r="AR56" s="26"/>
      <c r="AS56" s="26">
        <f t="shared" si="40"/>
        <v>0</v>
      </c>
      <c r="AT56" s="108"/>
    </row>
    <row r="57" spans="1:46" x14ac:dyDescent="0.25">
      <c r="A57" s="107"/>
      <c r="B57" s="107"/>
      <c r="C57" s="26"/>
      <c r="D57" s="26"/>
      <c r="E57" s="26"/>
      <c r="F57" s="108"/>
      <c r="G57" s="26"/>
      <c r="H57" s="26"/>
      <c r="I57" s="26">
        <f t="shared" si="8"/>
        <v>0</v>
      </c>
      <c r="J57" s="26"/>
      <c r="K57" s="26"/>
      <c r="L57" s="26">
        <f t="shared" si="28"/>
        <v>0</v>
      </c>
      <c r="M57" s="26"/>
      <c r="N57" s="26"/>
      <c r="O57" s="103">
        <f t="shared" si="41"/>
        <v>0</v>
      </c>
      <c r="P57" s="96"/>
      <c r="Q57" s="26"/>
      <c r="R57" s="26">
        <f t="shared" si="30"/>
        <v>0</v>
      </c>
      <c r="S57" s="26"/>
      <c r="T57" s="26"/>
      <c r="U57" s="26">
        <f t="shared" si="25"/>
        <v>0</v>
      </c>
      <c r="V57" s="108"/>
      <c r="W57" s="26"/>
      <c r="X57" s="26"/>
      <c r="Y57" s="26"/>
      <c r="Z57" s="108"/>
      <c r="AA57" s="26"/>
      <c r="AB57" s="26"/>
      <c r="AC57" s="103"/>
      <c r="AD57" s="108"/>
      <c r="AE57" s="26"/>
      <c r="AF57" s="26"/>
      <c r="AG57" s="26"/>
      <c r="AH57" s="108"/>
      <c r="AI57" s="26"/>
      <c r="AJ57" s="26"/>
      <c r="AK57" s="26"/>
      <c r="AL57" s="108"/>
      <c r="AM57" s="26"/>
      <c r="AN57" s="26"/>
      <c r="AO57" s="26"/>
      <c r="AP57" s="108"/>
      <c r="AQ57" s="26"/>
      <c r="AR57" s="26"/>
      <c r="AS57" s="26"/>
      <c r="AT57" s="108"/>
    </row>
    <row r="58" spans="1:46" x14ac:dyDescent="0.25">
      <c r="A58" s="102" t="s">
        <v>64</v>
      </c>
      <c r="B58" s="102" t="s">
        <v>65</v>
      </c>
      <c r="C58" s="103">
        <f>+C59+C60</f>
        <v>2120000</v>
      </c>
      <c r="D58" s="103">
        <v>0</v>
      </c>
      <c r="E58" s="103">
        <f t="shared" si="27"/>
        <v>2120000</v>
      </c>
      <c r="F58" s="104"/>
      <c r="G58" s="103">
        <f>+G59+G60</f>
        <v>2375080</v>
      </c>
      <c r="H58" s="103">
        <v>0</v>
      </c>
      <c r="I58" s="103">
        <f t="shared" si="8"/>
        <v>4495080</v>
      </c>
      <c r="J58" s="103">
        <f>J59+J60</f>
        <v>2120000</v>
      </c>
      <c r="K58" s="103">
        <v>0</v>
      </c>
      <c r="L58" s="103">
        <f t="shared" si="28"/>
        <v>6615080</v>
      </c>
      <c r="M58" s="103">
        <f>M59+M60</f>
        <v>2547332</v>
      </c>
      <c r="N58" s="103">
        <v>0</v>
      </c>
      <c r="O58" s="103">
        <f t="shared" si="41"/>
        <v>9162412</v>
      </c>
      <c r="P58" s="103">
        <f>P59+P60</f>
        <v>2260000</v>
      </c>
      <c r="Q58" s="103">
        <v>0</v>
      </c>
      <c r="R58" s="103">
        <f t="shared" si="30"/>
        <v>11422412</v>
      </c>
      <c r="S58" s="103">
        <f>S59+S60</f>
        <v>2120000</v>
      </c>
      <c r="T58" s="103">
        <v>0</v>
      </c>
      <c r="U58" s="103">
        <f t="shared" si="25"/>
        <v>13542412</v>
      </c>
      <c r="V58" s="104"/>
      <c r="W58" s="103">
        <f>W59+W60</f>
        <v>1808472</v>
      </c>
      <c r="X58" s="103">
        <v>0</v>
      </c>
      <c r="Y58" s="103">
        <f t="shared" ref="Y58:Y60" si="42">U58+W58</f>
        <v>15350884</v>
      </c>
      <c r="Z58" s="104"/>
      <c r="AA58" s="103">
        <f>AA59+AA60</f>
        <v>1791000</v>
      </c>
      <c r="AB58" s="103">
        <v>0</v>
      </c>
      <c r="AC58" s="103">
        <f t="shared" ref="AC58:AC60" si="43">Y58+AA58</f>
        <v>17141884</v>
      </c>
      <c r="AD58" s="104"/>
      <c r="AE58" s="103">
        <f>AE59+AE60</f>
        <v>1521600</v>
      </c>
      <c r="AF58" s="103">
        <v>0</v>
      </c>
      <c r="AG58" s="103">
        <f t="shared" ref="AG58:AG60" si="44">AC58+AE58</f>
        <v>18663484</v>
      </c>
      <c r="AH58" s="104"/>
      <c r="AI58" s="103">
        <f>AI59+AI60</f>
        <v>1408750</v>
      </c>
      <c r="AJ58" s="103">
        <v>0</v>
      </c>
      <c r="AK58" s="103">
        <f t="shared" ref="AK58:AK60" si="45">AG58+AI58</f>
        <v>20072234</v>
      </c>
      <c r="AL58" s="104"/>
      <c r="AM58" s="103">
        <f>AM59+AM60</f>
        <v>1649496</v>
      </c>
      <c r="AN58" s="103">
        <v>0</v>
      </c>
      <c r="AO58" s="103">
        <f t="shared" ref="AO58:AO60" si="46">AK58+AM58</f>
        <v>21721730</v>
      </c>
      <c r="AP58" s="104"/>
      <c r="AQ58" s="103">
        <f>AQ59+AQ60</f>
        <v>1370000</v>
      </c>
      <c r="AR58" s="103">
        <v>0</v>
      </c>
      <c r="AS58" s="103">
        <f t="shared" ref="AS58:AS60" si="47">AO58+AQ58</f>
        <v>23091730</v>
      </c>
      <c r="AT58" s="104"/>
    </row>
    <row r="59" spans="1:46" ht="24" customHeight="1" x14ac:dyDescent="0.25">
      <c r="A59" s="107" t="s">
        <v>66</v>
      </c>
      <c r="B59" s="107" t="s">
        <v>67</v>
      </c>
      <c r="C59" s="111">
        <v>2120000</v>
      </c>
      <c r="D59" s="26">
        <v>0</v>
      </c>
      <c r="E59" s="26">
        <f t="shared" si="27"/>
        <v>2120000</v>
      </c>
      <c r="F59" s="108"/>
      <c r="G59" s="111">
        <v>2120000</v>
      </c>
      <c r="H59" s="26">
        <v>0</v>
      </c>
      <c r="I59" s="26">
        <f t="shared" si="8"/>
        <v>4240000</v>
      </c>
      <c r="J59" s="111">
        <v>2120000</v>
      </c>
      <c r="K59" s="26">
        <v>0</v>
      </c>
      <c r="L59" s="26">
        <f t="shared" si="28"/>
        <v>6360000</v>
      </c>
      <c r="M59" s="111">
        <v>2120000</v>
      </c>
      <c r="N59" s="26">
        <v>0</v>
      </c>
      <c r="O59" s="103">
        <f t="shared" si="41"/>
        <v>8480000</v>
      </c>
      <c r="P59" s="111">
        <v>2120000</v>
      </c>
      <c r="Q59" s="26">
        <v>0</v>
      </c>
      <c r="R59" s="26">
        <f t="shared" si="30"/>
        <v>10600000</v>
      </c>
      <c r="S59" s="111">
        <v>2120000</v>
      </c>
      <c r="T59" s="26"/>
      <c r="U59" s="26">
        <f t="shared" si="25"/>
        <v>12720000</v>
      </c>
      <c r="V59" s="108"/>
      <c r="W59" s="111">
        <v>1370000</v>
      </c>
      <c r="X59" s="26"/>
      <c r="Y59" s="26">
        <f t="shared" si="42"/>
        <v>14090000</v>
      </c>
      <c r="Z59" s="108"/>
      <c r="AA59" s="111">
        <v>1370000</v>
      </c>
      <c r="AB59" s="26"/>
      <c r="AC59" s="103">
        <f t="shared" si="43"/>
        <v>15460000</v>
      </c>
      <c r="AD59" s="108"/>
      <c r="AE59" s="26">
        <v>1370000</v>
      </c>
      <c r="AF59" s="26"/>
      <c r="AG59" s="26">
        <f t="shared" si="44"/>
        <v>16830000</v>
      </c>
      <c r="AH59" s="108"/>
      <c r="AI59" s="26">
        <v>1370000</v>
      </c>
      <c r="AJ59" s="26"/>
      <c r="AK59" s="26">
        <f t="shared" si="45"/>
        <v>18200000</v>
      </c>
      <c r="AL59" s="108"/>
      <c r="AM59" s="26">
        <v>1370000</v>
      </c>
      <c r="AN59" s="26"/>
      <c r="AO59" s="26">
        <f t="shared" si="46"/>
        <v>19570000</v>
      </c>
      <c r="AP59" s="108"/>
      <c r="AQ59" s="26">
        <v>1370000</v>
      </c>
      <c r="AR59" s="26"/>
      <c r="AS59" s="26">
        <f t="shared" si="47"/>
        <v>20940000</v>
      </c>
      <c r="AT59" s="108"/>
    </row>
    <row r="60" spans="1:46" ht="15.75" customHeight="1" x14ac:dyDescent="0.25">
      <c r="A60" s="107">
        <v>512015</v>
      </c>
      <c r="B60" s="107" t="s">
        <v>170</v>
      </c>
      <c r="C60" s="26"/>
      <c r="D60" s="26">
        <v>0</v>
      </c>
      <c r="E60" s="26">
        <f t="shared" si="27"/>
        <v>0</v>
      </c>
      <c r="F60" s="108"/>
      <c r="G60" s="26">
        <v>255080</v>
      </c>
      <c r="H60" s="26"/>
      <c r="I60" s="26">
        <f t="shared" si="8"/>
        <v>255080</v>
      </c>
      <c r="J60" s="26"/>
      <c r="K60" s="26"/>
      <c r="L60" s="26">
        <f t="shared" si="28"/>
        <v>255080</v>
      </c>
      <c r="M60" s="26">
        <v>427332</v>
      </c>
      <c r="N60" s="26"/>
      <c r="O60" s="103">
        <f t="shared" si="41"/>
        <v>682412</v>
      </c>
      <c r="P60" s="96">
        <v>140000</v>
      </c>
      <c r="Q60" s="26"/>
      <c r="R60" s="26">
        <f t="shared" si="30"/>
        <v>822412</v>
      </c>
      <c r="S60" s="26">
        <v>0</v>
      </c>
      <c r="T60" s="26"/>
      <c r="U60" s="26">
        <f t="shared" si="25"/>
        <v>822412</v>
      </c>
      <c r="V60" s="108"/>
      <c r="W60" s="26">
        <v>438472</v>
      </c>
      <c r="X60" s="26"/>
      <c r="Y60" s="26">
        <f t="shared" si="42"/>
        <v>1260884</v>
      </c>
      <c r="Z60" s="108"/>
      <c r="AA60" s="26">
        <v>421000</v>
      </c>
      <c r="AB60" s="26"/>
      <c r="AC60" s="103">
        <f t="shared" si="43"/>
        <v>1681884</v>
      </c>
      <c r="AD60" s="108"/>
      <c r="AE60" s="26">
        <v>151600</v>
      </c>
      <c r="AF60" s="26"/>
      <c r="AG60" s="26">
        <f t="shared" si="44"/>
        <v>1833484</v>
      </c>
      <c r="AH60" s="108"/>
      <c r="AI60" s="26">
        <v>38750</v>
      </c>
      <c r="AJ60" s="26"/>
      <c r="AK60" s="26">
        <f t="shared" si="45"/>
        <v>1872234</v>
      </c>
      <c r="AL60" s="108"/>
      <c r="AM60" s="26">
        <v>279496</v>
      </c>
      <c r="AN60" s="26"/>
      <c r="AO60" s="26">
        <f t="shared" si="46"/>
        <v>2151730</v>
      </c>
      <c r="AP60" s="108"/>
      <c r="AQ60" s="26"/>
      <c r="AR60" s="26"/>
      <c r="AS60" s="26">
        <f t="shared" si="47"/>
        <v>2151730</v>
      </c>
      <c r="AT60" s="108"/>
    </row>
    <row r="61" spans="1:46" ht="15.75" customHeight="1" x14ac:dyDescent="0.25">
      <c r="A61" s="107"/>
      <c r="B61" s="107"/>
      <c r="C61" s="26"/>
      <c r="D61" s="26"/>
      <c r="E61" s="26"/>
      <c r="F61" s="108"/>
      <c r="G61" s="26"/>
      <c r="H61" s="26"/>
      <c r="I61" s="26">
        <f t="shared" si="8"/>
        <v>0</v>
      </c>
      <c r="J61" s="26"/>
      <c r="K61" s="26"/>
      <c r="L61" s="26">
        <f t="shared" si="28"/>
        <v>0</v>
      </c>
      <c r="M61" s="26"/>
      <c r="N61" s="26"/>
      <c r="O61" s="103">
        <f t="shared" si="41"/>
        <v>0</v>
      </c>
      <c r="P61" s="96"/>
      <c r="Q61" s="26"/>
      <c r="R61" s="26">
        <f t="shared" si="30"/>
        <v>0</v>
      </c>
      <c r="S61" s="26"/>
      <c r="T61" s="26"/>
      <c r="U61" s="26">
        <f t="shared" si="25"/>
        <v>0</v>
      </c>
      <c r="V61" s="108"/>
      <c r="W61" s="26"/>
      <c r="X61" s="26"/>
      <c r="Y61" s="26"/>
      <c r="Z61" s="108"/>
      <c r="AA61" s="26"/>
      <c r="AB61" s="26"/>
      <c r="AC61" s="103"/>
      <c r="AD61" s="108"/>
      <c r="AE61" s="26"/>
      <c r="AF61" s="26"/>
      <c r="AG61" s="26"/>
      <c r="AH61" s="108"/>
      <c r="AI61" s="26"/>
      <c r="AJ61" s="26"/>
      <c r="AK61" s="26"/>
      <c r="AL61" s="108"/>
      <c r="AM61" s="26"/>
      <c r="AN61" s="26"/>
      <c r="AO61" s="26"/>
      <c r="AP61" s="108"/>
      <c r="AQ61" s="26"/>
      <c r="AR61" s="26"/>
      <c r="AS61" s="26"/>
      <c r="AT61" s="108"/>
    </row>
    <row r="62" spans="1:46" ht="23.25" customHeight="1" x14ac:dyDescent="0.25">
      <c r="A62" s="102">
        <v>5125</v>
      </c>
      <c r="B62" s="102" t="s">
        <v>311</v>
      </c>
      <c r="C62" s="103">
        <f>+C63</f>
        <v>25210</v>
      </c>
      <c r="D62" s="103"/>
      <c r="E62" s="103">
        <f>+E63</f>
        <v>25210</v>
      </c>
      <c r="F62" s="104"/>
      <c r="G62" s="103">
        <f>+G63</f>
        <v>0</v>
      </c>
      <c r="H62" s="103"/>
      <c r="I62" s="103">
        <f t="shared" si="8"/>
        <v>25210</v>
      </c>
      <c r="J62" s="103">
        <f>+J63</f>
        <v>0</v>
      </c>
      <c r="K62" s="103"/>
      <c r="L62" s="103">
        <f t="shared" si="28"/>
        <v>25210</v>
      </c>
      <c r="M62" s="103">
        <v>0</v>
      </c>
      <c r="N62" s="103"/>
      <c r="O62" s="103">
        <f t="shared" si="41"/>
        <v>25210</v>
      </c>
      <c r="P62" s="103">
        <f>+P63</f>
        <v>0</v>
      </c>
      <c r="Q62" s="103"/>
      <c r="R62" s="103">
        <f t="shared" si="30"/>
        <v>25210</v>
      </c>
      <c r="S62" s="103">
        <v>0</v>
      </c>
      <c r="T62" s="103"/>
      <c r="U62" s="103">
        <f t="shared" si="25"/>
        <v>25210</v>
      </c>
      <c r="V62" s="104"/>
      <c r="W62" s="103">
        <v>0</v>
      </c>
      <c r="X62" s="103"/>
      <c r="Y62" s="103">
        <f>U62+W62</f>
        <v>25210</v>
      </c>
      <c r="Z62" s="104"/>
      <c r="AA62" s="103">
        <v>0</v>
      </c>
      <c r="AB62" s="103"/>
      <c r="AC62" s="103">
        <f>Y62+AA62</f>
        <v>25210</v>
      </c>
      <c r="AD62" s="104"/>
      <c r="AE62" s="103">
        <f>AE63</f>
        <v>476700</v>
      </c>
      <c r="AF62" s="103"/>
      <c r="AG62" s="103">
        <f>AC62+AE62</f>
        <v>501910</v>
      </c>
      <c r="AH62" s="104"/>
      <c r="AI62" s="103">
        <f>+AI63</f>
        <v>193970</v>
      </c>
      <c r="AJ62" s="103"/>
      <c r="AK62" s="103">
        <f t="shared" ref="AK62:AK63" si="48">AG62+AI62</f>
        <v>695880</v>
      </c>
      <c r="AL62" s="104"/>
      <c r="AM62" s="103">
        <f>+AM63</f>
        <v>199978</v>
      </c>
      <c r="AN62" s="103"/>
      <c r="AO62" s="103">
        <f t="shared" ref="AO62:AO63" si="49">AK62+AM62</f>
        <v>895858</v>
      </c>
      <c r="AP62" s="104"/>
      <c r="AQ62" s="103">
        <v>0</v>
      </c>
      <c r="AR62" s="103"/>
      <c r="AS62" s="103">
        <f t="shared" ref="AS62:AS63" si="50">AO62+AQ62</f>
        <v>895858</v>
      </c>
      <c r="AT62" s="104"/>
    </row>
    <row r="63" spans="1:46" x14ac:dyDescent="0.25">
      <c r="A63" s="107">
        <v>512510</v>
      </c>
      <c r="B63" s="107" t="s">
        <v>167</v>
      </c>
      <c r="C63" s="26">
        <v>25210</v>
      </c>
      <c r="D63" s="26">
        <v>0</v>
      </c>
      <c r="E63" s="26">
        <f>+C63</f>
        <v>25210</v>
      </c>
      <c r="F63" s="108"/>
      <c r="G63" s="26"/>
      <c r="H63" s="26"/>
      <c r="I63" s="26">
        <f t="shared" si="8"/>
        <v>25210</v>
      </c>
      <c r="J63" s="26">
        <v>0</v>
      </c>
      <c r="K63" s="26"/>
      <c r="L63" s="26">
        <f t="shared" si="28"/>
        <v>25210</v>
      </c>
      <c r="M63" s="26"/>
      <c r="N63" s="26"/>
      <c r="O63" s="103">
        <f t="shared" si="41"/>
        <v>25210</v>
      </c>
      <c r="P63" s="96"/>
      <c r="Q63" s="26"/>
      <c r="R63" s="26">
        <f t="shared" si="30"/>
        <v>25210</v>
      </c>
      <c r="S63" s="26">
        <v>0</v>
      </c>
      <c r="T63" s="26"/>
      <c r="U63" s="26">
        <f t="shared" si="25"/>
        <v>25210</v>
      </c>
      <c r="V63" s="108"/>
      <c r="W63" s="26">
        <v>0</v>
      </c>
      <c r="X63" s="26"/>
      <c r="Y63" s="26">
        <f t="shared" ref="Y63" si="51">U63+W63</f>
        <v>25210</v>
      </c>
      <c r="Z63" s="108"/>
      <c r="AA63" s="26">
        <v>0</v>
      </c>
      <c r="AB63" s="26"/>
      <c r="AC63" s="103">
        <f t="shared" ref="AC63" si="52">Y63+AA63</f>
        <v>25210</v>
      </c>
      <c r="AD63" s="108"/>
      <c r="AE63" s="26">
        <v>476700</v>
      </c>
      <c r="AF63" s="26"/>
      <c r="AG63" s="26">
        <f t="shared" ref="AG63" si="53">AC63+AE63</f>
        <v>501910</v>
      </c>
      <c r="AH63" s="108"/>
      <c r="AI63" s="26">
        <v>193970</v>
      </c>
      <c r="AJ63" s="26"/>
      <c r="AK63" s="26">
        <f t="shared" si="48"/>
        <v>695880</v>
      </c>
      <c r="AL63" s="108"/>
      <c r="AM63" s="26">
        <v>199978</v>
      </c>
      <c r="AN63" s="26"/>
      <c r="AO63" s="26">
        <f t="shared" si="49"/>
        <v>895858</v>
      </c>
      <c r="AP63" s="108"/>
      <c r="AQ63" s="26">
        <v>0</v>
      </c>
      <c r="AR63" s="26"/>
      <c r="AS63" s="26">
        <f t="shared" si="50"/>
        <v>895858</v>
      </c>
      <c r="AT63" s="108"/>
    </row>
    <row r="64" spans="1:46" x14ac:dyDescent="0.25">
      <c r="A64" s="107"/>
      <c r="B64" s="107"/>
      <c r="C64" s="26"/>
      <c r="D64" s="26"/>
      <c r="E64" s="26"/>
      <c r="F64" s="108"/>
      <c r="G64" s="26"/>
      <c r="H64" s="26"/>
      <c r="I64" s="26">
        <f t="shared" si="8"/>
        <v>0</v>
      </c>
      <c r="J64" s="26"/>
      <c r="K64" s="26"/>
      <c r="L64" s="26">
        <f t="shared" si="28"/>
        <v>0</v>
      </c>
      <c r="M64" s="26"/>
      <c r="N64" s="26"/>
      <c r="O64" s="103">
        <f t="shared" si="41"/>
        <v>0</v>
      </c>
      <c r="P64" s="96"/>
      <c r="Q64" s="26"/>
      <c r="R64" s="26">
        <f t="shared" si="30"/>
        <v>0</v>
      </c>
      <c r="S64" s="26"/>
      <c r="T64" s="26"/>
      <c r="U64" s="26">
        <f t="shared" si="25"/>
        <v>0</v>
      </c>
      <c r="V64" s="108"/>
      <c r="W64" s="26"/>
      <c r="X64" s="26"/>
      <c r="Y64" s="26"/>
      <c r="Z64" s="108"/>
      <c r="AA64" s="26"/>
      <c r="AB64" s="26"/>
      <c r="AC64" s="103"/>
      <c r="AD64" s="108"/>
      <c r="AE64" s="26"/>
      <c r="AF64" s="26"/>
      <c r="AG64" s="26"/>
      <c r="AH64" s="108"/>
      <c r="AI64" s="26"/>
      <c r="AJ64" s="26"/>
      <c r="AK64" s="26"/>
      <c r="AL64" s="108"/>
      <c r="AM64" s="26"/>
      <c r="AN64" s="26"/>
      <c r="AO64" s="26"/>
      <c r="AP64" s="108"/>
      <c r="AQ64" s="26"/>
      <c r="AR64" s="26"/>
      <c r="AS64" s="26"/>
      <c r="AT64" s="108"/>
    </row>
    <row r="65" spans="1:46" x14ac:dyDescent="0.25">
      <c r="A65" s="102" t="s">
        <v>68</v>
      </c>
      <c r="B65" s="102" t="s">
        <v>69</v>
      </c>
      <c r="C65" s="103">
        <f>+C66</f>
        <v>884700</v>
      </c>
      <c r="D65" s="103">
        <v>0</v>
      </c>
      <c r="E65" s="103">
        <f t="shared" ref="E65:E148" si="54">+C65</f>
        <v>884700</v>
      </c>
      <c r="F65" s="104"/>
      <c r="G65" s="103">
        <f>G68</f>
        <v>0</v>
      </c>
      <c r="H65" s="103">
        <v>0</v>
      </c>
      <c r="I65" s="103">
        <f t="shared" si="8"/>
        <v>884700</v>
      </c>
      <c r="J65" s="103">
        <f>J66+J67</f>
        <v>0</v>
      </c>
      <c r="K65" s="103">
        <v>0</v>
      </c>
      <c r="L65" s="103">
        <f t="shared" si="28"/>
        <v>884700</v>
      </c>
      <c r="M65" s="103">
        <f>M66+M67+M68</f>
        <v>0</v>
      </c>
      <c r="N65" s="103">
        <v>0</v>
      </c>
      <c r="O65" s="103">
        <f t="shared" si="41"/>
        <v>884700</v>
      </c>
      <c r="P65" s="103">
        <f>P66+P67+P68</f>
        <v>0</v>
      </c>
      <c r="Q65" s="103">
        <v>0</v>
      </c>
      <c r="R65" s="103">
        <f t="shared" si="30"/>
        <v>884700</v>
      </c>
      <c r="S65" s="103">
        <f>S66+S67+S68</f>
        <v>0</v>
      </c>
      <c r="T65" s="103">
        <v>0</v>
      </c>
      <c r="U65" s="103">
        <f t="shared" si="25"/>
        <v>884700</v>
      </c>
      <c r="V65" s="104"/>
      <c r="W65" s="103">
        <f>W66+W67+W68</f>
        <v>0</v>
      </c>
      <c r="X65" s="103">
        <v>0</v>
      </c>
      <c r="Y65" s="103">
        <f t="shared" ref="Y65:Y72" si="55">U65+W65</f>
        <v>884700</v>
      </c>
      <c r="Z65" s="104"/>
      <c r="AA65" s="103">
        <f>AA66+AA67+AA68</f>
        <v>0</v>
      </c>
      <c r="AB65" s="103">
        <v>0</v>
      </c>
      <c r="AC65" s="103">
        <f t="shared" ref="AC65:AC72" si="56">Y65+AA65</f>
        <v>884700</v>
      </c>
      <c r="AD65" s="104"/>
      <c r="AE65" s="103">
        <f>AE66+AE67+AE68</f>
        <v>0</v>
      </c>
      <c r="AF65" s="103">
        <v>0</v>
      </c>
      <c r="AG65" s="103">
        <f t="shared" ref="AG65:AG72" si="57">AC65+AE65</f>
        <v>884700</v>
      </c>
      <c r="AH65" s="104"/>
      <c r="AI65" s="103">
        <f>AI66+AI67+AI68</f>
        <v>0</v>
      </c>
      <c r="AJ65" s="103">
        <v>0</v>
      </c>
      <c r="AK65" s="103">
        <f t="shared" ref="AK65:AK72" si="58">AG65+AI65</f>
        <v>884700</v>
      </c>
      <c r="AL65" s="104"/>
      <c r="AM65" s="103">
        <f>AM66+AM67+AM68</f>
        <v>0</v>
      </c>
      <c r="AN65" s="103">
        <v>0</v>
      </c>
      <c r="AO65" s="103">
        <f t="shared" ref="AO65:AO72" si="59">AK65+AM65</f>
        <v>884700</v>
      </c>
      <c r="AP65" s="104"/>
      <c r="AQ65" s="103">
        <f>AQ66+AQ67+AQ68</f>
        <v>0</v>
      </c>
      <c r="AR65" s="103">
        <v>0</v>
      </c>
      <c r="AS65" s="103">
        <f t="shared" ref="AS65:AS72" si="60">AO65+AQ65</f>
        <v>884700</v>
      </c>
      <c r="AT65" s="104"/>
    </row>
    <row r="66" spans="1:46" x14ac:dyDescent="0.25">
      <c r="A66" s="107">
        <v>513040</v>
      </c>
      <c r="B66" s="107" t="s">
        <v>290</v>
      </c>
      <c r="C66" s="26">
        <v>884700</v>
      </c>
      <c r="D66" s="26"/>
      <c r="E66" s="26">
        <f t="shared" si="54"/>
        <v>884700</v>
      </c>
      <c r="F66" s="108"/>
      <c r="G66" s="26"/>
      <c r="H66" s="26"/>
      <c r="I66" s="26">
        <f t="shared" si="8"/>
        <v>884700</v>
      </c>
      <c r="J66" s="26"/>
      <c r="K66" s="26"/>
      <c r="L66" s="26">
        <f t="shared" si="28"/>
        <v>884700</v>
      </c>
      <c r="M66" s="26"/>
      <c r="N66" s="26"/>
      <c r="O66" s="103">
        <f t="shared" si="41"/>
        <v>884700</v>
      </c>
      <c r="P66" s="96"/>
      <c r="Q66" s="26"/>
      <c r="R66" s="26">
        <f t="shared" si="30"/>
        <v>884700</v>
      </c>
      <c r="S66" s="26">
        <v>0</v>
      </c>
      <c r="T66" s="26"/>
      <c r="U66" s="26">
        <f t="shared" si="25"/>
        <v>884700</v>
      </c>
      <c r="V66" s="108"/>
      <c r="W66" s="26">
        <v>0</v>
      </c>
      <c r="X66" s="26"/>
      <c r="Y66" s="26">
        <f t="shared" si="55"/>
        <v>884700</v>
      </c>
      <c r="Z66" s="108"/>
      <c r="AA66" s="26">
        <v>0</v>
      </c>
      <c r="AB66" s="26"/>
      <c r="AC66" s="103">
        <f t="shared" si="56"/>
        <v>884700</v>
      </c>
      <c r="AD66" s="108"/>
      <c r="AE66" s="26">
        <v>0</v>
      </c>
      <c r="AF66" s="26"/>
      <c r="AG66" s="26">
        <f t="shared" si="57"/>
        <v>884700</v>
      </c>
      <c r="AH66" s="108"/>
      <c r="AI66" s="26">
        <v>0</v>
      </c>
      <c r="AJ66" s="26"/>
      <c r="AK66" s="26">
        <f t="shared" si="58"/>
        <v>884700</v>
      </c>
      <c r="AL66" s="108"/>
      <c r="AM66" s="26">
        <v>0</v>
      </c>
      <c r="AN66" s="26"/>
      <c r="AO66" s="26">
        <f t="shared" si="59"/>
        <v>884700</v>
      </c>
      <c r="AP66" s="108"/>
      <c r="AQ66" s="26">
        <v>0</v>
      </c>
      <c r="AR66" s="26"/>
      <c r="AS66" s="26">
        <f t="shared" si="60"/>
        <v>884700</v>
      </c>
      <c r="AT66" s="108"/>
    </row>
    <row r="67" spans="1:46" ht="21" x14ac:dyDescent="0.25">
      <c r="A67" s="107">
        <v>513075</v>
      </c>
      <c r="B67" s="107" t="s">
        <v>287</v>
      </c>
      <c r="C67" s="26"/>
      <c r="D67" s="26"/>
      <c r="E67" s="26">
        <f>+C67</f>
        <v>0</v>
      </c>
      <c r="F67" s="108"/>
      <c r="G67" s="26"/>
      <c r="H67" s="26"/>
      <c r="I67" s="26">
        <f t="shared" si="8"/>
        <v>0</v>
      </c>
      <c r="J67" s="26"/>
      <c r="K67" s="26"/>
      <c r="L67" s="26">
        <f t="shared" si="28"/>
        <v>0</v>
      </c>
      <c r="M67" s="26"/>
      <c r="N67" s="26"/>
      <c r="O67" s="103">
        <f t="shared" si="41"/>
        <v>0</v>
      </c>
      <c r="P67" s="96"/>
      <c r="Q67" s="26"/>
      <c r="R67" s="26">
        <f t="shared" si="30"/>
        <v>0</v>
      </c>
      <c r="S67" s="26">
        <v>0</v>
      </c>
      <c r="T67" s="26"/>
      <c r="U67" s="26">
        <f t="shared" si="25"/>
        <v>0</v>
      </c>
      <c r="V67" s="108"/>
      <c r="W67" s="26">
        <v>0</v>
      </c>
      <c r="X67" s="26"/>
      <c r="Y67" s="26">
        <f t="shared" si="55"/>
        <v>0</v>
      </c>
      <c r="Z67" s="108"/>
      <c r="AA67" s="26">
        <v>0</v>
      </c>
      <c r="AB67" s="26"/>
      <c r="AC67" s="103">
        <f t="shared" si="56"/>
        <v>0</v>
      </c>
      <c r="AD67" s="108"/>
      <c r="AE67" s="26">
        <v>0</v>
      </c>
      <c r="AF67" s="26"/>
      <c r="AG67" s="26">
        <f t="shared" si="57"/>
        <v>0</v>
      </c>
      <c r="AH67" s="108"/>
      <c r="AI67" s="26">
        <v>0</v>
      </c>
      <c r="AJ67" s="26"/>
      <c r="AK67" s="26">
        <f t="shared" si="58"/>
        <v>0</v>
      </c>
      <c r="AL67" s="108"/>
      <c r="AM67" s="26">
        <v>0</v>
      </c>
      <c r="AN67" s="26"/>
      <c r="AO67" s="26">
        <f t="shared" si="59"/>
        <v>0</v>
      </c>
      <c r="AP67" s="108"/>
      <c r="AQ67" s="26">
        <v>0</v>
      </c>
      <c r="AR67" s="26"/>
      <c r="AS67" s="26">
        <f t="shared" si="60"/>
        <v>0</v>
      </c>
      <c r="AT67" s="108"/>
    </row>
    <row r="68" spans="1:46" x14ac:dyDescent="0.25">
      <c r="A68" s="107" t="s">
        <v>70</v>
      </c>
      <c r="B68" s="107" t="s">
        <v>286</v>
      </c>
      <c r="C68" s="26"/>
      <c r="D68" s="26">
        <v>0</v>
      </c>
      <c r="E68" s="26">
        <f t="shared" si="54"/>
        <v>0</v>
      </c>
      <c r="F68" s="108"/>
      <c r="G68" s="26">
        <v>0</v>
      </c>
      <c r="H68" s="26">
        <v>0</v>
      </c>
      <c r="I68" s="26">
        <f t="shared" si="8"/>
        <v>0</v>
      </c>
      <c r="J68" s="26">
        <v>0</v>
      </c>
      <c r="K68" s="26">
        <v>0</v>
      </c>
      <c r="L68" s="26">
        <f t="shared" si="28"/>
        <v>0</v>
      </c>
      <c r="M68" s="26">
        <v>0</v>
      </c>
      <c r="N68" s="26">
        <v>0</v>
      </c>
      <c r="O68" s="103">
        <f t="shared" si="41"/>
        <v>0</v>
      </c>
      <c r="P68" s="96">
        <v>0</v>
      </c>
      <c r="Q68" s="26">
        <v>0</v>
      </c>
      <c r="R68" s="26">
        <f t="shared" si="30"/>
        <v>0</v>
      </c>
      <c r="S68" s="26">
        <v>0</v>
      </c>
      <c r="T68" s="26">
        <v>0</v>
      </c>
      <c r="U68" s="26">
        <f t="shared" si="25"/>
        <v>0</v>
      </c>
      <c r="V68" s="108"/>
      <c r="W68" s="26">
        <v>0</v>
      </c>
      <c r="X68" s="26">
        <v>0</v>
      </c>
      <c r="Y68" s="26">
        <f t="shared" si="55"/>
        <v>0</v>
      </c>
      <c r="Z68" s="108"/>
      <c r="AA68" s="26">
        <v>0</v>
      </c>
      <c r="AB68" s="26">
        <v>0</v>
      </c>
      <c r="AC68" s="103">
        <f t="shared" si="56"/>
        <v>0</v>
      </c>
      <c r="AD68" s="108"/>
      <c r="AE68" s="26">
        <v>0</v>
      </c>
      <c r="AF68" s="26">
        <v>0</v>
      </c>
      <c r="AG68" s="26">
        <f t="shared" si="57"/>
        <v>0</v>
      </c>
      <c r="AH68" s="108"/>
      <c r="AI68" s="26">
        <v>0</v>
      </c>
      <c r="AJ68" s="26">
        <v>0</v>
      </c>
      <c r="AK68" s="26">
        <f t="shared" si="58"/>
        <v>0</v>
      </c>
      <c r="AL68" s="108"/>
      <c r="AM68" s="26">
        <v>0</v>
      </c>
      <c r="AN68" s="26">
        <v>0</v>
      </c>
      <c r="AO68" s="26">
        <f t="shared" si="59"/>
        <v>0</v>
      </c>
      <c r="AP68" s="108"/>
      <c r="AQ68" s="26">
        <v>0</v>
      </c>
      <c r="AR68" s="26">
        <v>0</v>
      </c>
      <c r="AS68" s="26">
        <f t="shared" si="60"/>
        <v>0</v>
      </c>
      <c r="AT68" s="108"/>
    </row>
    <row r="69" spans="1:46" x14ac:dyDescent="0.25">
      <c r="A69" s="107"/>
      <c r="B69" s="107"/>
      <c r="C69" s="26"/>
      <c r="D69" s="26"/>
      <c r="E69" s="26"/>
      <c r="F69" s="108"/>
      <c r="G69" s="26"/>
      <c r="H69" s="26"/>
      <c r="I69" s="26">
        <f t="shared" si="8"/>
        <v>0</v>
      </c>
      <c r="J69" s="26"/>
      <c r="K69" s="26"/>
      <c r="L69" s="26">
        <f t="shared" si="28"/>
        <v>0</v>
      </c>
      <c r="M69" s="26"/>
      <c r="N69" s="26"/>
      <c r="O69" s="103">
        <f t="shared" si="41"/>
        <v>0</v>
      </c>
      <c r="P69" s="96"/>
      <c r="Q69" s="26"/>
      <c r="R69" s="26">
        <f t="shared" si="30"/>
        <v>0</v>
      </c>
      <c r="S69" s="26"/>
      <c r="T69" s="26"/>
      <c r="U69" s="26">
        <f t="shared" si="25"/>
        <v>0</v>
      </c>
      <c r="V69" s="108"/>
      <c r="W69" s="26"/>
      <c r="X69" s="26"/>
      <c r="Y69" s="26">
        <f t="shared" si="55"/>
        <v>0</v>
      </c>
      <c r="Z69" s="108"/>
      <c r="AA69" s="26"/>
      <c r="AB69" s="26"/>
      <c r="AC69" s="103">
        <f t="shared" si="56"/>
        <v>0</v>
      </c>
      <c r="AD69" s="108"/>
      <c r="AE69" s="26"/>
      <c r="AF69" s="26"/>
      <c r="AG69" s="26">
        <f t="shared" si="57"/>
        <v>0</v>
      </c>
      <c r="AH69" s="108"/>
      <c r="AI69" s="26"/>
      <c r="AJ69" s="26"/>
      <c r="AK69" s="26">
        <f t="shared" si="58"/>
        <v>0</v>
      </c>
      <c r="AL69" s="108"/>
      <c r="AM69" s="26"/>
      <c r="AN69" s="26"/>
      <c r="AO69" s="26">
        <f t="shared" si="59"/>
        <v>0</v>
      </c>
      <c r="AP69" s="108"/>
      <c r="AQ69" s="26"/>
      <c r="AR69" s="26"/>
      <c r="AS69" s="26">
        <f t="shared" si="60"/>
        <v>0</v>
      </c>
      <c r="AT69" s="108"/>
    </row>
    <row r="70" spans="1:46" x14ac:dyDescent="0.25">
      <c r="A70" s="102" t="s">
        <v>72</v>
      </c>
      <c r="B70" s="102" t="s">
        <v>26</v>
      </c>
      <c r="C70" s="103">
        <f>C71+C72+C74+C75+C76+C78+C77+C79+C80</f>
        <v>3418505</v>
      </c>
      <c r="D70" s="103">
        <v>0</v>
      </c>
      <c r="E70" s="103">
        <f t="shared" si="54"/>
        <v>3418505</v>
      </c>
      <c r="F70" s="104"/>
      <c r="G70" s="103">
        <f>G71+G72+G74+G75+G76+G79</f>
        <v>2074272</v>
      </c>
      <c r="H70" s="103">
        <v>0</v>
      </c>
      <c r="I70" s="103">
        <f t="shared" si="8"/>
        <v>5492777</v>
      </c>
      <c r="J70" s="103">
        <f>J71+J72+J74+J75+J76+J79</f>
        <v>3647620</v>
      </c>
      <c r="K70" s="103">
        <v>0</v>
      </c>
      <c r="L70" s="103">
        <f t="shared" si="28"/>
        <v>9140397</v>
      </c>
      <c r="M70" s="103">
        <f>SUM(M71:M79)</f>
        <v>2591750</v>
      </c>
      <c r="N70" s="103">
        <v>0</v>
      </c>
      <c r="O70" s="103">
        <f t="shared" si="41"/>
        <v>11732147</v>
      </c>
      <c r="P70" s="103">
        <f>SUM(P71:P79)</f>
        <v>5752836</v>
      </c>
      <c r="Q70" s="103">
        <v>0</v>
      </c>
      <c r="R70" s="103">
        <f t="shared" si="30"/>
        <v>17484983</v>
      </c>
      <c r="S70" s="103">
        <f>SUM(S71:S79)</f>
        <v>4358266</v>
      </c>
      <c r="T70" s="103">
        <v>0</v>
      </c>
      <c r="U70" s="103">
        <f t="shared" si="25"/>
        <v>21843249</v>
      </c>
      <c r="V70" s="104"/>
      <c r="W70" s="103">
        <f>SUM(W71:W79)</f>
        <v>3158185</v>
      </c>
      <c r="X70" s="103">
        <v>0</v>
      </c>
      <c r="Y70" s="103">
        <f t="shared" si="55"/>
        <v>25001434</v>
      </c>
      <c r="Z70" s="104"/>
      <c r="AA70" s="103">
        <f>SUM(AA71:AA79)</f>
        <v>3190140</v>
      </c>
      <c r="AB70" s="103">
        <v>0</v>
      </c>
      <c r="AC70" s="103">
        <f t="shared" si="56"/>
        <v>28191574</v>
      </c>
      <c r="AD70" s="104"/>
      <c r="AE70" s="103">
        <f>SUM(AE71:AE79)</f>
        <v>3642080</v>
      </c>
      <c r="AF70" s="103">
        <v>0</v>
      </c>
      <c r="AG70" s="103">
        <f t="shared" si="57"/>
        <v>31833654</v>
      </c>
      <c r="AH70" s="104"/>
      <c r="AI70" s="103">
        <f>SUM(AI71:AI79)</f>
        <v>5798381</v>
      </c>
      <c r="AJ70" s="103">
        <v>0</v>
      </c>
      <c r="AK70" s="103">
        <f t="shared" si="58"/>
        <v>37632035</v>
      </c>
      <c r="AL70" s="104"/>
      <c r="AM70" s="103">
        <f>SUM(AM71:AM79)</f>
        <v>3600180</v>
      </c>
      <c r="AN70" s="103">
        <v>0</v>
      </c>
      <c r="AO70" s="103">
        <f t="shared" si="59"/>
        <v>41232215</v>
      </c>
      <c r="AP70" s="104"/>
      <c r="AQ70" s="103">
        <f>SUM(AQ71:AQ79)</f>
        <v>5438499</v>
      </c>
      <c r="AR70" s="103">
        <v>0</v>
      </c>
      <c r="AS70" s="103">
        <f t="shared" si="60"/>
        <v>46670714</v>
      </c>
      <c r="AT70" s="104"/>
    </row>
    <row r="71" spans="1:46" x14ac:dyDescent="0.25">
      <c r="A71" s="107" t="s">
        <v>73</v>
      </c>
      <c r="B71" s="107" t="s">
        <v>74</v>
      </c>
      <c r="C71" s="26"/>
      <c r="D71" s="26">
        <v>0</v>
      </c>
      <c r="E71" s="26">
        <f t="shared" si="54"/>
        <v>0</v>
      </c>
      <c r="F71" s="108"/>
      <c r="G71" s="26"/>
      <c r="H71" s="26">
        <v>0</v>
      </c>
      <c r="I71" s="26">
        <f t="shared" si="8"/>
        <v>0</v>
      </c>
      <c r="J71" s="26">
        <v>0</v>
      </c>
      <c r="K71" s="26">
        <v>0</v>
      </c>
      <c r="L71" s="26">
        <f t="shared" si="28"/>
        <v>0</v>
      </c>
      <c r="M71" s="26">
        <v>0</v>
      </c>
      <c r="N71" s="26">
        <v>0</v>
      </c>
      <c r="O71" s="103">
        <f t="shared" si="29"/>
        <v>0</v>
      </c>
      <c r="P71" s="96">
        <v>70000</v>
      </c>
      <c r="Q71" s="26">
        <v>0</v>
      </c>
      <c r="R71" s="26">
        <f t="shared" si="30"/>
        <v>70000</v>
      </c>
      <c r="S71" s="26">
        <v>0</v>
      </c>
      <c r="T71" s="26">
        <v>0</v>
      </c>
      <c r="U71" s="26">
        <f t="shared" si="25"/>
        <v>70000</v>
      </c>
      <c r="V71" s="108"/>
      <c r="W71" s="26">
        <v>0</v>
      </c>
      <c r="X71" s="26">
        <v>0</v>
      </c>
      <c r="Y71" s="26">
        <f t="shared" si="55"/>
        <v>70000</v>
      </c>
      <c r="Z71" s="108"/>
      <c r="AA71" s="26">
        <v>70000</v>
      </c>
      <c r="AB71" s="26">
        <v>0</v>
      </c>
      <c r="AC71" s="103">
        <f t="shared" si="56"/>
        <v>140000</v>
      </c>
      <c r="AD71" s="108"/>
      <c r="AE71" s="26">
        <v>20000</v>
      </c>
      <c r="AF71" s="26">
        <v>0</v>
      </c>
      <c r="AG71" s="26">
        <f t="shared" si="57"/>
        <v>160000</v>
      </c>
      <c r="AH71" s="108"/>
      <c r="AI71" s="26">
        <v>0</v>
      </c>
      <c r="AJ71" s="26">
        <v>0</v>
      </c>
      <c r="AK71" s="26">
        <f t="shared" si="58"/>
        <v>160000</v>
      </c>
      <c r="AL71" s="108"/>
      <c r="AM71" s="26"/>
      <c r="AN71" s="26">
        <v>0</v>
      </c>
      <c r="AO71" s="26">
        <f t="shared" si="59"/>
        <v>160000</v>
      </c>
      <c r="AP71" s="108"/>
      <c r="AQ71" s="26"/>
      <c r="AR71" s="26">
        <v>0</v>
      </c>
      <c r="AS71" s="26">
        <f t="shared" si="60"/>
        <v>160000</v>
      </c>
      <c r="AT71" s="108"/>
    </row>
    <row r="72" spans="1:46" x14ac:dyDescent="0.25">
      <c r="A72" s="107" t="s">
        <v>75</v>
      </c>
      <c r="B72" s="107" t="s">
        <v>76</v>
      </c>
      <c r="C72" s="26">
        <v>2935000</v>
      </c>
      <c r="D72" s="26">
        <v>0</v>
      </c>
      <c r="E72" s="26">
        <f t="shared" si="54"/>
        <v>2935000</v>
      </c>
      <c r="F72" s="108"/>
      <c r="G72" s="26">
        <v>1725000</v>
      </c>
      <c r="H72" s="26">
        <v>0</v>
      </c>
      <c r="I72" s="26">
        <f t="shared" si="8"/>
        <v>4660000</v>
      </c>
      <c r="J72" s="26">
        <v>2972500</v>
      </c>
      <c r="K72" s="26"/>
      <c r="L72" s="26">
        <f t="shared" si="28"/>
        <v>7632500</v>
      </c>
      <c r="M72" s="26">
        <v>2312500</v>
      </c>
      <c r="N72" s="26"/>
      <c r="O72" s="103">
        <f t="shared" si="29"/>
        <v>9945000</v>
      </c>
      <c r="P72" s="96">
        <v>5052500</v>
      </c>
      <c r="Q72" s="26"/>
      <c r="R72" s="26">
        <f t="shared" si="30"/>
        <v>14997500</v>
      </c>
      <c r="S72" s="26">
        <v>3920000</v>
      </c>
      <c r="T72" s="26"/>
      <c r="U72" s="26">
        <f t="shared" si="25"/>
        <v>18917500</v>
      </c>
      <c r="V72" s="108"/>
      <c r="W72" s="26">
        <v>2734500</v>
      </c>
      <c r="X72" s="26"/>
      <c r="Y72" s="26">
        <f t="shared" si="55"/>
        <v>21652000</v>
      </c>
      <c r="Z72" s="108"/>
      <c r="AA72" s="26">
        <v>2726500</v>
      </c>
      <c r="AB72" s="26"/>
      <c r="AC72" s="103">
        <f t="shared" si="56"/>
        <v>24378500</v>
      </c>
      <c r="AD72" s="108"/>
      <c r="AE72" s="26">
        <v>3185000</v>
      </c>
      <c r="AF72" s="26"/>
      <c r="AG72" s="26">
        <f t="shared" si="57"/>
        <v>27563500</v>
      </c>
      <c r="AH72" s="108"/>
      <c r="AI72" s="26">
        <v>4900000</v>
      </c>
      <c r="AJ72" s="26"/>
      <c r="AK72" s="26">
        <f t="shared" si="58"/>
        <v>32463500</v>
      </c>
      <c r="AL72" s="108"/>
      <c r="AM72" s="26">
        <v>3150000</v>
      </c>
      <c r="AN72" s="26"/>
      <c r="AO72" s="26">
        <f t="shared" si="59"/>
        <v>35613500</v>
      </c>
      <c r="AP72" s="108"/>
      <c r="AQ72" s="26">
        <v>4807500</v>
      </c>
      <c r="AR72" s="26"/>
      <c r="AS72" s="26">
        <f t="shared" si="60"/>
        <v>40421000</v>
      </c>
      <c r="AT72" s="108"/>
    </row>
    <row r="73" spans="1:46" x14ac:dyDescent="0.25">
      <c r="A73" s="107">
        <v>513520</v>
      </c>
      <c r="B73" s="107" t="s">
        <v>325</v>
      </c>
      <c r="C73" s="26"/>
      <c r="D73" s="26"/>
      <c r="E73" s="26"/>
      <c r="F73" s="108"/>
      <c r="G73" s="26"/>
      <c r="H73" s="26"/>
      <c r="I73" s="26">
        <f t="shared" si="8"/>
        <v>0</v>
      </c>
      <c r="J73" s="26"/>
      <c r="K73" s="26"/>
      <c r="L73" s="26">
        <f t="shared" si="28"/>
        <v>0</v>
      </c>
      <c r="M73" s="26">
        <v>0</v>
      </c>
      <c r="N73" s="26"/>
      <c r="O73" s="103">
        <f t="shared" si="29"/>
        <v>0</v>
      </c>
      <c r="P73" s="96">
        <v>0</v>
      </c>
      <c r="Q73" s="26"/>
      <c r="R73" s="26">
        <f t="shared" si="30"/>
        <v>0</v>
      </c>
      <c r="S73" s="26"/>
      <c r="T73" s="26"/>
      <c r="U73" s="26">
        <f t="shared" si="25"/>
        <v>0</v>
      </c>
      <c r="V73" s="108"/>
      <c r="W73" s="26"/>
      <c r="X73" s="26"/>
      <c r="Y73" s="26"/>
      <c r="Z73" s="108"/>
      <c r="AA73" s="26"/>
      <c r="AB73" s="26"/>
      <c r="AC73" s="103"/>
      <c r="AD73" s="108"/>
      <c r="AE73" s="26">
        <v>0</v>
      </c>
      <c r="AF73" s="26"/>
      <c r="AG73" s="26"/>
      <c r="AH73" s="108"/>
      <c r="AI73" s="26">
        <v>0</v>
      </c>
      <c r="AJ73" s="26"/>
      <c r="AK73" s="26"/>
      <c r="AL73" s="108"/>
      <c r="AM73" s="26">
        <v>0</v>
      </c>
      <c r="AN73" s="26"/>
      <c r="AO73" s="26"/>
      <c r="AP73" s="108"/>
      <c r="AQ73" s="26">
        <v>0</v>
      </c>
      <c r="AR73" s="26"/>
      <c r="AS73" s="26"/>
      <c r="AT73" s="108"/>
    </row>
    <row r="74" spans="1:46" x14ac:dyDescent="0.25">
      <c r="A74" s="107" t="s">
        <v>77</v>
      </c>
      <c r="B74" s="107" t="s">
        <v>78</v>
      </c>
      <c r="C74" s="26">
        <v>71820</v>
      </c>
      <c r="D74" s="26">
        <v>0</v>
      </c>
      <c r="E74" s="26">
        <f t="shared" si="54"/>
        <v>71820</v>
      </c>
      <c r="F74" s="108"/>
      <c r="G74" s="26">
        <v>71770</v>
      </c>
      <c r="H74" s="26">
        <v>0</v>
      </c>
      <c r="I74" s="26">
        <f t="shared" si="8"/>
        <v>143590</v>
      </c>
      <c r="J74" s="26">
        <v>75870</v>
      </c>
      <c r="K74" s="26"/>
      <c r="L74" s="26">
        <f t="shared" si="28"/>
        <v>219460</v>
      </c>
      <c r="M74" s="26">
        <v>118310</v>
      </c>
      <c r="N74" s="26"/>
      <c r="O74" s="103">
        <f t="shared" si="29"/>
        <v>337770</v>
      </c>
      <c r="P74" s="96">
        <v>120150</v>
      </c>
      <c r="Q74" s="26"/>
      <c r="R74" s="26">
        <f t="shared" si="30"/>
        <v>457920</v>
      </c>
      <c r="S74" s="26">
        <v>104040</v>
      </c>
      <c r="T74" s="26"/>
      <c r="U74" s="26">
        <f t="shared" si="25"/>
        <v>561960</v>
      </c>
      <c r="V74" s="108"/>
      <c r="W74" s="26">
        <v>104070</v>
      </c>
      <c r="X74" s="26"/>
      <c r="Y74" s="26">
        <f t="shared" ref="Y74:Y82" si="61">U74+W74</f>
        <v>666030</v>
      </c>
      <c r="Z74" s="108"/>
      <c r="AA74" s="26">
        <v>77590</v>
      </c>
      <c r="AB74" s="26"/>
      <c r="AC74" s="103">
        <f t="shared" ref="AC74:AC82" si="62">Y74+AA74</f>
        <v>743620</v>
      </c>
      <c r="AD74" s="108"/>
      <c r="AE74" s="26">
        <v>77450</v>
      </c>
      <c r="AF74" s="26"/>
      <c r="AG74" s="26">
        <f t="shared" ref="AG74:AG82" si="63">AC74+AE74</f>
        <v>821070</v>
      </c>
      <c r="AH74" s="108"/>
      <c r="AI74" s="26">
        <v>129000</v>
      </c>
      <c r="AJ74" s="26"/>
      <c r="AK74" s="26">
        <f t="shared" ref="AK74:AK81" si="64">AG74+AI74</f>
        <v>950070</v>
      </c>
      <c r="AL74" s="108"/>
      <c r="AM74" s="26">
        <v>129170</v>
      </c>
      <c r="AN74" s="26"/>
      <c r="AO74" s="26">
        <f t="shared" ref="AO74:AO82" si="65">AK74+AM74</f>
        <v>1079240</v>
      </c>
      <c r="AP74" s="108"/>
      <c r="AQ74" s="26">
        <v>129140</v>
      </c>
      <c r="AR74" s="26"/>
      <c r="AS74" s="26">
        <f t="shared" ref="AS74:AS81" si="66">AO74+AQ74</f>
        <v>1208380</v>
      </c>
      <c r="AT74" s="108"/>
    </row>
    <row r="75" spans="1:46" x14ac:dyDescent="0.25">
      <c r="A75" s="107" t="s">
        <v>79</v>
      </c>
      <c r="B75" s="107" t="s">
        <v>80</v>
      </c>
      <c r="C75" s="26">
        <v>125710</v>
      </c>
      <c r="D75" s="26">
        <v>0</v>
      </c>
      <c r="E75" s="26">
        <f t="shared" si="54"/>
        <v>125710</v>
      </c>
      <c r="F75" s="108"/>
      <c r="G75" s="26">
        <v>91527</v>
      </c>
      <c r="H75" s="26">
        <v>0</v>
      </c>
      <c r="I75" s="26">
        <f t="shared" ref="I75:I139" si="67">+G75+H75+E75</f>
        <v>217237</v>
      </c>
      <c r="J75" s="26">
        <v>145236</v>
      </c>
      <c r="K75" s="26"/>
      <c r="L75" s="26">
        <f t="shared" si="28"/>
        <v>362473</v>
      </c>
      <c r="M75" s="26"/>
      <c r="N75" s="26"/>
      <c r="O75" s="103">
        <f t="shared" si="29"/>
        <v>362473</v>
      </c>
      <c r="P75" s="96">
        <v>128771</v>
      </c>
      <c r="Q75" s="26"/>
      <c r="R75" s="26">
        <f t="shared" si="30"/>
        <v>491244</v>
      </c>
      <c r="S75" s="26">
        <v>132071</v>
      </c>
      <c r="T75" s="26"/>
      <c r="U75" s="26">
        <f t="shared" si="25"/>
        <v>623315</v>
      </c>
      <c r="V75" s="108"/>
      <c r="W75" s="26">
        <v>122140</v>
      </c>
      <c r="X75" s="26"/>
      <c r="Y75" s="26">
        <f t="shared" si="61"/>
        <v>745455</v>
      </c>
      <c r="Z75" s="108"/>
      <c r="AA75" s="26">
        <v>118010</v>
      </c>
      <c r="AB75" s="26"/>
      <c r="AC75" s="103">
        <f t="shared" si="62"/>
        <v>863465</v>
      </c>
      <c r="AD75" s="108"/>
      <c r="AE75" s="26">
        <v>100145</v>
      </c>
      <c r="AF75" s="26"/>
      <c r="AG75" s="26">
        <f t="shared" si="63"/>
        <v>963610</v>
      </c>
      <c r="AH75" s="108"/>
      <c r="AI75" s="26">
        <v>111952</v>
      </c>
      <c r="AJ75" s="26"/>
      <c r="AK75" s="26">
        <f t="shared" si="64"/>
        <v>1075562</v>
      </c>
      <c r="AL75" s="108"/>
      <c r="AM75" s="26">
        <v>122970</v>
      </c>
      <c r="AN75" s="26"/>
      <c r="AO75" s="26">
        <f t="shared" si="65"/>
        <v>1198532</v>
      </c>
      <c r="AP75" s="108"/>
      <c r="AQ75" s="26">
        <v>118819</v>
      </c>
      <c r="AR75" s="26"/>
      <c r="AS75" s="26">
        <f t="shared" si="66"/>
        <v>1317351</v>
      </c>
      <c r="AT75" s="108"/>
    </row>
    <row r="76" spans="1:46" x14ac:dyDescent="0.25">
      <c r="A76" s="107" t="s">
        <v>81</v>
      </c>
      <c r="B76" s="107" t="s">
        <v>136</v>
      </c>
      <c r="C76" s="26">
        <v>185975</v>
      </c>
      <c r="D76" s="26">
        <v>0</v>
      </c>
      <c r="E76" s="26">
        <f t="shared" si="54"/>
        <v>185975</v>
      </c>
      <c r="F76" s="108"/>
      <c r="G76" s="26">
        <v>185975</v>
      </c>
      <c r="H76" s="26">
        <v>0</v>
      </c>
      <c r="I76" s="26">
        <f t="shared" si="67"/>
        <v>371950</v>
      </c>
      <c r="J76" s="26">
        <v>174014</v>
      </c>
      <c r="K76" s="26"/>
      <c r="L76" s="26">
        <f t="shared" si="28"/>
        <v>545964</v>
      </c>
      <c r="M76" s="26">
        <v>160940</v>
      </c>
      <c r="N76" s="26"/>
      <c r="O76" s="103">
        <f t="shared" si="29"/>
        <v>706904</v>
      </c>
      <c r="P76" s="96">
        <v>161415</v>
      </c>
      <c r="Q76" s="26"/>
      <c r="R76" s="26">
        <f t="shared" si="30"/>
        <v>868319</v>
      </c>
      <c r="S76" s="26">
        <v>202155</v>
      </c>
      <c r="T76" s="26">
        <v>0</v>
      </c>
      <c r="U76" s="26">
        <f t="shared" si="25"/>
        <v>1070474</v>
      </c>
      <c r="V76" s="108"/>
      <c r="W76" s="26">
        <v>197475</v>
      </c>
      <c r="X76" s="26"/>
      <c r="Y76" s="26">
        <f t="shared" si="61"/>
        <v>1267949</v>
      </c>
      <c r="Z76" s="108"/>
      <c r="AA76" s="26">
        <v>198040</v>
      </c>
      <c r="AB76" s="26"/>
      <c r="AC76" s="103">
        <f t="shared" si="62"/>
        <v>1465989</v>
      </c>
      <c r="AD76" s="108"/>
      <c r="AE76" s="26">
        <v>219485</v>
      </c>
      <c r="AF76" s="26"/>
      <c r="AG76" s="26">
        <f t="shared" si="63"/>
        <v>1685474</v>
      </c>
      <c r="AH76" s="108"/>
      <c r="AI76" s="26">
        <v>197429</v>
      </c>
      <c r="AJ76" s="26"/>
      <c r="AK76" s="26">
        <f t="shared" si="64"/>
        <v>1882903</v>
      </c>
      <c r="AL76" s="108"/>
      <c r="AM76" s="26">
        <v>198040</v>
      </c>
      <c r="AN76" s="26"/>
      <c r="AO76" s="26">
        <f t="shared" si="65"/>
        <v>2080943</v>
      </c>
      <c r="AP76" s="108"/>
      <c r="AQ76" s="26">
        <v>198040</v>
      </c>
      <c r="AR76" s="26"/>
      <c r="AS76" s="26">
        <f t="shared" si="66"/>
        <v>2278983</v>
      </c>
      <c r="AT76" s="108"/>
    </row>
    <row r="77" spans="1:46" x14ac:dyDescent="0.25">
      <c r="A77" s="107">
        <v>513540</v>
      </c>
      <c r="B77" s="107" t="s">
        <v>166</v>
      </c>
      <c r="C77" s="26"/>
      <c r="D77" s="26">
        <v>0</v>
      </c>
      <c r="E77" s="26">
        <f t="shared" si="54"/>
        <v>0</v>
      </c>
      <c r="F77" s="108"/>
      <c r="G77" s="26">
        <v>0</v>
      </c>
      <c r="H77" s="26">
        <v>0</v>
      </c>
      <c r="I77" s="26">
        <f t="shared" si="67"/>
        <v>0</v>
      </c>
      <c r="J77" s="26">
        <v>0</v>
      </c>
      <c r="K77" s="26">
        <v>0</v>
      </c>
      <c r="L77" s="26">
        <f t="shared" si="28"/>
        <v>0</v>
      </c>
      <c r="M77" s="26">
        <v>0</v>
      </c>
      <c r="N77" s="26"/>
      <c r="O77" s="103">
        <f t="shared" si="29"/>
        <v>0</v>
      </c>
      <c r="P77" s="96">
        <v>0</v>
      </c>
      <c r="Q77" s="26"/>
      <c r="R77" s="26">
        <f t="shared" si="30"/>
        <v>0</v>
      </c>
      <c r="S77" s="26">
        <v>0</v>
      </c>
      <c r="T77" s="26">
        <v>0</v>
      </c>
      <c r="U77" s="26">
        <f t="shared" si="25"/>
        <v>0</v>
      </c>
      <c r="V77" s="108"/>
      <c r="W77" s="26">
        <v>0</v>
      </c>
      <c r="X77" s="26">
        <v>0</v>
      </c>
      <c r="Y77" s="26">
        <f t="shared" si="61"/>
        <v>0</v>
      </c>
      <c r="Z77" s="108"/>
      <c r="AA77" s="26"/>
      <c r="AB77" s="26">
        <v>0</v>
      </c>
      <c r="AC77" s="103">
        <f t="shared" si="62"/>
        <v>0</v>
      </c>
      <c r="AD77" s="108"/>
      <c r="AE77" s="26">
        <v>0</v>
      </c>
      <c r="AF77" s="26">
        <v>0</v>
      </c>
      <c r="AG77" s="26">
        <f t="shared" si="63"/>
        <v>0</v>
      </c>
      <c r="AH77" s="108"/>
      <c r="AI77" s="26">
        <v>0</v>
      </c>
      <c r="AJ77" s="26">
        <v>0</v>
      </c>
      <c r="AK77" s="26">
        <f t="shared" si="64"/>
        <v>0</v>
      </c>
      <c r="AL77" s="108"/>
      <c r="AM77" s="26">
        <v>0</v>
      </c>
      <c r="AN77" s="26">
        <v>0</v>
      </c>
      <c r="AO77" s="26">
        <f t="shared" si="65"/>
        <v>0</v>
      </c>
      <c r="AP77" s="108"/>
      <c r="AQ77" s="26">
        <v>0</v>
      </c>
      <c r="AR77" s="26">
        <v>0</v>
      </c>
      <c r="AS77" s="26">
        <f t="shared" si="66"/>
        <v>0</v>
      </c>
      <c r="AT77" s="108"/>
    </row>
    <row r="78" spans="1:46" x14ac:dyDescent="0.25">
      <c r="A78" s="107">
        <v>513595</v>
      </c>
      <c r="B78" s="107" t="s">
        <v>161</v>
      </c>
      <c r="C78" s="26"/>
      <c r="D78" s="26">
        <v>0</v>
      </c>
      <c r="E78" s="26">
        <f t="shared" si="54"/>
        <v>0</v>
      </c>
      <c r="F78" s="108"/>
      <c r="G78" s="26">
        <v>0</v>
      </c>
      <c r="H78" s="26">
        <v>0</v>
      </c>
      <c r="I78" s="26">
        <f t="shared" si="67"/>
        <v>0</v>
      </c>
      <c r="J78" s="26">
        <v>0</v>
      </c>
      <c r="K78" s="26">
        <v>0</v>
      </c>
      <c r="L78" s="26">
        <f t="shared" si="28"/>
        <v>0</v>
      </c>
      <c r="M78" s="26"/>
      <c r="N78" s="26">
        <v>0</v>
      </c>
      <c r="O78" s="103">
        <f t="shared" si="29"/>
        <v>0</v>
      </c>
      <c r="P78" s="96"/>
      <c r="Q78" s="26">
        <v>0</v>
      </c>
      <c r="R78" s="26">
        <f t="shared" si="30"/>
        <v>0</v>
      </c>
      <c r="S78" s="26">
        <v>0</v>
      </c>
      <c r="T78" s="26">
        <v>0</v>
      </c>
      <c r="U78" s="26">
        <f t="shared" si="25"/>
        <v>0</v>
      </c>
      <c r="V78" s="108"/>
      <c r="W78" s="26">
        <v>0</v>
      </c>
      <c r="X78" s="26">
        <v>0</v>
      </c>
      <c r="Y78" s="26">
        <f t="shared" si="61"/>
        <v>0</v>
      </c>
      <c r="Z78" s="108"/>
      <c r="AA78" s="26"/>
      <c r="AB78" s="26">
        <v>0</v>
      </c>
      <c r="AC78" s="103">
        <f t="shared" si="62"/>
        <v>0</v>
      </c>
      <c r="AD78" s="108"/>
      <c r="AE78" s="26">
        <v>0</v>
      </c>
      <c r="AF78" s="26">
        <v>0</v>
      </c>
      <c r="AG78" s="26">
        <f t="shared" si="63"/>
        <v>0</v>
      </c>
      <c r="AH78" s="108"/>
      <c r="AI78" s="26">
        <v>0</v>
      </c>
      <c r="AJ78" s="26">
        <v>0</v>
      </c>
      <c r="AK78" s="26">
        <f t="shared" si="64"/>
        <v>0</v>
      </c>
      <c r="AL78" s="108"/>
      <c r="AM78" s="26">
        <v>0</v>
      </c>
      <c r="AN78" s="26">
        <v>0</v>
      </c>
      <c r="AO78" s="26">
        <f t="shared" si="65"/>
        <v>0</v>
      </c>
      <c r="AP78" s="108"/>
      <c r="AQ78" s="26">
        <v>0</v>
      </c>
      <c r="AR78" s="26">
        <v>0</v>
      </c>
      <c r="AS78" s="26">
        <f t="shared" si="66"/>
        <v>0</v>
      </c>
      <c r="AT78" s="108"/>
    </row>
    <row r="79" spans="1:46" x14ac:dyDescent="0.25">
      <c r="A79" s="107">
        <v>513550</v>
      </c>
      <c r="B79" s="107" t="s">
        <v>138</v>
      </c>
      <c r="C79" s="26">
        <v>100000</v>
      </c>
      <c r="D79" s="26">
        <v>0</v>
      </c>
      <c r="E79" s="26">
        <f t="shared" si="54"/>
        <v>100000</v>
      </c>
      <c r="F79" s="108"/>
      <c r="G79" s="26">
        <v>0</v>
      </c>
      <c r="H79" s="26">
        <v>0</v>
      </c>
      <c r="I79" s="26">
        <f t="shared" si="67"/>
        <v>100000</v>
      </c>
      <c r="J79" s="26">
        <v>280000</v>
      </c>
      <c r="K79" s="26">
        <v>0</v>
      </c>
      <c r="L79" s="26">
        <f t="shared" si="28"/>
        <v>380000</v>
      </c>
      <c r="M79" s="26"/>
      <c r="N79" s="26">
        <v>0</v>
      </c>
      <c r="O79" s="103">
        <f t="shared" si="29"/>
        <v>380000</v>
      </c>
      <c r="P79" s="96">
        <v>220000</v>
      </c>
      <c r="Q79" s="26">
        <v>0</v>
      </c>
      <c r="R79" s="26">
        <f t="shared" si="30"/>
        <v>600000</v>
      </c>
      <c r="S79" s="26"/>
      <c r="T79" s="26"/>
      <c r="U79" s="26">
        <f t="shared" si="25"/>
        <v>600000</v>
      </c>
      <c r="V79" s="108"/>
      <c r="W79" s="26"/>
      <c r="X79" s="26"/>
      <c r="Y79" s="26">
        <f t="shared" si="61"/>
        <v>600000</v>
      </c>
      <c r="Z79" s="108"/>
      <c r="AA79" s="26"/>
      <c r="AB79" s="26"/>
      <c r="AC79" s="103">
        <f t="shared" si="62"/>
        <v>600000</v>
      </c>
      <c r="AD79" s="108"/>
      <c r="AE79" s="26">
        <v>40000</v>
      </c>
      <c r="AF79" s="26"/>
      <c r="AG79" s="26">
        <f t="shared" si="63"/>
        <v>640000</v>
      </c>
      <c r="AH79" s="108"/>
      <c r="AI79" s="26">
        <v>460000</v>
      </c>
      <c r="AJ79" s="26"/>
      <c r="AK79" s="26">
        <f t="shared" si="64"/>
        <v>1100000</v>
      </c>
      <c r="AL79" s="108"/>
      <c r="AM79" s="26"/>
      <c r="AN79" s="26"/>
      <c r="AO79" s="26">
        <f t="shared" si="65"/>
        <v>1100000</v>
      </c>
      <c r="AP79" s="108"/>
      <c r="AQ79" s="26">
        <v>185000</v>
      </c>
      <c r="AR79" s="26"/>
      <c r="AS79" s="26">
        <f t="shared" si="66"/>
        <v>1285000</v>
      </c>
      <c r="AT79" s="108"/>
    </row>
    <row r="80" spans="1:46" x14ac:dyDescent="0.25">
      <c r="A80" s="107"/>
      <c r="B80" s="107"/>
      <c r="C80" s="26"/>
      <c r="D80" s="26"/>
      <c r="E80" s="26"/>
      <c r="F80" s="108"/>
      <c r="G80" s="26"/>
      <c r="H80" s="26"/>
      <c r="I80" s="26"/>
      <c r="J80" s="26"/>
      <c r="K80" s="26"/>
      <c r="L80" s="26"/>
      <c r="M80" s="26"/>
      <c r="N80" s="26"/>
      <c r="O80" s="103"/>
      <c r="P80" s="96"/>
      <c r="Q80" s="26"/>
      <c r="R80" s="26"/>
      <c r="S80" s="26"/>
      <c r="T80" s="26"/>
      <c r="U80" s="26"/>
      <c r="V80" s="108"/>
      <c r="W80" s="26"/>
      <c r="X80" s="26"/>
      <c r="Y80" s="26"/>
      <c r="Z80" s="108"/>
      <c r="AA80" s="26"/>
      <c r="AB80" s="26"/>
      <c r="AC80" s="103"/>
      <c r="AD80" s="108"/>
      <c r="AE80" s="26"/>
      <c r="AF80" s="26"/>
      <c r="AG80" s="26"/>
      <c r="AH80" s="108"/>
      <c r="AI80" s="26"/>
      <c r="AJ80" s="26"/>
      <c r="AK80" s="26"/>
      <c r="AL80" s="108"/>
      <c r="AM80" s="26"/>
      <c r="AN80" s="26"/>
      <c r="AO80" s="26"/>
      <c r="AP80" s="108"/>
      <c r="AQ80" s="26"/>
      <c r="AR80" s="26"/>
      <c r="AS80" s="26"/>
      <c r="AT80" s="108"/>
    </row>
    <row r="81" spans="1:46" x14ac:dyDescent="0.25">
      <c r="A81" s="107"/>
      <c r="B81" s="107"/>
      <c r="C81" s="26"/>
      <c r="D81" s="26"/>
      <c r="E81" s="26">
        <f t="shared" si="54"/>
        <v>0</v>
      </c>
      <c r="F81" s="108"/>
      <c r="G81" s="26"/>
      <c r="H81" s="26"/>
      <c r="I81" s="26">
        <f t="shared" si="67"/>
        <v>0</v>
      </c>
      <c r="J81" s="26"/>
      <c r="K81" s="26"/>
      <c r="L81" s="26">
        <f t="shared" si="28"/>
        <v>0</v>
      </c>
      <c r="M81" s="26"/>
      <c r="N81" s="26"/>
      <c r="O81" s="103">
        <f t="shared" si="29"/>
        <v>0</v>
      </c>
      <c r="P81" s="96"/>
      <c r="Q81" s="26"/>
      <c r="R81" s="26">
        <f t="shared" si="30"/>
        <v>0</v>
      </c>
      <c r="S81" s="26"/>
      <c r="T81" s="26"/>
      <c r="U81" s="26">
        <f t="shared" si="25"/>
        <v>0</v>
      </c>
      <c r="V81" s="108"/>
      <c r="W81" s="26"/>
      <c r="X81" s="26"/>
      <c r="Y81" s="26">
        <f t="shared" si="61"/>
        <v>0</v>
      </c>
      <c r="Z81" s="108"/>
      <c r="AA81" s="26"/>
      <c r="AB81" s="26"/>
      <c r="AC81" s="103">
        <f t="shared" si="62"/>
        <v>0</v>
      </c>
      <c r="AD81" s="108"/>
      <c r="AE81" s="26"/>
      <c r="AF81" s="26"/>
      <c r="AG81" s="26">
        <f t="shared" si="63"/>
        <v>0</v>
      </c>
      <c r="AH81" s="108"/>
      <c r="AI81" s="26"/>
      <c r="AJ81" s="26"/>
      <c r="AK81" s="26">
        <f t="shared" si="64"/>
        <v>0</v>
      </c>
      <c r="AL81" s="108"/>
      <c r="AM81" s="26"/>
      <c r="AN81" s="26"/>
      <c r="AO81" s="26">
        <f t="shared" si="65"/>
        <v>0</v>
      </c>
      <c r="AP81" s="108"/>
      <c r="AQ81" s="26"/>
      <c r="AR81" s="26"/>
      <c r="AS81" s="26">
        <f t="shared" si="66"/>
        <v>0</v>
      </c>
      <c r="AT81" s="108"/>
    </row>
    <row r="82" spans="1:46" x14ac:dyDescent="0.25">
      <c r="A82" s="102" t="s">
        <v>82</v>
      </c>
      <c r="B82" s="102" t="s">
        <v>83</v>
      </c>
      <c r="C82" s="103">
        <f>C83+C84+C85+C86</f>
        <v>343600</v>
      </c>
      <c r="D82" s="103">
        <v>0</v>
      </c>
      <c r="E82" s="103">
        <f t="shared" si="54"/>
        <v>343600</v>
      </c>
      <c r="F82" s="104"/>
      <c r="G82" s="103">
        <f>G84+G85</f>
        <v>11600</v>
      </c>
      <c r="H82" s="103">
        <v>0</v>
      </c>
      <c r="I82" s="103">
        <f t="shared" si="67"/>
        <v>355200</v>
      </c>
      <c r="J82" s="103">
        <f>J83+J84+J85+J86</f>
        <v>0</v>
      </c>
      <c r="K82" s="103">
        <v>0</v>
      </c>
      <c r="L82" s="103">
        <f t="shared" si="28"/>
        <v>355200</v>
      </c>
      <c r="M82" s="103">
        <f>M84+M85</f>
        <v>11600</v>
      </c>
      <c r="N82" s="103">
        <v>0</v>
      </c>
      <c r="O82" s="103">
        <f t="shared" si="29"/>
        <v>366800</v>
      </c>
      <c r="P82" s="103" cm="1">
        <f t="array" ref="P82:P83">P84+P85:P86</f>
        <v>0</v>
      </c>
      <c r="Q82" s="103">
        <v>0</v>
      </c>
      <c r="R82" s="103">
        <f t="shared" si="30"/>
        <v>366800</v>
      </c>
      <c r="S82" s="103">
        <f>S84+S85</f>
        <v>11600</v>
      </c>
      <c r="T82" s="103">
        <v>0</v>
      </c>
      <c r="U82" s="103">
        <f t="shared" si="25"/>
        <v>378400</v>
      </c>
      <c r="V82" s="104"/>
      <c r="W82" s="103">
        <f>W84+W85</f>
        <v>0</v>
      </c>
      <c r="X82" s="103">
        <v>0</v>
      </c>
      <c r="Y82" s="103">
        <f t="shared" si="61"/>
        <v>378400</v>
      </c>
      <c r="Z82" s="104"/>
      <c r="AA82" s="103">
        <f>AA84+AA85</f>
        <v>0</v>
      </c>
      <c r="AB82" s="103">
        <v>0</v>
      </c>
      <c r="AC82" s="103">
        <f t="shared" si="62"/>
        <v>378400</v>
      </c>
      <c r="AD82" s="104"/>
      <c r="AE82" s="103">
        <f>SUM(AE83:AE85)</f>
        <v>1449600</v>
      </c>
      <c r="AF82" s="103">
        <v>0</v>
      </c>
      <c r="AG82" s="103">
        <f t="shared" si="63"/>
        <v>1828000</v>
      </c>
      <c r="AH82" s="104"/>
      <c r="AI82" s="103">
        <f>+AI83+AI85</f>
        <v>0</v>
      </c>
      <c r="AJ82" s="103">
        <v>0</v>
      </c>
      <c r="AK82" s="103">
        <f>AG82+AI82</f>
        <v>1828000</v>
      </c>
      <c r="AL82" s="104"/>
      <c r="AM82" s="103">
        <f>AM84+AM85</f>
        <v>0</v>
      </c>
      <c r="AN82" s="103">
        <v>0</v>
      </c>
      <c r="AO82" s="103">
        <f t="shared" si="65"/>
        <v>1828000</v>
      </c>
      <c r="AP82" s="104"/>
      <c r="AQ82" s="103">
        <f>AQ84+AQ85</f>
        <v>0</v>
      </c>
      <c r="AR82" s="103">
        <v>0</v>
      </c>
      <c r="AS82" s="103">
        <f>AO82+AQ82</f>
        <v>1828000</v>
      </c>
      <c r="AT82" s="104"/>
    </row>
    <row r="83" spans="1:46" x14ac:dyDescent="0.25">
      <c r="A83" s="107" t="s">
        <v>147</v>
      </c>
      <c r="B83" s="107" t="s">
        <v>139</v>
      </c>
      <c r="C83" s="26">
        <v>0</v>
      </c>
      <c r="D83" s="26">
        <v>0</v>
      </c>
      <c r="E83" s="26">
        <f t="shared" si="54"/>
        <v>0</v>
      </c>
      <c r="F83" s="108"/>
      <c r="G83" s="26">
        <v>0</v>
      </c>
      <c r="H83" s="26">
        <v>0</v>
      </c>
      <c r="I83" s="26">
        <f t="shared" si="67"/>
        <v>0</v>
      </c>
      <c r="J83" s="26">
        <v>0</v>
      </c>
      <c r="K83" s="26">
        <v>0</v>
      </c>
      <c r="L83" s="26">
        <f t="shared" si="28"/>
        <v>0</v>
      </c>
      <c r="M83" s="26"/>
      <c r="N83" s="26"/>
      <c r="O83" s="103">
        <f t="shared" si="29"/>
        <v>0</v>
      </c>
      <c r="P83" s="96">
        <v>0</v>
      </c>
      <c r="Q83" s="26"/>
      <c r="R83" s="26">
        <f t="shared" si="30"/>
        <v>0</v>
      </c>
      <c r="S83" s="26">
        <v>0</v>
      </c>
      <c r="T83" s="26">
        <v>0</v>
      </c>
      <c r="U83" s="26">
        <f t="shared" si="25"/>
        <v>0</v>
      </c>
      <c r="V83" s="108"/>
      <c r="W83" s="26">
        <v>0</v>
      </c>
      <c r="X83" s="26">
        <v>0</v>
      </c>
      <c r="Y83" s="26">
        <f>U83+W83</f>
        <v>0</v>
      </c>
      <c r="Z83" s="108"/>
      <c r="AA83" s="26">
        <v>0</v>
      </c>
      <c r="AB83" s="26">
        <v>0</v>
      </c>
      <c r="AC83" s="103">
        <f>Y83+AA83</f>
        <v>0</v>
      </c>
      <c r="AD83" s="108"/>
      <c r="AE83" s="26"/>
      <c r="AF83" s="26">
        <v>0</v>
      </c>
      <c r="AG83" s="26">
        <f>AC83+AE83</f>
        <v>0</v>
      </c>
      <c r="AH83" s="108"/>
      <c r="AI83" s="26"/>
      <c r="AJ83" s="26">
        <v>0</v>
      </c>
      <c r="AK83" s="26">
        <f t="shared" ref="AK83:AK93" si="68">AG83+AI83</f>
        <v>0</v>
      </c>
      <c r="AL83" s="108"/>
      <c r="AM83" s="26">
        <v>0</v>
      </c>
      <c r="AN83" s="26">
        <v>0</v>
      </c>
      <c r="AO83" s="26">
        <f>AK83+AM83</f>
        <v>0</v>
      </c>
      <c r="AP83" s="108"/>
      <c r="AQ83" s="26">
        <v>0</v>
      </c>
      <c r="AR83" s="26">
        <v>0</v>
      </c>
      <c r="AS83" s="26">
        <f>AO83+AQ83</f>
        <v>0</v>
      </c>
      <c r="AT83" s="108"/>
    </row>
    <row r="84" spans="1:46" x14ac:dyDescent="0.25">
      <c r="A84" s="107" t="s">
        <v>84</v>
      </c>
      <c r="B84" s="107" t="s">
        <v>85</v>
      </c>
      <c r="C84" s="26">
        <v>343600</v>
      </c>
      <c r="D84" s="26">
        <v>0</v>
      </c>
      <c r="E84" s="26">
        <f t="shared" si="54"/>
        <v>343600</v>
      </c>
      <c r="F84" s="108"/>
      <c r="G84" s="26">
        <v>11600</v>
      </c>
      <c r="H84" s="26">
        <v>0</v>
      </c>
      <c r="I84" s="26">
        <f t="shared" si="67"/>
        <v>355200</v>
      </c>
      <c r="J84" s="26"/>
      <c r="K84" s="26">
        <v>0</v>
      </c>
      <c r="L84" s="26">
        <f t="shared" si="28"/>
        <v>355200</v>
      </c>
      <c r="M84" s="26">
        <v>11600</v>
      </c>
      <c r="N84" s="26"/>
      <c r="O84" s="103">
        <f t="shared" si="29"/>
        <v>366800</v>
      </c>
      <c r="P84" s="96"/>
      <c r="Q84" s="26"/>
      <c r="R84" s="26">
        <f t="shared" si="30"/>
        <v>366800</v>
      </c>
      <c r="S84" s="26">
        <v>11600</v>
      </c>
      <c r="T84" s="26"/>
      <c r="U84" s="26">
        <f t="shared" si="25"/>
        <v>378400</v>
      </c>
      <c r="V84" s="108"/>
      <c r="W84" s="26">
        <v>0</v>
      </c>
      <c r="X84" s="26"/>
      <c r="Y84" s="26">
        <f>U84+W84</f>
        <v>378400</v>
      </c>
      <c r="Z84" s="108"/>
      <c r="AA84" s="26"/>
      <c r="AB84" s="26"/>
      <c r="AC84" s="103">
        <f>Y84+AA84</f>
        <v>378400</v>
      </c>
      <c r="AD84" s="108"/>
      <c r="AE84" s="26">
        <v>1449600</v>
      </c>
      <c r="AF84" s="26"/>
      <c r="AG84" s="26">
        <f>AC84+AE84</f>
        <v>1828000</v>
      </c>
      <c r="AH84" s="108"/>
      <c r="AI84" s="26">
        <v>0</v>
      </c>
      <c r="AJ84" s="26">
        <v>0</v>
      </c>
      <c r="AK84" s="26">
        <f t="shared" si="68"/>
        <v>1828000</v>
      </c>
      <c r="AL84" s="108"/>
      <c r="AM84" s="26"/>
      <c r="AN84" s="26"/>
      <c r="AO84" s="26">
        <f>AK84+AM84</f>
        <v>1828000</v>
      </c>
      <c r="AP84" s="108"/>
      <c r="AQ84" s="26"/>
      <c r="AR84" s="26"/>
      <c r="AS84" s="26">
        <f>AO84+AQ84</f>
        <v>1828000</v>
      </c>
      <c r="AT84" s="108"/>
    </row>
    <row r="85" spans="1:46" x14ac:dyDescent="0.25">
      <c r="A85" s="107" t="s">
        <v>86</v>
      </c>
      <c r="B85" s="107" t="s">
        <v>87</v>
      </c>
      <c r="C85" s="26"/>
      <c r="D85" s="26">
        <v>0</v>
      </c>
      <c r="E85" s="26">
        <f t="shared" si="54"/>
        <v>0</v>
      </c>
      <c r="F85" s="108"/>
      <c r="G85" s="26">
        <v>0</v>
      </c>
      <c r="H85" s="26">
        <v>0</v>
      </c>
      <c r="I85" s="26">
        <f t="shared" si="67"/>
        <v>0</v>
      </c>
      <c r="J85" s="26"/>
      <c r="K85" s="26">
        <v>0</v>
      </c>
      <c r="L85" s="26">
        <f t="shared" si="28"/>
        <v>0</v>
      </c>
      <c r="M85" s="26">
        <v>0</v>
      </c>
      <c r="N85" s="26">
        <v>0</v>
      </c>
      <c r="O85" s="103">
        <f t="shared" si="29"/>
        <v>0</v>
      </c>
      <c r="P85" s="96"/>
      <c r="Q85" s="26">
        <v>0</v>
      </c>
      <c r="R85" s="26">
        <f t="shared" si="30"/>
        <v>0</v>
      </c>
      <c r="S85" s="26">
        <v>0</v>
      </c>
      <c r="T85" s="26">
        <v>0</v>
      </c>
      <c r="U85" s="26">
        <f t="shared" si="25"/>
        <v>0</v>
      </c>
      <c r="V85" s="108"/>
      <c r="W85" s="26">
        <v>0</v>
      </c>
      <c r="X85" s="26">
        <v>0</v>
      </c>
      <c r="Y85" s="26">
        <f>U85+W85</f>
        <v>0</v>
      </c>
      <c r="Z85" s="108"/>
      <c r="AA85" s="26">
        <v>0</v>
      </c>
      <c r="AB85" s="26"/>
      <c r="AC85" s="103">
        <f>Y85+AA85</f>
        <v>0</v>
      </c>
      <c r="AD85" s="108"/>
      <c r="AE85" s="26"/>
      <c r="AF85" s="26"/>
      <c r="AG85" s="26">
        <f>AC85+AE85</f>
        <v>0</v>
      </c>
      <c r="AH85" s="108"/>
      <c r="AI85" s="26"/>
      <c r="AJ85" s="26">
        <v>0</v>
      </c>
      <c r="AK85" s="26">
        <f t="shared" si="68"/>
        <v>0</v>
      </c>
      <c r="AL85" s="108"/>
      <c r="AM85" s="26">
        <v>0</v>
      </c>
      <c r="AN85" s="26"/>
      <c r="AO85" s="26">
        <f>AK85+AM85</f>
        <v>0</v>
      </c>
      <c r="AP85" s="108"/>
      <c r="AQ85" s="26">
        <v>0</v>
      </c>
      <c r="AR85" s="26"/>
      <c r="AS85" s="26">
        <f>AO85+AQ85</f>
        <v>0</v>
      </c>
      <c r="AT85" s="108"/>
    </row>
    <row r="86" spans="1:46" x14ac:dyDescent="0.25">
      <c r="A86" s="107" t="s">
        <v>148</v>
      </c>
      <c r="B86" s="107" t="s">
        <v>71</v>
      </c>
      <c r="C86" s="26">
        <v>0</v>
      </c>
      <c r="D86" s="26">
        <v>0</v>
      </c>
      <c r="E86" s="26">
        <f t="shared" si="54"/>
        <v>0</v>
      </c>
      <c r="F86" s="108"/>
      <c r="G86" s="26">
        <v>0</v>
      </c>
      <c r="H86" s="26">
        <v>0</v>
      </c>
      <c r="I86" s="26">
        <f t="shared" si="67"/>
        <v>0</v>
      </c>
      <c r="J86" s="26"/>
      <c r="K86" s="26">
        <v>0</v>
      </c>
      <c r="L86" s="26">
        <f t="shared" si="28"/>
        <v>0</v>
      </c>
      <c r="M86" s="26"/>
      <c r="N86" s="26"/>
      <c r="O86" s="103">
        <f t="shared" si="29"/>
        <v>0</v>
      </c>
      <c r="P86" s="96"/>
      <c r="Q86" s="26"/>
      <c r="R86" s="26">
        <f t="shared" si="30"/>
        <v>0</v>
      </c>
      <c r="S86" s="26">
        <v>0</v>
      </c>
      <c r="T86" s="26"/>
      <c r="U86" s="26">
        <f t="shared" si="25"/>
        <v>0</v>
      </c>
      <c r="V86" s="108"/>
      <c r="W86" s="26">
        <v>0</v>
      </c>
      <c r="X86" s="26"/>
      <c r="Y86" s="26">
        <f>U86+W86</f>
        <v>0</v>
      </c>
      <c r="Z86" s="108"/>
      <c r="AA86" s="26">
        <v>0</v>
      </c>
      <c r="AB86" s="26"/>
      <c r="AC86" s="103">
        <f>Y86+AA86</f>
        <v>0</v>
      </c>
      <c r="AD86" s="108"/>
      <c r="AE86" s="26"/>
      <c r="AF86" s="26"/>
      <c r="AG86" s="26">
        <f>AC86+AE86</f>
        <v>0</v>
      </c>
      <c r="AH86" s="108"/>
      <c r="AI86" s="26">
        <v>0</v>
      </c>
      <c r="AJ86" s="26">
        <v>0</v>
      </c>
      <c r="AK86" s="26">
        <f t="shared" si="68"/>
        <v>0</v>
      </c>
      <c r="AL86" s="108"/>
      <c r="AM86" s="26">
        <v>0</v>
      </c>
      <c r="AN86" s="26"/>
      <c r="AO86" s="26">
        <f>AK86+AM86</f>
        <v>0</v>
      </c>
      <c r="AP86" s="108"/>
      <c r="AQ86" s="26">
        <v>0</v>
      </c>
      <c r="AR86" s="26"/>
      <c r="AS86" s="26">
        <f>AO86+AQ86</f>
        <v>0</v>
      </c>
      <c r="AT86" s="108"/>
    </row>
    <row r="87" spans="1:46" x14ac:dyDescent="0.25">
      <c r="A87" s="107"/>
      <c r="B87" s="107"/>
      <c r="C87" s="26"/>
      <c r="D87" s="26"/>
      <c r="E87" s="26">
        <f t="shared" si="54"/>
        <v>0</v>
      </c>
      <c r="F87" s="108"/>
      <c r="G87" s="26"/>
      <c r="H87" s="26"/>
      <c r="I87" s="26">
        <f t="shared" si="67"/>
        <v>0</v>
      </c>
      <c r="J87" s="26"/>
      <c r="K87" s="26"/>
      <c r="L87" s="26">
        <f t="shared" si="28"/>
        <v>0</v>
      </c>
      <c r="M87" s="26"/>
      <c r="N87" s="26"/>
      <c r="O87" s="103">
        <f t="shared" si="29"/>
        <v>0</v>
      </c>
      <c r="P87" s="96"/>
      <c r="Q87" s="26"/>
      <c r="R87" s="26">
        <f t="shared" si="30"/>
        <v>0</v>
      </c>
      <c r="S87" s="26"/>
      <c r="T87" s="26"/>
      <c r="U87" s="26">
        <f t="shared" si="25"/>
        <v>0</v>
      </c>
      <c r="V87" s="108"/>
      <c r="W87" s="26"/>
      <c r="X87" s="26"/>
      <c r="Y87" s="26"/>
      <c r="Z87" s="108"/>
      <c r="AA87" s="26"/>
      <c r="AB87" s="26"/>
      <c r="AC87" s="103"/>
      <c r="AD87" s="108"/>
      <c r="AE87" s="26"/>
      <c r="AF87" s="26"/>
      <c r="AG87" s="26"/>
      <c r="AH87" s="108"/>
      <c r="AI87" s="26"/>
      <c r="AJ87" s="26"/>
      <c r="AK87" s="26">
        <f t="shared" si="68"/>
        <v>0</v>
      </c>
      <c r="AL87" s="108"/>
      <c r="AM87" s="26"/>
      <c r="AN87" s="26"/>
      <c r="AO87" s="26"/>
      <c r="AP87" s="108"/>
      <c r="AQ87" s="26"/>
      <c r="AR87" s="26"/>
      <c r="AS87" s="26"/>
      <c r="AT87" s="108"/>
    </row>
    <row r="88" spans="1:46" x14ac:dyDescent="0.25">
      <c r="A88" s="102" t="s">
        <v>88</v>
      </c>
      <c r="B88" s="102" t="s">
        <v>89</v>
      </c>
      <c r="C88" s="103">
        <f>+C90+C91+C92+C93</f>
        <v>38000</v>
      </c>
      <c r="D88" s="103">
        <v>0</v>
      </c>
      <c r="E88" s="103">
        <f t="shared" si="54"/>
        <v>38000</v>
      </c>
      <c r="F88" s="104"/>
      <c r="G88" s="103">
        <f>G90+G91+G93+G92</f>
        <v>403021</v>
      </c>
      <c r="H88" s="103">
        <v>0</v>
      </c>
      <c r="I88" s="103">
        <f t="shared" si="67"/>
        <v>441021</v>
      </c>
      <c r="J88" s="103">
        <f>J89+J90+J91+J92+J93</f>
        <v>1474632</v>
      </c>
      <c r="K88" s="103">
        <v>0</v>
      </c>
      <c r="L88" s="103">
        <f t="shared" si="28"/>
        <v>1915653</v>
      </c>
      <c r="M88" s="103">
        <f>+M90+M91+M92+M93+M89</f>
        <v>907538</v>
      </c>
      <c r="N88" s="103">
        <v>0</v>
      </c>
      <c r="O88" s="103">
        <f t="shared" si="29"/>
        <v>2823191</v>
      </c>
      <c r="P88" s="103">
        <f>+P89+P90+P91+P92+P93</f>
        <v>1825585</v>
      </c>
      <c r="Q88" s="103">
        <v>0</v>
      </c>
      <c r="R88" s="103">
        <f t="shared" si="30"/>
        <v>4648776</v>
      </c>
      <c r="S88" s="103">
        <f>+S90+S91+S92+S93+S89</f>
        <v>348781</v>
      </c>
      <c r="T88" s="103">
        <v>0</v>
      </c>
      <c r="U88" s="103">
        <f t="shared" si="25"/>
        <v>4997557</v>
      </c>
      <c r="V88" s="104"/>
      <c r="W88" s="103">
        <f>+W90+W91+W92+W93+W89</f>
        <v>189268</v>
      </c>
      <c r="X88" s="103">
        <v>0</v>
      </c>
      <c r="Y88" s="103">
        <f t="shared" ref="Y88:Y93" si="69">U88+W88</f>
        <v>5186825</v>
      </c>
      <c r="Z88" s="104"/>
      <c r="AA88" s="103">
        <f>+AA90+AA91+AA92+AA93+AA89</f>
        <v>292058</v>
      </c>
      <c r="AB88" s="103">
        <v>0</v>
      </c>
      <c r="AC88" s="103">
        <f t="shared" ref="AC88:AC93" si="70">Y88+AA88</f>
        <v>5478883</v>
      </c>
      <c r="AD88" s="104"/>
      <c r="AE88" s="103">
        <f>+AE90+AE91+AE92+AE93+AE89</f>
        <v>363448</v>
      </c>
      <c r="AF88" s="103">
        <v>0</v>
      </c>
      <c r="AG88" s="103">
        <f t="shared" ref="AG88:AG93" si="71">AC88+AE88</f>
        <v>5842331</v>
      </c>
      <c r="AH88" s="104"/>
      <c r="AI88" s="103">
        <f>+AI90+AI91+AI92+AI93+AI89</f>
        <v>182800</v>
      </c>
      <c r="AJ88" s="103">
        <v>0</v>
      </c>
      <c r="AK88" s="103">
        <f t="shared" si="68"/>
        <v>6025131</v>
      </c>
      <c r="AL88" s="104"/>
      <c r="AM88" s="103">
        <f>+AM90+AM91+AM92+AM93+AM89</f>
        <v>4060500</v>
      </c>
      <c r="AN88" s="103">
        <v>0</v>
      </c>
      <c r="AO88" s="103">
        <f t="shared" ref="AO88:AO93" si="72">AK88+AM88</f>
        <v>10085631</v>
      </c>
      <c r="AP88" s="104"/>
      <c r="AQ88" s="103">
        <f>+AQ90+AQ91+AQ92+AQ93+AQ89</f>
        <v>188806</v>
      </c>
      <c r="AR88" s="103">
        <v>0</v>
      </c>
      <c r="AS88" s="103">
        <f t="shared" ref="AS88:AS93" si="73">AO88+AQ88</f>
        <v>10274437</v>
      </c>
      <c r="AT88" s="104"/>
    </row>
    <row r="89" spans="1:46" ht="21" x14ac:dyDescent="0.25">
      <c r="A89" s="107">
        <v>514510</v>
      </c>
      <c r="B89" s="107" t="s">
        <v>263</v>
      </c>
      <c r="C89" s="26"/>
      <c r="D89" s="26"/>
      <c r="E89" s="26"/>
      <c r="F89" s="108"/>
      <c r="G89" s="26"/>
      <c r="H89" s="26"/>
      <c r="I89" s="26">
        <f t="shared" si="67"/>
        <v>0</v>
      </c>
      <c r="J89" s="26"/>
      <c r="K89" s="26"/>
      <c r="L89" s="26">
        <f t="shared" si="28"/>
        <v>0</v>
      </c>
      <c r="M89" s="26"/>
      <c r="N89" s="26"/>
      <c r="O89" s="103">
        <f t="shared" si="29"/>
        <v>0</v>
      </c>
      <c r="P89" s="96"/>
      <c r="Q89" s="26"/>
      <c r="R89" s="26">
        <f t="shared" si="30"/>
        <v>0</v>
      </c>
      <c r="S89" s="26"/>
      <c r="T89" s="26"/>
      <c r="U89" s="26">
        <f t="shared" si="25"/>
        <v>0</v>
      </c>
      <c r="V89" s="108"/>
      <c r="W89" s="26"/>
      <c r="X89" s="26"/>
      <c r="Y89" s="26">
        <f t="shared" si="69"/>
        <v>0</v>
      </c>
      <c r="Z89" s="108"/>
      <c r="AA89" s="26"/>
      <c r="AB89" s="26"/>
      <c r="AC89" s="103">
        <f t="shared" si="70"/>
        <v>0</v>
      </c>
      <c r="AD89" s="26"/>
      <c r="AE89" s="26"/>
      <c r="AF89" s="26"/>
      <c r="AG89" s="26">
        <f t="shared" si="71"/>
        <v>0</v>
      </c>
      <c r="AH89" s="108"/>
      <c r="AI89" s="26"/>
      <c r="AJ89" s="26"/>
      <c r="AK89" s="26">
        <f t="shared" si="68"/>
        <v>0</v>
      </c>
      <c r="AL89" s="108"/>
      <c r="AM89" s="26"/>
      <c r="AN89" s="26"/>
      <c r="AO89" s="26">
        <f t="shared" si="72"/>
        <v>0</v>
      </c>
      <c r="AP89" s="108"/>
      <c r="AQ89" s="26">
        <v>0</v>
      </c>
      <c r="AR89" s="26"/>
      <c r="AS89" s="26">
        <f t="shared" si="73"/>
        <v>0</v>
      </c>
      <c r="AT89" s="108"/>
    </row>
    <row r="90" spans="1:46" x14ac:dyDescent="0.25">
      <c r="A90" s="107" t="s">
        <v>90</v>
      </c>
      <c r="B90" s="107" t="s">
        <v>91</v>
      </c>
      <c r="C90" s="26">
        <v>32000</v>
      </c>
      <c r="D90" s="26">
        <v>0</v>
      </c>
      <c r="E90" s="26">
        <f t="shared" si="54"/>
        <v>32000</v>
      </c>
      <c r="F90" s="108"/>
      <c r="G90" s="26">
        <v>399021</v>
      </c>
      <c r="H90" s="26">
        <v>0</v>
      </c>
      <c r="I90" s="26">
        <f t="shared" si="67"/>
        <v>431021</v>
      </c>
      <c r="J90" s="26">
        <v>953287</v>
      </c>
      <c r="K90" s="26"/>
      <c r="L90" s="26">
        <f t="shared" si="28"/>
        <v>1384308</v>
      </c>
      <c r="M90" s="26">
        <v>303000</v>
      </c>
      <c r="N90" s="26"/>
      <c r="O90" s="103">
        <f t="shared" si="29"/>
        <v>1687308</v>
      </c>
      <c r="P90" s="96">
        <v>697014</v>
      </c>
      <c r="Q90" s="26"/>
      <c r="R90" s="26">
        <f t="shared" si="30"/>
        <v>2384322</v>
      </c>
      <c r="S90" s="26">
        <v>61000</v>
      </c>
      <c r="T90" s="26"/>
      <c r="U90" s="26">
        <f t="shared" si="25"/>
        <v>2445322</v>
      </c>
      <c r="V90" s="108"/>
      <c r="W90" s="26">
        <v>119268</v>
      </c>
      <c r="X90" s="26"/>
      <c r="Y90" s="26">
        <f t="shared" si="69"/>
        <v>2564590</v>
      </c>
      <c r="Z90" s="108"/>
      <c r="AA90" s="26">
        <v>130000</v>
      </c>
      <c r="AB90" s="26"/>
      <c r="AC90" s="103">
        <f t="shared" si="70"/>
        <v>2694590</v>
      </c>
      <c r="AD90" s="26"/>
      <c r="AE90" s="26">
        <v>61000</v>
      </c>
      <c r="AF90" s="26"/>
      <c r="AG90" s="26">
        <f t="shared" si="71"/>
        <v>2755590</v>
      </c>
      <c r="AH90" s="108"/>
      <c r="AI90" s="26">
        <v>112800</v>
      </c>
      <c r="AJ90" s="26"/>
      <c r="AK90" s="26">
        <f t="shared" si="68"/>
        <v>2868390</v>
      </c>
      <c r="AL90" s="108"/>
      <c r="AM90" s="26">
        <v>3320500</v>
      </c>
      <c r="AN90" s="26"/>
      <c r="AO90" s="26">
        <f t="shared" si="72"/>
        <v>6188890</v>
      </c>
      <c r="AP90" s="108"/>
      <c r="AQ90" s="26">
        <v>42000</v>
      </c>
      <c r="AR90" s="26"/>
      <c r="AS90" s="26">
        <f t="shared" si="73"/>
        <v>6230890</v>
      </c>
      <c r="AT90" s="108"/>
    </row>
    <row r="91" spans="1:46" x14ac:dyDescent="0.25">
      <c r="A91" s="107" t="s">
        <v>92</v>
      </c>
      <c r="B91" s="107" t="s">
        <v>93</v>
      </c>
      <c r="C91" s="26">
        <v>0</v>
      </c>
      <c r="D91" s="26">
        <v>0</v>
      </c>
      <c r="E91" s="26">
        <f t="shared" si="54"/>
        <v>0</v>
      </c>
      <c r="F91" s="108"/>
      <c r="G91" s="26">
        <v>0</v>
      </c>
      <c r="H91" s="26">
        <v>0</v>
      </c>
      <c r="I91" s="26">
        <f t="shared" si="67"/>
        <v>0</v>
      </c>
      <c r="J91" s="26">
        <v>0</v>
      </c>
      <c r="K91" s="26">
        <v>0</v>
      </c>
      <c r="L91" s="26">
        <f t="shared" si="28"/>
        <v>0</v>
      </c>
      <c r="M91" s="26"/>
      <c r="N91" s="26"/>
      <c r="O91" s="103">
        <f t="shared" si="29"/>
        <v>0</v>
      </c>
      <c r="P91" s="96"/>
      <c r="Q91" s="26"/>
      <c r="R91" s="26">
        <f t="shared" si="30"/>
        <v>0</v>
      </c>
      <c r="S91" s="26">
        <v>0</v>
      </c>
      <c r="T91" s="26"/>
      <c r="U91" s="26">
        <f t="shared" si="25"/>
        <v>0</v>
      </c>
      <c r="V91" s="108"/>
      <c r="W91" s="26"/>
      <c r="X91" s="26"/>
      <c r="Y91" s="26">
        <f t="shared" si="69"/>
        <v>0</v>
      </c>
      <c r="Z91" s="108"/>
      <c r="AA91" s="26"/>
      <c r="AB91" s="26"/>
      <c r="AC91" s="103">
        <f t="shared" si="70"/>
        <v>0</v>
      </c>
      <c r="AD91" s="26"/>
      <c r="AE91" s="26">
        <v>0</v>
      </c>
      <c r="AF91" s="26"/>
      <c r="AG91" s="26">
        <f t="shared" si="71"/>
        <v>0</v>
      </c>
      <c r="AH91" s="108"/>
      <c r="AI91" s="26">
        <v>0</v>
      </c>
      <c r="AJ91" s="26"/>
      <c r="AK91" s="26">
        <f t="shared" si="68"/>
        <v>0</v>
      </c>
      <c r="AL91" s="108"/>
      <c r="AM91" s="26"/>
      <c r="AN91" s="26"/>
      <c r="AO91" s="26">
        <f t="shared" si="72"/>
        <v>0</v>
      </c>
      <c r="AP91" s="108"/>
      <c r="AQ91" s="26">
        <v>0</v>
      </c>
      <c r="AR91" s="26"/>
      <c r="AS91" s="26">
        <f t="shared" si="73"/>
        <v>0</v>
      </c>
      <c r="AT91" s="108"/>
    </row>
    <row r="92" spans="1:46" ht="21" customHeight="1" x14ac:dyDescent="0.25">
      <c r="A92" s="107" t="s">
        <v>149</v>
      </c>
      <c r="B92" s="107" t="s">
        <v>140</v>
      </c>
      <c r="C92" s="26"/>
      <c r="D92" s="26">
        <v>0</v>
      </c>
      <c r="E92" s="26">
        <f t="shared" si="54"/>
        <v>0</v>
      </c>
      <c r="F92" s="108"/>
      <c r="G92" s="26"/>
      <c r="H92" s="26">
        <v>0</v>
      </c>
      <c r="I92" s="26">
        <f t="shared" si="67"/>
        <v>0</v>
      </c>
      <c r="J92" s="26">
        <v>177311</v>
      </c>
      <c r="K92" s="26">
        <v>0</v>
      </c>
      <c r="L92" s="26">
        <f t="shared" si="28"/>
        <v>177311</v>
      </c>
      <c r="M92" s="26"/>
      <c r="N92" s="26"/>
      <c r="O92" s="103">
        <f t="shared" si="29"/>
        <v>177311</v>
      </c>
      <c r="P92" s="96"/>
      <c r="Q92" s="26"/>
      <c r="R92" s="26">
        <f t="shared" si="30"/>
        <v>177311</v>
      </c>
      <c r="S92" s="26"/>
      <c r="T92" s="26"/>
      <c r="U92" s="26">
        <f t="shared" si="25"/>
        <v>177311</v>
      </c>
      <c r="V92" s="108"/>
      <c r="W92" s="26">
        <v>0</v>
      </c>
      <c r="X92" s="26"/>
      <c r="Y92" s="26">
        <f t="shared" si="69"/>
        <v>177311</v>
      </c>
      <c r="Z92" s="108"/>
      <c r="AA92" s="26">
        <v>147058</v>
      </c>
      <c r="AB92" s="26"/>
      <c r="AC92" s="103">
        <f t="shared" si="70"/>
        <v>324369</v>
      </c>
      <c r="AD92" s="26"/>
      <c r="AE92" s="26"/>
      <c r="AF92" s="26"/>
      <c r="AG92" s="26">
        <f t="shared" si="71"/>
        <v>324369</v>
      </c>
      <c r="AH92" s="108"/>
      <c r="AI92" s="26"/>
      <c r="AJ92" s="26"/>
      <c r="AK92" s="26">
        <f t="shared" si="68"/>
        <v>324369</v>
      </c>
      <c r="AL92" s="108"/>
      <c r="AM92" s="26"/>
      <c r="AN92" s="26"/>
      <c r="AO92" s="26">
        <f t="shared" si="72"/>
        <v>324369</v>
      </c>
      <c r="AP92" s="108"/>
      <c r="AQ92" s="26">
        <v>70588</v>
      </c>
      <c r="AR92" s="26"/>
      <c r="AS92" s="26">
        <f t="shared" si="73"/>
        <v>394957</v>
      </c>
      <c r="AT92" s="108"/>
    </row>
    <row r="93" spans="1:46" x14ac:dyDescent="0.25">
      <c r="A93" s="107" t="s">
        <v>94</v>
      </c>
      <c r="B93" s="107" t="s">
        <v>95</v>
      </c>
      <c r="C93" s="26">
        <v>6000</v>
      </c>
      <c r="D93" s="26">
        <v>0</v>
      </c>
      <c r="E93" s="26">
        <f t="shared" si="54"/>
        <v>6000</v>
      </c>
      <c r="F93" s="108"/>
      <c r="G93" s="26">
        <v>4000</v>
      </c>
      <c r="H93" s="26">
        <v>0</v>
      </c>
      <c r="I93" s="26">
        <f t="shared" si="67"/>
        <v>10000</v>
      </c>
      <c r="J93" s="26">
        <v>344034</v>
      </c>
      <c r="K93" s="26">
        <v>0</v>
      </c>
      <c r="L93" s="26">
        <f t="shared" si="28"/>
        <v>354034</v>
      </c>
      <c r="M93" s="26">
        <v>604538</v>
      </c>
      <c r="N93" s="26"/>
      <c r="O93" s="103">
        <f t="shared" si="29"/>
        <v>958572</v>
      </c>
      <c r="P93" s="96">
        <v>1128571</v>
      </c>
      <c r="Q93" s="26"/>
      <c r="R93" s="26">
        <f t="shared" si="30"/>
        <v>2087143</v>
      </c>
      <c r="S93" s="26">
        <v>287781</v>
      </c>
      <c r="T93" s="26"/>
      <c r="U93" s="26">
        <f t="shared" si="25"/>
        <v>2374924</v>
      </c>
      <c r="V93" s="108"/>
      <c r="W93" s="26">
        <v>70000</v>
      </c>
      <c r="X93" s="26"/>
      <c r="Y93" s="26">
        <f t="shared" si="69"/>
        <v>2444924</v>
      </c>
      <c r="Z93" s="108"/>
      <c r="AA93" s="26">
        <v>15000</v>
      </c>
      <c r="AB93" s="26"/>
      <c r="AC93" s="103">
        <f t="shared" si="70"/>
        <v>2459924</v>
      </c>
      <c r="AD93" s="26"/>
      <c r="AE93" s="26">
        <v>302448</v>
      </c>
      <c r="AF93" s="26"/>
      <c r="AG93" s="26">
        <f t="shared" si="71"/>
        <v>2762372</v>
      </c>
      <c r="AH93" s="108"/>
      <c r="AI93" s="26">
        <v>70000</v>
      </c>
      <c r="AJ93" s="26"/>
      <c r="AK93" s="26">
        <f t="shared" si="68"/>
        <v>2832372</v>
      </c>
      <c r="AL93" s="108"/>
      <c r="AM93" s="26">
        <v>740000</v>
      </c>
      <c r="AN93" s="26"/>
      <c r="AO93" s="26">
        <f t="shared" si="72"/>
        <v>3572372</v>
      </c>
      <c r="AP93" s="108"/>
      <c r="AQ93" s="26">
        <v>76218</v>
      </c>
      <c r="AR93" s="26"/>
      <c r="AS93" s="26">
        <f t="shared" si="73"/>
        <v>3648590</v>
      </c>
      <c r="AT93" s="108"/>
    </row>
    <row r="94" spans="1:46" x14ac:dyDescent="0.25">
      <c r="E94" s="26">
        <f t="shared" si="54"/>
        <v>0</v>
      </c>
      <c r="I94" s="26">
        <f t="shared" si="67"/>
        <v>0</v>
      </c>
      <c r="L94" s="26">
        <f t="shared" si="28"/>
        <v>0</v>
      </c>
      <c r="O94" s="103">
        <f t="shared" si="29"/>
        <v>0</v>
      </c>
      <c r="P94" s="112"/>
      <c r="Q94" s="56"/>
      <c r="R94" s="26">
        <f t="shared" si="30"/>
        <v>0</v>
      </c>
      <c r="U94" s="26">
        <f t="shared" si="25"/>
        <v>0</v>
      </c>
      <c r="AC94" s="103"/>
      <c r="AG94" s="26"/>
      <c r="AS94" s="26"/>
    </row>
    <row r="95" spans="1:46" x14ac:dyDescent="0.25">
      <c r="A95" s="102" t="s">
        <v>96</v>
      </c>
      <c r="B95" s="102" t="s">
        <v>97</v>
      </c>
      <c r="C95" s="103">
        <f>+C96+C97+C98+C99</f>
        <v>0</v>
      </c>
      <c r="D95" s="103">
        <v>0</v>
      </c>
      <c r="E95" s="103">
        <f t="shared" si="54"/>
        <v>0</v>
      </c>
      <c r="F95" s="104"/>
      <c r="G95" s="103">
        <f>+G96+G97+G98+G99</f>
        <v>0</v>
      </c>
      <c r="H95" s="103">
        <v>0</v>
      </c>
      <c r="I95" s="103">
        <f t="shared" si="67"/>
        <v>0</v>
      </c>
      <c r="J95" s="103">
        <f>+J96+J97+J98+J99</f>
        <v>285000</v>
      </c>
      <c r="K95" s="103">
        <v>0</v>
      </c>
      <c r="L95" s="103">
        <f t="shared" si="28"/>
        <v>285000</v>
      </c>
      <c r="M95" s="103">
        <f>M99+M98</f>
        <v>0</v>
      </c>
      <c r="N95" s="103">
        <v>0</v>
      </c>
      <c r="O95" s="103">
        <f t="shared" si="29"/>
        <v>285000</v>
      </c>
      <c r="P95" s="103">
        <f>P96+P97+P98+P99</f>
        <v>0</v>
      </c>
      <c r="Q95" s="103">
        <v>0</v>
      </c>
      <c r="R95" s="103">
        <f t="shared" si="30"/>
        <v>285000</v>
      </c>
      <c r="S95" s="103">
        <f>S99+S98</f>
        <v>0</v>
      </c>
      <c r="T95" s="103">
        <v>0</v>
      </c>
      <c r="U95" s="103">
        <f t="shared" ref="U95:U158" si="74">+R95+S95</f>
        <v>285000</v>
      </c>
      <c r="V95" s="104"/>
      <c r="W95" s="103">
        <f>W99+W98+W97+W96</f>
        <v>50000</v>
      </c>
      <c r="X95" s="103">
        <v>0</v>
      </c>
      <c r="Y95" s="103">
        <f>U95+W95</f>
        <v>335000</v>
      </c>
      <c r="Z95" s="104"/>
      <c r="AA95" s="103">
        <f>AA99+AA98</f>
        <v>169600</v>
      </c>
      <c r="AB95" s="103">
        <v>0</v>
      </c>
      <c r="AC95" s="103">
        <f>Y95+AA95</f>
        <v>504600</v>
      </c>
      <c r="AD95" s="104"/>
      <c r="AE95" s="103">
        <f>+AE96</f>
        <v>100000</v>
      </c>
      <c r="AF95" s="103">
        <v>0</v>
      </c>
      <c r="AG95" s="103">
        <f>AC95+AE95</f>
        <v>604600</v>
      </c>
      <c r="AH95" s="104"/>
      <c r="AI95" s="103">
        <f>AI96+AI97+AI98+AI99</f>
        <v>0</v>
      </c>
      <c r="AJ95" s="103">
        <v>0</v>
      </c>
      <c r="AK95" s="103">
        <f>AG95+AI95</f>
        <v>604600</v>
      </c>
      <c r="AL95" s="104"/>
      <c r="AM95" s="103">
        <f>AM99+AM98</f>
        <v>0</v>
      </c>
      <c r="AN95" s="103">
        <v>0</v>
      </c>
      <c r="AO95" s="103">
        <f>AK95+AM95</f>
        <v>604600</v>
      </c>
      <c r="AP95" s="104"/>
      <c r="AQ95" s="103">
        <f>AQ99+AQ98</f>
        <v>0</v>
      </c>
      <c r="AR95" s="103">
        <v>0</v>
      </c>
      <c r="AS95" s="103">
        <f>AO95+AQ95</f>
        <v>604600</v>
      </c>
      <c r="AT95" s="104"/>
    </row>
    <row r="96" spans="1:46" x14ac:dyDescent="0.25">
      <c r="A96" s="107">
        <v>515005</v>
      </c>
      <c r="B96" s="107" t="s">
        <v>162</v>
      </c>
      <c r="C96" s="26">
        <v>0</v>
      </c>
      <c r="D96" s="26">
        <v>0</v>
      </c>
      <c r="E96" s="26">
        <f t="shared" si="54"/>
        <v>0</v>
      </c>
      <c r="F96" s="108"/>
      <c r="G96" s="26"/>
      <c r="H96" s="26">
        <v>0</v>
      </c>
      <c r="I96" s="26">
        <f t="shared" si="67"/>
        <v>0</v>
      </c>
      <c r="J96" s="26"/>
      <c r="K96" s="26"/>
      <c r="L96" s="26">
        <f t="shared" ref="L96:L157" si="75">I96+J96</f>
        <v>0</v>
      </c>
      <c r="M96" s="26"/>
      <c r="N96" s="26">
        <v>0</v>
      </c>
      <c r="O96" s="103">
        <f t="shared" ref="O96:O157" si="76">+L96+M96</f>
        <v>0</v>
      </c>
      <c r="P96" s="96"/>
      <c r="Q96" s="26">
        <v>0</v>
      </c>
      <c r="R96" s="26">
        <f t="shared" ref="R96:R158" si="77">+O96+P96</f>
        <v>0</v>
      </c>
      <c r="S96" s="26">
        <v>0</v>
      </c>
      <c r="T96" s="26">
        <v>0</v>
      </c>
      <c r="U96" s="26">
        <f t="shared" si="74"/>
        <v>0</v>
      </c>
      <c r="V96" s="108"/>
      <c r="W96" s="26"/>
      <c r="X96" s="26"/>
      <c r="Y96" s="26">
        <f>U96+W96</f>
        <v>0</v>
      </c>
      <c r="Z96" s="108"/>
      <c r="AA96" s="26">
        <v>0</v>
      </c>
      <c r="AB96" s="26"/>
      <c r="AC96" s="103">
        <f>Y96+AA96</f>
        <v>0</v>
      </c>
      <c r="AD96" s="26">
        <v>0</v>
      </c>
      <c r="AE96" s="26">
        <v>100000</v>
      </c>
      <c r="AF96" s="26"/>
      <c r="AG96" s="26">
        <f>AC96+AE96</f>
        <v>100000</v>
      </c>
      <c r="AH96" s="108"/>
      <c r="AI96" s="26"/>
      <c r="AJ96" s="26"/>
      <c r="AK96" s="26">
        <f>AG96+AI96</f>
        <v>100000</v>
      </c>
      <c r="AL96" s="108"/>
      <c r="AM96" s="26">
        <v>0</v>
      </c>
      <c r="AN96" s="26"/>
      <c r="AO96" s="26">
        <f>AK96+AM96</f>
        <v>100000</v>
      </c>
      <c r="AP96" s="108"/>
      <c r="AQ96" s="26">
        <v>0</v>
      </c>
      <c r="AR96" s="26"/>
      <c r="AS96" s="26">
        <f>AO96+AQ96</f>
        <v>100000</v>
      </c>
      <c r="AT96" s="108"/>
    </row>
    <row r="97" spans="1:46" x14ac:dyDescent="0.25">
      <c r="A97" s="107">
        <v>515010</v>
      </c>
      <c r="B97" s="107" t="s">
        <v>163</v>
      </c>
      <c r="C97" s="26">
        <v>0</v>
      </c>
      <c r="D97" s="26">
        <v>0</v>
      </c>
      <c r="E97" s="26">
        <f t="shared" si="54"/>
        <v>0</v>
      </c>
      <c r="F97" s="108"/>
      <c r="G97" s="26">
        <v>0</v>
      </c>
      <c r="H97" s="26">
        <v>0</v>
      </c>
      <c r="I97" s="26">
        <f t="shared" si="67"/>
        <v>0</v>
      </c>
      <c r="J97" s="26">
        <v>0</v>
      </c>
      <c r="K97" s="26">
        <v>0</v>
      </c>
      <c r="L97" s="26">
        <f t="shared" si="75"/>
        <v>0</v>
      </c>
      <c r="M97" s="26">
        <v>0</v>
      </c>
      <c r="N97" s="26">
        <v>0</v>
      </c>
      <c r="O97" s="103">
        <f t="shared" si="76"/>
        <v>0</v>
      </c>
      <c r="P97" s="96"/>
      <c r="Q97" s="26">
        <v>0</v>
      </c>
      <c r="R97" s="26">
        <f t="shared" si="77"/>
        <v>0</v>
      </c>
      <c r="S97" s="26">
        <v>0</v>
      </c>
      <c r="T97" s="26">
        <v>0</v>
      </c>
      <c r="U97" s="26">
        <f t="shared" si="74"/>
        <v>0</v>
      </c>
      <c r="V97" s="108"/>
      <c r="W97" s="26">
        <v>0</v>
      </c>
      <c r="X97" s="26">
        <v>0</v>
      </c>
      <c r="Y97" s="26">
        <f>U97+W97</f>
        <v>0</v>
      </c>
      <c r="Z97" s="108"/>
      <c r="AA97" s="26">
        <v>0</v>
      </c>
      <c r="AB97" s="26">
        <v>0</v>
      </c>
      <c r="AC97" s="103">
        <f>Y97+AA97</f>
        <v>0</v>
      </c>
      <c r="AD97" s="108"/>
      <c r="AE97" s="26"/>
      <c r="AF97" s="26">
        <v>0</v>
      </c>
      <c r="AG97" s="26">
        <f>AC97+AE97</f>
        <v>0</v>
      </c>
      <c r="AH97" s="108"/>
      <c r="AI97" s="26">
        <v>0</v>
      </c>
      <c r="AJ97" s="26">
        <v>0</v>
      </c>
      <c r="AK97" s="26">
        <f>AG97+AI97</f>
        <v>0</v>
      </c>
      <c r="AL97" s="108"/>
      <c r="AM97" s="26">
        <v>0</v>
      </c>
      <c r="AN97" s="26">
        <v>0</v>
      </c>
      <c r="AO97" s="26">
        <f>AK97+AM97</f>
        <v>0</v>
      </c>
      <c r="AP97" s="108"/>
      <c r="AQ97" s="26">
        <v>0</v>
      </c>
      <c r="AR97" s="26">
        <v>0</v>
      </c>
      <c r="AS97" s="26">
        <f>AO97+AQ97</f>
        <v>0</v>
      </c>
      <c r="AT97" s="108"/>
    </row>
    <row r="98" spans="1:46" x14ac:dyDescent="0.25">
      <c r="A98" s="107">
        <v>515015</v>
      </c>
      <c r="B98" s="107" t="s">
        <v>164</v>
      </c>
      <c r="C98" s="26"/>
      <c r="D98" s="26">
        <v>0</v>
      </c>
      <c r="E98" s="26">
        <f t="shared" si="54"/>
        <v>0</v>
      </c>
      <c r="F98" s="108"/>
      <c r="G98" s="26"/>
      <c r="H98" s="26">
        <v>0</v>
      </c>
      <c r="I98" s="26">
        <f t="shared" si="67"/>
        <v>0</v>
      </c>
      <c r="J98" s="26">
        <v>250000</v>
      </c>
      <c r="K98" s="26">
        <v>0</v>
      </c>
      <c r="L98" s="26">
        <f t="shared" si="75"/>
        <v>250000</v>
      </c>
      <c r="M98" s="26"/>
      <c r="N98" s="26"/>
      <c r="O98" s="103">
        <f t="shared" si="76"/>
        <v>250000</v>
      </c>
      <c r="P98" s="96"/>
      <c r="Q98" s="26"/>
      <c r="R98" s="26">
        <f t="shared" si="77"/>
        <v>250000</v>
      </c>
      <c r="S98" s="26"/>
      <c r="T98" s="26"/>
      <c r="U98" s="26">
        <f t="shared" si="74"/>
        <v>250000</v>
      </c>
      <c r="V98" s="108"/>
      <c r="W98" s="26">
        <v>50000</v>
      </c>
      <c r="X98" s="26"/>
      <c r="Y98" s="26">
        <f>U98+W98</f>
        <v>300000</v>
      </c>
      <c r="Z98" s="108"/>
      <c r="AA98" s="26">
        <f>130000+39600</f>
        <v>169600</v>
      </c>
      <c r="AB98" s="26"/>
      <c r="AC98" s="103">
        <f>Y98+AA98</f>
        <v>469600</v>
      </c>
      <c r="AD98" s="108"/>
      <c r="AE98" s="26"/>
      <c r="AF98" s="26"/>
      <c r="AG98" s="26">
        <f>AC98+AE98</f>
        <v>469600</v>
      </c>
      <c r="AH98" s="108"/>
      <c r="AI98" s="26"/>
      <c r="AJ98" s="26"/>
      <c r="AK98" s="26">
        <f>AG98+AI98</f>
        <v>469600</v>
      </c>
      <c r="AL98" s="108"/>
      <c r="AM98" s="26"/>
      <c r="AN98" s="26"/>
      <c r="AO98" s="26">
        <f>AK98+AM98</f>
        <v>469600</v>
      </c>
      <c r="AP98" s="108"/>
      <c r="AQ98" s="26"/>
      <c r="AR98" s="26"/>
      <c r="AS98" s="26">
        <f>AO98+AQ98</f>
        <v>469600</v>
      </c>
      <c r="AT98" s="108"/>
    </row>
    <row r="99" spans="1:46" x14ac:dyDescent="0.25">
      <c r="A99" s="107" t="s">
        <v>98</v>
      </c>
      <c r="B99" s="107" t="s">
        <v>71</v>
      </c>
      <c r="C99" s="26">
        <v>0</v>
      </c>
      <c r="D99" s="26">
        <v>0</v>
      </c>
      <c r="E99" s="26">
        <f t="shared" si="54"/>
        <v>0</v>
      </c>
      <c r="F99" s="108"/>
      <c r="G99" s="26">
        <v>0</v>
      </c>
      <c r="H99" s="26">
        <v>0</v>
      </c>
      <c r="I99" s="26">
        <f t="shared" si="67"/>
        <v>0</v>
      </c>
      <c r="J99" s="26">
        <v>35000</v>
      </c>
      <c r="K99" s="26">
        <v>0</v>
      </c>
      <c r="L99" s="26">
        <f t="shared" si="75"/>
        <v>35000</v>
      </c>
      <c r="M99" s="26"/>
      <c r="N99" s="26"/>
      <c r="O99" s="103">
        <f t="shared" si="76"/>
        <v>35000</v>
      </c>
      <c r="P99" s="96"/>
      <c r="Q99" s="26"/>
      <c r="R99" s="26">
        <f t="shared" si="77"/>
        <v>35000</v>
      </c>
      <c r="S99" s="26"/>
      <c r="T99" s="26"/>
      <c r="U99" s="26">
        <f t="shared" si="74"/>
        <v>35000</v>
      </c>
      <c r="V99" s="108"/>
      <c r="W99" s="26"/>
      <c r="X99" s="26"/>
      <c r="Y99" s="26">
        <f t="shared" ref="Y99:Y107" si="78">U99+W99</f>
        <v>35000</v>
      </c>
      <c r="Z99" s="108"/>
      <c r="AA99" s="26"/>
      <c r="AB99" s="26"/>
      <c r="AC99" s="103">
        <f t="shared" ref="AC99:AC107" si="79">Y99+AA99</f>
        <v>35000</v>
      </c>
      <c r="AD99" s="108"/>
      <c r="AE99" s="26"/>
      <c r="AF99" s="26"/>
      <c r="AG99" s="26">
        <f t="shared" ref="AG99:AG107" si="80">AC99+AE99</f>
        <v>35000</v>
      </c>
      <c r="AH99" s="108"/>
      <c r="AI99" s="26"/>
      <c r="AJ99" s="26"/>
      <c r="AK99" s="26">
        <f t="shared" ref="AK99:AK107" si="81">AG99+AI99</f>
        <v>35000</v>
      </c>
      <c r="AL99" s="108"/>
      <c r="AM99" s="26"/>
      <c r="AN99" s="26"/>
      <c r="AO99" s="26">
        <f t="shared" ref="AO99:AO107" si="82">AK99+AM99</f>
        <v>35000</v>
      </c>
      <c r="AP99" s="108"/>
      <c r="AQ99" s="26"/>
      <c r="AR99" s="26"/>
      <c r="AS99" s="26">
        <f t="shared" ref="AS99:AS107" si="83">AO99+AQ99</f>
        <v>35000</v>
      </c>
      <c r="AT99" s="108"/>
    </row>
    <row r="100" spans="1:46" x14ac:dyDescent="0.25">
      <c r="A100" s="107"/>
      <c r="B100" s="107"/>
      <c r="C100" s="26"/>
      <c r="D100" s="26"/>
      <c r="E100" s="26">
        <f t="shared" si="54"/>
        <v>0</v>
      </c>
      <c r="F100" s="108"/>
      <c r="G100" s="26"/>
      <c r="H100" s="26"/>
      <c r="I100" s="26">
        <f t="shared" si="67"/>
        <v>0</v>
      </c>
      <c r="J100" s="26"/>
      <c r="K100" s="26"/>
      <c r="L100" s="26">
        <f t="shared" si="75"/>
        <v>0</v>
      </c>
      <c r="M100" s="26"/>
      <c r="N100" s="26"/>
      <c r="O100" s="103">
        <f t="shared" si="76"/>
        <v>0</v>
      </c>
      <c r="P100" s="96"/>
      <c r="Q100" s="26"/>
      <c r="R100" s="26">
        <f t="shared" si="77"/>
        <v>0</v>
      </c>
      <c r="S100" s="26"/>
      <c r="T100" s="26"/>
      <c r="U100" s="26">
        <f t="shared" si="74"/>
        <v>0</v>
      </c>
      <c r="V100" s="108"/>
      <c r="W100" s="26"/>
      <c r="X100" s="26"/>
      <c r="Y100" s="26">
        <f t="shared" si="78"/>
        <v>0</v>
      </c>
      <c r="Z100" s="108"/>
      <c r="AA100" s="26"/>
      <c r="AB100" s="26"/>
      <c r="AC100" s="103">
        <f t="shared" si="79"/>
        <v>0</v>
      </c>
      <c r="AD100" s="108"/>
      <c r="AE100" s="26"/>
      <c r="AF100" s="26"/>
      <c r="AG100" s="26">
        <f t="shared" si="80"/>
        <v>0</v>
      </c>
      <c r="AH100" s="108"/>
      <c r="AI100" s="26"/>
      <c r="AJ100" s="26"/>
      <c r="AK100" s="26">
        <f t="shared" si="81"/>
        <v>0</v>
      </c>
      <c r="AL100" s="108"/>
      <c r="AM100" s="26"/>
      <c r="AN100" s="26"/>
      <c r="AO100" s="26">
        <f t="shared" si="82"/>
        <v>0</v>
      </c>
      <c r="AP100" s="108"/>
      <c r="AQ100" s="26"/>
      <c r="AR100" s="26"/>
      <c r="AS100" s="26">
        <f t="shared" si="83"/>
        <v>0</v>
      </c>
      <c r="AT100" s="108"/>
    </row>
    <row r="101" spans="1:46" x14ac:dyDescent="0.25">
      <c r="A101" s="102">
        <v>5160</v>
      </c>
      <c r="B101" s="102" t="s">
        <v>262</v>
      </c>
      <c r="C101" s="103">
        <f>+C102+C103+C104+C105+C106</f>
        <v>0</v>
      </c>
      <c r="D101" s="103"/>
      <c r="E101" s="103">
        <f t="shared" si="54"/>
        <v>0</v>
      </c>
      <c r="F101" s="104"/>
      <c r="G101" s="103">
        <f>+G102+G103+G104+G105+G106</f>
        <v>0</v>
      </c>
      <c r="H101" s="103"/>
      <c r="I101" s="103">
        <f t="shared" si="67"/>
        <v>0</v>
      </c>
      <c r="J101" s="103">
        <f>+J102+J103+J104+J105+J106</f>
        <v>0</v>
      </c>
      <c r="K101" s="103"/>
      <c r="L101" s="103">
        <f t="shared" si="75"/>
        <v>0</v>
      </c>
      <c r="M101" s="103"/>
      <c r="N101" s="103"/>
      <c r="O101" s="103">
        <f t="shared" si="76"/>
        <v>0</v>
      </c>
      <c r="P101" s="103">
        <f>+P102+P103+P104+P105+P106</f>
        <v>0</v>
      </c>
      <c r="Q101" s="103"/>
      <c r="R101" s="103">
        <f t="shared" si="77"/>
        <v>0</v>
      </c>
      <c r="S101" s="103">
        <f>+S102+S103+S104+S105+S106</f>
        <v>0</v>
      </c>
      <c r="T101" s="103"/>
      <c r="U101" s="103">
        <f t="shared" si="74"/>
        <v>0</v>
      </c>
      <c r="V101" s="104"/>
      <c r="W101" s="103">
        <f>+W102+W103+W104+W105+W106</f>
        <v>0</v>
      </c>
      <c r="X101" s="103"/>
      <c r="Y101" s="103">
        <f t="shared" si="78"/>
        <v>0</v>
      </c>
      <c r="Z101" s="104"/>
      <c r="AA101" s="103">
        <f>+AA102+AA103+AA104+AA105+AA106</f>
        <v>0</v>
      </c>
      <c r="AB101" s="103"/>
      <c r="AC101" s="103">
        <f t="shared" si="79"/>
        <v>0</v>
      </c>
      <c r="AD101" s="104"/>
      <c r="AE101" s="103">
        <f>+AE102+AE103+AE104+AE105+AE106</f>
        <v>0</v>
      </c>
      <c r="AF101" s="103"/>
      <c r="AG101" s="103">
        <f t="shared" si="80"/>
        <v>0</v>
      </c>
      <c r="AH101" s="104"/>
      <c r="AI101" s="103">
        <f>+AI102+AI103+AI104+AI105+AI106</f>
        <v>0</v>
      </c>
      <c r="AJ101" s="103"/>
      <c r="AK101" s="103">
        <f t="shared" si="81"/>
        <v>0</v>
      </c>
      <c r="AL101" s="104"/>
      <c r="AM101" s="103">
        <f>+AM102+AM103+AM104+AM105+AM106</f>
        <v>0</v>
      </c>
      <c r="AN101" s="103"/>
      <c r="AO101" s="103">
        <f t="shared" si="82"/>
        <v>0</v>
      </c>
      <c r="AP101" s="104"/>
      <c r="AQ101" s="103">
        <f>+AQ102+AQ103+AQ104+AQ105+AQ106</f>
        <v>0</v>
      </c>
      <c r="AR101" s="103"/>
      <c r="AS101" s="103">
        <f t="shared" si="83"/>
        <v>0</v>
      </c>
      <c r="AT101" s="104"/>
    </row>
    <row r="102" spans="1:46" ht="21" x14ac:dyDescent="0.25">
      <c r="A102" s="107">
        <v>516005</v>
      </c>
      <c r="B102" s="107" t="s">
        <v>263</v>
      </c>
      <c r="C102" s="113">
        <v>0</v>
      </c>
      <c r="D102" s="113"/>
      <c r="E102" s="113">
        <f t="shared" si="54"/>
        <v>0</v>
      </c>
      <c r="F102" s="114"/>
      <c r="G102" s="113">
        <v>0</v>
      </c>
      <c r="H102" s="113"/>
      <c r="I102" s="26">
        <f t="shared" si="67"/>
        <v>0</v>
      </c>
      <c r="J102" s="113">
        <v>0</v>
      </c>
      <c r="K102" s="113"/>
      <c r="L102" s="26">
        <f t="shared" si="75"/>
        <v>0</v>
      </c>
      <c r="M102" s="113">
        <v>0</v>
      </c>
      <c r="N102" s="113"/>
      <c r="O102" s="103">
        <f t="shared" si="76"/>
        <v>0</v>
      </c>
      <c r="P102" s="115">
        <v>0</v>
      </c>
      <c r="Q102" s="113"/>
      <c r="R102" s="26">
        <f t="shared" si="77"/>
        <v>0</v>
      </c>
      <c r="S102" s="113">
        <v>0</v>
      </c>
      <c r="T102" s="113"/>
      <c r="U102" s="26">
        <f t="shared" si="74"/>
        <v>0</v>
      </c>
      <c r="V102" s="114"/>
      <c r="W102" s="113">
        <v>0</v>
      </c>
      <c r="X102" s="113"/>
      <c r="Y102" s="113">
        <f t="shared" si="78"/>
        <v>0</v>
      </c>
      <c r="Z102" s="114"/>
      <c r="AA102" s="113">
        <v>0</v>
      </c>
      <c r="AB102" s="113"/>
      <c r="AC102" s="103">
        <f t="shared" si="79"/>
        <v>0</v>
      </c>
      <c r="AD102" s="114"/>
      <c r="AE102" s="113"/>
      <c r="AF102" s="113"/>
      <c r="AG102" s="26">
        <f t="shared" si="80"/>
        <v>0</v>
      </c>
      <c r="AH102" s="114"/>
      <c r="AI102" s="113"/>
      <c r="AJ102" s="113"/>
      <c r="AK102" s="113">
        <f t="shared" si="81"/>
        <v>0</v>
      </c>
      <c r="AL102" s="114"/>
      <c r="AM102" s="113"/>
      <c r="AN102" s="113"/>
      <c r="AO102" s="113">
        <f t="shared" si="82"/>
        <v>0</v>
      </c>
      <c r="AP102" s="114"/>
      <c r="AQ102" s="113"/>
      <c r="AR102" s="113"/>
      <c r="AS102" s="26">
        <f t="shared" si="83"/>
        <v>0</v>
      </c>
      <c r="AT102" s="114"/>
    </row>
    <row r="103" spans="1:46" x14ac:dyDescent="0.25">
      <c r="A103" s="107">
        <v>516010</v>
      </c>
      <c r="B103" s="107" t="s">
        <v>264</v>
      </c>
      <c r="C103" s="113">
        <v>0</v>
      </c>
      <c r="D103" s="113"/>
      <c r="E103" s="113">
        <f t="shared" si="54"/>
        <v>0</v>
      </c>
      <c r="F103" s="114"/>
      <c r="G103" s="113">
        <v>0</v>
      </c>
      <c r="H103" s="113"/>
      <c r="I103" s="26">
        <f t="shared" si="67"/>
        <v>0</v>
      </c>
      <c r="J103" s="113">
        <v>0</v>
      </c>
      <c r="K103" s="113"/>
      <c r="L103" s="26">
        <f t="shared" si="75"/>
        <v>0</v>
      </c>
      <c r="M103" s="113">
        <v>0</v>
      </c>
      <c r="N103" s="113"/>
      <c r="O103" s="103">
        <f t="shared" si="76"/>
        <v>0</v>
      </c>
      <c r="P103" s="115">
        <v>0</v>
      </c>
      <c r="Q103" s="113"/>
      <c r="R103" s="26">
        <f t="shared" si="77"/>
        <v>0</v>
      </c>
      <c r="S103" s="113">
        <v>0</v>
      </c>
      <c r="T103" s="113"/>
      <c r="U103" s="26">
        <f t="shared" si="74"/>
        <v>0</v>
      </c>
      <c r="V103" s="114"/>
      <c r="W103" s="113">
        <v>0</v>
      </c>
      <c r="X103" s="113"/>
      <c r="Y103" s="113">
        <f t="shared" si="78"/>
        <v>0</v>
      </c>
      <c r="Z103" s="114"/>
      <c r="AA103" s="113">
        <v>0</v>
      </c>
      <c r="AB103" s="113"/>
      <c r="AC103" s="103">
        <f t="shared" si="79"/>
        <v>0</v>
      </c>
      <c r="AD103" s="114"/>
      <c r="AE103" s="113"/>
      <c r="AF103" s="113"/>
      <c r="AG103" s="26">
        <f t="shared" si="80"/>
        <v>0</v>
      </c>
      <c r="AH103" s="114"/>
      <c r="AI103" s="113"/>
      <c r="AJ103" s="113"/>
      <c r="AK103" s="113">
        <f t="shared" si="81"/>
        <v>0</v>
      </c>
      <c r="AL103" s="114"/>
      <c r="AM103" s="113"/>
      <c r="AN103" s="113"/>
      <c r="AO103" s="113">
        <f t="shared" si="82"/>
        <v>0</v>
      </c>
      <c r="AP103" s="114"/>
      <c r="AQ103" s="113"/>
      <c r="AR103" s="113"/>
      <c r="AS103" s="26">
        <f t="shared" si="83"/>
        <v>0</v>
      </c>
      <c r="AT103" s="114"/>
    </row>
    <row r="104" spans="1:46" x14ac:dyDescent="0.25">
      <c r="A104" s="107">
        <v>516015</v>
      </c>
      <c r="B104" s="107" t="s">
        <v>265</v>
      </c>
      <c r="C104" s="113">
        <v>0</v>
      </c>
      <c r="D104" s="113"/>
      <c r="E104" s="113">
        <f t="shared" si="54"/>
        <v>0</v>
      </c>
      <c r="F104" s="114"/>
      <c r="G104" s="113">
        <v>0</v>
      </c>
      <c r="H104" s="113"/>
      <c r="I104" s="26">
        <f t="shared" si="67"/>
        <v>0</v>
      </c>
      <c r="J104" s="113">
        <v>0</v>
      </c>
      <c r="K104" s="113"/>
      <c r="L104" s="26">
        <f t="shared" si="75"/>
        <v>0</v>
      </c>
      <c r="M104" s="113">
        <v>0</v>
      </c>
      <c r="N104" s="113"/>
      <c r="O104" s="103">
        <f t="shared" si="76"/>
        <v>0</v>
      </c>
      <c r="P104" s="115">
        <v>0</v>
      </c>
      <c r="Q104" s="113"/>
      <c r="R104" s="26">
        <f t="shared" si="77"/>
        <v>0</v>
      </c>
      <c r="S104" s="113">
        <v>0</v>
      </c>
      <c r="T104" s="113"/>
      <c r="U104" s="26">
        <f t="shared" si="74"/>
        <v>0</v>
      </c>
      <c r="V104" s="114"/>
      <c r="W104" s="113">
        <v>0</v>
      </c>
      <c r="X104" s="113"/>
      <c r="Y104" s="113">
        <f t="shared" si="78"/>
        <v>0</v>
      </c>
      <c r="Z104" s="114"/>
      <c r="AA104" s="113">
        <v>0</v>
      </c>
      <c r="AB104" s="113"/>
      <c r="AC104" s="103">
        <f t="shared" si="79"/>
        <v>0</v>
      </c>
      <c r="AD104" s="114"/>
      <c r="AE104" s="113">
        <v>0</v>
      </c>
      <c r="AF104" s="113"/>
      <c r="AG104" s="26">
        <f t="shared" si="80"/>
        <v>0</v>
      </c>
      <c r="AH104" s="114"/>
      <c r="AI104" s="113">
        <v>0</v>
      </c>
      <c r="AJ104" s="113"/>
      <c r="AK104" s="113">
        <f t="shared" si="81"/>
        <v>0</v>
      </c>
      <c r="AL104" s="114"/>
      <c r="AM104" s="113">
        <v>0</v>
      </c>
      <c r="AN104" s="113"/>
      <c r="AO104" s="113">
        <f t="shared" si="82"/>
        <v>0</v>
      </c>
      <c r="AP104" s="114"/>
      <c r="AQ104" s="113">
        <v>0</v>
      </c>
      <c r="AR104" s="113"/>
      <c r="AS104" s="26">
        <f t="shared" si="83"/>
        <v>0</v>
      </c>
      <c r="AT104" s="114"/>
    </row>
    <row r="105" spans="1:46" x14ac:dyDescent="0.25">
      <c r="A105" s="107">
        <v>516020</v>
      </c>
      <c r="B105" s="107" t="s">
        <v>266</v>
      </c>
      <c r="C105" s="113">
        <v>0</v>
      </c>
      <c r="D105" s="113"/>
      <c r="E105" s="113">
        <f t="shared" si="54"/>
        <v>0</v>
      </c>
      <c r="F105" s="114"/>
      <c r="G105" s="113">
        <v>0</v>
      </c>
      <c r="H105" s="113"/>
      <c r="I105" s="26">
        <f t="shared" si="67"/>
        <v>0</v>
      </c>
      <c r="J105" s="113">
        <v>0</v>
      </c>
      <c r="K105" s="113"/>
      <c r="L105" s="26">
        <f t="shared" si="75"/>
        <v>0</v>
      </c>
      <c r="M105" s="113">
        <v>0</v>
      </c>
      <c r="N105" s="113"/>
      <c r="O105" s="103">
        <f t="shared" si="76"/>
        <v>0</v>
      </c>
      <c r="P105" s="115">
        <v>0</v>
      </c>
      <c r="Q105" s="113"/>
      <c r="R105" s="26">
        <f t="shared" si="77"/>
        <v>0</v>
      </c>
      <c r="S105" s="113">
        <v>0</v>
      </c>
      <c r="T105" s="113"/>
      <c r="U105" s="26">
        <f t="shared" si="74"/>
        <v>0</v>
      </c>
      <c r="V105" s="114"/>
      <c r="W105" s="113">
        <v>0</v>
      </c>
      <c r="X105" s="113"/>
      <c r="Y105" s="113">
        <f t="shared" si="78"/>
        <v>0</v>
      </c>
      <c r="Z105" s="114"/>
      <c r="AA105" s="113">
        <v>0</v>
      </c>
      <c r="AB105" s="113"/>
      <c r="AC105" s="103">
        <f t="shared" si="79"/>
        <v>0</v>
      </c>
      <c r="AD105" s="114"/>
      <c r="AE105" s="113"/>
      <c r="AF105" s="113"/>
      <c r="AG105" s="26">
        <f t="shared" si="80"/>
        <v>0</v>
      </c>
      <c r="AH105" s="114"/>
      <c r="AI105" s="113"/>
      <c r="AJ105" s="113"/>
      <c r="AK105" s="113">
        <f t="shared" si="81"/>
        <v>0</v>
      </c>
      <c r="AL105" s="114"/>
      <c r="AM105" s="113"/>
      <c r="AN105" s="113"/>
      <c r="AO105" s="113">
        <f t="shared" si="82"/>
        <v>0</v>
      </c>
      <c r="AP105" s="114"/>
      <c r="AQ105" s="113"/>
      <c r="AR105" s="113"/>
      <c r="AS105" s="26">
        <f t="shared" si="83"/>
        <v>0</v>
      </c>
      <c r="AT105" s="114"/>
    </row>
    <row r="106" spans="1:46" x14ac:dyDescent="0.25">
      <c r="A106" s="107">
        <v>516035</v>
      </c>
      <c r="B106" s="107" t="s">
        <v>267</v>
      </c>
      <c r="C106" s="113">
        <v>0</v>
      </c>
      <c r="D106" s="113"/>
      <c r="E106" s="113">
        <f t="shared" si="54"/>
        <v>0</v>
      </c>
      <c r="F106" s="114"/>
      <c r="G106" s="113">
        <v>0</v>
      </c>
      <c r="H106" s="113"/>
      <c r="I106" s="26">
        <f t="shared" si="67"/>
        <v>0</v>
      </c>
      <c r="J106" s="113">
        <v>0</v>
      </c>
      <c r="K106" s="113"/>
      <c r="L106" s="26">
        <f t="shared" si="75"/>
        <v>0</v>
      </c>
      <c r="M106" s="113">
        <v>0</v>
      </c>
      <c r="N106" s="113"/>
      <c r="O106" s="103">
        <f t="shared" si="76"/>
        <v>0</v>
      </c>
      <c r="P106" s="115">
        <v>0</v>
      </c>
      <c r="Q106" s="113"/>
      <c r="R106" s="26">
        <f t="shared" si="77"/>
        <v>0</v>
      </c>
      <c r="S106" s="113">
        <v>0</v>
      </c>
      <c r="T106" s="113"/>
      <c r="U106" s="26">
        <f t="shared" si="74"/>
        <v>0</v>
      </c>
      <c r="V106" s="114"/>
      <c r="W106" s="113">
        <v>0</v>
      </c>
      <c r="X106" s="113"/>
      <c r="Y106" s="113">
        <f t="shared" si="78"/>
        <v>0</v>
      </c>
      <c r="Z106" s="114"/>
      <c r="AA106" s="113">
        <v>0</v>
      </c>
      <c r="AB106" s="113"/>
      <c r="AC106" s="103">
        <f t="shared" si="79"/>
        <v>0</v>
      </c>
      <c r="AD106" s="114"/>
      <c r="AE106" s="113"/>
      <c r="AF106" s="113"/>
      <c r="AG106" s="26">
        <f t="shared" si="80"/>
        <v>0</v>
      </c>
      <c r="AH106" s="114"/>
      <c r="AI106" s="113"/>
      <c r="AJ106" s="113"/>
      <c r="AK106" s="113">
        <f t="shared" si="81"/>
        <v>0</v>
      </c>
      <c r="AL106" s="114"/>
      <c r="AM106" s="113"/>
      <c r="AN106" s="113"/>
      <c r="AO106" s="113">
        <f t="shared" si="82"/>
        <v>0</v>
      </c>
      <c r="AP106" s="114"/>
      <c r="AQ106" s="113"/>
      <c r="AR106" s="113"/>
      <c r="AS106" s="26">
        <f t="shared" si="83"/>
        <v>0</v>
      </c>
      <c r="AT106" s="114"/>
    </row>
    <row r="107" spans="1:46" x14ac:dyDescent="0.25">
      <c r="A107" s="107"/>
      <c r="B107" s="107"/>
      <c r="C107" s="113"/>
      <c r="D107" s="113"/>
      <c r="E107" s="113"/>
      <c r="F107" s="114"/>
      <c r="G107" s="113"/>
      <c r="H107" s="113"/>
      <c r="I107" s="26">
        <f t="shared" si="67"/>
        <v>0</v>
      </c>
      <c r="J107" s="113"/>
      <c r="K107" s="113"/>
      <c r="L107" s="26">
        <f t="shared" si="75"/>
        <v>0</v>
      </c>
      <c r="M107" s="113"/>
      <c r="N107" s="113"/>
      <c r="O107" s="103">
        <f t="shared" si="76"/>
        <v>0</v>
      </c>
      <c r="P107" s="115"/>
      <c r="Q107" s="113"/>
      <c r="R107" s="26">
        <f t="shared" si="77"/>
        <v>0</v>
      </c>
      <c r="S107" s="113"/>
      <c r="T107" s="113"/>
      <c r="U107" s="26">
        <f t="shared" si="74"/>
        <v>0</v>
      </c>
      <c r="V107" s="114"/>
      <c r="W107" s="113"/>
      <c r="X107" s="113"/>
      <c r="Y107" s="113">
        <f t="shared" si="78"/>
        <v>0</v>
      </c>
      <c r="Z107" s="114"/>
      <c r="AA107" s="113"/>
      <c r="AB107" s="113"/>
      <c r="AC107" s="103">
        <f t="shared" si="79"/>
        <v>0</v>
      </c>
      <c r="AD107" s="114"/>
      <c r="AE107" s="113"/>
      <c r="AF107" s="113"/>
      <c r="AG107" s="26">
        <f t="shared" si="80"/>
        <v>0</v>
      </c>
      <c r="AH107" s="114"/>
      <c r="AI107" s="113"/>
      <c r="AJ107" s="113"/>
      <c r="AK107" s="113">
        <f t="shared" si="81"/>
        <v>0</v>
      </c>
      <c r="AL107" s="114"/>
      <c r="AM107" s="113"/>
      <c r="AN107" s="113"/>
      <c r="AO107" s="113">
        <f t="shared" si="82"/>
        <v>0</v>
      </c>
      <c r="AP107" s="114"/>
      <c r="AQ107" s="113"/>
      <c r="AR107" s="113"/>
      <c r="AS107" s="26">
        <f t="shared" si="83"/>
        <v>0</v>
      </c>
      <c r="AT107" s="114"/>
    </row>
    <row r="108" spans="1:46" x14ac:dyDescent="0.25">
      <c r="A108" s="107"/>
      <c r="B108" s="107"/>
      <c r="C108" s="113"/>
      <c r="D108" s="113"/>
      <c r="E108" s="113"/>
      <c r="F108" s="114"/>
      <c r="G108" s="113"/>
      <c r="H108" s="113"/>
      <c r="I108" s="26">
        <f t="shared" si="67"/>
        <v>0</v>
      </c>
      <c r="J108" s="113"/>
      <c r="K108" s="113"/>
      <c r="L108" s="26">
        <f t="shared" si="75"/>
        <v>0</v>
      </c>
      <c r="M108" s="113"/>
      <c r="N108" s="113"/>
      <c r="O108" s="103">
        <f t="shared" si="76"/>
        <v>0</v>
      </c>
      <c r="P108" s="115"/>
      <c r="Q108" s="113"/>
      <c r="R108" s="26">
        <f>+O108+P108</f>
        <v>0</v>
      </c>
      <c r="S108" s="113"/>
      <c r="T108" s="113"/>
      <c r="U108" s="26">
        <f t="shared" si="74"/>
        <v>0</v>
      </c>
      <c r="V108" s="114"/>
      <c r="W108" s="113"/>
      <c r="X108" s="113"/>
      <c r="Y108" s="113"/>
      <c r="Z108" s="114"/>
      <c r="AA108" s="113"/>
      <c r="AB108" s="113"/>
      <c r="AC108" s="103"/>
      <c r="AD108" s="114"/>
      <c r="AE108" s="113"/>
      <c r="AF108" s="113"/>
      <c r="AG108" s="26"/>
      <c r="AH108" s="114"/>
      <c r="AI108" s="113"/>
      <c r="AJ108" s="113"/>
      <c r="AK108" s="113"/>
      <c r="AL108" s="114"/>
      <c r="AM108" s="113"/>
      <c r="AN108" s="113"/>
      <c r="AO108" s="113"/>
      <c r="AP108" s="114"/>
      <c r="AQ108" s="113"/>
      <c r="AR108" s="113"/>
      <c r="AS108" s="26"/>
      <c r="AT108" s="114"/>
    </row>
    <row r="109" spans="1:46" x14ac:dyDescent="0.25">
      <c r="A109" s="102" t="s">
        <v>99</v>
      </c>
      <c r="B109" s="102" t="s">
        <v>100</v>
      </c>
      <c r="C109" s="103">
        <f>SUM(C110:C122)</f>
        <v>207567</v>
      </c>
      <c r="D109" s="103">
        <v>0</v>
      </c>
      <c r="E109" s="103">
        <f t="shared" si="54"/>
        <v>207567</v>
      </c>
      <c r="F109" s="104"/>
      <c r="G109" s="103">
        <f>G111+G112+G113+G114+G116+G117+G118+G119+G122+G115+G120+G121</f>
        <v>400230</v>
      </c>
      <c r="H109" s="103">
        <v>0</v>
      </c>
      <c r="I109" s="103">
        <f t="shared" si="67"/>
        <v>607797</v>
      </c>
      <c r="J109" s="103">
        <f>SUM(J111:J122)</f>
        <v>373453</v>
      </c>
      <c r="K109" s="103">
        <v>0</v>
      </c>
      <c r="L109" s="103">
        <f t="shared" si="75"/>
        <v>981250</v>
      </c>
      <c r="M109" s="103">
        <f>SUM(M110:M122)</f>
        <v>661325</v>
      </c>
      <c r="N109" s="103">
        <v>0</v>
      </c>
      <c r="O109" s="103">
        <f t="shared" si="76"/>
        <v>1642575</v>
      </c>
      <c r="P109" s="103">
        <f>SUM(P110:P122)</f>
        <v>443786</v>
      </c>
      <c r="Q109" s="103">
        <v>0</v>
      </c>
      <c r="R109" s="103">
        <f>+O109+P109</f>
        <v>2086361</v>
      </c>
      <c r="S109" s="103">
        <f>SUM(S110:S122)</f>
        <v>421223</v>
      </c>
      <c r="T109" s="103">
        <v>0</v>
      </c>
      <c r="U109" s="103">
        <f t="shared" si="74"/>
        <v>2507584</v>
      </c>
      <c r="V109" s="104"/>
      <c r="W109" s="103">
        <f>SUM(W110:W122)</f>
        <v>115975</v>
      </c>
      <c r="X109" s="103">
        <v>0</v>
      </c>
      <c r="Y109" s="103">
        <f t="shared" ref="Y109:Y126" si="84">U109+W109</f>
        <v>2623559</v>
      </c>
      <c r="Z109" s="104"/>
      <c r="AA109" s="103">
        <f>SUM(AA110:AA122)</f>
        <v>380600</v>
      </c>
      <c r="AB109" s="103">
        <v>0</v>
      </c>
      <c r="AC109" s="103">
        <f t="shared" ref="AC109:AC126" si="85">Y109+AA109</f>
        <v>3004159</v>
      </c>
      <c r="AD109" s="103"/>
      <c r="AE109" s="103">
        <f>SUM(AE110:AE122)</f>
        <v>819881</v>
      </c>
      <c r="AF109" s="103">
        <v>0</v>
      </c>
      <c r="AG109" s="103">
        <f t="shared" ref="AG109:AG126" si="86">AC109+AE109</f>
        <v>3824040</v>
      </c>
      <c r="AH109" s="104"/>
      <c r="AI109" s="103">
        <f>AI110+AI111+AI112+AI113+AI114+AI115+AI116+AI117+AI118+AI119+AI120++AI121+AI122</f>
        <v>647751</v>
      </c>
      <c r="AJ109" s="103">
        <v>0</v>
      </c>
      <c r="AK109" s="103">
        <f t="shared" ref="AK109:AK126" si="87">AG109+AI109</f>
        <v>4471791</v>
      </c>
      <c r="AL109" s="104"/>
      <c r="AM109" s="103">
        <f>SUM(AM110:AM122)</f>
        <v>402000</v>
      </c>
      <c r="AN109" s="103">
        <v>0</v>
      </c>
      <c r="AO109" s="103">
        <f t="shared" ref="AO109:AO126" si="88">AK109+AM109</f>
        <v>4873791</v>
      </c>
      <c r="AP109" s="104"/>
      <c r="AQ109" s="103">
        <f>SUM(AQ110:AQ123)</f>
        <v>1011956</v>
      </c>
      <c r="AR109" s="103">
        <v>0</v>
      </c>
      <c r="AS109" s="103">
        <f t="shared" ref="AS109:AS126" si="89">AO109+AQ109</f>
        <v>5885747</v>
      </c>
      <c r="AT109" s="104"/>
    </row>
    <row r="110" spans="1:46" x14ac:dyDescent="0.25">
      <c r="A110" s="107">
        <v>519505</v>
      </c>
      <c r="B110" s="107" t="s">
        <v>122</v>
      </c>
      <c r="C110" s="26">
        <v>0</v>
      </c>
      <c r="D110" s="26">
        <v>0</v>
      </c>
      <c r="E110" s="26">
        <f t="shared" si="54"/>
        <v>0</v>
      </c>
      <c r="F110" s="108"/>
      <c r="G110" s="26">
        <v>0</v>
      </c>
      <c r="H110" s="26">
        <v>0</v>
      </c>
      <c r="I110" s="26">
        <f t="shared" si="67"/>
        <v>0</v>
      </c>
      <c r="J110" s="26">
        <v>0</v>
      </c>
      <c r="K110" s="26">
        <v>0</v>
      </c>
      <c r="L110" s="26">
        <f t="shared" si="75"/>
        <v>0</v>
      </c>
      <c r="M110" s="26">
        <v>0</v>
      </c>
      <c r="N110" s="26">
        <v>0</v>
      </c>
      <c r="O110" s="103">
        <f t="shared" si="76"/>
        <v>0</v>
      </c>
      <c r="P110" s="96">
        <v>50099</v>
      </c>
      <c r="Q110" s="26">
        <v>0</v>
      </c>
      <c r="R110" s="26">
        <f t="shared" si="77"/>
        <v>50099</v>
      </c>
      <c r="S110" s="26">
        <v>0</v>
      </c>
      <c r="T110" s="26">
        <v>0</v>
      </c>
      <c r="U110" s="26">
        <f t="shared" si="74"/>
        <v>50099</v>
      </c>
      <c r="V110" s="108"/>
      <c r="W110" s="26">
        <v>0</v>
      </c>
      <c r="X110" s="26">
        <v>0</v>
      </c>
      <c r="Y110" s="26">
        <f t="shared" si="84"/>
        <v>50099</v>
      </c>
      <c r="Z110" s="108"/>
      <c r="AA110" s="26">
        <v>0</v>
      </c>
      <c r="AB110" s="26">
        <v>0</v>
      </c>
      <c r="AC110" s="103">
        <f t="shared" si="85"/>
        <v>50099</v>
      </c>
      <c r="AD110" s="26"/>
      <c r="AE110" s="26">
        <v>0</v>
      </c>
      <c r="AF110" s="26">
        <v>0</v>
      </c>
      <c r="AG110" s="26">
        <f t="shared" si="86"/>
        <v>50099</v>
      </c>
      <c r="AH110" s="108"/>
      <c r="AI110" s="26">
        <v>0</v>
      </c>
      <c r="AJ110" s="26">
        <v>0</v>
      </c>
      <c r="AK110" s="26">
        <f t="shared" si="87"/>
        <v>50099</v>
      </c>
      <c r="AL110" s="108"/>
      <c r="AM110" s="26">
        <v>0</v>
      </c>
      <c r="AN110" s="26">
        <v>0</v>
      </c>
      <c r="AO110" s="26">
        <f t="shared" si="88"/>
        <v>50099</v>
      </c>
      <c r="AP110" s="108"/>
      <c r="AQ110" s="26">
        <v>0</v>
      </c>
      <c r="AR110" s="26">
        <v>0</v>
      </c>
      <c r="AS110" s="26">
        <f t="shared" si="89"/>
        <v>50099</v>
      </c>
      <c r="AT110" s="108"/>
    </row>
    <row r="111" spans="1:46" ht="21" customHeight="1" x14ac:dyDescent="0.25">
      <c r="A111" s="107" t="s">
        <v>101</v>
      </c>
      <c r="B111" s="107" t="s">
        <v>102</v>
      </c>
      <c r="C111" s="26"/>
      <c r="D111" s="26">
        <v>0</v>
      </c>
      <c r="E111" s="26">
        <f t="shared" si="54"/>
        <v>0</v>
      </c>
      <c r="F111" s="108"/>
      <c r="G111" s="26">
        <v>0</v>
      </c>
      <c r="H111" s="26">
        <v>0</v>
      </c>
      <c r="I111" s="26">
        <f t="shared" si="67"/>
        <v>0</v>
      </c>
      <c r="J111" s="26">
        <v>0</v>
      </c>
      <c r="K111" s="26">
        <v>0</v>
      </c>
      <c r="L111" s="26">
        <f t="shared" si="75"/>
        <v>0</v>
      </c>
      <c r="M111" s="26"/>
      <c r="N111" s="26">
        <v>0</v>
      </c>
      <c r="O111" s="103">
        <f t="shared" si="76"/>
        <v>0</v>
      </c>
      <c r="P111" s="96"/>
      <c r="Q111" s="26">
        <v>0</v>
      </c>
      <c r="R111" s="26">
        <f t="shared" si="77"/>
        <v>0</v>
      </c>
      <c r="S111" s="26">
        <v>0</v>
      </c>
      <c r="T111" s="26">
        <v>0</v>
      </c>
      <c r="U111" s="26">
        <f t="shared" si="74"/>
        <v>0</v>
      </c>
      <c r="V111" s="108"/>
      <c r="W111" s="26">
        <v>0</v>
      </c>
      <c r="X111" s="26">
        <v>0</v>
      </c>
      <c r="Y111" s="26">
        <f t="shared" si="84"/>
        <v>0</v>
      </c>
      <c r="Z111" s="108"/>
      <c r="AA111" s="26">
        <v>0</v>
      </c>
      <c r="AB111" s="26">
        <v>0</v>
      </c>
      <c r="AC111" s="103">
        <f t="shared" si="85"/>
        <v>0</v>
      </c>
      <c r="AD111" s="26"/>
      <c r="AE111" s="26">
        <v>0</v>
      </c>
      <c r="AF111" s="26">
        <v>0</v>
      </c>
      <c r="AG111" s="26">
        <f t="shared" si="86"/>
        <v>0</v>
      </c>
      <c r="AH111" s="108"/>
      <c r="AI111" s="26">
        <v>0</v>
      </c>
      <c r="AJ111" s="26">
        <v>0</v>
      </c>
      <c r="AK111" s="26">
        <f t="shared" si="87"/>
        <v>0</v>
      </c>
      <c r="AL111" s="108"/>
      <c r="AM111" s="26">
        <v>0</v>
      </c>
      <c r="AN111" s="26">
        <v>0</v>
      </c>
      <c r="AO111" s="26">
        <f t="shared" si="88"/>
        <v>0</v>
      </c>
      <c r="AP111" s="108"/>
      <c r="AQ111" s="26"/>
      <c r="AR111" s="26">
        <v>0</v>
      </c>
      <c r="AS111" s="26">
        <f t="shared" si="89"/>
        <v>0</v>
      </c>
      <c r="AT111" s="108"/>
    </row>
    <row r="112" spans="1:46" x14ac:dyDescent="0.25">
      <c r="A112" s="107" t="s">
        <v>103</v>
      </c>
      <c r="B112" s="107" t="s">
        <v>104</v>
      </c>
      <c r="C112" s="26">
        <v>5000</v>
      </c>
      <c r="D112" s="26">
        <v>0</v>
      </c>
      <c r="E112" s="26">
        <f t="shared" si="54"/>
        <v>5000</v>
      </c>
      <c r="F112" s="108"/>
      <c r="G112" s="26">
        <v>22100</v>
      </c>
      <c r="H112" s="26">
        <v>0</v>
      </c>
      <c r="I112" s="26">
        <f t="shared" si="67"/>
        <v>27100</v>
      </c>
      <c r="J112" s="26">
        <v>73199</v>
      </c>
      <c r="K112" s="26">
        <v>0</v>
      </c>
      <c r="L112" s="26">
        <f t="shared" si="75"/>
        <v>100299</v>
      </c>
      <c r="M112" s="26">
        <v>1000</v>
      </c>
      <c r="N112" s="26"/>
      <c r="O112" s="103">
        <f t="shared" si="76"/>
        <v>101299</v>
      </c>
      <c r="P112" s="96">
        <v>16008</v>
      </c>
      <c r="Q112" s="26"/>
      <c r="R112" s="26">
        <f t="shared" si="77"/>
        <v>117307</v>
      </c>
      <c r="S112" s="26"/>
      <c r="T112" s="26"/>
      <c r="U112" s="26">
        <f t="shared" si="74"/>
        <v>117307</v>
      </c>
      <c r="V112" s="108"/>
      <c r="W112" s="26">
        <v>15975</v>
      </c>
      <c r="X112" s="26"/>
      <c r="Y112" s="26">
        <f t="shared" si="84"/>
        <v>133282</v>
      </c>
      <c r="Z112" s="108"/>
      <c r="AA112" s="26">
        <v>25600</v>
      </c>
      <c r="AB112" s="26"/>
      <c r="AC112" s="103">
        <f t="shared" si="85"/>
        <v>158882</v>
      </c>
      <c r="AD112" s="26"/>
      <c r="AE112" s="26"/>
      <c r="AF112" s="26"/>
      <c r="AG112" s="26">
        <f t="shared" si="86"/>
        <v>158882</v>
      </c>
      <c r="AH112" s="108"/>
      <c r="AI112" s="26">
        <v>134545</v>
      </c>
      <c r="AJ112" s="26"/>
      <c r="AK112" s="26">
        <f t="shared" si="87"/>
        <v>293427</v>
      </c>
      <c r="AL112" s="108"/>
      <c r="AM112" s="26"/>
      <c r="AN112" s="26"/>
      <c r="AO112" s="26">
        <f t="shared" si="88"/>
        <v>293427</v>
      </c>
      <c r="AP112" s="108"/>
      <c r="AQ112" s="26"/>
      <c r="AR112" s="26"/>
      <c r="AS112" s="26">
        <f t="shared" si="89"/>
        <v>293427</v>
      </c>
      <c r="AT112" s="108"/>
    </row>
    <row r="113" spans="1:46" x14ac:dyDescent="0.25">
      <c r="A113" s="107" t="s">
        <v>105</v>
      </c>
      <c r="B113" s="107" t="s">
        <v>106</v>
      </c>
      <c r="C113" s="26">
        <v>99871</v>
      </c>
      <c r="D113" s="26">
        <v>0</v>
      </c>
      <c r="E113" s="26">
        <f t="shared" si="54"/>
        <v>99871</v>
      </c>
      <c r="F113" s="108"/>
      <c r="G113" s="26">
        <v>53500</v>
      </c>
      <c r="H113" s="26">
        <v>0</v>
      </c>
      <c r="I113" s="26">
        <f t="shared" si="67"/>
        <v>153371</v>
      </c>
      <c r="J113" s="26">
        <v>100224</v>
      </c>
      <c r="K113" s="26">
        <v>0</v>
      </c>
      <c r="L113" s="26">
        <f t="shared" si="75"/>
        <v>253595</v>
      </c>
      <c r="M113" s="26">
        <v>7500</v>
      </c>
      <c r="N113" s="26"/>
      <c r="O113" s="103">
        <f t="shared" si="76"/>
        <v>261095</v>
      </c>
      <c r="P113" s="96"/>
      <c r="Q113" s="26"/>
      <c r="R113" s="26">
        <f t="shared" si="77"/>
        <v>261095</v>
      </c>
      <c r="S113" s="26">
        <v>41175</v>
      </c>
      <c r="T113" s="26"/>
      <c r="U113" s="26">
        <f t="shared" si="74"/>
        <v>302270</v>
      </c>
      <c r="V113" s="108"/>
      <c r="W113" s="26"/>
      <c r="X113" s="26"/>
      <c r="Y113" s="26">
        <f t="shared" si="84"/>
        <v>302270</v>
      </c>
      <c r="Z113" s="108"/>
      <c r="AA113" s="26"/>
      <c r="AB113" s="26"/>
      <c r="AC113" s="103">
        <f t="shared" si="85"/>
        <v>302270</v>
      </c>
      <c r="AD113" s="26"/>
      <c r="AE113" s="26">
        <v>97305</v>
      </c>
      <c r="AF113" s="26"/>
      <c r="AG113" s="26">
        <f t="shared" si="86"/>
        <v>399575</v>
      </c>
      <c r="AH113" s="108"/>
      <c r="AI113" s="26">
        <v>193206</v>
      </c>
      <c r="AJ113" s="26"/>
      <c r="AK113" s="26">
        <f t="shared" si="87"/>
        <v>592781</v>
      </c>
      <c r="AL113" s="108"/>
      <c r="AM113" s="26"/>
      <c r="AN113" s="26"/>
      <c r="AO113" s="26">
        <f t="shared" si="88"/>
        <v>592781</v>
      </c>
      <c r="AP113" s="108"/>
      <c r="AQ113" s="26">
        <v>100000</v>
      </c>
      <c r="AR113" s="26"/>
      <c r="AS113" s="26">
        <f t="shared" si="89"/>
        <v>692781</v>
      </c>
      <c r="AT113" s="108"/>
    </row>
    <row r="114" spans="1:46" x14ac:dyDescent="0.25">
      <c r="A114" s="107" t="s">
        <v>107</v>
      </c>
      <c r="B114" s="107" t="s">
        <v>108</v>
      </c>
      <c r="C114" s="26">
        <v>100000</v>
      </c>
      <c r="D114" s="26">
        <v>0</v>
      </c>
      <c r="E114" s="26">
        <f t="shared" si="54"/>
        <v>100000</v>
      </c>
      <c r="F114" s="108"/>
      <c r="G114" s="26">
        <v>317000</v>
      </c>
      <c r="H114" s="26">
        <v>0</v>
      </c>
      <c r="I114" s="26">
        <f t="shared" si="67"/>
        <v>417000</v>
      </c>
      <c r="J114" s="26">
        <v>200000</v>
      </c>
      <c r="K114" s="26"/>
      <c r="L114" s="26">
        <f t="shared" si="75"/>
        <v>617000</v>
      </c>
      <c r="M114" s="26">
        <v>190601</v>
      </c>
      <c r="N114" s="26"/>
      <c r="O114" s="103">
        <f t="shared" si="76"/>
        <v>807601</v>
      </c>
      <c r="P114" s="96">
        <v>375004</v>
      </c>
      <c r="Q114" s="26"/>
      <c r="R114" s="26">
        <f t="shared" si="77"/>
        <v>1182605</v>
      </c>
      <c r="S114" s="26">
        <v>380048</v>
      </c>
      <c r="T114" s="26"/>
      <c r="U114" s="26">
        <f t="shared" si="74"/>
        <v>1562653</v>
      </c>
      <c r="V114" s="108"/>
      <c r="W114" s="26">
        <v>100000</v>
      </c>
      <c r="X114" s="26"/>
      <c r="Y114" s="26">
        <f t="shared" si="84"/>
        <v>1662653</v>
      </c>
      <c r="Z114" s="108"/>
      <c r="AA114" s="26">
        <v>355000</v>
      </c>
      <c r="AB114" s="26"/>
      <c r="AC114" s="103">
        <f t="shared" si="85"/>
        <v>2017653</v>
      </c>
      <c r="AD114" s="26"/>
      <c r="AE114" s="26">
        <v>641076</v>
      </c>
      <c r="AF114" s="26"/>
      <c r="AG114" s="26">
        <f t="shared" si="86"/>
        <v>2658729</v>
      </c>
      <c r="AH114" s="108"/>
      <c r="AI114" s="26">
        <v>320000</v>
      </c>
      <c r="AJ114" s="26"/>
      <c r="AK114" s="26">
        <f t="shared" si="87"/>
        <v>2978729</v>
      </c>
      <c r="AL114" s="108"/>
      <c r="AM114" s="26">
        <v>402000</v>
      </c>
      <c r="AN114" s="26"/>
      <c r="AO114" s="26">
        <f t="shared" si="88"/>
        <v>3380729</v>
      </c>
      <c r="AP114" s="108"/>
      <c r="AQ114" s="26">
        <v>532500</v>
      </c>
      <c r="AR114" s="26"/>
      <c r="AS114" s="26">
        <f t="shared" si="89"/>
        <v>3913229</v>
      </c>
      <c r="AT114" s="108"/>
    </row>
    <row r="115" spans="1:46" x14ac:dyDescent="0.25">
      <c r="A115" s="107" t="s">
        <v>150</v>
      </c>
      <c r="B115" s="107" t="s">
        <v>141</v>
      </c>
      <c r="C115" s="26"/>
      <c r="D115" s="26">
        <v>0</v>
      </c>
      <c r="E115" s="26">
        <f t="shared" si="54"/>
        <v>0</v>
      </c>
      <c r="F115" s="108"/>
      <c r="G115" s="26"/>
      <c r="H115" s="26">
        <v>0</v>
      </c>
      <c r="I115" s="26">
        <f t="shared" si="67"/>
        <v>0</v>
      </c>
      <c r="J115" s="26"/>
      <c r="K115" s="26">
        <v>0</v>
      </c>
      <c r="L115" s="26">
        <f t="shared" si="75"/>
        <v>0</v>
      </c>
      <c r="M115" s="26"/>
      <c r="N115" s="26"/>
      <c r="O115" s="103">
        <f t="shared" si="76"/>
        <v>0</v>
      </c>
      <c r="P115" s="96"/>
      <c r="Q115" s="26"/>
      <c r="R115" s="26">
        <f t="shared" si="77"/>
        <v>0</v>
      </c>
      <c r="S115" s="26"/>
      <c r="T115" s="26"/>
      <c r="U115" s="26">
        <f t="shared" si="74"/>
        <v>0</v>
      </c>
      <c r="V115" s="108"/>
      <c r="W115" s="26"/>
      <c r="X115" s="26"/>
      <c r="Y115" s="26">
        <f t="shared" si="84"/>
        <v>0</v>
      </c>
      <c r="Z115" s="108"/>
      <c r="AA115" s="26"/>
      <c r="AB115" s="26"/>
      <c r="AC115" s="103">
        <f t="shared" si="85"/>
        <v>0</v>
      </c>
      <c r="AD115" s="26"/>
      <c r="AE115" s="26"/>
      <c r="AF115" s="26"/>
      <c r="AG115" s="26">
        <f t="shared" si="86"/>
        <v>0</v>
      </c>
      <c r="AH115" s="108"/>
      <c r="AI115" s="26"/>
      <c r="AJ115" s="26"/>
      <c r="AK115" s="26">
        <f t="shared" si="87"/>
        <v>0</v>
      </c>
      <c r="AL115" s="108"/>
      <c r="AM115" s="26"/>
      <c r="AN115" s="26"/>
      <c r="AO115" s="26">
        <f t="shared" si="88"/>
        <v>0</v>
      </c>
      <c r="AP115" s="108"/>
      <c r="AQ115" s="26">
        <v>0</v>
      </c>
      <c r="AR115" s="26"/>
      <c r="AS115" s="26">
        <f t="shared" si="89"/>
        <v>0</v>
      </c>
      <c r="AT115" s="108"/>
    </row>
    <row r="116" spans="1:46" x14ac:dyDescent="0.25">
      <c r="A116" s="107" t="s">
        <v>109</v>
      </c>
      <c r="B116" s="107" t="s">
        <v>110</v>
      </c>
      <c r="C116" s="26">
        <v>0</v>
      </c>
      <c r="D116" s="26">
        <v>0</v>
      </c>
      <c r="E116" s="26">
        <f t="shared" si="54"/>
        <v>0</v>
      </c>
      <c r="F116" s="108"/>
      <c r="G116" s="26"/>
      <c r="H116" s="26">
        <v>0</v>
      </c>
      <c r="I116" s="26">
        <f t="shared" si="67"/>
        <v>0</v>
      </c>
      <c r="J116" s="26"/>
      <c r="K116" s="26">
        <v>0</v>
      </c>
      <c r="L116" s="26">
        <f t="shared" si="75"/>
        <v>0</v>
      </c>
      <c r="M116" s="26">
        <v>0</v>
      </c>
      <c r="N116" s="26"/>
      <c r="O116" s="103">
        <f t="shared" si="76"/>
        <v>0</v>
      </c>
      <c r="P116" s="96"/>
      <c r="Q116" s="26"/>
      <c r="R116" s="26">
        <f t="shared" si="77"/>
        <v>0</v>
      </c>
      <c r="S116" s="26">
        <v>0</v>
      </c>
      <c r="T116" s="26">
        <v>0</v>
      </c>
      <c r="U116" s="26">
        <f t="shared" si="74"/>
        <v>0</v>
      </c>
      <c r="V116" s="108"/>
      <c r="W116" s="26">
        <v>0</v>
      </c>
      <c r="X116" s="26"/>
      <c r="Y116" s="26">
        <f t="shared" si="84"/>
        <v>0</v>
      </c>
      <c r="Z116" s="108"/>
      <c r="AA116" s="26"/>
      <c r="AB116" s="26">
        <v>0</v>
      </c>
      <c r="AC116" s="103">
        <f t="shared" si="85"/>
        <v>0</v>
      </c>
      <c r="AD116" s="26"/>
      <c r="AE116" s="26"/>
      <c r="AF116" s="26">
        <v>0</v>
      </c>
      <c r="AG116" s="26">
        <f t="shared" si="86"/>
        <v>0</v>
      </c>
      <c r="AH116" s="108"/>
      <c r="AI116" s="26"/>
      <c r="AJ116" s="26">
        <v>0</v>
      </c>
      <c r="AK116" s="26">
        <f t="shared" si="87"/>
        <v>0</v>
      </c>
      <c r="AL116" s="108"/>
      <c r="AM116" s="26">
        <v>0</v>
      </c>
      <c r="AN116" s="26">
        <v>0</v>
      </c>
      <c r="AO116" s="26">
        <f t="shared" si="88"/>
        <v>0</v>
      </c>
      <c r="AP116" s="108"/>
      <c r="AQ116" s="26">
        <v>0</v>
      </c>
      <c r="AR116" s="26">
        <v>0</v>
      </c>
      <c r="AS116" s="26">
        <f t="shared" si="89"/>
        <v>0</v>
      </c>
      <c r="AT116" s="108"/>
    </row>
    <row r="117" spans="1:46" x14ac:dyDescent="0.25">
      <c r="A117" s="107" t="s">
        <v>111</v>
      </c>
      <c r="B117" s="107" t="s">
        <v>112</v>
      </c>
      <c r="C117" s="26">
        <v>0</v>
      </c>
      <c r="D117" s="26">
        <v>0</v>
      </c>
      <c r="E117" s="26">
        <f t="shared" si="54"/>
        <v>0</v>
      </c>
      <c r="F117" s="108"/>
      <c r="G117" s="26">
        <v>0</v>
      </c>
      <c r="H117" s="26">
        <v>0</v>
      </c>
      <c r="I117" s="26">
        <f t="shared" si="67"/>
        <v>0</v>
      </c>
      <c r="J117" s="26"/>
      <c r="K117" s="26">
        <v>0</v>
      </c>
      <c r="L117" s="26">
        <f t="shared" si="75"/>
        <v>0</v>
      </c>
      <c r="M117" s="26">
        <v>0</v>
      </c>
      <c r="N117" s="26">
        <v>0</v>
      </c>
      <c r="O117" s="103">
        <f t="shared" si="76"/>
        <v>0</v>
      </c>
      <c r="P117" s="96"/>
      <c r="Q117" s="26">
        <v>0</v>
      </c>
      <c r="R117" s="26">
        <f t="shared" si="77"/>
        <v>0</v>
      </c>
      <c r="S117" s="26">
        <v>0</v>
      </c>
      <c r="T117" s="26">
        <v>0</v>
      </c>
      <c r="U117" s="26">
        <f t="shared" si="74"/>
        <v>0</v>
      </c>
      <c r="V117" s="108"/>
      <c r="W117" s="26">
        <v>0</v>
      </c>
      <c r="X117" s="26"/>
      <c r="Y117" s="26">
        <f t="shared" si="84"/>
        <v>0</v>
      </c>
      <c r="Z117" s="108"/>
      <c r="AA117" s="26"/>
      <c r="AB117" s="26"/>
      <c r="AC117" s="103">
        <f t="shared" si="85"/>
        <v>0</v>
      </c>
      <c r="AD117" s="26"/>
      <c r="AE117" s="26"/>
      <c r="AF117" s="26"/>
      <c r="AG117" s="26">
        <f t="shared" si="86"/>
        <v>0</v>
      </c>
      <c r="AH117" s="108"/>
      <c r="AI117" s="26">
        <v>0</v>
      </c>
      <c r="AJ117" s="26"/>
      <c r="AK117" s="26">
        <f t="shared" si="87"/>
        <v>0</v>
      </c>
      <c r="AL117" s="108"/>
      <c r="AM117" s="26">
        <v>0</v>
      </c>
      <c r="AN117" s="26"/>
      <c r="AO117" s="26">
        <f t="shared" si="88"/>
        <v>0</v>
      </c>
      <c r="AP117" s="108"/>
      <c r="AQ117" s="26">
        <v>0</v>
      </c>
      <c r="AR117" s="26"/>
      <c r="AS117" s="26">
        <f t="shared" si="89"/>
        <v>0</v>
      </c>
      <c r="AT117" s="108"/>
    </row>
    <row r="118" spans="1:46" x14ac:dyDescent="0.25">
      <c r="A118" s="107" t="s">
        <v>113</v>
      </c>
      <c r="B118" s="107" t="s">
        <v>114</v>
      </c>
      <c r="C118" s="26">
        <v>0</v>
      </c>
      <c r="D118" s="26">
        <v>0</v>
      </c>
      <c r="E118" s="26">
        <f t="shared" si="54"/>
        <v>0</v>
      </c>
      <c r="F118" s="108"/>
      <c r="G118" s="26">
        <v>0</v>
      </c>
      <c r="H118" s="26">
        <v>0</v>
      </c>
      <c r="I118" s="26">
        <f t="shared" si="67"/>
        <v>0</v>
      </c>
      <c r="J118" s="26"/>
      <c r="K118" s="26">
        <v>0</v>
      </c>
      <c r="L118" s="26">
        <f t="shared" si="75"/>
        <v>0</v>
      </c>
      <c r="M118" s="26">
        <v>0</v>
      </c>
      <c r="N118" s="26">
        <v>0</v>
      </c>
      <c r="O118" s="103">
        <f t="shared" si="76"/>
        <v>0</v>
      </c>
      <c r="P118" s="96"/>
      <c r="Q118" s="26">
        <v>0</v>
      </c>
      <c r="R118" s="26">
        <f t="shared" si="77"/>
        <v>0</v>
      </c>
      <c r="S118" s="26">
        <v>0</v>
      </c>
      <c r="T118" s="26">
        <v>0</v>
      </c>
      <c r="U118" s="26">
        <f t="shared" si="74"/>
        <v>0</v>
      </c>
      <c r="V118" s="108"/>
      <c r="W118" s="26"/>
      <c r="X118" s="26"/>
      <c r="Y118" s="26">
        <f t="shared" si="84"/>
        <v>0</v>
      </c>
      <c r="Z118" s="108"/>
      <c r="AA118" s="26"/>
      <c r="AB118" s="26"/>
      <c r="AC118" s="103">
        <f t="shared" si="85"/>
        <v>0</v>
      </c>
      <c r="AD118" s="26"/>
      <c r="AE118" s="26">
        <v>0</v>
      </c>
      <c r="AF118" s="26"/>
      <c r="AG118" s="26">
        <f t="shared" si="86"/>
        <v>0</v>
      </c>
      <c r="AH118" s="108"/>
      <c r="AI118" s="26">
        <v>0</v>
      </c>
      <c r="AJ118" s="26"/>
      <c r="AK118" s="26">
        <f t="shared" si="87"/>
        <v>0</v>
      </c>
      <c r="AL118" s="108"/>
      <c r="AM118" s="26">
        <v>0</v>
      </c>
      <c r="AN118" s="26"/>
      <c r="AO118" s="26">
        <f t="shared" si="88"/>
        <v>0</v>
      </c>
      <c r="AP118" s="108"/>
      <c r="AQ118" s="26">
        <v>0</v>
      </c>
      <c r="AR118" s="26"/>
      <c r="AS118" s="26">
        <f t="shared" si="89"/>
        <v>0</v>
      </c>
      <c r="AT118" s="108"/>
    </row>
    <row r="119" spans="1:46" x14ac:dyDescent="0.25">
      <c r="A119" s="107" t="s">
        <v>115</v>
      </c>
      <c r="B119" s="107" t="s">
        <v>116</v>
      </c>
      <c r="C119" s="26">
        <v>2690</v>
      </c>
      <c r="D119" s="26">
        <v>0</v>
      </c>
      <c r="E119" s="26">
        <f t="shared" si="54"/>
        <v>2690</v>
      </c>
      <c r="F119" s="108"/>
      <c r="G119" s="26">
        <v>7400</v>
      </c>
      <c r="H119" s="26">
        <v>0</v>
      </c>
      <c r="I119" s="26">
        <f t="shared" si="67"/>
        <v>10090</v>
      </c>
      <c r="J119" s="26"/>
      <c r="K119" s="26">
        <v>0</v>
      </c>
      <c r="L119" s="26">
        <f t="shared" si="75"/>
        <v>10090</v>
      </c>
      <c r="M119" s="26"/>
      <c r="N119" s="26"/>
      <c r="O119" s="103">
        <f t="shared" si="76"/>
        <v>10090</v>
      </c>
      <c r="P119" s="96"/>
      <c r="Q119" s="26"/>
      <c r="R119" s="26">
        <f t="shared" si="77"/>
        <v>10090</v>
      </c>
      <c r="S119" s="26"/>
      <c r="T119" s="26"/>
      <c r="U119" s="26">
        <f t="shared" si="74"/>
        <v>10090</v>
      </c>
      <c r="V119" s="108"/>
      <c r="W119" s="26"/>
      <c r="X119" s="26"/>
      <c r="Y119" s="26">
        <f t="shared" si="84"/>
        <v>10090</v>
      </c>
      <c r="Z119" s="108"/>
      <c r="AA119" s="26"/>
      <c r="AB119" s="26"/>
      <c r="AC119" s="103">
        <f t="shared" si="85"/>
        <v>10090</v>
      </c>
      <c r="AD119" s="26"/>
      <c r="AE119" s="26">
        <v>1500</v>
      </c>
      <c r="AF119" s="26"/>
      <c r="AG119" s="26">
        <f t="shared" si="86"/>
        <v>11590</v>
      </c>
      <c r="AH119" s="108"/>
      <c r="AI119" s="26"/>
      <c r="AJ119" s="26"/>
      <c r="AK119" s="26">
        <f t="shared" si="87"/>
        <v>11590</v>
      </c>
      <c r="AL119" s="108"/>
      <c r="AM119" s="26"/>
      <c r="AN119" s="26"/>
      <c r="AO119" s="26">
        <f t="shared" si="88"/>
        <v>11590</v>
      </c>
      <c r="AP119" s="108"/>
      <c r="AQ119" s="26">
        <v>3000</v>
      </c>
      <c r="AR119" s="26"/>
      <c r="AS119" s="26">
        <f t="shared" si="89"/>
        <v>14590</v>
      </c>
      <c r="AT119" s="108"/>
    </row>
    <row r="120" spans="1:46" x14ac:dyDescent="0.25">
      <c r="A120" s="107">
        <v>519576</v>
      </c>
      <c r="B120" s="107" t="s">
        <v>279</v>
      </c>
      <c r="C120" s="26"/>
      <c r="D120" s="26"/>
      <c r="E120" s="26">
        <f t="shared" si="54"/>
        <v>0</v>
      </c>
      <c r="F120" s="108"/>
      <c r="G120" s="26">
        <v>0</v>
      </c>
      <c r="H120" s="26"/>
      <c r="I120" s="26">
        <f t="shared" si="67"/>
        <v>0</v>
      </c>
      <c r="J120" s="26"/>
      <c r="K120" s="26"/>
      <c r="L120" s="26">
        <f t="shared" si="75"/>
        <v>0</v>
      </c>
      <c r="M120" s="26"/>
      <c r="N120" s="26"/>
      <c r="O120" s="103">
        <f t="shared" si="76"/>
        <v>0</v>
      </c>
      <c r="P120" s="96"/>
      <c r="Q120" s="26"/>
      <c r="R120" s="26">
        <f t="shared" si="77"/>
        <v>0</v>
      </c>
      <c r="S120" s="26"/>
      <c r="T120" s="26"/>
      <c r="U120" s="26">
        <f t="shared" si="74"/>
        <v>0</v>
      </c>
      <c r="V120" s="108"/>
      <c r="W120" s="26"/>
      <c r="X120" s="26"/>
      <c r="Y120" s="26">
        <f t="shared" si="84"/>
        <v>0</v>
      </c>
      <c r="Z120" s="108"/>
      <c r="AA120" s="26"/>
      <c r="AB120" s="26"/>
      <c r="AC120" s="103">
        <f t="shared" si="85"/>
        <v>0</v>
      </c>
      <c r="AD120" s="26"/>
      <c r="AE120" s="26"/>
      <c r="AF120" s="26"/>
      <c r="AG120" s="26">
        <f t="shared" si="86"/>
        <v>0</v>
      </c>
      <c r="AH120" s="108"/>
      <c r="AI120" s="26"/>
      <c r="AJ120" s="26"/>
      <c r="AK120" s="26">
        <f t="shared" si="87"/>
        <v>0</v>
      </c>
      <c r="AL120" s="108"/>
      <c r="AM120" s="26"/>
      <c r="AN120" s="26"/>
      <c r="AO120" s="26">
        <f t="shared" si="88"/>
        <v>0</v>
      </c>
      <c r="AP120" s="108"/>
      <c r="AQ120" s="26"/>
      <c r="AR120" s="26"/>
      <c r="AS120" s="26">
        <f t="shared" si="89"/>
        <v>0</v>
      </c>
      <c r="AT120" s="108"/>
    </row>
    <row r="121" spans="1:46" x14ac:dyDescent="0.25">
      <c r="A121" s="107">
        <v>519595</v>
      </c>
      <c r="B121" s="107" t="s">
        <v>71</v>
      </c>
      <c r="C121" s="26">
        <v>6</v>
      </c>
      <c r="D121" s="26"/>
      <c r="E121" s="26"/>
      <c r="F121" s="108"/>
      <c r="G121" s="26">
        <v>230</v>
      </c>
      <c r="H121" s="26"/>
      <c r="I121" s="26">
        <f t="shared" si="67"/>
        <v>230</v>
      </c>
      <c r="J121" s="26">
        <v>30</v>
      </c>
      <c r="K121" s="26"/>
      <c r="L121" s="26">
        <f t="shared" si="75"/>
        <v>260</v>
      </c>
      <c r="M121" s="26"/>
      <c r="N121" s="26"/>
      <c r="O121" s="103">
        <f t="shared" si="76"/>
        <v>260</v>
      </c>
      <c r="P121" s="96"/>
      <c r="Q121" s="26"/>
      <c r="R121" s="26">
        <f t="shared" si="77"/>
        <v>260</v>
      </c>
      <c r="S121" s="26">
        <v>0</v>
      </c>
      <c r="T121" s="26"/>
      <c r="U121" s="26">
        <f t="shared" si="74"/>
        <v>260</v>
      </c>
      <c r="V121" s="108"/>
      <c r="W121" s="26">
        <v>0</v>
      </c>
      <c r="X121" s="26"/>
      <c r="Y121" s="26">
        <f t="shared" si="84"/>
        <v>260</v>
      </c>
      <c r="Z121" s="108"/>
      <c r="AA121" s="26">
        <v>0</v>
      </c>
      <c r="AB121" s="26"/>
      <c r="AC121" s="103">
        <f t="shared" si="85"/>
        <v>260</v>
      </c>
      <c r="AD121" s="26"/>
      <c r="AE121" s="26">
        <v>80000</v>
      </c>
      <c r="AF121" s="26"/>
      <c r="AG121" s="26">
        <f t="shared" si="86"/>
        <v>80260</v>
      </c>
      <c r="AH121" s="108"/>
      <c r="AI121" s="26">
        <v>0</v>
      </c>
      <c r="AJ121" s="26"/>
      <c r="AK121" s="26">
        <f t="shared" si="87"/>
        <v>80260</v>
      </c>
      <c r="AL121" s="108"/>
      <c r="AM121" s="26">
        <v>0</v>
      </c>
      <c r="AN121" s="26"/>
      <c r="AO121" s="26">
        <f t="shared" si="88"/>
        <v>80260</v>
      </c>
      <c r="AP121" s="108"/>
      <c r="AQ121" s="26">
        <v>376456</v>
      </c>
      <c r="AR121" s="26"/>
      <c r="AS121" s="26">
        <f t="shared" si="89"/>
        <v>456716</v>
      </c>
      <c r="AT121" s="108"/>
    </row>
    <row r="122" spans="1:46" x14ac:dyDescent="0.25">
      <c r="A122" s="107">
        <v>519596</v>
      </c>
      <c r="B122" s="107" t="s">
        <v>289</v>
      </c>
      <c r="C122" s="26"/>
      <c r="D122" s="26">
        <v>0</v>
      </c>
      <c r="E122" s="26">
        <f t="shared" si="54"/>
        <v>0</v>
      </c>
      <c r="F122" s="108"/>
      <c r="G122" s="26">
        <v>0</v>
      </c>
      <c r="H122" s="26">
        <v>0</v>
      </c>
      <c r="I122" s="26">
        <f t="shared" si="67"/>
        <v>0</v>
      </c>
      <c r="J122" s="26"/>
      <c r="K122" s="26">
        <v>0</v>
      </c>
      <c r="L122" s="26">
        <f t="shared" si="75"/>
        <v>0</v>
      </c>
      <c r="M122" s="26">
        <v>462224</v>
      </c>
      <c r="N122" s="26"/>
      <c r="O122" s="103">
        <f t="shared" si="76"/>
        <v>462224</v>
      </c>
      <c r="P122" s="96">
        <v>2675</v>
      </c>
      <c r="Q122" s="26"/>
      <c r="R122" s="26">
        <f t="shared" si="77"/>
        <v>464899</v>
      </c>
      <c r="S122" s="26">
        <v>0</v>
      </c>
      <c r="T122" s="26"/>
      <c r="U122" s="26">
        <f t="shared" si="74"/>
        <v>464899</v>
      </c>
      <c r="V122" s="108"/>
      <c r="W122" s="26">
        <v>0</v>
      </c>
      <c r="X122" s="26"/>
      <c r="Y122" s="26">
        <f t="shared" si="84"/>
        <v>464899</v>
      </c>
      <c r="Z122" s="108"/>
      <c r="AA122" s="26">
        <v>0</v>
      </c>
      <c r="AB122" s="26"/>
      <c r="AC122" s="103">
        <f t="shared" si="85"/>
        <v>464899</v>
      </c>
      <c r="AD122" s="26"/>
      <c r="AE122" s="26"/>
      <c r="AF122" s="26"/>
      <c r="AG122" s="26">
        <f t="shared" si="86"/>
        <v>464899</v>
      </c>
      <c r="AH122" s="108"/>
      <c r="AI122" s="26"/>
      <c r="AJ122" s="26"/>
      <c r="AK122" s="26">
        <f t="shared" si="87"/>
        <v>464899</v>
      </c>
      <c r="AL122" s="108"/>
      <c r="AM122" s="26">
        <v>0</v>
      </c>
      <c r="AN122" s="26"/>
      <c r="AO122" s="26">
        <f t="shared" si="88"/>
        <v>464899</v>
      </c>
      <c r="AP122" s="108"/>
      <c r="AQ122" s="26"/>
      <c r="AR122" s="26"/>
      <c r="AS122" s="26">
        <f t="shared" si="89"/>
        <v>464899</v>
      </c>
      <c r="AT122" s="108"/>
    </row>
    <row r="123" spans="1:46" s="97" customFormat="1" x14ac:dyDescent="0.25">
      <c r="A123" s="116">
        <v>519910</v>
      </c>
      <c r="B123" s="116" t="s">
        <v>349</v>
      </c>
      <c r="C123" s="106"/>
      <c r="D123" s="106"/>
      <c r="E123" s="106">
        <f t="shared" si="54"/>
        <v>0</v>
      </c>
      <c r="F123" s="117"/>
      <c r="G123" s="106"/>
      <c r="H123" s="106"/>
      <c r="I123" s="106">
        <f t="shared" si="67"/>
        <v>0</v>
      </c>
      <c r="J123" s="106"/>
      <c r="K123" s="106"/>
      <c r="L123" s="106">
        <f t="shared" si="75"/>
        <v>0</v>
      </c>
      <c r="M123" s="106">
        <v>0</v>
      </c>
      <c r="N123" s="106"/>
      <c r="O123" s="106">
        <f t="shared" si="76"/>
        <v>0</v>
      </c>
      <c r="P123" s="96">
        <v>0</v>
      </c>
      <c r="Q123" s="106"/>
      <c r="R123" s="106">
        <f t="shared" si="77"/>
        <v>0</v>
      </c>
      <c r="S123" s="106">
        <v>0</v>
      </c>
      <c r="T123" s="106"/>
      <c r="U123" s="106">
        <f t="shared" si="74"/>
        <v>0</v>
      </c>
      <c r="V123" s="117"/>
      <c r="W123" s="106">
        <v>0</v>
      </c>
      <c r="X123" s="106"/>
      <c r="Y123" s="106">
        <f t="shared" si="84"/>
        <v>0</v>
      </c>
      <c r="Z123" s="117"/>
      <c r="AA123" s="106">
        <v>0</v>
      </c>
      <c r="AB123" s="106"/>
      <c r="AC123" s="106">
        <f t="shared" si="85"/>
        <v>0</v>
      </c>
      <c r="AD123" s="117"/>
      <c r="AE123" s="106">
        <v>0</v>
      </c>
      <c r="AF123" s="106"/>
      <c r="AG123" s="106">
        <f t="shared" si="86"/>
        <v>0</v>
      </c>
      <c r="AH123" s="117"/>
      <c r="AI123" s="106">
        <v>0</v>
      </c>
      <c r="AJ123" s="106"/>
      <c r="AK123" s="106">
        <f t="shared" si="87"/>
        <v>0</v>
      </c>
      <c r="AL123" s="117"/>
      <c r="AM123" s="106">
        <v>0</v>
      </c>
      <c r="AN123" s="106"/>
      <c r="AO123" s="106">
        <f t="shared" si="88"/>
        <v>0</v>
      </c>
      <c r="AP123" s="117"/>
      <c r="AQ123" s="106"/>
      <c r="AR123" s="106"/>
      <c r="AS123" s="106">
        <f t="shared" si="89"/>
        <v>0</v>
      </c>
      <c r="AT123" s="117"/>
    </row>
    <row r="124" spans="1:46" x14ac:dyDescent="0.25">
      <c r="A124" s="107" t="s">
        <v>151</v>
      </c>
      <c r="B124" s="107" t="s">
        <v>142</v>
      </c>
      <c r="C124" s="26">
        <f>+C125+C128+C131+C137+C143</f>
        <v>0</v>
      </c>
      <c r="D124" s="26">
        <v>0</v>
      </c>
      <c r="E124" s="26">
        <f t="shared" si="54"/>
        <v>0</v>
      </c>
      <c r="F124" s="108"/>
      <c r="G124" s="26">
        <f>+G125+G128+G131+G137+G143+G140</f>
        <v>0</v>
      </c>
      <c r="H124" s="26">
        <v>0</v>
      </c>
      <c r="I124" s="26">
        <f t="shared" si="67"/>
        <v>0</v>
      </c>
      <c r="J124" s="26">
        <f>+J125+J128+J131+J137+J143</f>
        <v>0</v>
      </c>
      <c r="K124" s="26">
        <v>0</v>
      </c>
      <c r="L124" s="26">
        <f t="shared" si="75"/>
        <v>0</v>
      </c>
      <c r="M124" s="26">
        <f>+M125+M128+M131+M137+M143+M134+M140</f>
        <v>0</v>
      </c>
      <c r="N124" s="26">
        <v>0</v>
      </c>
      <c r="O124" s="103">
        <f t="shared" si="76"/>
        <v>0</v>
      </c>
      <c r="P124" s="96">
        <f>+P125+P128+P131+P137+P143+P134+P140</f>
        <v>0</v>
      </c>
      <c r="Q124" s="26">
        <v>0</v>
      </c>
      <c r="R124" s="26">
        <f t="shared" si="77"/>
        <v>0</v>
      </c>
      <c r="S124" s="26">
        <f>+S125+S128+S131+S137+S143+S134+S140</f>
        <v>0</v>
      </c>
      <c r="T124" s="26">
        <v>0</v>
      </c>
      <c r="U124" s="26">
        <f t="shared" si="74"/>
        <v>0</v>
      </c>
      <c r="V124" s="108"/>
      <c r="W124" s="26">
        <f>+W125+W128+W131+W137+W143+W134+W140</f>
        <v>0</v>
      </c>
      <c r="X124" s="26">
        <v>0</v>
      </c>
      <c r="Y124" s="26">
        <f t="shared" si="84"/>
        <v>0</v>
      </c>
      <c r="Z124" s="108"/>
      <c r="AA124" s="26">
        <f>+AA125+AA128+AA131+AA137+AA143+AA134+AA140</f>
        <v>0</v>
      </c>
      <c r="AB124" s="26">
        <v>0</v>
      </c>
      <c r="AC124" s="103">
        <f t="shared" si="85"/>
        <v>0</v>
      </c>
      <c r="AD124" s="108"/>
      <c r="AE124" s="26">
        <f>+AE125+AE128+AE131+AE137+AE143+AE134+AE140</f>
        <v>0</v>
      </c>
      <c r="AF124" s="26">
        <v>0</v>
      </c>
      <c r="AG124" s="26">
        <f t="shared" si="86"/>
        <v>0</v>
      </c>
      <c r="AH124" s="108"/>
      <c r="AI124" s="26">
        <f>+AI125+AI128+AI131+AI137+AI143+AI134+AI140</f>
        <v>0</v>
      </c>
      <c r="AJ124" s="26">
        <v>0</v>
      </c>
      <c r="AK124" s="26">
        <f t="shared" si="87"/>
        <v>0</v>
      </c>
      <c r="AL124" s="108"/>
      <c r="AM124" s="26">
        <f>+AM125+AM128+AM131+AM137+AM143+AM134+AM140</f>
        <v>0</v>
      </c>
      <c r="AN124" s="26">
        <v>0</v>
      </c>
      <c r="AO124" s="26">
        <f t="shared" si="88"/>
        <v>0</v>
      </c>
      <c r="AP124" s="108"/>
      <c r="AQ124" s="26">
        <f>+AQ125+AQ128+AQ131+AQ137+AQ143+AQ134+AQ140</f>
        <v>0</v>
      </c>
      <c r="AR124" s="26">
        <v>0</v>
      </c>
      <c r="AS124" s="26">
        <f t="shared" si="89"/>
        <v>0</v>
      </c>
      <c r="AT124" s="108"/>
    </row>
    <row r="125" spans="1:46" x14ac:dyDescent="0.25">
      <c r="A125" s="107" t="s">
        <v>152</v>
      </c>
      <c r="B125" s="107" t="s">
        <v>61</v>
      </c>
      <c r="C125" s="26">
        <v>0</v>
      </c>
      <c r="D125" s="26">
        <v>0</v>
      </c>
      <c r="E125" s="26">
        <f t="shared" si="54"/>
        <v>0</v>
      </c>
      <c r="F125" s="108"/>
      <c r="G125" s="26">
        <f>+G126</f>
        <v>0</v>
      </c>
      <c r="H125" s="26">
        <v>0</v>
      </c>
      <c r="I125" s="26">
        <f t="shared" si="67"/>
        <v>0</v>
      </c>
      <c r="J125" s="26">
        <v>0</v>
      </c>
      <c r="K125" s="26">
        <v>0</v>
      </c>
      <c r="L125" s="26">
        <f t="shared" si="75"/>
        <v>0</v>
      </c>
      <c r="M125" s="26">
        <v>0</v>
      </c>
      <c r="N125" s="26">
        <v>0</v>
      </c>
      <c r="O125" s="103">
        <f t="shared" si="76"/>
        <v>0</v>
      </c>
      <c r="P125" s="96">
        <v>0</v>
      </c>
      <c r="Q125" s="26">
        <v>0</v>
      </c>
      <c r="R125" s="26">
        <f t="shared" si="77"/>
        <v>0</v>
      </c>
      <c r="S125" s="26">
        <v>0</v>
      </c>
      <c r="T125" s="26">
        <v>0</v>
      </c>
      <c r="U125" s="26">
        <f t="shared" si="74"/>
        <v>0</v>
      </c>
      <c r="V125" s="108"/>
      <c r="W125" s="26">
        <v>0</v>
      </c>
      <c r="X125" s="26">
        <v>0</v>
      </c>
      <c r="Y125" s="26">
        <f t="shared" si="84"/>
        <v>0</v>
      </c>
      <c r="Z125" s="108"/>
      <c r="AA125" s="26">
        <v>0</v>
      </c>
      <c r="AB125" s="26">
        <v>0</v>
      </c>
      <c r="AC125" s="103">
        <f t="shared" si="85"/>
        <v>0</v>
      </c>
      <c r="AD125" s="108"/>
      <c r="AE125" s="26">
        <v>0</v>
      </c>
      <c r="AF125" s="26">
        <v>0</v>
      </c>
      <c r="AG125" s="26">
        <f t="shared" si="86"/>
        <v>0</v>
      </c>
      <c r="AH125" s="108"/>
      <c r="AI125" s="26">
        <v>0</v>
      </c>
      <c r="AJ125" s="26">
        <v>0</v>
      </c>
      <c r="AK125" s="26">
        <f t="shared" si="87"/>
        <v>0</v>
      </c>
      <c r="AL125" s="108"/>
      <c r="AM125" s="26">
        <v>0</v>
      </c>
      <c r="AN125" s="26">
        <v>0</v>
      </c>
      <c r="AO125" s="26">
        <f t="shared" si="88"/>
        <v>0</v>
      </c>
      <c r="AP125" s="108"/>
      <c r="AQ125" s="26">
        <v>0</v>
      </c>
      <c r="AR125" s="26">
        <v>0</v>
      </c>
      <c r="AS125" s="26">
        <f t="shared" si="89"/>
        <v>0</v>
      </c>
      <c r="AT125" s="108"/>
    </row>
    <row r="126" spans="1:46" x14ac:dyDescent="0.25">
      <c r="A126" s="107" t="s">
        <v>153</v>
      </c>
      <c r="B126" s="107" t="s">
        <v>71</v>
      </c>
      <c r="C126" s="26">
        <v>0</v>
      </c>
      <c r="D126" s="26">
        <v>0</v>
      </c>
      <c r="E126" s="26">
        <f t="shared" si="54"/>
        <v>0</v>
      </c>
      <c r="F126" s="108"/>
      <c r="G126" s="26">
        <v>0</v>
      </c>
      <c r="H126" s="26">
        <v>0</v>
      </c>
      <c r="I126" s="26">
        <f t="shared" si="67"/>
        <v>0</v>
      </c>
      <c r="J126" s="26">
        <v>0</v>
      </c>
      <c r="K126" s="26">
        <v>0</v>
      </c>
      <c r="L126" s="26">
        <f t="shared" si="75"/>
        <v>0</v>
      </c>
      <c r="M126" s="26">
        <v>0</v>
      </c>
      <c r="N126" s="26">
        <v>0</v>
      </c>
      <c r="O126" s="103">
        <f t="shared" si="76"/>
        <v>0</v>
      </c>
      <c r="P126" s="96">
        <v>0</v>
      </c>
      <c r="Q126" s="26">
        <v>0</v>
      </c>
      <c r="R126" s="26">
        <f t="shared" si="77"/>
        <v>0</v>
      </c>
      <c r="S126" s="26">
        <v>0</v>
      </c>
      <c r="T126" s="26">
        <v>0</v>
      </c>
      <c r="U126" s="26">
        <f t="shared" si="74"/>
        <v>0</v>
      </c>
      <c r="V126" s="108"/>
      <c r="W126" s="26">
        <v>0</v>
      </c>
      <c r="X126" s="26">
        <v>0</v>
      </c>
      <c r="Y126" s="26">
        <f t="shared" si="84"/>
        <v>0</v>
      </c>
      <c r="Z126" s="108"/>
      <c r="AA126" s="26">
        <v>0</v>
      </c>
      <c r="AB126" s="26">
        <v>0</v>
      </c>
      <c r="AC126" s="103">
        <f t="shared" si="85"/>
        <v>0</v>
      </c>
      <c r="AD126" s="108"/>
      <c r="AE126" s="26">
        <v>0</v>
      </c>
      <c r="AF126" s="26">
        <v>0</v>
      </c>
      <c r="AG126" s="26">
        <f t="shared" si="86"/>
        <v>0</v>
      </c>
      <c r="AH126" s="108"/>
      <c r="AI126" s="26">
        <v>0</v>
      </c>
      <c r="AJ126" s="26">
        <v>0</v>
      </c>
      <c r="AK126" s="26">
        <f t="shared" si="87"/>
        <v>0</v>
      </c>
      <c r="AL126" s="108"/>
      <c r="AM126" s="26">
        <v>0</v>
      </c>
      <c r="AN126" s="26">
        <v>0</v>
      </c>
      <c r="AO126" s="26">
        <f t="shared" si="88"/>
        <v>0</v>
      </c>
      <c r="AP126" s="108"/>
      <c r="AQ126" s="26">
        <v>0</v>
      </c>
      <c r="AR126" s="26">
        <v>0</v>
      </c>
      <c r="AS126" s="26">
        <f t="shared" si="89"/>
        <v>0</v>
      </c>
      <c r="AT126" s="108"/>
    </row>
    <row r="127" spans="1:46" x14ac:dyDescent="0.25">
      <c r="A127" s="107"/>
      <c r="B127" s="107"/>
      <c r="C127" s="26"/>
      <c r="D127" s="26"/>
      <c r="E127" s="26">
        <f t="shared" si="54"/>
        <v>0</v>
      </c>
      <c r="F127" s="108"/>
      <c r="G127" s="26"/>
      <c r="H127" s="26"/>
      <c r="I127" s="26">
        <f t="shared" si="67"/>
        <v>0</v>
      </c>
      <c r="J127" s="26"/>
      <c r="K127" s="26"/>
      <c r="L127" s="26">
        <f t="shared" si="75"/>
        <v>0</v>
      </c>
      <c r="M127" s="26"/>
      <c r="N127" s="26"/>
      <c r="O127" s="103">
        <f t="shared" si="76"/>
        <v>0</v>
      </c>
      <c r="P127" s="96"/>
      <c r="Q127" s="26"/>
      <c r="R127" s="26">
        <f t="shared" si="77"/>
        <v>0</v>
      </c>
      <c r="S127" s="26"/>
      <c r="T127" s="26"/>
      <c r="U127" s="26">
        <f t="shared" si="74"/>
        <v>0</v>
      </c>
      <c r="V127" s="108"/>
      <c r="W127" s="26"/>
      <c r="X127" s="26"/>
      <c r="Y127" s="26"/>
      <c r="Z127" s="108"/>
      <c r="AA127" s="26"/>
      <c r="AB127" s="26"/>
      <c r="AC127" s="103"/>
      <c r="AD127" s="108"/>
      <c r="AE127" s="26"/>
      <c r="AF127" s="26"/>
      <c r="AG127" s="26"/>
      <c r="AH127" s="108"/>
      <c r="AI127" s="26"/>
      <c r="AJ127" s="26"/>
      <c r="AK127" s="26"/>
      <c r="AL127" s="108"/>
      <c r="AM127" s="26"/>
      <c r="AN127" s="26"/>
      <c r="AO127" s="26"/>
      <c r="AP127" s="108"/>
      <c r="AQ127" s="26"/>
      <c r="AR127" s="26"/>
      <c r="AS127" s="26"/>
      <c r="AT127" s="108"/>
    </row>
    <row r="128" spans="1:46" x14ac:dyDescent="0.25">
      <c r="A128" s="107" t="s">
        <v>154</v>
      </c>
      <c r="B128" s="107" t="s">
        <v>65</v>
      </c>
      <c r="C128" s="26">
        <v>0</v>
      </c>
      <c r="D128" s="26">
        <v>0</v>
      </c>
      <c r="E128" s="26">
        <f t="shared" si="54"/>
        <v>0</v>
      </c>
      <c r="F128" s="108"/>
      <c r="G128" s="26">
        <f>+G129</f>
        <v>0</v>
      </c>
      <c r="H128" s="26">
        <v>0</v>
      </c>
      <c r="I128" s="26">
        <f t="shared" si="67"/>
        <v>0</v>
      </c>
      <c r="J128" s="26">
        <f>+J129</f>
        <v>0</v>
      </c>
      <c r="K128" s="26">
        <v>0</v>
      </c>
      <c r="L128" s="26">
        <f t="shared" si="75"/>
        <v>0</v>
      </c>
      <c r="M128" s="26">
        <f>+M129</f>
        <v>0</v>
      </c>
      <c r="N128" s="26">
        <v>0</v>
      </c>
      <c r="O128" s="103">
        <f t="shared" si="76"/>
        <v>0</v>
      </c>
      <c r="P128" s="96">
        <f>+P129</f>
        <v>0</v>
      </c>
      <c r="Q128" s="26">
        <v>0</v>
      </c>
      <c r="R128" s="26">
        <f t="shared" si="77"/>
        <v>0</v>
      </c>
      <c r="S128" s="26">
        <f>+S129</f>
        <v>0</v>
      </c>
      <c r="T128" s="26">
        <v>0</v>
      </c>
      <c r="U128" s="26">
        <f t="shared" si="74"/>
        <v>0</v>
      </c>
      <c r="V128" s="108"/>
      <c r="W128" s="26">
        <f>+W129</f>
        <v>0</v>
      </c>
      <c r="X128" s="26">
        <v>0</v>
      </c>
      <c r="Y128" s="26">
        <f>U128+W128</f>
        <v>0</v>
      </c>
      <c r="Z128" s="108"/>
      <c r="AA128" s="26">
        <f>+AA129</f>
        <v>0</v>
      </c>
      <c r="AB128" s="26">
        <v>0</v>
      </c>
      <c r="AC128" s="103">
        <f>Y128+AA128</f>
        <v>0</v>
      </c>
      <c r="AD128" s="108"/>
      <c r="AE128" s="26">
        <f>+AE129</f>
        <v>0</v>
      </c>
      <c r="AF128" s="26">
        <v>0</v>
      </c>
      <c r="AG128" s="26">
        <f>AC128+AE128</f>
        <v>0</v>
      </c>
      <c r="AH128" s="108"/>
      <c r="AI128" s="26">
        <f>+AI129</f>
        <v>0</v>
      </c>
      <c r="AJ128" s="26">
        <v>0</v>
      </c>
      <c r="AK128" s="26">
        <f>AG128+AI128</f>
        <v>0</v>
      </c>
      <c r="AL128" s="108"/>
      <c r="AM128" s="26">
        <f>+AM129</f>
        <v>0</v>
      </c>
      <c r="AN128" s="26">
        <v>0</v>
      </c>
      <c r="AO128" s="26">
        <f>AK128+AM128</f>
        <v>0</v>
      </c>
      <c r="AP128" s="108"/>
      <c r="AQ128" s="26">
        <f>+AQ129</f>
        <v>0</v>
      </c>
      <c r="AR128" s="26">
        <v>0</v>
      </c>
      <c r="AS128" s="26">
        <f>AO128+AQ128</f>
        <v>0</v>
      </c>
      <c r="AT128" s="108"/>
    </row>
    <row r="129" spans="1:46" x14ac:dyDescent="0.25">
      <c r="A129" s="107" t="s">
        <v>155</v>
      </c>
      <c r="B129" s="107" t="s">
        <v>91</v>
      </c>
      <c r="C129" s="26">
        <v>0</v>
      </c>
      <c r="D129" s="26">
        <v>0</v>
      </c>
      <c r="E129" s="26">
        <f t="shared" si="54"/>
        <v>0</v>
      </c>
      <c r="F129" s="108"/>
      <c r="G129" s="26"/>
      <c r="H129" s="26">
        <v>0</v>
      </c>
      <c r="I129" s="26">
        <f t="shared" si="67"/>
        <v>0</v>
      </c>
      <c r="J129" s="26">
        <v>0</v>
      </c>
      <c r="K129" s="26">
        <v>0</v>
      </c>
      <c r="L129" s="26">
        <f t="shared" si="75"/>
        <v>0</v>
      </c>
      <c r="M129" s="26">
        <v>0</v>
      </c>
      <c r="N129" s="26">
        <v>0</v>
      </c>
      <c r="O129" s="103">
        <f t="shared" si="76"/>
        <v>0</v>
      </c>
      <c r="P129" s="96">
        <v>0</v>
      </c>
      <c r="Q129" s="26">
        <v>0</v>
      </c>
      <c r="R129" s="26">
        <f t="shared" si="77"/>
        <v>0</v>
      </c>
      <c r="S129" s="26">
        <v>0</v>
      </c>
      <c r="T129" s="26">
        <v>0</v>
      </c>
      <c r="U129" s="26">
        <f t="shared" si="74"/>
        <v>0</v>
      </c>
      <c r="V129" s="108"/>
      <c r="W129" s="26">
        <v>0</v>
      </c>
      <c r="X129" s="26">
        <v>0</v>
      </c>
      <c r="Y129" s="26">
        <f t="shared" ref="Y129:Y133" si="90">U129+W129</f>
        <v>0</v>
      </c>
      <c r="Z129" s="108"/>
      <c r="AA129" s="26">
        <v>0</v>
      </c>
      <c r="AB129" s="26">
        <v>0</v>
      </c>
      <c r="AC129" s="103">
        <f t="shared" ref="AC129:AC133" si="91">Y129+AA129</f>
        <v>0</v>
      </c>
      <c r="AD129" s="108"/>
      <c r="AE129" s="26">
        <v>0</v>
      </c>
      <c r="AF129" s="26">
        <v>0</v>
      </c>
      <c r="AG129" s="26">
        <f t="shared" ref="AG129:AG133" si="92">AC129+AE129</f>
        <v>0</v>
      </c>
      <c r="AH129" s="108"/>
      <c r="AI129" s="26">
        <v>0</v>
      </c>
      <c r="AJ129" s="26">
        <v>0</v>
      </c>
      <c r="AK129" s="26">
        <f t="shared" ref="AK129:AK133" si="93">AG129+AI129</f>
        <v>0</v>
      </c>
      <c r="AL129" s="108"/>
      <c r="AM129" s="26">
        <v>0</v>
      </c>
      <c r="AN129" s="26">
        <v>0</v>
      </c>
      <c r="AO129" s="26">
        <f t="shared" ref="AO129:AO133" si="94">AK129+AM129</f>
        <v>0</v>
      </c>
      <c r="AP129" s="108"/>
      <c r="AQ129" s="26">
        <v>0</v>
      </c>
      <c r="AR129" s="26">
        <v>0</v>
      </c>
      <c r="AS129" s="26">
        <f t="shared" ref="AS129:AS133" si="95">AO129+AQ129</f>
        <v>0</v>
      </c>
      <c r="AT129" s="108"/>
    </row>
    <row r="130" spans="1:46" x14ac:dyDescent="0.25">
      <c r="A130" s="107"/>
      <c r="B130" s="107"/>
      <c r="C130" s="26"/>
      <c r="D130" s="26"/>
      <c r="E130" s="26">
        <f t="shared" si="54"/>
        <v>0</v>
      </c>
      <c r="F130" s="108"/>
      <c r="G130" s="26"/>
      <c r="H130" s="26"/>
      <c r="I130" s="26">
        <f t="shared" si="67"/>
        <v>0</v>
      </c>
      <c r="J130" s="26"/>
      <c r="K130" s="26"/>
      <c r="L130" s="26">
        <f t="shared" si="75"/>
        <v>0</v>
      </c>
      <c r="M130" s="26"/>
      <c r="N130" s="26"/>
      <c r="O130" s="103">
        <f t="shared" si="76"/>
        <v>0</v>
      </c>
      <c r="P130" s="96"/>
      <c r="Q130" s="26"/>
      <c r="R130" s="26">
        <f t="shared" si="77"/>
        <v>0</v>
      </c>
      <c r="S130" s="26"/>
      <c r="T130" s="26"/>
      <c r="U130" s="26">
        <f t="shared" si="74"/>
        <v>0</v>
      </c>
      <c r="V130" s="108"/>
      <c r="W130" s="26"/>
      <c r="X130" s="26"/>
      <c r="Y130" s="26">
        <f t="shared" si="90"/>
        <v>0</v>
      </c>
      <c r="Z130" s="108"/>
      <c r="AA130" s="26"/>
      <c r="AB130" s="26"/>
      <c r="AC130" s="103">
        <f t="shared" si="91"/>
        <v>0</v>
      </c>
      <c r="AD130" s="108"/>
      <c r="AE130" s="26"/>
      <c r="AF130" s="26"/>
      <c r="AG130" s="26">
        <f t="shared" si="92"/>
        <v>0</v>
      </c>
      <c r="AH130" s="108"/>
      <c r="AI130" s="26"/>
      <c r="AJ130" s="26"/>
      <c r="AK130" s="26">
        <f t="shared" si="93"/>
        <v>0</v>
      </c>
      <c r="AL130" s="108"/>
      <c r="AM130" s="26"/>
      <c r="AN130" s="26"/>
      <c r="AO130" s="26">
        <f t="shared" si="94"/>
        <v>0</v>
      </c>
      <c r="AP130" s="108"/>
      <c r="AQ130" s="26"/>
      <c r="AR130" s="26"/>
      <c r="AS130" s="26">
        <f t="shared" si="95"/>
        <v>0</v>
      </c>
      <c r="AT130" s="108"/>
    </row>
    <row r="131" spans="1:46" x14ac:dyDescent="0.25">
      <c r="A131" s="107">
        <v>5230</v>
      </c>
      <c r="B131" s="107" t="s">
        <v>69</v>
      </c>
      <c r="C131" s="26">
        <f>+C132</f>
        <v>0</v>
      </c>
      <c r="D131" s="26">
        <v>0</v>
      </c>
      <c r="E131" s="26">
        <f t="shared" si="54"/>
        <v>0</v>
      </c>
      <c r="F131" s="108"/>
      <c r="G131" s="26">
        <f>+G132</f>
        <v>0</v>
      </c>
      <c r="H131" s="26">
        <v>0</v>
      </c>
      <c r="I131" s="26">
        <f t="shared" si="67"/>
        <v>0</v>
      </c>
      <c r="J131" s="26">
        <f>J132</f>
        <v>0</v>
      </c>
      <c r="K131" s="26">
        <v>0</v>
      </c>
      <c r="L131" s="26">
        <f t="shared" si="75"/>
        <v>0</v>
      </c>
      <c r="M131" s="26">
        <f>M132</f>
        <v>0</v>
      </c>
      <c r="N131" s="26">
        <v>0</v>
      </c>
      <c r="O131" s="103">
        <f t="shared" si="76"/>
        <v>0</v>
      </c>
      <c r="P131" s="96">
        <f>P132</f>
        <v>0</v>
      </c>
      <c r="Q131" s="26">
        <v>0</v>
      </c>
      <c r="R131" s="26">
        <f t="shared" si="77"/>
        <v>0</v>
      </c>
      <c r="S131" s="26">
        <f>S132</f>
        <v>0</v>
      </c>
      <c r="T131" s="26">
        <v>0</v>
      </c>
      <c r="U131" s="26">
        <f t="shared" si="74"/>
        <v>0</v>
      </c>
      <c r="V131" s="108"/>
      <c r="W131" s="26">
        <f>W132</f>
        <v>0</v>
      </c>
      <c r="X131" s="26">
        <v>0</v>
      </c>
      <c r="Y131" s="26">
        <f t="shared" si="90"/>
        <v>0</v>
      </c>
      <c r="Z131" s="108"/>
      <c r="AA131" s="26">
        <f>AA132</f>
        <v>0</v>
      </c>
      <c r="AB131" s="26">
        <v>0</v>
      </c>
      <c r="AC131" s="103">
        <f t="shared" si="91"/>
        <v>0</v>
      </c>
      <c r="AD131" s="108"/>
      <c r="AE131" s="26">
        <f>AE132</f>
        <v>0</v>
      </c>
      <c r="AF131" s="26">
        <v>0</v>
      </c>
      <c r="AG131" s="26">
        <f t="shared" si="92"/>
        <v>0</v>
      </c>
      <c r="AH131" s="108"/>
      <c r="AI131" s="26">
        <f>AI132</f>
        <v>0</v>
      </c>
      <c r="AJ131" s="26">
        <v>0</v>
      </c>
      <c r="AK131" s="26">
        <f t="shared" si="93"/>
        <v>0</v>
      </c>
      <c r="AL131" s="108"/>
      <c r="AM131" s="26">
        <f>AM132</f>
        <v>0</v>
      </c>
      <c r="AN131" s="26">
        <v>0</v>
      </c>
      <c r="AO131" s="26">
        <f t="shared" si="94"/>
        <v>0</v>
      </c>
      <c r="AP131" s="108"/>
      <c r="AQ131" s="26">
        <f>AQ132</f>
        <v>0</v>
      </c>
      <c r="AR131" s="26">
        <v>0</v>
      </c>
      <c r="AS131" s="26">
        <f t="shared" si="95"/>
        <v>0</v>
      </c>
      <c r="AT131" s="108"/>
    </row>
    <row r="132" spans="1:46" x14ac:dyDescent="0.25">
      <c r="A132" s="107">
        <v>523095</v>
      </c>
      <c r="B132" s="107" t="s">
        <v>71</v>
      </c>
      <c r="C132" s="26"/>
      <c r="D132" s="26">
        <f>+D131</f>
        <v>0</v>
      </c>
      <c r="E132" s="26">
        <f t="shared" si="54"/>
        <v>0</v>
      </c>
      <c r="F132" s="108"/>
      <c r="G132" s="26"/>
      <c r="H132" s="26">
        <v>0</v>
      </c>
      <c r="I132" s="26">
        <f t="shared" si="67"/>
        <v>0</v>
      </c>
      <c r="J132" s="26"/>
      <c r="K132" s="26">
        <v>0</v>
      </c>
      <c r="L132" s="26">
        <f t="shared" si="75"/>
        <v>0</v>
      </c>
      <c r="M132" s="26"/>
      <c r="N132" s="26">
        <v>0</v>
      </c>
      <c r="O132" s="103">
        <f t="shared" si="76"/>
        <v>0</v>
      </c>
      <c r="P132" s="96"/>
      <c r="Q132" s="26">
        <v>0</v>
      </c>
      <c r="R132" s="26">
        <f t="shared" si="77"/>
        <v>0</v>
      </c>
      <c r="S132" s="26"/>
      <c r="T132" s="26">
        <v>0</v>
      </c>
      <c r="U132" s="26">
        <f t="shared" si="74"/>
        <v>0</v>
      </c>
      <c r="V132" s="108"/>
      <c r="W132" s="26"/>
      <c r="X132" s="26">
        <v>0</v>
      </c>
      <c r="Y132" s="26">
        <f t="shared" si="90"/>
        <v>0</v>
      </c>
      <c r="Z132" s="108"/>
      <c r="AA132" s="26"/>
      <c r="AB132" s="26">
        <v>0</v>
      </c>
      <c r="AC132" s="103">
        <f t="shared" si="91"/>
        <v>0</v>
      </c>
      <c r="AD132" s="108"/>
      <c r="AE132" s="26"/>
      <c r="AF132" s="26">
        <v>0</v>
      </c>
      <c r="AG132" s="26">
        <f t="shared" si="92"/>
        <v>0</v>
      </c>
      <c r="AH132" s="108"/>
      <c r="AI132" s="26"/>
      <c r="AJ132" s="26">
        <v>0</v>
      </c>
      <c r="AK132" s="26">
        <f t="shared" si="93"/>
        <v>0</v>
      </c>
      <c r="AL132" s="108"/>
      <c r="AM132" s="26"/>
      <c r="AN132" s="26">
        <v>0</v>
      </c>
      <c r="AO132" s="26">
        <f t="shared" si="94"/>
        <v>0</v>
      </c>
      <c r="AP132" s="108"/>
      <c r="AQ132" s="26"/>
      <c r="AR132" s="26">
        <v>0</v>
      </c>
      <c r="AS132" s="26">
        <f t="shared" si="95"/>
        <v>0</v>
      </c>
      <c r="AT132" s="108"/>
    </row>
    <row r="133" spans="1:46" x14ac:dyDescent="0.25">
      <c r="A133" s="107"/>
      <c r="B133" s="107"/>
      <c r="C133" s="26"/>
      <c r="D133" s="26"/>
      <c r="E133" s="26">
        <f t="shared" si="54"/>
        <v>0</v>
      </c>
      <c r="F133" s="108"/>
      <c r="G133" s="26"/>
      <c r="H133" s="26"/>
      <c r="I133" s="26">
        <f t="shared" si="67"/>
        <v>0</v>
      </c>
      <c r="J133" s="26"/>
      <c r="K133" s="26"/>
      <c r="L133" s="26">
        <f t="shared" si="75"/>
        <v>0</v>
      </c>
      <c r="M133" s="26"/>
      <c r="N133" s="26"/>
      <c r="O133" s="103">
        <f t="shared" si="76"/>
        <v>0</v>
      </c>
      <c r="P133" s="96"/>
      <c r="Q133" s="26"/>
      <c r="R133" s="26">
        <f t="shared" si="77"/>
        <v>0</v>
      </c>
      <c r="S133" s="26"/>
      <c r="T133" s="26"/>
      <c r="U133" s="26">
        <f t="shared" si="74"/>
        <v>0</v>
      </c>
      <c r="V133" s="108"/>
      <c r="W133" s="26"/>
      <c r="X133" s="26"/>
      <c r="Y133" s="26">
        <f t="shared" si="90"/>
        <v>0</v>
      </c>
      <c r="Z133" s="108"/>
      <c r="AA133" s="26"/>
      <c r="AB133" s="26"/>
      <c r="AC133" s="103">
        <f t="shared" si="91"/>
        <v>0</v>
      </c>
      <c r="AD133" s="108"/>
      <c r="AE133" s="26"/>
      <c r="AF133" s="26"/>
      <c r="AG133" s="26">
        <f t="shared" si="92"/>
        <v>0</v>
      </c>
      <c r="AH133" s="108"/>
      <c r="AI133" s="26"/>
      <c r="AJ133" s="26"/>
      <c r="AK133" s="26">
        <f t="shared" si="93"/>
        <v>0</v>
      </c>
      <c r="AL133" s="108"/>
      <c r="AM133" s="26"/>
      <c r="AN133" s="26"/>
      <c r="AO133" s="26">
        <f t="shared" si="94"/>
        <v>0</v>
      </c>
      <c r="AP133" s="108"/>
      <c r="AQ133" s="26"/>
      <c r="AR133" s="26"/>
      <c r="AS133" s="26">
        <f t="shared" si="95"/>
        <v>0</v>
      </c>
      <c r="AT133" s="108"/>
    </row>
    <row r="134" spans="1:46" x14ac:dyDescent="0.25">
      <c r="A134" s="107">
        <v>5235</v>
      </c>
      <c r="B134" s="107" t="s">
        <v>259</v>
      </c>
      <c r="C134" s="26">
        <v>0</v>
      </c>
      <c r="D134" s="26">
        <v>0</v>
      </c>
      <c r="E134" s="26">
        <f t="shared" si="54"/>
        <v>0</v>
      </c>
      <c r="F134" s="108"/>
      <c r="G134" s="26">
        <v>0</v>
      </c>
      <c r="H134" s="26">
        <v>0</v>
      </c>
      <c r="I134" s="26">
        <f t="shared" si="67"/>
        <v>0</v>
      </c>
      <c r="J134" s="26">
        <v>0</v>
      </c>
      <c r="K134" s="26">
        <v>0</v>
      </c>
      <c r="L134" s="26">
        <f t="shared" si="75"/>
        <v>0</v>
      </c>
      <c r="M134" s="26">
        <f>+M135</f>
        <v>0</v>
      </c>
      <c r="N134" s="26">
        <v>0</v>
      </c>
      <c r="O134" s="103">
        <f t="shared" si="76"/>
        <v>0</v>
      </c>
      <c r="P134" s="96">
        <f>+P135</f>
        <v>0</v>
      </c>
      <c r="Q134" s="26">
        <v>0</v>
      </c>
      <c r="R134" s="26">
        <f t="shared" si="77"/>
        <v>0</v>
      </c>
      <c r="S134" s="26">
        <f>+S135</f>
        <v>0</v>
      </c>
      <c r="T134" s="26">
        <v>0</v>
      </c>
      <c r="U134" s="26">
        <f t="shared" si="74"/>
        <v>0</v>
      </c>
      <c r="V134" s="108"/>
      <c r="W134" s="26">
        <f>+W135</f>
        <v>0</v>
      </c>
      <c r="X134" s="26">
        <v>0</v>
      </c>
      <c r="Y134" s="26">
        <f t="shared" ref="Y134:Y135" si="96">+W134</f>
        <v>0</v>
      </c>
      <c r="Z134" s="108"/>
      <c r="AA134" s="26">
        <f>+AA135</f>
        <v>0</v>
      </c>
      <c r="AB134" s="26">
        <v>0</v>
      </c>
      <c r="AC134" s="103">
        <f t="shared" ref="AC134:AC135" si="97">+AA134</f>
        <v>0</v>
      </c>
      <c r="AD134" s="108"/>
      <c r="AE134" s="26">
        <f>+AE135</f>
        <v>0</v>
      </c>
      <c r="AF134" s="26">
        <v>0</v>
      </c>
      <c r="AG134" s="26">
        <f t="shared" ref="AG134:AG135" si="98">+AE134</f>
        <v>0</v>
      </c>
      <c r="AH134" s="108"/>
      <c r="AI134" s="26">
        <f>+AI135</f>
        <v>0</v>
      </c>
      <c r="AJ134" s="26">
        <v>0</v>
      </c>
      <c r="AK134" s="26">
        <f t="shared" ref="AK134:AK135" si="99">+AI134</f>
        <v>0</v>
      </c>
      <c r="AL134" s="108"/>
      <c r="AM134" s="26">
        <f>+AM135</f>
        <v>0</v>
      </c>
      <c r="AN134" s="26">
        <v>0</v>
      </c>
      <c r="AO134" s="26">
        <f t="shared" ref="AO134:AO135" si="100">+AM134</f>
        <v>0</v>
      </c>
      <c r="AP134" s="108"/>
      <c r="AQ134" s="26">
        <f>+AQ135</f>
        <v>0</v>
      </c>
      <c r="AR134" s="26">
        <v>0</v>
      </c>
      <c r="AS134" s="26">
        <f t="shared" ref="AS134:AS135" si="101">+AQ134</f>
        <v>0</v>
      </c>
      <c r="AT134" s="108"/>
    </row>
    <row r="135" spans="1:46" x14ac:dyDescent="0.25">
      <c r="A135" s="107">
        <v>5235</v>
      </c>
      <c r="B135" s="107" t="s">
        <v>260</v>
      </c>
      <c r="C135" s="26">
        <v>0</v>
      </c>
      <c r="D135" s="26">
        <v>0</v>
      </c>
      <c r="E135" s="26">
        <f t="shared" si="54"/>
        <v>0</v>
      </c>
      <c r="F135" s="108"/>
      <c r="G135" s="26">
        <v>0</v>
      </c>
      <c r="H135" s="26">
        <v>0</v>
      </c>
      <c r="I135" s="26">
        <f t="shared" si="67"/>
        <v>0</v>
      </c>
      <c r="J135" s="26">
        <v>0</v>
      </c>
      <c r="K135" s="26">
        <v>0</v>
      </c>
      <c r="L135" s="26">
        <f t="shared" si="75"/>
        <v>0</v>
      </c>
      <c r="M135" s="26">
        <v>0</v>
      </c>
      <c r="N135" s="26">
        <v>0</v>
      </c>
      <c r="O135" s="103">
        <f t="shared" si="76"/>
        <v>0</v>
      </c>
      <c r="P135" s="96">
        <v>0</v>
      </c>
      <c r="Q135" s="26">
        <v>0</v>
      </c>
      <c r="R135" s="26">
        <f t="shared" si="77"/>
        <v>0</v>
      </c>
      <c r="S135" s="26">
        <v>0</v>
      </c>
      <c r="T135" s="26">
        <v>0</v>
      </c>
      <c r="U135" s="26">
        <f t="shared" si="74"/>
        <v>0</v>
      </c>
      <c r="V135" s="108"/>
      <c r="W135" s="26">
        <v>0</v>
      </c>
      <c r="X135" s="26">
        <v>0</v>
      </c>
      <c r="Y135" s="26">
        <f t="shared" si="96"/>
        <v>0</v>
      </c>
      <c r="Z135" s="108"/>
      <c r="AA135" s="26">
        <v>0</v>
      </c>
      <c r="AB135" s="26">
        <v>0</v>
      </c>
      <c r="AC135" s="103">
        <f t="shared" si="97"/>
        <v>0</v>
      </c>
      <c r="AD135" s="108"/>
      <c r="AE135" s="26">
        <v>0</v>
      </c>
      <c r="AF135" s="26">
        <v>0</v>
      </c>
      <c r="AG135" s="26">
        <f t="shared" si="98"/>
        <v>0</v>
      </c>
      <c r="AH135" s="108"/>
      <c r="AI135" s="26">
        <v>0</v>
      </c>
      <c r="AJ135" s="26">
        <v>0</v>
      </c>
      <c r="AK135" s="26">
        <f t="shared" si="99"/>
        <v>0</v>
      </c>
      <c r="AL135" s="108"/>
      <c r="AM135" s="26">
        <v>0</v>
      </c>
      <c r="AN135" s="26">
        <v>0</v>
      </c>
      <c r="AO135" s="26">
        <f t="shared" si="100"/>
        <v>0</v>
      </c>
      <c r="AP135" s="108"/>
      <c r="AQ135" s="26">
        <v>0</v>
      </c>
      <c r="AR135" s="26">
        <v>0</v>
      </c>
      <c r="AS135" s="26">
        <f t="shared" si="101"/>
        <v>0</v>
      </c>
      <c r="AT135" s="108"/>
    </row>
    <row r="136" spans="1:46" x14ac:dyDescent="0.25">
      <c r="A136" s="107"/>
      <c r="B136" s="107"/>
      <c r="C136" s="26"/>
      <c r="D136" s="26"/>
      <c r="E136" s="26"/>
      <c r="F136" s="108"/>
      <c r="G136" s="26"/>
      <c r="H136" s="26"/>
      <c r="I136" s="26">
        <f t="shared" si="67"/>
        <v>0</v>
      </c>
      <c r="J136" s="26"/>
      <c r="K136" s="26"/>
      <c r="L136" s="26">
        <f t="shared" si="75"/>
        <v>0</v>
      </c>
      <c r="M136" s="26"/>
      <c r="N136" s="26"/>
      <c r="O136" s="103">
        <f t="shared" si="76"/>
        <v>0</v>
      </c>
      <c r="P136" s="96"/>
      <c r="Q136" s="26"/>
      <c r="R136" s="26">
        <f t="shared" si="77"/>
        <v>0</v>
      </c>
      <c r="S136" s="26"/>
      <c r="T136" s="26"/>
      <c r="U136" s="26">
        <f t="shared" si="74"/>
        <v>0</v>
      </c>
      <c r="V136" s="108"/>
      <c r="W136" s="26"/>
      <c r="X136" s="26"/>
      <c r="Y136" s="26"/>
      <c r="Z136" s="108"/>
      <c r="AA136" s="26"/>
      <c r="AB136" s="26"/>
      <c r="AC136" s="103"/>
      <c r="AD136" s="108"/>
      <c r="AE136" s="26"/>
      <c r="AF136" s="26"/>
      <c r="AG136" s="26"/>
      <c r="AH136" s="108"/>
      <c r="AI136" s="26"/>
      <c r="AJ136" s="26"/>
      <c r="AK136" s="26"/>
      <c r="AL136" s="108"/>
      <c r="AM136" s="26"/>
      <c r="AN136" s="26"/>
      <c r="AO136" s="26"/>
      <c r="AP136" s="108"/>
      <c r="AQ136" s="26"/>
      <c r="AR136" s="26"/>
      <c r="AS136" s="26"/>
      <c r="AT136" s="108"/>
    </row>
    <row r="137" spans="1:46" x14ac:dyDescent="0.25">
      <c r="A137" s="107" t="s">
        <v>156</v>
      </c>
      <c r="B137" s="107" t="s">
        <v>89</v>
      </c>
      <c r="C137" s="26">
        <f>+C138</f>
        <v>0</v>
      </c>
      <c r="D137" s="26">
        <v>0</v>
      </c>
      <c r="E137" s="26">
        <f t="shared" si="54"/>
        <v>0</v>
      </c>
      <c r="F137" s="108"/>
      <c r="G137" s="26">
        <f>+G138</f>
        <v>0</v>
      </c>
      <c r="H137" s="26">
        <v>0</v>
      </c>
      <c r="I137" s="26">
        <f t="shared" si="67"/>
        <v>0</v>
      </c>
      <c r="J137" s="26">
        <f>+J138</f>
        <v>0</v>
      </c>
      <c r="K137" s="26">
        <v>0</v>
      </c>
      <c r="L137" s="26">
        <f t="shared" si="75"/>
        <v>0</v>
      </c>
      <c r="M137" s="26">
        <f>+M138</f>
        <v>0</v>
      </c>
      <c r="N137" s="26">
        <v>0</v>
      </c>
      <c r="O137" s="103">
        <f t="shared" si="76"/>
        <v>0</v>
      </c>
      <c r="P137" s="96">
        <f>+P138</f>
        <v>0</v>
      </c>
      <c r="Q137" s="26">
        <v>0</v>
      </c>
      <c r="R137" s="26">
        <f t="shared" si="77"/>
        <v>0</v>
      </c>
      <c r="S137" s="26">
        <f>+S138</f>
        <v>0</v>
      </c>
      <c r="T137" s="26">
        <v>0</v>
      </c>
      <c r="U137" s="26">
        <f t="shared" si="74"/>
        <v>0</v>
      </c>
      <c r="V137" s="108"/>
      <c r="W137" s="26">
        <f>+W138</f>
        <v>0</v>
      </c>
      <c r="X137" s="26">
        <v>0</v>
      </c>
      <c r="Y137" s="26">
        <f t="shared" ref="Y137:Y162" si="102">U137+W137</f>
        <v>0</v>
      </c>
      <c r="Z137" s="108"/>
      <c r="AA137" s="26">
        <f>+AA138</f>
        <v>0</v>
      </c>
      <c r="AB137" s="26">
        <v>0</v>
      </c>
      <c r="AC137" s="103">
        <f t="shared" ref="AC137:AC154" si="103">Y137+AA137</f>
        <v>0</v>
      </c>
      <c r="AD137" s="108"/>
      <c r="AE137" s="26">
        <f>+AE138</f>
        <v>0</v>
      </c>
      <c r="AF137" s="26">
        <v>0</v>
      </c>
      <c r="AG137" s="26">
        <f t="shared" ref="AG137:AG161" si="104">AC137+AE137</f>
        <v>0</v>
      </c>
      <c r="AH137" s="108"/>
      <c r="AI137" s="26">
        <f>+AI138</f>
        <v>0</v>
      </c>
      <c r="AJ137" s="26">
        <v>0</v>
      </c>
      <c r="AK137" s="26">
        <f t="shared" ref="AK137:AK161" si="105">AG137+AI137</f>
        <v>0</v>
      </c>
      <c r="AL137" s="108"/>
      <c r="AM137" s="26">
        <f>+AM138</f>
        <v>0</v>
      </c>
      <c r="AN137" s="26">
        <v>0</v>
      </c>
      <c r="AO137" s="26">
        <f t="shared" ref="AO137:AO155" si="106">AK137+AM137</f>
        <v>0</v>
      </c>
      <c r="AP137" s="108"/>
      <c r="AQ137" s="26">
        <f>+AQ138</f>
        <v>0</v>
      </c>
      <c r="AR137" s="26">
        <v>0</v>
      </c>
      <c r="AS137" s="26">
        <f t="shared" ref="AS137:AS162" si="107">AO137+AQ137</f>
        <v>0</v>
      </c>
      <c r="AT137" s="108"/>
    </row>
    <row r="138" spans="1:46" ht="21" x14ac:dyDescent="0.25">
      <c r="A138" s="107" t="s">
        <v>157</v>
      </c>
      <c r="B138" s="107" t="s">
        <v>67</v>
      </c>
      <c r="C138" s="26"/>
      <c r="D138" s="26">
        <v>0</v>
      </c>
      <c r="E138" s="26">
        <f t="shared" si="54"/>
        <v>0</v>
      </c>
      <c r="F138" s="108"/>
      <c r="G138" s="26">
        <v>0</v>
      </c>
      <c r="H138" s="26">
        <v>0</v>
      </c>
      <c r="I138" s="26">
        <f t="shared" si="67"/>
        <v>0</v>
      </c>
      <c r="J138" s="26"/>
      <c r="K138" s="26">
        <v>0</v>
      </c>
      <c r="L138" s="26">
        <f t="shared" si="75"/>
        <v>0</v>
      </c>
      <c r="M138" s="26"/>
      <c r="N138" s="26">
        <v>0</v>
      </c>
      <c r="O138" s="103">
        <f t="shared" si="76"/>
        <v>0</v>
      </c>
      <c r="P138" s="96"/>
      <c r="Q138" s="26">
        <v>0</v>
      </c>
      <c r="R138" s="26">
        <f t="shared" si="77"/>
        <v>0</v>
      </c>
      <c r="S138" s="26"/>
      <c r="T138" s="26">
        <v>0</v>
      </c>
      <c r="U138" s="26">
        <f t="shared" si="74"/>
        <v>0</v>
      </c>
      <c r="V138" s="108"/>
      <c r="W138" s="26"/>
      <c r="X138" s="26">
        <v>0</v>
      </c>
      <c r="Y138" s="26">
        <f t="shared" si="102"/>
        <v>0</v>
      </c>
      <c r="Z138" s="108"/>
      <c r="AA138" s="26"/>
      <c r="AB138" s="26">
        <v>0</v>
      </c>
      <c r="AC138" s="103">
        <f t="shared" si="103"/>
        <v>0</v>
      </c>
      <c r="AD138" s="108"/>
      <c r="AE138" s="26"/>
      <c r="AF138" s="26">
        <v>0</v>
      </c>
      <c r="AG138" s="26">
        <f t="shared" si="104"/>
        <v>0</v>
      </c>
      <c r="AH138" s="108"/>
      <c r="AI138" s="26"/>
      <c r="AJ138" s="26">
        <v>0</v>
      </c>
      <c r="AK138" s="26">
        <f t="shared" si="105"/>
        <v>0</v>
      </c>
      <c r="AL138" s="108"/>
      <c r="AM138" s="26"/>
      <c r="AN138" s="26">
        <v>0</v>
      </c>
      <c r="AO138" s="26">
        <f t="shared" si="106"/>
        <v>0</v>
      </c>
      <c r="AP138" s="108"/>
      <c r="AQ138" s="26"/>
      <c r="AR138" s="26">
        <v>0</v>
      </c>
      <c r="AS138" s="26">
        <f t="shared" si="107"/>
        <v>0</v>
      </c>
      <c r="AT138" s="108"/>
    </row>
    <row r="139" spans="1:46" x14ac:dyDescent="0.25">
      <c r="A139" s="107"/>
      <c r="B139" s="107"/>
      <c r="C139" s="26"/>
      <c r="D139" s="26"/>
      <c r="E139" s="26"/>
      <c r="F139" s="108"/>
      <c r="G139" s="26"/>
      <c r="H139" s="26"/>
      <c r="I139" s="26">
        <f t="shared" si="67"/>
        <v>0</v>
      </c>
      <c r="J139" s="26"/>
      <c r="K139" s="26"/>
      <c r="L139" s="26">
        <f t="shared" si="75"/>
        <v>0</v>
      </c>
      <c r="M139" s="26"/>
      <c r="N139" s="26"/>
      <c r="O139" s="103">
        <f t="shared" si="76"/>
        <v>0</v>
      </c>
      <c r="P139" s="96"/>
      <c r="Q139" s="26"/>
      <c r="R139" s="26">
        <f t="shared" si="77"/>
        <v>0</v>
      </c>
      <c r="S139" s="26"/>
      <c r="T139" s="26"/>
      <c r="U139" s="26">
        <f t="shared" si="74"/>
        <v>0</v>
      </c>
      <c r="V139" s="108"/>
      <c r="W139" s="26"/>
      <c r="X139" s="26"/>
      <c r="Y139" s="26">
        <f t="shared" si="102"/>
        <v>0</v>
      </c>
      <c r="Z139" s="108"/>
      <c r="AA139" s="26"/>
      <c r="AB139" s="26"/>
      <c r="AC139" s="103">
        <f t="shared" si="103"/>
        <v>0</v>
      </c>
      <c r="AD139" s="108"/>
      <c r="AE139" s="26"/>
      <c r="AF139" s="26"/>
      <c r="AG139" s="26">
        <f t="shared" si="104"/>
        <v>0</v>
      </c>
      <c r="AH139" s="108"/>
      <c r="AI139" s="26"/>
      <c r="AJ139" s="26"/>
      <c r="AK139" s="26">
        <f t="shared" si="105"/>
        <v>0</v>
      </c>
      <c r="AL139" s="108"/>
      <c r="AM139" s="26"/>
      <c r="AN139" s="26"/>
      <c r="AO139" s="26">
        <f t="shared" si="106"/>
        <v>0</v>
      </c>
      <c r="AP139" s="108"/>
      <c r="AQ139" s="26"/>
      <c r="AR139" s="26"/>
      <c r="AS139" s="26">
        <f t="shared" si="107"/>
        <v>0</v>
      </c>
      <c r="AT139" s="108"/>
    </row>
    <row r="140" spans="1:46" ht="21" x14ac:dyDescent="0.25">
      <c r="A140" s="107">
        <v>5250</v>
      </c>
      <c r="B140" s="107" t="s">
        <v>268</v>
      </c>
      <c r="C140" s="26"/>
      <c r="D140" s="26"/>
      <c r="E140" s="26"/>
      <c r="F140" s="108"/>
      <c r="G140" s="26">
        <f>+G141</f>
        <v>0</v>
      </c>
      <c r="H140" s="26"/>
      <c r="I140" s="26">
        <f t="shared" ref="I140:I157" si="108">+G140+H140+E140</f>
        <v>0</v>
      </c>
      <c r="J140" s="26"/>
      <c r="K140" s="26"/>
      <c r="L140" s="26">
        <f t="shared" si="75"/>
        <v>0</v>
      </c>
      <c r="M140" s="26">
        <f>+M141</f>
        <v>0</v>
      </c>
      <c r="N140" s="26"/>
      <c r="O140" s="103">
        <f t="shared" si="76"/>
        <v>0</v>
      </c>
      <c r="P140" s="96">
        <f>+P141</f>
        <v>0</v>
      </c>
      <c r="Q140" s="26"/>
      <c r="R140" s="26">
        <f t="shared" si="77"/>
        <v>0</v>
      </c>
      <c r="S140" s="26">
        <f>+S141</f>
        <v>0</v>
      </c>
      <c r="T140" s="26"/>
      <c r="U140" s="26">
        <f t="shared" si="74"/>
        <v>0</v>
      </c>
      <c r="V140" s="108"/>
      <c r="W140" s="26">
        <f>+W141</f>
        <v>0</v>
      </c>
      <c r="X140" s="26"/>
      <c r="Y140" s="26">
        <f t="shared" si="102"/>
        <v>0</v>
      </c>
      <c r="Z140" s="108"/>
      <c r="AA140" s="26">
        <f>+AA141</f>
        <v>0</v>
      </c>
      <c r="AB140" s="26"/>
      <c r="AC140" s="103">
        <f t="shared" si="103"/>
        <v>0</v>
      </c>
      <c r="AD140" s="108"/>
      <c r="AE140" s="26">
        <f>+AE141</f>
        <v>0</v>
      </c>
      <c r="AF140" s="26"/>
      <c r="AG140" s="26">
        <f t="shared" si="104"/>
        <v>0</v>
      </c>
      <c r="AH140" s="108"/>
      <c r="AI140" s="26">
        <f>+AI141</f>
        <v>0</v>
      </c>
      <c r="AJ140" s="26"/>
      <c r="AK140" s="26">
        <f t="shared" si="105"/>
        <v>0</v>
      </c>
      <c r="AL140" s="108"/>
      <c r="AM140" s="26">
        <f>+AM141</f>
        <v>0</v>
      </c>
      <c r="AN140" s="26"/>
      <c r="AO140" s="26">
        <f t="shared" si="106"/>
        <v>0</v>
      </c>
      <c r="AP140" s="108"/>
      <c r="AQ140" s="26">
        <f>+AQ141</f>
        <v>0</v>
      </c>
      <c r="AR140" s="26"/>
      <c r="AS140" s="26">
        <f t="shared" si="107"/>
        <v>0</v>
      </c>
      <c r="AT140" s="108"/>
    </row>
    <row r="141" spans="1:46" x14ac:dyDescent="0.25">
      <c r="A141" s="107">
        <v>525015</v>
      </c>
      <c r="B141" s="107" t="s">
        <v>269</v>
      </c>
      <c r="C141" s="26"/>
      <c r="D141" s="26"/>
      <c r="E141" s="26"/>
      <c r="F141" s="108"/>
      <c r="G141" s="26">
        <v>0</v>
      </c>
      <c r="H141" s="26"/>
      <c r="I141" s="26">
        <f t="shared" si="108"/>
        <v>0</v>
      </c>
      <c r="J141" s="26"/>
      <c r="K141" s="26"/>
      <c r="L141" s="26">
        <f t="shared" si="75"/>
        <v>0</v>
      </c>
      <c r="M141" s="26">
        <v>0</v>
      </c>
      <c r="N141" s="26"/>
      <c r="O141" s="103">
        <f t="shared" si="76"/>
        <v>0</v>
      </c>
      <c r="P141" s="96">
        <v>0</v>
      </c>
      <c r="Q141" s="26"/>
      <c r="R141" s="26">
        <f t="shared" si="77"/>
        <v>0</v>
      </c>
      <c r="S141" s="26">
        <v>0</v>
      </c>
      <c r="T141" s="26"/>
      <c r="U141" s="26">
        <f t="shared" si="74"/>
        <v>0</v>
      </c>
      <c r="V141" s="108"/>
      <c r="W141" s="26">
        <v>0</v>
      </c>
      <c r="X141" s="26"/>
      <c r="Y141" s="26">
        <f t="shared" si="102"/>
        <v>0</v>
      </c>
      <c r="Z141" s="108"/>
      <c r="AA141" s="26">
        <v>0</v>
      </c>
      <c r="AB141" s="26"/>
      <c r="AC141" s="103">
        <f t="shared" si="103"/>
        <v>0</v>
      </c>
      <c r="AD141" s="108"/>
      <c r="AE141" s="26">
        <v>0</v>
      </c>
      <c r="AF141" s="26"/>
      <c r="AG141" s="26">
        <f t="shared" si="104"/>
        <v>0</v>
      </c>
      <c r="AH141" s="108"/>
      <c r="AI141" s="26">
        <v>0</v>
      </c>
      <c r="AJ141" s="26"/>
      <c r="AK141" s="26">
        <f t="shared" si="105"/>
        <v>0</v>
      </c>
      <c r="AL141" s="108"/>
      <c r="AM141" s="26">
        <v>0</v>
      </c>
      <c r="AN141" s="26"/>
      <c r="AO141" s="26">
        <f t="shared" si="106"/>
        <v>0</v>
      </c>
      <c r="AP141" s="108"/>
      <c r="AQ141" s="26">
        <v>0</v>
      </c>
      <c r="AR141" s="26"/>
      <c r="AS141" s="26">
        <f t="shared" si="107"/>
        <v>0</v>
      </c>
      <c r="AT141" s="108"/>
    </row>
    <row r="142" spans="1:46" x14ac:dyDescent="0.25">
      <c r="A142" s="107"/>
      <c r="B142" s="107"/>
      <c r="C142" s="26"/>
      <c r="D142" s="26"/>
      <c r="E142" s="26">
        <f t="shared" si="54"/>
        <v>0</v>
      </c>
      <c r="F142" s="108"/>
      <c r="G142" s="26"/>
      <c r="H142" s="26"/>
      <c r="I142" s="26">
        <f t="shared" si="108"/>
        <v>0</v>
      </c>
      <c r="J142" s="26"/>
      <c r="K142" s="26"/>
      <c r="L142" s="26">
        <f t="shared" si="75"/>
        <v>0</v>
      </c>
      <c r="M142" s="26"/>
      <c r="N142" s="26"/>
      <c r="O142" s="103">
        <f t="shared" si="76"/>
        <v>0</v>
      </c>
      <c r="P142" s="96"/>
      <c r="Q142" s="26"/>
      <c r="R142" s="26">
        <f t="shared" si="77"/>
        <v>0</v>
      </c>
      <c r="S142" s="26"/>
      <c r="T142" s="26"/>
      <c r="U142" s="26">
        <f t="shared" si="74"/>
        <v>0</v>
      </c>
      <c r="V142" s="108"/>
      <c r="W142" s="26"/>
      <c r="X142" s="26"/>
      <c r="Y142" s="26">
        <f t="shared" si="102"/>
        <v>0</v>
      </c>
      <c r="Z142" s="108"/>
      <c r="AA142" s="26"/>
      <c r="AB142" s="26"/>
      <c r="AC142" s="103">
        <f t="shared" si="103"/>
        <v>0</v>
      </c>
      <c r="AD142" s="108"/>
      <c r="AE142" s="26"/>
      <c r="AF142" s="26"/>
      <c r="AG142" s="26">
        <f t="shared" si="104"/>
        <v>0</v>
      </c>
      <c r="AH142" s="108"/>
      <c r="AI142" s="26"/>
      <c r="AJ142" s="26"/>
      <c r="AK142" s="26">
        <f t="shared" si="105"/>
        <v>0</v>
      </c>
      <c r="AL142" s="108"/>
      <c r="AM142" s="26"/>
      <c r="AN142" s="26"/>
      <c r="AO142" s="26">
        <f t="shared" si="106"/>
        <v>0</v>
      </c>
      <c r="AP142" s="108"/>
      <c r="AQ142" s="26"/>
      <c r="AR142" s="26"/>
      <c r="AS142" s="26">
        <f t="shared" si="107"/>
        <v>0</v>
      </c>
      <c r="AT142" s="108"/>
    </row>
    <row r="143" spans="1:46" x14ac:dyDescent="0.25">
      <c r="A143" s="107">
        <v>5295</v>
      </c>
      <c r="B143" s="107" t="s">
        <v>168</v>
      </c>
      <c r="C143" s="26">
        <f>+C144</f>
        <v>0</v>
      </c>
      <c r="D143" s="26">
        <v>0</v>
      </c>
      <c r="E143" s="26">
        <f t="shared" si="54"/>
        <v>0</v>
      </c>
      <c r="F143" s="108"/>
      <c r="G143" s="26">
        <f>+G144</f>
        <v>0</v>
      </c>
      <c r="H143" s="26"/>
      <c r="I143" s="26">
        <f t="shared" si="108"/>
        <v>0</v>
      </c>
      <c r="J143" s="26">
        <f>+J144</f>
        <v>0</v>
      </c>
      <c r="K143" s="26"/>
      <c r="L143" s="26">
        <f t="shared" si="75"/>
        <v>0</v>
      </c>
      <c r="M143" s="26">
        <f>+M144</f>
        <v>0</v>
      </c>
      <c r="N143" s="26"/>
      <c r="O143" s="103">
        <f t="shared" si="76"/>
        <v>0</v>
      </c>
      <c r="P143" s="96">
        <f>+P144</f>
        <v>0</v>
      </c>
      <c r="Q143" s="26"/>
      <c r="R143" s="26">
        <f t="shared" si="77"/>
        <v>0</v>
      </c>
      <c r="S143" s="26">
        <f>+S144</f>
        <v>0</v>
      </c>
      <c r="T143" s="26"/>
      <c r="U143" s="26">
        <f t="shared" si="74"/>
        <v>0</v>
      </c>
      <c r="V143" s="108"/>
      <c r="W143" s="26">
        <f>+W144</f>
        <v>0</v>
      </c>
      <c r="X143" s="26"/>
      <c r="Y143" s="26">
        <f t="shared" si="102"/>
        <v>0</v>
      </c>
      <c r="Z143" s="108"/>
      <c r="AA143" s="26">
        <f>+AA144</f>
        <v>0</v>
      </c>
      <c r="AB143" s="26"/>
      <c r="AC143" s="103">
        <f t="shared" si="103"/>
        <v>0</v>
      </c>
      <c r="AD143" s="108"/>
      <c r="AE143" s="26">
        <f>+AE144</f>
        <v>0</v>
      </c>
      <c r="AF143" s="26"/>
      <c r="AG143" s="26">
        <f t="shared" si="104"/>
        <v>0</v>
      </c>
      <c r="AH143" s="108"/>
      <c r="AI143" s="26">
        <f>+AI144</f>
        <v>0</v>
      </c>
      <c r="AJ143" s="26"/>
      <c r="AK143" s="26">
        <f t="shared" si="105"/>
        <v>0</v>
      </c>
      <c r="AL143" s="108"/>
      <c r="AM143" s="26">
        <f>+AM144</f>
        <v>0</v>
      </c>
      <c r="AN143" s="26"/>
      <c r="AO143" s="26">
        <f t="shared" si="106"/>
        <v>0</v>
      </c>
      <c r="AP143" s="108"/>
      <c r="AQ143" s="26">
        <f>+AQ144</f>
        <v>0</v>
      </c>
      <c r="AR143" s="26"/>
      <c r="AS143" s="26">
        <f t="shared" si="107"/>
        <v>0</v>
      </c>
      <c r="AT143" s="108"/>
    </row>
    <row r="144" spans="1:46" x14ac:dyDescent="0.25">
      <c r="A144" s="107">
        <v>529510</v>
      </c>
      <c r="B144" s="107" t="s">
        <v>169</v>
      </c>
      <c r="C144" s="26"/>
      <c r="D144" s="26">
        <v>0</v>
      </c>
      <c r="E144" s="26">
        <f t="shared" si="54"/>
        <v>0</v>
      </c>
      <c r="F144" s="108"/>
      <c r="G144" s="26"/>
      <c r="H144" s="26"/>
      <c r="I144" s="26">
        <f t="shared" si="108"/>
        <v>0</v>
      </c>
      <c r="J144" s="26"/>
      <c r="K144" s="26"/>
      <c r="L144" s="26">
        <f t="shared" si="75"/>
        <v>0</v>
      </c>
      <c r="M144" s="26"/>
      <c r="N144" s="26"/>
      <c r="O144" s="103">
        <f t="shared" si="76"/>
        <v>0</v>
      </c>
      <c r="P144" s="96"/>
      <c r="Q144" s="26"/>
      <c r="R144" s="26">
        <f t="shared" si="77"/>
        <v>0</v>
      </c>
      <c r="S144" s="26"/>
      <c r="T144" s="26"/>
      <c r="U144" s="26">
        <f t="shared" si="74"/>
        <v>0</v>
      </c>
      <c r="V144" s="108"/>
      <c r="W144" s="26"/>
      <c r="X144" s="26"/>
      <c r="Y144" s="26">
        <f t="shared" si="102"/>
        <v>0</v>
      </c>
      <c r="Z144" s="108"/>
      <c r="AA144" s="26"/>
      <c r="AB144" s="26"/>
      <c r="AC144" s="103">
        <f t="shared" si="103"/>
        <v>0</v>
      </c>
      <c r="AD144" s="108"/>
      <c r="AE144" s="26"/>
      <c r="AF144" s="26"/>
      <c r="AG144" s="26">
        <f t="shared" si="104"/>
        <v>0</v>
      </c>
      <c r="AH144" s="108"/>
      <c r="AI144" s="26"/>
      <c r="AJ144" s="26"/>
      <c r="AK144" s="26">
        <f t="shared" si="105"/>
        <v>0</v>
      </c>
      <c r="AL144" s="108"/>
      <c r="AM144" s="26"/>
      <c r="AN144" s="26"/>
      <c r="AO144" s="26">
        <f t="shared" si="106"/>
        <v>0</v>
      </c>
      <c r="AP144" s="108"/>
      <c r="AQ144" s="26"/>
      <c r="AR144" s="26"/>
      <c r="AS144" s="26">
        <f t="shared" si="107"/>
        <v>0</v>
      </c>
      <c r="AT144" s="108"/>
    </row>
    <row r="145" spans="1:46" x14ac:dyDescent="0.25">
      <c r="A145" s="107"/>
      <c r="B145" s="107"/>
      <c r="C145" s="26"/>
      <c r="D145" s="26"/>
      <c r="E145" s="26">
        <f t="shared" si="54"/>
        <v>0</v>
      </c>
      <c r="F145" s="108"/>
      <c r="G145" s="26"/>
      <c r="H145" s="26"/>
      <c r="I145" s="26">
        <f t="shared" si="108"/>
        <v>0</v>
      </c>
      <c r="J145" s="26"/>
      <c r="K145" s="26"/>
      <c r="L145" s="26">
        <f t="shared" si="75"/>
        <v>0</v>
      </c>
      <c r="M145" s="26"/>
      <c r="N145" s="26"/>
      <c r="O145" s="103">
        <f t="shared" si="76"/>
        <v>0</v>
      </c>
      <c r="P145" s="96"/>
      <c r="Q145" s="26"/>
      <c r="R145" s="26">
        <f t="shared" si="77"/>
        <v>0</v>
      </c>
      <c r="S145" s="26"/>
      <c r="T145" s="26"/>
      <c r="U145" s="26">
        <f t="shared" si="74"/>
        <v>0</v>
      </c>
      <c r="V145" s="108"/>
      <c r="W145" s="26"/>
      <c r="X145" s="26"/>
      <c r="Y145" s="26">
        <f t="shared" si="102"/>
        <v>0</v>
      </c>
      <c r="Z145" s="108"/>
      <c r="AA145" s="26"/>
      <c r="AB145" s="26"/>
      <c r="AC145" s="103">
        <f t="shared" si="103"/>
        <v>0</v>
      </c>
      <c r="AD145" s="108"/>
      <c r="AE145" s="26"/>
      <c r="AF145" s="26"/>
      <c r="AG145" s="26">
        <f t="shared" si="104"/>
        <v>0</v>
      </c>
      <c r="AH145" s="108"/>
      <c r="AI145" s="26"/>
      <c r="AJ145" s="26"/>
      <c r="AK145" s="26">
        <f t="shared" si="105"/>
        <v>0</v>
      </c>
      <c r="AL145" s="108"/>
      <c r="AM145" s="26"/>
      <c r="AN145" s="26"/>
      <c r="AO145" s="26">
        <f t="shared" si="106"/>
        <v>0</v>
      </c>
      <c r="AP145" s="108"/>
      <c r="AQ145" s="26"/>
      <c r="AR145" s="26"/>
      <c r="AS145" s="26">
        <f t="shared" si="107"/>
        <v>0</v>
      </c>
      <c r="AT145" s="108"/>
    </row>
    <row r="146" spans="1:46" x14ac:dyDescent="0.25">
      <c r="A146" s="102" t="s">
        <v>117</v>
      </c>
      <c r="B146" s="102" t="s">
        <v>16</v>
      </c>
      <c r="C146" s="103">
        <f>C147+C155</f>
        <v>136652</v>
      </c>
      <c r="D146" s="103">
        <v>0</v>
      </c>
      <c r="E146" s="103">
        <f t="shared" si="54"/>
        <v>136652</v>
      </c>
      <c r="F146" s="104"/>
      <c r="G146" s="103">
        <f>G147+G155</f>
        <v>70242</v>
      </c>
      <c r="H146" s="103">
        <v>0</v>
      </c>
      <c r="I146" s="103">
        <f>+E146+G146</f>
        <v>206894</v>
      </c>
      <c r="J146" s="103">
        <f>J147</f>
        <v>263599</v>
      </c>
      <c r="K146" s="103">
        <v>0</v>
      </c>
      <c r="L146" s="103">
        <f t="shared" si="75"/>
        <v>470493</v>
      </c>
      <c r="M146" s="103">
        <f>M155+M147</f>
        <v>163669</v>
      </c>
      <c r="N146" s="103">
        <v>0</v>
      </c>
      <c r="O146" s="103">
        <f t="shared" si="76"/>
        <v>634162</v>
      </c>
      <c r="P146" s="103">
        <f>+P147+P155</f>
        <v>143658</v>
      </c>
      <c r="Q146" s="103">
        <v>0</v>
      </c>
      <c r="R146" s="103">
        <f t="shared" si="77"/>
        <v>777820</v>
      </c>
      <c r="S146" s="103">
        <f>+S147+S158</f>
        <v>140245</v>
      </c>
      <c r="T146" s="103">
        <v>0</v>
      </c>
      <c r="U146" s="103">
        <f t="shared" si="74"/>
        <v>918065</v>
      </c>
      <c r="V146" s="104"/>
      <c r="W146" s="103">
        <f>W147+W155</f>
        <v>175497</v>
      </c>
      <c r="X146" s="103">
        <v>0</v>
      </c>
      <c r="Y146" s="103">
        <f t="shared" si="102"/>
        <v>1093562</v>
      </c>
      <c r="Z146" s="104"/>
      <c r="AA146" s="103">
        <f>AA147+AA155</f>
        <v>218445</v>
      </c>
      <c r="AB146" s="103">
        <v>0</v>
      </c>
      <c r="AC146" s="103">
        <f>Y146+AA146</f>
        <v>1312007</v>
      </c>
      <c r="AD146" s="103">
        <f>AD147+AD155</f>
        <v>0</v>
      </c>
      <c r="AE146" s="103">
        <f>AE147+AE155</f>
        <v>170808</v>
      </c>
      <c r="AF146" s="103">
        <v>0</v>
      </c>
      <c r="AG146" s="103">
        <f>AC146+AE146</f>
        <v>1482815</v>
      </c>
      <c r="AH146" s="104"/>
      <c r="AI146" s="103">
        <f>AI147+AI155</f>
        <v>151336</v>
      </c>
      <c r="AJ146" s="103">
        <v>0</v>
      </c>
      <c r="AK146" s="103">
        <f t="shared" si="105"/>
        <v>1634151</v>
      </c>
      <c r="AL146" s="104"/>
      <c r="AM146" s="103">
        <f>AM147+AM155</f>
        <v>179915</v>
      </c>
      <c r="AN146" s="103">
        <v>0</v>
      </c>
      <c r="AO146" s="103">
        <f t="shared" si="106"/>
        <v>1814066</v>
      </c>
      <c r="AP146" s="104"/>
      <c r="AQ146" s="103">
        <f>AQ147+AQ155</f>
        <v>213489</v>
      </c>
      <c r="AR146" s="103">
        <v>0</v>
      </c>
      <c r="AS146" s="103">
        <f>AO146+AQ146</f>
        <v>2027555</v>
      </c>
      <c r="AT146" s="104"/>
    </row>
    <row r="147" spans="1:46" x14ac:dyDescent="0.25">
      <c r="A147" s="107" t="s">
        <v>118</v>
      </c>
      <c r="B147" s="107" t="s">
        <v>18</v>
      </c>
      <c r="C147" s="26">
        <f>C148+C149+C151+C152+C153+C154+C150</f>
        <v>136652</v>
      </c>
      <c r="D147" s="26">
        <v>0</v>
      </c>
      <c r="E147" s="26">
        <f>+C147+D147</f>
        <v>136652</v>
      </c>
      <c r="F147" s="108"/>
      <c r="G147" s="26">
        <f>SUM(G148:G154)</f>
        <v>70242</v>
      </c>
      <c r="H147" s="26">
        <v>0</v>
      </c>
      <c r="I147" s="26">
        <f>+E147+G147</f>
        <v>206894</v>
      </c>
      <c r="J147" s="26">
        <f>SUM(J148:J154)</f>
        <v>263599</v>
      </c>
      <c r="K147" s="26">
        <v>0</v>
      </c>
      <c r="L147" s="26">
        <f>+I147+J147</f>
        <v>470493</v>
      </c>
      <c r="M147" s="26">
        <f>+M148+M149+M151+M154+M150+M152</f>
        <v>139669</v>
      </c>
      <c r="N147" s="26">
        <v>0</v>
      </c>
      <c r="O147" s="103">
        <f>+L147+M147</f>
        <v>610162</v>
      </c>
      <c r="P147" s="96">
        <f>+P148+P149+P151+P154+P150+P152</f>
        <v>143658</v>
      </c>
      <c r="Q147" s="26">
        <v>0</v>
      </c>
      <c r="R147" s="26">
        <f t="shared" si="77"/>
        <v>753820</v>
      </c>
      <c r="S147" s="96">
        <f>+S148+S149+S151+S154+S150+S152+S153</f>
        <v>140245</v>
      </c>
      <c r="T147" s="26">
        <v>0</v>
      </c>
      <c r="U147" s="26">
        <f>+R147+S147</f>
        <v>894065</v>
      </c>
      <c r="V147" s="108"/>
      <c r="W147" s="96">
        <f>+W148+W149+W151+W154+W150+W152</f>
        <v>175497</v>
      </c>
      <c r="X147" s="26">
        <v>0</v>
      </c>
      <c r="Y147" s="26">
        <f>+U147+W147</f>
        <v>1069562</v>
      </c>
      <c r="Z147" s="108"/>
      <c r="AA147" s="26">
        <f>AA148+AA149+AA150+AA151+AA152+AA153++AA154</f>
        <v>149814</v>
      </c>
      <c r="AB147" s="26">
        <v>0</v>
      </c>
      <c r="AC147" s="103">
        <f t="shared" si="103"/>
        <v>1219376</v>
      </c>
      <c r="AD147" s="26"/>
      <c r="AE147" s="26">
        <f>AE148+AE149+AE150+AE151+AE152+AE153++AE154</f>
        <v>170808</v>
      </c>
      <c r="AF147" s="26">
        <v>0</v>
      </c>
      <c r="AG147" s="26">
        <f>+AC147+AE147</f>
        <v>1390184</v>
      </c>
      <c r="AH147" s="108"/>
      <c r="AI147" s="26">
        <f>AI148+AI149+AI150+AI151+AI152+AI153++AI154</f>
        <v>151015</v>
      </c>
      <c r="AJ147" s="26">
        <v>0</v>
      </c>
      <c r="AK147" s="26">
        <f t="shared" si="105"/>
        <v>1541199</v>
      </c>
      <c r="AL147" s="108"/>
      <c r="AM147" s="26">
        <f>AM148+AM149+AM150+AM151+AM152+AM153++AM154</f>
        <v>179915</v>
      </c>
      <c r="AN147" s="26">
        <v>0</v>
      </c>
      <c r="AO147" s="26">
        <f t="shared" si="106"/>
        <v>1721114</v>
      </c>
      <c r="AP147" s="108"/>
      <c r="AQ147" s="26">
        <f>AQ148+AQ149+AQ150+AQ151+AQ152+AQ153++AQ154</f>
        <v>213489</v>
      </c>
      <c r="AR147" s="26">
        <v>0</v>
      </c>
      <c r="AS147" s="26">
        <f>+AO147+AQ147</f>
        <v>1934603</v>
      </c>
      <c r="AT147" s="108"/>
    </row>
    <row r="148" spans="1:46" x14ac:dyDescent="0.25">
      <c r="A148" s="107" t="s">
        <v>119</v>
      </c>
      <c r="B148" s="107" t="s">
        <v>120</v>
      </c>
      <c r="C148" s="26"/>
      <c r="D148" s="26">
        <v>0</v>
      </c>
      <c r="E148" s="26">
        <f t="shared" si="54"/>
        <v>0</v>
      </c>
      <c r="F148" s="108"/>
      <c r="G148" s="26"/>
      <c r="H148" s="26">
        <v>0</v>
      </c>
      <c r="I148" s="26">
        <f t="shared" si="108"/>
        <v>0</v>
      </c>
      <c r="J148" s="26"/>
      <c r="K148" s="26">
        <v>0</v>
      </c>
      <c r="L148" s="26">
        <f t="shared" ref="L148:L154" si="109">+I148+J148</f>
        <v>0</v>
      </c>
      <c r="M148" s="26"/>
      <c r="N148" s="26"/>
      <c r="O148" s="103">
        <f t="shared" ref="O148:O154" si="110">+L148+M148</f>
        <v>0</v>
      </c>
      <c r="P148" s="96"/>
      <c r="Q148" s="26"/>
      <c r="R148" s="26">
        <f t="shared" si="77"/>
        <v>0</v>
      </c>
      <c r="S148" s="26">
        <v>8400</v>
      </c>
      <c r="T148" s="26"/>
      <c r="U148" s="26">
        <f t="shared" ref="U148:U155" si="111">+R148+S148</f>
        <v>8400</v>
      </c>
      <c r="V148" s="108"/>
      <c r="W148" s="26"/>
      <c r="X148" s="26"/>
      <c r="Y148" s="26">
        <f t="shared" si="102"/>
        <v>8400</v>
      </c>
      <c r="Z148" s="108"/>
      <c r="AA148" s="26"/>
      <c r="AB148" s="26"/>
      <c r="AC148" s="103">
        <f t="shared" si="103"/>
        <v>8400</v>
      </c>
      <c r="AD148" s="108"/>
      <c r="AE148" s="108">
        <v>0</v>
      </c>
      <c r="AF148" s="26"/>
      <c r="AG148" s="26">
        <f t="shared" si="104"/>
        <v>8400</v>
      </c>
      <c r="AH148" s="108"/>
      <c r="AI148" s="26"/>
      <c r="AJ148" s="26"/>
      <c r="AK148" s="26">
        <f t="shared" si="105"/>
        <v>8400</v>
      </c>
      <c r="AL148" s="108"/>
      <c r="AM148" s="26"/>
      <c r="AN148" s="26"/>
      <c r="AO148" s="26">
        <f t="shared" si="106"/>
        <v>8400</v>
      </c>
      <c r="AP148" s="108"/>
      <c r="AQ148" s="26"/>
      <c r="AR148" s="26"/>
      <c r="AS148" s="26">
        <f t="shared" si="107"/>
        <v>8400</v>
      </c>
      <c r="AT148" s="108"/>
    </row>
    <row r="149" spans="1:46" x14ac:dyDescent="0.25">
      <c r="A149" s="107" t="s">
        <v>121</v>
      </c>
      <c r="B149" s="107" t="s">
        <v>122</v>
      </c>
      <c r="C149" s="26">
        <v>80700</v>
      </c>
      <c r="D149" s="26">
        <v>0</v>
      </c>
      <c r="E149" s="26">
        <f t="shared" ref="E149:E156" si="112">+C149</f>
        <v>80700</v>
      </c>
      <c r="F149" s="108"/>
      <c r="G149" s="26">
        <v>17213</v>
      </c>
      <c r="H149" s="26">
        <v>0</v>
      </c>
      <c r="I149" s="26">
        <f t="shared" si="108"/>
        <v>97913</v>
      </c>
      <c r="J149" s="26">
        <v>203979</v>
      </c>
      <c r="K149" s="26"/>
      <c r="L149" s="26">
        <f t="shared" si="109"/>
        <v>301892</v>
      </c>
      <c r="M149" s="26">
        <v>89700</v>
      </c>
      <c r="N149" s="26"/>
      <c r="O149" s="103">
        <f t="shared" si="110"/>
        <v>391592</v>
      </c>
      <c r="P149" s="96">
        <v>89700</v>
      </c>
      <c r="Q149" s="26"/>
      <c r="R149" s="26">
        <f t="shared" si="77"/>
        <v>481292</v>
      </c>
      <c r="S149" s="26"/>
      <c r="T149" s="26"/>
      <c r="U149" s="26">
        <f t="shared" si="111"/>
        <v>481292</v>
      </c>
      <c r="V149" s="108"/>
      <c r="W149" s="26">
        <v>102300</v>
      </c>
      <c r="X149" s="26"/>
      <c r="Y149" s="26">
        <f t="shared" si="102"/>
        <v>583592</v>
      </c>
      <c r="Z149" s="108"/>
      <c r="AA149" s="26">
        <v>93900</v>
      </c>
      <c r="AB149" s="26"/>
      <c r="AC149" s="103">
        <f t="shared" si="103"/>
        <v>677492</v>
      </c>
      <c r="AD149" s="108"/>
      <c r="AE149" s="108">
        <v>98100</v>
      </c>
      <c r="AF149" s="26"/>
      <c r="AG149" s="26">
        <f t="shared" si="104"/>
        <v>775592</v>
      </c>
      <c r="AH149" s="108"/>
      <c r="AI149" s="26">
        <v>98100</v>
      </c>
      <c r="AJ149" s="26"/>
      <c r="AK149" s="26">
        <f t="shared" si="105"/>
        <v>873692</v>
      </c>
      <c r="AL149" s="108"/>
      <c r="AM149" s="26">
        <v>98100</v>
      </c>
      <c r="AN149" s="26"/>
      <c r="AO149" s="26">
        <f t="shared" si="106"/>
        <v>971792</v>
      </c>
      <c r="AP149" s="108"/>
      <c r="AQ149" s="26">
        <v>119100</v>
      </c>
      <c r="AR149" s="26"/>
      <c r="AS149" s="26">
        <f t="shared" si="107"/>
        <v>1090892</v>
      </c>
      <c r="AT149" s="108"/>
    </row>
    <row r="150" spans="1:46" x14ac:dyDescent="0.25">
      <c r="A150" s="107">
        <v>530520</v>
      </c>
      <c r="B150" s="107" t="s">
        <v>20</v>
      </c>
      <c r="C150" s="26">
        <v>2100</v>
      </c>
      <c r="D150" s="26"/>
      <c r="E150" s="26">
        <f t="shared" si="112"/>
        <v>2100</v>
      </c>
      <c r="F150" s="108"/>
      <c r="G150" s="26"/>
      <c r="H150" s="26"/>
      <c r="I150" s="26">
        <f t="shared" si="108"/>
        <v>2100</v>
      </c>
      <c r="J150" s="26"/>
      <c r="K150" s="26"/>
      <c r="L150" s="26">
        <f t="shared" si="109"/>
        <v>2100</v>
      </c>
      <c r="M150" s="26"/>
      <c r="N150" s="26"/>
      <c r="O150" s="103">
        <f t="shared" si="110"/>
        <v>2100</v>
      </c>
      <c r="P150" s="96"/>
      <c r="Q150" s="26"/>
      <c r="R150" s="26">
        <f t="shared" si="77"/>
        <v>2100</v>
      </c>
      <c r="S150" s="26">
        <v>16502</v>
      </c>
      <c r="T150" s="26"/>
      <c r="U150" s="26">
        <f t="shared" si="111"/>
        <v>18602</v>
      </c>
      <c r="V150" s="108"/>
      <c r="W150" s="26">
        <v>7000</v>
      </c>
      <c r="X150" s="26"/>
      <c r="Y150" s="26">
        <f t="shared" si="102"/>
        <v>25602</v>
      </c>
      <c r="Z150" s="108"/>
      <c r="AA150" s="26"/>
      <c r="AB150" s="26"/>
      <c r="AC150" s="103">
        <f t="shared" si="103"/>
        <v>25602</v>
      </c>
      <c r="AD150" s="108"/>
      <c r="AE150" s="108">
        <v>5000</v>
      </c>
      <c r="AF150" s="26"/>
      <c r="AG150" s="26">
        <f t="shared" si="104"/>
        <v>30602</v>
      </c>
      <c r="AH150" s="108"/>
      <c r="AI150" s="26"/>
      <c r="AJ150" s="26"/>
      <c r="AK150" s="26">
        <f t="shared" si="105"/>
        <v>30602</v>
      </c>
      <c r="AL150" s="108"/>
      <c r="AM150" s="26">
        <v>18200</v>
      </c>
      <c r="AN150" s="26"/>
      <c r="AO150" s="26">
        <f t="shared" si="106"/>
        <v>48802</v>
      </c>
      <c r="AP150" s="108"/>
      <c r="AQ150" s="26">
        <v>4200</v>
      </c>
      <c r="AR150" s="26"/>
      <c r="AS150" s="26">
        <f t="shared" si="107"/>
        <v>53002</v>
      </c>
      <c r="AT150" s="108"/>
    </row>
    <row r="151" spans="1:46" x14ac:dyDescent="0.25">
      <c r="A151" s="107" t="s">
        <v>123</v>
      </c>
      <c r="B151" s="107" t="s">
        <v>124</v>
      </c>
      <c r="C151" s="26">
        <v>21519</v>
      </c>
      <c r="D151" s="26">
        <v>0</v>
      </c>
      <c r="E151" s="26">
        <f t="shared" si="112"/>
        <v>21519</v>
      </c>
      <c r="F151" s="108"/>
      <c r="G151" s="26">
        <v>32759</v>
      </c>
      <c r="H151" s="26">
        <v>0</v>
      </c>
      <c r="I151" s="26">
        <f t="shared" si="108"/>
        <v>54278</v>
      </c>
      <c r="J151" s="26">
        <v>23981</v>
      </c>
      <c r="K151" s="26"/>
      <c r="L151" s="26">
        <f t="shared" si="109"/>
        <v>78259</v>
      </c>
      <c r="M151" s="26">
        <v>15926</v>
      </c>
      <c r="N151" s="26"/>
      <c r="O151" s="103">
        <f t="shared" si="110"/>
        <v>94185</v>
      </c>
      <c r="P151" s="96">
        <v>19915</v>
      </c>
      <c r="Q151" s="26"/>
      <c r="R151" s="26">
        <f t="shared" si="77"/>
        <v>114100</v>
      </c>
      <c r="S151" s="26">
        <v>0</v>
      </c>
      <c r="T151" s="26"/>
      <c r="U151" s="26">
        <f t="shared" si="111"/>
        <v>114100</v>
      </c>
      <c r="V151" s="108"/>
      <c r="W151" s="26">
        <v>29260</v>
      </c>
      <c r="X151" s="26"/>
      <c r="Y151" s="26">
        <f t="shared" si="102"/>
        <v>143360</v>
      </c>
      <c r="Z151" s="108"/>
      <c r="AA151" s="26">
        <v>20573</v>
      </c>
      <c r="AB151" s="26"/>
      <c r="AC151" s="103">
        <f t="shared" si="103"/>
        <v>163933</v>
      </c>
      <c r="AD151" s="108"/>
      <c r="AE151" s="108">
        <v>31569</v>
      </c>
      <c r="AF151" s="26"/>
      <c r="AG151" s="26">
        <f t="shared" si="104"/>
        <v>195502</v>
      </c>
      <c r="AH151" s="108"/>
      <c r="AI151" s="26">
        <v>16776</v>
      </c>
      <c r="AJ151" s="26"/>
      <c r="AK151" s="26">
        <f t="shared" si="105"/>
        <v>212278</v>
      </c>
      <c r="AL151" s="108"/>
      <c r="AM151" s="26">
        <v>26586</v>
      </c>
      <c r="AN151" s="26"/>
      <c r="AO151" s="26">
        <f t="shared" si="106"/>
        <v>238864</v>
      </c>
      <c r="AP151" s="108"/>
      <c r="AQ151" s="26">
        <v>49170</v>
      </c>
      <c r="AR151" s="26"/>
      <c r="AS151" s="26">
        <f t="shared" si="107"/>
        <v>288034</v>
      </c>
      <c r="AT151" s="108"/>
    </row>
    <row r="152" spans="1:46" ht="21" customHeight="1" x14ac:dyDescent="0.25">
      <c r="A152" s="107" t="s">
        <v>158</v>
      </c>
      <c r="B152" s="107" t="s">
        <v>143</v>
      </c>
      <c r="C152" s="26">
        <v>0</v>
      </c>
      <c r="D152" s="26">
        <v>0</v>
      </c>
      <c r="E152" s="26">
        <f t="shared" si="112"/>
        <v>0</v>
      </c>
      <c r="F152" s="108"/>
      <c r="G152" s="26"/>
      <c r="H152" s="26">
        <v>0</v>
      </c>
      <c r="I152" s="26">
        <f t="shared" si="108"/>
        <v>0</v>
      </c>
      <c r="J152" s="26"/>
      <c r="K152" s="26"/>
      <c r="L152" s="26">
        <f t="shared" si="109"/>
        <v>0</v>
      </c>
      <c r="M152" s="26"/>
      <c r="N152" s="26"/>
      <c r="O152" s="103">
        <f t="shared" si="110"/>
        <v>0</v>
      </c>
      <c r="P152" s="96"/>
      <c r="Q152" s="26"/>
      <c r="R152" s="26">
        <f t="shared" si="77"/>
        <v>0</v>
      </c>
      <c r="S152" s="26"/>
      <c r="T152" s="26"/>
      <c r="U152" s="26">
        <f t="shared" si="111"/>
        <v>0</v>
      </c>
      <c r="V152" s="108"/>
      <c r="W152" s="26"/>
      <c r="X152" s="26"/>
      <c r="Y152" s="26">
        <f t="shared" si="102"/>
        <v>0</v>
      </c>
      <c r="Z152" s="108"/>
      <c r="AA152" s="26"/>
      <c r="AB152" s="26"/>
      <c r="AC152" s="103">
        <f t="shared" si="103"/>
        <v>0</v>
      </c>
      <c r="AD152" s="108"/>
      <c r="AE152" s="108">
        <v>0</v>
      </c>
      <c r="AF152" s="26"/>
      <c r="AG152" s="26">
        <f t="shared" si="104"/>
        <v>0</v>
      </c>
      <c r="AH152" s="108"/>
      <c r="AI152" s="26">
        <v>0</v>
      </c>
      <c r="AJ152" s="26"/>
      <c r="AK152" s="26">
        <f t="shared" si="105"/>
        <v>0</v>
      </c>
      <c r="AL152" s="108"/>
      <c r="AM152" s="26">
        <v>0</v>
      </c>
      <c r="AN152" s="26"/>
      <c r="AO152" s="26">
        <f t="shared" si="106"/>
        <v>0</v>
      </c>
      <c r="AP152" s="108"/>
      <c r="AQ152" s="26">
        <v>0</v>
      </c>
      <c r="AR152" s="26"/>
      <c r="AS152" s="26">
        <f t="shared" si="107"/>
        <v>0</v>
      </c>
      <c r="AT152" s="108"/>
    </row>
    <row r="153" spans="1:46" ht="21" x14ac:dyDescent="0.25">
      <c r="A153" s="107" t="s">
        <v>125</v>
      </c>
      <c r="B153" s="107" t="s">
        <v>331</v>
      </c>
      <c r="C153" s="26">
        <v>0</v>
      </c>
      <c r="D153" s="26">
        <v>0</v>
      </c>
      <c r="E153" s="26">
        <f t="shared" si="112"/>
        <v>0</v>
      </c>
      <c r="F153" s="108"/>
      <c r="G153" s="26">
        <v>0</v>
      </c>
      <c r="H153" s="26">
        <v>0</v>
      </c>
      <c r="I153" s="26">
        <f t="shared" si="108"/>
        <v>0</v>
      </c>
      <c r="J153" s="26">
        <v>0</v>
      </c>
      <c r="K153" s="26">
        <v>0</v>
      </c>
      <c r="L153" s="26">
        <f t="shared" si="109"/>
        <v>0</v>
      </c>
      <c r="M153" s="26">
        <v>0</v>
      </c>
      <c r="N153" s="26">
        <v>0</v>
      </c>
      <c r="O153" s="103">
        <f t="shared" si="110"/>
        <v>0</v>
      </c>
      <c r="P153" s="96"/>
      <c r="Q153" s="26">
        <v>0</v>
      </c>
      <c r="R153" s="26">
        <f t="shared" si="77"/>
        <v>0</v>
      </c>
      <c r="S153" s="26"/>
      <c r="T153" s="26">
        <v>0</v>
      </c>
      <c r="U153" s="26">
        <f t="shared" si="111"/>
        <v>0</v>
      </c>
      <c r="V153" s="108"/>
      <c r="W153" s="26"/>
      <c r="X153" s="26">
        <v>0</v>
      </c>
      <c r="Y153" s="26">
        <f t="shared" si="102"/>
        <v>0</v>
      </c>
      <c r="Z153" s="108"/>
      <c r="AA153" s="26"/>
      <c r="AB153" s="26">
        <v>0</v>
      </c>
      <c r="AC153" s="103">
        <f t="shared" si="103"/>
        <v>0</v>
      </c>
      <c r="AD153" s="108"/>
      <c r="AE153" s="108">
        <v>0</v>
      </c>
      <c r="AF153" s="26">
        <v>0</v>
      </c>
      <c r="AG153" s="26">
        <f t="shared" si="104"/>
        <v>0</v>
      </c>
      <c r="AH153" s="108"/>
      <c r="AI153" s="26">
        <v>0</v>
      </c>
      <c r="AJ153" s="26">
        <v>0</v>
      </c>
      <c r="AK153" s="26">
        <f t="shared" si="105"/>
        <v>0</v>
      </c>
      <c r="AL153" s="108"/>
      <c r="AM153" s="26"/>
      <c r="AN153" s="26">
        <v>0</v>
      </c>
      <c r="AO153" s="26">
        <f t="shared" si="106"/>
        <v>0</v>
      </c>
      <c r="AP153" s="108"/>
      <c r="AQ153" s="26">
        <v>0</v>
      </c>
      <c r="AR153" s="26">
        <v>0</v>
      </c>
      <c r="AS153" s="26">
        <f t="shared" si="107"/>
        <v>0</v>
      </c>
      <c r="AT153" s="108"/>
    </row>
    <row r="154" spans="1:46" x14ac:dyDescent="0.25">
      <c r="A154" s="107">
        <v>530595</v>
      </c>
      <c r="B154" s="107" t="s">
        <v>330</v>
      </c>
      <c r="C154" s="26">
        <v>32333</v>
      </c>
      <c r="D154" s="26"/>
      <c r="E154" s="26">
        <f t="shared" si="112"/>
        <v>32333</v>
      </c>
      <c r="F154" s="108"/>
      <c r="G154" s="26">
        <v>20270</v>
      </c>
      <c r="H154" s="26"/>
      <c r="I154" s="26">
        <f t="shared" si="108"/>
        <v>52603</v>
      </c>
      <c r="J154" s="26">
        <v>35639</v>
      </c>
      <c r="K154" s="26"/>
      <c r="L154" s="26">
        <f t="shared" si="109"/>
        <v>88242</v>
      </c>
      <c r="M154" s="26">
        <v>34043</v>
      </c>
      <c r="N154" s="26"/>
      <c r="O154" s="103">
        <f t="shared" si="110"/>
        <v>122285</v>
      </c>
      <c r="P154" s="96">
        <v>34043</v>
      </c>
      <c r="Q154" s="26"/>
      <c r="R154" s="26">
        <f t="shared" si="77"/>
        <v>156328</v>
      </c>
      <c r="S154" s="26">
        <v>115343</v>
      </c>
      <c r="T154" s="26"/>
      <c r="U154" s="26">
        <f t="shared" si="111"/>
        <v>271671</v>
      </c>
      <c r="V154" s="108"/>
      <c r="W154" s="26">
        <v>36937</v>
      </c>
      <c r="X154" s="26"/>
      <c r="Y154" s="26">
        <f t="shared" si="102"/>
        <v>308608</v>
      </c>
      <c r="Z154" s="108"/>
      <c r="AA154" s="26">
        <v>35341</v>
      </c>
      <c r="AB154" s="26"/>
      <c r="AC154" s="103">
        <f t="shared" si="103"/>
        <v>343949</v>
      </c>
      <c r="AD154" s="108"/>
      <c r="AE154" s="108">
        <v>36139</v>
      </c>
      <c r="AF154" s="26"/>
      <c r="AG154" s="26">
        <f t="shared" si="104"/>
        <v>380088</v>
      </c>
      <c r="AH154" s="108"/>
      <c r="AI154" s="26">
        <v>36139</v>
      </c>
      <c r="AJ154" s="26"/>
      <c r="AK154" s="26">
        <f t="shared" si="105"/>
        <v>416227</v>
      </c>
      <c r="AL154" s="108"/>
      <c r="AM154" s="26">
        <v>37029</v>
      </c>
      <c r="AN154" s="26"/>
      <c r="AO154" s="26">
        <f t="shared" si="106"/>
        <v>453256</v>
      </c>
      <c r="AP154" s="108"/>
      <c r="AQ154" s="26">
        <v>41019</v>
      </c>
      <c r="AR154" s="26"/>
      <c r="AS154" s="26">
        <f t="shared" si="107"/>
        <v>494275</v>
      </c>
      <c r="AT154" s="108"/>
    </row>
    <row r="155" spans="1:46" ht="30.75" customHeight="1" x14ac:dyDescent="0.25">
      <c r="A155" s="118" t="s">
        <v>126</v>
      </c>
      <c r="B155" s="118" t="s">
        <v>127</v>
      </c>
      <c r="C155" s="119">
        <f>+C156</f>
        <v>0</v>
      </c>
      <c r="D155" s="119">
        <v>0</v>
      </c>
      <c r="E155" s="119">
        <f t="shared" si="112"/>
        <v>0</v>
      </c>
      <c r="F155" s="120"/>
      <c r="G155" s="119">
        <f>+G156+G157</f>
        <v>0</v>
      </c>
      <c r="H155" s="119">
        <v>0</v>
      </c>
      <c r="I155" s="103">
        <f t="shared" si="108"/>
        <v>0</v>
      </c>
      <c r="J155" s="119">
        <f>J156</f>
        <v>0</v>
      </c>
      <c r="K155" s="119">
        <v>0</v>
      </c>
      <c r="L155" s="103">
        <f t="shared" si="75"/>
        <v>0</v>
      </c>
      <c r="M155" s="119">
        <f>M156+M157+M158+M159+M160+M161</f>
        <v>24000</v>
      </c>
      <c r="N155" s="119">
        <v>0</v>
      </c>
      <c r="O155" s="103">
        <f t="shared" si="76"/>
        <v>24000</v>
      </c>
      <c r="P155" s="119"/>
      <c r="Q155" s="119">
        <v>0</v>
      </c>
      <c r="R155" s="103">
        <f t="shared" si="77"/>
        <v>24000</v>
      </c>
      <c r="S155" s="119">
        <f>S156</f>
        <v>0</v>
      </c>
      <c r="T155" s="119">
        <v>0</v>
      </c>
      <c r="U155" s="103">
        <f t="shared" si="111"/>
        <v>24000</v>
      </c>
      <c r="V155" s="120"/>
      <c r="W155" s="119">
        <f>W156+W157+W158</f>
        <v>0</v>
      </c>
      <c r="X155" s="119">
        <v>0</v>
      </c>
      <c r="Y155" s="103">
        <f t="shared" si="102"/>
        <v>24000</v>
      </c>
      <c r="Z155" s="120"/>
      <c r="AA155" s="119">
        <f>+AA159</f>
        <v>68631</v>
      </c>
      <c r="AB155" s="119">
        <v>0</v>
      </c>
      <c r="AC155" s="103">
        <f>Y155+AA155</f>
        <v>92631</v>
      </c>
      <c r="AD155" s="120"/>
      <c r="AE155" s="119">
        <f>AE156</f>
        <v>0</v>
      </c>
      <c r="AF155" s="119">
        <v>0</v>
      </c>
      <c r="AG155" s="103">
        <f>AC155+AE155</f>
        <v>92631</v>
      </c>
      <c r="AH155" s="120"/>
      <c r="AI155" s="119">
        <f>+AI161</f>
        <v>321</v>
      </c>
      <c r="AJ155" s="119">
        <v>0</v>
      </c>
      <c r="AK155" s="103">
        <f t="shared" si="105"/>
        <v>92952</v>
      </c>
      <c r="AL155" s="120"/>
      <c r="AM155" s="119">
        <f>AM156</f>
        <v>0</v>
      </c>
      <c r="AN155" s="119">
        <v>0</v>
      </c>
      <c r="AO155" s="103">
        <f t="shared" si="106"/>
        <v>92952</v>
      </c>
      <c r="AP155" s="120"/>
      <c r="AQ155" s="119">
        <f>AQ156</f>
        <v>0</v>
      </c>
      <c r="AR155" s="119">
        <v>0</v>
      </c>
      <c r="AS155" s="103">
        <f t="shared" si="107"/>
        <v>92952</v>
      </c>
      <c r="AT155" s="120"/>
    </row>
    <row r="156" spans="1:46" x14ac:dyDescent="0.25">
      <c r="A156" s="107" t="s">
        <v>128</v>
      </c>
      <c r="B156" s="107" t="s">
        <v>129</v>
      </c>
      <c r="C156" s="26"/>
      <c r="D156" s="26">
        <v>0</v>
      </c>
      <c r="E156" s="26">
        <f t="shared" si="112"/>
        <v>0</v>
      </c>
      <c r="F156" s="108"/>
      <c r="G156" s="26"/>
      <c r="H156" s="26">
        <v>0</v>
      </c>
      <c r="I156" s="26">
        <f t="shared" si="108"/>
        <v>0</v>
      </c>
      <c r="J156" s="26"/>
      <c r="K156" s="26">
        <v>0</v>
      </c>
      <c r="L156" s="26">
        <f t="shared" si="75"/>
        <v>0</v>
      </c>
      <c r="M156" s="26"/>
      <c r="N156" s="26">
        <v>0</v>
      </c>
      <c r="O156" s="103">
        <f t="shared" si="76"/>
        <v>0</v>
      </c>
      <c r="P156" s="96"/>
      <c r="Q156" s="26">
        <v>0</v>
      </c>
      <c r="R156" s="26">
        <f t="shared" si="77"/>
        <v>0</v>
      </c>
      <c r="S156" s="26">
        <v>0</v>
      </c>
      <c r="T156" s="26">
        <v>0</v>
      </c>
      <c r="U156" s="26">
        <f t="shared" si="74"/>
        <v>0</v>
      </c>
      <c r="V156" s="108"/>
      <c r="W156" s="26">
        <v>0</v>
      </c>
      <c r="X156" s="26">
        <v>0</v>
      </c>
      <c r="Y156" s="121">
        <f t="shared" si="102"/>
        <v>0</v>
      </c>
      <c r="Z156" s="108"/>
      <c r="AA156" s="26">
        <v>0</v>
      </c>
      <c r="AB156" s="26">
        <v>0</v>
      </c>
      <c r="AC156" s="103">
        <f t="shared" ref="AC156:AC162" si="113">Y156+AA156</f>
        <v>0</v>
      </c>
      <c r="AD156" s="108"/>
      <c r="AE156" s="26">
        <v>0</v>
      </c>
      <c r="AF156" s="26">
        <v>0</v>
      </c>
      <c r="AG156" s="26">
        <f t="shared" si="104"/>
        <v>0</v>
      </c>
      <c r="AH156" s="108"/>
      <c r="AI156" s="26">
        <v>0</v>
      </c>
      <c r="AJ156" s="26">
        <v>0</v>
      </c>
      <c r="AK156" s="26">
        <f t="shared" si="105"/>
        <v>0</v>
      </c>
      <c r="AL156" s="108"/>
      <c r="AM156" s="26">
        <v>0</v>
      </c>
      <c r="AN156" s="26">
        <v>0</v>
      </c>
      <c r="AO156" s="26">
        <f>AK156+AM156</f>
        <v>0</v>
      </c>
      <c r="AP156" s="108"/>
      <c r="AQ156" s="26">
        <v>0</v>
      </c>
      <c r="AR156" s="26">
        <v>0</v>
      </c>
      <c r="AS156" s="26">
        <f t="shared" si="107"/>
        <v>0</v>
      </c>
      <c r="AT156" s="108"/>
    </row>
    <row r="157" spans="1:46" x14ac:dyDescent="0.25">
      <c r="A157" s="107">
        <v>531525</v>
      </c>
      <c r="B157" s="107" t="s">
        <v>270</v>
      </c>
      <c r="C157" s="26"/>
      <c r="D157" s="26"/>
      <c r="E157" s="26">
        <f t="shared" ref="E157" si="114">+D157</f>
        <v>0</v>
      </c>
      <c r="F157" s="108"/>
      <c r="G157" s="26"/>
      <c r="H157" s="26">
        <v>0</v>
      </c>
      <c r="I157" s="26">
        <f t="shared" si="108"/>
        <v>0</v>
      </c>
      <c r="J157" s="26">
        <v>0</v>
      </c>
      <c r="K157" s="26">
        <v>0</v>
      </c>
      <c r="L157" s="26">
        <f t="shared" si="75"/>
        <v>0</v>
      </c>
      <c r="M157" s="26">
        <v>0</v>
      </c>
      <c r="N157" s="26">
        <v>0</v>
      </c>
      <c r="O157" s="103">
        <f t="shared" si="76"/>
        <v>0</v>
      </c>
      <c r="P157" s="96">
        <v>0</v>
      </c>
      <c r="Q157" s="26">
        <v>0</v>
      </c>
      <c r="R157" s="26">
        <f t="shared" si="77"/>
        <v>0</v>
      </c>
      <c r="S157" s="26">
        <v>0</v>
      </c>
      <c r="T157" s="26">
        <v>0</v>
      </c>
      <c r="U157" s="26">
        <f t="shared" si="74"/>
        <v>0</v>
      </c>
      <c r="V157" s="108"/>
      <c r="W157" s="26">
        <v>0</v>
      </c>
      <c r="X157" s="26">
        <v>0</v>
      </c>
      <c r="Y157" s="121">
        <f t="shared" si="102"/>
        <v>0</v>
      </c>
      <c r="Z157" s="108"/>
      <c r="AA157" s="26">
        <v>0</v>
      </c>
      <c r="AB157" s="26">
        <v>0</v>
      </c>
      <c r="AC157" s="103">
        <f t="shared" si="113"/>
        <v>0</v>
      </c>
      <c r="AD157" s="108"/>
      <c r="AE157" s="26">
        <v>0</v>
      </c>
      <c r="AF157" s="26">
        <v>0</v>
      </c>
      <c r="AG157" s="26">
        <f t="shared" si="104"/>
        <v>0</v>
      </c>
      <c r="AH157" s="108"/>
      <c r="AI157" s="26">
        <v>0</v>
      </c>
      <c r="AJ157" s="26">
        <v>0</v>
      </c>
      <c r="AK157" s="26">
        <f t="shared" si="105"/>
        <v>0</v>
      </c>
      <c r="AL157" s="108"/>
      <c r="AM157" s="26">
        <v>0</v>
      </c>
      <c r="AN157" s="26">
        <v>0</v>
      </c>
      <c r="AO157" s="26">
        <f t="shared" ref="AO157" si="115">AK157+AM157</f>
        <v>0</v>
      </c>
      <c r="AP157" s="108"/>
      <c r="AQ157" s="26">
        <v>0</v>
      </c>
      <c r="AR157" s="26">
        <v>0</v>
      </c>
      <c r="AS157" s="26">
        <f t="shared" si="107"/>
        <v>0</v>
      </c>
      <c r="AT157" s="108"/>
    </row>
    <row r="158" spans="1:46" x14ac:dyDescent="0.25">
      <c r="A158" s="107">
        <v>5395</v>
      </c>
      <c r="B158" s="107" t="s">
        <v>329</v>
      </c>
      <c r="C158" s="26"/>
      <c r="D158" s="26"/>
      <c r="E158" s="26"/>
      <c r="F158" s="108"/>
      <c r="G158" s="26"/>
      <c r="H158" s="26"/>
      <c r="I158" s="26"/>
      <c r="J158" s="26"/>
      <c r="K158" s="26"/>
      <c r="L158" s="26"/>
      <c r="M158" s="26"/>
      <c r="N158" s="26"/>
      <c r="O158" s="103"/>
      <c r="P158" s="96"/>
      <c r="Q158" s="26"/>
      <c r="R158" s="26">
        <f t="shared" si="77"/>
        <v>0</v>
      </c>
      <c r="S158" s="26">
        <f>S161+S162</f>
        <v>0</v>
      </c>
      <c r="T158" s="26"/>
      <c r="U158" s="26">
        <f t="shared" si="74"/>
        <v>0</v>
      </c>
      <c r="V158" s="108"/>
      <c r="W158" s="26">
        <f>W160+W161</f>
        <v>0</v>
      </c>
      <c r="X158" s="26"/>
      <c r="Y158" s="121">
        <f t="shared" si="102"/>
        <v>0</v>
      </c>
      <c r="Z158" s="108"/>
      <c r="AA158" s="26"/>
      <c r="AB158" s="26"/>
      <c r="AC158" s="103">
        <f t="shared" si="113"/>
        <v>0</v>
      </c>
      <c r="AD158" s="108"/>
      <c r="AE158" s="26"/>
      <c r="AF158" s="26"/>
      <c r="AG158" s="26">
        <f t="shared" si="104"/>
        <v>0</v>
      </c>
      <c r="AH158" s="108"/>
      <c r="AI158" s="26"/>
      <c r="AJ158" s="26"/>
      <c r="AK158" s="26">
        <f t="shared" si="105"/>
        <v>0</v>
      </c>
      <c r="AL158" s="108"/>
      <c r="AM158" s="26"/>
      <c r="AN158" s="26"/>
      <c r="AO158" s="121">
        <f>AK158+AM158</f>
        <v>0</v>
      </c>
      <c r="AP158" s="108"/>
      <c r="AQ158" s="26"/>
      <c r="AR158" s="26"/>
      <c r="AS158" s="26">
        <f t="shared" si="107"/>
        <v>0</v>
      </c>
      <c r="AT158" s="108"/>
    </row>
    <row r="159" spans="1:46" x14ac:dyDescent="0.25">
      <c r="A159" s="107">
        <v>539520</v>
      </c>
      <c r="B159" s="107" t="s">
        <v>20</v>
      </c>
      <c r="C159" s="26"/>
      <c r="D159" s="26"/>
      <c r="E159" s="26"/>
      <c r="F159" s="108"/>
      <c r="G159" s="26"/>
      <c r="H159" s="26"/>
      <c r="I159" s="26"/>
      <c r="J159" s="26"/>
      <c r="K159" s="26"/>
      <c r="L159" s="26"/>
      <c r="M159" s="26">
        <v>24000</v>
      </c>
      <c r="N159" s="26"/>
      <c r="O159" s="103"/>
      <c r="P159" s="96"/>
      <c r="Q159" s="26"/>
      <c r="R159" s="26"/>
      <c r="S159" s="26"/>
      <c r="T159" s="26"/>
      <c r="U159" s="26"/>
      <c r="V159" s="108"/>
      <c r="W159" s="26"/>
      <c r="X159" s="26"/>
      <c r="Y159" s="121"/>
      <c r="Z159" s="108"/>
      <c r="AA159" s="26">
        <v>68631</v>
      </c>
      <c r="AB159" s="26"/>
      <c r="AC159" s="103">
        <f t="shared" si="113"/>
        <v>68631</v>
      </c>
      <c r="AD159" s="108"/>
      <c r="AE159" s="26"/>
      <c r="AF159" s="26"/>
      <c r="AG159" s="26"/>
      <c r="AH159" s="108"/>
      <c r="AI159" s="26"/>
      <c r="AJ159" s="26"/>
      <c r="AK159" s="26"/>
      <c r="AL159" s="108"/>
      <c r="AM159" s="26"/>
      <c r="AN159" s="26"/>
      <c r="AO159" s="121"/>
      <c r="AP159" s="108"/>
      <c r="AQ159" s="26"/>
      <c r="AR159" s="26"/>
      <c r="AS159" s="26"/>
      <c r="AT159" s="108"/>
    </row>
    <row r="160" spans="1:46" x14ac:dyDescent="0.25">
      <c r="A160" s="107">
        <v>539535</v>
      </c>
      <c r="B160" s="107"/>
      <c r="C160" s="26"/>
      <c r="D160" s="26"/>
      <c r="E160" s="26"/>
      <c r="F160" s="108"/>
      <c r="G160" s="26"/>
      <c r="H160" s="26"/>
      <c r="I160" s="26"/>
      <c r="J160" s="26"/>
      <c r="K160" s="26"/>
      <c r="L160" s="26"/>
      <c r="M160" s="26"/>
      <c r="N160" s="26"/>
      <c r="O160" s="103"/>
      <c r="P160" s="96"/>
      <c r="Q160" s="26"/>
      <c r="R160" s="26"/>
      <c r="S160" s="26"/>
      <c r="T160" s="26"/>
      <c r="U160" s="26"/>
      <c r="V160" s="108"/>
      <c r="W160" s="26"/>
      <c r="X160" s="26"/>
      <c r="Y160" s="121"/>
      <c r="Z160" s="108"/>
      <c r="AA160" s="26"/>
      <c r="AB160" s="26"/>
      <c r="AC160" s="103">
        <f t="shared" si="113"/>
        <v>0</v>
      </c>
      <c r="AD160" s="108"/>
      <c r="AE160" s="26"/>
      <c r="AF160" s="26"/>
      <c r="AG160" s="26"/>
      <c r="AH160" s="108"/>
      <c r="AI160" s="26"/>
      <c r="AJ160" s="26"/>
      <c r="AK160" s="26"/>
      <c r="AL160" s="108"/>
      <c r="AM160" s="26"/>
      <c r="AN160" s="26"/>
      <c r="AO160" s="121"/>
      <c r="AP160" s="108"/>
      <c r="AQ160" s="26"/>
      <c r="AR160" s="26"/>
      <c r="AS160" s="26"/>
      <c r="AT160" s="108"/>
    </row>
    <row r="161" spans="1:46" x14ac:dyDescent="0.25">
      <c r="A161" s="107">
        <v>539595</v>
      </c>
      <c r="B161" s="107" t="s">
        <v>161</v>
      </c>
      <c r="C161" s="26"/>
      <c r="D161" s="26"/>
      <c r="E161" s="26"/>
      <c r="F161" s="108"/>
      <c r="G161" s="26"/>
      <c r="H161" s="26"/>
      <c r="I161" s="26"/>
      <c r="J161" s="26"/>
      <c r="K161" s="26"/>
      <c r="L161" s="26"/>
      <c r="M161" s="26"/>
      <c r="N161" s="26"/>
      <c r="O161" s="103"/>
      <c r="P161" s="96"/>
      <c r="Q161" s="26"/>
      <c r="R161" s="26"/>
      <c r="S161" s="26"/>
      <c r="T161" s="26"/>
      <c r="U161" s="26">
        <f t="shared" ref="U161" si="116">+R161+S161</f>
        <v>0</v>
      </c>
      <c r="V161" s="108"/>
      <c r="W161" s="26"/>
      <c r="X161" s="26"/>
      <c r="Y161" s="121">
        <f t="shared" si="102"/>
        <v>0</v>
      </c>
      <c r="Z161" s="108"/>
      <c r="AA161" s="26"/>
      <c r="AB161" s="26"/>
      <c r="AC161" s="103">
        <f t="shared" si="113"/>
        <v>0</v>
      </c>
      <c r="AD161" s="108"/>
      <c r="AE161" s="26"/>
      <c r="AF161" s="26"/>
      <c r="AG161" s="26">
        <f t="shared" si="104"/>
        <v>0</v>
      </c>
      <c r="AH161" s="108"/>
      <c r="AI161" s="26">
        <v>321</v>
      </c>
      <c r="AJ161" s="26"/>
      <c r="AK161" s="26">
        <f t="shared" si="105"/>
        <v>321</v>
      </c>
      <c r="AL161" s="108"/>
      <c r="AM161" s="26"/>
      <c r="AN161" s="26"/>
      <c r="AO161" s="26">
        <f>AK161+AM161</f>
        <v>321</v>
      </c>
      <c r="AP161" s="108"/>
      <c r="AQ161" s="26"/>
      <c r="AR161" s="26"/>
      <c r="AS161" s="26">
        <f t="shared" si="107"/>
        <v>321</v>
      </c>
      <c r="AT161" s="108"/>
    </row>
    <row r="162" spans="1:46" x14ac:dyDescent="0.25">
      <c r="A162" s="107"/>
      <c r="B162" s="107"/>
      <c r="C162" s="26"/>
      <c r="D162" s="26"/>
      <c r="E162" s="26"/>
      <c r="F162" s="108"/>
      <c r="G162" s="26"/>
      <c r="H162" s="26"/>
      <c r="I162" s="26"/>
      <c r="J162" s="26"/>
      <c r="K162" s="26"/>
      <c r="L162" s="26">
        <f>I162+K162</f>
        <v>0</v>
      </c>
      <c r="M162" s="26">
        <v>0</v>
      </c>
      <c r="N162" s="26"/>
      <c r="O162" s="103"/>
      <c r="P162" s="96"/>
      <c r="Q162" s="26"/>
      <c r="R162" s="26">
        <f t="shared" ref="R162" si="117">+O162-P162</f>
        <v>0</v>
      </c>
      <c r="S162" s="26"/>
      <c r="T162" s="26"/>
      <c r="U162" s="26">
        <f>+R162+S162</f>
        <v>0</v>
      </c>
      <c r="V162" s="108"/>
      <c r="W162" s="26"/>
      <c r="X162" s="26"/>
      <c r="Y162" s="121">
        <f t="shared" si="102"/>
        <v>0</v>
      </c>
      <c r="Z162" s="108"/>
      <c r="AA162" s="26"/>
      <c r="AB162" s="26"/>
      <c r="AC162" s="103">
        <f t="shared" si="113"/>
        <v>0</v>
      </c>
      <c r="AD162" s="108"/>
      <c r="AE162" s="26"/>
      <c r="AF162" s="26"/>
      <c r="AG162" s="26"/>
      <c r="AH162" s="108"/>
      <c r="AI162" s="26"/>
      <c r="AJ162" s="26"/>
      <c r="AK162" s="26"/>
      <c r="AL162" s="108"/>
      <c r="AM162" s="26"/>
      <c r="AN162" s="26"/>
      <c r="AO162" s="26"/>
      <c r="AP162" s="108"/>
      <c r="AQ162" s="26"/>
      <c r="AR162" s="26"/>
      <c r="AS162" s="26">
        <f t="shared" si="107"/>
        <v>0</v>
      </c>
      <c r="AT162" s="108"/>
    </row>
    <row r="163" spans="1:46" x14ac:dyDescent="0.25">
      <c r="A163" s="107"/>
      <c r="B163" s="107" t="s">
        <v>130</v>
      </c>
      <c r="C163" s="26"/>
      <c r="D163" s="26">
        <f>D7</f>
        <v>3650160</v>
      </c>
      <c r="E163" s="26">
        <f>+D163</f>
        <v>3650160</v>
      </c>
      <c r="F163" s="108"/>
      <c r="G163" s="26"/>
      <c r="H163" s="26">
        <f>H7</f>
        <v>8194444</v>
      </c>
      <c r="I163" s="26">
        <f>+H163</f>
        <v>8194444</v>
      </c>
      <c r="J163" s="26"/>
      <c r="K163" s="26">
        <f>K7</f>
        <v>15949913</v>
      </c>
      <c r="L163" s="26">
        <f>+K163</f>
        <v>15949913</v>
      </c>
      <c r="M163" s="26"/>
      <c r="N163" s="26">
        <f>N7</f>
        <v>8100964</v>
      </c>
      <c r="O163" s="103">
        <f>+N163</f>
        <v>8100964</v>
      </c>
      <c r="P163" s="96"/>
      <c r="Q163" s="26">
        <f>Q7</f>
        <v>18412486</v>
      </c>
      <c r="R163" s="26">
        <f>+Q163</f>
        <v>18412486</v>
      </c>
      <c r="S163" s="26"/>
      <c r="T163" s="26">
        <f>T7</f>
        <v>13297291</v>
      </c>
      <c r="U163" s="26">
        <f>+T163</f>
        <v>13297291</v>
      </c>
      <c r="V163" s="108"/>
      <c r="W163" s="26"/>
      <c r="X163" s="26">
        <f>X7</f>
        <v>14522346</v>
      </c>
      <c r="Y163" s="26">
        <f>+X163</f>
        <v>14522346</v>
      </c>
      <c r="Z163" s="108"/>
      <c r="AA163" s="26"/>
      <c r="AB163" s="26">
        <f>AB7</f>
        <v>19706466</v>
      </c>
      <c r="AC163" s="103">
        <f>+AB163</f>
        <v>19706466</v>
      </c>
      <c r="AD163" s="108"/>
      <c r="AE163" s="26"/>
      <c r="AF163" s="26">
        <f>AF7</f>
        <v>12601267</v>
      </c>
      <c r="AG163" s="26">
        <f>+AF163</f>
        <v>12601267</v>
      </c>
      <c r="AH163" s="108"/>
      <c r="AI163" s="26"/>
      <c r="AJ163" s="26">
        <f>AJ7</f>
        <v>13432176</v>
      </c>
      <c r="AK163" s="26">
        <f>+AJ163</f>
        <v>13432176</v>
      </c>
      <c r="AL163" s="108"/>
      <c r="AM163" s="26"/>
      <c r="AN163" s="26">
        <f>AN7</f>
        <v>11210209</v>
      </c>
      <c r="AO163" s="26">
        <f>+AN163</f>
        <v>11210209</v>
      </c>
      <c r="AP163" s="108"/>
      <c r="AQ163" s="26"/>
      <c r="AR163" s="26">
        <f>AR7</f>
        <v>24004695</v>
      </c>
      <c r="AS163" s="26">
        <f>+AR163</f>
        <v>24004695</v>
      </c>
      <c r="AT163" s="108"/>
    </row>
    <row r="164" spans="1:46" ht="32.25" customHeight="1" x14ac:dyDescent="0.25">
      <c r="A164" s="107"/>
      <c r="B164" s="107" t="s">
        <v>134</v>
      </c>
      <c r="C164" s="26"/>
      <c r="D164" s="26">
        <f>D163-D21</f>
        <v>3650160</v>
      </c>
      <c r="E164" s="26">
        <f>+D164</f>
        <v>3650160</v>
      </c>
      <c r="F164" s="108"/>
      <c r="G164" s="26"/>
      <c r="H164" s="26">
        <f>H163-H21</f>
        <v>8194444</v>
      </c>
      <c r="I164" s="26">
        <f>+H164</f>
        <v>8194444</v>
      </c>
      <c r="J164" s="26"/>
      <c r="K164" s="26">
        <f>K163-K21</f>
        <v>15949913</v>
      </c>
      <c r="L164" s="26">
        <f>+K164</f>
        <v>15949913</v>
      </c>
      <c r="M164" s="26"/>
      <c r="N164" s="26">
        <f>N163-N21</f>
        <v>8100964</v>
      </c>
      <c r="O164" s="103">
        <f>+N164</f>
        <v>8100964</v>
      </c>
      <c r="P164" s="96"/>
      <c r="Q164" s="26">
        <f>Q163-Q21</f>
        <v>18412486</v>
      </c>
      <c r="R164" s="26">
        <f>+O164+Q164-P164</f>
        <v>26513450</v>
      </c>
      <c r="S164" s="26"/>
      <c r="T164" s="26">
        <f>T163-T21</f>
        <v>13297291</v>
      </c>
      <c r="U164" s="26">
        <f>+T164</f>
        <v>13297291</v>
      </c>
      <c r="V164" s="108"/>
      <c r="W164" s="26"/>
      <c r="X164" s="26">
        <f>+X163</f>
        <v>14522346</v>
      </c>
      <c r="Y164" s="26">
        <f>+X164</f>
        <v>14522346</v>
      </c>
      <c r="Z164" s="108"/>
      <c r="AA164" s="26"/>
      <c r="AB164" s="26">
        <f>+AB163</f>
        <v>19706466</v>
      </c>
      <c r="AC164" s="103">
        <f>+AB164</f>
        <v>19706466</v>
      </c>
      <c r="AD164" s="108"/>
      <c r="AE164" s="26"/>
      <c r="AF164" s="26">
        <f>+AF163</f>
        <v>12601267</v>
      </c>
      <c r="AG164" s="26">
        <f>+AF164</f>
        <v>12601267</v>
      </c>
      <c r="AH164" s="108"/>
      <c r="AI164" s="26"/>
      <c r="AJ164" s="26">
        <f>AJ163-AJ21</f>
        <v>13432176</v>
      </c>
      <c r="AK164" s="26">
        <f>+AJ164</f>
        <v>13432176</v>
      </c>
      <c r="AL164" s="108"/>
      <c r="AM164" s="26"/>
      <c r="AN164" s="26">
        <f>AN163-AN21</f>
        <v>11210209</v>
      </c>
      <c r="AO164" s="26">
        <f>+AN164</f>
        <v>11210209</v>
      </c>
      <c r="AP164" s="108"/>
      <c r="AQ164" s="26"/>
      <c r="AR164" s="26">
        <f>AR163-AR21</f>
        <v>24004695</v>
      </c>
      <c r="AS164" s="26">
        <f>+AR164</f>
        <v>24004695</v>
      </c>
      <c r="AT164" s="108"/>
    </row>
    <row r="165" spans="1:46" x14ac:dyDescent="0.25">
      <c r="A165" s="98"/>
      <c r="B165" s="107" t="s">
        <v>131</v>
      </c>
      <c r="C165" s="26">
        <f>C29-C124</f>
        <v>10157985</v>
      </c>
      <c r="D165" s="26">
        <v>0</v>
      </c>
      <c r="E165" s="110">
        <f>+C165</f>
        <v>10157985</v>
      </c>
      <c r="F165" s="108"/>
      <c r="G165" s="26">
        <f>G29-G124</f>
        <v>12636419</v>
      </c>
      <c r="H165" s="26">
        <v>0</v>
      </c>
      <c r="I165" s="110">
        <f>+E165+G165</f>
        <v>22794404</v>
      </c>
      <c r="J165" s="26">
        <f>J29-J124</f>
        <v>15699505</v>
      </c>
      <c r="K165" s="26">
        <v>0</v>
      </c>
      <c r="L165" s="110">
        <f>+I165+J165</f>
        <v>38493909</v>
      </c>
      <c r="M165" s="26">
        <f>M29-M124</f>
        <v>13845188</v>
      </c>
      <c r="N165" s="26">
        <v>0</v>
      </c>
      <c r="O165" s="103">
        <f>+L165+M165</f>
        <v>52339097</v>
      </c>
      <c r="P165" s="96">
        <f>+P30+P146</f>
        <v>16159541</v>
      </c>
      <c r="Q165" s="26">
        <v>0</v>
      </c>
      <c r="R165" s="110">
        <f>+O165+P165</f>
        <v>68498638</v>
      </c>
      <c r="S165" s="26">
        <f>S30+S146</f>
        <v>13183791</v>
      </c>
      <c r="T165" s="26">
        <v>0</v>
      </c>
      <c r="U165" s="110">
        <f>+R165+S165</f>
        <v>81682429</v>
      </c>
      <c r="V165" s="108"/>
      <c r="W165" s="26">
        <f>W30+W146</f>
        <v>13164418</v>
      </c>
      <c r="X165" s="26">
        <v>0</v>
      </c>
      <c r="Y165" s="110">
        <f>+V165+W165</f>
        <v>13164418</v>
      </c>
      <c r="Z165" s="108"/>
      <c r="AA165" s="26">
        <f>AA29-AA124</f>
        <v>12998509</v>
      </c>
      <c r="AB165" s="26">
        <v>0</v>
      </c>
      <c r="AC165" s="110">
        <f>+Z165+AA165</f>
        <v>12998509</v>
      </c>
      <c r="AD165" s="108"/>
      <c r="AE165" s="26">
        <f>AE29-AE124</f>
        <v>15385036</v>
      </c>
      <c r="AF165" s="26">
        <v>0</v>
      </c>
      <c r="AG165" s="110">
        <f>+AD165+AE165</f>
        <v>15385036</v>
      </c>
      <c r="AH165" s="108"/>
      <c r="AI165" s="26">
        <f>AI29-AI124</f>
        <v>15449005</v>
      </c>
      <c r="AJ165" s="26">
        <v>0</v>
      </c>
      <c r="AK165" s="110">
        <f>+AH165+AI165</f>
        <v>15449005</v>
      </c>
      <c r="AL165" s="108"/>
      <c r="AM165" s="26">
        <f>AM29-AM124</f>
        <v>16781585</v>
      </c>
      <c r="AN165" s="26">
        <v>0</v>
      </c>
      <c r="AO165" s="110">
        <f>+AK165+AM165</f>
        <v>32230590</v>
      </c>
      <c r="AP165" s="108"/>
      <c r="AQ165" s="26">
        <f>AQ29-AQ124+AQ7</f>
        <v>13081786</v>
      </c>
      <c r="AR165" s="26">
        <v>0</v>
      </c>
      <c r="AS165" s="110">
        <f>+AO165+AQ165</f>
        <v>45312376</v>
      </c>
      <c r="AT165" s="108"/>
    </row>
    <row r="166" spans="1:46" ht="66" customHeight="1" x14ac:dyDescent="0.25">
      <c r="A166" s="122"/>
      <c r="B166" s="123" t="s">
        <v>135</v>
      </c>
      <c r="C166" s="110">
        <f>C165</f>
        <v>10157985</v>
      </c>
      <c r="D166" s="110">
        <f>+D164</f>
        <v>3650160</v>
      </c>
      <c r="E166" s="110">
        <f>+D166-C166</f>
        <v>-6507825</v>
      </c>
      <c r="F166" s="110"/>
      <c r="G166" s="110">
        <f>G165</f>
        <v>12636419</v>
      </c>
      <c r="H166" s="110">
        <f>+H164+G7</f>
        <v>8194444</v>
      </c>
      <c r="I166" s="106">
        <f>+E166+H166-G166</f>
        <v>-10949800</v>
      </c>
      <c r="J166" s="110">
        <f>J165</f>
        <v>15699505</v>
      </c>
      <c r="K166" s="110">
        <f>+K164+J8</f>
        <v>15949913</v>
      </c>
      <c r="L166" s="106">
        <f>+I166+K166-J166</f>
        <v>-10699392</v>
      </c>
      <c r="M166" s="110">
        <f>M165</f>
        <v>13845188</v>
      </c>
      <c r="N166" s="110">
        <f>+N164</f>
        <v>8100964</v>
      </c>
      <c r="O166" s="106">
        <f>+L166+N166-M166</f>
        <v>-16443616</v>
      </c>
      <c r="P166" s="96">
        <f>+P165</f>
        <v>16159541</v>
      </c>
      <c r="Q166" s="110">
        <f>+Q164-P164</f>
        <v>18412486</v>
      </c>
      <c r="R166" s="106">
        <f>+O166+Q166-P166</f>
        <v>-14190671</v>
      </c>
      <c r="S166" s="110">
        <f>S165+S7</f>
        <v>14255311</v>
      </c>
      <c r="T166" s="110">
        <f>+T164</f>
        <v>13297291</v>
      </c>
      <c r="U166" s="106">
        <f>+R166+T166-S166</f>
        <v>-15148691</v>
      </c>
      <c r="V166" s="110"/>
      <c r="W166" s="110">
        <f>W165</f>
        <v>13164418</v>
      </c>
      <c r="X166" s="110">
        <f>+X164</f>
        <v>14522346</v>
      </c>
      <c r="Y166" s="106">
        <f>+U166+X166-W166</f>
        <v>-13790763</v>
      </c>
      <c r="Z166" s="110"/>
      <c r="AA166" s="110">
        <f>AA165</f>
        <v>12998509</v>
      </c>
      <c r="AB166" s="110">
        <f>+AB164-AA7</f>
        <v>19706466</v>
      </c>
      <c r="AC166" s="106">
        <f>+Y166+AB166-AA166</f>
        <v>-7082806</v>
      </c>
      <c r="AD166" s="124" t="s">
        <v>255</v>
      </c>
      <c r="AE166" s="110">
        <f>AE165</f>
        <v>15385036</v>
      </c>
      <c r="AF166" s="110">
        <f>+AF164</f>
        <v>12601267</v>
      </c>
      <c r="AG166" s="106">
        <f>+AC166+AF166-AE166</f>
        <v>-9866575</v>
      </c>
      <c r="AH166" s="110"/>
      <c r="AI166" s="110">
        <f>AI165</f>
        <v>15449005</v>
      </c>
      <c r="AJ166" s="110">
        <f>+AJ164+AI7</f>
        <v>13432176</v>
      </c>
      <c r="AK166" s="106">
        <f>+AG166+AJ166-AI166</f>
        <v>-11883404</v>
      </c>
      <c r="AL166" s="110"/>
      <c r="AM166" s="110">
        <f>AM165</f>
        <v>16781585</v>
      </c>
      <c r="AN166" s="110">
        <f>+AN164+AM7</f>
        <v>11210209</v>
      </c>
      <c r="AO166" s="106">
        <f>+AK166+AN166-AM166</f>
        <v>-17454780</v>
      </c>
      <c r="AP166" s="110"/>
      <c r="AQ166" s="110">
        <f>AQ165</f>
        <v>13081786</v>
      </c>
      <c r="AR166" s="110">
        <f>+AR164</f>
        <v>24004695</v>
      </c>
      <c r="AS166" s="106">
        <f>+AO166+AR166-AQ166</f>
        <v>-6531871</v>
      </c>
      <c r="AT166" s="125" t="s">
        <v>255</v>
      </c>
    </row>
    <row r="167" spans="1:46" x14ac:dyDescent="0.25">
      <c r="B167" s="126" t="s">
        <v>271</v>
      </c>
      <c r="C167" s="192" t="s">
        <v>272</v>
      </c>
      <c r="D167" s="192"/>
      <c r="E167" s="128">
        <f>+D166-C166</f>
        <v>-6507825</v>
      </c>
      <c r="G167" s="192" t="s">
        <v>174</v>
      </c>
      <c r="H167" s="192"/>
      <c r="I167" s="128">
        <f>+H166-G166</f>
        <v>-4441975</v>
      </c>
      <c r="J167" s="192" t="s">
        <v>273</v>
      </c>
      <c r="K167" s="192"/>
      <c r="L167" s="128">
        <f>+K166-J166</f>
        <v>250408</v>
      </c>
      <c r="M167" s="192" t="s">
        <v>176</v>
      </c>
      <c r="N167" s="192"/>
      <c r="O167" s="128">
        <f>+N166-M166</f>
        <v>-5744224</v>
      </c>
      <c r="Q167" s="56" t="s">
        <v>296</v>
      </c>
      <c r="R167" s="128">
        <f>+Q166-P166</f>
        <v>2252945</v>
      </c>
      <c r="T167" s="56" t="s">
        <v>332</v>
      </c>
      <c r="U167" s="128">
        <f>+T166-S166</f>
        <v>-958020</v>
      </c>
      <c r="X167" s="56" t="s">
        <v>297</v>
      </c>
      <c r="Y167" s="128">
        <f>+X166-W166</f>
        <v>1357928</v>
      </c>
      <c r="AB167" s="56" t="s">
        <v>298</v>
      </c>
      <c r="AC167" s="128">
        <f>+AB166-AA166</f>
        <v>6707957</v>
      </c>
      <c r="AF167" s="56" t="s">
        <v>333</v>
      </c>
      <c r="AG167" s="128">
        <f>+AF166-AE166</f>
        <v>-2783769</v>
      </c>
      <c r="AJ167" s="56" t="s">
        <v>346</v>
      </c>
      <c r="AK167" s="128">
        <f>+AJ166-AI166</f>
        <v>-2016829</v>
      </c>
      <c r="AN167" s="56" t="s">
        <v>347</v>
      </c>
      <c r="AO167" s="128">
        <f>+AN166-AM166</f>
        <v>-5571376</v>
      </c>
      <c r="AR167" s="56" t="s">
        <v>336</v>
      </c>
      <c r="AS167" s="128">
        <f>+AR166-AQ166</f>
        <v>10922909</v>
      </c>
    </row>
    <row r="168" spans="1:46" x14ac:dyDescent="0.25">
      <c r="J168" s="129"/>
      <c r="K168" s="129"/>
      <c r="L168" s="127"/>
      <c r="O168" s="127"/>
      <c r="Q168" s="56"/>
      <c r="AS168" s="129"/>
    </row>
    <row r="169" spans="1:46" x14ac:dyDescent="0.25">
      <c r="O169" s="127"/>
      <c r="Q169" s="56"/>
      <c r="R169" s="127"/>
      <c r="Y169" s="129"/>
      <c r="AC169" s="129">
        <f>+AC166</f>
        <v>-7082806</v>
      </c>
      <c r="AG169" s="129"/>
      <c r="AK169" s="129"/>
      <c r="AO169" s="129"/>
      <c r="AS169" s="129">
        <f>+AS166</f>
        <v>-6531871</v>
      </c>
    </row>
  </sheetData>
  <mergeCells count="39">
    <mergeCell ref="A5:B5"/>
    <mergeCell ref="C5:D5"/>
    <mergeCell ref="E5:F5"/>
    <mergeCell ref="G5:H5"/>
    <mergeCell ref="J5:K5"/>
    <mergeCell ref="A1:O1"/>
    <mergeCell ref="A2:O2"/>
    <mergeCell ref="C4:F4"/>
    <mergeCell ref="G4:I4"/>
    <mergeCell ref="J4:L4"/>
    <mergeCell ref="M4:O4"/>
    <mergeCell ref="C167:D167"/>
    <mergeCell ref="G167:H167"/>
    <mergeCell ref="J167:K167"/>
    <mergeCell ref="M167:N167"/>
    <mergeCell ref="M5:N5"/>
    <mergeCell ref="P4:R4"/>
    <mergeCell ref="P5:Q5"/>
    <mergeCell ref="S3:V3"/>
    <mergeCell ref="S5:T5"/>
    <mergeCell ref="U5:V5"/>
    <mergeCell ref="W4:Z4"/>
    <mergeCell ref="W5:X5"/>
    <mergeCell ref="Y5:Z5"/>
    <mergeCell ref="AA4:AD4"/>
    <mergeCell ref="AA5:AB5"/>
    <mergeCell ref="AC5:AD5"/>
    <mergeCell ref="AE4:AH4"/>
    <mergeCell ref="AE5:AF5"/>
    <mergeCell ref="AG5:AH5"/>
    <mergeCell ref="AI4:AL4"/>
    <mergeCell ref="AI5:AJ5"/>
    <mergeCell ref="AK5:AL5"/>
    <mergeCell ref="AM4:AP4"/>
    <mergeCell ref="AM5:AN5"/>
    <mergeCell ref="AO5:AP5"/>
    <mergeCell ref="AQ4:AT4"/>
    <mergeCell ref="AQ5:AR5"/>
    <mergeCell ref="AS5:AT5"/>
  </mergeCells>
  <phoneticPr fontId="19" type="noConversion"/>
  <pageMargins left="0.70866141732283472" right="0.70866141732283472" top="0.74803149606299213" bottom="0.74803149606299213" header="0.31496062992125984" footer="0.31496062992125984"/>
  <pageSetup scale="21" orientation="portrait" horizontalDpi="360" verticalDpi="360" r:id="rId1"/>
  <rowBreaks count="1" manualBreakCount="1">
    <brk id="81" max="16383" man="1"/>
  </rowBreaks>
  <colBreaks count="2" manualBreakCount="2">
    <brk id="9" max="1048575" man="1"/>
    <brk id="38" max="16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7288-2F61-49E4-B8DC-8D69158097F3}">
  <dimension ref="A1:AJ129"/>
  <sheetViews>
    <sheetView view="pageBreakPreview" topLeftCell="A111" zoomScaleNormal="100" zoomScaleSheetLayoutView="100" workbookViewId="0">
      <selection activeCell="C129" sqref="C129"/>
    </sheetView>
  </sheetViews>
  <sheetFormatPr baseColWidth="10" defaultColWidth="11.42578125" defaultRowHeight="12.75" x14ac:dyDescent="0.2"/>
  <cols>
    <col min="1" max="1" width="4.140625" style="1" customWidth="1"/>
    <col min="2" max="2" width="12.7109375" style="1" bestFit="1" customWidth="1"/>
    <col min="3" max="3" width="13.28515625" style="1" bestFit="1" customWidth="1"/>
    <col min="4" max="4" width="13.7109375" style="1" bestFit="1" customWidth="1"/>
    <col min="5" max="5" width="16.42578125" style="1" customWidth="1"/>
    <col min="6" max="6" width="14.7109375" style="1" bestFit="1" customWidth="1"/>
    <col min="7" max="7" width="15.28515625" style="1" bestFit="1" customWidth="1"/>
    <col min="8" max="8" width="16.85546875" style="1" customWidth="1"/>
    <col min="9" max="9" width="18.7109375" style="1" customWidth="1"/>
    <col min="10" max="11" width="12.42578125" style="1" bestFit="1" customWidth="1"/>
    <col min="12" max="12" width="12.140625" style="1" bestFit="1" customWidth="1"/>
    <col min="13" max="14" width="12.140625" style="1" customWidth="1"/>
    <col min="15" max="21" width="16.5703125" style="1" customWidth="1"/>
    <col min="22" max="23" width="13.7109375" style="1" customWidth="1"/>
    <col min="24" max="24" width="14.28515625" style="1" bestFit="1" customWidth="1"/>
    <col min="25" max="26" width="13.7109375" style="1" customWidth="1"/>
    <col min="27" max="16384" width="11.42578125" style="1"/>
  </cols>
  <sheetData>
    <row r="1" spans="1:36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</row>
    <row r="2" spans="1:36" x14ac:dyDescent="0.2">
      <c r="A2" s="3"/>
      <c r="AJ2" s="2"/>
    </row>
    <row r="3" spans="1:36" x14ac:dyDescent="0.2">
      <c r="A3" s="3"/>
      <c r="F3" s="29"/>
      <c r="O3" s="29"/>
      <c r="P3" s="29"/>
      <c r="Q3" s="29"/>
      <c r="R3" s="29"/>
      <c r="S3" s="29"/>
      <c r="T3" s="29"/>
      <c r="U3" s="29"/>
      <c r="AJ3" s="2"/>
    </row>
    <row r="4" spans="1:36" ht="13.5" thickBot="1" x14ac:dyDescent="0.25">
      <c r="A4" s="3"/>
      <c r="AJ4" s="2"/>
    </row>
    <row r="5" spans="1:36" ht="38.25" customHeight="1" thickBot="1" x14ac:dyDescent="0.25">
      <c r="A5" s="3"/>
      <c r="B5" s="8" t="s">
        <v>171</v>
      </c>
      <c r="C5" s="84" t="s">
        <v>376</v>
      </c>
      <c r="D5" s="84" t="s">
        <v>369</v>
      </c>
      <c r="E5" s="84" t="s">
        <v>326</v>
      </c>
      <c r="F5" s="84" t="s">
        <v>291</v>
      </c>
      <c r="G5" s="84" t="s">
        <v>282</v>
      </c>
      <c r="H5" s="85" t="s">
        <v>275</v>
      </c>
      <c r="I5" s="86" t="s">
        <v>377</v>
      </c>
      <c r="J5" s="86" t="s">
        <v>370</v>
      </c>
      <c r="K5" s="86" t="s">
        <v>327</v>
      </c>
      <c r="L5" s="86" t="s">
        <v>292</v>
      </c>
      <c r="M5" s="86" t="s">
        <v>283</v>
      </c>
      <c r="N5" s="86" t="s">
        <v>276</v>
      </c>
      <c r="O5" s="87" t="s">
        <v>378</v>
      </c>
      <c r="P5" s="87" t="s">
        <v>371</v>
      </c>
      <c r="Q5" s="87" t="s">
        <v>350</v>
      </c>
      <c r="R5" s="87" t="s">
        <v>293</v>
      </c>
      <c r="S5" s="87" t="s">
        <v>284</v>
      </c>
      <c r="T5" s="87" t="s">
        <v>277</v>
      </c>
      <c r="U5" s="88" t="s">
        <v>379</v>
      </c>
      <c r="V5" s="88" t="s">
        <v>372</v>
      </c>
      <c r="W5" s="88" t="s">
        <v>351</v>
      </c>
      <c r="X5" s="88" t="s">
        <v>294</v>
      </c>
      <c r="Y5" s="88" t="s">
        <v>285</v>
      </c>
      <c r="Z5" s="88" t="s">
        <v>278</v>
      </c>
      <c r="AJ5" s="2"/>
    </row>
    <row r="6" spans="1:36" ht="15.75" x14ac:dyDescent="0.25">
      <c r="A6" s="3"/>
      <c r="B6" s="45" t="s">
        <v>173</v>
      </c>
      <c r="C6" s="132">
        <f>+[1]pyg2025!D9</f>
        <v>496100</v>
      </c>
      <c r="D6" s="46">
        <v>2319055</v>
      </c>
      <c r="E6" s="46">
        <v>0</v>
      </c>
      <c r="F6" s="46">
        <v>6308768</v>
      </c>
      <c r="G6" s="46">
        <v>4088450</v>
      </c>
      <c r="H6" s="46">
        <v>9772741</v>
      </c>
      <c r="I6" s="134">
        <f>+[2]pyg2025!D16</f>
        <v>3154060</v>
      </c>
      <c r="J6" s="46">
        <v>5070435</v>
      </c>
      <c r="K6" s="46">
        <v>4878660</v>
      </c>
      <c r="L6" s="46">
        <v>3100823</v>
      </c>
      <c r="M6" s="46">
        <v>5295548</v>
      </c>
      <c r="N6" s="46">
        <v>4656136</v>
      </c>
      <c r="O6" s="44">
        <f>+'pyg2025'!C166</f>
        <v>10157985</v>
      </c>
      <c r="P6" s="44">
        <v>9947041</v>
      </c>
      <c r="Q6" s="44">
        <v>10152266</v>
      </c>
      <c r="R6" s="35">
        <v>8340075.4400000004</v>
      </c>
      <c r="S6" s="35">
        <v>9031235</v>
      </c>
      <c r="T6" s="35">
        <v>11183760</v>
      </c>
      <c r="U6" s="45">
        <f t="shared" ref="U6:V17" si="0">+C6+I6-O6</f>
        <v>-6507825</v>
      </c>
      <c r="V6" s="45">
        <f t="shared" si="0"/>
        <v>-2557551</v>
      </c>
      <c r="W6" s="45">
        <v>-5273606</v>
      </c>
      <c r="X6" s="45">
        <v>-1150802.4400000004</v>
      </c>
      <c r="Y6" s="45">
        <v>352800</v>
      </c>
      <c r="Z6" s="162">
        <v>3245117</v>
      </c>
      <c r="AJ6" s="2"/>
    </row>
    <row r="7" spans="1:36" ht="15.75" x14ac:dyDescent="0.25">
      <c r="A7" s="3"/>
      <c r="B7" s="45" t="s">
        <v>174</v>
      </c>
      <c r="C7" s="45">
        <f>+[1]pyg2025!H9</f>
        <v>24370</v>
      </c>
      <c r="D7" s="46">
        <v>2198885</v>
      </c>
      <c r="E7" s="46">
        <v>4332104</v>
      </c>
      <c r="F7" s="46">
        <v>3904163</v>
      </c>
      <c r="G7" s="46">
        <v>3444630</v>
      </c>
      <c r="H7" s="46">
        <v>8662267</v>
      </c>
      <c r="I7" s="134">
        <f>+[2]pyg2025!H16</f>
        <v>8170074</v>
      </c>
      <c r="J7" s="46">
        <v>6521782</v>
      </c>
      <c r="K7" s="46">
        <v>4693673</v>
      </c>
      <c r="L7" s="46">
        <v>7094524</v>
      </c>
      <c r="M7" s="46">
        <v>6881543</v>
      </c>
      <c r="N7" s="46">
        <v>7804429</v>
      </c>
      <c r="O7" s="44">
        <f>+'pyg2025'!G166</f>
        <v>12636419</v>
      </c>
      <c r="P7" s="44">
        <v>13136716</v>
      </c>
      <c r="Q7" s="44">
        <v>13410419</v>
      </c>
      <c r="R7" s="35">
        <v>9969598</v>
      </c>
      <c r="S7" s="35">
        <v>12420337</v>
      </c>
      <c r="T7" s="35">
        <v>13337610</v>
      </c>
      <c r="U7" s="45">
        <f t="shared" si="0"/>
        <v>-4441975</v>
      </c>
      <c r="V7" s="45">
        <f t="shared" si="0"/>
        <v>-4416049</v>
      </c>
      <c r="W7" s="45">
        <v>-4384642</v>
      </c>
      <c r="X7" s="45">
        <v>569556</v>
      </c>
      <c r="Y7" s="45">
        <v>-2094164</v>
      </c>
      <c r="Z7" s="162">
        <v>3129086</v>
      </c>
      <c r="AJ7" s="2"/>
    </row>
    <row r="8" spans="1:36" ht="15.75" x14ac:dyDescent="0.25">
      <c r="A8" s="3"/>
      <c r="B8" s="45" t="s">
        <v>175</v>
      </c>
      <c r="C8" s="45">
        <f>+[1]pyg2025!K9</f>
        <v>100949</v>
      </c>
      <c r="D8" s="46">
        <v>5345924</v>
      </c>
      <c r="E8" s="46">
        <v>11179580</v>
      </c>
      <c r="F8" s="46">
        <v>6104727</v>
      </c>
      <c r="G8" s="46">
        <v>4294490</v>
      </c>
      <c r="H8" s="46">
        <v>11213082</v>
      </c>
      <c r="I8" s="134">
        <v>15848964</v>
      </c>
      <c r="J8" s="46">
        <v>6934538</v>
      </c>
      <c r="K8" s="46">
        <v>12062967</v>
      </c>
      <c r="L8" s="46">
        <v>11156171</v>
      </c>
      <c r="M8" s="46">
        <v>7901560</v>
      </c>
      <c r="N8" s="46">
        <v>5900305</v>
      </c>
      <c r="O8" s="44">
        <f>+'pyg2025'!J166</f>
        <v>15699505</v>
      </c>
      <c r="P8" s="44">
        <v>11222287.82</v>
      </c>
      <c r="Q8" s="44">
        <v>16907266</v>
      </c>
      <c r="R8" s="35">
        <v>11403558</v>
      </c>
      <c r="S8" s="35">
        <v>13591375</v>
      </c>
      <c r="T8" s="35">
        <v>10865138</v>
      </c>
      <c r="U8" s="45">
        <f t="shared" si="0"/>
        <v>250408</v>
      </c>
      <c r="V8" s="45">
        <f t="shared" si="0"/>
        <v>1058174.1799999997</v>
      </c>
      <c r="W8" s="45">
        <v>6335281</v>
      </c>
      <c r="X8" s="45">
        <v>4047103</v>
      </c>
      <c r="Y8" s="45">
        <v>-1395325</v>
      </c>
      <c r="Z8" s="162">
        <v>6248249</v>
      </c>
      <c r="AJ8" s="2"/>
    </row>
    <row r="9" spans="1:36" ht="15.75" x14ac:dyDescent="0.25">
      <c r="A9" s="3"/>
      <c r="B9" s="45" t="s">
        <v>176</v>
      </c>
      <c r="C9" s="45">
        <f>+[1]pyg2025!N9</f>
        <v>55000</v>
      </c>
      <c r="D9" s="46">
        <v>5705085</v>
      </c>
      <c r="E9" s="46">
        <v>6476561</v>
      </c>
      <c r="F9" s="46">
        <v>4771392</v>
      </c>
      <c r="G9" s="46">
        <v>3094715</v>
      </c>
      <c r="H9" s="46">
        <v>109000</v>
      </c>
      <c r="I9" s="134">
        <v>8045964</v>
      </c>
      <c r="J9" s="46">
        <v>11902051</v>
      </c>
      <c r="K9" s="46">
        <v>13101458</v>
      </c>
      <c r="L9" s="46">
        <v>11179990</v>
      </c>
      <c r="M9" s="46">
        <v>10475785</v>
      </c>
      <c r="N9" s="46">
        <v>121014</v>
      </c>
      <c r="O9" s="44">
        <f>+'pyg2025'!M166</f>
        <v>13845188</v>
      </c>
      <c r="P9" s="44">
        <v>13880419</v>
      </c>
      <c r="Q9" s="44">
        <v>12557124</v>
      </c>
      <c r="R9" s="35">
        <v>11689725</v>
      </c>
      <c r="S9" s="35">
        <v>17060981</v>
      </c>
      <c r="T9" s="35">
        <v>8424882</v>
      </c>
      <c r="U9" s="45">
        <f t="shared" si="0"/>
        <v>-5744224</v>
      </c>
      <c r="V9" s="45">
        <f t="shared" si="0"/>
        <v>3726717</v>
      </c>
      <c r="W9" s="45">
        <v>7020895</v>
      </c>
      <c r="X9" s="45">
        <v>2584980</v>
      </c>
      <c r="Y9" s="45">
        <v>-3490481</v>
      </c>
      <c r="Z9" s="162">
        <v>-8194868</v>
      </c>
      <c r="AJ9" s="2"/>
    </row>
    <row r="10" spans="1:36" ht="15.75" x14ac:dyDescent="0.25">
      <c r="A10" s="3"/>
      <c r="B10" s="91" t="s">
        <v>366</v>
      </c>
      <c r="C10" s="91">
        <v>4552322</v>
      </c>
      <c r="D10" s="46">
        <v>6312190</v>
      </c>
      <c r="E10" s="46">
        <v>2948466</v>
      </c>
      <c r="F10" s="46">
        <v>3195437</v>
      </c>
      <c r="G10" s="46">
        <v>3036250</v>
      </c>
      <c r="H10" s="46">
        <v>0</v>
      </c>
      <c r="I10" s="76">
        <v>13860164</v>
      </c>
      <c r="J10" s="46">
        <v>5781805</v>
      </c>
      <c r="K10" s="46">
        <v>11011958</v>
      </c>
      <c r="L10" s="46">
        <v>9141636</v>
      </c>
      <c r="M10" s="46">
        <v>9475619</v>
      </c>
      <c r="N10" s="46">
        <v>1804105</v>
      </c>
      <c r="O10" s="44">
        <f>+'pyg2025'!P165</f>
        <v>16159541</v>
      </c>
      <c r="P10" s="44">
        <v>12971414</v>
      </c>
      <c r="Q10" s="92">
        <v>15171959</v>
      </c>
      <c r="R10" s="95">
        <v>11286631</v>
      </c>
      <c r="S10" s="95">
        <v>11744516.633333333</v>
      </c>
      <c r="T10" s="35">
        <v>10909925</v>
      </c>
      <c r="U10" s="45">
        <f t="shared" si="0"/>
        <v>2252945</v>
      </c>
      <c r="V10" s="45">
        <f t="shared" si="0"/>
        <v>-877419</v>
      </c>
      <c r="W10" s="45">
        <v>-1211535</v>
      </c>
      <c r="X10" s="45">
        <v>891255</v>
      </c>
      <c r="Y10" s="45">
        <v>767352.36666666716</v>
      </c>
      <c r="Z10" s="162">
        <v>-9105820</v>
      </c>
      <c r="AJ10" s="2"/>
    </row>
    <row r="11" spans="1:36" ht="15.75" x14ac:dyDescent="0.25">
      <c r="A11" s="3"/>
      <c r="B11" s="91" t="s">
        <v>332</v>
      </c>
      <c r="C11" s="91">
        <v>4248410</v>
      </c>
      <c r="D11" s="46">
        <v>5308821</v>
      </c>
      <c r="E11" s="46">
        <v>5460313</v>
      </c>
      <c r="F11" s="46">
        <v>3587643</v>
      </c>
      <c r="G11" s="46">
        <v>3220640</v>
      </c>
      <c r="H11" s="46">
        <v>15088775</v>
      </c>
      <c r="I11" s="76">
        <v>7977361</v>
      </c>
      <c r="J11" s="46">
        <v>3102603</v>
      </c>
      <c r="K11" s="46">
        <v>9771991</v>
      </c>
      <c r="L11" s="46">
        <v>6890613</v>
      </c>
      <c r="M11" s="46">
        <v>14072478</v>
      </c>
      <c r="N11" s="46">
        <v>5883300</v>
      </c>
      <c r="O11" s="44">
        <f>+'pyg2025'!S165</f>
        <v>13183791</v>
      </c>
      <c r="P11" s="44">
        <v>10918657</v>
      </c>
      <c r="Q11" s="92">
        <v>10729339</v>
      </c>
      <c r="R11" s="95">
        <v>12304971</v>
      </c>
      <c r="S11" s="95">
        <v>12797380</v>
      </c>
      <c r="T11" s="35">
        <v>12990071</v>
      </c>
      <c r="U11" s="45">
        <f t="shared" si="0"/>
        <v>-958020</v>
      </c>
      <c r="V11" s="45">
        <f t="shared" si="0"/>
        <v>-2507233</v>
      </c>
      <c r="W11" s="45">
        <v>4502965</v>
      </c>
      <c r="X11" s="45">
        <v>-2193718</v>
      </c>
      <c r="Y11" s="45">
        <v>4495738</v>
      </c>
      <c r="Z11" s="162">
        <v>7982004</v>
      </c>
      <c r="AJ11" s="2"/>
    </row>
    <row r="12" spans="1:36" ht="15.75" x14ac:dyDescent="0.25">
      <c r="A12" s="3"/>
      <c r="B12" s="91" t="s">
        <v>362</v>
      </c>
      <c r="C12" s="91">
        <v>5508975</v>
      </c>
      <c r="D12" s="46">
        <v>1368000</v>
      </c>
      <c r="E12" s="46">
        <v>5032261</v>
      </c>
      <c r="F12" s="46">
        <v>5002298</v>
      </c>
      <c r="G12" s="46">
        <v>2982171</v>
      </c>
      <c r="H12" s="46">
        <v>5107405</v>
      </c>
      <c r="I12" s="76">
        <v>9013371</v>
      </c>
      <c r="J12" s="46">
        <v>4934884</v>
      </c>
      <c r="K12" s="46">
        <v>5870486</v>
      </c>
      <c r="L12" s="46">
        <v>8564817</v>
      </c>
      <c r="M12" s="46">
        <v>7847354</v>
      </c>
      <c r="N12" s="46">
        <v>9069381</v>
      </c>
      <c r="O12" s="44">
        <f>+'pyg2025'!W166</f>
        <v>13164418</v>
      </c>
      <c r="P12" s="44">
        <v>11152404</v>
      </c>
      <c r="Q12" s="92">
        <v>10792468</v>
      </c>
      <c r="R12" s="95">
        <v>12624706</v>
      </c>
      <c r="S12" s="95">
        <v>13357892</v>
      </c>
      <c r="T12" s="35">
        <v>11530572</v>
      </c>
      <c r="U12" s="45">
        <f t="shared" si="0"/>
        <v>1357928</v>
      </c>
      <c r="V12" s="45">
        <f t="shared" si="0"/>
        <v>-4849520</v>
      </c>
      <c r="W12" s="45">
        <v>110279</v>
      </c>
      <c r="X12" s="45">
        <v>-1077718</v>
      </c>
      <c r="Y12" s="45">
        <v>-2527014</v>
      </c>
      <c r="Z12" s="162">
        <v>2646214</v>
      </c>
      <c r="AJ12" s="2"/>
    </row>
    <row r="13" spans="1:36" ht="15.75" x14ac:dyDescent="0.25">
      <c r="A13" s="3"/>
      <c r="B13" s="91" t="s">
        <v>363</v>
      </c>
      <c r="C13" s="91">
        <v>1143000</v>
      </c>
      <c r="D13" s="46">
        <v>1818800</v>
      </c>
      <c r="E13" s="46">
        <v>7904377</v>
      </c>
      <c r="F13" s="46">
        <v>6292782</v>
      </c>
      <c r="G13" s="46">
        <v>2259634</v>
      </c>
      <c r="H13" s="46">
        <v>4348355</v>
      </c>
      <c r="I13" s="76">
        <v>18563466</v>
      </c>
      <c r="J13" s="46">
        <v>13355048</v>
      </c>
      <c r="K13" s="46">
        <v>7730780</v>
      </c>
      <c r="L13" s="46">
        <v>12002561</v>
      </c>
      <c r="M13" s="46">
        <v>10482068</v>
      </c>
      <c r="N13" s="46">
        <v>6862717</v>
      </c>
      <c r="O13" s="44">
        <f>+'pyg2025'!AA166</f>
        <v>12998509</v>
      </c>
      <c r="P13" s="44">
        <v>11530628</v>
      </c>
      <c r="Q13" s="92">
        <v>10381456</v>
      </c>
      <c r="R13" s="95">
        <v>0</v>
      </c>
      <c r="S13" s="95">
        <v>12441445</v>
      </c>
      <c r="T13" s="35">
        <v>11013798</v>
      </c>
      <c r="U13" s="45">
        <f t="shared" si="0"/>
        <v>6707957</v>
      </c>
      <c r="V13" s="45">
        <f t="shared" si="0"/>
        <v>3643220</v>
      </c>
      <c r="W13" s="45">
        <v>5253701</v>
      </c>
      <c r="X13" s="45">
        <v>14262195</v>
      </c>
      <c r="Y13" s="45">
        <v>299710</v>
      </c>
      <c r="Z13" s="162">
        <v>197274</v>
      </c>
      <c r="AJ13" s="2"/>
    </row>
    <row r="14" spans="1:36" ht="15.75" x14ac:dyDescent="0.25">
      <c r="A14" s="3"/>
      <c r="B14" s="91" t="s">
        <v>407</v>
      </c>
      <c r="C14" s="91">
        <f>+'pyg2025'!AF8</f>
        <v>1275896</v>
      </c>
      <c r="D14" s="161">
        <v>2263580</v>
      </c>
      <c r="E14" s="161">
        <v>11362855</v>
      </c>
      <c r="F14" s="161">
        <v>9534674</v>
      </c>
      <c r="G14" s="161">
        <v>4199993</v>
      </c>
      <c r="H14" s="161">
        <v>5343486</v>
      </c>
      <c r="I14" s="76">
        <f>+'pyg2025'!AF16</f>
        <v>11325371</v>
      </c>
      <c r="J14" s="91">
        <v>12223256</v>
      </c>
      <c r="K14" s="161">
        <v>12500720</v>
      </c>
      <c r="L14" s="161">
        <v>8694467</v>
      </c>
      <c r="M14" s="161">
        <v>12769758</v>
      </c>
      <c r="N14" s="161">
        <v>9114471</v>
      </c>
      <c r="O14" s="44">
        <f>+'pyg2025'!AE29</f>
        <v>15385036</v>
      </c>
      <c r="P14" s="92">
        <v>14014468</v>
      </c>
      <c r="Q14" s="92">
        <v>14685440</v>
      </c>
      <c r="R14" s="95">
        <v>10423141</v>
      </c>
      <c r="S14" s="95">
        <v>14262071</v>
      </c>
      <c r="T14" s="95">
        <v>11098718</v>
      </c>
      <c r="U14" s="45">
        <f t="shared" si="0"/>
        <v>-2783769</v>
      </c>
      <c r="V14" s="45">
        <f t="shared" si="0"/>
        <v>472368</v>
      </c>
      <c r="W14" s="160">
        <v>9178135</v>
      </c>
      <c r="X14" s="160">
        <v>2471319</v>
      </c>
      <c r="Y14" s="160">
        <v>2707680</v>
      </c>
      <c r="Z14" s="163">
        <v>3359239</v>
      </c>
      <c r="AJ14" s="2"/>
    </row>
    <row r="15" spans="1:36" ht="15.75" x14ac:dyDescent="0.25">
      <c r="A15" s="3"/>
      <c r="B15" s="91" t="s">
        <v>334</v>
      </c>
      <c r="C15" s="91">
        <f>+'pyg2025'!AJ8</f>
        <v>914530</v>
      </c>
      <c r="D15" s="161">
        <v>3401625</v>
      </c>
      <c r="E15" s="161">
        <v>9491748</v>
      </c>
      <c r="F15" s="161">
        <v>8627180</v>
      </c>
      <c r="G15" s="161">
        <v>5953903</v>
      </c>
      <c r="H15" s="161">
        <v>5206920</v>
      </c>
      <c r="I15" s="76">
        <f>+'pyg2025'!AJ16</f>
        <v>12517646</v>
      </c>
      <c r="J15" s="91">
        <v>12732697</v>
      </c>
      <c r="K15" s="161">
        <v>7560400</v>
      </c>
      <c r="L15" s="161">
        <v>6596990</v>
      </c>
      <c r="M15" s="161">
        <v>11490263</v>
      </c>
      <c r="N15" s="161">
        <v>11912109.83</v>
      </c>
      <c r="O15" s="44">
        <f>+'pyg2025'!AI29</f>
        <v>15449005</v>
      </c>
      <c r="P15" s="92">
        <v>14110605</v>
      </c>
      <c r="Q15" s="92">
        <v>22974686</v>
      </c>
      <c r="R15" s="95">
        <v>10630364</v>
      </c>
      <c r="S15" s="95">
        <v>11384483</v>
      </c>
      <c r="T15" s="95">
        <v>14559398</v>
      </c>
      <c r="U15" s="45">
        <f t="shared" si="0"/>
        <v>-2016829</v>
      </c>
      <c r="V15" s="45">
        <f t="shared" si="0"/>
        <v>2023717</v>
      </c>
      <c r="W15" s="160">
        <v>-5922538</v>
      </c>
      <c r="X15" s="160">
        <v>1920529</v>
      </c>
      <c r="Y15" s="160">
        <v>6059683</v>
      </c>
      <c r="Z15" s="163">
        <v>2559631.8299999982</v>
      </c>
      <c r="AJ15" s="2"/>
    </row>
    <row r="16" spans="1:36" ht="15.75" x14ac:dyDescent="0.25">
      <c r="A16" s="3"/>
      <c r="B16" s="91" t="s">
        <v>335</v>
      </c>
      <c r="C16" s="91">
        <f>+'pyg2025'!AN8</f>
        <v>1555310</v>
      </c>
      <c r="D16" s="161">
        <v>2974890</v>
      </c>
      <c r="E16" s="161">
        <v>6387715</v>
      </c>
      <c r="F16" s="161">
        <v>9834611</v>
      </c>
      <c r="G16" s="161">
        <v>3450527</v>
      </c>
      <c r="H16" s="161">
        <v>4539945</v>
      </c>
      <c r="I16" s="76">
        <f>+'pyg2025'!AN16</f>
        <v>9654899</v>
      </c>
      <c r="J16" s="91">
        <v>10221753</v>
      </c>
      <c r="K16" s="161">
        <v>7355430</v>
      </c>
      <c r="L16" s="161">
        <v>10351450</v>
      </c>
      <c r="M16" s="161">
        <v>13482352</v>
      </c>
      <c r="N16" s="161">
        <v>9403633</v>
      </c>
      <c r="O16" s="44">
        <f>+'pyg2025'!AM29</f>
        <v>16781585</v>
      </c>
      <c r="P16" s="92">
        <v>12084858.1</v>
      </c>
      <c r="Q16" s="92">
        <v>13205069</v>
      </c>
      <c r="R16" s="95">
        <v>13793441</v>
      </c>
      <c r="S16" s="95">
        <v>9460840</v>
      </c>
      <c r="T16" s="95">
        <v>15548745</v>
      </c>
      <c r="U16" s="165">
        <f t="shared" si="0"/>
        <v>-5571376</v>
      </c>
      <c r="V16" s="45">
        <f t="shared" si="0"/>
        <v>1111784.9000000004</v>
      </c>
      <c r="W16" s="160">
        <v>538076</v>
      </c>
      <c r="X16" s="160">
        <v>8536</v>
      </c>
      <c r="Y16" s="160">
        <v>7472128</v>
      </c>
      <c r="Z16" s="163">
        <v>-1605167</v>
      </c>
      <c r="AJ16" s="2"/>
    </row>
    <row r="17" spans="1:36" ht="15.75" x14ac:dyDescent="0.25">
      <c r="A17" s="3"/>
      <c r="B17" s="91" t="s">
        <v>336</v>
      </c>
      <c r="C17" s="91">
        <f>+'pyg2025'!AR8-'pyg2025'!AQ7</f>
        <v>14214215</v>
      </c>
      <c r="D17" s="161">
        <v>3456110</v>
      </c>
      <c r="E17" s="161">
        <v>8960923</v>
      </c>
      <c r="F17" s="161">
        <v>6687564</v>
      </c>
      <c r="G17" s="161">
        <v>3437926</v>
      </c>
      <c r="H17" s="161">
        <v>5671900</v>
      </c>
      <c r="I17" s="76">
        <f>+'pyg2025'!AR16</f>
        <v>9782680</v>
      </c>
      <c r="J17" s="91">
        <v>10979454</v>
      </c>
      <c r="K17" s="161">
        <v>8377765</v>
      </c>
      <c r="L17" s="161">
        <v>10009636</v>
      </c>
      <c r="M17" s="161">
        <v>8072834</v>
      </c>
      <c r="N17" s="161">
        <v>11129725</v>
      </c>
      <c r="O17" s="44">
        <f>+'pyg2025'!AQ29</f>
        <v>13073986</v>
      </c>
      <c r="P17" s="92">
        <v>14343828</v>
      </c>
      <c r="Q17" s="92">
        <v>19716602</v>
      </c>
      <c r="R17" s="92">
        <v>14685347</v>
      </c>
      <c r="S17" s="92">
        <v>10271878</v>
      </c>
      <c r="T17" s="92">
        <v>12796951</v>
      </c>
      <c r="U17" s="45">
        <f t="shared" si="0"/>
        <v>10922909</v>
      </c>
      <c r="V17" s="45">
        <f t="shared" si="0"/>
        <v>91736</v>
      </c>
      <c r="W17" s="37">
        <v>-2377914</v>
      </c>
      <c r="X17" s="37">
        <v>-1237785</v>
      </c>
      <c r="Y17" s="37">
        <v>1238971</v>
      </c>
      <c r="Z17" s="164">
        <v>4004674</v>
      </c>
      <c r="AJ17" s="2"/>
    </row>
    <row r="18" spans="1:36" ht="15.75" x14ac:dyDescent="0.25">
      <c r="A18" s="3"/>
      <c r="B18" s="11"/>
      <c r="C18" s="47"/>
      <c r="D18" s="47"/>
      <c r="E18" s="47"/>
      <c r="F18" s="25"/>
      <c r="G18" s="38"/>
      <c r="H18" s="38"/>
      <c r="I18" s="9"/>
      <c r="J18" s="9"/>
      <c r="K18" s="9"/>
      <c r="L18" s="9"/>
      <c r="M18" s="9"/>
      <c r="N18" s="9"/>
      <c r="O18" s="9"/>
      <c r="P18" s="92"/>
      <c r="Q18" s="92"/>
      <c r="R18" s="92"/>
      <c r="S18" s="92"/>
      <c r="T18" s="92"/>
      <c r="U18" s="37"/>
      <c r="V18" s="37"/>
      <c r="W18" s="37"/>
      <c r="X18" s="37"/>
      <c r="Y18" s="37"/>
      <c r="Z18" s="34"/>
      <c r="AJ18" s="2"/>
    </row>
    <row r="19" spans="1:36" ht="16.5" thickBot="1" x14ac:dyDescent="0.3">
      <c r="A19" s="3"/>
      <c r="B19" s="12" t="s">
        <v>172</v>
      </c>
      <c r="C19" s="91">
        <f>SUM(C6:C18)</f>
        <v>34089077</v>
      </c>
      <c r="D19" s="91">
        <f t="shared" ref="D19:Z19" si="1">SUM(D6:D18)</f>
        <v>42472965</v>
      </c>
      <c r="E19" s="91">
        <f t="shared" si="1"/>
        <v>79536903</v>
      </c>
      <c r="F19" s="91">
        <f t="shared" si="1"/>
        <v>73851239</v>
      </c>
      <c r="G19" s="91">
        <f t="shared" si="1"/>
        <v>43463329</v>
      </c>
      <c r="H19" s="91">
        <f t="shared" si="1"/>
        <v>75063876</v>
      </c>
      <c r="I19" s="91">
        <f t="shared" si="1"/>
        <v>127914020</v>
      </c>
      <c r="J19" s="91">
        <f t="shared" si="1"/>
        <v>103760306</v>
      </c>
      <c r="K19" s="91">
        <f t="shared" si="1"/>
        <v>104916288</v>
      </c>
      <c r="L19" s="91">
        <f t="shared" si="1"/>
        <v>104783678</v>
      </c>
      <c r="M19" s="91">
        <f t="shared" si="1"/>
        <v>118247162</v>
      </c>
      <c r="N19" s="91">
        <f t="shared" si="1"/>
        <v>83661325.829999998</v>
      </c>
      <c r="O19" s="91">
        <f t="shared" si="1"/>
        <v>168534968</v>
      </c>
      <c r="P19" s="91">
        <f t="shared" si="1"/>
        <v>149313325.91999999</v>
      </c>
      <c r="Q19" s="91">
        <f t="shared" si="1"/>
        <v>170684094</v>
      </c>
      <c r="R19" s="91">
        <f t="shared" si="1"/>
        <v>127151557.44</v>
      </c>
      <c r="S19" s="91">
        <f t="shared" si="1"/>
        <v>147824433.63333333</v>
      </c>
      <c r="T19" s="91">
        <f t="shared" si="1"/>
        <v>144259568</v>
      </c>
      <c r="U19" s="91">
        <f t="shared" si="1"/>
        <v>-6531871</v>
      </c>
      <c r="V19" s="91">
        <f t="shared" si="1"/>
        <v>-3080054.92</v>
      </c>
      <c r="W19" s="91">
        <f t="shared" si="1"/>
        <v>13769097</v>
      </c>
      <c r="X19" s="91">
        <f t="shared" si="1"/>
        <v>21095449.559999999</v>
      </c>
      <c r="Y19" s="91">
        <f t="shared" si="1"/>
        <v>13887078.366666667</v>
      </c>
      <c r="Z19" s="91">
        <f t="shared" si="1"/>
        <v>14465633.829999998</v>
      </c>
      <c r="AJ19" s="2"/>
    </row>
    <row r="20" spans="1:36" x14ac:dyDescent="0.2">
      <c r="A20" s="3"/>
      <c r="D20" s="29"/>
      <c r="I20" s="29"/>
      <c r="X20" s="27"/>
      <c r="AJ20" s="2"/>
    </row>
    <row r="21" spans="1:36" x14ac:dyDescent="0.2">
      <c r="A21" s="3"/>
      <c r="H21" s="29"/>
      <c r="I21" s="29"/>
      <c r="J21" s="29"/>
      <c r="K21" s="29"/>
      <c r="L21" s="29"/>
      <c r="M21" s="29"/>
      <c r="N21" s="29"/>
      <c r="X21" s="29"/>
      <c r="AJ21" s="2"/>
    </row>
    <row r="22" spans="1:36" ht="15" x14ac:dyDescent="0.25">
      <c r="A22" s="3"/>
      <c r="G22" s="29"/>
      <c r="I22" s="13"/>
      <c r="J22" s="13"/>
      <c r="K22" s="13"/>
      <c r="L22" s="13"/>
      <c r="M22" s="13"/>
      <c r="N22" s="13"/>
      <c r="S22" s="29"/>
      <c r="T22" s="29"/>
      <c r="U22" s="29"/>
      <c r="Y22" s="29"/>
      <c r="AJ22" s="2"/>
    </row>
    <row r="23" spans="1:36" ht="15" x14ac:dyDescent="0.25">
      <c r="A23" s="3"/>
      <c r="G23" s="29"/>
      <c r="H23" s="29"/>
      <c r="I23" s="13"/>
      <c r="J23" s="13"/>
      <c r="K23" s="13"/>
      <c r="L23" s="13"/>
      <c r="M23" s="13"/>
      <c r="N23" s="13"/>
      <c r="AJ23" s="2"/>
    </row>
    <row r="24" spans="1:36" ht="15" x14ac:dyDescent="0.25">
      <c r="A24" s="3"/>
      <c r="G24" s="29"/>
      <c r="I24" s="13"/>
      <c r="J24" s="13"/>
      <c r="K24" s="13"/>
      <c r="L24" s="13"/>
      <c r="M24" s="13"/>
      <c r="N24" s="13"/>
      <c r="AJ24" s="2"/>
    </row>
    <row r="25" spans="1:36" ht="15" x14ac:dyDescent="0.25">
      <c r="A25" s="3"/>
      <c r="G25" s="29"/>
      <c r="I25" s="13"/>
      <c r="J25" s="13"/>
      <c r="K25" s="13"/>
      <c r="L25" s="13"/>
      <c r="M25" s="13"/>
      <c r="N25" s="13"/>
      <c r="AJ25" s="2"/>
    </row>
    <row r="26" spans="1:36" x14ac:dyDescent="0.2">
      <c r="A26" s="3"/>
      <c r="G26" s="29"/>
      <c r="AJ26" s="2"/>
    </row>
    <row r="27" spans="1:36" x14ac:dyDescent="0.2">
      <c r="A27" s="3"/>
      <c r="G27" s="29"/>
      <c r="AJ27" s="2"/>
    </row>
    <row r="28" spans="1:36" x14ac:dyDescent="0.2">
      <c r="A28" s="3"/>
      <c r="G28" s="29"/>
      <c r="AJ28" s="2"/>
    </row>
    <row r="29" spans="1:36" x14ac:dyDescent="0.2">
      <c r="A29" s="3"/>
      <c r="G29" s="29"/>
      <c r="AJ29" s="2"/>
    </row>
    <row r="30" spans="1:36" x14ac:dyDescent="0.2">
      <c r="A30" s="3"/>
      <c r="G30" s="29"/>
      <c r="AJ30" s="2"/>
    </row>
    <row r="31" spans="1:36" x14ac:dyDescent="0.2">
      <c r="A31" s="3"/>
      <c r="AJ31" s="2"/>
    </row>
    <row r="32" spans="1:36" x14ac:dyDescent="0.2">
      <c r="A32" s="3"/>
      <c r="AJ32" s="2"/>
    </row>
    <row r="33" spans="1:36" ht="12.75" customHeight="1" x14ac:dyDescent="0.2">
      <c r="A33" s="3"/>
      <c r="AJ33" s="2"/>
    </row>
    <row r="34" spans="1:36" x14ac:dyDescent="0.2">
      <c r="A34" s="3"/>
      <c r="AJ34" s="2"/>
    </row>
    <row r="35" spans="1:36" x14ac:dyDescent="0.2">
      <c r="A35" s="3"/>
      <c r="AJ35" s="2"/>
    </row>
    <row r="36" spans="1:36" ht="13.5" customHeight="1" x14ac:dyDescent="0.2">
      <c r="A36" s="3"/>
      <c r="AJ36" s="2"/>
    </row>
    <row r="37" spans="1:36" ht="12.75" customHeight="1" x14ac:dyDescent="0.2">
      <c r="A37" s="3"/>
      <c r="AJ37" s="2"/>
    </row>
    <row r="38" spans="1:36" x14ac:dyDescent="0.2">
      <c r="A38" s="3"/>
      <c r="AJ38" s="2"/>
    </row>
    <row r="39" spans="1:36" ht="13.5" customHeight="1" x14ac:dyDescent="0.2">
      <c r="A39" s="3"/>
      <c r="AJ39" s="2"/>
    </row>
    <row r="40" spans="1:36" ht="13.5" customHeight="1" thickBot="1" x14ac:dyDescent="0.25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6"/>
    </row>
    <row r="43" spans="1:36" ht="13.5" customHeight="1" thickBot="1" x14ac:dyDescent="0.25"/>
    <row r="44" spans="1:36" ht="31.5" x14ac:dyDescent="0.2">
      <c r="B44" s="17" t="s">
        <v>171</v>
      </c>
      <c r="C44" s="142" t="s">
        <v>376</v>
      </c>
      <c r="D44" s="142" t="s">
        <v>369</v>
      </c>
      <c r="E44" s="142" t="s">
        <v>326</v>
      </c>
      <c r="F44" s="141" t="s">
        <v>291</v>
      </c>
      <c r="G44" s="141" t="s">
        <v>282</v>
      </c>
      <c r="H44" s="141" t="s">
        <v>275</v>
      </c>
      <c r="I44" s="19"/>
      <c r="J44" s="19"/>
      <c r="K44" s="19"/>
      <c r="L44" s="19"/>
      <c r="M44" s="19"/>
      <c r="N44" s="19"/>
    </row>
    <row r="45" spans="1:36" ht="15.75" x14ac:dyDescent="0.25">
      <c r="B45" s="10" t="s">
        <v>173</v>
      </c>
      <c r="C45" s="45">
        <v>496100</v>
      </c>
      <c r="D45" s="45">
        <v>2319055</v>
      </c>
      <c r="E45" s="45">
        <v>0</v>
      </c>
      <c r="F45" s="45">
        <v>6308768</v>
      </c>
      <c r="G45" s="45">
        <v>4088450</v>
      </c>
      <c r="H45" s="45">
        <v>9772741</v>
      </c>
      <c r="I45" s="133"/>
      <c r="J45" s="48"/>
      <c r="K45" s="48"/>
      <c r="L45" s="33"/>
      <c r="M45" s="33"/>
      <c r="N45" s="33"/>
    </row>
    <row r="46" spans="1:36" ht="15.75" x14ac:dyDescent="0.25">
      <c r="B46" s="10" t="s">
        <v>174</v>
      </c>
      <c r="C46" s="45">
        <v>24370</v>
      </c>
      <c r="D46" s="45">
        <v>2198885</v>
      </c>
      <c r="E46" s="45">
        <v>4332104</v>
      </c>
      <c r="F46" s="45">
        <v>3904163</v>
      </c>
      <c r="G46" s="45">
        <v>3444630</v>
      </c>
      <c r="H46" s="45">
        <v>8662267</v>
      </c>
      <c r="I46" s="133"/>
      <c r="J46" s="48"/>
      <c r="K46" s="48"/>
      <c r="L46" s="33"/>
      <c r="M46" s="33"/>
      <c r="N46" s="33"/>
    </row>
    <row r="47" spans="1:36" ht="15.75" x14ac:dyDescent="0.25">
      <c r="B47" s="10" t="s">
        <v>175</v>
      </c>
      <c r="C47" s="45">
        <v>100949</v>
      </c>
      <c r="D47" s="45">
        <v>5345924</v>
      </c>
      <c r="E47" s="45">
        <v>11179580</v>
      </c>
      <c r="F47" s="45">
        <v>6104727</v>
      </c>
      <c r="G47" s="45">
        <v>4294490</v>
      </c>
      <c r="H47" s="45">
        <v>11213082</v>
      </c>
      <c r="I47" s="133"/>
      <c r="J47" s="48"/>
      <c r="K47" s="48"/>
      <c r="L47" s="33"/>
      <c r="M47" s="33"/>
      <c r="N47" s="33"/>
    </row>
    <row r="48" spans="1:36" ht="15.75" x14ac:dyDescent="0.25">
      <c r="B48" s="10" t="s">
        <v>176</v>
      </c>
      <c r="C48" s="45">
        <v>55000</v>
      </c>
      <c r="D48" s="45">
        <v>5705085</v>
      </c>
      <c r="E48" s="45">
        <v>6476561</v>
      </c>
      <c r="F48" s="45">
        <v>4771392</v>
      </c>
      <c r="G48" s="45">
        <v>3094715</v>
      </c>
      <c r="H48" s="45">
        <v>109000</v>
      </c>
      <c r="I48" s="133"/>
      <c r="J48" s="48"/>
      <c r="K48" s="48"/>
      <c r="L48" s="33"/>
      <c r="M48" s="33"/>
      <c r="N48" s="33"/>
    </row>
    <row r="49" spans="2:21" ht="15.75" x14ac:dyDescent="0.25">
      <c r="B49" s="10" t="s">
        <v>366</v>
      </c>
      <c r="C49" s="45">
        <v>4552322</v>
      </c>
      <c r="D49" s="45">
        <v>6312190</v>
      </c>
      <c r="E49" s="45">
        <v>2948466</v>
      </c>
      <c r="F49" s="45">
        <v>3195437</v>
      </c>
      <c r="G49" s="45">
        <v>3036250</v>
      </c>
      <c r="H49" s="45">
        <v>0</v>
      </c>
      <c r="I49" s="133"/>
      <c r="J49" s="49"/>
      <c r="K49" s="49"/>
      <c r="L49" s="89"/>
      <c r="M49" s="89"/>
      <c r="N49" s="89"/>
    </row>
    <row r="50" spans="2:21" ht="15.75" x14ac:dyDescent="0.25">
      <c r="B50" s="10" t="s">
        <v>332</v>
      </c>
      <c r="C50" s="45">
        <v>4248410</v>
      </c>
      <c r="D50" s="45">
        <v>5308821</v>
      </c>
      <c r="E50" s="45">
        <v>5460313</v>
      </c>
      <c r="F50" s="45">
        <v>3587643</v>
      </c>
      <c r="G50" s="45">
        <v>3220640</v>
      </c>
      <c r="H50" s="45">
        <v>15088775</v>
      </c>
      <c r="I50" s="133"/>
      <c r="J50" s="89"/>
      <c r="K50" s="89"/>
      <c r="L50" s="89"/>
      <c r="M50" s="89"/>
      <c r="N50" s="89"/>
    </row>
    <row r="51" spans="2:21" ht="15.75" x14ac:dyDescent="0.25">
      <c r="B51" s="10" t="s">
        <v>362</v>
      </c>
      <c r="C51" s="45">
        <v>5508975</v>
      </c>
      <c r="D51" s="45">
        <v>1368000</v>
      </c>
      <c r="E51" s="45">
        <v>5032261</v>
      </c>
      <c r="F51" s="45">
        <v>5002298</v>
      </c>
      <c r="G51" s="45">
        <v>2982171</v>
      </c>
      <c r="H51" s="45">
        <v>5107405</v>
      </c>
      <c r="I51" s="133"/>
      <c r="J51" s="90"/>
      <c r="K51" s="90"/>
      <c r="L51" s="90"/>
      <c r="M51" s="90"/>
      <c r="N51" s="90"/>
    </row>
    <row r="52" spans="2:21" ht="15.75" x14ac:dyDescent="0.25">
      <c r="B52" s="10" t="s">
        <v>363</v>
      </c>
      <c r="C52" s="45">
        <v>1143000</v>
      </c>
      <c r="D52" s="45">
        <v>1818800</v>
      </c>
      <c r="E52" s="45">
        <v>7904377</v>
      </c>
      <c r="F52" s="45">
        <v>6292782</v>
      </c>
      <c r="G52" s="45">
        <v>2259634</v>
      </c>
      <c r="H52" s="45">
        <v>4348355</v>
      </c>
      <c r="I52" s="133"/>
      <c r="J52" s="28"/>
      <c r="K52" s="28"/>
      <c r="L52" s="28"/>
      <c r="M52" s="28"/>
      <c r="N52" s="28"/>
    </row>
    <row r="53" spans="2:21" ht="15.75" x14ac:dyDescent="0.25">
      <c r="B53" s="10" t="s">
        <v>407</v>
      </c>
      <c r="C53" s="45">
        <v>1275896</v>
      </c>
      <c r="D53" s="45">
        <v>2263580</v>
      </c>
      <c r="E53" s="45">
        <v>11362855</v>
      </c>
      <c r="F53" s="45">
        <v>9534674</v>
      </c>
      <c r="G53" s="45">
        <v>4199993</v>
      </c>
      <c r="H53" s="45">
        <v>5343486</v>
      </c>
      <c r="I53" s="133"/>
      <c r="J53" s="28"/>
      <c r="K53" s="28"/>
      <c r="L53" s="28"/>
      <c r="M53" s="28"/>
      <c r="N53" s="28"/>
    </row>
    <row r="54" spans="2:21" ht="15.75" x14ac:dyDescent="0.25">
      <c r="B54" s="10" t="s">
        <v>334</v>
      </c>
      <c r="C54" s="45">
        <v>914530</v>
      </c>
      <c r="D54" s="45">
        <v>3401625</v>
      </c>
      <c r="E54" s="45">
        <v>9491748</v>
      </c>
      <c r="F54" s="45">
        <v>8627180</v>
      </c>
      <c r="G54" s="45">
        <v>5953903</v>
      </c>
      <c r="H54" s="45">
        <v>5206920</v>
      </c>
      <c r="I54" s="133"/>
      <c r="J54" s="28"/>
      <c r="K54" s="28"/>
      <c r="L54" s="28"/>
      <c r="M54" s="28"/>
      <c r="N54" s="28"/>
    </row>
    <row r="55" spans="2:21" ht="15.75" x14ac:dyDescent="0.25">
      <c r="B55" s="10" t="s">
        <v>335</v>
      </c>
      <c r="C55" s="45">
        <v>1555310</v>
      </c>
      <c r="D55" s="45">
        <v>2974890</v>
      </c>
      <c r="E55" s="45">
        <v>6387715</v>
      </c>
      <c r="F55" s="45">
        <v>9834611</v>
      </c>
      <c r="G55" s="45">
        <v>3450527</v>
      </c>
      <c r="H55" s="45">
        <v>4539945</v>
      </c>
      <c r="I55" s="133"/>
      <c r="J55" s="28"/>
      <c r="K55" s="28"/>
      <c r="L55" s="28"/>
      <c r="M55" s="28"/>
      <c r="N55" s="28"/>
    </row>
    <row r="56" spans="2:21" ht="15.75" x14ac:dyDescent="0.25">
      <c r="B56" s="10" t="s">
        <v>336</v>
      </c>
      <c r="C56" s="45">
        <v>14214215</v>
      </c>
      <c r="D56" s="45">
        <v>3456110</v>
      </c>
      <c r="E56" s="45">
        <v>8960923</v>
      </c>
      <c r="F56" s="45">
        <v>6687564</v>
      </c>
      <c r="G56" s="45">
        <v>3437926</v>
      </c>
      <c r="H56" s="45">
        <v>5671900</v>
      </c>
      <c r="I56" s="133"/>
      <c r="J56" s="28"/>
      <c r="K56" s="28"/>
      <c r="L56" s="28"/>
      <c r="M56" s="28"/>
      <c r="N56" s="28"/>
    </row>
    <row r="57" spans="2:21" ht="16.5" thickBot="1" x14ac:dyDescent="0.3">
      <c r="B57" s="12" t="s">
        <v>172</v>
      </c>
      <c r="C57" s="45">
        <f>SUM(C45:C56)</f>
        <v>34089077</v>
      </c>
      <c r="D57" s="45">
        <f t="shared" ref="D57:H57" si="2">SUM(D45:D56)</f>
        <v>42472965</v>
      </c>
      <c r="E57" s="45">
        <f t="shared" si="2"/>
        <v>79536903</v>
      </c>
      <c r="F57" s="45">
        <f t="shared" si="2"/>
        <v>73851239</v>
      </c>
      <c r="G57" s="45">
        <f t="shared" si="2"/>
        <v>43463329</v>
      </c>
      <c r="H57" s="45">
        <f t="shared" si="2"/>
        <v>75063876</v>
      </c>
      <c r="I57" s="29"/>
      <c r="J57" s="29"/>
      <c r="K57" s="29"/>
      <c r="L57" s="29"/>
      <c r="M57" s="29"/>
      <c r="N57" s="29"/>
    </row>
    <row r="60" spans="2:21" x14ac:dyDescent="0.2">
      <c r="G60" s="29"/>
    </row>
    <row r="63" spans="2:21" ht="13.5" thickBot="1" x14ac:dyDescent="0.25"/>
    <row r="64" spans="2:21" ht="21" x14ac:dyDescent="0.2">
      <c r="B64" s="17" t="s">
        <v>171</v>
      </c>
      <c r="C64" s="143" t="s">
        <v>377</v>
      </c>
      <c r="D64" s="42" t="s">
        <v>370</v>
      </c>
      <c r="E64" s="17" t="s">
        <v>327</v>
      </c>
      <c r="F64" s="17" t="s">
        <v>292</v>
      </c>
      <c r="G64" s="17" t="s">
        <v>283</v>
      </c>
      <c r="H64" s="17" t="s">
        <v>276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spans="2:21" ht="15.75" x14ac:dyDescent="0.25">
      <c r="B65" s="10" t="s">
        <v>173</v>
      </c>
      <c r="C65" s="45">
        <v>3154060</v>
      </c>
      <c r="D65" s="46">
        <v>5070435</v>
      </c>
      <c r="E65" s="46">
        <v>4878660</v>
      </c>
      <c r="F65" s="46">
        <v>3100823</v>
      </c>
      <c r="G65" s="46">
        <v>5295548</v>
      </c>
      <c r="H65" s="46">
        <v>4656136</v>
      </c>
      <c r="I65" s="133"/>
      <c r="J65" s="48"/>
      <c r="K65" s="48"/>
      <c r="L65" s="30"/>
      <c r="M65" s="30"/>
      <c r="N65" s="30"/>
      <c r="O65" s="21"/>
      <c r="P65" s="21"/>
      <c r="Q65" s="21"/>
      <c r="R65" s="21"/>
      <c r="S65" s="21"/>
      <c r="T65" s="21"/>
      <c r="U65" s="21"/>
    </row>
    <row r="66" spans="2:21" ht="15.75" x14ac:dyDescent="0.25">
      <c r="B66" s="10" t="s">
        <v>174</v>
      </c>
      <c r="C66" s="45">
        <v>8170074</v>
      </c>
      <c r="D66" s="46">
        <v>6521782</v>
      </c>
      <c r="E66" s="46">
        <v>4693673</v>
      </c>
      <c r="F66" s="46">
        <v>7094524</v>
      </c>
      <c r="G66" s="46">
        <v>6881543</v>
      </c>
      <c r="H66" s="46">
        <v>7804429</v>
      </c>
      <c r="I66" s="133"/>
      <c r="J66" s="48"/>
      <c r="K66" s="48"/>
      <c r="L66" s="30"/>
      <c r="M66" s="30"/>
      <c r="N66" s="30"/>
      <c r="O66" s="21"/>
      <c r="P66" s="21"/>
      <c r="Q66" s="21"/>
      <c r="R66" s="21"/>
      <c r="S66" s="21"/>
      <c r="T66" s="21"/>
      <c r="U66" s="21"/>
    </row>
    <row r="67" spans="2:21" ht="15.75" x14ac:dyDescent="0.25">
      <c r="B67" s="10" t="s">
        <v>175</v>
      </c>
      <c r="C67" s="45">
        <v>15848964</v>
      </c>
      <c r="D67" s="46">
        <v>6934538</v>
      </c>
      <c r="E67" s="46">
        <v>12062967</v>
      </c>
      <c r="F67" s="46">
        <v>11156171</v>
      </c>
      <c r="G67" s="46">
        <v>7901560</v>
      </c>
      <c r="H67" s="46">
        <v>5900305</v>
      </c>
      <c r="I67" s="133"/>
      <c r="J67" s="48"/>
      <c r="K67" s="48"/>
      <c r="L67" s="30"/>
      <c r="M67" s="30"/>
      <c r="N67" s="30"/>
      <c r="O67" s="21"/>
      <c r="P67" s="21"/>
      <c r="Q67" s="21"/>
      <c r="R67" s="21"/>
      <c r="S67" s="21"/>
      <c r="T67" s="21"/>
      <c r="U67" s="21"/>
    </row>
    <row r="68" spans="2:21" ht="15.75" x14ac:dyDescent="0.25">
      <c r="B68" s="10" t="s">
        <v>176</v>
      </c>
      <c r="C68" s="45">
        <v>8045964</v>
      </c>
      <c r="D68" s="46">
        <v>11902051</v>
      </c>
      <c r="E68" s="46">
        <v>13101458</v>
      </c>
      <c r="F68" s="46">
        <v>11179990</v>
      </c>
      <c r="G68" s="46">
        <v>10475785</v>
      </c>
      <c r="H68" s="46">
        <v>121014</v>
      </c>
      <c r="I68" s="133"/>
      <c r="J68" s="48"/>
      <c r="K68" s="48"/>
      <c r="L68" s="30"/>
      <c r="M68" s="30"/>
      <c r="N68" s="30"/>
      <c r="O68" s="21"/>
      <c r="P68" s="21"/>
      <c r="Q68" s="21"/>
      <c r="R68" s="21"/>
      <c r="S68" s="21"/>
      <c r="T68" s="21"/>
      <c r="U68" s="21"/>
    </row>
    <row r="69" spans="2:21" ht="15.75" x14ac:dyDescent="0.25">
      <c r="B69" s="10" t="s">
        <v>366</v>
      </c>
      <c r="C69" s="45">
        <v>13860164</v>
      </c>
      <c r="D69" s="46">
        <v>5781805</v>
      </c>
      <c r="E69" s="46">
        <v>11011958</v>
      </c>
      <c r="F69" s="46">
        <v>9141636</v>
      </c>
      <c r="G69" s="46">
        <v>9475619</v>
      </c>
      <c r="H69" s="46">
        <v>1804105</v>
      </c>
      <c r="I69" s="133"/>
      <c r="J69" s="48"/>
      <c r="K69" s="48"/>
      <c r="L69" s="30"/>
      <c r="M69" s="30"/>
      <c r="N69" s="30"/>
      <c r="O69" s="21"/>
      <c r="P69" s="21"/>
      <c r="Q69" s="21"/>
      <c r="R69" s="21"/>
      <c r="S69" s="21"/>
      <c r="T69" s="21"/>
      <c r="U69" s="21"/>
    </row>
    <row r="70" spans="2:21" ht="15.75" x14ac:dyDescent="0.25">
      <c r="B70" s="10" t="s">
        <v>332</v>
      </c>
      <c r="C70" s="45">
        <v>7977361</v>
      </c>
      <c r="D70" s="46">
        <v>3102603</v>
      </c>
      <c r="E70" s="46">
        <v>9771991</v>
      </c>
      <c r="F70" s="46">
        <v>6890613</v>
      </c>
      <c r="G70" s="46">
        <v>14072478</v>
      </c>
      <c r="H70" s="46">
        <v>5883300</v>
      </c>
      <c r="I70" s="133"/>
      <c r="J70" s="48"/>
      <c r="K70" s="48"/>
      <c r="L70" s="30"/>
      <c r="M70" s="30"/>
      <c r="N70" s="30"/>
      <c r="O70" s="21"/>
      <c r="P70" s="21"/>
      <c r="Q70" s="21"/>
      <c r="R70" s="21"/>
      <c r="S70" s="21"/>
      <c r="T70" s="21"/>
      <c r="U70" s="21"/>
    </row>
    <row r="71" spans="2:21" ht="15.75" x14ac:dyDescent="0.25">
      <c r="B71" s="10" t="s">
        <v>362</v>
      </c>
      <c r="C71" s="45">
        <v>9013371</v>
      </c>
      <c r="D71" s="46">
        <v>4934884</v>
      </c>
      <c r="E71" s="46">
        <v>5870486</v>
      </c>
      <c r="F71" s="46">
        <v>8564817</v>
      </c>
      <c r="G71" s="46">
        <v>7847354</v>
      </c>
      <c r="H71" s="46">
        <v>9069381</v>
      </c>
      <c r="I71" s="133"/>
      <c r="J71" s="30"/>
      <c r="K71" s="30"/>
      <c r="L71" s="30"/>
      <c r="M71" s="30"/>
      <c r="N71" s="30"/>
      <c r="O71" s="21"/>
      <c r="P71" s="21"/>
      <c r="Q71" s="21"/>
      <c r="R71" s="21"/>
      <c r="S71" s="21"/>
      <c r="T71" s="21"/>
      <c r="U71" s="21"/>
    </row>
    <row r="72" spans="2:21" ht="15.75" x14ac:dyDescent="0.25">
      <c r="B72" s="10" t="s">
        <v>363</v>
      </c>
      <c r="C72" s="45">
        <v>18563466</v>
      </c>
      <c r="D72" s="46">
        <v>13355048</v>
      </c>
      <c r="E72" s="46">
        <v>7730780</v>
      </c>
      <c r="F72" s="46">
        <v>12002561</v>
      </c>
      <c r="G72" s="46">
        <v>10482068</v>
      </c>
      <c r="H72" s="46">
        <v>6862717</v>
      </c>
      <c r="I72" s="133"/>
      <c r="J72" s="30"/>
      <c r="K72" s="30"/>
      <c r="L72" s="30"/>
      <c r="M72" s="30"/>
      <c r="N72" s="30"/>
      <c r="O72" s="21"/>
      <c r="P72" s="21"/>
      <c r="Q72" s="21"/>
      <c r="R72" s="21"/>
      <c r="S72" s="21"/>
      <c r="T72" s="21"/>
      <c r="U72" s="21"/>
    </row>
    <row r="73" spans="2:21" ht="15.75" x14ac:dyDescent="0.25">
      <c r="B73" s="10" t="s">
        <v>407</v>
      </c>
      <c r="C73" s="45">
        <v>11325371</v>
      </c>
      <c r="D73" s="91">
        <v>12223256</v>
      </c>
      <c r="E73" s="161">
        <v>12500720</v>
      </c>
      <c r="F73" s="161">
        <v>8694467</v>
      </c>
      <c r="G73" s="161">
        <v>12769758</v>
      </c>
      <c r="H73" s="161">
        <v>9114471</v>
      </c>
      <c r="I73" s="133"/>
      <c r="J73" s="30"/>
      <c r="K73" s="30"/>
      <c r="L73" s="30"/>
      <c r="M73" s="30"/>
      <c r="N73" s="30"/>
      <c r="O73" s="21"/>
      <c r="P73" s="21"/>
      <c r="Q73" s="21"/>
      <c r="R73" s="21"/>
      <c r="S73" s="21"/>
      <c r="T73" s="21"/>
      <c r="U73" s="21"/>
    </row>
    <row r="74" spans="2:21" ht="15.75" x14ac:dyDescent="0.25">
      <c r="B74" s="10" t="s">
        <v>334</v>
      </c>
      <c r="C74" s="45">
        <v>12517646</v>
      </c>
      <c r="D74" s="91">
        <v>12732697</v>
      </c>
      <c r="E74" s="161">
        <v>7560400</v>
      </c>
      <c r="F74" s="161">
        <v>6596990</v>
      </c>
      <c r="G74" s="161">
        <v>11490263</v>
      </c>
      <c r="H74" s="161">
        <v>11912109.83</v>
      </c>
      <c r="I74" s="133"/>
      <c r="J74" s="30"/>
      <c r="K74" s="30"/>
      <c r="L74" s="30"/>
      <c r="M74" s="30"/>
      <c r="N74" s="30"/>
      <c r="O74" s="21"/>
      <c r="P74" s="21"/>
      <c r="Q74" s="21"/>
      <c r="R74" s="21"/>
      <c r="S74" s="21"/>
      <c r="T74" s="21"/>
      <c r="U74" s="21"/>
    </row>
    <row r="75" spans="2:21" ht="15.75" x14ac:dyDescent="0.25">
      <c r="B75" s="10" t="s">
        <v>335</v>
      </c>
      <c r="C75" s="45">
        <v>9654899</v>
      </c>
      <c r="D75" s="91">
        <v>10221753</v>
      </c>
      <c r="E75" s="161">
        <v>7355430</v>
      </c>
      <c r="F75" s="161">
        <v>10351450</v>
      </c>
      <c r="G75" s="161">
        <v>13482352</v>
      </c>
      <c r="H75" s="161">
        <v>9403633</v>
      </c>
      <c r="I75" s="133"/>
      <c r="J75" s="30"/>
      <c r="K75" s="30"/>
      <c r="L75" s="30"/>
      <c r="M75" s="30"/>
      <c r="N75" s="30"/>
      <c r="O75" s="21"/>
      <c r="P75" s="21"/>
      <c r="Q75" s="21"/>
      <c r="R75" s="21"/>
      <c r="S75" s="21"/>
      <c r="T75" s="21"/>
      <c r="U75" s="21"/>
    </row>
    <row r="76" spans="2:21" ht="15.75" x14ac:dyDescent="0.25">
      <c r="B76" s="10" t="s">
        <v>336</v>
      </c>
      <c r="C76" s="45">
        <v>9782680</v>
      </c>
      <c r="D76" s="91">
        <v>10979454</v>
      </c>
      <c r="E76" s="161">
        <v>8377765</v>
      </c>
      <c r="F76" s="161">
        <v>10009636</v>
      </c>
      <c r="G76" s="161">
        <v>8072834</v>
      </c>
      <c r="H76" s="161">
        <v>11129725</v>
      </c>
      <c r="I76" s="133"/>
      <c r="J76" s="30"/>
      <c r="K76" s="30"/>
      <c r="L76" s="30"/>
      <c r="M76" s="30"/>
      <c r="N76" s="30"/>
      <c r="O76" s="21"/>
      <c r="P76" s="21"/>
      <c r="Q76" s="21"/>
      <c r="R76" s="21"/>
      <c r="S76" s="21"/>
      <c r="T76" s="21"/>
      <c r="U76" s="21"/>
    </row>
    <row r="77" spans="2:21" ht="15.75" x14ac:dyDescent="0.25">
      <c r="B77" s="11"/>
      <c r="C77" s="45"/>
      <c r="D77" s="47"/>
      <c r="E77" s="93"/>
      <c r="F77" s="93"/>
      <c r="G77" s="94"/>
      <c r="H77" s="22"/>
      <c r="I77" s="30"/>
      <c r="J77" s="30"/>
      <c r="K77" s="30"/>
      <c r="L77" s="30"/>
      <c r="M77" s="30"/>
      <c r="N77" s="30"/>
      <c r="O77" s="21"/>
      <c r="P77" s="21"/>
      <c r="Q77" s="21"/>
      <c r="R77" s="21"/>
      <c r="S77" s="21"/>
      <c r="T77" s="21"/>
      <c r="U77" s="21"/>
    </row>
    <row r="78" spans="2:21" ht="16.5" thickBot="1" x14ac:dyDescent="0.3">
      <c r="B78" s="12" t="s">
        <v>172</v>
      </c>
      <c r="C78" s="45">
        <f>SUM(C65:C77)</f>
        <v>127914020</v>
      </c>
      <c r="D78" s="45">
        <f t="shared" ref="D78:H78" si="3">SUM(D65:D77)</f>
        <v>103760306</v>
      </c>
      <c r="E78" s="45">
        <f t="shared" si="3"/>
        <v>104916288</v>
      </c>
      <c r="F78" s="45">
        <f t="shared" si="3"/>
        <v>104783678</v>
      </c>
      <c r="G78" s="45">
        <f t="shared" si="3"/>
        <v>118247162</v>
      </c>
      <c r="H78" s="45">
        <f t="shared" si="3"/>
        <v>83661325.829999998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86" spans="2:26" ht="13.5" thickBot="1" x14ac:dyDescent="0.25"/>
    <row r="87" spans="2:26" x14ac:dyDescent="0.2">
      <c r="B87" s="17" t="s">
        <v>171</v>
      </c>
      <c r="C87" s="17" t="s">
        <v>378</v>
      </c>
      <c r="D87" s="18" t="s">
        <v>371</v>
      </c>
      <c r="E87" s="18" t="s">
        <v>350</v>
      </c>
      <c r="F87" s="18" t="s">
        <v>293</v>
      </c>
      <c r="G87" s="18" t="s">
        <v>284</v>
      </c>
      <c r="H87" s="18" t="s">
        <v>277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2:26" ht="15.75" x14ac:dyDescent="0.25">
      <c r="B88" s="10" t="s">
        <v>173</v>
      </c>
      <c r="C88" s="44">
        <v>10157985</v>
      </c>
      <c r="D88" s="44">
        <v>9947041</v>
      </c>
      <c r="E88" s="44">
        <v>10152266</v>
      </c>
      <c r="F88" s="35">
        <v>8340075.4400000004</v>
      </c>
      <c r="G88" s="35">
        <v>9031235</v>
      </c>
      <c r="H88" s="35">
        <v>11183760</v>
      </c>
      <c r="I88" s="48"/>
      <c r="J88" s="48"/>
      <c r="K88" s="48"/>
      <c r="L88" s="20"/>
      <c r="M88" s="20"/>
      <c r="N88" s="20"/>
      <c r="O88" s="21"/>
      <c r="P88" s="21"/>
      <c r="Q88" s="21"/>
      <c r="R88" s="21"/>
      <c r="S88" s="21"/>
      <c r="T88" s="21"/>
      <c r="U88" s="21"/>
      <c r="V88" s="4"/>
      <c r="W88" s="4"/>
      <c r="X88" s="4"/>
      <c r="Y88" s="4"/>
      <c r="Z88" s="4"/>
    </row>
    <row r="89" spans="2:26" ht="15.75" x14ac:dyDescent="0.25">
      <c r="B89" s="10" t="s">
        <v>174</v>
      </c>
      <c r="C89" s="44">
        <v>12636419</v>
      </c>
      <c r="D89" s="44">
        <v>13136716</v>
      </c>
      <c r="E89" s="44">
        <v>13410419</v>
      </c>
      <c r="F89" s="35">
        <v>9969598</v>
      </c>
      <c r="G89" s="35">
        <v>12420337</v>
      </c>
      <c r="H89" s="35">
        <v>13337610</v>
      </c>
      <c r="I89" s="48"/>
      <c r="J89" s="48"/>
      <c r="K89" s="48"/>
      <c r="L89" s="20"/>
      <c r="M89" s="20"/>
      <c r="N89" s="20"/>
      <c r="O89" s="21"/>
      <c r="P89" s="21"/>
      <c r="Q89" s="21"/>
      <c r="R89" s="21"/>
      <c r="S89" s="21"/>
      <c r="T89" s="21"/>
      <c r="U89" s="21"/>
      <c r="V89" s="4"/>
      <c r="W89" s="4"/>
      <c r="X89" s="4"/>
      <c r="Y89" s="4"/>
      <c r="Z89" s="4"/>
    </row>
    <row r="90" spans="2:26" ht="15.75" x14ac:dyDescent="0.25">
      <c r="B90" s="10" t="s">
        <v>175</v>
      </c>
      <c r="C90" s="44">
        <v>15699505</v>
      </c>
      <c r="D90" s="44">
        <v>11222287.82</v>
      </c>
      <c r="E90" s="44">
        <v>16907266</v>
      </c>
      <c r="F90" s="35">
        <v>11403558</v>
      </c>
      <c r="G90" s="35">
        <v>13591375</v>
      </c>
      <c r="H90" s="35">
        <v>10865138</v>
      </c>
      <c r="I90" s="48"/>
      <c r="J90" s="48"/>
      <c r="K90" s="48"/>
      <c r="L90" s="20"/>
      <c r="M90" s="20"/>
      <c r="N90" s="20"/>
      <c r="O90" s="21"/>
      <c r="P90" s="21"/>
      <c r="Q90" s="21"/>
      <c r="R90" s="21"/>
      <c r="S90" s="21"/>
      <c r="T90" s="21"/>
      <c r="U90" s="21"/>
      <c r="V90" s="4"/>
      <c r="W90" s="4"/>
      <c r="X90" s="4"/>
      <c r="Y90" s="4"/>
      <c r="Z90" s="4"/>
    </row>
    <row r="91" spans="2:26" ht="15.75" x14ac:dyDescent="0.25">
      <c r="B91" s="10" t="s">
        <v>176</v>
      </c>
      <c r="C91" s="44">
        <v>13845188</v>
      </c>
      <c r="D91" s="44">
        <v>13880419</v>
      </c>
      <c r="E91" s="44">
        <v>12557124</v>
      </c>
      <c r="F91" s="35">
        <v>11689725</v>
      </c>
      <c r="G91" s="35">
        <v>17060981</v>
      </c>
      <c r="H91" s="35">
        <v>8424882</v>
      </c>
      <c r="I91" s="48"/>
      <c r="J91" s="48"/>
      <c r="K91" s="48"/>
      <c r="L91" s="28"/>
      <c r="M91" s="28"/>
      <c r="N91" s="28"/>
      <c r="O91" s="21"/>
      <c r="P91" s="21"/>
      <c r="Q91" s="21"/>
      <c r="R91" s="21"/>
      <c r="S91" s="21"/>
      <c r="T91" s="21"/>
      <c r="U91" s="21"/>
      <c r="V91" s="4"/>
      <c r="W91" s="4"/>
      <c r="X91" s="4"/>
      <c r="Y91" s="4"/>
      <c r="Z91" s="4"/>
    </row>
    <row r="92" spans="2:26" ht="15.75" x14ac:dyDescent="0.25">
      <c r="B92" s="10" t="s">
        <v>296</v>
      </c>
      <c r="C92" s="44">
        <v>16159541</v>
      </c>
      <c r="D92" s="44">
        <v>12971414</v>
      </c>
      <c r="E92" s="92">
        <v>15171959</v>
      </c>
      <c r="F92" s="95">
        <v>11286631</v>
      </c>
      <c r="G92" s="95">
        <v>11744516.633333333</v>
      </c>
      <c r="H92" s="35">
        <v>10909925</v>
      </c>
      <c r="I92" s="48"/>
      <c r="J92" s="48"/>
      <c r="K92" s="48"/>
      <c r="L92" s="28"/>
      <c r="M92" s="28"/>
      <c r="N92" s="28"/>
      <c r="O92" s="21"/>
      <c r="P92" s="21"/>
      <c r="Q92" s="21"/>
      <c r="R92" s="21"/>
      <c r="S92" s="21"/>
      <c r="T92" s="21"/>
      <c r="U92" s="21"/>
      <c r="V92" s="4"/>
      <c r="W92" s="4"/>
      <c r="X92" s="4"/>
      <c r="Y92" s="4"/>
      <c r="Z92" s="4"/>
    </row>
    <row r="93" spans="2:26" ht="15.75" x14ac:dyDescent="0.25">
      <c r="B93" s="10" t="s">
        <v>373</v>
      </c>
      <c r="C93" s="44">
        <v>13183791</v>
      </c>
      <c r="D93" s="44">
        <v>10918657</v>
      </c>
      <c r="E93" s="92">
        <v>10729339</v>
      </c>
      <c r="F93" s="95">
        <v>12304971</v>
      </c>
      <c r="G93" s="95">
        <v>12797380</v>
      </c>
      <c r="H93" s="35">
        <v>12990071</v>
      </c>
      <c r="I93" s="48"/>
      <c r="J93" s="48"/>
      <c r="K93" s="48"/>
      <c r="L93" s="28"/>
      <c r="M93" s="28"/>
      <c r="N93" s="28"/>
      <c r="O93" s="21"/>
      <c r="P93" s="21"/>
      <c r="Q93" s="21"/>
      <c r="R93" s="21"/>
      <c r="S93" s="21"/>
      <c r="T93" s="21"/>
      <c r="U93" s="21"/>
      <c r="V93" s="4"/>
      <c r="W93" s="4"/>
      <c r="X93" s="4"/>
      <c r="Y93" s="4"/>
      <c r="Z93" s="4"/>
    </row>
    <row r="94" spans="2:26" ht="15.75" x14ac:dyDescent="0.25">
      <c r="B94" s="10" t="s">
        <v>297</v>
      </c>
      <c r="C94" s="44">
        <v>13164418</v>
      </c>
      <c r="D94" s="44">
        <v>11152404</v>
      </c>
      <c r="E94" s="92">
        <v>10792468</v>
      </c>
      <c r="F94" s="95">
        <v>12624706</v>
      </c>
      <c r="G94" s="95">
        <v>13357892</v>
      </c>
      <c r="H94" s="35">
        <v>11530572</v>
      </c>
      <c r="I94" s="48"/>
      <c r="J94" s="48"/>
      <c r="K94" s="48"/>
      <c r="L94" s="28"/>
      <c r="M94" s="28"/>
      <c r="N94" s="28"/>
      <c r="O94" s="21"/>
      <c r="P94" s="21"/>
      <c r="Q94" s="21"/>
      <c r="R94" s="21"/>
      <c r="S94" s="21"/>
      <c r="T94" s="21"/>
      <c r="U94" s="21"/>
      <c r="V94" s="4"/>
      <c r="W94" s="4"/>
      <c r="X94" s="4"/>
      <c r="Y94" s="4"/>
      <c r="Z94" s="4"/>
    </row>
    <row r="95" spans="2:26" ht="15.75" x14ac:dyDescent="0.25">
      <c r="B95" s="10" t="s">
        <v>298</v>
      </c>
      <c r="C95" s="44">
        <v>12998509</v>
      </c>
      <c r="D95" s="44">
        <v>11530628</v>
      </c>
      <c r="E95" s="92">
        <v>10381456</v>
      </c>
      <c r="F95" s="95">
        <v>0</v>
      </c>
      <c r="G95" s="95">
        <v>12441445</v>
      </c>
      <c r="H95" s="35">
        <v>11013798</v>
      </c>
      <c r="I95" s="48"/>
      <c r="J95" s="48"/>
      <c r="K95" s="48"/>
      <c r="L95" s="28"/>
      <c r="M95" s="28"/>
      <c r="N95" s="28"/>
      <c r="O95" s="21"/>
      <c r="P95" s="21"/>
      <c r="Q95" s="21"/>
      <c r="R95" s="21"/>
      <c r="S95" s="21"/>
      <c r="T95" s="21"/>
      <c r="U95" s="21"/>
      <c r="V95" s="4"/>
      <c r="W95" s="4"/>
      <c r="X95" s="4"/>
      <c r="Y95" s="4"/>
      <c r="Z95" s="4"/>
    </row>
    <row r="96" spans="2:26" ht="15.75" x14ac:dyDescent="0.25">
      <c r="B96" s="10" t="s">
        <v>407</v>
      </c>
      <c r="C96" s="92">
        <v>15385036</v>
      </c>
      <c r="D96" s="92">
        <v>14014468</v>
      </c>
      <c r="E96" s="92">
        <v>14685440</v>
      </c>
      <c r="F96" s="95">
        <v>10423141</v>
      </c>
      <c r="G96" s="95">
        <v>14262071</v>
      </c>
      <c r="H96" s="95">
        <v>11098718</v>
      </c>
      <c r="I96" s="48"/>
      <c r="J96" s="48"/>
      <c r="K96" s="48"/>
      <c r="L96" s="28"/>
      <c r="M96" s="28"/>
      <c r="N96" s="28"/>
      <c r="O96" s="21"/>
      <c r="P96" s="21"/>
      <c r="Q96" s="21"/>
      <c r="R96" s="21"/>
      <c r="S96" s="21"/>
      <c r="T96" s="21"/>
      <c r="U96" s="21"/>
      <c r="V96" s="4"/>
      <c r="W96" s="4"/>
      <c r="X96" s="4"/>
      <c r="Y96" s="4"/>
      <c r="Z96" s="4"/>
    </row>
    <row r="97" spans="2:26" ht="15.75" x14ac:dyDescent="0.25">
      <c r="B97" s="10" t="s">
        <v>334</v>
      </c>
      <c r="C97" s="92">
        <v>15449005</v>
      </c>
      <c r="D97" s="92">
        <v>14110605</v>
      </c>
      <c r="E97" s="92">
        <v>22974686</v>
      </c>
      <c r="F97" s="95">
        <v>10630364</v>
      </c>
      <c r="G97" s="95">
        <v>11384483</v>
      </c>
      <c r="H97" s="95">
        <v>14559398</v>
      </c>
      <c r="I97" s="48"/>
      <c r="J97" s="48"/>
      <c r="K97" s="48"/>
      <c r="L97" s="28"/>
      <c r="M97" s="28"/>
      <c r="N97" s="28"/>
      <c r="O97" s="21"/>
      <c r="P97" s="21"/>
      <c r="Q97" s="21"/>
      <c r="R97" s="21"/>
      <c r="S97" s="21"/>
      <c r="T97" s="21"/>
      <c r="U97" s="21"/>
      <c r="V97" s="4"/>
      <c r="W97" s="4"/>
      <c r="X97" s="4"/>
      <c r="Y97" s="4"/>
      <c r="Z97" s="4"/>
    </row>
    <row r="98" spans="2:26" ht="15.75" x14ac:dyDescent="0.25">
      <c r="B98" s="10" t="s">
        <v>335</v>
      </c>
      <c r="C98" s="92">
        <v>16781585</v>
      </c>
      <c r="D98" s="92">
        <v>12084858.1</v>
      </c>
      <c r="E98" s="92">
        <v>13205069</v>
      </c>
      <c r="F98" s="95">
        <v>13793441</v>
      </c>
      <c r="G98" s="95">
        <v>9460840</v>
      </c>
      <c r="H98" s="95">
        <v>15548745</v>
      </c>
      <c r="I98" s="48"/>
      <c r="J98" s="48"/>
      <c r="K98" s="48"/>
      <c r="L98" s="28"/>
      <c r="M98" s="28"/>
      <c r="N98" s="28"/>
      <c r="O98" s="21"/>
      <c r="P98" s="21"/>
      <c r="Q98" s="21"/>
      <c r="R98" s="21"/>
      <c r="S98" s="21"/>
      <c r="T98" s="21"/>
      <c r="U98" s="21"/>
      <c r="V98" s="4"/>
      <c r="W98" s="4"/>
      <c r="X98" s="4"/>
      <c r="Y98" s="4"/>
      <c r="Z98" s="4"/>
    </row>
    <row r="99" spans="2:26" ht="15.75" x14ac:dyDescent="0.25">
      <c r="B99" s="10" t="s">
        <v>336</v>
      </c>
      <c r="C99" s="92">
        <v>13073986</v>
      </c>
      <c r="D99" s="92">
        <v>14343828</v>
      </c>
      <c r="E99" s="92">
        <v>19716602</v>
      </c>
      <c r="F99" s="95">
        <v>14685347</v>
      </c>
      <c r="G99" s="95">
        <v>10271878</v>
      </c>
      <c r="H99" s="95">
        <v>12796951</v>
      </c>
      <c r="I99" s="48"/>
      <c r="J99" s="48"/>
      <c r="K99" s="48"/>
      <c r="L99" s="28"/>
      <c r="M99" s="28"/>
      <c r="N99" s="28"/>
      <c r="O99" s="21"/>
      <c r="P99" s="21"/>
      <c r="Q99" s="21"/>
      <c r="R99" s="21"/>
      <c r="S99" s="21"/>
      <c r="T99" s="21"/>
      <c r="U99" s="21"/>
      <c r="V99" s="4"/>
      <c r="W99" s="4"/>
      <c r="X99" s="4"/>
      <c r="Y99" s="4"/>
      <c r="Z99" s="4"/>
    </row>
    <row r="100" spans="2:26" ht="15.75" x14ac:dyDescent="0.25">
      <c r="B100" s="47"/>
      <c r="C100" s="92"/>
      <c r="D100" s="92"/>
      <c r="E100" s="92"/>
      <c r="F100" s="95"/>
      <c r="G100" s="95"/>
      <c r="H100" s="95"/>
      <c r="I100" s="48"/>
      <c r="J100" s="48"/>
      <c r="K100" s="48"/>
      <c r="L100" s="28"/>
      <c r="M100" s="28"/>
      <c r="N100" s="28"/>
      <c r="O100" s="21"/>
      <c r="P100" s="21"/>
      <c r="Q100" s="21"/>
      <c r="R100" s="21"/>
      <c r="S100" s="21"/>
      <c r="T100" s="21"/>
      <c r="U100" s="21"/>
      <c r="V100" s="4"/>
      <c r="W100" s="4"/>
      <c r="X100" s="4"/>
      <c r="Y100" s="4"/>
      <c r="Z100" s="4"/>
    </row>
    <row r="101" spans="2:26" ht="16.5" thickBot="1" x14ac:dyDescent="0.3">
      <c r="B101" s="41"/>
      <c r="C101" s="41"/>
      <c r="D101" s="41"/>
      <c r="E101" s="41"/>
      <c r="F101" s="31"/>
      <c r="G101" s="31"/>
      <c r="H101" s="31"/>
      <c r="I101" s="4"/>
      <c r="J101" s="4"/>
      <c r="K101" s="4"/>
      <c r="L101" s="4"/>
      <c r="M101" s="4"/>
      <c r="N101" s="4"/>
      <c r="O101" s="21"/>
      <c r="P101" s="21"/>
      <c r="Q101" s="21"/>
      <c r="R101" s="21"/>
      <c r="S101" s="21"/>
      <c r="T101" s="21"/>
      <c r="U101" s="21"/>
      <c r="V101" s="4"/>
      <c r="W101" s="4"/>
      <c r="X101" s="4"/>
      <c r="Y101" s="4"/>
      <c r="Z101" s="4"/>
    </row>
    <row r="102" spans="2:26" ht="13.5" thickBot="1" x14ac:dyDescent="0.25">
      <c r="B102" s="32" t="s">
        <v>172</v>
      </c>
      <c r="C102" s="32">
        <f>SUM(C88:C101)</f>
        <v>168534968</v>
      </c>
      <c r="D102" s="32">
        <f t="shared" ref="D102:H102" si="4">SUM(D88:D101)</f>
        <v>149313325.91999999</v>
      </c>
      <c r="E102" s="32">
        <f t="shared" si="4"/>
        <v>170684094</v>
      </c>
      <c r="F102" s="32">
        <f t="shared" si="4"/>
        <v>127151557.44</v>
      </c>
      <c r="G102" s="32">
        <f t="shared" si="4"/>
        <v>147824433.63333333</v>
      </c>
      <c r="H102" s="32">
        <f t="shared" si="4"/>
        <v>144259568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14" spans="2:14" ht="13.5" thickBot="1" x14ac:dyDescent="0.25"/>
    <row r="115" spans="2:14" ht="21" x14ac:dyDescent="0.2">
      <c r="B115" s="17" t="s">
        <v>171</v>
      </c>
      <c r="C115" s="143" t="s">
        <v>379</v>
      </c>
      <c r="D115" s="143" t="s">
        <v>372</v>
      </c>
      <c r="E115" s="143" t="s">
        <v>351</v>
      </c>
      <c r="F115" s="143" t="s">
        <v>294</v>
      </c>
      <c r="G115" s="143" t="s">
        <v>285</v>
      </c>
      <c r="H115" s="143" t="s">
        <v>278</v>
      </c>
      <c r="I115" s="19"/>
      <c r="J115" s="19"/>
      <c r="K115" s="19"/>
      <c r="L115" s="19"/>
      <c r="M115" s="19"/>
      <c r="N115" s="19"/>
    </row>
    <row r="116" spans="2:14" ht="15.75" x14ac:dyDescent="0.25">
      <c r="B116" s="25" t="s">
        <v>173</v>
      </c>
      <c r="C116" s="44">
        <v>-6507825</v>
      </c>
      <c r="D116" s="44">
        <v>-2557551</v>
      </c>
      <c r="E116" s="44">
        <v>-5273606</v>
      </c>
      <c r="F116" s="44">
        <v>-1150802.4400000004</v>
      </c>
      <c r="G116" s="44">
        <v>352800</v>
      </c>
      <c r="H116" s="44">
        <v>3245117</v>
      </c>
      <c r="I116" s="48"/>
      <c r="J116" s="48"/>
      <c r="K116" s="48"/>
      <c r="L116" s="20"/>
      <c r="M116" s="20"/>
      <c r="N116" s="20"/>
    </row>
    <row r="117" spans="2:14" ht="15.75" x14ac:dyDescent="0.25">
      <c r="B117" s="25" t="s">
        <v>174</v>
      </c>
      <c r="C117" s="44">
        <v>-4441975</v>
      </c>
      <c r="D117" s="44">
        <v>-4416049</v>
      </c>
      <c r="E117" s="44">
        <v>-4384642</v>
      </c>
      <c r="F117" s="44">
        <v>569556</v>
      </c>
      <c r="G117" s="44">
        <v>-2094164</v>
      </c>
      <c r="H117" s="44">
        <v>3129086</v>
      </c>
      <c r="I117" s="48"/>
      <c r="J117" s="48"/>
      <c r="K117" s="48"/>
      <c r="L117" s="20"/>
      <c r="M117" s="20"/>
      <c r="N117" s="20"/>
    </row>
    <row r="118" spans="2:14" ht="15.75" x14ac:dyDescent="0.25">
      <c r="B118" s="25" t="s">
        <v>175</v>
      </c>
      <c r="C118" s="44">
        <v>250408</v>
      </c>
      <c r="D118" s="44">
        <v>1058174.1799999997</v>
      </c>
      <c r="E118" s="44">
        <v>6335281</v>
      </c>
      <c r="F118" s="44">
        <v>4047103</v>
      </c>
      <c r="G118" s="44">
        <v>-1395325</v>
      </c>
      <c r="H118" s="44">
        <v>6248249</v>
      </c>
      <c r="I118" s="48"/>
      <c r="J118" s="48"/>
      <c r="K118" s="48"/>
      <c r="L118" s="20"/>
      <c r="M118" s="20"/>
      <c r="N118" s="20"/>
    </row>
    <row r="119" spans="2:14" ht="15.75" x14ac:dyDescent="0.25">
      <c r="B119" s="25" t="s">
        <v>176</v>
      </c>
      <c r="C119" s="44">
        <v>-5744224</v>
      </c>
      <c r="D119" s="44">
        <v>3726717</v>
      </c>
      <c r="E119" s="44">
        <v>7020895</v>
      </c>
      <c r="F119" s="44">
        <v>2584980</v>
      </c>
      <c r="G119" s="44">
        <v>-3490481</v>
      </c>
      <c r="H119" s="44">
        <v>-8194868</v>
      </c>
      <c r="I119" s="48"/>
      <c r="J119" s="48"/>
      <c r="K119" s="48"/>
      <c r="L119" s="20"/>
      <c r="M119" s="20"/>
      <c r="N119" s="20"/>
    </row>
    <row r="120" spans="2:14" ht="15.75" x14ac:dyDescent="0.25">
      <c r="B120" s="25" t="s">
        <v>296</v>
      </c>
      <c r="C120" s="44">
        <v>2252945</v>
      </c>
      <c r="D120" s="44">
        <v>-877419</v>
      </c>
      <c r="E120" s="44">
        <v>-1211535</v>
      </c>
      <c r="F120" s="44">
        <v>891255</v>
      </c>
      <c r="G120" s="44">
        <v>767352.36666666716</v>
      </c>
      <c r="H120" s="44">
        <v>-9105820</v>
      </c>
      <c r="I120" s="48"/>
      <c r="J120" s="48"/>
      <c r="K120" s="48"/>
      <c r="L120" s="20"/>
      <c r="M120" s="20"/>
      <c r="N120" s="20"/>
    </row>
    <row r="121" spans="2:14" ht="15.75" x14ac:dyDescent="0.25">
      <c r="B121" s="25" t="s">
        <v>373</v>
      </c>
      <c r="C121" s="44">
        <v>-958020</v>
      </c>
      <c r="D121" s="44">
        <v>-2507233</v>
      </c>
      <c r="E121" s="44">
        <v>4502965</v>
      </c>
      <c r="F121" s="44">
        <v>-2193718</v>
      </c>
      <c r="G121" s="44">
        <v>4495738</v>
      </c>
      <c r="H121" s="44">
        <v>7982004</v>
      </c>
      <c r="I121" s="48"/>
      <c r="J121" s="48"/>
      <c r="K121" s="48"/>
      <c r="L121" s="20"/>
      <c r="M121" s="20"/>
      <c r="N121" s="20"/>
    </row>
    <row r="122" spans="2:14" ht="15.75" x14ac:dyDescent="0.25">
      <c r="B122" s="25" t="s">
        <v>297</v>
      </c>
      <c r="C122" s="44">
        <v>1357928</v>
      </c>
      <c r="D122" s="44">
        <v>-4849520</v>
      </c>
      <c r="E122" s="44">
        <v>110279</v>
      </c>
      <c r="F122" s="44">
        <v>-1077718</v>
      </c>
      <c r="G122" s="44">
        <v>-2527014</v>
      </c>
      <c r="H122" s="44">
        <v>2646214</v>
      </c>
      <c r="I122" s="48"/>
      <c r="J122" s="48"/>
      <c r="K122" s="48"/>
      <c r="L122" s="20"/>
      <c r="M122" s="20"/>
      <c r="N122" s="20"/>
    </row>
    <row r="123" spans="2:14" ht="15.75" x14ac:dyDescent="0.25">
      <c r="B123" s="25" t="s">
        <v>298</v>
      </c>
      <c r="C123" s="44">
        <v>6707957</v>
      </c>
      <c r="D123" s="44">
        <v>3643220</v>
      </c>
      <c r="E123" s="44">
        <v>5253701</v>
      </c>
      <c r="F123" s="44">
        <v>14262195</v>
      </c>
      <c r="G123" s="44">
        <v>299710</v>
      </c>
      <c r="H123" s="44">
        <v>197274</v>
      </c>
      <c r="I123" s="48"/>
      <c r="J123" s="48"/>
      <c r="K123" s="48"/>
      <c r="L123" s="20"/>
      <c r="M123" s="20"/>
      <c r="N123" s="20"/>
    </row>
    <row r="124" spans="2:14" ht="15.75" x14ac:dyDescent="0.25">
      <c r="B124" s="25" t="s">
        <v>407</v>
      </c>
      <c r="C124" s="44">
        <v>-2783769</v>
      </c>
      <c r="D124" s="44">
        <v>472368</v>
      </c>
      <c r="E124" s="44">
        <v>9178135</v>
      </c>
      <c r="F124" s="44">
        <v>2471319</v>
      </c>
      <c r="G124" s="44">
        <v>2707680</v>
      </c>
      <c r="H124" s="44">
        <v>3359239</v>
      </c>
      <c r="I124" s="48"/>
      <c r="J124" s="48"/>
      <c r="K124" s="48"/>
      <c r="L124" s="20"/>
      <c r="M124" s="20"/>
      <c r="N124" s="20"/>
    </row>
    <row r="125" spans="2:14" ht="15.75" x14ac:dyDescent="0.25">
      <c r="B125" s="25" t="s">
        <v>334</v>
      </c>
      <c r="C125" s="44">
        <v>-2016829</v>
      </c>
      <c r="D125" s="44">
        <v>2023717</v>
      </c>
      <c r="E125" s="44">
        <v>-5922538</v>
      </c>
      <c r="F125" s="44">
        <v>1920529</v>
      </c>
      <c r="G125" s="44">
        <v>6059683</v>
      </c>
      <c r="H125" s="44">
        <v>2559631.8299999982</v>
      </c>
      <c r="I125" s="48"/>
      <c r="J125" s="48"/>
      <c r="K125" s="48"/>
      <c r="L125" s="20"/>
      <c r="M125" s="20"/>
      <c r="N125" s="20"/>
    </row>
    <row r="126" spans="2:14" ht="15.75" x14ac:dyDescent="0.25">
      <c r="B126" s="25" t="s">
        <v>335</v>
      </c>
      <c r="C126" s="44">
        <v>-5571376</v>
      </c>
      <c r="D126" s="44">
        <v>1111784.9000000004</v>
      </c>
      <c r="E126" s="44">
        <v>538076</v>
      </c>
      <c r="F126" s="44">
        <v>8536</v>
      </c>
      <c r="G126" s="44">
        <v>7472128</v>
      </c>
      <c r="H126" s="44">
        <v>-1605167</v>
      </c>
      <c r="I126" s="48"/>
      <c r="J126" s="48"/>
      <c r="K126" s="48"/>
      <c r="L126" s="20"/>
      <c r="M126" s="20"/>
      <c r="N126" s="20"/>
    </row>
    <row r="127" spans="2:14" ht="15.75" x14ac:dyDescent="0.25">
      <c r="B127" s="25" t="s">
        <v>336</v>
      </c>
      <c r="C127" s="44">
        <v>10922909</v>
      </c>
      <c r="D127" s="44">
        <v>91736</v>
      </c>
      <c r="E127" s="44">
        <v>-2377914</v>
      </c>
      <c r="F127" s="44">
        <v>-1237785</v>
      </c>
      <c r="G127" s="44">
        <v>1238971</v>
      </c>
      <c r="H127" s="44">
        <v>4004674</v>
      </c>
      <c r="I127" s="20"/>
      <c r="J127" s="20"/>
      <c r="K127" s="20"/>
      <c r="L127" s="20"/>
      <c r="M127" s="20"/>
      <c r="N127" s="20"/>
    </row>
    <row r="128" spans="2:14" ht="13.5" thickBot="1" x14ac:dyDescent="0.25">
      <c r="B128" s="10"/>
      <c r="C128" s="47"/>
      <c r="D128" s="47"/>
      <c r="E128" s="47"/>
      <c r="F128" s="31"/>
      <c r="G128" s="36"/>
      <c r="H128" s="24"/>
      <c r="I128" s="4"/>
      <c r="J128" s="4"/>
      <c r="K128" s="4"/>
      <c r="L128" s="4"/>
      <c r="M128" s="4"/>
      <c r="N128" s="4"/>
    </row>
    <row r="129" spans="2:14" ht="13.5" thickBot="1" x14ac:dyDescent="0.25">
      <c r="B129" s="32" t="s">
        <v>172</v>
      </c>
      <c r="C129" s="43">
        <f>SUM(C116:C128)</f>
        <v>-6531871</v>
      </c>
      <c r="D129" s="43">
        <f t="shared" ref="D129:H129" si="5">SUM(D116:D128)</f>
        <v>-3080054.92</v>
      </c>
      <c r="E129" s="43">
        <f t="shared" si="5"/>
        <v>13769097</v>
      </c>
      <c r="F129" s="43">
        <f t="shared" si="5"/>
        <v>21095449.559999999</v>
      </c>
      <c r="G129" s="43">
        <f t="shared" si="5"/>
        <v>13887078.366666667</v>
      </c>
      <c r="H129" s="43">
        <f t="shared" si="5"/>
        <v>14465633.829999998</v>
      </c>
      <c r="I129" s="23"/>
      <c r="J129" s="23"/>
      <c r="K129" s="23"/>
      <c r="L129" s="23"/>
      <c r="M129" s="23"/>
      <c r="N129" s="23"/>
    </row>
  </sheetData>
  <phoneticPr fontId="1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3" orientation="landscape" horizontalDpi="4294967293" verticalDpi="360" r:id="rId1"/>
  <rowBreaks count="1" manualBreakCount="1">
    <brk id="113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0186-EC11-43A8-9559-CABFD2D4B2E8}">
  <dimension ref="C4:E28"/>
  <sheetViews>
    <sheetView topLeftCell="A4" workbookViewId="0">
      <selection activeCell="D28" sqref="D28"/>
    </sheetView>
  </sheetViews>
  <sheetFormatPr baseColWidth="10" defaultRowHeight="15" x14ac:dyDescent="0.25"/>
  <cols>
    <col min="3" max="3" width="29.140625" customWidth="1"/>
  </cols>
  <sheetData>
    <row r="4" spans="3:4" ht="18.75" x14ac:dyDescent="0.3">
      <c r="C4" s="194" t="s">
        <v>368</v>
      </c>
      <c r="D4" s="194"/>
    </row>
    <row r="5" spans="3:4" hidden="1" x14ac:dyDescent="0.25">
      <c r="C5" s="56" t="s">
        <v>354</v>
      </c>
      <c r="D5" s="83">
        <v>0</v>
      </c>
    </row>
    <row r="6" spans="3:4" hidden="1" x14ac:dyDescent="0.25">
      <c r="C6" s="56" t="s">
        <v>355</v>
      </c>
      <c r="D6" s="83">
        <v>0</v>
      </c>
    </row>
    <row r="7" spans="3:4" hidden="1" x14ac:dyDescent="0.25">
      <c r="C7" s="56" t="s">
        <v>356</v>
      </c>
      <c r="D7" s="83">
        <v>0</v>
      </c>
    </row>
    <row r="8" spans="3:4" hidden="1" x14ac:dyDescent="0.25">
      <c r="C8" s="56" t="s">
        <v>357</v>
      </c>
      <c r="D8" s="83">
        <v>0</v>
      </c>
    </row>
    <row r="9" spans="3:4" hidden="1" x14ac:dyDescent="0.25">
      <c r="C9" s="56" t="s">
        <v>358</v>
      </c>
      <c r="D9" s="83">
        <v>0</v>
      </c>
    </row>
    <row r="10" spans="3:4" hidden="1" x14ac:dyDescent="0.25">
      <c r="C10" s="56" t="s">
        <v>359</v>
      </c>
      <c r="D10" s="83">
        <v>0</v>
      </c>
    </row>
    <row r="11" spans="3:4" hidden="1" x14ac:dyDescent="0.25">
      <c r="C11" s="56" t="s">
        <v>360</v>
      </c>
      <c r="D11" s="83">
        <v>0</v>
      </c>
    </row>
    <row r="12" spans="3:4" hidden="1" x14ac:dyDescent="0.25">
      <c r="C12" s="56" t="s">
        <v>361</v>
      </c>
      <c r="D12" s="83"/>
    </row>
    <row r="13" spans="3:4" x14ac:dyDescent="0.25">
      <c r="C13" s="56" t="s">
        <v>408</v>
      </c>
      <c r="D13" s="56">
        <v>30240</v>
      </c>
    </row>
    <row r="14" spans="3:4" x14ac:dyDescent="0.25">
      <c r="C14" s="166"/>
      <c r="D14" s="167"/>
    </row>
    <row r="15" spans="3:4" x14ac:dyDescent="0.25">
      <c r="C15" s="166"/>
      <c r="D15" s="167"/>
    </row>
    <row r="16" spans="3:4" x14ac:dyDescent="0.25">
      <c r="C16" s="56"/>
      <c r="D16" s="83"/>
    </row>
    <row r="17" spans="3:5" x14ac:dyDescent="0.25">
      <c r="C17" s="56" t="s">
        <v>172</v>
      </c>
      <c r="D17" s="83">
        <f>SUM(D5:D16)</f>
        <v>30240</v>
      </c>
    </row>
    <row r="20" spans="3:5" ht="18.75" x14ac:dyDescent="0.3">
      <c r="C20" s="194" t="s">
        <v>380</v>
      </c>
      <c r="D20" s="194"/>
    </row>
    <row r="21" spans="3:5" x14ac:dyDescent="0.25">
      <c r="C21" s="56" t="s">
        <v>409</v>
      </c>
      <c r="D21" s="83">
        <v>60000</v>
      </c>
    </row>
    <row r="22" spans="3:5" x14ac:dyDescent="0.25">
      <c r="C22" s="56" t="s">
        <v>409</v>
      </c>
      <c r="D22" s="83">
        <f>1663620-309019-9282</f>
        <v>1345319</v>
      </c>
    </row>
    <row r="23" spans="3:5" x14ac:dyDescent="0.25">
      <c r="C23" s="56" t="s">
        <v>410</v>
      </c>
      <c r="D23" s="83">
        <v>40000</v>
      </c>
      <c r="E23" t="s">
        <v>411</v>
      </c>
    </row>
    <row r="24" spans="3:5" x14ac:dyDescent="0.25">
      <c r="C24" s="56" t="s">
        <v>410</v>
      </c>
      <c r="D24" s="83">
        <v>1572704</v>
      </c>
      <c r="E24" t="s">
        <v>411</v>
      </c>
    </row>
    <row r="25" spans="3:5" x14ac:dyDescent="0.25">
      <c r="C25" s="56" t="s">
        <v>412</v>
      </c>
      <c r="D25" s="83">
        <v>2408560</v>
      </c>
    </row>
    <row r="26" spans="3:5" x14ac:dyDescent="0.25">
      <c r="C26" s="56"/>
      <c r="D26" s="83"/>
    </row>
    <row r="27" spans="3:5" x14ac:dyDescent="0.25">
      <c r="C27" s="56"/>
      <c r="D27" s="83"/>
    </row>
    <row r="28" spans="3:5" x14ac:dyDescent="0.25">
      <c r="C28" s="56" t="s">
        <v>381</v>
      </c>
      <c r="D28" s="83">
        <f>SUM(D21:D25)</f>
        <v>5426583</v>
      </c>
    </row>
  </sheetData>
  <mergeCells count="2">
    <mergeCell ref="C4:D4"/>
    <mergeCell ref="C20:D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8174-3019-446F-AC79-D3E6C3A36D77}">
  <dimension ref="C3:E52"/>
  <sheetViews>
    <sheetView topLeftCell="A30" workbookViewId="0">
      <selection activeCell="D40" sqref="D40"/>
    </sheetView>
  </sheetViews>
  <sheetFormatPr baseColWidth="10" defaultRowHeight="15" x14ac:dyDescent="0.25"/>
  <cols>
    <col min="2" max="2" width="1.7109375" customWidth="1"/>
  </cols>
  <sheetData>
    <row r="3" spans="3:5" x14ac:dyDescent="0.25">
      <c r="D3" t="s">
        <v>469</v>
      </c>
    </row>
    <row r="5" spans="3:5" ht="15.75" thickBot="1" x14ac:dyDescent="0.3"/>
    <row r="6" spans="3:5" x14ac:dyDescent="0.25">
      <c r="D6" s="195" t="s">
        <v>375</v>
      </c>
      <c r="E6" s="196"/>
    </row>
    <row r="7" spans="3:5" x14ac:dyDescent="0.25">
      <c r="D7" s="80"/>
      <c r="E7" s="81"/>
    </row>
    <row r="8" spans="3:5" x14ac:dyDescent="0.25">
      <c r="C8">
        <v>1</v>
      </c>
      <c r="D8" s="80" t="s">
        <v>332</v>
      </c>
      <c r="E8" s="81">
        <v>5087939</v>
      </c>
    </row>
    <row r="9" spans="3:5" x14ac:dyDescent="0.25">
      <c r="C9">
        <v>2</v>
      </c>
      <c r="D9" s="80" t="s">
        <v>362</v>
      </c>
      <c r="E9" s="81">
        <v>1526381</v>
      </c>
    </row>
    <row r="10" spans="3:5" x14ac:dyDescent="0.25">
      <c r="C10">
        <v>3</v>
      </c>
      <c r="D10" s="80" t="s">
        <v>363</v>
      </c>
      <c r="E10" s="81">
        <v>1526381</v>
      </c>
    </row>
    <row r="11" spans="3:5" x14ac:dyDescent="0.25">
      <c r="C11">
        <v>4</v>
      </c>
      <c r="D11" s="80" t="s">
        <v>333</v>
      </c>
      <c r="E11" s="81">
        <v>1526381</v>
      </c>
    </row>
    <row r="12" spans="3:5" x14ac:dyDescent="0.25">
      <c r="C12">
        <v>5</v>
      </c>
      <c r="D12" s="80" t="s">
        <v>334</v>
      </c>
      <c r="E12" s="81">
        <v>1526381</v>
      </c>
    </row>
    <row r="13" spans="3:5" x14ac:dyDescent="0.25">
      <c r="C13">
        <v>6</v>
      </c>
      <c r="D13" s="80" t="s">
        <v>335</v>
      </c>
      <c r="E13" s="81">
        <v>1526381</v>
      </c>
    </row>
    <row r="14" spans="3:5" x14ac:dyDescent="0.25">
      <c r="C14">
        <v>7</v>
      </c>
      <c r="D14" s="80" t="s">
        <v>364</v>
      </c>
      <c r="E14" s="81">
        <v>1526381</v>
      </c>
    </row>
    <row r="15" spans="3:5" x14ac:dyDescent="0.25">
      <c r="C15">
        <v>8</v>
      </c>
      <c r="D15" s="80" t="s">
        <v>272</v>
      </c>
      <c r="E15" s="81">
        <v>1526381</v>
      </c>
    </row>
    <row r="16" spans="3:5" x14ac:dyDescent="0.25">
      <c r="C16">
        <v>9</v>
      </c>
      <c r="D16" s="80" t="s">
        <v>365</v>
      </c>
      <c r="E16" s="81">
        <v>1526381</v>
      </c>
    </row>
    <row r="17" spans="3:5" x14ac:dyDescent="0.25">
      <c r="C17">
        <v>10</v>
      </c>
      <c r="D17" s="80" t="s">
        <v>175</v>
      </c>
      <c r="E17" s="81">
        <v>1526381</v>
      </c>
    </row>
    <row r="18" spans="3:5" x14ac:dyDescent="0.25">
      <c r="C18">
        <v>11</v>
      </c>
      <c r="D18" s="80" t="s">
        <v>176</v>
      </c>
      <c r="E18" s="81">
        <v>1526381</v>
      </c>
    </row>
    <row r="19" spans="3:5" x14ac:dyDescent="0.25">
      <c r="C19">
        <v>12</v>
      </c>
      <c r="D19" s="80" t="s">
        <v>366</v>
      </c>
      <c r="E19" s="81">
        <v>1526381</v>
      </c>
    </row>
    <row r="20" spans="3:5" x14ac:dyDescent="0.25">
      <c r="C20">
        <v>13</v>
      </c>
      <c r="D20" s="80" t="s">
        <v>332</v>
      </c>
      <c r="E20" s="81">
        <v>1526381</v>
      </c>
    </row>
    <row r="21" spans="3:5" x14ac:dyDescent="0.25">
      <c r="C21">
        <v>14</v>
      </c>
      <c r="D21" s="80" t="s">
        <v>362</v>
      </c>
      <c r="E21" s="81">
        <v>1526381</v>
      </c>
    </row>
    <row r="22" spans="3:5" x14ac:dyDescent="0.25">
      <c r="C22">
        <v>15</v>
      </c>
      <c r="D22" s="80" t="s">
        <v>363</v>
      </c>
      <c r="E22" s="81">
        <v>1526381</v>
      </c>
    </row>
    <row r="23" spans="3:5" x14ac:dyDescent="0.25">
      <c r="C23">
        <v>16</v>
      </c>
      <c r="D23" s="80" t="s">
        <v>333</v>
      </c>
      <c r="E23" s="81">
        <v>1526381</v>
      </c>
    </row>
    <row r="24" spans="3:5" x14ac:dyDescent="0.25">
      <c r="C24">
        <v>17</v>
      </c>
      <c r="D24" s="80" t="s">
        <v>334</v>
      </c>
      <c r="E24" s="81">
        <v>1526381</v>
      </c>
    </row>
    <row r="25" spans="3:5" x14ac:dyDescent="0.25">
      <c r="C25">
        <v>18</v>
      </c>
      <c r="D25" s="80" t="s">
        <v>335</v>
      </c>
      <c r="E25" s="81">
        <v>1526381</v>
      </c>
    </row>
    <row r="26" spans="3:5" x14ac:dyDescent="0.25">
      <c r="C26">
        <v>19</v>
      </c>
      <c r="D26" s="80" t="s">
        <v>364</v>
      </c>
      <c r="E26" s="81">
        <v>1526381</v>
      </c>
    </row>
    <row r="27" spans="3:5" x14ac:dyDescent="0.25">
      <c r="C27">
        <v>20</v>
      </c>
      <c r="D27" s="130">
        <v>45292</v>
      </c>
      <c r="E27" s="81">
        <v>1526381</v>
      </c>
    </row>
    <row r="28" spans="3:5" x14ac:dyDescent="0.25">
      <c r="C28">
        <v>21</v>
      </c>
      <c r="D28" s="130">
        <v>45323</v>
      </c>
      <c r="E28" s="81">
        <v>1526381</v>
      </c>
    </row>
    <row r="29" spans="3:5" x14ac:dyDescent="0.25">
      <c r="C29">
        <v>22</v>
      </c>
      <c r="D29" s="130">
        <v>45352</v>
      </c>
      <c r="E29" s="81">
        <v>1526381</v>
      </c>
    </row>
    <row r="30" spans="3:5" x14ac:dyDescent="0.25">
      <c r="C30">
        <v>23</v>
      </c>
      <c r="D30" s="130">
        <v>45383</v>
      </c>
      <c r="E30" s="81">
        <v>1526381</v>
      </c>
    </row>
    <row r="31" spans="3:5" x14ac:dyDescent="0.25">
      <c r="C31">
        <v>24</v>
      </c>
      <c r="D31" s="130">
        <v>45413</v>
      </c>
      <c r="E31" s="81">
        <v>1526381</v>
      </c>
    </row>
    <row r="32" spans="3:5" x14ac:dyDescent="0.25">
      <c r="C32">
        <v>25</v>
      </c>
      <c r="D32" s="130">
        <v>45444</v>
      </c>
      <c r="E32" s="81">
        <v>1526381</v>
      </c>
    </row>
    <row r="33" spans="3:5" x14ac:dyDescent="0.25">
      <c r="C33">
        <v>26</v>
      </c>
      <c r="D33" s="130">
        <v>45474</v>
      </c>
      <c r="E33" s="81">
        <v>1526381</v>
      </c>
    </row>
    <row r="34" spans="3:5" x14ac:dyDescent="0.25">
      <c r="C34">
        <v>27</v>
      </c>
      <c r="D34" s="130">
        <v>45505</v>
      </c>
      <c r="E34" s="81">
        <v>1526381</v>
      </c>
    </row>
    <row r="35" spans="3:5" x14ac:dyDescent="0.25">
      <c r="C35">
        <v>28</v>
      </c>
      <c r="D35" s="130">
        <v>45536</v>
      </c>
      <c r="E35" s="81">
        <v>1526381</v>
      </c>
    </row>
    <row r="36" spans="3:5" x14ac:dyDescent="0.25">
      <c r="C36">
        <v>29</v>
      </c>
      <c r="D36" s="130">
        <v>45566</v>
      </c>
      <c r="E36" s="81">
        <v>1526381</v>
      </c>
    </row>
    <row r="37" spans="3:5" x14ac:dyDescent="0.25">
      <c r="C37">
        <v>30</v>
      </c>
      <c r="D37" s="130">
        <v>45597</v>
      </c>
      <c r="E37" s="81">
        <v>1526381</v>
      </c>
    </row>
    <row r="38" spans="3:5" x14ac:dyDescent="0.25">
      <c r="C38">
        <v>31</v>
      </c>
      <c r="D38" s="130">
        <v>45627</v>
      </c>
      <c r="E38" s="81">
        <v>1526382</v>
      </c>
    </row>
    <row r="39" spans="3:5" x14ac:dyDescent="0.25">
      <c r="D39" s="80"/>
      <c r="E39" s="81"/>
    </row>
    <row r="40" spans="3:5" ht="15.75" thickBot="1" x14ac:dyDescent="0.3">
      <c r="D40" s="82" t="s">
        <v>172</v>
      </c>
      <c r="E40" s="131">
        <f>SUM(E8:E39)</f>
        <v>50879370</v>
      </c>
    </row>
    <row r="41" spans="3:5" x14ac:dyDescent="0.25">
      <c r="D41" s="79"/>
      <c r="E41" s="77"/>
    </row>
    <row r="42" spans="3:5" x14ac:dyDescent="0.25">
      <c r="D42" s="79"/>
      <c r="E42" s="77"/>
    </row>
    <row r="43" spans="3:5" x14ac:dyDescent="0.25">
      <c r="D43" s="79"/>
      <c r="E43" s="77"/>
    </row>
    <row r="44" spans="3:5" x14ac:dyDescent="0.25">
      <c r="E44" s="77"/>
    </row>
    <row r="45" spans="3:5" x14ac:dyDescent="0.25">
      <c r="E45" s="77"/>
    </row>
    <row r="46" spans="3:5" x14ac:dyDescent="0.25">
      <c r="E46" s="77"/>
    </row>
    <row r="47" spans="3:5" x14ac:dyDescent="0.25">
      <c r="E47" s="77"/>
    </row>
    <row r="48" spans="3:5" x14ac:dyDescent="0.25">
      <c r="E48" s="77"/>
    </row>
    <row r="49" spans="5:5" x14ac:dyDescent="0.25">
      <c r="E49" s="77"/>
    </row>
    <row r="50" spans="5:5" x14ac:dyDescent="0.25">
      <c r="E50" s="77"/>
    </row>
    <row r="51" spans="5:5" x14ac:dyDescent="0.25">
      <c r="E51" s="77"/>
    </row>
    <row r="52" spans="5:5" x14ac:dyDescent="0.25">
      <c r="E52" s="77"/>
    </row>
  </sheetData>
  <mergeCells count="1">
    <mergeCell ref="D6:E6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DB25-3014-4548-9ADB-9FE8EFC55A95}">
  <dimension ref="A3:L21"/>
  <sheetViews>
    <sheetView topLeftCell="A15" workbookViewId="0">
      <selection activeCell="E4" sqref="E4"/>
    </sheetView>
  </sheetViews>
  <sheetFormatPr baseColWidth="10" defaultRowHeight="15" x14ac:dyDescent="0.25"/>
  <cols>
    <col min="1" max="1" width="30.85546875" bestFit="1" customWidth="1"/>
    <col min="2" max="2" width="11.42578125" style="77"/>
  </cols>
  <sheetData>
    <row r="3" spans="1:3" x14ac:dyDescent="0.25">
      <c r="A3" t="s">
        <v>413</v>
      </c>
      <c r="B3" s="77">
        <v>88137296</v>
      </c>
    </row>
    <row r="4" spans="1:3" x14ac:dyDescent="0.25">
      <c r="A4" t="s">
        <v>415</v>
      </c>
      <c r="B4" s="77">
        <v>7810240</v>
      </c>
    </row>
    <row r="5" spans="1:3" x14ac:dyDescent="0.25">
      <c r="A5" t="s">
        <v>416</v>
      </c>
      <c r="B5" s="77">
        <v>22764198</v>
      </c>
    </row>
    <row r="10" spans="1:3" x14ac:dyDescent="0.25">
      <c r="A10" t="s">
        <v>450</v>
      </c>
      <c r="B10" s="77">
        <v>89642300</v>
      </c>
    </row>
    <row r="11" spans="1:3" x14ac:dyDescent="0.25">
      <c r="A11" t="s">
        <v>451</v>
      </c>
      <c r="B11" s="77">
        <v>4857700</v>
      </c>
    </row>
    <row r="12" spans="1:3" ht="15.75" thickBot="1" x14ac:dyDescent="0.3">
      <c r="A12" s="171" t="s">
        <v>172</v>
      </c>
      <c r="B12" s="180">
        <f>+B10-B11</f>
        <v>84784600</v>
      </c>
    </row>
    <row r="13" spans="1:3" ht="15.75" thickTop="1" x14ac:dyDescent="0.25">
      <c r="A13" t="s">
        <v>452</v>
      </c>
      <c r="B13" s="77">
        <v>7810240</v>
      </c>
      <c r="C13" t="s">
        <v>454</v>
      </c>
    </row>
    <row r="14" spans="1:3" x14ac:dyDescent="0.25">
      <c r="A14" t="s">
        <v>453</v>
      </c>
      <c r="B14" s="77">
        <v>22764198</v>
      </c>
      <c r="C14" t="s">
        <v>455</v>
      </c>
    </row>
    <row r="15" spans="1:3" ht="15.75" thickBot="1" x14ac:dyDescent="0.3">
      <c r="A15" s="171" t="s">
        <v>172</v>
      </c>
      <c r="B15" s="180">
        <f>SUM(B12:B14)</f>
        <v>115359038</v>
      </c>
      <c r="C15" t="s">
        <v>456</v>
      </c>
    </row>
    <row r="16" spans="1:3" ht="15.75" thickTop="1" x14ac:dyDescent="0.25"/>
    <row r="17" spans="1:12" x14ac:dyDescent="0.25">
      <c r="A17" t="s">
        <v>452</v>
      </c>
      <c r="B17" s="77">
        <v>7810240</v>
      </c>
      <c r="K17" t="s">
        <v>450</v>
      </c>
      <c r="L17">
        <v>89642300</v>
      </c>
    </row>
    <row r="18" spans="1:12" x14ac:dyDescent="0.25">
      <c r="A18" t="s">
        <v>453</v>
      </c>
      <c r="B18" s="77">
        <v>22764198</v>
      </c>
      <c r="K18" t="s">
        <v>451</v>
      </c>
      <c r="L18">
        <v>4857700</v>
      </c>
    </row>
    <row r="19" spans="1:12" x14ac:dyDescent="0.25">
      <c r="A19" t="s">
        <v>457</v>
      </c>
      <c r="B19" s="77">
        <v>88137296</v>
      </c>
      <c r="C19" t="s">
        <v>460</v>
      </c>
      <c r="K19" t="s">
        <v>458</v>
      </c>
      <c r="L19">
        <v>1722509</v>
      </c>
    </row>
    <row r="20" spans="1:12" ht="15.75" thickBot="1" x14ac:dyDescent="0.3">
      <c r="A20" s="171" t="s">
        <v>172</v>
      </c>
      <c r="B20" s="180">
        <f>SUM(B17:B19)</f>
        <v>118711734</v>
      </c>
      <c r="K20" t="s">
        <v>459</v>
      </c>
      <c r="L20">
        <v>1630187</v>
      </c>
    </row>
    <row r="21" spans="1:12" ht="15.75" thickTop="1" x14ac:dyDescent="0.25">
      <c r="L21">
        <f>+L17-L18+L19+L20</f>
        <v>88137296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F51C-BA95-4C63-A51D-6569234DB241}">
  <dimension ref="B4:N43"/>
  <sheetViews>
    <sheetView tabSelected="1" topLeftCell="A15" workbookViewId="0">
      <selection activeCell="D12" sqref="D12"/>
    </sheetView>
  </sheetViews>
  <sheetFormatPr baseColWidth="10" defaultRowHeight="15" x14ac:dyDescent="0.25"/>
  <cols>
    <col min="3" max="3" width="24.85546875" bestFit="1" customWidth="1"/>
    <col min="4" max="4" width="16.7109375" bestFit="1" customWidth="1"/>
    <col min="6" max="6" width="15.42578125" customWidth="1"/>
    <col min="7" max="7" width="30" bestFit="1" customWidth="1"/>
    <col min="8" max="8" width="16.7109375" bestFit="1" customWidth="1"/>
    <col min="9" max="9" width="14.5703125" bestFit="1" customWidth="1"/>
    <col min="10" max="10" width="13" bestFit="1" customWidth="1"/>
    <col min="11" max="11" width="13" customWidth="1"/>
  </cols>
  <sheetData>
    <row r="4" spans="2:9" ht="18.75" x14ac:dyDescent="0.4">
      <c r="C4" s="197" t="s">
        <v>384</v>
      </c>
      <c r="D4" s="197"/>
      <c r="E4" s="197"/>
      <c r="F4" s="197"/>
      <c r="G4" s="197"/>
    </row>
    <row r="6" spans="2:9" x14ac:dyDescent="0.25">
      <c r="B6" s="174"/>
      <c r="C6" s="174" t="s">
        <v>385</v>
      </c>
      <c r="D6" s="175">
        <v>170000000</v>
      </c>
    </row>
    <row r="7" spans="2:9" x14ac:dyDescent="0.25">
      <c r="C7" t="s">
        <v>386</v>
      </c>
      <c r="D7" s="145">
        <v>5100000</v>
      </c>
    </row>
    <row r="8" spans="2:9" x14ac:dyDescent="0.25">
      <c r="C8" t="s">
        <v>387</v>
      </c>
      <c r="D8" s="145">
        <v>150000</v>
      </c>
    </row>
    <row r="9" spans="2:9" x14ac:dyDescent="0.25">
      <c r="C9" t="s">
        <v>388</v>
      </c>
      <c r="D9" s="145">
        <v>1342550</v>
      </c>
    </row>
    <row r="10" spans="2:9" x14ac:dyDescent="0.25">
      <c r="C10" s="146" t="s">
        <v>389</v>
      </c>
      <c r="D10" s="147">
        <v>421173</v>
      </c>
    </row>
    <row r="12" spans="2:9" x14ac:dyDescent="0.25">
      <c r="C12" s="148" t="s">
        <v>390</v>
      </c>
      <c r="D12" s="149">
        <f>+D6-D7-D8-D9-D10-277</f>
        <v>162986000</v>
      </c>
    </row>
    <row r="13" spans="2:9" x14ac:dyDescent="0.25">
      <c r="C13" s="146" t="s">
        <v>391</v>
      </c>
      <c r="D13" s="179">
        <v>94500000</v>
      </c>
      <c r="E13" t="s">
        <v>470</v>
      </c>
      <c r="H13" s="150">
        <f>+D19-H26</f>
        <v>84784600</v>
      </c>
      <c r="I13" t="s">
        <v>471</v>
      </c>
    </row>
    <row r="14" spans="2:9" x14ac:dyDescent="0.25">
      <c r="C14" t="s">
        <v>392</v>
      </c>
      <c r="D14" s="176">
        <f>+D12-D13</f>
        <v>68486000</v>
      </c>
    </row>
    <row r="16" spans="2:9" x14ac:dyDescent="0.25">
      <c r="C16" s="56" t="s">
        <v>393</v>
      </c>
      <c r="D16" s="151">
        <f>+D12*E16</f>
        <v>24447900</v>
      </c>
      <c r="E16" s="152">
        <v>0.15</v>
      </c>
      <c r="F16" s="153"/>
    </row>
    <row r="17" spans="3:14" x14ac:dyDescent="0.25">
      <c r="C17" s="56" t="s">
        <v>394</v>
      </c>
      <c r="D17" s="151">
        <f>+D12*E17</f>
        <v>24447900</v>
      </c>
      <c r="E17" s="152">
        <v>0.15</v>
      </c>
      <c r="F17" s="153"/>
    </row>
    <row r="18" spans="3:14" x14ac:dyDescent="0.25">
      <c r="C18" s="56" t="s">
        <v>395</v>
      </c>
      <c r="D18" s="151">
        <f>+D12*E18</f>
        <v>24447900</v>
      </c>
      <c r="E18" s="152">
        <v>0.15</v>
      </c>
      <c r="F18" s="153"/>
    </row>
    <row r="19" spans="3:14" x14ac:dyDescent="0.25">
      <c r="C19" s="56" t="s">
        <v>396</v>
      </c>
      <c r="D19" s="178">
        <f>+D12*E19</f>
        <v>89642300</v>
      </c>
      <c r="E19" s="154">
        <v>0.55000000000000004</v>
      </c>
      <c r="F19" s="170">
        <v>4587800</v>
      </c>
      <c r="G19" s="150">
        <f>D19+F19</f>
        <v>94230100</v>
      </c>
    </row>
    <row r="20" spans="3:14" x14ac:dyDescent="0.25">
      <c r="D20" s="151">
        <f>SUM(D16:D19)</f>
        <v>162986000</v>
      </c>
    </row>
    <row r="22" spans="3:14" x14ac:dyDescent="0.25">
      <c r="C22" s="56" t="s">
        <v>397</v>
      </c>
      <c r="G22" s="198" t="s">
        <v>398</v>
      </c>
      <c r="H22" s="199"/>
      <c r="I22" s="199"/>
      <c r="J22" s="156" t="s">
        <v>399</v>
      </c>
      <c r="K22" s="156"/>
    </row>
    <row r="23" spans="3:14" x14ac:dyDescent="0.25">
      <c r="C23" s="56" t="s">
        <v>393</v>
      </c>
      <c r="D23" s="177">
        <f>+D14/3</f>
        <v>22828666.666666668</v>
      </c>
      <c r="E23" s="153"/>
      <c r="F23" s="153"/>
      <c r="G23" s="56" t="s">
        <v>393</v>
      </c>
      <c r="H23" s="151">
        <f>+D16-D23</f>
        <v>1619233.3333333321</v>
      </c>
      <c r="I23" s="153">
        <v>0.15</v>
      </c>
      <c r="J23" s="182">
        <v>120000</v>
      </c>
      <c r="K23" s="157">
        <f>H23+J23</f>
        <v>1739233.3333333321</v>
      </c>
      <c r="L23" s="181" t="s">
        <v>400</v>
      </c>
      <c r="M23" s="181"/>
      <c r="N23" s="181"/>
    </row>
    <row r="24" spans="3:14" x14ac:dyDescent="0.25">
      <c r="C24" s="56" t="s">
        <v>394</v>
      </c>
      <c r="D24" s="177">
        <f>+D14/3</f>
        <v>22828666.666666668</v>
      </c>
      <c r="E24" s="153"/>
      <c r="F24" s="153"/>
      <c r="G24" s="56" t="s">
        <v>394</v>
      </c>
      <c r="H24" s="151">
        <f t="shared" ref="H24:H25" si="0">+D17-D24</f>
        <v>1619233.3333333321</v>
      </c>
      <c r="I24" s="153">
        <v>0.15</v>
      </c>
      <c r="J24" s="145"/>
      <c r="K24" s="145"/>
    </row>
    <row r="25" spans="3:14" x14ac:dyDescent="0.25">
      <c r="C25" s="56" t="s">
        <v>395</v>
      </c>
      <c r="D25" s="177">
        <f>+D14/3</f>
        <v>22828666.666666668</v>
      </c>
      <c r="E25" s="153"/>
      <c r="F25" s="153"/>
      <c r="G25" s="56" t="s">
        <v>395</v>
      </c>
      <c r="H25" s="151">
        <f t="shared" si="0"/>
        <v>1619233.3333333321</v>
      </c>
      <c r="I25" s="153">
        <v>0.15</v>
      </c>
      <c r="J25" s="153"/>
      <c r="K25" s="153"/>
    </row>
    <row r="26" spans="3:14" x14ac:dyDescent="0.25">
      <c r="C26" t="s">
        <v>472</v>
      </c>
      <c r="D26" s="150">
        <f>SUM(D23:D25)</f>
        <v>68486000</v>
      </c>
      <c r="G26" s="56"/>
      <c r="H26" s="178">
        <f>SUM(H23:H25)</f>
        <v>4857699.9999999963</v>
      </c>
      <c r="I26" s="154"/>
      <c r="J26" s="155"/>
      <c r="K26" s="155"/>
    </row>
    <row r="28" spans="3:14" x14ac:dyDescent="0.25">
      <c r="C28" s="157"/>
      <c r="D28" s="150"/>
      <c r="F28" t="s">
        <v>401</v>
      </c>
      <c r="G28" s="158">
        <f>D19-H26</f>
        <v>84784600</v>
      </c>
      <c r="H28" s="149">
        <f>D19-G28</f>
        <v>4857700</v>
      </c>
    </row>
    <row r="29" spans="3:14" x14ac:dyDescent="0.25">
      <c r="C29" s="150"/>
      <c r="F29" t="s">
        <v>402</v>
      </c>
      <c r="G29" s="151">
        <v>22337500</v>
      </c>
    </row>
    <row r="30" spans="3:14" x14ac:dyDescent="0.25">
      <c r="F30" t="s">
        <v>403</v>
      </c>
      <c r="G30" s="151">
        <v>7474000</v>
      </c>
    </row>
    <row r="31" spans="3:14" x14ac:dyDescent="0.25">
      <c r="G31" s="151">
        <f>SUM(G28:G30)</f>
        <v>114596100</v>
      </c>
      <c r="H31" s="151">
        <v>118718586</v>
      </c>
      <c r="I31" s="151">
        <f>+G31-H31</f>
        <v>-4122486</v>
      </c>
    </row>
    <row r="34" spans="3:8" x14ac:dyDescent="0.25">
      <c r="C34" t="s">
        <v>404</v>
      </c>
      <c r="G34" t="s">
        <v>405</v>
      </c>
    </row>
    <row r="35" spans="3:8" x14ac:dyDescent="0.25">
      <c r="C35" t="s">
        <v>172</v>
      </c>
      <c r="D35" s="150">
        <f>+D14</f>
        <v>68486000</v>
      </c>
      <c r="G35" t="s">
        <v>172</v>
      </c>
      <c r="H35" s="151">
        <v>94500000</v>
      </c>
    </row>
    <row r="36" spans="3:8" x14ac:dyDescent="0.25">
      <c r="C36" t="s">
        <v>406</v>
      </c>
    </row>
    <row r="38" spans="3:8" x14ac:dyDescent="0.25">
      <c r="C38" s="56" t="s">
        <v>397</v>
      </c>
    </row>
    <row r="39" spans="3:8" x14ac:dyDescent="0.25">
      <c r="C39" s="56" t="s">
        <v>393</v>
      </c>
      <c r="D39" s="151">
        <v>22828666.666666668</v>
      </c>
      <c r="E39" s="152">
        <v>0.33329999999999999</v>
      </c>
      <c r="F39" s="153"/>
    </row>
    <row r="40" spans="3:8" x14ac:dyDescent="0.25">
      <c r="C40" s="56" t="s">
        <v>394</v>
      </c>
      <c r="D40" s="151">
        <v>22828666.666666668</v>
      </c>
      <c r="E40" s="152">
        <v>0.33329999999999999</v>
      </c>
      <c r="F40" s="153"/>
    </row>
    <row r="41" spans="3:8" x14ac:dyDescent="0.25">
      <c r="C41" s="56" t="s">
        <v>395</v>
      </c>
      <c r="D41" s="151">
        <v>22828666.666666668</v>
      </c>
      <c r="E41" s="152">
        <v>0.33339999999999997</v>
      </c>
      <c r="F41" s="153"/>
    </row>
    <row r="42" spans="3:8" x14ac:dyDescent="0.25">
      <c r="C42" s="56"/>
      <c r="D42" s="151"/>
      <c r="E42" s="154"/>
      <c r="F42" s="155"/>
    </row>
    <row r="43" spans="3:8" x14ac:dyDescent="0.25">
      <c r="E43" s="155"/>
      <c r="F43" s="155"/>
    </row>
  </sheetData>
  <mergeCells count="2">
    <mergeCell ref="C4:G4"/>
    <mergeCell ref="G22:I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6886-0F31-4D04-B583-CE6B2DB597B4}">
  <dimension ref="A3:C16"/>
  <sheetViews>
    <sheetView workbookViewId="0">
      <selection activeCell="C16" sqref="C16"/>
    </sheetView>
  </sheetViews>
  <sheetFormatPr baseColWidth="10" defaultRowHeight="15" x14ac:dyDescent="0.25"/>
  <cols>
    <col min="2" max="3" width="11.42578125" style="77"/>
  </cols>
  <sheetData>
    <row r="3" spans="1:3" x14ac:dyDescent="0.25">
      <c r="A3" t="s">
        <v>447</v>
      </c>
    </row>
    <row r="4" spans="1:3" x14ac:dyDescent="0.25">
      <c r="A4" t="s">
        <v>173</v>
      </c>
      <c r="B4" s="77">
        <v>3456000</v>
      </c>
      <c r="C4" s="77">
        <v>38000</v>
      </c>
    </row>
    <row r="5" spans="1:3" x14ac:dyDescent="0.25">
      <c r="A5" t="s">
        <v>174</v>
      </c>
      <c r="B5" s="77">
        <v>0</v>
      </c>
      <c r="C5" s="77">
        <v>0</v>
      </c>
    </row>
    <row r="6" spans="1:3" x14ac:dyDescent="0.25">
      <c r="A6" t="s">
        <v>273</v>
      </c>
      <c r="B6" s="77">
        <v>125000</v>
      </c>
      <c r="C6" s="77">
        <v>1000</v>
      </c>
    </row>
    <row r="7" spans="1:3" x14ac:dyDescent="0.25">
      <c r="A7" t="s">
        <v>176</v>
      </c>
      <c r="B7" s="77">
        <v>55000</v>
      </c>
      <c r="C7" s="77">
        <v>1000</v>
      </c>
    </row>
    <row r="8" spans="1:3" x14ac:dyDescent="0.25">
      <c r="A8" t="s">
        <v>366</v>
      </c>
      <c r="B8" s="77">
        <v>8801000</v>
      </c>
      <c r="C8" s="77">
        <v>97000</v>
      </c>
    </row>
    <row r="9" spans="1:3" x14ac:dyDescent="0.25">
      <c r="A9" t="s">
        <v>373</v>
      </c>
      <c r="B9" s="77">
        <v>4248000</v>
      </c>
      <c r="C9" s="77">
        <v>47000</v>
      </c>
    </row>
    <row r="10" spans="1:3" x14ac:dyDescent="0.25">
      <c r="A10" t="s">
        <v>297</v>
      </c>
      <c r="B10" s="77">
        <v>5509000</v>
      </c>
      <c r="C10" s="77">
        <v>61000</v>
      </c>
    </row>
    <row r="11" spans="1:3" x14ac:dyDescent="0.25">
      <c r="A11" t="s">
        <v>298</v>
      </c>
      <c r="B11" s="77">
        <v>1143000</v>
      </c>
      <c r="C11" s="77">
        <v>13000</v>
      </c>
    </row>
    <row r="12" spans="1:3" x14ac:dyDescent="0.25">
      <c r="A12" t="s">
        <v>407</v>
      </c>
      <c r="B12" s="77">
        <v>1276000</v>
      </c>
      <c r="C12" s="77">
        <v>14000</v>
      </c>
    </row>
    <row r="13" spans="1:3" x14ac:dyDescent="0.25">
      <c r="A13" t="s">
        <v>334</v>
      </c>
      <c r="B13" s="77">
        <v>915000</v>
      </c>
      <c r="C13" s="77">
        <v>10000</v>
      </c>
    </row>
    <row r="14" spans="1:3" x14ac:dyDescent="0.25">
      <c r="A14" t="s">
        <v>335</v>
      </c>
      <c r="B14" s="77">
        <v>1555000</v>
      </c>
      <c r="C14" s="77">
        <v>17000</v>
      </c>
    </row>
    <row r="15" spans="1:3" x14ac:dyDescent="0.25">
      <c r="A15" t="s">
        <v>336</v>
      </c>
      <c r="B15" s="77">
        <v>14214000</v>
      </c>
      <c r="C15" s="77">
        <v>156000</v>
      </c>
    </row>
    <row r="16" spans="1:3" x14ac:dyDescent="0.25">
      <c r="B16" s="77">
        <f>SUM(B4:B15)</f>
        <v>41297000</v>
      </c>
      <c r="C16" s="77">
        <f>SUM(C4:C15)</f>
        <v>455000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0AB5-B3E9-4C41-9AF8-A901CFF0ED9E}">
  <dimension ref="A1:J20"/>
  <sheetViews>
    <sheetView topLeftCell="A13" workbookViewId="0">
      <selection activeCell="H21" sqref="H21"/>
    </sheetView>
  </sheetViews>
  <sheetFormatPr baseColWidth="10" defaultRowHeight="15" x14ac:dyDescent="0.25"/>
  <sheetData>
    <row r="1" spans="1:10" x14ac:dyDescent="0.25">
      <c r="A1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</row>
    <row r="2" spans="1:10" x14ac:dyDescent="0.25">
      <c r="A2" s="168">
        <v>45688</v>
      </c>
      <c r="B2" t="s">
        <v>430</v>
      </c>
      <c r="C2">
        <v>13551504</v>
      </c>
      <c r="D2" t="s">
        <v>431</v>
      </c>
      <c r="E2">
        <v>900133059</v>
      </c>
      <c r="F2" t="s">
        <v>432</v>
      </c>
      <c r="H2">
        <v>17280</v>
      </c>
      <c r="I2">
        <v>0</v>
      </c>
      <c r="J2">
        <v>17280</v>
      </c>
    </row>
    <row r="3" spans="1:10" x14ac:dyDescent="0.25">
      <c r="A3" s="168">
        <v>45688</v>
      </c>
      <c r="B3" t="s">
        <v>430</v>
      </c>
      <c r="C3">
        <v>13551504</v>
      </c>
      <c r="D3" t="s">
        <v>431</v>
      </c>
      <c r="E3">
        <v>901765638</v>
      </c>
      <c r="F3" t="s">
        <v>433</v>
      </c>
      <c r="H3">
        <v>44031.9</v>
      </c>
      <c r="I3">
        <v>0</v>
      </c>
      <c r="J3">
        <v>44031.9</v>
      </c>
    </row>
    <row r="4" spans="1:10" x14ac:dyDescent="0.25">
      <c r="A4" s="168">
        <v>45688</v>
      </c>
      <c r="B4" t="s">
        <v>430</v>
      </c>
      <c r="C4">
        <v>13551504</v>
      </c>
      <c r="D4" t="s">
        <v>431</v>
      </c>
      <c r="E4">
        <v>901765638</v>
      </c>
      <c r="F4" t="s">
        <v>433</v>
      </c>
      <c r="H4">
        <v>2400</v>
      </c>
      <c r="I4">
        <v>0</v>
      </c>
      <c r="J4">
        <v>2400</v>
      </c>
    </row>
    <row r="5" spans="1:10" x14ac:dyDescent="0.25">
      <c r="A5" s="168">
        <v>45688</v>
      </c>
      <c r="B5" t="s">
        <v>430</v>
      </c>
      <c r="C5">
        <v>13551504</v>
      </c>
      <c r="D5" t="s">
        <v>431</v>
      </c>
      <c r="E5">
        <v>91540549</v>
      </c>
      <c r="F5" t="s">
        <v>434</v>
      </c>
      <c r="H5">
        <v>24960</v>
      </c>
      <c r="I5">
        <v>0</v>
      </c>
      <c r="J5">
        <v>24960</v>
      </c>
    </row>
    <row r="6" spans="1:10" x14ac:dyDescent="0.25">
      <c r="A6" s="168">
        <v>45688</v>
      </c>
      <c r="B6" t="s">
        <v>430</v>
      </c>
      <c r="C6">
        <v>13551504</v>
      </c>
      <c r="D6" t="s">
        <v>431</v>
      </c>
      <c r="E6">
        <v>91540549</v>
      </c>
      <c r="F6" t="s">
        <v>434</v>
      </c>
      <c r="H6">
        <v>1500</v>
      </c>
      <c r="I6">
        <v>0</v>
      </c>
      <c r="J6">
        <v>1500</v>
      </c>
    </row>
    <row r="7" spans="1:10" x14ac:dyDescent="0.25">
      <c r="A7" s="168">
        <v>45688</v>
      </c>
      <c r="B7" t="s">
        <v>430</v>
      </c>
      <c r="C7">
        <v>13551504</v>
      </c>
      <c r="D7" t="s">
        <v>431</v>
      </c>
      <c r="E7">
        <v>800029520</v>
      </c>
      <c r="F7" t="s">
        <v>435</v>
      </c>
      <c r="H7">
        <v>4992</v>
      </c>
      <c r="I7">
        <v>0</v>
      </c>
      <c r="J7">
        <v>4992</v>
      </c>
    </row>
    <row r="8" spans="1:10" x14ac:dyDescent="0.25">
      <c r="A8" s="168">
        <v>45688</v>
      </c>
      <c r="B8" t="s">
        <v>430</v>
      </c>
      <c r="C8">
        <v>13551504</v>
      </c>
      <c r="D8" t="s">
        <v>431</v>
      </c>
      <c r="E8">
        <v>800029520</v>
      </c>
      <c r="F8" t="s">
        <v>435</v>
      </c>
      <c r="H8">
        <v>250</v>
      </c>
      <c r="I8">
        <v>0</v>
      </c>
      <c r="J8">
        <v>250</v>
      </c>
    </row>
    <row r="9" spans="1:10" x14ac:dyDescent="0.25">
      <c r="A9" s="168">
        <v>45838</v>
      </c>
      <c r="B9" t="s">
        <v>436</v>
      </c>
      <c r="C9">
        <v>13551504</v>
      </c>
      <c r="D9" t="s">
        <v>431</v>
      </c>
      <c r="E9">
        <v>901906600</v>
      </c>
      <c r="F9" t="s">
        <v>437</v>
      </c>
      <c r="H9">
        <v>23027</v>
      </c>
      <c r="I9">
        <v>0</v>
      </c>
      <c r="J9">
        <v>23027</v>
      </c>
    </row>
    <row r="10" spans="1:10" x14ac:dyDescent="0.25">
      <c r="A10" s="168">
        <v>45838</v>
      </c>
      <c r="B10" t="s">
        <v>436</v>
      </c>
      <c r="C10">
        <v>13551504</v>
      </c>
      <c r="D10" t="s">
        <v>431</v>
      </c>
      <c r="E10">
        <v>901906600</v>
      </c>
      <c r="F10" t="s">
        <v>437</v>
      </c>
      <c r="H10">
        <v>1200</v>
      </c>
      <c r="I10">
        <v>0</v>
      </c>
      <c r="J10">
        <v>1200</v>
      </c>
    </row>
    <row r="11" spans="1:10" x14ac:dyDescent="0.25">
      <c r="A11" s="168">
        <v>45838</v>
      </c>
      <c r="B11" t="s">
        <v>436</v>
      </c>
      <c r="C11">
        <v>13551504</v>
      </c>
      <c r="D11" t="s">
        <v>431</v>
      </c>
      <c r="E11">
        <v>901906600</v>
      </c>
      <c r="F11" t="s">
        <v>437</v>
      </c>
      <c r="H11">
        <v>59680</v>
      </c>
      <c r="I11">
        <v>0</v>
      </c>
      <c r="J11">
        <v>59680</v>
      </c>
    </row>
    <row r="12" spans="1:10" x14ac:dyDescent="0.25">
      <c r="A12" s="168">
        <v>45838</v>
      </c>
      <c r="B12" t="s">
        <v>436</v>
      </c>
      <c r="C12">
        <v>13551504</v>
      </c>
      <c r="D12" t="s">
        <v>431</v>
      </c>
      <c r="E12">
        <v>901906600</v>
      </c>
      <c r="F12" t="s">
        <v>437</v>
      </c>
      <c r="H12">
        <v>1000</v>
      </c>
      <c r="I12">
        <v>0</v>
      </c>
      <c r="J12">
        <v>1000</v>
      </c>
    </row>
    <row r="13" spans="1:10" x14ac:dyDescent="0.25">
      <c r="A13" s="168">
        <v>45838</v>
      </c>
      <c r="B13" t="s">
        <v>436</v>
      </c>
      <c r="C13">
        <v>13551504</v>
      </c>
      <c r="D13" t="s">
        <v>431</v>
      </c>
      <c r="E13">
        <v>901906600</v>
      </c>
      <c r="F13" t="s">
        <v>437</v>
      </c>
      <c r="H13">
        <v>8640</v>
      </c>
      <c r="I13">
        <v>0</v>
      </c>
      <c r="J13">
        <v>8640</v>
      </c>
    </row>
    <row r="14" spans="1:10" x14ac:dyDescent="0.25">
      <c r="A14" s="168">
        <v>45838</v>
      </c>
      <c r="B14" t="s">
        <v>436</v>
      </c>
      <c r="C14">
        <v>13551504</v>
      </c>
      <c r="D14" t="s">
        <v>431</v>
      </c>
      <c r="E14">
        <v>804008900</v>
      </c>
      <c r="F14" t="s">
        <v>438</v>
      </c>
      <c r="H14">
        <v>126390</v>
      </c>
      <c r="I14">
        <v>0</v>
      </c>
      <c r="J14">
        <v>126390</v>
      </c>
    </row>
    <row r="15" spans="1:10" x14ac:dyDescent="0.25">
      <c r="A15" s="168">
        <v>45838</v>
      </c>
      <c r="B15" t="s">
        <v>436</v>
      </c>
      <c r="C15">
        <v>13551504</v>
      </c>
      <c r="D15" t="s">
        <v>431</v>
      </c>
      <c r="E15">
        <v>804008900</v>
      </c>
      <c r="F15" t="s">
        <v>438</v>
      </c>
      <c r="H15">
        <v>4175.5</v>
      </c>
      <c r="I15">
        <v>0</v>
      </c>
      <c r="J15">
        <v>4175.5</v>
      </c>
    </row>
    <row r="16" spans="1:10" x14ac:dyDescent="0.25">
      <c r="A16" s="168">
        <v>45869</v>
      </c>
      <c r="B16" t="s">
        <v>439</v>
      </c>
      <c r="C16">
        <v>13551504</v>
      </c>
      <c r="D16" t="s">
        <v>431</v>
      </c>
      <c r="E16">
        <v>804008900</v>
      </c>
      <c r="F16" t="s">
        <v>438</v>
      </c>
      <c r="H16">
        <v>163398</v>
      </c>
      <c r="I16">
        <v>0</v>
      </c>
      <c r="J16">
        <v>163398</v>
      </c>
    </row>
    <row r="17" spans="1:10" x14ac:dyDescent="0.25">
      <c r="A17" s="168">
        <v>45869</v>
      </c>
      <c r="B17" t="s">
        <v>440</v>
      </c>
      <c r="C17">
        <v>13551503</v>
      </c>
      <c r="D17" t="s">
        <v>441</v>
      </c>
      <c r="E17">
        <v>900206797</v>
      </c>
      <c r="F17" t="s">
        <v>442</v>
      </c>
      <c r="H17">
        <v>10096</v>
      </c>
      <c r="I17">
        <v>0</v>
      </c>
      <c r="J17">
        <v>10096</v>
      </c>
    </row>
    <row r="18" spans="1:10" x14ac:dyDescent="0.25">
      <c r="A18" s="168">
        <v>45869</v>
      </c>
      <c r="B18" t="s">
        <v>443</v>
      </c>
      <c r="C18">
        <v>13551508</v>
      </c>
      <c r="D18" t="s">
        <v>444</v>
      </c>
      <c r="E18">
        <v>900206780</v>
      </c>
      <c r="F18" t="s">
        <v>445</v>
      </c>
      <c r="H18">
        <v>66920</v>
      </c>
      <c r="I18">
        <v>0</v>
      </c>
      <c r="J18">
        <v>66920</v>
      </c>
    </row>
    <row r="19" spans="1:10" x14ac:dyDescent="0.25">
      <c r="A19" s="168">
        <v>45900</v>
      </c>
      <c r="B19" t="s">
        <v>446</v>
      </c>
      <c r="C19">
        <v>13551503</v>
      </c>
      <c r="D19" t="s">
        <v>441</v>
      </c>
      <c r="E19">
        <v>900206797</v>
      </c>
      <c r="F19" t="s">
        <v>442</v>
      </c>
      <c r="H19">
        <v>10096</v>
      </c>
      <c r="I19">
        <v>0</v>
      </c>
      <c r="J19">
        <v>10096</v>
      </c>
    </row>
    <row r="20" spans="1:10" x14ac:dyDescent="0.25">
      <c r="H20">
        <f>SUM(H2:H19)</f>
        <v>570036.4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8CD5-C09A-4BD9-AE7C-AB714B59FCD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BALANCE DICIEMBRE</vt:lpstr>
      <vt:lpstr>VALOR EMPRESA 2025</vt:lpstr>
      <vt:lpstr>pyg2025</vt:lpstr>
      <vt:lpstr>GRAFICAS PYG</vt:lpstr>
      <vt:lpstr>CARTERA</vt:lpstr>
      <vt:lpstr>ANTICIPOS</vt:lpstr>
      <vt:lpstr>CUENTAS CDTS</vt:lpstr>
      <vt:lpstr>ZION </vt:lpstr>
      <vt:lpstr>AUTO RRETENCIONES</vt:lpstr>
      <vt:lpstr>Hoja1</vt:lpstr>
      <vt:lpstr>Hoja4</vt:lpstr>
      <vt:lpstr>'GRAFICAS PYG'!Área_de_impresión</vt:lpstr>
      <vt:lpstr>'pyg2025'!Área_de_impresión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Jimmy Jaimes</cp:lastModifiedBy>
  <cp:lastPrinted>2024-02-23T19:05:35Z</cp:lastPrinted>
  <dcterms:created xsi:type="dcterms:W3CDTF">2018-06-18T16:56:31Z</dcterms:created>
  <dcterms:modified xsi:type="dcterms:W3CDTF">2026-02-28T13:07:47Z</dcterms:modified>
</cp:coreProperties>
</file>
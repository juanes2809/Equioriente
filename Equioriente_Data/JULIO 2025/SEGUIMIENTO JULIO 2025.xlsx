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threadedComments/threadedComment2.xml" ContentType="application/vnd.ms-excel.threadedcomments+xml"/>
  <Override PartName="/xl/comments1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5\JULIO 2025\"/>
    </mc:Choice>
  </mc:AlternateContent>
  <xr:revisionPtr revIDLastSave="0" documentId="13_ncr:1_{1AAFC899-A7B7-421E-A844-8F7010499875}" xr6:coauthVersionLast="47" xr6:coauthVersionMax="47" xr10:uidLastSave="{00000000-0000-0000-0000-000000000000}"/>
  <bookViews>
    <workbookView xWindow="-120" yWindow="-120" windowWidth="20730" windowHeight="11040" firstSheet="26" activeTab="29" xr2:uid="{00000000-000D-0000-FFFF-FFFF00000000}"/>
  </bookViews>
  <sheets>
    <sheet name="ALQUIOBRAS" sheetId="1" r:id="rId1"/>
    <sheet name="JESUS PINZON" sheetId="18" r:id="rId2"/>
    <sheet name="ALEXANDRA CASTAÑEDA" sheetId="37" r:id="rId3"/>
    <sheet name="JAVIER GOMEZ" sheetId="38" r:id="rId4"/>
    <sheet name="JORDAN CARDENAS" sheetId="39" r:id="rId5"/>
    <sheet name="RAMIRO DULCEY" sheetId="45" r:id="rId6"/>
    <sheet name="EDIFICIO EL OASIS" sheetId="40" r:id="rId7"/>
    <sheet name="JOSE CAMACHO" sheetId="19" r:id="rId8"/>
    <sheet name="IVAN HERNANDEZ" sheetId="20" r:id="rId9"/>
    <sheet name="PEDRO VALBUENA EDWIN" sheetId="56" r:id="rId10"/>
    <sheet name="EDWIN BARBOSA" sheetId="21" r:id="rId11"/>
    <sheet name="CESAR CACERES" sheetId="17" r:id="rId12"/>
    <sheet name="WILSON PAEZ" sheetId="27" r:id="rId13"/>
    <sheet name="PEDRO VALBUENA" sheetId="3" r:id="rId14"/>
    <sheet name="GREGORIO HERNANDEZ" sheetId="7" r:id="rId15"/>
    <sheet name="alejandra castañeda" sheetId="36" r:id="rId16"/>
    <sheet name="JOSE ANGEL CAMACHO" sheetId="16" r:id="rId17"/>
    <sheet name="CRISTIAN ROJAS" sheetId="8" r:id="rId18"/>
    <sheet name="ELIZABETH ROMERO" sheetId="28" r:id="rId19"/>
    <sheet name="JUAN DE JESUS" sheetId="26" r:id="rId20"/>
    <sheet name="CAMILO" sheetId="55" r:id="rId21"/>
    <sheet name="STERICARE PLUSS" sheetId="64" r:id="rId22"/>
    <sheet name="CARLOS PARRA" sheetId="46" r:id="rId23"/>
    <sheet name="OSCAR RIOS" sheetId="47" r:id="rId24"/>
    <sheet name="CESAR AUGUSTO NIÑO" sheetId="48" r:id="rId25"/>
    <sheet name="ERACLIO BLANCO" sheetId="49" r:id="rId26"/>
    <sheet name="EDGARDO PICO" sheetId="15" r:id="rId27"/>
    <sheet name="LUIS AREVALO" sheetId="58" r:id="rId28"/>
    <sheet name="MARLON ROJAS" sheetId="22" r:id="rId29"/>
    <sheet name="EDUSYSTEMAS" sheetId="9" r:id="rId30"/>
    <sheet name="DIEGO GUTIERREZ" sheetId="2" r:id="rId31"/>
    <sheet name="DIGO GUTIERREZ VERIFICACION" sheetId="44" r:id="rId32"/>
    <sheet name="MELISSA PARRA" sheetId="4" r:id="rId33"/>
    <sheet name="CAMPESTRE NORTE" sheetId="52" r:id="rId34"/>
    <sheet name="VIDAL" sheetId="59" r:id="rId35"/>
    <sheet name="OMAR PABON" sheetId="60" r:id="rId36"/>
    <sheet name="JAVIER" sheetId="33" r:id="rId37"/>
    <sheet name="JAIME CLA" sheetId="50" r:id="rId38"/>
    <sheet name="PRODUCTOS ALIMENTOS ALINA" sheetId="41" r:id="rId39"/>
    <sheet name="COPOWER" sheetId="42" r:id="rId40"/>
    <sheet name="LUIS FRANCISCO" sheetId="32" r:id="rId41"/>
    <sheet name="INVERSIONES GY23" sheetId="29" r:id="rId42"/>
    <sheet name="RONALD CACERES" sheetId="30" r:id="rId43"/>
    <sheet name="JOSE REDIN FORERO" sheetId="35" r:id="rId44"/>
    <sheet name="NELSON HERNANDEZ" sheetId="43" r:id="rId45"/>
    <sheet name="EDWIN CALVETE" sheetId="51" r:id="rId46"/>
    <sheet name="CLAUDIA GIL" sheetId="11" r:id="rId47"/>
    <sheet name="IXA SAS" sheetId="12" r:id="rId48"/>
    <sheet name="JORGE ALFONSO" sheetId="34" r:id="rId49"/>
    <sheet name="BERNARDO ORTIZ" sheetId="57" r:id="rId50"/>
    <sheet name="EFRAIN" sheetId="10" r:id="rId51"/>
    <sheet name="EFRAIN SANTOS BAJOS" sheetId="53" r:id="rId52"/>
    <sheet name="ALBA HUMBERTO" sheetId="54" r:id="rId53"/>
    <sheet name="POLIMYS" sheetId="5" r:id="rId54"/>
    <sheet name="CARLOS URIEL" sheetId="6" r:id="rId55"/>
    <sheet name="NELSON BERNAL" sheetId="24" r:id="rId56"/>
    <sheet name="MARCOS ESCOPETA" sheetId="25" r:id="rId57"/>
    <sheet name="MARTHA LILIANA ROJAS" sheetId="13" r:id="rId58"/>
    <sheet name="CRISTIAN ROGELIS" sheetId="31" r:id="rId59"/>
    <sheet name="WILMER GELVES" sheetId="23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6" l="1"/>
  <c r="V8" i="11"/>
  <c r="V7" i="11"/>
  <c r="V16" i="11"/>
  <c r="V17" i="11"/>
  <c r="V18" i="11"/>
  <c r="V19" i="11"/>
  <c r="V20" i="11"/>
  <c r="V12" i="11"/>
  <c r="V13" i="11"/>
  <c r="V14" i="11"/>
  <c r="V15" i="11"/>
  <c r="V9" i="11"/>
  <c r="V10" i="11"/>
  <c r="V11" i="11"/>
  <c r="J44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G28" i="35" l="1"/>
  <c r="I8" i="35"/>
  <c r="I9" i="35"/>
  <c r="I10" i="35"/>
  <c r="I12" i="35"/>
  <c r="I13" i="35"/>
  <c r="I14" i="35"/>
  <c r="I15" i="35"/>
  <c r="I16" i="35"/>
  <c r="I17" i="35"/>
  <c r="I22" i="35"/>
  <c r="I23" i="35"/>
  <c r="I24" i="35"/>
  <c r="I25" i="35"/>
  <c r="I26" i="35"/>
  <c r="K29" i="15" l="1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6" i="15"/>
  <c r="G11" i="64" l="1"/>
  <c r="G9" i="64"/>
  <c r="G8" i="64"/>
  <c r="G7" i="64"/>
  <c r="G6" i="64"/>
  <c r="J23" i="58" l="1"/>
  <c r="J22" i="58"/>
  <c r="F9" i="60" l="1"/>
  <c r="F8" i="60"/>
  <c r="F7" i="60"/>
  <c r="F6" i="60"/>
  <c r="F11" i="59"/>
  <c r="F10" i="59"/>
  <c r="F9" i="59"/>
  <c r="F8" i="59"/>
  <c r="F7" i="59"/>
  <c r="F6" i="59"/>
  <c r="J6" i="58"/>
  <c r="J7" i="58"/>
  <c r="J8" i="58"/>
  <c r="J9" i="58"/>
  <c r="J10" i="58"/>
  <c r="J11" i="58"/>
  <c r="J12" i="58"/>
  <c r="J13" i="58"/>
  <c r="J14" i="58"/>
  <c r="J15" i="58"/>
  <c r="J16" i="58"/>
  <c r="J17" i="58"/>
  <c r="J18" i="58"/>
  <c r="J19" i="58"/>
  <c r="J20" i="58"/>
  <c r="J21" i="58"/>
  <c r="M6" i="1"/>
  <c r="I7" i="5" l="1"/>
  <c r="B12" i="5"/>
  <c r="C12" i="5"/>
  <c r="E12" i="5"/>
  <c r="F12" i="5"/>
  <c r="G12" i="5"/>
  <c r="H12" i="5"/>
  <c r="V6" i="11"/>
  <c r="E9" i="57" l="1"/>
  <c r="E8" i="57"/>
  <c r="E7" i="57"/>
  <c r="E6" i="57"/>
  <c r="G11" i="43"/>
  <c r="G12" i="43"/>
  <c r="G13" i="43"/>
  <c r="G14" i="43"/>
  <c r="G15" i="43"/>
  <c r="G16" i="43"/>
  <c r="G18" i="43"/>
  <c r="G26" i="35"/>
  <c r="G25" i="35"/>
  <c r="G23" i="35"/>
  <c r="G22" i="35"/>
  <c r="G21" i="35"/>
  <c r="I21" i="35" s="1"/>
  <c r="G19" i="35"/>
  <c r="I19" i="35" s="1"/>
  <c r="G20" i="35"/>
  <c r="I20" i="35" s="1"/>
  <c r="G18" i="35"/>
  <c r="I18" i="35" s="1"/>
  <c r="G12" i="35"/>
  <c r="G9" i="35"/>
  <c r="G10" i="35"/>
  <c r="G11" i="35"/>
  <c r="I11" i="35" s="1"/>
  <c r="E20" i="46" l="1"/>
  <c r="F20" i="46" s="1"/>
  <c r="E19" i="46"/>
  <c r="F19" i="46" s="1"/>
  <c r="E22" i="46" l="1"/>
  <c r="E24" i="46" s="1"/>
  <c r="E21" i="46"/>
  <c r="F9" i="56" l="1"/>
  <c r="F10" i="56"/>
  <c r="F8" i="56"/>
  <c r="F7" i="56"/>
  <c r="F12" i="56"/>
  <c r="F14" i="56"/>
  <c r="F13" i="56"/>
  <c r="F11" i="56"/>
  <c r="F6" i="56"/>
  <c r="G15" i="26"/>
  <c r="G14" i="55"/>
  <c r="G12" i="55"/>
  <c r="G11" i="55"/>
  <c r="G10" i="55"/>
  <c r="G9" i="55"/>
  <c r="G8" i="55"/>
  <c r="G7" i="55"/>
  <c r="G6" i="55"/>
  <c r="G16" i="26"/>
  <c r="M9" i="1"/>
  <c r="I8" i="5" l="1"/>
  <c r="I9" i="5"/>
  <c r="G8" i="54"/>
  <c r="G7" i="54"/>
  <c r="G6" i="54"/>
  <c r="G8" i="53"/>
  <c r="G7" i="53"/>
  <c r="G6" i="53"/>
  <c r="G11" i="52" l="1"/>
  <c r="G12" i="52"/>
  <c r="G13" i="52"/>
  <c r="G14" i="52"/>
  <c r="G10" i="52" l="1"/>
  <c r="G9" i="52"/>
  <c r="G8" i="52"/>
  <c r="G7" i="52"/>
  <c r="G6" i="52"/>
  <c r="L7" i="21"/>
  <c r="L8" i="21"/>
  <c r="L9" i="21"/>
  <c r="L6" i="21"/>
  <c r="G10" i="2"/>
  <c r="G11" i="2"/>
  <c r="G6" i="2"/>
  <c r="G7" i="2"/>
  <c r="G8" i="2"/>
  <c r="G9" i="2"/>
  <c r="G21" i="2"/>
  <c r="G22" i="2"/>
  <c r="G23" i="2"/>
  <c r="G16" i="51"/>
  <c r="G14" i="51"/>
  <c r="G15" i="51"/>
  <c r="G13" i="51"/>
  <c r="G12" i="51"/>
  <c r="G11" i="51" l="1"/>
  <c r="G10" i="51"/>
  <c r="G9" i="51"/>
  <c r="G8" i="51"/>
  <c r="G7" i="51"/>
  <c r="G6" i="51"/>
  <c r="G10" i="50"/>
  <c r="G8" i="50"/>
  <c r="G7" i="50"/>
  <c r="G6" i="50"/>
  <c r="G10" i="49" l="1"/>
  <c r="G8" i="49"/>
  <c r="G7" i="49"/>
  <c r="G6" i="49"/>
  <c r="G10" i="48"/>
  <c r="G8" i="48"/>
  <c r="G7" i="48"/>
  <c r="G6" i="48"/>
  <c r="G10" i="47"/>
  <c r="G8" i="47"/>
  <c r="G7" i="47"/>
  <c r="G6" i="47"/>
  <c r="G10" i="46"/>
  <c r="G8" i="46"/>
  <c r="G7" i="46"/>
  <c r="G6" i="46"/>
  <c r="G7" i="39"/>
  <c r="G8" i="45"/>
  <c r="G7" i="45"/>
  <c r="G6" i="45"/>
  <c r="R20" i="44" l="1"/>
  <c r="R19" i="44"/>
  <c r="R18" i="44"/>
  <c r="R17" i="44"/>
  <c r="R16" i="44"/>
  <c r="R15" i="44"/>
  <c r="R14" i="44"/>
  <c r="R13" i="44"/>
  <c r="R12" i="44"/>
  <c r="R11" i="44"/>
  <c r="R10" i="44"/>
  <c r="R9" i="44"/>
  <c r="R8" i="44"/>
  <c r="R7" i="44"/>
  <c r="R6" i="44"/>
  <c r="G10" i="43" l="1"/>
  <c r="G9" i="43"/>
  <c r="G8" i="43"/>
  <c r="G7" i="43"/>
  <c r="G6" i="43"/>
  <c r="E9" i="34"/>
  <c r="F6" i="12" l="1"/>
  <c r="F7" i="12"/>
  <c r="F8" i="12"/>
  <c r="F9" i="12"/>
  <c r="G9" i="42" l="1"/>
  <c r="G8" i="42"/>
  <c r="G7" i="42"/>
  <c r="G6" i="42"/>
  <c r="G8" i="41"/>
  <c r="G7" i="41"/>
  <c r="G6" i="41"/>
  <c r="G8" i="40"/>
  <c r="G7" i="40"/>
  <c r="G6" i="40"/>
  <c r="G8" i="39"/>
  <c r="G6" i="39"/>
  <c r="G8" i="38"/>
  <c r="G7" i="38"/>
  <c r="G6" i="38"/>
  <c r="G8" i="37"/>
  <c r="G7" i="37"/>
  <c r="G6" i="37"/>
  <c r="G6" i="36" l="1"/>
  <c r="G13" i="33"/>
  <c r="G8" i="33"/>
  <c r="G6" i="35" l="1"/>
  <c r="I6" i="35" s="1"/>
  <c r="G7" i="35"/>
  <c r="I7" i="35" s="1"/>
  <c r="G8" i="35"/>
  <c r="G14" i="35"/>
  <c r="G24" i="35"/>
  <c r="G17" i="35"/>
  <c r="G16" i="35"/>
  <c r="G15" i="35"/>
  <c r="G13" i="35"/>
  <c r="E8" i="34"/>
  <c r="E7" i="34"/>
  <c r="E6" i="34"/>
  <c r="G11" i="33"/>
  <c r="G10" i="33"/>
  <c r="G9" i="33"/>
  <c r="G7" i="33"/>
  <c r="G6" i="33"/>
  <c r="G6" i="32"/>
  <c r="I27" i="35" l="1"/>
  <c r="F13" i="27"/>
  <c r="F11" i="27"/>
  <c r="F15" i="27"/>
  <c r="M8" i="1"/>
  <c r="L10" i="21" l="1"/>
  <c r="L11" i="21"/>
  <c r="L12" i="21"/>
  <c r="L13" i="21"/>
  <c r="L14" i="21"/>
  <c r="L15" i="21"/>
  <c r="G6" i="31"/>
  <c r="G16" i="10"/>
  <c r="G10" i="30"/>
  <c r="G11" i="30"/>
  <c r="G12" i="30"/>
  <c r="G8" i="30" l="1"/>
  <c r="G9" i="30"/>
  <c r="G14" i="30"/>
  <c r="G17" i="30"/>
  <c r="G16" i="30"/>
  <c r="G15" i="30"/>
  <c r="G13" i="30"/>
  <c r="G7" i="30"/>
  <c r="G6" i="30"/>
  <c r="G9" i="29"/>
  <c r="G8" i="29"/>
  <c r="G7" i="29"/>
  <c r="G6" i="29"/>
  <c r="G7" i="28" l="1"/>
  <c r="G8" i="28"/>
  <c r="G9" i="28"/>
  <c r="G11" i="28"/>
  <c r="G6" i="28"/>
  <c r="F6" i="27"/>
  <c r="F7" i="27"/>
  <c r="F8" i="27"/>
  <c r="F9" i="27"/>
  <c r="F10" i="27"/>
  <c r="F12" i="27"/>
  <c r="F14" i="27"/>
  <c r="G7" i="26" l="1"/>
  <c r="G8" i="26"/>
  <c r="G9" i="26"/>
  <c r="G10" i="26"/>
  <c r="G11" i="26"/>
  <c r="G13" i="26"/>
  <c r="G14" i="26"/>
  <c r="G17" i="26"/>
  <c r="G6" i="26"/>
  <c r="F10" i="25" l="1"/>
  <c r="F8" i="25"/>
  <c r="F7" i="25"/>
  <c r="F6" i="25"/>
  <c r="E9" i="23"/>
  <c r="E10" i="23"/>
  <c r="E11" i="23"/>
  <c r="E12" i="23"/>
  <c r="E13" i="23"/>
  <c r="G10" i="24"/>
  <c r="G8" i="24"/>
  <c r="G7" i="24"/>
  <c r="G6" i="24"/>
  <c r="E15" i="23" l="1"/>
  <c r="E8" i="23"/>
  <c r="E7" i="23"/>
  <c r="E6" i="23"/>
  <c r="H9" i="22"/>
  <c r="H7" i="22"/>
  <c r="H6" i="22"/>
  <c r="G7" i="17"/>
  <c r="G8" i="17"/>
  <c r="G9" i="17"/>
  <c r="G10" i="17"/>
  <c r="F11" i="20" l="1"/>
  <c r="F10" i="20"/>
  <c r="F9" i="20"/>
  <c r="F8" i="20"/>
  <c r="F7" i="20"/>
  <c r="F6" i="20"/>
  <c r="F13" i="19"/>
  <c r="F12" i="19"/>
  <c r="F11" i="19"/>
  <c r="F10" i="19"/>
  <c r="F9" i="19"/>
  <c r="F8" i="19"/>
  <c r="F7" i="19"/>
  <c r="F6" i="19"/>
  <c r="G8" i="18"/>
  <c r="G7" i="18"/>
  <c r="G6" i="18"/>
  <c r="M7" i="1"/>
  <c r="G6" i="17"/>
  <c r="F13" i="16"/>
  <c r="F12" i="16"/>
  <c r="F11" i="16"/>
  <c r="F10" i="16"/>
  <c r="F9" i="16"/>
  <c r="F8" i="16"/>
  <c r="F7" i="16"/>
  <c r="F6" i="16"/>
  <c r="G7" i="8"/>
  <c r="G8" i="8"/>
  <c r="G9" i="8"/>
  <c r="G6" i="13"/>
  <c r="G7" i="10"/>
  <c r="G8" i="10"/>
  <c r="G9" i="10"/>
  <c r="G10" i="10"/>
  <c r="G11" i="10"/>
  <c r="G12" i="10"/>
  <c r="G13" i="10"/>
  <c r="G14" i="10"/>
  <c r="G15" i="10"/>
  <c r="G6" i="10"/>
  <c r="G11" i="8"/>
  <c r="G6" i="8"/>
  <c r="G6" i="7" l="1"/>
  <c r="E10" i="6"/>
  <c r="E8" i="6"/>
  <c r="E7" i="6"/>
  <c r="E6" i="6"/>
  <c r="I6" i="5"/>
  <c r="G11" i="4" l="1"/>
  <c r="G10" i="4"/>
  <c r="G9" i="4"/>
  <c r="G8" i="4"/>
  <c r="G7" i="4"/>
  <c r="G6" i="4"/>
  <c r="G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851E7F1F-0276-41AF-BCE3-0079259D638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13 POLY</t>
        </r>
      </text>
    </comment>
    <comment ref="D7" authorId="0" shapeId="0" xr:uid="{85A2B9E6-9CDD-44A8-B733-945D288D6EF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CLAUDIA GIL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tc={2D116168-1CC3-440C-B3CF-4E89A9D7202B}</author>
    <author>tc={2B904E32-E883-4B9B-AA23-255485ECDB18}</author>
  </authors>
  <commentList>
    <comment ref="B8" authorId="0" shapeId="0" xr:uid="{2D116168-1CC3-440C-B3CF-4E89A9D720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 LS</t>
      </text>
    </comment>
    <comment ref="G8" authorId="1" shapeId="0" xr:uid="{2B904E32-E883-4B9B-AA23-255485ECDB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PENDIENTES 4 DE LS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3" authorId="0" shapeId="0" xr:uid="{7935A8FA-0367-4BE7-9AFB-F0EC79A523E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35 DE POLIMYS
1 DE 20
10 DE 25*1,20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FA6DE284-4E60-476D-A4F5-531F67112DB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24=18 40CON15=5POLI
30CON25=13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H11" authorId="0" shapeId="0" xr:uid="{2F897634-BA44-4E07-A98C-A556F38ACEE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SON DE POLILYS
</t>
        </r>
      </text>
    </comment>
    <comment ref="H18" authorId="0" shapeId="0" xr:uid="{4400E4F7-646C-4F49-929C-33E203A3ADC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POLILYS 
</t>
        </r>
      </text>
    </comment>
    <comment ref="I19" authorId="0" shapeId="0" xr:uid="{0F2C3BE5-F2FD-4FDD-BC7A-A6A72E0BD04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TABLAS FALTANTESD
</t>
        </r>
      </text>
    </comment>
    <comment ref="B29" authorId="0" shapeId="0" xr:uid="{0C476A7C-2EE9-4D04-AA1B-3857AFF18FD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CLAUDIA GIL
</t>
        </r>
      </text>
    </comment>
    <comment ref="I29" authorId="0" shapeId="0" xr:uid="{6C0FA1A3-4AB0-4A26-99BC-657C65B4EE0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  <comment ref="B30" authorId="0" shapeId="0" xr:uid="{C82562C2-196E-4C85-99F6-6D51E3679E9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CLAU GIL</t>
        </r>
      </text>
    </comment>
    <comment ref="I30" authorId="0" shapeId="0" xr:uid="{32AB8CC9-22D9-49AA-8144-C886C95E1BC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0A0B861A-2F5F-486A-8856-D06C2E315F1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DE 10 Y 2 DE 5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3F879AAC-1E2F-4E83-8E3E-23E491D27F9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9 DE PLATINA Y 3 ROJAS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9ADBED02-2FB1-458E-8D7E-7A25072E4E0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CG
8 CLAUDIA GIL</t>
        </r>
      </text>
    </comment>
    <comment ref="B7" authorId="0" shapeId="0" xr:uid="{C5FCFC9E-1CD3-49B5-8DAC-CBF2553A81D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 CG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1" authorId="0" shapeId="0" xr:uid="{F92E69AB-4E06-4B6D-8DD7-420D0F407DE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DE 20*60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tc={C55BA796-A44D-4DD2-B20E-53EBC50C0EBE}</author>
    <author>Jimmy Jaimes</author>
  </authors>
  <commentList>
    <comment ref="B6" authorId="0" shapeId="0" xr:uid="{C55BA796-A44D-4DD2-B20E-53EBC50C0EB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 DE ALQUIOBRAS
</t>
      </text>
    </comment>
    <comment ref="C18" authorId="1" shapeId="0" xr:uid="{FEF866C1-D021-4384-BD15-FFE02FE2E76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POLY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4" authorId="0" shapeId="0" xr:uid="{219B5EE7-1C7A-464A-A44C-81FFDCA2C59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4" authorId="0" shapeId="0" xr:uid="{961903A3-D76D-4149-BB7A-2084E41FE98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HIZO EL 25 DE JULIO
</t>
        </r>
      </text>
    </comment>
  </commentList>
</comments>
</file>

<file path=xl/sharedStrings.xml><?xml version="1.0" encoding="utf-8"?>
<sst xmlns="http://schemas.openxmlformats.org/spreadsheetml/2006/main" count="1020" uniqueCount="422">
  <si>
    <t>ALQUIOBRAS-SANTANDER</t>
  </si>
  <si>
    <t>CALLE 14#19-37TEL:3164176674/3165134059</t>
  </si>
  <si>
    <t>MATERIAL</t>
  </si>
  <si>
    <t>SALDO</t>
  </si>
  <si>
    <t xml:space="preserve">SALDO </t>
  </si>
  <si>
    <t>PARALES DE 6 MTROS</t>
  </si>
  <si>
    <t>FORMALETA DE 15*1,20</t>
  </si>
  <si>
    <t>Hora</t>
  </si>
  <si>
    <t>TRANSPORTE</t>
  </si>
  <si>
    <t>MOVIMIENTO: JULIO/ 2025</t>
  </si>
  <si>
    <t>DIEGO GUTIERREZ</t>
  </si>
  <si>
    <t>PARALES 3 MTS</t>
  </si>
  <si>
    <t>CERCHAS DE 3 MTRS "PLATINA"</t>
  </si>
  <si>
    <t>TABLEROS DE MADERA 70 X 140</t>
  </si>
  <si>
    <t>PARALES DE 6 MTRSO</t>
  </si>
  <si>
    <t>HORA</t>
  </si>
  <si>
    <t>Transporte</t>
  </si>
  <si>
    <t>CHAPETAS REDONDAS</t>
  </si>
  <si>
    <t>PARALES 4 MTS</t>
  </si>
  <si>
    <t>MOVIMIENTO:JULIO/2025</t>
  </si>
  <si>
    <t>MOVIMIENTO: JULIO/2025</t>
  </si>
  <si>
    <t>PEDRO VALBUENA</t>
  </si>
  <si>
    <t>CRA 18 #6-74 TEL 3176770941</t>
  </si>
  <si>
    <t>ESCALERA METALICA DE TIJERA PLATEADA</t>
  </si>
  <si>
    <t>A PIE</t>
  </si>
  <si>
    <t xml:space="preserve">MELISSSA PARRA </t>
  </si>
  <si>
    <t>CALLE 31 # 5 OCC 40 BARRIO SANTANDER</t>
  </si>
  <si>
    <t>FORMALETA DE 35*1,20</t>
  </si>
  <si>
    <t>FORMALETA DE 25*1,20</t>
  </si>
  <si>
    <t>ANGULOS DE 2,40</t>
  </si>
  <si>
    <t>PARALES DE 3 MTROS</t>
  </si>
  <si>
    <t>CHAPETAS</t>
  </si>
  <si>
    <t>CAJA METALICA</t>
  </si>
  <si>
    <t>POLIMYS</t>
  </si>
  <si>
    <t>CRA 19#16-46 TEL:3174409576</t>
  </si>
  <si>
    <t>TABLERO DE MADERA 70*1.40</t>
  </si>
  <si>
    <t>FORMALETA DE 30*1,20</t>
  </si>
  <si>
    <t>CARLOS  URIEL MUJICA</t>
  </si>
  <si>
    <t>CALLE 6 #15B-46 TEL:3154384295</t>
  </si>
  <si>
    <t>MARCOS DE ANDAMIOS 2*0,90</t>
  </si>
  <si>
    <t>CRUCETAS 2.MTROS</t>
  </si>
  <si>
    <t>TABLONES  CORTOS</t>
  </si>
  <si>
    <t>GREGORIO HERNANDEZ</t>
  </si>
  <si>
    <t>COLEGIO MARIA PAZ TEL: 3243626517</t>
  </si>
  <si>
    <t>BUI -124</t>
  </si>
  <si>
    <t>CRISTIAN ROJAS</t>
  </si>
  <si>
    <t>CRA 25D#4-07 INDEPENCIA</t>
  </si>
  <si>
    <t>FORMALETA DE 30*1.20</t>
  </si>
  <si>
    <t>FORMALETA DE 15*1.20</t>
  </si>
  <si>
    <t>CERCHAS DE 2 MTROS</t>
  </si>
  <si>
    <t>FORMALETA DE 27,5*1,20</t>
  </si>
  <si>
    <t>QHW-402</t>
  </si>
  <si>
    <t>EDUSYSTEMAS/MARICELL</t>
  </si>
  <si>
    <t>CRA 37#42-83TEL:3012077293 CESAR AUGUSTO</t>
  </si>
  <si>
    <t>MARCOS DE ANDAMIOS 1.50 VERDES</t>
  </si>
  <si>
    <t>MARCOS DE ANDAMIOS ROJOS</t>
  </si>
  <si>
    <t>CRUCETAS 2.40</t>
  </si>
  <si>
    <t>TABLONES  DE 3 MTROS</t>
  </si>
  <si>
    <t>FORMALETA DE 40*1.20</t>
  </si>
  <si>
    <t>FORMALETA DE 10*1.20</t>
  </si>
  <si>
    <t>FORMALETA DE 5*1.20</t>
  </si>
  <si>
    <t>TABLEROS DE MADERA DE 70*1.40</t>
  </si>
  <si>
    <t>ANGULOS DE 60</t>
  </si>
  <si>
    <t>ANGULOS DE 1.20</t>
  </si>
  <si>
    <t>PARALES DE 2 MTROS</t>
  </si>
  <si>
    <t>PARALES LARGOS DE 3,5</t>
  </si>
  <si>
    <t>PARALES DE 4 MTROS</t>
  </si>
  <si>
    <t>CERCHAS DE 3 MTROS PLATINA</t>
  </si>
  <si>
    <t>CERCHAS DE 2,50</t>
  </si>
  <si>
    <t>CERCHAS DE 1 MTRO</t>
  </si>
  <si>
    <t>CERCHAS DE 1,50</t>
  </si>
  <si>
    <t>BANDAS DE 40*1.40</t>
  </si>
  <si>
    <t>BANDAS DE4O*1.20</t>
  </si>
  <si>
    <t>ALINEADORES DE 6 MTROS</t>
  </si>
  <si>
    <t>TENSORES</t>
  </si>
  <si>
    <t>NKW-03D</t>
  </si>
  <si>
    <t>EFRAIN</t>
  </si>
  <si>
    <t>CRA 10#5-21 SAN RAFAEL</t>
  </si>
  <si>
    <t>FORMALETA DE 50*1,20</t>
  </si>
  <si>
    <t>FORMALETA DE 20*1,20</t>
  </si>
  <si>
    <t>ANGULOS DE 1,20</t>
  </si>
  <si>
    <t>MARCOS DE ANDAMIOS 1,5</t>
  </si>
  <si>
    <t>TABLONES DE 3 METRS</t>
  </si>
  <si>
    <t>CRUCETAS</t>
  </si>
  <si>
    <t>GVX-955</t>
  </si>
  <si>
    <t>CLAUDIA GIL</t>
  </si>
  <si>
    <t>CRA 15 #13-60 TEL:3168036064</t>
  </si>
  <si>
    <t>CERCHAS DE 1.50</t>
  </si>
  <si>
    <t xml:space="preserve">ANGULO DE 60 </t>
  </si>
  <si>
    <t>4;00</t>
  </si>
  <si>
    <t>FHF-634</t>
  </si>
  <si>
    <t>SRZ-388</t>
  </si>
  <si>
    <t>XLE -235</t>
  </si>
  <si>
    <t>TABLONES DE 3 MTROS</t>
  </si>
  <si>
    <t>CRA 34 #41-63 TEL: 3156847765</t>
  </si>
  <si>
    <t>IXA SAS</t>
  </si>
  <si>
    <t>MARTHA LILIANA ROJAS</t>
  </si>
  <si>
    <t>CALLE 11 #20-03</t>
  </si>
  <si>
    <t>IAJ-509</t>
  </si>
  <si>
    <t>SALDO0</t>
  </si>
  <si>
    <t>ESCALERA DE ALUMINIO DE 4  MTROS A 8 METROS</t>
  </si>
  <si>
    <t>BEP - 411</t>
  </si>
  <si>
    <t>FORMALETA DE 10*1,20</t>
  </si>
  <si>
    <t>STERICARE PLUS /ANDRES MORENO</t>
  </si>
  <si>
    <t>CRA 38#41-108 TEL:3026565476 CABECERA</t>
  </si>
  <si>
    <t>PLATAFORMAS</t>
  </si>
  <si>
    <t>EDGARDO PICO</t>
  </si>
  <si>
    <t>MARCOS DE ANDAMIOS AMARILLOS</t>
  </si>
  <si>
    <t>CRUCETAS DE 2 MTROS</t>
  </si>
  <si>
    <t>CRUCETAS DE 2.40</t>
  </si>
  <si>
    <t xml:space="preserve">HORA </t>
  </si>
  <si>
    <t>JOSE ANGEL CAMACHO</t>
  </si>
  <si>
    <t>CALLE 19 #32A -64 TEL: 3144716765</t>
  </si>
  <si>
    <t xml:space="preserve">saldo </t>
  </si>
  <si>
    <t>PARALES DE 3,5</t>
  </si>
  <si>
    <t>PARALES DE 6 MTRS</t>
  </si>
  <si>
    <t>TABLEROS DE 70*1.40</t>
  </si>
  <si>
    <t>WFC 970</t>
  </si>
  <si>
    <t>MOVIMIENTO:ABRIL 1 A JULIO 3/2025</t>
  </si>
  <si>
    <t>CESAR CACERES</t>
  </si>
  <si>
    <t>CRA 18 # 51-78 EDIF MELICONIAS</t>
  </si>
  <si>
    <t>NEQUI   $ 400,000</t>
  </si>
  <si>
    <t xml:space="preserve">MARCOS ROJOS </t>
  </si>
  <si>
    <t>CRUCETAS DE 2, MTROS</t>
  </si>
  <si>
    <t>RUEDAS DE ANDAMIOS</t>
  </si>
  <si>
    <t>FORMALETA DE 20*60</t>
  </si>
  <si>
    <t>UFZ-007</t>
  </si>
  <si>
    <t>JESUS PINZON</t>
  </si>
  <si>
    <t>CRA 17 #5-40 TEL: 3153242725</t>
  </si>
  <si>
    <t xml:space="preserve">TABLONES CORTOS </t>
  </si>
  <si>
    <t>DLO-557</t>
  </si>
  <si>
    <t>MOVIMIENTO:ABRIL/JULIO 2025</t>
  </si>
  <si>
    <t>IVAN HERNANDEZ</t>
  </si>
  <si>
    <t>MOVIMIENTO:JULIO 2025</t>
  </si>
  <si>
    <t>FORMALETA DE 60*1,20</t>
  </si>
  <si>
    <t>PARALES DE 1 METRO</t>
  </si>
  <si>
    <t xml:space="preserve">ALINEADORES DE 3 MTROS </t>
  </si>
  <si>
    <t>CYF-041</t>
  </si>
  <si>
    <t>KM 8 PUNTO 5 VIA AL MAR FRENTE AL JEROGILFICOTEL:3176389344</t>
  </si>
  <si>
    <t>EDWIN BARBOSA</t>
  </si>
  <si>
    <t>COLORADOS TEL: 3132557680 CAMPESTRE NORTE</t>
  </si>
  <si>
    <t xml:space="preserve">CHAPETAS </t>
  </si>
  <si>
    <t>PINES</t>
  </si>
  <si>
    <t>BUR -449</t>
  </si>
  <si>
    <t>POLEA DE MANO MANUAL</t>
  </si>
  <si>
    <t>MARLON ROJAS</t>
  </si>
  <si>
    <t>NAPOLES BAJO</t>
  </si>
  <si>
    <t>FORMALETA DE 60*1.20</t>
  </si>
  <si>
    <t>CERCHAS DE 3 MTROS</t>
  </si>
  <si>
    <t xml:space="preserve">PARALES DE 4 MTROS </t>
  </si>
  <si>
    <t>MOVIMIENTO:JULIO/2025 TEL: 3204571816</t>
  </si>
  <si>
    <t>WILMAR GELVES</t>
  </si>
  <si>
    <t>CRA 19 # 5-65 COMUNEROS TEL: 3232817493</t>
  </si>
  <si>
    <t>TABLONES</t>
  </si>
  <si>
    <t xml:space="preserve">                                                        NELSON JOSE BERNAL</t>
  </si>
  <si>
    <t xml:space="preserve">                                                         CALLE 7 # 18-39</t>
  </si>
  <si>
    <t>CRUCETAS 2 MTROS</t>
  </si>
  <si>
    <t>TABLONES DE 3 METRS (1 CORTO)</t>
  </si>
  <si>
    <t>MOVIMIENTO: JULIO /TEL: 3247525116</t>
  </si>
  <si>
    <t>MARCOS ESCOPETA</t>
  </si>
  <si>
    <t>BOULEVAR BOLIVAR TEL:3118840061</t>
  </si>
  <si>
    <t xml:space="preserve">TABLONES DE 3 METRS </t>
  </si>
  <si>
    <t>FIJ-671</t>
  </si>
  <si>
    <t>FORMALETA DE30*1,20</t>
  </si>
  <si>
    <t>FORMALETA DE 35*80</t>
  </si>
  <si>
    <t>FORMLETA DE 25*60</t>
  </si>
  <si>
    <t>DUF 924</t>
  </si>
  <si>
    <t>VIBRADOR</t>
  </si>
  <si>
    <t>ANGULO 1,20</t>
  </si>
  <si>
    <t>BUA-000</t>
  </si>
  <si>
    <t>a pie</t>
  </si>
  <si>
    <t>WLP 846</t>
  </si>
  <si>
    <t>BUR-449</t>
  </si>
  <si>
    <t>JUAN DE JESUS</t>
  </si>
  <si>
    <t>CRA 39 #34-46 BARRIO: ALVAREZ</t>
  </si>
  <si>
    <t>CERCHAS DE 3 MTROS ROJAS</t>
  </si>
  <si>
    <t>PARALES DE  3 MTROS</t>
  </si>
  <si>
    <t>CHAPETAS CUADRADAS</t>
  </si>
  <si>
    <t>CUENTA ACTUAL</t>
  </si>
  <si>
    <t>CUENTA VIEJA</t>
  </si>
  <si>
    <t>PENDTE PAGO</t>
  </si>
  <si>
    <t>CCL-358</t>
  </si>
  <si>
    <t>TTU-924</t>
  </si>
  <si>
    <t>MOVIMIENTO: JULIO/ 2025TEL: 3168652013</t>
  </si>
  <si>
    <t>HACIENDA SAN JUAN</t>
  </si>
  <si>
    <t>FORMALETA DE 20*1.20</t>
  </si>
  <si>
    <t>MARCOS DE ANDAMIOS VERDES</t>
  </si>
  <si>
    <t>TABLON CORTO</t>
  </si>
  <si>
    <t>TABLON DE 3 MTROS</t>
  </si>
  <si>
    <t>DFP 249</t>
  </si>
  <si>
    <t>DEPOSITO DE $100,000</t>
  </si>
  <si>
    <t>MOVIMIENTO: MARZO28  AJULIO9/ 2025</t>
  </si>
  <si>
    <t>WILSON PAEZ TEL: 3186463325</t>
  </si>
  <si>
    <t>FORMALETA  DE  30*1,20</t>
  </si>
  <si>
    <t>ANGULO DE 60</t>
  </si>
  <si>
    <t>CANCELO VIBRADOR</t>
  </si>
  <si>
    <t>MARCOS DE ANDAMIOS 0,90*2MTROS</t>
  </si>
  <si>
    <t>DEPOSITO$200</t>
  </si>
  <si>
    <t>ELIZABETH ROMERO</t>
  </si>
  <si>
    <t>CRA 20 CON 6 #6-61</t>
  </si>
  <si>
    <t>MARCOS DE ANDAMIOS DE 1,50</t>
  </si>
  <si>
    <t>CRUCETAS DE 2,40</t>
  </si>
  <si>
    <t>MORRORICO</t>
  </si>
  <si>
    <t>04-02-2025 ENVIO$ 68,000 POR NEQUI</t>
  </si>
  <si>
    <t>FORMALETA DE 12*1,20</t>
  </si>
  <si>
    <t>BANDAS DE 40*1,40</t>
  </si>
  <si>
    <t>TABLEROS DE MADERA DE 70*1,40</t>
  </si>
  <si>
    <t>2;45</t>
  </si>
  <si>
    <t>BANDAS DE 40*1,20</t>
  </si>
  <si>
    <t>MEZCLADOR DE CEMENTO</t>
  </si>
  <si>
    <t>25-03 -2025 ABONO 1,00000</t>
  </si>
  <si>
    <t>****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</si>
  <si>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</si>
  <si>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CUENTA TRIMESTRAL FEBRERO A ABRIL 2025</t>
  </si>
  <si>
    <t>SALSO</t>
  </si>
  <si>
    <t>CCL 358</t>
  </si>
  <si>
    <t>SRR360</t>
  </si>
  <si>
    <t>PARALES 6 MTS</t>
  </si>
  <si>
    <t>CCL358</t>
  </si>
  <si>
    <t>CUENTA TRIMESTRAL MAYO A JULIO9 2025</t>
  </si>
  <si>
    <t>INVERSIONES G Y 23</t>
  </si>
  <si>
    <t>CRA 50 #71-55 LAGOS DEL CACIQUE TEL: 3214037674</t>
  </si>
  <si>
    <t>POLEAS</t>
  </si>
  <si>
    <t>TABLEROS DE MADERA 70*1,40</t>
  </si>
  <si>
    <t>ANGULOS PARA POLEA 6 MTROS</t>
  </si>
  <si>
    <t>PASAMANOS DE 6 MTROS</t>
  </si>
  <si>
    <t>RONAL CACERES</t>
  </si>
  <si>
    <t>VEREDA SAN CAYETANO LA LUSITANIA TEL:3045697968</t>
  </si>
  <si>
    <t>FORAMLETA DE 60*1,20</t>
  </si>
  <si>
    <t>FORAMLETA DE 40*1,20</t>
  </si>
  <si>
    <t>CERCHA DE 3 MTROS ROJAS</t>
  </si>
  <si>
    <t>SOP-542</t>
  </si>
  <si>
    <t>PARALES DE 3,50</t>
  </si>
  <si>
    <t>TARDE</t>
  </si>
  <si>
    <t>WOL-268</t>
  </si>
  <si>
    <t>FORMALETA DE 40*60</t>
  </si>
  <si>
    <t>FORMALETA DE 30*60</t>
  </si>
  <si>
    <t>CRISTIAN ROGELIS</t>
  </si>
  <si>
    <t>ESCALERA DE ESTENSION DE 3 A6MTROS</t>
  </si>
  <si>
    <t>CRA 21 #13-39 TEL: 3175930773</t>
  </si>
  <si>
    <t>SOL-AXZ</t>
  </si>
  <si>
    <t>SLINGA CON ARRASTRADOR DE CAIDA</t>
  </si>
  <si>
    <t>CRA 5 #25-01 TEL: 3229487659</t>
  </si>
  <si>
    <t>LUIS FRANCISCO MEDINA/ANA</t>
  </si>
  <si>
    <t>FMF-243</t>
  </si>
  <si>
    <t>TABLONES CORTOS</t>
  </si>
  <si>
    <t>CAJAS METALICAS</t>
  </si>
  <si>
    <t>JAVIER</t>
  </si>
  <si>
    <t>MIRADORES DE LA UIS</t>
  </si>
  <si>
    <t>,,,,,,,,,-</t>
  </si>
  <si>
    <t>JORGE ALFONSO ROMERO</t>
  </si>
  <si>
    <t>CALLE7 #19-47</t>
  </si>
  <si>
    <t>MARCOS DE ANDAMIOS 1,50ROJOS</t>
  </si>
  <si>
    <t xml:space="preserve">PARALES DE 3 MTROS </t>
  </si>
  <si>
    <t>ABONO $100,000</t>
  </si>
  <si>
    <t>JOSE REDIN FORERO</t>
  </si>
  <si>
    <t>ALEJANDRA CASTAÑEDA</t>
  </si>
  <si>
    <t>RAPIFRITOS CRA 18 37-05</t>
  </si>
  <si>
    <t>ESCALERA DE EXTENCION</t>
  </si>
  <si>
    <t>LPK-696</t>
  </si>
  <si>
    <t>ESCALERA DE EXTENSION</t>
  </si>
  <si>
    <t>REPAFRITOS CRA 18#7-05</t>
  </si>
  <si>
    <t>ALEXANDRA CASTAÑEDA</t>
  </si>
  <si>
    <t>CRUCETAS DE 2 MTRS</t>
  </si>
  <si>
    <t>CJF 006CALI</t>
  </si>
  <si>
    <t>JAVIER GOMEZ</t>
  </si>
  <si>
    <t>CALLE 5 #22-54TEL:3177561120</t>
  </si>
  <si>
    <t>ESCALERA DE EXTENSION DE 3 A 6 MTRS</t>
  </si>
  <si>
    <t>DEPOSITO $300,000</t>
  </si>
  <si>
    <t>CANCELO ALQUILER</t>
  </si>
  <si>
    <t>JORDAN CARDENAS</t>
  </si>
  <si>
    <t>CRA 19#50 TEL:3011352410</t>
  </si>
  <si>
    <t>CANCELO $50,000</t>
  </si>
  <si>
    <t>EDIFICIO EL OASIS</t>
  </si>
  <si>
    <t>CALLE 7 #22-49 COMUNEROS</t>
  </si>
  <si>
    <t>CRUCETAS 2,40</t>
  </si>
  <si>
    <t>TABLONES 3 MTRS</t>
  </si>
  <si>
    <t>DEPOSITO $100,000</t>
  </si>
  <si>
    <t xml:space="preserve">TENSORES </t>
  </si>
  <si>
    <t>PRODUCTOS DE ALIMENTOS ALINA</t>
  </si>
  <si>
    <t>CRA 19 #5-21</t>
  </si>
  <si>
    <t>MARCOS DE ANDAMIO 1,50 ROJOS</t>
  </si>
  <si>
    <t>2 CRUCETAS DE 2,00 MTROS</t>
  </si>
  <si>
    <t>TABLONES LARGOS 3 MTROS</t>
  </si>
  <si>
    <t>3.20</t>
  </si>
  <si>
    <t>ABONO $ 47000</t>
  </si>
  <si>
    <t>***</t>
  </si>
  <si>
    <t>COPOWER</t>
  </si>
  <si>
    <t xml:space="preserve">RUEDAS DE ANDAMIOS </t>
  </si>
  <si>
    <t>CRA 27#55-16 TEL: 3153562353 EDWIN/WILLIAN TEL: 3502756771</t>
  </si>
  <si>
    <t>9;20</t>
  </si>
  <si>
    <t>ESPOSO</t>
  </si>
  <si>
    <t>******</t>
  </si>
  <si>
    <t>ALINEADORES DE 3 MTROS</t>
  </si>
  <si>
    <t xml:space="preserve">          </t>
  </si>
  <si>
    <t>NELSON HERNANDEZ</t>
  </si>
  <si>
    <t>CERCHA DE 1 MTRS</t>
  </si>
  <si>
    <t>TABLONES DE 3 MTRS</t>
  </si>
  <si>
    <t>BUR 449</t>
  </si>
  <si>
    <t>RAMIRO DULCEY</t>
  </si>
  <si>
    <t>CALL 45 #29-67 SOTOMAYOR TEL:3173759867</t>
  </si>
  <si>
    <t>MARCOS DE ANDAMIOS   1,50</t>
  </si>
  <si>
    <t>tablones de 3 mtros</t>
  </si>
  <si>
    <t>MARCOS DE ANDAMIOS   ROJOS</t>
  </si>
  <si>
    <t>CARLOS PARRA</t>
  </si>
  <si>
    <t>MARCOS DE ANDAMIOS 1.50 ROJOS</t>
  </si>
  <si>
    <t>CALLE 33#12-55 TEL: 3005569980</t>
  </si>
  <si>
    <t>CANCELO $ 75,000</t>
  </si>
  <si>
    <t>OSCAR RIOS</t>
  </si>
  <si>
    <t>CALLE 51#12-55 BARRIO CANDILES TEL:3174185628</t>
  </si>
  <si>
    <t>CESAR AUGUSTO NIÑO</t>
  </si>
  <si>
    <t>CALLE 37 #42-83 TEL: 3012077293</t>
  </si>
  <si>
    <t>ESCALERA EXTENSION ALUMINIO DE 3 A 6 MTRO</t>
  </si>
  <si>
    <t>1.30</t>
  </si>
  <si>
    <t>ERACLIO BLANCO</t>
  </si>
  <si>
    <t>CALLE 7 #19-63 TEL:3107840914</t>
  </si>
  <si>
    <t>CANCELO $20,000</t>
  </si>
  <si>
    <t>FORMALETA DE 45*1,20</t>
  </si>
  <si>
    <t>RINCONERAS DE 10*10*60</t>
  </si>
  <si>
    <t>ALINEADORES DE 2,5</t>
  </si>
  <si>
    <t>ALINEADORES DE 2 MTROS</t>
  </si>
  <si>
    <t>ALINEADORES DE 1,5</t>
  </si>
  <si>
    <t>corte 14-07</t>
  </si>
  <si>
    <t>EDWIN CALVETE</t>
  </si>
  <si>
    <t>CENTRO COMERCIAL LA CUESTA</t>
  </si>
  <si>
    <t>VTCL DE 1M EN TUB ESTRUC CAL 3,2M SIN EPG GALV</t>
  </si>
  <si>
    <t>VTCL DE 2M EN TUB ESTRUC CAL 3,25 CON ESPG GALV</t>
  </si>
  <si>
    <t>HOZTAL DE 1,4M EN TUBER ESTRUC CAL 325M GALV</t>
  </si>
  <si>
    <t>DIAG PARA 1,4M EN TUBE ESTRUC CAL 25M-2,40 GALV</t>
  </si>
  <si>
    <t>BASE COLOR GALVANIZADA</t>
  </si>
  <si>
    <t>PASADOR VERTICAL</t>
  </si>
  <si>
    <t>ESCALERA ANTIDESLIZANTE PARA 2M GALV SIN PUER</t>
  </si>
  <si>
    <t>PLATAFORMA METALICA 1,4*60MPUERTA DE ACCESO</t>
  </si>
  <si>
    <t>RODAPIE DE 1,4*0,15M</t>
  </si>
  <si>
    <t>RUEDA DE POLIETILENO DE 8" CON TORNILLO</t>
  </si>
  <si>
    <t>PLATAFORMA DE ACEROY ALUMINIO DE 1,4</t>
  </si>
  <si>
    <t>WFD 558</t>
  </si>
  <si>
    <t>BANDA DE MADERA DE 40*1,40</t>
  </si>
  <si>
    <t>CAMPESTRE NORTE-EDWIN</t>
  </si>
  <si>
    <t>CAMPESTRE NORTE MEGACOLEGIO</t>
  </si>
  <si>
    <t>CCK-110</t>
  </si>
  <si>
    <t>RODACHINES DE ANDAMIO</t>
  </si>
  <si>
    <t>SSY-356</t>
  </si>
  <si>
    <t>SANTOS BAJOS TEL:3174851307</t>
  </si>
  <si>
    <t>ALBA-HUMBERTO GARCIA</t>
  </si>
  <si>
    <t>CRA 20 #8-63 TEL:3164507801</t>
  </si>
  <si>
    <t>MARCOS 0,90*2 MTROS</t>
  </si>
  <si>
    <t>CALLE 10 #23-22 TEL: 3187881513</t>
  </si>
  <si>
    <t>PARAL DE 1 MTROS</t>
  </si>
  <si>
    <t>BANDAS DE MADERA 40*1,40</t>
  </si>
  <si>
    <t>504AAZ</t>
  </si>
  <si>
    <t>JONDER</t>
  </si>
  <si>
    <t>E</t>
  </si>
  <si>
    <t>CAMILO</t>
  </si>
  <si>
    <t>FORMALETA DE 40*1,20</t>
  </si>
  <si>
    <t>TABLEROS DE 70*1,40</t>
  </si>
  <si>
    <t>PEDRO VALBUENA/EDWIN</t>
  </si>
  <si>
    <t>CAMPESTRE NORTE TEL: 3132557680</t>
  </si>
  <si>
    <t>CERCHAS DE 2 MTRSO</t>
  </si>
  <si>
    <t>VEB-658</t>
  </si>
  <si>
    <t>JIMMY JAIMES CARRILLO 72185935</t>
  </si>
  <si>
    <t>DETALLES</t>
  </si>
  <si>
    <t>COSTOS</t>
  </si>
  <si>
    <t>DIAS</t>
  </si>
  <si>
    <t>CANTIDAD</t>
  </si>
  <si>
    <t>VALOR</t>
  </si>
  <si>
    <t>COSTO DIARIO</t>
  </si>
  <si>
    <t>PRECIO DIARIO</t>
  </si>
  <si>
    <t>TABLON 3 MTS</t>
  </si>
  <si>
    <t xml:space="preserve">TOTAL DIARIO </t>
  </si>
  <si>
    <t xml:space="preserve">TOTAL DIAS </t>
  </si>
  <si>
    <t>SECCIONES DE ANDAMIO ROJOS</t>
  </si>
  <si>
    <t>MIRADORES DE LA UIS TEL:3138324182</t>
  </si>
  <si>
    <t>JULIO 22 AL 27</t>
  </si>
  <si>
    <t>LLEVADA Y RECOGIDA</t>
  </si>
  <si>
    <t>CALLE 33 #12-55 TEL: 3005569980</t>
  </si>
  <si>
    <t>ABONO</t>
  </si>
  <si>
    <t xml:space="preserve">CFRCHAS DE 3 MTROS </t>
  </si>
  <si>
    <t>FORMALEETA DE 25*1,20</t>
  </si>
  <si>
    <t>FORMALETA DE 25*60</t>
  </si>
  <si>
    <t>ALINEADORE 3,7</t>
  </si>
  <si>
    <t>ALINEADORE 3 MTROS</t>
  </si>
  <si>
    <t>ALINEADOR DE 2,5</t>
  </si>
  <si>
    <t>ALINEADOR DE  2 MTOS</t>
  </si>
  <si>
    <t>CORBATAS DE MURO E=20CM</t>
  </si>
  <si>
    <t>PIN</t>
  </si>
  <si>
    <t>BERNARDO ORTIZ</t>
  </si>
  <si>
    <t>CALLE7  CON 17TEL: 3107825087</t>
  </si>
  <si>
    <t>CORTE AL 28-07</t>
  </si>
  <si>
    <t>P</t>
  </si>
  <si>
    <t>PARALES DE 1,50</t>
  </si>
  <si>
    <t xml:space="preserve">LUIS AREVALO </t>
  </si>
  <si>
    <t>PUERTO RICO PARTE BAJA  TEL: 3145398334/3053618151</t>
  </si>
  <si>
    <t xml:space="preserve">MATERIAL </t>
  </si>
  <si>
    <t>FORMALETA DE 55*1,20</t>
  </si>
  <si>
    <t>FORAMLETA DE 45*1,20</t>
  </si>
  <si>
    <t>ALINEADORES DE 3 MTRS</t>
  </si>
  <si>
    <t>ALINEADORES DE 1 MTR</t>
  </si>
  <si>
    <t xml:space="preserve">ALINEADORES DE 6 MTROS </t>
  </si>
  <si>
    <t>ANGULOS DE  1,20</t>
  </si>
  <si>
    <t>VIDAL</t>
  </si>
  <si>
    <t>COBRAR A PARTIR DEL 31 DE JULIO</t>
  </si>
  <si>
    <t>OMAR PABON</t>
  </si>
  <si>
    <t>CRA 17 CALLE 1NBARRIO: VILLAMERCEDES TEL:3112877203</t>
  </si>
  <si>
    <t>ANGULOS DE 240</t>
  </si>
  <si>
    <t>WFD-236</t>
  </si>
  <si>
    <t>CERCHA DE 2,40</t>
  </si>
  <si>
    <t>BANDA DE MADERA 40*1,40</t>
  </si>
  <si>
    <r>
      <t>CANC</t>
    </r>
    <r>
      <rPr>
        <b/>
        <sz val="11"/>
        <color theme="1"/>
        <rFont val="Calibri"/>
        <family val="2"/>
        <scheme val="minor"/>
      </rPr>
      <t>ELO 5 DIAS DE CHAPETAS Y TENSORES</t>
    </r>
  </si>
  <si>
    <t>RINCONERAS 10*10*1,20</t>
  </si>
  <si>
    <t>RINCONERAS 10*10 PEQUEÑAS</t>
  </si>
  <si>
    <t>PUERTO RICO TEL: 3124971605</t>
  </si>
  <si>
    <t xml:space="preserve"> </t>
  </si>
  <si>
    <t>EE</t>
  </si>
  <si>
    <t>ANGULOS DE 60*</t>
  </si>
  <si>
    <t>DUCTOLON 10 MTROS</t>
  </si>
  <si>
    <t>JAIME CALA</t>
  </si>
  <si>
    <t>CALLE 6 # 16-18</t>
  </si>
  <si>
    <t xml:space="preserve">MARCOS DE ANDAMIOS ROJOS </t>
  </si>
  <si>
    <t xml:space="preserve">CRUCETAS </t>
  </si>
  <si>
    <t xml:space="preserve">TABLONES DE 3 MTROS </t>
  </si>
  <si>
    <t>MOVIMIENTO:JULIO 1 AL 31/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</si>
</sst>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h:mm:ss;@"/>
    <numFmt numFmtId="165" formatCode="hh:mm:ss;@"/>
    <numFmt numFmtId="166" formatCode="_-&quot;$&quot;\ * #,##0_-;\-&quot;$&quot;\ * #,##0_-;_-&quot;$&quot;\ * &quot;-&quot;??_-;_-@_-"/>
    <numFmt numFmtId="167" formatCode="_(&quot;$&quot;\ * #,##0_);_(&quot;$&quot;\ * \(#,##0\);_(&quot;$&quot;\ 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20" fontId="2" fillId="4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6" fontId="2" fillId="4" borderId="5" xfId="1" applyNumberFormat="1" applyFont="1" applyFill="1" applyBorder="1" applyAlignment="1">
      <alignment vertical="center"/>
    </xf>
    <xf numFmtId="166" fontId="2" fillId="3" borderId="5" xfId="1" applyNumberFormat="1" applyFont="1" applyFill="1" applyBorder="1" applyAlignment="1">
      <alignment vertical="center"/>
    </xf>
    <xf numFmtId="166" fontId="2" fillId="3" borderId="5" xfId="1" applyNumberFormat="1" applyFont="1" applyFill="1" applyBorder="1" applyAlignment="1">
      <alignment horizontal="center" vertical="center"/>
    </xf>
    <xf numFmtId="16" fontId="0" fillId="0" borderId="0" xfId="0" applyNumberFormat="1"/>
    <xf numFmtId="0" fontId="2" fillId="3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6" fontId="2" fillId="4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20" fontId="2" fillId="3" borderId="5" xfId="0" applyNumberFormat="1" applyFont="1" applyFill="1" applyBorder="1" applyAlignment="1">
      <alignment horizontal="center" vertical="center"/>
    </xf>
    <xf numFmtId="167" fontId="2" fillId="3" borderId="5" xfId="1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16" fontId="2" fillId="4" borderId="15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167" fontId="2" fillId="3" borderId="17" xfId="1" applyNumberFormat="1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center" vertical="center"/>
    </xf>
    <xf numFmtId="1" fontId="2" fillId="4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0" fontId="0" fillId="0" borderId="0" xfId="0" quotePrefix="1"/>
    <xf numFmtId="0" fontId="2" fillId="0" borderId="5" xfId="0" applyFont="1" applyBorder="1" applyAlignment="1">
      <alignment vertical="center"/>
    </xf>
    <xf numFmtId="20" fontId="2" fillId="3" borderId="5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center"/>
    </xf>
    <xf numFmtId="167" fontId="2" fillId="3" borderId="5" xfId="1" applyNumberFormat="1" applyFont="1" applyFill="1" applyBorder="1" applyAlignment="1">
      <alignment horizontal="center" vertical="center"/>
    </xf>
    <xf numFmtId="167" fontId="2" fillId="3" borderId="5" xfId="0" applyNumberFormat="1" applyFont="1" applyFill="1" applyBorder="1" applyAlignment="1">
      <alignment horizontal="center"/>
    </xf>
    <xf numFmtId="20" fontId="2" fillId="3" borderId="5" xfId="1" applyNumberFormat="1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0" xfId="0" applyFont="1"/>
    <xf numFmtId="167" fontId="2" fillId="4" borderId="5" xfId="1" applyNumberFormat="1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20" fontId="2" fillId="4" borderId="5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vertical="center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vertical="center"/>
    </xf>
    <xf numFmtId="164" fontId="2" fillId="4" borderId="5" xfId="0" applyNumberFormat="1" applyFont="1" applyFill="1" applyBorder="1" applyAlignment="1">
      <alignment horizontal="center" vertical="center"/>
    </xf>
    <xf numFmtId="20" fontId="2" fillId="3" borderId="0" xfId="0" applyNumberFormat="1" applyFont="1" applyFill="1"/>
    <xf numFmtId="167" fontId="2" fillId="4" borderId="17" xfId="1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16" fontId="2" fillId="4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2" fillId="0" borderId="5" xfId="0" applyFont="1" applyBorder="1"/>
    <xf numFmtId="1" fontId="2" fillId="4" borderId="5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166" fontId="3" fillId="7" borderId="5" xfId="1" applyNumberFormat="1" applyFont="1" applyFill="1" applyBorder="1"/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2" xfId="0" applyFont="1" applyFill="1" applyBorder="1"/>
    <xf numFmtId="166" fontId="2" fillId="4" borderId="5" xfId="1" applyNumberFormat="1" applyFont="1" applyFill="1" applyBorder="1" applyAlignment="1">
      <alignment horizontal="center" vertical="center"/>
    </xf>
    <xf numFmtId="20" fontId="2" fillId="3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6" fontId="0" fillId="0" borderId="0" xfId="1" applyNumberFormat="1" applyFont="1"/>
    <xf numFmtId="0" fontId="0" fillId="6" borderId="0" xfId="0" applyFill="1"/>
    <xf numFmtId="0" fontId="7" fillId="0" borderId="0" xfId="0" applyFont="1"/>
    <xf numFmtId="167" fontId="2" fillId="4" borderId="5" xfId="1" applyNumberFormat="1" applyFont="1" applyFill="1" applyBorder="1" applyAlignment="1">
      <alignment horizontal="right" vertical="center"/>
    </xf>
    <xf numFmtId="20" fontId="2" fillId="3" borderId="21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8" fillId="0" borderId="0" xfId="0" applyFont="1"/>
    <xf numFmtId="0" fontId="2" fillId="6" borderId="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3" borderId="23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167" fontId="2" fillId="3" borderId="0" xfId="1" applyNumberFormat="1" applyFont="1" applyFill="1" applyBorder="1" applyAlignment="1">
      <alignment horizontal="right" vertical="center"/>
    </xf>
    <xf numFmtId="0" fontId="2" fillId="0" borderId="15" xfId="0" applyFont="1" applyBorder="1" applyAlignment="1">
      <alignment horizontal="center"/>
    </xf>
    <xf numFmtId="0" fontId="0" fillId="0" borderId="14" xfId="0" applyBorder="1"/>
    <xf numFmtId="0" fontId="0" fillId="6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5" xfId="1" applyNumberFormat="1" applyFont="1" applyFill="1" applyBorder="1"/>
    <xf numFmtId="167" fontId="0" fillId="0" borderId="15" xfId="1" applyNumberFormat="1" applyFont="1" applyFill="1" applyBorder="1"/>
    <xf numFmtId="167" fontId="12" fillId="6" borderId="5" xfId="1" applyNumberFormat="1" applyFont="1" applyFill="1" applyBorder="1"/>
    <xf numFmtId="0" fontId="0" fillId="0" borderId="24" xfId="0" applyBorder="1" applyAlignment="1">
      <alignment horizontal="center"/>
    </xf>
    <xf numFmtId="167" fontId="12" fillId="9" borderId="17" xfId="1" applyNumberFormat="1" applyFont="1" applyFill="1" applyBorder="1"/>
    <xf numFmtId="0" fontId="0" fillId="0" borderId="25" xfId="0" applyBorder="1" applyAlignment="1">
      <alignment horizontal="center"/>
    </xf>
    <xf numFmtId="167" fontId="12" fillId="10" borderId="4" xfId="1" applyNumberFormat="1" applyFont="1" applyFill="1" applyBorder="1"/>
    <xf numFmtId="167" fontId="12" fillId="11" borderId="17" xfId="1" applyNumberFormat="1" applyFont="1" applyFill="1" applyBorder="1"/>
    <xf numFmtId="0" fontId="0" fillId="0" borderId="28" xfId="0" applyBorder="1" applyAlignment="1">
      <alignment horizontal="center"/>
    </xf>
    <xf numFmtId="166" fontId="2" fillId="0" borderId="0" xfId="1" applyNumberFormat="1" applyFont="1"/>
    <xf numFmtId="14" fontId="2" fillId="0" borderId="0" xfId="0" applyNumberFormat="1" applyFont="1"/>
    <xf numFmtId="0" fontId="2" fillId="5" borderId="22" xfId="0" applyFont="1" applyFill="1" applyBorder="1" applyAlignment="1">
      <alignment horizontal="left" vertical="center"/>
    </xf>
    <xf numFmtId="6" fontId="0" fillId="0" borderId="0" xfId="0" applyNumberFormat="1"/>
    <xf numFmtId="166" fontId="2" fillId="4" borderId="15" xfId="1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4" fontId="11" fillId="6" borderId="14" xfId="0" applyNumberFormat="1" applyFont="1" applyFill="1" applyBorder="1" applyAlignment="1">
      <alignment horizontal="center" vertical="center" wrapText="1"/>
    </xf>
    <xf numFmtId="14" fontId="11" fillId="6" borderId="5" xfId="0" applyNumberFormat="1" applyFont="1" applyFill="1" applyBorder="1" applyAlignment="1">
      <alignment horizontal="center" vertical="center" wrapText="1"/>
    </xf>
    <xf numFmtId="14" fontId="11" fillId="6" borderId="19" xfId="0" applyNumberFormat="1" applyFont="1" applyFill="1" applyBorder="1" applyAlignment="1">
      <alignment horizontal="center" vertical="center" wrapText="1"/>
    </xf>
    <xf numFmtId="14" fontId="11" fillId="6" borderId="4" xfId="0" applyNumberFormat="1" applyFont="1" applyFill="1" applyBorder="1" applyAlignment="1">
      <alignment horizontal="center" vertical="center" wrapText="1"/>
    </xf>
    <xf numFmtId="14" fontId="11" fillId="6" borderId="16" xfId="0" applyNumberFormat="1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17" fontId="3" fillId="2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0E3EA1AA-D701-4085-AF85-DDE85F72F731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5-05-21T15:12:42.59" personId="{0E3EA1AA-D701-4085-AF85-DDE85F72F731}" id="{2D116168-1CC3-440C-B3CF-4E89A9D7202B}">
    <text>12 LS</text>
  </threadedComment>
  <threadedComment ref="G8" dT="2025-04-08T21:47:45.96" personId="{0E3EA1AA-D701-4085-AF85-DDE85F72F731}" id="{2B904E32-E883-4B9B-AA23-255485ECDB18}">
    <text>PENDIENTES 4 DE LS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5-07-16T22:04:53.43" personId="{0E3EA1AA-D701-4085-AF85-DDE85F72F731}" id="{C55BA796-A44D-4DD2-B20E-53EBC50C0EBE}">
    <text xml:space="preserve">9 DE ALQUIOBRAS
</text>
  </threadedComment>
</ThreadedComment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J6" sqref="J6"/>
    </sheetView>
  </sheetViews>
  <sheetFormatPr baseColWidth="10" defaultColWidth="9.140625" defaultRowHeight="15" x14ac:dyDescent="0.25"/>
  <cols>
    <col min="1" max="1" width="26.28515625" customWidth="1"/>
    <col min="2" max="3" width="12.5703125" customWidth="1"/>
    <col min="4" max="5" width="12.42578125" customWidth="1"/>
    <col min="6" max="12" width="11" customWidth="1"/>
    <col min="13" max="13" width="13.28515625" customWidth="1"/>
  </cols>
  <sheetData>
    <row r="1" spans="1:13" ht="18.75" x14ac:dyDescent="0.3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ht="18.75" x14ac:dyDescent="0.3">
      <c r="A2" s="119" t="s">
        <v>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1"/>
    </row>
    <row r="3" spans="1:13" ht="18.75" x14ac:dyDescent="0.3">
      <c r="A3" s="119" t="s">
        <v>9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1"/>
    </row>
    <row r="4" spans="1:13" x14ac:dyDescent="0.25">
      <c r="A4" s="122" t="s">
        <v>2</v>
      </c>
      <c r="B4" s="1" t="s">
        <v>3</v>
      </c>
      <c r="C4" s="2">
        <v>12824</v>
      </c>
      <c r="D4" s="1">
        <v>12836</v>
      </c>
      <c r="E4" s="1">
        <v>12837</v>
      </c>
      <c r="F4" s="1">
        <v>11632</v>
      </c>
      <c r="G4" s="1">
        <v>11639</v>
      </c>
      <c r="H4" s="1">
        <v>11657</v>
      </c>
      <c r="I4" s="1">
        <v>11673</v>
      </c>
      <c r="J4" s="1">
        <v>11683</v>
      </c>
      <c r="K4" s="1">
        <v>11681</v>
      </c>
      <c r="L4" s="1"/>
      <c r="M4" s="1" t="s">
        <v>4</v>
      </c>
    </row>
    <row r="5" spans="1:13" x14ac:dyDescent="0.25">
      <c r="A5" s="123"/>
      <c r="B5" s="4">
        <v>45838</v>
      </c>
      <c r="C5" s="4">
        <v>45840</v>
      </c>
      <c r="D5" s="4">
        <v>45847</v>
      </c>
      <c r="E5" s="4">
        <v>45847</v>
      </c>
      <c r="F5" s="4">
        <v>45849</v>
      </c>
      <c r="G5" s="4">
        <v>45852</v>
      </c>
      <c r="H5" s="4">
        <v>45860</v>
      </c>
      <c r="I5" s="4">
        <v>45866</v>
      </c>
      <c r="J5" s="4">
        <v>45869</v>
      </c>
      <c r="K5" s="4">
        <v>45869</v>
      </c>
      <c r="L5" s="4"/>
      <c r="M5" s="4">
        <v>45869</v>
      </c>
    </row>
    <row r="6" spans="1:13" x14ac:dyDescent="0.25">
      <c r="A6" s="5" t="s">
        <v>5</v>
      </c>
      <c r="B6" s="6">
        <v>30</v>
      </c>
      <c r="C6" s="7"/>
      <c r="D6" s="7"/>
      <c r="E6" s="7"/>
      <c r="F6" s="7"/>
      <c r="G6" s="7"/>
      <c r="H6" s="22">
        <v>-12</v>
      </c>
      <c r="I6" s="22">
        <v>-11</v>
      </c>
      <c r="J6" s="22">
        <v>-1</v>
      </c>
      <c r="K6" s="22">
        <v>-6</v>
      </c>
      <c r="L6" s="7"/>
      <c r="M6" s="8">
        <f>SUM(B6:K6)</f>
        <v>0</v>
      </c>
    </row>
    <row r="7" spans="1:13" x14ac:dyDescent="0.25">
      <c r="A7" s="5" t="s">
        <v>125</v>
      </c>
      <c r="B7" s="6"/>
      <c r="C7" s="46">
        <v>8</v>
      </c>
      <c r="D7" s="7"/>
      <c r="E7" s="7"/>
      <c r="F7" s="46">
        <v>-8</v>
      </c>
      <c r="G7" s="7"/>
      <c r="H7" s="7"/>
      <c r="I7" s="22"/>
      <c r="J7" s="7"/>
      <c r="K7" s="7"/>
      <c r="L7" s="7"/>
      <c r="M7" s="8">
        <f>SUM(B7:F7)</f>
        <v>0</v>
      </c>
    </row>
    <row r="8" spans="1:13" x14ac:dyDescent="0.25">
      <c r="A8" s="5" t="s">
        <v>79</v>
      </c>
      <c r="B8" s="6"/>
      <c r="C8" s="7"/>
      <c r="D8" s="46">
        <v>18</v>
      </c>
      <c r="E8" s="46">
        <v>6</v>
      </c>
      <c r="F8" s="7"/>
      <c r="G8" s="46">
        <v>-18</v>
      </c>
      <c r="H8" s="7"/>
      <c r="I8" s="22"/>
      <c r="J8" s="7"/>
      <c r="K8" s="7"/>
      <c r="L8" s="7"/>
      <c r="M8" s="8">
        <f>SUM(B8:G8)</f>
        <v>6</v>
      </c>
    </row>
    <row r="9" spans="1:13" x14ac:dyDescent="0.25">
      <c r="A9" s="5" t="s">
        <v>6</v>
      </c>
      <c r="B9" s="6">
        <v>3</v>
      </c>
      <c r="C9" s="7"/>
      <c r="D9" s="7"/>
      <c r="E9" s="7"/>
      <c r="F9" s="7"/>
      <c r="G9" s="7"/>
      <c r="H9" s="7"/>
      <c r="I9" s="22">
        <v>-3</v>
      </c>
      <c r="J9" s="7"/>
      <c r="K9" s="7"/>
      <c r="L9" s="7"/>
      <c r="M9" s="8">
        <f>SUM(B9:I9)</f>
        <v>0</v>
      </c>
    </row>
    <row r="10" spans="1:13" x14ac:dyDescent="0.25">
      <c r="A10" s="9" t="s">
        <v>7</v>
      </c>
      <c r="B10" s="10"/>
      <c r="C10" s="11">
        <v>0.17708333333333334</v>
      </c>
      <c r="D10" s="12">
        <v>0.40972222222222221</v>
      </c>
      <c r="E10" s="12">
        <v>9.7222222222222224E-2</v>
      </c>
      <c r="F10" s="12">
        <v>0.42708333333333331</v>
      </c>
      <c r="G10" s="12">
        <v>0.11458333333333333</v>
      </c>
      <c r="H10" s="12">
        <v>9.166666666666666E-2</v>
      </c>
      <c r="I10" s="12">
        <v>0.37152777777777779</v>
      </c>
      <c r="J10" s="12">
        <v>8.3333333333333329E-2</v>
      </c>
      <c r="K10" s="12">
        <v>0.41319444444444442</v>
      </c>
      <c r="L10" s="12"/>
      <c r="M10" s="2"/>
    </row>
    <row r="11" spans="1:13" x14ac:dyDescent="0.25">
      <c r="A11" s="9" t="s">
        <v>8</v>
      </c>
      <c r="B11" s="13"/>
      <c r="C11" s="14" t="s">
        <v>126</v>
      </c>
      <c r="D11" s="12" t="s">
        <v>182</v>
      </c>
      <c r="E11" s="12" t="s">
        <v>182</v>
      </c>
      <c r="F11" s="12" t="s">
        <v>182</v>
      </c>
      <c r="G11" s="12" t="s">
        <v>182</v>
      </c>
      <c r="H11" s="12" t="s">
        <v>182</v>
      </c>
      <c r="I11" s="12" t="s">
        <v>182</v>
      </c>
      <c r="J11" s="12" t="s">
        <v>182</v>
      </c>
      <c r="K11" s="12" t="s">
        <v>126</v>
      </c>
      <c r="L11" s="12"/>
      <c r="M11" s="15"/>
    </row>
    <row r="12" spans="1:13" x14ac:dyDescent="0.25">
      <c r="B12">
        <v>12727</v>
      </c>
      <c r="F12" s="16"/>
      <c r="G12" s="16"/>
      <c r="H12" s="16"/>
      <c r="I12" s="16"/>
      <c r="J12" s="16"/>
      <c r="K12" s="16"/>
      <c r="L12" s="16"/>
    </row>
    <row r="13" spans="1:13" x14ac:dyDescent="0.25">
      <c r="B13">
        <v>12754</v>
      </c>
    </row>
    <row r="14" spans="1:13" x14ac:dyDescent="0.25">
      <c r="D14" s="38"/>
    </row>
    <row r="17" spans="4:4" x14ac:dyDescent="0.25">
      <c r="D17" s="83"/>
    </row>
  </sheetData>
  <mergeCells count="4">
    <mergeCell ref="A1:M1"/>
    <mergeCell ref="A2:M2"/>
    <mergeCell ref="A3:M3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4086-CD87-42D5-807C-542B71AFA4EA}">
  <dimension ref="A1:G10"/>
  <sheetViews>
    <sheetView workbookViewId="0">
      <selection activeCell="E12" sqref="E12"/>
    </sheetView>
  </sheetViews>
  <sheetFormatPr baseColWidth="10" defaultRowHeight="15" x14ac:dyDescent="0.25"/>
  <cols>
    <col min="1" max="1" width="28.42578125" customWidth="1"/>
  </cols>
  <sheetData>
    <row r="1" spans="1:7" ht="18.75" x14ac:dyDescent="0.3">
      <c r="A1" s="119" t="s">
        <v>127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128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12825</v>
      </c>
      <c r="C4" s="2">
        <v>11622</v>
      </c>
      <c r="D4" s="1"/>
      <c r="E4" s="1"/>
      <c r="F4" s="1"/>
      <c r="G4" s="1" t="s">
        <v>4</v>
      </c>
    </row>
    <row r="5" spans="1:7" x14ac:dyDescent="0.25">
      <c r="A5" s="123"/>
      <c r="B5" s="4">
        <v>45841</v>
      </c>
      <c r="C5" s="4">
        <v>45843</v>
      </c>
      <c r="D5" s="4"/>
      <c r="E5" s="4"/>
      <c r="F5" s="4"/>
      <c r="G5" s="4">
        <v>45869</v>
      </c>
    </row>
    <row r="6" spans="1:7" x14ac:dyDescent="0.25">
      <c r="A6" s="5" t="s">
        <v>129</v>
      </c>
      <c r="B6" s="6">
        <v>2</v>
      </c>
      <c r="C6" s="7">
        <v>-2</v>
      </c>
      <c r="D6" s="7"/>
      <c r="E6" s="7"/>
      <c r="F6" s="7"/>
      <c r="G6" s="8">
        <f>SUM(B6:F6)</f>
        <v>0</v>
      </c>
    </row>
    <row r="7" spans="1:7" x14ac:dyDescent="0.25">
      <c r="A7" s="5"/>
      <c r="B7" s="6"/>
      <c r="C7" s="7"/>
      <c r="D7" s="7"/>
      <c r="E7" s="7"/>
      <c r="F7" s="7"/>
      <c r="G7" s="8">
        <f>SUM(B7:F7)</f>
        <v>0</v>
      </c>
    </row>
    <row r="8" spans="1:7" x14ac:dyDescent="0.25">
      <c r="A8" s="5"/>
      <c r="B8" s="6"/>
      <c r="C8" s="7"/>
      <c r="D8" s="7"/>
      <c r="E8" s="7"/>
      <c r="F8" s="7"/>
      <c r="G8" s="8">
        <f>SUM(B8:F8)</f>
        <v>0</v>
      </c>
    </row>
    <row r="9" spans="1:7" x14ac:dyDescent="0.25">
      <c r="A9" s="9" t="s">
        <v>7</v>
      </c>
      <c r="B9" s="25">
        <v>0.36458333333333331</v>
      </c>
      <c r="C9" s="25">
        <v>0.5</v>
      </c>
      <c r="D9" s="12"/>
      <c r="E9" s="12"/>
      <c r="F9" s="12"/>
      <c r="G9" s="2"/>
    </row>
    <row r="10" spans="1:7" x14ac:dyDescent="0.25">
      <c r="A10" s="9" t="s">
        <v>8</v>
      </c>
      <c r="B10" s="14" t="s">
        <v>130</v>
      </c>
      <c r="C10" s="14" t="s">
        <v>130</v>
      </c>
      <c r="D10" s="12"/>
      <c r="E10" s="12"/>
      <c r="F10" s="12"/>
      <c r="G10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4A44-740B-4EF0-9B12-42EB324C1941}">
  <dimension ref="A1:G10"/>
  <sheetViews>
    <sheetView workbookViewId="0">
      <selection activeCell="B18" sqref="B18"/>
    </sheetView>
  </sheetViews>
  <sheetFormatPr baseColWidth="10" defaultRowHeight="15" x14ac:dyDescent="0.25"/>
  <cols>
    <col min="1" max="1" width="25.7109375" customWidth="1"/>
  </cols>
  <sheetData>
    <row r="1" spans="1:7" ht="18.75" x14ac:dyDescent="0.3">
      <c r="A1" s="119" t="s">
        <v>262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261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12871</v>
      </c>
      <c r="C4" s="2">
        <v>11651</v>
      </c>
      <c r="D4" s="1"/>
      <c r="E4" s="1"/>
      <c r="F4" s="1"/>
      <c r="G4" s="1" t="s">
        <v>4</v>
      </c>
    </row>
    <row r="5" spans="1:7" x14ac:dyDescent="0.25">
      <c r="A5" s="123"/>
      <c r="B5" s="4">
        <v>45856</v>
      </c>
      <c r="C5" s="4">
        <v>45857</v>
      </c>
      <c r="D5" s="4"/>
      <c r="E5" s="4"/>
      <c r="F5" s="4"/>
      <c r="G5" s="4">
        <v>45869</v>
      </c>
    </row>
    <row r="6" spans="1:7" x14ac:dyDescent="0.25">
      <c r="A6" s="5" t="s">
        <v>260</v>
      </c>
      <c r="B6" s="6">
        <v>1</v>
      </c>
      <c r="C6" s="7">
        <v>-1</v>
      </c>
      <c r="D6" s="7"/>
      <c r="E6" s="7"/>
      <c r="F6" s="7"/>
      <c r="G6" s="8">
        <f>SUM(B6:F6)</f>
        <v>0</v>
      </c>
    </row>
    <row r="7" spans="1:7" x14ac:dyDescent="0.25">
      <c r="A7" s="5"/>
      <c r="B7" s="6"/>
      <c r="C7" s="7"/>
      <c r="D7" s="7"/>
      <c r="E7" s="7"/>
      <c r="F7" s="7"/>
      <c r="G7" s="8">
        <f>SUM(B7:F7)</f>
        <v>0</v>
      </c>
    </row>
    <row r="8" spans="1:7" x14ac:dyDescent="0.25">
      <c r="A8" s="5"/>
      <c r="B8" s="6"/>
      <c r="C8" s="7"/>
      <c r="D8" s="7"/>
      <c r="E8" s="7"/>
      <c r="F8" s="7"/>
      <c r="G8" s="8">
        <f>SUM(B8:F8)</f>
        <v>0</v>
      </c>
    </row>
    <row r="9" spans="1:7" x14ac:dyDescent="0.25">
      <c r="A9" s="9" t="s">
        <v>7</v>
      </c>
      <c r="B9" s="25">
        <v>0.40277777777777779</v>
      </c>
      <c r="C9" s="25">
        <v>0.37152777777777779</v>
      </c>
      <c r="D9" s="12"/>
      <c r="E9" s="12"/>
      <c r="F9" s="12"/>
      <c r="G9" s="2"/>
    </row>
    <row r="10" spans="1:7" x14ac:dyDescent="0.25">
      <c r="A10" s="9" t="s">
        <v>8</v>
      </c>
      <c r="B10" s="14" t="s">
        <v>259</v>
      </c>
      <c r="C10" s="14" t="s">
        <v>24</v>
      </c>
      <c r="D10" s="12"/>
      <c r="E10" s="12"/>
      <c r="F10" s="12"/>
      <c r="G10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1939-24DF-4A8E-B063-B9BFA1427E95}">
  <dimension ref="A1:G12"/>
  <sheetViews>
    <sheetView workbookViewId="0">
      <selection activeCell="C10" sqref="C10"/>
    </sheetView>
  </sheetViews>
  <sheetFormatPr baseColWidth="10" defaultRowHeight="15" x14ac:dyDescent="0.25"/>
  <cols>
    <col min="1" max="1" width="36.140625" bestFit="1" customWidth="1"/>
  </cols>
  <sheetData>
    <row r="1" spans="1:7" ht="18.75" x14ac:dyDescent="0.3">
      <c r="A1" s="119" t="s">
        <v>265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266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12868</v>
      </c>
      <c r="C4" s="2">
        <v>11647</v>
      </c>
      <c r="D4" s="1"/>
      <c r="E4" s="1"/>
      <c r="F4" s="1"/>
      <c r="G4" s="1" t="s">
        <v>4</v>
      </c>
    </row>
    <row r="5" spans="1:7" x14ac:dyDescent="0.25">
      <c r="A5" s="123"/>
      <c r="B5" s="4">
        <v>45855</v>
      </c>
      <c r="C5" s="4">
        <v>45855</v>
      </c>
      <c r="D5" s="4"/>
      <c r="E5" s="4"/>
      <c r="F5" s="4"/>
      <c r="G5" s="4">
        <v>45869</v>
      </c>
    </row>
    <row r="6" spans="1:7" x14ac:dyDescent="0.25">
      <c r="A6" s="5" t="s">
        <v>267</v>
      </c>
      <c r="B6" s="6">
        <v>1</v>
      </c>
      <c r="C6" s="7">
        <v>-1</v>
      </c>
      <c r="D6" s="7"/>
      <c r="E6" s="7"/>
      <c r="F6" s="7"/>
      <c r="G6" s="8">
        <f>SUM(B6:F6)</f>
        <v>0</v>
      </c>
    </row>
    <row r="7" spans="1:7" x14ac:dyDescent="0.25">
      <c r="A7" s="5"/>
      <c r="B7" s="6"/>
      <c r="C7" s="7"/>
      <c r="D7" s="7"/>
      <c r="E7" s="7"/>
      <c r="F7" s="7"/>
      <c r="G7" s="8">
        <f>SUM(B7:F7)</f>
        <v>0</v>
      </c>
    </row>
    <row r="8" spans="1:7" x14ac:dyDescent="0.25">
      <c r="A8" s="5"/>
      <c r="B8" s="6"/>
      <c r="C8" s="7"/>
      <c r="D8" s="7"/>
      <c r="E8" s="7"/>
      <c r="F8" s="7"/>
      <c r="G8" s="8">
        <f>SUM(B8:F8)</f>
        <v>0</v>
      </c>
    </row>
    <row r="9" spans="1:7" x14ac:dyDescent="0.25">
      <c r="A9" s="9" t="s">
        <v>7</v>
      </c>
      <c r="B9" s="25">
        <v>0.40277777777777779</v>
      </c>
      <c r="C9" s="25">
        <v>0.125</v>
      </c>
      <c r="D9" s="12"/>
      <c r="E9" s="12"/>
      <c r="F9" s="12"/>
      <c r="G9" s="2"/>
    </row>
    <row r="10" spans="1:7" x14ac:dyDescent="0.25">
      <c r="A10" s="9" t="s">
        <v>8</v>
      </c>
      <c r="B10" s="14" t="s">
        <v>259</v>
      </c>
      <c r="C10" s="14" t="s">
        <v>211</v>
      </c>
      <c r="D10" s="12"/>
      <c r="E10" s="12"/>
      <c r="F10" s="12"/>
      <c r="G10" s="15"/>
    </row>
    <row r="11" spans="1:7" x14ac:dyDescent="0.25">
      <c r="A11" s="88" t="s">
        <v>268</v>
      </c>
    </row>
    <row r="12" spans="1:7" x14ac:dyDescent="0.25">
      <c r="A12" s="88" t="s">
        <v>269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6A16-9A3A-45C7-A6C6-191A899AA0C3}">
  <dimension ref="A1:I15"/>
  <sheetViews>
    <sheetView workbookViewId="0">
      <selection activeCell="J12" sqref="J12"/>
    </sheetView>
  </sheetViews>
  <sheetFormatPr baseColWidth="10" defaultRowHeight="15" x14ac:dyDescent="0.25"/>
  <cols>
    <col min="1" max="1" width="36.140625" bestFit="1" customWidth="1"/>
  </cols>
  <sheetData>
    <row r="1" spans="1:9" ht="18.75" x14ac:dyDescent="0.3">
      <c r="A1" s="119" t="s">
        <v>270</v>
      </c>
      <c r="B1" s="120"/>
      <c r="C1" s="120"/>
      <c r="D1" s="120"/>
      <c r="E1" s="120"/>
      <c r="F1" s="120"/>
      <c r="G1" s="121"/>
    </row>
    <row r="2" spans="1:9" ht="18.75" x14ac:dyDescent="0.3">
      <c r="A2" s="119" t="s">
        <v>271</v>
      </c>
      <c r="B2" s="120"/>
      <c r="C2" s="120"/>
      <c r="D2" s="120"/>
      <c r="E2" s="120"/>
      <c r="F2" s="120"/>
      <c r="G2" s="121"/>
    </row>
    <row r="3" spans="1:9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9" x14ac:dyDescent="0.25">
      <c r="A4" s="122" t="s">
        <v>2</v>
      </c>
      <c r="B4" s="1">
        <v>12867</v>
      </c>
      <c r="C4" s="2">
        <v>12873</v>
      </c>
      <c r="D4" s="1">
        <v>11655</v>
      </c>
      <c r="E4" s="1">
        <v>12885</v>
      </c>
      <c r="F4" s="1"/>
      <c r="G4" s="1" t="s">
        <v>4</v>
      </c>
    </row>
    <row r="5" spans="1:9" x14ac:dyDescent="0.25">
      <c r="A5" s="123"/>
      <c r="B5" s="4">
        <v>45855</v>
      </c>
      <c r="C5" s="4">
        <v>45857</v>
      </c>
      <c r="D5" s="4">
        <v>45859</v>
      </c>
      <c r="E5" s="4">
        <v>45862</v>
      </c>
      <c r="F5" s="4"/>
      <c r="G5" s="4">
        <v>45869</v>
      </c>
    </row>
    <row r="6" spans="1:9" x14ac:dyDescent="0.25">
      <c r="A6" s="5" t="s">
        <v>303</v>
      </c>
      <c r="B6" s="6">
        <v>6</v>
      </c>
      <c r="C6" s="7">
        <v>2</v>
      </c>
      <c r="D6" s="7">
        <v>-8</v>
      </c>
      <c r="E6" s="7">
        <v>8</v>
      </c>
      <c r="F6" s="7"/>
      <c r="G6" s="8">
        <f>SUM(B6:F6)</f>
        <v>8</v>
      </c>
    </row>
    <row r="7" spans="1:9" x14ac:dyDescent="0.25">
      <c r="A7" s="5" t="s">
        <v>156</v>
      </c>
      <c r="B7" s="6">
        <v>6</v>
      </c>
      <c r="C7" s="7">
        <v>2</v>
      </c>
      <c r="D7" s="7">
        <v>-8</v>
      </c>
      <c r="E7" s="7">
        <v>8</v>
      </c>
      <c r="F7" s="7"/>
      <c r="G7" s="8">
        <f>SUM(B7:F7)</f>
        <v>8</v>
      </c>
    </row>
    <row r="8" spans="1:9" x14ac:dyDescent="0.25">
      <c r="A8" s="5" t="s">
        <v>302</v>
      </c>
      <c r="B8" s="6">
        <v>3</v>
      </c>
      <c r="C8" s="7"/>
      <c r="D8" s="7">
        <v>-3</v>
      </c>
      <c r="E8" s="7">
        <v>2</v>
      </c>
      <c r="F8" s="7"/>
      <c r="G8" s="8">
        <f>SUM(B8:F8)</f>
        <v>2</v>
      </c>
    </row>
    <row r="9" spans="1:9" x14ac:dyDescent="0.25">
      <c r="A9" s="9" t="s">
        <v>7</v>
      </c>
      <c r="B9" s="25">
        <v>0.41666666666666669</v>
      </c>
      <c r="C9" s="25">
        <v>0.46805555555555556</v>
      </c>
      <c r="D9" s="12">
        <v>0.16666666666666666</v>
      </c>
      <c r="E9" s="12">
        <v>0.18055555555555555</v>
      </c>
      <c r="F9" s="12"/>
      <c r="G9" s="2"/>
    </row>
    <row r="10" spans="1:9" x14ac:dyDescent="0.25">
      <c r="A10" s="9" t="s">
        <v>8</v>
      </c>
      <c r="B10" s="14">
        <v>10000</v>
      </c>
      <c r="C10" s="14" t="s">
        <v>24</v>
      </c>
      <c r="D10" s="14">
        <v>10000</v>
      </c>
      <c r="E10" s="15">
        <v>7500</v>
      </c>
      <c r="F10" s="12"/>
      <c r="G10" s="15"/>
    </row>
    <row r="11" spans="1:9" x14ac:dyDescent="0.25">
      <c r="A11" s="88" t="s">
        <v>272</v>
      </c>
    </row>
    <row r="15" spans="1:9" x14ac:dyDescent="0.25">
      <c r="I15" t="s">
        <v>352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9592-5BA0-4278-8B13-3D1CD0288789}">
  <dimension ref="A1:G10"/>
  <sheetViews>
    <sheetView workbookViewId="0">
      <selection activeCell="B10" sqref="B10"/>
    </sheetView>
  </sheetViews>
  <sheetFormatPr baseColWidth="10" defaultRowHeight="15" x14ac:dyDescent="0.25"/>
  <cols>
    <col min="1" max="1" width="32.7109375" customWidth="1"/>
  </cols>
  <sheetData>
    <row r="1" spans="1:7" ht="18.75" x14ac:dyDescent="0.3">
      <c r="A1" s="119" t="s">
        <v>299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300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11652</v>
      </c>
      <c r="C4" s="2">
        <v>11685</v>
      </c>
      <c r="D4" s="1"/>
      <c r="E4" s="1"/>
      <c r="F4" s="1"/>
      <c r="G4" s="1" t="s">
        <v>4</v>
      </c>
    </row>
    <row r="5" spans="1:7" x14ac:dyDescent="0.25">
      <c r="A5" s="123"/>
      <c r="B5" s="4">
        <v>45857</v>
      </c>
      <c r="C5" s="4">
        <v>45870</v>
      </c>
      <c r="D5" s="4"/>
      <c r="E5" s="4"/>
      <c r="F5" s="4"/>
      <c r="G5" s="4">
        <v>45869</v>
      </c>
    </row>
    <row r="6" spans="1:7" x14ac:dyDescent="0.25">
      <c r="A6" s="5" t="s">
        <v>301</v>
      </c>
      <c r="B6" s="6">
        <v>4</v>
      </c>
      <c r="C6" s="7">
        <v>-4</v>
      </c>
      <c r="D6" s="7"/>
      <c r="E6" s="7"/>
      <c r="F6" s="7"/>
      <c r="G6" s="8">
        <f>SUM(B6:F6)</f>
        <v>0</v>
      </c>
    </row>
    <row r="7" spans="1:7" x14ac:dyDescent="0.25">
      <c r="A7" s="5" t="s">
        <v>108</v>
      </c>
      <c r="B7" s="6">
        <v>4</v>
      </c>
      <c r="C7" s="7">
        <v>-4</v>
      </c>
      <c r="D7" s="7"/>
      <c r="E7" s="7"/>
      <c r="F7" s="7"/>
      <c r="G7" s="8">
        <f>SUM(B7:F7)</f>
        <v>0</v>
      </c>
    </row>
    <row r="8" spans="1:7" x14ac:dyDescent="0.25">
      <c r="A8" s="5" t="s">
        <v>93</v>
      </c>
      <c r="B8" s="6">
        <v>3</v>
      </c>
      <c r="C8" s="7">
        <v>-3</v>
      </c>
      <c r="D8" s="7"/>
      <c r="E8" s="7"/>
      <c r="F8" s="7"/>
      <c r="G8" s="8">
        <f>SUM(B8:F8)</f>
        <v>0</v>
      </c>
    </row>
    <row r="9" spans="1:7" x14ac:dyDescent="0.25">
      <c r="A9" s="9" t="s">
        <v>7</v>
      </c>
      <c r="B9" s="25">
        <v>0.45833333333333331</v>
      </c>
      <c r="C9" s="25">
        <v>0.47916666666666669</v>
      </c>
      <c r="D9" s="12"/>
      <c r="E9" s="12"/>
      <c r="F9" s="12"/>
      <c r="G9" s="2"/>
    </row>
    <row r="10" spans="1:7" x14ac:dyDescent="0.25">
      <c r="A10" s="9" t="s">
        <v>8</v>
      </c>
      <c r="B10" s="14">
        <v>30000</v>
      </c>
      <c r="C10" s="14">
        <v>30000</v>
      </c>
      <c r="D10" s="12"/>
      <c r="E10" s="12"/>
      <c r="F10" s="12"/>
      <c r="G10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4D67-5B81-4710-9945-A68F2507C26E}">
  <dimension ref="A1:G11"/>
  <sheetViews>
    <sheetView workbookViewId="0">
      <selection activeCell="C9" sqref="C9"/>
    </sheetView>
  </sheetViews>
  <sheetFormatPr baseColWidth="10" defaultRowHeight="15" x14ac:dyDescent="0.25"/>
  <cols>
    <col min="1" max="1" width="28.7109375" customWidth="1"/>
  </cols>
  <sheetData>
    <row r="1" spans="1:7" ht="18.75" x14ac:dyDescent="0.3">
      <c r="A1" s="119" t="s">
        <v>273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274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12866</v>
      </c>
      <c r="C4" s="2">
        <v>11646</v>
      </c>
      <c r="D4" s="1"/>
      <c r="E4" s="1"/>
      <c r="F4" s="1"/>
      <c r="G4" s="1" t="s">
        <v>4</v>
      </c>
    </row>
    <row r="5" spans="1:7" x14ac:dyDescent="0.25">
      <c r="A5" s="123"/>
      <c r="B5" s="4">
        <v>45855</v>
      </c>
      <c r="C5" s="4">
        <v>45855</v>
      </c>
      <c r="D5" s="4"/>
      <c r="E5" s="4"/>
      <c r="F5" s="4"/>
      <c r="G5" s="4">
        <v>45869</v>
      </c>
    </row>
    <row r="6" spans="1:7" x14ac:dyDescent="0.25">
      <c r="A6" s="5" t="s">
        <v>39</v>
      </c>
      <c r="B6" s="6">
        <v>8</v>
      </c>
      <c r="C6" s="7">
        <v>-8</v>
      </c>
      <c r="D6" s="7"/>
      <c r="E6" s="7"/>
      <c r="F6" s="7"/>
      <c r="G6" s="8">
        <f>SUM(B6:F6)</f>
        <v>0</v>
      </c>
    </row>
    <row r="7" spans="1:7" x14ac:dyDescent="0.25">
      <c r="A7" s="5" t="s">
        <v>275</v>
      </c>
      <c r="B7" s="6">
        <v>8</v>
      </c>
      <c r="C7" s="7">
        <v>-8</v>
      </c>
      <c r="D7" s="7"/>
      <c r="E7" s="7"/>
      <c r="F7" s="7"/>
      <c r="G7" s="8">
        <f>SUM(B7:F7)</f>
        <v>0</v>
      </c>
    </row>
    <row r="8" spans="1:7" x14ac:dyDescent="0.25">
      <c r="A8" s="5" t="s">
        <v>276</v>
      </c>
      <c r="B8" s="6">
        <v>2</v>
      </c>
      <c r="C8" s="7">
        <v>-2</v>
      </c>
      <c r="D8" s="7"/>
      <c r="E8" s="7"/>
      <c r="F8" s="7"/>
      <c r="G8" s="8">
        <f>SUM(B8:F8)</f>
        <v>0</v>
      </c>
    </row>
    <row r="9" spans="1:7" x14ac:dyDescent="0.25">
      <c r="A9" s="9" t="s">
        <v>7</v>
      </c>
      <c r="B9" s="25">
        <v>0.33333333333333331</v>
      </c>
      <c r="C9" s="25">
        <v>0.45833333333333331</v>
      </c>
      <c r="D9" s="12"/>
      <c r="E9" s="12"/>
      <c r="F9" s="12"/>
      <c r="G9" s="2"/>
    </row>
    <row r="10" spans="1:7" x14ac:dyDescent="0.25">
      <c r="A10" s="9" t="s">
        <v>8</v>
      </c>
      <c r="B10" s="14" t="s">
        <v>211</v>
      </c>
      <c r="C10" s="14" t="s">
        <v>292</v>
      </c>
      <c r="D10" s="12"/>
      <c r="E10" s="12"/>
      <c r="F10" s="12"/>
      <c r="G10" s="15"/>
    </row>
    <row r="11" spans="1:7" x14ac:dyDescent="0.25">
      <c r="A11" s="88" t="s">
        <v>277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BB9C-BDA8-425C-AF2D-1295B44FCAB1}">
  <dimension ref="A1:F15"/>
  <sheetViews>
    <sheetView workbookViewId="0">
      <selection activeCell="A21" sqref="A21"/>
    </sheetView>
  </sheetViews>
  <sheetFormatPr baseColWidth="10" defaultRowHeight="15" x14ac:dyDescent="0.25"/>
  <cols>
    <col min="1" max="1" width="30.7109375" customWidth="1"/>
  </cols>
  <sheetData>
    <row r="1" spans="1:6" ht="18.75" x14ac:dyDescent="0.3">
      <c r="A1" s="124" t="s">
        <v>111</v>
      </c>
      <c r="B1" s="124"/>
      <c r="C1" s="124"/>
      <c r="D1" s="124"/>
      <c r="E1" s="124"/>
      <c r="F1" s="124"/>
    </row>
    <row r="2" spans="1:6" ht="18.75" x14ac:dyDescent="0.3">
      <c r="A2" s="124" t="s">
        <v>112</v>
      </c>
      <c r="B2" s="124"/>
      <c r="C2" s="124"/>
      <c r="D2" s="124"/>
      <c r="E2" s="124"/>
      <c r="F2" s="124"/>
    </row>
    <row r="3" spans="1:6" ht="18.75" x14ac:dyDescent="0.3">
      <c r="A3" s="124" t="s">
        <v>131</v>
      </c>
      <c r="B3" s="124"/>
      <c r="C3" s="124"/>
      <c r="D3" s="124"/>
      <c r="E3" s="124"/>
      <c r="F3" s="124"/>
    </row>
    <row r="4" spans="1:6" x14ac:dyDescent="0.25">
      <c r="A4" s="125" t="s">
        <v>2</v>
      </c>
      <c r="B4" s="22" t="s">
        <v>113</v>
      </c>
      <c r="C4" s="2">
        <v>11447</v>
      </c>
      <c r="D4" s="2">
        <v>11619</v>
      </c>
      <c r="E4" s="2"/>
      <c r="F4" s="22" t="s">
        <v>3</v>
      </c>
    </row>
    <row r="5" spans="1:6" x14ac:dyDescent="0.25">
      <c r="A5" s="125"/>
      <c r="B5" s="20">
        <v>45747</v>
      </c>
      <c r="C5" s="4">
        <v>45748</v>
      </c>
      <c r="D5" s="4">
        <v>45841</v>
      </c>
      <c r="E5" s="4"/>
      <c r="F5" s="20">
        <v>45777</v>
      </c>
    </row>
    <row r="6" spans="1:6" x14ac:dyDescent="0.25">
      <c r="A6" s="39" t="s">
        <v>30</v>
      </c>
      <c r="B6" s="22">
        <v>7</v>
      </c>
      <c r="C6" s="7">
        <v>-2</v>
      </c>
      <c r="D6" s="7">
        <v>-5</v>
      </c>
      <c r="E6" s="7"/>
      <c r="F6" s="6">
        <f t="shared" ref="F6:F13" si="0">SUM(B6:E6)</f>
        <v>0</v>
      </c>
    </row>
    <row r="7" spans="1:6" x14ac:dyDescent="0.25">
      <c r="A7" s="39" t="s">
        <v>114</v>
      </c>
      <c r="B7" s="22">
        <v>9</v>
      </c>
      <c r="C7" s="7">
        <v>-4</v>
      </c>
      <c r="D7" s="7">
        <v>-5</v>
      </c>
      <c r="E7" s="7"/>
      <c r="F7" s="6">
        <f t="shared" si="0"/>
        <v>0</v>
      </c>
    </row>
    <row r="8" spans="1:6" x14ac:dyDescent="0.25">
      <c r="A8" s="39" t="s">
        <v>115</v>
      </c>
      <c r="B8" s="22">
        <v>10</v>
      </c>
      <c r="C8" s="7">
        <v>-3</v>
      </c>
      <c r="D8" s="7">
        <v>-6</v>
      </c>
      <c r="E8" s="7"/>
      <c r="F8" s="6">
        <f t="shared" si="0"/>
        <v>1</v>
      </c>
    </row>
    <row r="9" spans="1:6" x14ac:dyDescent="0.25">
      <c r="A9" s="39" t="s">
        <v>62</v>
      </c>
      <c r="B9" s="22">
        <v>6</v>
      </c>
      <c r="C9" s="7">
        <v>-6</v>
      </c>
      <c r="D9" s="7"/>
      <c r="E9" s="7"/>
      <c r="F9" s="6">
        <f t="shared" si="0"/>
        <v>0</v>
      </c>
    </row>
    <row r="10" spans="1:6" x14ac:dyDescent="0.25">
      <c r="A10" s="39" t="s">
        <v>17</v>
      </c>
      <c r="B10" s="22">
        <v>25</v>
      </c>
      <c r="C10" s="7"/>
      <c r="D10" s="7">
        <v>-7</v>
      </c>
      <c r="E10" s="7"/>
      <c r="F10" s="6">
        <f t="shared" si="0"/>
        <v>18</v>
      </c>
    </row>
    <row r="11" spans="1:6" x14ac:dyDescent="0.25">
      <c r="A11" s="39" t="s">
        <v>67</v>
      </c>
      <c r="B11" s="22">
        <v>5</v>
      </c>
      <c r="C11" s="7"/>
      <c r="D11" s="7">
        <v>-4</v>
      </c>
      <c r="E11" s="7"/>
      <c r="F11" s="6">
        <f t="shared" si="0"/>
        <v>1</v>
      </c>
    </row>
    <row r="12" spans="1:6" x14ac:dyDescent="0.25">
      <c r="A12" s="39" t="s">
        <v>116</v>
      </c>
      <c r="B12" s="22">
        <v>10</v>
      </c>
      <c r="C12" s="7"/>
      <c r="D12" s="7">
        <v>-10</v>
      </c>
      <c r="E12" s="7"/>
      <c r="F12" s="6">
        <f t="shared" si="0"/>
        <v>0</v>
      </c>
    </row>
    <row r="13" spans="1:6" x14ac:dyDescent="0.25">
      <c r="A13" s="39" t="s">
        <v>71</v>
      </c>
      <c r="B13" s="22">
        <v>6</v>
      </c>
      <c r="C13" s="7"/>
      <c r="D13" s="7">
        <v>-6</v>
      </c>
      <c r="E13" s="7"/>
      <c r="F13" s="6">
        <f t="shared" si="0"/>
        <v>0</v>
      </c>
    </row>
    <row r="14" spans="1:6" x14ac:dyDescent="0.25">
      <c r="A14" s="9" t="s">
        <v>7</v>
      </c>
      <c r="B14" s="10"/>
      <c r="C14" s="25">
        <v>0.14583333333333334</v>
      </c>
      <c r="D14" s="25">
        <v>0.46875</v>
      </c>
      <c r="E14" s="25"/>
      <c r="F14" s="41"/>
    </row>
    <row r="15" spans="1:6" x14ac:dyDescent="0.25">
      <c r="A15" s="9" t="s">
        <v>16</v>
      </c>
      <c r="B15" s="48"/>
      <c r="C15" s="42" t="s">
        <v>117</v>
      </c>
      <c r="D15" s="42" t="s">
        <v>117</v>
      </c>
      <c r="E15" s="42"/>
      <c r="F15" s="41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598E-DD54-43C7-AE6E-566D6AF5D0E6}">
  <dimension ref="A1:F13"/>
  <sheetViews>
    <sheetView workbookViewId="0">
      <selection activeCell="G8" sqref="G8"/>
    </sheetView>
  </sheetViews>
  <sheetFormatPr baseColWidth="10" defaultRowHeight="15" x14ac:dyDescent="0.25"/>
  <cols>
    <col min="1" max="1" width="32" customWidth="1"/>
  </cols>
  <sheetData>
    <row r="1" spans="1:6" ht="18.75" x14ac:dyDescent="0.3">
      <c r="A1" s="124" t="s">
        <v>132</v>
      </c>
      <c r="B1" s="124"/>
      <c r="C1" s="124"/>
      <c r="D1" s="124"/>
      <c r="E1" s="124"/>
      <c r="F1" s="124"/>
    </row>
    <row r="2" spans="1:6" ht="18.75" x14ac:dyDescent="0.3">
      <c r="A2" s="124" t="s">
        <v>138</v>
      </c>
      <c r="B2" s="124"/>
      <c r="C2" s="124"/>
      <c r="D2" s="124"/>
      <c r="E2" s="124"/>
      <c r="F2" s="124"/>
    </row>
    <row r="3" spans="1:6" ht="18.75" x14ac:dyDescent="0.3">
      <c r="A3" s="124" t="s">
        <v>133</v>
      </c>
      <c r="B3" s="124"/>
      <c r="C3" s="124"/>
      <c r="D3" s="124"/>
      <c r="E3" s="124"/>
      <c r="F3" s="124"/>
    </row>
    <row r="4" spans="1:6" x14ac:dyDescent="0.25">
      <c r="A4" s="125" t="s">
        <v>2</v>
      </c>
      <c r="B4" s="1">
        <v>12828</v>
      </c>
      <c r="C4" s="2">
        <v>12829</v>
      </c>
      <c r="D4" s="2"/>
      <c r="E4" s="2"/>
      <c r="F4" s="22" t="s">
        <v>3</v>
      </c>
    </row>
    <row r="5" spans="1:6" x14ac:dyDescent="0.25">
      <c r="A5" s="125"/>
      <c r="B5" s="4">
        <v>45842</v>
      </c>
      <c r="C5" s="4">
        <v>45843</v>
      </c>
      <c r="D5" s="4"/>
      <c r="E5" s="4"/>
      <c r="F5" s="20">
        <v>45777</v>
      </c>
    </row>
    <row r="6" spans="1:6" x14ac:dyDescent="0.25">
      <c r="A6" s="39" t="s">
        <v>134</v>
      </c>
      <c r="B6" s="22">
        <v>14</v>
      </c>
      <c r="C6" s="7">
        <v>2</v>
      </c>
      <c r="D6" s="7"/>
      <c r="E6" s="7"/>
      <c r="F6" s="6">
        <f t="shared" ref="F6:F11" si="0">SUM(B6:E6)</f>
        <v>16</v>
      </c>
    </row>
    <row r="7" spans="1:6" x14ac:dyDescent="0.25">
      <c r="A7" s="39" t="s">
        <v>79</v>
      </c>
      <c r="B7" s="22">
        <v>1</v>
      </c>
      <c r="C7" s="7"/>
      <c r="D7" s="7"/>
      <c r="E7" s="7"/>
      <c r="F7" s="6">
        <f t="shared" si="0"/>
        <v>1</v>
      </c>
    </row>
    <row r="8" spans="1:6" x14ac:dyDescent="0.25">
      <c r="A8" s="39" t="s">
        <v>136</v>
      </c>
      <c r="B8" s="22">
        <v>6</v>
      </c>
      <c r="C8" s="7"/>
      <c r="D8" s="7"/>
      <c r="E8" s="7"/>
      <c r="F8" s="6">
        <f t="shared" si="0"/>
        <v>6</v>
      </c>
    </row>
    <row r="9" spans="1:6" x14ac:dyDescent="0.25">
      <c r="A9" s="39" t="s">
        <v>135</v>
      </c>
      <c r="B9" s="22">
        <v>8</v>
      </c>
      <c r="C9" s="7">
        <v>6</v>
      </c>
      <c r="D9" s="7"/>
      <c r="E9" s="7"/>
      <c r="F9" s="6">
        <f t="shared" si="0"/>
        <v>14</v>
      </c>
    </row>
    <row r="10" spans="1:6" x14ac:dyDescent="0.25">
      <c r="A10" s="39" t="s">
        <v>31</v>
      </c>
      <c r="B10" s="22">
        <v>48</v>
      </c>
      <c r="C10" s="7">
        <v>10</v>
      </c>
      <c r="D10" s="7"/>
      <c r="E10" s="7"/>
      <c r="F10" s="6">
        <f t="shared" si="0"/>
        <v>58</v>
      </c>
    </row>
    <row r="11" spans="1:6" x14ac:dyDescent="0.25">
      <c r="A11" s="39" t="s">
        <v>74</v>
      </c>
      <c r="B11" s="22">
        <v>15</v>
      </c>
      <c r="C11" s="7">
        <v>5</v>
      </c>
      <c r="D11" s="7"/>
      <c r="E11" s="7"/>
      <c r="F11" s="6">
        <f t="shared" si="0"/>
        <v>20</v>
      </c>
    </row>
    <row r="12" spans="1:6" x14ac:dyDescent="0.25">
      <c r="A12" s="9" t="s">
        <v>7</v>
      </c>
      <c r="B12" s="25">
        <v>0.47499999999999998</v>
      </c>
      <c r="C12" s="25">
        <v>0.47222222222222221</v>
      </c>
      <c r="D12" s="25"/>
      <c r="E12" s="25"/>
      <c r="F12" s="41"/>
    </row>
    <row r="13" spans="1:6" x14ac:dyDescent="0.25">
      <c r="A13" s="9" t="s">
        <v>16</v>
      </c>
      <c r="B13" s="42" t="s">
        <v>137</v>
      </c>
      <c r="C13" s="42" t="s">
        <v>137</v>
      </c>
      <c r="D13" s="42"/>
      <c r="E13" s="42"/>
      <c r="F13" s="41"/>
    </row>
  </sheetData>
  <mergeCells count="4">
    <mergeCell ref="A1:F1"/>
    <mergeCell ref="A2:F2"/>
    <mergeCell ref="A3:F3"/>
    <mergeCell ref="A4:A5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5E16-8993-4DE0-8243-C018AF52A102}">
  <dimension ref="A1:F16"/>
  <sheetViews>
    <sheetView workbookViewId="0">
      <selection activeCell="J8" sqref="J8"/>
    </sheetView>
  </sheetViews>
  <sheetFormatPr baseColWidth="10" defaultRowHeight="15" x14ac:dyDescent="0.25"/>
  <cols>
    <col min="1" max="1" width="26.85546875" customWidth="1"/>
    <col min="3" max="3" width="13.85546875" customWidth="1"/>
    <col min="6" max="6" width="15.85546875" customWidth="1"/>
  </cols>
  <sheetData>
    <row r="1" spans="1:6" ht="18.75" x14ac:dyDescent="0.3">
      <c r="A1" s="124" t="s">
        <v>356</v>
      </c>
      <c r="B1" s="124"/>
      <c r="C1" s="124"/>
      <c r="D1" s="124"/>
      <c r="E1" s="124"/>
      <c r="F1" s="124"/>
    </row>
    <row r="2" spans="1:6" ht="18.75" x14ac:dyDescent="0.3">
      <c r="A2" s="124" t="s">
        <v>357</v>
      </c>
      <c r="B2" s="124"/>
      <c r="C2" s="124"/>
      <c r="D2" s="124"/>
      <c r="E2" s="124"/>
      <c r="F2" s="124"/>
    </row>
    <row r="3" spans="1:6" ht="18.75" x14ac:dyDescent="0.3">
      <c r="A3" s="124" t="s">
        <v>133</v>
      </c>
      <c r="B3" s="124"/>
      <c r="C3" s="124"/>
      <c r="D3" s="124"/>
      <c r="E3" s="124"/>
      <c r="F3" s="124"/>
    </row>
    <row r="4" spans="1:6" x14ac:dyDescent="0.25">
      <c r="A4" s="125" t="s">
        <v>2</v>
      </c>
      <c r="B4" s="1">
        <v>12892</v>
      </c>
      <c r="C4" s="2">
        <v>12893</v>
      </c>
      <c r="D4" s="2">
        <v>12894</v>
      </c>
      <c r="E4" s="2"/>
      <c r="F4" s="22" t="s">
        <v>3</v>
      </c>
    </row>
    <row r="5" spans="1:6" x14ac:dyDescent="0.25">
      <c r="A5" s="125"/>
      <c r="B5" s="4">
        <v>45866</v>
      </c>
      <c r="C5" s="4">
        <v>45866</v>
      </c>
      <c r="D5" s="4">
        <v>45866</v>
      </c>
      <c r="E5" s="4"/>
      <c r="F5" s="20">
        <v>45777</v>
      </c>
    </row>
    <row r="6" spans="1:6" x14ac:dyDescent="0.25">
      <c r="A6" s="39" t="s">
        <v>134</v>
      </c>
      <c r="B6" s="22">
        <v>2</v>
      </c>
      <c r="C6" s="7">
        <v>78</v>
      </c>
      <c r="D6" s="7"/>
      <c r="E6" s="7"/>
      <c r="F6" s="6">
        <f t="shared" ref="F6:F14" si="0">SUM(B6:E6)</f>
        <v>80</v>
      </c>
    </row>
    <row r="7" spans="1:6" x14ac:dyDescent="0.25">
      <c r="A7" s="39" t="s">
        <v>36</v>
      </c>
      <c r="B7" s="22"/>
      <c r="C7" s="7"/>
      <c r="D7" s="7">
        <v>6</v>
      </c>
      <c r="E7" s="7"/>
      <c r="F7" s="6">
        <f>SUM(B7:E7)</f>
        <v>6</v>
      </c>
    </row>
    <row r="8" spans="1:6" x14ac:dyDescent="0.25">
      <c r="A8" s="39" t="s">
        <v>79</v>
      </c>
      <c r="B8" s="22"/>
      <c r="C8" s="7"/>
      <c r="D8" s="7">
        <v>10</v>
      </c>
      <c r="E8" s="7"/>
      <c r="F8" s="6">
        <f>SUM(B8:E8)</f>
        <v>10</v>
      </c>
    </row>
    <row r="9" spans="1:6" x14ac:dyDescent="0.25">
      <c r="A9" s="39" t="s">
        <v>6</v>
      </c>
      <c r="B9" s="22"/>
      <c r="C9" s="7"/>
      <c r="D9" s="7">
        <v>10</v>
      </c>
      <c r="E9" s="7"/>
      <c r="F9" s="6">
        <f>SUM(B9:E9)</f>
        <v>10</v>
      </c>
    </row>
    <row r="10" spans="1:6" x14ac:dyDescent="0.25">
      <c r="A10" s="39" t="s">
        <v>102</v>
      </c>
      <c r="B10" s="22"/>
      <c r="C10" s="7"/>
      <c r="D10" s="7">
        <v>20</v>
      </c>
      <c r="E10" s="7"/>
      <c r="F10" s="6">
        <f>SUM(D10:E10)</f>
        <v>20</v>
      </c>
    </row>
    <row r="11" spans="1:6" x14ac:dyDescent="0.25">
      <c r="A11" s="39" t="s">
        <v>377</v>
      </c>
      <c r="B11" s="22">
        <v>28</v>
      </c>
      <c r="C11" s="7"/>
      <c r="D11" s="7">
        <v>4</v>
      </c>
      <c r="E11" s="7"/>
      <c r="F11" s="6">
        <f t="shared" si="0"/>
        <v>32</v>
      </c>
    </row>
    <row r="12" spans="1:6" x14ac:dyDescent="0.25">
      <c r="A12" s="39" t="s">
        <v>358</v>
      </c>
      <c r="B12" s="22"/>
      <c r="C12" s="7"/>
      <c r="D12" s="7">
        <v>6</v>
      </c>
      <c r="E12" s="7"/>
      <c r="F12" s="6">
        <f>SUM(B12:E12)</f>
        <v>6</v>
      </c>
    </row>
    <row r="13" spans="1:6" x14ac:dyDescent="0.25">
      <c r="A13" s="39" t="s">
        <v>30</v>
      </c>
      <c r="B13" s="22">
        <v>76</v>
      </c>
      <c r="C13" s="7"/>
      <c r="D13" s="7">
        <v>4</v>
      </c>
      <c r="E13" s="7"/>
      <c r="F13" s="6">
        <f t="shared" si="0"/>
        <v>80</v>
      </c>
    </row>
    <row r="14" spans="1:6" x14ac:dyDescent="0.25">
      <c r="A14" s="39" t="s">
        <v>78</v>
      </c>
      <c r="B14" s="22"/>
      <c r="C14" s="7">
        <v>2</v>
      </c>
      <c r="D14" s="7">
        <v>4</v>
      </c>
      <c r="E14" s="7"/>
      <c r="F14" s="6">
        <f t="shared" si="0"/>
        <v>6</v>
      </c>
    </row>
    <row r="15" spans="1:6" x14ac:dyDescent="0.25">
      <c r="A15" s="9" t="s">
        <v>7</v>
      </c>
      <c r="B15" s="25">
        <v>0.35416666666666669</v>
      </c>
      <c r="C15" s="25">
        <v>0.40277777777777779</v>
      </c>
      <c r="D15" s="25">
        <v>0.10416666666666667</v>
      </c>
      <c r="E15" s="25"/>
      <c r="F15" s="41"/>
    </row>
    <row r="16" spans="1:6" x14ac:dyDescent="0.25">
      <c r="A16" s="9" t="s">
        <v>16</v>
      </c>
      <c r="B16" s="42">
        <v>40000</v>
      </c>
      <c r="C16" s="42">
        <v>40000</v>
      </c>
      <c r="D16" s="42">
        <v>30000</v>
      </c>
      <c r="E16" s="42"/>
      <c r="F16" s="41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5798-70CD-47FB-9963-3F74765FB0D7}">
  <dimension ref="A1:M19"/>
  <sheetViews>
    <sheetView workbookViewId="0">
      <selection activeCell="N15" sqref="N15"/>
    </sheetView>
  </sheetViews>
  <sheetFormatPr baseColWidth="10" defaultRowHeight="15" x14ac:dyDescent="0.25"/>
  <cols>
    <col min="1" max="1" width="27.140625" customWidth="1"/>
    <col min="5" max="5" width="12" bestFit="1" customWidth="1"/>
    <col min="13" max="13" width="12" bestFit="1" customWidth="1"/>
  </cols>
  <sheetData>
    <row r="1" spans="1:12" ht="18.75" x14ac:dyDescent="0.3">
      <c r="A1" s="126" t="s">
        <v>139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18.75" x14ac:dyDescent="0.3">
      <c r="A2" s="128" t="s">
        <v>140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2" ht="18.75" x14ac:dyDescent="0.3">
      <c r="A3" s="128" t="s">
        <v>19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</row>
    <row r="4" spans="1:12" x14ac:dyDescent="0.25">
      <c r="A4" s="129" t="s">
        <v>2</v>
      </c>
      <c r="B4" s="22" t="s">
        <v>3</v>
      </c>
      <c r="C4" s="1">
        <v>12827</v>
      </c>
      <c r="D4" s="1">
        <v>12831</v>
      </c>
      <c r="E4" s="51">
        <v>11627</v>
      </c>
      <c r="F4" s="51">
        <v>11626</v>
      </c>
      <c r="G4" s="51">
        <v>12834</v>
      </c>
      <c r="H4" s="51">
        <v>12844</v>
      </c>
      <c r="I4" s="51">
        <v>11638</v>
      </c>
      <c r="J4" s="51">
        <v>11641</v>
      </c>
      <c r="K4" s="51">
        <v>11664</v>
      </c>
      <c r="L4" s="52" t="s">
        <v>3</v>
      </c>
    </row>
    <row r="5" spans="1:12" x14ac:dyDescent="0.25">
      <c r="A5" s="130"/>
      <c r="B5" s="20">
        <v>45838</v>
      </c>
      <c r="C5" s="4">
        <v>45842</v>
      </c>
      <c r="D5" s="53">
        <v>45845</v>
      </c>
      <c r="E5" s="54">
        <v>45845</v>
      </c>
      <c r="F5" s="54">
        <v>45846</v>
      </c>
      <c r="G5" s="54">
        <v>45846</v>
      </c>
      <c r="H5" s="54">
        <v>45849</v>
      </c>
      <c r="I5" s="54">
        <v>45852</v>
      </c>
      <c r="J5" s="54">
        <v>45853</v>
      </c>
      <c r="K5" s="54">
        <v>45862</v>
      </c>
      <c r="L5" s="29">
        <v>45869</v>
      </c>
    </row>
    <row r="6" spans="1:12" x14ac:dyDescent="0.25">
      <c r="A6" s="55" t="s">
        <v>49</v>
      </c>
      <c r="B6" s="22">
        <v>9</v>
      </c>
      <c r="C6" s="7"/>
      <c r="D6" s="56"/>
      <c r="E6" s="57"/>
      <c r="F6" s="57"/>
      <c r="G6" s="57"/>
      <c r="H6" s="57"/>
      <c r="I6" s="57"/>
      <c r="J6" s="57"/>
      <c r="K6" s="57">
        <v>-4</v>
      </c>
      <c r="L6" s="58">
        <f>SUM(B6:K6)</f>
        <v>5</v>
      </c>
    </row>
    <row r="7" spans="1:12" x14ac:dyDescent="0.25">
      <c r="A7" s="55" t="s">
        <v>66</v>
      </c>
      <c r="B7" s="22">
        <v>30</v>
      </c>
      <c r="C7" s="7"/>
      <c r="D7" s="56"/>
      <c r="E7" s="57"/>
      <c r="F7" s="57"/>
      <c r="G7" s="57"/>
      <c r="H7" s="57"/>
      <c r="I7" s="57"/>
      <c r="J7" s="57">
        <v>-30</v>
      </c>
      <c r="K7" s="57"/>
      <c r="L7" s="58">
        <f t="shared" ref="L7:L9" si="0">SUM(B7:K7)</f>
        <v>0</v>
      </c>
    </row>
    <row r="8" spans="1:12" x14ac:dyDescent="0.25">
      <c r="A8" s="55" t="s">
        <v>142</v>
      </c>
      <c r="B8" s="22">
        <v>5</v>
      </c>
      <c r="C8" s="7"/>
      <c r="D8" s="56"/>
      <c r="E8" s="57"/>
      <c r="F8" s="57">
        <v>-4</v>
      </c>
      <c r="G8" s="57"/>
      <c r="H8" s="57"/>
      <c r="I8" s="57"/>
      <c r="J8" s="57"/>
      <c r="K8" s="57"/>
      <c r="L8" s="58">
        <f t="shared" si="0"/>
        <v>1</v>
      </c>
    </row>
    <row r="9" spans="1:12" x14ac:dyDescent="0.25">
      <c r="A9" s="55" t="s">
        <v>80</v>
      </c>
      <c r="B9" s="22"/>
      <c r="C9" s="7">
        <v>10</v>
      </c>
      <c r="D9" s="56"/>
      <c r="E9" s="7"/>
      <c r="F9" s="7">
        <v>-10</v>
      </c>
      <c r="G9" s="7"/>
      <c r="H9" s="7">
        <v>12</v>
      </c>
      <c r="I9" s="57">
        <v>-12</v>
      </c>
      <c r="J9" s="57"/>
      <c r="K9" s="57"/>
      <c r="L9" s="58">
        <f t="shared" si="0"/>
        <v>0</v>
      </c>
    </row>
    <row r="10" spans="1:12" x14ac:dyDescent="0.25">
      <c r="A10" s="55" t="s">
        <v>194</v>
      </c>
      <c r="B10" s="22"/>
      <c r="C10" s="7"/>
      <c r="D10" s="56"/>
      <c r="E10" s="7"/>
      <c r="F10" s="7"/>
      <c r="G10" s="7"/>
      <c r="H10" s="7">
        <v>24</v>
      </c>
      <c r="I10" s="57">
        <v>-24</v>
      </c>
      <c r="J10" s="57"/>
      <c r="K10" s="57"/>
      <c r="L10" s="58">
        <f t="shared" ref="L10:L15" si="1">SUM(B10:I10)</f>
        <v>0</v>
      </c>
    </row>
    <row r="11" spans="1:12" x14ac:dyDescent="0.25">
      <c r="A11" s="55" t="s">
        <v>167</v>
      </c>
      <c r="B11" s="22"/>
      <c r="C11" s="7"/>
      <c r="D11" s="56">
        <v>1</v>
      </c>
      <c r="E11" s="7">
        <v>-1</v>
      </c>
      <c r="F11" s="7"/>
      <c r="G11" s="7"/>
      <c r="H11" s="7"/>
      <c r="I11" s="57"/>
      <c r="J11" s="57"/>
      <c r="K11" s="57"/>
      <c r="L11" s="58">
        <f t="shared" si="1"/>
        <v>0</v>
      </c>
    </row>
    <row r="12" spans="1:12" x14ac:dyDescent="0.25">
      <c r="A12" s="55" t="s">
        <v>102</v>
      </c>
      <c r="B12" s="22"/>
      <c r="C12" s="7"/>
      <c r="D12" s="56"/>
      <c r="E12" s="81"/>
      <c r="F12" s="7"/>
      <c r="G12" s="81">
        <v>8</v>
      </c>
      <c r="H12" s="7"/>
      <c r="I12" s="57">
        <v>-8</v>
      </c>
      <c r="J12" s="57"/>
      <c r="K12" s="57"/>
      <c r="L12" s="58">
        <f t="shared" si="1"/>
        <v>0</v>
      </c>
    </row>
    <row r="13" spans="1:12" x14ac:dyDescent="0.25">
      <c r="A13" s="55" t="s">
        <v>193</v>
      </c>
      <c r="B13" s="22"/>
      <c r="C13" s="7"/>
      <c r="D13" s="56"/>
      <c r="E13" s="81"/>
      <c r="F13" s="7"/>
      <c r="G13" s="81"/>
      <c r="H13" s="7">
        <v>24</v>
      </c>
      <c r="I13" s="57">
        <v>-24</v>
      </c>
      <c r="J13" s="57"/>
      <c r="K13" s="57"/>
      <c r="L13" s="58">
        <f t="shared" si="1"/>
        <v>0</v>
      </c>
    </row>
    <row r="14" spans="1:12" x14ac:dyDescent="0.25">
      <c r="A14" s="55" t="s">
        <v>31</v>
      </c>
      <c r="B14" s="22"/>
      <c r="C14" s="7"/>
      <c r="D14" s="56"/>
      <c r="E14" s="81"/>
      <c r="F14" s="7"/>
      <c r="G14" s="81"/>
      <c r="H14" s="7">
        <v>280</v>
      </c>
      <c r="I14" s="57">
        <v>-280</v>
      </c>
      <c r="J14" s="57"/>
      <c r="K14" s="57"/>
      <c r="L14" s="58">
        <f t="shared" si="1"/>
        <v>0</v>
      </c>
    </row>
    <row r="15" spans="1:12" x14ac:dyDescent="0.25">
      <c r="A15" s="55" t="s">
        <v>32</v>
      </c>
      <c r="B15" s="22"/>
      <c r="C15" s="7"/>
      <c r="D15" s="56"/>
      <c r="E15" s="81"/>
      <c r="F15" s="7"/>
      <c r="G15" s="81"/>
      <c r="H15" s="7">
        <v>1</v>
      </c>
      <c r="I15" s="57">
        <v>-1</v>
      </c>
      <c r="J15" s="57"/>
      <c r="K15" s="57"/>
      <c r="L15" s="58">
        <f t="shared" si="1"/>
        <v>0</v>
      </c>
    </row>
    <row r="16" spans="1:12" x14ac:dyDescent="0.25">
      <c r="A16" s="59" t="s">
        <v>7</v>
      </c>
      <c r="B16" s="10"/>
      <c r="C16" s="25">
        <v>0.4513888888888889</v>
      </c>
      <c r="D16" s="25">
        <v>7.2916666666666671E-2</v>
      </c>
      <c r="E16" s="80">
        <v>0.48958333333333331</v>
      </c>
      <c r="F16" s="64">
        <v>0.4375</v>
      </c>
      <c r="G16" s="80">
        <v>0.4375</v>
      </c>
      <c r="H16" s="64">
        <v>0.2986111111111111</v>
      </c>
      <c r="I16" s="64">
        <v>9.0277777777777776E-2</v>
      </c>
      <c r="J16" s="64">
        <v>0.375</v>
      </c>
      <c r="K16" s="64">
        <v>0.35069444444444442</v>
      </c>
      <c r="L16" s="61"/>
    </row>
    <row r="17" spans="1:13" ht="15.75" thickBot="1" x14ac:dyDescent="0.3">
      <c r="A17" s="62" t="s">
        <v>16</v>
      </c>
      <c r="B17" s="65"/>
      <c r="C17" s="33" t="s">
        <v>143</v>
      </c>
      <c r="D17" s="33" t="s">
        <v>143</v>
      </c>
      <c r="E17" s="33" t="s">
        <v>171</v>
      </c>
      <c r="F17" s="60" t="s">
        <v>172</v>
      </c>
      <c r="G17" s="60" t="s">
        <v>172</v>
      </c>
      <c r="H17" s="60" t="s">
        <v>172</v>
      </c>
      <c r="I17" s="60" t="s">
        <v>172</v>
      </c>
      <c r="J17" s="86" t="s">
        <v>298</v>
      </c>
      <c r="K17" s="86" t="s">
        <v>298</v>
      </c>
      <c r="L17" s="33"/>
    </row>
    <row r="18" spans="1:13" x14ac:dyDescent="0.25">
      <c r="E18" t="s">
        <v>180</v>
      </c>
      <c r="H18" t="s">
        <v>195</v>
      </c>
      <c r="M18" s="82">
        <v>50000</v>
      </c>
    </row>
    <row r="19" spans="1:13" x14ac:dyDescent="0.25">
      <c r="E19" s="82">
        <v>55000</v>
      </c>
    </row>
  </sheetData>
  <mergeCells count="4">
    <mergeCell ref="A1:L1"/>
    <mergeCell ref="A2:L2"/>
    <mergeCell ref="A3:L3"/>
    <mergeCell ref="A4: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47A7-9676-4D4C-9344-9BE037DABCE6}">
  <dimension ref="A1:G13"/>
  <sheetViews>
    <sheetView workbookViewId="0">
      <selection activeCell="F12" sqref="F12"/>
    </sheetView>
  </sheetViews>
  <sheetFormatPr baseColWidth="10" defaultRowHeight="15" x14ac:dyDescent="0.25"/>
  <cols>
    <col min="1" max="1" width="34.42578125" customWidth="1"/>
    <col min="7" max="7" width="15.28515625" customWidth="1"/>
  </cols>
  <sheetData>
    <row r="1" spans="1:7" ht="18.75" x14ac:dyDescent="0.3">
      <c r="A1" s="119" t="s">
        <v>119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120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183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 t="s">
        <v>3</v>
      </c>
      <c r="C4" s="1">
        <v>12826</v>
      </c>
      <c r="D4" s="1">
        <v>11630</v>
      </c>
      <c r="E4" s="1">
        <v>12842</v>
      </c>
      <c r="F4" s="1">
        <v>11678</v>
      </c>
      <c r="G4" s="1" t="s">
        <v>4</v>
      </c>
    </row>
    <row r="5" spans="1:7" x14ac:dyDescent="0.25">
      <c r="A5" s="123"/>
      <c r="B5" s="4">
        <v>45838</v>
      </c>
      <c r="C5" s="4">
        <v>45841</v>
      </c>
      <c r="D5" s="4">
        <v>45847</v>
      </c>
      <c r="E5" s="4">
        <v>45848</v>
      </c>
      <c r="F5" s="4">
        <v>45868</v>
      </c>
      <c r="G5" s="4">
        <v>45869</v>
      </c>
    </row>
    <row r="6" spans="1:7" x14ac:dyDescent="0.25">
      <c r="A6" s="5" t="s">
        <v>122</v>
      </c>
      <c r="B6" s="6"/>
      <c r="C6" s="6">
        <v>12</v>
      </c>
      <c r="D6" s="7">
        <v>-12</v>
      </c>
      <c r="E6" s="7">
        <v>4</v>
      </c>
      <c r="F6" s="7">
        <v>-4</v>
      </c>
      <c r="G6" s="8">
        <f>SUM(B6:F6)</f>
        <v>0</v>
      </c>
    </row>
    <row r="7" spans="1:7" x14ac:dyDescent="0.25">
      <c r="A7" s="5" t="s">
        <v>123</v>
      </c>
      <c r="B7" s="6"/>
      <c r="C7" s="6">
        <v>12</v>
      </c>
      <c r="D7" s="7">
        <v>-12</v>
      </c>
      <c r="E7" s="7">
        <v>4</v>
      </c>
      <c r="F7" s="7">
        <v>-4</v>
      </c>
      <c r="G7" s="8">
        <f t="shared" ref="G7:G10" si="0">SUM(B7:F7)</f>
        <v>0</v>
      </c>
    </row>
    <row r="8" spans="1:7" x14ac:dyDescent="0.25">
      <c r="A8" s="5" t="s">
        <v>124</v>
      </c>
      <c r="B8" s="6"/>
      <c r="C8" s="6">
        <v>4</v>
      </c>
      <c r="D8" s="7">
        <v>-4</v>
      </c>
      <c r="E8" s="7">
        <v>8</v>
      </c>
      <c r="F8" s="7">
        <v>-8</v>
      </c>
      <c r="G8" s="8">
        <f t="shared" si="0"/>
        <v>0</v>
      </c>
    </row>
    <row r="9" spans="1:7" x14ac:dyDescent="0.25">
      <c r="A9" s="5" t="s">
        <v>93</v>
      </c>
      <c r="B9" s="6"/>
      <c r="C9" s="6">
        <v>6</v>
      </c>
      <c r="D9" s="7">
        <v>-6</v>
      </c>
      <c r="E9" s="7">
        <v>4</v>
      </c>
      <c r="F9" s="7">
        <v>-4</v>
      </c>
      <c r="G9" s="8">
        <f t="shared" si="0"/>
        <v>0</v>
      </c>
    </row>
    <row r="10" spans="1:7" x14ac:dyDescent="0.25">
      <c r="A10" s="5" t="s">
        <v>144</v>
      </c>
      <c r="B10" s="6">
        <v>1</v>
      </c>
      <c r="C10" s="6"/>
      <c r="D10" s="7">
        <v>-1</v>
      </c>
      <c r="E10" s="7"/>
      <c r="F10" s="7"/>
      <c r="G10" s="8">
        <f t="shared" si="0"/>
        <v>0</v>
      </c>
    </row>
    <row r="11" spans="1:7" x14ac:dyDescent="0.25">
      <c r="A11" s="9" t="s">
        <v>7</v>
      </c>
      <c r="B11" s="25"/>
      <c r="C11" s="25">
        <v>0.375</v>
      </c>
      <c r="D11" s="12">
        <v>0.14583333333333334</v>
      </c>
      <c r="E11" s="12">
        <v>0.10416666666666667</v>
      </c>
      <c r="F11" s="12">
        <v>0.1875</v>
      </c>
      <c r="G11" s="2"/>
    </row>
    <row r="12" spans="1:7" x14ac:dyDescent="0.25">
      <c r="A12" s="9" t="s">
        <v>8</v>
      </c>
      <c r="B12" s="14"/>
      <c r="C12" s="14">
        <v>35000</v>
      </c>
      <c r="D12" s="14">
        <v>35000</v>
      </c>
      <c r="E12" s="14">
        <v>15000</v>
      </c>
      <c r="F12" s="14">
        <v>15000</v>
      </c>
      <c r="G12" s="15"/>
    </row>
    <row r="13" spans="1:7" x14ac:dyDescent="0.25">
      <c r="A13" t="s">
        <v>121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8A77-AA60-4710-A158-0E5DBE9C1DA7}">
  <dimension ref="A1:BE27"/>
  <sheetViews>
    <sheetView workbookViewId="0">
      <selection activeCell="J18" sqref="J18"/>
    </sheetView>
  </sheetViews>
  <sheetFormatPr baseColWidth="10" defaultRowHeight="15" x14ac:dyDescent="0.25"/>
  <cols>
    <col min="1" max="1" width="36.85546875" customWidth="1"/>
    <col min="2" max="2" width="14.7109375" customWidth="1"/>
    <col min="3" max="5" width="14" customWidth="1"/>
    <col min="6" max="6" width="15.42578125" customWidth="1"/>
    <col min="7" max="7" width="17.5703125" customWidth="1"/>
    <col min="8" max="8" width="17.28515625" customWidth="1"/>
  </cols>
  <sheetData>
    <row r="1" spans="1:6" ht="18.75" x14ac:dyDescent="0.3">
      <c r="A1" s="119" t="s">
        <v>192</v>
      </c>
      <c r="B1" s="120"/>
      <c r="C1" s="120"/>
      <c r="D1" s="120"/>
      <c r="E1" s="120"/>
      <c r="F1" s="120"/>
    </row>
    <row r="2" spans="1:6" ht="18.75" x14ac:dyDescent="0.3">
      <c r="A2" s="119" t="s">
        <v>184</v>
      </c>
      <c r="B2" s="120"/>
      <c r="C2" s="120"/>
      <c r="D2" s="120"/>
      <c r="E2" s="120"/>
      <c r="F2" s="120"/>
    </row>
    <row r="3" spans="1:6" ht="18.75" x14ac:dyDescent="0.3">
      <c r="A3" s="119" t="s">
        <v>191</v>
      </c>
      <c r="B3" s="120"/>
      <c r="C3" s="120"/>
      <c r="D3" s="120"/>
      <c r="E3" s="120"/>
      <c r="F3" s="120"/>
    </row>
    <row r="4" spans="1:6" x14ac:dyDescent="0.25">
      <c r="A4" s="122" t="s">
        <v>2</v>
      </c>
      <c r="B4" s="1">
        <v>12633</v>
      </c>
      <c r="C4" s="1">
        <v>11591</v>
      </c>
      <c r="D4" s="1">
        <v>12840</v>
      </c>
      <c r="E4" s="1">
        <v>11643</v>
      </c>
      <c r="F4" s="22" t="s">
        <v>4</v>
      </c>
    </row>
    <row r="5" spans="1:6" x14ac:dyDescent="0.25">
      <c r="A5" s="123"/>
      <c r="B5" s="4">
        <v>45744</v>
      </c>
      <c r="C5" s="4">
        <v>45848</v>
      </c>
      <c r="D5" s="4">
        <v>45848</v>
      </c>
      <c r="E5" s="4">
        <v>45853</v>
      </c>
      <c r="F5" s="20">
        <v>45869</v>
      </c>
    </row>
    <row r="6" spans="1:6" x14ac:dyDescent="0.25">
      <c r="A6" s="5" t="s">
        <v>185</v>
      </c>
      <c r="B6" s="7"/>
      <c r="C6" s="7"/>
      <c r="D6" s="7"/>
      <c r="E6" s="7"/>
      <c r="F6" s="8">
        <f t="shared" ref="F6:F14" si="0">SUM(B6:D6)</f>
        <v>0</v>
      </c>
    </row>
    <row r="7" spans="1:6" x14ac:dyDescent="0.25">
      <c r="A7" s="5" t="s">
        <v>29</v>
      </c>
      <c r="B7" s="7"/>
      <c r="C7" s="7"/>
      <c r="D7" s="7"/>
      <c r="E7" s="7"/>
      <c r="F7" s="8">
        <f t="shared" si="0"/>
        <v>0</v>
      </c>
    </row>
    <row r="8" spans="1:6" x14ac:dyDescent="0.25">
      <c r="A8" s="5" t="s">
        <v>31</v>
      </c>
      <c r="B8" s="7"/>
      <c r="C8" s="7"/>
      <c r="D8" s="7"/>
      <c r="E8" s="7"/>
      <c r="F8" s="8">
        <f t="shared" si="0"/>
        <v>0</v>
      </c>
    </row>
    <row r="9" spans="1:6" x14ac:dyDescent="0.25">
      <c r="A9" s="5" t="s">
        <v>30</v>
      </c>
      <c r="B9" s="7"/>
      <c r="C9" s="7"/>
      <c r="D9" s="7"/>
      <c r="E9" s="7"/>
      <c r="F9" s="8">
        <f t="shared" si="0"/>
        <v>0</v>
      </c>
    </row>
    <row r="10" spans="1:6" x14ac:dyDescent="0.25">
      <c r="A10" s="5" t="s">
        <v>186</v>
      </c>
      <c r="B10" s="7">
        <v>2</v>
      </c>
      <c r="C10" s="7">
        <v>-2</v>
      </c>
      <c r="D10" s="7"/>
      <c r="E10" s="7"/>
      <c r="F10" s="8">
        <f t="shared" si="0"/>
        <v>0</v>
      </c>
    </row>
    <row r="11" spans="1:6" x14ac:dyDescent="0.25">
      <c r="A11" s="5" t="s">
        <v>109</v>
      </c>
      <c r="B11" s="7">
        <v>2</v>
      </c>
      <c r="C11" s="7">
        <v>-2</v>
      </c>
      <c r="D11" s="7">
        <v>4</v>
      </c>
      <c r="E11" s="7">
        <v>-4</v>
      </c>
      <c r="F11" s="8">
        <f>SUM(B11:E11)</f>
        <v>0</v>
      </c>
    </row>
    <row r="12" spans="1:6" x14ac:dyDescent="0.25">
      <c r="A12" s="5" t="s">
        <v>187</v>
      </c>
      <c r="B12" s="7">
        <v>1</v>
      </c>
      <c r="C12" s="7">
        <v>-1</v>
      </c>
      <c r="D12" s="7"/>
      <c r="E12" s="7"/>
      <c r="F12" s="8">
        <f t="shared" si="0"/>
        <v>0</v>
      </c>
    </row>
    <row r="13" spans="1:6" x14ac:dyDescent="0.25">
      <c r="A13" s="5" t="s">
        <v>188</v>
      </c>
      <c r="B13" s="7">
        <v>1</v>
      </c>
      <c r="C13" s="7">
        <v>-1</v>
      </c>
      <c r="D13" s="7">
        <v>2</v>
      </c>
      <c r="E13" s="7">
        <v>-2</v>
      </c>
      <c r="F13" s="8">
        <f>SUM(B13:E13)</f>
        <v>0</v>
      </c>
    </row>
    <row r="14" spans="1:6" x14ac:dyDescent="0.25">
      <c r="A14" s="5" t="s">
        <v>30</v>
      </c>
      <c r="B14" s="7">
        <v>-2</v>
      </c>
      <c r="C14" s="7"/>
      <c r="D14" s="7"/>
      <c r="E14" s="7"/>
      <c r="F14" s="8">
        <f t="shared" si="0"/>
        <v>-2</v>
      </c>
    </row>
    <row r="15" spans="1:6" x14ac:dyDescent="0.25">
      <c r="A15" s="5" t="s">
        <v>196</v>
      </c>
      <c r="B15" s="7"/>
      <c r="C15" s="7"/>
      <c r="D15" s="7">
        <v>4</v>
      </c>
      <c r="E15" s="7">
        <v>-4</v>
      </c>
      <c r="F15" s="8">
        <f>SUM(B15:E15)</f>
        <v>0</v>
      </c>
    </row>
    <row r="16" spans="1:6" x14ac:dyDescent="0.25">
      <c r="A16" s="9" t="s">
        <v>7</v>
      </c>
      <c r="B16" s="12">
        <v>0.45833333333333331</v>
      </c>
      <c r="C16" s="12">
        <v>0.45833333333333331</v>
      </c>
      <c r="D16" s="12">
        <v>0.46875</v>
      </c>
      <c r="E16" s="12">
        <v>0.2013888888888889</v>
      </c>
      <c r="F16" s="2"/>
    </row>
    <row r="17" spans="1:57" x14ac:dyDescent="0.25">
      <c r="A17" s="9" t="s">
        <v>8</v>
      </c>
      <c r="B17" s="11" t="s">
        <v>189</v>
      </c>
      <c r="C17" s="11" t="s">
        <v>189</v>
      </c>
      <c r="D17" s="11" t="s">
        <v>189</v>
      </c>
      <c r="E17" s="11" t="s">
        <v>211</v>
      </c>
      <c r="F17" s="15"/>
    </row>
    <row r="18" spans="1:57" x14ac:dyDescent="0.25">
      <c r="D18" s="47" t="s">
        <v>197</v>
      </c>
      <c r="E18" s="47"/>
      <c r="F18" s="47" t="s">
        <v>190</v>
      </c>
      <c r="G18" s="47"/>
    </row>
    <row r="25" spans="1:57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</row>
    <row r="26" spans="1:57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</row>
    <row r="27" spans="1:57" s="83" customFormat="1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</row>
  </sheetData>
  <mergeCells count="4">
    <mergeCell ref="A4:A5"/>
    <mergeCell ref="A1:F1"/>
    <mergeCell ref="A2:F2"/>
    <mergeCell ref="A3:F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8336-A98F-4485-89A9-1742263D7FB8}">
  <dimension ref="A1:G8"/>
  <sheetViews>
    <sheetView workbookViewId="0">
      <selection activeCell="F17" sqref="F17:F18"/>
    </sheetView>
  </sheetViews>
  <sheetFormatPr baseColWidth="10" defaultRowHeight="15" x14ac:dyDescent="0.25"/>
  <cols>
    <col min="1" max="1" width="39.140625" customWidth="1"/>
  </cols>
  <sheetData>
    <row r="1" spans="1:7" ht="18.75" x14ac:dyDescent="0.3">
      <c r="A1" s="119" t="s">
        <v>21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22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12818</v>
      </c>
      <c r="C4" s="2">
        <v>11612</v>
      </c>
      <c r="D4" s="1"/>
      <c r="E4" s="1"/>
      <c r="F4" s="1"/>
      <c r="G4" s="1" t="s">
        <v>4</v>
      </c>
    </row>
    <row r="5" spans="1:7" x14ac:dyDescent="0.25">
      <c r="A5" s="123"/>
      <c r="B5" s="4">
        <v>45839</v>
      </c>
      <c r="C5" s="4">
        <v>45839</v>
      </c>
      <c r="D5" s="4"/>
      <c r="E5" s="4"/>
      <c r="F5" s="4"/>
      <c r="G5" s="4">
        <v>45869</v>
      </c>
    </row>
    <row r="6" spans="1:7" x14ac:dyDescent="0.25">
      <c r="A6" s="5" t="s">
        <v>23</v>
      </c>
      <c r="B6" s="6">
        <v>1</v>
      </c>
      <c r="C6" s="7">
        <v>-1</v>
      </c>
      <c r="D6" s="7"/>
      <c r="E6" s="7"/>
      <c r="F6" s="7"/>
      <c r="G6" s="8">
        <f>SUM(B6:F6)</f>
        <v>0</v>
      </c>
    </row>
    <row r="7" spans="1:7" x14ac:dyDescent="0.25">
      <c r="A7" s="9" t="s">
        <v>7</v>
      </c>
      <c r="B7" s="25">
        <v>0.10416666666666667</v>
      </c>
      <c r="C7" s="11">
        <v>0.18819444444444444</v>
      </c>
      <c r="D7" s="12"/>
      <c r="E7" s="12"/>
      <c r="F7" s="12"/>
      <c r="G7" s="2"/>
    </row>
    <row r="8" spans="1:7" x14ac:dyDescent="0.25">
      <c r="A8" s="9" t="s">
        <v>8</v>
      </c>
      <c r="B8" s="14" t="s">
        <v>24</v>
      </c>
      <c r="C8" s="14" t="s">
        <v>24</v>
      </c>
      <c r="D8" s="12"/>
      <c r="E8" s="12"/>
      <c r="F8" s="12"/>
      <c r="G8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08B1-86D9-4E94-96DB-3A6EB03C1D05}">
  <dimension ref="A1:G8"/>
  <sheetViews>
    <sheetView workbookViewId="0">
      <selection sqref="A1:G8"/>
    </sheetView>
  </sheetViews>
  <sheetFormatPr baseColWidth="10" defaultRowHeight="15" x14ac:dyDescent="0.25"/>
  <cols>
    <col min="1" max="1" width="38.85546875" customWidth="1"/>
  </cols>
  <sheetData>
    <row r="1" spans="1:7" ht="18.75" x14ac:dyDescent="0.3">
      <c r="A1" s="119" t="s">
        <v>42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43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12822</v>
      </c>
      <c r="C4" s="2">
        <v>11617</v>
      </c>
      <c r="D4" s="1">
        <v>12835</v>
      </c>
      <c r="E4" s="1"/>
      <c r="F4" s="1"/>
      <c r="G4" s="1" t="s">
        <v>4</v>
      </c>
    </row>
    <row r="5" spans="1:7" x14ac:dyDescent="0.25">
      <c r="A5" s="123"/>
      <c r="B5" s="4">
        <v>45840</v>
      </c>
      <c r="C5" s="4">
        <v>45840</v>
      </c>
      <c r="D5" s="4">
        <v>45846</v>
      </c>
      <c r="E5" s="4"/>
      <c r="F5" s="4"/>
      <c r="G5" s="4">
        <v>45869</v>
      </c>
    </row>
    <row r="6" spans="1:7" x14ac:dyDescent="0.25">
      <c r="A6" s="5" t="s">
        <v>23</v>
      </c>
      <c r="B6" s="6">
        <v>1</v>
      </c>
      <c r="C6" s="7">
        <v>-1</v>
      </c>
      <c r="D6" s="7">
        <v>1</v>
      </c>
      <c r="E6" s="7"/>
      <c r="F6" s="7"/>
      <c r="G6" s="8">
        <f>SUM(B6:F6)</f>
        <v>1</v>
      </c>
    </row>
    <row r="7" spans="1:7" x14ac:dyDescent="0.25">
      <c r="A7" s="9" t="s">
        <v>7</v>
      </c>
      <c r="B7" s="25">
        <v>0.38194444444444442</v>
      </c>
      <c r="C7" s="11"/>
      <c r="D7" s="12">
        <v>0.14583333333333334</v>
      </c>
      <c r="E7" s="12"/>
      <c r="F7" s="12"/>
      <c r="G7" s="2"/>
    </row>
    <row r="8" spans="1:7" x14ac:dyDescent="0.25">
      <c r="A8" s="9" t="s">
        <v>8</v>
      </c>
      <c r="B8" s="14" t="s">
        <v>44</v>
      </c>
      <c r="C8" s="14"/>
      <c r="D8" s="14" t="s">
        <v>44</v>
      </c>
      <c r="E8" s="12"/>
      <c r="F8" s="12"/>
      <c r="G8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5E90-F47B-4DC6-9237-EBEEF5B89492}">
  <dimension ref="A1:G8"/>
  <sheetViews>
    <sheetView workbookViewId="0">
      <selection activeCell="C9" sqref="C9"/>
    </sheetView>
  </sheetViews>
  <sheetFormatPr baseColWidth="10" defaultRowHeight="15" x14ac:dyDescent="0.25"/>
  <cols>
    <col min="1" max="1" width="38.42578125" customWidth="1"/>
  </cols>
  <sheetData>
    <row r="1" spans="1:7" ht="18.75" x14ac:dyDescent="0.3">
      <c r="A1" s="119" t="s">
        <v>256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257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12871</v>
      </c>
      <c r="C4" s="2">
        <v>11651</v>
      </c>
      <c r="D4" s="1"/>
      <c r="E4" s="1"/>
      <c r="F4" s="1"/>
      <c r="G4" s="1" t="s">
        <v>4</v>
      </c>
    </row>
    <row r="5" spans="1:7" x14ac:dyDescent="0.25">
      <c r="A5" s="123"/>
      <c r="B5" s="4">
        <v>45856</v>
      </c>
      <c r="C5" s="4">
        <v>45857</v>
      </c>
      <c r="D5" s="4"/>
      <c r="E5" s="4"/>
      <c r="F5" s="4"/>
      <c r="G5" s="4">
        <v>45869</v>
      </c>
    </row>
    <row r="6" spans="1:7" x14ac:dyDescent="0.25">
      <c r="A6" s="5" t="s">
        <v>258</v>
      </c>
      <c r="B6" s="6">
        <v>1</v>
      </c>
      <c r="C6" s="7">
        <v>-1</v>
      </c>
      <c r="D6" s="7"/>
      <c r="E6" s="7"/>
      <c r="F6" s="7"/>
      <c r="G6" s="8">
        <f>SUM(B6:F6)</f>
        <v>0</v>
      </c>
    </row>
    <row r="7" spans="1:7" x14ac:dyDescent="0.25">
      <c r="A7" s="9" t="s">
        <v>7</v>
      </c>
      <c r="B7" s="25">
        <v>0.40277777777777779</v>
      </c>
      <c r="C7" s="11">
        <v>0.37152777777777779</v>
      </c>
      <c r="D7" s="12"/>
      <c r="E7" s="12"/>
      <c r="F7" s="12"/>
      <c r="G7" s="2"/>
    </row>
    <row r="8" spans="1:7" x14ac:dyDescent="0.25">
      <c r="A8" s="9" t="s">
        <v>8</v>
      </c>
      <c r="B8" s="14" t="s">
        <v>259</v>
      </c>
      <c r="C8" s="14" t="s">
        <v>24</v>
      </c>
      <c r="D8" s="14"/>
      <c r="E8" s="12"/>
      <c r="F8" s="12"/>
      <c r="G8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E717-EB99-4FE7-BA01-A5037677A069}">
  <dimension ref="A1:F15"/>
  <sheetViews>
    <sheetView workbookViewId="0">
      <selection activeCell="A20" sqref="A20"/>
    </sheetView>
  </sheetViews>
  <sheetFormatPr baseColWidth="10" defaultRowHeight="15" x14ac:dyDescent="0.25"/>
  <cols>
    <col min="1" max="1" width="28.42578125" bestFit="1" customWidth="1"/>
  </cols>
  <sheetData>
    <row r="1" spans="1:6" ht="18.75" x14ac:dyDescent="0.3">
      <c r="A1" s="124" t="s">
        <v>111</v>
      </c>
      <c r="B1" s="124"/>
      <c r="C1" s="124"/>
      <c r="D1" s="124"/>
      <c r="E1" s="124"/>
      <c r="F1" s="124"/>
    </row>
    <row r="2" spans="1:6" ht="18.75" x14ac:dyDescent="0.3">
      <c r="A2" s="124" t="s">
        <v>112</v>
      </c>
      <c r="B2" s="124"/>
      <c r="C2" s="124"/>
      <c r="D2" s="124"/>
      <c r="E2" s="124"/>
      <c r="F2" s="124"/>
    </row>
    <row r="3" spans="1:6" ht="18.75" x14ac:dyDescent="0.3">
      <c r="A3" s="124" t="s">
        <v>118</v>
      </c>
      <c r="B3" s="124"/>
      <c r="C3" s="124"/>
      <c r="D3" s="124"/>
      <c r="E3" s="124"/>
      <c r="F3" s="124"/>
    </row>
    <row r="4" spans="1:6" x14ac:dyDescent="0.25">
      <c r="A4" s="125" t="s">
        <v>2</v>
      </c>
      <c r="B4" s="22" t="s">
        <v>113</v>
      </c>
      <c r="C4" s="2"/>
      <c r="D4" s="2">
        <v>11619</v>
      </c>
      <c r="E4" s="2"/>
      <c r="F4" s="22" t="s">
        <v>3</v>
      </c>
    </row>
    <row r="5" spans="1:6" x14ac:dyDescent="0.25">
      <c r="A5" s="125"/>
      <c r="B5" s="20">
        <v>45749</v>
      </c>
      <c r="C5" s="4"/>
      <c r="D5" s="4">
        <v>45841</v>
      </c>
      <c r="E5" s="4"/>
      <c r="F5" s="20">
        <v>45777</v>
      </c>
    </row>
    <row r="6" spans="1:6" x14ac:dyDescent="0.25">
      <c r="A6" s="39" t="s">
        <v>30</v>
      </c>
      <c r="B6" s="22">
        <v>5</v>
      </c>
      <c r="C6" s="7"/>
      <c r="D6" s="7">
        <v>-5</v>
      </c>
      <c r="E6" s="7"/>
      <c r="F6" s="6">
        <f t="shared" ref="F6:F13" si="0">SUM(B6:E6)</f>
        <v>0</v>
      </c>
    </row>
    <row r="7" spans="1:6" x14ac:dyDescent="0.25">
      <c r="A7" s="39" t="s">
        <v>114</v>
      </c>
      <c r="B7" s="22">
        <v>5</v>
      </c>
      <c r="C7" s="7"/>
      <c r="D7" s="7">
        <v>-5</v>
      </c>
      <c r="E7" s="7"/>
      <c r="F7" s="6">
        <f t="shared" si="0"/>
        <v>0</v>
      </c>
    </row>
    <row r="8" spans="1:6" x14ac:dyDescent="0.25">
      <c r="A8" s="39" t="s">
        <v>115</v>
      </c>
      <c r="B8" s="22">
        <v>7</v>
      </c>
      <c r="C8" s="7"/>
      <c r="D8" s="7">
        <v>-6</v>
      </c>
      <c r="E8" s="7"/>
      <c r="F8" s="6">
        <f t="shared" si="0"/>
        <v>1</v>
      </c>
    </row>
    <row r="9" spans="1:6" x14ac:dyDescent="0.25">
      <c r="A9" s="39" t="s">
        <v>62</v>
      </c>
      <c r="B9" s="22">
        <v>0</v>
      </c>
      <c r="C9" s="7"/>
      <c r="D9" s="7"/>
      <c r="E9" s="7"/>
      <c r="F9" s="6">
        <f t="shared" si="0"/>
        <v>0</v>
      </c>
    </row>
    <row r="10" spans="1:6" x14ac:dyDescent="0.25">
      <c r="A10" s="39" t="s">
        <v>17</v>
      </c>
      <c r="B10" s="22">
        <v>25</v>
      </c>
      <c r="C10" s="7"/>
      <c r="D10" s="7">
        <v>-7</v>
      </c>
      <c r="E10" s="7"/>
      <c r="F10" s="6">
        <f t="shared" si="0"/>
        <v>18</v>
      </c>
    </row>
    <row r="11" spans="1:6" x14ac:dyDescent="0.25">
      <c r="A11" s="39" t="s">
        <v>67</v>
      </c>
      <c r="B11" s="22">
        <v>5</v>
      </c>
      <c r="C11" s="7"/>
      <c r="D11" s="7">
        <v>-4</v>
      </c>
      <c r="E11" s="7"/>
      <c r="F11" s="6">
        <f t="shared" si="0"/>
        <v>1</v>
      </c>
    </row>
    <row r="12" spans="1:6" x14ac:dyDescent="0.25">
      <c r="A12" s="39" t="s">
        <v>116</v>
      </c>
      <c r="B12" s="22">
        <v>10</v>
      </c>
      <c r="C12" s="7"/>
      <c r="D12" s="7">
        <v>-10</v>
      </c>
      <c r="E12" s="7"/>
      <c r="F12" s="6">
        <f t="shared" si="0"/>
        <v>0</v>
      </c>
    </row>
    <row r="13" spans="1:6" x14ac:dyDescent="0.25">
      <c r="A13" s="39" t="s">
        <v>71</v>
      </c>
      <c r="B13" s="22">
        <v>6</v>
      </c>
      <c r="C13" s="7"/>
      <c r="D13" s="7">
        <v>-6</v>
      </c>
      <c r="E13" s="7"/>
      <c r="F13" s="6">
        <f t="shared" si="0"/>
        <v>0</v>
      </c>
    </row>
    <row r="14" spans="1:6" x14ac:dyDescent="0.25">
      <c r="A14" s="9" t="s">
        <v>7</v>
      </c>
      <c r="B14" s="10"/>
      <c r="C14" s="25"/>
      <c r="D14" s="25">
        <v>0.46875</v>
      </c>
      <c r="E14" s="25"/>
      <c r="F14" s="41"/>
    </row>
    <row r="15" spans="1:6" x14ac:dyDescent="0.25">
      <c r="A15" s="9" t="s">
        <v>16</v>
      </c>
      <c r="B15" s="48"/>
      <c r="C15" s="42"/>
      <c r="D15" s="42" t="s">
        <v>117</v>
      </c>
      <c r="E15" s="42"/>
      <c r="F15" s="41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1E82-F8A6-43BC-9DAD-73C942CF88E8}">
  <dimension ref="A1:G11"/>
  <sheetViews>
    <sheetView workbookViewId="0">
      <selection activeCell="C14" sqref="C14"/>
    </sheetView>
  </sheetViews>
  <sheetFormatPr baseColWidth="10" defaultRowHeight="15" x14ac:dyDescent="0.25"/>
  <cols>
    <col min="1" max="1" width="29.7109375" customWidth="1"/>
  </cols>
  <sheetData>
    <row r="1" spans="1:7" ht="18.75" x14ac:dyDescent="0.3">
      <c r="A1" s="119" t="s">
        <v>45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46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12821</v>
      </c>
      <c r="C4" s="2">
        <v>12823</v>
      </c>
      <c r="D4" s="1">
        <v>11624</v>
      </c>
      <c r="E4" s="1"/>
      <c r="F4" s="1"/>
      <c r="G4" s="1" t="s">
        <v>4</v>
      </c>
    </row>
    <row r="5" spans="1:7" x14ac:dyDescent="0.25">
      <c r="A5" s="123"/>
      <c r="B5" s="4">
        <v>45840</v>
      </c>
      <c r="C5" s="4">
        <v>45840</v>
      </c>
      <c r="D5" s="4">
        <v>45845</v>
      </c>
      <c r="E5" s="4"/>
      <c r="F5" s="4"/>
      <c r="G5" s="4">
        <v>45808</v>
      </c>
    </row>
    <row r="6" spans="1:7" x14ac:dyDescent="0.25">
      <c r="A6" s="5" t="s">
        <v>50</v>
      </c>
      <c r="B6" s="6">
        <v>8</v>
      </c>
      <c r="C6" s="7"/>
      <c r="D6" s="7">
        <v>-8</v>
      </c>
      <c r="E6" s="7"/>
      <c r="F6" s="7"/>
      <c r="G6" s="8">
        <f>SUM(B6:F6)</f>
        <v>0</v>
      </c>
    </row>
    <row r="7" spans="1:7" x14ac:dyDescent="0.25">
      <c r="A7" s="5" t="s">
        <v>80</v>
      </c>
      <c r="B7" s="6"/>
      <c r="C7" s="7">
        <v>10</v>
      </c>
      <c r="D7" s="7">
        <v>-10</v>
      </c>
      <c r="E7" s="7"/>
      <c r="F7" s="7"/>
      <c r="G7" s="8">
        <f>SUM(C7:F7)</f>
        <v>0</v>
      </c>
    </row>
    <row r="8" spans="1:7" x14ac:dyDescent="0.25">
      <c r="A8" s="5" t="s">
        <v>102</v>
      </c>
      <c r="B8" s="6"/>
      <c r="C8" s="7">
        <v>8</v>
      </c>
      <c r="D8" s="7">
        <v>-8</v>
      </c>
      <c r="E8" s="7"/>
      <c r="F8" s="7"/>
      <c r="G8" s="8">
        <f>SUM(C8:F8)</f>
        <v>0</v>
      </c>
    </row>
    <row r="9" spans="1:7" x14ac:dyDescent="0.25">
      <c r="A9" s="5" t="s">
        <v>31</v>
      </c>
      <c r="B9" s="6"/>
      <c r="C9" s="7">
        <v>100</v>
      </c>
      <c r="D9" s="7">
        <v>-100</v>
      </c>
      <c r="E9" s="7"/>
      <c r="F9" s="7"/>
      <c r="G9" s="8">
        <f>SUM(C9:F9)</f>
        <v>0</v>
      </c>
    </row>
    <row r="10" spans="1:7" x14ac:dyDescent="0.25">
      <c r="A10" s="9" t="s">
        <v>7</v>
      </c>
      <c r="B10" s="25">
        <v>0.29166666666666669</v>
      </c>
      <c r="C10" s="11">
        <v>0.10416666666666667</v>
      </c>
      <c r="D10" s="12">
        <v>0.43055555555555558</v>
      </c>
      <c r="E10" s="12"/>
      <c r="F10" s="12"/>
      <c r="G10" s="2"/>
    </row>
    <row r="11" spans="1:7" x14ac:dyDescent="0.25">
      <c r="A11" s="9" t="s">
        <v>8</v>
      </c>
      <c r="B11" s="14" t="s">
        <v>51</v>
      </c>
      <c r="C11" s="14" t="s">
        <v>51</v>
      </c>
      <c r="D11" s="14" t="s">
        <v>51</v>
      </c>
      <c r="E11" s="15"/>
      <c r="F11" s="14"/>
      <c r="G11" s="15">
        <f>SUM(E11:F11)</f>
        <v>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6A3F-97C8-4939-81ED-0ABF69A47FF2}">
  <dimension ref="A1:G11"/>
  <sheetViews>
    <sheetView workbookViewId="0">
      <selection activeCell="A22" sqref="A22"/>
    </sheetView>
  </sheetViews>
  <sheetFormatPr baseColWidth="10" defaultRowHeight="15" x14ac:dyDescent="0.25"/>
  <cols>
    <col min="1" max="1" width="31" customWidth="1"/>
  </cols>
  <sheetData>
    <row r="1" spans="1:7" ht="18.75" x14ac:dyDescent="0.3">
      <c r="A1" s="119" t="s">
        <v>198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199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12846</v>
      </c>
      <c r="C4" s="2">
        <v>12487</v>
      </c>
      <c r="D4" s="1">
        <v>11644</v>
      </c>
      <c r="E4" s="1">
        <v>11648</v>
      </c>
      <c r="F4" s="1"/>
      <c r="G4" s="1" t="s">
        <v>4</v>
      </c>
    </row>
    <row r="5" spans="1:7" x14ac:dyDescent="0.25">
      <c r="A5" s="123"/>
      <c r="B5" s="4">
        <v>45849</v>
      </c>
      <c r="C5" s="4">
        <v>45850</v>
      </c>
      <c r="D5" s="4">
        <v>45854</v>
      </c>
      <c r="E5" s="4">
        <v>45856</v>
      </c>
      <c r="F5" s="4"/>
      <c r="G5" s="4">
        <v>45808</v>
      </c>
    </row>
    <row r="6" spans="1:7" x14ac:dyDescent="0.25">
      <c r="A6" s="5" t="s">
        <v>66</v>
      </c>
      <c r="B6" s="6">
        <v>2</v>
      </c>
      <c r="C6" s="7"/>
      <c r="D6" s="7">
        <v>-2</v>
      </c>
      <c r="E6" s="7"/>
      <c r="F6" s="7"/>
      <c r="G6" s="8">
        <f>SUM(B6:F6)</f>
        <v>0</v>
      </c>
    </row>
    <row r="7" spans="1:7" x14ac:dyDescent="0.25">
      <c r="A7" s="5" t="s">
        <v>200</v>
      </c>
      <c r="B7" s="6">
        <v>4</v>
      </c>
      <c r="C7" s="7"/>
      <c r="D7" s="7"/>
      <c r="E7" s="7">
        <v>-4</v>
      </c>
      <c r="F7" s="7"/>
      <c r="G7" s="8">
        <f>SUM(B7:F7)</f>
        <v>0</v>
      </c>
    </row>
    <row r="8" spans="1:7" x14ac:dyDescent="0.25">
      <c r="A8" s="5" t="s">
        <v>201</v>
      </c>
      <c r="B8" s="6">
        <v>4</v>
      </c>
      <c r="C8" s="7"/>
      <c r="D8" s="7"/>
      <c r="E8" s="7">
        <v>-4</v>
      </c>
      <c r="F8" s="7"/>
      <c r="G8" s="8">
        <f>SUM(B8:F8)</f>
        <v>0</v>
      </c>
    </row>
    <row r="9" spans="1:7" x14ac:dyDescent="0.25">
      <c r="A9" s="5" t="s">
        <v>188</v>
      </c>
      <c r="B9" s="6">
        <v>1</v>
      </c>
      <c r="C9" s="7">
        <v>1</v>
      </c>
      <c r="D9" s="7"/>
      <c r="E9" s="7">
        <v>-2</v>
      </c>
      <c r="F9" s="7"/>
      <c r="G9" s="8">
        <f>SUM(B9:F9)</f>
        <v>0</v>
      </c>
    </row>
    <row r="10" spans="1:7" x14ac:dyDescent="0.25">
      <c r="A10" s="9" t="s">
        <v>7</v>
      </c>
      <c r="B10" s="25">
        <v>0.4861111111111111</v>
      </c>
      <c r="C10" s="11">
        <v>0.46527777777777779</v>
      </c>
      <c r="D10" s="12">
        <v>0.5</v>
      </c>
      <c r="E10" s="12">
        <v>0.19097222222222221</v>
      </c>
      <c r="F10" s="12"/>
      <c r="G10" s="2"/>
    </row>
    <row r="11" spans="1:7" x14ac:dyDescent="0.25">
      <c r="A11" s="9" t="s">
        <v>8</v>
      </c>
      <c r="B11" s="14" t="s">
        <v>24</v>
      </c>
      <c r="C11" s="14" t="s">
        <v>24</v>
      </c>
      <c r="D11" s="14" t="s">
        <v>24</v>
      </c>
      <c r="E11" s="15" t="s">
        <v>24</v>
      </c>
      <c r="F11" s="14"/>
      <c r="G11" s="15">
        <f>SUM(E11:F11)</f>
        <v>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62E0-44DE-4FE3-A7EC-BF756331DEEB}">
  <dimension ref="A1:G17"/>
  <sheetViews>
    <sheetView workbookViewId="0">
      <selection activeCell="G12" sqref="G12"/>
    </sheetView>
  </sheetViews>
  <sheetFormatPr baseColWidth="10" defaultRowHeight="15" x14ac:dyDescent="0.25"/>
  <cols>
    <col min="1" max="1" width="27.7109375" customWidth="1"/>
  </cols>
  <sheetData>
    <row r="1" spans="1:7" ht="18.75" x14ac:dyDescent="0.3">
      <c r="A1" s="119" t="s">
        <v>173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174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12833</v>
      </c>
      <c r="C4" s="2">
        <v>11671</v>
      </c>
      <c r="D4" s="1">
        <v>12889</v>
      </c>
      <c r="E4" s="1"/>
      <c r="F4" s="1"/>
      <c r="G4" s="1" t="s">
        <v>4</v>
      </c>
    </row>
    <row r="5" spans="1:7" x14ac:dyDescent="0.25">
      <c r="A5" s="123"/>
      <c r="B5" s="4">
        <v>45840</v>
      </c>
      <c r="C5" s="4">
        <v>45864</v>
      </c>
      <c r="D5" s="4">
        <v>45864</v>
      </c>
      <c r="E5" s="4"/>
      <c r="F5" s="4"/>
      <c r="G5" s="4">
        <v>45808</v>
      </c>
    </row>
    <row r="6" spans="1:7" x14ac:dyDescent="0.25">
      <c r="A6" s="5" t="s">
        <v>36</v>
      </c>
      <c r="B6" s="6">
        <v>14</v>
      </c>
      <c r="C6" s="7">
        <v>-10</v>
      </c>
      <c r="D6" s="7"/>
      <c r="E6" s="7"/>
      <c r="F6" s="7"/>
      <c r="G6" s="8">
        <f t="shared" ref="G6:G16" si="0">SUM(B6:F6)</f>
        <v>4</v>
      </c>
    </row>
    <row r="7" spans="1:7" x14ac:dyDescent="0.25">
      <c r="A7" s="5" t="s">
        <v>79</v>
      </c>
      <c r="B7" s="6">
        <v>14</v>
      </c>
      <c r="C7" s="7">
        <v>-10</v>
      </c>
      <c r="D7" s="7"/>
      <c r="E7" s="7"/>
      <c r="F7" s="7"/>
      <c r="G7" s="8">
        <f t="shared" si="0"/>
        <v>4</v>
      </c>
    </row>
    <row r="8" spans="1:7" x14ac:dyDescent="0.25">
      <c r="A8" s="5" t="s">
        <v>102</v>
      </c>
      <c r="B8" s="6">
        <v>12</v>
      </c>
      <c r="C8" s="7">
        <v>-12</v>
      </c>
      <c r="D8" s="7"/>
      <c r="E8" s="7"/>
      <c r="F8" s="7"/>
      <c r="G8" s="8">
        <f t="shared" si="0"/>
        <v>0</v>
      </c>
    </row>
    <row r="9" spans="1:7" x14ac:dyDescent="0.25">
      <c r="A9" s="5" t="s">
        <v>175</v>
      </c>
      <c r="B9" s="6">
        <v>5</v>
      </c>
      <c r="C9" s="7"/>
      <c r="D9" s="7">
        <v>3</v>
      </c>
      <c r="E9" s="7"/>
      <c r="F9" s="7"/>
      <c r="G9" s="8">
        <f t="shared" si="0"/>
        <v>8</v>
      </c>
    </row>
    <row r="10" spans="1:7" x14ac:dyDescent="0.25">
      <c r="A10" s="5" t="s">
        <v>49</v>
      </c>
      <c r="B10" s="6">
        <v>4</v>
      </c>
      <c r="C10" s="7"/>
      <c r="D10" s="7"/>
      <c r="E10" s="7"/>
      <c r="F10" s="7"/>
      <c r="G10" s="8">
        <f t="shared" si="0"/>
        <v>4</v>
      </c>
    </row>
    <row r="11" spans="1:7" x14ac:dyDescent="0.25">
      <c r="A11" s="5" t="s">
        <v>176</v>
      </c>
      <c r="B11" s="6">
        <v>20</v>
      </c>
      <c r="C11" s="7"/>
      <c r="D11" s="7"/>
      <c r="E11" s="7"/>
      <c r="F11" s="7"/>
      <c r="G11" s="8">
        <f t="shared" si="0"/>
        <v>20</v>
      </c>
    </row>
    <row r="12" spans="1:7" x14ac:dyDescent="0.25">
      <c r="A12" s="5" t="s">
        <v>80</v>
      </c>
      <c r="B12" s="6">
        <v>20</v>
      </c>
      <c r="C12" s="7">
        <v>-16</v>
      </c>
      <c r="D12" s="7"/>
      <c r="E12" s="7"/>
      <c r="F12" s="7"/>
      <c r="G12" s="8">
        <f>SUM(B12:F12)</f>
        <v>4</v>
      </c>
    </row>
    <row r="13" spans="1:7" x14ac:dyDescent="0.25">
      <c r="A13" s="5" t="s">
        <v>177</v>
      </c>
      <c r="B13" s="6">
        <v>350</v>
      </c>
      <c r="C13" s="7">
        <v>-280</v>
      </c>
      <c r="D13" s="7"/>
      <c r="E13" s="7"/>
      <c r="F13" s="7"/>
      <c r="G13" s="8">
        <f t="shared" si="0"/>
        <v>70</v>
      </c>
    </row>
    <row r="14" spans="1:7" x14ac:dyDescent="0.25">
      <c r="A14" s="5" t="s">
        <v>32</v>
      </c>
      <c r="B14" s="6">
        <v>1</v>
      </c>
      <c r="C14" s="7">
        <v>-1</v>
      </c>
      <c r="D14" s="7"/>
      <c r="E14" s="7"/>
      <c r="F14" s="7"/>
      <c r="G14" s="8">
        <f t="shared" si="0"/>
        <v>0</v>
      </c>
    </row>
    <row r="15" spans="1:7" x14ac:dyDescent="0.25">
      <c r="A15" s="5" t="s">
        <v>355</v>
      </c>
      <c r="B15" s="6"/>
      <c r="C15" s="7"/>
      <c r="D15" s="7">
        <v>10</v>
      </c>
      <c r="E15" s="7"/>
      <c r="F15" s="7"/>
      <c r="G15" s="8">
        <f>SUM(B15:F15)</f>
        <v>10</v>
      </c>
    </row>
    <row r="16" spans="1:7" x14ac:dyDescent="0.25">
      <c r="A16" s="9" t="s">
        <v>7</v>
      </c>
      <c r="B16" s="25">
        <v>0.35416666666666669</v>
      </c>
      <c r="C16" s="11">
        <v>0.39583333333333331</v>
      </c>
      <c r="D16" s="12">
        <v>0.39583333333333331</v>
      </c>
      <c r="E16" s="12"/>
      <c r="F16" s="12"/>
      <c r="G16" s="2">
        <f t="shared" si="0"/>
        <v>1.1458333333333333</v>
      </c>
    </row>
    <row r="17" spans="1:7" x14ac:dyDescent="0.25">
      <c r="A17" s="9" t="s">
        <v>8</v>
      </c>
      <c r="B17" s="14">
        <v>30000</v>
      </c>
      <c r="C17" s="14" t="s">
        <v>211</v>
      </c>
      <c r="D17" s="14">
        <v>30000</v>
      </c>
      <c r="E17" s="15"/>
      <c r="F17" s="14"/>
      <c r="G17" s="15">
        <f>SUM(E17:F17)</f>
        <v>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3DDC-846C-4010-9226-2631F4FD3C63}">
  <dimension ref="A1:G15"/>
  <sheetViews>
    <sheetView workbookViewId="0">
      <selection activeCell="K14" sqref="K14"/>
    </sheetView>
  </sheetViews>
  <sheetFormatPr baseColWidth="10" defaultRowHeight="15" x14ac:dyDescent="0.25"/>
  <cols>
    <col min="1" max="1" width="28.5703125" customWidth="1"/>
  </cols>
  <sheetData>
    <row r="1" spans="1:7" ht="18.75" x14ac:dyDescent="0.3">
      <c r="A1" s="119" t="s">
        <v>353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411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12891</v>
      </c>
      <c r="C4" s="2">
        <v>11680</v>
      </c>
      <c r="D4" s="1">
        <v>11684</v>
      </c>
      <c r="E4" s="1"/>
      <c r="F4" s="1"/>
      <c r="G4" s="1" t="s">
        <v>4</v>
      </c>
    </row>
    <row r="5" spans="1:7" x14ac:dyDescent="0.25">
      <c r="A5" s="123"/>
      <c r="B5" s="4">
        <v>45864</v>
      </c>
      <c r="C5" s="4">
        <v>45869</v>
      </c>
      <c r="D5" s="4">
        <v>45870</v>
      </c>
      <c r="E5" s="4"/>
      <c r="F5" s="4"/>
      <c r="G5" s="4">
        <v>45808</v>
      </c>
    </row>
    <row r="6" spans="1:7" x14ac:dyDescent="0.25">
      <c r="A6" s="5" t="s">
        <v>354</v>
      </c>
      <c r="B6" s="6">
        <v>16</v>
      </c>
      <c r="C6" s="7">
        <v>-14</v>
      </c>
      <c r="D6" s="7">
        <v>-2</v>
      </c>
      <c r="E6" s="7"/>
      <c r="F6" s="7"/>
      <c r="G6" s="8">
        <f t="shared" ref="G6:G12" si="0">SUM(B6:F6)</f>
        <v>0</v>
      </c>
    </row>
    <row r="7" spans="1:7" x14ac:dyDescent="0.25">
      <c r="A7" s="5" t="s">
        <v>79</v>
      </c>
      <c r="B7" s="6">
        <v>16</v>
      </c>
      <c r="C7" s="7">
        <v>-12</v>
      </c>
      <c r="D7" s="7">
        <v>-4</v>
      </c>
      <c r="E7" s="7"/>
      <c r="F7" s="7"/>
      <c r="G7" s="8">
        <f t="shared" si="0"/>
        <v>0</v>
      </c>
    </row>
    <row r="8" spans="1:7" x14ac:dyDescent="0.25">
      <c r="A8" s="5" t="s">
        <v>80</v>
      </c>
      <c r="B8" s="6">
        <v>16</v>
      </c>
      <c r="C8" s="7">
        <v>-13</v>
      </c>
      <c r="D8" s="7">
        <v>-3</v>
      </c>
      <c r="E8" s="7"/>
      <c r="F8" s="7"/>
      <c r="G8" s="8">
        <f t="shared" si="0"/>
        <v>0</v>
      </c>
    </row>
    <row r="9" spans="1:7" x14ac:dyDescent="0.25">
      <c r="A9" s="5" t="s">
        <v>62</v>
      </c>
      <c r="B9" s="6">
        <v>32</v>
      </c>
      <c r="C9" s="7">
        <v>-30</v>
      </c>
      <c r="D9" s="7">
        <v>-2</v>
      </c>
      <c r="E9" s="7"/>
      <c r="F9" s="7"/>
      <c r="G9" s="8">
        <f t="shared" si="0"/>
        <v>0</v>
      </c>
    </row>
    <row r="10" spans="1:7" x14ac:dyDescent="0.25">
      <c r="A10" s="5" t="s">
        <v>30</v>
      </c>
      <c r="B10" s="6">
        <v>16</v>
      </c>
      <c r="C10" s="7">
        <v>-12</v>
      </c>
      <c r="D10" s="7">
        <v>-4</v>
      </c>
      <c r="E10" s="7"/>
      <c r="F10" s="7"/>
      <c r="G10" s="8">
        <f t="shared" si="0"/>
        <v>0</v>
      </c>
    </row>
    <row r="11" spans="1:7" x14ac:dyDescent="0.25">
      <c r="A11" s="5" t="s">
        <v>31</v>
      </c>
      <c r="B11" s="6">
        <v>400</v>
      </c>
      <c r="C11" s="7">
        <v>-350</v>
      </c>
      <c r="D11" s="7">
        <v>-50</v>
      </c>
      <c r="E11" s="7"/>
      <c r="F11" s="7"/>
      <c r="G11" s="8">
        <f t="shared" si="0"/>
        <v>0</v>
      </c>
    </row>
    <row r="12" spans="1:7" x14ac:dyDescent="0.25">
      <c r="A12" s="5" t="s">
        <v>246</v>
      </c>
      <c r="B12" s="6">
        <v>2</v>
      </c>
      <c r="C12" s="7">
        <v>-2</v>
      </c>
      <c r="D12" s="7"/>
      <c r="E12" s="7"/>
      <c r="F12" s="7"/>
      <c r="G12" s="8">
        <f t="shared" si="0"/>
        <v>0</v>
      </c>
    </row>
    <row r="13" spans="1:7" x14ac:dyDescent="0.25">
      <c r="A13" s="9" t="s">
        <v>7</v>
      </c>
      <c r="B13" s="25">
        <v>0.45833333333333331</v>
      </c>
      <c r="C13" s="11">
        <v>0.39583333333333331</v>
      </c>
      <c r="D13" s="12">
        <v>0.3125</v>
      </c>
      <c r="E13" s="12"/>
      <c r="F13" s="12"/>
      <c r="G13" s="2"/>
    </row>
    <row r="14" spans="1:7" x14ac:dyDescent="0.25">
      <c r="A14" s="9" t="s">
        <v>8</v>
      </c>
      <c r="B14" s="14">
        <v>35000</v>
      </c>
      <c r="C14" s="14" t="s">
        <v>286</v>
      </c>
      <c r="D14" s="14" t="s">
        <v>211</v>
      </c>
      <c r="E14" s="15"/>
      <c r="F14" s="14"/>
      <c r="G14" s="15">
        <f>SUM(E14:F14)</f>
        <v>0</v>
      </c>
    </row>
    <row r="15" spans="1:7" x14ac:dyDescent="0.25">
      <c r="D15" t="s">
        <v>412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1DAD-FCBB-456E-B88B-99B13118564E}">
  <dimension ref="A1:G11"/>
  <sheetViews>
    <sheetView workbookViewId="0">
      <selection activeCell="I13" sqref="I13"/>
    </sheetView>
  </sheetViews>
  <sheetFormatPr baseColWidth="10" defaultRowHeight="15" x14ac:dyDescent="0.25"/>
  <cols>
    <col min="1" max="1" width="33.28515625" customWidth="1"/>
  </cols>
  <sheetData>
    <row r="1" spans="1:7" ht="18.75" x14ac:dyDescent="0.3">
      <c r="A1" s="119" t="s">
        <v>103</v>
      </c>
      <c r="B1" s="120"/>
      <c r="C1" s="120"/>
      <c r="D1" s="120"/>
      <c r="E1" s="120"/>
      <c r="F1" s="120"/>
      <c r="G1" s="120"/>
    </row>
    <row r="2" spans="1:7" ht="18.75" x14ac:dyDescent="0.3">
      <c r="A2" s="119" t="s">
        <v>104</v>
      </c>
      <c r="B2" s="120"/>
      <c r="C2" s="120"/>
      <c r="D2" s="120"/>
      <c r="E2" s="120"/>
      <c r="F2" s="120"/>
      <c r="G2" s="120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0"/>
    </row>
    <row r="4" spans="1:7" x14ac:dyDescent="0.25">
      <c r="A4" s="122" t="s">
        <v>2</v>
      </c>
      <c r="B4" s="22" t="s">
        <v>3</v>
      </c>
      <c r="C4" s="2"/>
      <c r="D4" s="1"/>
      <c r="E4" s="1"/>
      <c r="F4" s="1"/>
      <c r="G4" s="22" t="s">
        <v>4</v>
      </c>
    </row>
    <row r="5" spans="1:7" x14ac:dyDescent="0.25">
      <c r="A5" s="123"/>
      <c r="B5" s="20">
        <v>45869</v>
      </c>
      <c r="C5" s="4"/>
      <c r="D5" s="4"/>
      <c r="E5" s="4"/>
      <c r="F5" s="4"/>
      <c r="G5" s="20">
        <v>45900</v>
      </c>
    </row>
    <row r="6" spans="1:7" x14ac:dyDescent="0.25">
      <c r="A6" s="5" t="s">
        <v>54</v>
      </c>
      <c r="B6" s="6">
        <v>6</v>
      </c>
      <c r="C6" s="7"/>
      <c r="D6" s="7"/>
      <c r="E6" s="7"/>
      <c r="F6" s="7"/>
      <c r="G6" s="8">
        <f>SUM(B6:D6)</f>
        <v>6</v>
      </c>
    </row>
    <row r="7" spans="1:7" x14ac:dyDescent="0.25">
      <c r="A7" s="5" t="s">
        <v>56</v>
      </c>
      <c r="B7" s="6">
        <v>4</v>
      </c>
      <c r="C7" s="7"/>
      <c r="D7" s="7"/>
      <c r="E7" s="7"/>
      <c r="F7" s="7"/>
      <c r="G7" s="8">
        <f>SUM(B7:D7)</f>
        <v>4</v>
      </c>
    </row>
    <row r="8" spans="1:7" x14ac:dyDescent="0.25">
      <c r="A8" s="5" t="s">
        <v>57</v>
      </c>
      <c r="B8" s="6">
        <v>12</v>
      </c>
      <c r="C8" s="7"/>
      <c r="D8" s="7"/>
      <c r="E8" s="7"/>
      <c r="F8" s="7"/>
      <c r="G8" s="8">
        <f>SUM(B8:D8)</f>
        <v>12</v>
      </c>
    </row>
    <row r="9" spans="1:7" x14ac:dyDescent="0.25">
      <c r="A9" s="5" t="s">
        <v>105</v>
      </c>
      <c r="B9" s="6">
        <v>2</v>
      </c>
      <c r="C9" s="7"/>
      <c r="D9" s="7"/>
      <c r="E9" s="7"/>
      <c r="F9" s="7"/>
      <c r="G9" s="8">
        <f>SUM(B9:D9)</f>
        <v>2</v>
      </c>
    </row>
    <row r="10" spans="1:7" x14ac:dyDescent="0.25">
      <c r="A10" s="9" t="s">
        <v>7</v>
      </c>
      <c r="B10" s="50"/>
      <c r="C10" s="44"/>
      <c r="D10" s="44"/>
      <c r="E10" s="44"/>
      <c r="F10" s="44"/>
      <c r="G10" s="2"/>
    </row>
    <row r="11" spans="1:7" x14ac:dyDescent="0.25">
      <c r="A11" s="9" t="s">
        <v>8</v>
      </c>
      <c r="B11" s="13"/>
      <c r="C11" s="15"/>
      <c r="D11" s="14"/>
      <c r="E11" s="14"/>
      <c r="F11" s="14"/>
      <c r="G11" s="15">
        <f>SUM(B11:D11)</f>
        <v>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11EC-52AE-4243-89DF-2D746A43804E}">
  <sheetPr>
    <pageSetUpPr fitToPage="1"/>
  </sheetPr>
  <dimension ref="A1:G24"/>
  <sheetViews>
    <sheetView topLeftCell="A6" workbookViewId="0">
      <selection activeCell="I5" sqref="I5:I7"/>
    </sheetView>
  </sheetViews>
  <sheetFormatPr baseColWidth="10" defaultRowHeight="15" x14ac:dyDescent="0.25"/>
  <cols>
    <col min="1" max="1" width="33.85546875" bestFit="1" customWidth="1"/>
    <col min="5" max="5" width="15.85546875" customWidth="1"/>
    <col min="6" max="6" width="13.42578125" customWidth="1"/>
  </cols>
  <sheetData>
    <row r="1" spans="1:7" ht="18.75" x14ac:dyDescent="0.3">
      <c r="A1" s="119" t="s">
        <v>304</v>
      </c>
      <c r="B1" s="120"/>
      <c r="C1" s="120"/>
      <c r="D1" s="120"/>
      <c r="E1" s="120"/>
      <c r="F1" s="120"/>
      <c r="G1" s="120"/>
    </row>
    <row r="2" spans="1:7" ht="18.75" x14ac:dyDescent="0.3">
      <c r="A2" s="119" t="s">
        <v>306</v>
      </c>
      <c r="B2" s="120"/>
      <c r="C2" s="120"/>
      <c r="D2" s="120"/>
      <c r="E2" s="120"/>
      <c r="F2" s="120"/>
      <c r="G2" s="120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0"/>
    </row>
    <row r="4" spans="1:7" x14ac:dyDescent="0.25">
      <c r="A4" s="122" t="s">
        <v>2</v>
      </c>
      <c r="B4" s="1">
        <v>12878</v>
      </c>
      <c r="C4" s="2">
        <v>11674</v>
      </c>
      <c r="D4" s="1"/>
      <c r="E4" s="1"/>
      <c r="F4" s="1"/>
      <c r="G4" s="22" t="s">
        <v>4</v>
      </c>
    </row>
    <row r="5" spans="1:7" x14ac:dyDescent="0.25">
      <c r="A5" s="123"/>
      <c r="B5" s="4">
        <v>45860</v>
      </c>
      <c r="C5" s="4">
        <v>45866</v>
      </c>
      <c r="D5" s="4"/>
      <c r="E5" s="4"/>
      <c r="F5" s="4"/>
      <c r="G5" s="20">
        <v>45869</v>
      </c>
    </row>
    <row r="6" spans="1:7" x14ac:dyDescent="0.25">
      <c r="A6" s="5" t="s">
        <v>305</v>
      </c>
      <c r="B6" s="6">
        <v>4</v>
      </c>
      <c r="C6" s="7">
        <v>-4</v>
      </c>
      <c r="D6" s="7"/>
      <c r="E6" s="7"/>
      <c r="F6" s="7"/>
      <c r="G6" s="8">
        <f>SUM(B6:D6)</f>
        <v>0</v>
      </c>
    </row>
    <row r="7" spans="1:7" x14ac:dyDescent="0.25">
      <c r="A7" s="5" t="s">
        <v>56</v>
      </c>
      <c r="B7" s="6">
        <v>4</v>
      </c>
      <c r="C7" s="7">
        <v>-4</v>
      </c>
      <c r="D7" s="7"/>
      <c r="E7" s="7"/>
      <c r="F7" s="7"/>
      <c r="G7" s="8">
        <f>SUM(B7:D7)</f>
        <v>0</v>
      </c>
    </row>
    <row r="8" spans="1:7" x14ac:dyDescent="0.25">
      <c r="A8" s="5" t="s">
        <v>57</v>
      </c>
      <c r="B8" s="6">
        <v>2</v>
      </c>
      <c r="C8" s="7">
        <v>-2</v>
      </c>
      <c r="D8" s="7"/>
      <c r="E8" s="7"/>
      <c r="F8" s="7"/>
      <c r="G8" s="8">
        <f>SUM(B8:D8)</f>
        <v>0</v>
      </c>
    </row>
    <row r="9" spans="1:7" x14ac:dyDescent="0.25">
      <c r="A9" s="9" t="s">
        <v>7</v>
      </c>
      <c r="B9" s="45">
        <v>0.30555555555555558</v>
      </c>
      <c r="C9" s="44">
        <v>0.16666666666666666</v>
      </c>
      <c r="D9" s="44"/>
      <c r="E9" s="44"/>
      <c r="F9" s="44"/>
      <c r="G9" s="2"/>
    </row>
    <row r="10" spans="1:7" x14ac:dyDescent="0.25">
      <c r="A10" s="9" t="s">
        <v>8</v>
      </c>
      <c r="B10" s="14">
        <v>25000</v>
      </c>
      <c r="C10" s="15">
        <v>25000</v>
      </c>
      <c r="D10" s="14"/>
      <c r="E10" s="14"/>
      <c r="F10" s="14"/>
      <c r="G10" s="15">
        <f>SUM(B10:D10)</f>
        <v>50000</v>
      </c>
    </row>
    <row r="11" spans="1:7" x14ac:dyDescent="0.25">
      <c r="A11" s="88" t="s">
        <v>307</v>
      </c>
    </row>
    <row r="13" spans="1:7" ht="15.75" thickBot="1" x14ac:dyDescent="0.3"/>
    <row r="14" spans="1:7" x14ac:dyDescent="0.25">
      <c r="A14" s="148" t="s">
        <v>360</v>
      </c>
      <c r="B14" s="149"/>
      <c r="C14" s="149"/>
      <c r="D14" s="149"/>
      <c r="E14" s="149"/>
      <c r="F14" s="150"/>
    </row>
    <row r="15" spans="1:7" ht="18" x14ac:dyDescent="0.25">
      <c r="A15" s="142" t="s">
        <v>304</v>
      </c>
      <c r="B15" s="143"/>
      <c r="C15" s="143"/>
      <c r="D15" s="143"/>
      <c r="E15" s="143"/>
      <c r="F15" s="144"/>
    </row>
    <row r="16" spans="1:7" ht="18" x14ac:dyDescent="0.25">
      <c r="A16" s="142" t="s">
        <v>375</v>
      </c>
      <c r="B16" s="143"/>
      <c r="C16" s="143"/>
      <c r="D16" s="143"/>
      <c r="E16" s="143"/>
      <c r="F16" s="144"/>
    </row>
    <row r="17" spans="1:6" x14ac:dyDescent="0.25">
      <c r="A17" s="145" t="s">
        <v>2</v>
      </c>
      <c r="B17" s="146" t="s">
        <v>361</v>
      </c>
      <c r="C17" s="146"/>
      <c r="D17" s="146"/>
      <c r="E17" s="146" t="s">
        <v>362</v>
      </c>
      <c r="F17" s="147"/>
    </row>
    <row r="18" spans="1:6" x14ac:dyDescent="0.25">
      <c r="A18" s="145"/>
      <c r="B18" s="56" t="s">
        <v>363</v>
      </c>
      <c r="C18" s="56" t="s">
        <v>364</v>
      </c>
      <c r="D18" s="56" t="s">
        <v>365</v>
      </c>
      <c r="E18" s="56" t="s">
        <v>366</v>
      </c>
      <c r="F18" s="100" t="s">
        <v>367</v>
      </c>
    </row>
    <row r="19" spans="1:6" x14ac:dyDescent="0.25">
      <c r="A19" s="101" t="s">
        <v>371</v>
      </c>
      <c r="B19" s="102">
        <v>6</v>
      </c>
      <c r="C19" s="103">
        <v>2</v>
      </c>
      <c r="D19" s="104">
        <v>1500</v>
      </c>
      <c r="E19" s="104">
        <f>C19*D19</f>
        <v>3000</v>
      </c>
      <c r="F19" s="105">
        <f>B19*E19</f>
        <v>18000</v>
      </c>
    </row>
    <row r="20" spans="1:6" x14ac:dyDescent="0.25">
      <c r="A20" s="101" t="s">
        <v>368</v>
      </c>
      <c r="B20" s="102">
        <v>6</v>
      </c>
      <c r="C20" s="103">
        <v>2</v>
      </c>
      <c r="D20" s="104">
        <v>1000</v>
      </c>
      <c r="E20" s="104">
        <f>C20*D20</f>
        <v>2000</v>
      </c>
      <c r="F20" s="105">
        <f>B20*E20</f>
        <v>12000</v>
      </c>
    </row>
    <row r="21" spans="1:6" ht="18.75" x14ac:dyDescent="0.4">
      <c r="A21" s="131" t="s">
        <v>373</v>
      </c>
      <c r="B21" s="132"/>
      <c r="C21" s="137" t="s">
        <v>369</v>
      </c>
      <c r="D21" s="138"/>
      <c r="E21" s="106">
        <f>SUM(E19:E20)</f>
        <v>5000</v>
      </c>
      <c r="F21" s="107"/>
    </row>
    <row r="22" spans="1:6" ht="19.5" thickBot="1" x14ac:dyDescent="0.45">
      <c r="A22" s="133"/>
      <c r="B22" s="134"/>
      <c r="C22" s="139" t="s">
        <v>370</v>
      </c>
      <c r="D22" s="139"/>
      <c r="E22" s="108">
        <f>SUM(F19:F20)</f>
        <v>30000</v>
      </c>
      <c r="F22" s="109"/>
    </row>
    <row r="23" spans="1:6" ht="18.75" x14ac:dyDescent="0.4">
      <c r="A23" s="133"/>
      <c r="B23" s="134"/>
      <c r="C23" s="140" t="s">
        <v>374</v>
      </c>
      <c r="D23" s="141"/>
      <c r="E23" s="110">
        <v>50000</v>
      </c>
      <c r="F23" s="109"/>
    </row>
    <row r="24" spans="1:6" ht="19.5" thickBot="1" x14ac:dyDescent="0.45">
      <c r="A24" s="135"/>
      <c r="B24" s="136"/>
      <c r="C24" s="139" t="s">
        <v>370</v>
      </c>
      <c r="D24" s="139"/>
      <c r="E24" s="111">
        <f>E22+E23</f>
        <v>80000</v>
      </c>
      <c r="F24" s="112"/>
    </row>
  </sheetData>
  <mergeCells count="15">
    <mergeCell ref="A1:G1"/>
    <mergeCell ref="A2:G2"/>
    <mergeCell ref="A3:G3"/>
    <mergeCell ref="A4:A5"/>
    <mergeCell ref="A14:F14"/>
    <mergeCell ref="A15:F15"/>
    <mergeCell ref="A16:F16"/>
    <mergeCell ref="A17:A18"/>
    <mergeCell ref="B17:D17"/>
    <mergeCell ref="E17:F17"/>
    <mergeCell ref="A21:B24"/>
    <mergeCell ref="C21:D21"/>
    <mergeCell ref="C22:D22"/>
    <mergeCell ref="C23:D23"/>
    <mergeCell ref="C24:D24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1C2F-D2C5-43BE-89DA-31E88D39D839}">
  <dimension ref="A1:G10"/>
  <sheetViews>
    <sheetView workbookViewId="0">
      <selection activeCell="B17" sqref="B17"/>
    </sheetView>
  </sheetViews>
  <sheetFormatPr baseColWidth="10" defaultRowHeight="15" x14ac:dyDescent="0.25"/>
  <cols>
    <col min="1" max="1" width="32.85546875" bestFit="1" customWidth="1"/>
  </cols>
  <sheetData>
    <row r="1" spans="1:7" ht="18.75" x14ac:dyDescent="0.3">
      <c r="A1" s="119" t="s">
        <v>308</v>
      </c>
      <c r="B1" s="120"/>
      <c r="C1" s="120"/>
      <c r="D1" s="120"/>
      <c r="E1" s="120"/>
      <c r="F1" s="120"/>
      <c r="G1" s="120"/>
    </row>
    <row r="2" spans="1:7" ht="18.75" x14ac:dyDescent="0.3">
      <c r="A2" s="119" t="s">
        <v>309</v>
      </c>
      <c r="B2" s="120"/>
      <c r="C2" s="120"/>
      <c r="D2" s="120"/>
      <c r="E2" s="120"/>
      <c r="F2" s="120"/>
      <c r="G2" s="120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0"/>
    </row>
    <row r="4" spans="1:7" x14ac:dyDescent="0.25">
      <c r="A4" s="122" t="s">
        <v>2</v>
      </c>
      <c r="B4" s="1">
        <v>12877</v>
      </c>
      <c r="C4" s="2"/>
      <c r="D4" s="1"/>
      <c r="E4" s="1"/>
      <c r="F4" s="1"/>
      <c r="G4" s="22" t="s">
        <v>4</v>
      </c>
    </row>
    <row r="5" spans="1:7" x14ac:dyDescent="0.25">
      <c r="A5" s="123"/>
      <c r="B5" s="4">
        <v>45859</v>
      </c>
      <c r="C5" s="4"/>
      <c r="D5" s="4"/>
      <c r="E5" s="4"/>
      <c r="F5" s="4"/>
      <c r="G5" s="20">
        <v>45869</v>
      </c>
    </row>
    <row r="6" spans="1:7" x14ac:dyDescent="0.25">
      <c r="A6" s="5" t="s">
        <v>54</v>
      </c>
      <c r="B6" s="6">
        <v>6</v>
      </c>
      <c r="C6" s="7"/>
      <c r="D6" s="7"/>
      <c r="E6" s="7"/>
      <c r="F6" s="7"/>
      <c r="G6" s="8">
        <f>SUM(B6:D6)</f>
        <v>6</v>
      </c>
    </row>
    <row r="7" spans="1:7" x14ac:dyDescent="0.25">
      <c r="A7" s="5" t="s">
        <v>56</v>
      </c>
      <c r="B7" s="6">
        <v>6</v>
      </c>
      <c r="C7" s="7"/>
      <c r="D7" s="7"/>
      <c r="E7" s="7"/>
      <c r="F7" s="7"/>
      <c r="G7" s="8">
        <f>SUM(B7:D7)</f>
        <v>6</v>
      </c>
    </row>
    <row r="8" spans="1:7" x14ac:dyDescent="0.25">
      <c r="A8" s="5" t="s">
        <v>57</v>
      </c>
      <c r="B8" s="6">
        <v>4</v>
      </c>
      <c r="C8" s="7"/>
      <c r="D8" s="7"/>
      <c r="E8" s="7"/>
      <c r="F8" s="7"/>
      <c r="G8" s="8">
        <f>SUM(B8:D8)</f>
        <v>4</v>
      </c>
    </row>
    <row r="9" spans="1:7" x14ac:dyDescent="0.25">
      <c r="A9" s="9" t="s">
        <v>7</v>
      </c>
      <c r="B9" s="45">
        <v>8.3333333333333329E-2</v>
      </c>
      <c r="C9" s="44"/>
      <c r="D9" s="44"/>
      <c r="E9" s="44"/>
      <c r="F9" s="44"/>
      <c r="G9" s="2"/>
    </row>
    <row r="10" spans="1:7" x14ac:dyDescent="0.25">
      <c r="A10" s="9" t="s">
        <v>8</v>
      </c>
      <c r="B10" s="14">
        <v>30000</v>
      </c>
      <c r="C10" s="15"/>
      <c r="D10" s="14"/>
      <c r="E10" s="14"/>
      <c r="F10" s="14"/>
      <c r="G10" s="15">
        <f>SUM(B10:D10)</f>
        <v>30000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AA97-4C90-43AD-AE41-81BA4764B1C0}">
  <dimension ref="A1:G10"/>
  <sheetViews>
    <sheetView workbookViewId="0">
      <selection activeCell="B18" sqref="B18"/>
    </sheetView>
  </sheetViews>
  <sheetFormatPr baseColWidth="10" defaultRowHeight="15" x14ac:dyDescent="0.25"/>
  <cols>
    <col min="1" max="1" width="44.5703125" customWidth="1"/>
  </cols>
  <sheetData>
    <row r="1" spans="1:7" ht="18.75" x14ac:dyDescent="0.3">
      <c r="A1" s="119" t="s">
        <v>310</v>
      </c>
      <c r="B1" s="120"/>
      <c r="C1" s="120"/>
      <c r="D1" s="120"/>
      <c r="E1" s="120"/>
      <c r="F1" s="120"/>
      <c r="G1" s="120"/>
    </row>
    <row r="2" spans="1:7" ht="18.75" x14ac:dyDescent="0.3">
      <c r="A2" s="119" t="s">
        <v>311</v>
      </c>
      <c r="B2" s="120"/>
      <c r="C2" s="120"/>
      <c r="D2" s="120"/>
      <c r="E2" s="120"/>
      <c r="F2" s="120"/>
      <c r="G2" s="120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0"/>
    </row>
    <row r="4" spans="1:7" x14ac:dyDescent="0.25">
      <c r="A4" s="122" t="s">
        <v>2</v>
      </c>
      <c r="B4" s="1">
        <v>12876</v>
      </c>
      <c r="C4" s="2">
        <v>11666</v>
      </c>
      <c r="D4" s="1"/>
      <c r="E4" s="1"/>
      <c r="F4" s="1"/>
      <c r="G4" s="22" t="s">
        <v>4</v>
      </c>
    </row>
    <row r="5" spans="1:7" x14ac:dyDescent="0.25">
      <c r="A5" s="123"/>
      <c r="B5" s="4">
        <v>45859</v>
      </c>
      <c r="C5" s="4">
        <v>45862</v>
      </c>
      <c r="D5" s="4"/>
      <c r="E5" s="4"/>
      <c r="F5" s="4"/>
      <c r="G5" s="20">
        <v>45869</v>
      </c>
    </row>
    <row r="6" spans="1:7" x14ac:dyDescent="0.25">
      <c r="A6" s="5" t="s">
        <v>312</v>
      </c>
      <c r="B6" s="6">
        <v>1</v>
      </c>
      <c r="C6" s="7">
        <v>-1</v>
      </c>
      <c r="D6" s="7"/>
      <c r="E6" s="7"/>
      <c r="F6" s="7"/>
      <c r="G6" s="8">
        <f>SUM(B6:D6)</f>
        <v>0</v>
      </c>
    </row>
    <row r="7" spans="1:7" x14ac:dyDescent="0.25">
      <c r="A7" s="5"/>
      <c r="B7" s="6"/>
      <c r="C7" s="7"/>
      <c r="D7" s="7"/>
      <c r="E7" s="7"/>
      <c r="F7" s="7"/>
      <c r="G7" s="8">
        <f>SUM(B7:D7)</f>
        <v>0</v>
      </c>
    </row>
    <row r="8" spans="1:7" x14ac:dyDescent="0.25">
      <c r="A8" s="5"/>
      <c r="B8" s="6"/>
      <c r="C8" s="7"/>
      <c r="D8" s="7"/>
      <c r="E8" s="7"/>
      <c r="F8" s="7"/>
      <c r="G8" s="8">
        <f>SUM(B8:D8)</f>
        <v>0</v>
      </c>
    </row>
    <row r="9" spans="1:7" x14ac:dyDescent="0.25">
      <c r="A9" s="9" t="s">
        <v>7</v>
      </c>
      <c r="B9" s="45" t="s">
        <v>313</v>
      </c>
      <c r="C9" s="44">
        <v>0.14583333333333334</v>
      </c>
      <c r="D9" s="44"/>
      <c r="E9" s="44"/>
      <c r="F9" s="44"/>
      <c r="G9" s="2"/>
    </row>
    <row r="10" spans="1:7" x14ac:dyDescent="0.25">
      <c r="A10" s="9" t="s">
        <v>8</v>
      </c>
      <c r="B10" s="14">
        <v>15000</v>
      </c>
      <c r="C10" s="15">
        <v>15000</v>
      </c>
      <c r="D10" s="14"/>
      <c r="E10" s="14"/>
      <c r="F10" s="14"/>
      <c r="G10" s="15">
        <f>SUM(B10:D10)</f>
        <v>30000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2B6B-CC73-470A-A33B-909B806EF915}">
  <dimension ref="A1:G11"/>
  <sheetViews>
    <sheetView workbookViewId="0">
      <selection activeCell="C11" sqref="C11"/>
    </sheetView>
  </sheetViews>
  <sheetFormatPr baseColWidth="10" defaultRowHeight="15" x14ac:dyDescent="0.25"/>
  <cols>
    <col min="1" max="1" width="28.5703125" customWidth="1"/>
  </cols>
  <sheetData>
    <row r="1" spans="1:7" ht="18.75" x14ac:dyDescent="0.3">
      <c r="A1" s="119" t="s">
        <v>314</v>
      </c>
      <c r="B1" s="120"/>
      <c r="C1" s="120"/>
      <c r="D1" s="120"/>
      <c r="E1" s="120"/>
      <c r="F1" s="120"/>
      <c r="G1" s="120"/>
    </row>
    <row r="2" spans="1:7" ht="18.75" x14ac:dyDescent="0.3">
      <c r="A2" s="119" t="s">
        <v>315</v>
      </c>
      <c r="B2" s="120"/>
      <c r="C2" s="120"/>
      <c r="D2" s="120"/>
      <c r="E2" s="120"/>
      <c r="F2" s="120"/>
      <c r="G2" s="120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0"/>
    </row>
    <row r="4" spans="1:7" x14ac:dyDescent="0.25">
      <c r="A4" s="122" t="s">
        <v>2</v>
      </c>
      <c r="B4" s="1">
        <v>12875</v>
      </c>
      <c r="C4" s="2">
        <v>11654</v>
      </c>
      <c r="D4" s="1"/>
      <c r="E4" s="1"/>
      <c r="F4" s="1"/>
      <c r="G4" s="22" t="s">
        <v>4</v>
      </c>
    </row>
    <row r="5" spans="1:7" x14ac:dyDescent="0.25">
      <c r="A5" s="123"/>
      <c r="B5" s="4">
        <v>45857</v>
      </c>
      <c r="C5" s="4">
        <v>45859</v>
      </c>
      <c r="D5" s="4"/>
      <c r="E5" s="4"/>
      <c r="F5" s="4"/>
      <c r="G5" s="20">
        <v>45869</v>
      </c>
    </row>
    <row r="6" spans="1:7" x14ac:dyDescent="0.25">
      <c r="A6" s="5" t="s">
        <v>93</v>
      </c>
      <c r="B6" s="6">
        <v>2</v>
      </c>
      <c r="C6" s="7">
        <v>-2</v>
      </c>
      <c r="D6" s="7"/>
      <c r="E6" s="7"/>
      <c r="F6" s="7"/>
      <c r="G6" s="8">
        <f>SUM(B6:D6)</f>
        <v>0</v>
      </c>
    </row>
    <row r="7" spans="1:7" x14ac:dyDescent="0.25">
      <c r="A7" s="5"/>
      <c r="B7" s="6"/>
      <c r="C7" s="7"/>
      <c r="D7" s="7"/>
      <c r="E7" s="7"/>
      <c r="F7" s="7"/>
      <c r="G7" s="8">
        <f>SUM(B7:D7)</f>
        <v>0</v>
      </c>
    </row>
    <row r="8" spans="1:7" x14ac:dyDescent="0.25">
      <c r="A8" s="5"/>
      <c r="B8" s="6"/>
      <c r="C8" s="7"/>
      <c r="D8" s="7"/>
      <c r="E8" s="7"/>
      <c r="F8" s="7"/>
      <c r="G8" s="8">
        <f>SUM(B8:D8)</f>
        <v>0</v>
      </c>
    </row>
    <row r="9" spans="1:7" x14ac:dyDescent="0.25">
      <c r="A9" s="9" t="s">
        <v>7</v>
      </c>
      <c r="B9" s="45">
        <v>0.49652777777777779</v>
      </c>
      <c r="C9" s="44">
        <v>0.44791666666666669</v>
      </c>
      <c r="D9" s="44"/>
      <c r="E9" s="44"/>
      <c r="F9" s="44"/>
      <c r="G9" s="2"/>
    </row>
    <row r="10" spans="1:7" x14ac:dyDescent="0.25">
      <c r="A10" s="9" t="s">
        <v>8</v>
      </c>
      <c r="B10" s="14" t="s">
        <v>24</v>
      </c>
      <c r="C10" s="15" t="s">
        <v>24</v>
      </c>
      <c r="D10" s="14"/>
      <c r="E10" s="14"/>
      <c r="F10" s="14"/>
      <c r="G10" s="15">
        <f>SUM(B10:D10)</f>
        <v>0</v>
      </c>
    </row>
    <row r="11" spans="1:7" x14ac:dyDescent="0.25">
      <c r="A11" s="88" t="s">
        <v>316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88A8-DD31-4D03-B9EB-F8B61E0F04E0}">
  <sheetPr>
    <tabColor theme="0"/>
  </sheetPr>
  <dimension ref="A1:K51"/>
  <sheetViews>
    <sheetView workbookViewId="0">
      <selection activeCell="C29" sqref="C29"/>
    </sheetView>
  </sheetViews>
  <sheetFormatPr baseColWidth="10" defaultRowHeight="15" x14ac:dyDescent="0.25"/>
  <cols>
    <col min="1" max="1" width="35.42578125" customWidth="1"/>
    <col min="11" max="11" width="13" bestFit="1" customWidth="1"/>
  </cols>
  <sheetData>
    <row r="1" spans="1:11" ht="18.75" x14ac:dyDescent="0.3">
      <c r="A1" s="126" t="s">
        <v>106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1" ht="18.75" x14ac:dyDescent="0.3">
      <c r="A2" s="128" t="s">
        <v>347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 ht="18.75" x14ac:dyDescent="0.3">
      <c r="A3" s="128" t="s">
        <v>19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11" x14ac:dyDescent="0.25">
      <c r="A4" s="151" t="s">
        <v>2</v>
      </c>
      <c r="B4" s="22" t="s">
        <v>3</v>
      </c>
      <c r="C4" s="1">
        <v>12854</v>
      </c>
      <c r="D4" s="1">
        <v>12865</v>
      </c>
      <c r="E4" s="51">
        <v>11653</v>
      </c>
      <c r="F4" s="51">
        <v>12881</v>
      </c>
      <c r="G4" s="51">
        <v>12890</v>
      </c>
      <c r="H4" s="51">
        <v>12901</v>
      </c>
      <c r="I4" s="51">
        <v>12902</v>
      </c>
      <c r="J4" s="51">
        <v>12909</v>
      </c>
      <c r="K4" s="52" t="s">
        <v>3</v>
      </c>
    </row>
    <row r="5" spans="1:11" x14ac:dyDescent="0.25">
      <c r="A5" s="151"/>
      <c r="B5" s="20">
        <v>45838</v>
      </c>
      <c r="C5" s="4">
        <v>45853</v>
      </c>
      <c r="D5" s="53">
        <v>45855</v>
      </c>
      <c r="E5" s="54">
        <v>45859</v>
      </c>
      <c r="F5" s="54">
        <v>45861</v>
      </c>
      <c r="G5" s="54">
        <v>45864</v>
      </c>
      <c r="H5" s="54">
        <v>45869</v>
      </c>
      <c r="I5" s="54">
        <v>45869</v>
      </c>
      <c r="J5" s="54">
        <v>45870</v>
      </c>
      <c r="K5" s="29">
        <v>45869</v>
      </c>
    </row>
    <row r="6" spans="1:11" x14ac:dyDescent="0.25">
      <c r="A6" s="55" t="s">
        <v>55</v>
      </c>
      <c r="B6" s="22">
        <v>4</v>
      </c>
      <c r="C6" s="7"/>
      <c r="D6" s="56"/>
      <c r="E6" s="57"/>
      <c r="F6" s="57"/>
      <c r="G6" s="57"/>
      <c r="H6" s="57">
        <v>2</v>
      </c>
      <c r="I6" s="57"/>
      <c r="J6" s="57"/>
      <c r="K6" s="58">
        <f>SUM(B6:J6)</f>
        <v>6</v>
      </c>
    </row>
    <row r="7" spans="1:11" x14ac:dyDescent="0.25">
      <c r="A7" s="55" t="s">
        <v>107</v>
      </c>
      <c r="B7" s="22">
        <v>2</v>
      </c>
      <c r="C7" s="7"/>
      <c r="D7" s="56"/>
      <c r="E7" s="57"/>
      <c r="F7" s="57"/>
      <c r="G7" s="57"/>
      <c r="H7" s="57"/>
      <c r="I7" s="57"/>
      <c r="J7" s="57"/>
      <c r="K7" s="58">
        <f t="shared" ref="K7:K29" si="0">SUM(B7:J7)</f>
        <v>2</v>
      </c>
    </row>
    <row r="8" spans="1:11" ht="14.25" customHeight="1" x14ac:dyDescent="0.25">
      <c r="A8" s="55" t="s">
        <v>108</v>
      </c>
      <c r="B8" s="22">
        <v>2</v>
      </c>
      <c r="C8" s="7"/>
      <c r="D8" s="56"/>
      <c r="E8" s="57"/>
      <c r="F8" s="57"/>
      <c r="G8" s="57"/>
      <c r="H8" s="57">
        <v>2</v>
      </c>
      <c r="I8" s="57"/>
      <c r="J8" s="57"/>
      <c r="K8" s="58">
        <f t="shared" si="0"/>
        <v>4</v>
      </c>
    </row>
    <row r="9" spans="1:11" x14ac:dyDescent="0.25">
      <c r="A9" s="55" t="s">
        <v>407</v>
      </c>
      <c r="B9" s="22"/>
      <c r="C9" s="7"/>
      <c r="D9" s="56"/>
      <c r="E9" s="57"/>
      <c r="F9" s="57"/>
      <c r="G9" s="57"/>
      <c r="H9" s="57"/>
      <c r="I9" s="57"/>
      <c r="J9" s="57">
        <v>1</v>
      </c>
      <c r="K9" s="58">
        <f t="shared" si="0"/>
        <v>1</v>
      </c>
    </row>
    <row r="10" spans="1:11" x14ac:dyDescent="0.25">
      <c r="A10" s="55" t="s">
        <v>109</v>
      </c>
      <c r="B10" s="22">
        <v>2</v>
      </c>
      <c r="C10" s="7"/>
      <c r="D10" s="56"/>
      <c r="E10" s="57"/>
      <c r="F10" s="57"/>
      <c r="G10" s="57"/>
      <c r="H10" s="57"/>
      <c r="I10" s="57"/>
      <c r="J10" s="57"/>
      <c r="K10" s="58">
        <f t="shared" si="0"/>
        <v>2</v>
      </c>
    </row>
    <row r="11" spans="1:11" x14ac:dyDescent="0.25">
      <c r="A11" s="55" t="s">
        <v>288</v>
      </c>
      <c r="B11" s="22"/>
      <c r="C11" s="7"/>
      <c r="D11" s="56"/>
      <c r="E11" s="57"/>
      <c r="F11" s="57">
        <v>4</v>
      </c>
      <c r="G11" s="57"/>
      <c r="H11" s="57"/>
      <c r="I11" s="57"/>
      <c r="J11" s="57"/>
      <c r="K11" s="58">
        <f t="shared" si="0"/>
        <v>4</v>
      </c>
    </row>
    <row r="12" spans="1:11" x14ac:dyDescent="0.25">
      <c r="A12" s="55" t="s">
        <v>93</v>
      </c>
      <c r="B12" s="22">
        <v>6</v>
      </c>
      <c r="C12" s="7"/>
      <c r="D12" s="56"/>
      <c r="E12" s="57"/>
      <c r="F12" s="57"/>
      <c r="G12" s="57"/>
      <c r="H12" s="57"/>
      <c r="I12" s="57"/>
      <c r="J12" s="57"/>
      <c r="K12" s="58">
        <f t="shared" si="0"/>
        <v>6</v>
      </c>
    </row>
    <row r="13" spans="1:11" x14ac:dyDescent="0.25">
      <c r="A13" s="55" t="s">
        <v>27</v>
      </c>
      <c r="B13" s="22"/>
      <c r="C13" s="7">
        <v>60</v>
      </c>
      <c r="D13" s="56"/>
      <c r="E13" s="56">
        <v>-60</v>
      </c>
      <c r="F13" s="57"/>
      <c r="G13" s="57"/>
      <c r="H13" s="57"/>
      <c r="I13" s="57"/>
      <c r="J13" s="57"/>
      <c r="K13" s="58">
        <f t="shared" si="0"/>
        <v>0</v>
      </c>
    </row>
    <row r="14" spans="1:11" x14ac:dyDescent="0.25">
      <c r="A14" s="55" t="s">
        <v>80</v>
      </c>
      <c r="B14" s="22"/>
      <c r="C14" s="7">
        <v>60</v>
      </c>
      <c r="D14" s="56"/>
      <c r="E14" s="56">
        <v>-60</v>
      </c>
      <c r="F14" s="57"/>
      <c r="G14" s="57"/>
      <c r="H14" s="57"/>
      <c r="I14" s="57"/>
      <c r="J14" s="57"/>
      <c r="K14" s="58">
        <f t="shared" si="0"/>
        <v>0</v>
      </c>
    </row>
    <row r="15" spans="1:11" x14ac:dyDescent="0.25">
      <c r="A15" s="55" t="s">
        <v>414</v>
      </c>
      <c r="B15" s="22"/>
      <c r="C15" s="7">
        <v>8</v>
      </c>
      <c r="D15" s="56"/>
      <c r="E15" s="56">
        <v>-8</v>
      </c>
      <c r="F15" s="57"/>
      <c r="G15" s="57"/>
      <c r="H15" s="57"/>
      <c r="I15" s="57"/>
      <c r="J15" s="57"/>
      <c r="K15" s="58">
        <f t="shared" si="0"/>
        <v>0</v>
      </c>
    </row>
    <row r="16" spans="1:11" x14ac:dyDescent="0.25">
      <c r="A16" s="55" t="s">
        <v>177</v>
      </c>
      <c r="B16" s="22"/>
      <c r="C16" s="7">
        <v>500</v>
      </c>
      <c r="D16" s="56"/>
      <c r="E16" s="56">
        <v>-500</v>
      </c>
      <c r="F16" s="57"/>
      <c r="G16" s="57"/>
      <c r="H16" s="57"/>
      <c r="I16" s="57"/>
      <c r="J16" s="57"/>
      <c r="K16" s="58">
        <f t="shared" si="0"/>
        <v>0</v>
      </c>
    </row>
    <row r="17" spans="1:11" x14ac:dyDescent="0.25">
      <c r="A17" s="55" t="s">
        <v>246</v>
      </c>
      <c r="B17" s="22"/>
      <c r="C17" s="7">
        <v>2</v>
      </c>
      <c r="D17" s="56"/>
      <c r="E17" s="57">
        <v>-2</v>
      </c>
      <c r="F17" s="57"/>
      <c r="G17" s="57"/>
      <c r="H17" s="57"/>
      <c r="I17" s="57"/>
      <c r="J17" s="57"/>
      <c r="K17" s="58">
        <f t="shared" si="0"/>
        <v>0</v>
      </c>
    </row>
    <row r="18" spans="1:11" x14ac:dyDescent="0.25">
      <c r="A18" s="55" t="s">
        <v>87</v>
      </c>
      <c r="B18" s="22"/>
      <c r="C18" s="7"/>
      <c r="D18" s="56"/>
      <c r="E18" s="57"/>
      <c r="F18" s="57"/>
      <c r="G18" s="57"/>
      <c r="H18" s="57">
        <v>2</v>
      </c>
      <c r="I18" s="57"/>
      <c r="J18" s="57"/>
      <c r="K18" s="58">
        <f t="shared" si="0"/>
        <v>2</v>
      </c>
    </row>
    <row r="19" spans="1:11" x14ac:dyDescent="0.25">
      <c r="A19" s="55" t="s">
        <v>406</v>
      </c>
      <c r="B19" s="22"/>
      <c r="C19" s="7"/>
      <c r="D19" s="56"/>
      <c r="E19" s="57"/>
      <c r="F19" s="57"/>
      <c r="G19" s="57"/>
      <c r="H19" s="57"/>
      <c r="I19" s="57"/>
      <c r="J19" s="57">
        <v>1</v>
      </c>
      <c r="K19" s="58">
        <f t="shared" si="0"/>
        <v>1</v>
      </c>
    </row>
    <row r="20" spans="1:11" x14ac:dyDescent="0.25">
      <c r="A20" s="55" t="s">
        <v>49</v>
      </c>
      <c r="B20" s="22"/>
      <c r="C20" s="7"/>
      <c r="D20" s="56"/>
      <c r="E20" s="57"/>
      <c r="F20" s="57"/>
      <c r="G20" s="57"/>
      <c r="H20" s="57">
        <v>2</v>
      </c>
      <c r="I20" s="57"/>
      <c r="J20" s="57"/>
      <c r="K20" s="58">
        <f t="shared" si="0"/>
        <v>2</v>
      </c>
    </row>
    <row r="21" spans="1:11" x14ac:dyDescent="0.25">
      <c r="A21" s="55" t="s">
        <v>67</v>
      </c>
      <c r="B21" s="22"/>
      <c r="C21" s="7">
        <v>8</v>
      </c>
      <c r="D21" s="56"/>
      <c r="E21" s="57">
        <v>-8</v>
      </c>
      <c r="F21" s="57"/>
      <c r="G21" s="57"/>
      <c r="H21" s="57">
        <v>2</v>
      </c>
      <c r="I21" s="57"/>
      <c r="J21" s="57"/>
      <c r="K21" s="58">
        <f t="shared" si="0"/>
        <v>2</v>
      </c>
    </row>
    <row r="22" spans="1:11" ht="18" customHeight="1" x14ac:dyDescent="0.25">
      <c r="A22" s="55" t="s">
        <v>66</v>
      </c>
      <c r="B22" s="22"/>
      <c r="C22" s="7">
        <v>12</v>
      </c>
      <c r="D22" s="56">
        <v>3</v>
      </c>
      <c r="E22" s="57">
        <v>-15</v>
      </c>
      <c r="F22" s="57"/>
      <c r="G22" s="57">
        <v>2</v>
      </c>
      <c r="H22" s="57">
        <v>2</v>
      </c>
      <c r="I22" s="57"/>
      <c r="J22" s="57"/>
      <c r="K22" s="58">
        <f t="shared" si="0"/>
        <v>4</v>
      </c>
    </row>
    <row r="23" spans="1:11" x14ac:dyDescent="0.25">
      <c r="A23" s="55" t="s">
        <v>30</v>
      </c>
      <c r="B23" s="22"/>
      <c r="C23" s="7"/>
      <c r="D23" s="56"/>
      <c r="E23" s="57"/>
      <c r="F23" s="57"/>
      <c r="G23" s="57"/>
      <c r="H23" s="57">
        <v>8</v>
      </c>
      <c r="I23" s="57">
        <v>-2</v>
      </c>
      <c r="J23" s="57"/>
      <c r="K23" s="58">
        <f t="shared" si="0"/>
        <v>6</v>
      </c>
    </row>
    <row r="24" spans="1:11" x14ac:dyDescent="0.25">
      <c r="A24" s="55" t="s">
        <v>390</v>
      </c>
      <c r="B24" s="22"/>
      <c r="C24" s="7"/>
      <c r="D24" s="56"/>
      <c r="E24" s="57"/>
      <c r="F24" s="57"/>
      <c r="G24" s="57"/>
      <c r="H24" s="57"/>
      <c r="I24" s="57">
        <v>6</v>
      </c>
      <c r="J24" s="57"/>
      <c r="K24" s="58">
        <f t="shared" si="0"/>
        <v>6</v>
      </c>
    </row>
    <row r="25" spans="1:11" x14ac:dyDescent="0.25">
      <c r="A25" s="55" t="s">
        <v>73</v>
      </c>
      <c r="B25" s="22"/>
      <c r="C25" s="7"/>
      <c r="D25" s="56">
        <v>5</v>
      </c>
      <c r="E25" s="57">
        <v>-5</v>
      </c>
      <c r="F25" s="57"/>
      <c r="G25" s="57"/>
      <c r="H25" s="57"/>
      <c r="I25" s="57"/>
      <c r="J25" s="57"/>
      <c r="K25" s="58">
        <f t="shared" si="0"/>
        <v>0</v>
      </c>
    </row>
    <row r="26" spans="1:11" x14ac:dyDescent="0.25">
      <c r="A26" s="55" t="s">
        <v>278</v>
      </c>
      <c r="B26" s="22"/>
      <c r="C26" s="7"/>
      <c r="D26" s="56">
        <v>25</v>
      </c>
      <c r="E26" s="57">
        <v>-25</v>
      </c>
      <c r="F26" s="57"/>
      <c r="G26" s="57"/>
      <c r="H26" s="57"/>
      <c r="I26" s="57"/>
      <c r="J26" s="57"/>
      <c r="K26" s="58">
        <f t="shared" si="0"/>
        <v>0</v>
      </c>
    </row>
    <row r="27" spans="1:11" x14ac:dyDescent="0.25">
      <c r="A27" s="55" t="s">
        <v>206</v>
      </c>
      <c r="B27" s="22"/>
      <c r="C27" s="7"/>
      <c r="D27" s="56"/>
      <c r="E27" s="57"/>
      <c r="F27" s="57"/>
      <c r="G27" s="57"/>
      <c r="H27" s="57">
        <v>9</v>
      </c>
      <c r="I27" s="57"/>
      <c r="J27" s="57"/>
      <c r="K27" s="58">
        <f t="shared" si="0"/>
        <v>9</v>
      </c>
    </row>
    <row r="28" spans="1:11" x14ac:dyDescent="0.25">
      <c r="A28" s="59" t="s">
        <v>110</v>
      </c>
      <c r="B28" s="22"/>
      <c r="C28" s="25">
        <v>0.41666666666666669</v>
      </c>
      <c r="D28" s="25">
        <v>0.3125</v>
      </c>
      <c r="E28" s="60">
        <v>0.41666666666666669</v>
      </c>
      <c r="F28" s="60">
        <v>0.10416666666666667</v>
      </c>
      <c r="G28" s="60">
        <v>0.39583333333333331</v>
      </c>
      <c r="H28" s="60">
        <v>0.4375</v>
      </c>
      <c r="I28" s="60">
        <v>0.49305555555555558</v>
      </c>
      <c r="J28" s="60">
        <v>0.45833333333333331</v>
      </c>
      <c r="K28" s="58"/>
    </row>
    <row r="29" spans="1:11" ht="15.75" thickBot="1" x14ac:dyDescent="0.3">
      <c r="A29" s="62" t="s">
        <v>8</v>
      </c>
      <c r="B29" s="63"/>
      <c r="C29" s="33">
        <v>40000</v>
      </c>
      <c r="D29" s="33">
        <v>20000</v>
      </c>
      <c r="E29" s="33">
        <v>40000</v>
      </c>
      <c r="F29" s="33">
        <v>7500</v>
      </c>
      <c r="G29" s="33">
        <v>10000</v>
      </c>
      <c r="H29" s="33">
        <v>30000</v>
      </c>
      <c r="I29" s="33">
        <v>7500</v>
      </c>
      <c r="J29" s="33">
        <v>7500</v>
      </c>
      <c r="K29" s="117">
        <f t="shared" si="0"/>
        <v>162500</v>
      </c>
    </row>
    <row r="51" spans="8:8" x14ac:dyDescent="0.25">
      <c r="H51">
        <v>0</v>
      </c>
    </row>
  </sheetData>
  <mergeCells count="4">
    <mergeCell ref="A1:K1"/>
    <mergeCell ref="A2:K2"/>
    <mergeCell ref="A3:K3"/>
    <mergeCell ref="A4:A5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E87F-9D8D-4D2A-B20A-DC5CE7FAEFC7}">
  <sheetPr>
    <tabColor theme="0"/>
  </sheetPr>
  <dimension ref="A1:J27"/>
  <sheetViews>
    <sheetView workbookViewId="0">
      <selection activeCell="M20" sqref="M20"/>
    </sheetView>
  </sheetViews>
  <sheetFormatPr baseColWidth="10" defaultRowHeight="15" x14ac:dyDescent="0.25"/>
  <cols>
    <col min="1" max="1" width="35.42578125" customWidth="1"/>
    <col min="2" max="2" width="12" bestFit="1" customWidth="1"/>
  </cols>
  <sheetData>
    <row r="1" spans="1:10" ht="18.75" x14ac:dyDescent="0.3">
      <c r="A1" s="126" t="s">
        <v>391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18.75" x14ac:dyDescent="0.3">
      <c r="A2" s="128" t="s">
        <v>392</v>
      </c>
      <c r="B2" s="120"/>
      <c r="C2" s="120"/>
      <c r="D2" s="120"/>
      <c r="E2" s="120"/>
      <c r="F2" s="120"/>
      <c r="G2" s="120"/>
      <c r="H2" s="120"/>
      <c r="I2" s="120"/>
      <c r="J2" s="120"/>
    </row>
    <row r="3" spans="1:10" ht="18.75" x14ac:dyDescent="0.3">
      <c r="A3" s="128" t="s">
        <v>19</v>
      </c>
      <c r="B3" s="120"/>
      <c r="C3" s="120"/>
      <c r="D3" s="120"/>
      <c r="E3" s="120"/>
      <c r="F3" s="120"/>
      <c r="G3" s="120"/>
      <c r="H3" s="120"/>
      <c r="I3" s="120"/>
      <c r="J3" s="120"/>
    </row>
    <row r="4" spans="1:10" x14ac:dyDescent="0.25">
      <c r="A4" s="151" t="s">
        <v>393</v>
      </c>
      <c r="B4" s="1">
        <v>12899</v>
      </c>
      <c r="C4" s="1"/>
      <c r="D4" s="1"/>
      <c r="E4" s="51"/>
      <c r="F4" s="51"/>
      <c r="G4" s="51"/>
      <c r="H4" s="51"/>
      <c r="I4" s="51"/>
      <c r="J4" s="52" t="s">
        <v>3</v>
      </c>
    </row>
    <row r="5" spans="1:10" x14ac:dyDescent="0.25">
      <c r="A5" s="151"/>
      <c r="B5" s="4">
        <v>45869</v>
      </c>
      <c r="C5" s="4"/>
      <c r="D5" s="53"/>
      <c r="E5" s="54"/>
      <c r="F5" s="54"/>
      <c r="G5" s="54"/>
      <c r="H5" s="54"/>
      <c r="I5" s="54"/>
      <c r="J5" s="29">
        <v>45869</v>
      </c>
    </row>
    <row r="6" spans="1:10" x14ac:dyDescent="0.25">
      <c r="A6" s="55" t="s">
        <v>394</v>
      </c>
      <c r="B6" s="22">
        <v>46</v>
      </c>
      <c r="C6" s="7"/>
      <c r="D6" s="56"/>
      <c r="E6" s="57"/>
      <c r="F6" s="57"/>
      <c r="G6" s="57"/>
      <c r="H6" s="57"/>
      <c r="I6" s="57"/>
      <c r="J6" s="58">
        <f t="shared" ref="J6:J21" si="0">SUM(B6:I6)</f>
        <v>46</v>
      </c>
    </row>
    <row r="7" spans="1:10" x14ac:dyDescent="0.25">
      <c r="A7" s="55" t="s">
        <v>395</v>
      </c>
      <c r="B7" s="22">
        <v>4</v>
      </c>
      <c r="C7" s="7"/>
      <c r="D7" s="56"/>
      <c r="E7" s="57"/>
      <c r="F7" s="57"/>
      <c r="G7" s="57"/>
      <c r="H7" s="57"/>
      <c r="I7" s="57"/>
      <c r="J7" s="58">
        <f t="shared" si="0"/>
        <v>4</v>
      </c>
    </row>
    <row r="8" spans="1:10" x14ac:dyDescent="0.25">
      <c r="A8" s="55" t="s">
        <v>102</v>
      </c>
      <c r="B8" s="22">
        <v>2</v>
      </c>
      <c r="C8" s="7"/>
      <c r="D8" s="56"/>
      <c r="E8" s="57"/>
      <c r="F8" s="57"/>
      <c r="G8" s="57"/>
      <c r="H8" s="57"/>
      <c r="I8" s="57"/>
      <c r="J8" s="58">
        <f t="shared" si="0"/>
        <v>2</v>
      </c>
    </row>
    <row r="9" spans="1:10" x14ac:dyDescent="0.25">
      <c r="A9" s="55" t="s">
        <v>27</v>
      </c>
      <c r="B9" s="22">
        <v>4</v>
      </c>
      <c r="C9" s="7"/>
      <c r="D9" s="56"/>
      <c r="E9" s="57"/>
      <c r="F9" s="57"/>
      <c r="G9" s="57"/>
      <c r="H9" s="57"/>
      <c r="I9" s="57"/>
      <c r="J9" s="58">
        <f t="shared" si="0"/>
        <v>4</v>
      </c>
    </row>
    <row r="10" spans="1:10" x14ac:dyDescent="0.25">
      <c r="A10" s="55" t="s">
        <v>6</v>
      </c>
      <c r="B10" s="22">
        <v>8</v>
      </c>
      <c r="C10" s="7"/>
      <c r="D10" s="56"/>
      <c r="E10" s="57"/>
      <c r="F10" s="57"/>
      <c r="G10" s="57"/>
      <c r="H10" s="57"/>
      <c r="I10" s="57"/>
      <c r="J10" s="58">
        <f t="shared" si="0"/>
        <v>8</v>
      </c>
    </row>
    <row r="11" spans="1:10" x14ac:dyDescent="0.25">
      <c r="A11" s="55" t="s">
        <v>79</v>
      </c>
      <c r="B11" s="22">
        <v>6</v>
      </c>
      <c r="C11" s="7"/>
      <c r="D11" s="56"/>
      <c r="E11" s="57"/>
      <c r="F11" s="57"/>
      <c r="G11" s="57"/>
      <c r="H11" s="57"/>
      <c r="I11" s="57"/>
      <c r="J11" s="58">
        <f t="shared" si="0"/>
        <v>6</v>
      </c>
    </row>
    <row r="12" spans="1:10" x14ac:dyDescent="0.25">
      <c r="A12" s="55" t="s">
        <v>396</v>
      </c>
      <c r="B12" s="22">
        <v>3</v>
      </c>
      <c r="C12" s="7"/>
      <c r="D12" s="56"/>
      <c r="E12" s="56"/>
      <c r="F12" s="57"/>
      <c r="G12" s="57"/>
      <c r="H12" s="57"/>
      <c r="I12" s="57"/>
      <c r="J12" s="58">
        <f t="shared" si="0"/>
        <v>3</v>
      </c>
    </row>
    <row r="13" spans="1:10" x14ac:dyDescent="0.25">
      <c r="A13" s="55" t="s">
        <v>397</v>
      </c>
      <c r="B13" s="22">
        <v>2</v>
      </c>
      <c r="C13" s="7"/>
      <c r="D13" s="56"/>
      <c r="E13" s="56"/>
      <c r="F13" s="57"/>
      <c r="G13" s="57"/>
      <c r="H13" s="57"/>
      <c r="I13" s="57"/>
      <c r="J13" s="58">
        <f t="shared" si="0"/>
        <v>2</v>
      </c>
    </row>
    <row r="14" spans="1:10" x14ac:dyDescent="0.25">
      <c r="A14" s="55" t="s">
        <v>320</v>
      </c>
      <c r="B14" s="22">
        <v>2</v>
      </c>
      <c r="C14" s="7"/>
      <c r="D14" s="56"/>
      <c r="E14" s="56"/>
      <c r="F14" s="57"/>
      <c r="G14" s="57"/>
      <c r="H14" s="57"/>
      <c r="I14" s="57"/>
      <c r="J14" s="58">
        <f t="shared" si="0"/>
        <v>2</v>
      </c>
    </row>
    <row r="15" spans="1:10" x14ac:dyDescent="0.25">
      <c r="A15" s="55" t="s">
        <v>30</v>
      </c>
      <c r="B15" s="22">
        <v>30</v>
      </c>
      <c r="C15" s="7"/>
      <c r="D15" s="56"/>
      <c r="E15" s="56"/>
      <c r="F15" s="57"/>
      <c r="G15" s="57"/>
      <c r="H15" s="57"/>
      <c r="I15" s="57"/>
      <c r="J15" s="58">
        <f t="shared" si="0"/>
        <v>30</v>
      </c>
    </row>
    <row r="16" spans="1:10" x14ac:dyDescent="0.25">
      <c r="A16" s="55" t="s">
        <v>278</v>
      </c>
      <c r="B16" s="22">
        <v>30</v>
      </c>
      <c r="C16" s="7"/>
      <c r="D16" s="56"/>
      <c r="E16" s="57"/>
      <c r="F16" s="57"/>
      <c r="G16" s="57"/>
      <c r="H16" s="57"/>
      <c r="I16" s="57"/>
      <c r="J16" s="58">
        <f t="shared" si="0"/>
        <v>30</v>
      </c>
    </row>
    <row r="17" spans="1:10" x14ac:dyDescent="0.25">
      <c r="A17" s="55" t="s">
        <v>31</v>
      </c>
      <c r="B17" s="22">
        <v>420</v>
      </c>
      <c r="C17" s="7"/>
      <c r="D17" s="56"/>
      <c r="E17" s="57"/>
      <c r="F17" s="57"/>
      <c r="G17" s="57"/>
      <c r="H17" s="57"/>
      <c r="I17" s="57"/>
      <c r="J17" s="58">
        <f t="shared" si="0"/>
        <v>420</v>
      </c>
    </row>
    <row r="18" spans="1:10" x14ac:dyDescent="0.25">
      <c r="A18" s="55" t="s">
        <v>398</v>
      </c>
      <c r="B18" s="22">
        <v>3</v>
      </c>
      <c r="C18" s="7"/>
      <c r="D18" s="56"/>
      <c r="E18" s="57"/>
      <c r="F18" s="57"/>
      <c r="G18" s="57"/>
      <c r="H18" s="57"/>
      <c r="I18" s="57"/>
      <c r="J18" s="58">
        <f t="shared" si="0"/>
        <v>3</v>
      </c>
    </row>
    <row r="19" spans="1:10" x14ac:dyDescent="0.25">
      <c r="A19" s="55" t="s">
        <v>246</v>
      </c>
      <c r="B19" s="22">
        <v>2</v>
      </c>
      <c r="C19" s="7"/>
      <c r="D19" s="56"/>
      <c r="E19" s="57"/>
      <c r="F19" s="57"/>
      <c r="G19" s="57"/>
      <c r="H19" s="57"/>
      <c r="I19" s="57"/>
      <c r="J19" s="58">
        <f t="shared" si="0"/>
        <v>2</v>
      </c>
    </row>
    <row r="20" spans="1:10" x14ac:dyDescent="0.25">
      <c r="A20" s="55" t="s">
        <v>399</v>
      </c>
      <c r="B20" s="22">
        <v>30</v>
      </c>
      <c r="C20" s="7"/>
      <c r="D20" s="56"/>
      <c r="E20" s="57"/>
      <c r="F20" s="57"/>
      <c r="G20" s="57"/>
      <c r="H20" s="57"/>
      <c r="I20" s="57"/>
      <c r="J20" s="58">
        <f t="shared" si="0"/>
        <v>30</v>
      </c>
    </row>
    <row r="21" spans="1:10" x14ac:dyDescent="0.25">
      <c r="A21" s="55" t="s">
        <v>62</v>
      </c>
      <c r="B21" s="22">
        <v>15</v>
      </c>
      <c r="C21" s="7"/>
      <c r="D21" s="56"/>
      <c r="E21" s="57"/>
      <c r="F21" s="57"/>
      <c r="G21" s="57"/>
      <c r="H21" s="57"/>
      <c r="I21" s="57"/>
      <c r="J21" s="58">
        <f t="shared" si="0"/>
        <v>15</v>
      </c>
    </row>
    <row r="22" spans="1:10" x14ac:dyDescent="0.25">
      <c r="A22" s="55" t="s">
        <v>409</v>
      </c>
      <c r="B22" s="22"/>
      <c r="C22" s="7"/>
      <c r="D22" s="56"/>
      <c r="E22" s="57"/>
      <c r="F22" s="57"/>
      <c r="G22" s="57"/>
      <c r="H22" s="57"/>
      <c r="I22" s="57"/>
      <c r="J22" s="58">
        <f>SUM(B22:I22)</f>
        <v>0</v>
      </c>
    </row>
    <row r="23" spans="1:10" x14ac:dyDescent="0.25">
      <c r="A23" s="55" t="s">
        <v>410</v>
      </c>
      <c r="B23" s="22"/>
      <c r="C23" s="7"/>
      <c r="D23" s="56"/>
      <c r="E23" s="57"/>
      <c r="F23" s="57"/>
      <c r="G23" s="57"/>
      <c r="H23" s="57"/>
      <c r="I23" s="57"/>
      <c r="J23" s="58">
        <f>SUM(B23:I23)</f>
        <v>0</v>
      </c>
    </row>
    <row r="24" spans="1:10" x14ac:dyDescent="0.25">
      <c r="A24" s="59" t="s">
        <v>15</v>
      </c>
      <c r="B24" s="25">
        <v>0.33333333333333331</v>
      </c>
      <c r="C24" s="25"/>
      <c r="D24" s="25"/>
      <c r="E24" s="60"/>
      <c r="F24" s="60"/>
      <c r="G24" s="60"/>
      <c r="H24" s="60"/>
      <c r="I24" s="60"/>
      <c r="J24" s="61"/>
    </row>
    <row r="25" spans="1:10" ht="15.75" thickBot="1" x14ac:dyDescent="0.3">
      <c r="A25" s="62" t="s">
        <v>8</v>
      </c>
      <c r="B25" s="15">
        <v>75000</v>
      </c>
      <c r="C25" s="33"/>
      <c r="D25" s="33"/>
      <c r="E25" s="33"/>
      <c r="F25" s="33"/>
      <c r="G25" s="33"/>
      <c r="H25" s="33"/>
      <c r="I25" s="33"/>
      <c r="J25" s="33"/>
    </row>
    <row r="26" spans="1:10" x14ac:dyDescent="0.25">
      <c r="C26" t="s">
        <v>408</v>
      </c>
    </row>
    <row r="27" spans="1:10" x14ac:dyDescent="0.25">
      <c r="D27" s="116">
        <v>8500</v>
      </c>
    </row>
  </sheetData>
  <mergeCells count="4">
    <mergeCell ref="A1:J1"/>
    <mergeCell ref="A2:J2"/>
    <mergeCell ref="A3:J3"/>
    <mergeCell ref="A4:A5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0B70-93E6-49D9-8A56-48C47FCA8C8E}">
  <dimension ref="A1:H9"/>
  <sheetViews>
    <sheetView workbookViewId="0">
      <selection activeCell="A23" sqref="A23"/>
    </sheetView>
  </sheetViews>
  <sheetFormatPr baseColWidth="10" defaultRowHeight="15" x14ac:dyDescent="0.25"/>
  <cols>
    <col min="1" max="1" width="26.5703125" customWidth="1"/>
  </cols>
  <sheetData>
    <row r="1" spans="1:8" ht="18.75" x14ac:dyDescent="0.3">
      <c r="A1" s="126" t="s">
        <v>145</v>
      </c>
      <c r="B1" s="127"/>
      <c r="C1" s="127"/>
      <c r="D1" s="127"/>
      <c r="E1" s="127"/>
      <c r="F1" s="127"/>
      <c r="G1" s="127"/>
      <c r="H1" s="127"/>
    </row>
    <row r="2" spans="1:8" ht="18.75" x14ac:dyDescent="0.3">
      <c r="A2" s="128" t="s">
        <v>146</v>
      </c>
      <c r="B2" s="120"/>
      <c r="C2" s="120"/>
      <c r="D2" s="120"/>
      <c r="E2" s="120"/>
      <c r="F2" s="120"/>
      <c r="G2" s="120"/>
      <c r="H2" s="120"/>
    </row>
    <row r="3" spans="1:8" ht="18.75" x14ac:dyDescent="0.3">
      <c r="A3" s="128" t="s">
        <v>150</v>
      </c>
      <c r="B3" s="120"/>
      <c r="C3" s="120"/>
      <c r="D3" s="120"/>
      <c r="E3" s="120"/>
      <c r="F3" s="120"/>
      <c r="G3" s="120"/>
      <c r="H3" s="120"/>
    </row>
    <row r="4" spans="1:8" x14ac:dyDescent="0.25">
      <c r="A4" s="151" t="s">
        <v>2</v>
      </c>
      <c r="B4" s="1" t="s">
        <v>3</v>
      </c>
      <c r="C4" s="1">
        <v>11633</v>
      </c>
      <c r="D4" s="1"/>
      <c r="E4" s="51"/>
      <c r="F4" s="51"/>
      <c r="G4" s="51"/>
      <c r="H4" s="52" t="s">
        <v>3</v>
      </c>
    </row>
    <row r="5" spans="1:8" x14ac:dyDescent="0.25">
      <c r="A5" s="151"/>
      <c r="B5" s="4">
        <v>45838</v>
      </c>
      <c r="C5" s="4">
        <v>45849</v>
      </c>
      <c r="D5" s="53"/>
      <c r="E5" s="54"/>
      <c r="F5" s="54"/>
      <c r="G5" s="54"/>
      <c r="H5" s="29">
        <v>45869</v>
      </c>
    </row>
    <row r="6" spans="1:8" x14ac:dyDescent="0.25">
      <c r="A6" s="55" t="s">
        <v>149</v>
      </c>
      <c r="B6" s="22">
        <v>1</v>
      </c>
      <c r="C6" s="7">
        <v>-1</v>
      </c>
      <c r="D6" s="56"/>
      <c r="E6" s="57"/>
      <c r="F6" s="57"/>
      <c r="G6" s="57"/>
      <c r="H6" s="73">
        <f t="shared" ref="H6:H7" si="0">SUM(B6:G6)</f>
        <v>0</v>
      </c>
    </row>
    <row r="7" spans="1:8" x14ac:dyDescent="0.25">
      <c r="A7" s="55" t="s">
        <v>30</v>
      </c>
      <c r="B7" s="22">
        <v>2</v>
      </c>
      <c r="C7" s="7">
        <v>-2</v>
      </c>
      <c r="D7" s="56"/>
      <c r="E7" s="57"/>
      <c r="F7" s="57"/>
      <c r="G7" s="57"/>
      <c r="H7" s="73">
        <f t="shared" si="0"/>
        <v>0</v>
      </c>
    </row>
    <row r="8" spans="1:8" x14ac:dyDescent="0.25">
      <c r="A8" s="59" t="s">
        <v>110</v>
      </c>
      <c r="B8" s="63"/>
      <c r="C8" s="11">
        <v>0.47916666666666669</v>
      </c>
      <c r="D8" s="25"/>
      <c r="E8" s="60"/>
      <c r="F8" s="60"/>
      <c r="G8" s="60"/>
      <c r="H8" s="61"/>
    </row>
    <row r="9" spans="1:8" ht="15.75" thickBot="1" x14ac:dyDescent="0.3">
      <c r="A9" s="62" t="s">
        <v>8</v>
      </c>
      <c r="B9" s="65"/>
      <c r="C9" s="33">
        <v>25000</v>
      </c>
      <c r="D9" s="33"/>
      <c r="E9" s="33"/>
      <c r="F9" s="33"/>
      <c r="G9" s="33"/>
      <c r="H9" s="33">
        <f>SUM(B9:G9)</f>
        <v>25000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0DE2-27DC-4FF8-972C-D99EB40F013B}">
  <sheetPr>
    <pageSetUpPr fitToPage="1"/>
  </sheetPr>
  <dimension ref="A2:J44"/>
  <sheetViews>
    <sheetView tabSelected="1" topLeftCell="A23" workbookViewId="0">
      <selection activeCell="A2" sqref="A2:J44"/>
    </sheetView>
  </sheetViews>
  <sheetFormatPr baseColWidth="10" defaultRowHeight="15" x14ac:dyDescent="0.25"/>
  <cols>
    <col min="1" max="1" width="32.28515625" customWidth="1"/>
    <col min="10" max="10" width="13" bestFit="1" customWidth="1"/>
  </cols>
  <sheetData>
    <row r="2" spans="1:10" ht="18.75" x14ac:dyDescent="0.3">
      <c r="A2" s="119" t="s">
        <v>52</v>
      </c>
      <c r="B2" s="120"/>
      <c r="C2" s="120"/>
      <c r="D2" s="120"/>
      <c r="E2" s="120"/>
      <c r="F2" s="120"/>
      <c r="G2" s="120"/>
      <c r="H2" s="120"/>
      <c r="I2" s="120"/>
      <c r="J2" s="121"/>
    </row>
    <row r="3" spans="1:10" ht="18.75" x14ac:dyDescent="0.3">
      <c r="A3" s="119" t="s">
        <v>53</v>
      </c>
      <c r="B3" s="120"/>
      <c r="C3" s="120"/>
      <c r="D3" s="120"/>
      <c r="E3" s="120"/>
      <c r="F3" s="120"/>
      <c r="G3" s="120"/>
      <c r="H3" s="120"/>
      <c r="I3" s="120"/>
      <c r="J3" s="121"/>
    </row>
    <row r="4" spans="1:10" ht="18.75" x14ac:dyDescent="0.3">
      <c r="A4" s="119" t="s">
        <v>421</v>
      </c>
      <c r="B4" s="120"/>
      <c r="C4" s="120"/>
      <c r="D4" s="120"/>
      <c r="E4" s="120"/>
      <c r="F4" s="120"/>
      <c r="G4" s="120"/>
      <c r="H4" s="120"/>
      <c r="I4" s="120"/>
      <c r="J4" s="121"/>
    </row>
    <row r="5" spans="1:10" x14ac:dyDescent="0.25">
      <c r="A5" s="122" t="s">
        <v>2</v>
      </c>
      <c r="B5" s="22" t="s">
        <v>3</v>
      </c>
      <c r="C5" s="2">
        <v>12820</v>
      </c>
      <c r="D5" s="1">
        <v>11631</v>
      </c>
      <c r="E5" s="1">
        <v>12845</v>
      </c>
      <c r="F5" s="1">
        <v>12838</v>
      </c>
      <c r="G5" s="1">
        <v>12869</v>
      </c>
      <c r="H5" s="1">
        <v>12879</v>
      </c>
      <c r="I5" s="1">
        <v>11668</v>
      </c>
      <c r="J5" s="22" t="s">
        <v>4</v>
      </c>
    </row>
    <row r="6" spans="1:10" x14ac:dyDescent="0.25">
      <c r="A6" s="123"/>
      <c r="B6" s="20">
        <v>45838</v>
      </c>
      <c r="C6" s="4">
        <v>45839</v>
      </c>
      <c r="D6" s="4">
        <v>45848</v>
      </c>
      <c r="E6" s="4">
        <v>45849</v>
      </c>
      <c r="F6" s="4">
        <v>45848</v>
      </c>
      <c r="G6" s="4">
        <v>45856</v>
      </c>
      <c r="H6" s="4">
        <v>45860</v>
      </c>
      <c r="I6" s="4">
        <v>45862</v>
      </c>
      <c r="J6" s="20">
        <v>45869</v>
      </c>
    </row>
    <row r="7" spans="1:10" x14ac:dyDescent="0.25">
      <c r="A7" s="5" t="s">
        <v>54</v>
      </c>
      <c r="B7" s="6">
        <v>4</v>
      </c>
      <c r="C7" s="7"/>
      <c r="D7" s="7"/>
      <c r="E7" s="7"/>
      <c r="F7" s="7"/>
      <c r="G7" s="7"/>
      <c r="H7" s="7"/>
      <c r="I7" s="7"/>
      <c r="J7" s="8">
        <f>SUM(B7:I7)</f>
        <v>4</v>
      </c>
    </row>
    <row r="8" spans="1:10" x14ac:dyDescent="0.25">
      <c r="A8" s="5" t="s">
        <v>56</v>
      </c>
      <c r="B8" s="6">
        <v>4</v>
      </c>
      <c r="C8" s="7"/>
      <c r="D8" s="7"/>
      <c r="E8" s="7"/>
      <c r="F8" s="7"/>
      <c r="G8" s="7"/>
      <c r="H8" s="7"/>
      <c r="I8" s="7"/>
      <c r="J8" s="8">
        <f t="shared" ref="J8:J41" si="0">SUM(B8:I8)</f>
        <v>4</v>
      </c>
    </row>
    <row r="9" spans="1:10" x14ac:dyDescent="0.25">
      <c r="A9" s="5" t="s">
        <v>57</v>
      </c>
      <c r="B9" s="6">
        <v>7</v>
      </c>
      <c r="C9" s="7"/>
      <c r="D9" s="7"/>
      <c r="E9" s="7"/>
      <c r="F9" s="7"/>
      <c r="G9" s="7"/>
      <c r="H9" s="7"/>
      <c r="I9" s="7"/>
      <c r="J9" s="8">
        <f t="shared" si="0"/>
        <v>7</v>
      </c>
    </row>
    <row r="10" spans="1:10" x14ac:dyDescent="0.25">
      <c r="A10" s="5" t="s">
        <v>48</v>
      </c>
      <c r="B10" s="6">
        <v>16</v>
      </c>
      <c r="C10" s="7"/>
      <c r="D10" s="7">
        <v>-16</v>
      </c>
      <c r="E10" s="7"/>
      <c r="F10" s="7"/>
      <c r="G10" s="7"/>
      <c r="H10" s="7"/>
      <c r="I10" s="7"/>
      <c r="J10" s="8">
        <f t="shared" si="0"/>
        <v>0</v>
      </c>
    </row>
    <row r="11" spans="1:10" x14ac:dyDescent="0.25">
      <c r="A11" s="5" t="s">
        <v>58</v>
      </c>
      <c r="B11" s="6">
        <v>20</v>
      </c>
      <c r="C11" s="7"/>
      <c r="D11" s="7">
        <v>-20</v>
      </c>
      <c r="E11" s="7"/>
      <c r="F11" s="7"/>
      <c r="G11" s="7">
        <v>48</v>
      </c>
      <c r="H11" s="7">
        <v>4</v>
      </c>
      <c r="I11" s="7"/>
      <c r="J11" s="8">
        <f t="shared" si="0"/>
        <v>52</v>
      </c>
    </row>
    <row r="12" spans="1:10" x14ac:dyDescent="0.25">
      <c r="A12" s="5" t="s">
        <v>27</v>
      </c>
      <c r="B12" s="6"/>
      <c r="C12" s="7"/>
      <c r="D12" s="7"/>
      <c r="E12" s="7"/>
      <c r="F12" s="7"/>
      <c r="G12" s="7"/>
      <c r="H12" s="7">
        <v>2</v>
      </c>
      <c r="I12" s="7"/>
      <c r="J12" s="8">
        <f>SUM(B12:I12)</f>
        <v>2</v>
      </c>
    </row>
    <row r="13" spans="1:10" x14ac:dyDescent="0.25">
      <c r="A13" s="5" t="s">
        <v>47</v>
      </c>
      <c r="B13" s="6">
        <v>12</v>
      </c>
      <c r="C13" s="7"/>
      <c r="D13" s="7">
        <v>-12</v>
      </c>
      <c r="E13" s="7"/>
      <c r="F13" s="7"/>
      <c r="G13" s="7"/>
      <c r="H13" s="7">
        <v>1</v>
      </c>
      <c r="I13" s="7"/>
      <c r="J13" s="8">
        <f t="shared" si="0"/>
        <v>1</v>
      </c>
    </row>
    <row r="14" spans="1:10" x14ac:dyDescent="0.25">
      <c r="A14" s="5" t="s">
        <v>79</v>
      </c>
      <c r="B14" s="6"/>
      <c r="C14" s="7"/>
      <c r="D14" s="7"/>
      <c r="E14" s="7"/>
      <c r="F14" s="7"/>
      <c r="G14" s="7">
        <v>2</v>
      </c>
      <c r="H14" s="7">
        <v>1</v>
      </c>
      <c r="I14" s="7"/>
      <c r="J14" s="8">
        <f>SUM(B14:I14)</f>
        <v>3</v>
      </c>
    </row>
    <row r="15" spans="1:10" x14ac:dyDescent="0.25">
      <c r="A15" s="5" t="s">
        <v>59</v>
      </c>
      <c r="B15" s="6">
        <v>0</v>
      </c>
      <c r="C15" s="7"/>
      <c r="D15" s="7"/>
      <c r="E15" s="7"/>
      <c r="F15" s="7"/>
      <c r="G15" s="7"/>
      <c r="H15" s="7"/>
      <c r="I15" s="7"/>
      <c r="J15" s="8">
        <f t="shared" si="0"/>
        <v>0</v>
      </c>
    </row>
    <row r="16" spans="1:10" x14ac:dyDescent="0.25">
      <c r="A16" s="5" t="s">
        <v>60</v>
      </c>
      <c r="B16" s="6">
        <v>0</v>
      </c>
      <c r="C16" s="7"/>
      <c r="D16" s="7"/>
      <c r="E16" s="7"/>
      <c r="F16" s="7"/>
      <c r="G16" s="7"/>
      <c r="H16" s="7">
        <v>2</v>
      </c>
      <c r="I16" s="7"/>
      <c r="J16" s="8">
        <f t="shared" si="0"/>
        <v>2</v>
      </c>
    </row>
    <row r="17" spans="1:10" x14ac:dyDescent="0.25">
      <c r="A17" s="5" t="s">
        <v>317</v>
      </c>
      <c r="B17" s="6"/>
      <c r="C17" s="7"/>
      <c r="D17" s="7"/>
      <c r="E17" s="7"/>
      <c r="F17" s="7"/>
      <c r="G17" s="7"/>
      <c r="H17" s="7">
        <v>16</v>
      </c>
      <c r="I17" s="7"/>
      <c r="J17" s="8">
        <f>SUM(B17:I17)</f>
        <v>16</v>
      </c>
    </row>
    <row r="18" spans="1:10" x14ac:dyDescent="0.25">
      <c r="A18" s="5" t="s">
        <v>78</v>
      </c>
      <c r="B18" s="6"/>
      <c r="C18" s="7"/>
      <c r="D18" s="7"/>
      <c r="E18" s="7"/>
      <c r="F18" s="7"/>
      <c r="G18" s="7"/>
      <c r="H18" s="7">
        <v>7</v>
      </c>
      <c r="I18" s="7"/>
      <c r="J18" s="8">
        <f>SUM(B18:I18)</f>
        <v>7</v>
      </c>
    </row>
    <row r="19" spans="1:10" x14ac:dyDescent="0.25">
      <c r="A19" s="5" t="s">
        <v>61</v>
      </c>
      <c r="B19" s="6">
        <v>175</v>
      </c>
      <c r="C19" s="7"/>
      <c r="D19" s="7"/>
      <c r="E19" s="7"/>
      <c r="F19" s="7"/>
      <c r="G19" s="7"/>
      <c r="H19" s="7"/>
      <c r="I19" s="7">
        <v>-2</v>
      </c>
      <c r="J19" s="8">
        <f t="shared" si="0"/>
        <v>173</v>
      </c>
    </row>
    <row r="20" spans="1:10" x14ac:dyDescent="0.25">
      <c r="A20" s="5" t="s">
        <v>62</v>
      </c>
      <c r="B20" s="6">
        <v>24</v>
      </c>
      <c r="C20" s="7"/>
      <c r="D20" s="7">
        <v>-24</v>
      </c>
      <c r="E20" s="7"/>
      <c r="F20" s="7"/>
      <c r="G20" s="7"/>
      <c r="H20" s="7"/>
      <c r="I20" s="7"/>
      <c r="J20" s="8">
        <f t="shared" si="0"/>
        <v>0</v>
      </c>
    </row>
    <row r="21" spans="1:10" x14ac:dyDescent="0.25">
      <c r="A21" s="5" t="s">
        <v>63</v>
      </c>
      <c r="B21" s="6">
        <v>16</v>
      </c>
      <c r="C21" s="7"/>
      <c r="D21" s="7">
        <v>-16</v>
      </c>
      <c r="E21" s="7"/>
      <c r="F21" s="7"/>
      <c r="G21" s="7"/>
      <c r="H21" s="7"/>
      <c r="I21" s="7"/>
      <c r="J21" s="8">
        <f t="shared" si="0"/>
        <v>0</v>
      </c>
    </row>
    <row r="22" spans="1:10" x14ac:dyDescent="0.25">
      <c r="A22" s="5" t="s">
        <v>30</v>
      </c>
      <c r="B22" s="6">
        <v>9</v>
      </c>
      <c r="C22" s="7"/>
      <c r="D22" s="7"/>
      <c r="E22" s="7"/>
      <c r="F22" s="7"/>
      <c r="G22" s="7"/>
      <c r="H22" s="7"/>
      <c r="I22" s="7">
        <v>-1</v>
      </c>
      <c r="J22" s="8">
        <f t="shared" si="0"/>
        <v>8</v>
      </c>
    </row>
    <row r="23" spans="1:10" x14ac:dyDescent="0.25">
      <c r="A23" s="5" t="s">
        <v>64</v>
      </c>
      <c r="B23" s="6">
        <v>2</v>
      </c>
      <c r="C23" s="7"/>
      <c r="D23" s="7"/>
      <c r="E23" s="7"/>
      <c r="F23" s="7"/>
      <c r="G23" s="7"/>
      <c r="H23" s="7"/>
      <c r="I23" s="7"/>
      <c r="J23" s="8">
        <f t="shared" si="0"/>
        <v>2</v>
      </c>
    </row>
    <row r="24" spans="1:10" x14ac:dyDescent="0.25">
      <c r="A24" s="5" t="s">
        <v>348</v>
      </c>
      <c r="B24" s="6"/>
      <c r="C24" s="7"/>
      <c r="D24" s="7"/>
      <c r="E24" s="7"/>
      <c r="F24" s="7"/>
      <c r="G24" s="7"/>
      <c r="H24" s="7"/>
      <c r="I24" s="7">
        <v>-1</v>
      </c>
      <c r="J24" s="8">
        <f>SUM(B24:I24)</f>
        <v>-1</v>
      </c>
    </row>
    <row r="25" spans="1:10" x14ac:dyDescent="0.25">
      <c r="A25" s="5" t="s">
        <v>65</v>
      </c>
      <c r="B25" s="6">
        <v>47</v>
      </c>
      <c r="C25" s="7"/>
      <c r="D25" s="7"/>
      <c r="E25" s="7">
        <v>16</v>
      </c>
      <c r="F25" s="7">
        <v>28</v>
      </c>
      <c r="G25" s="7">
        <v>29</v>
      </c>
      <c r="H25" s="7"/>
      <c r="I25" s="7"/>
      <c r="J25" s="8">
        <f t="shared" si="0"/>
        <v>120</v>
      </c>
    </row>
    <row r="26" spans="1:10" x14ac:dyDescent="0.25">
      <c r="A26" s="5" t="s">
        <v>66</v>
      </c>
      <c r="B26" s="6">
        <v>113</v>
      </c>
      <c r="C26" s="7"/>
      <c r="D26" s="7"/>
      <c r="E26" s="7"/>
      <c r="F26" s="7"/>
      <c r="G26" s="7">
        <v>16</v>
      </c>
      <c r="H26" s="7"/>
      <c r="I26" s="7">
        <v>-11</v>
      </c>
      <c r="J26" s="8">
        <f t="shared" si="0"/>
        <v>118</v>
      </c>
    </row>
    <row r="27" spans="1:10" x14ac:dyDescent="0.25">
      <c r="A27" s="5" t="s">
        <v>67</v>
      </c>
      <c r="B27" s="6">
        <v>63</v>
      </c>
      <c r="C27" s="7"/>
      <c r="D27" s="7"/>
      <c r="E27" s="7"/>
      <c r="F27" s="7">
        <v>14</v>
      </c>
      <c r="G27" s="7"/>
      <c r="H27" s="7"/>
      <c r="I27" s="7">
        <v>-2</v>
      </c>
      <c r="J27" s="8">
        <f t="shared" si="0"/>
        <v>75</v>
      </c>
    </row>
    <row r="28" spans="1:10" x14ac:dyDescent="0.25">
      <c r="A28" s="5" t="s">
        <v>49</v>
      </c>
      <c r="B28" s="6">
        <v>7</v>
      </c>
      <c r="C28" s="7"/>
      <c r="D28" s="7"/>
      <c r="E28" s="7">
        <v>8</v>
      </c>
      <c r="F28" s="7"/>
      <c r="G28" s="7"/>
      <c r="H28" s="7"/>
      <c r="I28" s="7">
        <v>-6</v>
      </c>
      <c r="J28" s="8">
        <f t="shared" si="0"/>
        <v>9</v>
      </c>
    </row>
    <row r="29" spans="1:10" x14ac:dyDescent="0.25">
      <c r="A29" s="5" t="s">
        <v>68</v>
      </c>
      <c r="B29" s="6">
        <v>4</v>
      </c>
      <c r="C29" s="7"/>
      <c r="D29" s="7"/>
      <c r="E29" s="7"/>
      <c r="F29" s="7"/>
      <c r="G29" s="7"/>
      <c r="H29" s="7"/>
      <c r="I29" s="7">
        <v>-2</v>
      </c>
      <c r="J29" s="8">
        <f t="shared" si="0"/>
        <v>2</v>
      </c>
    </row>
    <row r="30" spans="1:10" x14ac:dyDescent="0.25">
      <c r="A30" s="5" t="s">
        <v>69</v>
      </c>
      <c r="B30" s="6">
        <v>4</v>
      </c>
      <c r="C30" s="7"/>
      <c r="D30" s="7"/>
      <c r="E30" s="7"/>
      <c r="F30" s="7"/>
      <c r="G30" s="7"/>
      <c r="H30" s="7"/>
      <c r="I30" s="7">
        <v>-4</v>
      </c>
      <c r="J30" s="8">
        <f t="shared" si="0"/>
        <v>0</v>
      </c>
    </row>
    <row r="31" spans="1:10" x14ac:dyDescent="0.25">
      <c r="A31" s="5" t="s">
        <v>70</v>
      </c>
      <c r="B31" s="6">
        <v>2</v>
      </c>
      <c r="C31" s="7"/>
      <c r="D31" s="7"/>
      <c r="E31" s="7"/>
      <c r="F31" s="7"/>
      <c r="G31" s="7"/>
      <c r="H31" s="7"/>
      <c r="I31" s="7">
        <v>-2</v>
      </c>
      <c r="J31" s="8">
        <f t="shared" si="0"/>
        <v>0</v>
      </c>
    </row>
    <row r="32" spans="1:10" x14ac:dyDescent="0.25">
      <c r="A32" s="5" t="s">
        <v>71</v>
      </c>
      <c r="B32" s="6">
        <v>10</v>
      </c>
      <c r="C32" s="7"/>
      <c r="D32" s="7"/>
      <c r="E32" s="7"/>
      <c r="F32" s="7"/>
      <c r="G32" s="7"/>
      <c r="H32" s="7"/>
      <c r="I32" s="7"/>
      <c r="J32" s="8">
        <f t="shared" si="0"/>
        <v>10</v>
      </c>
    </row>
    <row r="33" spans="1:10" x14ac:dyDescent="0.25">
      <c r="A33" s="5" t="s">
        <v>72</v>
      </c>
      <c r="B33" s="6">
        <v>2</v>
      </c>
      <c r="C33" s="7"/>
      <c r="D33" s="7"/>
      <c r="E33" s="7"/>
      <c r="F33" s="7"/>
      <c r="G33" s="7"/>
      <c r="H33" s="7"/>
      <c r="I33" s="7"/>
      <c r="J33" s="8">
        <f t="shared" si="0"/>
        <v>2</v>
      </c>
    </row>
    <row r="34" spans="1:10" x14ac:dyDescent="0.25">
      <c r="A34" s="5" t="s">
        <v>31</v>
      </c>
      <c r="B34" s="6">
        <v>317</v>
      </c>
      <c r="C34" s="7">
        <v>100</v>
      </c>
      <c r="D34" s="7">
        <v>-414</v>
      </c>
      <c r="E34" s="7"/>
      <c r="F34" s="7"/>
      <c r="G34" s="7">
        <v>100</v>
      </c>
      <c r="H34" s="7">
        <v>103</v>
      </c>
      <c r="I34" s="7">
        <v>-29</v>
      </c>
      <c r="J34" s="8">
        <f t="shared" si="0"/>
        <v>177</v>
      </c>
    </row>
    <row r="35" spans="1:10" x14ac:dyDescent="0.25">
      <c r="A35" s="5" t="s">
        <v>32</v>
      </c>
      <c r="B35" s="6">
        <v>1</v>
      </c>
      <c r="C35" s="7"/>
      <c r="D35" s="7">
        <v>-1</v>
      </c>
      <c r="E35" s="7"/>
      <c r="F35" s="7"/>
      <c r="G35" s="7"/>
      <c r="H35" s="7"/>
      <c r="I35" s="7"/>
      <c r="J35" s="8">
        <f t="shared" si="0"/>
        <v>0</v>
      </c>
    </row>
    <row r="36" spans="1:10" x14ac:dyDescent="0.25">
      <c r="A36" s="5" t="s">
        <v>73</v>
      </c>
      <c r="B36" s="6">
        <v>0</v>
      </c>
      <c r="C36" s="7"/>
      <c r="D36" s="7"/>
      <c r="E36" s="7"/>
      <c r="F36" s="7"/>
      <c r="G36" s="7">
        <v>10</v>
      </c>
      <c r="H36" s="7"/>
      <c r="I36" s="7">
        <v>-2</v>
      </c>
      <c r="J36" s="8">
        <f t="shared" si="0"/>
        <v>8</v>
      </c>
    </row>
    <row r="37" spans="1:10" x14ac:dyDescent="0.25">
      <c r="A37" s="5" t="s">
        <v>293</v>
      </c>
      <c r="B37" s="6"/>
      <c r="C37" s="7"/>
      <c r="D37" s="7"/>
      <c r="E37" s="7"/>
      <c r="F37" s="7"/>
      <c r="G37" s="7">
        <v>2</v>
      </c>
      <c r="H37" s="7"/>
      <c r="I37" s="7"/>
      <c r="J37" s="8">
        <f>SUM(B37:I37)</f>
        <v>2</v>
      </c>
    </row>
    <row r="38" spans="1:10" x14ac:dyDescent="0.25">
      <c r="A38" s="5" t="s">
        <v>319</v>
      </c>
      <c r="B38" s="6"/>
      <c r="C38" s="7"/>
      <c r="D38" s="7"/>
      <c r="E38" s="7"/>
      <c r="F38" s="7"/>
      <c r="G38" s="7"/>
      <c r="H38" s="7">
        <v>3</v>
      </c>
      <c r="I38" s="7"/>
      <c r="J38" s="8">
        <f>SUM(B38:I38)</f>
        <v>3</v>
      </c>
    </row>
    <row r="39" spans="1:10" x14ac:dyDescent="0.25">
      <c r="A39" s="5" t="s">
        <v>320</v>
      </c>
      <c r="B39" s="6"/>
      <c r="C39" s="7"/>
      <c r="D39" s="7"/>
      <c r="E39" s="7"/>
      <c r="F39" s="7"/>
      <c r="G39" s="7"/>
      <c r="H39" s="7">
        <v>5</v>
      </c>
      <c r="I39" s="7">
        <v>-1</v>
      </c>
      <c r="J39" s="8">
        <f>SUM(B39:I39)</f>
        <v>4</v>
      </c>
    </row>
    <row r="40" spans="1:10" x14ac:dyDescent="0.25">
      <c r="A40" s="5" t="s">
        <v>321</v>
      </c>
      <c r="B40" s="6"/>
      <c r="C40" s="7"/>
      <c r="D40" s="7"/>
      <c r="E40" s="7"/>
      <c r="F40" s="7"/>
      <c r="G40" s="7"/>
      <c r="H40" s="7">
        <v>3</v>
      </c>
      <c r="I40" s="7"/>
      <c r="J40" s="8">
        <f>SUM(B40:I40)</f>
        <v>3</v>
      </c>
    </row>
    <row r="41" spans="1:10" x14ac:dyDescent="0.25">
      <c r="A41" s="5" t="s">
        <v>74</v>
      </c>
      <c r="B41" s="6"/>
      <c r="C41" s="7"/>
      <c r="D41" s="7"/>
      <c r="E41" s="7"/>
      <c r="F41" s="7"/>
      <c r="G41" s="7">
        <v>33</v>
      </c>
      <c r="H41" s="7">
        <v>70</v>
      </c>
      <c r="I41" s="7">
        <v>-29</v>
      </c>
      <c r="J41" s="8">
        <f t="shared" si="0"/>
        <v>74</v>
      </c>
    </row>
    <row r="42" spans="1:10" x14ac:dyDescent="0.25">
      <c r="A42" s="5" t="s">
        <v>318</v>
      </c>
      <c r="B42" s="6"/>
      <c r="C42" s="7"/>
      <c r="D42" s="7"/>
      <c r="E42" s="7"/>
      <c r="F42" s="7"/>
      <c r="G42" s="7"/>
      <c r="H42" s="7">
        <v>13</v>
      </c>
      <c r="I42" s="7">
        <v>-1</v>
      </c>
      <c r="J42" s="8">
        <f>SUM(B42:I42)</f>
        <v>12</v>
      </c>
    </row>
    <row r="43" spans="1:10" x14ac:dyDescent="0.25">
      <c r="A43" s="9" t="s">
        <v>7</v>
      </c>
      <c r="B43" s="45"/>
      <c r="C43" s="44">
        <v>0.18055555555555555</v>
      </c>
      <c r="D43" s="44">
        <v>0.375</v>
      </c>
      <c r="E43" s="12">
        <v>0.35416666666666669</v>
      </c>
      <c r="F43" s="44">
        <v>0.33333333333333331</v>
      </c>
      <c r="G43" s="44">
        <v>0.4375</v>
      </c>
      <c r="H43" s="44">
        <v>0.45833333333333331</v>
      </c>
      <c r="I43" s="44">
        <v>0.125</v>
      </c>
      <c r="J43" s="2"/>
    </row>
    <row r="44" spans="1:10" x14ac:dyDescent="0.25">
      <c r="A44" s="9" t="s">
        <v>8</v>
      </c>
      <c r="B44" s="14"/>
      <c r="C44" s="15" t="s">
        <v>75</v>
      </c>
      <c r="D44" s="14">
        <v>40000</v>
      </c>
      <c r="E44" s="14">
        <v>30000</v>
      </c>
      <c r="F44" s="14">
        <v>30000</v>
      </c>
      <c r="G44" s="14">
        <v>50000</v>
      </c>
      <c r="H44" s="14">
        <v>50000</v>
      </c>
      <c r="I44" s="14">
        <v>50000</v>
      </c>
      <c r="J44" s="15">
        <f>SUM(B44:I44)</f>
        <v>250000</v>
      </c>
    </row>
  </sheetData>
  <mergeCells count="4">
    <mergeCell ref="A3:J3"/>
    <mergeCell ref="A4:J4"/>
    <mergeCell ref="A5:A6"/>
    <mergeCell ref="A2:J2"/>
  </mergeCells>
  <pageMargins left="0.70866141732283472" right="0.70866141732283472" top="0.74803149606299213" bottom="0.74803149606299213" header="0.31496062992125984" footer="0.31496062992125984"/>
  <pageSetup scale="69" orientation="landscape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926B-106E-4D4E-8CCD-D707E656528F}">
  <sheetPr>
    <pageSetUpPr fitToPage="1"/>
  </sheetPr>
  <dimension ref="A1:G78"/>
  <sheetViews>
    <sheetView topLeftCell="A6" workbookViewId="0">
      <pane xSplit="1" topLeftCell="B1" activePane="topRight" state="frozen"/>
      <selection pane="topRight" activeCell="M20" sqref="M20"/>
    </sheetView>
  </sheetViews>
  <sheetFormatPr baseColWidth="10" defaultRowHeight="15" x14ac:dyDescent="0.25"/>
  <cols>
    <col min="1" max="1" width="30.28515625" customWidth="1"/>
  </cols>
  <sheetData>
    <row r="1" spans="1:7" ht="18.75" x14ac:dyDescent="0.3">
      <c r="A1" s="126" t="s">
        <v>10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178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18" t="s">
        <v>4</v>
      </c>
      <c r="C4" s="3">
        <v>11628</v>
      </c>
      <c r="D4" s="3">
        <v>12870</v>
      </c>
      <c r="E4" s="3">
        <v>11640</v>
      </c>
      <c r="F4" s="3">
        <v>11661</v>
      </c>
      <c r="G4" s="18" t="s">
        <v>3</v>
      </c>
    </row>
    <row r="5" spans="1:7" x14ac:dyDescent="0.25">
      <c r="A5" s="19"/>
      <c r="B5" s="20">
        <v>45838</v>
      </c>
      <c r="C5" s="4">
        <v>45847</v>
      </c>
      <c r="D5" s="4">
        <v>45856</v>
      </c>
      <c r="E5" s="4">
        <v>45853</v>
      </c>
      <c r="F5" s="4">
        <v>45861</v>
      </c>
      <c r="G5" s="20">
        <v>45869</v>
      </c>
    </row>
    <row r="6" spans="1:7" x14ac:dyDescent="0.25">
      <c r="A6" s="21" t="s">
        <v>11</v>
      </c>
      <c r="B6" s="22">
        <v>20</v>
      </c>
      <c r="C6" s="23">
        <v>-20</v>
      </c>
      <c r="D6" s="23"/>
      <c r="E6" s="23"/>
      <c r="F6" s="23"/>
      <c r="G6" s="8">
        <f>SUM(B6:E6)</f>
        <v>0</v>
      </c>
    </row>
    <row r="7" spans="1:7" x14ac:dyDescent="0.25">
      <c r="A7" s="24" t="s">
        <v>12</v>
      </c>
      <c r="B7" s="22">
        <v>12</v>
      </c>
      <c r="C7" s="23"/>
      <c r="D7" s="23"/>
      <c r="E7" s="23">
        <v>-12</v>
      </c>
      <c r="F7" s="23"/>
      <c r="G7" s="8">
        <f>SUM(B7:E7)</f>
        <v>0</v>
      </c>
    </row>
    <row r="8" spans="1:7" x14ac:dyDescent="0.25">
      <c r="A8" s="24" t="s">
        <v>13</v>
      </c>
      <c r="B8" s="22">
        <v>25</v>
      </c>
      <c r="C8" s="23"/>
      <c r="D8" s="23"/>
      <c r="E8" s="23">
        <v>-25</v>
      </c>
      <c r="F8" s="23"/>
      <c r="G8" s="8">
        <f>SUM(B8:E8)</f>
        <v>0</v>
      </c>
    </row>
    <row r="9" spans="1:7" x14ac:dyDescent="0.25">
      <c r="A9" s="24" t="s">
        <v>14</v>
      </c>
      <c r="B9" s="22">
        <v>8</v>
      </c>
      <c r="C9" s="23"/>
      <c r="D9" s="23"/>
      <c r="E9" s="23">
        <v>-8</v>
      </c>
      <c r="F9" s="23"/>
      <c r="G9" s="8">
        <f>SUM(B9:E9)</f>
        <v>0</v>
      </c>
    </row>
    <row r="10" spans="1:7" x14ac:dyDescent="0.25">
      <c r="A10" s="24" t="s">
        <v>39</v>
      </c>
      <c r="B10" s="22"/>
      <c r="C10" s="23"/>
      <c r="D10" s="23">
        <v>12</v>
      </c>
      <c r="E10" s="23"/>
      <c r="F10" s="23">
        <v>-12</v>
      </c>
      <c r="G10" s="8">
        <f>SUM(D10:F10)</f>
        <v>0</v>
      </c>
    </row>
    <row r="11" spans="1:7" x14ac:dyDescent="0.25">
      <c r="A11" s="24" t="s">
        <v>263</v>
      </c>
      <c r="B11" s="22"/>
      <c r="C11" s="23"/>
      <c r="D11" s="23">
        <v>12</v>
      </c>
      <c r="E11" s="23"/>
      <c r="F11" s="23">
        <v>-12</v>
      </c>
      <c r="G11" s="8">
        <f>SUM(D11:F11)</f>
        <v>0</v>
      </c>
    </row>
    <row r="12" spans="1:7" x14ac:dyDescent="0.25">
      <c r="A12" s="19" t="s">
        <v>15</v>
      </c>
      <c r="B12" s="11"/>
      <c r="C12" s="25">
        <v>0.44791666666666669</v>
      </c>
      <c r="D12" s="25">
        <v>0.38194444444444442</v>
      </c>
      <c r="E12" s="25">
        <v>0.33333333333333331</v>
      </c>
      <c r="F12" s="25">
        <v>0.15972222222222221</v>
      </c>
      <c r="G12" s="2"/>
    </row>
    <row r="13" spans="1:7" x14ac:dyDescent="0.25">
      <c r="A13" s="19" t="s">
        <v>16</v>
      </c>
      <c r="B13" s="26"/>
      <c r="C13" s="26" t="s">
        <v>181</v>
      </c>
      <c r="D13" s="26" t="s">
        <v>264</v>
      </c>
      <c r="E13" s="26" t="s">
        <v>181</v>
      </c>
      <c r="F13" s="26" t="s">
        <v>181</v>
      </c>
      <c r="G13" s="2"/>
    </row>
    <row r="15" spans="1:7" ht="15.75" thickBot="1" x14ac:dyDescent="0.3"/>
    <row r="16" spans="1:7" ht="18.75" x14ac:dyDescent="0.3">
      <c r="A16" s="126" t="s">
        <v>10</v>
      </c>
      <c r="B16" s="127"/>
      <c r="C16" s="127"/>
      <c r="D16" s="127"/>
      <c r="E16" s="127"/>
      <c r="F16" s="127"/>
      <c r="G16" s="153"/>
    </row>
    <row r="17" spans="1:7" ht="18.75" x14ac:dyDescent="0.3">
      <c r="A17" s="128" t="s">
        <v>179</v>
      </c>
      <c r="B17" s="120"/>
      <c r="C17" s="120"/>
      <c r="D17" s="120"/>
      <c r="E17" s="120"/>
      <c r="F17" s="120"/>
      <c r="G17" s="152"/>
    </row>
    <row r="18" spans="1:7" ht="18.75" x14ac:dyDescent="0.3">
      <c r="A18" s="128" t="s">
        <v>20</v>
      </c>
      <c r="B18" s="120"/>
      <c r="C18" s="120"/>
      <c r="D18" s="120"/>
      <c r="E18" s="120"/>
      <c r="F18" s="120"/>
      <c r="G18" s="152"/>
    </row>
    <row r="19" spans="1:7" x14ac:dyDescent="0.25">
      <c r="A19" s="27" t="s">
        <v>2</v>
      </c>
      <c r="B19" s="18" t="s">
        <v>4</v>
      </c>
      <c r="C19" s="3"/>
      <c r="D19" s="3"/>
      <c r="E19" s="3"/>
      <c r="F19" s="91"/>
      <c r="G19" s="34" t="s">
        <v>3</v>
      </c>
    </row>
    <row r="20" spans="1:7" x14ac:dyDescent="0.25">
      <c r="A20" s="28"/>
      <c r="B20" s="29">
        <v>45838</v>
      </c>
      <c r="C20" s="4"/>
      <c r="D20" s="4"/>
      <c r="E20" s="4"/>
      <c r="F20" s="54"/>
      <c r="G20" s="29">
        <v>45869</v>
      </c>
    </row>
    <row r="21" spans="1:7" x14ac:dyDescent="0.25">
      <c r="A21" s="30" t="s">
        <v>11</v>
      </c>
      <c r="B21" s="22">
        <v>12</v>
      </c>
      <c r="C21" s="23"/>
      <c r="D21" s="23"/>
      <c r="E21" s="23"/>
      <c r="F21" s="92"/>
      <c r="G21" s="35">
        <f>SUM(B21:E21)</f>
        <v>12</v>
      </c>
    </row>
    <row r="22" spans="1:7" x14ac:dyDescent="0.25">
      <c r="A22" s="31" t="s">
        <v>17</v>
      </c>
      <c r="B22" s="22">
        <v>50</v>
      </c>
      <c r="C22" s="23"/>
      <c r="D22" s="23"/>
      <c r="E22" s="23"/>
      <c r="F22" s="92"/>
      <c r="G22" s="35">
        <f>SUM(B22:E22)</f>
        <v>50</v>
      </c>
    </row>
    <row r="23" spans="1:7" x14ac:dyDescent="0.25">
      <c r="A23" s="31" t="s">
        <v>18</v>
      </c>
      <c r="B23" s="22">
        <v>5</v>
      </c>
      <c r="C23" s="23"/>
      <c r="D23" s="23"/>
      <c r="E23" s="23"/>
      <c r="F23" s="92"/>
      <c r="G23" s="35">
        <f>SUM(B23:E23)</f>
        <v>5</v>
      </c>
    </row>
    <row r="24" spans="1:7" x14ac:dyDescent="0.25">
      <c r="A24" s="28" t="s">
        <v>15</v>
      </c>
      <c r="B24" s="11"/>
      <c r="C24" s="25"/>
      <c r="D24" s="25"/>
      <c r="E24" s="25"/>
      <c r="F24" s="60"/>
      <c r="G24" s="36"/>
    </row>
    <row r="25" spans="1:7" ht="15.75" thickBot="1" x14ac:dyDescent="0.3">
      <c r="A25" s="32" t="s">
        <v>16</v>
      </c>
      <c r="B25" s="33"/>
      <c r="C25" s="33"/>
      <c r="D25" s="26"/>
      <c r="E25" s="33"/>
      <c r="F25" s="93"/>
      <c r="G25" s="37"/>
    </row>
    <row r="51" spans="1:6" x14ac:dyDescent="0.25">
      <c r="A51" t="s">
        <v>203</v>
      </c>
    </row>
    <row r="52" spans="1:6" x14ac:dyDescent="0.25">
      <c r="A52" t="s">
        <v>210</v>
      </c>
    </row>
    <row r="54" spans="1:6" ht="15.75" thickBot="1" x14ac:dyDescent="0.3"/>
    <row r="55" spans="1:6" ht="18.75" x14ac:dyDescent="0.3">
      <c r="A55" s="126" t="s">
        <v>10</v>
      </c>
      <c r="B55" s="127"/>
      <c r="C55" s="127"/>
      <c r="D55" s="127"/>
      <c r="E55" s="127"/>
      <c r="F55" s="94"/>
    </row>
    <row r="56" spans="1:6" ht="18.75" x14ac:dyDescent="0.3">
      <c r="A56" s="128" t="s">
        <v>219</v>
      </c>
      <c r="B56" s="120"/>
      <c r="C56" s="120"/>
      <c r="D56" s="120"/>
      <c r="E56" s="120"/>
      <c r="F56" s="94"/>
    </row>
    <row r="57" spans="1:6" ht="18.75" x14ac:dyDescent="0.3">
      <c r="A57" s="128" t="s">
        <v>202</v>
      </c>
      <c r="B57" s="120"/>
      <c r="C57" s="120"/>
      <c r="D57" s="120"/>
      <c r="E57" s="120"/>
      <c r="F57" s="94"/>
    </row>
    <row r="58" spans="1:6" x14ac:dyDescent="0.25">
      <c r="A58" s="17" t="s">
        <v>2</v>
      </c>
      <c r="B58" s="18" t="s">
        <v>214</v>
      </c>
      <c r="C58" s="3">
        <v>12756</v>
      </c>
      <c r="D58" s="3">
        <v>11500</v>
      </c>
      <c r="E58" s="3">
        <v>11542</v>
      </c>
      <c r="F58" s="95"/>
    </row>
    <row r="59" spans="1:6" x14ac:dyDescent="0.25">
      <c r="A59" s="19"/>
      <c r="B59" s="20">
        <v>45777</v>
      </c>
      <c r="C59" s="4">
        <v>45774</v>
      </c>
      <c r="D59" s="4">
        <v>45782</v>
      </c>
      <c r="E59" s="4">
        <v>45804</v>
      </c>
      <c r="F59" s="96"/>
    </row>
    <row r="60" spans="1:6" x14ac:dyDescent="0.25">
      <c r="A60" s="21" t="s">
        <v>28</v>
      </c>
      <c r="B60" s="22"/>
      <c r="C60" s="23"/>
      <c r="D60" s="23"/>
      <c r="E60" s="23"/>
      <c r="F60" s="97"/>
    </row>
    <row r="61" spans="1:6" x14ac:dyDescent="0.25">
      <c r="A61" s="24" t="s">
        <v>62</v>
      </c>
      <c r="B61" s="22"/>
      <c r="C61" s="23"/>
      <c r="D61" s="23"/>
      <c r="E61" s="23"/>
      <c r="F61" s="97"/>
    </row>
    <row r="62" spans="1:6" x14ac:dyDescent="0.25">
      <c r="A62" s="24" t="s">
        <v>80</v>
      </c>
      <c r="B62" s="22"/>
      <c r="C62" s="23"/>
      <c r="D62" s="23"/>
      <c r="E62" s="23"/>
      <c r="F62" s="97"/>
    </row>
    <row r="63" spans="1:6" x14ac:dyDescent="0.25">
      <c r="A63" s="24" t="s">
        <v>30</v>
      </c>
      <c r="B63" s="22">
        <v>120</v>
      </c>
      <c r="C63" s="23">
        <v>30</v>
      </c>
      <c r="D63" s="23">
        <v>-30</v>
      </c>
      <c r="E63" s="23"/>
      <c r="F63" s="97"/>
    </row>
    <row r="64" spans="1:6" x14ac:dyDescent="0.25">
      <c r="A64" s="24" t="s">
        <v>217</v>
      </c>
      <c r="B64" s="22">
        <v>0</v>
      </c>
      <c r="C64" s="23"/>
      <c r="D64" s="23"/>
      <c r="E64" s="23"/>
      <c r="F64" s="97"/>
    </row>
    <row r="65" spans="1:6" x14ac:dyDescent="0.25">
      <c r="A65" s="24" t="s">
        <v>204</v>
      </c>
      <c r="B65" s="22"/>
      <c r="C65" s="23"/>
      <c r="D65" s="23"/>
      <c r="E65" s="23"/>
      <c r="F65" s="97"/>
    </row>
    <row r="66" spans="1:6" x14ac:dyDescent="0.25">
      <c r="A66" s="24" t="s">
        <v>148</v>
      </c>
      <c r="B66" s="22">
        <v>32</v>
      </c>
      <c r="C66" s="23"/>
      <c r="D66" s="23">
        <v>-6</v>
      </c>
      <c r="E66" s="23"/>
      <c r="F66" s="97"/>
    </row>
    <row r="67" spans="1:6" x14ac:dyDescent="0.25">
      <c r="A67" s="24" t="s">
        <v>49</v>
      </c>
      <c r="B67" s="22">
        <v>1</v>
      </c>
      <c r="C67" s="23">
        <v>1</v>
      </c>
      <c r="D67" s="23">
        <v>-1</v>
      </c>
      <c r="E67" s="23"/>
      <c r="F67" s="97"/>
    </row>
    <row r="68" spans="1:6" x14ac:dyDescent="0.25">
      <c r="A68" s="24" t="s">
        <v>69</v>
      </c>
      <c r="B68" s="22">
        <v>1</v>
      </c>
      <c r="C68" s="23"/>
      <c r="D68" s="23"/>
      <c r="E68" s="23"/>
      <c r="F68" s="97"/>
    </row>
    <row r="69" spans="1:6" x14ac:dyDescent="0.25">
      <c r="A69" s="24" t="s">
        <v>205</v>
      </c>
      <c r="B69" s="22">
        <v>6</v>
      </c>
      <c r="C69" s="23"/>
      <c r="D69" s="23">
        <v>-6</v>
      </c>
      <c r="E69" s="23"/>
      <c r="F69" s="97"/>
    </row>
    <row r="70" spans="1:6" x14ac:dyDescent="0.25">
      <c r="A70" s="24" t="s">
        <v>208</v>
      </c>
      <c r="B70" s="22"/>
      <c r="C70" s="23"/>
      <c r="D70" s="23"/>
      <c r="E70" s="23"/>
      <c r="F70" s="97"/>
    </row>
    <row r="71" spans="1:6" x14ac:dyDescent="0.25">
      <c r="A71" s="24" t="s">
        <v>206</v>
      </c>
      <c r="B71" s="22">
        <v>87</v>
      </c>
      <c r="C71" s="23">
        <v>15</v>
      </c>
      <c r="D71" s="23">
        <v>-20</v>
      </c>
      <c r="E71" s="23">
        <v>-3</v>
      </c>
      <c r="F71" s="97"/>
    </row>
    <row r="72" spans="1:6" x14ac:dyDescent="0.25">
      <c r="A72" s="24" t="s">
        <v>188</v>
      </c>
      <c r="B72" s="22"/>
      <c r="C72" s="23"/>
      <c r="D72" s="23"/>
      <c r="E72" s="23"/>
      <c r="F72" s="97"/>
    </row>
    <row r="73" spans="1:6" x14ac:dyDescent="0.25">
      <c r="A73" s="24" t="s">
        <v>39</v>
      </c>
      <c r="B73" s="22"/>
      <c r="C73" s="23"/>
      <c r="D73" s="23"/>
      <c r="E73" s="23"/>
      <c r="F73" s="97"/>
    </row>
    <row r="74" spans="1:6" x14ac:dyDescent="0.25">
      <c r="A74" s="24" t="s">
        <v>201</v>
      </c>
      <c r="B74" s="22"/>
      <c r="C74" s="23"/>
      <c r="D74" s="23"/>
      <c r="E74" s="23"/>
      <c r="F74" s="97"/>
    </row>
    <row r="75" spans="1:6" x14ac:dyDescent="0.25">
      <c r="A75" s="24" t="s">
        <v>209</v>
      </c>
      <c r="B75" s="22"/>
      <c r="C75" s="23"/>
      <c r="D75" s="23"/>
      <c r="E75" s="23"/>
      <c r="F75" s="97"/>
    </row>
    <row r="76" spans="1:6" x14ac:dyDescent="0.25">
      <c r="A76" s="19" t="s">
        <v>15</v>
      </c>
      <c r="B76" s="63"/>
      <c r="C76" s="25">
        <v>7</v>
      </c>
      <c r="D76" s="25">
        <v>0.33333333333333331</v>
      </c>
      <c r="E76" s="25">
        <v>0.44444444444444442</v>
      </c>
      <c r="F76" s="98"/>
    </row>
    <row r="77" spans="1:6" x14ac:dyDescent="0.25">
      <c r="A77" s="19" t="s">
        <v>16</v>
      </c>
      <c r="B77" s="85"/>
      <c r="C77" s="26" t="s">
        <v>215</v>
      </c>
      <c r="D77" s="26" t="s">
        <v>216</v>
      </c>
      <c r="E77" s="26" t="s">
        <v>218</v>
      </c>
      <c r="F77" s="99"/>
    </row>
    <row r="78" spans="1:6" x14ac:dyDescent="0.25">
      <c r="E78">
        <v>3</v>
      </c>
    </row>
  </sheetData>
  <mergeCells count="9">
    <mergeCell ref="A55:E55"/>
    <mergeCell ref="A56:E56"/>
    <mergeCell ref="A57:E57"/>
    <mergeCell ref="A18:G18"/>
    <mergeCell ref="A1:G1"/>
    <mergeCell ref="A2:G2"/>
    <mergeCell ref="A3:G3"/>
    <mergeCell ref="A16:G16"/>
    <mergeCell ref="A17:G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FE1A-BDED-4F6E-93B8-A296B91C5A77}">
  <dimension ref="A1:R22"/>
  <sheetViews>
    <sheetView workbookViewId="0">
      <selection activeCell="A24" sqref="A24"/>
    </sheetView>
  </sheetViews>
  <sheetFormatPr baseColWidth="10" defaultRowHeight="15" x14ac:dyDescent="0.25"/>
  <sheetData>
    <row r="1" spans="1:18" ht="18.75" x14ac:dyDescent="0.3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53"/>
    </row>
    <row r="2" spans="1:18" ht="18.75" x14ac:dyDescent="0.3">
      <c r="A2" s="128" t="s">
        <v>213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52"/>
    </row>
    <row r="3" spans="1:18" ht="18.75" x14ac:dyDescent="0.3">
      <c r="A3" s="128" t="s">
        <v>202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</row>
    <row r="4" spans="1:18" x14ac:dyDescent="0.25">
      <c r="A4" s="17" t="s">
        <v>2</v>
      </c>
      <c r="B4" s="18">
        <v>12499</v>
      </c>
      <c r="C4" s="18">
        <v>12534</v>
      </c>
      <c r="D4" s="3">
        <v>11337</v>
      </c>
      <c r="E4" s="18">
        <v>12570</v>
      </c>
      <c r="F4" s="18">
        <v>12575</v>
      </c>
      <c r="G4" s="18">
        <v>12584</v>
      </c>
      <c r="H4" s="18">
        <v>12585</v>
      </c>
      <c r="I4" s="18">
        <v>12608</v>
      </c>
      <c r="J4" s="18">
        <v>12625</v>
      </c>
      <c r="K4" s="3">
        <v>11408</v>
      </c>
      <c r="L4" s="3">
        <v>11412</v>
      </c>
      <c r="M4" s="18">
        <v>11445</v>
      </c>
      <c r="N4" s="18">
        <v>12668</v>
      </c>
      <c r="O4" s="3">
        <v>11453</v>
      </c>
      <c r="P4" s="3">
        <v>11491</v>
      </c>
      <c r="Q4" s="3">
        <v>11493</v>
      </c>
      <c r="R4" s="18" t="s">
        <v>3</v>
      </c>
    </row>
    <row r="5" spans="1:18" x14ac:dyDescent="0.25">
      <c r="A5" s="19"/>
      <c r="B5" s="20">
        <v>45692</v>
      </c>
      <c r="C5" s="20">
        <v>45708</v>
      </c>
      <c r="D5" s="4">
        <v>45699</v>
      </c>
      <c r="E5" s="20">
        <v>45719</v>
      </c>
      <c r="F5" s="20">
        <v>45719</v>
      </c>
      <c r="G5" s="20">
        <v>45721</v>
      </c>
      <c r="H5" s="20">
        <v>45723</v>
      </c>
      <c r="I5" s="20">
        <v>45729</v>
      </c>
      <c r="J5" s="20">
        <v>45741</v>
      </c>
      <c r="K5" s="4">
        <v>45730</v>
      </c>
      <c r="L5" s="4">
        <v>45731</v>
      </c>
      <c r="M5" s="20">
        <v>45747</v>
      </c>
      <c r="N5" s="20">
        <v>45768</v>
      </c>
      <c r="O5" s="4">
        <v>45750</v>
      </c>
      <c r="P5" s="4">
        <v>45777</v>
      </c>
      <c r="Q5" s="4">
        <v>45777</v>
      </c>
      <c r="R5" s="20">
        <v>45777</v>
      </c>
    </row>
    <row r="6" spans="1:18" x14ac:dyDescent="0.25">
      <c r="A6" s="21" t="s">
        <v>28</v>
      </c>
      <c r="B6" s="22">
        <v>32</v>
      </c>
      <c r="C6" s="23"/>
      <c r="D6" s="23">
        <v>-32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8">
        <f>SUM(B6:Q6)</f>
        <v>0</v>
      </c>
    </row>
    <row r="7" spans="1:18" x14ac:dyDescent="0.25">
      <c r="A7" s="24" t="s">
        <v>62</v>
      </c>
      <c r="B7" s="22">
        <v>32</v>
      </c>
      <c r="C7" s="23"/>
      <c r="D7" s="23">
        <v>-32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8">
        <f t="shared" ref="R7:R20" si="0">SUM(B7:Q7)</f>
        <v>0</v>
      </c>
    </row>
    <row r="8" spans="1:18" x14ac:dyDescent="0.25">
      <c r="A8" s="24" t="s">
        <v>80</v>
      </c>
      <c r="B8" s="22">
        <v>16</v>
      </c>
      <c r="C8" s="23"/>
      <c r="D8" s="23">
        <v>-16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8">
        <f t="shared" si="0"/>
        <v>0</v>
      </c>
    </row>
    <row r="9" spans="1:18" x14ac:dyDescent="0.25">
      <c r="A9" s="24" t="s">
        <v>30</v>
      </c>
      <c r="B9" s="22">
        <v>16</v>
      </c>
      <c r="C9" s="23"/>
      <c r="D9" s="23">
        <v>-16</v>
      </c>
      <c r="E9" s="23">
        <v>90</v>
      </c>
      <c r="F9" s="23"/>
      <c r="G9" s="23">
        <v>20</v>
      </c>
      <c r="H9" s="23"/>
      <c r="I9" s="23"/>
      <c r="J9" s="23">
        <v>90</v>
      </c>
      <c r="K9" s="23"/>
      <c r="L9" s="23"/>
      <c r="M9" s="23"/>
      <c r="N9" s="23">
        <v>30</v>
      </c>
      <c r="O9" s="23"/>
      <c r="P9" s="23"/>
      <c r="Q9" s="23">
        <v>-110</v>
      </c>
      <c r="R9" s="8">
        <f t="shared" si="0"/>
        <v>120</v>
      </c>
    </row>
    <row r="10" spans="1:18" x14ac:dyDescent="0.25">
      <c r="A10" s="24" t="s">
        <v>204</v>
      </c>
      <c r="B10" s="22"/>
      <c r="C10" s="23">
        <v>8</v>
      </c>
      <c r="D10" s="23"/>
      <c r="E10" s="23"/>
      <c r="F10" s="23"/>
      <c r="G10" s="23"/>
      <c r="H10" s="23"/>
      <c r="I10" s="23"/>
      <c r="J10" s="23"/>
      <c r="K10" s="23">
        <v>-8</v>
      </c>
      <c r="L10" s="23"/>
      <c r="M10" s="23"/>
      <c r="N10" s="23"/>
      <c r="O10" s="23"/>
      <c r="P10" s="23"/>
      <c r="Q10" s="23"/>
      <c r="R10" s="8">
        <f t="shared" si="0"/>
        <v>0</v>
      </c>
    </row>
    <row r="11" spans="1:18" x14ac:dyDescent="0.25">
      <c r="A11" s="24" t="s">
        <v>148</v>
      </c>
      <c r="B11" s="22"/>
      <c r="C11" s="23"/>
      <c r="D11" s="23"/>
      <c r="E11" s="23">
        <v>30</v>
      </c>
      <c r="F11" s="23"/>
      <c r="G11" s="23">
        <v>2</v>
      </c>
      <c r="H11" s="23"/>
      <c r="I11" s="23"/>
      <c r="J11" s="23">
        <v>24</v>
      </c>
      <c r="K11" s="23"/>
      <c r="L11" s="23"/>
      <c r="M11" s="23"/>
      <c r="N11" s="23">
        <v>6</v>
      </c>
      <c r="O11" s="23"/>
      <c r="P11" s="23"/>
      <c r="Q11" s="23">
        <v>-30</v>
      </c>
      <c r="R11" s="8">
        <f t="shared" si="0"/>
        <v>32</v>
      </c>
    </row>
    <row r="12" spans="1:18" x14ac:dyDescent="0.25">
      <c r="A12" s="24" t="s">
        <v>49</v>
      </c>
      <c r="B12" s="22"/>
      <c r="C12" s="23"/>
      <c r="D12" s="23"/>
      <c r="E12" s="23">
        <v>7</v>
      </c>
      <c r="F12" s="23"/>
      <c r="G12" s="23"/>
      <c r="H12" s="23"/>
      <c r="I12" s="23"/>
      <c r="J12" s="23"/>
      <c r="K12" s="23"/>
      <c r="L12" s="23"/>
      <c r="M12" s="23"/>
      <c r="N12" s="23">
        <v>1</v>
      </c>
      <c r="O12" s="23"/>
      <c r="P12" s="23"/>
      <c r="Q12" s="23">
        <v>-7</v>
      </c>
      <c r="R12" s="8">
        <f t="shared" si="0"/>
        <v>1</v>
      </c>
    </row>
    <row r="13" spans="1:18" x14ac:dyDescent="0.25">
      <c r="A13" s="24" t="s">
        <v>69</v>
      </c>
      <c r="B13" s="22"/>
      <c r="C13" s="23"/>
      <c r="D13" s="23"/>
      <c r="E13" s="23"/>
      <c r="F13" s="23"/>
      <c r="G13" s="23"/>
      <c r="H13" s="23"/>
      <c r="I13" s="23"/>
      <c r="J13" s="23">
        <v>1</v>
      </c>
      <c r="K13" s="23"/>
      <c r="L13" s="23"/>
      <c r="M13" s="23"/>
      <c r="N13" s="23"/>
      <c r="O13" s="23"/>
      <c r="P13" s="23"/>
      <c r="Q13" s="23"/>
      <c r="R13" s="8">
        <f t="shared" si="0"/>
        <v>1</v>
      </c>
    </row>
    <row r="14" spans="1:18" x14ac:dyDescent="0.25">
      <c r="A14" s="24" t="s">
        <v>205</v>
      </c>
      <c r="B14" s="22"/>
      <c r="C14" s="23"/>
      <c r="D14" s="23"/>
      <c r="E14" s="23">
        <v>35</v>
      </c>
      <c r="F14" s="23"/>
      <c r="G14" s="23"/>
      <c r="H14" s="23"/>
      <c r="I14" s="23"/>
      <c r="J14" s="23"/>
      <c r="K14" s="23"/>
      <c r="L14" s="23"/>
      <c r="M14" s="23"/>
      <c r="N14" s="23">
        <v>6</v>
      </c>
      <c r="O14" s="23"/>
      <c r="P14" s="23">
        <v>-34</v>
      </c>
      <c r="Q14" s="23">
        <v>-1</v>
      </c>
      <c r="R14" s="8">
        <f t="shared" si="0"/>
        <v>6</v>
      </c>
    </row>
    <row r="15" spans="1:18" x14ac:dyDescent="0.25">
      <c r="A15" s="24" t="s">
        <v>208</v>
      </c>
      <c r="B15" s="22"/>
      <c r="C15" s="23"/>
      <c r="D15" s="23"/>
      <c r="E15" s="23"/>
      <c r="F15" s="23"/>
      <c r="G15" s="23">
        <v>5</v>
      </c>
      <c r="H15" s="23"/>
      <c r="I15" s="23"/>
      <c r="J15" s="23"/>
      <c r="K15" s="23"/>
      <c r="L15" s="23"/>
      <c r="M15" s="23"/>
      <c r="N15" s="23"/>
      <c r="O15" s="23"/>
      <c r="P15" s="23">
        <v>-4</v>
      </c>
      <c r="Q15" s="23">
        <v>-1</v>
      </c>
      <c r="R15" s="8">
        <f t="shared" si="0"/>
        <v>0</v>
      </c>
    </row>
    <row r="16" spans="1:18" x14ac:dyDescent="0.25">
      <c r="A16" s="24" t="s">
        <v>206</v>
      </c>
      <c r="B16" s="22"/>
      <c r="C16" s="23"/>
      <c r="D16" s="23"/>
      <c r="E16" s="23"/>
      <c r="F16" s="23">
        <v>120</v>
      </c>
      <c r="G16" s="23">
        <v>16</v>
      </c>
      <c r="H16" s="23"/>
      <c r="I16" s="23"/>
      <c r="J16" s="23">
        <v>80</v>
      </c>
      <c r="K16" s="23"/>
      <c r="L16" s="23"/>
      <c r="M16" s="23"/>
      <c r="N16" s="23">
        <v>20</v>
      </c>
      <c r="O16" s="23">
        <v>-13</v>
      </c>
      <c r="P16" s="23">
        <v>-123</v>
      </c>
      <c r="Q16" s="23">
        <v>-13</v>
      </c>
      <c r="R16" s="8">
        <f t="shared" si="0"/>
        <v>87</v>
      </c>
    </row>
    <row r="17" spans="1:18" x14ac:dyDescent="0.25">
      <c r="A17" s="24" t="s">
        <v>188</v>
      </c>
      <c r="B17" s="22"/>
      <c r="C17" s="23"/>
      <c r="D17" s="23"/>
      <c r="E17" s="23"/>
      <c r="F17" s="23"/>
      <c r="G17" s="23"/>
      <c r="H17" s="23">
        <v>1</v>
      </c>
      <c r="I17" s="23"/>
      <c r="J17" s="23"/>
      <c r="K17" s="23"/>
      <c r="L17" s="23"/>
      <c r="M17" s="23">
        <v>-1</v>
      </c>
      <c r="N17" s="23"/>
      <c r="O17" s="23"/>
      <c r="P17" s="23"/>
      <c r="Q17" s="23"/>
      <c r="R17" s="8">
        <f t="shared" si="0"/>
        <v>0</v>
      </c>
    </row>
    <row r="18" spans="1:18" x14ac:dyDescent="0.25">
      <c r="A18" s="24" t="s">
        <v>39</v>
      </c>
      <c r="B18" s="22"/>
      <c r="C18" s="23"/>
      <c r="D18" s="23"/>
      <c r="E18" s="23"/>
      <c r="F18" s="23"/>
      <c r="G18" s="23"/>
      <c r="H18" s="23">
        <v>8</v>
      </c>
      <c r="I18" s="23"/>
      <c r="J18" s="23"/>
      <c r="K18" s="23"/>
      <c r="L18" s="23"/>
      <c r="M18" s="23">
        <v>-8</v>
      </c>
      <c r="N18" s="23"/>
      <c r="O18" s="23"/>
      <c r="P18" s="23"/>
      <c r="Q18" s="23"/>
      <c r="R18" s="8">
        <f t="shared" si="0"/>
        <v>0</v>
      </c>
    </row>
    <row r="19" spans="1:18" x14ac:dyDescent="0.25">
      <c r="A19" s="24" t="s">
        <v>201</v>
      </c>
      <c r="B19" s="22"/>
      <c r="C19" s="23"/>
      <c r="D19" s="23"/>
      <c r="E19" s="23"/>
      <c r="F19" s="23"/>
      <c r="G19" s="23"/>
      <c r="H19" s="23">
        <v>8</v>
      </c>
      <c r="I19" s="23"/>
      <c r="J19" s="23"/>
      <c r="K19" s="23"/>
      <c r="L19" s="23"/>
      <c r="M19" s="23">
        <v>-8</v>
      </c>
      <c r="N19" s="23"/>
      <c r="O19" s="23"/>
      <c r="P19" s="23"/>
      <c r="Q19" s="23"/>
      <c r="R19" s="8">
        <f t="shared" si="0"/>
        <v>0</v>
      </c>
    </row>
    <row r="20" spans="1:18" x14ac:dyDescent="0.25">
      <c r="A20" s="24" t="s">
        <v>209</v>
      </c>
      <c r="B20" s="22"/>
      <c r="C20" s="23"/>
      <c r="D20" s="23"/>
      <c r="E20" s="23"/>
      <c r="F20" s="23"/>
      <c r="G20" s="23"/>
      <c r="H20" s="23"/>
      <c r="I20" s="23">
        <v>1</v>
      </c>
      <c r="J20" s="23"/>
      <c r="K20" s="23"/>
      <c r="L20" s="23">
        <v>-1</v>
      </c>
      <c r="M20" s="23"/>
      <c r="N20" s="23"/>
      <c r="O20" s="23"/>
      <c r="P20" s="23"/>
      <c r="Q20" s="23"/>
      <c r="R20" s="8">
        <f t="shared" si="0"/>
        <v>0</v>
      </c>
    </row>
    <row r="21" spans="1:18" x14ac:dyDescent="0.25">
      <c r="A21" s="19" t="s">
        <v>15</v>
      </c>
      <c r="B21" s="63"/>
      <c r="C21" s="10">
        <v>0.44791666666666669</v>
      </c>
      <c r="D21" s="25"/>
      <c r="E21" s="10">
        <v>0.35416666666666669</v>
      </c>
      <c r="F21" s="10" t="s">
        <v>207</v>
      </c>
      <c r="G21" s="10">
        <v>0.16666666666666666</v>
      </c>
      <c r="H21" s="10">
        <v>0.10416666666666667</v>
      </c>
      <c r="I21" s="10">
        <v>0.16666666666666666</v>
      </c>
      <c r="J21" s="10">
        <v>0.4375</v>
      </c>
      <c r="K21" s="25">
        <v>0.41666666666666669</v>
      </c>
      <c r="L21" s="25">
        <v>0.46388888888888891</v>
      </c>
      <c r="M21" s="25">
        <v>0.42708333333333331</v>
      </c>
      <c r="N21" s="10" t="s">
        <v>212</v>
      </c>
      <c r="O21" s="25">
        <v>0.29166666666666669</v>
      </c>
      <c r="P21" s="25">
        <v>0.35416666666666669</v>
      </c>
      <c r="Q21" s="25">
        <v>0.10416666666666667</v>
      </c>
      <c r="R21" s="2"/>
    </row>
    <row r="22" spans="1:18" x14ac:dyDescent="0.25">
      <c r="A22" s="19" t="s">
        <v>16</v>
      </c>
      <c r="B22" s="85"/>
      <c r="C22" s="85" t="s">
        <v>181</v>
      </c>
      <c r="D22" s="26"/>
      <c r="E22" s="85" t="s">
        <v>181</v>
      </c>
      <c r="F22" s="85" t="s">
        <v>181</v>
      </c>
      <c r="G22" s="85" t="s">
        <v>181</v>
      </c>
      <c r="H22" s="85" t="s">
        <v>211</v>
      </c>
      <c r="I22" s="85" t="s">
        <v>181</v>
      </c>
      <c r="J22" s="85" t="s">
        <v>211</v>
      </c>
      <c r="K22" s="26" t="s">
        <v>181</v>
      </c>
      <c r="L22" s="26" t="s">
        <v>181</v>
      </c>
      <c r="M22" s="26" t="s">
        <v>181</v>
      </c>
      <c r="N22" s="26" t="s">
        <v>181</v>
      </c>
      <c r="O22" s="26" t="s">
        <v>181</v>
      </c>
      <c r="P22" s="26" t="s">
        <v>181</v>
      </c>
      <c r="Q22" s="26" t="s">
        <v>181</v>
      </c>
      <c r="R22" s="2"/>
    </row>
  </sheetData>
  <mergeCells count="3">
    <mergeCell ref="A1:R1"/>
    <mergeCell ref="A2:R2"/>
    <mergeCell ref="A3:R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E4D7-8D71-4E82-AF95-C8AC2058B82F}">
  <dimension ref="A1:G13"/>
  <sheetViews>
    <sheetView workbookViewId="0">
      <selection sqref="A1:G13"/>
    </sheetView>
  </sheetViews>
  <sheetFormatPr baseColWidth="10" defaultRowHeight="15" x14ac:dyDescent="0.25"/>
  <cols>
    <col min="1" max="1" width="29" bestFit="1" customWidth="1"/>
  </cols>
  <sheetData>
    <row r="1" spans="1:7" ht="18.75" x14ac:dyDescent="0.3">
      <c r="A1" s="126" t="s">
        <v>25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26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12816</v>
      </c>
      <c r="C4" s="3">
        <v>11621</v>
      </c>
      <c r="D4" s="3"/>
      <c r="E4" s="3"/>
      <c r="F4" s="3"/>
      <c r="G4" s="18" t="s">
        <v>3</v>
      </c>
    </row>
    <row r="5" spans="1:7" x14ac:dyDescent="0.25">
      <c r="A5" s="19"/>
      <c r="B5" s="4">
        <v>45838</v>
      </c>
      <c r="C5" s="4">
        <v>45843</v>
      </c>
      <c r="D5" s="4"/>
      <c r="E5" s="4"/>
      <c r="F5" s="4"/>
      <c r="G5" s="20">
        <v>45869</v>
      </c>
    </row>
    <row r="6" spans="1:7" x14ac:dyDescent="0.25">
      <c r="A6" s="21" t="s">
        <v>27</v>
      </c>
      <c r="B6" s="22">
        <v>16</v>
      </c>
      <c r="C6" s="23">
        <v>-16</v>
      </c>
      <c r="D6" s="23"/>
      <c r="E6" s="23"/>
      <c r="F6" s="23"/>
      <c r="G6" s="8">
        <f t="shared" ref="G6:G11" si="0">SUM(B6:F6)</f>
        <v>0</v>
      </c>
    </row>
    <row r="7" spans="1:7" x14ac:dyDescent="0.25">
      <c r="A7" s="24" t="s">
        <v>6</v>
      </c>
      <c r="B7" s="22">
        <v>16</v>
      </c>
      <c r="C7" s="23">
        <v>-16</v>
      </c>
      <c r="D7" s="23"/>
      <c r="E7" s="23"/>
      <c r="F7" s="23"/>
      <c r="G7" s="8">
        <f t="shared" si="0"/>
        <v>0</v>
      </c>
    </row>
    <row r="8" spans="1:7" x14ac:dyDescent="0.25">
      <c r="A8" s="24" t="s">
        <v>29</v>
      </c>
      <c r="B8" s="22">
        <v>32</v>
      </c>
      <c r="C8" s="23">
        <v>-32</v>
      </c>
      <c r="D8" s="23"/>
      <c r="E8" s="23"/>
      <c r="F8" s="23"/>
      <c r="G8" s="8">
        <f t="shared" si="0"/>
        <v>0</v>
      </c>
    </row>
    <row r="9" spans="1:7" x14ac:dyDescent="0.25">
      <c r="A9" s="24" t="s">
        <v>30</v>
      </c>
      <c r="B9" s="22">
        <v>16</v>
      </c>
      <c r="C9" s="23">
        <v>-16</v>
      </c>
      <c r="D9" s="23"/>
      <c r="E9" s="23"/>
      <c r="F9" s="23"/>
      <c r="G9" s="8">
        <f t="shared" si="0"/>
        <v>0</v>
      </c>
    </row>
    <row r="10" spans="1:7" x14ac:dyDescent="0.25">
      <c r="A10" s="24" t="s">
        <v>31</v>
      </c>
      <c r="B10" s="22">
        <v>348</v>
      </c>
      <c r="C10" s="23">
        <v>-348</v>
      </c>
      <c r="D10" s="23"/>
      <c r="E10" s="23"/>
      <c r="F10" s="23"/>
      <c r="G10" s="8">
        <f t="shared" si="0"/>
        <v>0</v>
      </c>
    </row>
    <row r="11" spans="1:7" x14ac:dyDescent="0.25">
      <c r="A11" s="24" t="s">
        <v>32</v>
      </c>
      <c r="B11" s="22">
        <v>2</v>
      </c>
      <c r="C11" s="23">
        <v>-2</v>
      </c>
      <c r="D11" s="23"/>
      <c r="E11" s="23"/>
      <c r="F11" s="23"/>
      <c r="G11" s="8">
        <f t="shared" si="0"/>
        <v>0</v>
      </c>
    </row>
    <row r="12" spans="1:7" x14ac:dyDescent="0.25">
      <c r="A12" s="19" t="s">
        <v>15</v>
      </c>
      <c r="B12" s="11">
        <v>0.3125</v>
      </c>
      <c r="C12" s="25">
        <v>0.45833333333333331</v>
      </c>
      <c r="D12" s="25"/>
      <c r="E12" s="25"/>
      <c r="F12" s="25"/>
      <c r="G12" s="2"/>
    </row>
    <row r="13" spans="1:7" x14ac:dyDescent="0.25">
      <c r="A13" s="19" t="s">
        <v>16</v>
      </c>
      <c r="B13" s="26">
        <v>30000</v>
      </c>
      <c r="C13" s="26">
        <v>30000</v>
      </c>
      <c r="D13" s="26"/>
      <c r="E13" s="26"/>
      <c r="F13" s="26"/>
      <c r="G13" s="2"/>
    </row>
  </sheetData>
  <mergeCells count="3">
    <mergeCell ref="A1:G1"/>
    <mergeCell ref="A2:G2"/>
    <mergeCell ref="A3:G3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15C5-5434-4F26-9A83-662164303B35}">
  <dimension ref="A1:G16"/>
  <sheetViews>
    <sheetView workbookViewId="0">
      <selection activeCell="E9" sqref="E9"/>
    </sheetView>
  </sheetViews>
  <sheetFormatPr baseColWidth="10" defaultRowHeight="15" x14ac:dyDescent="0.25"/>
  <cols>
    <col min="1" max="1" width="41.140625" customWidth="1"/>
  </cols>
  <sheetData>
    <row r="1" spans="1:7" ht="18.75" x14ac:dyDescent="0.3">
      <c r="A1" s="126" t="s">
        <v>338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339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12882</v>
      </c>
      <c r="C4" s="3">
        <v>12884</v>
      </c>
      <c r="D4" s="3"/>
      <c r="E4" s="3"/>
      <c r="F4" s="3"/>
      <c r="G4" s="18" t="s">
        <v>3</v>
      </c>
    </row>
    <row r="5" spans="1:7" x14ac:dyDescent="0.25">
      <c r="A5" s="19"/>
      <c r="B5" s="4">
        <v>45862</v>
      </c>
      <c r="C5" s="4">
        <v>45862</v>
      </c>
      <c r="D5" s="4"/>
      <c r="E5" s="4"/>
      <c r="F5" s="4"/>
      <c r="G5" s="20">
        <v>45869</v>
      </c>
    </row>
    <row r="6" spans="1:7" x14ac:dyDescent="0.25">
      <c r="A6" s="21" t="s">
        <v>148</v>
      </c>
      <c r="B6" s="22">
        <v>12</v>
      </c>
      <c r="C6" s="23"/>
      <c r="D6" s="23"/>
      <c r="E6" s="23"/>
      <c r="F6" s="23"/>
      <c r="G6" s="8">
        <f t="shared" ref="G6:G14" si="0">SUM(B6:F6)</f>
        <v>12</v>
      </c>
    </row>
    <row r="7" spans="1:7" x14ac:dyDescent="0.25">
      <c r="A7" s="24" t="s">
        <v>49</v>
      </c>
      <c r="B7" s="22">
        <v>6</v>
      </c>
      <c r="C7" s="23"/>
      <c r="D7" s="23"/>
      <c r="E7" s="23"/>
      <c r="F7" s="23"/>
      <c r="G7" s="8">
        <f t="shared" si="0"/>
        <v>6</v>
      </c>
    </row>
    <row r="8" spans="1:7" x14ac:dyDescent="0.25">
      <c r="A8" s="24" t="s">
        <v>296</v>
      </c>
      <c r="B8" s="22">
        <v>3</v>
      </c>
      <c r="C8" s="23"/>
      <c r="D8" s="23"/>
      <c r="E8" s="23"/>
      <c r="F8" s="23"/>
      <c r="G8" s="8">
        <f t="shared" si="0"/>
        <v>3</v>
      </c>
    </row>
    <row r="9" spans="1:7" x14ac:dyDescent="0.25">
      <c r="A9" s="24" t="s">
        <v>30</v>
      </c>
      <c r="B9" s="22">
        <v>50</v>
      </c>
      <c r="C9" s="23"/>
      <c r="D9" s="23"/>
      <c r="E9" s="23"/>
      <c r="F9" s="23"/>
      <c r="G9" s="8">
        <f t="shared" si="0"/>
        <v>50</v>
      </c>
    </row>
    <row r="10" spans="1:7" x14ac:dyDescent="0.25">
      <c r="A10" s="24" t="s">
        <v>134</v>
      </c>
      <c r="B10" s="22">
        <v>26</v>
      </c>
      <c r="C10" s="23">
        <v>54</v>
      </c>
      <c r="D10" s="23"/>
      <c r="E10" s="23"/>
      <c r="F10" s="23"/>
      <c r="G10" s="8">
        <f t="shared" si="0"/>
        <v>80</v>
      </c>
    </row>
    <row r="11" spans="1:7" x14ac:dyDescent="0.25">
      <c r="A11" s="24" t="s">
        <v>36</v>
      </c>
      <c r="B11" s="22"/>
      <c r="C11" s="23">
        <v>20</v>
      </c>
      <c r="D11" s="23"/>
      <c r="E11" s="23"/>
      <c r="F11" s="23"/>
      <c r="G11" s="8">
        <f t="shared" si="0"/>
        <v>20</v>
      </c>
    </row>
    <row r="12" spans="1:7" x14ac:dyDescent="0.25">
      <c r="A12" s="24" t="s">
        <v>79</v>
      </c>
      <c r="B12" s="22"/>
      <c r="C12" s="23">
        <v>20</v>
      </c>
      <c r="D12" s="23"/>
      <c r="E12" s="23"/>
      <c r="F12" s="23"/>
      <c r="G12" s="8">
        <f t="shared" si="0"/>
        <v>20</v>
      </c>
    </row>
    <row r="13" spans="1:7" x14ac:dyDescent="0.25">
      <c r="A13" s="24" t="s">
        <v>31</v>
      </c>
      <c r="B13" s="22"/>
      <c r="C13" s="23">
        <v>400</v>
      </c>
      <c r="D13" s="23"/>
      <c r="E13" s="23"/>
      <c r="F13" s="23"/>
      <c r="G13" s="8">
        <f t="shared" si="0"/>
        <v>400</v>
      </c>
    </row>
    <row r="14" spans="1:7" x14ac:dyDescent="0.25">
      <c r="A14" s="24" t="s">
        <v>32</v>
      </c>
      <c r="B14" s="22"/>
      <c r="C14" s="23">
        <v>2</v>
      </c>
      <c r="D14" s="23"/>
      <c r="E14" s="23"/>
      <c r="F14" s="23"/>
      <c r="G14" s="8">
        <f t="shared" si="0"/>
        <v>2</v>
      </c>
    </row>
    <row r="15" spans="1:7" x14ac:dyDescent="0.25">
      <c r="A15" s="19" t="s">
        <v>15</v>
      </c>
      <c r="B15" s="11">
        <v>0.29166666666666669</v>
      </c>
      <c r="C15" s="25">
        <v>0.45833333333333331</v>
      </c>
      <c r="D15" s="25"/>
      <c r="E15" s="25"/>
      <c r="F15" s="25"/>
      <c r="G15" s="2"/>
    </row>
    <row r="16" spans="1:7" x14ac:dyDescent="0.25">
      <c r="A16" s="19" t="s">
        <v>16</v>
      </c>
      <c r="B16" s="26">
        <v>40000</v>
      </c>
      <c r="C16" s="26">
        <v>40000</v>
      </c>
      <c r="D16" s="26"/>
      <c r="E16" s="26"/>
      <c r="F16" s="26"/>
      <c r="G16" s="2"/>
    </row>
  </sheetData>
  <mergeCells count="3">
    <mergeCell ref="A1:G1"/>
    <mergeCell ref="A2:G2"/>
    <mergeCell ref="A3:G3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EAD4-F786-4E5C-B9A7-06E903EE013C}">
  <dimension ref="A1:F14"/>
  <sheetViews>
    <sheetView workbookViewId="0">
      <selection activeCell="E19" sqref="E19"/>
    </sheetView>
  </sheetViews>
  <sheetFormatPr baseColWidth="10" defaultRowHeight="15" x14ac:dyDescent="0.25"/>
  <cols>
    <col min="1" max="1" width="25.28515625" customWidth="1"/>
    <col min="2" max="2" width="14.140625" customWidth="1"/>
    <col min="3" max="3" width="15.140625" customWidth="1"/>
    <col min="4" max="4" width="14.28515625" customWidth="1"/>
    <col min="5" max="5" width="12.5703125" customWidth="1"/>
    <col min="6" max="6" width="15.28515625" customWidth="1"/>
  </cols>
  <sheetData>
    <row r="1" spans="1:6" ht="18.75" x14ac:dyDescent="0.3">
      <c r="A1" s="126" t="s">
        <v>400</v>
      </c>
      <c r="B1" s="127"/>
      <c r="C1" s="127"/>
      <c r="D1" s="127"/>
      <c r="E1" s="127"/>
      <c r="F1" s="153"/>
    </row>
    <row r="2" spans="1:6" ht="18.75" x14ac:dyDescent="0.3">
      <c r="A2" s="128" t="s">
        <v>248</v>
      </c>
      <c r="B2" s="120"/>
      <c r="C2" s="120"/>
      <c r="D2" s="120"/>
      <c r="E2" s="120"/>
      <c r="F2" s="152"/>
    </row>
    <row r="3" spans="1:6" ht="18.75" x14ac:dyDescent="0.3">
      <c r="A3" s="128" t="s">
        <v>19</v>
      </c>
      <c r="B3" s="120"/>
      <c r="C3" s="120"/>
      <c r="D3" s="120"/>
      <c r="E3" s="120"/>
      <c r="F3" s="120"/>
    </row>
    <row r="4" spans="1:6" x14ac:dyDescent="0.25">
      <c r="A4" s="17" t="s">
        <v>2</v>
      </c>
      <c r="B4" s="3">
        <v>12900</v>
      </c>
      <c r="C4" s="3"/>
      <c r="D4" s="3"/>
      <c r="E4" s="3"/>
      <c r="F4" s="18" t="s">
        <v>3</v>
      </c>
    </row>
    <row r="5" spans="1:6" x14ac:dyDescent="0.25">
      <c r="A5" s="19"/>
      <c r="B5" s="4">
        <v>45869</v>
      </c>
      <c r="C5" s="25"/>
      <c r="D5" s="4"/>
      <c r="E5" s="4"/>
      <c r="F5" s="20">
        <v>45869</v>
      </c>
    </row>
    <row r="6" spans="1:6" x14ac:dyDescent="0.25">
      <c r="A6" s="21" t="s">
        <v>79</v>
      </c>
      <c r="B6" s="22">
        <v>32</v>
      </c>
      <c r="C6" s="23"/>
      <c r="D6" s="23"/>
      <c r="E6" s="23"/>
      <c r="F6" s="8">
        <f t="shared" ref="F6:F11" si="0">SUM(B6:E6)</f>
        <v>32</v>
      </c>
    </row>
    <row r="7" spans="1:6" x14ac:dyDescent="0.25">
      <c r="A7" s="24" t="s">
        <v>354</v>
      </c>
      <c r="B7" s="22">
        <v>16</v>
      </c>
      <c r="C7" s="23"/>
      <c r="D7" s="23"/>
      <c r="E7" s="23"/>
      <c r="F7" s="8">
        <f t="shared" si="0"/>
        <v>16</v>
      </c>
    </row>
    <row r="8" spans="1:6" x14ac:dyDescent="0.25">
      <c r="A8" s="24" t="s">
        <v>80</v>
      </c>
      <c r="B8" s="22">
        <v>16</v>
      </c>
      <c r="C8" s="23"/>
      <c r="D8" s="23"/>
      <c r="E8" s="23"/>
      <c r="F8" s="8">
        <f t="shared" si="0"/>
        <v>16</v>
      </c>
    </row>
    <row r="9" spans="1:6" x14ac:dyDescent="0.25">
      <c r="A9" s="24" t="s">
        <v>62</v>
      </c>
      <c r="B9" s="22">
        <v>32</v>
      </c>
      <c r="C9" s="23"/>
      <c r="D9" s="23"/>
      <c r="E9" s="23"/>
      <c r="F9" s="8">
        <f t="shared" si="0"/>
        <v>32</v>
      </c>
    </row>
    <row r="10" spans="1:6" x14ac:dyDescent="0.25">
      <c r="A10" s="24" t="s">
        <v>31</v>
      </c>
      <c r="B10" s="22">
        <v>400</v>
      </c>
      <c r="C10" s="23"/>
      <c r="D10" s="23"/>
      <c r="E10" s="23"/>
      <c r="F10" s="8">
        <f t="shared" si="0"/>
        <v>400</v>
      </c>
    </row>
    <row r="11" spans="1:6" x14ac:dyDescent="0.25">
      <c r="A11" s="24" t="s">
        <v>246</v>
      </c>
      <c r="B11" s="22">
        <v>2</v>
      </c>
      <c r="C11" s="23"/>
      <c r="D11" s="23"/>
      <c r="E11" s="23"/>
      <c r="F11" s="8">
        <f t="shared" si="0"/>
        <v>2</v>
      </c>
    </row>
    <row r="12" spans="1:6" x14ac:dyDescent="0.25">
      <c r="A12" s="19" t="s">
        <v>15</v>
      </c>
      <c r="B12" s="11">
        <v>0.29166666666666669</v>
      </c>
      <c r="C12" s="25"/>
      <c r="D12" s="25"/>
      <c r="E12" s="25"/>
      <c r="F12" s="2"/>
    </row>
    <row r="13" spans="1:6" x14ac:dyDescent="0.25">
      <c r="A13" s="19" t="s">
        <v>16</v>
      </c>
      <c r="B13" s="26">
        <v>40000</v>
      </c>
      <c r="C13" s="26"/>
      <c r="D13" s="26"/>
      <c r="E13" s="26"/>
      <c r="F13" s="2"/>
    </row>
    <row r="14" spans="1:6" x14ac:dyDescent="0.25">
      <c r="A14" s="115" t="s">
        <v>401</v>
      </c>
    </row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1603-DFFF-4E8C-8DCE-B8227B8448EB}">
  <dimension ref="A1:F12"/>
  <sheetViews>
    <sheetView workbookViewId="0">
      <selection activeCell="B5" sqref="B5"/>
    </sheetView>
  </sheetViews>
  <sheetFormatPr baseColWidth="10" defaultRowHeight="15" x14ac:dyDescent="0.25"/>
  <cols>
    <col min="1" max="1" width="26.7109375" customWidth="1"/>
  </cols>
  <sheetData>
    <row r="1" spans="1:6" ht="18.75" x14ac:dyDescent="0.3">
      <c r="A1" s="126" t="s">
        <v>402</v>
      </c>
      <c r="B1" s="127"/>
      <c r="C1" s="127"/>
      <c r="D1" s="127"/>
      <c r="E1" s="127"/>
      <c r="F1" s="153"/>
    </row>
    <row r="2" spans="1:6" ht="18.75" x14ac:dyDescent="0.3">
      <c r="A2" s="128" t="s">
        <v>403</v>
      </c>
      <c r="B2" s="120"/>
      <c r="C2" s="120"/>
      <c r="D2" s="120"/>
      <c r="E2" s="120"/>
      <c r="F2" s="152"/>
    </row>
    <row r="3" spans="1:6" ht="18.75" x14ac:dyDescent="0.3">
      <c r="A3" s="128" t="s">
        <v>19</v>
      </c>
      <c r="B3" s="120"/>
      <c r="C3" s="120"/>
      <c r="D3" s="120"/>
      <c r="E3" s="120"/>
      <c r="F3" s="120"/>
    </row>
    <row r="4" spans="1:6" x14ac:dyDescent="0.25">
      <c r="A4" s="17" t="s">
        <v>2</v>
      </c>
      <c r="B4" s="3">
        <v>12903</v>
      </c>
      <c r="C4" s="3"/>
      <c r="D4" s="3"/>
      <c r="E4" s="3"/>
      <c r="F4" s="18" t="s">
        <v>3</v>
      </c>
    </row>
    <row r="5" spans="1:6" x14ac:dyDescent="0.25">
      <c r="A5" s="19"/>
      <c r="B5" s="4">
        <v>45869</v>
      </c>
      <c r="C5" s="4"/>
      <c r="D5" s="4"/>
      <c r="E5" s="4"/>
      <c r="F5" s="20">
        <v>45869</v>
      </c>
    </row>
    <row r="6" spans="1:6" x14ac:dyDescent="0.25">
      <c r="A6" s="21" t="s">
        <v>36</v>
      </c>
      <c r="B6" s="22">
        <v>16</v>
      </c>
      <c r="C6" s="23"/>
      <c r="D6" s="23"/>
      <c r="E6" s="23"/>
      <c r="F6" s="8">
        <f>SUM(B6:E6)</f>
        <v>16</v>
      </c>
    </row>
    <row r="7" spans="1:6" x14ac:dyDescent="0.25">
      <c r="A7" s="24" t="s">
        <v>30</v>
      </c>
      <c r="B7" s="22">
        <v>8</v>
      </c>
      <c r="C7" s="23"/>
      <c r="D7" s="23"/>
      <c r="E7" s="23"/>
      <c r="F7" s="8">
        <f>SUM(B7:E7)</f>
        <v>8</v>
      </c>
    </row>
    <row r="8" spans="1:6" x14ac:dyDescent="0.25">
      <c r="A8" s="24" t="s">
        <v>404</v>
      </c>
      <c r="B8" s="22">
        <v>8</v>
      </c>
      <c r="C8" s="23"/>
      <c r="D8" s="23"/>
      <c r="E8" s="23"/>
      <c r="F8" s="8">
        <f>SUM(B8:E8)</f>
        <v>8</v>
      </c>
    </row>
    <row r="9" spans="1:6" x14ac:dyDescent="0.25">
      <c r="A9" s="24" t="s">
        <v>141</v>
      </c>
      <c r="B9" s="22">
        <v>130</v>
      </c>
      <c r="C9" s="23"/>
      <c r="D9" s="23"/>
      <c r="E9" s="23"/>
      <c r="F9" s="8">
        <f>SUM(B9:E9)</f>
        <v>130</v>
      </c>
    </row>
    <row r="10" spans="1:6" x14ac:dyDescent="0.25">
      <c r="A10" s="24"/>
      <c r="B10" s="22"/>
      <c r="C10" s="23"/>
      <c r="D10" s="23"/>
      <c r="E10" s="23"/>
      <c r="F10" s="8"/>
    </row>
    <row r="11" spans="1:6" x14ac:dyDescent="0.25">
      <c r="A11" s="19" t="s">
        <v>15</v>
      </c>
      <c r="B11" s="11">
        <v>7.2916666666666671E-2</v>
      </c>
      <c r="C11" s="25"/>
      <c r="D11" s="25"/>
      <c r="E11" s="25"/>
      <c r="F11" s="2"/>
    </row>
    <row r="12" spans="1:6" x14ac:dyDescent="0.25">
      <c r="A12" s="19" t="s">
        <v>16</v>
      </c>
      <c r="B12" s="26">
        <v>30000</v>
      </c>
      <c r="C12" s="26"/>
      <c r="D12" s="26"/>
      <c r="E12" s="26"/>
      <c r="F12" s="2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AD7C-1BC5-4228-AB71-0E801059B109}">
  <dimension ref="A1:N13"/>
  <sheetViews>
    <sheetView workbookViewId="0">
      <selection activeCell="J9" sqref="J9"/>
    </sheetView>
  </sheetViews>
  <sheetFormatPr baseColWidth="10" defaultRowHeight="15" x14ac:dyDescent="0.25"/>
  <cols>
    <col min="1" max="1" width="24.85546875" customWidth="1"/>
  </cols>
  <sheetData>
    <row r="1" spans="1:14" ht="18.75" x14ac:dyDescent="0.3">
      <c r="A1" s="126" t="s">
        <v>247</v>
      </c>
      <c r="B1" s="127"/>
      <c r="C1" s="127"/>
      <c r="D1" s="127"/>
      <c r="E1" s="127"/>
      <c r="F1" s="127"/>
      <c r="G1" s="153"/>
    </row>
    <row r="2" spans="1:14" ht="18.75" x14ac:dyDescent="0.3">
      <c r="A2" s="128" t="s">
        <v>248</v>
      </c>
      <c r="B2" s="120"/>
      <c r="C2" s="120"/>
      <c r="D2" s="120"/>
      <c r="E2" s="120"/>
      <c r="F2" s="120"/>
      <c r="G2" s="152"/>
    </row>
    <row r="3" spans="1:14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14" x14ac:dyDescent="0.25">
      <c r="A4" s="17" t="s">
        <v>2</v>
      </c>
      <c r="B4" s="3">
        <v>12853</v>
      </c>
      <c r="C4" s="3">
        <v>11649</v>
      </c>
      <c r="D4" s="3"/>
      <c r="E4" s="3"/>
      <c r="F4" s="3"/>
      <c r="G4" s="18" t="s">
        <v>3</v>
      </c>
    </row>
    <row r="5" spans="1:14" x14ac:dyDescent="0.25">
      <c r="A5" s="19"/>
      <c r="B5" s="4">
        <v>45853</v>
      </c>
      <c r="C5" s="4">
        <v>45856</v>
      </c>
      <c r="D5" s="4"/>
      <c r="E5" s="4"/>
      <c r="F5" s="4"/>
      <c r="G5" s="20">
        <v>45869</v>
      </c>
    </row>
    <row r="6" spans="1:14" x14ac:dyDescent="0.25">
      <c r="A6" s="21" t="s">
        <v>36</v>
      </c>
      <c r="B6" s="22">
        <v>32</v>
      </c>
      <c r="C6" s="23">
        <v>-32</v>
      </c>
      <c r="D6" s="23"/>
      <c r="E6" s="23"/>
      <c r="F6" s="23"/>
      <c r="G6" s="8">
        <f t="shared" ref="G6:G13" si="0">SUM(B6:F6)</f>
        <v>0</v>
      </c>
    </row>
    <row r="7" spans="1:14" x14ac:dyDescent="0.25">
      <c r="A7" s="24" t="s">
        <v>80</v>
      </c>
      <c r="B7" s="22">
        <v>16</v>
      </c>
      <c r="C7" s="23">
        <v>-16</v>
      </c>
      <c r="D7" s="23"/>
      <c r="E7" s="23"/>
      <c r="F7" s="23"/>
      <c r="G7" s="8">
        <f t="shared" si="0"/>
        <v>0</v>
      </c>
    </row>
    <row r="8" spans="1:14" x14ac:dyDescent="0.25">
      <c r="A8" s="24" t="s">
        <v>62</v>
      </c>
      <c r="B8" s="22">
        <v>32</v>
      </c>
      <c r="C8" s="23">
        <v>-32</v>
      </c>
      <c r="D8" s="23"/>
      <c r="E8" s="23"/>
      <c r="F8" s="23"/>
      <c r="G8" s="8">
        <f>SUM(B8:F8)</f>
        <v>0</v>
      </c>
    </row>
    <row r="9" spans="1:14" x14ac:dyDescent="0.25">
      <c r="A9" s="24" t="s">
        <v>30</v>
      </c>
      <c r="B9" s="22">
        <v>16</v>
      </c>
      <c r="C9" s="23">
        <v>-16</v>
      </c>
      <c r="D9" s="23"/>
      <c r="E9" s="23"/>
      <c r="F9" s="23"/>
      <c r="G9" s="8">
        <f t="shared" si="0"/>
        <v>0</v>
      </c>
    </row>
    <row r="10" spans="1:14" x14ac:dyDescent="0.25">
      <c r="A10" s="24" t="s">
        <v>31</v>
      </c>
      <c r="B10" s="22">
        <v>400</v>
      </c>
      <c r="C10" s="23">
        <v>-400</v>
      </c>
      <c r="D10" s="23"/>
      <c r="E10" s="23"/>
      <c r="F10" s="23"/>
      <c r="G10" s="8">
        <f t="shared" si="0"/>
        <v>0</v>
      </c>
    </row>
    <row r="11" spans="1:14" x14ac:dyDescent="0.25">
      <c r="A11" s="24" t="s">
        <v>32</v>
      </c>
      <c r="B11" s="22">
        <v>2</v>
      </c>
      <c r="C11" s="23">
        <v>-2</v>
      </c>
      <c r="D11" s="23"/>
      <c r="E11" s="23"/>
      <c r="F11" s="23"/>
      <c r="G11" s="8">
        <f t="shared" si="0"/>
        <v>0</v>
      </c>
      <c r="N11" t="s">
        <v>249</v>
      </c>
    </row>
    <row r="12" spans="1:14" x14ac:dyDescent="0.25">
      <c r="A12" s="19" t="s">
        <v>15</v>
      </c>
      <c r="B12" s="11">
        <v>0.29166666666666669</v>
      </c>
      <c r="C12" s="25">
        <v>0.47916666666666669</v>
      </c>
      <c r="D12" s="25"/>
      <c r="E12" s="25"/>
      <c r="F12" s="25"/>
      <c r="G12" s="2"/>
    </row>
    <row r="13" spans="1:14" x14ac:dyDescent="0.25">
      <c r="A13" s="19" t="s">
        <v>16</v>
      </c>
      <c r="B13" s="26">
        <v>30000</v>
      </c>
      <c r="C13" s="26">
        <v>30000</v>
      </c>
      <c r="D13" s="26"/>
      <c r="E13" s="26"/>
      <c r="F13" s="26"/>
      <c r="G13" s="2">
        <f t="shared" si="0"/>
        <v>60000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F9B1-D243-41E6-853A-0D0BB457616A}">
  <dimension ref="A1:G10"/>
  <sheetViews>
    <sheetView workbookViewId="0">
      <selection activeCell="C11" sqref="C11"/>
    </sheetView>
  </sheetViews>
  <sheetFormatPr baseColWidth="10" defaultRowHeight="15" x14ac:dyDescent="0.25"/>
  <cols>
    <col min="1" max="1" width="31" customWidth="1"/>
  </cols>
  <sheetData>
    <row r="1" spans="1:7" ht="18.75" x14ac:dyDescent="0.3">
      <c r="A1" s="126" t="s">
        <v>416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417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12874</v>
      </c>
      <c r="C4" s="3">
        <v>11656</v>
      </c>
      <c r="D4" s="3"/>
      <c r="E4" s="3"/>
      <c r="F4" s="3"/>
      <c r="G4" s="18" t="s">
        <v>3</v>
      </c>
    </row>
    <row r="5" spans="1:7" x14ac:dyDescent="0.25">
      <c r="A5" s="19"/>
      <c r="B5" s="4">
        <v>45865</v>
      </c>
      <c r="C5" s="4">
        <v>45860</v>
      </c>
      <c r="D5" s="4"/>
      <c r="E5" s="4"/>
      <c r="F5" s="4"/>
      <c r="G5" s="20">
        <v>45869</v>
      </c>
    </row>
    <row r="6" spans="1:7" x14ac:dyDescent="0.25">
      <c r="A6" s="21" t="s">
        <v>418</v>
      </c>
      <c r="B6" s="22">
        <v>8</v>
      </c>
      <c r="C6" s="23">
        <v>-8</v>
      </c>
      <c r="D6" s="23"/>
      <c r="E6" s="23"/>
      <c r="F6" s="23"/>
      <c r="G6" s="8">
        <f t="shared" ref="G6:G10" si="0">SUM(B6:F6)</f>
        <v>0</v>
      </c>
    </row>
    <row r="7" spans="1:7" x14ac:dyDescent="0.25">
      <c r="A7" s="24" t="s">
        <v>419</v>
      </c>
      <c r="B7" s="22">
        <v>8</v>
      </c>
      <c r="C7" s="23">
        <v>-8</v>
      </c>
      <c r="D7" s="23"/>
      <c r="E7" s="23"/>
      <c r="F7" s="23"/>
      <c r="G7" s="8">
        <f t="shared" si="0"/>
        <v>0</v>
      </c>
    </row>
    <row r="8" spans="1:7" x14ac:dyDescent="0.25">
      <c r="A8" s="24" t="s">
        <v>420</v>
      </c>
      <c r="B8" s="22">
        <v>3</v>
      </c>
      <c r="C8" s="23">
        <v>-3</v>
      </c>
      <c r="D8" s="23"/>
      <c r="E8" s="23"/>
      <c r="F8" s="23"/>
      <c r="G8" s="8">
        <f>SUM(B8:F8)</f>
        <v>0</v>
      </c>
    </row>
    <row r="9" spans="1:7" x14ac:dyDescent="0.25">
      <c r="A9" s="19" t="s">
        <v>15</v>
      </c>
      <c r="B9" s="11">
        <v>0.2986111111111111</v>
      </c>
      <c r="C9" s="25">
        <v>0.41666666666666669</v>
      </c>
      <c r="D9" s="25"/>
      <c r="E9" s="25"/>
      <c r="F9" s="25"/>
      <c r="G9" s="2"/>
    </row>
    <row r="10" spans="1:7" x14ac:dyDescent="0.25">
      <c r="A10" s="19" t="s">
        <v>16</v>
      </c>
      <c r="B10" s="26">
        <v>7500</v>
      </c>
      <c r="C10" s="26">
        <v>7500</v>
      </c>
      <c r="D10" s="26"/>
      <c r="E10" s="26"/>
      <c r="F10" s="26"/>
      <c r="G10" s="2">
        <f t="shared" si="0"/>
        <v>15000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69AA-8A38-4375-8097-B081FC214BA3}">
  <dimension ref="A1:G13"/>
  <sheetViews>
    <sheetView workbookViewId="0">
      <selection activeCell="B19" sqref="B19"/>
    </sheetView>
  </sheetViews>
  <sheetFormatPr baseColWidth="10" defaultRowHeight="15" x14ac:dyDescent="0.25"/>
  <cols>
    <col min="1" max="1" width="31.85546875" bestFit="1" customWidth="1"/>
  </cols>
  <sheetData>
    <row r="1" spans="1:7" ht="18.75" x14ac:dyDescent="0.3">
      <c r="A1" s="126" t="s">
        <v>279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280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12863</v>
      </c>
      <c r="C4" s="3">
        <v>12864</v>
      </c>
      <c r="D4" s="3">
        <v>11650</v>
      </c>
      <c r="E4" s="3"/>
      <c r="F4" s="3"/>
      <c r="G4" s="18" t="s">
        <v>3</v>
      </c>
    </row>
    <row r="5" spans="1:7" x14ac:dyDescent="0.25">
      <c r="A5" s="19"/>
      <c r="B5" s="4">
        <v>45854</v>
      </c>
      <c r="C5" s="4">
        <v>45855</v>
      </c>
      <c r="D5" s="4">
        <v>45856</v>
      </c>
      <c r="E5" s="4"/>
      <c r="F5" s="4"/>
      <c r="G5" s="20">
        <v>45869</v>
      </c>
    </row>
    <row r="6" spans="1:7" x14ac:dyDescent="0.25">
      <c r="A6" s="21" t="s">
        <v>281</v>
      </c>
      <c r="B6" s="22">
        <v>2</v>
      </c>
      <c r="C6" s="23">
        <v>2</v>
      </c>
      <c r="D6" s="23">
        <v>-4</v>
      </c>
      <c r="E6" s="23"/>
      <c r="F6" s="23"/>
      <c r="G6" s="8">
        <f t="shared" ref="G6:G7" si="0">SUM(B6:F6)</f>
        <v>0</v>
      </c>
    </row>
    <row r="7" spans="1:7" x14ac:dyDescent="0.25">
      <c r="A7" s="24" t="s">
        <v>282</v>
      </c>
      <c r="B7" s="22">
        <v>2</v>
      </c>
      <c r="C7" s="23">
        <v>2</v>
      </c>
      <c r="D7" s="23">
        <v>-4</v>
      </c>
      <c r="E7" s="23"/>
      <c r="F7" s="23"/>
      <c r="G7" s="8">
        <f t="shared" si="0"/>
        <v>0</v>
      </c>
    </row>
    <row r="8" spans="1:7" x14ac:dyDescent="0.25">
      <c r="A8" s="24" t="s">
        <v>283</v>
      </c>
      <c r="B8" s="22">
        <v>2</v>
      </c>
      <c r="C8" s="23"/>
      <c r="D8" s="23">
        <v>-2</v>
      </c>
      <c r="E8" s="23"/>
      <c r="F8" s="23"/>
      <c r="G8" s="8">
        <f>SUM(B8:F8)</f>
        <v>0</v>
      </c>
    </row>
    <row r="9" spans="1:7" x14ac:dyDescent="0.25">
      <c r="A9" s="19" t="s">
        <v>15</v>
      </c>
      <c r="B9" s="11" t="s">
        <v>284</v>
      </c>
      <c r="C9" s="25">
        <v>0.29166666666666669</v>
      </c>
      <c r="D9" s="25">
        <v>0.13194444444444445</v>
      </c>
      <c r="E9" s="25"/>
      <c r="F9" s="25"/>
      <c r="G9" s="2"/>
    </row>
    <row r="10" spans="1:7" x14ac:dyDescent="0.25">
      <c r="A10" s="19" t="s">
        <v>16</v>
      </c>
      <c r="B10" s="26" t="s">
        <v>286</v>
      </c>
      <c r="C10" s="26" t="s">
        <v>24</v>
      </c>
      <c r="D10" s="26" t="s">
        <v>286</v>
      </c>
      <c r="E10" s="26"/>
      <c r="F10" s="26"/>
      <c r="G10" s="2"/>
    </row>
    <row r="11" spans="1:7" ht="21" x14ac:dyDescent="0.35">
      <c r="A11" s="89" t="s">
        <v>285</v>
      </c>
    </row>
    <row r="13" spans="1:7" x14ac:dyDescent="0.25">
      <c r="D13" t="s">
        <v>294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59C5-0FF2-4689-A118-37EB6B24A742}">
  <dimension ref="A1:G11"/>
  <sheetViews>
    <sheetView workbookViewId="0">
      <selection activeCell="A12" sqref="A12"/>
    </sheetView>
  </sheetViews>
  <sheetFormatPr baseColWidth="10" defaultRowHeight="15" x14ac:dyDescent="0.25"/>
  <cols>
    <col min="1" max="1" width="31.85546875" bestFit="1" customWidth="1"/>
  </cols>
  <sheetData>
    <row r="1" spans="1:7" ht="18.75" x14ac:dyDescent="0.3">
      <c r="A1" s="126" t="s">
        <v>287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289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12862</v>
      </c>
      <c r="C4" s="3"/>
      <c r="D4" s="3"/>
      <c r="E4" s="3"/>
      <c r="F4" s="3"/>
      <c r="G4" s="18" t="s">
        <v>3</v>
      </c>
    </row>
    <row r="5" spans="1:7" x14ac:dyDescent="0.25">
      <c r="A5" s="19"/>
      <c r="B5" s="4">
        <v>45854</v>
      </c>
      <c r="C5" s="4"/>
      <c r="D5" s="4"/>
      <c r="E5" s="4"/>
      <c r="F5" s="4"/>
      <c r="G5" s="20">
        <v>45869</v>
      </c>
    </row>
    <row r="6" spans="1:7" x14ac:dyDescent="0.25">
      <c r="A6" s="21" t="s">
        <v>281</v>
      </c>
      <c r="B6" s="22">
        <v>4</v>
      </c>
      <c r="C6" s="23"/>
      <c r="D6" s="23"/>
      <c r="E6" s="23"/>
      <c r="F6" s="23"/>
      <c r="G6" s="8">
        <f t="shared" ref="G6:G7" si="0">SUM(B6:F6)</f>
        <v>4</v>
      </c>
    </row>
    <row r="7" spans="1:7" x14ac:dyDescent="0.25">
      <c r="A7" s="24" t="s">
        <v>282</v>
      </c>
      <c r="B7" s="22">
        <v>4</v>
      </c>
      <c r="C7" s="23"/>
      <c r="D7" s="23"/>
      <c r="E7" s="23"/>
      <c r="F7" s="23"/>
      <c r="G7" s="8">
        <f t="shared" si="0"/>
        <v>4</v>
      </c>
    </row>
    <row r="8" spans="1:7" x14ac:dyDescent="0.25">
      <c r="A8" s="24" t="s">
        <v>283</v>
      </c>
      <c r="B8" s="22">
        <v>4</v>
      </c>
      <c r="C8" s="23"/>
      <c r="D8" s="23"/>
      <c r="E8" s="23"/>
      <c r="F8" s="23"/>
      <c r="G8" s="8">
        <f>SUM(B8:F8)</f>
        <v>4</v>
      </c>
    </row>
    <row r="9" spans="1:7" x14ac:dyDescent="0.25">
      <c r="A9" s="24" t="s">
        <v>288</v>
      </c>
      <c r="B9" s="22">
        <v>4</v>
      </c>
      <c r="C9" s="23"/>
      <c r="D9" s="23"/>
      <c r="E9" s="23"/>
      <c r="F9" s="23"/>
      <c r="G9" s="8">
        <f>SUM(B9:F9)</f>
        <v>4</v>
      </c>
    </row>
    <row r="10" spans="1:7" x14ac:dyDescent="0.25">
      <c r="A10" s="19" t="s">
        <v>15</v>
      </c>
      <c r="B10" s="11">
        <v>0.13541666666666666</v>
      </c>
      <c r="C10" s="25"/>
      <c r="D10" s="25"/>
      <c r="E10" s="25"/>
      <c r="F10" s="25"/>
      <c r="G10" s="2"/>
    </row>
    <row r="11" spans="1:7" x14ac:dyDescent="0.25">
      <c r="A11" s="19" t="s">
        <v>16</v>
      </c>
      <c r="B11" s="26">
        <v>30000</v>
      </c>
      <c r="C11" s="26"/>
      <c r="D11" s="26"/>
      <c r="E11" s="26"/>
      <c r="F11" s="26"/>
      <c r="G11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BBAD-AD04-4FF4-8D3D-795892A549B1}">
  <dimension ref="A1:G9"/>
  <sheetViews>
    <sheetView workbookViewId="0">
      <selection activeCell="H20" sqref="H20"/>
    </sheetView>
  </sheetViews>
  <sheetFormatPr baseColWidth="10" defaultRowHeight="15" x14ac:dyDescent="0.25"/>
  <cols>
    <col min="1" max="1" width="26.85546875" customWidth="1"/>
  </cols>
  <sheetData>
    <row r="1" spans="1:7" ht="18.75" x14ac:dyDescent="0.3">
      <c r="A1" s="126" t="s">
        <v>243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242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12858</v>
      </c>
      <c r="C4" s="3">
        <v>11666</v>
      </c>
      <c r="D4" s="3"/>
      <c r="E4" s="3"/>
      <c r="F4" s="3"/>
      <c r="G4" s="18" t="s">
        <v>3</v>
      </c>
    </row>
    <row r="5" spans="1:7" x14ac:dyDescent="0.25">
      <c r="A5" s="19"/>
      <c r="B5" s="4">
        <v>45854</v>
      </c>
      <c r="C5" s="4">
        <v>45862</v>
      </c>
      <c r="D5" s="4"/>
      <c r="E5" s="4"/>
      <c r="F5" s="4"/>
      <c r="G5" s="20">
        <v>45869</v>
      </c>
    </row>
    <row r="6" spans="1:7" x14ac:dyDescent="0.25">
      <c r="A6" s="21" t="s">
        <v>134</v>
      </c>
      <c r="B6" s="22">
        <v>10</v>
      </c>
      <c r="C6" s="23">
        <v>-10</v>
      </c>
      <c r="D6" s="23"/>
      <c r="E6" s="23"/>
      <c r="F6" s="23"/>
      <c r="G6" s="8">
        <f t="shared" ref="G6" si="0">SUM(B6:F6)</f>
        <v>0</v>
      </c>
    </row>
    <row r="7" spans="1:7" x14ac:dyDescent="0.25">
      <c r="A7" s="19" t="s">
        <v>15</v>
      </c>
      <c r="B7" s="11">
        <v>8.3333333333333329E-2</v>
      </c>
      <c r="C7" s="25">
        <v>0.41666666666666669</v>
      </c>
      <c r="D7" s="25"/>
      <c r="E7" s="25"/>
      <c r="F7" s="25"/>
      <c r="G7" s="2"/>
    </row>
    <row r="8" spans="1:7" x14ac:dyDescent="0.25">
      <c r="A8" s="19" t="s">
        <v>16</v>
      </c>
      <c r="B8" s="26" t="s">
        <v>244</v>
      </c>
      <c r="C8" s="26" t="s">
        <v>340</v>
      </c>
      <c r="D8" s="26"/>
      <c r="E8" s="26"/>
      <c r="F8" s="26"/>
      <c r="G8" s="2"/>
    </row>
    <row r="9" spans="1:7" x14ac:dyDescent="0.25">
      <c r="C9" t="s">
        <v>340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80CD-AC4E-4CC6-8E51-6974ED83D4BF}">
  <dimension ref="A1:G18"/>
  <sheetViews>
    <sheetView workbookViewId="0">
      <selection activeCell="B18" sqref="B18"/>
    </sheetView>
  </sheetViews>
  <sheetFormatPr baseColWidth="10" defaultRowHeight="15" x14ac:dyDescent="0.25"/>
  <cols>
    <col min="1" max="1" width="31.140625" customWidth="1"/>
  </cols>
  <sheetData>
    <row r="1" spans="1:7" ht="18.75" x14ac:dyDescent="0.3">
      <c r="A1" s="126" t="s">
        <v>220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221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12851</v>
      </c>
      <c r="C4" s="3"/>
      <c r="D4" s="3"/>
      <c r="E4" s="3"/>
      <c r="F4" s="3"/>
      <c r="G4" s="18" t="s">
        <v>3</v>
      </c>
    </row>
    <row r="5" spans="1:7" x14ac:dyDescent="0.25">
      <c r="A5" s="19"/>
      <c r="B5" s="4">
        <v>45852</v>
      </c>
      <c r="C5" s="4"/>
      <c r="D5" s="4"/>
      <c r="E5" s="4"/>
      <c r="F5" s="4"/>
      <c r="G5" s="20">
        <v>45869</v>
      </c>
    </row>
    <row r="6" spans="1:7" x14ac:dyDescent="0.25">
      <c r="A6" s="21" t="s">
        <v>222</v>
      </c>
      <c r="B6" s="22">
        <v>2</v>
      </c>
      <c r="C6" s="23"/>
      <c r="D6" s="23"/>
      <c r="E6" s="23"/>
      <c r="F6" s="23"/>
      <c r="G6" s="8">
        <f t="shared" ref="G6:G9" si="0">SUM(B6:F6)</f>
        <v>2</v>
      </c>
    </row>
    <row r="7" spans="1:7" x14ac:dyDescent="0.25">
      <c r="A7" s="24" t="s">
        <v>223</v>
      </c>
      <c r="B7" s="22">
        <v>6</v>
      </c>
      <c r="C7" s="23"/>
      <c r="D7" s="23"/>
      <c r="E7" s="23"/>
      <c r="F7" s="23"/>
      <c r="G7" s="8">
        <f t="shared" si="0"/>
        <v>6</v>
      </c>
    </row>
    <row r="8" spans="1:7" x14ac:dyDescent="0.25">
      <c r="A8" s="24" t="s">
        <v>224</v>
      </c>
      <c r="B8" s="22">
        <v>2</v>
      </c>
      <c r="C8" s="23"/>
      <c r="D8" s="23"/>
      <c r="E8" s="23"/>
      <c r="F8" s="23"/>
      <c r="G8" s="8">
        <f t="shared" si="0"/>
        <v>2</v>
      </c>
    </row>
    <row r="9" spans="1:7" x14ac:dyDescent="0.25">
      <c r="A9" s="24" t="s">
        <v>225</v>
      </c>
      <c r="B9" s="22">
        <v>1</v>
      </c>
      <c r="C9" s="23"/>
      <c r="D9" s="23"/>
      <c r="E9" s="23"/>
      <c r="F9" s="23"/>
      <c r="G9" s="8">
        <f t="shared" si="0"/>
        <v>1</v>
      </c>
    </row>
    <row r="10" spans="1:7" x14ac:dyDescent="0.25">
      <c r="A10" s="19" t="s">
        <v>15</v>
      </c>
      <c r="B10" s="11">
        <v>0.3125</v>
      </c>
      <c r="C10" s="25"/>
      <c r="D10" s="25"/>
      <c r="E10" s="25"/>
      <c r="F10" s="25"/>
      <c r="G10" s="2"/>
    </row>
    <row r="11" spans="1:7" x14ac:dyDescent="0.25">
      <c r="A11" s="19" t="s">
        <v>16</v>
      </c>
      <c r="B11" s="26">
        <v>50000</v>
      </c>
      <c r="C11" s="26"/>
      <c r="D11" s="26"/>
      <c r="E11" s="26"/>
      <c r="F11" s="26"/>
      <c r="G11" s="2"/>
    </row>
    <row r="18" spans="2:2" x14ac:dyDescent="0.25">
      <c r="B18" t="s">
        <v>352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5203-C599-4D02-A746-30A377D3B272}">
  <dimension ref="A1:G19"/>
  <sheetViews>
    <sheetView workbookViewId="0">
      <selection activeCell="D20" sqref="D20"/>
    </sheetView>
  </sheetViews>
  <sheetFormatPr baseColWidth="10" defaultRowHeight="15" x14ac:dyDescent="0.25"/>
  <cols>
    <col min="1" max="1" width="30.85546875" customWidth="1"/>
    <col min="7" max="7" width="13.140625" customWidth="1"/>
  </cols>
  <sheetData>
    <row r="1" spans="1:7" ht="18.75" x14ac:dyDescent="0.3">
      <c r="A1" s="126" t="s">
        <v>226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227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12841</v>
      </c>
      <c r="C4" s="3">
        <v>12848</v>
      </c>
      <c r="D4" s="3">
        <v>11663</v>
      </c>
      <c r="E4" s="3"/>
      <c r="F4" s="3"/>
      <c r="G4" s="18" t="s">
        <v>3</v>
      </c>
    </row>
    <row r="5" spans="1:7" x14ac:dyDescent="0.25">
      <c r="A5" s="19"/>
      <c r="B5" s="4">
        <v>45848</v>
      </c>
      <c r="C5" s="4">
        <v>45850</v>
      </c>
      <c r="D5" s="4">
        <v>45861</v>
      </c>
      <c r="E5" s="4"/>
      <c r="F5" s="4"/>
      <c r="G5" s="20">
        <v>45869</v>
      </c>
    </row>
    <row r="6" spans="1:7" x14ac:dyDescent="0.25">
      <c r="A6" s="21" t="s">
        <v>228</v>
      </c>
      <c r="B6" s="22">
        <v>48</v>
      </c>
      <c r="C6" s="23"/>
      <c r="D6" s="23">
        <v>-48</v>
      </c>
      <c r="E6" s="23"/>
      <c r="F6" s="23"/>
      <c r="G6" s="8">
        <f t="shared" ref="G6:G17" si="0">SUM(B6:F6)</f>
        <v>0</v>
      </c>
    </row>
    <row r="7" spans="1:7" x14ac:dyDescent="0.25">
      <c r="A7" s="24" t="s">
        <v>229</v>
      </c>
      <c r="B7" s="22">
        <v>3</v>
      </c>
      <c r="C7" s="23"/>
      <c r="D7" s="23">
        <v>-3</v>
      </c>
      <c r="E7" s="23"/>
      <c r="F7" s="23"/>
      <c r="G7" s="8">
        <f t="shared" si="0"/>
        <v>0</v>
      </c>
    </row>
    <row r="8" spans="1:7" x14ac:dyDescent="0.25">
      <c r="A8" s="24" t="s">
        <v>79</v>
      </c>
      <c r="B8" s="22">
        <v>6</v>
      </c>
      <c r="C8" s="23"/>
      <c r="D8" s="23">
        <v>-6</v>
      </c>
      <c r="E8" s="23"/>
      <c r="F8" s="23"/>
      <c r="G8" s="8">
        <f>SUM(B8:F8)</f>
        <v>0</v>
      </c>
    </row>
    <row r="9" spans="1:7" x14ac:dyDescent="0.25">
      <c r="A9" s="24" t="s">
        <v>102</v>
      </c>
      <c r="B9" s="22">
        <v>4</v>
      </c>
      <c r="C9" s="23"/>
      <c r="D9" s="23">
        <v>-4</v>
      </c>
      <c r="E9" s="23"/>
      <c r="F9" s="23"/>
      <c r="G9" s="8">
        <f>SUM(B9:F9)</f>
        <v>0</v>
      </c>
    </row>
    <row r="10" spans="1:7" x14ac:dyDescent="0.25">
      <c r="A10" s="24" t="s">
        <v>78</v>
      </c>
      <c r="B10" s="22"/>
      <c r="C10" s="23">
        <v>9</v>
      </c>
      <c r="D10" s="23">
        <v>-9</v>
      </c>
      <c r="E10" s="23"/>
      <c r="F10" s="23"/>
      <c r="G10" s="8">
        <f>SUM(C10:F10)</f>
        <v>0</v>
      </c>
    </row>
    <row r="11" spans="1:7" x14ac:dyDescent="0.25">
      <c r="A11" s="24" t="s">
        <v>235</v>
      </c>
      <c r="B11" s="22"/>
      <c r="C11" s="23">
        <v>1</v>
      </c>
      <c r="D11" s="23">
        <v>-1</v>
      </c>
      <c r="E11" s="23"/>
      <c r="F11" s="23"/>
      <c r="G11" s="8">
        <f>SUM(C11:F11)</f>
        <v>0</v>
      </c>
    </row>
    <row r="12" spans="1:7" x14ac:dyDescent="0.25">
      <c r="A12" s="24" t="s">
        <v>236</v>
      </c>
      <c r="B12" s="22"/>
      <c r="C12" s="23">
        <v>2</v>
      </c>
      <c r="D12" s="23">
        <v>-2</v>
      </c>
      <c r="E12" s="23"/>
      <c r="F12" s="23"/>
      <c r="G12" s="8">
        <f>SUM(C12:F12)</f>
        <v>0</v>
      </c>
    </row>
    <row r="13" spans="1:7" x14ac:dyDescent="0.25">
      <c r="A13" s="24" t="s">
        <v>30</v>
      </c>
      <c r="B13" s="22">
        <v>33</v>
      </c>
      <c r="C13" s="23"/>
      <c r="D13" s="23">
        <v>-33</v>
      </c>
      <c r="E13" s="23"/>
      <c r="F13" s="23"/>
      <c r="G13" s="8">
        <f t="shared" si="0"/>
        <v>0</v>
      </c>
    </row>
    <row r="14" spans="1:7" x14ac:dyDescent="0.25">
      <c r="A14" s="24" t="s">
        <v>232</v>
      </c>
      <c r="B14" s="22">
        <v>5</v>
      </c>
      <c r="C14" s="23"/>
      <c r="D14" s="23">
        <v>-5</v>
      </c>
      <c r="E14" s="23"/>
      <c r="F14" s="23"/>
      <c r="G14" s="8">
        <f>SUM(B14:F14)</f>
        <v>0</v>
      </c>
    </row>
    <row r="15" spans="1:7" x14ac:dyDescent="0.25">
      <c r="A15" s="24" t="s">
        <v>230</v>
      </c>
      <c r="B15" s="22">
        <v>16</v>
      </c>
      <c r="C15" s="23"/>
      <c r="D15" s="23">
        <v>-16</v>
      </c>
      <c r="E15" s="23"/>
      <c r="F15" s="23"/>
      <c r="G15" s="8">
        <f t="shared" si="0"/>
        <v>0</v>
      </c>
    </row>
    <row r="16" spans="1:7" x14ac:dyDescent="0.25">
      <c r="A16" s="24" t="s">
        <v>31</v>
      </c>
      <c r="B16" s="22">
        <v>350</v>
      </c>
      <c r="C16" s="23"/>
      <c r="D16" s="23">
        <v>-350</v>
      </c>
      <c r="E16" s="23"/>
      <c r="F16" s="23"/>
      <c r="G16" s="8">
        <f t="shared" si="0"/>
        <v>0</v>
      </c>
    </row>
    <row r="17" spans="1:7" x14ac:dyDescent="0.25">
      <c r="A17" s="24" t="s">
        <v>32</v>
      </c>
      <c r="B17" s="22">
        <v>1</v>
      </c>
      <c r="C17" s="23"/>
      <c r="D17" s="23">
        <v>-1</v>
      </c>
      <c r="E17" s="23"/>
      <c r="F17" s="23"/>
      <c r="G17" s="8">
        <f t="shared" si="0"/>
        <v>0</v>
      </c>
    </row>
    <row r="18" spans="1:7" x14ac:dyDescent="0.25">
      <c r="A18" s="19" t="s">
        <v>15</v>
      </c>
      <c r="B18" s="11" t="s">
        <v>233</v>
      </c>
      <c r="C18" s="25">
        <v>0.48958333333333331</v>
      </c>
      <c r="D18" s="25">
        <v>0.25</v>
      </c>
      <c r="E18" s="25"/>
      <c r="F18" s="25"/>
      <c r="G18" s="2"/>
    </row>
    <row r="19" spans="1:7" x14ac:dyDescent="0.25">
      <c r="A19" s="19" t="s">
        <v>16</v>
      </c>
      <c r="B19" s="26" t="s">
        <v>234</v>
      </c>
      <c r="C19" s="26" t="s">
        <v>234</v>
      </c>
      <c r="D19" s="26" t="s">
        <v>336</v>
      </c>
      <c r="E19" s="26"/>
      <c r="F19" s="26"/>
      <c r="G19" s="2"/>
    </row>
  </sheetData>
  <mergeCells count="3">
    <mergeCell ref="A1:G1"/>
    <mergeCell ref="A2:G2"/>
    <mergeCell ref="A3:G3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B45F-B341-4EA5-B204-76A38F37EC0A}">
  <dimension ref="A1:I28"/>
  <sheetViews>
    <sheetView topLeftCell="A7" workbookViewId="0">
      <selection activeCell="L19" sqref="L19"/>
    </sheetView>
  </sheetViews>
  <sheetFormatPr baseColWidth="10" defaultRowHeight="15" x14ac:dyDescent="0.25"/>
  <cols>
    <col min="1" max="1" width="29.28515625" customWidth="1"/>
    <col min="2" max="2" width="17.85546875" customWidth="1"/>
    <col min="7" max="7" width="12" bestFit="1" customWidth="1"/>
  </cols>
  <sheetData>
    <row r="1" spans="1:9" ht="18.75" x14ac:dyDescent="0.3">
      <c r="A1" s="126" t="s">
        <v>255</v>
      </c>
      <c r="B1" s="127"/>
      <c r="C1" s="127"/>
      <c r="D1" s="127"/>
      <c r="E1" s="127"/>
      <c r="F1" s="127"/>
      <c r="G1" s="153"/>
    </row>
    <row r="2" spans="1:9" ht="18.75" x14ac:dyDescent="0.3">
      <c r="A2" s="128" t="s">
        <v>248</v>
      </c>
      <c r="B2" s="120"/>
      <c r="C2" s="120"/>
      <c r="D2" s="120"/>
      <c r="E2" s="120"/>
      <c r="F2" s="120"/>
      <c r="G2" s="152"/>
    </row>
    <row r="3" spans="1:9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9" x14ac:dyDescent="0.25">
      <c r="A4" s="17" t="s">
        <v>2</v>
      </c>
      <c r="B4" s="3">
        <v>12857</v>
      </c>
      <c r="C4" s="3">
        <v>12897</v>
      </c>
      <c r="D4" s="3">
        <v>11691</v>
      </c>
      <c r="E4" s="3"/>
      <c r="F4" s="3"/>
      <c r="G4" s="18" t="s">
        <v>3</v>
      </c>
    </row>
    <row r="5" spans="1:9" x14ac:dyDescent="0.25">
      <c r="A5" s="19"/>
      <c r="B5" s="4">
        <v>45854</v>
      </c>
      <c r="C5" s="4">
        <v>45867</v>
      </c>
      <c r="D5" s="4">
        <v>45874</v>
      </c>
      <c r="E5" s="4"/>
      <c r="F5" s="4"/>
      <c r="G5" s="20">
        <v>45869</v>
      </c>
    </row>
    <row r="6" spans="1:9" x14ac:dyDescent="0.25">
      <c r="A6" s="24" t="s">
        <v>78</v>
      </c>
      <c r="B6" s="22">
        <v>24</v>
      </c>
      <c r="C6" s="8">
        <v>2</v>
      </c>
      <c r="D6" s="118">
        <v>-25</v>
      </c>
      <c r="E6" s="23"/>
      <c r="F6" s="23"/>
      <c r="G6" s="8">
        <f t="shared" ref="G6:G12" si="0">SUM(B6:F6)</f>
        <v>1</v>
      </c>
      <c r="H6">
        <v>21</v>
      </c>
      <c r="I6">
        <f>G6*H6</f>
        <v>21</v>
      </c>
    </row>
    <row r="7" spans="1:9" x14ac:dyDescent="0.25">
      <c r="A7" s="24" t="s">
        <v>79</v>
      </c>
      <c r="B7" s="22">
        <v>18</v>
      </c>
      <c r="C7" s="23"/>
      <c r="D7" s="118">
        <v>-17</v>
      </c>
      <c r="E7" s="23"/>
      <c r="F7" s="23"/>
      <c r="G7" s="8">
        <f t="shared" si="0"/>
        <v>1</v>
      </c>
      <c r="H7">
        <v>7</v>
      </c>
      <c r="I7">
        <f t="shared" ref="I7:I26" si="1">G7*H7</f>
        <v>7</v>
      </c>
    </row>
    <row r="8" spans="1:9" x14ac:dyDescent="0.25">
      <c r="A8" s="24" t="s">
        <v>125</v>
      </c>
      <c r="B8" s="22">
        <v>6</v>
      </c>
      <c r="C8" s="23"/>
      <c r="D8" s="23"/>
      <c r="E8" s="23"/>
      <c r="F8" s="23"/>
      <c r="G8" s="8">
        <f t="shared" si="0"/>
        <v>6</v>
      </c>
      <c r="H8">
        <v>4</v>
      </c>
      <c r="I8">
        <f t="shared" si="1"/>
        <v>24</v>
      </c>
    </row>
    <row r="9" spans="1:9" x14ac:dyDescent="0.25">
      <c r="A9" s="24" t="s">
        <v>378</v>
      </c>
      <c r="B9" s="22"/>
      <c r="C9" s="8">
        <v>2</v>
      </c>
      <c r="D9" s="23"/>
      <c r="E9" s="23"/>
      <c r="F9" s="23"/>
      <c r="G9" s="8">
        <f t="shared" si="0"/>
        <v>2</v>
      </c>
      <c r="H9">
        <v>11</v>
      </c>
      <c r="I9">
        <f t="shared" si="1"/>
        <v>22</v>
      </c>
    </row>
    <row r="10" spans="1:9" x14ac:dyDescent="0.25">
      <c r="A10" s="24" t="s">
        <v>27</v>
      </c>
      <c r="B10" s="22"/>
      <c r="C10" s="8">
        <v>3</v>
      </c>
      <c r="D10" s="23"/>
      <c r="E10" s="23"/>
      <c r="F10" s="23"/>
      <c r="G10" s="8">
        <f t="shared" si="0"/>
        <v>3</v>
      </c>
      <c r="H10">
        <v>15.5</v>
      </c>
      <c r="I10">
        <f t="shared" si="1"/>
        <v>46.5</v>
      </c>
    </row>
    <row r="11" spans="1:9" x14ac:dyDescent="0.25">
      <c r="A11" s="24" t="s">
        <v>134</v>
      </c>
      <c r="B11" s="22"/>
      <c r="C11" s="8">
        <v>24</v>
      </c>
      <c r="D11" s="118">
        <v>-17</v>
      </c>
      <c r="E11" s="23"/>
      <c r="F11" s="23"/>
      <c r="G11" s="8">
        <f t="shared" si="0"/>
        <v>7</v>
      </c>
      <c r="H11">
        <v>26</v>
      </c>
      <c r="I11">
        <f t="shared" si="1"/>
        <v>182</v>
      </c>
    </row>
    <row r="12" spans="1:9" x14ac:dyDescent="0.25">
      <c r="A12" s="24" t="s">
        <v>379</v>
      </c>
      <c r="B12" s="22"/>
      <c r="C12" s="8">
        <v>7</v>
      </c>
      <c r="D12" s="23"/>
      <c r="E12" s="23"/>
      <c r="F12" s="23"/>
      <c r="G12" s="8">
        <f t="shared" si="0"/>
        <v>7</v>
      </c>
      <c r="H12">
        <v>6</v>
      </c>
      <c r="I12">
        <f t="shared" si="1"/>
        <v>42</v>
      </c>
    </row>
    <row r="13" spans="1:9" x14ac:dyDescent="0.25">
      <c r="A13" s="24" t="s">
        <v>30</v>
      </c>
      <c r="B13" s="22">
        <v>16</v>
      </c>
      <c r="C13" s="8">
        <v>5</v>
      </c>
      <c r="D13" s="23"/>
      <c r="E13" s="23"/>
      <c r="F13" s="23"/>
      <c r="G13" s="8">
        <f t="shared" ref="G13:G28" si="2">SUM(B13:F13)</f>
        <v>21</v>
      </c>
      <c r="H13">
        <v>13.5</v>
      </c>
      <c r="I13">
        <f t="shared" si="1"/>
        <v>283.5</v>
      </c>
    </row>
    <row r="14" spans="1:9" x14ac:dyDescent="0.25">
      <c r="A14" s="24" t="s">
        <v>64</v>
      </c>
      <c r="B14" s="22">
        <v>16</v>
      </c>
      <c r="C14" s="8">
        <v>5</v>
      </c>
      <c r="D14" s="23"/>
      <c r="E14" s="23"/>
      <c r="F14" s="23"/>
      <c r="G14" s="8">
        <f>SUM(B14:F14)</f>
        <v>21</v>
      </c>
      <c r="H14">
        <v>12</v>
      </c>
      <c r="I14">
        <f t="shared" si="1"/>
        <v>252</v>
      </c>
    </row>
    <row r="15" spans="1:9" x14ac:dyDescent="0.25">
      <c r="A15" s="24" t="s">
        <v>31</v>
      </c>
      <c r="B15" s="22">
        <v>500</v>
      </c>
      <c r="C15" s="8">
        <v>64</v>
      </c>
      <c r="D15" s="23"/>
      <c r="E15" s="23"/>
      <c r="F15" s="23"/>
      <c r="G15" s="8">
        <f>SUM(B15:F15)</f>
        <v>564</v>
      </c>
      <c r="H15">
        <v>0.1</v>
      </c>
      <c r="I15">
        <f t="shared" si="1"/>
        <v>56.400000000000006</v>
      </c>
    </row>
    <row r="16" spans="1:9" x14ac:dyDescent="0.25">
      <c r="A16" s="24" t="s">
        <v>62</v>
      </c>
      <c r="B16" s="22">
        <v>16</v>
      </c>
      <c r="C16" s="23">
        <v>-16</v>
      </c>
      <c r="D16" s="23"/>
      <c r="E16" s="23"/>
      <c r="F16" s="23"/>
      <c r="G16" s="8">
        <f t="shared" si="2"/>
        <v>0</v>
      </c>
      <c r="I16">
        <f t="shared" si="1"/>
        <v>0</v>
      </c>
    </row>
    <row r="17" spans="1:9" x14ac:dyDescent="0.25">
      <c r="A17" s="24" t="s">
        <v>80</v>
      </c>
      <c r="B17" s="22">
        <v>32</v>
      </c>
      <c r="C17" s="23">
        <v>-32</v>
      </c>
      <c r="D17" s="23"/>
      <c r="E17" s="23"/>
      <c r="F17" s="23"/>
      <c r="G17" s="8">
        <f t="shared" si="2"/>
        <v>0</v>
      </c>
      <c r="I17">
        <f t="shared" si="1"/>
        <v>0</v>
      </c>
    </row>
    <row r="18" spans="1:9" x14ac:dyDescent="0.25">
      <c r="A18" s="24" t="s">
        <v>380</v>
      </c>
      <c r="B18" s="22"/>
      <c r="C18" s="8">
        <v>5</v>
      </c>
      <c r="D18" s="118">
        <v>-5</v>
      </c>
      <c r="E18" s="23"/>
      <c r="F18" s="23"/>
      <c r="G18" s="8">
        <f>SUM(B18:F18)</f>
        <v>0</v>
      </c>
      <c r="H18">
        <v>15</v>
      </c>
      <c r="I18">
        <f t="shared" si="1"/>
        <v>0</v>
      </c>
    </row>
    <row r="19" spans="1:9" x14ac:dyDescent="0.25">
      <c r="A19" s="24" t="s">
        <v>381</v>
      </c>
      <c r="B19" s="22"/>
      <c r="C19" s="8">
        <v>5</v>
      </c>
      <c r="D19" s="118">
        <v>-4</v>
      </c>
      <c r="E19" s="23"/>
      <c r="F19" s="23"/>
      <c r="G19" s="8">
        <f t="shared" ref="G19:G23" si="3">SUM(B19:F19)</f>
        <v>1</v>
      </c>
      <c r="H19">
        <v>13.5</v>
      </c>
      <c r="I19">
        <f t="shared" si="1"/>
        <v>13.5</v>
      </c>
    </row>
    <row r="20" spans="1:9" x14ac:dyDescent="0.25">
      <c r="A20" s="24" t="s">
        <v>382</v>
      </c>
      <c r="B20" s="22"/>
      <c r="C20" s="8">
        <v>4</v>
      </c>
      <c r="D20" s="118">
        <v>-4</v>
      </c>
      <c r="E20" s="23"/>
      <c r="F20" s="23"/>
      <c r="G20" s="8">
        <f t="shared" si="3"/>
        <v>0</v>
      </c>
      <c r="H20">
        <v>11</v>
      </c>
      <c r="I20">
        <f t="shared" si="1"/>
        <v>0</v>
      </c>
    </row>
    <row r="21" spans="1:9" x14ac:dyDescent="0.25">
      <c r="A21" s="24" t="s">
        <v>383</v>
      </c>
      <c r="B21" s="22"/>
      <c r="C21" s="8">
        <v>6</v>
      </c>
      <c r="D21" s="118">
        <v>-6</v>
      </c>
      <c r="E21" s="23"/>
      <c r="F21" s="23"/>
      <c r="G21" s="8">
        <f t="shared" si="3"/>
        <v>0</v>
      </c>
      <c r="H21">
        <v>10</v>
      </c>
      <c r="I21">
        <f t="shared" si="1"/>
        <v>0</v>
      </c>
    </row>
    <row r="22" spans="1:9" x14ac:dyDescent="0.25">
      <c r="A22" s="24" t="s">
        <v>384</v>
      </c>
      <c r="B22" s="22"/>
      <c r="C22" s="8">
        <v>30</v>
      </c>
      <c r="D22" s="23"/>
      <c r="E22" s="23"/>
      <c r="F22" s="23"/>
      <c r="G22" s="8">
        <f t="shared" si="3"/>
        <v>30</v>
      </c>
      <c r="I22">
        <f t="shared" si="1"/>
        <v>0</v>
      </c>
    </row>
    <row r="23" spans="1:9" x14ac:dyDescent="0.25">
      <c r="A23" s="24" t="s">
        <v>385</v>
      </c>
      <c r="B23" s="22"/>
      <c r="C23" s="8">
        <v>60</v>
      </c>
      <c r="D23" s="23"/>
      <c r="E23" s="23"/>
      <c r="F23" s="23"/>
      <c r="G23" s="8">
        <f t="shared" si="3"/>
        <v>60</v>
      </c>
      <c r="I23">
        <f t="shared" si="1"/>
        <v>0</v>
      </c>
    </row>
    <row r="24" spans="1:9" x14ac:dyDescent="0.25">
      <c r="A24" s="24" t="s">
        <v>32</v>
      </c>
      <c r="B24" s="22">
        <v>2</v>
      </c>
      <c r="C24" s="8">
        <v>1</v>
      </c>
      <c r="D24" s="23"/>
      <c r="E24" s="23"/>
      <c r="F24" s="23"/>
      <c r="G24" s="8">
        <f t="shared" si="2"/>
        <v>3</v>
      </c>
      <c r="I24">
        <f t="shared" si="1"/>
        <v>0</v>
      </c>
    </row>
    <row r="25" spans="1:9" x14ac:dyDescent="0.25">
      <c r="A25" s="24" t="s">
        <v>415</v>
      </c>
      <c r="B25" s="22"/>
      <c r="C25" s="8">
        <v>10</v>
      </c>
      <c r="D25" s="23"/>
      <c r="E25" s="23"/>
      <c r="F25" s="23"/>
      <c r="G25" s="8">
        <f t="shared" si="2"/>
        <v>10</v>
      </c>
      <c r="I25">
        <f t="shared" si="1"/>
        <v>0</v>
      </c>
    </row>
    <row r="26" spans="1:9" x14ac:dyDescent="0.25">
      <c r="A26" s="24" t="s">
        <v>74</v>
      </c>
      <c r="B26" s="22"/>
      <c r="C26" s="8">
        <v>84</v>
      </c>
      <c r="D26" s="23"/>
      <c r="E26" s="23"/>
      <c r="F26" s="23"/>
      <c r="G26" s="8">
        <f t="shared" si="2"/>
        <v>84</v>
      </c>
      <c r="H26">
        <v>0.2</v>
      </c>
      <c r="I26">
        <f t="shared" si="1"/>
        <v>16.8</v>
      </c>
    </row>
    <row r="27" spans="1:9" x14ac:dyDescent="0.25">
      <c r="A27" s="19" t="s">
        <v>15</v>
      </c>
      <c r="B27" s="11">
        <v>0.41666666666666669</v>
      </c>
      <c r="C27" s="25">
        <v>0.375</v>
      </c>
      <c r="D27" s="25"/>
      <c r="E27" s="25"/>
      <c r="F27" s="25"/>
      <c r="G27" s="8"/>
      <c r="I27">
        <f>SUM(I6:I26)</f>
        <v>966.69999999999993</v>
      </c>
    </row>
    <row r="28" spans="1:9" x14ac:dyDescent="0.25">
      <c r="A28" s="19" t="s">
        <v>16</v>
      </c>
      <c r="B28" s="26">
        <v>40000</v>
      </c>
      <c r="C28" s="26">
        <v>40000</v>
      </c>
      <c r="D28" s="26"/>
      <c r="E28" s="26"/>
      <c r="F28" s="26"/>
      <c r="G28" s="79">
        <f t="shared" si="2"/>
        <v>80000</v>
      </c>
    </row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705-27D2-45A6-860E-D2094B028756}">
  <dimension ref="A1:G19"/>
  <sheetViews>
    <sheetView workbookViewId="0">
      <selection activeCell="K11" sqref="K11"/>
    </sheetView>
  </sheetViews>
  <sheetFormatPr baseColWidth="10" defaultRowHeight="15" x14ac:dyDescent="0.25"/>
  <cols>
    <col min="1" max="1" width="27.7109375" customWidth="1"/>
    <col min="3" max="3" width="13" bestFit="1" customWidth="1"/>
    <col min="7" max="7" width="12" bestFit="1" customWidth="1"/>
  </cols>
  <sheetData>
    <row r="1" spans="1:7" ht="18.75" x14ac:dyDescent="0.3">
      <c r="A1" s="126" t="s">
        <v>295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372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12872</v>
      </c>
      <c r="C4" s="3">
        <v>12896</v>
      </c>
      <c r="D4" s="3">
        <v>11686</v>
      </c>
      <c r="E4" s="3"/>
      <c r="F4" s="3"/>
      <c r="G4" s="18" t="s">
        <v>3</v>
      </c>
    </row>
    <row r="5" spans="1:7" x14ac:dyDescent="0.25">
      <c r="A5" s="19"/>
      <c r="B5" s="4">
        <v>45856</v>
      </c>
      <c r="C5" s="4">
        <v>45867</v>
      </c>
      <c r="D5" s="4">
        <v>45870</v>
      </c>
      <c r="E5" s="4"/>
      <c r="F5" s="4"/>
      <c r="G5" s="20">
        <v>45869</v>
      </c>
    </row>
    <row r="6" spans="1:7" x14ac:dyDescent="0.25">
      <c r="A6" s="24" t="s">
        <v>30</v>
      </c>
      <c r="B6" s="22">
        <v>60</v>
      </c>
      <c r="C6" s="23"/>
      <c r="D6" s="23"/>
      <c r="E6" s="23"/>
      <c r="F6" s="23"/>
      <c r="G6" s="8">
        <f>SUM(B6:F6)</f>
        <v>60</v>
      </c>
    </row>
    <row r="7" spans="1:7" x14ac:dyDescent="0.25">
      <c r="A7" s="24" t="s">
        <v>148</v>
      </c>
      <c r="B7" s="22">
        <v>15</v>
      </c>
      <c r="C7" s="23"/>
      <c r="D7" s="23"/>
      <c r="E7" s="23"/>
      <c r="F7" s="23"/>
      <c r="G7" s="8">
        <f>SUM(B7:F7)</f>
        <v>15</v>
      </c>
    </row>
    <row r="8" spans="1:7" x14ac:dyDescent="0.25">
      <c r="A8" s="24" t="s">
        <v>296</v>
      </c>
      <c r="B8" s="22">
        <v>5</v>
      </c>
      <c r="C8" s="23"/>
      <c r="D8" s="23"/>
      <c r="E8" s="23"/>
      <c r="F8" s="23"/>
      <c r="G8" s="8">
        <f>SUM(B8:F8)</f>
        <v>5</v>
      </c>
    </row>
    <row r="9" spans="1:7" x14ac:dyDescent="0.25">
      <c r="A9" s="24" t="s">
        <v>55</v>
      </c>
      <c r="B9" s="22">
        <v>2</v>
      </c>
      <c r="C9" s="23"/>
      <c r="D9" s="23"/>
      <c r="E9" s="23"/>
      <c r="F9" s="23"/>
      <c r="G9" s="8">
        <f t="shared" ref="G9" si="0">SUM(B9:F9)</f>
        <v>2</v>
      </c>
    </row>
    <row r="10" spans="1:7" x14ac:dyDescent="0.25">
      <c r="A10" s="24" t="s">
        <v>108</v>
      </c>
      <c r="B10" s="22">
        <v>2</v>
      </c>
      <c r="C10" s="23"/>
      <c r="D10" s="23"/>
      <c r="E10" s="23"/>
      <c r="F10" s="23"/>
      <c r="G10" s="8">
        <f>SUM(B10:F10)</f>
        <v>2</v>
      </c>
    </row>
    <row r="11" spans="1:7" x14ac:dyDescent="0.25">
      <c r="A11" s="24" t="s">
        <v>297</v>
      </c>
      <c r="B11" s="22">
        <v>2</v>
      </c>
      <c r="C11" s="23"/>
      <c r="D11" s="23"/>
      <c r="E11" s="23"/>
      <c r="F11" s="23"/>
      <c r="G11" s="8">
        <f t="shared" ref="G11:G18" si="1">SUM(B11:F11)</f>
        <v>2</v>
      </c>
    </row>
    <row r="12" spans="1:7" x14ac:dyDescent="0.25">
      <c r="A12" s="24" t="s">
        <v>28</v>
      </c>
      <c r="B12" s="22"/>
      <c r="C12" s="23">
        <v>32</v>
      </c>
      <c r="D12" s="23">
        <v>-32</v>
      </c>
      <c r="E12" s="23"/>
      <c r="F12" s="23"/>
      <c r="G12" s="8">
        <f t="shared" si="1"/>
        <v>0</v>
      </c>
    </row>
    <row r="13" spans="1:7" x14ac:dyDescent="0.25">
      <c r="A13" s="24" t="s">
        <v>62</v>
      </c>
      <c r="B13" s="22"/>
      <c r="C13" s="23">
        <v>32</v>
      </c>
      <c r="D13" s="23">
        <v>-32</v>
      </c>
      <c r="E13" s="23"/>
      <c r="F13" s="23"/>
      <c r="G13" s="8">
        <f t="shared" si="1"/>
        <v>0</v>
      </c>
    </row>
    <row r="14" spans="1:7" x14ac:dyDescent="0.25">
      <c r="A14" s="24" t="s">
        <v>80</v>
      </c>
      <c r="B14" s="22"/>
      <c r="C14" s="23">
        <v>16</v>
      </c>
      <c r="D14" s="23">
        <v>-16</v>
      </c>
      <c r="E14" s="23"/>
      <c r="F14" s="23"/>
      <c r="G14" s="8">
        <f t="shared" si="1"/>
        <v>0</v>
      </c>
    </row>
    <row r="15" spans="1:7" x14ac:dyDescent="0.25">
      <c r="A15" s="24" t="s">
        <v>31</v>
      </c>
      <c r="B15" s="22"/>
      <c r="C15" s="23">
        <v>300</v>
      </c>
      <c r="D15" s="23">
        <v>-300</v>
      </c>
      <c r="E15" s="23"/>
      <c r="F15" s="23"/>
      <c r="G15" s="8">
        <f t="shared" si="1"/>
        <v>0</v>
      </c>
    </row>
    <row r="16" spans="1:7" x14ac:dyDescent="0.25">
      <c r="A16" s="24" t="s">
        <v>32</v>
      </c>
      <c r="B16" s="22"/>
      <c r="C16" s="23">
        <v>1</v>
      </c>
      <c r="D16" s="23">
        <v>-1</v>
      </c>
      <c r="E16" s="23"/>
      <c r="F16" s="23"/>
      <c r="G16" s="8">
        <f t="shared" si="1"/>
        <v>0</v>
      </c>
    </row>
    <row r="17" spans="1:7" x14ac:dyDescent="0.25">
      <c r="A17" s="19" t="s">
        <v>15</v>
      </c>
      <c r="B17" s="11">
        <v>0.14930555555555555</v>
      </c>
      <c r="C17" s="25">
        <v>0.29166666666666669</v>
      </c>
      <c r="D17" s="25">
        <v>0.10416666666666667</v>
      </c>
      <c r="E17" s="25"/>
      <c r="F17" s="25"/>
      <c r="G17" s="8"/>
    </row>
    <row r="18" spans="1:7" x14ac:dyDescent="0.25">
      <c r="A18" s="19" t="s">
        <v>16</v>
      </c>
      <c r="B18" s="26">
        <v>40000</v>
      </c>
      <c r="C18" s="26">
        <v>40000</v>
      </c>
      <c r="D18" s="26">
        <v>40000</v>
      </c>
      <c r="E18" s="26"/>
      <c r="F18" s="26"/>
      <c r="G18" s="79">
        <f t="shared" si="1"/>
        <v>120000</v>
      </c>
    </row>
    <row r="19" spans="1:7" x14ac:dyDescent="0.25">
      <c r="A19" s="47" t="s">
        <v>376</v>
      </c>
      <c r="B19" s="47"/>
      <c r="C19" s="113">
        <v>200000</v>
      </c>
      <c r="D19" s="114">
        <v>45866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9DB7-F9EF-4E1F-8B89-C753AEEC9FAE}">
  <dimension ref="A1:G18"/>
  <sheetViews>
    <sheetView workbookViewId="0">
      <selection activeCell="G17" sqref="G17"/>
    </sheetView>
  </sheetViews>
  <sheetFormatPr baseColWidth="10" defaultRowHeight="15" x14ac:dyDescent="0.25"/>
  <cols>
    <col min="1" max="1" width="48.28515625" customWidth="1"/>
  </cols>
  <sheetData>
    <row r="1" spans="1:7" ht="18.75" x14ac:dyDescent="0.3">
      <c r="A1" s="126" t="s">
        <v>323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324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90">
        <v>11659</v>
      </c>
      <c r="C4" s="3">
        <v>11682</v>
      </c>
      <c r="D4" s="3"/>
      <c r="E4" s="3"/>
      <c r="F4" s="3"/>
      <c r="G4" s="18" t="s">
        <v>3</v>
      </c>
    </row>
    <row r="5" spans="1:7" x14ac:dyDescent="0.25">
      <c r="A5" s="19"/>
      <c r="B5" s="4">
        <v>45861</v>
      </c>
      <c r="C5" s="4">
        <v>45869</v>
      </c>
      <c r="D5" s="4"/>
      <c r="E5" s="4"/>
      <c r="F5" s="4"/>
      <c r="G5" s="20">
        <v>45869</v>
      </c>
    </row>
    <row r="6" spans="1:7" x14ac:dyDescent="0.25">
      <c r="A6" s="24" t="s">
        <v>325</v>
      </c>
      <c r="B6" s="22">
        <v>4</v>
      </c>
      <c r="C6" s="23">
        <v>-4</v>
      </c>
      <c r="D6" s="23"/>
      <c r="E6" s="23"/>
      <c r="F6" s="23"/>
      <c r="G6" s="8">
        <f>SUM(B6:F6)</f>
        <v>0</v>
      </c>
    </row>
    <row r="7" spans="1:7" x14ac:dyDescent="0.25">
      <c r="A7" s="24" t="s">
        <v>326</v>
      </c>
      <c r="B7" s="22">
        <v>8</v>
      </c>
      <c r="C7" s="23">
        <v>-8</v>
      </c>
      <c r="D7" s="23"/>
      <c r="E7" s="23"/>
      <c r="F7" s="23"/>
      <c r="G7" s="8">
        <f>SUM(B7:F7)</f>
        <v>0</v>
      </c>
    </row>
    <row r="8" spans="1:7" x14ac:dyDescent="0.25">
      <c r="A8" s="24" t="s">
        <v>327</v>
      </c>
      <c r="B8" s="22">
        <v>20</v>
      </c>
      <c r="C8" s="23">
        <v>-20</v>
      </c>
      <c r="D8" s="23"/>
      <c r="E8" s="23"/>
      <c r="F8" s="23"/>
      <c r="G8" s="8">
        <f>SUM(B8:F8)</f>
        <v>0</v>
      </c>
    </row>
    <row r="9" spans="1:7" x14ac:dyDescent="0.25">
      <c r="A9" s="24" t="s">
        <v>328</v>
      </c>
      <c r="B9" s="22">
        <v>8</v>
      </c>
      <c r="C9" s="23">
        <v>-8</v>
      </c>
      <c r="D9" s="23"/>
      <c r="E9" s="23"/>
      <c r="F9" s="23"/>
      <c r="G9" s="8">
        <f t="shared" ref="G9" si="0">SUM(B9:F9)</f>
        <v>0</v>
      </c>
    </row>
    <row r="10" spans="1:7" x14ac:dyDescent="0.25">
      <c r="A10" s="24" t="s">
        <v>329</v>
      </c>
      <c r="B10" s="22">
        <v>4</v>
      </c>
      <c r="C10" s="23">
        <v>-4</v>
      </c>
      <c r="D10" s="23"/>
      <c r="E10" s="23"/>
      <c r="F10" s="23"/>
      <c r="G10" s="8">
        <f t="shared" ref="G10:G16" si="1">SUM(B10:F10)</f>
        <v>0</v>
      </c>
    </row>
    <row r="11" spans="1:7" x14ac:dyDescent="0.25">
      <c r="A11" s="24" t="s">
        <v>330</v>
      </c>
      <c r="B11" s="22">
        <v>4</v>
      </c>
      <c r="C11" s="23">
        <v>-4</v>
      </c>
      <c r="D11" s="23"/>
      <c r="E11" s="23"/>
      <c r="F11" s="23"/>
      <c r="G11" s="8">
        <f t="shared" si="1"/>
        <v>0</v>
      </c>
    </row>
    <row r="12" spans="1:7" x14ac:dyDescent="0.25">
      <c r="A12" s="24" t="s">
        <v>331</v>
      </c>
      <c r="B12" s="22">
        <v>2</v>
      </c>
      <c r="C12" s="23">
        <v>-2</v>
      </c>
      <c r="D12" s="23"/>
      <c r="E12" s="23"/>
      <c r="F12" s="23"/>
      <c r="G12" s="8">
        <f t="shared" si="1"/>
        <v>0</v>
      </c>
    </row>
    <row r="13" spans="1:7" x14ac:dyDescent="0.25">
      <c r="A13" s="24" t="s">
        <v>332</v>
      </c>
      <c r="B13" s="22">
        <v>6</v>
      </c>
      <c r="C13" s="23">
        <v>-6</v>
      </c>
      <c r="D13" s="23"/>
      <c r="E13" s="23"/>
      <c r="F13" s="23"/>
      <c r="G13" s="8">
        <f t="shared" si="1"/>
        <v>0</v>
      </c>
    </row>
    <row r="14" spans="1:7" x14ac:dyDescent="0.25">
      <c r="A14" s="24" t="s">
        <v>335</v>
      </c>
      <c r="B14" s="22">
        <v>2</v>
      </c>
      <c r="C14" s="23">
        <v>-2</v>
      </c>
      <c r="D14" s="23"/>
      <c r="E14" s="23"/>
      <c r="F14" s="23"/>
      <c r="G14" s="8">
        <f t="shared" si="1"/>
        <v>0</v>
      </c>
    </row>
    <row r="15" spans="1:7" x14ac:dyDescent="0.25">
      <c r="A15" s="24" t="s">
        <v>333</v>
      </c>
      <c r="B15" s="22">
        <v>4</v>
      </c>
      <c r="C15" s="23">
        <v>-4</v>
      </c>
      <c r="D15" s="23"/>
      <c r="E15" s="23"/>
      <c r="F15" s="23"/>
      <c r="G15" s="8">
        <f t="shared" si="1"/>
        <v>0</v>
      </c>
    </row>
    <row r="16" spans="1:7" x14ac:dyDescent="0.25">
      <c r="A16" s="24" t="s">
        <v>334</v>
      </c>
      <c r="B16" s="22">
        <v>4</v>
      </c>
      <c r="C16" s="23">
        <v>-4</v>
      </c>
      <c r="D16" s="23"/>
      <c r="E16" s="23"/>
      <c r="F16" s="23"/>
      <c r="G16" s="8">
        <f t="shared" si="1"/>
        <v>0</v>
      </c>
    </row>
    <row r="17" spans="1:7" x14ac:dyDescent="0.25">
      <c r="A17" s="19" t="s">
        <v>15</v>
      </c>
      <c r="B17" s="11">
        <v>0.27083333333333331</v>
      </c>
      <c r="C17" s="25">
        <v>0.44444444444444442</v>
      </c>
      <c r="D17" s="25"/>
      <c r="E17" s="25"/>
      <c r="F17" s="25"/>
      <c r="G17" s="2"/>
    </row>
    <row r="18" spans="1:7" x14ac:dyDescent="0.25">
      <c r="A18" s="19" t="s">
        <v>16</v>
      </c>
      <c r="B18" s="26">
        <v>75000</v>
      </c>
      <c r="C18" s="26" t="s">
        <v>405</v>
      </c>
      <c r="D18" s="26"/>
      <c r="E18" s="26"/>
      <c r="F18" s="26"/>
      <c r="G18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92F7-8A0C-4B1C-BDC1-B51781587AE0}">
  <dimension ref="A1:V26"/>
  <sheetViews>
    <sheetView workbookViewId="0">
      <pane xSplit="1" topLeftCell="K1" activePane="topRight" state="frozen"/>
      <selection pane="topRight" activeCell="W16" sqref="W16"/>
    </sheetView>
  </sheetViews>
  <sheetFormatPr baseColWidth="10" defaultRowHeight="15" x14ac:dyDescent="0.25"/>
  <cols>
    <col min="1" max="1" width="35.42578125" customWidth="1"/>
  </cols>
  <sheetData>
    <row r="1" spans="1:22" ht="18.75" x14ac:dyDescent="0.3">
      <c r="A1" s="119" t="s">
        <v>85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</row>
    <row r="2" spans="1:22" ht="18.75" x14ac:dyDescent="0.3">
      <c r="A2" s="119" t="s">
        <v>86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</row>
    <row r="3" spans="1:22" ht="18.75" x14ac:dyDescent="0.3">
      <c r="A3" s="119" t="s">
        <v>9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1"/>
    </row>
    <row r="4" spans="1:22" x14ac:dyDescent="0.25">
      <c r="A4" s="122" t="s">
        <v>2</v>
      </c>
      <c r="B4" s="22" t="s">
        <v>3</v>
      </c>
      <c r="C4" s="2">
        <v>11611</v>
      </c>
      <c r="D4" s="2">
        <v>11615</v>
      </c>
      <c r="E4" s="1">
        <v>11620</v>
      </c>
      <c r="F4" s="1">
        <v>11623</v>
      </c>
      <c r="G4" s="1">
        <v>12830</v>
      </c>
      <c r="H4" s="1">
        <v>12832</v>
      </c>
      <c r="I4" s="1">
        <v>11629</v>
      </c>
      <c r="J4" s="1">
        <v>12843</v>
      </c>
      <c r="K4" s="1">
        <v>11635</v>
      </c>
      <c r="L4" s="1">
        <v>12852</v>
      </c>
      <c r="M4" s="1">
        <v>11642</v>
      </c>
      <c r="N4" s="1">
        <v>12856</v>
      </c>
      <c r="O4" s="1">
        <v>12860</v>
      </c>
      <c r="P4" s="1">
        <v>11658</v>
      </c>
      <c r="Q4" s="1">
        <v>11660</v>
      </c>
      <c r="R4" s="1">
        <v>12880</v>
      </c>
      <c r="S4" s="1">
        <v>12895</v>
      </c>
      <c r="T4" s="1">
        <v>11675</v>
      </c>
      <c r="U4" s="1">
        <v>11679</v>
      </c>
      <c r="V4" s="22"/>
    </row>
    <row r="5" spans="1:22" x14ac:dyDescent="0.25">
      <c r="A5" s="123"/>
      <c r="B5" s="20">
        <v>45838</v>
      </c>
      <c r="C5" s="4">
        <v>45839</v>
      </c>
      <c r="D5" s="4">
        <v>45840</v>
      </c>
      <c r="E5" s="4">
        <v>45842</v>
      </c>
      <c r="F5" s="4">
        <v>45843</v>
      </c>
      <c r="G5" s="4">
        <v>45845</v>
      </c>
      <c r="H5" s="4">
        <v>45845</v>
      </c>
      <c r="I5" s="4">
        <v>45847</v>
      </c>
      <c r="J5" s="4">
        <v>45848</v>
      </c>
      <c r="K5" s="4">
        <v>45850</v>
      </c>
      <c r="L5" s="4">
        <v>45852</v>
      </c>
      <c r="M5" s="4">
        <v>45853</v>
      </c>
      <c r="N5" s="4">
        <v>45854</v>
      </c>
      <c r="O5" s="4">
        <v>45854</v>
      </c>
      <c r="P5" s="4">
        <v>45860</v>
      </c>
      <c r="Q5" s="4">
        <v>45861</v>
      </c>
      <c r="R5" s="4">
        <v>45861</v>
      </c>
      <c r="S5" s="4">
        <v>45866</v>
      </c>
      <c r="T5" s="4">
        <v>45868</v>
      </c>
      <c r="U5" s="4">
        <v>45868</v>
      </c>
      <c r="V5" s="20">
        <v>45869</v>
      </c>
    </row>
    <row r="6" spans="1:22" x14ac:dyDescent="0.25">
      <c r="A6" s="5" t="s">
        <v>28</v>
      </c>
      <c r="B6" s="6">
        <v>19</v>
      </c>
      <c r="C6" s="7"/>
      <c r="D6" s="46">
        <v>-19</v>
      </c>
      <c r="E6" s="7"/>
      <c r="F6" s="7"/>
      <c r="G6" s="7"/>
      <c r="H6" s="7"/>
      <c r="I6" s="7"/>
      <c r="J6" s="7">
        <v>3</v>
      </c>
      <c r="K6" s="7"/>
      <c r="L6" s="7"/>
      <c r="M6" s="7"/>
      <c r="N6" s="7"/>
      <c r="O6" s="7"/>
      <c r="P6" s="7"/>
      <c r="Q6" s="7"/>
      <c r="R6" s="7"/>
      <c r="S6" s="7"/>
      <c r="T6" s="7">
        <v>-3</v>
      </c>
      <c r="U6" s="7"/>
      <c r="V6" s="8">
        <f>SUM(B6:T6)</f>
        <v>0</v>
      </c>
    </row>
    <row r="7" spans="1:22" x14ac:dyDescent="0.25">
      <c r="A7" s="5" t="s">
        <v>163</v>
      </c>
      <c r="B7" s="6"/>
      <c r="C7" s="7"/>
      <c r="D7" s="7"/>
      <c r="E7" s="7"/>
      <c r="F7" s="7"/>
      <c r="G7" s="46">
        <v>8</v>
      </c>
      <c r="H7" s="46">
        <v>10</v>
      </c>
      <c r="I7" s="7"/>
      <c r="J7" s="7"/>
      <c r="K7" s="46">
        <v>-10</v>
      </c>
      <c r="L7" s="7"/>
      <c r="M7" s="46">
        <v>-8</v>
      </c>
      <c r="N7" s="7"/>
      <c r="O7" s="7"/>
      <c r="P7" s="7"/>
      <c r="Q7" s="7"/>
      <c r="R7" s="7"/>
      <c r="S7" s="7"/>
      <c r="T7" s="7"/>
      <c r="U7" s="7"/>
      <c r="V7" s="8">
        <f t="shared" ref="V7" si="0">SUM(B7:T7)</f>
        <v>0</v>
      </c>
    </row>
    <row r="8" spans="1:22" x14ac:dyDescent="0.25">
      <c r="A8" s="5" t="s">
        <v>164</v>
      </c>
      <c r="B8" s="6"/>
      <c r="C8" s="7"/>
      <c r="D8" s="7"/>
      <c r="E8" s="7"/>
      <c r="F8" s="7"/>
      <c r="G8" s="7">
        <v>5</v>
      </c>
      <c r="H8" s="7"/>
      <c r="I8" s="7"/>
      <c r="J8" s="7"/>
      <c r="K8" s="7"/>
      <c r="L8" s="7"/>
      <c r="M8" s="46">
        <v>-5</v>
      </c>
      <c r="N8" s="7"/>
      <c r="O8" s="7">
        <v>1</v>
      </c>
      <c r="P8" s="7"/>
      <c r="Q8" s="7"/>
      <c r="R8" s="7"/>
      <c r="S8" s="7"/>
      <c r="T8" s="7"/>
      <c r="U8" s="7">
        <v>-1</v>
      </c>
      <c r="V8" s="8">
        <f>SUM(W10)</f>
        <v>0</v>
      </c>
    </row>
    <row r="9" spans="1:22" x14ac:dyDescent="0.25">
      <c r="A9" s="5" t="s">
        <v>165</v>
      </c>
      <c r="B9" s="6"/>
      <c r="C9" s="7"/>
      <c r="D9" s="7"/>
      <c r="E9" s="7"/>
      <c r="F9" s="7"/>
      <c r="G9" s="7">
        <v>10</v>
      </c>
      <c r="H9" s="7"/>
      <c r="I9" s="7"/>
      <c r="J9" s="7"/>
      <c r="K9" s="7"/>
      <c r="L9" s="7"/>
      <c r="M9" s="46">
        <v>-10</v>
      </c>
      <c r="N9" s="7"/>
      <c r="O9" s="7"/>
      <c r="P9" s="7"/>
      <c r="Q9" s="7"/>
      <c r="R9" s="7"/>
      <c r="S9" s="7"/>
      <c r="T9" s="7"/>
      <c r="U9" s="7"/>
      <c r="V9" s="8">
        <f t="shared" ref="V9:V20" si="1">SUM(B9:T9)</f>
        <v>0</v>
      </c>
    </row>
    <row r="10" spans="1:22" x14ac:dyDescent="0.25">
      <c r="A10" s="5" t="s">
        <v>102</v>
      </c>
      <c r="B10" s="6"/>
      <c r="C10" s="7"/>
      <c r="D10" s="7"/>
      <c r="E10" s="7"/>
      <c r="F10" s="7"/>
      <c r="G10" s="7"/>
      <c r="H10" s="7"/>
      <c r="I10" s="7"/>
      <c r="J10" s="7">
        <v>8</v>
      </c>
      <c r="K10" s="7"/>
      <c r="L10" s="7"/>
      <c r="M10" s="7"/>
      <c r="N10" s="7"/>
      <c r="O10" s="7"/>
      <c r="P10" s="7"/>
      <c r="Q10" s="7"/>
      <c r="R10" s="7"/>
      <c r="S10" s="7"/>
      <c r="T10" s="7">
        <v>-8</v>
      </c>
      <c r="U10" s="7"/>
      <c r="V10" s="8">
        <f t="shared" si="1"/>
        <v>0</v>
      </c>
    </row>
    <row r="11" spans="1:22" x14ac:dyDescent="0.25">
      <c r="A11" s="5" t="s">
        <v>79</v>
      </c>
      <c r="B11" s="6"/>
      <c r="C11" s="7"/>
      <c r="D11" s="7"/>
      <c r="E11" s="7"/>
      <c r="F11" s="7"/>
      <c r="G11" s="7"/>
      <c r="H11" s="7"/>
      <c r="I11" s="7"/>
      <c r="J11" s="7">
        <v>8</v>
      </c>
      <c r="K11" s="7"/>
      <c r="L11" s="7"/>
      <c r="M11" s="7"/>
      <c r="N11" s="7"/>
      <c r="O11" s="7"/>
      <c r="P11" s="7"/>
      <c r="Q11" s="7"/>
      <c r="R11" s="7"/>
      <c r="S11" s="7"/>
      <c r="T11" s="7">
        <v>-8</v>
      </c>
      <c r="U11" s="7"/>
      <c r="V11" s="8">
        <f t="shared" si="1"/>
        <v>0</v>
      </c>
    </row>
    <row r="12" spans="1:22" x14ac:dyDescent="0.25">
      <c r="A12" s="5" t="s">
        <v>61</v>
      </c>
      <c r="B12" s="6">
        <v>19</v>
      </c>
      <c r="C12" s="46">
        <v>-1</v>
      </c>
      <c r="D12" s="7"/>
      <c r="E12" s="7"/>
      <c r="F12" s="46">
        <v>-9</v>
      </c>
      <c r="G12" s="7"/>
      <c r="H12" s="7"/>
      <c r="I12" s="46">
        <v>-3</v>
      </c>
      <c r="J12" s="7"/>
      <c r="K12" s="7"/>
      <c r="L12" s="7"/>
      <c r="M12" s="7"/>
      <c r="N12" s="7"/>
      <c r="O12" s="7"/>
      <c r="P12" s="7"/>
      <c r="Q12" s="7"/>
      <c r="R12" s="7"/>
      <c r="S12" s="46">
        <v>13</v>
      </c>
      <c r="T12" s="7">
        <v>-1</v>
      </c>
      <c r="U12" s="7"/>
      <c r="V12" s="8">
        <f>SUM(B12:T12)</f>
        <v>18</v>
      </c>
    </row>
    <row r="13" spans="1:22" x14ac:dyDescent="0.25">
      <c r="A13" s="5" t="s">
        <v>66</v>
      </c>
      <c r="B13" s="6">
        <v>50</v>
      </c>
      <c r="C13" s="46">
        <v>-30</v>
      </c>
      <c r="D13" s="7"/>
      <c r="E13" s="46">
        <v>-1</v>
      </c>
      <c r="F13" s="46">
        <v>-19</v>
      </c>
      <c r="G13" s="7"/>
      <c r="H13" s="7">
        <v>6</v>
      </c>
      <c r="I13" s="7"/>
      <c r="J13" s="7"/>
      <c r="K13" s="7"/>
      <c r="L13" s="7"/>
      <c r="M13" s="7"/>
      <c r="N13" s="7"/>
      <c r="O13" s="7"/>
      <c r="P13" s="7"/>
      <c r="Q13" s="7">
        <v>-6</v>
      </c>
      <c r="R13" s="7"/>
      <c r="S13" s="7"/>
      <c r="T13" s="7"/>
      <c r="U13" s="7"/>
      <c r="V13" s="8">
        <f t="shared" si="1"/>
        <v>0</v>
      </c>
    </row>
    <row r="14" spans="1:22" x14ac:dyDescent="0.25">
      <c r="A14" s="5" t="s">
        <v>87</v>
      </c>
      <c r="B14" s="6">
        <v>2</v>
      </c>
      <c r="C14" s="7"/>
      <c r="D14" s="7"/>
      <c r="E14" s="7"/>
      <c r="F14" s="46">
        <v>-2</v>
      </c>
      <c r="G14" s="7"/>
      <c r="H14" s="7"/>
      <c r="I14" s="7"/>
      <c r="J14" s="7"/>
      <c r="K14" s="7"/>
      <c r="L14" s="7">
        <v>1</v>
      </c>
      <c r="M14" s="7"/>
      <c r="N14" s="7"/>
      <c r="O14" s="7"/>
      <c r="P14" s="7"/>
      <c r="Q14" s="7">
        <v>-1</v>
      </c>
      <c r="R14" s="7"/>
      <c r="S14" s="7"/>
      <c r="T14" s="7"/>
      <c r="U14" s="7"/>
      <c r="V14" s="8">
        <f t="shared" si="1"/>
        <v>0</v>
      </c>
    </row>
    <row r="15" spans="1:22" x14ac:dyDescent="0.25">
      <c r="A15" s="5" t="s">
        <v>67</v>
      </c>
      <c r="B15" s="6">
        <v>8</v>
      </c>
      <c r="C15" s="7"/>
      <c r="D15" s="7"/>
      <c r="E15" s="7"/>
      <c r="F15" s="46">
        <v>-8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>
        <f t="shared" si="1"/>
        <v>0</v>
      </c>
    </row>
    <row r="16" spans="1:22" x14ac:dyDescent="0.25">
      <c r="A16" s="5" t="s">
        <v>88</v>
      </c>
      <c r="B16" s="6">
        <v>10</v>
      </c>
      <c r="C16" s="7"/>
      <c r="D16" s="46">
        <v>-10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>
        <f>SUM(B16:T16)</f>
        <v>0</v>
      </c>
    </row>
    <row r="17" spans="1:22" x14ac:dyDescent="0.25">
      <c r="A17" s="5" t="s">
        <v>168</v>
      </c>
      <c r="B17" s="6"/>
      <c r="C17" s="7"/>
      <c r="D17" s="7"/>
      <c r="E17" s="7"/>
      <c r="F17" s="7"/>
      <c r="G17" s="7"/>
      <c r="H17" s="7">
        <v>6</v>
      </c>
      <c r="I17" s="7"/>
      <c r="J17" s="7"/>
      <c r="K17" s="46">
        <v>-6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8">
        <f t="shared" si="1"/>
        <v>0</v>
      </c>
    </row>
    <row r="18" spans="1:22" x14ac:dyDescent="0.25">
      <c r="A18" s="5" t="s">
        <v>241</v>
      </c>
      <c r="B18" s="6"/>
      <c r="C18" s="7"/>
      <c r="D18" s="7"/>
      <c r="E18" s="7"/>
      <c r="F18" s="7"/>
      <c r="G18" s="7"/>
      <c r="H18" s="7"/>
      <c r="I18" s="7"/>
      <c r="J18" s="7"/>
      <c r="N18" s="7">
        <v>1</v>
      </c>
      <c r="O18" s="7"/>
      <c r="P18" s="7">
        <v>-1</v>
      </c>
      <c r="Q18" s="7"/>
      <c r="R18" s="7"/>
      <c r="S18" s="7"/>
      <c r="T18" s="7"/>
      <c r="U18" s="7"/>
      <c r="V18" s="8">
        <f t="shared" si="1"/>
        <v>0</v>
      </c>
    </row>
    <row r="19" spans="1:22" x14ac:dyDescent="0.25">
      <c r="A19" s="5" t="s">
        <v>337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4</v>
      </c>
      <c r="S19" s="7"/>
      <c r="T19" s="7"/>
      <c r="U19" s="7"/>
      <c r="V19" s="8">
        <f t="shared" si="1"/>
        <v>4</v>
      </c>
    </row>
    <row r="20" spans="1:22" x14ac:dyDescent="0.25">
      <c r="A20" s="5" t="s">
        <v>73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>
        <f t="shared" si="1"/>
        <v>0</v>
      </c>
    </row>
    <row r="21" spans="1:22" x14ac:dyDescent="0.25">
      <c r="A21" s="5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spans="1:22" x14ac:dyDescent="0.25">
      <c r="A22" s="5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spans="1:22" x14ac:dyDescent="0.25">
      <c r="A23" s="9" t="s">
        <v>7</v>
      </c>
      <c r="B23" s="25" t="s">
        <v>89</v>
      </c>
      <c r="C23" s="11">
        <v>0.14583333333333334</v>
      </c>
      <c r="D23" s="11">
        <v>0.37847222222222221</v>
      </c>
      <c r="E23" s="12">
        <v>0.47222222222222221</v>
      </c>
      <c r="F23" s="12">
        <v>0.5</v>
      </c>
      <c r="G23" s="12">
        <v>0.36458333333333331</v>
      </c>
      <c r="H23" s="12">
        <v>8.3333333333333329E-2</v>
      </c>
      <c r="I23" s="12">
        <v>0.5</v>
      </c>
      <c r="J23" s="12">
        <v>0.20833333333333334</v>
      </c>
      <c r="K23" s="12">
        <v>0.36458333333333331</v>
      </c>
      <c r="L23" s="12">
        <v>0.16666666666666666</v>
      </c>
      <c r="M23" s="12">
        <v>0.10416666666666667</v>
      </c>
      <c r="N23" s="12" t="s">
        <v>290</v>
      </c>
      <c r="O23" s="12">
        <v>0.12847222222222221</v>
      </c>
      <c r="P23" s="12">
        <v>0.11458333333333333</v>
      </c>
      <c r="Q23" s="12">
        <v>0.41666666666666669</v>
      </c>
      <c r="R23" s="12">
        <v>0.41666666666666669</v>
      </c>
      <c r="S23" s="12">
        <v>9.0277777777777776E-2</v>
      </c>
      <c r="T23" s="12">
        <v>0.4375</v>
      </c>
      <c r="U23" s="12"/>
      <c r="V23" s="2"/>
    </row>
    <row r="24" spans="1:22" x14ac:dyDescent="0.25">
      <c r="A24" s="9" t="s">
        <v>8</v>
      </c>
      <c r="B24" s="14" t="s">
        <v>90</v>
      </c>
      <c r="C24" s="14" t="s">
        <v>101</v>
      </c>
      <c r="D24" s="14" t="s">
        <v>91</v>
      </c>
      <c r="E24" s="14" t="s">
        <v>162</v>
      </c>
      <c r="F24" s="14" t="s">
        <v>101</v>
      </c>
      <c r="G24" s="14" t="s">
        <v>166</v>
      </c>
      <c r="H24" s="14" t="s">
        <v>169</v>
      </c>
      <c r="I24" s="14" t="s">
        <v>91</v>
      </c>
      <c r="J24" s="14" t="s">
        <v>231</v>
      </c>
      <c r="K24" s="14" t="s">
        <v>162</v>
      </c>
      <c r="L24" s="14" t="s">
        <v>169</v>
      </c>
      <c r="M24" s="14" t="s">
        <v>162</v>
      </c>
      <c r="N24" s="14"/>
      <c r="O24" s="14" t="s">
        <v>291</v>
      </c>
      <c r="P24" s="14" t="s">
        <v>291</v>
      </c>
      <c r="Q24" s="14" t="s">
        <v>162</v>
      </c>
      <c r="R24" s="14" t="s">
        <v>162</v>
      </c>
      <c r="S24" s="14" t="s">
        <v>359</v>
      </c>
      <c r="T24" s="14" t="s">
        <v>359</v>
      </c>
      <c r="U24" s="14"/>
      <c r="V24" s="15"/>
    </row>
    <row r="25" spans="1:22" x14ac:dyDescent="0.25">
      <c r="H25" s="47"/>
      <c r="I25" s="47"/>
      <c r="J25" s="47"/>
      <c r="K25" s="47"/>
      <c r="L25" s="47"/>
      <c r="M25" s="47" t="s">
        <v>322</v>
      </c>
      <c r="N25" s="47"/>
      <c r="O25" s="47"/>
      <c r="P25" s="47"/>
      <c r="Q25" s="47"/>
      <c r="R25" s="47"/>
      <c r="S25" s="47"/>
      <c r="T25" s="47" t="s">
        <v>388</v>
      </c>
      <c r="U25" s="47"/>
    </row>
    <row r="26" spans="1:22" x14ac:dyDescent="0.25">
      <c r="T26" t="s">
        <v>389</v>
      </c>
    </row>
  </sheetData>
  <mergeCells count="4">
    <mergeCell ref="A1:V1"/>
    <mergeCell ref="A2:V2"/>
    <mergeCell ref="A3:V3"/>
    <mergeCell ref="A4:A5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FAC2-31AC-43C6-BD7F-029AC9FDFEE9}">
  <dimension ref="A1:G11"/>
  <sheetViews>
    <sheetView workbookViewId="0">
      <selection activeCell="D15" sqref="D15"/>
    </sheetView>
  </sheetViews>
  <sheetFormatPr baseColWidth="10" defaultRowHeight="15" x14ac:dyDescent="0.25"/>
  <cols>
    <col min="1" max="1" width="30.5703125" customWidth="1"/>
    <col min="2" max="2" width="11.7109375" customWidth="1"/>
    <col min="3" max="3" width="13" customWidth="1"/>
    <col min="6" max="6" width="13.28515625" customWidth="1"/>
    <col min="7" max="7" width="16.5703125" bestFit="1" customWidth="1"/>
  </cols>
  <sheetData>
    <row r="1" spans="1:7" ht="18.75" x14ac:dyDescent="0.3">
      <c r="A1" s="124" t="s">
        <v>95</v>
      </c>
      <c r="B1" s="124"/>
      <c r="C1" s="124"/>
      <c r="D1" s="124"/>
      <c r="E1" s="124"/>
      <c r="F1" s="124"/>
    </row>
    <row r="2" spans="1:7" ht="18.75" x14ac:dyDescent="0.3">
      <c r="A2" s="124" t="s">
        <v>94</v>
      </c>
      <c r="B2" s="124"/>
      <c r="C2" s="124"/>
      <c r="D2" s="124"/>
      <c r="E2" s="124"/>
      <c r="F2" s="124"/>
    </row>
    <row r="3" spans="1:7" ht="18.75" x14ac:dyDescent="0.3">
      <c r="A3" s="124" t="s">
        <v>19</v>
      </c>
      <c r="B3" s="124"/>
      <c r="C3" s="124"/>
      <c r="D3" s="124"/>
      <c r="E3" s="124"/>
      <c r="F3" s="124"/>
    </row>
    <row r="4" spans="1:7" x14ac:dyDescent="0.25">
      <c r="A4" s="125" t="s">
        <v>2</v>
      </c>
      <c r="B4" s="2" t="s">
        <v>3</v>
      </c>
      <c r="C4" s="2">
        <v>11616</v>
      </c>
      <c r="D4" s="2">
        <v>12855</v>
      </c>
      <c r="E4" s="2">
        <v>11645</v>
      </c>
      <c r="F4" s="1" t="s">
        <v>3</v>
      </c>
    </row>
    <row r="5" spans="1:7" x14ac:dyDescent="0.25">
      <c r="A5" s="125"/>
      <c r="B5" s="4">
        <v>45838</v>
      </c>
      <c r="C5" s="4">
        <v>45840</v>
      </c>
      <c r="D5" s="4">
        <v>45854</v>
      </c>
      <c r="E5" s="4">
        <v>45854</v>
      </c>
      <c r="F5" s="4">
        <v>45869</v>
      </c>
    </row>
    <row r="6" spans="1:7" x14ac:dyDescent="0.25">
      <c r="A6" s="39" t="s">
        <v>39</v>
      </c>
      <c r="B6" s="22">
        <v>6</v>
      </c>
      <c r="C6" s="7">
        <v>-6</v>
      </c>
      <c r="D6" s="7">
        <v>4</v>
      </c>
      <c r="E6" s="7">
        <v>-4</v>
      </c>
      <c r="F6" s="6">
        <f>SUM(B6:E6)</f>
        <v>0</v>
      </c>
    </row>
    <row r="7" spans="1:7" x14ac:dyDescent="0.25">
      <c r="A7" s="39" t="s">
        <v>40</v>
      </c>
      <c r="B7" s="22">
        <v>6</v>
      </c>
      <c r="C7" s="7">
        <v>-6</v>
      </c>
      <c r="D7" s="7">
        <v>4</v>
      </c>
      <c r="E7" s="7">
        <v>-4</v>
      </c>
      <c r="F7" s="6">
        <f>SUM(B7:E7)</f>
        <v>0</v>
      </c>
    </row>
    <row r="8" spans="1:7" x14ac:dyDescent="0.25">
      <c r="A8" s="39" t="s">
        <v>93</v>
      </c>
      <c r="B8" s="22">
        <v>3</v>
      </c>
      <c r="C8" s="7">
        <v>-3</v>
      </c>
      <c r="D8" s="7"/>
      <c r="E8" s="7"/>
      <c r="F8" s="6">
        <f>SUM(B8:E8)</f>
        <v>0</v>
      </c>
    </row>
    <row r="9" spans="1:7" x14ac:dyDescent="0.25">
      <c r="A9" s="39" t="s">
        <v>245</v>
      </c>
      <c r="B9" s="22"/>
      <c r="C9" s="7"/>
      <c r="D9" s="7">
        <v>3</v>
      </c>
      <c r="E9" s="7">
        <v>-3</v>
      </c>
      <c r="F9" s="6">
        <f>SUM(B9:E9)</f>
        <v>0</v>
      </c>
    </row>
    <row r="10" spans="1:7" ht="18.75" x14ac:dyDescent="0.3">
      <c r="A10" s="9" t="s">
        <v>7</v>
      </c>
      <c r="B10" s="49"/>
      <c r="C10" s="40">
        <v>0.44444444444444442</v>
      </c>
      <c r="D10" s="25">
        <v>0.37152777777777779</v>
      </c>
      <c r="E10" s="25">
        <v>0.1423611111111111</v>
      </c>
      <c r="F10" s="41"/>
      <c r="G10" s="74">
        <v>95200</v>
      </c>
    </row>
    <row r="11" spans="1:7" x14ac:dyDescent="0.25">
      <c r="A11" s="9" t="s">
        <v>16</v>
      </c>
      <c r="B11" s="48"/>
      <c r="C11" s="26" t="s">
        <v>92</v>
      </c>
      <c r="D11" s="26" t="s">
        <v>92</v>
      </c>
      <c r="E11" s="26" t="s">
        <v>92</v>
      </c>
      <c r="F11" s="41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3167-4663-4AB1-BDAC-E3CC46D84A25}">
  <dimension ref="A1:E12"/>
  <sheetViews>
    <sheetView workbookViewId="0">
      <selection activeCell="A17" sqref="A17"/>
    </sheetView>
  </sheetViews>
  <sheetFormatPr baseColWidth="10" defaultRowHeight="15" x14ac:dyDescent="0.25"/>
  <cols>
    <col min="1" max="1" width="31.85546875" customWidth="1"/>
  </cols>
  <sheetData>
    <row r="1" spans="1:5" ht="18.75" x14ac:dyDescent="0.3">
      <c r="A1" s="124" t="s">
        <v>250</v>
      </c>
      <c r="B1" s="124"/>
      <c r="C1" s="124"/>
      <c r="D1" s="124"/>
      <c r="E1" s="124"/>
    </row>
    <row r="2" spans="1:5" ht="18.75" x14ac:dyDescent="0.3">
      <c r="A2" s="124" t="s">
        <v>251</v>
      </c>
      <c r="B2" s="124"/>
      <c r="C2" s="124"/>
      <c r="D2" s="124"/>
      <c r="E2" s="124"/>
    </row>
    <row r="3" spans="1:5" ht="18.75" x14ac:dyDescent="0.3">
      <c r="A3" s="124" t="s">
        <v>19</v>
      </c>
      <c r="B3" s="124"/>
      <c r="C3" s="124"/>
      <c r="D3" s="124"/>
      <c r="E3" s="124"/>
    </row>
    <row r="4" spans="1:5" x14ac:dyDescent="0.25">
      <c r="A4" s="125" t="s">
        <v>2</v>
      </c>
      <c r="B4" s="2">
        <v>12861</v>
      </c>
      <c r="C4" s="2">
        <v>11667</v>
      </c>
      <c r="D4" s="2">
        <v>11672</v>
      </c>
      <c r="E4" s="1" t="s">
        <v>3</v>
      </c>
    </row>
    <row r="5" spans="1:5" x14ac:dyDescent="0.25">
      <c r="A5" s="125"/>
      <c r="B5" s="4">
        <v>45854</v>
      </c>
      <c r="C5" s="4">
        <v>45862</v>
      </c>
      <c r="D5" s="4">
        <v>45866</v>
      </c>
      <c r="E5" s="4">
        <v>45869</v>
      </c>
    </row>
    <row r="6" spans="1:5" x14ac:dyDescent="0.25">
      <c r="A6" s="39" t="s">
        <v>252</v>
      </c>
      <c r="B6" s="22">
        <v>2</v>
      </c>
      <c r="C6" s="7"/>
      <c r="D6" s="7">
        <v>-2</v>
      </c>
      <c r="E6" s="6">
        <f>SUM(B6:D6)</f>
        <v>0</v>
      </c>
    </row>
    <row r="7" spans="1:5" x14ac:dyDescent="0.25">
      <c r="A7" s="39" t="s">
        <v>40</v>
      </c>
      <c r="B7" s="22">
        <v>2</v>
      </c>
      <c r="C7" s="7"/>
      <c r="D7" s="7">
        <v>-2</v>
      </c>
      <c r="E7" s="6">
        <f>SUM(B7:D7)</f>
        <v>0</v>
      </c>
    </row>
    <row r="8" spans="1:5" x14ac:dyDescent="0.25">
      <c r="A8" s="39" t="s">
        <v>93</v>
      </c>
      <c r="B8" s="22">
        <v>3</v>
      </c>
      <c r="C8" s="7">
        <v>-1</v>
      </c>
      <c r="D8" s="7">
        <v>-2</v>
      </c>
      <c r="E8" s="6">
        <f>SUM(B8:D8)</f>
        <v>0</v>
      </c>
    </row>
    <row r="9" spans="1:5" x14ac:dyDescent="0.25">
      <c r="A9" s="39" t="s">
        <v>253</v>
      </c>
      <c r="B9" s="22">
        <v>3</v>
      </c>
      <c r="C9" s="7">
        <v>-3</v>
      </c>
      <c r="D9" s="7"/>
      <c r="E9" s="6">
        <f>SUM(B9:D9)</f>
        <v>0</v>
      </c>
    </row>
    <row r="10" spans="1:5" x14ac:dyDescent="0.25">
      <c r="A10" s="9" t="s">
        <v>7</v>
      </c>
      <c r="B10" s="12">
        <v>0.13194444444444445</v>
      </c>
      <c r="C10" s="40">
        <v>0.13541666666666666</v>
      </c>
      <c r="D10" s="25">
        <v>0.31944444444444442</v>
      </c>
      <c r="E10" s="41"/>
    </row>
    <row r="11" spans="1:5" x14ac:dyDescent="0.25">
      <c r="A11" s="9" t="s">
        <v>16</v>
      </c>
      <c r="B11" s="42" t="s">
        <v>24</v>
      </c>
      <c r="C11" s="26" t="s">
        <v>24</v>
      </c>
      <c r="D11" s="26" t="s">
        <v>24</v>
      </c>
      <c r="E11" s="41"/>
    </row>
    <row r="12" spans="1:5" x14ac:dyDescent="0.25">
      <c r="A12" s="87" t="s">
        <v>254</v>
      </c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2C97-7A7B-4DBD-9748-FA4DAC281172}">
  <dimension ref="A1:E11"/>
  <sheetViews>
    <sheetView workbookViewId="0">
      <selection activeCell="K13" sqref="K13:K14"/>
    </sheetView>
  </sheetViews>
  <sheetFormatPr baseColWidth="10" defaultRowHeight="15" x14ac:dyDescent="0.25"/>
  <cols>
    <col min="1" max="1" width="32.42578125" bestFit="1" customWidth="1"/>
  </cols>
  <sheetData>
    <row r="1" spans="1:5" ht="18.75" x14ac:dyDescent="0.3">
      <c r="A1" s="124" t="s">
        <v>386</v>
      </c>
      <c r="B1" s="124"/>
      <c r="C1" s="124"/>
      <c r="D1" s="124"/>
      <c r="E1" s="124"/>
    </row>
    <row r="2" spans="1:5" ht="18.75" x14ac:dyDescent="0.3">
      <c r="A2" s="124" t="s">
        <v>387</v>
      </c>
      <c r="B2" s="124"/>
      <c r="C2" s="124"/>
      <c r="D2" s="124"/>
      <c r="E2" s="124"/>
    </row>
    <row r="3" spans="1:5" ht="18.75" x14ac:dyDescent="0.3">
      <c r="A3" s="124" t="s">
        <v>19</v>
      </c>
      <c r="B3" s="124"/>
      <c r="C3" s="124"/>
      <c r="D3" s="124"/>
      <c r="E3" s="124"/>
    </row>
    <row r="4" spans="1:5" x14ac:dyDescent="0.25">
      <c r="A4" s="125" t="s">
        <v>2</v>
      </c>
      <c r="B4" s="2">
        <v>12859</v>
      </c>
      <c r="C4" s="2">
        <v>11667</v>
      </c>
      <c r="D4" s="2"/>
      <c r="E4" s="1" t="s">
        <v>3</v>
      </c>
    </row>
    <row r="5" spans="1:5" x14ac:dyDescent="0.25">
      <c r="A5" s="125"/>
      <c r="B5" s="4">
        <v>45864</v>
      </c>
      <c r="C5" s="4">
        <v>45868</v>
      </c>
      <c r="D5" s="4"/>
      <c r="E5" s="4">
        <v>45869</v>
      </c>
    </row>
    <row r="6" spans="1:5" x14ac:dyDescent="0.25">
      <c r="A6" s="39" t="s">
        <v>252</v>
      </c>
      <c r="B6" s="22">
        <v>6</v>
      </c>
      <c r="C6" s="7">
        <v>-6</v>
      </c>
      <c r="D6" s="7"/>
      <c r="E6" s="6">
        <f>SUM(B6:D6)</f>
        <v>0</v>
      </c>
    </row>
    <row r="7" spans="1:5" x14ac:dyDescent="0.25">
      <c r="A7" s="39" t="s">
        <v>40</v>
      </c>
      <c r="B7" s="22">
        <v>6</v>
      </c>
      <c r="C7" s="7">
        <v>-6</v>
      </c>
      <c r="D7" s="7"/>
      <c r="E7" s="6">
        <f>SUM(B7:D7)</f>
        <v>0</v>
      </c>
    </row>
    <row r="8" spans="1:5" x14ac:dyDescent="0.25">
      <c r="A8" s="39" t="s">
        <v>93</v>
      </c>
      <c r="B8" s="22">
        <v>2</v>
      </c>
      <c r="C8" s="7">
        <v>-2</v>
      </c>
      <c r="D8" s="7"/>
      <c r="E8" s="6">
        <f>SUM(B8:D8)</f>
        <v>0</v>
      </c>
    </row>
    <row r="9" spans="1:5" x14ac:dyDescent="0.25">
      <c r="A9" s="39"/>
      <c r="B9" s="22"/>
      <c r="C9" s="7"/>
      <c r="D9" s="7"/>
      <c r="E9" s="6">
        <f>SUM(B9:D9)</f>
        <v>0</v>
      </c>
    </row>
    <row r="10" spans="1:5" x14ac:dyDescent="0.25">
      <c r="A10" s="9" t="s">
        <v>7</v>
      </c>
      <c r="B10" s="12">
        <v>0.45833333333333331</v>
      </c>
      <c r="C10" s="40">
        <v>0.47222222222222221</v>
      </c>
      <c r="D10" s="25"/>
      <c r="E10" s="41"/>
    </row>
    <row r="11" spans="1:5" x14ac:dyDescent="0.25">
      <c r="A11" s="9" t="s">
        <v>16</v>
      </c>
      <c r="B11" s="42" t="s">
        <v>24</v>
      </c>
      <c r="C11" s="26" t="s">
        <v>24</v>
      </c>
      <c r="D11" s="26"/>
      <c r="E11" s="41"/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A2A9-0040-4071-86B2-C0C58D4848A5}">
  <dimension ref="A1:G17"/>
  <sheetViews>
    <sheetView workbookViewId="0">
      <selection activeCell="B20" sqref="B20"/>
    </sheetView>
  </sheetViews>
  <sheetFormatPr baseColWidth="10" defaultRowHeight="15" x14ac:dyDescent="0.25"/>
  <cols>
    <col min="1" max="1" width="30" customWidth="1"/>
  </cols>
  <sheetData>
    <row r="1" spans="1:7" ht="18.75" x14ac:dyDescent="0.3">
      <c r="A1" s="126" t="s">
        <v>76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77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12819</v>
      </c>
      <c r="C4" s="3">
        <v>11637</v>
      </c>
      <c r="D4" s="3"/>
      <c r="E4" s="3"/>
      <c r="F4" s="3"/>
      <c r="G4" s="18" t="s">
        <v>3</v>
      </c>
    </row>
    <row r="5" spans="1:7" x14ac:dyDescent="0.25">
      <c r="A5" s="19"/>
      <c r="B5" s="4">
        <v>45839</v>
      </c>
      <c r="C5" s="4">
        <v>45852</v>
      </c>
      <c r="D5" s="4"/>
      <c r="E5" s="4"/>
      <c r="F5" s="4"/>
      <c r="G5" s="20">
        <v>45869</v>
      </c>
    </row>
    <row r="6" spans="1:7" x14ac:dyDescent="0.25">
      <c r="A6" s="21" t="s">
        <v>78</v>
      </c>
      <c r="B6" s="46">
        <v>12</v>
      </c>
      <c r="C6" s="23">
        <v>-12</v>
      </c>
      <c r="D6" s="23"/>
      <c r="E6" s="23"/>
      <c r="F6" s="23"/>
      <c r="G6" s="8">
        <f t="shared" ref="G6:G16" si="0">SUM(B6:F6)</f>
        <v>0</v>
      </c>
    </row>
    <row r="7" spans="1:7" x14ac:dyDescent="0.25">
      <c r="A7" s="24" t="s">
        <v>79</v>
      </c>
      <c r="B7" s="46">
        <v>18</v>
      </c>
      <c r="C7" s="23">
        <v>-18</v>
      </c>
      <c r="D7" s="23"/>
      <c r="E7" s="23"/>
      <c r="F7" s="23"/>
      <c r="G7" s="8">
        <f t="shared" si="0"/>
        <v>0</v>
      </c>
    </row>
    <row r="8" spans="1:7" x14ac:dyDescent="0.25">
      <c r="A8" s="24" t="s">
        <v>62</v>
      </c>
      <c r="B8" s="46">
        <v>12</v>
      </c>
      <c r="C8" s="23">
        <v>-12</v>
      </c>
      <c r="D8" s="23"/>
      <c r="E8" s="23"/>
      <c r="F8" s="23"/>
      <c r="G8" s="8">
        <f t="shared" si="0"/>
        <v>0</v>
      </c>
    </row>
    <row r="9" spans="1:7" x14ac:dyDescent="0.25">
      <c r="A9" s="24" t="s">
        <v>80</v>
      </c>
      <c r="B9" s="46">
        <v>24</v>
      </c>
      <c r="C9" s="23">
        <v>-24</v>
      </c>
      <c r="D9" s="23"/>
      <c r="E9" s="23"/>
      <c r="F9" s="23"/>
      <c r="G9" s="8">
        <f t="shared" si="0"/>
        <v>0</v>
      </c>
    </row>
    <row r="10" spans="1:7" x14ac:dyDescent="0.25">
      <c r="A10" s="24" t="s">
        <v>30</v>
      </c>
      <c r="B10" s="46">
        <v>6</v>
      </c>
      <c r="C10" s="23">
        <v>-6</v>
      </c>
      <c r="D10" s="23"/>
      <c r="E10" s="23"/>
      <c r="F10" s="23"/>
      <c r="G10" s="8">
        <f t="shared" si="0"/>
        <v>0</v>
      </c>
    </row>
    <row r="11" spans="1:7" x14ac:dyDescent="0.25">
      <c r="A11" s="24" t="s">
        <v>31</v>
      </c>
      <c r="B11" s="46">
        <v>200</v>
      </c>
      <c r="C11" s="23">
        <v>-200</v>
      </c>
      <c r="D11" s="23"/>
      <c r="E11" s="23"/>
      <c r="F11" s="23"/>
      <c r="G11" s="8">
        <f t="shared" si="0"/>
        <v>0</v>
      </c>
    </row>
    <row r="12" spans="1:7" x14ac:dyDescent="0.25">
      <c r="A12" s="24" t="s">
        <v>81</v>
      </c>
      <c r="B12" s="46">
        <v>16</v>
      </c>
      <c r="C12" s="23">
        <v>-16</v>
      </c>
      <c r="D12" s="23"/>
      <c r="E12" s="23"/>
      <c r="F12" s="23"/>
      <c r="G12" s="8">
        <f t="shared" si="0"/>
        <v>0</v>
      </c>
    </row>
    <row r="13" spans="1:7" x14ac:dyDescent="0.25">
      <c r="A13" s="24" t="s">
        <v>83</v>
      </c>
      <c r="B13" s="46">
        <v>16</v>
      </c>
      <c r="C13" s="23">
        <v>-16</v>
      </c>
      <c r="D13" s="23"/>
      <c r="E13" s="23"/>
      <c r="F13" s="23"/>
      <c r="G13" s="8">
        <f t="shared" si="0"/>
        <v>0</v>
      </c>
    </row>
    <row r="14" spans="1:7" x14ac:dyDescent="0.25">
      <c r="A14" s="24" t="s">
        <v>82</v>
      </c>
      <c r="B14" s="46">
        <v>8</v>
      </c>
      <c r="C14" s="23">
        <v>-8</v>
      </c>
      <c r="D14" s="23"/>
      <c r="E14" s="23"/>
      <c r="F14" s="23"/>
      <c r="G14" s="8">
        <f t="shared" si="0"/>
        <v>0</v>
      </c>
    </row>
    <row r="15" spans="1:7" x14ac:dyDescent="0.25">
      <c r="A15" s="24" t="s">
        <v>32</v>
      </c>
      <c r="B15" s="46">
        <v>1</v>
      </c>
      <c r="C15" s="23">
        <v>-1</v>
      </c>
      <c r="D15" s="23"/>
      <c r="E15" s="23"/>
      <c r="F15" s="23"/>
      <c r="G15" s="8">
        <f t="shared" si="0"/>
        <v>0</v>
      </c>
    </row>
    <row r="16" spans="1:7" x14ac:dyDescent="0.25">
      <c r="A16" s="19" t="s">
        <v>15</v>
      </c>
      <c r="B16" s="11">
        <v>0.16527777777777777</v>
      </c>
      <c r="C16" s="25">
        <v>0.44791666666666669</v>
      </c>
      <c r="D16" s="25"/>
      <c r="E16" s="25"/>
      <c r="F16" s="25"/>
      <c r="G16" s="2">
        <f t="shared" si="0"/>
        <v>0.61319444444444449</v>
      </c>
    </row>
    <row r="17" spans="1:7" x14ac:dyDescent="0.25">
      <c r="A17" s="19" t="s">
        <v>16</v>
      </c>
      <c r="B17" s="26" t="s">
        <v>84</v>
      </c>
      <c r="C17" s="26" t="s">
        <v>84</v>
      </c>
      <c r="D17" s="26"/>
      <c r="E17" s="26"/>
      <c r="F17" s="26"/>
      <c r="G17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195C-FD77-4F6F-B125-7D278383F1D7}">
  <dimension ref="A1:G9"/>
  <sheetViews>
    <sheetView workbookViewId="0">
      <selection activeCell="C21" sqref="C21"/>
    </sheetView>
  </sheetViews>
  <sheetFormatPr baseColWidth="10" defaultRowHeight="15" x14ac:dyDescent="0.25"/>
  <cols>
    <col min="1" max="1" width="29.42578125" customWidth="1"/>
  </cols>
  <sheetData>
    <row r="1" spans="1:7" ht="18.75" x14ac:dyDescent="0.3">
      <c r="A1" s="126" t="s">
        <v>76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343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12888</v>
      </c>
      <c r="C4" s="3"/>
      <c r="D4" s="3"/>
      <c r="E4" s="3"/>
      <c r="F4" s="3"/>
      <c r="G4" s="18" t="s">
        <v>3</v>
      </c>
    </row>
    <row r="5" spans="1:7" x14ac:dyDescent="0.25">
      <c r="A5" s="19"/>
      <c r="B5" s="4">
        <v>45864</v>
      </c>
      <c r="C5" s="4"/>
      <c r="D5" s="4"/>
      <c r="E5" s="4"/>
      <c r="F5" s="4"/>
      <c r="G5" s="20">
        <v>45869</v>
      </c>
    </row>
    <row r="6" spans="1:7" x14ac:dyDescent="0.25">
      <c r="A6" s="21" t="s">
        <v>148</v>
      </c>
      <c r="B6" s="22">
        <v>8</v>
      </c>
      <c r="C6" s="23"/>
      <c r="D6" s="23"/>
      <c r="E6" s="23"/>
      <c r="F6" s="23"/>
      <c r="G6" s="8">
        <f t="shared" ref="G6:G8" si="0">SUM(B6:F6)</f>
        <v>8</v>
      </c>
    </row>
    <row r="7" spans="1:7" x14ac:dyDescent="0.25">
      <c r="A7" s="24" t="s">
        <v>30</v>
      </c>
      <c r="B7" s="22">
        <v>16</v>
      </c>
      <c r="C7" s="23"/>
      <c r="D7" s="23"/>
      <c r="E7" s="23"/>
      <c r="F7" s="23"/>
      <c r="G7" s="8">
        <f t="shared" si="0"/>
        <v>16</v>
      </c>
    </row>
    <row r="8" spans="1:7" x14ac:dyDescent="0.25">
      <c r="A8" s="19" t="s">
        <v>15</v>
      </c>
      <c r="B8" s="11">
        <v>0.35416666666666669</v>
      </c>
      <c r="C8" s="25"/>
      <c r="D8" s="25"/>
      <c r="E8" s="25"/>
      <c r="F8" s="25"/>
      <c r="G8" s="2">
        <f t="shared" si="0"/>
        <v>0.35416666666666669</v>
      </c>
    </row>
    <row r="9" spans="1:7" x14ac:dyDescent="0.25">
      <c r="A9" s="19" t="s">
        <v>16</v>
      </c>
      <c r="B9" s="26">
        <v>35000</v>
      </c>
      <c r="C9" s="26"/>
      <c r="D9" s="26"/>
      <c r="E9" s="26"/>
      <c r="F9" s="26"/>
      <c r="G9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2F59-67AE-4C9E-B87D-7046109518C1}">
  <dimension ref="A1:G9"/>
  <sheetViews>
    <sheetView workbookViewId="0">
      <selection activeCell="B21" sqref="B21"/>
    </sheetView>
  </sheetViews>
  <sheetFormatPr baseColWidth="10" defaultRowHeight="15" x14ac:dyDescent="0.25"/>
  <cols>
    <col min="1" max="1" width="22.42578125" customWidth="1"/>
  </cols>
  <sheetData>
    <row r="1" spans="1:7" ht="18.75" x14ac:dyDescent="0.3">
      <c r="A1" s="126" t="s">
        <v>344</v>
      </c>
      <c r="B1" s="127"/>
      <c r="C1" s="127"/>
      <c r="D1" s="127"/>
      <c r="E1" s="127"/>
      <c r="F1" s="127"/>
      <c r="G1" s="153"/>
    </row>
    <row r="2" spans="1:7" ht="18.75" x14ac:dyDescent="0.3">
      <c r="A2" s="128" t="s">
        <v>345</v>
      </c>
      <c r="B2" s="120"/>
      <c r="C2" s="120"/>
      <c r="D2" s="120"/>
      <c r="E2" s="120"/>
      <c r="F2" s="120"/>
      <c r="G2" s="152"/>
    </row>
    <row r="3" spans="1:7" ht="18.75" x14ac:dyDescent="0.3">
      <c r="A3" s="128" t="s">
        <v>19</v>
      </c>
      <c r="B3" s="120"/>
      <c r="C3" s="120"/>
      <c r="D3" s="120"/>
      <c r="E3" s="120"/>
      <c r="F3" s="120"/>
      <c r="G3" s="120"/>
    </row>
    <row r="4" spans="1:7" x14ac:dyDescent="0.25">
      <c r="A4" s="17" t="s">
        <v>2</v>
      </c>
      <c r="B4" s="3">
        <v>12883</v>
      </c>
      <c r="C4" s="3">
        <v>11669</v>
      </c>
      <c r="D4" s="3"/>
      <c r="E4" s="3"/>
      <c r="F4" s="3"/>
      <c r="G4" s="18" t="s">
        <v>3</v>
      </c>
    </row>
    <row r="5" spans="1:7" x14ac:dyDescent="0.25">
      <c r="A5" s="19"/>
      <c r="B5" s="4">
        <v>45862</v>
      </c>
      <c r="C5" s="4">
        <v>45863</v>
      </c>
      <c r="D5" s="4"/>
      <c r="E5" s="4"/>
      <c r="F5" s="4"/>
      <c r="G5" s="20">
        <v>45869</v>
      </c>
    </row>
    <row r="6" spans="1:7" x14ac:dyDescent="0.25">
      <c r="A6" s="21" t="s">
        <v>346</v>
      </c>
      <c r="B6" s="22">
        <v>12</v>
      </c>
      <c r="C6" s="23">
        <v>-12</v>
      </c>
      <c r="D6" s="23"/>
      <c r="E6" s="23"/>
      <c r="F6" s="23"/>
      <c r="G6" s="8">
        <f t="shared" ref="G6:G8" si="0">SUM(B6:F6)</f>
        <v>0</v>
      </c>
    </row>
    <row r="7" spans="1:7" x14ac:dyDescent="0.25">
      <c r="A7" s="24" t="s">
        <v>263</v>
      </c>
      <c r="B7" s="22">
        <v>12</v>
      </c>
      <c r="C7" s="23">
        <v>-12</v>
      </c>
      <c r="D7" s="23"/>
      <c r="E7" s="23"/>
      <c r="F7" s="23"/>
      <c r="G7" s="8">
        <f t="shared" si="0"/>
        <v>0</v>
      </c>
    </row>
    <row r="8" spans="1:7" x14ac:dyDescent="0.25">
      <c r="A8" s="19" t="s">
        <v>15</v>
      </c>
      <c r="B8" s="11">
        <v>0.125</v>
      </c>
      <c r="C8" s="25">
        <v>0.125</v>
      </c>
      <c r="D8" s="25"/>
      <c r="E8" s="25"/>
      <c r="F8" s="25"/>
      <c r="G8" s="2">
        <f t="shared" si="0"/>
        <v>0.25</v>
      </c>
    </row>
    <row r="9" spans="1:7" x14ac:dyDescent="0.25">
      <c r="A9" s="19" t="s">
        <v>16</v>
      </c>
      <c r="B9" s="26">
        <v>7500</v>
      </c>
      <c r="C9" s="26">
        <v>7500</v>
      </c>
      <c r="D9" s="26"/>
      <c r="E9" s="26"/>
      <c r="F9" s="26"/>
      <c r="G9" s="2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84C7-3AAB-43F0-9B9D-D6A2C641524C}">
  <dimension ref="A1:I12"/>
  <sheetViews>
    <sheetView workbookViewId="0">
      <selection activeCell="H20" sqref="H20"/>
    </sheetView>
  </sheetViews>
  <sheetFormatPr baseColWidth="10" defaultRowHeight="15" x14ac:dyDescent="0.25"/>
  <cols>
    <col min="1" max="1" width="28.5703125" customWidth="1"/>
    <col min="2" max="2" width="14.85546875" customWidth="1"/>
    <col min="9" max="9" width="14.28515625" customWidth="1"/>
  </cols>
  <sheetData>
    <row r="1" spans="1:9" ht="18.75" x14ac:dyDescent="0.3">
      <c r="A1" s="119" t="s">
        <v>33</v>
      </c>
      <c r="B1" s="120"/>
      <c r="C1" s="120"/>
      <c r="D1" s="120"/>
      <c r="E1" s="120"/>
      <c r="F1" s="120"/>
      <c r="G1" s="120"/>
      <c r="H1" s="120"/>
      <c r="I1" s="121"/>
    </row>
    <row r="2" spans="1:9" ht="18.75" x14ac:dyDescent="0.3">
      <c r="A2" s="119" t="s">
        <v>34</v>
      </c>
      <c r="B2" s="120"/>
      <c r="C2" s="120"/>
      <c r="D2" s="120"/>
      <c r="E2" s="120"/>
      <c r="F2" s="120"/>
      <c r="G2" s="120"/>
      <c r="H2" s="120"/>
      <c r="I2" s="121"/>
    </row>
    <row r="3" spans="1:9" ht="18.75" x14ac:dyDescent="0.3">
      <c r="A3" s="119" t="s">
        <v>9</v>
      </c>
      <c r="B3" s="120"/>
      <c r="C3" s="120"/>
      <c r="D3" s="120"/>
      <c r="E3" s="120"/>
      <c r="F3" s="120"/>
      <c r="G3" s="120"/>
      <c r="H3" s="120"/>
      <c r="I3" s="121"/>
    </row>
    <row r="4" spans="1:9" x14ac:dyDescent="0.25">
      <c r="A4" s="122" t="s">
        <v>2</v>
      </c>
      <c r="B4" s="1" t="s">
        <v>3</v>
      </c>
      <c r="C4" s="2">
        <v>11634</v>
      </c>
      <c r="D4" s="2">
        <v>11662</v>
      </c>
      <c r="E4" s="2">
        <v>12886</v>
      </c>
      <c r="F4" s="2">
        <v>12887</v>
      </c>
      <c r="G4" s="2">
        <v>11670</v>
      </c>
      <c r="H4" s="2">
        <v>11676</v>
      </c>
      <c r="I4" s="1" t="s">
        <v>4</v>
      </c>
    </row>
    <row r="5" spans="1:9" x14ac:dyDescent="0.25">
      <c r="A5" s="123"/>
      <c r="B5" s="4">
        <v>45838</v>
      </c>
      <c r="C5" s="4">
        <v>45849</v>
      </c>
      <c r="D5" s="4">
        <v>45861</v>
      </c>
      <c r="E5" s="4">
        <v>45863</v>
      </c>
      <c r="F5" s="4">
        <v>45863</v>
      </c>
      <c r="G5" s="4">
        <v>45863</v>
      </c>
      <c r="H5" s="4">
        <v>45868</v>
      </c>
      <c r="I5" s="4">
        <v>45869</v>
      </c>
    </row>
    <row r="6" spans="1:9" x14ac:dyDescent="0.25">
      <c r="A6" s="5" t="s">
        <v>35</v>
      </c>
      <c r="B6" s="6">
        <v>6</v>
      </c>
      <c r="C6" s="7">
        <v>-3</v>
      </c>
      <c r="D6" s="7">
        <v>-3</v>
      </c>
      <c r="E6" s="7"/>
      <c r="F6" s="7"/>
      <c r="G6" s="7"/>
      <c r="H6" s="7"/>
      <c r="I6" s="8">
        <f>SUM(B6:D6)</f>
        <v>0</v>
      </c>
    </row>
    <row r="7" spans="1:9" x14ac:dyDescent="0.25">
      <c r="A7" s="5" t="s">
        <v>36</v>
      </c>
      <c r="B7" s="6">
        <v>5</v>
      </c>
      <c r="C7" s="7">
        <v>-4</v>
      </c>
      <c r="D7" s="7"/>
      <c r="E7" s="7"/>
      <c r="F7" s="7"/>
      <c r="G7" s="7"/>
      <c r="H7" s="7">
        <v>-1</v>
      </c>
      <c r="I7" s="8">
        <f>SUM(B7:H7)</f>
        <v>0</v>
      </c>
    </row>
    <row r="8" spans="1:9" x14ac:dyDescent="0.25">
      <c r="A8" s="5" t="s">
        <v>341</v>
      </c>
      <c r="B8" s="6"/>
      <c r="C8" s="7"/>
      <c r="D8" s="7"/>
      <c r="E8" s="7">
        <v>4</v>
      </c>
      <c r="F8" s="7"/>
      <c r="G8" s="7">
        <v>-4</v>
      </c>
      <c r="H8" s="7"/>
      <c r="I8" s="8">
        <f>SUM(B8:G8)</f>
        <v>0</v>
      </c>
    </row>
    <row r="9" spans="1:9" x14ac:dyDescent="0.25">
      <c r="A9" s="5" t="s">
        <v>349</v>
      </c>
      <c r="B9" s="6"/>
      <c r="C9" s="7"/>
      <c r="D9" s="7"/>
      <c r="E9" s="7"/>
      <c r="F9" s="7">
        <v>10</v>
      </c>
      <c r="G9" s="7"/>
      <c r="H9" s="7"/>
      <c r="I9" s="8">
        <f>SUM(B9:F9)</f>
        <v>10</v>
      </c>
    </row>
    <row r="10" spans="1:9" x14ac:dyDescent="0.25">
      <c r="A10" s="9" t="s">
        <v>7</v>
      </c>
      <c r="B10" s="10"/>
      <c r="C10" s="11">
        <v>0.16666666666666666</v>
      </c>
      <c r="D10" s="11">
        <v>0.1875</v>
      </c>
      <c r="E10" s="11">
        <v>0.39583333333333331</v>
      </c>
      <c r="F10" s="11">
        <v>7.2916666666666671E-2</v>
      </c>
      <c r="G10" s="11">
        <v>0.19513888888888889</v>
      </c>
      <c r="H10" s="11">
        <v>0.4375</v>
      </c>
      <c r="I10" s="2"/>
    </row>
    <row r="11" spans="1:9" x14ac:dyDescent="0.25">
      <c r="A11" s="9" t="s">
        <v>8</v>
      </c>
      <c r="B11" s="13"/>
      <c r="C11" s="11" t="s">
        <v>240</v>
      </c>
      <c r="D11" s="14" t="s">
        <v>211</v>
      </c>
      <c r="E11" s="14" t="s">
        <v>351</v>
      </c>
      <c r="F11" s="14" t="s">
        <v>350</v>
      </c>
      <c r="G11" s="14" t="s">
        <v>342</v>
      </c>
      <c r="H11" s="14" t="s">
        <v>211</v>
      </c>
      <c r="I11" s="15"/>
    </row>
    <row r="12" spans="1:9" x14ac:dyDescent="0.25">
      <c r="B12">
        <f>SUM(B7:B8)</f>
        <v>5</v>
      </c>
      <c r="C12">
        <f>SUM(C7:C8)</f>
        <v>-4</v>
      </c>
      <c r="E12">
        <f>SUM(E7:E8)</f>
        <v>4</v>
      </c>
      <c r="F12">
        <f>SUM(F7:F8)</f>
        <v>0</v>
      </c>
      <c r="G12">
        <f>SUM(G7:G8)</f>
        <v>-4</v>
      </c>
      <c r="H12">
        <f>SUM(H7:H8)</f>
        <v>-1</v>
      </c>
    </row>
  </sheetData>
  <mergeCells count="4">
    <mergeCell ref="A1:I1"/>
    <mergeCell ref="A2:I2"/>
    <mergeCell ref="A3:I3"/>
    <mergeCell ref="A4:A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021D-2007-42E9-AC55-6FA9686C7541}">
  <dimension ref="A1:E10"/>
  <sheetViews>
    <sheetView workbookViewId="0">
      <selection activeCell="A13" sqref="A13"/>
    </sheetView>
  </sheetViews>
  <sheetFormatPr baseColWidth="10" defaultRowHeight="15" x14ac:dyDescent="0.25"/>
  <cols>
    <col min="1" max="1" width="28.5703125" bestFit="1" customWidth="1"/>
    <col min="2" max="2" width="16.28515625" customWidth="1"/>
    <col min="3" max="3" width="15.5703125" customWidth="1"/>
    <col min="4" max="4" width="17.85546875" customWidth="1"/>
    <col min="5" max="5" width="18.85546875" customWidth="1"/>
  </cols>
  <sheetData>
    <row r="1" spans="1:5" ht="18.75" x14ac:dyDescent="0.3">
      <c r="A1" s="124" t="s">
        <v>37</v>
      </c>
      <c r="B1" s="124"/>
      <c r="C1" s="124"/>
      <c r="D1" s="124"/>
      <c r="E1" s="124"/>
    </row>
    <row r="2" spans="1:5" ht="18.75" x14ac:dyDescent="0.3">
      <c r="A2" s="124" t="s">
        <v>38</v>
      </c>
      <c r="B2" s="124"/>
      <c r="C2" s="124"/>
      <c r="D2" s="124"/>
      <c r="E2" s="124"/>
    </row>
    <row r="3" spans="1:5" ht="18.75" x14ac:dyDescent="0.3">
      <c r="A3" s="124" t="s">
        <v>19</v>
      </c>
      <c r="B3" s="124"/>
      <c r="C3" s="124"/>
      <c r="D3" s="124"/>
      <c r="E3" s="124"/>
    </row>
    <row r="4" spans="1:5" x14ac:dyDescent="0.25">
      <c r="A4" s="125" t="s">
        <v>2</v>
      </c>
      <c r="B4" s="2">
        <v>12815</v>
      </c>
      <c r="C4" s="2">
        <v>11614</v>
      </c>
      <c r="D4" s="2"/>
      <c r="E4" s="1" t="s">
        <v>3</v>
      </c>
    </row>
    <row r="5" spans="1:5" x14ac:dyDescent="0.25">
      <c r="A5" s="125"/>
      <c r="B5" s="4">
        <v>45836</v>
      </c>
      <c r="C5" s="4">
        <v>45840</v>
      </c>
      <c r="D5" s="4"/>
      <c r="E5" s="4">
        <v>45838</v>
      </c>
    </row>
    <row r="6" spans="1:5" x14ac:dyDescent="0.25">
      <c r="A6" s="39" t="s">
        <v>39</v>
      </c>
      <c r="B6" s="22">
        <v>4</v>
      </c>
      <c r="C6" s="7">
        <v>-4</v>
      </c>
      <c r="D6" s="7"/>
      <c r="E6" s="6">
        <f t="shared" ref="E6:E8" si="0">SUM(B6:D6)</f>
        <v>0</v>
      </c>
    </row>
    <row r="7" spans="1:5" x14ac:dyDescent="0.25">
      <c r="A7" s="39" t="s">
        <v>40</v>
      </c>
      <c r="B7" s="22">
        <v>4</v>
      </c>
      <c r="C7" s="7">
        <v>-4</v>
      </c>
      <c r="D7" s="7"/>
      <c r="E7" s="6">
        <f t="shared" si="0"/>
        <v>0</v>
      </c>
    </row>
    <row r="8" spans="1:5" x14ac:dyDescent="0.25">
      <c r="A8" s="39" t="s">
        <v>41</v>
      </c>
      <c r="B8" s="22">
        <v>2</v>
      </c>
      <c r="C8" s="7">
        <v>-2</v>
      </c>
      <c r="D8" s="7"/>
      <c r="E8" s="6">
        <f t="shared" si="0"/>
        <v>0</v>
      </c>
    </row>
    <row r="9" spans="1:5" x14ac:dyDescent="0.25">
      <c r="A9" s="9" t="s">
        <v>7</v>
      </c>
      <c r="B9" s="12">
        <v>0.46875</v>
      </c>
      <c r="C9" s="40">
        <v>0.31597222222222221</v>
      </c>
      <c r="D9" s="25"/>
      <c r="E9" s="41"/>
    </row>
    <row r="10" spans="1:5" x14ac:dyDescent="0.25">
      <c r="A10" s="9" t="s">
        <v>16</v>
      </c>
      <c r="B10" s="42">
        <v>7500</v>
      </c>
      <c r="C10" s="26">
        <v>7500</v>
      </c>
      <c r="D10" s="42"/>
      <c r="E10" s="43">
        <f>SUM(B10:D10)</f>
        <v>15000</v>
      </c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8EC7-BB3A-41E8-9B6C-AE7E47CE47D0}">
  <dimension ref="A1:Q24"/>
  <sheetViews>
    <sheetView workbookViewId="0">
      <selection activeCell="D4" sqref="D4"/>
    </sheetView>
  </sheetViews>
  <sheetFormatPr baseColWidth="10" defaultRowHeight="15" x14ac:dyDescent="0.25"/>
  <cols>
    <col min="1" max="1" width="31.28515625" customWidth="1"/>
    <col min="7" max="7" width="14.140625" customWidth="1"/>
  </cols>
  <sheetData>
    <row r="1" spans="1:7" ht="18.75" x14ac:dyDescent="0.25">
      <c r="A1" s="75" t="s">
        <v>154</v>
      </c>
      <c r="B1" s="66"/>
      <c r="C1" s="66"/>
      <c r="D1" s="66"/>
      <c r="E1" s="66"/>
      <c r="F1" s="66"/>
      <c r="G1" s="76"/>
    </row>
    <row r="2" spans="1:7" ht="18.75" x14ac:dyDescent="0.3">
      <c r="A2" s="77" t="s">
        <v>155</v>
      </c>
      <c r="B2" s="78"/>
      <c r="C2" s="78"/>
      <c r="D2" s="78"/>
      <c r="E2" s="78"/>
      <c r="F2" s="78"/>
      <c r="G2" s="67"/>
    </row>
    <row r="3" spans="1:7" ht="18.75" x14ac:dyDescent="0.25">
      <c r="A3" s="154" t="s">
        <v>158</v>
      </c>
      <c r="B3" s="155"/>
      <c r="C3" s="155"/>
      <c r="D3" s="155"/>
      <c r="E3" s="155"/>
      <c r="F3" s="155"/>
      <c r="G3" s="156"/>
    </row>
    <row r="4" spans="1:7" x14ac:dyDescent="0.25">
      <c r="A4" s="125" t="s">
        <v>2</v>
      </c>
      <c r="B4" s="1" t="s">
        <v>3</v>
      </c>
      <c r="C4" s="1">
        <v>11625</v>
      </c>
      <c r="D4" s="1"/>
      <c r="E4" s="1"/>
      <c r="F4" s="1"/>
      <c r="G4" s="22" t="s">
        <v>3</v>
      </c>
    </row>
    <row r="5" spans="1:7" x14ac:dyDescent="0.25">
      <c r="A5" s="125"/>
      <c r="B5" s="53">
        <v>45838</v>
      </c>
      <c r="C5" s="4">
        <v>45845</v>
      </c>
      <c r="D5" s="4"/>
      <c r="E5" s="53"/>
      <c r="F5" s="53"/>
      <c r="G5" s="68">
        <v>45869</v>
      </c>
    </row>
    <row r="6" spans="1:7" x14ac:dyDescent="0.25">
      <c r="A6" s="69" t="s">
        <v>156</v>
      </c>
      <c r="B6" s="8">
        <v>4</v>
      </c>
      <c r="C6" s="23">
        <v>-4</v>
      </c>
      <c r="D6" s="23"/>
      <c r="E6" s="70"/>
      <c r="F6" s="56"/>
      <c r="G6" s="71">
        <f t="shared" ref="G6:G8" si="0">SUM(B6:F6)</f>
        <v>0</v>
      </c>
    </row>
    <row r="7" spans="1:7" x14ac:dyDescent="0.25">
      <c r="A7" s="69" t="s">
        <v>55</v>
      </c>
      <c r="B7" s="8">
        <v>4</v>
      </c>
      <c r="C7" s="23">
        <v>-4</v>
      </c>
      <c r="D7" s="23"/>
      <c r="E7" s="70"/>
      <c r="F7" s="56"/>
      <c r="G7" s="71">
        <f t="shared" si="0"/>
        <v>0</v>
      </c>
    </row>
    <row r="8" spans="1:7" x14ac:dyDescent="0.25">
      <c r="A8" s="69" t="s">
        <v>157</v>
      </c>
      <c r="B8" s="8">
        <v>3</v>
      </c>
      <c r="C8" s="23">
        <v>-3</v>
      </c>
      <c r="D8" s="23"/>
      <c r="E8" s="70"/>
      <c r="F8" s="56"/>
      <c r="G8" s="71">
        <f t="shared" si="0"/>
        <v>0</v>
      </c>
    </row>
    <row r="9" spans="1:7" x14ac:dyDescent="0.25">
      <c r="A9" s="9" t="s">
        <v>15</v>
      </c>
      <c r="B9" s="11"/>
      <c r="C9" s="25">
        <v>0.19097222222222221</v>
      </c>
      <c r="D9" s="45"/>
      <c r="E9" s="25"/>
      <c r="F9" s="25"/>
      <c r="G9" s="72"/>
    </row>
    <row r="10" spans="1:7" x14ac:dyDescent="0.25">
      <c r="A10" s="9" t="s">
        <v>16</v>
      </c>
      <c r="B10" s="15"/>
      <c r="C10" s="15" t="s">
        <v>170</v>
      </c>
      <c r="D10" s="15"/>
      <c r="E10" s="14"/>
      <c r="F10" s="26"/>
      <c r="G10" s="15">
        <f>SUM(B10:F10)</f>
        <v>0</v>
      </c>
    </row>
    <row r="24" spans="17:17" x14ac:dyDescent="0.25">
      <c r="Q24">
        <v>11625</v>
      </c>
    </row>
  </sheetData>
  <mergeCells count="2">
    <mergeCell ref="A3:G3"/>
    <mergeCell ref="A4:A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7229-F402-4DBF-B357-323547073225}">
  <dimension ref="A1:F10"/>
  <sheetViews>
    <sheetView workbookViewId="0">
      <selection activeCell="C16" sqref="C16"/>
    </sheetView>
  </sheetViews>
  <sheetFormatPr baseColWidth="10" defaultRowHeight="15" x14ac:dyDescent="0.25"/>
  <cols>
    <col min="1" max="1" width="30.5703125" customWidth="1"/>
  </cols>
  <sheetData>
    <row r="1" spans="1:6" ht="18.75" x14ac:dyDescent="0.25">
      <c r="A1" s="157" t="s">
        <v>159</v>
      </c>
      <c r="B1" s="158"/>
      <c r="C1" s="158"/>
      <c r="D1" s="158"/>
      <c r="E1" s="158"/>
      <c r="F1" s="159"/>
    </row>
    <row r="2" spans="1:6" ht="18.75" x14ac:dyDescent="0.3">
      <c r="A2" s="119" t="s">
        <v>160</v>
      </c>
      <c r="B2" s="120"/>
      <c r="C2" s="120"/>
      <c r="D2" s="120"/>
      <c r="E2" s="120"/>
      <c r="F2" s="121"/>
    </row>
    <row r="3" spans="1:6" ht="18.75" x14ac:dyDescent="0.25">
      <c r="A3" s="154" t="s">
        <v>9</v>
      </c>
      <c r="B3" s="155"/>
      <c r="C3" s="155"/>
      <c r="D3" s="158"/>
      <c r="E3" s="158"/>
      <c r="F3" s="159"/>
    </row>
    <row r="4" spans="1:6" x14ac:dyDescent="0.25">
      <c r="A4" s="125" t="s">
        <v>2</v>
      </c>
      <c r="B4" s="22" t="s">
        <v>3</v>
      </c>
      <c r="C4" s="1"/>
      <c r="D4" s="1"/>
      <c r="E4" s="1"/>
      <c r="F4" s="22" t="s">
        <v>3</v>
      </c>
    </row>
    <row r="5" spans="1:6" x14ac:dyDescent="0.25">
      <c r="A5" s="125"/>
      <c r="B5" s="68">
        <v>45838</v>
      </c>
      <c r="C5" s="4"/>
      <c r="D5" s="53"/>
      <c r="E5" s="53"/>
      <c r="F5" s="68">
        <v>45869</v>
      </c>
    </row>
    <row r="6" spans="1:6" x14ac:dyDescent="0.25">
      <c r="A6" s="69" t="s">
        <v>156</v>
      </c>
      <c r="B6" s="8">
        <v>8</v>
      </c>
      <c r="C6" s="23"/>
      <c r="D6" s="70"/>
      <c r="E6" s="56"/>
      <c r="F6" s="71">
        <f t="shared" ref="F6:F8" si="0">SUM(B6:E6)</f>
        <v>8</v>
      </c>
    </row>
    <row r="7" spans="1:6" x14ac:dyDescent="0.25">
      <c r="A7" s="69" t="s">
        <v>55</v>
      </c>
      <c r="B7" s="8">
        <v>8</v>
      </c>
      <c r="C7" s="23"/>
      <c r="D7" s="70"/>
      <c r="E7" s="56"/>
      <c r="F7" s="71">
        <f t="shared" si="0"/>
        <v>8</v>
      </c>
    </row>
    <row r="8" spans="1:6" x14ac:dyDescent="0.25">
      <c r="A8" s="69" t="s">
        <v>161</v>
      </c>
      <c r="B8" s="8">
        <v>4</v>
      </c>
      <c r="C8" s="23"/>
      <c r="D8" s="70"/>
      <c r="E8" s="56"/>
      <c r="F8" s="71">
        <f t="shared" si="0"/>
        <v>4</v>
      </c>
    </row>
    <row r="9" spans="1:6" x14ac:dyDescent="0.25">
      <c r="A9" s="9" t="s">
        <v>15</v>
      </c>
      <c r="B9" s="63"/>
      <c r="C9" s="45"/>
      <c r="D9" s="25"/>
      <c r="E9" s="25"/>
      <c r="F9" s="72"/>
    </row>
    <row r="10" spans="1:6" x14ac:dyDescent="0.25">
      <c r="A10" s="9" t="s">
        <v>16</v>
      </c>
      <c r="B10" s="79"/>
      <c r="C10" s="15"/>
      <c r="D10" s="14"/>
      <c r="E10" s="26"/>
      <c r="F10" s="15">
        <f>SUM(B10:E10)</f>
        <v>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18A-574E-42BA-8FD5-507C96725E34}">
  <dimension ref="A1:G8"/>
  <sheetViews>
    <sheetView workbookViewId="0">
      <selection activeCell="H15" sqref="H15"/>
    </sheetView>
  </sheetViews>
  <sheetFormatPr baseColWidth="10" defaultRowHeight="15" x14ac:dyDescent="0.25"/>
  <cols>
    <col min="1" max="1" width="44.7109375" customWidth="1"/>
  </cols>
  <sheetData>
    <row r="1" spans="1:7" ht="18.75" x14ac:dyDescent="0.3">
      <c r="A1" s="119" t="s">
        <v>96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97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 t="s">
        <v>99</v>
      </c>
      <c r="C4" s="2">
        <v>11613</v>
      </c>
      <c r="D4" s="1"/>
      <c r="E4" s="1"/>
      <c r="F4" s="1"/>
      <c r="G4" s="22" t="s">
        <v>4</v>
      </c>
    </row>
    <row r="5" spans="1:7" x14ac:dyDescent="0.25">
      <c r="A5" s="123"/>
      <c r="B5" s="4">
        <v>45838</v>
      </c>
      <c r="C5" s="4">
        <v>45839</v>
      </c>
      <c r="D5" s="4"/>
      <c r="E5" s="4"/>
      <c r="F5" s="4"/>
      <c r="G5" s="20">
        <v>45869</v>
      </c>
    </row>
    <row r="6" spans="1:7" x14ac:dyDescent="0.25">
      <c r="A6" s="5" t="s">
        <v>100</v>
      </c>
      <c r="B6" s="6">
        <v>1</v>
      </c>
      <c r="C6" s="7">
        <v>-1</v>
      </c>
      <c r="D6" s="7"/>
      <c r="E6" s="7"/>
      <c r="F6" s="7"/>
      <c r="G6" s="8">
        <f t="shared" ref="G6" si="0">SUM(B6:F6)</f>
        <v>0</v>
      </c>
    </row>
    <row r="7" spans="1:7" x14ac:dyDescent="0.25">
      <c r="A7" s="9" t="s">
        <v>7</v>
      </c>
      <c r="B7" s="10"/>
      <c r="C7" s="11">
        <v>0.2048611111111111</v>
      </c>
      <c r="D7" s="12"/>
      <c r="E7" s="12"/>
      <c r="F7" s="12"/>
      <c r="G7" s="2"/>
    </row>
    <row r="8" spans="1:7" x14ac:dyDescent="0.25">
      <c r="A8" s="9" t="s">
        <v>8</v>
      </c>
      <c r="B8" s="13"/>
      <c r="C8" s="14" t="s">
        <v>98</v>
      </c>
      <c r="D8" s="12"/>
      <c r="E8" s="12"/>
      <c r="F8" s="14"/>
      <c r="G8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85DB-1FD6-4EE9-8DCE-34E93F6E38D3}">
  <dimension ref="A1:G8"/>
  <sheetViews>
    <sheetView workbookViewId="0">
      <selection activeCell="C15" sqref="C15"/>
    </sheetView>
  </sheetViews>
  <sheetFormatPr baseColWidth="10" defaultRowHeight="15" x14ac:dyDescent="0.25"/>
  <cols>
    <col min="1" max="1" width="35.140625" customWidth="1"/>
  </cols>
  <sheetData>
    <row r="1" spans="1:7" ht="18.75" x14ac:dyDescent="0.3">
      <c r="A1" s="119" t="s">
        <v>237</v>
      </c>
      <c r="B1" s="120"/>
      <c r="C1" s="120"/>
      <c r="D1" s="120"/>
      <c r="E1" s="120"/>
      <c r="F1" s="120"/>
      <c r="G1" s="121"/>
    </row>
    <row r="2" spans="1:7" ht="18.75" x14ac:dyDescent="0.3">
      <c r="A2" s="119" t="s">
        <v>239</v>
      </c>
      <c r="B2" s="120"/>
      <c r="C2" s="120"/>
      <c r="D2" s="120"/>
      <c r="E2" s="120"/>
      <c r="F2" s="120"/>
      <c r="G2" s="121"/>
    </row>
    <row r="3" spans="1:7" ht="18.75" x14ac:dyDescent="0.3">
      <c r="A3" s="119" t="s">
        <v>9</v>
      </c>
      <c r="B3" s="120"/>
      <c r="C3" s="120"/>
      <c r="D3" s="120"/>
      <c r="E3" s="120"/>
      <c r="F3" s="120"/>
      <c r="G3" s="121"/>
    </row>
    <row r="4" spans="1:7" x14ac:dyDescent="0.25">
      <c r="A4" s="122" t="s">
        <v>2</v>
      </c>
      <c r="B4" s="1">
        <v>12839</v>
      </c>
      <c r="C4" s="2">
        <v>11636</v>
      </c>
      <c r="D4" s="1"/>
      <c r="E4" s="1"/>
      <c r="F4" s="1"/>
      <c r="G4" s="22" t="s">
        <v>4</v>
      </c>
    </row>
    <row r="5" spans="1:7" x14ac:dyDescent="0.25">
      <c r="A5" s="123"/>
      <c r="B5" s="4">
        <v>45848</v>
      </c>
      <c r="C5" s="4">
        <v>45850</v>
      </c>
      <c r="D5" s="4"/>
      <c r="E5" s="4"/>
      <c r="F5" s="4"/>
      <c r="G5" s="20">
        <v>45869</v>
      </c>
    </row>
    <row r="6" spans="1:7" x14ac:dyDescent="0.25">
      <c r="A6" s="5" t="s">
        <v>238</v>
      </c>
      <c r="B6" s="6">
        <v>1</v>
      </c>
      <c r="C6" s="7">
        <v>-1</v>
      </c>
      <c r="D6" s="7"/>
      <c r="E6" s="7"/>
      <c r="F6" s="7"/>
      <c r="G6" s="8">
        <f t="shared" ref="G6" si="0">SUM(B6:F6)</f>
        <v>0</v>
      </c>
    </row>
    <row r="7" spans="1:7" x14ac:dyDescent="0.25">
      <c r="A7" s="9" t="s">
        <v>7</v>
      </c>
      <c r="B7" s="10"/>
      <c r="C7" s="11">
        <v>0.5</v>
      </c>
      <c r="D7" s="12"/>
      <c r="E7" s="12"/>
      <c r="F7" s="12"/>
      <c r="G7" s="2"/>
    </row>
    <row r="8" spans="1:7" x14ac:dyDescent="0.25">
      <c r="A8" s="9" t="s">
        <v>8</v>
      </c>
      <c r="B8" s="13"/>
      <c r="C8" s="14" t="s">
        <v>24</v>
      </c>
      <c r="D8" s="12"/>
      <c r="E8" s="12"/>
      <c r="F8" s="14"/>
      <c r="G8" s="15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C59F-6D7B-4C45-84F1-FEC05FBFC4CD}">
  <dimension ref="A1:G18"/>
  <sheetViews>
    <sheetView workbookViewId="0">
      <selection activeCell="I15" sqref="I15"/>
    </sheetView>
  </sheetViews>
  <sheetFormatPr baseColWidth="10" defaultRowHeight="15" x14ac:dyDescent="0.25"/>
  <cols>
    <col min="1" max="1" width="29.28515625" customWidth="1"/>
    <col min="2" max="2" width="12.7109375" customWidth="1"/>
    <col min="5" max="5" width="15.85546875" customWidth="1"/>
  </cols>
  <sheetData>
    <row r="1" spans="1:5" ht="18.75" x14ac:dyDescent="0.3">
      <c r="A1" s="124" t="s">
        <v>151</v>
      </c>
      <c r="B1" s="124"/>
      <c r="C1" s="124"/>
      <c r="D1" s="124"/>
      <c r="E1" s="124"/>
    </row>
    <row r="2" spans="1:5" ht="18.75" x14ac:dyDescent="0.3">
      <c r="A2" s="124" t="s">
        <v>152</v>
      </c>
      <c r="B2" s="124"/>
      <c r="C2" s="124"/>
      <c r="D2" s="124"/>
      <c r="E2" s="124"/>
    </row>
    <row r="3" spans="1:5" ht="18.75" x14ac:dyDescent="0.3">
      <c r="A3" s="124" t="s">
        <v>19</v>
      </c>
      <c r="B3" s="124"/>
      <c r="C3" s="124"/>
      <c r="D3" s="124"/>
      <c r="E3" s="124"/>
    </row>
    <row r="4" spans="1:5" x14ac:dyDescent="0.25">
      <c r="A4" s="125" t="s">
        <v>2</v>
      </c>
      <c r="B4" s="8" t="s">
        <v>3</v>
      </c>
      <c r="C4" s="2"/>
      <c r="D4" s="2"/>
      <c r="E4" s="22" t="s">
        <v>3</v>
      </c>
    </row>
    <row r="5" spans="1:5" x14ac:dyDescent="0.25">
      <c r="A5" s="125"/>
      <c r="B5" s="20">
        <v>45838</v>
      </c>
      <c r="C5" s="4"/>
      <c r="D5" s="4"/>
      <c r="E5" s="20">
        <v>45869</v>
      </c>
    </row>
    <row r="6" spans="1:5" x14ac:dyDescent="0.25">
      <c r="A6" s="39" t="s">
        <v>55</v>
      </c>
      <c r="B6" s="22">
        <v>8</v>
      </c>
      <c r="C6" s="7"/>
      <c r="D6" s="7"/>
      <c r="E6" s="6">
        <f t="shared" ref="E6:E8" si="0">SUM(B6:D6)</f>
        <v>8</v>
      </c>
    </row>
    <row r="7" spans="1:5" x14ac:dyDescent="0.25">
      <c r="A7" s="39" t="s">
        <v>40</v>
      </c>
      <c r="B7" s="22">
        <v>7</v>
      </c>
      <c r="C7" s="7"/>
      <c r="D7" s="7"/>
      <c r="E7" s="6">
        <f t="shared" si="0"/>
        <v>7</v>
      </c>
    </row>
    <row r="8" spans="1:5" x14ac:dyDescent="0.25">
      <c r="A8" s="39" t="s">
        <v>153</v>
      </c>
      <c r="B8" s="22">
        <v>2</v>
      </c>
      <c r="C8" s="7"/>
      <c r="D8" s="7"/>
      <c r="E8" s="6">
        <f t="shared" si="0"/>
        <v>2</v>
      </c>
    </row>
    <row r="9" spans="1:5" x14ac:dyDescent="0.25">
      <c r="A9" s="39" t="s">
        <v>147</v>
      </c>
      <c r="B9" s="22">
        <v>6</v>
      </c>
      <c r="C9" s="7"/>
      <c r="D9" s="7"/>
      <c r="E9" s="6">
        <f>SUM(B9:D9)</f>
        <v>6</v>
      </c>
    </row>
    <row r="10" spans="1:5" x14ac:dyDescent="0.25">
      <c r="A10" s="39" t="s">
        <v>78</v>
      </c>
      <c r="B10" s="22">
        <v>1</v>
      </c>
      <c r="C10" s="7"/>
      <c r="D10" s="7"/>
      <c r="E10" s="6">
        <f>SUM(B10:D10)</f>
        <v>1</v>
      </c>
    </row>
    <row r="11" spans="1:5" x14ac:dyDescent="0.25">
      <c r="A11" s="39" t="s">
        <v>141</v>
      </c>
      <c r="B11" s="22">
        <v>25</v>
      </c>
      <c r="C11" s="7"/>
      <c r="D11" s="7"/>
      <c r="E11" s="6">
        <f>SUM(B11:D11)</f>
        <v>25</v>
      </c>
    </row>
    <row r="12" spans="1:5" x14ac:dyDescent="0.25">
      <c r="A12" s="39" t="s">
        <v>148</v>
      </c>
      <c r="B12" s="22">
        <v>2</v>
      </c>
      <c r="C12" s="7"/>
      <c r="D12" s="7"/>
      <c r="E12" s="6">
        <f>SUM(B12:D12)</f>
        <v>2</v>
      </c>
    </row>
    <row r="13" spans="1:5" x14ac:dyDescent="0.25">
      <c r="A13" s="39" t="s">
        <v>30</v>
      </c>
      <c r="B13" s="22">
        <v>2</v>
      </c>
      <c r="C13" s="7"/>
      <c r="D13" s="7"/>
      <c r="E13" s="6">
        <f>SUM(B13:D13)</f>
        <v>2</v>
      </c>
    </row>
    <row r="14" spans="1:5" x14ac:dyDescent="0.25">
      <c r="A14" s="9" t="s">
        <v>7</v>
      </c>
      <c r="B14" s="49"/>
      <c r="C14" s="40"/>
      <c r="D14" s="25"/>
      <c r="E14" s="41"/>
    </row>
    <row r="15" spans="1:5" x14ac:dyDescent="0.25">
      <c r="A15" s="9" t="s">
        <v>16</v>
      </c>
      <c r="B15" s="48"/>
      <c r="C15" s="26"/>
      <c r="D15" s="42"/>
      <c r="E15" s="43">
        <f>SUM(C15:D15)</f>
        <v>0</v>
      </c>
    </row>
    <row r="18" spans="7:7" x14ac:dyDescent="0.25">
      <c r="G18" t="s">
        <v>413</v>
      </c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60</vt:i4>
      </vt:variant>
    </vt:vector>
  </HeadingPairs>
  <TitlesOfParts>
    <vt:vector size="60" baseType="lpstr">
      <vt:lpstr>ALQUIOBRAS</vt:lpstr>
      <vt:lpstr>JESUS PINZON</vt:lpstr>
      <vt:lpstr>ALEXANDRA CASTAÑEDA</vt:lpstr>
      <vt:lpstr>JAVIER GOMEZ</vt:lpstr>
      <vt:lpstr>JORDAN CARDENAS</vt:lpstr>
      <vt:lpstr>RAMIRO DULCEY</vt:lpstr>
      <vt:lpstr>EDIFICIO EL OASIS</vt:lpstr>
      <vt:lpstr>JOSE CAMACHO</vt:lpstr>
      <vt:lpstr>IVAN HERNANDEZ</vt:lpstr>
      <vt:lpstr>PEDRO VALBUENA EDWIN</vt:lpstr>
      <vt:lpstr>EDWIN BARBOSA</vt:lpstr>
      <vt:lpstr>CESAR CACERES</vt:lpstr>
      <vt:lpstr>WILSON PAEZ</vt:lpstr>
      <vt:lpstr>PEDRO VALBUENA</vt:lpstr>
      <vt:lpstr>GREGORIO HERNANDEZ</vt:lpstr>
      <vt:lpstr>alejandra castañeda</vt:lpstr>
      <vt:lpstr>JOSE ANGEL CAMACHO</vt:lpstr>
      <vt:lpstr>CRISTIAN ROJAS</vt:lpstr>
      <vt:lpstr>ELIZABETH ROMERO</vt:lpstr>
      <vt:lpstr>JUAN DE JESUS</vt:lpstr>
      <vt:lpstr>CAMILO</vt:lpstr>
      <vt:lpstr>STERICARE PLUSS</vt:lpstr>
      <vt:lpstr>CARLOS PARRA</vt:lpstr>
      <vt:lpstr>OSCAR RIOS</vt:lpstr>
      <vt:lpstr>CESAR AUGUSTO NIÑO</vt:lpstr>
      <vt:lpstr>ERACLIO BLANCO</vt:lpstr>
      <vt:lpstr>EDGARDO PICO</vt:lpstr>
      <vt:lpstr>LUIS AREVALO</vt:lpstr>
      <vt:lpstr>MARLON ROJAS</vt:lpstr>
      <vt:lpstr>EDUSYSTEMAS</vt:lpstr>
      <vt:lpstr>DIEGO GUTIERREZ</vt:lpstr>
      <vt:lpstr>DIGO GUTIERREZ VERIFICACION</vt:lpstr>
      <vt:lpstr>MELISSA PARRA</vt:lpstr>
      <vt:lpstr>CAMPESTRE NORTE</vt:lpstr>
      <vt:lpstr>VIDAL</vt:lpstr>
      <vt:lpstr>OMAR PABON</vt:lpstr>
      <vt:lpstr>JAVIER</vt:lpstr>
      <vt:lpstr>JAIME CLA</vt:lpstr>
      <vt:lpstr>PRODUCTOS ALIMENTOS ALINA</vt:lpstr>
      <vt:lpstr>COPOWER</vt:lpstr>
      <vt:lpstr>LUIS FRANCISCO</vt:lpstr>
      <vt:lpstr>INVERSIONES GY23</vt:lpstr>
      <vt:lpstr>RONALD CACERES</vt:lpstr>
      <vt:lpstr>JOSE REDIN FORERO</vt:lpstr>
      <vt:lpstr>NELSON HERNANDEZ</vt:lpstr>
      <vt:lpstr>EDWIN CALVETE</vt:lpstr>
      <vt:lpstr>CLAUDIA GIL</vt:lpstr>
      <vt:lpstr>IXA SAS</vt:lpstr>
      <vt:lpstr>JORGE ALFONSO</vt:lpstr>
      <vt:lpstr>BERNARDO ORTIZ</vt:lpstr>
      <vt:lpstr>EFRAIN</vt:lpstr>
      <vt:lpstr>EFRAIN SANTOS BAJOS</vt:lpstr>
      <vt:lpstr>ALBA HUMBERTO</vt:lpstr>
      <vt:lpstr>POLIMYS</vt:lpstr>
      <vt:lpstr>CARLOS URIEL</vt:lpstr>
      <vt:lpstr>NELSON BERNAL</vt:lpstr>
      <vt:lpstr>MARCOS ESCOPETA</vt:lpstr>
      <vt:lpstr>MARTHA LILIANA ROJAS</vt:lpstr>
      <vt:lpstr>CRISTIAN ROGELIS</vt:lpstr>
      <vt:lpstr>WILMER GELVES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2025-08-05T20:28:49Z</cp:lastPrinted>
  <dcterms:created xsi:type="dcterms:W3CDTF">2015-06-05T18:19:34Z</dcterms:created>
  <dcterms:modified xsi:type="dcterms:W3CDTF">2025-08-12T15:52:11Z</dcterms:modified>
</cp:coreProperties>
</file>
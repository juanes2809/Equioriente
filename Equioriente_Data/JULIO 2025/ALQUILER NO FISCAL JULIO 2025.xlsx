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5\JULIO 2025\"/>
    </mc:Choice>
  </mc:AlternateContent>
  <xr:revisionPtr revIDLastSave="0" documentId="13_ncr:1_{459A250C-8108-4B95-963D-F919916DDE5C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MARICEL FERNANDEZ" sheetId="1" r:id="rId1"/>
    <sheet name="WILSON PAEZ" sheetId="2" r:id="rId2"/>
    <sheet name="CAMPESTRE NORTE" sheetId="4" r:id="rId3"/>
    <sheet name="EFRAIN" sheetId="3" r:id="rId4"/>
    <sheet name="JAVIER" sheetId="5" r:id="rId5"/>
    <sheet name="EDGARDO PICO" sheetId="8" r:id="rId6"/>
    <sheet name="RONALD" sheetId="9" r:id="rId7"/>
    <sheet name="JOSE REDIN" sheetId="6" r:id="rId8"/>
    <sheet name="DIEGO GUTIERREZ" sheetId="7" r:id="rId9"/>
    <sheet name="CESAR CACERES" sheetId="11" r:id="rId10"/>
    <sheet name="NELSON HERNANDEZ" sheetId="13" r:id="rId11"/>
    <sheet name="PUERTO RICO CAMILO" sheetId="12" r:id="rId12"/>
    <sheet name="jorge romero" sheetId="10" r:id="rId13"/>
    <sheet name="WILMER GELVEZ" sheetId="15" r:id="rId14"/>
    <sheet name="CLAUDIA JEREZ GIL" sheetId="16" r:id="rId15"/>
    <sheet name="POLIMYS" sheetId="17" r:id="rId16"/>
    <sheet name="ALQUILER NI FISCAL JULIO 2025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4" l="1"/>
  <c r="F27" i="4"/>
  <c r="F28" i="4"/>
  <c r="F29" i="4"/>
  <c r="F30" i="4"/>
  <c r="F31" i="4"/>
  <c r="F32" i="4"/>
  <c r="F33" i="4"/>
  <c r="E26" i="4"/>
  <c r="E27" i="4"/>
  <c r="E28" i="4"/>
  <c r="E29" i="4"/>
  <c r="E30" i="4"/>
  <c r="E31" i="4"/>
  <c r="E32" i="4"/>
  <c r="E33" i="4"/>
  <c r="E50" i="16"/>
  <c r="F50" i="16"/>
  <c r="E48" i="16"/>
  <c r="F48" i="16" s="1"/>
  <c r="G100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65" i="14"/>
  <c r="F65" i="14"/>
  <c r="H65" i="14"/>
  <c r="F64" i="14"/>
  <c r="H64" i="14"/>
  <c r="F63" i="14"/>
  <c r="H63" i="14" s="1"/>
  <c r="E48" i="17"/>
  <c r="F48" i="17" s="1"/>
  <c r="E47" i="17"/>
  <c r="F47" i="17" s="1"/>
  <c r="E46" i="17"/>
  <c r="F46" i="17" s="1"/>
  <c r="E45" i="17"/>
  <c r="F45" i="17" s="1"/>
  <c r="E44" i="17"/>
  <c r="F44" i="17" s="1"/>
  <c r="F34" i="17"/>
  <c r="F33" i="17"/>
  <c r="E49" i="17" l="1"/>
  <c r="E22" i="17" l="1"/>
  <c r="F22" i="17" s="1"/>
  <c r="E20" i="17"/>
  <c r="F20" i="17" s="1"/>
  <c r="E23" i="17"/>
  <c r="F23" i="17" s="1"/>
  <c r="E19" i="17"/>
  <c r="F19" i="17" s="1"/>
  <c r="E21" i="17"/>
  <c r="F21" i="17" s="1"/>
  <c r="E24" i="17" l="1"/>
  <c r="E51" i="17" s="1"/>
  <c r="I9" i="17"/>
  <c r="I8" i="17"/>
  <c r="I7" i="17"/>
  <c r="I6" i="17"/>
  <c r="E49" i="16" l="1"/>
  <c r="F49" i="16" s="1"/>
  <c r="E46" i="16"/>
  <c r="F46" i="16" s="1"/>
  <c r="E45" i="16"/>
  <c r="F45" i="16" s="1"/>
  <c r="E43" i="16"/>
  <c r="F43" i="16" s="1"/>
  <c r="E42" i="16"/>
  <c r="F42" i="16" s="1"/>
  <c r="E41" i="16"/>
  <c r="F41" i="16" s="1"/>
  <c r="E40" i="16"/>
  <c r="F40" i="16" s="1"/>
  <c r="E39" i="16"/>
  <c r="F39" i="16" s="1"/>
  <c r="E38" i="16"/>
  <c r="F38" i="16" s="1"/>
  <c r="E37" i="16"/>
  <c r="F37" i="16" s="1"/>
  <c r="E36" i="16"/>
  <c r="F36" i="16" s="1"/>
  <c r="E35" i="16"/>
  <c r="F35" i="16" s="1"/>
  <c r="E34" i="16"/>
  <c r="F34" i="16" s="1"/>
  <c r="E33" i="16"/>
  <c r="F33" i="16" s="1"/>
  <c r="E32" i="16"/>
  <c r="F32" i="16" s="1"/>
  <c r="E31" i="16"/>
  <c r="F31" i="16" s="1"/>
  <c r="E30" i="16"/>
  <c r="F30" i="16" s="1"/>
  <c r="E51" i="16" s="1"/>
  <c r="E47" i="16"/>
  <c r="F47" i="16" s="1"/>
  <c r="E44" i="16"/>
  <c r="F44" i="16" s="1"/>
  <c r="E52" i="16" l="1"/>
  <c r="E54" i="16" s="1"/>
  <c r="V19" i="16" l="1"/>
  <c r="V18" i="16"/>
  <c r="V17" i="16"/>
  <c r="V16" i="16"/>
  <c r="V15" i="16"/>
  <c r="V14" i="16"/>
  <c r="V13" i="16"/>
  <c r="V12" i="16"/>
  <c r="V11" i="16"/>
  <c r="V10" i="16"/>
  <c r="V9" i="16"/>
  <c r="V8" i="16"/>
  <c r="V7" i="16"/>
  <c r="V6" i="16"/>
  <c r="H55" i="14"/>
  <c r="F62" i="14"/>
  <c r="H62" i="14" s="1"/>
  <c r="E34" i="15"/>
  <c r="E36" i="15" s="1"/>
  <c r="E15" i="15"/>
  <c r="E13" i="15"/>
  <c r="E12" i="15"/>
  <c r="E11" i="15"/>
  <c r="E10" i="15"/>
  <c r="E9" i="15"/>
  <c r="E8" i="15"/>
  <c r="E7" i="15"/>
  <c r="E6" i="15"/>
  <c r="E33" i="15"/>
  <c r="F33" i="15" s="1"/>
  <c r="E32" i="15"/>
  <c r="F32" i="15" s="1"/>
  <c r="E31" i="15"/>
  <c r="F31" i="15" s="1"/>
  <c r="E30" i="15"/>
  <c r="F30" i="15" s="1"/>
  <c r="E29" i="15"/>
  <c r="F29" i="15" s="1"/>
  <c r="E28" i="15"/>
  <c r="F28" i="15" s="1"/>
  <c r="E27" i="15"/>
  <c r="F27" i="15" s="1"/>
  <c r="F71" i="14"/>
  <c r="F45" i="14"/>
  <c r="F61" i="14"/>
  <c r="G61" i="14" s="1"/>
  <c r="F60" i="14"/>
  <c r="G60" i="14" s="1"/>
  <c r="F59" i="14"/>
  <c r="G59" i="14" s="1"/>
  <c r="F58" i="14"/>
  <c r="G58" i="14" s="1"/>
  <c r="F57" i="14"/>
  <c r="G57" i="14" s="1"/>
  <c r="F56" i="14"/>
  <c r="G56" i="14" s="1"/>
  <c r="F55" i="14"/>
  <c r="G55" i="14" s="1"/>
  <c r="F54" i="14"/>
  <c r="G54" i="14" s="1"/>
  <c r="F53" i="14"/>
  <c r="G53" i="14" s="1"/>
  <c r="F52" i="14"/>
  <c r="G52" i="14" s="1"/>
  <c r="F51" i="14"/>
  <c r="G51" i="14" s="1"/>
  <c r="H51" i="14" s="1"/>
  <c r="B49" i="14"/>
  <c r="F49" i="14" s="1"/>
  <c r="G49" i="14" s="1"/>
  <c r="B34" i="14"/>
  <c r="F34" i="14" s="1"/>
  <c r="F69" i="14"/>
  <c r="F50" i="14"/>
  <c r="F48" i="14"/>
  <c r="F47" i="14"/>
  <c r="F46" i="14"/>
  <c r="F44" i="14"/>
  <c r="G44" i="14" s="1"/>
  <c r="H44" i="14" s="1"/>
  <c r="F43" i="14"/>
  <c r="F42" i="14"/>
  <c r="F41" i="14"/>
  <c r="F40" i="14"/>
  <c r="G40" i="14" s="1"/>
  <c r="H40" i="14" s="1"/>
  <c r="F39" i="14"/>
  <c r="G39" i="14" s="1"/>
  <c r="F38" i="14"/>
  <c r="F37" i="14"/>
  <c r="F36" i="14"/>
  <c r="G36" i="14" s="1"/>
  <c r="H36" i="14" s="1"/>
  <c r="F35" i="14"/>
  <c r="F26" i="14"/>
  <c r="F22" i="14"/>
  <c r="F24" i="14" s="1"/>
  <c r="F18" i="14"/>
  <c r="B17" i="14"/>
  <c r="F17" i="14" s="1"/>
  <c r="H17" i="14" s="1"/>
  <c r="F16" i="14"/>
  <c r="G16" i="14" s="1"/>
  <c r="H16" i="14" s="1"/>
  <c r="F15" i="14"/>
  <c r="G15" i="14" s="1"/>
  <c r="B14" i="14"/>
  <c r="F14" i="14" s="1"/>
  <c r="F13" i="14"/>
  <c r="G13" i="14" s="1"/>
  <c r="F12" i="14"/>
  <c r="F11" i="14"/>
  <c r="G11" i="14" s="1"/>
  <c r="H11" i="14" s="1"/>
  <c r="F10" i="14"/>
  <c r="G10" i="14" s="1"/>
  <c r="H10" i="14" s="1"/>
  <c r="F9" i="14"/>
  <c r="G9" i="14" s="1"/>
  <c r="F8" i="14"/>
  <c r="G8" i="14" s="1"/>
  <c r="H8" i="14" s="1"/>
  <c r="F7" i="14"/>
  <c r="G7" i="14" s="1"/>
  <c r="H7" i="14" s="1"/>
  <c r="B6" i="14"/>
  <c r="F6" i="14" s="1"/>
  <c r="F5" i="14"/>
  <c r="G5" i="14" s="1"/>
  <c r="H5" i="14" s="1"/>
  <c r="B4" i="14"/>
  <c r="F4" i="14" s="1"/>
  <c r="F3" i="14"/>
  <c r="H60" i="14" l="1"/>
  <c r="H52" i="14"/>
  <c r="H59" i="14"/>
  <c r="H56" i="14"/>
  <c r="H58" i="14"/>
  <c r="H54" i="14"/>
  <c r="H61" i="14"/>
  <c r="H57" i="14"/>
  <c r="H53" i="14"/>
  <c r="G45" i="14"/>
  <c r="H45" i="14" s="1"/>
  <c r="G14" i="14"/>
  <c r="H14" i="14" s="1"/>
  <c r="G34" i="14"/>
  <c r="H15" i="14"/>
  <c r="G18" i="14"/>
  <c r="H18" i="14" s="1"/>
  <c r="H9" i="14"/>
  <c r="G4" i="14"/>
  <c r="H4" i="14" s="1"/>
  <c r="H49" i="14"/>
  <c r="H13" i="14"/>
  <c r="H39" i="14"/>
  <c r="G43" i="14"/>
  <c r="H43" i="14" s="1"/>
  <c r="G50" i="14"/>
  <c r="H50" i="14" s="1"/>
  <c r="G35" i="14"/>
  <c r="G46" i="14"/>
  <c r="H46" i="14" s="1"/>
  <c r="G37" i="14"/>
  <c r="H37" i="14" s="1"/>
  <c r="G42" i="14"/>
  <c r="H42" i="14" s="1"/>
  <c r="G48" i="14"/>
  <c r="H48" i="14" s="1"/>
  <c r="G38" i="14"/>
  <c r="H38" i="14" s="1"/>
  <c r="G41" i="14"/>
  <c r="H41" i="14" s="1"/>
  <c r="G47" i="14"/>
  <c r="H47" i="14" s="1"/>
  <c r="G6" i="14"/>
  <c r="H6" i="14" s="1"/>
  <c r="F19" i="14"/>
  <c r="H3" i="14"/>
  <c r="G12" i="14"/>
  <c r="H12" i="14" s="1"/>
  <c r="F72" i="14" l="1"/>
  <c r="H34" i="14"/>
  <c r="H35" i="14"/>
  <c r="H19" i="14"/>
  <c r="G19" i="14"/>
  <c r="F27" i="14" s="1"/>
  <c r="E35" i="13" l="1"/>
  <c r="E34" i="13"/>
  <c r="F34" i="13" s="1"/>
  <c r="E33" i="13"/>
  <c r="F33" i="13" s="1"/>
  <c r="E32" i="13"/>
  <c r="F32" i="13" s="1"/>
  <c r="E31" i="13"/>
  <c r="F31" i="13" s="1"/>
  <c r="F30" i="13"/>
  <c r="E30" i="13"/>
  <c r="E29" i="13"/>
  <c r="F29" i="13" s="1"/>
  <c r="F28" i="13"/>
  <c r="E28" i="13"/>
  <c r="E27" i="13"/>
  <c r="F27" i="13" s="1"/>
  <c r="F26" i="13"/>
  <c r="E26" i="13"/>
  <c r="G18" i="13"/>
  <c r="G16" i="13"/>
  <c r="G15" i="13"/>
  <c r="G14" i="13"/>
  <c r="G13" i="13"/>
  <c r="G12" i="13"/>
  <c r="G11" i="13"/>
  <c r="G10" i="13"/>
  <c r="G9" i="13"/>
  <c r="G8" i="13"/>
  <c r="G7" i="13"/>
  <c r="G6" i="13"/>
  <c r="G14" i="12"/>
  <c r="E26" i="12"/>
  <c r="F26" i="12" s="1"/>
  <c r="E25" i="12"/>
  <c r="F25" i="12" s="1"/>
  <c r="E24" i="12"/>
  <c r="F24" i="12" s="1"/>
  <c r="E23" i="12"/>
  <c r="F23" i="12" s="1"/>
  <c r="E22" i="12"/>
  <c r="F22" i="12" s="1"/>
  <c r="E21" i="12"/>
  <c r="E27" i="12" s="1"/>
  <c r="E36" i="13" l="1"/>
  <c r="E38" i="13" s="1"/>
  <c r="F21" i="12"/>
  <c r="E28" i="12" l="1"/>
  <c r="G13" i="12"/>
  <c r="G12" i="12"/>
  <c r="G11" i="12"/>
  <c r="G10" i="12"/>
  <c r="G9" i="12"/>
  <c r="G8" i="12"/>
  <c r="G7" i="12"/>
  <c r="G6" i="12"/>
  <c r="F53" i="11"/>
  <c r="F52" i="11"/>
  <c r="F51" i="11"/>
  <c r="F50" i="11"/>
  <c r="F49" i="11"/>
  <c r="E37" i="11"/>
  <c r="F37" i="11" s="1"/>
  <c r="E36" i="11"/>
  <c r="F36" i="11" s="1"/>
  <c r="E35" i="11"/>
  <c r="F35" i="11" s="1"/>
  <c r="E38" i="11" s="1"/>
  <c r="E40" i="11" s="1"/>
  <c r="F22" i="11"/>
  <c r="E22" i="11"/>
  <c r="F21" i="11"/>
  <c r="E21" i="11"/>
  <c r="F20" i="11"/>
  <c r="E20" i="11"/>
  <c r="F19" i="11"/>
  <c r="E23" i="11" s="1"/>
  <c r="E25" i="11" s="1"/>
  <c r="E28" i="11" s="1"/>
  <c r="E19" i="11"/>
  <c r="F11" i="11"/>
  <c r="F10" i="11"/>
  <c r="F9" i="11"/>
  <c r="F8" i="11"/>
  <c r="F7" i="11"/>
  <c r="F6" i="11"/>
  <c r="A50" i="7" l="1"/>
  <c r="E68" i="6"/>
  <c r="F68" i="6" s="1"/>
  <c r="E67" i="6"/>
  <c r="F67" i="6" s="1"/>
  <c r="E66" i="6"/>
  <c r="F66" i="6" s="1"/>
  <c r="E65" i="6"/>
  <c r="F65" i="6" s="1"/>
  <c r="E64" i="6"/>
  <c r="F64" i="6" s="1"/>
  <c r="E63" i="6"/>
  <c r="F63" i="6" s="1"/>
  <c r="E62" i="6"/>
  <c r="F62" i="6" s="1"/>
  <c r="E61" i="6"/>
  <c r="F61" i="6" s="1"/>
  <c r="E53" i="6"/>
  <c r="E52" i="6"/>
  <c r="E51" i="6"/>
  <c r="E50" i="6"/>
  <c r="E49" i="6"/>
  <c r="E48" i="6"/>
  <c r="E47" i="6"/>
  <c r="E46" i="6"/>
  <c r="E45" i="6"/>
  <c r="E44" i="6"/>
  <c r="E70" i="6" l="1"/>
  <c r="E69" i="6"/>
  <c r="F8" i="10" l="1"/>
  <c r="E8" i="10"/>
  <c r="F7" i="10"/>
  <c r="E7" i="10"/>
  <c r="F6" i="10"/>
  <c r="E6" i="10"/>
  <c r="F5" i="10"/>
  <c r="E10" i="10" s="1"/>
  <c r="E5" i="10"/>
  <c r="E9" i="10" s="1"/>
  <c r="F48" i="7" l="1"/>
  <c r="F47" i="7"/>
  <c r="E47" i="7"/>
  <c r="E23" i="7"/>
  <c r="G23" i="7" s="1"/>
  <c r="E24" i="7"/>
  <c r="G24" i="7" s="1"/>
  <c r="E22" i="7"/>
  <c r="G22" i="7" s="1"/>
  <c r="E21" i="7"/>
  <c r="G21" i="7" s="1"/>
  <c r="E35" i="9"/>
  <c r="F35" i="9" s="1"/>
  <c r="E34" i="9"/>
  <c r="F34" i="9" s="1"/>
  <c r="E33" i="9"/>
  <c r="F33" i="9" s="1"/>
  <c r="E32" i="9"/>
  <c r="F32" i="9" s="1"/>
  <c r="E31" i="9"/>
  <c r="F31" i="9" s="1"/>
  <c r="E30" i="9"/>
  <c r="F30" i="9" s="1"/>
  <c r="E29" i="9"/>
  <c r="F29" i="9" s="1"/>
  <c r="E28" i="9"/>
  <c r="F28" i="9" s="1"/>
  <c r="E27" i="9"/>
  <c r="F27" i="9" s="1"/>
  <c r="E26" i="9"/>
  <c r="D26" i="7" l="1"/>
  <c r="E36" i="9"/>
  <c r="F26" i="9"/>
  <c r="E37" i="9" s="1"/>
  <c r="E38" i="9" s="1"/>
  <c r="E40" i="9" s="1"/>
  <c r="F17" i="9" l="1"/>
  <c r="F16" i="9"/>
  <c r="F15" i="9"/>
  <c r="F14" i="9"/>
  <c r="F13" i="9"/>
  <c r="F12" i="9"/>
  <c r="F11" i="9"/>
  <c r="F10" i="9"/>
  <c r="F9" i="9"/>
  <c r="F8" i="9"/>
  <c r="F7" i="9"/>
  <c r="F6" i="9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40" i="8" s="1"/>
  <c r="E42" i="8" s="1"/>
  <c r="G21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F15" i="6" l="1"/>
  <c r="F14" i="6"/>
  <c r="F13" i="6"/>
  <c r="F12" i="6"/>
  <c r="F11" i="6"/>
  <c r="F10" i="6"/>
  <c r="F9" i="6"/>
  <c r="F8" i="6"/>
  <c r="F7" i="6"/>
  <c r="F6" i="6"/>
  <c r="E31" i="6" l="1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E29" i="5"/>
  <c r="E21" i="5"/>
  <c r="F21" i="5" s="1"/>
  <c r="E22" i="5"/>
  <c r="F22" i="5" s="1"/>
  <c r="E23" i="5"/>
  <c r="E24" i="5"/>
  <c r="F24" i="5" s="1"/>
  <c r="E20" i="5"/>
  <c r="F20" i="5"/>
  <c r="F23" i="5"/>
  <c r="G13" i="5"/>
  <c r="G12" i="5"/>
  <c r="G11" i="5"/>
  <c r="G10" i="5"/>
  <c r="G9" i="5"/>
  <c r="G8" i="5"/>
  <c r="G7" i="5"/>
  <c r="G6" i="5"/>
  <c r="E32" i="6" l="1"/>
  <c r="F24" i="6"/>
  <c r="E33" i="6" s="1"/>
  <c r="E35" i="6" s="1"/>
  <c r="E25" i="5"/>
  <c r="E27" i="5" s="1"/>
  <c r="E25" i="4" l="1"/>
  <c r="F25" i="4" s="1"/>
  <c r="E34" i="4" l="1"/>
  <c r="K15" i="4" l="1"/>
  <c r="K14" i="4"/>
  <c r="K13" i="4"/>
  <c r="K12" i="4"/>
  <c r="K11" i="4"/>
  <c r="K10" i="4"/>
  <c r="K9" i="4"/>
  <c r="K7" i="4"/>
  <c r="K6" i="4"/>
  <c r="F15" i="2"/>
  <c r="F13" i="2"/>
  <c r="F12" i="2"/>
  <c r="F11" i="2"/>
  <c r="F10" i="2"/>
  <c r="F9" i="2"/>
  <c r="F8" i="2"/>
  <c r="F7" i="2"/>
  <c r="F6" i="2"/>
  <c r="E36" i="2"/>
  <c r="F36" i="2" s="1"/>
  <c r="E35" i="2"/>
  <c r="F35" i="2" s="1"/>
  <c r="E38" i="2" l="1"/>
  <c r="F32" i="3" l="1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E33" i="3" s="1"/>
  <c r="E34" i="3" s="1"/>
  <c r="E36" i="3" s="1"/>
  <c r="G15" i="3" l="1"/>
  <c r="G14" i="3"/>
  <c r="G13" i="3"/>
  <c r="G12" i="3"/>
  <c r="G11" i="3"/>
  <c r="G10" i="3"/>
  <c r="G9" i="3"/>
  <c r="G8" i="3"/>
  <c r="G7" i="3"/>
  <c r="G6" i="3"/>
  <c r="E26" i="2"/>
  <c r="F26" i="2" s="1"/>
  <c r="E25" i="2"/>
  <c r="F25" i="2" s="1"/>
  <c r="E24" i="2"/>
  <c r="F24" i="2" s="1"/>
  <c r="E64" i="1"/>
  <c r="F64" i="1" s="1"/>
  <c r="F63" i="1"/>
  <c r="E66" i="1" s="1"/>
  <c r="E68" i="1" s="1"/>
  <c r="E70" i="1" s="1"/>
  <c r="E63" i="1"/>
  <c r="E65" i="1" s="1"/>
  <c r="F31" i="1"/>
  <c r="E31" i="1"/>
  <c r="E30" i="1"/>
  <c r="F30" i="1" s="1"/>
  <c r="F29" i="1"/>
  <c r="E29" i="1"/>
  <c r="E28" i="1"/>
  <c r="F28" i="1" s="1"/>
  <c r="F27" i="1"/>
  <c r="E33" i="1" s="1"/>
  <c r="E35" i="1" s="1"/>
  <c r="E27" i="1"/>
  <c r="E12" i="1"/>
  <c r="E14" i="1" s="1"/>
  <c r="F10" i="1"/>
  <c r="E10" i="1"/>
  <c r="E9" i="1"/>
  <c r="F9" i="1" s="1"/>
  <c r="F8" i="1"/>
  <c r="E8" i="1"/>
  <c r="E7" i="1"/>
  <c r="F7" i="1" s="1"/>
  <c r="F6" i="1"/>
  <c r="E6" i="1"/>
  <c r="E27" i="2" l="1"/>
  <c r="E40" i="2" s="1"/>
  <c r="E41" i="2" s="1"/>
  <c r="E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1" authorId="0" shapeId="0" xr:uid="{D6A45D8D-A699-4FD6-90E6-D6219A4535B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35 DE POLIMYS
1 DE 20
10 DE 25*1,20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1" authorId="0" shapeId="0" xr:uid="{6E5560FA-0A8A-4CBC-A70C-D31935F26AC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DE 20*60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tc={084D3F4A-9A2D-4AE6-A159-96481C964EB5}</author>
    <author>tc={43485F64-C6B6-4C8B-A054-DBA13DE50089}</author>
    <author>tc={4B1B2817-0AD0-4200-BA5A-B815C9B01659}</author>
    <author>Jimmy Jaimes</author>
  </authors>
  <commentList>
    <comment ref="B6" authorId="0" shapeId="0" xr:uid="{084D3F4A-9A2D-4AE6-A159-96481C964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DE ALQUIOBRAS
</t>
      </text>
    </comment>
    <comment ref="B44" authorId="1" shapeId="0" xr:uid="{43485F64-C6B6-4C8B-A054-DBA13DE5008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DE ALQUIOBRAS
</t>
      </text>
    </comment>
    <comment ref="B78" authorId="2" shapeId="0" xr:uid="{4B1B2817-0AD0-4200-BA5A-B815C9B0165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DE ALQUIOBRAS
</t>
      </text>
    </comment>
    <comment ref="C90" authorId="3" shapeId="0" xr:uid="{F2C6DEBD-3EDC-4F77-8A61-32C26D1765AA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4 POLY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5F832DA7-2C0A-4338-B27C-C0A15460DA3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13 POLY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4" authorId="0" shapeId="0" xr:uid="{D7756088-E414-48F6-950A-4DCB01082A5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0" shapeId="0" xr:uid="{5376022F-A257-4175-B0CE-9C56B350C62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HIZO EL 25 DE JULIO
</t>
        </r>
      </text>
    </comment>
  </commentList>
</comments>
</file>

<file path=xl/sharedStrings.xml><?xml version="1.0" encoding="utf-8"?>
<sst xmlns="http://schemas.openxmlformats.org/spreadsheetml/2006/main" count="1055" uniqueCount="442">
  <si>
    <t>JIMMY JAIMES CARRILLO 72185935</t>
  </si>
  <si>
    <t>MARICEL FERNANDEZ: 3144225419</t>
  </si>
  <si>
    <t>CARRERA 21 # 3A -03</t>
  </si>
  <si>
    <t>MATERIAL</t>
  </si>
  <si>
    <t>DETALLES</t>
  </si>
  <si>
    <t>COSTOS</t>
  </si>
  <si>
    <t>DIAS</t>
  </si>
  <si>
    <t>CANTIDAD</t>
  </si>
  <si>
    <t>VALOR</t>
  </si>
  <si>
    <t>COSTO DIARIO</t>
  </si>
  <si>
    <t>PRECIO DIARIO</t>
  </si>
  <si>
    <t>SECCIONES DE ANDAMIO 2MTS</t>
  </si>
  <si>
    <t>PLATAFORMAS DE ALUMINOI</t>
  </si>
  <si>
    <t>TABLON 3 MTS</t>
  </si>
  <si>
    <t>PARAL 3 MTS</t>
  </si>
  <si>
    <t>PARAL 2MTS</t>
  </si>
  <si>
    <t>TOTAL DIARIO iva incluido</t>
  </si>
  <si>
    <t>stand by 5 DIAS</t>
  </si>
  <si>
    <t>TRANSPORTE</t>
  </si>
  <si>
    <t xml:space="preserve">TOTAL DIAS </t>
  </si>
  <si>
    <t>REQUISITOS</t>
  </si>
  <si>
    <t>DEPOSITO</t>
  </si>
  <si>
    <t>RECIBI DEL INMUEBLEDE SERVICIOS PUBLICOS</t>
  </si>
  <si>
    <t>CEDULA CIUDADANIA</t>
  </si>
  <si>
    <t>FORMATO DE CLIENTES</t>
  </si>
  <si>
    <t>26-02 AL 19-05</t>
  </si>
  <si>
    <t>MARZO-ABRIL</t>
  </si>
  <si>
    <t>MARICEL FERNANDEZ</t>
  </si>
  <si>
    <t xml:space="preserve">                                                 CRA 21#39-09 TEL:3144225419</t>
  </si>
  <si>
    <t>MOVIMIENTO: MARZO/ 2025</t>
  </si>
  <si>
    <t>SALDO</t>
  </si>
  <si>
    <t>04-03-</t>
  </si>
  <si>
    <t>CRUCETAS 2 MTROS</t>
  </si>
  <si>
    <t>MARCOS DE 2 MTS X 0.90 MTS</t>
  </si>
  <si>
    <t xml:space="preserve">TABLONES DE 3 METRS </t>
  </si>
  <si>
    <t xml:space="preserve">PARAL DE 3 MTROS </t>
  </si>
  <si>
    <t>PARAL DE 2 MTROS</t>
  </si>
  <si>
    <t>PLATAFORMAS DE ALUMINIO</t>
  </si>
  <si>
    <t>HORA</t>
  </si>
  <si>
    <t>Transporte</t>
  </si>
  <si>
    <t>CRA 21 #3A-03</t>
  </si>
  <si>
    <t>26FEBRERO A JULIO 15</t>
  </si>
  <si>
    <t xml:space="preserve">TOTAL DIARIO </t>
  </si>
  <si>
    <t xml:space="preserve"> RECOGIDA</t>
  </si>
  <si>
    <t>15 DE JULIO</t>
  </si>
  <si>
    <t xml:space="preserve">DEPOSITO DE </t>
  </si>
  <si>
    <t>SALDO ADEUDADO HASTA EL 15 DE JULIO-2025</t>
  </si>
  <si>
    <t>WILSON PAEZ TEL: 3186463325</t>
  </si>
  <si>
    <t>HACIENDA SAN JUAN</t>
  </si>
  <si>
    <t>MOVIMIENTO: MARZO28  AJULIO9/ 2025</t>
  </si>
  <si>
    <t xml:space="preserve">SALDO </t>
  </si>
  <si>
    <t>FORMALETA DE 20*1.20</t>
  </si>
  <si>
    <t>ANGULOS DE 2,40</t>
  </si>
  <si>
    <t>CHAPETAS</t>
  </si>
  <si>
    <t>PARALES DE 3 MTROS</t>
  </si>
  <si>
    <t>MARCOS DE ANDAMIOS VERDES</t>
  </si>
  <si>
    <t>CRUCETAS DE 2.40</t>
  </si>
  <si>
    <t>TABLON CORTO</t>
  </si>
  <si>
    <t>TABLON DE 3 MTROS</t>
  </si>
  <si>
    <t>Hora</t>
  </si>
  <si>
    <t>DFP 249</t>
  </si>
  <si>
    <t xml:space="preserve">HACIENDA SAN JUAN </t>
  </si>
  <si>
    <t>PRECIO PERIODO</t>
  </si>
  <si>
    <t>SECCIONDE ANDAMIOS 150</t>
  </si>
  <si>
    <t>TABLONES 1 corto</t>
  </si>
  <si>
    <t>VALOR DIAS</t>
  </si>
  <si>
    <t>deposito $ 400.000</t>
  </si>
  <si>
    <t>EFRAIN</t>
  </si>
  <si>
    <t>CRA 10#5-21 SAN RAFAEL</t>
  </si>
  <si>
    <t>MOVIMIENTO:JULIO/2025</t>
  </si>
  <si>
    <t>FORMALETA DE 50*1,20</t>
  </si>
  <si>
    <t>FORMALETA DE 20*1,20</t>
  </si>
  <si>
    <t>ANGULOS DE 60</t>
  </si>
  <si>
    <t>ANGULOS DE 1,20</t>
  </si>
  <si>
    <t>MARCOS DE ANDAMIOS 1,5</t>
  </si>
  <si>
    <t>CRUCETAS</t>
  </si>
  <si>
    <t>TABLONES DE 3 METRS</t>
  </si>
  <si>
    <t>CAJA METALICA</t>
  </si>
  <si>
    <t>GVX-955</t>
  </si>
  <si>
    <t>JIMMY JAIMES</t>
  </si>
  <si>
    <t xml:space="preserve">EFRAIN </t>
  </si>
  <si>
    <t>CRA 10#5-21 SAN RAFAEL TEL: 3182869349</t>
  </si>
  <si>
    <t>FORMALETA DE 50*1.20</t>
  </si>
  <si>
    <t>ANGULOS DE 1.20</t>
  </si>
  <si>
    <t>SECCION DE ANDAMIOS 1,50</t>
  </si>
  <si>
    <t>TABLONES 3 MTROS</t>
  </si>
  <si>
    <t>PRECIO TOTAL</t>
  </si>
  <si>
    <t xml:space="preserve">                                                RECOGIDA Y LLEVADA</t>
  </si>
  <si>
    <t>TOTAL</t>
  </si>
  <si>
    <t>JULIO 2 AL 12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</si>
  <si>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</si>
  <si>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VALOR DIARIO</t>
  </si>
  <si>
    <t xml:space="preserve">TABLONES </t>
  </si>
  <si>
    <t>MARCOS DE ANDAMIOS 0,90*2MTROS</t>
  </si>
  <si>
    <t>JULIO 10 AL 15</t>
  </si>
  <si>
    <t>marzo 28  a9 JULIO2025</t>
  </si>
  <si>
    <t>MARZO 15 al 28</t>
  </si>
  <si>
    <t>MARZO 15 A JULIO 10</t>
  </si>
  <si>
    <t>TOTAL ADEUDADOI</t>
  </si>
  <si>
    <t>SALDO A FAVOR</t>
  </si>
  <si>
    <t>EDWIN BARBOSA</t>
  </si>
  <si>
    <t>COLORADOS TEL: 3132557680 CAMPESTRE NORTE</t>
  </si>
  <si>
    <t>CERCHAS DE 2 MTROS</t>
  </si>
  <si>
    <t>PARALES DE 4 MTROS</t>
  </si>
  <si>
    <t>PINES</t>
  </si>
  <si>
    <t>ANGULO DE 60</t>
  </si>
  <si>
    <t>VIBRADOR</t>
  </si>
  <si>
    <t>FORMALETA DE 10*1,20</t>
  </si>
  <si>
    <t>FORMALETA  DE  30*1,20</t>
  </si>
  <si>
    <t>BUR -449</t>
  </si>
  <si>
    <t>WLP 846</t>
  </si>
  <si>
    <t>BUR-449</t>
  </si>
  <si>
    <t>JIMMY ALFREDO JAIMES</t>
  </si>
  <si>
    <t>PERIODO</t>
  </si>
  <si>
    <t>CERCHA 2 MTS</t>
  </si>
  <si>
    <t>PARAL 4 MTS</t>
  </si>
  <si>
    <t>EDWIN BARBOSA JULIO 1 AL 14</t>
  </si>
  <si>
    <t>JULIO 1 AL 14</t>
  </si>
  <si>
    <t>JULIO 1 AL 5</t>
  </si>
  <si>
    <t>ANGULOS DE 120</t>
  </si>
  <si>
    <t>JULIO 4 AL 8</t>
  </si>
  <si>
    <t>JULIO 11 AL 14</t>
  </si>
  <si>
    <t>FORMALETA 10 X 120</t>
  </si>
  <si>
    <t>JUL,IO 8 AL 14</t>
  </si>
  <si>
    <t>FORMALETA 30X 120</t>
  </si>
  <si>
    <t>MOVIMIENTO:JULIO 1 AL 14/2025</t>
  </si>
  <si>
    <t>JAVIER</t>
  </si>
  <si>
    <t>MIRADORES DE LA UIS</t>
  </si>
  <si>
    <t>FORMALETA DE 30*1,20</t>
  </si>
  <si>
    <t>JULIO 15 AL 18</t>
  </si>
  <si>
    <t>PARALES 3 MTS</t>
  </si>
  <si>
    <t>JAVIER: 3164606310</t>
  </si>
  <si>
    <t>A DEVOLVER</t>
  </si>
  <si>
    <t>JOSE REDIN. MAESTRO ROGELIO</t>
  </si>
  <si>
    <t>MIRADORES DE LA UIS TEL: 3144852352</t>
  </si>
  <si>
    <t>FORMALETA DE 50 *1.20</t>
  </si>
  <si>
    <t>FORMALETA DE 20*60</t>
  </si>
  <si>
    <t>PARALES DE 3 METROS</t>
  </si>
  <si>
    <t>PARALES DE 2 MTROS</t>
  </si>
  <si>
    <t>TOTAL DIARIO</t>
  </si>
  <si>
    <t>TRANSPORTE IDA Y RECOGIDA</t>
  </si>
  <si>
    <t>JOSE REDIN FORERO</t>
  </si>
  <si>
    <t>JULIO 16 AL 20</t>
  </si>
  <si>
    <t>MOVIMIENTO:JULIO 16 AL 20/2025</t>
  </si>
  <si>
    <t>DIEGO GUTIERREZ</t>
  </si>
  <si>
    <t>CUENTA ACTUAL</t>
  </si>
  <si>
    <t>CERCHAS DE 3 MTRS "PLATINA"</t>
  </si>
  <si>
    <t>TABLEROS DE MADERA 70 X 140</t>
  </si>
  <si>
    <t>PARALES DE 6 MTRSO</t>
  </si>
  <si>
    <t>MARCOS DE ANDAMIOS 2*0,90</t>
  </si>
  <si>
    <t>CRUCETAS DE 2 MTRS</t>
  </si>
  <si>
    <t>CCL-358</t>
  </si>
  <si>
    <t>CJF 006CALI</t>
  </si>
  <si>
    <t>JIMMY A. JAIMES CARRILLO</t>
  </si>
  <si>
    <t xml:space="preserve">DIEGO GUTIERREZ </t>
  </si>
  <si>
    <t>FERRETERIA VENADO DE ORO  TEL 3223643769</t>
  </si>
  <si>
    <t>VALOR UNITARIO</t>
  </si>
  <si>
    <t>FACTURADO</t>
  </si>
  <si>
    <t>PARALES DE 3MTS</t>
  </si>
  <si>
    <t>CERCHA 3MTS</t>
  </si>
  <si>
    <t>JUNIO 27 AL 30</t>
  </si>
  <si>
    <t>PARALES 6 MTS</t>
  </si>
  <si>
    <t>TOTAL DIAS</t>
  </si>
  <si>
    <t>PERIODO FACTURADO:JULIO 1 AL 14/2025</t>
  </si>
  <si>
    <t>DESCUENTO</t>
  </si>
  <si>
    <t>CANCELO EN EFECTIVO</t>
  </si>
  <si>
    <t>EDGARDO PICO</t>
  </si>
  <si>
    <t>CALLE 11 #23-22 TEL: 3187881513</t>
  </si>
  <si>
    <t>MOVIMIENTOJUNIO 22 A JULIO 20/2025</t>
  </si>
  <si>
    <t>MARCOS DE ANDAMIOS ROJOS</t>
  </si>
  <si>
    <t>MARCOS DE ANDAMIOS AMARILLOS</t>
  </si>
  <si>
    <t>CRUCETAS DE 2 MTROS</t>
  </si>
  <si>
    <t>TABLONES DE 3 MTROS</t>
  </si>
  <si>
    <t>FORMALETA DE 35*1,20</t>
  </si>
  <si>
    <t>ANGULOS DE 60*1,20</t>
  </si>
  <si>
    <t>CHAPETAS CUADRADAS</t>
  </si>
  <si>
    <t>CAJAS METALICAS</t>
  </si>
  <si>
    <t>CERCHAS DE 3 MTROS PLATINA</t>
  </si>
  <si>
    <t>ALINEADORES DE 6 MTROS</t>
  </si>
  <si>
    <t xml:space="preserve">TENSORES </t>
  </si>
  <si>
    <t xml:space="preserve">HORA </t>
  </si>
  <si>
    <t>CALLE 23#23-22 TEL: 3187881513</t>
  </si>
  <si>
    <t>VALOR PERIODO</t>
  </si>
  <si>
    <t>SECCION DE ANDAMIOS</t>
  </si>
  <si>
    <t>JUNIO 22 A JULIO 20</t>
  </si>
  <si>
    <t>TABLONES</t>
  </si>
  <si>
    <t>FORMALETA DE 35*120</t>
  </si>
  <si>
    <t>JULIO 15 A JULIO 20</t>
  </si>
  <si>
    <t>ANGULOS DE60</t>
  </si>
  <si>
    <t>CERCHAS DE 3 MTROS</t>
  </si>
  <si>
    <t>JULIO 17 A JULIO 20</t>
  </si>
  <si>
    <t>TENSORES</t>
  </si>
  <si>
    <t>LLEVADA Y RECOGIDA</t>
  </si>
  <si>
    <t>TOTAL ALQUILER CONTRANSPORTE</t>
  </si>
  <si>
    <t>VEREDA SAN CAYETANO LA LUSITANIA TEL:3045697968</t>
  </si>
  <si>
    <t>FORAMLETA DE 60*1,20</t>
  </si>
  <si>
    <t>FORAMLETA DE 40*1,20</t>
  </si>
  <si>
    <t>FORMALETA DE 40*60</t>
  </si>
  <si>
    <t>FORMALETA DE 30*60</t>
  </si>
  <si>
    <t>PARALES DE 3,50</t>
  </si>
  <si>
    <t>CERCHA DE 3 MTROS ROJAS</t>
  </si>
  <si>
    <t>TARDE</t>
  </si>
  <si>
    <t>WOL-268</t>
  </si>
  <si>
    <t>RONALD</t>
  </si>
  <si>
    <t>TEL: 3045697968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</si>
  <si>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</si>
  <si>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FORMALETA DE 60*1.20.</t>
  </si>
  <si>
    <t>FORMALETA DE 40*1,20</t>
  </si>
  <si>
    <t>FORMALETA  DE 20*1,20</t>
  </si>
  <si>
    <t>FORMALETAS DE 10*1,20</t>
  </si>
  <si>
    <t>CERCHAS DE 3 METRS</t>
  </si>
  <si>
    <t xml:space="preserve"> GRANTOTAL</t>
  </si>
  <si>
    <t>JULIO 11 AL 23</t>
  </si>
  <si>
    <t>ABONO EN EFGECTIVO</t>
  </si>
  <si>
    <t>SALDO A Cancelar</t>
  </si>
  <si>
    <t>CANCELO</t>
  </si>
  <si>
    <t>RONAL CARDENAS</t>
  </si>
  <si>
    <t>MOVIMIENTO:JULIO 18 AL 23/2025</t>
  </si>
  <si>
    <t>PERIODO FACTURADO:JULIO18 AL 23/2025</t>
  </si>
  <si>
    <t>SECCIONES ANDAMIO 2M X .9</t>
  </si>
  <si>
    <t>VALOR TOTAL</t>
  </si>
  <si>
    <t>PRECIO</t>
  </si>
  <si>
    <t>VALOR UNITARI0</t>
  </si>
  <si>
    <t>JULIO 18 AL 23</t>
  </si>
  <si>
    <t>JORGE ALONSO ROMERO TEL: 3114624544</t>
  </si>
  <si>
    <t>CALLE 7 #19-47</t>
  </si>
  <si>
    <t>SECCIONES DE ANDAMIO 1,50</t>
  </si>
  <si>
    <t>JULIO 17 A JULIO 27-2025</t>
  </si>
  <si>
    <t>TABLON DE 3 MTRS</t>
  </si>
  <si>
    <t>JULIO 17 A JULIO 24-2025</t>
  </si>
  <si>
    <t>JULIO 17 A 27</t>
  </si>
  <si>
    <t>MOVIMIENTO:JULIO 21 AL 28/2025</t>
  </si>
  <si>
    <t>JULIO 21 AL 28</t>
  </si>
  <si>
    <t>CESAR CACERES</t>
  </si>
  <si>
    <t>CRA 18 # 51-78 EDIF MELICONIAS</t>
  </si>
  <si>
    <t>MOVIMIENTO: JULIO/ 2025</t>
  </si>
  <si>
    <t xml:space="preserve">MARCOS ROJOS </t>
  </si>
  <si>
    <t>CRUCETAS DE 2, MTROS</t>
  </si>
  <si>
    <t>RUEDAS DE ANDAMIOS</t>
  </si>
  <si>
    <t>POLEA DE MANO MANUAL</t>
  </si>
  <si>
    <t>AYB-41-6</t>
  </si>
  <si>
    <t>NEQUI   $ 400,000</t>
  </si>
  <si>
    <t xml:space="preserve">         </t>
  </si>
  <si>
    <t>CRA 18 #51-78 EDIF HELICONIAS</t>
  </si>
  <si>
    <t>03-JULIO AL 9 JULIO</t>
  </si>
  <si>
    <t>TABLONES DE 3 METROS</t>
  </si>
  <si>
    <t>POLEA DE MANO</t>
  </si>
  <si>
    <t>09 JUNIO AL  9 DE JULIO</t>
  </si>
  <si>
    <t>transporte</t>
  </si>
  <si>
    <t>SACADOSD</t>
  </si>
  <si>
    <t>EFECTIVO</t>
  </si>
  <si>
    <t>NEQUI</t>
  </si>
  <si>
    <t xml:space="preserve">JULIO 11 AL 30 </t>
  </si>
  <si>
    <t>TOTAL CUENTA ALQUILER</t>
  </si>
  <si>
    <t>TOTAL ADEUDADO</t>
  </si>
  <si>
    <t>UIS TEL: 3182861397</t>
  </si>
  <si>
    <t xml:space="preserve">                                                                                            </t>
  </si>
  <si>
    <t>CAMILO</t>
  </si>
  <si>
    <t>MIRADOR DE LA UIS TEL: 3124971605</t>
  </si>
  <si>
    <t xml:space="preserve">  PUERTO RICOCAMILO: 3124971605</t>
  </si>
  <si>
    <t>FORMALETA DE 40*1.20</t>
  </si>
  <si>
    <t>5 DIAS</t>
  </si>
  <si>
    <t xml:space="preserve">DEPOSITO     </t>
  </si>
  <si>
    <t>NELSON HERNANDEZ</t>
  </si>
  <si>
    <t>MIRADORES DE LA UIS TEL:3138324182</t>
  </si>
  <si>
    <t>CERCHA DE 1 MTRS</t>
  </si>
  <si>
    <t>TABLONES DE 3 MTRS</t>
  </si>
  <si>
    <t>FORMALETA DE 25*1,20</t>
  </si>
  <si>
    <t>ABONO</t>
  </si>
  <si>
    <t>MIRADORES DE LA UIS TEL: 3138324182</t>
  </si>
  <si>
    <t>CERCHAS DE 1 MTRO</t>
  </si>
  <si>
    <t>LLEVADA/TRAIDA</t>
  </si>
  <si>
    <t>JULIO 19 A AGOSTO 1</t>
  </si>
  <si>
    <t>FORMALETA 25 X 120</t>
  </si>
  <si>
    <t>ANGULO 60 CMS</t>
  </si>
  <si>
    <t>ANGULO120CMS</t>
  </si>
  <si>
    <t>MOVIMIENTO:JULIO 19 A AGOSTO 1 /2025</t>
  </si>
  <si>
    <t>SAQUE</t>
  </si>
  <si>
    <t>UIS</t>
  </si>
  <si>
    <t>MOVIMIENTO: JULIO 26 A AGOSTO 1/ 2025</t>
  </si>
  <si>
    <t>VENTA</t>
  </si>
  <si>
    <t>ALQUILER JIMMY JAIMES JUNIO/2025</t>
  </si>
  <si>
    <t>CLIENTE</t>
  </si>
  <si>
    <t>ALQUILER</t>
  </si>
  <si>
    <t>DAÑOS</t>
  </si>
  <si>
    <t>ACARREO</t>
  </si>
  <si>
    <t>TOTAL FACTURADO</t>
  </si>
  <si>
    <t>CANCELADO</t>
  </si>
  <si>
    <t>DEUDAS JUNIO/2025</t>
  </si>
  <si>
    <t>DIEGO GUTIERREZ JUNIO</t>
  </si>
  <si>
    <t>HENRY</t>
  </si>
  <si>
    <t>RUBEN SANTOS BAJOS</t>
  </si>
  <si>
    <t>NELSON BERNAL</t>
  </si>
  <si>
    <t>CRISTIAN ROJAS</t>
  </si>
  <si>
    <t xml:space="preserve">HOLGUER </t>
  </si>
  <si>
    <t>CESAR AUGUSTO NIÑO</t>
  </si>
  <si>
    <t>ESCALERA</t>
  </si>
  <si>
    <t>FABIAN FUENTES</t>
  </si>
  <si>
    <t>MARTHA RIVERA</t>
  </si>
  <si>
    <t>OMAR PABON</t>
  </si>
  <si>
    <t>CLAUDIA GIL</t>
  </si>
  <si>
    <t>CESAR AUGUSTO CACERES</t>
  </si>
  <si>
    <t>ALQUIOBRAS</t>
  </si>
  <si>
    <t>ESCOPETA</t>
  </si>
  <si>
    <t xml:space="preserve">TOTAL FACTURADO  </t>
  </si>
  <si>
    <t>CRISTIAN AVILA MAYO 2025</t>
  </si>
  <si>
    <t>ANSELMO MAYO</t>
  </si>
  <si>
    <t>DIEGO ABONO A MAYO</t>
  </si>
  <si>
    <t>ALQUIOBRAS DICIEMBRE 2025</t>
  </si>
  <si>
    <t>TOTAL MESES ANTERIORES</t>
  </si>
  <si>
    <t>RETIRO NEQUI</t>
  </si>
  <si>
    <t>TOTAL RETIRADO</t>
  </si>
  <si>
    <t>TOTAL EFECTIVO JUNIO 30/2025</t>
  </si>
  <si>
    <t>ALQUILER JIMMY JAIMES JULIO/2025</t>
  </si>
  <si>
    <t>DEUDAS JULIO/2025</t>
  </si>
  <si>
    <t>TOTAL EFECTIVO JULIO 31/2025</t>
  </si>
  <si>
    <t>MARLON REOJAS MAYO</t>
  </si>
  <si>
    <t>MELISSA</t>
  </si>
  <si>
    <t>CESAR AUGUSTO</t>
  </si>
  <si>
    <t>JESUS PINZON</t>
  </si>
  <si>
    <t>JUAN DE JESUS</t>
  </si>
  <si>
    <t>NELSON BER4NAL</t>
  </si>
  <si>
    <t>ALQUIOBRAS JUNIO</t>
  </si>
  <si>
    <t>DIEGO JUNIO</t>
  </si>
  <si>
    <t>DIEGO GUTIERREZ JULIO</t>
  </si>
  <si>
    <t>JAVIER MALDONADO</t>
  </si>
  <si>
    <t>RAMIRO DULCEY</t>
  </si>
  <si>
    <t>MARICEL</t>
  </si>
  <si>
    <t>JOSE REDIN</t>
  </si>
  <si>
    <t>JAIME CALA</t>
  </si>
  <si>
    <t>ELIZABETH ROMERO</t>
  </si>
  <si>
    <t>CARLOS PARRA</t>
  </si>
  <si>
    <t>ANA MILENA</t>
  </si>
  <si>
    <t>ALBA</t>
  </si>
  <si>
    <t>JORGE ROMERO</t>
  </si>
  <si>
    <t>BERNARDO ORTIZ</t>
  </si>
  <si>
    <t>LUDWING</t>
  </si>
  <si>
    <t>VIDAL</t>
  </si>
  <si>
    <t>CAMPESTRE NORTE</t>
  </si>
  <si>
    <t>RETIROBBVA</t>
  </si>
  <si>
    <t>JIMMY ALFREDO JAIMES CARRILLO</t>
  </si>
  <si>
    <t>WILMAR GELVES</t>
  </si>
  <si>
    <t>CARRERA 19 # 5-65</t>
  </si>
  <si>
    <t>SECCIONES DE ANDAMIO</t>
  </si>
  <si>
    <t>TABLONES DE 3 MTS</t>
  </si>
  <si>
    <t>FORMALETA 60 X 120</t>
  </si>
  <si>
    <t>FORMALETA 50 X 120</t>
  </si>
  <si>
    <t>CERCHAS 3 MTS</t>
  </si>
  <si>
    <t>PARALES  3 MTS</t>
  </si>
  <si>
    <t>CRA 19 # 5-65 COMUNEROS TEL: 3232817493</t>
  </si>
  <si>
    <t>CRUCETAS 2.MTROS</t>
  </si>
  <si>
    <t>FORMALETA DE 60*1.20</t>
  </si>
  <si>
    <t xml:space="preserve">CHAPETAS </t>
  </si>
  <si>
    <t>JULIO 9 A AGOSTO 5</t>
  </si>
  <si>
    <t>MOVIMIENTO:JULIO 9  A AGOSTO 5 /2025</t>
  </si>
  <si>
    <t>WILMER GELVEZ</t>
  </si>
  <si>
    <t>CRA 15 #13-60 TEL:3168036064</t>
  </si>
  <si>
    <t>FORMALETA DE30*1,20</t>
  </si>
  <si>
    <t>FORMALETA DE 35*80</t>
  </si>
  <si>
    <t>FORMLETA DE 25*60</t>
  </si>
  <si>
    <t>TABLEROS DE MADERA DE 70*1.40</t>
  </si>
  <si>
    <t>CERCHAS DE 1.50</t>
  </si>
  <si>
    <t xml:space="preserve">ANGULO DE 60 </t>
  </si>
  <si>
    <t>ANGULO 1,20</t>
  </si>
  <si>
    <t>SLINGA CON ARRASTRADOR DE CAIDA</t>
  </si>
  <si>
    <t>BANDA DE MADERA DE 40*1,40</t>
  </si>
  <si>
    <t>4;00</t>
  </si>
  <si>
    <t>9;20</t>
  </si>
  <si>
    <t>FHF-634</t>
  </si>
  <si>
    <t>BEP - 411</t>
  </si>
  <si>
    <t>SRZ-388</t>
  </si>
  <si>
    <t>FIJ-671</t>
  </si>
  <si>
    <t>DUF 924</t>
  </si>
  <si>
    <t>BUA-000</t>
  </si>
  <si>
    <t>SOP-542</t>
  </si>
  <si>
    <t>ESPOSO</t>
  </si>
  <si>
    <t>VEB-658</t>
  </si>
  <si>
    <t>corte 14-07</t>
  </si>
  <si>
    <t>CORTE AL 28-07</t>
  </si>
  <si>
    <t>TEL:3142352448</t>
  </si>
  <si>
    <t>PARALES DE 4 MTS</t>
  </si>
  <si>
    <t>CERCHAS DE1,5 MTROS</t>
  </si>
  <si>
    <t>JULIO 1 AL 1</t>
  </si>
  <si>
    <t>JULIO 11 AL 28</t>
  </si>
  <si>
    <t>FORMALETA 30 X 120</t>
  </si>
  <si>
    <t>JULIO 7 AL 11</t>
  </si>
  <si>
    <t>FORMALETA 35 X80</t>
  </si>
  <si>
    <t>JULIO 7 AL 14</t>
  </si>
  <si>
    <t>JULIO 17 AL 30</t>
  </si>
  <si>
    <t>FORMALETA 25 X 60</t>
  </si>
  <si>
    <t>JULIO7 AL 14</t>
  </si>
  <si>
    <t>JULIO11 AL 28</t>
  </si>
  <si>
    <t>FORMALETA  20 X 120</t>
  </si>
  <si>
    <t>JULIO 9 AL 28</t>
  </si>
  <si>
    <t>JULIO 29 AL 31</t>
  </si>
  <si>
    <t>JULIO 8 AL 22</t>
  </si>
  <si>
    <t>JULIO 1 AL 4</t>
  </si>
  <si>
    <t>JULIO 15 AL 25</t>
  </si>
  <si>
    <t>TABLEROS DE MADERA 40 X 140</t>
  </si>
  <si>
    <t>JULIO 23 AL 31</t>
  </si>
  <si>
    <t>JULIO 1 AL 31</t>
  </si>
  <si>
    <t>POLIMYS</t>
  </si>
  <si>
    <t>CRA 19#16-46 TEL:3174409576</t>
  </si>
  <si>
    <t>TABLERO DE MADERA 70*1.40</t>
  </si>
  <si>
    <t>RODACHINES DE ANDAMIO</t>
  </si>
  <si>
    <t>BANDAS DE MADERA 40*1,40</t>
  </si>
  <si>
    <t>SOL-AXZ</t>
  </si>
  <si>
    <t>****</t>
  </si>
  <si>
    <t>JONDER</t>
  </si>
  <si>
    <t>504AAZ</t>
  </si>
  <si>
    <t>SSY-356</t>
  </si>
  <si>
    <t>JULIO 1 AL 11</t>
  </si>
  <si>
    <t>JULIO 12 AL 23</t>
  </si>
  <si>
    <t>JULIO 12 AL 29</t>
  </si>
  <si>
    <t>BANDAS DE MADERA 40 X 140</t>
  </si>
  <si>
    <t>JULIO 26AL 31</t>
  </si>
  <si>
    <t>COMERCIALIZADORA POLIMYZ JULIO 1 AL 31</t>
  </si>
  <si>
    <t>504-AAZ</t>
  </si>
  <si>
    <t>5004AAZ</t>
  </si>
  <si>
    <t>MAYO 21 A JUNIO 26</t>
  </si>
  <si>
    <t>MAYO 30 A JUNIO 19</t>
  </si>
  <si>
    <t>JUNIO 20 AL 26</t>
  </si>
  <si>
    <t>COMERCIALIZADORA POLIMIS MAYO 21 A JUNIO 30</t>
  </si>
  <si>
    <t>MOVIMIENTO: MAYO 21 A JUNIO 30/ 2025</t>
  </si>
  <si>
    <t>FORMALEETA DE 25*1,20</t>
  </si>
  <si>
    <t>FORMALETA DE 60*1,20</t>
  </si>
  <si>
    <t>FORMALETA DE 25*60</t>
  </si>
  <si>
    <t>ALINEADORE 3,7</t>
  </si>
  <si>
    <t>ALINEADORE 3 MTROS</t>
  </si>
  <si>
    <t>ALINEADOR DE 2,5</t>
  </si>
  <si>
    <t>ALINEADOR DE  2 MTOS</t>
  </si>
  <si>
    <t>CORBATAS DE MURO E=20CM</t>
  </si>
  <si>
    <t>PIN</t>
  </si>
  <si>
    <t>DUCTOLON 10 MTROS</t>
  </si>
  <si>
    <t>JULIO 1AL 3</t>
  </si>
  <si>
    <t>JULIO 1 AL 3</t>
  </si>
  <si>
    <t>JULIO4 AL 8</t>
  </si>
  <si>
    <t>JULIO 12 AL 14</t>
  </si>
  <si>
    <t>ANGULO 120 CMS</t>
  </si>
  <si>
    <t>JULIO 8 al 12</t>
  </si>
  <si>
    <t>eslinga con arrastrador de caida</t>
  </si>
  <si>
    <t>julio 8 al11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</si>
</sst>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  <numFmt numFmtId="166" formatCode="h:mm:ss;@"/>
    <numFmt numFmtId="167" formatCode="hh:mm:ss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Black"/>
      <family val="2"/>
    </font>
    <font>
      <sz val="20"/>
      <color theme="1"/>
      <name val="Arial Black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rial Black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sz val="11"/>
      <name val="Arial Black"/>
      <family val="2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381">
    <xf numFmtId="0" fontId="0" fillId="0" borderId="0" xfId="0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4" borderId="8" xfId="1" applyNumberFormat="1" applyFont="1" applyFill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6" fillId="3" borderId="8" xfId="1" applyNumberFormat="1" applyFont="1" applyFill="1" applyBorder="1"/>
    <xf numFmtId="0" fontId="0" fillId="0" borderId="12" xfId="0" applyBorder="1" applyAlignment="1">
      <alignment horizontal="center"/>
    </xf>
    <xf numFmtId="164" fontId="6" fillId="5" borderId="15" xfId="1" applyNumberFormat="1" applyFont="1" applyFill="1" applyBorder="1"/>
    <xf numFmtId="0" fontId="0" fillId="0" borderId="16" xfId="0" applyBorder="1" applyAlignment="1">
      <alignment horizontal="center"/>
    </xf>
    <xf numFmtId="164" fontId="6" fillId="6" borderId="14" xfId="1" applyNumberFormat="1" applyFont="1" applyFill="1" applyBorder="1"/>
    <xf numFmtId="164" fontId="6" fillId="7" borderId="15" xfId="1" applyNumberFormat="1" applyFont="1" applyFill="1" applyBorder="1"/>
    <xf numFmtId="0" fontId="0" fillId="0" borderId="20" xfId="0" applyBorder="1" applyAlignment="1">
      <alignment horizontal="center"/>
    </xf>
    <xf numFmtId="165" fontId="0" fillId="0" borderId="0" xfId="1" applyNumberFormat="1" applyFont="1"/>
    <xf numFmtId="164" fontId="0" fillId="0" borderId="8" xfId="1" applyNumberFormat="1" applyFont="1" applyFill="1" applyBorder="1"/>
    <xf numFmtId="164" fontId="0" fillId="0" borderId="9" xfId="1" applyNumberFormat="1" applyFont="1" applyFill="1" applyBorder="1"/>
    <xf numFmtId="165" fontId="2" fillId="0" borderId="0" xfId="1" applyNumberFormat="1" applyFont="1"/>
    <xf numFmtId="165" fontId="2" fillId="0" borderId="8" xfId="1" applyNumberFormat="1" applyFont="1" applyBorder="1"/>
    <xf numFmtId="165" fontId="2" fillId="0" borderId="0" xfId="1" applyNumberFormat="1" applyFont="1" applyFill="1" applyBorder="1"/>
    <xf numFmtId="14" fontId="0" fillId="0" borderId="8" xfId="0" applyNumberFormat="1" applyBorder="1"/>
    <xf numFmtId="16" fontId="0" fillId="0" borderId="0" xfId="0" applyNumberFormat="1"/>
    <xf numFmtId="0" fontId="7" fillId="8" borderId="5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0" xfId="0" applyFont="1" applyFill="1" applyBorder="1"/>
    <xf numFmtId="0" fontId="7" fillId="8" borderId="5" xfId="0" applyFont="1" applyFill="1" applyBorder="1" applyAlignment="1">
      <alignment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6" fontId="2" fillId="10" borderId="8" xfId="0" applyNumberFormat="1" applyFont="1" applyFill="1" applyBorder="1" applyAlignment="1">
      <alignment horizontal="center"/>
    </xf>
    <xf numFmtId="16" fontId="2" fillId="9" borderId="8" xfId="0" applyNumberFormat="1" applyFont="1" applyFill="1" applyBorder="1" applyAlignment="1">
      <alignment horizontal="center" vertical="center"/>
    </xf>
    <xf numFmtId="16" fontId="2" fillId="9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vertical="center"/>
    </xf>
    <xf numFmtId="1" fontId="2" fillId="10" borderId="8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/>
    <xf numFmtId="1" fontId="2" fillId="10" borderId="8" xfId="0" applyNumberFormat="1" applyFont="1" applyFill="1" applyBorder="1" applyAlignment="1">
      <alignment horizontal="center"/>
    </xf>
    <xf numFmtId="1" fontId="2" fillId="11" borderId="8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vertical="center"/>
    </xf>
    <xf numFmtId="166" fontId="2" fillId="9" borderId="8" xfId="0" applyNumberFormat="1" applyFont="1" applyFill="1" applyBorder="1" applyAlignment="1">
      <alignment horizontal="center" vertical="center"/>
    </xf>
    <xf numFmtId="20" fontId="2" fillId="9" borderId="8" xfId="0" applyNumberFormat="1" applyFont="1" applyFill="1" applyBorder="1" applyAlignment="1">
      <alignment vertical="center"/>
    </xf>
    <xf numFmtId="20" fontId="2" fillId="9" borderId="8" xfId="0" applyNumberFormat="1" applyFont="1" applyFill="1" applyBorder="1" applyAlignment="1">
      <alignment horizontal="center" vertical="center"/>
    </xf>
    <xf numFmtId="1" fontId="2" fillId="9" borderId="8" xfId="0" applyNumberFormat="1" applyFont="1" applyFill="1" applyBorder="1" applyAlignment="1">
      <alignment horizontal="center"/>
    </xf>
    <xf numFmtId="165" fontId="2" fillId="9" borderId="8" xfId="2" applyNumberFormat="1" applyFont="1" applyFill="1" applyBorder="1" applyAlignment="1">
      <alignment horizontal="center" vertical="center"/>
    </xf>
    <xf numFmtId="165" fontId="2" fillId="9" borderId="8" xfId="2" applyNumberFormat="1" applyFont="1" applyFill="1" applyBorder="1" applyAlignment="1">
      <alignment vertical="center"/>
    </xf>
    <xf numFmtId="164" fontId="2" fillId="9" borderId="8" xfId="2" applyNumberFormat="1" applyFont="1" applyFill="1" applyBorder="1" applyAlignment="1">
      <alignment horizontal="right" vertical="center"/>
    </xf>
    <xf numFmtId="0" fontId="9" fillId="0" borderId="0" xfId="0" applyFont="1"/>
    <xf numFmtId="165" fontId="7" fillId="0" borderId="0" xfId="1" applyNumberFormat="1" applyFont="1"/>
    <xf numFmtId="0" fontId="2" fillId="0" borderId="0" xfId="0" applyFont="1"/>
    <xf numFmtId="164" fontId="10" fillId="0" borderId="8" xfId="0" applyNumberFormat="1" applyFont="1" applyBorder="1"/>
    <xf numFmtId="16" fontId="2" fillId="10" borderId="8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7" fontId="2" fillId="9" borderId="8" xfId="0" applyNumberFormat="1" applyFont="1" applyFill="1" applyBorder="1" applyAlignment="1">
      <alignment horizontal="center" vertical="center"/>
    </xf>
    <xf numFmtId="1" fontId="2" fillId="9" borderId="8" xfId="0" applyNumberFormat="1" applyFont="1" applyFill="1" applyBorder="1" applyAlignment="1">
      <alignment horizontal="center" vertical="center"/>
    </xf>
    <xf numFmtId="165" fontId="2" fillId="9" borderId="8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 shrinkToFit="1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shrinkToFit="1"/>
    </xf>
    <xf numFmtId="0" fontId="0" fillId="3" borderId="10" xfId="0" applyFill="1" applyBorder="1" applyAlignment="1">
      <alignment horizontal="center"/>
    </xf>
    <xf numFmtId="164" fontId="0" fillId="0" borderId="9" xfId="1" applyNumberFormat="1" applyFont="1" applyBorder="1" applyAlignment="1">
      <alignment shrinkToFit="1"/>
    </xf>
    <xf numFmtId="0" fontId="12" fillId="0" borderId="0" xfId="0" applyFont="1"/>
    <xf numFmtId="0" fontId="11" fillId="0" borderId="0" xfId="0" applyFont="1"/>
    <xf numFmtId="14" fontId="5" fillId="3" borderId="25" xfId="0" applyNumberFormat="1" applyFont="1" applyFill="1" applyBorder="1" applyAlignment="1">
      <alignment wrapText="1"/>
    </xf>
    <xf numFmtId="14" fontId="5" fillId="3" borderId="26" xfId="0" applyNumberFormat="1" applyFont="1" applyFill="1" applyBorder="1" applyAlignment="1">
      <alignment wrapText="1"/>
    </xf>
    <xf numFmtId="0" fontId="2" fillId="0" borderId="27" xfId="0" applyFont="1" applyBorder="1" applyAlignment="1">
      <alignment horizontal="center" vertical="center"/>
    </xf>
    <xf numFmtId="164" fontId="13" fillId="3" borderId="15" xfId="1" applyNumberFormat="1" applyFont="1" applyFill="1" applyBorder="1"/>
    <xf numFmtId="0" fontId="0" fillId="0" borderId="20" xfId="0" applyBorder="1" applyAlignment="1">
      <alignment horizontal="center" shrinkToFit="1"/>
    </xf>
    <xf numFmtId="0" fontId="0" fillId="0" borderId="23" xfId="0" applyBorder="1"/>
    <xf numFmtId="0" fontId="0" fillId="0" borderId="24" xfId="0" applyBorder="1" applyAlignment="1">
      <alignment horizontal="center"/>
    </xf>
    <xf numFmtId="44" fontId="7" fillId="0" borderId="0" xfId="1" applyFont="1"/>
    <xf numFmtId="0" fontId="2" fillId="9" borderId="21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left" vertical="center"/>
    </xf>
    <xf numFmtId="0" fontId="2" fillId="10" borderId="21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164" fontId="2" fillId="9" borderId="8" xfId="1" applyNumberFormat="1" applyFont="1" applyFill="1" applyBorder="1" applyAlignment="1">
      <alignment horizontal="right" vertical="center"/>
    </xf>
    <xf numFmtId="0" fontId="0" fillId="0" borderId="8" xfId="0" applyBorder="1"/>
    <xf numFmtId="164" fontId="6" fillId="12" borderId="8" xfId="1" applyNumberFormat="1" applyFont="1" applyFill="1" applyBorder="1"/>
    <xf numFmtId="164" fontId="6" fillId="13" borderId="8" xfId="1" applyNumberFormat="1" applyFont="1" applyFill="1" applyBorder="1"/>
    <xf numFmtId="164" fontId="6" fillId="6" borderId="8" xfId="1" applyNumberFormat="1" applyFont="1" applyFill="1" applyBorder="1"/>
    <xf numFmtId="0" fontId="2" fillId="0" borderId="10" xfId="0" applyFont="1" applyBorder="1" applyAlignment="1">
      <alignment horizontal="center" vertical="center"/>
    </xf>
    <xf numFmtId="164" fontId="0" fillId="0" borderId="0" xfId="0" applyNumberFormat="1"/>
    <xf numFmtId="1" fontId="2" fillId="9" borderId="10" xfId="0" applyNumberFormat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16" fontId="2" fillId="9" borderId="10" xfId="0" applyNumberFormat="1" applyFont="1" applyFill="1" applyBorder="1" applyAlignment="1">
      <alignment horizontal="center" vertical="center"/>
    </xf>
    <xf numFmtId="16" fontId="2" fillId="10" borderId="9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10" borderId="9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9" borderId="7" xfId="0" applyFont="1" applyFill="1" applyBorder="1" applyAlignment="1">
      <alignment vertical="center"/>
    </xf>
    <xf numFmtId="20" fontId="2" fillId="10" borderId="8" xfId="0" applyNumberFormat="1" applyFont="1" applyFill="1" applyBorder="1" applyAlignment="1">
      <alignment horizontal="center" vertical="center"/>
    </xf>
    <xf numFmtId="20" fontId="2" fillId="9" borderId="31" xfId="0" applyNumberFormat="1" applyFont="1" applyFill="1" applyBorder="1" applyAlignment="1">
      <alignment horizontal="center" vertical="center"/>
    </xf>
    <xf numFmtId="20" fontId="2" fillId="9" borderId="0" xfId="0" applyNumberFormat="1" applyFont="1" applyFill="1"/>
    <xf numFmtId="0" fontId="2" fillId="9" borderId="9" xfId="0" applyFont="1" applyFill="1" applyBorder="1" applyAlignment="1">
      <alignment horizontal="center"/>
    </xf>
    <xf numFmtId="0" fontId="2" fillId="9" borderId="19" xfId="0" applyFont="1" applyFill="1" applyBorder="1" applyAlignment="1">
      <alignment vertical="center"/>
    </xf>
    <xf numFmtId="164" fontId="2" fillId="10" borderId="15" xfId="1" applyNumberFormat="1" applyFont="1" applyFill="1" applyBorder="1" applyAlignment="1">
      <alignment horizontal="right" vertical="center"/>
    </xf>
    <xf numFmtId="164" fontId="2" fillId="9" borderId="15" xfId="1" applyNumberFormat="1" applyFont="1" applyFill="1" applyBorder="1" applyAlignment="1">
      <alignment horizontal="right" vertical="center"/>
    </xf>
    <xf numFmtId="20" fontId="2" fillId="9" borderId="10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165" fontId="0" fillId="0" borderId="0" xfId="0" applyNumberFormat="1"/>
    <xf numFmtId="0" fontId="3" fillId="2" borderId="34" xfId="0" applyFont="1" applyFill="1" applyBorder="1"/>
    <xf numFmtId="0" fontId="3" fillId="2" borderId="35" xfId="0" applyFont="1" applyFill="1" applyBorder="1"/>
    <xf numFmtId="0" fontId="3" fillId="2" borderId="36" xfId="0" applyFont="1" applyFill="1" applyBorder="1"/>
    <xf numFmtId="164" fontId="0" fillId="0" borderId="12" xfId="0" applyNumberFormat="1" applyBorder="1" applyAlignment="1">
      <alignment horizontal="center"/>
    </xf>
    <xf numFmtId="164" fontId="6" fillId="3" borderId="15" xfId="1" applyNumberFormat="1" applyFont="1" applyFill="1" applyBorder="1"/>
    <xf numFmtId="164" fontId="6" fillId="3" borderId="14" xfId="1" applyNumberFormat="1" applyFont="1" applyFill="1" applyBorder="1"/>
    <xf numFmtId="164" fontId="6" fillId="13" borderId="15" xfId="1" applyNumberFormat="1" applyFont="1" applyFill="1" applyBorder="1"/>
    <xf numFmtId="0" fontId="16" fillId="2" borderId="9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8" fillId="0" borderId="8" xfId="0" applyFont="1" applyBorder="1"/>
    <xf numFmtId="0" fontId="17" fillId="3" borderId="8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/>
    </xf>
    <xf numFmtId="0" fontId="8" fillId="0" borderId="30" xfId="0" applyFont="1" applyBorder="1"/>
    <xf numFmtId="0" fontId="15" fillId="2" borderId="29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 vertical="center"/>
    </xf>
    <xf numFmtId="17" fontId="0" fillId="0" borderId="0" xfId="0" applyNumberFormat="1"/>
    <xf numFmtId="166" fontId="2" fillId="10" borderId="15" xfId="0" applyNumberFormat="1" applyFont="1" applyFill="1" applyBorder="1" applyAlignment="1">
      <alignment horizontal="center" vertical="center"/>
    </xf>
    <xf numFmtId="164" fontId="2" fillId="9" borderId="39" xfId="1" applyNumberFormat="1" applyFont="1" applyFill="1" applyBorder="1" applyAlignment="1">
      <alignment horizontal="right" vertical="center"/>
    </xf>
    <xf numFmtId="0" fontId="0" fillId="15" borderId="8" xfId="0" applyFill="1" applyBorder="1" applyAlignment="1">
      <alignment horizontal="center"/>
    </xf>
    <xf numFmtId="164" fontId="22" fillId="12" borderId="15" xfId="1" applyNumberFormat="1" applyFont="1" applyFill="1" applyBorder="1"/>
    <xf numFmtId="0" fontId="15" fillId="0" borderId="38" xfId="0" applyFont="1" applyBorder="1" applyAlignment="1">
      <alignment horizontal="center" vertical="center"/>
    </xf>
    <xf numFmtId="0" fontId="2" fillId="9" borderId="22" xfId="0" applyFont="1" applyFill="1" applyBorder="1" applyAlignment="1">
      <alignment horizontal="left" vertical="center"/>
    </xf>
    <xf numFmtId="0" fontId="2" fillId="10" borderId="42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" fontId="2" fillId="10" borderId="9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1" fontId="2" fillId="9" borderId="9" xfId="0" applyNumberFormat="1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left" vertical="center"/>
    </xf>
    <xf numFmtId="1" fontId="2" fillId="9" borderId="39" xfId="0" applyNumberFormat="1" applyFont="1" applyFill="1" applyBorder="1" applyAlignment="1">
      <alignment horizontal="center" vertical="center"/>
    </xf>
    <xf numFmtId="0" fontId="2" fillId="9" borderId="42" xfId="0" applyFont="1" applyFill="1" applyBorder="1" applyAlignment="1">
      <alignment horizontal="center" vertical="center"/>
    </xf>
    <xf numFmtId="16" fontId="2" fillId="9" borderId="9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0" fontId="2" fillId="9" borderId="9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16" fontId="2" fillId="9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0" fontId="2" fillId="9" borderId="0" xfId="0" applyNumberFormat="1" applyFont="1" applyFill="1" applyAlignment="1">
      <alignment horizontal="center" vertical="center"/>
    </xf>
    <xf numFmtId="164" fontId="2" fillId="9" borderId="0" xfId="1" applyNumberFormat="1" applyFont="1" applyFill="1" applyBorder="1" applyAlignment="1">
      <alignment horizontal="right" vertical="center"/>
    </xf>
    <xf numFmtId="0" fontId="23" fillId="2" borderId="10" xfId="0" applyFont="1" applyFill="1" applyBorder="1" applyAlignment="1">
      <alignment horizontal="center"/>
    </xf>
    <xf numFmtId="165" fontId="17" fillId="3" borderId="8" xfId="1" applyNumberFormat="1" applyFont="1" applyFill="1" applyBorder="1" applyAlignment="1">
      <alignment horizontal="center"/>
    </xf>
    <xf numFmtId="165" fontId="17" fillId="3" borderId="8" xfId="0" applyNumberFormat="1" applyFont="1" applyFill="1" applyBorder="1" applyAlignment="1">
      <alignment horizontal="center"/>
    </xf>
    <xf numFmtId="165" fontId="15" fillId="0" borderId="38" xfId="0" applyNumberFormat="1" applyFont="1" applyBorder="1" applyAlignment="1">
      <alignment horizontal="center" vertical="center"/>
    </xf>
    <xf numFmtId="165" fontId="15" fillId="0" borderId="38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0" fillId="0" borderId="11" xfId="1" applyNumberFormat="1" applyFont="1" applyFill="1" applyBorder="1"/>
    <xf numFmtId="14" fontId="5" fillId="3" borderId="43" xfId="0" applyNumberFormat="1" applyFont="1" applyFill="1" applyBorder="1" applyAlignment="1">
      <alignment horizontal="center" vertical="center" wrapText="1"/>
    </xf>
    <xf numFmtId="14" fontId="5" fillId="3" borderId="29" xfId="0" applyNumberFormat="1" applyFont="1" applyFill="1" applyBorder="1" applyAlignment="1">
      <alignment horizontal="center" vertical="center" wrapText="1"/>
    </xf>
    <xf numFmtId="14" fontId="5" fillId="3" borderId="25" xfId="0" applyNumberFormat="1" applyFont="1" applyFill="1" applyBorder="1" applyAlignment="1">
      <alignment horizontal="center" vertical="center" wrapText="1"/>
    </xf>
    <xf numFmtId="14" fontId="5" fillId="3" borderId="26" xfId="0" applyNumberFormat="1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/>
    </xf>
    <xf numFmtId="165" fontId="2" fillId="9" borderId="8" xfId="1" applyNumberFormat="1" applyFont="1" applyFill="1" applyBorder="1" applyAlignment="1">
      <alignment vertical="center"/>
    </xf>
    <xf numFmtId="14" fontId="5" fillId="3" borderId="23" xfId="0" applyNumberFormat="1" applyFont="1" applyFill="1" applyBorder="1" applyAlignment="1">
      <alignment horizontal="center" vertical="center" wrapText="1"/>
    </xf>
    <xf numFmtId="14" fontId="5" fillId="3" borderId="24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7" fillId="0" borderId="0" xfId="0" applyFont="1"/>
    <xf numFmtId="164" fontId="7" fillId="13" borderId="8" xfId="0" applyNumberFormat="1" applyFont="1" applyFill="1" applyBorder="1"/>
    <xf numFmtId="0" fontId="2" fillId="0" borderId="2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0" fillId="4" borderId="11" xfId="1" applyNumberFormat="1" applyFont="1" applyFill="1" applyBorder="1"/>
    <xf numFmtId="164" fontId="6" fillId="10" borderId="8" xfId="1" applyNumberFormat="1" applyFont="1" applyFill="1" applyBorder="1"/>
    <xf numFmtId="0" fontId="0" fillId="0" borderId="12" xfId="0" applyBorder="1" applyAlignment="1">
      <alignment horizontal="center" shrinkToFit="1"/>
    </xf>
    <xf numFmtId="0" fontId="0" fillId="0" borderId="16" xfId="0" applyBorder="1" applyAlignment="1">
      <alignment horizontal="center" shrinkToFit="1"/>
    </xf>
    <xf numFmtId="164" fontId="13" fillId="10" borderId="15" xfId="1" applyNumberFormat="1" applyFont="1" applyFill="1" applyBorder="1"/>
    <xf numFmtId="0" fontId="2" fillId="0" borderId="41" xfId="0" applyFont="1" applyBorder="1" applyAlignment="1">
      <alignment horizontal="center"/>
    </xf>
    <xf numFmtId="0" fontId="0" fillId="0" borderId="0" xfId="0" applyAlignment="1">
      <alignment shrinkToFit="1"/>
    </xf>
    <xf numFmtId="165" fontId="2" fillId="10" borderId="8" xfId="1" applyNumberFormat="1" applyFont="1" applyFill="1" applyBorder="1" applyAlignment="1">
      <alignment horizontal="center" vertical="center"/>
    </xf>
    <xf numFmtId="14" fontId="2" fillId="0" borderId="0" xfId="0" applyNumberFormat="1" applyFont="1"/>
    <xf numFmtId="164" fontId="0" fillId="0" borderId="12" xfId="1" applyNumberFormat="1" applyFont="1" applyBorder="1"/>
    <xf numFmtId="0" fontId="0" fillId="4" borderId="0" xfId="0" applyFill="1"/>
    <xf numFmtId="0" fontId="3" fillId="4" borderId="0" xfId="0" applyFont="1" applyFill="1"/>
    <xf numFmtId="0" fontId="15" fillId="4" borderId="7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/>
    </xf>
    <xf numFmtId="165" fontId="15" fillId="4" borderId="8" xfId="2" applyNumberFormat="1" applyFont="1" applyFill="1" applyBorder="1" applyAlignment="1">
      <alignment horizontal="center"/>
    </xf>
    <xf numFmtId="165" fontId="15" fillId="4" borderId="8" xfId="1" applyNumberFormat="1" applyFont="1" applyFill="1" applyBorder="1" applyAlignment="1">
      <alignment horizontal="center"/>
    </xf>
    <xf numFmtId="164" fontId="15" fillId="3" borderId="8" xfId="0" applyNumberFormat="1" applyFont="1" applyFill="1" applyBorder="1" applyAlignment="1">
      <alignment horizontal="center"/>
    </xf>
    <xf numFmtId="164" fontId="15" fillId="8" borderId="8" xfId="0" applyNumberFormat="1" applyFont="1" applyFill="1" applyBorder="1" applyAlignment="1">
      <alignment horizontal="center"/>
    </xf>
    <xf numFmtId="164" fontId="25" fillId="16" borderId="9" xfId="0" applyNumberFormat="1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164" fontId="15" fillId="4" borderId="14" xfId="2" applyNumberFormat="1" applyFont="1" applyFill="1" applyBorder="1"/>
    <xf numFmtId="165" fontId="15" fillId="4" borderId="14" xfId="1" applyNumberFormat="1" applyFont="1" applyFill="1" applyBorder="1"/>
    <xf numFmtId="164" fontId="15" fillId="3" borderId="14" xfId="0" applyNumberFormat="1" applyFont="1" applyFill="1" applyBorder="1" applyAlignment="1">
      <alignment horizontal="center"/>
    </xf>
    <xf numFmtId="164" fontId="25" fillId="16" borderId="12" xfId="0" applyNumberFormat="1" applyFont="1" applyFill="1" applyBorder="1" applyAlignment="1">
      <alignment horizontal="center"/>
    </xf>
    <xf numFmtId="0" fontId="15" fillId="6" borderId="19" xfId="0" applyFont="1" applyFill="1" applyBorder="1"/>
    <xf numFmtId="164" fontId="15" fillId="6" borderId="15" xfId="0" applyNumberFormat="1" applyFont="1" applyFill="1" applyBorder="1"/>
    <xf numFmtId="164" fontId="15" fillId="7" borderId="15" xfId="0" applyNumberFormat="1" applyFont="1" applyFill="1" applyBorder="1" applyAlignment="1">
      <alignment horizontal="center"/>
    </xf>
    <xf numFmtId="164" fontId="16" fillId="7" borderId="15" xfId="2" applyNumberFormat="1" applyFont="1" applyFill="1" applyBorder="1"/>
    <xf numFmtId="164" fontId="0" fillId="6" borderId="39" xfId="0" applyNumberFormat="1" applyFill="1" applyBorder="1"/>
    <xf numFmtId="0" fontId="15" fillId="4" borderId="0" xfId="0" applyFont="1" applyFill="1" applyAlignment="1">
      <alignment horizontal="center"/>
    </xf>
    <xf numFmtId="165" fontId="0" fillId="8" borderId="0" xfId="1" applyNumberFormat="1" applyFont="1" applyFill="1"/>
    <xf numFmtId="0" fontId="15" fillId="0" borderId="0" xfId="0" applyFont="1"/>
    <xf numFmtId="164" fontId="26" fillId="17" borderId="0" xfId="2" applyNumberFormat="1" applyFont="1" applyFill="1"/>
    <xf numFmtId="164" fontId="26" fillId="3" borderId="0" xfId="2" applyNumberFormat="1" applyFont="1" applyFill="1"/>
    <xf numFmtId="0" fontId="6" fillId="0" borderId="0" xfId="0" applyFont="1"/>
    <xf numFmtId="164" fontId="6" fillId="13" borderId="0" xfId="0" applyNumberFormat="1" applyFont="1" applyFill="1"/>
    <xf numFmtId="164" fontId="25" fillId="3" borderId="12" xfId="0" applyNumberFormat="1" applyFont="1" applyFill="1" applyBorder="1" applyAlignment="1">
      <alignment horizontal="center"/>
    </xf>
    <xf numFmtId="164" fontId="25" fillId="3" borderId="9" xfId="0" applyNumberFormat="1" applyFont="1" applyFill="1" applyBorder="1" applyAlignment="1">
      <alignment horizontal="center"/>
    </xf>
    <xf numFmtId="164" fontId="15" fillId="8" borderId="14" xfId="0" applyNumberFormat="1" applyFont="1" applyFill="1" applyBorder="1" applyAlignment="1">
      <alignment horizontal="center"/>
    </xf>
    <xf numFmtId="164" fontId="15" fillId="12" borderId="14" xfId="0" applyNumberFormat="1" applyFont="1" applyFill="1" applyBorder="1" applyAlignment="1">
      <alignment horizontal="center"/>
    </xf>
    <xf numFmtId="164" fontId="15" fillId="12" borderId="8" xfId="0" applyNumberFormat="1" applyFont="1" applyFill="1" applyBorder="1" applyAlignment="1">
      <alignment horizontal="center"/>
    </xf>
    <xf numFmtId="164" fontId="0" fillId="0" borderId="10" xfId="1" applyNumberFormat="1" applyFont="1" applyBorder="1"/>
    <xf numFmtId="0" fontId="27" fillId="0" borderId="9" xfId="0" applyFont="1" applyBorder="1"/>
    <xf numFmtId="0" fontId="2" fillId="0" borderId="8" xfId="0" applyFont="1" applyBorder="1" applyAlignment="1">
      <alignment vertical="center"/>
    </xf>
    <xf numFmtId="167" fontId="2" fillId="10" borderId="8" xfId="0" applyNumberFormat="1" applyFont="1" applyFill="1" applyBorder="1" applyAlignment="1">
      <alignment horizontal="center" vertical="center"/>
    </xf>
    <xf numFmtId="20" fontId="2" fillId="9" borderId="8" xfId="0" applyNumberFormat="1" applyFont="1" applyFill="1" applyBorder="1" applyAlignment="1">
      <alignment horizontal="right" vertical="center"/>
    </xf>
    <xf numFmtId="0" fontId="2" fillId="9" borderId="8" xfId="0" applyFont="1" applyFill="1" applyBorder="1" applyAlignment="1">
      <alignment horizontal="center"/>
    </xf>
    <xf numFmtId="164" fontId="2" fillId="10" borderId="8" xfId="1" applyNumberFormat="1" applyFont="1" applyFill="1" applyBorder="1" applyAlignment="1">
      <alignment horizontal="center" vertical="center"/>
    </xf>
    <xf numFmtId="164" fontId="2" fillId="9" borderId="8" xfId="1" applyNumberFormat="1" applyFont="1" applyFill="1" applyBorder="1" applyAlignment="1">
      <alignment horizontal="center" vertical="center"/>
    </xf>
    <xf numFmtId="164" fontId="2" fillId="9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30" fillId="0" borderId="9" xfId="0" applyFont="1" applyBorder="1"/>
    <xf numFmtId="0" fontId="2" fillId="6" borderId="8" xfId="0" applyFont="1" applyFill="1" applyBorder="1" applyAlignment="1">
      <alignment horizontal="center"/>
    </xf>
    <xf numFmtId="165" fontId="2" fillId="10" borderId="8" xfId="1" applyNumberFormat="1" applyFont="1" applyFill="1" applyBorder="1" applyAlignment="1">
      <alignment vertical="center"/>
    </xf>
    <xf numFmtId="1" fontId="2" fillId="3" borderId="8" xfId="0" applyNumberFormat="1" applyFont="1" applyFill="1" applyBorder="1" applyAlignment="1">
      <alignment horizontal="center" vertical="center"/>
    </xf>
    <xf numFmtId="164" fontId="0" fillId="0" borderId="28" xfId="1" applyNumberFormat="1" applyFont="1" applyBorder="1"/>
    <xf numFmtId="0" fontId="30" fillId="0" borderId="48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5" fillId="3" borderId="7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14" fontId="5" fillId="3" borderId="13" xfId="0" applyNumberFormat="1" applyFont="1" applyFill="1" applyBorder="1" applyAlignment="1">
      <alignment horizontal="center" vertical="center" wrapText="1"/>
    </xf>
    <xf numFmtId="14" fontId="5" fillId="3" borderId="14" xfId="0" applyNumberFormat="1" applyFont="1" applyFill="1" applyBorder="1" applyAlignment="1">
      <alignment horizontal="center" vertical="center" wrapText="1"/>
    </xf>
    <xf numFmtId="14" fontId="5" fillId="3" borderId="19" xfId="0" applyNumberFormat="1" applyFont="1" applyFill="1" applyBorder="1" applyAlignment="1">
      <alignment horizontal="center" vertical="center" wrapText="1"/>
    </xf>
    <xf numFmtId="14" fontId="5" fillId="3" borderId="15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17" fontId="7" fillId="8" borderId="10" xfId="0" applyNumberFormat="1" applyFont="1" applyFill="1" applyBorder="1" applyAlignment="1">
      <alignment horizontal="center" vertical="center"/>
    </xf>
    <xf numFmtId="17" fontId="7" fillId="8" borderId="5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4" fontId="5" fillId="3" borderId="30" xfId="0" applyNumberFormat="1" applyFont="1" applyFill="1" applyBorder="1" applyAlignment="1">
      <alignment horizontal="center" wrapText="1"/>
    </xf>
    <xf numFmtId="14" fontId="5" fillId="3" borderId="29" xfId="0" applyNumberFormat="1" applyFont="1" applyFill="1" applyBorder="1" applyAlignment="1">
      <alignment horizontal="center" wrapText="1"/>
    </xf>
    <xf numFmtId="14" fontId="5" fillId="3" borderId="0" xfId="0" applyNumberFormat="1" applyFont="1" applyFill="1" applyAlignment="1">
      <alignment horizontal="center" wrapText="1"/>
    </xf>
    <xf numFmtId="14" fontId="5" fillId="3" borderId="24" xfId="0" applyNumberFormat="1" applyFont="1" applyFill="1" applyBorder="1" applyAlignment="1">
      <alignment horizont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/>
    </xf>
    <xf numFmtId="14" fontId="14" fillId="3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14" fontId="14" fillId="3" borderId="28" xfId="0" applyNumberFormat="1" applyFont="1" applyFill="1" applyBorder="1" applyAlignment="1">
      <alignment horizontal="center" vertical="center" wrapText="1"/>
    </xf>
    <xf numFmtId="14" fontId="14" fillId="3" borderId="29" xfId="0" applyNumberFormat="1" applyFont="1" applyFill="1" applyBorder="1" applyAlignment="1">
      <alignment horizontal="center" vertical="center" wrapText="1"/>
    </xf>
    <xf numFmtId="14" fontId="14" fillId="3" borderId="32" xfId="0" applyNumberFormat="1" applyFont="1" applyFill="1" applyBorder="1" applyAlignment="1">
      <alignment horizontal="center" vertical="center" wrapText="1"/>
    </xf>
    <xf numFmtId="14" fontId="14" fillId="3" borderId="24" xfId="0" applyNumberFormat="1" applyFont="1" applyFill="1" applyBorder="1" applyAlignment="1">
      <alignment horizontal="center" vertical="center" wrapText="1"/>
    </xf>
    <xf numFmtId="14" fontId="14" fillId="3" borderId="31" xfId="0" applyNumberFormat="1" applyFont="1" applyFill="1" applyBorder="1" applyAlignment="1">
      <alignment horizontal="center" vertical="center" wrapText="1"/>
    </xf>
    <xf numFmtId="14" fontId="14" fillId="3" borderId="33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9" borderId="7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/>
    </xf>
    <xf numFmtId="0" fontId="7" fillId="8" borderId="41" xfId="0" applyFont="1" applyFill="1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14" fontId="14" fillId="3" borderId="7" xfId="0" applyNumberFormat="1" applyFont="1" applyFill="1" applyBorder="1" applyAlignment="1">
      <alignment horizontal="center" vertical="center" wrapText="1"/>
    </xf>
    <xf numFmtId="14" fontId="14" fillId="3" borderId="13" xfId="0" applyNumberFormat="1" applyFont="1" applyFill="1" applyBorder="1" applyAlignment="1">
      <alignment horizontal="center" vertical="center" wrapText="1"/>
    </xf>
    <xf numFmtId="14" fontId="14" fillId="3" borderId="14" xfId="0" applyNumberFormat="1" applyFont="1" applyFill="1" applyBorder="1" applyAlignment="1">
      <alignment horizontal="center" vertical="center" wrapText="1"/>
    </xf>
    <xf numFmtId="14" fontId="14" fillId="3" borderId="19" xfId="0" applyNumberFormat="1" applyFont="1" applyFill="1" applyBorder="1" applyAlignment="1">
      <alignment horizontal="center" vertical="center" wrapText="1"/>
    </xf>
    <xf numFmtId="14" fontId="14" fillId="3" borderId="15" xfId="0" applyNumberFormat="1" applyFont="1" applyFill="1" applyBorder="1" applyAlignment="1">
      <alignment horizontal="center" vertical="center" wrapText="1"/>
    </xf>
    <xf numFmtId="14" fontId="5" fillId="13" borderId="7" xfId="0" applyNumberFormat="1" applyFont="1" applyFill="1" applyBorder="1" applyAlignment="1">
      <alignment horizontal="center" vertical="center" wrapText="1"/>
    </xf>
    <xf numFmtId="14" fontId="5" fillId="13" borderId="8" xfId="0" applyNumberFormat="1" applyFont="1" applyFill="1" applyBorder="1" applyAlignment="1">
      <alignment horizontal="center" vertical="center" wrapText="1"/>
    </xf>
    <xf numFmtId="14" fontId="5" fillId="13" borderId="13" xfId="0" applyNumberFormat="1" applyFont="1" applyFill="1" applyBorder="1" applyAlignment="1">
      <alignment horizontal="center" vertical="center" wrapText="1"/>
    </xf>
    <xf numFmtId="14" fontId="5" fillId="13" borderId="14" xfId="0" applyNumberFormat="1" applyFont="1" applyFill="1" applyBorder="1" applyAlignment="1">
      <alignment horizontal="center" vertical="center" wrapText="1"/>
    </xf>
    <xf numFmtId="14" fontId="5" fillId="13" borderId="19" xfId="0" applyNumberFormat="1" applyFont="1" applyFill="1" applyBorder="1" applyAlignment="1">
      <alignment horizontal="center" vertical="center" wrapText="1"/>
    </xf>
    <xf numFmtId="14" fontId="5" fillId="13" borderId="15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14" fontId="18" fillId="7" borderId="37" xfId="0" applyNumberFormat="1" applyFont="1" applyFill="1" applyBorder="1" applyAlignment="1">
      <alignment horizontal="center" vertical="center" wrapText="1"/>
    </xf>
    <xf numFmtId="14" fontId="18" fillId="7" borderId="27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/>
    </xf>
    <xf numFmtId="0" fontId="7" fillId="14" borderId="23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4" borderId="34" xfId="0" applyFont="1" applyFill="1" applyBorder="1" applyAlignment="1">
      <alignment horizontal="center" vertical="center"/>
    </xf>
    <xf numFmtId="0" fontId="7" fillId="14" borderId="35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5" fillId="3" borderId="43" xfId="0" applyNumberFormat="1" applyFont="1" applyFill="1" applyBorder="1" applyAlignment="1">
      <alignment horizontal="center" vertical="center" wrapText="1"/>
    </xf>
    <xf numFmtId="14" fontId="5" fillId="3" borderId="29" xfId="0" applyNumberFormat="1" applyFont="1" applyFill="1" applyBorder="1" applyAlignment="1">
      <alignment horizontal="center" vertical="center" wrapText="1"/>
    </xf>
    <xf numFmtId="14" fontId="5" fillId="3" borderId="23" xfId="0" applyNumberFormat="1" applyFont="1" applyFill="1" applyBorder="1" applyAlignment="1">
      <alignment horizontal="center" vertical="center" wrapText="1"/>
    </xf>
    <xf numFmtId="14" fontId="5" fillId="3" borderId="24" xfId="0" applyNumberFormat="1" applyFont="1" applyFill="1" applyBorder="1" applyAlignment="1">
      <alignment horizontal="center" vertical="center" wrapText="1"/>
    </xf>
    <xf numFmtId="14" fontId="5" fillId="3" borderId="25" xfId="0" applyNumberFormat="1" applyFont="1" applyFill="1" applyBorder="1" applyAlignment="1">
      <alignment horizontal="center" vertical="center" wrapText="1"/>
    </xf>
    <xf numFmtId="14" fontId="5" fillId="3" borderId="26" xfId="0" applyNumberFormat="1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14" fontId="28" fillId="3" borderId="7" xfId="0" applyNumberFormat="1" applyFont="1" applyFill="1" applyBorder="1" applyAlignment="1">
      <alignment horizontal="center" vertical="center" wrapText="1"/>
    </xf>
    <xf numFmtId="14" fontId="28" fillId="3" borderId="8" xfId="0" applyNumberFormat="1" applyFont="1" applyFill="1" applyBorder="1" applyAlignment="1">
      <alignment horizontal="center" vertical="center" wrapText="1"/>
    </xf>
    <xf numFmtId="14" fontId="28" fillId="3" borderId="13" xfId="0" applyNumberFormat="1" applyFont="1" applyFill="1" applyBorder="1" applyAlignment="1">
      <alignment horizontal="center" vertical="center" wrapText="1"/>
    </xf>
    <xf numFmtId="14" fontId="28" fillId="3" borderId="14" xfId="0" applyNumberFormat="1" applyFont="1" applyFill="1" applyBorder="1" applyAlignment="1">
      <alignment horizontal="center" vertical="center" wrapText="1"/>
    </xf>
    <xf numFmtId="14" fontId="28" fillId="3" borderId="19" xfId="0" applyNumberFormat="1" applyFont="1" applyFill="1" applyBorder="1" applyAlignment="1">
      <alignment horizontal="center" vertical="center" wrapText="1"/>
    </xf>
    <xf numFmtId="14" fontId="28" fillId="3" borderId="15" xfId="0" applyNumberFormat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9" fillId="2" borderId="7" xfId="3" applyFill="1" applyBorder="1" applyAlignment="1">
      <alignment horizontal="center"/>
    </xf>
    <xf numFmtId="0" fontId="29" fillId="2" borderId="8" xfId="3" applyFill="1" applyBorder="1" applyAlignment="1">
      <alignment horizontal="center"/>
    </xf>
    <xf numFmtId="0" fontId="29" fillId="2" borderId="9" xfId="3" applyFill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4">
    <cellStyle name="Hipervínculo" xfId="3" builtinId="8"/>
    <cellStyle name="Moneda" xfId="1" builtinId="4"/>
    <cellStyle name="Moneda 2" xfId="2" xr:uid="{18FF6F4A-7794-41F7-92C0-34AAD5DEE27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11AC1593-FC53-407D-A64A-746979FBB045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7-16T22:04:53.43" personId="{11AC1593-FC53-407D-A64A-746979FBB045}" id="{084D3F4A-9A2D-4AE6-A159-96481C964EB5}">
    <text xml:space="preserve">9 DE ALQUIOBRAS
</text>
  </threadedComment>
  <threadedComment ref="B44" dT="2025-07-16T22:04:53.43" personId="{11AC1593-FC53-407D-A64A-746979FBB045}" id="{43485F64-C6B6-4C8B-A054-DBA13DE50089}">
    <text xml:space="preserve">9 DE ALQUIOBRAS
</text>
  </threadedComment>
  <threadedComment ref="B78" dT="2025-07-16T22:04:53.43" personId="{11AC1593-FC53-407D-A64A-746979FBB045}" id="{4B1B2817-0AD0-4200-BA5A-B815C9B01659}">
    <text xml:space="preserve">9 DE ALQUIOBRAS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tel:3142352448" TargetMode="External"/><Relationship Id="rId4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tel:3142352448" TargetMode="External"/><Relationship Id="rId1" Type="http://schemas.openxmlformats.org/officeDocument/2006/relationships/hyperlink" Target="tel:3142352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opLeftCell="A59" workbookViewId="0">
      <selection activeCell="K47" sqref="K47:L47"/>
    </sheetView>
  </sheetViews>
  <sheetFormatPr baseColWidth="10" defaultColWidth="9.140625" defaultRowHeight="15" x14ac:dyDescent="0.25"/>
  <cols>
    <col min="1" max="1" width="31.7109375" customWidth="1"/>
    <col min="5" max="6" width="15.28515625" customWidth="1"/>
    <col min="7" max="7" width="11.85546875" customWidth="1"/>
  </cols>
  <sheetData>
    <row r="1" spans="1:6" x14ac:dyDescent="0.25">
      <c r="A1" s="258" t="s">
        <v>0</v>
      </c>
      <c r="B1" s="259"/>
      <c r="C1" s="259"/>
      <c r="D1" s="259"/>
      <c r="E1" s="259"/>
      <c r="F1" s="260"/>
    </row>
    <row r="2" spans="1:6" ht="18" x14ac:dyDescent="0.25">
      <c r="A2" s="249" t="s">
        <v>1</v>
      </c>
      <c r="B2" s="250"/>
      <c r="C2" s="250"/>
      <c r="D2" s="250"/>
      <c r="E2" s="250"/>
      <c r="F2" s="251"/>
    </row>
    <row r="3" spans="1:6" ht="18" x14ac:dyDescent="0.25">
      <c r="A3" s="249" t="s">
        <v>2</v>
      </c>
      <c r="B3" s="250"/>
      <c r="C3" s="250"/>
      <c r="D3" s="250"/>
      <c r="E3" s="250"/>
      <c r="F3" s="251"/>
    </row>
    <row r="4" spans="1:6" x14ac:dyDescent="0.25">
      <c r="A4" s="235" t="s">
        <v>3</v>
      </c>
      <c r="B4" s="236" t="s">
        <v>4</v>
      </c>
      <c r="C4" s="236"/>
      <c r="D4" s="236"/>
      <c r="E4" s="236" t="s">
        <v>5</v>
      </c>
      <c r="F4" s="237"/>
    </row>
    <row r="5" spans="1:6" x14ac:dyDescent="0.25">
      <c r="A5" s="235"/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</row>
    <row r="6" spans="1:6" x14ac:dyDescent="0.25">
      <c r="A6" s="3" t="s">
        <v>11</v>
      </c>
      <c r="B6" s="4">
        <v>5</v>
      </c>
      <c r="C6" s="5">
        <v>2</v>
      </c>
      <c r="D6" s="6">
        <v>2000</v>
      </c>
      <c r="E6" s="7">
        <f>C6*D6</f>
        <v>4000</v>
      </c>
      <c r="F6" s="8">
        <f>B6*E6</f>
        <v>20000</v>
      </c>
    </row>
    <row r="7" spans="1:6" x14ac:dyDescent="0.25">
      <c r="A7" s="3" t="s">
        <v>12</v>
      </c>
      <c r="B7" s="4">
        <v>5</v>
      </c>
      <c r="C7" s="5">
        <v>3</v>
      </c>
      <c r="D7" s="6">
        <v>1000</v>
      </c>
      <c r="E7" s="7">
        <f>C7*D7</f>
        <v>3000</v>
      </c>
      <c r="F7" s="8">
        <f>B7*E7</f>
        <v>15000</v>
      </c>
    </row>
    <row r="8" spans="1:6" x14ac:dyDescent="0.25">
      <c r="A8" s="3" t="s">
        <v>13</v>
      </c>
      <c r="B8" s="4">
        <v>5</v>
      </c>
      <c r="C8" s="5">
        <v>1</v>
      </c>
      <c r="D8" s="6">
        <v>1000</v>
      </c>
      <c r="E8" s="7">
        <f>C8*D8</f>
        <v>1000</v>
      </c>
      <c r="F8" s="8">
        <f>B8*E8</f>
        <v>5000</v>
      </c>
    </row>
    <row r="9" spans="1:6" x14ac:dyDescent="0.25">
      <c r="A9" s="3" t="s">
        <v>14</v>
      </c>
      <c r="B9" s="4">
        <v>5</v>
      </c>
      <c r="C9" s="5">
        <v>12</v>
      </c>
      <c r="D9" s="6">
        <v>180</v>
      </c>
      <c r="E9" s="7">
        <f>C9*D9</f>
        <v>2160</v>
      </c>
      <c r="F9" s="8">
        <f>B9*E9</f>
        <v>10800</v>
      </c>
    </row>
    <row r="10" spans="1:6" x14ac:dyDescent="0.25">
      <c r="A10" s="3" t="s">
        <v>15</v>
      </c>
      <c r="B10" s="4">
        <v>5</v>
      </c>
      <c r="C10" s="5">
        <v>12</v>
      </c>
      <c r="D10" s="6">
        <v>150</v>
      </c>
      <c r="E10" s="7">
        <f>C10*D10</f>
        <v>1800</v>
      </c>
      <c r="F10" s="8">
        <f>B10*E10</f>
        <v>9000</v>
      </c>
    </row>
    <row r="11" spans="1:6" ht="18.75" x14ac:dyDescent="0.4">
      <c r="A11" s="238"/>
      <c r="B11" s="239"/>
      <c r="C11" s="244" t="s">
        <v>16</v>
      </c>
      <c r="D11" s="245"/>
      <c r="E11" s="9">
        <v>12000</v>
      </c>
      <c r="F11" s="10"/>
    </row>
    <row r="12" spans="1:6" ht="19.5" thickBot="1" x14ac:dyDescent="0.45">
      <c r="A12" s="240"/>
      <c r="B12" s="241"/>
      <c r="C12" s="246" t="s">
        <v>17</v>
      </c>
      <c r="D12" s="246"/>
      <c r="E12" s="11">
        <f>E11*B10</f>
        <v>60000</v>
      </c>
      <c r="F12" s="12"/>
    </row>
    <row r="13" spans="1:6" ht="18.75" x14ac:dyDescent="0.4">
      <c r="A13" s="240"/>
      <c r="B13" s="241"/>
      <c r="C13" s="247" t="s">
        <v>18</v>
      </c>
      <c r="D13" s="248"/>
      <c r="E13" s="13">
        <v>25000</v>
      </c>
      <c r="F13" s="12"/>
    </row>
    <row r="14" spans="1:6" ht="19.5" thickBot="1" x14ac:dyDescent="0.45">
      <c r="A14" s="242"/>
      <c r="B14" s="243"/>
      <c r="C14" s="246" t="s">
        <v>19</v>
      </c>
      <c r="D14" s="246"/>
      <c r="E14" s="14">
        <f>E12+E13</f>
        <v>85000</v>
      </c>
      <c r="F14" s="15"/>
    </row>
    <row r="15" spans="1:6" x14ac:dyDescent="0.25">
      <c r="A15" t="s">
        <v>20</v>
      </c>
    </row>
    <row r="16" spans="1:6" x14ac:dyDescent="0.25">
      <c r="A16" t="s">
        <v>21</v>
      </c>
      <c r="E16" s="16">
        <v>300000</v>
      </c>
    </row>
    <row r="17" spans="1:7" x14ac:dyDescent="0.25">
      <c r="A17" t="s">
        <v>22</v>
      </c>
    </row>
    <row r="18" spans="1:7" x14ac:dyDescent="0.25">
      <c r="A18" t="s">
        <v>23</v>
      </c>
    </row>
    <row r="19" spans="1:7" x14ac:dyDescent="0.25">
      <c r="A19" t="s">
        <v>24</v>
      </c>
    </row>
    <row r="21" spans="1:7" ht="15.75" thickBot="1" x14ac:dyDescent="0.3"/>
    <row r="22" spans="1:7" x14ac:dyDescent="0.25">
      <c r="A22" s="258" t="s">
        <v>0</v>
      </c>
      <c r="B22" s="259"/>
      <c r="C22" s="259"/>
      <c r="D22" s="259"/>
      <c r="E22" s="259"/>
      <c r="F22" s="260"/>
    </row>
    <row r="23" spans="1:7" ht="18" x14ac:dyDescent="0.25">
      <c r="A23" s="249" t="s">
        <v>1</v>
      </c>
      <c r="B23" s="250"/>
      <c r="C23" s="250"/>
      <c r="D23" s="250"/>
      <c r="E23" s="250"/>
      <c r="F23" s="251"/>
    </row>
    <row r="24" spans="1:7" ht="18" x14ac:dyDescent="0.25">
      <c r="A24" s="249" t="s">
        <v>2</v>
      </c>
      <c r="B24" s="250"/>
      <c r="C24" s="250"/>
      <c r="D24" s="250"/>
      <c r="E24" s="250"/>
      <c r="F24" s="251"/>
    </row>
    <row r="25" spans="1:7" x14ac:dyDescent="0.25">
      <c r="A25" s="235" t="s">
        <v>3</v>
      </c>
      <c r="B25" s="236" t="s">
        <v>4</v>
      </c>
      <c r="C25" s="236"/>
      <c r="D25" s="236"/>
      <c r="E25" s="236" t="s">
        <v>5</v>
      </c>
      <c r="F25" s="237"/>
    </row>
    <row r="26" spans="1:7" x14ac:dyDescent="0.25">
      <c r="A26" s="235"/>
      <c r="B26" s="1" t="s">
        <v>6</v>
      </c>
      <c r="C26" s="1" t="s">
        <v>7</v>
      </c>
      <c r="D26" s="1" t="s">
        <v>8</v>
      </c>
      <c r="E26" s="1" t="s">
        <v>9</v>
      </c>
      <c r="F26" s="2" t="s">
        <v>10</v>
      </c>
    </row>
    <row r="27" spans="1:7" x14ac:dyDescent="0.25">
      <c r="A27" s="3" t="s">
        <v>11</v>
      </c>
      <c r="B27" s="5">
        <v>79</v>
      </c>
      <c r="C27" s="4">
        <v>2</v>
      </c>
      <c r="D27" s="17">
        <v>2000</v>
      </c>
      <c r="E27" s="17">
        <f>C27*D27</f>
        <v>4000</v>
      </c>
      <c r="F27" s="18">
        <f>B27*E27</f>
        <v>316000</v>
      </c>
      <c r="G27" t="s">
        <v>25</v>
      </c>
    </row>
    <row r="28" spans="1:7" x14ac:dyDescent="0.25">
      <c r="A28" s="3" t="s">
        <v>12</v>
      </c>
      <c r="B28" s="4">
        <v>5</v>
      </c>
      <c r="C28" s="4">
        <v>3</v>
      </c>
      <c r="D28" s="17">
        <v>1000</v>
      </c>
      <c r="E28" s="17">
        <f>C28*D28</f>
        <v>3000</v>
      </c>
      <c r="F28" s="18">
        <f>B28*E28</f>
        <v>15000</v>
      </c>
    </row>
    <row r="29" spans="1:7" x14ac:dyDescent="0.25">
      <c r="A29" s="3" t="s">
        <v>13</v>
      </c>
      <c r="B29" s="5">
        <v>79</v>
      </c>
      <c r="C29" s="4">
        <v>1</v>
      </c>
      <c r="D29" s="17">
        <v>1000</v>
      </c>
      <c r="E29" s="17">
        <f>C29*D29</f>
        <v>1000</v>
      </c>
      <c r="F29" s="18">
        <f>B29*E29</f>
        <v>79000</v>
      </c>
      <c r="G29" t="s">
        <v>25</v>
      </c>
    </row>
    <row r="30" spans="1:7" x14ac:dyDescent="0.25">
      <c r="A30" s="3" t="s">
        <v>14</v>
      </c>
      <c r="B30" s="4">
        <v>5</v>
      </c>
      <c r="C30" s="4">
        <v>12</v>
      </c>
      <c r="D30" s="17">
        <v>180</v>
      </c>
      <c r="E30" s="17">
        <f>C30*D30</f>
        <v>2160</v>
      </c>
      <c r="F30" s="18">
        <f>B30*E30</f>
        <v>10800</v>
      </c>
    </row>
    <row r="31" spans="1:7" x14ac:dyDescent="0.25">
      <c r="A31" s="3" t="s">
        <v>15</v>
      </c>
      <c r="B31" s="4">
        <v>5</v>
      </c>
      <c r="C31" s="4">
        <v>12</v>
      </c>
      <c r="D31" s="17">
        <v>150</v>
      </c>
      <c r="E31" s="17">
        <f>C31*D31</f>
        <v>1800</v>
      </c>
      <c r="F31" s="18">
        <f>B31*E31</f>
        <v>9000</v>
      </c>
    </row>
    <row r="32" spans="1:7" ht="18.75" x14ac:dyDescent="0.4">
      <c r="A32" s="238" t="s">
        <v>26</v>
      </c>
      <c r="B32" s="239"/>
      <c r="C32" s="244" t="s">
        <v>16</v>
      </c>
      <c r="D32" s="245"/>
      <c r="E32" s="9">
        <f>SUM(E27:E31)</f>
        <v>11960</v>
      </c>
      <c r="F32" s="10"/>
    </row>
    <row r="33" spans="1:8" ht="19.5" thickBot="1" x14ac:dyDescent="0.45">
      <c r="A33" s="240"/>
      <c r="B33" s="241"/>
      <c r="C33" s="246" t="s">
        <v>17</v>
      </c>
      <c r="D33" s="246"/>
      <c r="E33" s="11">
        <f>SUM(F27:F31)</f>
        <v>429800</v>
      </c>
      <c r="F33" s="12"/>
    </row>
    <row r="34" spans="1:8" ht="18.75" x14ac:dyDescent="0.4">
      <c r="A34" s="240"/>
      <c r="B34" s="241"/>
      <c r="C34" s="247" t="s">
        <v>18</v>
      </c>
      <c r="D34" s="248"/>
      <c r="E34" s="13">
        <v>25000</v>
      </c>
      <c r="F34" s="12"/>
    </row>
    <row r="35" spans="1:8" ht="19.5" thickBot="1" x14ac:dyDescent="0.45">
      <c r="A35" s="242"/>
      <c r="B35" s="243"/>
      <c r="C35" s="246" t="s">
        <v>19</v>
      </c>
      <c r="D35" s="246"/>
      <c r="E35" s="14">
        <f>E33+E34</f>
        <v>454800</v>
      </c>
      <c r="F35" s="15"/>
    </row>
    <row r="36" spans="1:8" x14ac:dyDescent="0.25">
      <c r="A36" t="s">
        <v>20</v>
      </c>
    </row>
    <row r="37" spans="1:8" x14ac:dyDescent="0.25">
      <c r="A37" t="s">
        <v>21</v>
      </c>
      <c r="E37" s="19">
        <v>300000</v>
      </c>
      <c r="F37" s="19">
        <v>100000</v>
      </c>
      <c r="G37" s="20">
        <v>50000</v>
      </c>
      <c r="H37" s="21">
        <v>50000</v>
      </c>
    </row>
    <row r="38" spans="1:8" x14ac:dyDescent="0.25">
      <c r="A38" t="s">
        <v>22</v>
      </c>
      <c r="G38" s="22">
        <v>45818</v>
      </c>
      <c r="H38" s="23">
        <v>45845</v>
      </c>
    </row>
    <row r="39" spans="1:8" x14ac:dyDescent="0.25">
      <c r="A39" t="s">
        <v>23</v>
      </c>
    </row>
    <row r="40" spans="1:8" x14ac:dyDescent="0.25">
      <c r="A40" t="s">
        <v>24</v>
      </c>
    </row>
    <row r="42" spans="1:8" ht="18.75" x14ac:dyDescent="0.25">
      <c r="A42" s="252" t="s">
        <v>27</v>
      </c>
      <c r="B42" s="253"/>
      <c r="C42" s="253"/>
      <c r="D42" s="253"/>
      <c r="E42" s="253"/>
      <c r="F42" s="254"/>
    </row>
    <row r="43" spans="1:8" ht="18.75" x14ac:dyDescent="0.3">
      <c r="A43" s="26" t="s">
        <v>28</v>
      </c>
      <c r="B43" s="27"/>
      <c r="C43" s="24"/>
      <c r="D43" s="24"/>
      <c r="E43" s="24"/>
      <c r="F43" s="25"/>
    </row>
    <row r="44" spans="1:8" ht="18.75" x14ac:dyDescent="0.25">
      <c r="A44" s="255" t="s">
        <v>29</v>
      </c>
      <c r="B44" s="256"/>
      <c r="C44" s="256"/>
      <c r="D44" s="253"/>
      <c r="E44" s="253"/>
      <c r="F44" s="254"/>
    </row>
    <row r="45" spans="1:8" x14ac:dyDescent="0.25">
      <c r="A45" s="257" t="s">
        <v>3</v>
      </c>
      <c r="B45" s="29" t="s">
        <v>30</v>
      </c>
      <c r="C45" s="28">
        <v>11383</v>
      </c>
      <c r="D45" s="28"/>
      <c r="E45" s="28"/>
      <c r="F45" s="29" t="s">
        <v>30</v>
      </c>
    </row>
    <row r="46" spans="1:8" x14ac:dyDescent="0.25">
      <c r="A46" s="257"/>
      <c r="B46" s="30">
        <v>45714</v>
      </c>
      <c r="C46" s="31" t="s">
        <v>31</v>
      </c>
      <c r="D46" s="32"/>
      <c r="E46" s="32"/>
      <c r="F46" s="30">
        <v>45747</v>
      </c>
    </row>
    <row r="47" spans="1:8" x14ac:dyDescent="0.25">
      <c r="A47" s="33" t="s">
        <v>32</v>
      </c>
      <c r="B47" s="34">
        <v>4</v>
      </c>
      <c r="C47" s="35"/>
      <c r="D47" s="36"/>
      <c r="E47" s="1"/>
      <c r="F47" s="37">
        <v>4</v>
      </c>
    </row>
    <row r="48" spans="1:8" x14ac:dyDescent="0.25">
      <c r="A48" s="33" t="s">
        <v>33</v>
      </c>
      <c r="B48" s="34">
        <v>4</v>
      </c>
      <c r="C48" s="35"/>
      <c r="D48" s="36"/>
      <c r="E48" s="1"/>
      <c r="F48" s="37">
        <v>4</v>
      </c>
    </row>
    <row r="49" spans="1:7" x14ac:dyDescent="0.25">
      <c r="A49" s="33" t="s">
        <v>34</v>
      </c>
      <c r="B49" s="34">
        <v>1</v>
      </c>
      <c r="C49" s="35"/>
      <c r="D49" s="36"/>
      <c r="E49" s="1"/>
      <c r="F49" s="37">
        <v>1</v>
      </c>
    </row>
    <row r="50" spans="1:7" x14ac:dyDescent="0.25">
      <c r="A50" s="33" t="s">
        <v>35</v>
      </c>
      <c r="B50" s="34">
        <v>12</v>
      </c>
      <c r="C50" s="38">
        <v>-12</v>
      </c>
      <c r="D50" s="36"/>
      <c r="E50" s="1"/>
      <c r="F50" s="37">
        <v>0</v>
      </c>
    </row>
    <row r="51" spans="1:7" x14ac:dyDescent="0.25">
      <c r="A51" s="33" t="s">
        <v>36</v>
      </c>
      <c r="B51" s="34">
        <v>12</v>
      </c>
      <c r="C51" s="38">
        <v>-12</v>
      </c>
      <c r="D51" s="36"/>
      <c r="E51" s="1"/>
      <c r="F51" s="37">
        <v>0</v>
      </c>
    </row>
    <row r="52" spans="1:7" x14ac:dyDescent="0.25">
      <c r="A52" s="33" t="s">
        <v>37</v>
      </c>
      <c r="B52" s="34">
        <v>3</v>
      </c>
      <c r="C52" s="38">
        <v>-3</v>
      </c>
      <c r="D52" s="36"/>
      <c r="E52" s="1"/>
      <c r="F52" s="37">
        <v>0</v>
      </c>
    </row>
    <row r="53" spans="1:7" x14ac:dyDescent="0.25">
      <c r="A53" s="39" t="s">
        <v>38</v>
      </c>
      <c r="B53" s="40">
        <v>0.35416666666666669</v>
      </c>
      <c r="C53" s="41">
        <v>0.41666666666666669</v>
      </c>
      <c r="D53" s="42"/>
      <c r="E53" s="42"/>
      <c r="F53" s="43"/>
    </row>
    <row r="54" spans="1:7" x14ac:dyDescent="0.25">
      <c r="A54" s="39" t="s">
        <v>39</v>
      </c>
      <c r="B54" s="44">
        <v>12500</v>
      </c>
      <c r="C54" s="44">
        <v>12500</v>
      </c>
      <c r="D54" s="45"/>
      <c r="E54" s="46"/>
      <c r="F54" s="44">
        <v>25000</v>
      </c>
    </row>
    <row r="57" spans="1:7" ht="15.75" thickBot="1" x14ac:dyDescent="0.3"/>
    <row r="58" spans="1:7" x14ac:dyDescent="0.25">
      <c r="A58" s="258" t="s">
        <v>0</v>
      </c>
      <c r="B58" s="259"/>
      <c r="C58" s="259"/>
      <c r="D58" s="259"/>
      <c r="E58" s="259"/>
      <c r="F58" s="260"/>
    </row>
    <row r="59" spans="1:7" ht="18" x14ac:dyDescent="0.25">
      <c r="A59" s="249" t="s">
        <v>27</v>
      </c>
      <c r="B59" s="250"/>
      <c r="C59" s="250"/>
      <c r="D59" s="250"/>
      <c r="E59" s="250"/>
      <c r="F59" s="251"/>
    </row>
    <row r="60" spans="1:7" ht="18" x14ac:dyDescent="0.25">
      <c r="A60" s="249" t="s">
        <v>40</v>
      </c>
      <c r="B60" s="250"/>
      <c r="C60" s="250"/>
      <c r="D60" s="250"/>
      <c r="E60" s="250"/>
      <c r="F60" s="251"/>
    </row>
    <row r="61" spans="1:7" x14ac:dyDescent="0.25">
      <c r="A61" s="235" t="s">
        <v>3</v>
      </c>
      <c r="B61" s="236" t="s">
        <v>4</v>
      </c>
      <c r="C61" s="236"/>
      <c r="D61" s="236"/>
      <c r="E61" s="236" t="s">
        <v>5</v>
      </c>
      <c r="F61" s="237"/>
    </row>
    <row r="62" spans="1:7" x14ac:dyDescent="0.25">
      <c r="A62" s="235"/>
      <c r="B62" s="1" t="s">
        <v>6</v>
      </c>
      <c r="C62" s="1" t="s">
        <v>7</v>
      </c>
      <c r="D62" s="1" t="s">
        <v>8</v>
      </c>
      <c r="E62" s="1" t="s">
        <v>9</v>
      </c>
      <c r="F62" s="2" t="s">
        <v>10</v>
      </c>
    </row>
    <row r="63" spans="1:7" x14ac:dyDescent="0.25">
      <c r="A63" s="3" t="s">
        <v>11</v>
      </c>
      <c r="B63" s="5">
        <v>135</v>
      </c>
      <c r="C63" s="4">
        <v>2</v>
      </c>
      <c r="D63" s="17">
        <v>2000</v>
      </c>
      <c r="E63" s="17">
        <f>C63*D63</f>
        <v>4000</v>
      </c>
      <c r="F63" s="18">
        <f>B63*E63</f>
        <v>540000</v>
      </c>
      <c r="G63" t="s">
        <v>41</v>
      </c>
    </row>
    <row r="64" spans="1:7" x14ac:dyDescent="0.25">
      <c r="A64" s="3" t="s">
        <v>13</v>
      </c>
      <c r="B64" s="5">
        <v>135</v>
      </c>
      <c r="C64" s="4">
        <v>1</v>
      </c>
      <c r="D64" s="17">
        <v>1000</v>
      </c>
      <c r="E64" s="17">
        <f>C64*D64</f>
        <v>1000</v>
      </c>
      <c r="F64" s="18">
        <f>B64*E64</f>
        <v>135000</v>
      </c>
      <c r="G64" t="s">
        <v>41</v>
      </c>
    </row>
    <row r="65" spans="1:7" ht="18.75" x14ac:dyDescent="0.4">
      <c r="A65" s="238"/>
      <c r="B65" s="239"/>
      <c r="C65" s="244" t="s">
        <v>42</v>
      </c>
      <c r="D65" s="245"/>
      <c r="E65" s="9">
        <f>SUM(E63:E64)</f>
        <v>5000</v>
      </c>
      <c r="F65" s="10"/>
    </row>
    <row r="66" spans="1:7" ht="19.5" thickBot="1" x14ac:dyDescent="0.45">
      <c r="A66" s="240"/>
      <c r="B66" s="241"/>
      <c r="C66" s="246" t="s">
        <v>19</v>
      </c>
      <c r="D66" s="246"/>
      <c r="E66" s="11">
        <f>SUM(F63:F64)</f>
        <v>675000</v>
      </c>
      <c r="F66" s="12"/>
    </row>
    <row r="67" spans="1:7" ht="18.75" x14ac:dyDescent="0.4">
      <c r="A67" s="240"/>
      <c r="B67" s="241"/>
      <c r="C67" s="247" t="s">
        <v>43</v>
      </c>
      <c r="D67" s="248"/>
      <c r="E67" s="13">
        <v>12500</v>
      </c>
      <c r="F67" s="12"/>
      <c r="G67" t="s">
        <v>44</v>
      </c>
    </row>
    <row r="68" spans="1:7" ht="19.5" thickBot="1" x14ac:dyDescent="0.45">
      <c r="A68" s="242"/>
      <c r="B68" s="243"/>
      <c r="C68" s="246" t="s">
        <v>19</v>
      </c>
      <c r="D68" s="246"/>
      <c r="E68" s="14">
        <f>E66+E67</f>
        <v>687500</v>
      </c>
      <c r="F68" s="15"/>
    </row>
    <row r="69" spans="1:7" ht="21" x14ac:dyDescent="0.35">
      <c r="A69" s="47" t="s">
        <v>45</v>
      </c>
      <c r="E69" s="48">
        <v>500000</v>
      </c>
    </row>
    <row r="70" spans="1:7" ht="18.75" x14ac:dyDescent="0.3">
      <c r="A70" s="49" t="s">
        <v>46</v>
      </c>
      <c r="B70" s="49"/>
      <c r="C70" s="49"/>
      <c r="E70" s="50">
        <f>E68-E69</f>
        <v>187500</v>
      </c>
    </row>
  </sheetData>
  <mergeCells count="36">
    <mergeCell ref="A22:F22"/>
    <mergeCell ref="A1:F1"/>
    <mergeCell ref="A2:F2"/>
    <mergeCell ref="A3:F3"/>
    <mergeCell ref="A4:A5"/>
    <mergeCell ref="B4:D4"/>
    <mergeCell ref="E4:F4"/>
    <mergeCell ref="A11:B14"/>
    <mergeCell ref="C11:D11"/>
    <mergeCell ref="C12:D12"/>
    <mergeCell ref="C13:D13"/>
    <mergeCell ref="C14:D14"/>
    <mergeCell ref="A60:F60"/>
    <mergeCell ref="A23:F23"/>
    <mergeCell ref="A24:F24"/>
    <mergeCell ref="A25:A26"/>
    <mergeCell ref="B25:D25"/>
    <mergeCell ref="E25:F25"/>
    <mergeCell ref="A32:B35"/>
    <mergeCell ref="C32:D32"/>
    <mergeCell ref="C33:D33"/>
    <mergeCell ref="C34:D34"/>
    <mergeCell ref="C35:D35"/>
    <mergeCell ref="A42:F42"/>
    <mergeCell ref="A44:F44"/>
    <mergeCell ref="A45:A46"/>
    <mergeCell ref="A58:F58"/>
    <mergeCell ref="A59:F59"/>
    <mergeCell ref="A61:A62"/>
    <mergeCell ref="B61:D61"/>
    <mergeCell ref="E61:F61"/>
    <mergeCell ref="A65:B68"/>
    <mergeCell ref="C65:D65"/>
    <mergeCell ref="C66:D66"/>
    <mergeCell ref="C67:D67"/>
    <mergeCell ref="C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72A5-7B43-431D-ACE9-252580FDD69D}">
  <dimension ref="A1:L41"/>
  <sheetViews>
    <sheetView topLeftCell="A19" workbookViewId="0">
      <selection sqref="A1:F41"/>
    </sheetView>
  </sheetViews>
  <sheetFormatPr baseColWidth="10" defaultRowHeight="15" x14ac:dyDescent="0.25"/>
  <cols>
    <col min="1" max="1" width="30.28515625" customWidth="1"/>
    <col min="2" max="2" width="15.28515625" customWidth="1"/>
    <col min="3" max="3" width="19.42578125" customWidth="1"/>
    <col min="4" max="4" width="20" customWidth="1"/>
    <col min="5" max="5" width="16.140625" customWidth="1"/>
    <col min="6" max="6" width="16.28515625" customWidth="1"/>
  </cols>
  <sheetData>
    <row r="1" spans="1:6" ht="18.75" x14ac:dyDescent="0.3">
      <c r="A1" s="272" t="s">
        <v>47</v>
      </c>
      <c r="B1" s="272"/>
      <c r="C1" s="272"/>
      <c r="D1" s="272"/>
      <c r="E1" s="272"/>
      <c r="F1" s="272"/>
    </row>
    <row r="2" spans="1:6" ht="18.75" x14ac:dyDescent="0.3">
      <c r="A2" s="272" t="s">
        <v>48</v>
      </c>
      <c r="B2" s="272"/>
      <c r="C2" s="272"/>
      <c r="D2" s="272"/>
      <c r="E2" s="272"/>
      <c r="F2" s="272"/>
    </row>
    <row r="3" spans="1:6" ht="18.75" x14ac:dyDescent="0.3">
      <c r="A3" s="272" t="s">
        <v>49</v>
      </c>
      <c r="B3" s="272"/>
      <c r="C3" s="272"/>
      <c r="D3" s="272"/>
      <c r="E3" s="272"/>
      <c r="F3" s="272"/>
    </row>
    <row r="4" spans="1:6" x14ac:dyDescent="0.25">
      <c r="A4" s="270" t="s">
        <v>3</v>
      </c>
      <c r="B4" s="28">
        <v>12633</v>
      </c>
      <c r="C4" s="28">
        <v>11591</v>
      </c>
      <c r="D4" s="28">
        <v>12840</v>
      </c>
      <c r="E4" s="28">
        <v>11643</v>
      </c>
      <c r="F4" s="29" t="s">
        <v>50</v>
      </c>
    </row>
    <row r="5" spans="1:6" x14ac:dyDescent="0.25">
      <c r="A5" s="271"/>
      <c r="B5" s="31">
        <v>45744</v>
      </c>
      <c r="C5" s="31">
        <v>45848</v>
      </c>
      <c r="D5" s="31">
        <v>45848</v>
      </c>
      <c r="E5" s="31">
        <v>45853</v>
      </c>
      <c r="F5" s="51">
        <v>45854</v>
      </c>
    </row>
    <row r="6" spans="1:6" x14ac:dyDescent="0.25">
      <c r="A6" s="52" t="s">
        <v>51</v>
      </c>
      <c r="B6" s="53"/>
      <c r="C6" s="53"/>
      <c r="D6" s="53"/>
      <c r="E6" s="53"/>
      <c r="F6" s="34">
        <f>SUM(B6:E6)</f>
        <v>0</v>
      </c>
    </row>
    <row r="7" spans="1:6" x14ac:dyDescent="0.25">
      <c r="A7" s="52" t="s">
        <v>52</v>
      </c>
      <c r="B7" s="53"/>
      <c r="C7" s="53"/>
      <c r="D7" s="53"/>
      <c r="E7" s="53"/>
      <c r="F7" s="34">
        <f t="shared" ref="F7:F13" si="0">SUM(B7:E7)</f>
        <v>0</v>
      </c>
    </row>
    <row r="8" spans="1:6" x14ac:dyDescent="0.25">
      <c r="A8" s="52" t="s">
        <v>53</v>
      </c>
      <c r="B8" s="53"/>
      <c r="C8" s="53"/>
      <c r="D8" s="53"/>
      <c r="E8" s="53"/>
      <c r="F8" s="34">
        <f t="shared" si="0"/>
        <v>0</v>
      </c>
    </row>
    <row r="9" spans="1:6" x14ac:dyDescent="0.25">
      <c r="A9" s="52" t="s">
        <v>54</v>
      </c>
      <c r="B9" s="53"/>
      <c r="C9" s="53"/>
      <c r="D9" s="53"/>
      <c r="E9" s="53"/>
      <c r="F9" s="34">
        <f t="shared" si="0"/>
        <v>0</v>
      </c>
    </row>
    <row r="10" spans="1:6" x14ac:dyDescent="0.25">
      <c r="A10" s="52" t="s">
        <v>55</v>
      </c>
      <c r="B10" s="53">
        <v>2</v>
      </c>
      <c r="C10" s="53">
        <v>-2</v>
      </c>
      <c r="D10" s="53"/>
      <c r="E10" s="53"/>
      <c r="F10" s="34">
        <f t="shared" si="0"/>
        <v>0</v>
      </c>
    </row>
    <row r="11" spans="1:6" x14ac:dyDescent="0.25">
      <c r="A11" s="52" t="s">
        <v>56</v>
      </c>
      <c r="B11" s="53">
        <v>2</v>
      </c>
      <c r="C11" s="53">
        <v>-2</v>
      </c>
      <c r="D11" s="53">
        <v>4</v>
      </c>
      <c r="E11" s="53">
        <v>-4</v>
      </c>
      <c r="F11" s="34">
        <f t="shared" si="0"/>
        <v>0</v>
      </c>
    </row>
    <row r="12" spans="1:6" x14ac:dyDescent="0.25">
      <c r="A12" s="52" t="s">
        <v>57</v>
      </c>
      <c r="B12" s="53">
        <v>1</v>
      </c>
      <c r="C12" s="53">
        <v>-1</v>
      </c>
      <c r="D12" s="53"/>
      <c r="E12" s="53"/>
      <c r="F12" s="34">
        <f t="shared" si="0"/>
        <v>0</v>
      </c>
    </row>
    <row r="13" spans="1:6" x14ac:dyDescent="0.25">
      <c r="A13" s="52" t="s">
        <v>58</v>
      </c>
      <c r="B13" s="53">
        <v>1</v>
      </c>
      <c r="C13" s="53">
        <v>-1</v>
      </c>
      <c r="D13" s="53">
        <v>2</v>
      </c>
      <c r="E13" s="53">
        <v>-2</v>
      </c>
      <c r="F13" s="34">
        <f t="shared" si="0"/>
        <v>0</v>
      </c>
    </row>
    <row r="14" spans="1:6" x14ac:dyDescent="0.25">
      <c r="A14" s="52" t="s">
        <v>54</v>
      </c>
      <c r="B14" s="53">
        <v>-2</v>
      </c>
      <c r="C14" s="53"/>
      <c r="D14" s="53"/>
      <c r="E14" s="53"/>
      <c r="F14" s="34"/>
    </row>
    <row r="15" spans="1:6" x14ac:dyDescent="0.25">
      <c r="A15" s="52" t="s">
        <v>93</v>
      </c>
      <c r="B15" s="53"/>
      <c r="C15" s="53"/>
      <c r="D15" s="53">
        <v>4</v>
      </c>
      <c r="E15" s="53">
        <v>-4</v>
      </c>
      <c r="F15" s="34">
        <f t="shared" ref="F15" si="1">SUM(B15:E15)</f>
        <v>0</v>
      </c>
    </row>
    <row r="16" spans="1:6" x14ac:dyDescent="0.25">
      <c r="A16" s="39" t="s">
        <v>59</v>
      </c>
      <c r="B16" s="54">
        <v>0.45833333333333331</v>
      </c>
      <c r="C16" s="54">
        <v>0.45833333333333331</v>
      </c>
      <c r="D16" s="54">
        <v>0.46875</v>
      </c>
      <c r="E16" s="40">
        <v>0.20277777777777778</v>
      </c>
      <c r="F16" s="55"/>
    </row>
    <row r="17" spans="1:12" x14ac:dyDescent="0.25">
      <c r="A17" s="39" t="s">
        <v>18</v>
      </c>
      <c r="B17" s="40" t="s">
        <v>60</v>
      </c>
      <c r="C17" s="40" t="s">
        <v>60</v>
      </c>
      <c r="D17" s="40" t="s">
        <v>60</v>
      </c>
      <c r="E17" s="40" t="s">
        <v>60</v>
      </c>
      <c r="F17" s="56"/>
    </row>
    <row r="19" spans="1:12" ht="15.75" thickBot="1" x14ac:dyDescent="0.3">
      <c r="J19" t="s">
        <v>90</v>
      </c>
    </row>
    <row r="20" spans="1:12" x14ac:dyDescent="0.25">
      <c r="A20" s="258" t="s">
        <v>47</v>
      </c>
      <c r="B20" s="259"/>
      <c r="C20" s="259"/>
      <c r="D20" s="259"/>
      <c r="E20" s="259"/>
      <c r="F20" s="260"/>
    </row>
    <row r="21" spans="1:12" ht="18" x14ac:dyDescent="0.25">
      <c r="A21" s="261" t="s">
        <v>61</v>
      </c>
      <c r="B21" s="261"/>
      <c r="C21" s="261"/>
      <c r="D21" s="261"/>
      <c r="E21" s="261"/>
      <c r="F21" s="261"/>
    </row>
    <row r="22" spans="1:12" x14ac:dyDescent="0.25">
      <c r="A22" s="57" t="s">
        <v>3</v>
      </c>
      <c r="B22" s="58" t="s">
        <v>4</v>
      </c>
      <c r="C22" s="59"/>
      <c r="D22" s="60"/>
      <c r="E22" s="58" t="s">
        <v>5</v>
      </c>
      <c r="F22" s="61"/>
    </row>
    <row r="23" spans="1:12" x14ac:dyDescent="0.25">
      <c r="A23" s="62"/>
      <c r="B23" s="1" t="s">
        <v>6</v>
      </c>
      <c r="C23" s="58" t="s">
        <v>7</v>
      </c>
      <c r="D23" s="1" t="s">
        <v>8</v>
      </c>
      <c r="E23" s="1" t="s">
        <v>9</v>
      </c>
      <c r="F23" s="63" t="s">
        <v>62</v>
      </c>
    </row>
    <row r="24" spans="1:12" x14ac:dyDescent="0.25">
      <c r="A24" s="3" t="s">
        <v>63</v>
      </c>
      <c r="B24" s="4">
        <v>104</v>
      </c>
      <c r="C24" s="64">
        <v>1</v>
      </c>
      <c r="D24" s="6">
        <v>1500</v>
      </c>
      <c r="E24" s="7">
        <f>C24*D24</f>
        <v>1500</v>
      </c>
      <c r="F24" s="65">
        <f>B24*E24</f>
        <v>156000</v>
      </c>
      <c r="G24" s="66" t="s">
        <v>95</v>
      </c>
      <c r="H24" s="67"/>
    </row>
    <row r="25" spans="1:12" x14ac:dyDescent="0.25">
      <c r="A25" s="3" t="s">
        <v>64</v>
      </c>
      <c r="B25" s="4">
        <v>104</v>
      </c>
      <c r="C25" s="64">
        <v>2</v>
      </c>
      <c r="D25" s="6">
        <v>750</v>
      </c>
      <c r="E25" s="7">
        <f t="shared" ref="E25:E26" si="2">C25*D25</f>
        <v>1500</v>
      </c>
      <c r="F25" s="65">
        <f t="shared" ref="F25:F26" si="3">B25*E25</f>
        <v>156000</v>
      </c>
      <c r="G25" s="66" t="s">
        <v>95</v>
      </c>
      <c r="H25" s="67"/>
    </row>
    <row r="26" spans="1:12" x14ac:dyDescent="0.25">
      <c r="A26" s="73" t="s">
        <v>54</v>
      </c>
      <c r="B26" s="74">
        <v>14</v>
      </c>
      <c r="C26" s="64">
        <v>2</v>
      </c>
      <c r="D26" s="6">
        <v>150</v>
      </c>
      <c r="E26" s="7">
        <f t="shared" si="2"/>
        <v>300</v>
      </c>
      <c r="F26" s="65">
        <f t="shared" si="3"/>
        <v>4200</v>
      </c>
      <c r="G26" s="66" t="s">
        <v>96</v>
      </c>
      <c r="H26" s="67"/>
    </row>
    <row r="27" spans="1:12" ht="50.25" thickBot="1" x14ac:dyDescent="0.55000000000000004">
      <c r="A27" s="68" t="s">
        <v>97</v>
      </c>
      <c r="B27" s="69"/>
      <c r="C27" s="53" t="s">
        <v>65</v>
      </c>
      <c r="D27" s="70"/>
      <c r="E27" s="71">
        <f>SUM(F24:F26)</f>
        <v>316200</v>
      </c>
      <c r="F27" s="72"/>
    </row>
    <row r="28" spans="1:12" ht="18.75" x14ac:dyDescent="0.3">
      <c r="A28" s="75" t="s">
        <v>66</v>
      </c>
    </row>
    <row r="29" spans="1:12" x14ac:dyDescent="0.25">
      <c r="L29">
        <v>10</v>
      </c>
    </row>
    <row r="30" spans="1:12" ht="15.75" thickBot="1" x14ac:dyDescent="0.3"/>
    <row r="31" spans="1:12" x14ac:dyDescent="0.25">
      <c r="A31" s="258" t="s">
        <v>47</v>
      </c>
      <c r="B31" s="259"/>
      <c r="C31" s="259"/>
      <c r="D31" s="259"/>
      <c r="E31" s="259"/>
      <c r="F31" s="259"/>
    </row>
    <row r="32" spans="1:12" ht="18" x14ac:dyDescent="0.25">
      <c r="A32" s="261" t="s">
        <v>61</v>
      </c>
      <c r="B32" s="261"/>
      <c r="C32" s="261"/>
      <c r="D32" s="261"/>
      <c r="E32" s="261"/>
      <c r="F32" s="262"/>
    </row>
    <row r="33" spans="1:6" x14ac:dyDescent="0.25">
      <c r="A33" s="57" t="s">
        <v>3</v>
      </c>
      <c r="B33" s="58" t="s">
        <v>4</v>
      </c>
      <c r="C33" s="59"/>
      <c r="D33" s="60"/>
      <c r="E33" s="58" t="s">
        <v>5</v>
      </c>
      <c r="F33" s="61"/>
    </row>
    <row r="34" spans="1:6" x14ac:dyDescent="0.25">
      <c r="A34" s="62"/>
      <c r="B34" s="1" t="s">
        <v>6</v>
      </c>
      <c r="C34" s="58" t="s">
        <v>7</v>
      </c>
      <c r="D34" s="1" t="s">
        <v>8</v>
      </c>
      <c r="E34" s="1" t="s">
        <v>9</v>
      </c>
      <c r="F34" s="63" t="s">
        <v>62</v>
      </c>
    </row>
    <row r="35" spans="1:6" x14ac:dyDescent="0.25">
      <c r="A35" s="3" t="s">
        <v>63</v>
      </c>
      <c r="B35" s="4">
        <v>6</v>
      </c>
      <c r="C35" s="64">
        <v>2</v>
      </c>
      <c r="D35" s="6">
        <v>2000</v>
      </c>
      <c r="E35" s="7">
        <f>C35*D35</f>
        <v>4000</v>
      </c>
      <c r="F35" s="65">
        <f>B35*E35</f>
        <v>24000</v>
      </c>
    </row>
    <row r="36" spans="1:6" x14ac:dyDescent="0.25">
      <c r="A36" s="3" t="s">
        <v>92</v>
      </c>
      <c r="B36" s="4">
        <v>6</v>
      </c>
      <c r="C36" s="64">
        <v>2</v>
      </c>
      <c r="D36" s="6">
        <v>750</v>
      </c>
      <c r="E36" s="7">
        <f t="shared" ref="E36" si="4">C36*D36</f>
        <v>1500</v>
      </c>
      <c r="F36" s="65">
        <f t="shared" ref="F36" si="5">B36*E36</f>
        <v>9000</v>
      </c>
    </row>
    <row r="37" spans="1:6" ht="16.5" thickBot="1" x14ac:dyDescent="0.35">
      <c r="A37" s="263" t="s">
        <v>94</v>
      </c>
      <c r="B37" s="264"/>
      <c r="C37" s="267" t="s">
        <v>91</v>
      </c>
      <c r="D37" s="268"/>
      <c r="E37" s="71">
        <v>3000</v>
      </c>
      <c r="F37" s="72"/>
    </row>
    <row r="38" spans="1:6" ht="16.5" thickBot="1" x14ac:dyDescent="0.35">
      <c r="A38" s="265"/>
      <c r="B38" s="266"/>
      <c r="C38" s="269" t="s">
        <v>65</v>
      </c>
      <c r="D38" s="269"/>
      <c r="E38" s="71">
        <f>SUM(F35:F36)</f>
        <v>33000</v>
      </c>
      <c r="F38" s="72"/>
    </row>
    <row r="39" spans="1:6" x14ac:dyDescent="0.25">
      <c r="A39" t="s">
        <v>21</v>
      </c>
      <c r="E39">
        <v>400000</v>
      </c>
    </row>
    <row r="40" spans="1:6" x14ac:dyDescent="0.25">
      <c r="A40" t="s">
        <v>98</v>
      </c>
      <c r="E40" s="89">
        <f>E27+E38</f>
        <v>349200</v>
      </c>
    </row>
    <row r="41" spans="1:6" x14ac:dyDescent="0.25">
      <c r="A41" t="s">
        <v>99</v>
      </c>
      <c r="E41" s="89">
        <f>E39-E40</f>
        <v>50800</v>
      </c>
    </row>
  </sheetData>
  <mergeCells count="11">
    <mergeCell ref="A21:F21"/>
    <mergeCell ref="A4:A5"/>
    <mergeCell ref="A20:F20"/>
    <mergeCell ref="A1:F1"/>
    <mergeCell ref="A2:F2"/>
    <mergeCell ref="A3:F3"/>
    <mergeCell ref="A32:F32"/>
    <mergeCell ref="A37:B38"/>
    <mergeCell ref="C37:D37"/>
    <mergeCell ref="C38:D38"/>
    <mergeCell ref="A31:F31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883D-47F8-4D86-8B73-0B4359A51930}">
  <sheetPr>
    <pageSetUpPr fitToPage="1"/>
  </sheetPr>
  <dimension ref="A1:K34"/>
  <sheetViews>
    <sheetView topLeftCell="A27" workbookViewId="0">
      <selection activeCell="C41" sqref="C41"/>
    </sheetView>
  </sheetViews>
  <sheetFormatPr baseColWidth="10" defaultRowHeight="15" x14ac:dyDescent="0.25"/>
  <cols>
    <col min="1" max="1" width="22.7109375" bestFit="1" customWidth="1"/>
    <col min="5" max="5" width="16.42578125" bestFit="1" customWidth="1"/>
    <col min="7" max="7" width="18.85546875" customWidth="1"/>
  </cols>
  <sheetData>
    <row r="1" spans="1:11" ht="18.75" x14ac:dyDescent="0.3">
      <c r="A1" s="275" t="s">
        <v>100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1" ht="18.75" x14ac:dyDescent="0.3">
      <c r="A2" s="277" t="s">
        <v>101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</row>
    <row r="3" spans="1:11" ht="18.75" x14ac:dyDescent="0.3">
      <c r="A3" s="277" t="s">
        <v>125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</row>
    <row r="4" spans="1:11" x14ac:dyDescent="0.25">
      <c r="A4" s="279" t="s">
        <v>3</v>
      </c>
      <c r="B4" s="29" t="s">
        <v>30</v>
      </c>
      <c r="C4" s="28">
        <v>12827</v>
      </c>
      <c r="D4" s="28">
        <v>12831</v>
      </c>
      <c r="E4" s="90">
        <v>11627</v>
      </c>
      <c r="F4" s="90">
        <v>11626</v>
      </c>
      <c r="G4" s="90">
        <v>12834</v>
      </c>
      <c r="H4" s="90">
        <v>12844</v>
      </c>
      <c r="I4" s="90">
        <v>11638</v>
      </c>
      <c r="J4" s="90">
        <v>11641</v>
      </c>
      <c r="K4" s="91" t="s">
        <v>30</v>
      </c>
    </row>
    <row r="5" spans="1:11" x14ac:dyDescent="0.25">
      <c r="A5" s="280"/>
      <c r="B5" s="51">
        <v>45838</v>
      </c>
      <c r="C5" s="31">
        <v>45842</v>
      </c>
      <c r="D5" s="32">
        <v>45845</v>
      </c>
      <c r="E5" s="92">
        <v>45845</v>
      </c>
      <c r="F5" s="92">
        <v>45846</v>
      </c>
      <c r="G5" s="92">
        <v>45846</v>
      </c>
      <c r="H5" s="92">
        <v>45849</v>
      </c>
      <c r="I5" s="92">
        <v>45852</v>
      </c>
      <c r="J5" s="92">
        <v>45853</v>
      </c>
      <c r="K5" s="93">
        <v>45853</v>
      </c>
    </row>
    <row r="6" spans="1:11" x14ac:dyDescent="0.25">
      <c r="A6" s="94" t="s">
        <v>102</v>
      </c>
      <c r="B6" s="29">
        <v>9</v>
      </c>
      <c r="C6" s="53"/>
      <c r="D6" s="1"/>
      <c r="E6" s="88"/>
      <c r="F6" s="88"/>
      <c r="G6" s="88"/>
      <c r="H6" s="88"/>
      <c r="I6" s="88"/>
      <c r="J6" s="88"/>
      <c r="K6" s="95">
        <f>SUM(B6:F6)</f>
        <v>9</v>
      </c>
    </row>
    <row r="7" spans="1:11" x14ac:dyDescent="0.25">
      <c r="A7" s="94" t="s">
        <v>103</v>
      </c>
      <c r="B7" s="29">
        <v>30</v>
      </c>
      <c r="C7" s="53"/>
      <c r="D7" s="1"/>
      <c r="E7" s="88"/>
      <c r="F7" s="88"/>
      <c r="G7" s="88"/>
      <c r="H7" s="88"/>
      <c r="I7" s="88"/>
      <c r="J7" s="88">
        <v>-30</v>
      </c>
      <c r="K7" s="95">
        <f>SUM(B7:J7)</f>
        <v>0</v>
      </c>
    </row>
    <row r="8" spans="1:11" x14ac:dyDescent="0.25">
      <c r="A8" s="94" t="s">
        <v>104</v>
      </c>
      <c r="B8" s="29">
        <v>5</v>
      </c>
      <c r="C8" s="53"/>
      <c r="D8" s="1"/>
      <c r="E8" s="88"/>
      <c r="F8" s="88">
        <v>-4</v>
      </c>
      <c r="G8" s="88"/>
      <c r="H8" s="88"/>
      <c r="I8" s="88"/>
      <c r="J8" s="88"/>
      <c r="K8" s="95">
        <v>0</v>
      </c>
    </row>
    <row r="9" spans="1:11" x14ac:dyDescent="0.25">
      <c r="A9" s="94" t="s">
        <v>73</v>
      </c>
      <c r="B9" s="29"/>
      <c r="C9" s="53">
        <v>10</v>
      </c>
      <c r="D9" s="1"/>
      <c r="E9" s="53"/>
      <c r="F9" s="53">
        <v>-10</v>
      </c>
      <c r="G9" s="53"/>
      <c r="H9" s="53">
        <v>12</v>
      </c>
      <c r="I9" s="88">
        <v>-12</v>
      </c>
      <c r="J9" s="88"/>
      <c r="K9" s="95">
        <f>SUM(B9:I9)</f>
        <v>0</v>
      </c>
    </row>
    <row r="10" spans="1:11" x14ac:dyDescent="0.25">
      <c r="A10" s="94" t="s">
        <v>105</v>
      </c>
      <c r="B10" s="29"/>
      <c r="C10" s="53"/>
      <c r="D10" s="1"/>
      <c r="E10" s="53"/>
      <c r="F10" s="53"/>
      <c r="G10" s="53"/>
      <c r="H10" s="53">
        <v>24</v>
      </c>
      <c r="I10" s="88">
        <v>-24</v>
      </c>
      <c r="J10" s="88"/>
      <c r="K10" s="95">
        <f t="shared" ref="K10:K15" si="0">SUM(B10:I10)</f>
        <v>0</v>
      </c>
    </row>
    <row r="11" spans="1:11" x14ac:dyDescent="0.25">
      <c r="A11" s="94" t="s">
        <v>106</v>
      </c>
      <c r="B11" s="29"/>
      <c r="C11" s="53"/>
      <c r="D11" s="1">
        <v>1</v>
      </c>
      <c r="E11" s="53">
        <v>-1</v>
      </c>
      <c r="F11" s="53"/>
      <c r="G11" s="53"/>
      <c r="H11" s="53"/>
      <c r="I11" s="88"/>
      <c r="J11" s="88"/>
      <c r="K11" s="95">
        <f t="shared" si="0"/>
        <v>0</v>
      </c>
    </row>
    <row r="12" spans="1:11" x14ac:dyDescent="0.25">
      <c r="A12" s="94" t="s">
        <v>107</v>
      </c>
      <c r="B12" s="29"/>
      <c r="C12" s="53"/>
      <c r="D12" s="1"/>
      <c r="E12" s="96"/>
      <c r="F12" s="53"/>
      <c r="G12" s="96">
        <v>8</v>
      </c>
      <c r="H12" s="53"/>
      <c r="I12" s="88">
        <v>-8</v>
      </c>
      <c r="J12" s="88"/>
      <c r="K12" s="95">
        <f t="shared" si="0"/>
        <v>0</v>
      </c>
    </row>
    <row r="13" spans="1:11" x14ac:dyDescent="0.25">
      <c r="A13" s="94" t="s">
        <v>108</v>
      </c>
      <c r="B13" s="29"/>
      <c r="C13" s="53"/>
      <c r="D13" s="1"/>
      <c r="E13" s="96"/>
      <c r="F13" s="53"/>
      <c r="G13" s="96"/>
      <c r="H13" s="53">
        <v>24</v>
      </c>
      <c r="I13" s="88">
        <v>-24</v>
      </c>
      <c r="J13" s="88"/>
      <c r="K13" s="95">
        <f t="shared" si="0"/>
        <v>0</v>
      </c>
    </row>
    <row r="14" spans="1:11" x14ac:dyDescent="0.25">
      <c r="A14" s="94" t="s">
        <v>53</v>
      </c>
      <c r="B14" s="29"/>
      <c r="C14" s="53"/>
      <c r="D14" s="1"/>
      <c r="E14" s="96"/>
      <c r="F14" s="53"/>
      <c r="G14" s="96"/>
      <c r="H14" s="53">
        <v>280</v>
      </c>
      <c r="I14" s="88">
        <v>-280</v>
      </c>
      <c r="J14" s="88"/>
      <c r="K14" s="95">
        <f t="shared" si="0"/>
        <v>0</v>
      </c>
    </row>
    <row r="15" spans="1:11" x14ac:dyDescent="0.25">
      <c r="A15" s="94" t="s">
        <v>77</v>
      </c>
      <c r="B15" s="29"/>
      <c r="C15" s="53"/>
      <c r="D15" s="1"/>
      <c r="E15" s="96"/>
      <c r="F15" s="53"/>
      <c r="G15" s="96"/>
      <c r="H15" s="53">
        <v>1</v>
      </c>
      <c r="I15" s="88">
        <v>-1</v>
      </c>
      <c r="J15" s="88"/>
      <c r="K15" s="95">
        <f t="shared" si="0"/>
        <v>0</v>
      </c>
    </row>
    <row r="16" spans="1:11" x14ac:dyDescent="0.25">
      <c r="A16" s="97" t="s">
        <v>59</v>
      </c>
      <c r="B16" s="98"/>
      <c r="C16" s="42">
        <v>0.4513888888888889</v>
      </c>
      <c r="D16" s="42">
        <v>7.2916666666666671E-2</v>
      </c>
      <c r="E16" s="99">
        <v>0.48958333333333331</v>
      </c>
      <c r="F16" s="100">
        <v>0.4375</v>
      </c>
      <c r="G16" s="99">
        <v>0.4375</v>
      </c>
      <c r="H16" s="100">
        <v>0.2986111111111111</v>
      </c>
      <c r="I16" s="100">
        <v>9.0277777777777776E-2</v>
      </c>
      <c r="J16" s="100">
        <v>0.375</v>
      </c>
      <c r="K16" s="101"/>
    </row>
    <row r="17" spans="1:11" ht="15.75" thickBot="1" x14ac:dyDescent="0.3">
      <c r="A17" s="102" t="s">
        <v>39</v>
      </c>
      <c r="B17" s="103"/>
      <c r="C17" s="104" t="s">
        <v>109</v>
      </c>
      <c r="D17" s="104" t="s">
        <v>109</v>
      </c>
      <c r="E17" s="104" t="s">
        <v>110</v>
      </c>
      <c r="F17" s="105" t="s">
        <v>111</v>
      </c>
      <c r="G17" s="105" t="s">
        <v>111</v>
      </c>
      <c r="H17" s="105" t="s">
        <v>111</v>
      </c>
      <c r="I17" s="105" t="s">
        <v>111</v>
      </c>
      <c r="J17" s="105" t="s">
        <v>111</v>
      </c>
      <c r="K17" s="104"/>
    </row>
    <row r="20" spans="1:11" x14ac:dyDescent="0.25">
      <c r="A20" s="281" t="s">
        <v>112</v>
      </c>
      <c r="B20" s="281"/>
      <c r="C20" s="281"/>
      <c r="D20" s="281"/>
      <c r="E20" s="281"/>
      <c r="F20" s="281"/>
      <c r="G20" s="281"/>
    </row>
    <row r="21" spans="1:11" x14ac:dyDescent="0.25">
      <c r="A21" s="281" t="s">
        <v>116</v>
      </c>
      <c r="B21" s="281"/>
      <c r="C21" s="281"/>
      <c r="D21" s="281"/>
      <c r="E21" s="281"/>
      <c r="F21" s="281"/>
      <c r="G21" s="281"/>
    </row>
    <row r="22" spans="1:11" ht="18" x14ac:dyDescent="0.25">
      <c r="A22" s="261" t="s">
        <v>101</v>
      </c>
      <c r="B22" s="261"/>
      <c r="C22" s="261"/>
      <c r="D22" s="261"/>
      <c r="E22" s="261"/>
      <c r="F22" s="261"/>
      <c r="G22" s="261"/>
    </row>
    <row r="23" spans="1:11" x14ac:dyDescent="0.25">
      <c r="A23" s="269" t="s">
        <v>3</v>
      </c>
      <c r="B23" s="236" t="s">
        <v>4</v>
      </c>
      <c r="C23" s="236"/>
      <c r="D23" s="236"/>
      <c r="E23" s="236" t="s">
        <v>5</v>
      </c>
      <c r="F23" s="236"/>
      <c r="G23" s="274" t="s">
        <v>113</v>
      </c>
    </row>
    <row r="24" spans="1:11" x14ac:dyDescent="0.25">
      <c r="A24" s="269"/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274"/>
    </row>
    <row r="25" spans="1:11" x14ac:dyDescent="0.25">
      <c r="A25" s="84" t="s">
        <v>114</v>
      </c>
      <c r="B25" s="4">
        <v>14</v>
      </c>
      <c r="C25" s="106">
        <v>9</v>
      </c>
      <c r="D25" s="6">
        <v>100</v>
      </c>
      <c r="E25" s="7">
        <f t="shared" ref="E25:E33" si="1">C25*D25</f>
        <v>900</v>
      </c>
      <c r="F25" s="7">
        <f t="shared" ref="F25:F33" si="2">B25*E25</f>
        <v>12600</v>
      </c>
      <c r="G25" s="84" t="s">
        <v>117</v>
      </c>
    </row>
    <row r="26" spans="1:11" x14ac:dyDescent="0.25">
      <c r="A26" s="84" t="s">
        <v>115</v>
      </c>
      <c r="B26" s="4">
        <v>14</v>
      </c>
      <c r="C26" s="106">
        <v>30</v>
      </c>
      <c r="D26" s="6">
        <v>130</v>
      </c>
      <c r="E26" s="7">
        <f t="shared" si="1"/>
        <v>3900</v>
      </c>
      <c r="F26" s="7">
        <f t="shared" si="2"/>
        <v>54600</v>
      </c>
      <c r="G26" s="84" t="s">
        <v>117</v>
      </c>
    </row>
    <row r="27" spans="1:11" x14ac:dyDescent="0.25">
      <c r="A27" s="84" t="s">
        <v>104</v>
      </c>
      <c r="B27" s="4">
        <v>7</v>
      </c>
      <c r="C27" s="106">
        <v>5</v>
      </c>
      <c r="D27" s="6">
        <v>15</v>
      </c>
      <c r="E27" s="7">
        <f t="shared" si="1"/>
        <v>75</v>
      </c>
      <c r="F27" s="7">
        <f t="shared" si="2"/>
        <v>525</v>
      </c>
      <c r="G27" s="84" t="s">
        <v>118</v>
      </c>
    </row>
    <row r="28" spans="1:11" x14ac:dyDescent="0.25">
      <c r="A28" s="84" t="s">
        <v>119</v>
      </c>
      <c r="B28" s="4">
        <v>5</v>
      </c>
      <c r="C28" s="106">
        <v>10</v>
      </c>
      <c r="D28" s="6">
        <v>80</v>
      </c>
      <c r="E28" s="7">
        <f t="shared" si="1"/>
        <v>800</v>
      </c>
      <c r="F28" s="7">
        <f t="shared" si="2"/>
        <v>4000</v>
      </c>
      <c r="G28" s="84" t="s">
        <v>120</v>
      </c>
    </row>
    <row r="29" spans="1:11" x14ac:dyDescent="0.25">
      <c r="A29" s="84" t="s">
        <v>119</v>
      </c>
      <c r="B29" s="4">
        <v>5</v>
      </c>
      <c r="C29" s="106">
        <v>12</v>
      </c>
      <c r="D29" s="6">
        <v>80</v>
      </c>
      <c r="E29" s="7">
        <f t="shared" si="1"/>
        <v>960</v>
      </c>
      <c r="F29" s="7">
        <f t="shared" si="2"/>
        <v>4800</v>
      </c>
      <c r="G29" s="84" t="s">
        <v>121</v>
      </c>
    </row>
    <row r="30" spans="1:11" x14ac:dyDescent="0.25">
      <c r="A30" s="84" t="s">
        <v>72</v>
      </c>
      <c r="B30" s="4">
        <v>5</v>
      </c>
      <c r="C30" s="106">
        <v>24</v>
      </c>
      <c r="D30" s="6">
        <v>40</v>
      </c>
      <c r="E30" s="7">
        <f t="shared" si="1"/>
        <v>960</v>
      </c>
      <c r="F30" s="7">
        <f t="shared" si="2"/>
        <v>4800</v>
      </c>
      <c r="G30" s="84" t="s">
        <v>121</v>
      </c>
    </row>
    <row r="31" spans="1:11" x14ac:dyDescent="0.25">
      <c r="A31" s="84" t="s">
        <v>122</v>
      </c>
      <c r="B31" s="4">
        <v>7</v>
      </c>
      <c r="C31" s="106">
        <v>8</v>
      </c>
      <c r="D31" s="6">
        <v>210</v>
      </c>
      <c r="E31" s="7">
        <f t="shared" si="1"/>
        <v>1680</v>
      </c>
      <c r="F31" s="7">
        <f t="shared" si="2"/>
        <v>11760</v>
      </c>
      <c r="G31" s="84" t="s">
        <v>123</v>
      </c>
    </row>
    <row r="32" spans="1:11" x14ac:dyDescent="0.25">
      <c r="A32" s="84" t="s">
        <v>124</v>
      </c>
      <c r="B32" s="4">
        <v>5</v>
      </c>
      <c r="C32" s="106">
        <v>24</v>
      </c>
      <c r="D32" s="6">
        <v>220</v>
      </c>
      <c r="E32" s="7">
        <f t="shared" si="1"/>
        <v>5280</v>
      </c>
      <c r="F32" s="7">
        <f t="shared" si="2"/>
        <v>26400</v>
      </c>
      <c r="G32" s="84" t="s">
        <v>121</v>
      </c>
    </row>
    <row r="33" spans="1:7" x14ac:dyDescent="0.25">
      <c r="A33" s="84" t="s">
        <v>53</v>
      </c>
      <c r="B33" s="4">
        <v>5</v>
      </c>
      <c r="C33" s="106">
        <v>280</v>
      </c>
      <c r="D33" s="6">
        <v>18</v>
      </c>
      <c r="E33" s="7">
        <f t="shared" si="1"/>
        <v>5040</v>
      </c>
      <c r="F33" s="7">
        <f t="shared" si="2"/>
        <v>25200</v>
      </c>
      <c r="G33" s="84" t="s">
        <v>121</v>
      </c>
    </row>
    <row r="34" spans="1:7" ht="31.5" x14ac:dyDescent="0.4">
      <c r="A34" s="273"/>
      <c r="B34" s="273"/>
      <c r="C34" s="269" t="s">
        <v>19</v>
      </c>
      <c r="D34" s="269"/>
      <c r="E34" s="9">
        <f>SUM(F25:F33)</f>
        <v>144685</v>
      </c>
      <c r="F34" s="274"/>
      <c r="G34" s="274"/>
    </row>
  </sheetData>
  <mergeCells count="14">
    <mergeCell ref="A34:B34"/>
    <mergeCell ref="C34:D34"/>
    <mergeCell ref="F34:G34"/>
    <mergeCell ref="A1:K1"/>
    <mergeCell ref="A2:K2"/>
    <mergeCell ref="A3:K3"/>
    <mergeCell ref="A4:A5"/>
    <mergeCell ref="A20:G20"/>
    <mergeCell ref="A21:G21"/>
    <mergeCell ref="A22:G22"/>
    <mergeCell ref="A23:A24"/>
    <mergeCell ref="B23:D23"/>
    <mergeCell ref="E23:F23"/>
    <mergeCell ref="G23:G24"/>
  </mergeCells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4010-59FE-420F-A0E2-8F571CDA2ACC}">
  <dimension ref="A1:G36"/>
  <sheetViews>
    <sheetView topLeftCell="A21" workbookViewId="0">
      <selection activeCell="G43" sqref="G43"/>
    </sheetView>
  </sheetViews>
  <sheetFormatPr baseColWidth="10" defaultRowHeight="15" x14ac:dyDescent="0.25"/>
  <cols>
    <col min="1" max="1" width="25.42578125" bestFit="1" customWidth="1"/>
    <col min="4" max="4" width="16" customWidth="1"/>
    <col min="5" max="5" width="20.5703125" customWidth="1"/>
    <col min="6" max="6" width="13.7109375" customWidth="1"/>
  </cols>
  <sheetData>
    <row r="1" spans="1:7" ht="18.75" x14ac:dyDescent="0.3">
      <c r="A1" s="275" t="s">
        <v>67</v>
      </c>
      <c r="B1" s="276"/>
      <c r="C1" s="276"/>
      <c r="D1" s="276"/>
      <c r="E1" s="276"/>
      <c r="F1" s="276"/>
      <c r="G1" s="282"/>
    </row>
    <row r="2" spans="1:7" ht="18.75" x14ac:dyDescent="0.3">
      <c r="A2" s="277" t="s">
        <v>68</v>
      </c>
      <c r="B2" s="278"/>
      <c r="C2" s="278"/>
      <c r="D2" s="278"/>
      <c r="E2" s="278"/>
      <c r="F2" s="278"/>
      <c r="G2" s="283"/>
    </row>
    <row r="3" spans="1:7" ht="18.75" x14ac:dyDescent="0.3">
      <c r="A3" s="277" t="s">
        <v>69</v>
      </c>
      <c r="B3" s="278"/>
      <c r="C3" s="278"/>
      <c r="D3" s="278"/>
      <c r="E3" s="278"/>
      <c r="F3" s="278"/>
      <c r="G3" s="278"/>
    </row>
    <row r="4" spans="1:7" x14ac:dyDescent="0.25">
      <c r="A4" s="77" t="s">
        <v>3</v>
      </c>
      <c r="B4" s="76">
        <v>12819</v>
      </c>
      <c r="C4" s="76"/>
      <c r="D4" s="76"/>
      <c r="E4" s="76"/>
      <c r="F4" s="76"/>
      <c r="G4" s="78" t="s">
        <v>30</v>
      </c>
    </row>
    <row r="5" spans="1:7" x14ac:dyDescent="0.25">
      <c r="A5" s="79"/>
      <c r="B5" s="31">
        <v>45839</v>
      </c>
      <c r="C5" s="31">
        <v>45852</v>
      </c>
      <c r="D5" s="31"/>
      <c r="E5" s="31"/>
      <c r="F5" s="31"/>
      <c r="G5" s="51">
        <v>45869</v>
      </c>
    </row>
    <row r="6" spans="1:7" x14ac:dyDescent="0.25">
      <c r="A6" s="80" t="s">
        <v>70</v>
      </c>
      <c r="B6" s="81">
        <v>12</v>
      </c>
      <c r="C6" s="35"/>
      <c r="D6" s="35"/>
      <c r="E6" s="35"/>
      <c r="F6" s="35"/>
      <c r="G6" s="34">
        <f t="shared" ref="G6:G15" si="0">SUM(B6:F6)</f>
        <v>12</v>
      </c>
    </row>
    <row r="7" spans="1:7" x14ac:dyDescent="0.25">
      <c r="A7" s="82" t="s">
        <v>71</v>
      </c>
      <c r="B7" s="81">
        <v>18</v>
      </c>
      <c r="C7" s="35"/>
      <c r="D7" s="35"/>
      <c r="E7" s="35"/>
      <c r="F7" s="35"/>
      <c r="G7" s="34">
        <f t="shared" si="0"/>
        <v>18</v>
      </c>
    </row>
    <row r="8" spans="1:7" x14ac:dyDescent="0.25">
      <c r="A8" s="82" t="s">
        <v>72</v>
      </c>
      <c r="B8" s="81">
        <v>12</v>
      </c>
      <c r="C8" s="35"/>
      <c r="D8" s="35"/>
      <c r="E8" s="35"/>
      <c r="F8" s="35"/>
      <c r="G8" s="34">
        <f t="shared" si="0"/>
        <v>12</v>
      </c>
    </row>
    <row r="9" spans="1:7" x14ac:dyDescent="0.25">
      <c r="A9" s="82" t="s">
        <v>73</v>
      </c>
      <c r="B9" s="81">
        <v>24</v>
      </c>
      <c r="C9" s="35"/>
      <c r="D9" s="35"/>
      <c r="E9" s="35"/>
      <c r="F9" s="35"/>
      <c r="G9" s="34">
        <f t="shared" si="0"/>
        <v>24</v>
      </c>
    </row>
    <row r="10" spans="1:7" x14ac:dyDescent="0.25">
      <c r="A10" s="82" t="s">
        <v>54</v>
      </c>
      <c r="B10" s="81">
        <v>6</v>
      </c>
      <c r="C10" s="35"/>
      <c r="D10" s="35"/>
      <c r="E10" s="35"/>
      <c r="F10" s="35"/>
      <c r="G10" s="34">
        <f t="shared" si="0"/>
        <v>6</v>
      </c>
    </row>
    <row r="11" spans="1:7" x14ac:dyDescent="0.25">
      <c r="A11" s="82" t="s">
        <v>53</v>
      </c>
      <c r="B11" s="81">
        <v>200</v>
      </c>
      <c r="C11" s="35"/>
      <c r="D11" s="35"/>
      <c r="E11" s="35"/>
      <c r="F11" s="35"/>
      <c r="G11" s="34">
        <f t="shared" si="0"/>
        <v>200</v>
      </c>
    </row>
    <row r="12" spans="1:7" x14ac:dyDescent="0.25">
      <c r="A12" s="82" t="s">
        <v>74</v>
      </c>
      <c r="B12" s="81">
        <v>16</v>
      </c>
      <c r="C12" s="35"/>
      <c r="D12" s="35"/>
      <c r="E12" s="35"/>
      <c r="F12" s="35"/>
      <c r="G12" s="34">
        <f t="shared" si="0"/>
        <v>16</v>
      </c>
    </row>
    <row r="13" spans="1:7" x14ac:dyDescent="0.25">
      <c r="A13" s="82" t="s">
        <v>75</v>
      </c>
      <c r="B13" s="81">
        <v>16</v>
      </c>
      <c r="C13" s="35"/>
      <c r="D13" s="35"/>
      <c r="E13" s="35"/>
      <c r="F13" s="35"/>
      <c r="G13" s="34">
        <f t="shared" si="0"/>
        <v>16</v>
      </c>
    </row>
    <row r="14" spans="1:7" x14ac:dyDescent="0.25">
      <c r="A14" s="82" t="s">
        <v>76</v>
      </c>
      <c r="B14" s="81">
        <v>8</v>
      </c>
      <c r="C14" s="35"/>
      <c r="D14" s="35"/>
      <c r="E14" s="35"/>
      <c r="F14" s="35"/>
      <c r="G14" s="34">
        <f t="shared" si="0"/>
        <v>8</v>
      </c>
    </row>
    <row r="15" spans="1:7" x14ac:dyDescent="0.25">
      <c r="A15" s="82" t="s">
        <v>77</v>
      </c>
      <c r="B15" s="81">
        <v>1</v>
      </c>
      <c r="C15" s="35"/>
      <c r="D15" s="35"/>
      <c r="E15" s="35"/>
      <c r="F15" s="35"/>
      <c r="G15" s="34">
        <f t="shared" si="0"/>
        <v>1</v>
      </c>
    </row>
    <row r="16" spans="1:7" x14ac:dyDescent="0.25">
      <c r="A16" s="79" t="s">
        <v>38</v>
      </c>
      <c r="B16" s="40">
        <v>0.16527777777777777</v>
      </c>
      <c r="C16" s="42"/>
      <c r="D16" s="42"/>
      <c r="E16" s="42"/>
      <c r="F16" s="42"/>
      <c r="G16" s="55"/>
    </row>
    <row r="17" spans="1:7" x14ac:dyDescent="0.25">
      <c r="A17" s="79" t="s">
        <v>39</v>
      </c>
      <c r="B17" s="83" t="s">
        <v>78</v>
      </c>
      <c r="C17" s="83"/>
      <c r="D17" s="83"/>
      <c r="E17" s="83"/>
      <c r="F17" s="83"/>
      <c r="G17" s="55"/>
    </row>
    <row r="20" spans="1:7" ht="18.75" x14ac:dyDescent="0.3">
      <c r="A20" s="272" t="s">
        <v>79</v>
      </c>
      <c r="B20" s="272"/>
      <c r="C20" s="272"/>
      <c r="D20" s="272"/>
      <c r="E20" s="272"/>
      <c r="F20" s="272"/>
    </row>
    <row r="21" spans="1:7" ht="18.75" x14ac:dyDescent="0.3">
      <c r="A21" s="272" t="s">
        <v>80</v>
      </c>
      <c r="B21" s="272"/>
      <c r="C21" s="272"/>
      <c r="D21" s="272"/>
      <c r="E21" s="272"/>
      <c r="F21" s="272"/>
    </row>
    <row r="22" spans="1:7" ht="18.75" x14ac:dyDescent="0.3">
      <c r="A22" s="272" t="s">
        <v>81</v>
      </c>
      <c r="B22" s="272"/>
      <c r="C22" s="272"/>
      <c r="D22" s="272"/>
      <c r="E22" s="272"/>
      <c r="F22" s="272"/>
    </row>
    <row r="23" spans="1:7" x14ac:dyDescent="0.25">
      <c r="A23" s="269" t="s">
        <v>3</v>
      </c>
      <c r="B23" s="236" t="s">
        <v>4</v>
      </c>
      <c r="C23" s="236"/>
      <c r="D23" s="236"/>
      <c r="E23" s="236" t="s">
        <v>5</v>
      </c>
      <c r="F23" s="236"/>
    </row>
    <row r="24" spans="1:7" x14ac:dyDescent="0.25">
      <c r="A24" s="269"/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</row>
    <row r="25" spans="1:7" x14ac:dyDescent="0.25">
      <c r="A25" s="84" t="s">
        <v>82</v>
      </c>
      <c r="B25" s="4">
        <v>11</v>
      </c>
      <c r="C25" s="4">
        <v>12</v>
      </c>
      <c r="D25" s="6">
        <v>330</v>
      </c>
      <c r="E25" s="7">
        <f t="shared" ref="E25:E32" si="1">C25*D25</f>
        <v>3960</v>
      </c>
      <c r="F25" s="7">
        <f t="shared" ref="F25:F32" si="2">B25*E25</f>
        <v>43560</v>
      </c>
    </row>
    <row r="26" spans="1:7" x14ac:dyDescent="0.25">
      <c r="A26" s="84" t="s">
        <v>51</v>
      </c>
      <c r="B26" s="4">
        <v>11</v>
      </c>
      <c r="C26" s="4">
        <v>18</v>
      </c>
      <c r="D26" s="6">
        <v>260</v>
      </c>
      <c r="E26" s="7">
        <f t="shared" si="1"/>
        <v>4680</v>
      </c>
      <c r="F26" s="7">
        <f t="shared" si="2"/>
        <v>51480</v>
      </c>
    </row>
    <row r="27" spans="1:7" x14ac:dyDescent="0.25">
      <c r="A27" s="84" t="s">
        <v>53</v>
      </c>
      <c r="B27" s="4">
        <v>11</v>
      </c>
      <c r="C27" s="4">
        <v>200</v>
      </c>
      <c r="D27" s="6">
        <v>25</v>
      </c>
      <c r="E27" s="7">
        <f t="shared" si="1"/>
        <v>5000</v>
      </c>
      <c r="F27" s="7">
        <f t="shared" si="2"/>
        <v>55000</v>
      </c>
    </row>
    <row r="28" spans="1:7" x14ac:dyDescent="0.25">
      <c r="A28" s="84" t="s">
        <v>72</v>
      </c>
      <c r="B28" s="4">
        <v>11</v>
      </c>
      <c r="C28" s="4">
        <v>12</v>
      </c>
      <c r="D28" s="6">
        <v>60</v>
      </c>
      <c r="E28" s="7">
        <f t="shared" si="1"/>
        <v>720</v>
      </c>
      <c r="F28" s="7">
        <f t="shared" si="2"/>
        <v>7920</v>
      </c>
    </row>
    <row r="29" spans="1:7" x14ac:dyDescent="0.25">
      <c r="A29" s="84" t="s">
        <v>83</v>
      </c>
      <c r="B29" s="4">
        <v>11</v>
      </c>
      <c r="C29" s="4">
        <v>24</v>
      </c>
      <c r="D29" s="6">
        <v>120</v>
      </c>
      <c r="E29" s="7">
        <f t="shared" si="1"/>
        <v>2880</v>
      </c>
      <c r="F29" s="7">
        <f t="shared" si="2"/>
        <v>31680</v>
      </c>
    </row>
    <row r="30" spans="1:7" x14ac:dyDescent="0.25">
      <c r="A30" s="84" t="s">
        <v>84</v>
      </c>
      <c r="B30" s="4">
        <v>11</v>
      </c>
      <c r="C30" s="4">
        <v>8</v>
      </c>
      <c r="D30" s="6">
        <v>1500</v>
      </c>
      <c r="E30" s="7">
        <f t="shared" si="1"/>
        <v>12000</v>
      </c>
      <c r="F30" s="7">
        <f t="shared" si="2"/>
        <v>132000</v>
      </c>
    </row>
    <row r="31" spans="1:7" x14ac:dyDescent="0.25">
      <c r="A31" s="84" t="s">
        <v>85</v>
      </c>
      <c r="B31" s="4">
        <v>11</v>
      </c>
      <c r="C31" s="4">
        <v>8</v>
      </c>
      <c r="D31" s="6">
        <v>750</v>
      </c>
      <c r="E31" s="7">
        <f t="shared" si="1"/>
        <v>6000</v>
      </c>
      <c r="F31" s="7">
        <f t="shared" si="2"/>
        <v>66000</v>
      </c>
    </row>
    <row r="32" spans="1:7" x14ac:dyDescent="0.25">
      <c r="A32" s="84" t="s">
        <v>54</v>
      </c>
      <c r="B32" s="4">
        <v>11</v>
      </c>
      <c r="C32" s="4">
        <v>6</v>
      </c>
      <c r="D32" s="6">
        <v>150</v>
      </c>
      <c r="E32" s="7">
        <f t="shared" si="1"/>
        <v>900</v>
      </c>
      <c r="F32" s="7">
        <f t="shared" si="2"/>
        <v>9900</v>
      </c>
    </row>
    <row r="33" spans="1:6" ht="18.75" x14ac:dyDescent="0.4">
      <c r="A33" s="239" t="s">
        <v>89</v>
      </c>
      <c r="B33" s="239"/>
      <c r="C33" s="269" t="s">
        <v>10</v>
      </c>
      <c r="D33" s="269"/>
      <c r="E33" s="9">
        <f>SUM(E25:E32)</f>
        <v>36140</v>
      </c>
      <c r="F33" s="4"/>
    </row>
    <row r="34" spans="1:6" ht="18.75" x14ac:dyDescent="0.4">
      <c r="A34" s="239"/>
      <c r="B34" s="239"/>
      <c r="C34" s="269" t="s">
        <v>86</v>
      </c>
      <c r="D34" s="269"/>
      <c r="E34" s="85">
        <f>E33*B29</f>
        <v>397540</v>
      </c>
      <c r="F34" s="4"/>
    </row>
    <row r="35" spans="1:6" ht="18.75" x14ac:dyDescent="0.4">
      <c r="A35" s="239"/>
      <c r="B35" s="239"/>
      <c r="C35" s="53" t="s">
        <v>87</v>
      </c>
      <c r="D35" s="53"/>
      <c r="E35" s="86"/>
      <c r="F35" s="4"/>
    </row>
    <row r="36" spans="1:6" ht="18.75" x14ac:dyDescent="0.4">
      <c r="A36" s="239"/>
      <c r="B36" s="239"/>
      <c r="C36" s="244" t="s">
        <v>88</v>
      </c>
      <c r="D36" s="245"/>
      <c r="E36" s="87">
        <f>E34+E35</f>
        <v>397540</v>
      </c>
      <c r="F36" s="4"/>
    </row>
  </sheetData>
  <mergeCells count="13">
    <mergeCell ref="A23:A24"/>
    <mergeCell ref="B23:D23"/>
    <mergeCell ref="E23:F23"/>
    <mergeCell ref="A33:B36"/>
    <mergeCell ref="C33:D33"/>
    <mergeCell ref="C34:D34"/>
    <mergeCell ref="C36:D36"/>
    <mergeCell ref="A22:F22"/>
    <mergeCell ref="A1:G1"/>
    <mergeCell ref="A2:G2"/>
    <mergeCell ref="A3:G3"/>
    <mergeCell ref="A20:F20"/>
    <mergeCell ref="A21:F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14F7-B8F2-4607-84DA-245E7BACCA0F}">
  <dimension ref="A1:G29"/>
  <sheetViews>
    <sheetView workbookViewId="0">
      <selection activeCell="A2" sqref="A2:G2"/>
    </sheetView>
  </sheetViews>
  <sheetFormatPr baseColWidth="10" defaultRowHeight="15" x14ac:dyDescent="0.25"/>
  <cols>
    <col min="1" max="1" width="21.85546875" bestFit="1" customWidth="1"/>
    <col min="5" max="5" width="14.42578125" bestFit="1" customWidth="1"/>
    <col min="7" max="7" width="15.85546875" customWidth="1"/>
  </cols>
  <sheetData>
    <row r="1" spans="1:7" ht="18.75" x14ac:dyDescent="0.3">
      <c r="A1" s="275" t="s">
        <v>126</v>
      </c>
      <c r="B1" s="276"/>
      <c r="C1" s="276"/>
      <c r="D1" s="276"/>
      <c r="E1" s="276"/>
      <c r="F1" s="276"/>
      <c r="G1" s="282"/>
    </row>
    <row r="2" spans="1:7" ht="18.75" x14ac:dyDescent="0.3">
      <c r="A2" s="277" t="s">
        <v>127</v>
      </c>
      <c r="B2" s="278"/>
      <c r="C2" s="278"/>
      <c r="D2" s="278"/>
      <c r="E2" s="278"/>
      <c r="F2" s="278"/>
      <c r="G2" s="283"/>
    </row>
    <row r="3" spans="1:7" ht="18.75" x14ac:dyDescent="0.3">
      <c r="A3" s="277" t="s">
        <v>69</v>
      </c>
      <c r="B3" s="278"/>
      <c r="C3" s="278"/>
      <c r="D3" s="278"/>
      <c r="E3" s="278"/>
      <c r="F3" s="278"/>
      <c r="G3" s="278"/>
    </row>
    <row r="4" spans="1:7" x14ac:dyDescent="0.25">
      <c r="A4" s="77" t="s">
        <v>3</v>
      </c>
      <c r="B4" s="76">
        <v>12853</v>
      </c>
      <c r="C4" s="76">
        <v>11649</v>
      </c>
      <c r="D4" s="76"/>
      <c r="E4" s="76"/>
      <c r="F4" s="76"/>
      <c r="G4" s="78" t="s">
        <v>30</v>
      </c>
    </row>
    <row r="5" spans="1:7" x14ac:dyDescent="0.25">
      <c r="A5" s="79"/>
      <c r="B5" s="31">
        <v>45853</v>
      </c>
      <c r="C5" s="31">
        <v>45856</v>
      </c>
      <c r="D5" s="31"/>
      <c r="E5" s="31"/>
      <c r="F5" s="31"/>
      <c r="G5" s="51">
        <v>45869</v>
      </c>
    </row>
    <row r="6" spans="1:7" x14ac:dyDescent="0.25">
      <c r="A6" s="80" t="s">
        <v>128</v>
      </c>
      <c r="B6" s="29">
        <v>32</v>
      </c>
      <c r="C6" s="35"/>
      <c r="D6" s="35"/>
      <c r="E6" s="35"/>
      <c r="F6" s="35"/>
      <c r="G6" s="34">
        <f t="shared" ref="G6:G13" si="0">SUM(B6:F6)</f>
        <v>32</v>
      </c>
    </row>
    <row r="7" spans="1:7" x14ac:dyDescent="0.25">
      <c r="A7" s="82" t="s">
        <v>73</v>
      </c>
      <c r="B7" s="29">
        <v>16</v>
      </c>
      <c r="C7" s="35"/>
      <c r="D7" s="35"/>
      <c r="E7" s="35"/>
      <c r="F7" s="35"/>
      <c r="G7" s="34">
        <f t="shared" si="0"/>
        <v>16</v>
      </c>
    </row>
    <row r="8" spans="1:7" x14ac:dyDescent="0.25">
      <c r="A8" s="82" t="s">
        <v>72</v>
      </c>
      <c r="B8" s="29">
        <v>32</v>
      </c>
      <c r="C8" s="35"/>
      <c r="D8" s="35"/>
      <c r="E8" s="35"/>
      <c r="F8" s="35"/>
      <c r="G8" s="34">
        <f>SUM(B8:F8)</f>
        <v>32</v>
      </c>
    </row>
    <row r="9" spans="1:7" x14ac:dyDescent="0.25">
      <c r="A9" s="82" t="s">
        <v>54</v>
      </c>
      <c r="B9" s="29">
        <v>16</v>
      </c>
      <c r="C9" s="35"/>
      <c r="D9" s="35"/>
      <c r="E9" s="35"/>
      <c r="F9" s="35"/>
      <c r="G9" s="34">
        <f t="shared" si="0"/>
        <v>16</v>
      </c>
    </row>
    <row r="10" spans="1:7" x14ac:dyDescent="0.25">
      <c r="A10" s="82" t="s">
        <v>53</v>
      </c>
      <c r="B10" s="29">
        <v>400</v>
      </c>
      <c r="C10" s="35"/>
      <c r="D10" s="35"/>
      <c r="E10" s="35"/>
      <c r="F10" s="35"/>
      <c r="G10" s="34">
        <f t="shared" si="0"/>
        <v>400</v>
      </c>
    </row>
    <row r="11" spans="1:7" x14ac:dyDescent="0.25">
      <c r="A11" s="82" t="s">
        <v>77</v>
      </c>
      <c r="B11" s="29">
        <v>2</v>
      </c>
      <c r="C11" s="35"/>
      <c r="D11" s="35"/>
      <c r="E11" s="35"/>
      <c r="F11" s="35"/>
      <c r="G11" s="34">
        <f t="shared" si="0"/>
        <v>2</v>
      </c>
    </row>
    <row r="12" spans="1:7" x14ac:dyDescent="0.25">
      <c r="A12" s="79" t="s">
        <v>38</v>
      </c>
      <c r="B12" s="40">
        <v>0.29166666666666669</v>
      </c>
      <c r="C12" s="42">
        <v>0.5</v>
      </c>
      <c r="D12" s="42"/>
      <c r="E12" s="42"/>
      <c r="F12" s="42"/>
      <c r="G12" s="55">
        <f t="shared" si="0"/>
        <v>0.79166666666666674</v>
      </c>
    </row>
    <row r="13" spans="1:7" x14ac:dyDescent="0.25">
      <c r="A13" s="79" t="s">
        <v>39</v>
      </c>
      <c r="B13" s="83">
        <v>30000</v>
      </c>
      <c r="C13" s="83">
        <v>30000</v>
      </c>
      <c r="D13" s="83"/>
      <c r="E13" s="83"/>
      <c r="F13" s="83"/>
      <c r="G13" s="55">
        <f t="shared" si="0"/>
        <v>60000</v>
      </c>
    </row>
    <row r="15" spans="1:7" x14ac:dyDescent="0.25">
      <c r="A15" s="281" t="s">
        <v>112</v>
      </c>
      <c r="B15" s="281"/>
      <c r="C15" s="281"/>
      <c r="D15" s="281"/>
      <c r="E15" s="281"/>
      <c r="F15" s="281"/>
      <c r="G15" s="281"/>
    </row>
    <row r="16" spans="1:7" x14ac:dyDescent="0.25">
      <c r="A16" s="281" t="s">
        <v>131</v>
      </c>
      <c r="B16" s="281"/>
      <c r="C16" s="281"/>
      <c r="D16" s="281"/>
      <c r="E16" s="281"/>
      <c r="F16" s="281"/>
      <c r="G16" s="281"/>
    </row>
    <row r="17" spans="1:7" ht="18" x14ac:dyDescent="0.25">
      <c r="A17" s="261" t="s">
        <v>127</v>
      </c>
      <c r="B17" s="261"/>
      <c r="C17" s="261"/>
      <c r="D17" s="261"/>
      <c r="E17" s="261"/>
      <c r="F17" s="261"/>
      <c r="G17" s="261"/>
    </row>
    <row r="18" spans="1:7" x14ac:dyDescent="0.25">
      <c r="A18" s="269" t="s">
        <v>3</v>
      </c>
      <c r="B18" s="236" t="s">
        <v>4</v>
      </c>
      <c r="C18" s="236"/>
      <c r="D18" s="236"/>
      <c r="E18" s="236" t="s">
        <v>5</v>
      </c>
      <c r="F18" s="236"/>
      <c r="G18" s="274" t="s">
        <v>113</v>
      </c>
    </row>
    <row r="19" spans="1:7" x14ac:dyDescent="0.25">
      <c r="A19" s="269"/>
      <c r="B19" s="1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274"/>
    </row>
    <row r="20" spans="1:7" x14ac:dyDescent="0.25">
      <c r="A20" s="84" t="s">
        <v>124</v>
      </c>
      <c r="B20" s="4">
        <v>5</v>
      </c>
      <c r="C20" s="106">
        <v>32</v>
      </c>
      <c r="D20" s="6">
        <v>250</v>
      </c>
      <c r="E20" s="17">
        <f>C20*D20</f>
        <v>8000</v>
      </c>
      <c r="F20" s="17">
        <f t="shared" ref="F20" si="1">B20*E20</f>
        <v>40000</v>
      </c>
      <c r="G20" s="84" t="s">
        <v>129</v>
      </c>
    </row>
    <row r="21" spans="1:7" x14ac:dyDescent="0.25">
      <c r="A21" s="84" t="s">
        <v>119</v>
      </c>
      <c r="B21" s="4">
        <v>5</v>
      </c>
      <c r="C21" s="106">
        <v>32</v>
      </c>
      <c r="D21" s="6">
        <v>110</v>
      </c>
      <c r="E21" s="17">
        <f t="shared" ref="E21:E24" si="2">C21*D21</f>
        <v>3520</v>
      </c>
      <c r="F21" s="17">
        <f t="shared" ref="F21:F24" si="3">B21*E21</f>
        <v>17600</v>
      </c>
      <c r="G21" s="84" t="s">
        <v>129</v>
      </c>
    </row>
    <row r="22" spans="1:7" x14ac:dyDescent="0.25">
      <c r="A22" s="84" t="s">
        <v>72</v>
      </c>
      <c r="B22" s="4">
        <v>5</v>
      </c>
      <c r="C22" s="106">
        <v>24</v>
      </c>
      <c r="D22" s="6">
        <v>60</v>
      </c>
      <c r="E22" s="17">
        <f t="shared" si="2"/>
        <v>1440</v>
      </c>
      <c r="F22" s="17">
        <f t="shared" si="3"/>
        <v>7200</v>
      </c>
      <c r="G22" s="84" t="s">
        <v>129</v>
      </c>
    </row>
    <row r="23" spans="1:7" x14ac:dyDescent="0.25">
      <c r="A23" s="84" t="s">
        <v>130</v>
      </c>
      <c r="B23" s="4">
        <v>5</v>
      </c>
      <c r="C23" s="106">
        <v>16</v>
      </c>
      <c r="D23" s="6">
        <v>150</v>
      </c>
      <c r="E23" s="17">
        <f t="shared" si="2"/>
        <v>2400</v>
      </c>
      <c r="F23" s="17">
        <f t="shared" si="3"/>
        <v>12000</v>
      </c>
      <c r="G23" s="84" t="s">
        <v>129</v>
      </c>
    </row>
    <row r="24" spans="1:7" x14ac:dyDescent="0.25">
      <c r="A24" s="84" t="s">
        <v>53</v>
      </c>
      <c r="B24" s="4">
        <v>5</v>
      </c>
      <c r="C24" s="106">
        <v>400</v>
      </c>
      <c r="D24" s="6">
        <v>25</v>
      </c>
      <c r="E24" s="17">
        <f t="shared" si="2"/>
        <v>10000</v>
      </c>
      <c r="F24" s="17">
        <f t="shared" si="3"/>
        <v>50000</v>
      </c>
      <c r="G24" s="84" t="s">
        <v>129</v>
      </c>
    </row>
    <row r="25" spans="1:7" ht="31.5" customHeight="1" x14ac:dyDescent="0.4">
      <c r="A25" s="284"/>
      <c r="B25" s="285"/>
      <c r="C25" s="269" t="s">
        <v>19</v>
      </c>
      <c r="D25" s="269"/>
      <c r="E25" s="9">
        <f>SUM(F20:F24)</f>
        <v>126800</v>
      </c>
      <c r="F25" s="290"/>
      <c r="G25" s="291"/>
    </row>
    <row r="26" spans="1:7" ht="31.5" customHeight="1" x14ac:dyDescent="0.4">
      <c r="A26" s="286"/>
      <c r="B26" s="287"/>
      <c r="C26" s="269" t="s">
        <v>18</v>
      </c>
      <c r="D26" s="269"/>
      <c r="E26" s="9">
        <v>60000</v>
      </c>
      <c r="F26" s="292"/>
      <c r="G26" s="293"/>
    </row>
    <row r="27" spans="1:7" ht="31.5" customHeight="1" x14ac:dyDescent="0.4">
      <c r="A27" s="288"/>
      <c r="B27" s="289"/>
      <c r="C27" s="269" t="s">
        <v>19</v>
      </c>
      <c r="D27" s="269"/>
      <c r="E27" s="9">
        <f>E25+E26</f>
        <v>186800</v>
      </c>
      <c r="F27" s="294"/>
      <c r="G27" s="295"/>
    </row>
    <row r="28" spans="1:7" x14ac:dyDescent="0.25">
      <c r="A28" t="s">
        <v>21</v>
      </c>
      <c r="E28" s="16">
        <v>300000</v>
      </c>
    </row>
    <row r="29" spans="1:7" x14ac:dyDescent="0.25">
      <c r="A29" t="s">
        <v>132</v>
      </c>
      <c r="E29" s="107">
        <f>E28-E27</f>
        <v>113200</v>
      </c>
    </row>
  </sheetData>
  <mergeCells count="15">
    <mergeCell ref="A17:G17"/>
    <mergeCell ref="A1:G1"/>
    <mergeCell ref="A2:G2"/>
    <mergeCell ref="A3:G3"/>
    <mergeCell ref="A15:G15"/>
    <mergeCell ref="A16:G16"/>
    <mergeCell ref="C27:D27"/>
    <mergeCell ref="A25:B27"/>
    <mergeCell ref="F25:G27"/>
    <mergeCell ref="A18:A19"/>
    <mergeCell ref="B18:D18"/>
    <mergeCell ref="E18:F18"/>
    <mergeCell ref="G18:G19"/>
    <mergeCell ref="C26:D26"/>
    <mergeCell ref="C25:D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C75B-8E12-40D3-855F-11A866D6B993}">
  <dimension ref="A1:G42"/>
  <sheetViews>
    <sheetView topLeftCell="A29" workbookViewId="0">
      <selection activeCell="C45" sqref="C45"/>
    </sheetView>
  </sheetViews>
  <sheetFormatPr baseColWidth="10" defaultRowHeight="15" x14ac:dyDescent="0.25"/>
  <cols>
    <col min="1" max="1" width="33.42578125" bestFit="1" customWidth="1"/>
    <col min="5" max="5" width="14.42578125" bestFit="1" customWidth="1"/>
    <col min="7" max="7" width="18.7109375" customWidth="1"/>
  </cols>
  <sheetData>
    <row r="1" spans="1:7" ht="19.5" thickBot="1" x14ac:dyDescent="0.35">
      <c r="A1" s="297" t="s">
        <v>166</v>
      </c>
      <c r="B1" s="298"/>
      <c r="C1" s="298"/>
      <c r="D1" s="298"/>
      <c r="E1" s="298"/>
      <c r="F1" s="298"/>
      <c r="G1" s="298"/>
    </row>
    <row r="2" spans="1:7" ht="18.75" x14ac:dyDescent="0.3">
      <c r="A2" s="275" t="s">
        <v>167</v>
      </c>
      <c r="B2" s="276"/>
      <c r="C2" s="276"/>
      <c r="D2" s="276"/>
      <c r="E2" s="276"/>
      <c r="F2" s="276"/>
      <c r="G2" s="282"/>
    </row>
    <row r="3" spans="1:7" ht="18.75" x14ac:dyDescent="0.3">
      <c r="A3" s="277" t="s">
        <v>168</v>
      </c>
      <c r="B3" s="278"/>
      <c r="C3" s="278"/>
      <c r="D3" s="278"/>
      <c r="E3" s="278"/>
      <c r="F3" s="278"/>
      <c r="G3" s="283"/>
    </row>
    <row r="4" spans="1:7" x14ac:dyDescent="0.25">
      <c r="A4" s="296" t="s">
        <v>3</v>
      </c>
      <c r="B4" s="29" t="s">
        <v>30</v>
      </c>
      <c r="C4" s="28">
        <v>12854</v>
      </c>
      <c r="D4" s="28">
        <v>12865</v>
      </c>
      <c r="E4" s="90">
        <v>11653</v>
      </c>
      <c r="F4" s="90"/>
      <c r="G4" s="91" t="s">
        <v>30</v>
      </c>
    </row>
    <row r="5" spans="1:7" x14ac:dyDescent="0.25">
      <c r="A5" s="296"/>
      <c r="B5" s="51">
        <v>45830</v>
      </c>
      <c r="C5" s="31">
        <v>45853</v>
      </c>
      <c r="D5" s="32">
        <v>45855</v>
      </c>
      <c r="E5" s="92">
        <v>45859</v>
      </c>
      <c r="F5" s="92"/>
      <c r="G5" s="93">
        <v>45859</v>
      </c>
    </row>
    <row r="6" spans="1:7" x14ac:dyDescent="0.25">
      <c r="A6" s="94" t="s">
        <v>169</v>
      </c>
      <c r="B6" s="29">
        <v>4</v>
      </c>
      <c r="C6" s="53"/>
      <c r="D6" s="1"/>
      <c r="E6" s="88"/>
      <c r="F6" s="88"/>
      <c r="G6" s="95">
        <f>SUM(B6:F6)</f>
        <v>4</v>
      </c>
    </row>
    <row r="7" spans="1:7" x14ac:dyDescent="0.25">
      <c r="A7" s="94" t="s">
        <v>170</v>
      </c>
      <c r="B7" s="29">
        <v>2</v>
      </c>
      <c r="C7" s="53"/>
      <c r="D7" s="1"/>
      <c r="E7" s="88"/>
      <c r="F7" s="88"/>
      <c r="G7" s="95">
        <f>SUM(B7:F7)</f>
        <v>2</v>
      </c>
    </row>
    <row r="8" spans="1:7" x14ac:dyDescent="0.25">
      <c r="A8" s="94" t="s">
        <v>171</v>
      </c>
      <c r="B8" s="29">
        <v>2</v>
      </c>
      <c r="C8" s="53"/>
      <c r="D8" s="1"/>
      <c r="E8" s="88"/>
      <c r="F8" s="88"/>
      <c r="G8" s="95">
        <f>SUM(B8:F8)</f>
        <v>2</v>
      </c>
    </row>
    <row r="9" spans="1:7" x14ac:dyDescent="0.25">
      <c r="A9" s="94" t="s">
        <v>56</v>
      </c>
      <c r="B9" s="29">
        <v>2</v>
      </c>
      <c r="C9" s="53"/>
      <c r="D9" s="1"/>
      <c r="E9" s="88"/>
      <c r="F9" s="88"/>
      <c r="G9" s="95">
        <f>SUM(B9:F9)</f>
        <v>2</v>
      </c>
    </row>
    <row r="10" spans="1:7" x14ac:dyDescent="0.25">
      <c r="A10" s="94" t="s">
        <v>172</v>
      </c>
      <c r="B10" s="29">
        <v>6</v>
      </c>
      <c r="C10" s="53"/>
      <c r="D10" s="1"/>
      <c r="E10" s="88"/>
      <c r="F10" s="88"/>
      <c r="G10" s="95">
        <f>SUM(B10:F10)</f>
        <v>6</v>
      </c>
    </row>
    <row r="11" spans="1:7" x14ac:dyDescent="0.25">
      <c r="A11" s="94" t="s">
        <v>173</v>
      </c>
      <c r="B11" s="29"/>
      <c r="C11" s="53">
        <v>60</v>
      </c>
      <c r="D11" s="1"/>
      <c r="E11" s="1">
        <v>-60</v>
      </c>
      <c r="F11" s="88"/>
      <c r="G11" s="95">
        <f t="shared" ref="G11:G17" si="0">SUM(C11:F11)</f>
        <v>0</v>
      </c>
    </row>
    <row r="12" spans="1:7" x14ac:dyDescent="0.25">
      <c r="A12" s="94" t="s">
        <v>73</v>
      </c>
      <c r="B12" s="29"/>
      <c r="C12" s="53">
        <v>60</v>
      </c>
      <c r="D12" s="1"/>
      <c r="E12" s="1">
        <v>-60</v>
      </c>
      <c r="F12" s="88"/>
      <c r="G12" s="95">
        <f t="shared" si="0"/>
        <v>0</v>
      </c>
    </row>
    <row r="13" spans="1:7" x14ac:dyDescent="0.25">
      <c r="A13" s="94" t="s">
        <v>174</v>
      </c>
      <c r="B13" s="29"/>
      <c r="C13" s="53">
        <v>8</v>
      </c>
      <c r="D13" s="1"/>
      <c r="E13" s="1">
        <v>-8</v>
      </c>
      <c r="F13" s="88"/>
      <c r="G13" s="95">
        <f t="shared" si="0"/>
        <v>0</v>
      </c>
    </row>
    <row r="14" spans="1:7" x14ac:dyDescent="0.25">
      <c r="A14" s="94" t="s">
        <v>175</v>
      </c>
      <c r="B14" s="29"/>
      <c r="C14" s="53">
        <v>500</v>
      </c>
      <c r="D14" s="1"/>
      <c r="E14" s="1">
        <v>-500</v>
      </c>
      <c r="F14" s="88"/>
      <c r="G14" s="95">
        <f t="shared" si="0"/>
        <v>0</v>
      </c>
    </row>
    <row r="15" spans="1:7" x14ac:dyDescent="0.25">
      <c r="A15" s="94" t="s">
        <v>176</v>
      </c>
      <c r="B15" s="29"/>
      <c r="C15" s="53">
        <v>2</v>
      </c>
      <c r="D15" s="1"/>
      <c r="E15" s="88">
        <v>-2</v>
      </c>
      <c r="F15" s="88"/>
      <c r="G15" s="95">
        <f t="shared" si="0"/>
        <v>0</v>
      </c>
    </row>
    <row r="16" spans="1:7" x14ac:dyDescent="0.25">
      <c r="A16" s="94" t="s">
        <v>177</v>
      </c>
      <c r="B16" s="29"/>
      <c r="C16" s="53">
        <v>8</v>
      </c>
      <c r="D16" s="1"/>
      <c r="E16" s="88">
        <v>-8</v>
      </c>
      <c r="F16" s="88"/>
      <c r="G16" s="95">
        <f t="shared" si="0"/>
        <v>0</v>
      </c>
    </row>
    <row r="17" spans="1:7" x14ac:dyDescent="0.25">
      <c r="A17" s="94" t="s">
        <v>103</v>
      </c>
      <c r="B17" s="29"/>
      <c r="C17" s="53">
        <v>12</v>
      </c>
      <c r="D17" s="1">
        <v>3</v>
      </c>
      <c r="E17" s="88">
        <v>-15</v>
      </c>
      <c r="F17" s="88"/>
      <c r="G17" s="95">
        <f t="shared" si="0"/>
        <v>0</v>
      </c>
    </row>
    <row r="18" spans="1:7" x14ac:dyDescent="0.25">
      <c r="A18" s="94" t="s">
        <v>178</v>
      </c>
      <c r="B18" s="29"/>
      <c r="C18" s="53"/>
      <c r="D18" s="1">
        <v>5</v>
      </c>
      <c r="E18" s="88">
        <v>-5</v>
      </c>
      <c r="F18" s="88"/>
      <c r="G18" s="95">
        <f>SUM(B18:F18)</f>
        <v>0</v>
      </c>
    </row>
    <row r="19" spans="1:7" x14ac:dyDescent="0.25">
      <c r="A19" s="94" t="s">
        <v>179</v>
      </c>
      <c r="B19" s="29"/>
      <c r="C19" s="53"/>
      <c r="D19" s="1">
        <v>25</v>
      </c>
      <c r="E19" s="88">
        <v>-25</v>
      </c>
      <c r="F19" s="88"/>
      <c r="G19" s="95">
        <f>SUM(B19:F19)</f>
        <v>0</v>
      </c>
    </row>
    <row r="20" spans="1:7" x14ac:dyDescent="0.25">
      <c r="A20" s="97" t="s">
        <v>180</v>
      </c>
      <c r="B20" s="29"/>
      <c r="C20" s="42">
        <v>0.41666666666666669</v>
      </c>
      <c r="D20" s="42">
        <v>0.3125</v>
      </c>
      <c r="E20" s="105">
        <v>0.41666666666666669</v>
      </c>
      <c r="F20" s="105"/>
      <c r="G20" s="101"/>
    </row>
    <row r="21" spans="1:7" ht="15.75" thickBot="1" x14ac:dyDescent="0.3">
      <c r="A21" s="102" t="s">
        <v>18</v>
      </c>
      <c r="B21" s="127"/>
      <c r="C21" s="104">
        <v>40000</v>
      </c>
      <c r="D21" s="104">
        <v>20000</v>
      </c>
      <c r="E21" s="104">
        <v>40000</v>
      </c>
      <c r="F21" s="104"/>
      <c r="G21" s="128">
        <f>SUM(B21:F21)</f>
        <v>100000</v>
      </c>
    </row>
    <row r="24" spans="1:7" ht="18.75" x14ac:dyDescent="0.3">
      <c r="A24" s="272" t="s">
        <v>166</v>
      </c>
      <c r="B24" s="272"/>
      <c r="C24" s="272"/>
      <c r="D24" s="272"/>
      <c r="E24" s="272"/>
      <c r="F24" s="272"/>
      <c r="G24" s="272"/>
    </row>
    <row r="25" spans="1:7" ht="18.75" x14ac:dyDescent="0.3">
      <c r="A25" s="272" t="s">
        <v>181</v>
      </c>
      <c r="B25" s="272"/>
      <c r="C25" s="272"/>
      <c r="D25" s="272"/>
      <c r="E25" s="272"/>
      <c r="F25" s="272"/>
      <c r="G25" s="272"/>
    </row>
    <row r="26" spans="1:7" ht="18.75" x14ac:dyDescent="0.3">
      <c r="A26" s="277" t="s">
        <v>168</v>
      </c>
      <c r="B26" s="278"/>
      <c r="C26" s="278"/>
      <c r="D26" s="278"/>
      <c r="E26" s="278"/>
      <c r="F26" s="278"/>
      <c r="G26" s="283"/>
    </row>
    <row r="27" spans="1:7" x14ac:dyDescent="0.25">
      <c r="A27" s="269" t="s">
        <v>3</v>
      </c>
      <c r="B27" s="236" t="s">
        <v>4</v>
      </c>
      <c r="C27" s="236"/>
      <c r="D27" s="236"/>
      <c r="E27" s="236" t="s">
        <v>5</v>
      </c>
      <c r="F27" s="236"/>
      <c r="G27" s="84" t="s">
        <v>113</v>
      </c>
    </row>
    <row r="28" spans="1:7" x14ac:dyDescent="0.25">
      <c r="A28" s="269"/>
      <c r="B28" s="1" t="s">
        <v>6</v>
      </c>
      <c r="C28" s="1" t="s">
        <v>7</v>
      </c>
      <c r="D28" s="1" t="s">
        <v>8</v>
      </c>
      <c r="E28" s="1" t="s">
        <v>9</v>
      </c>
      <c r="F28" s="1" t="s">
        <v>182</v>
      </c>
      <c r="G28" s="84"/>
    </row>
    <row r="29" spans="1:7" x14ac:dyDescent="0.25">
      <c r="A29" s="84" t="s">
        <v>183</v>
      </c>
      <c r="B29" s="4">
        <v>29</v>
      </c>
      <c r="C29" s="129">
        <v>3</v>
      </c>
      <c r="D29" s="6">
        <v>1500</v>
      </c>
      <c r="E29" s="7">
        <f t="shared" ref="E29:E39" si="1">C29*D29</f>
        <v>4500</v>
      </c>
      <c r="F29" s="7">
        <f t="shared" ref="F29:F39" si="2">B29*E29</f>
        <v>130500</v>
      </c>
      <c r="G29" s="84" t="s">
        <v>184</v>
      </c>
    </row>
    <row r="30" spans="1:7" x14ac:dyDescent="0.25">
      <c r="A30" s="84" t="s">
        <v>185</v>
      </c>
      <c r="B30" s="4">
        <v>29</v>
      </c>
      <c r="C30" s="129">
        <v>6</v>
      </c>
      <c r="D30" s="17">
        <v>1000</v>
      </c>
      <c r="E30" s="17">
        <f t="shared" si="1"/>
        <v>6000</v>
      </c>
      <c r="F30" s="17">
        <f t="shared" si="2"/>
        <v>174000</v>
      </c>
      <c r="G30" s="84" t="s">
        <v>184</v>
      </c>
    </row>
    <row r="31" spans="1:7" x14ac:dyDescent="0.25">
      <c r="A31" s="84" t="s">
        <v>186</v>
      </c>
      <c r="B31" s="4">
        <v>6</v>
      </c>
      <c r="C31" s="129">
        <v>60</v>
      </c>
      <c r="D31" s="6">
        <v>300</v>
      </c>
      <c r="E31" s="7">
        <f t="shared" si="1"/>
        <v>18000</v>
      </c>
      <c r="F31" s="7">
        <f t="shared" si="2"/>
        <v>108000</v>
      </c>
      <c r="G31" s="84" t="s">
        <v>187</v>
      </c>
    </row>
    <row r="32" spans="1:7" x14ac:dyDescent="0.25">
      <c r="A32" s="84" t="s">
        <v>119</v>
      </c>
      <c r="B32" s="4">
        <v>6</v>
      </c>
      <c r="C32" s="129">
        <v>60</v>
      </c>
      <c r="D32" s="6">
        <v>110</v>
      </c>
      <c r="E32" s="7">
        <f t="shared" si="1"/>
        <v>6600</v>
      </c>
      <c r="F32" s="7">
        <f t="shared" si="2"/>
        <v>39600</v>
      </c>
      <c r="G32" s="84" t="s">
        <v>187</v>
      </c>
    </row>
    <row r="33" spans="1:7" x14ac:dyDescent="0.25">
      <c r="A33" s="84" t="s">
        <v>188</v>
      </c>
      <c r="B33" s="4">
        <v>6</v>
      </c>
      <c r="C33" s="129">
        <v>8</v>
      </c>
      <c r="D33" s="6">
        <v>60</v>
      </c>
      <c r="E33" s="7">
        <f t="shared" si="1"/>
        <v>480</v>
      </c>
      <c r="F33" s="7">
        <f t="shared" si="2"/>
        <v>2880</v>
      </c>
      <c r="G33" s="84" t="s">
        <v>187</v>
      </c>
    </row>
    <row r="34" spans="1:7" x14ac:dyDescent="0.25">
      <c r="A34" s="84" t="s">
        <v>53</v>
      </c>
      <c r="B34" s="4">
        <v>6</v>
      </c>
      <c r="C34" s="129">
        <v>500</v>
      </c>
      <c r="D34" s="6">
        <v>23</v>
      </c>
      <c r="E34" s="7">
        <f t="shared" si="1"/>
        <v>11500</v>
      </c>
      <c r="F34" s="7">
        <f t="shared" si="2"/>
        <v>69000</v>
      </c>
      <c r="G34" s="84" t="s">
        <v>187</v>
      </c>
    </row>
    <row r="35" spans="1:7" x14ac:dyDescent="0.25">
      <c r="A35" s="84" t="s">
        <v>189</v>
      </c>
      <c r="B35" s="4">
        <v>6</v>
      </c>
      <c r="C35" s="129">
        <v>8</v>
      </c>
      <c r="D35" s="6">
        <v>150</v>
      </c>
      <c r="E35" s="7">
        <f t="shared" si="1"/>
        <v>1200</v>
      </c>
      <c r="F35" s="7">
        <f t="shared" si="2"/>
        <v>7200</v>
      </c>
      <c r="G35" s="84" t="s">
        <v>187</v>
      </c>
    </row>
    <row r="36" spans="1:7" x14ac:dyDescent="0.25">
      <c r="A36" s="84" t="s">
        <v>103</v>
      </c>
      <c r="B36" s="4">
        <v>6</v>
      </c>
      <c r="C36" s="129">
        <v>12</v>
      </c>
      <c r="D36" s="6">
        <v>200</v>
      </c>
      <c r="E36" s="7">
        <f t="shared" si="1"/>
        <v>2400</v>
      </c>
      <c r="F36" s="7">
        <f t="shared" si="2"/>
        <v>14400</v>
      </c>
      <c r="G36" s="84" t="s">
        <v>187</v>
      </c>
    </row>
    <row r="37" spans="1:7" x14ac:dyDescent="0.25">
      <c r="A37" s="84" t="s">
        <v>103</v>
      </c>
      <c r="B37" s="4">
        <v>5</v>
      </c>
      <c r="C37" s="129">
        <v>3</v>
      </c>
      <c r="D37" s="6">
        <v>200</v>
      </c>
      <c r="E37" s="7">
        <f t="shared" si="1"/>
        <v>600</v>
      </c>
      <c r="F37" s="7">
        <f t="shared" si="2"/>
        <v>3000</v>
      </c>
      <c r="G37" s="84" t="s">
        <v>190</v>
      </c>
    </row>
    <row r="38" spans="1:7" x14ac:dyDescent="0.25">
      <c r="A38" s="84" t="s">
        <v>178</v>
      </c>
      <c r="B38" s="4">
        <v>5</v>
      </c>
      <c r="C38" s="129">
        <v>5</v>
      </c>
      <c r="D38" s="6">
        <v>500</v>
      </c>
      <c r="E38" s="7">
        <f t="shared" si="1"/>
        <v>2500</v>
      </c>
      <c r="F38" s="7">
        <f t="shared" si="2"/>
        <v>12500</v>
      </c>
      <c r="G38" s="84" t="s">
        <v>190</v>
      </c>
    </row>
    <row r="39" spans="1:7" x14ac:dyDescent="0.25">
      <c r="A39" s="84" t="s">
        <v>191</v>
      </c>
      <c r="B39" s="4">
        <v>5</v>
      </c>
      <c r="C39" s="129">
        <v>25</v>
      </c>
      <c r="D39" s="6">
        <v>90</v>
      </c>
      <c r="E39" s="7">
        <f t="shared" si="1"/>
        <v>2250</v>
      </c>
      <c r="F39" s="7">
        <f t="shared" si="2"/>
        <v>11250</v>
      </c>
      <c r="G39" s="84" t="s">
        <v>190</v>
      </c>
    </row>
    <row r="40" spans="1:7" ht="18.75" x14ac:dyDescent="0.4">
      <c r="A40" s="239" t="s">
        <v>184</v>
      </c>
      <c r="B40" s="239"/>
      <c r="C40" s="269" t="s">
        <v>19</v>
      </c>
      <c r="D40" s="269"/>
      <c r="E40" s="9">
        <f>SUM(F29:F39)</f>
        <v>572330</v>
      </c>
      <c r="F40" s="274"/>
      <c r="G40" s="274"/>
    </row>
    <row r="41" spans="1:7" ht="18.75" x14ac:dyDescent="0.4">
      <c r="A41" s="239"/>
      <c r="B41" s="239"/>
      <c r="C41" s="269" t="s">
        <v>192</v>
      </c>
      <c r="D41" s="269"/>
      <c r="E41" s="9">
        <v>100000</v>
      </c>
      <c r="F41" s="274"/>
      <c r="G41" s="274"/>
    </row>
    <row r="42" spans="1:7" ht="18.75" x14ac:dyDescent="0.4">
      <c r="A42" s="239"/>
      <c r="B42" s="239"/>
      <c r="C42" s="299" t="s">
        <v>193</v>
      </c>
      <c r="D42" s="299"/>
      <c r="E42" s="9">
        <f>E40+E41</f>
        <v>672330</v>
      </c>
      <c r="F42" s="274"/>
      <c r="G42" s="274"/>
    </row>
  </sheetData>
  <mergeCells count="15">
    <mergeCell ref="A25:G25"/>
    <mergeCell ref="A26:G26"/>
    <mergeCell ref="A27:A28"/>
    <mergeCell ref="B27:D27"/>
    <mergeCell ref="E27:F27"/>
    <mergeCell ref="A40:B42"/>
    <mergeCell ref="C40:D40"/>
    <mergeCell ref="F40:G42"/>
    <mergeCell ref="C41:D41"/>
    <mergeCell ref="C42:D42"/>
    <mergeCell ref="A4:A5"/>
    <mergeCell ref="A24:G24"/>
    <mergeCell ref="A1:G1"/>
    <mergeCell ref="A2:G2"/>
    <mergeCell ref="A3:G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FB19-8AF5-430C-97D7-5DF730E17476}">
  <sheetPr>
    <pageSetUpPr fitToPage="1"/>
  </sheetPr>
  <dimension ref="A1:F41"/>
  <sheetViews>
    <sheetView tabSelected="1" workbookViewId="0">
      <selection sqref="A1:F41"/>
    </sheetView>
  </sheetViews>
  <sheetFormatPr baseColWidth="10" defaultRowHeight="15" x14ac:dyDescent="0.25"/>
  <cols>
    <col min="1" max="1" width="25.28515625" bestFit="1" customWidth="1"/>
    <col min="5" max="5" width="18.42578125" bestFit="1" customWidth="1"/>
  </cols>
  <sheetData>
    <row r="1" spans="1:6" ht="18.75" x14ac:dyDescent="0.3">
      <c r="A1" s="275" t="s">
        <v>216</v>
      </c>
      <c r="B1" s="276"/>
      <c r="C1" s="276"/>
      <c r="D1" s="276"/>
      <c r="E1" s="276"/>
      <c r="F1" s="282"/>
    </row>
    <row r="2" spans="1:6" ht="18.75" x14ac:dyDescent="0.3">
      <c r="A2" s="277" t="s">
        <v>194</v>
      </c>
      <c r="B2" s="278"/>
      <c r="C2" s="278"/>
      <c r="D2" s="278"/>
      <c r="E2" s="278"/>
      <c r="F2" s="283"/>
    </row>
    <row r="3" spans="1:6" ht="18.75" x14ac:dyDescent="0.3">
      <c r="A3" s="277" t="s">
        <v>69</v>
      </c>
      <c r="B3" s="278"/>
      <c r="C3" s="278"/>
      <c r="D3" s="278"/>
      <c r="E3" s="278"/>
      <c r="F3" s="283"/>
    </row>
    <row r="4" spans="1:6" x14ac:dyDescent="0.25">
      <c r="A4" s="132" t="s">
        <v>3</v>
      </c>
      <c r="B4" s="76">
        <v>12841</v>
      </c>
      <c r="C4" s="76">
        <v>12848</v>
      </c>
      <c r="D4" s="76"/>
      <c r="E4" s="76"/>
      <c r="F4" s="133" t="s">
        <v>30</v>
      </c>
    </row>
    <row r="5" spans="1:6" x14ac:dyDescent="0.25">
      <c r="A5" s="134"/>
      <c r="B5" s="31">
        <v>45848</v>
      </c>
      <c r="C5" s="31">
        <v>45850</v>
      </c>
      <c r="D5" s="31">
        <v>45861</v>
      </c>
      <c r="E5" s="31"/>
      <c r="F5" s="93">
        <v>45869</v>
      </c>
    </row>
    <row r="6" spans="1:6" x14ac:dyDescent="0.25">
      <c r="A6" s="135" t="s">
        <v>195</v>
      </c>
      <c r="B6" s="29">
        <v>48</v>
      </c>
      <c r="C6" s="35"/>
      <c r="D6" s="35"/>
      <c r="E6" s="35"/>
      <c r="F6" s="136">
        <f>SUM(B6:E6)</f>
        <v>48</v>
      </c>
    </row>
    <row r="7" spans="1:6" x14ac:dyDescent="0.25">
      <c r="A7" s="137" t="s">
        <v>196</v>
      </c>
      <c r="B7" s="29">
        <v>3</v>
      </c>
      <c r="C7" s="35"/>
      <c r="D7" s="35"/>
      <c r="E7" s="35"/>
      <c r="F7" s="136">
        <f>SUM(B7:E7)</f>
        <v>3</v>
      </c>
    </row>
    <row r="8" spans="1:6" x14ac:dyDescent="0.25">
      <c r="A8" s="137" t="s">
        <v>71</v>
      </c>
      <c r="B8" s="29">
        <v>6</v>
      </c>
      <c r="C8" s="35"/>
      <c r="D8" s="35"/>
      <c r="E8" s="35"/>
      <c r="F8" s="136">
        <f>SUM(B8:E8)</f>
        <v>6</v>
      </c>
    </row>
    <row r="9" spans="1:6" x14ac:dyDescent="0.25">
      <c r="A9" s="137" t="s">
        <v>107</v>
      </c>
      <c r="B9" s="29">
        <v>4</v>
      </c>
      <c r="C9" s="35"/>
      <c r="D9" s="35"/>
      <c r="E9" s="35"/>
      <c r="F9" s="136">
        <f>SUM(B9:E9)</f>
        <v>4</v>
      </c>
    </row>
    <row r="10" spans="1:6" x14ac:dyDescent="0.25">
      <c r="A10" s="137" t="s">
        <v>70</v>
      </c>
      <c r="B10" s="29"/>
      <c r="C10" s="35">
        <v>9</v>
      </c>
      <c r="D10" s="35"/>
      <c r="E10" s="35"/>
      <c r="F10" s="136">
        <f>SUM(C10:E10)</f>
        <v>9</v>
      </c>
    </row>
    <row r="11" spans="1:6" x14ac:dyDescent="0.25">
      <c r="A11" s="137" t="s">
        <v>197</v>
      </c>
      <c r="B11" s="29"/>
      <c r="C11" s="35">
        <v>1</v>
      </c>
      <c r="D11" s="35"/>
      <c r="E11" s="35"/>
      <c r="F11" s="136">
        <f>SUM(C11:E11)</f>
        <v>1</v>
      </c>
    </row>
    <row r="12" spans="1:6" x14ac:dyDescent="0.25">
      <c r="A12" s="137" t="s">
        <v>198</v>
      </c>
      <c r="B12" s="29"/>
      <c r="C12" s="35">
        <v>2</v>
      </c>
      <c r="D12" s="35"/>
      <c r="E12" s="35"/>
      <c r="F12" s="136">
        <f>SUM(C12:E12)</f>
        <v>2</v>
      </c>
    </row>
    <row r="13" spans="1:6" x14ac:dyDescent="0.25">
      <c r="A13" s="137" t="s">
        <v>54</v>
      </c>
      <c r="B13" s="29">
        <v>33</v>
      </c>
      <c r="C13" s="35"/>
      <c r="D13" s="35"/>
      <c r="E13" s="35"/>
      <c r="F13" s="136">
        <f>SUM(B13:E13)</f>
        <v>33</v>
      </c>
    </row>
    <row r="14" spans="1:6" x14ac:dyDescent="0.25">
      <c r="A14" s="137" t="s">
        <v>199</v>
      </c>
      <c r="B14" s="29">
        <v>5</v>
      </c>
      <c r="C14" s="35"/>
      <c r="D14" s="35"/>
      <c r="E14" s="35"/>
      <c r="F14" s="136">
        <f>SUM(B14:E14)</f>
        <v>5</v>
      </c>
    </row>
    <row r="15" spans="1:6" x14ac:dyDescent="0.25">
      <c r="A15" s="137" t="s">
        <v>200</v>
      </c>
      <c r="B15" s="29">
        <v>16</v>
      </c>
      <c r="C15" s="35"/>
      <c r="D15" s="35"/>
      <c r="E15" s="35"/>
      <c r="F15" s="136">
        <f>SUM(B15:E15)</f>
        <v>16</v>
      </c>
    </row>
    <row r="16" spans="1:6" x14ac:dyDescent="0.25">
      <c r="A16" s="137" t="s">
        <v>53</v>
      </c>
      <c r="B16" s="29">
        <v>350</v>
      </c>
      <c r="C16" s="35"/>
      <c r="D16" s="35"/>
      <c r="E16" s="35"/>
      <c r="F16" s="136">
        <f>SUM(B16:E16)</f>
        <v>350</v>
      </c>
    </row>
    <row r="17" spans="1:6" x14ac:dyDescent="0.25">
      <c r="A17" s="137" t="s">
        <v>77</v>
      </c>
      <c r="B17" s="29">
        <v>1</v>
      </c>
      <c r="C17" s="35"/>
      <c r="D17" s="35"/>
      <c r="E17" s="35"/>
      <c r="F17" s="136">
        <f>SUM(B17:E17)</f>
        <v>1</v>
      </c>
    </row>
    <row r="18" spans="1:6" x14ac:dyDescent="0.25">
      <c r="A18" s="134" t="s">
        <v>38</v>
      </c>
      <c r="B18" s="40" t="s">
        <v>201</v>
      </c>
      <c r="C18" s="42">
        <v>0.48958333333333331</v>
      </c>
      <c r="D18" s="42"/>
      <c r="E18" s="42"/>
      <c r="F18" s="138"/>
    </row>
    <row r="19" spans="1:6" ht="15.75" thickBot="1" x14ac:dyDescent="0.3">
      <c r="A19" s="139" t="s">
        <v>39</v>
      </c>
      <c r="B19" s="104" t="s">
        <v>202</v>
      </c>
      <c r="C19" s="104" t="s">
        <v>202</v>
      </c>
      <c r="D19" s="104"/>
      <c r="E19" s="104"/>
      <c r="F19" s="140"/>
    </row>
    <row r="21" spans="1:6" ht="18" x14ac:dyDescent="0.25">
      <c r="A21" s="300" t="s">
        <v>203</v>
      </c>
      <c r="B21" s="261"/>
      <c r="C21" s="261"/>
      <c r="D21" s="261"/>
      <c r="E21" s="261"/>
      <c r="F21" s="262"/>
    </row>
    <row r="22" spans="1:6" x14ac:dyDescent="0.25">
      <c r="A22" s="301" t="s">
        <v>204</v>
      </c>
      <c r="B22" s="302"/>
      <c r="C22" s="302"/>
      <c r="D22" s="302"/>
      <c r="E22" s="302"/>
      <c r="F22" s="303"/>
    </row>
    <row r="23" spans="1:6" ht="18" x14ac:dyDescent="0.25">
      <c r="A23" s="249" t="s">
        <v>205</v>
      </c>
      <c r="B23" s="250"/>
      <c r="C23" s="250"/>
      <c r="D23" s="250"/>
      <c r="E23" s="250"/>
      <c r="F23" s="251"/>
    </row>
    <row r="24" spans="1:6" x14ac:dyDescent="0.25">
      <c r="A24" s="235" t="s">
        <v>3</v>
      </c>
      <c r="B24" s="236" t="s">
        <v>4</v>
      </c>
      <c r="C24" s="236"/>
      <c r="D24" s="236"/>
      <c r="E24" s="236" t="s">
        <v>5</v>
      </c>
      <c r="F24" s="237"/>
    </row>
    <row r="25" spans="1:6" x14ac:dyDescent="0.25">
      <c r="A25" s="235"/>
      <c r="B25" s="1" t="s">
        <v>6</v>
      </c>
      <c r="C25" s="1" t="s">
        <v>7</v>
      </c>
      <c r="D25" s="1" t="s">
        <v>8</v>
      </c>
      <c r="E25" s="1" t="s">
        <v>9</v>
      </c>
      <c r="F25" s="2" t="s">
        <v>10</v>
      </c>
    </row>
    <row r="26" spans="1:6" x14ac:dyDescent="0.25">
      <c r="A26" s="3" t="s">
        <v>206</v>
      </c>
      <c r="B26" s="4">
        <v>13</v>
      </c>
      <c r="C26" s="5">
        <v>48</v>
      </c>
      <c r="D26" s="6">
        <v>360</v>
      </c>
      <c r="E26" s="7">
        <f>C26*D26</f>
        <v>17280</v>
      </c>
      <c r="F26" s="8">
        <f>B26*E26</f>
        <v>224640</v>
      </c>
    </row>
    <row r="27" spans="1:6" x14ac:dyDescent="0.25">
      <c r="A27" s="3" t="s">
        <v>207</v>
      </c>
      <c r="B27" s="4">
        <v>13</v>
      </c>
      <c r="C27" s="5">
        <v>3</v>
      </c>
      <c r="D27" s="6">
        <v>350</v>
      </c>
      <c r="E27" s="7">
        <f>C27*D27</f>
        <v>1050</v>
      </c>
      <c r="F27" s="8">
        <f t="shared" ref="F27:F35" si="0">B27*E27</f>
        <v>13650</v>
      </c>
    </row>
    <row r="28" spans="1:6" x14ac:dyDescent="0.25">
      <c r="A28" s="3" t="s">
        <v>208</v>
      </c>
      <c r="B28" s="4">
        <v>13</v>
      </c>
      <c r="C28" s="5">
        <v>6</v>
      </c>
      <c r="D28" s="6">
        <v>300</v>
      </c>
      <c r="E28" s="7">
        <f t="shared" ref="E28:E35" si="1">C28*D28</f>
        <v>1800</v>
      </c>
      <c r="F28" s="8">
        <f t="shared" si="0"/>
        <v>23400</v>
      </c>
    </row>
    <row r="29" spans="1:6" x14ac:dyDescent="0.25">
      <c r="A29" s="3" t="s">
        <v>209</v>
      </c>
      <c r="B29" s="4">
        <v>13</v>
      </c>
      <c r="C29" s="5">
        <v>4</v>
      </c>
      <c r="D29" s="6">
        <v>300</v>
      </c>
      <c r="E29" s="7">
        <f t="shared" si="1"/>
        <v>1200</v>
      </c>
      <c r="F29" s="8">
        <f t="shared" si="0"/>
        <v>15600</v>
      </c>
    </row>
    <row r="30" spans="1:6" x14ac:dyDescent="0.25">
      <c r="A30" s="3" t="s">
        <v>54</v>
      </c>
      <c r="B30" s="4">
        <v>13</v>
      </c>
      <c r="C30" s="5">
        <v>38</v>
      </c>
      <c r="D30" s="6">
        <v>200</v>
      </c>
      <c r="E30" s="7">
        <f t="shared" si="1"/>
        <v>7600</v>
      </c>
      <c r="F30" s="8">
        <f t="shared" si="0"/>
        <v>98800</v>
      </c>
    </row>
    <row r="31" spans="1:6" x14ac:dyDescent="0.25">
      <c r="A31" s="3" t="s">
        <v>210</v>
      </c>
      <c r="B31" s="4">
        <v>13</v>
      </c>
      <c r="C31" s="5">
        <v>16</v>
      </c>
      <c r="D31" s="6">
        <v>200</v>
      </c>
      <c r="E31" s="7">
        <f t="shared" si="1"/>
        <v>3200</v>
      </c>
      <c r="F31" s="7">
        <f t="shared" si="0"/>
        <v>41600</v>
      </c>
    </row>
    <row r="32" spans="1:6" x14ac:dyDescent="0.25">
      <c r="A32" s="3" t="s">
        <v>53</v>
      </c>
      <c r="B32" s="4">
        <v>13</v>
      </c>
      <c r="C32" s="5">
        <v>350</v>
      </c>
      <c r="D32" s="6">
        <v>20</v>
      </c>
      <c r="E32" s="7">
        <f t="shared" si="1"/>
        <v>7000</v>
      </c>
      <c r="F32" s="7">
        <f t="shared" si="0"/>
        <v>91000</v>
      </c>
    </row>
    <row r="33" spans="1:6" x14ac:dyDescent="0.25">
      <c r="A33" s="3" t="s">
        <v>70</v>
      </c>
      <c r="B33" s="4">
        <v>11</v>
      </c>
      <c r="C33" s="5">
        <v>9</v>
      </c>
      <c r="D33" s="6">
        <v>355</v>
      </c>
      <c r="E33" s="7">
        <f t="shared" si="1"/>
        <v>3195</v>
      </c>
      <c r="F33" s="7">
        <f t="shared" si="0"/>
        <v>35145</v>
      </c>
    </row>
    <row r="34" spans="1:6" x14ac:dyDescent="0.25">
      <c r="A34" s="3" t="s">
        <v>197</v>
      </c>
      <c r="B34" s="4">
        <v>11</v>
      </c>
      <c r="C34" s="5">
        <v>1</v>
      </c>
      <c r="D34" s="6">
        <v>350</v>
      </c>
      <c r="E34" s="7">
        <f t="shared" si="1"/>
        <v>350</v>
      </c>
      <c r="F34" s="7">
        <f t="shared" si="0"/>
        <v>3850</v>
      </c>
    </row>
    <row r="35" spans="1:6" x14ac:dyDescent="0.25">
      <c r="A35" s="3" t="s">
        <v>198</v>
      </c>
      <c r="B35" s="4">
        <v>11</v>
      </c>
      <c r="C35" s="5">
        <v>2</v>
      </c>
      <c r="D35" s="6">
        <v>300</v>
      </c>
      <c r="E35" s="7">
        <f t="shared" si="1"/>
        <v>600</v>
      </c>
      <c r="F35" s="7">
        <f t="shared" si="0"/>
        <v>6600</v>
      </c>
    </row>
    <row r="36" spans="1:6" ht="18.75" x14ac:dyDescent="0.4">
      <c r="A36" s="305" t="s">
        <v>212</v>
      </c>
      <c r="B36" s="273"/>
      <c r="C36" s="269" t="s">
        <v>91</v>
      </c>
      <c r="D36" s="269"/>
      <c r="E36" s="9">
        <f>SUM(E26:E35)</f>
        <v>43275</v>
      </c>
      <c r="F36" s="12"/>
    </row>
    <row r="37" spans="1:6" ht="18.75" x14ac:dyDescent="0.4">
      <c r="A37" s="306"/>
      <c r="B37" s="307"/>
      <c r="C37" s="269" t="s">
        <v>19</v>
      </c>
      <c r="D37" s="269"/>
      <c r="E37" s="9">
        <f>SUM(F26:F35)</f>
        <v>554285</v>
      </c>
      <c r="F37" s="12"/>
    </row>
    <row r="38" spans="1:6" ht="23.25" thickBot="1" x14ac:dyDescent="0.5">
      <c r="A38" s="308"/>
      <c r="B38" s="309"/>
      <c r="C38" s="246" t="s">
        <v>211</v>
      </c>
      <c r="D38" s="246"/>
      <c r="E38" s="130">
        <f>SUM(E37:E37)</f>
        <v>554285</v>
      </c>
      <c r="F38" s="15"/>
    </row>
    <row r="39" spans="1:6" x14ac:dyDescent="0.25">
      <c r="A39" s="304" t="s">
        <v>213</v>
      </c>
      <c r="B39" s="304"/>
      <c r="E39" s="16">
        <v>400000</v>
      </c>
    </row>
    <row r="40" spans="1:6" x14ac:dyDescent="0.25">
      <c r="A40" t="s">
        <v>214</v>
      </c>
      <c r="E40" s="16">
        <f>E38-E39</f>
        <v>154285</v>
      </c>
    </row>
    <row r="41" spans="1:6" x14ac:dyDescent="0.25">
      <c r="A41" t="s">
        <v>215</v>
      </c>
      <c r="E41" s="16">
        <v>150000</v>
      </c>
    </row>
  </sheetData>
  <mergeCells count="14">
    <mergeCell ref="A39:B39"/>
    <mergeCell ref="A24:A25"/>
    <mergeCell ref="B24:D24"/>
    <mergeCell ref="E24:F24"/>
    <mergeCell ref="A36:B38"/>
    <mergeCell ref="C36:D36"/>
    <mergeCell ref="C37:D37"/>
    <mergeCell ref="C38:D38"/>
    <mergeCell ref="A23:F23"/>
    <mergeCell ref="A1:F1"/>
    <mergeCell ref="A2:F2"/>
    <mergeCell ref="A3:F3"/>
    <mergeCell ref="A21:F21"/>
    <mergeCell ref="A22:F22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7DEB-1746-42F0-B31D-788C90DB61C2}">
  <sheetPr>
    <pageSetUpPr fitToPage="1"/>
  </sheetPr>
  <dimension ref="A1:G100"/>
  <sheetViews>
    <sheetView topLeftCell="A74" workbookViewId="0">
      <selection activeCell="F89" sqref="F89"/>
    </sheetView>
  </sheetViews>
  <sheetFormatPr baseColWidth="10" defaultRowHeight="15" x14ac:dyDescent="0.25"/>
  <cols>
    <col min="1" max="1" width="25.7109375" customWidth="1"/>
    <col min="3" max="3" width="12" bestFit="1" customWidth="1"/>
    <col min="4" max="4" width="23.28515625" customWidth="1"/>
    <col min="5" max="5" width="21.85546875" customWidth="1"/>
    <col min="6" max="6" width="14.28515625" customWidth="1"/>
  </cols>
  <sheetData>
    <row r="1" spans="1:6" ht="18.75" x14ac:dyDescent="0.3">
      <c r="A1" s="275" t="s">
        <v>141</v>
      </c>
      <c r="B1" s="276"/>
      <c r="C1" s="276"/>
      <c r="D1" s="276"/>
      <c r="E1" s="276"/>
      <c r="F1" s="276"/>
    </row>
    <row r="2" spans="1:6" ht="18.75" x14ac:dyDescent="0.3">
      <c r="A2" s="277" t="s">
        <v>127</v>
      </c>
      <c r="B2" s="278"/>
      <c r="C2" s="278"/>
      <c r="D2" s="278"/>
      <c r="E2" s="278"/>
      <c r="F2" s="278"/>
    </row>
    <row r="3" spans="1:6" ht="18.75" x14ac:dyDescent="0.3">
      <c r="A3" s="277" t="s">
        <v>143</v>
      </c>
      <c r="B3" s="278"/>
      <c r="C3" s="278"/>
      <c r="D3" s="278"/>
      <c r="E3" s="278"/>
      <c r="F3" s="278"/>
    </row>
    <row r="4" spans="1:6" x14ac:dyDescent="0.25">
      <c r="A4" s="77" t="s">
        <v>3</v>
      </c>
      <c r="B4" s="76">
        <v>12857</v>
      </c>
      <c r="C4" s="76"/>
      <c r="D4" s="76"/>
      <c r="E4" s="76"/>
      <c r="F4" s="78" t="s">
        <v>30</v>
      </c>
    </row>
    <row r="5" spans="1:6" x14ac:dyDescent="0.25">
      <c r="A5" s="79"/>
      <c r="B5" s="31">
        <v>45854</v>
      </c>
      <c r="C5" s="31">
        <v>45858</v>
      </c>
      <c r="D5" s="31"/>
      <c r="E5" s="31"/>
      <c r="F5" s="51">
        <v>45858</v>
      </c>
    </row>
    <row r="6" spans="1:6" x14ac:dyDescent="0.25">
      <c r="A6" s="82" t="s">
        <v>70</v>
      </c>
      <c r="B6" s="29">
        <v>24</v>
      </c>
      <c r="C6" s="35"/>
      <c r="D6" s="35"/>
      <c r="E6" s="35"/>
      <c r="F6" s="34">
        <f t="shared" ref="F6:F15" si="0">SUM(B6:E6)</f>
        <v>24</v>
      </c>
    </row>
    <row r="7" spans="1:6" x14ac:dyDescent="0.25">
      <c r="A7" s="82" t="s">
        <v>71</v>
      </c>
      <c r="B7" s="29">
        <v>18</v>
      </c>
      <c r="C7" s="35"/>
      <c r="D7" s="35"/>
      <c r="E7" s="35"/>
      <c r="F7" s="34">
        <f t="shared" si="0"/>
        <v>18</v>
      </c>
    </row>
    <row r="8" spans="1:6" x14ac:dyDescent="0.25">
      <c r="A8" s="82" t="s">
        <v>136</v>
      </c>
      <c r="B8" s="29">
        <v>6</v>
      </c>
      <c r="C8" s="35"/>
      <c r="D8" s="35"/>
      <c r="E8" s="35"/>
      <c r="F8" s="34">
        <f t="shared" si="0"/>
        <v>6</v>
      </c>
    </row>
    <row r="9" spans="1:6" x14ac:dyDescent="0.25">
      <c r="A9" s="82" t="s">
        <v>54</v>
      </c>
      <c r="B9" s="29">
        <v>16</v>
      </c>
      <c r="C9" s="35"/>
      <c r="D9" s="35"/>
      <c r="E9" s="35"/>
      <c r="F9" s="34">
        <f t="shared" si="0"/>
        <v>16</v>
      </c>
    </row>
    <row r="10" spans="1:6" x14ac:dyDescent="0.25">
      <c r="A10" s="82" t="s">
        <v>138</v>
      </c>
      <c r="B10" s="29">
        <v>16</v>
      </c>
      <c r="C10" s="35"/>
      <c r="D10" s="35"/>
      <c r="E10" s="35"/>
      <c r="F10" s="34">
        <f t="shared" si="0"/>
        <v>16</v>
      </c>
    </row>
    <row r="11" spans="1:6" x14ac:dyDescent="0.25">
      <c r="A11" s="82" t="s">
        <v>53</v>
      </c>
      <c r="B11" s="29">
        <v>500</v>
      </c>
      <c r="C11" s="35"/>
      <c r="D11" s="35"/>
      <c r="E11" s="35"/>
      <c r="F11" s="34">
        <f t="shared" si="0"/>
        <v>500</v>
      </c>
    </row>
    <row r="12" spans="1:6" x14ac:dyDescent="0.25">
      <c r="A12" s="82" t="s">
        <v>72</v>
      </c>
      <c r="B12" s="29">
        <v>16</v>
      </c>
      <c r="C12" s="35"/>
      <c r="D12" s="35"/>
      <c r="E12" s="35"/>
      <c r="F12" s="34">
        <f t="shared" si="0"/>
        <v>16</v>
      </c>
    </row>
    <row r="13" spans="1:6" x14ac:dyDescent="0.25">
      <c r="A13" s="82" t="s">
        <v>73</v>
      </c>
      <c r="B13" s="29">
        <v>32</v>
      </c>
      <c r="C13" s="35"/>
      <c r="D13" s="35"/>
      <c r="E13" s="35"/>
      <c r="F13" s="34">
        <f t="shared" si="0"/>
        <v>32</v>
      </c>
    </row>
    <row r="14" spans="1:6" x14ac:dyDescent="0.25">
      <c r="A14" s="82" t="s">
        <v>77</v>
      </c>
      <c r="B14" s="29">
        <v>2</v>
      </c>
      <c r="C14" s="35"/>
      <c r="D14" s="35"/>
      <c r="E14" s="35"/>
      <c r="F14" s="34">
        <f t="shared" si="0"/>
        <v>2</v>
      </c>
    </row>
    <row r="15" spans="1:6" x14ac:dyDescent="0.25">
      <c r="A15" s="79" t="s">
        <v>38</v>
      </c>
      <c r="B15" s="40">
        <v>0.41666666666666669</v>
      </c>
      <c r="C15" s="42"/>
      <c r="D15" s="42"/>
      <c r="E15" s="42"/>
      <c r="F15" s="55">
        <f t="shared" si="0"/>
        <v>0.41666666666666669</v>
      </c>
    </row>
    <row r="16" spans="1:6" x14ac:dyDescent="0.25">
      <c r="A16" s="79" t="s">
        <v>39</v>
      </c>
      <c r="B16" s="83">
        <v>40000</v>
      </c>
      <c r="C16" s="83">
        <v>400000</v>
      </c>
      <c r="D16" s="83"/>
      <c r="E16" s="83"/>
      <c r="F16" s="55"/>
    </row>
    <row r="18" spans="1:6" ht="15.75" thickBot="1" x14ac:dyDescent="0.3"/>
    <row r="19" spans="1:6" x14ac:dyDescent="0.25">
      <c r="A19" s="258" t="s">
        <v>79</v>
      </c>
      <c r="B19" s="259"/>
      <c r="C19" s="259"/>
      <c r="D19" s="259"/>
      <c r="E19" s="259"/>
      <c r="F19" s="260"/>
    </row>
    <row r="20" spans="1:6" x14ac:dyDescent="0.25">
      <c r="A20" s="108"/>
      <c r="B20" s="109"/>
      <c r="C20" s="109" t="s">
        <v>133</v>
      </c>
      <c r="D20" s="109"/>
      <c r="E20" s="109"/>
      <c r="F20" s="110"/>
    </row>
    <row r="21" spans="1:6" ht="18" x14ac:dyDescent="0.25">
      <c r="A21" s="249" t="s">
        <v>134</v>
      </c>
      <c r="B21" s="250"/>
      <c r="C21" s="250"/>
      <c r="D21" s="250"/>
      <c r="E21" s="250"/>
      <c r="F21" s="251"/>
    </row>
    <row r="22" spans="1:6" x14ac:dyDescent="0.25">
      <c r="A22" s="235" t="s">
        <v>3</v>
      </c>
      <c r="B22" s="236" t="s">
        <v>4</v>
      </c>
      <c r="C22" s="236"/>
      <c r="D22" s="236"/>
      <c r="E22" s="236" t="s">
        <v>5</v>
      </c>
      <c r="F22" s="237"/>
    </row>
    <row r="23" spans="1:6" x14ac:dyDescent="0.25">
      <c r="A23" s="235"/>
      <c r="B23" s="1" t="s">
        <v>6</v>
      </c>
      <c r="C23" s="1" t="s">
        <v>7</v>
      </c>
      <c r="D23" s="1" t="s">
        <v>8</v>
      </c>
      <c r="E23" s="1" t="s">
        <v>9</v>
      </c>
      <c r="F23" s="2" t="s">
        <v>10</v>
      </c>
    </row>
    <row r="24" spans="1:6" x14ac:dyDescent="0.25">
      <c r="A24" s="3" t="s">
        <v>135</v>
      </c>
      <c r="B24" s="4">
        <v>5</v>
      </c>
      <c r="C24" s="5">
        <v>24</v>
      </c>
      <c r="D24" s="6">
        <v>320</v>
      </c>
      <c r="E24" s="7">
        <f>C24*D24</f>
        <v>7680</v>
      </c>
      <c r="F24" s="8">
        <f>B24*E24</f>
        <v>38400</v>
      </c>
    </row>
    <row r="25" spans="1:6" x14ac:dyDescent="0.25">
      <c r="A25" s="3" t="s">
        <v>51</v>
      </c>
      <c r="B25" s="4">
        <v>5</v>
      </c>
      <c r="C25" s="5">
        <v>16</v>
      </c>
      <c r="D25" s="6">
        <v>250</v>
      </c>
      <c r="E25" s="7">
        <f t="shared" ref="E25:E31" si="1">C25*D25</f>
        <v>4000</v>
      </c>
      <c r="F25" s="8">
        <f t="shared" ref="F25:F31" si="2">B25*E25</f>
        <v>20000</v>
      </c>
    </row>
    <row r="26" spans="1:6" x14ac:dyDescent="0.25">
      <c r="A26" s="3" t="s">
        <v>136</v>
      </c>
      <c r="B26" s="4">
        <v>5</v>
      </c>
      <c r="C26" s="5">
        <v>8</v>
      </c>
      <c r="D26" s="6">
        <v>230</v>
      </c>
      <c r="E26" s="7">
        <f t="shared" si="1"/>
        <v>1840</v>
      </c>
      <c r="F26" s="8">
        <f t="shared" si="2"/>
        <v>9200</v>
      </c>
    </row>
    <row r="27" spans="1:6" x14ac:dyDescent="0.25">
      <c r="A27" s="3" t="s">
        <v>53</v>
      </c>
      <c r="B27" s="4">
        <v>5</v>
      </c>
      <c r="C27" s="5">
        <v>500</v>
      </c>
      <c r="D27" s="6">
        <v>25</v>
      </c>
      <c r="E27" s="7">
        <f t="shared" si="1"/>
        <v>12500</v>
      </c>
      <c r="F27" s="8">
        <f t="shared" si="2"/>
        <v>62500</v>
      </c>
    </row>
    <row r="28" spans="1:6" x14ac:dyDescent="0.25">
      <c r="A28" s="3" t="s">
        <v>137</v>
      </c>
      <c r="B28" s="4">
        <v>5</v>
      </c>
      <c r="C28" s="5">
        <v>16</v>
      </c>
      <c r="D28" s="6">
        <v>150</v>
      </c>
      <c r="E28" s="7">
        <f t="shared" si="1"/>
        <v>2400</v>
      </c>
      <c r="F28" s="8">
        <f t="shared" si="2"/>
        <v>12000</v>
      </c>
    </row>
    <row r="29" spans="1:6" x14ac:dyDescent="0.25">
      <c r="A29" s="3" t="s">
        <v>138</v>
      </c>
      <c r="B29" s="4">
        <v>5</v>
      </c>
      <c r="C29" s="5">
        <v>16</v>
      </c>
      <c r="D29" s="6">
        <v>150</v>
      </c>
      <c r="E29" s="7">
        <f t="shared" si="1"/>
        <v>2400</v>
      </c>
      <c r="F29" s="8">
        <f t="shared" si="2"/>
        <v>12000</v>
      </c>
    </row>
    <row r="30" spans="1:6" x14ac:dyDescent="0.25">
      <c r="A30" s="3" t="s">
        <v>72</v>
      </c>
      <c r="B30" s="4">
        <v>5</v>
      </c>
      <c r="C30" s="5">
        <v>16</v>
      </c>
      <c r="D30" s="6">
        <v>60</v>
      </c>
      <c r="E30" s="7">
        <f t="shared" si="1"/>
        <v>960</v>
      </c>
      <c r="F30" s="8">
        <f t="shared" si="2"/>
        <v>4800</v>
      </c>
    </row>
    <row r="31" spans="1:6" x14ac:dyDescent="0.25">
      <c r="A31" s="3" t="s">
        <v>83</v>
      </c>
      <c r="B31" s="4">
        <v>5</v>
      </c>
      <c r="C31" s="5">
        <v>32</v>
      </c>
      <c r="D31" s="6">
        <v>110</v>
      </c>
      <c r="E31" s="7">
        <f t="shared" si="1"/>
        <v>3520</v>
      </c>
      <c r="F31" s="8">
        <f t="shared" si="2"/>
        <v>17600</v>
      </c>
    </row>
    <row r="32" spans="1:6" ht="18.75" x14ac:dyDescent="0.4">
      <c r="A32" s="310" t="s">
        <v>142</v>
      </c>
      <c r="B32" s="311"/>
      <c r="C32" s="269" t="s">
        <v>139</v>
      </c>
      <c r="D32" s="269"/>
      <c r="E32" s="9">
        <f>SUM(E24:E31)</f>
        <v>35300</v>
      </c>
      <c r="F32" s="111"/>
    </row>
    <row r="33" spans="1:6" ht="19.5" thickBot="1" x14ac:dyDescent="0.45">
      <c r="A33" s="312"/>
      <c r="B33" s="313"/>
      <c r="C33" s="246" t="s">
        <v>19</v>
      </c>
      <c r="D33" s="246"/>
      <c r="E33" s="112">
        <f>SUM(F24:F31)</f>
        <v>176500</v>
      </c>
      <c r="F33" s="12"/>
    </row>
    <row r="34" spans="1:6" ht="18.75" x14ac:dyDescent="0.4">
      <c r="A34" s="312"/>
      <c r="B34" s="313"/>
      <c r="C34" s="247" t="s">
        <v>140</v>
      </c>
      <c r="D34" s="248"/>
      <c r="E34" s="113">
        <v>80000</v>
      </c>
      <c r="F34" s="12"/>
    </row>
    <row r="35" spans="1:6" ht="19.5" thickBot="1" x14ac:dyDescent="0.45">
      <c r="A35" s="314"/>
      <c r="B35" s="315"/>
      <c r="C35" s="246" t="s">
        <v>19</v>
      </c>
      <c r="D35" s="246"/>
      <c r="E35" s="114">
        <f>E33+E34</f>
        <v>256500</v>
      </c>
      <c r="F35" s="15"/>
    </row>
    <row r="36" spans="1:6" x14ac:dyDescent="0.25">
      <c r="A36" t="s">
        <v>165</v>
      </c>
      <c r="E36" s="126">
        <v>44378</v>
      </c>
    </row>
    <row r="38" spans="1:6" ht="15.75" thickBot="1" x14ac:dyDescent="0.3"/>
    <row r="39" spans="1:6" ht="18.75" x14ac:dyDescent="0.3">
      <c r="A39" s="275" t="s">
        <v>141</v>
      </c>
      <c r="B39" s="276"/>
      <c r="C39" s="276"/>
      <c r="D39" s="276"/>
      <c r="E39" s="282"/>
    </row>
    <row r="40" spans="1:6" ht="18.75" x14ac:dyDescent="0.3">
      <c r="A40" s="277" t="s">
        <v>127</v>
      </c>
      <c r="B40" s="278"/>
      <c r="C40" s="278"/>
      <c r="D40" s="278"/>
      <c r="E40" s="283"/>
    </row>
    <row r="41" spans="1:6" ht="18.75" x14ac:dyDescent="0.3">
      <c r="A41" s="277" t="s">
        <v>231</v>
      </c>
      <c r="B41" s="278"/>
      <c r="C41" s="278"/>
      <c r="D41" s="278"/>
      <c r="E41" s="283"/>
    </row>
    <row r="42" spans="1:6" x14ac:dyDescent="0.25">
      <c r="A42" s="132" t="s">
        <v>3</v>
      </c>
      <c r="B42" s="76" t="s">
        <v>30</v>
      </c>
      <c r="C42" s="76"/>
      <c r="D42" s="76"/>
      <c r="E42" s="133" t="s">
        <v>30</v>
      </c>
    </row>
    <row r="43" spans="1:6" x14ac:dyDescent="0.25">
      <c r="A43" s="134"/>
      <c r="B43" s="31">
        <v>45859</v>
      </c>
      <c r="C43" s="31"/>
      <c r="D43" s="31"/>
      <c r="E43" s="93">
        <v>45866</v>
      </c>
    </row>
    <row r="44" spans="1:6" x14ac:dyDescent="0.25">
      <c r="A44" s="137" t="s">
        <v>70</v>
      </c>
      <c r="B44" s="29">
        <v>24</v>
      </c>
      <c r="C44" s="35"/>
      <c r="D44" s="35"/>
      <c r="E44" s="136">
        <f t="shared" ref="E44:E53" si="3">SUM(B44:D44)</f>
        <v>24</v>
      </c>
    </row>
    <row r="45" spans="1:6" x14ac:dyDescent="0.25">
      <c r="A45" s="137" t="s">
        <v>71</v>
      </c>
      <c r="B45" s="29">
        <v>18</v>
      </c>
      <c r="C45" s="35"/>
      <c r="D45" s="35"/>
      <c r="E45" s="136">
        <f t="shared" si="3"/>
        <v>18</v>
      </c>
    </row>
    <row r="46" spans="1:6" x14ac:dyDescent="0.25">
      <c r="A46" s="137" t="s">
        <v>136</v>
      </c>
      <c r="B46" s="29">
        <v>6</v>
      </c>
      <c r="C46" s="35"/>
      <c r="D46" s="35"/>
      <c r="E46" s="136">
        <f t="shared" si="3"/>
        <v>6</v>
      </c>
    </row>
    <row r="47" spans="1:6" x14ac:dyDescent="0.25">
      <c r="A47" s="137" t="s">
        <v>54</v>
      </c>
      <c r="B47" s="29">
        <v>16</v>
      </c>
      <c r="C47" s="35"/>
      <c r="D47" s="35"/>
      <c r="E47" s="136">
        <f t="shared" si="3"/>
        <v>16</v>
      </c>
    </row>
    <row r="48" spans="1:6" x14ac:dyDescent="0.25">
      <c r="A48" s="137" t="s">
        <v>138</v>
      </c>
      <c r="B48" s="29">
        <v>16</v>
      </c>
      <c r="C48" s="35"/>
      <c r="D48" s="35"/>
      <c r="E48" s="136">
        <f t="shared" si="3"/>
        <v>16</v>
      </c>
    </row>
    <row r="49" spans="1:6" x14ac:dyDescent="0.25">
      <c r="A49" s="137" t="s">
        <v>53</v>
      </c>
      <c r="B49" s="29">
        <v>500</v>
      </c>
      <c r="C49" s="35"/>
      <c r="D49" s="35"/>
      <c r="E49" s="136">
        <f t="shared" si="3"/>
        <v>500</v>
      </c>
    </row>
    <row r="50" spans="1:6" x14ac:dyDescent="0.25">
      <c r="A50" s="137" t="s">
        <v>72</v>
      </c>
      <c r="B50" s="29">
        <v>16</v>
      </c>
      <c r="C50" s="35"/>
      <c r="D50" s="35"/>
      <c r="E50" s="136">
        <f t="shared" si="3"/>
        <v>16</v>
      </c>
    </row>
    <row r="51" spans="1:6" x14ac:dyDescent="0.25">
      <c r="A51" s="137" t="s">
        <v>73</v>
      </c>
      <c r="B51" s="29">
        <v>32</v>
      </c>
      <c r="C51" s="35"/>
      <c r="D51" s="35"/>
      <c r="E51" s="136">
        <f t="shared" si="3"/>
        <v>32</v>
      </c>
    </row>
    <row r="52" spans="1:6" x14ac:dyDescent="0.25">
      <c r="A52" s="137" t="s">
        <v>77</v>
      </c>
      <c r="B52" s="29">
        <v>2</v>
      </c>
      <c r="C52" s="35"/>
      <c r="D52" s="35"/>
      <c r="E52" s="136">
        <f t="shared" si="3"/>
        <v>2</v>
      </c>
    </row>
    <row r="53" spans="1:6" x14ac:dyDescent="0.25">
      <c r="A53" s="134" t="s">
        <v>38</v>
      </c>
      <c r="B53" s="40">
        <v>0.41666666666666669</v>
      </c>
      <c r="C53" s="42"/>
      <c r="D53" s="42"/>
      <c r="E53" s="138">
        <f t="shared" si="3"/>
        <v>0.41666666666666669</v>
      </c>
    </row>
    <row r="54" spans="1:6" ht="15.75" thickBot="1" x14ac:dyDescent="0.3">
      <c r="A54" s="139" t="s">
        <v>39</v>
      </c>
      <c r="B54" s="104"/>
      <c r="C54" s="104"/>
      <c r="D54" s="104"/>
      <c r="E54" s="140"/>
    </row>
    <row r="55" spans="1:6" ht="15.75" thickBot="1" x14ac:dyDescent="0.3"/>
    <row r="56" spans="1:6" x14ac:dyDescent="0.25">
      <c r="A56" s="258" t="s">
        <v>79</v>
      </c>
      <c r="B56" s="259"/>
      <c r="C56" s="259"/>
      <c r="D56" s="259"/>
      <c r="E56" s="259"/>
      <c r="F56" s="260"/>
    </row>
    <row r="57" spans="1:6" x14ac:dyDescent="0.25">
      <c r="A57" s="108"/>
      <c r="B57" s="109"/>
      <c r="C57" s="109" t="s">
        <v>133</v>
      </c>
      <c r="D57" s="109"/>
      <c r="E57" s="109"/>
      <c r="F57" s="110"/>
    </row>
    <row r="58" spans="1:6" ht="18" x14ac:dyDescent="0.25">
      <c r="A58" s="249" t="s">
        <v>134</v>
      </c>
      <c r="B58" s="250"/>
      <c r="C58" s="250"/>
      <c r="D58" s="250"/>
      <c r="E58" s="250"/>
      <c r="F58" s="251"/>
    </row>
    <row r="59" spans="1:6" x14ac:dyDescent="0.25">
      <c r="A59" s="235" t="s">
        <v>3</v>
      </c>
      <c r="B59" s="236" t="s">
        <v>4</v>
      </c>
      <c r="C59" s="236"/>
      <c r="D59" s="236"/>
      <c r="E59" s="236" t="s">
        <v>5</v>
      </c>
      <c r="F59" s="237"/>
    </row>
    <row r="60" spans="1:6" x14ac:dyDescent="0.25">
      <c r="A60" s="235"/>
      <c r="B60" s="1" t="s">
        <v>6</v>
      </c>
      <c r="C60" s="1" t="s">
        <v>7</v>
      </c>
      <c r="D60" s="1" t="s">
        <v>8</v>
      </c>
      <c r="E60" s="1" t="s">
        <v>9</v>
      </c>
      <c r="F60" s="2" t="s">
        <v>10</v>
      </c>
    </row>
    <row r="61" spans="1:6" x14ac:dyDescent="0.25">
      <c r="A61" s="3" t="s">
        <v>135</v>
      </c>
      <c r="B61" s="4">
        <v>8</v>
      </c>
      <c r="C61" s="5">
        <v>24</v>
      </c>
      <c r="D61" s="6">
        <v>320</v>
      </c>
      <c r="E61" s="7">
        <f>C61*D61</f>
        <v>7680</v>
      </c>
      <c r="F61" s="8">
        <f>B61*E61</f>
        <v>61440</v>
      </c>
    </row>
    <row r="62" spans="1:6" x14ac:dyDescent="0.25">
      <c r="A62" s="3" t="s">
        <v>51</v>
      </c>
      <c r="B62" s="4">
        <v>8</v>
      </c>
      <c r="C62" s="5">
        <v>16</v>
      </c>
      <c r="D62" s="6">
        <v>250</v>
      </c>
      <c r="E62" s="7">
        <f t="shared" ref="E62:E68" si="4">C62*D62</f>
        <v>4000</v>
      </c>
      <c r="F62" s="8">
        <f t="shared" ref="F62:F68" si="5">B62*E62</f>
        <v>32000</v>
      </c>
    </row>
    <row r="63" spans="1:6" x14ac:dyDescent="0.25">
      <c r="A63" s="3" t="s">
        <v>136</v>
      </c>
      <c r="B63" s="4">
        <v>8</v>
      </c>
      <c r="C63" s="5">
        <v>8</v>
      </c>
      <c r="D63" s="6">
        <v>230</v>
      </c>
      <c r="E63" s="7">
        <f t="shared" si="4"/>
        <v>1840</v>
      </c>
      <c r="F63" s="8">
        <f t="shared" si="5"/>
        <v>14720</v>
      </c>
    </row>
    <row r="64" spans="1:6" x14ac:dyDescent="0.25">
      <c r="A64" s="3" t="s">
        <v>53</v>
      </c>
      <c r="B64" s="4">
        <v>8</v>
      </c>
      <c r="C64" s="5">
        <v>500</v>
      </c>
      <c r="D64" s="6">
        <v>25</v>
      </c>
      <c r="E64" s="7">
        <f t="shared" si="4"/>
        <v>12500</v>
      </c>
      <c r="F64" s="8">
        <f t="shared" si="5"/>
        <v>100000</v>
      </c>
    </row>
    <row r="65" spans="1:7" x14ac:dyDescent="0.25">
      <c r="A65" s="3" t="s">
        <v>137</v>
      </c>
      <c r="B65" s="4">
        <v>8</v>
      </c>
      <c r="C65" s="5">
        <v>16</v>
      </c>
      <c r="D65" s="6">
        <v>150</v>
      </c>
      <c r="E65" s="7">
        <f t="shared" si="4"/>
        <v>2400</v>
      </c>
      <c r="F65" s="8">
        <f t="shared" si="5"/>
        <v>19200</v>
      </c>
    </row>
    <row r="66" spans="1:7" x14ac:dyDescent="0.25">
      <c r="A66" s="3" t="s">
        <v>138</v>
      </c>
      <c r="B66" s="4">
        <v>8</v>
      </c>
      <c r="C66" s="5">
        <v>16</v>
      </c>
      <c r="D66" s="6">
        <v>150</v>
      </c>
      <c r="E66" s="7">
        <f t="shared" si="4"/>
        <v>2400</v>
      </c>
      <c r="F66" s="8">
        <f t="shared" si="5"/>
        <v>19200</v>
      </c>
    </row>
    <row r="67" spans="1:7" x14ac:dyDescent="0.25">
      <c r="A67" s="3" t="s">
        <v>72</v>
      </c>
      <c r="B67" s="4">
        <v>8</v>
      </c>
      <c r="C67" s="5">
        <v>16</v>
      </c>
      <c r="D67" s="6">
        <v>60</v>
      </c>
      <c r="E67" s="7">
        <f t="shared" si="4"/>
        <v>960</v>
      </c>
      <c r="F67" s="8">
        <f t="shared" si="5"/>
        <v>7680</v>
      </c>
    </row>
    <row r="68" spans="1:7" x14ac:dyDescent="0.25">
      <c r="A68" s="3" t="s">
        <v>83</v>
      </c>
      <c r="B68" s="4">
        <v>8</v>
      </c>
      <c r="C68" s="5">
        <v>32</v>
      </c>
      <c r="D68" s="6">
        <v>110</v>
      </c>
      <c r="E68" s="7">
        <f t="shared" si="4"/>
        <v>3520</v>
      </c>
      <c r="F68" s="8">
        <f t="shared" si="5"/>
        <v>28160</v>
      </c>
    </row>
    <row r="69" spans="1:7" ht="18.75" x14ac:dyDescent="0.4">
      <c r="A69" s="310" t="s">
        <v>232</v>
      </c>
      <c r="B69" s="311"/>
      <c r="C69" s="269" t="s">
        <v>139</v>
      </c>
      <c r="D69" s="269"/>
      <c r="E69" s="9">
        <f>SUM(E61:E68)</f>
        <v>35300</v>
      </c>
      <c r="F69" s="111"/>
    </row>
    <row r="70" spans="1:7" ht="19.5" thickBot="1" x14ac:dyDescent="0.45">
      <c r="A70" s="314"/>
      <c r="B70" s="315"/>
      <c r="C70" s="246" t="s">
        <v>19</v>
      </c>
      <c r="D70" s="246"/>
      <c r="E70" s="112">
        <f>SUM(F61:F68)</f>
        <v>282400</v>
      </c>
      <c r="F70" s="15"/>
    </row>
    <row r="72" spans="1:7" ht="15.75" thickBot="1" x14ac:dyDescent="0.3"/>
    <row r="73" spans="1:7" ht="18.75" x14ac:dyDescent="0.3">
      <c r="A73" s="275" t="s">
        <v>141</v>
      </c>
      <c r="B73" s="276"/>
      <c r="C73" s="276"/>
      <c r="D73" s="276"/>
      <c r="E73" s="276"/>
      <c r="F73" s="276"/>
      <c r="G73" s="282"/>
    </row>
    <row r="74" spans="1:7" ht="18.75" x14ac:dyDescent="0.3">
      <c r="A74" s="277" t="s">
        <v>127</v>
      </c>
      <c r="B74" s="278"/>
      <c r="C74" s="278"/>
      <c r="D74" s="278"/>
      <c r="E74" s="278"/>
      <c r="F74" s="278"/>
      <c r="G74" s="283"/>
    </row>
    <row r="75" spans="1:7" ht="18.75" x14ac:dyDescent="0.3">
      <c r="A75" s="277" t="s">
        <v>69</v>
      </c>
      <c r="B75" s="278"/>
      <c r="C75" s="278"/>
      <c r="D75" s="278"/>
      <c r="E75" s="278"/>
      <c r="F75" s="278"/>
      <c r="G75" s="278"/>
    </row>
    <row r="76" spans="1:7" x14ac:dyDescent="0.25">
      <c r="A76" s="77" t="s">
        <v>3</v>
      </c>
      <c r="B76" s="76">
        <v>12857</v>
      </c>
      <c r="C76" s="76">
        <v>12897</v>
      </c>
      <c r="D76" s="76">
        <v>11691</v>
      </c>
      <c r="E76" s="76"/>
      <c r="F76" s="76"/>
      <c r="G76" s="78" t="s">
        <v>30</v>
      </c>
    </row>
    <row r="77" spans="1:7" x14ac:dyDescent="0.25">
      <c r="A77" s="79"/>
      <c r="B77" s="31">
        <v>45854</v>
      </c>
      <c r="C77" s="31">
        <v>45867</v>
      </c>
      <c r="D77" s="31">
        <v>45874</v>
      </c>
      <c r="E77" s="31"/>
      <c r="F77" s="31"/>
      <c r="G77" s="51">
        <v>45869</v>
      </c>
    </row>
    <row r="78" spans="1:7" x14ac:dyDescent="0.25">
      <c r="A78" s="82" t="s">
        <v>70</v>
      </c>
      <c r="B78" s="29">
        <v>24</v>
      </c>
      <c r="C78" s="34">
        <v>2</v>
      </c>
      <c r="D78" s="232">
        <v>-25</v>
      </c>
      <c r="E78" s="35"/>
      <c r="F78" s="35"/>
      <c r="G78" s="34">
        <f t="shared" ref="G78:G100" si="6">SUM(B78:F78)</f>
        <v>1</v>
      </c>
    </row>
    <row r="79" spans="1:7" x14ac:dyDescent="0.25">
      <c r="A79" s="82" t="s">
        <v>71</v>
      </c>
      <c r="B79" s="29">
        <v>18</v>
      </c>
      <c r="C79" s="35"/>
      <c r="D79" s="232">
        <v>-17</v>
      </c>
      <c r="E79" s="35"/>
      <c r="F79" s="35"/>
      <c r="G79" s="34">
        <f t="shared" si="6"/>
        <v>1</v>
      </c>
    </row>
    <row r="80" spans="1:7" x14ac:dyDescent="0.25">
      <c r="A80" s="82" t="s">
        <v>136</v>
      </c>
      <c r="B80" s="29">
        <v>6</v>
      </c>
      <c r="C80" s="35"/>
      <c r="D80" s="35"/>
      <c r="E80" s="35"/>
      <c r="F80" s="35"/>
      <c r="G80" s="34">
        <f t="shared" si="6"/>
        <v>6</v>
      </c>
    </row>
    <row r="81" spans="1:7" x14ac:dyDescent="0.25">
      <c r="A81" s="82" t="s">
        <v>424</v>
      </c>
      <c r="B81" s="29"/>
      <c r="C81" s="34">
        <v>2</v>
      </c>
      <c r="D81" s="35"/>
      <c r="E81" s="35"/>
      <c r="F81" s="35"/>
      <c r="G81" s="34">
        <f t="shared" si="6"/>
        <v>2</v>
      </c>
    </row>
    <row r="82" spans="1:7" x14ac:dyDescent="0.25">
      <c r="A82" s="82" t="s">
        <v>173</v>
      </c>
      <c r="B82" s="29"/>
      <c r="C82" s="34">
        <v>3</v>
      </c>
      <c r="D82" s="35"/>
      <c r="E82" s="35"/>
      <c r="F82" s="35"/>
      <c r="G82" s="34">
        <f t="shared" si="6"/>
        <v>3</v>
      </c>
    </row>
    <row r="83" spans="1:7" x14ac:dyDescent="0.25">
      <c r="A83" s="82" t="s">
        <v>425</v>
      </c>
      <c r="B83" s="29"/>
      <c r="C83" s="34">
        <v>24</v>
      </c>
      <c r="D83" s="232">
        <v>-17</v>
      </c>
      <c r="E83" s="35"/>
      <c r="F83" s="35"/>
      <c r="G83" s="34">
        <f t="shared" si="6"/>
        <v>7</v>
      </c>
    </row>
    <row r="84" spans="1:7" x14ac:dyDescent="0.25">
      <c r="A84" s="82" t="s">
        <v>426</v>
      </c>
      <c r="B84" s="29"/>
      <c r="C84" s="34">
        <v>7</v>
      </c>
      <c r="D84" s="35"/>
      <c r="E84" s="35"/>
      <c r="F84" s="35"/>
      <c r="G84" s="34">
        <f t="shared" si="6"/>
        <v>7</v>
      </c>
    </row>
    <row r="85" spans="1:7" x14ac:dyDescent="0.25">
      <c r="A85" s="82" t="s">
        <v>54</v>
      </c>
      <c r="B85" s="29">
        <v>16</v>
      </c>
      <c r="C85" s="34">
        <v>5</v>
      </c>
      <c r="D85" s="35"/>
      <c r="E85" s="35"/>
      <c r="F85" s="35"/>
      <c r="G85" s="34">
        <f t="shared" si="6"/>
        <v>21</v>
      </c>
    </row>
    <row r="86" spans="1:7" x14ac:dyDescent="0.25">
      <c r="A86" s="82" t="s">
        <v>138</v>
      </c>
      <c r="B86" s="29">
        <v>16</v>
      </c>
      <c r="C86" s="34">
        <v>5</v>
      </c>
      <c r="D86" s="35"/>
      <c r="E86" s="35"/>
      <c r="F86" s="35"/>
      <c r="G86" s="34">
        <f>SUM(B86:F86)</f>
        <v>21</v>
      </c>
    </row>
    <row r="87" spans="1:7" x14ac:dyDescent="0.25">
      <c r="A87" s="82" t="s">
        <v>53</v>
      </c>
      <c r="B87" s="29">
        <v>500</v>
      </c>
      <c r="C87" s="34">
        <v>64</v>
      </c>
      <c r="D87" s="35"/>
      <c r="E87" s="35"/>
      <c r="F87" s="35"/>
      <c r="G87" s="34">
        <f>SUM(B87:F87)</f>
        <v>564</v>
      </c>
    </row>
    <row r="88" spans="1:7" x14ac:dyDescent="0.25">
      <c r="A88" s="82" t="s">
        <v>72</v>
      </c>
      <c r="B88" s="29">
        <v>16</v>
      </c>
      <c r="C88" s="35">
        <v>-16</v>
      </c>
      <c r="D88" s="35"/>
      <c r="E88" s="35"/>
      <c r="F88" s="35"/>
      <c r="G88" s="34">
        <f t="shared" si="6"/>
        <v>0</v>
      </c>
    </row>
    <row r="89" spans="1:7" x14ac:dyDescent="0.25">
      <c r="A89" s="82" t="s">
        <v>73</v>
      </c>
      <c r="B89" s="29">
        <v>32</v>
      </c>
      <c r="C89" s="35">
        <v>-32</v>
      </c>
      <c r="D89" s="35"/>
      <c r="E89" s="35"/>
      <c r="F89" s="35"/>
      <c r="G89" s="34">
        <f t="shared" si="6"/>
        <v>0</v>
      </c>
    </row>
    <row r="90" spans="1:7" x14ac:dyDescent="0.25">
      <c r="A90" s="82" t="s">
        <v>427</v>
      </c>
      <c r="B90" s="29"/>
      <c r="C90" s="34">
        <v>5</v>
      </c>
      <c r="D90" s="232">
        <v>-5</v>
      </c>
      <c r="E90" s="35"/>
      <c r="F90" s="35"/>
      <c r="G90" s="34">
        <f>SUM(B90:F90)</f>
        <v>0</v>
      </c>
    </row>
    <row r="91" spans="1:7" x14ac:dyDescent="0.25">
      <c r="A91" s="82" t="s">
        <v>428</v>
      </c>
      <c r="B91" s="29"/>
      <c r="C91" s="34">
        <v>5</v>
      </c>
      <c r="D91" s="232">
        <v>-4</v>
      </c>
      <c r="E91" s="35"/>
      <c r="F91" s="35"/>
      <c r="G91" s="34">
        <f t="shared" ref="G91:G95" si="7">SUM(B91:F91)</f>
        <v>1</v>
      </c>
    </row>
    <row r="92" spans="1:7" x14ac:dyDescent="0.25">
      <c r="A92" s="82" t="s">
        <v>429</v>
      </c>
      <c r="B92" s="29"/>
      <c r="C92" s="34">
        <v>4</v>
      </c>
      <c r="D92" s="232">
        <v>-4</v>
      </c>
      <c r="E92" s="35"/>
      <c r="F92" s="35"/>
      <c r="G92" s="34">
        <f t="shared" si="7"/>
        <v>0</v>
      </c>
    </row>
    <row r="93" spans="1:7" x14ac:dyDescent="0.25">
      <c r="A93" s="82" t="s">
        <v>430</v>
      </c>
      <c r="B93" s="29"/>
      <c r="C93" s="34">
        <v>6</v>
      </c>
      <c r="D93" s="232">
        <v>-6</v>
      </c>
      <c r="E93" s="35"/>
      <c r="F93" s="35"/>
      <c r="G93" s="34">
        <f t="shared" si="7"/>
        <v>0</v>
      </c>
    </row>
    <row r="94" spans="1:7" x14ac:dyDescent="0.25">
      <c r="A94" s="82" t="s">
        <v>431</v>
      </c>
      <c r="B94" s="29"/>
      <c r="C94" s="34">
        <v>30</v>
      </c>
      <c r="D94" s="35"/>
      <c r="E94" s="35"/>
      <c r="F94" s="35"/>
      <c r="G94" s="34">
        <f t="shared" si="7"/>
        <v>30</v>
      </c>
    </row>
    <row r="95" spans="1:7" x14ac:dyDescent="0.25">
      <c r="A95" s="82" t="s">
        <v>432</v>
      </c>
      <c r="B95" s="29"/>
      <c r="C95" s="34">
        <v>60</v>
      </c>
      <c r="D95" s="35"/>
      <c r="E95" s="35"/>
      <c r="F95" s="35"/>
      <c r="G95" s="34">
        <f t="shared" si="7"/>
        <v>60</v>
      </c>
    </row>
    <row r="96" spans="1:7" x14ac:dyDescent="0.25">
      <c r="A96" s="82" t="s">
        <v>77</v>
      </c>
      <c r="B96" s="29">
        <v>2</v>
      </c>
      <c r="C96" s="34">
        <v>1</v>
      </c>
      <c r="D96" s="35"/>
      <c r="E96" s="35"/>
      <c r="F96" s="35"/>
      <c r="G96" s="34">
        <f t="shared" si="6"/>
        <v>3</v>
      </c>
    </row>
    <row r="97" spans="1:7" x14ac:dyDescent="0.25">
      <c r="A97" s="82" t="s">
        <v>433</v>
      </c>
      <c r="B97" s="29"/>
      <c r="C97" s="34">
        <v>10</v>
      </c>
      <c r="D97" s="35"/>
      <c r="E97" s="35"/>
      <c r="F97" s="35"/>
      <c r="G97" s="34">
        <f t="shared" si="6"/>
        <v>10</v>
      </c>
    </row>
    <row r="98" spans="1:7" x14ac:dyDescent="0.25">
      <c r="A98" s="82" t="s">
        <v>191</v>
      </c>
      <c r="B98" s="29"/>
      <c r="C98" s="34">
        <v>84</v>
      </c>
      <c r="D98" s="35"/>
      <c r="E98" s="35"/>
      <c r="F98" s="35"/>
      <c r="G98" s="34">
        <f t="shared" si="6"/>
        <v>84</v>
      </c>
    </row>
    <row r="99" spans="1:7" x14ac:dyDescent="0.25">
      <c r="A99" s="79" t="s">
        <v>38</v>
      </c>
      <c r="B99" s="40">
        <v>0.41666666666666669</v>
      </c>
      <c r="C99" s="42">
        <v>0.375</v>
      </c>
      <c r="D99" s="42"/>
      <c r="E99" s="42"/>
      <c r="F99" s="42"/>
      <c r="G99" s="34"/>
    </row>
    <row r="100" spans="1:7" x14ac:dyDescent="0.25">
      <c r="A100" s="79" t="s">
        <v>39</v>
      </c>
      <c r="B100" s="83">
        <v>40000</v>
      </c>
      <c r="C100" s="83">
        <v>40000</v>
      </c>
      <c r="D100" s="83"/>
      <c r="E100" s="83"/>
      <c r="F100" s="83"/>
      <c r="G100" s="180">
        <f t="shared" si="6"/>
        <v>80000</v>
      </c>
    </row>
  </sheetData>
  <mergeCells count="27">
    <mergeCell ref="A73:G73"/>
    <mergeCell ref="A74:G74"/>
    <mergeCell ref="A75:G75"/>
    <mergeCell ref="A69:B70"/>
    <mergeCell ref="C69:D69"/>
    <mergeCell ref="C70:D70"/>
    <mergeCell ref="A56:F56"/>
    <mergeCell ref="A58:F58"/>
    <mergeCell ref="A59:A60"/>
    <mergeCell ref="B59:D59"/>
    <mergeCell ref="E59:F59"/>
    <mergeCell ref="A39:E39"/>
    <mergeCell ref="A40:E40"/>
    <mergeCell ref="A41:E41"/>
    <mergeCell ref="A1:F1"/>
    <mergeCell ref="A2:F2"/>
    <mergeCell ref="A3:F3"/>
    <mergeCell ref="A19:F19"/>
    <mergeCell ref="A21:F21"/>
    <mergeCell ref="A22:A23"/>
    <mergeCell ref="B22:D22"/>
    <mergeCell ref="E22:F22"/>
    <mergeCell ref="A32:B35"/>
    <mergeCell ref="C32:D32"/>
    <mergeCell ref="C33:D33"/>
    <mergeCell ref="C34:D34"/>
    <mergeCell ref="C35:D35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7042-5C4B-48E1-9B20-0AA8645A8D34}">
  <dimension ref="A1:H50"/>
  <sheetViews>
    <sheetView topLeftCell="A40" workbookViewId="0">
      <selection activeCell="A51" sqref="A51"/>
    </sheetView>
  </sheetViews>
  <sheetFormatPr baseColWidth="10" defaultRowHeight="15" x14ac:dyDescent="0.25"/>
  <cols>
    <col min="1" max="1" width="29" bestFit="1" customWidth="1"/>
    <col min="4" max="6" width="15.85546875" customWidth="1"/>
    <col min="7" max="7" width="15.28515625" customWidth="1"/>
  </cols>
  <sheetData>
    <row r="1" spans="1:8" ht="18.75" x14ac:dyDescent="0.3">
      <c r="A1" s="275" t="s">
        <v>144</v>
      </c>
      <c r="B1" s="276"/>
      <c r="C1" s="276"/>
      <c r="D1" s="147"/>
      <c r="E1" s="147"/>
      <c r="F1" s="147"/>
    </row>
    <row r="2" spans="1:8" ht="18.75" x14ac:dyDescent="0.3">
      <c r="A2" s="277" t="s">
        <v>145</v>
      </c>
      <c r="B2" s="278"/>
      <c r="C2" s="278"/>
      <c r="D2" s="147"/>
      <c r="E2" s="147"/>
      <c r="F2" s="147"/>
    </row>
    <row r="3" spans="1:8" ht="18.75" x14ac:dyDescent="0.3">
      <c r="A3" s="277" t="s">
        <v>125</v>
      </c>
      <c r="B3" s="278"/>
      <c r="C3" s="278"/>
      <c r="D3" s="147"/>
      <c r="E3" s="147"/>
      <c r="F3" s="147"/>
    </row>
    <row r="4" spans="1:8" x14ac:dyDescent="0.25">
      <c r="A4" s="77" t="s">
        <v>3</v>
      </c>
      <c r="B4" s="78" t="s">
        <v>50</v>
      </c>
      <c r="C4" s="76">
        <v>11628</v>
      </c>
      <c r="D4" s="148"/>
      <c r="E4" s="148"/>
      <c r="F4" s="148"/>
    </row>
    <row r="5" spans="1:8" x14ac:dyDescent="0.25">
      <c r="A5" s="79"/>
      <c r="B5" s="51">
        <v>45838</v>
      </c>
      <c r="C5" s="31">
        <v>45847</v>
      </c>
      <c r="D5" s="149"/>
      <c r="E5" s="149"/>
      <c r="F5" s="149"/>
    </row>
    <row r="6" spans="1:8" x14ac:dyDescent="0.25">
      <c r="A6" s="80" t="s">
        <v>130</v>
      </c>
      <c r="B6" s="29">
        <v>20</v>
      </c>
      <c r="C6" s="35">
        <v>-20</v>
      </c>
      <c r="D6" s="150"/>
      <c r="E6" s="150"/>
      <c r="F6" s="150"/>
    </row>
    <row r="7" spans="1:8" x14ac:dyDescent="0.25">
      <c r="A7" s="82" t="s">
        <v>146</v>
      </c>
      <c r="B7" s="29">
        <v>12</v>
      </c>
      <c r="C7" s="35"/>
      <c r="D7" s="150"/>
      <c r="E7" s="150"/>
      <c r="F7" s="150"/>
    </row>
    <row r="8" spans="1:8" x14ac:dyDescent="0.25">
      <c r="A8" s="82" t="s">
        <v>147</v>
      </c>
      <c r="B8" s="29">
        <v>25</v>
      </c>
      <c r="C8" s="35"/>
      <c r="D8" s="150"/>
      <c r="E8" s="150"/>
      <c r="F8" s="150"/>
    </row>
    <row r="9" spans="1:8" x14ac:dyDescent="0.25">
      <c r="A9" s="82" t="s">
        <v>148</v>
      </c>
      <c r="B9" s="29">
        <v>8</v>
      </c>
      <c r="C9" s="35"/>
      <c r="D9" s="150"/>
      <c r="E9" s="150"/>
      <c r="F9" s="150"/>
    </row>
    <row r="10" spans="1:8" x14ac:dyDescent="0.25">
      <c r="A10" s="82" t="s">
        <v>149</v>
      </c>
      <c r="B10" s="29"/>
      <c r="C10" s="35"/>
      <c r="D10" s="150"/>
      <c r="E10" s="150"/>
      <c r="F10" s="150"/>
    </row>
    <row r="11" spans="1:8" x14ac:dyDescent="0.25">
      <c r="A11" s="82" t="s">
        <v>150</v>
      </c>
      <c r="B11" s="29"/>
      <c r="C11" s="35"/>
      <c r="D11" s="150"/>
      <c r="E11" s="150"/>
      <c r="F11" s="150"/>
    </row>
    <row r="12" spans="1:8" x14ac:dyDescent="0.25">
      <c r="A12" s="79" t="s">
        <v>38</v>
      </c>
      <c r="B12" s="40"/>
      <c r="C12" s="42">
        <v>0.44791666666666669</v>
      </c>
      <c r="D12" s="151"/>
      <c r="E12" s="151"/>
      <c r="F12" s="151"/>
    </row>
    <row r="13" spans="1:8" x14ac:dyDescent="0.25">
      <c r="A13" s="79" t="s">
        <v>39</v>
      </c>
      <c r="B13" s="83"/>
      <c r="C13" s="83" t="s">
        <v>151</v>
      </c>
      <c r="D13" s="152"/>
      <c r="E13" s="152"/>
      <c r="F13" s="152"/>
    </row>
    <row r="15" spans="1:8" ht="18.75" x14ac:dyDescent="0.25">
      <c r="A15" s="323" t="s">
        <v>153</v>
      </c>
      <c r="B15" s="324"/>
      <c r="C15" s="324"/>
      <c r="D15" s="324"/>
      <c r="E15" s="324"/>
      <c r="F15" s="324"/>
      <c r="G15" s="324"/>
      <c r="H15" s="324"/>
    </row>
    <row r="16" spans="1:8" ht="18.75" x14ac:dyDescent="0.25">
      <c r="A16" s="323" t="s">
        <v>154</v>
      </c>
      <c r="B16" s="324"/>
      <c r="C16" s="324"/>
      <c r="D16" s="324"/>
      <c r="E16" s="324"/>
      <c r="F16" s="324"/>
      <c r="G16" s="324"/>
      <c r="H16" s="324"/>
    </row>
    <row r="17" spans="1:8" ht="18.75" x14ac:dyDescent="0.25">
      <c r="A17" s="323" t="s">
        <v>155</v>
      </c>
      <c r="B17" s="324"/>
      <c r="C17" s="324"/>
      <c r="D17" s="324"/>
      <c r="E17" s="324"/>
      <c r="F17" s="324"/>
      <c r="G17" s="324"/>
      <c r="H17" s="324"/>
    </row>
    <row r="18" spans="1:8" ht="18.75" x14ac:dyDescent="0.25">
      <c r="A18" s="325" t="s">
        <v>163</v>
      </c>
      <c r="B18" s="326"/>
      <c r="C18" s="326"/>
      <c r="D18" s="326"/>
      <c r="E18" s="326"/>
      <c r="F18" s="326"/>
      <c r="G18" s="326"/>
      <c r="H18" s="326"/>
    </row>
    <row r="19" spans="1:8" x14ac:dyDescent="0.25">
      <c r="A19" s="316" t="s">
        <v>3</v>
      </c>
      <c r="B19" s="318" t="s">
        <v>4</v>
      </c>
      <c r="C19" s="319"/>
      <c r="D19" s="318" t="s">
        <v>113</v>
      </c>
      <c r="E19" s="322"/>
      <c r="F19" s="322"/>
      <c r="G19" s="319"/>
      <c r="H19" s="115" t="s">
        <v>157</v>
      </c>
    </row>
    <row r="20" spans="1:8" x14ac:dyDescent="0.25">
      <c r="A20" s="317"/>
      <c r="B20" s="116" t="s">
        <v>6</v>
      </c>
      <c r="C20" s="116" t="s">
        <v>7</v>
      </c>
      <c r="D20" s="153" t="s">
        <v>221</v>
      </c>
      <c r="E20" s="153" t="s">
        <v>222</v>
      </c>
      <c r="F20" s="153"/>
      <c r="G20" s="153" t="s">
        <v>220</v>
      </c>
      <c r="H20" s="117" t="s">
        <v>113</v>
      </c>
    </row>
    <row r="21" spans="1:8" x14ac:dyDescent="0.25">
      <c r="A21" s="118" t="s">
        <v>158</v>
      </c>
      <c r="B21" s="116">
        <v>8</v>
      </c>
      <c r="C21" s="119">
        <v>8</v>
      </c>
      <c r="D21" s="154">
        <v>150</v>
      </c>
      <c r="E21" s="154">
        <f>C21*D21</f>
        <v>1200</v>
      </c>
      <c r="F21" s="154"/>
      <c r="G21" s="155">
        <f>B21*E21</f>
        <v>9600</v>
      </c>
      <c r="H21" s="120" t="s">
        <v>117</v>
      </c>
    </row>
    <row r="22" spans="1:8" x14ac:dyDescent="0.25">
      <c r="A22" s="118" t="s">
        <v>159</v>
      </c>
      <c r="B22" s="116">
        <v>14</v>
      </c>
      <c r="C22" s="119">
        <v>12</v>
      </c>
      <c r="D22" s="154">
        <v>120</v>
      </c>
      <c r="E22" s="154">
        <f t="shared" ref="E22:E24" si="0">C22*D22</f>
        <v>1440</v>
      </c>
      <c r="F22" s="154"/>
      <c r="G22" s="155">
        <f t="shared" ref="G22:G24" si="1">B22*E22</f>
        <v>20160</v>
      </c>
      <c r="H22" s="120" t="s">
        <v>117</v>
      </c>
    </row>
    <row r="23" spans="1:8" x14ac:dyDescent="0.25">
      <c r="A23" s="118" t="s">
        <v>147</v>
      </c>
      <c r="B23" s="116">
        <v>14</v>
      </c>
      <c r="C23" s="119">
        <v>25</v>
      </c>
      <c r="D23" s="154">
        <v>200</v>
      </c>
      <c r="E23" s="154">
        <f t="shared" si="0"/>
        <v>5000</v>
      </c>
      <c r="F23" s="154"/>
      <c r="G23" s="155">
        <f t="shared" si="1"/>
        <v>70000</v>
      </c>
      <c r="H23" s="120" t="s">
        <v>117</v>
      </c>
    </row>
    <row r="24" spans="1:8" x14ac:dyDescent="0.25">
      <c r="A24" s="118" t="s">
        <v>161</v>
      </c>
      <c r="B24" s="116">
        <v>14</v>
      </c>
      <c r="C24" s="119">
        <v>8</v>
      </c>
      <c r="D24" s="154">
        <v>300</v>
      </c>
      <c r="E24" s="154">
        <f t="shared" si="0"/>
        <v>2400</v>
      </c>
      <c r="F24" s="154"/>
      <c r="G24" s="155">
        <f t="shared" si="1"/>
        <v>33600</v>
      </c>
      <c r="H24" s="120" t="s">
        <v>160</v>
      </c>
    </row>
    <row r="25" spans="1:8" x14ac:dyDescent="0.25">
      <c r="A25" s="122" t="s">
        <v>164</v>
      </c>
      <c r="B25" s="123"/>
      <c r="C25" s="124"/>
      <c r="D25" s="124"/>
      <c r="E25" s="124"/>
      <c r="F25" s="124"/>
      <c r="G25" s="124"/>
      <c r="H25" s="125"/>
    </row>
    <row r="26" spans="1:8" ht="21" thickBot="1" x14ac:dyDescent="0.3">
      <c r="A26" s="320" t="s">
        <v>117</v>
      </c>
      <c r="B26" s="321"/>
      <c r="C26" s="131" t="s">
        <v>162</v>
      </c>
      <c r="D26" s="156">
        <f>G24+G23+G22</f>
        <v>123760</v>
      </c>
      <c r="E26" s="131"/>
      <c r="F26" s="131"/>
      <c r="G26" s="131"/>
      <c r="H26" s="121"/>
    </row>
    <row r="28" spans="1:8" ht="15.75" thickBot="1" x14ac:dyDescent="0.3"/>
    <row r="29" spans="1:8" ht="18.75" x14ac:dyDescent="0.3">
      <c r="A29" s="275" t="s">
        <v>144</v>
      </c>
      <c r="B29" s="276"/>
      <c r="C29" s="282"/>
      <c r="D29" s="147"/>
      <c r="E29" s="147"/>
      <c r="F29" s="147"/>
    </row>
    <row r="30" spans="1:8" ht="18.75" x14ac:dyDescent="0.3">
      <c r="A30" s="277" t="s">
        <v>145</v>
      </c>
      <c r="B30" s="278"/>
      <c r="C30" s="283"/>
      <c r="D30" s="147"/>
      <c r="E30" s="147"/>
      <c r="F30" s="147"/>
    </row>
    <row r="31" spans="1:8" ht="18.75" x14ac:dyDescent="0.3">
      <c r="A31" s="277" t="s">
        <v>217</v>
      </c>
      <c r="B31" s="278"/>
      <c r="C31" s="283"/>
      <c r="D31" s="147"/>
      <c r="E31" s="147"/>
      <c r="F31" s="147"/>
    </row>
    <row r="32" spans="1:8" x14ac:dyDescent="0.25">
      <c r="A32" s="132" t="s">
        <v>3</v>
      </c>
      <c r="B32" s="78" t="s">
        <v>50</v>
      </c>
      <c r="C32" s="141">
        <v>11661</v>
      </c>
      <c r="D32" s="148"/>
      <c r="E32" s="148"/>
      <c r="F32" s="148"/>
    </row>
    <row r="33" spans="1:7" x14ac:dyDescent="0.25">
      <c r="A33" s="134"/>
      <c r="B33" s="31">
        <v>45856</v>
      </c>
      <c r="C33" s="142">
        <v>45861</v>
      </c>
      <c r="D33" s="149"/>
      <c r="E33" s="149"/>
      <c r="F33" s="149"/>
    </row>
    <row r="34" spans="1:7" x14ac:dyDescent="0.25">
      <c r="A34" s="137" t="s">
        <v>149</v>
      </c>
      <c r="B34" s="35">
        <v>12</v>
      </c>
      <c r="C34" s="143">
        <v>-12</v>
      </c>
      <c r="D34" s="150"/>
      <c r="E34" s="150"/>
      <c r="F34" s="150"/>
    </row>
    <row r="35" spans="1:7" x14ac:dyDescent="0.25">
      <c r="A35" s="137" t="s">
        <v>150</v>
      </c>
      <c r="B35" s="35">
        <v>12</v>
      </c>
      <c r="C35" s="143">
        <v>-12</v>
      </c>
      <c r="D35" s="150"/>
      <c r="E35" s="150"/>
      <c r="F35" s="150"/>
    </row>
    <row r="36" spans="1:7" x14ac:dyDescent="0.25">
      <c r="A36" s="134" t="s">
        <v>38</v>
      </c>
      <c r="B36" s="42">
        <v>0.38194444444444442</v>
      </c>
      <c r="C36" s="144">
        <v>0.15972222222222221</v>
      </c>
      <c r="D36" s="151"/>
      <c r="E36" s="151"/>
      <c r="F36" s="151"/>
    </row>
    <row r="37" spans="1:7" ht="15.75" thickBot="1" x14ac:dyDescent="0.3">
      <c r="A37" s="139" t="s">
        <v>39</v>
      </c>
      <c r="B37" s="104" t="s">
        <v>152</v>
      </c>
      <c r="C37" s="128" t="s">
        <v>151</v>
      </c>
      <c r="D37" s="152"/>
      <c r="E37" s="152"/>
      <c r="F37" s="152"/>
    </row>
    <row r="40" spans="1:7" ht="15.75" thickBot="1" x14ac:dyDescent="0.3"/>
    <row r="41" spans="1:7" ht="19.5" thickBot="1" x14ac:dyDescent="0.3">
      <c r="A41" s="327" t="s">
        <v>153</v>
      </c>
      <c r="B41" s="328"/>
      <c r="C41" s="328"/>
      <c r="D41" s="328"/>
      <c r="E41" s="328"/>
      <c r="F41" s="328"/>
      <c r="G41" s="329"/>
    </row>
    <row r="42" spans="1:7" ht="18.75" x14ac:dyDescent="0.25">
      <c r="A42" s="327" t="s">
        <v>154</v>
      </c>
      <c r="B42" s="328"/>
      <c r="C42" s="328"/>
      <c r="D42" s="328"/>
      <c r="E42" s="328"/>
      <c r="F42" s="328"/>
      <c r="G42" s="329"/>
    </row>
    <row r="43" spans="1:7" ht="18.75" x14ac:dyDescent="0.25">
      <c r="A43" s="330" t="s">
        <v>155</v>
      </c>
      <c r="B43" s="331"/>
      <c r="C43" s="331"/>
      <c r="D43" s="331"/>
      <c r="E43" s="331"/>
      <c r="F43" s="331"/>
      <c r="G43" s="332"/>
    </row>
    <row r="44" spans="1:7" ht="18.75" x14ac:dyDescent="0.25">
      <c r="A44" s="330" t="s">
        <v>218</v>
      </c>
      <c r="B44" s="331"/>
      <c r="C44" s="331"/>
      <c r="D44" s="331"/>
      <c r="E44" s="331"/>
      <c r="F44" s="331"/>
      <c r="G44" s="332"/>
    </row>
    <row r="45" spans="1:7" x14ac:dyDescent="0.25">
      <c r="A45" s="316" t="s">
        <v>3</v>
      </c>
      <c r="B45" s="318" t="s">
        <v>4</v>
      </c>
      <c r="C45" s="319"/>
      <c r="D45" s="145"/>
      <c r="E45" s="145"/>
      <c r="F45" s="145"/>
      <c r="G45" s="115" t="s">
        <v>157</v>
      </c>
    </row>
    <row r="46" spans="1:7" x14ac:dyDescent="0.25">
      <c r="A46" s="317"/>
      <c r="B46" s="116" t="s">
        <v>6</v>
      </c>
      <c r="C46" s="116" t="s">
        <v>7</v>
      </c>
      <c r="D46" s="146" t="s">
        <v>221</v>
      </c>
      <c r="E46" s="146" t="s">
        <v>156</v>
      </c>
      <c r="F46" s="146" t="s">
        <v>220</v>
      </c>
      <c r="G46" s="117" t="s">
        <v>113</v>
      </c>
    </row>
    <row r="47" spans="1:7" x14ac:dyDescent="0.25">
      <c r="A47" s="118" t="s">
        <v>219</v>
      </c>
      <c r="B47" s="116">
        <v>6</v>
      </c>
      <c r="C47" s="119">
        <v>6</v>
      </c>
      <c r="D47" s="154">
        <v>1500</v>
      </c>
      <c r="E47" s="154">
        <f>C47*D47</f>
        <v>9000</v>
      </c>
      <c r="F47" s="154">
        <f>B47*E47</f>
        <v>54000</v>
      </c>
      <c r="G47" s="120" t="s">
        <v>223</v>
      </c>
    </row>
    <row r="48" spans="1:7" ht="21" thickBot="1" x14ac:dyDescent="0.3">
      <c r="A48" s="320" t="s">
        <v>223</v>
      </c>
      <c r="B48" s="321"/>
      <c r="C48" s="131" t="s">
        <v>220</v>
      </c>
      <c r="D48" s="131"/>
      <c r="E48" s="131"/>
      <c r="F48" s="157">
        <f>F47</f>
        <v>54000</v>
      </c>
      <c r="G48" s="121"/>
    </row>
    <row r="50" spans="1:1" x14ac:dyDescent="0.25">
      <c r="A50" s="107">
        <f>D26+F48</f>
        <v>177760</v>
      </c>
    </row>
  </sheetData>
  <mergeCells count="21">
    <mergeCell ref="A48:B48"/>
    <mergeCell ref="D19:G19"/>
    <mergeCell ref="A15:H15"/>
    <mergeCell ref="A16:H16"/>
    <mergeCell ref="A17:H17"/>
    <mergeCell ref="A18:H18"/>
    <mergeCell ref="A41:G41"/>
    <mergeCell ref="A42:G42"/>
    <mergeCell ref="A43:G43"/>
    <mergeCell ref="A44:G44"/>
    <mergeCell ref="A45:A46"/>
    <mergeCell ref="B45:C45"/>
    <mergeCell ref="A29:C29"/>
    <mergeCell ref="A30:C30"/>
    <mergeCell ref="A31:C31"/>
    <mergeCell ref="A26:B26"/>
    <mergeCell ref="A1:C1"/>
    <mergeCell ref="A2:C2"/>
    <mergeCell ref="A3:C3"/>
    <mergeCell ref="A19:A20"/>
    <mergeCell ref="B19:C19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CE44-51AF-4A8E-976B-3F88E56B8F45}">
  <dimension ref="A1:H54"/>
  <sheetViews>
    <sheetView topLeftCell="A45" workbookViewId="0">
      <selection activeCell="E40" sqref="E40"/>
    </sheetView>
  </sheetViews>
  <sheetFormatPr baseColWidth="10" defaultRowHeight="15" x14ac:dyDescent="0.25"/>
  <cols>
    <col min="1" max="1" width="31.5703125" customWidth="1"/>
    <col min="2" max="2" width="13.5703125" customWidth="1"/>
    <col min="3" max="3" width="14" customWidth="1"/>
    <col min="4" max="4" width="13" customWidth="1"/>
    <col min="5" max="5" width="14.7109375" customWidth="1"/>
    <col min="6" max="6" width="22.140625" customWidth="1"/>
  </cols>
  <sheetData>
    <row r="1" spans="1:8" ht="18.75" x14ac:dyDescent="0.3">
      <c r="A1" s="336" t="s">
        <v>233</v>
      </c>
      <c r="B1" s="278"/>
      <c r="C1" s="278"/>
      <c r="D1" s="278"/>
      <c r="E1" s="278"/>
      <c r="F1" s="278"/>
    </row>
    <row r="2" spans="1:8" ht="18.75" x14ac:dyDescent="0.3">
      <c r="A2" s="336" t="s">
        <v>234</v>
      </c>
      <c r="B2" s="278"/>
      <c r="C2" s="278"/>
      <c r="D2" s="278"/>
      <c r="E2" s="278"/>
      <c r="F2" s="278"/>
    </row>
    <row r="3" spans="1:8" ht="18.75" x14ac:dyDescent="0.3">
      <c r="A3" s="336" t="s">
        <v>235</v>
      </c>
      <c r="B3" s="278"/>
      <c r="C3" s="278"/>
      <c r="D3" s="278"/>
      <c r="E3" s="278"/>
      <c r="F3" s="278"/>
    </row>
    <row r="4" spans="1:8" x14ac:dyDescent="0.25">
      <c r="A4" s="270" t="s">
        <v>3</v>
      </c>
      <c r="B4" s="28">
        <v>12777</v>
      </c>
      <c r="C4" s="28">
        <v>12826</v>
      </c>
      <c r="D4" s="28">
        <v>11630</v>
      </c>
      <c r="E4" s="28"/>
      <c r="F4" s="28" t="s">
        <v>50</v>
      </c>
    </row>
    <row r="5" spans="1:8" x14ac:dyDescent="0.25">
      <c r="A5" s="271"/>
      <c r="B5" s="31">
        <v>45817</v>
      </c>
      <c r="C5" s="31">
        <v>45841</v>
      </c>
      <c r="D5" s="31">
        <v>45847</v>
      </c>
      <c r="E5" s="31"/>
      <c r="F5" s="31">
        <v>45869</v>
      </c>
    </row>
    <row r="6" spans="1:8" x14ac:dyDescent="0.25">
      <c r="A6" s="52" t="s">
        <v>236</v>
      </c>
      <c r="B6" s="164"/>
      <c r="C6" s="164">
        <v>12</v>
      </c>
      <c r="D6" s="53">
        <v>-12</v>
      </c>
      <c r="E6" s="53"/>
      <c r="F6" s="34">
        <f>SUM(B6:E6)</f>
        <v>0</v>
      </c>
    </row>
    <row r="7" spans="1:8" x14ac:dyDescent="0.25">
      <c r="A7" s="52" t="s">
        <v>237</v>
      </c>
      <c r="B7" s="164"/>
      <c r="C7" s="164">
        <v>12</v>
      </c>
      <c r="D7" s="53">
        <v>-12</v>
      </c>
      <c r="E7" s="53"/>
      <c r="F7" s="34">
        <f>SUM(B7:E7)</f>
        <v>0</v>
      </c>
    </row>
    <row r="8" spans="1:8" x14ac:dyDescent="0.25">
      <c r="A8" s="52" t="s">
        <v>238</v>
      </c>
      <c r="B8" s="164"/>
      <c r="C8" s="164">
        <v>4</v>
      </c>
      <c r="D8" s="53">
        <v>-4</v>
      </c>
      <c r="E8" s="53"/>
      <c r="F8" s="34">
        <f>SUM(B8:E8)</f>
        <v>0</v>
      </c>
    </row>
    <row r="9" spans="1:8" x14ac:dyDescent="0.25">
      <c r="A9" s="52" t="s">
        <v>172</v>
      </c>
      <c r="B9" s="164"/>
      <c r="C9" s="164">
        <v>6</v>
      </c>
      <c r="D9" s="53">
        <v>-6</v>
      </c>
      <c r="E9" s="53"/>
      <c r="F9" s="34">
        <f>SUM(B9:E9)</f>
        <v>0</v>
      </c>
    </row>
    <row r="10" spans="1:8" x14ac:dyDescent="0.25">
      <c r="A10" s="52" t="s">
        <v>239</v>
      </c>
      <c r="B10" s="164">
        <v>1</v>
      </c>
      <c r="C10" s="164"/>
      <c r="D10" s="53"/>
      <c r="E10" s="53"/>
      <c r="F10" s="34">
        <f>SUM(B10:E10)</f>
        <v>1</v>
      </c>
    </row>
    <row r="11" spans="1:8" x14ac:dyDescent="0.25">
      <c r="A11" s="39" t="s">
        <v>59</v>
      </c>
      <c r="B11" s="42">
        <v>0.48958333333333331</v>
      </c>
      <c r="C11" s="42">
        <v>0.375</v>
      </c>
      <c r="D11" s="54">
        <v>0.64583333333333337</v>
      </c>
      <c r="E11" s="54"/>
      <c r="F11" s="55">
        <f>SUM(C12:E12)</f>
        <v>70000</v>
      </c>
    </row>
    <row r="12" spans="1:8" x14ac:dyDescent="0.25">
      <c r="A12" s="39" t="s">
        <v>18</v>
      </c>
      <c r="B12" s="56" t="s">
        <v>240</v>
      </c>
      <c r="C12" s="165">
        <v>35000</v>
      </c>
      <c r="D12" s="165">
        <v>35000</v>
      </c>
      <c r="E12" s="54"/>
      <c r="F12" s="56"/>
    </row>
    <row r="13" spans="1:8" x14ac:dyDescent="0.25">
      <c r="A13" t="s">
        <v>241</v>
      </c>
    </row>
    <row r="14" spans="1:8" ht="15.75" thickBot="1" x14ac:dyDescent="0.3">
      <c r="G14" t="s">
        <v>242</v>
      </c>
    </row>
    <row r="15" spans="1:8" ht="18" x14ac:dyDescent="0.25">
      <c r="A15" s="337" t="s">
        <v>233</v>
      </c>
      <c r="B15" s="338"/>
      <c r="C15" s="338"/>
      <c r="D15" s="338"/>
      <c r="E15" s="338"/>
      <c r="F15" s="338"/>
    </row>
    <row r="16" spans="1:8" ht="18" x14ac:dyDescent="0.25">
      <c r="A16" s="333" t="s">
        <v>243</v>
      </c>
      <c r="B16" s="334"/>
      <c r="C16" s="334"/>
      <c r="D16" s="334"/>
      <c r="E16" s="334"/>
      <c r="F16" s="335"/>
      <c r="H16" t="s">
        <v>256</v>
      </c>
    </row>
    <row r="17" spans="1:7" x14ac:dyDescent="0.25">
      <c r="A17" s="339" t="s">
        <v>3</v>
      </c>
      <c r="B17" s="341" t="s">
        <v>4</v>
      </c>
      <c r="C17" s="342"/>
      <c r="D17" s="343"/>
      <c r="E17" s="341" t="s">
        <v>5</v>
      </c>
      <c r="F17" s="344"/>
    </row>
    <row r="18" spans="1:7" x14ac:dyDescent="0.25">
      <c r="A18" s="340"/>
      <c r="B18" s="1" t="s">
        <v>6</v>
      </c>
      <c r="C18" s="1" t="s">
        <v>7</v>
      </c>
      <c r="D18" s="1" t="s">
        <v>8</v>
      </c>
      <c r="E18" s="1" t="s">
        <v>9</v>
      </c>
      <c r="F18" s="2" t="s">
        <v>10</v>
      </c>
    </row>
    <row r="19" spans="1:7" x14ac:dyDescent="0.25">
      <c r="A19" s="3" t="s">
        <v>183</v>
      </c>
      <c r="B19" s="4">
        <v>7</v>
      </c>
      <c r="C19" s="5">
        <v>6</v>
      </c>
      <c r="D19" s="6">
        <v>1500</v>
      </c>
      <c r="E19" s="7">
        <f>C19*D19</f>
        <v>9000</v>
      </c>
      <c r="F19" s="8">
        <f>B19*E19</f>
        <v>63000</v>
      </c>
      <c r="G19" t="s">
        <v>244</v>
      </c>
    </row>
    <row r="20" spans="1:7" x14ac:dyDescent="0.25">
      <c r="A20" s="3" t="s">
        <v>238</v>
      </c>
      <c r="B20" s="4">
        <v>7</v>
      </c>
      <c r="C20" s="5">
        <v>4</v>
      </c>
      <c r="D20" s="6">
        <v>750</v>
      </c>
      <c r="E20" s="7">
        <f>C20*D20</f>
        <v>3000</v>
      </c>
      <c r="F20" s="8">
        <f>B20*E20</f>
        <v>21000</v>
      </c>
      <c r="G20" t="s">
        <v>244</v>
      </c>
    </row>
    <row r="21" spans="1:7" x14ac:dyDescent="0.25">
      <c r="A21" s="3" t="s">
        <v>245</v>
      </c>
      <c r="B21" s="4">
        <v>7</v>
      </c>
      <c r="C21" s="5">
        <v>6</v>
      </c>
      <c r="D21" s="6">
        <v>750</v>
      </c>
      <c r="E21" s="7">
        <f t="shared" ref="E21:E22" si="0">C21*D21</f>
        <v>4500</v>
      </c>
      <c r="F21" s="8">
        <f t="shared" ref="F21:F22" si="1">B21*E21</f>
        <v>31500</v>
      </c>
      <c r="G21" t="s">
        <v>244</v>
      </c>
    </row>
    <row r="22" spans="1:7" x14ac:dyDescent="0.25">
      <c r="A22" s="3" t="s">
        <v>246</v>
      </c>
      <c r="B22" s="4">
        <v>31</v>
      </c>
      <c r="C22" s="5">
        <v>1</v>
      </c>
      <c r="D22" s="6">
        <v>2000</v>
      </c>
      <c r="E22" s="7">
        <f t="shared" si="0"/>
        <v>2000</v>
      </c>
      <c r="F22" s="8">
        <f t="shared" si="1"/>
        <v>62000</v>
      </c>
      <c r="G22" t="s">
        <v>247</v>
      </c>
    </row>
    <row r="23" spans="1:7" ht="19.5" thickBot="1" x14ac:dyDescent="0.45">
      <c r="A23" s="345"/>
      <c r="B23" s="346"/>
      <c r="C23" s="351" t="s">
        <v>19</v>
      </c>
      <c r="D23" s="352"/>
      <c r="E23" s="112">
        <f>SUM(F19:F22)</f>
        <v>177500</v>
      </c>
      <c r="F23" s="12"/>
    </row>
    <row r="24" spans="1:7" ht="18.75" x14ac:dyDescent="0.4">
      <c r="A24" s="347"/>
      <c r="B24" s="348"/>
      <c r="C24" s="247" t="s">
        <v>248</v>
      </c>
      <c r="D24" s="248"/>
      <c r="E24" s="113">
        <v>70000</v>
      </c>
      <c r="F24" s="12"/>
    </row>
    <row r="25" spans="1:7" ht="19.5" thickBot="1" x14ac:dyDescent="0.45">
      <c r="A25" s="349"/>
      <c r="B25" s="350"/>
      <c r="C25" s="351" t="s">
        <v>19</v>
      </c>
      <c r="D25" s="352"/>
      <c r="E25" s="114">
        <f>SUM(E23:E24)</f>
        <v>247500</v>
      </c>
      <c r="F25" s="15"/>
    </row>
    <row r="26" spans="1:7" x14ac:dyDescent="0.25">
      <c r="A26" t="s">
        <v>249</v>
      </c>
      <c r="B26" t="s">
        <v>250</v>
      </c>
      <c r="D26" s="23">
        <v>45817</v>
      </c>
      <c r="E26" s="16">
        <v>110000</v>
      </c>
      <c r="F26" s="126">
        <v>44378</v>
      </c>
    </row>
    <row r="27" spans="1:7" x14ac:dyDescent="0.25">
      <c r="A27" t="s">
        <v>21</v>
      </c>
      <c r="B27" t="s">
        <v>251</v>
      </c>
      <c r="D27" s="23">
        <v>45841</v>
      </c>
      <c r="E27" s="16">
        <v>400000</v>
      </c>
    </row>
    <row r="28" spans="1:7" x14ac:dyDescent="0.25">
      <c r="A28" t="s">
        <v>132</v>
      </c>
      <c r="E28" s="16">
        <f>E27+E26-E25</f>
        <v>262500</v>
      </c>
    </row>
    <row r="30" spans="1:7" ht="15.75" thickBot="1" x14ac:dyDescent="0.3"/>
    <row r="31" spans="1:7" ht="18" x14ac:dyDescent="0.25">
      <c r="A31" s="337" t="s">
        <v>233</v>
      </c>
      <c r="B31" s="338"/>
      <c r="C31" s="338"/>
      <c r="D31" s="338"/>
      <c r="E31" s="338"/>
      <c r="F31" s="338"/>
    </row>
    <row r="32" spans="1:7" ht="18" x14ac:dyDescent="0.25">
      <c r="A32" s="333" t="s">
        <v>278</v>
      </c>
      <c r="B32" s="334"/>
      <c r="C32" s="334"/>
      <c r="D32" s="334"/>
      <c r="E32" s="334"/>
      <c r="F32" s="335"/>
    </row>
    <row r="33" spans="1:7" x14ac:dyDescent="0.25">
      <c r="A33" s="339" t="s">
        <v>3</v>
      </c>
      <c r="B33" s="341" t="s">
        <v>4</v>
      </c>
      <c r="C33" s="342"/>
      <c r="D33" s="343"/>
      <c r="E33" s="341" t="s">
        <v>5</v>
      </c>
      <c r="F33" s="344"/>
    </row>
    <row r="34" spans="1:7" x14ac:dyDescent="0.25">
      <c r="A34" s="340"/>
      <c r="B34" s="1" t="s">
        <v>6</v>
      </c>
      <c r="C34" s="1" t="s">
        <v>7</v>
      </c>
      <c r="D34" s="1" t="s">
        <v>8</v>
      </c>
      <c r="E34" s="1" t="s">
        <v>9</v>
      </c>
      <c r="F34" s="2" t="s">
        <v>10</v>
      </c>
    </row>
    <row r="35" spans="1:7" x14ac:dyDescent="0.25">
      <c r="A35" s="3" t="s">
        <v>183</v>
      </c>
      <c r="B35" s="4">
        <v>20</v>
      </c>
      <c r="C35" s="5">
        <v>2</v>
      </c>
      <c r="D35" s="6">
        <v>1500</v>
      </c>
      <c r="E35" s="7">
        <f>C35*D35</f>
        <v>3000</v>
      </c>
      <c r="F35" s="8">
        <f>B35*E35</f>
        <v>60000</v>
      </c>
      <c r="G35" t="s">
        <v>252</v>
      </c>
    </row>
    <row r="36" spans="1:7" x14ac:dyDescent="0.25">
      <c r="A36" s="3" t="s">
        <v>238</v>
      </c>
      <c r="B36" s="4">
        <v>20</v>
      </c>
      <c r="C36" s="5">
        <v>8</v>
      </c>
      <c r="D36" s="6">
        <v>750</v>
      </c>
      <c r="E36" s="7">
        <f>C36*D36</f>
        <v>6000</v>
      </c>
      <c r="F36" s="8">
        <f>B36*E36</f>
        <v>120000</v>
      </c>
    </row>
    <row r="37" spans="1:7" x14ac:dyDescent="0.25">
      <c r="A37" s="3" t="s">
        <v>245</v>
      </c>
      <c r="B37" s="4">
        <v>20</v>
      </c>
      <c r="C37" s="5">
        <v>4</v>
      </c>
      <c r="D37" s="6">
        <v>750</v>
      </c>
      <c r="E37" s="7">
        <f t="shared" ref="E37" si="2">C37*D37</f>
        <v>3000</v>
      </c>
      <c r="F37" s="8">
        <f t="shared" ref="F37" si="3">B37*E37</f>
        <v>60000</v>
      </c>
    </row>
    <row r="38" spans="1:7" ht="19.5" thickBot="1" x14ac:dyDescent="0.45">
      <c r="A38" s="345"/>
      <c r="B38" s="346"/>
      <c r="C38" s="351" t="s">
        <v>19</v>
      </c>
      <c r="D38" s="352"/>
      <c r="E38" s="112">
        <f>SUM(F35:F37)</f>
        <v>240000</v>
      </c>
      <c r="F38" s="12"/>
    </row>
    <row r="39" spans="1:7" ht="18.75" x14ac:dyDescent="0.4">
      <c r="A39" s="347"/>
      <c r="B39" s="348"/>
      <c r="C39" s="247" t="s">
        <v>248</v>
      </c>
      <c r="D39" s="248"/>
      <c r="E39" s="113">
        <v>30000</v>
      </c>
      <c r="F39" s="12"/>
    </row>
    <row r="40" spans="1:7" ht="19.5" thickBot="1" x14ac:dyDescent="0.45">
      <c r="A40" s="349"/>
      <c r="B40" s="350"/>
      <c r="C40" s="351" t="s">
        <v>19</v>
      </c>
      <c r="D40" s="352"/>
      <c r="E40" s="114">
        <f>SUM(E38:E39)</f>
        <v>270000</v>
      </c>
      <c r="F40" s="15"/>
    </row>
    <row r="41" spans="1:7" x14ac:dyDescent="0.25">
      <c r="A41" s="49" t="s">
        <v>253</v>
      </c>
      <c r="E41" s="168"/>
    </row>
    <row r="42" spans="1:7" ht="18.75" x14ac:dyDescent="0.3">
      <c r="A42" s="169" t="s">
        <v>254</v>
      </c>
      <c r="B42" s="169"/>
      <c r="C42" s="169"/>
      <c r="D42" s="169"/>
      <c r="E42" s="170">
        <v>7500</v>
      </c>
    </row>
    <row r="44" spans="1:7" ht="18.75" x14ac:dyDescent="0.3">
      <c r="A44" s="336" t="s">
        <v>233</v>
      </c>
      <c r="B44" s="278"/>
      <c r="C44" s="278"/>
      <c r="D44" s="278"/>
      <c r="E44" s="278"/>
      <c r="F44" s="278"/>
    </row>
    <row r="45" spans="1:7" ht="18.75" x14ac:dyDescent="0.3">
      <c r="A45" s="336" t="s">
        <v>255</v>
      </c>
      <c r="B45" s="278"/>
      <c r="C45" s="278"/>
      <c r="D45" s="278"/>
      <c r="E45" s="278"/>
      <c r="F45" s="278"/>
    </row>
    <row r="46" spans="1:7" ht="18.75" x14ac:dyDescent="0.3">
      <c r="A46" s="336" t="s">
        <v>235</v>
      </c>
      <c r="B46" s="278"/>
      <c r="C46" s="278"/>
      <c r="D46" s="278"/>
      <c r="E46" s="278"/>
      <c r="F46" s="278"/>
    </row>
    <row r="47" spans="1:7" x14ac:dyDescent="0.25">
      <c r="A47" s="270" t="s">
        <v>3</v>
      </c>
      <c r="B47" s="28">
        <v>12842</v>
      </c>
      <c r="C47" s="28"/>
      <c r="D47" s="28"/>
      <c r="E47" s="28"/>
      <c r="F47" s="28" t="s">
        <v>50</v>
      </c>
    </row>
    <row r="48" spans="1:7" x14ac:dyDescent="0.25">
      <c r="A48" s="271"/>
      <c r="B48" s="31">
        <v>45848</v>
      </c>
      <c r="C48" s="31"/>
      <c r="D48" s="31"/>
      <c r="E48" s="31"/>
      <c r="F48" s="31">
        <v>45869</v>
      </c>
    </row>
    <row r="49" spans="1:6" x14ac:dyDescent="0.25">
      <c r="A49" s="52" t="s">
        <v>236</v>
      </c>
      <c r="B49" s="164">
        <v>4</v>
      </c>
      <c r="C49" s="164"/>
      <c r="D49" s="53"/>
      <c r="E49" s="53"/>
      <c r="F49" s="34">
        <f>SUM(B49:E49)</f>
        <v>4</v>
      </c>
    </row>
    <row r="50" spans="1:6" x14ac:dyDescent="0.25">
      <c r="A50" s="52" t="s">
        <v>237</v>
      </c>
      <c r="B50" s="164">
        <v>4</v>
      </c>
      <c r="C50" s="164"/>
      <c r="D50" s="53"/>
      <c r="E50" s="53"/>
      <c r="F50" s="34">
        <f>SUM(B50:E50)</f>
        <v>4</v>
      </c>
    </row>
    <row r="51" spans="1:6" x14ac:dyDescent="0.25">
      <c r="A51" s="52" t="s">
        <v>238</v>
      </c>
      <c r="B51" s="164">
        <v>8</v>
      </c>
      <c r="C51" s="164"/>
      <c r="D51" s="53"/>
      <c r="E51" s="53"/>
      <c r="F51" s="34">
        <f>SUM(B51:E51)</f>
        <v>8</v>
      </c>
    </row>
    <row r="52" spans="1:6" x14ac:dyDescent="0.25">
      <c r="A52" s="52" t="s">
        <v>172</v>
      </c>
      <c r="B52" s="164">
        <v>4</v>
      </c>
      <c r="C52" s="164"/>
      <c r="D52" s="53"/>
      <c r="E52" s="53"/>
      <c r="F52" s="34">
        <f>SUM(B52:E52)</f>
        <v>4</v>
      </c>
    </row>
    <row r="53" spans="1:6" x14ac:dyDescent="0.25">
      <c r="A53" s="39" t="s">
        <v>59</v>
      </c>
      <c r="B53" s="42">
        <v>0.10416666666666667</v>
      </c>
      <c r="C53" s="42"/>
      <c r="D53" s="54"/>
      <c r="E53" s="54"/>
      <c r="F53" s="55">
        <f>SUM(C54:E54)</f>
        <v>0</v>
      </c>
    </row>
    <row r="54" spans="1:6" x14ac:dyDescent="0.25">
      <c r="A54" s="39" t="s">
        <v>18</v>
      </c>
      <c r="B54" s="56">
        <v>15000</v>
      </c>
      <c r="C54" s="165"/>
      <c r="D54" s="165"/>
      <c r="E54" s="54"/>
      <c r="F54" s="56"/>
    </row>
  </sheetData>
  <mergeCells count="26">
    <mergeCell ref="A44:F44"/>
    <mergeCell ref="A45:F45"/>
    <mergeCell ref="A46:F46"/>
    <mergeCell ref="A47:A48"/>
    <mergeCell ref="A31:F31"/>
    <mergeCell ref="A32:F32"/>
    <mergeCell ref="A33:A34"/>
    <mergeCell ref="B33:D33"/>
    <mergeCell ref="E33:F33"/>
    <mergeCell ref="A38:B40"/>
    <mergeCell ref="C38:D38"/>
    <mergeCell ref="C39:D39"/>
    <mergeCell ref="C40:D40"/>
    <mergeCell ref="A17:A18"/>
    <mergeCell ref="B17:D17"/>
    <mergeCell ref="E17:F17"/>
    <mergeCell ref="A23:B25"/>
    <mergeCell ref="C23:D23"/>
    <mergeCell ref="C24:D24"/>
    <mergeCell ref="C25:D25"/>
    <mergeCell ref="A16:F16"/>
    <mergeCell ref="A1:F1"/>
    <mergeCell ref="A2:F2"/>
    <mergeCell ref="A3:F3"/>
    <mergeCell ref="A4:A5"/>
    <mergeCell ref="A15:F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5E52-C805-4E62-A4F9-3496AF508777}">
  <dimension ref="A1:G39"/>
  <sheetViews>
    <sheetView topLeftCell="A20" workbookViewId="0">
      <selection activeCell="E39" sqref="E39"/>
    </sheetView>
  </sheetViews>
  <sheetFormatPr baseColWidth="10" defaultRowHeight="15" x14ac:dyDescent="0.25"/>
  <cols>
    <col min="1" max="1" width="27.42578125" customWidth="1"/>
    <col min="3" max="3" width="13" bestFit="1" customWidth="1"/>
    <col min="5" max="5" width="21.28515625" customWidth="1"/>
  </cols>
  <sheetData>
    <row r="1" spans="1:7" ht="18.75" x14ac:dyDescent="0.3">
      <c r="A1" s="275" t="s">
        <v>263</v>
      </c>
      <c r="B1" s="276"/>
      <c r="C1" s="276"/>
      <c r="D1" s="276"/>
      <c r="E1" s="276"/>
      <c r="F1" s="276"/>
      <c r="G1" s="282"/>
    </row>
    <row r="2" spans="1:7" ht="18.75" x14ac:dyDescent="0.3">
      <c r="A2" s="277" t="s">
        <v>264</v>
      </c>
      <c r="B2" s="278"/>
      <c r="C2" s="278"/>
      <c r="D2" s="278"/>
      <c r="E2" s="278"/>
      <c r="F2" s="278"/>
      <c r="G2" s="283"/>
    </row>
    <row r="3" spans="1:7" ht="18.75" x14ac:dyDescent="0.3">
      <c r="A3" s="277" t="s">
        <v>276</v>
      </c>
      <c r="B3" s="278"/>
      <c r="C3" s="278"/>
      <c r="D3" s="278"/>
      <c r="E3" s="278"/>
      <c r="F3" s="278"/>
      <c r="G3" s="278"/>
    </row>
    <row r="4" spans="1:7" x14ac:dyDescent="0.25">
      <c r="A4" s="77" t="s">
        <v>3</v>
      </c>
      <c r="B4" s="76">
        <v>12872</v>
      </c>
      <c r="C4" s="76">
        <v>12896</v>
      </c>
      <c r="D4" s="76">
        <v>11686</v>
      </c>
      <c r="E4" s="76"/>
      <c r="F4" s="76"/>
      <c r="G4" s="78" t="s">
        <v>30</v>
      </c>
    </row>
    <row r="5" spans="1:7" x14ac:dyDescent="0.25">
      <c r="A5" s="79"/>
      <c r="B5" s="31">
        <v>45856</v>
      </c>
      <c r="C5" s="31">
        <v>45867</v>
      </c>
      <c r="D5" s="31">
        <v>45870</v>
      </c>
      <c r="E5" s="31"/>
      <c r="F5" s="31"/>
      <c r="G5" s="51">
        <v>45869</v>
      </c>
    </row>
    <row r="6" spans="1:7" x14ac:dyDescent="0.25">
      <c r="A6" s="82" t="s">
        <v>54</v>
      </c>
      <c r="B6" s="29">
        <v>60</v>
      </c>
      <c r="C6" s="35"/>
      <c r="D6" s="35"/>
      <c r="E6" s="35"/>
      <c r="F6" s="35"/>
      <c r="G6" s="34">
        <f>SUM(B6:F6)</f>
        <v>60</v>
      </c>
    </row>
    <row r="7" spans="1:7" x14ac:dyDescent="0.25">
      <c r="A7" s="82" t="s">
        <v>189</v>
      </c>
      <c r="B7" s="29">
        <v>15</v>
      </c>
      <c r="C7" s="35"/>
      <c r="D7" s="35"/>
      <c r="E7" s="35"/>
      <c r="F7" s="35"/>
      <c r="G7" s="34">
        <f>SUM(B7:F7)</f>
        <v>15</v>
      </c>
    </row>
    <row r="8" spans="1:7" x14ac:dyDescent="0.25">
      <c r="A8" s="82" t="s">
        <v>265</v>
      </c>
      <c r="B8" s="29">
        <v>5</v>
      </c>
      <c r="C8" s="35"/>
      <c r="D8" s="35"/>
      <c r="E8" s="35"/>
      <c r="F8" s="35"/>
      <c r="G8" s="34">
        <f>SUM(B8:F8)</f>
        <v>5</v>
      </c>
    </row>
    <row r="9" spans="1:7" x14ac:dyDescent="0.25">
      <c r="A9" s="82" t="s">
        <v>169</v>
      </c>
      <c r="B9" s="29">
        <v>2</v>
      </c>
      <c r="C9" s="35"/>
      <c r="D9" s="35"/>
      <c r="E9" s="35"/>
      <c r="F9" s="35"/>
      <c r="G9" s="34">
        <f t="shared" ref="G9" si="0">SUM(B9:F9)</f>
        <v>2</v>
      </c>
    </row>
    <row r="10" spans="1:7" x14ac:dyDescent="0.25">
      <c r="A10" s="82" t="s">
        <v>171</v>
      </c>
      <c r="B10" s="29">
        <v>2</v>
      </c>
      <c r="C10" s="35"/>
      <c r="D10" s="35"/>
      <c r="E10" s="35"/>
      <c r="F10" s="35"/>
      <c r="G10" s="34">
        <f>SUM(B10:F10)</f>
        <v>2</v>
      </c>
    </row>
    <row r="11" spans="1:7" x14ac:dyDescent="0.25">
      <c r="A11" s="82" t="s">
        <v>266</v>
      </c>
      <c r="B11" s="29">
        <v>2</v>
      </c>
      <c r="C11" s="35"/>
      <c r="D11" s="35"/>
      <c r="E11" s="35"/>
      <c r="F11" s="35"/>
      <c r="G11" s="34">
        <f t="shared" ref="G11:G18" si="1">SUM(B11:F11)</f>
        <v>2</v>
      </c>
    </row>
    <row r="12" spans="1:7" x14ac:dyDescent="0.25">
      <c r="A12" s="82" t="s">
        <v>267</v>
      </c>
      <c r="B12" s="29"/>
      <c r="C12" s="35">
        <v>32</v>
      </c>
      <c r="D12" s="35">
        <v>-32</v>
      </c>
      <c r="E12" s="35"/>
      <c r="F12" s="35"/>
      <c r="G12" s="34">
        <f t="shared" si="1"/>
        <v>0</v>
      </c>
    </row>
    <row r="13" spans="1:7" x14ac:dyDescent="0.25">
      <c r="A13" s="82" t="s">
        <v>72</v>
      </c>
      <c r="B13" s="29"/>
      <c r="C13" s="35">
        <v>32</v>
      </c>
      <c r="D13" s="35">
        <v>-32</v>
      </c>
      <c r="E13" s="35"/>
      <c r="F13" s="35"/>
      <c r="G13" s="34">
        <f t="shared" si="1"/>
        <v>0</v>
      </c>
    </row>
    <row r="14" spans="1:7" x14ac:dyDescent="0.25">
      <c r="A14" s="82" t="s">
        <v>73</v>
      </c>
      <c r="B14" s="29"/>
      <c r="C14" s="35">
        <v>16</v>
      </c>
      <c r="D14" s="35">
        <v>-16</v>
      </c>
      <c r="E14" s="35"/>
      <c r="F14" s="35"/>
      <c r="G14" s="34">
        <f t="shared" si="1"/>
        <v>0</v>
      </c>
    </row>
    <row r="15" spans="1:7" x14ac:dyDescent="0.25">
      <c r="A15" s="82" t="s">
        <v>53</v>
      </c>
      <c r="B15" s="29"/>
      <c r="C15" s="35">
        <v>300</v>
      </c>
      <c r="D15" s="35">
        <v>-300</v>
      </c>
      <c r="E15" s="35"/>
      <c r="F15" s="35"/>
      <c r="G15" s="34">
        <f t="shared" si="1"/>
        <v>0</v>
      </c>
    </row>
    <row r="16" spans="1:7" x14ac:dyDescent="0.25">
      <c r="A16" s="82" t="s">
        <v>77</v>
      </c>
      <c r="B16" s="29"/>
      <c r="C16" s="35">
        <v>1</v>
      </c>
      <c r="D16" s="35">
        <v>-1</v>
      </c>
      <c r="E16" s="35"/>
      <c r="F16" s="35"/>
      <c r="G16" s="34">
        <f t="shared" si="1"/>
        <v>0</v>
      </c>
    </row>
    <row r="17" spans="1:7" x14ac:dyDescent="0.25">
      <c r="A17" s="79" t="s">
        <v>38</v>
      </c>
      <c r="B17" s="40">
        <v>0.14930555555555555</v>
      </c>
      <c r="C17" s="42">
        <v>0.29166666666666669</v>
      </c>
      <c r="D17" s="42">
        <v>0.125</v>
      </c>
      <c r="E17" s="42"/>
      <c r="F17" s="42"/>
      <c r="G17" s="34"/>
    </row>
    <row r="18" spans="1:7" x14ac:dyDescent="0.25">
      <c r="A18" s="79" t="s">
        <v>39</v>
      </c>
      <c r="B18" s="83">
        <v>40000</v>
      </c>
      <c r="C18" s="83">
        <v>40000</v>
      </c>
      <c r="D18" s="83">
        <v>40000</v>
      </c>
      <c r="E18" s="83"/>
      <c r="F18" s="83"/>
      <c r="G18" s="180">
        <f t="shared" si="1"/>
        <v>120000</v>
      </c>
    </row>
    <row r="19" spans="1:7" x14ac:dyDescent="0.25">
      <c r="A19" s="49" t="s">
        <v>268</v>
      </c>
      <c r="B19" s="49"/>
      <c r="C19" s="19">
        <v>200000</v>
      </c>
      <c r="D19" s="181">
        <v>45866</v>
      </c>
    </row>
    <row r="20" spans="1:7" ht="15.75" thickBot="1" x14ac:dyDescent="0.3">
      <c r="A20" t="s">
        <v>21</v>
      </c>
      <c r="C20" s="16">
        <v>500000</v>
      </c>
    </row>
    <row r="21" spans="1:7" x14ac:dyDescent="0.25">
      <c r="A21" s="258" t="s">
        <v>79</v>
      </c>
      <c r="B21" s="259"/>
      <c r="C21" s="259"/>
      <c r="D21" s="259"/>
      <c r="E21" s="259"/>
      <c r="F21" s="260"/>
    </row>
    <row r="22" spans="1:7" x14ac:dyDescent="0.25">
      <c r="A22" s="301" t="s">
        <v>263</v>
      </c>
      <c r="B22" s="302"/>
      <c r="C22" s="302"/>
      <c r="D22" s="302"/>
      <c r="E22" s="302"/>
      <c r="F22" s="303"/>
    </row>
    <row r="23" spans="1:7" ht="18" x14ac:dyDescent="0.25">
      <c r="A23" s="249" t="s">
        <v>269</v>
      </c>
      <c r="B23" s="250"/>
      <c r="C23" s="250"/>
      <c r="D23" s="250"/>
      <c r="E23" s="250"/>
      <c r="F23" s="251"/>
    </row>
    <row r="24" spans="1:7" x14ac:dyDescent="0.25">
      <c r="A24" s="235" t="s">
        <v>3</v>
      </c>
      <c r="B24" s="236" t="s">
        <v>4</v>
      </c>
      <c r="C24" s="236"/>
      <c r="D24" s="236"/>
      <c r="E24" s="236" t="s">
        <v>5</v>
      </c>
      <c r="F24" s="237"/>
    </row>
    <row r="25" spans="1:7" x14ac:dyDescent="0.25">
      <c r="A25" s="235"/>
      <c r="B25" s="1" t="s">
        <v>6</v>
      </c>
      <c r="C25" s="1" t="s">
        <v>7</v>
      </c>
      <c r="D25" s="1" t="s">
        <v>8</v>
      </c>
      <c r="E25" s="1" t="s">
        <v>9</v>
      </c>
      <c r="F25" s="2" t="s">
        <v>10</v>
      </c>
    </row>
    <row r="26" spans="1:7" x14ac:dyDescent="0.25">
      <c r="A26" s="3" t="s">
        <v>54</v>
      </c>
      <c r="B26" s="4">
        <v>14</v>
      </c>
      <c r="C26" s="5">
        <v>60</v>
      </c>
      <c r="D26" s="6">
        <v>150</v>
      </c>
      <c r="E26" s="7">
        <f>C26*D26</f>
        <v>9000</v>
      </c>
      <c r="F26" s="8">
        <f>B26*E26</f>
        <v>126000</v>
      </c>
    </row>
    <row r="27" spans="1:7" x14ac:dyDescent="0.25">
      <c r="A27" s="3" t="s">
        <v>189</v>
      </c>
      <c r="B27" s="4">
        <v>14</v>
      </c>
      <c r="C27" s="5">
        <v>15</v>
      </c>
      <c r="D27" s="6">
        <v>150</v>
      </c>
      <c r="E27" s="7">
        <f t="shared" ref="E27:E31" si="2">C27*D27</f>
        <v>2250</v>
      </c>
      <c r="F27" s="8">
        <f t="shared" ref="F27:F31" si="3">B27*E27</f>
        <v>31500</v>
      </c>
    </row>
    <row r="28" spans="1:7" x14ac:dyDescent="0.25">
      <c r="A28" s="3" t="s">
        <v>270</v>
      </c>
      <c r="B28" s="5">
        <v>14</v>
      </c>
      <c r="C28" s="5">
        <v>5</v>
      </c>
      <c r="D28" s="6">
        <v>120</v>
      </c>
      <c r="E28" s="7">
        <f t="shared" si="2"/>
        <v>600</v>
      </c>
      <c r="F28" s="8">
        <f t="shared" si="3"/>
        <v>8400</v>
      </c>
    </row>
    <row r="29" spans="1:7" x14ac:dyDescent="0.25">
      <c r="A29" s="3" t="s">
        <v>183</v>
      </c>
      <c r="B29" s="5">
        <v>14</v>
      </c>
      <c r="C29" s="5">
        <v>1</v>
      </c>
      <c r="D29" s="6">
        <v>1300</v>
      </c>
      <c r="E29" s="7">
        <f t="shared" si="2"/>
        <v>1300</v>
      </c>
      <c r="F29" s="8">
        <f t="shared" si="3"/>
        <v>18200</v>
      </c>
    </row>
    <row r="30" spans="1:7" x14ac:dyDescent="0.25">
      <c r="A30" s="3" t="s">
        <v>85</v>
      </c>
      <c r="B30" s="5">
        <v>14</v>
      </c>
      <c r="C30" s="5">
        <v>2</v>
      </c>
      <c r="D30" s="6">
        <v>800</v>
      </c>
      <c r="E30" s="7">
        <f t="shared" si="2"/>
        <v>1600</v>
      </c>
      <c r="F30" s="182">
        <f t="shared" si="3"/>
        <v>22400</v>
      </c>
    </row>
    <row r="31" spans="1:7" x14ac:dyDescent="0.25">
      <c r="A31" s="3" t="s">
        <v>273</v>
      </c>
      <c r="B31" s="5">
        <v>5</v>
      </c>
      <c r="C31" s="5">
        <v>32</v>
      </c>
      <c r="D31" s="6">
        <v>270</v>
      </c>
      <c r="E31" s="7">
        <f t="shared" si="2"/>
        <v>8640</v>
      </c>
      <c r="F31" s="182">
        <f t="shared" si="3"/>
        <v>43200</v>
      </c>
    </row>
    <row r="32" spans="1:7" x14ac:dyDescent="0.25">
      <c r="A32" s="3" t="s">
        <v>274</v>
      </c>
      <c r="B32" s="5">
        <v>5</v>
      </c>
      <c r="C32" s="5">
        <v>32</v>
      </c>
      <c r="D32" s="6">
        <v>60</v>
      </c>
      <c r="E32" s="7">
        <f t="shared" ref="E32" si="4">C32*D32</f>
        <v>1920</v>
      </c>
      <c r="F32" s="182">
        <f t="shared" ref="F32" si="5">B32*E32</f>
        <v>9600</v>
      </c>
    </row>
    <row r="33" spans="1:6" x14ac:dyDescent="0.25">
      <c r="A33" s="3" t="s">
        <v>275</v>
      </c>
      <c r="B33" s="5">
        <v>5</v>
      </c>
      <c r="C33" s="5">
        <v>16</v>
      </c>
      <c r="D33" s="6">
        <v>120</v>
      </c>
      <c r="E33" s="7">
        <f t="shared" ref="E33" si="6">C33*D33</f>
        <v>1920</v>
      </c>
      <c r="F33" s="182">
        <f t="shared" ref="F33" si="7">B33*E33</f>
        <v>9600</v>
      </c>
    </row>
    <row r="34" spans="1:6" x14ac:dyDescent="0.25">
      <c r="A34" s="3" t="s">
        <v>53</v>
      </c>
      <c r="B34" s="5">
        <v>5</v>
      </c>
      <c r="C34" s="5">
        <v>300</v>
      </c>
      <c r="D34" s="6">
        <v>25</v>
      </c>
      <c r="E34" s="7">
        <f t="shared" ref="E34" si="8">C34*D34</f>
        <v>7500</v>
      </c>
      <c r="F34" s="182">
        <f t="shared" ref="F34" si="9">B34*E34</f>
        <v>37500</v>
      </c>
    </row>
    <row r="35" spans="1:6" ht="18.75" x14ac:dyDescent="0.4">
      <c r="A35" s="238" t="s">
        <v>272</v>
      </c>
      <c r="B35" s="239"/>
      <c r="C35" s="269" t="s">
        <v>139</v>
      </c>
      <c r="D35" s="269"/>
      <c r="E35" s="9">
        <f>SUM(E26:E34)</f>
        <v>34730</v>
      </c>
      <c r="F35" s="10"/>
    </row>
    <row r="36" spans="1:6" ht="19.5" thickBot="1" x14ac:dyDescent="0.45">
      <c r="A36" s="240"/>
      <c r="B36" s="241"/>
      <c r="C36" s="246" t="s">
        <v>19</v>
      </c>
      <c r="D36" s="246"/>
      <c r="E36" s="112">
        <f>SUM(F26:F30)</f>
        <v>206500</v>
      </c>
      <c r="F36" s="12"/>
    </row>
    <row r="37" spans="1:6" ht="18.75" x14ac:dyDescent="0.4">
      <c r="A37" s="240"/>
      <c r="B37" s="241"/>
      <c r="C37" s="247" t="s">
        <v>271</v>
      </c>
      <c r="D37" s="248"/>
      <c r="E37" s="113">
        <v>120000</v>
      </c>
      <c r="F37" s="12"/>
    </row>
    <row r="38" spans="1:6" ht="19.5" thickBot="1" x14ac:dyDescent="0.45">
      <c r="A38" s="242"/>
      <c r="B38" s="243"/>
      <c r="C38" s="246" t="s">
        <v>19</v>
      </c>
      <c r="D38" s="246"/>
      <c r="E38" s="114">
        <f>E36+E37</f>
        <v>326500</v>
      </c>
      <c r="F38" s="15"/>
    </row>
    <row r="39" spans="1:6" x14ac:dyDescent="0.25">
      <c r="A39" t="s">
        <v>277</v>
      </c>
      <c r="B39" s="23">
        <v>45870</v>
      </c>
      <c r="E39" s="16">
        <v>300000</v>
      </c>
    </row>
  </sheetData>
  <mergeCells count="14">
    <mergeCell ref="A1:G1"/>
    <mergeCell ref="A2:G2"/>
    <mergeCell ref="A3:G3"/>
    <mergeCell ref="A21:F21"/>
    <mergeCell ref="A22:F22"/>
    <mergeCell ref="A23:F23"/>
    <mergeCell ref="A24:A25"/>
    <mergeCell ref="B24:D24"/>
    <mergeCell ref="E24:F24"/>
    <mergeCell ref="A35:B38"/>
    <mergeCell ref="C35:D35"/>
    <mergeCell ref="C36:D36"/>
    <mergeCell ref="C37:D37"/>
    <mergeCell ref="C38:D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F016-E922-46C1-8C86-BFD37662AECA}">
  <sheetPr>
    <pageSetUpPr fitToPage="1"/>
  </sheetPr>
  <dimension ref="A1:G32"/>
  <sheetViews>
    <sheetView topLeftCell="A18" workbookViewId="0">
      <selection activeCell="E31" sqref="E31"/>
    </sheetView>
  </sheetViews>
  <sheetFormatPr baseColWidth="10" defaultRowHeight="15" x14ac:dyDescent="0.25"/>
  <cols>
    <col min="1" max="1" width="21.85546875" bestFit="1" customWidth="1"/>
    <col min="3" max="3" width="21.28515625" customWidth="1"/>
    <col min="5" max="5" width="14.42578125" bestFit="1" customWidth="1"/>
  </cols>
  <sheetData>
    <row r="1" spans="1:7" ht="18.75" x14ac:dyDescent="0.3">
      <c r="A1" s="336" t="s">
        <v>257</v>
      </c>
      <c r="B1" s="278"/>
      <c r="C1" s="278"/>
      <c r="D1" s="278"/>
      <c r="E1" s="278"/>
      <c r="F1" s="278"/>
      <c r="G1" s="353"/>
    </row>
    <row r="2" spans="1:7" ht="18.75" x14ac:dyDescent="0.3">
      <c r="A2" s="336" t="s">
        <v>258</v>
      </c>
      <c r="B2" s="278"/>
      <c r="C2" s="278"/>
      <c r="D2" s="278"/>
      <c r="E2" s="278"/>
      <c r="F2" s="278"/>
      <c r="G2" s="353"/>
    </row>
    <row r="3" spans="1:7" ht="18.75" x14ac:dyDescent="0.3">
      <c r="A3" s="336" t="s">
        <v>279</v>
      </c>
      <c r="B3" s="278"/>
      <c r="C3" s="278"/>
      <c r="D3" s="278"/>
      <c r="E3" s="278"/>
      <c r="F3" s="278"/>
      <c r="G3" s="353"/>
    </row>
    <row r="4" spans="1:7" x14ac:dyDescent="0.25">
      <c r="A4" s="270" t="s">
        <v>3</v>
      </c>
      <c r="B4" s="28">
        <v>12891</v>
      </c>
      <c r="C4" s="55">
        <v>11680</v>
      </c>
      <c r="D4" s="28">
        <v>11684</v>
      </c>
      <c r="E4" s="28"/>
      <c r="F4" s="28"/>
      <c r="G4" s="28" t="s">
        <v>50</v>
      </c>
    </row>
    <row r="5" spans="1:7" x14ac:dyDescent="0.25">
      <c r="A5" s="271"/>
      <c r="B5" s="31">
        <v>45864</v>
      </c>
      <c r="C5" s="31">
        <v>45869</v>
      </c>
      <c r="D5" s="31">
        <v>45870</v>
      </c>
      <c r="E5" s="31"/>
      <c r="F5" s="31"/>
      <c r="G5" s="31">
        <v>45808</v>
      </c>
    </row>
    <row r="6" spans="1:7" x14ac:dyDescent="0.25">
      <c r="A6" s="52" t="s">
        <v>207</v>
      </c>
      <c r="B6" s="164">
        <v>16</v>
      </c>
      <c r="C6" s="53">
        <v>-14</v>
      </c>
      <c r="D6" s="53">
        <v>-2</v>
      </c>
      <c r="E6" s="53"/>
      <c r="F6" s="53"/>
      <c r="G6" s="34">
        <f t="shared" ref="G6:G13" si="0">SUM(B6:F6)</f>
        <v>0</v>
      </c>
    </row>
    <row r="7" spans="1:7" x14ac:dyDescent="0.25">
      <c r="A7" s="52" t="s">
        <v>71</v>
      </c>
      <c r="B7" s="164">
        <v>16</v>
      </c>
      <c r="C7" s="53">
        <v>-12</v>
      </c>
      <c r="D7" s="53">
        <v>-4</v>
      </c>
      <c r="E7" s="53"/>
      <c r="F7" s="53"/>
      <c r="G7" s="34">
        <f t="shared" si="0"/>
        <v>0</v>
      </c>
    </row>
    <row r="8" spans="1:7" x14ac:dyDescent="0.25">
      <c r="A8" s="52" t="s">
        <v>73</v>
      </c>
      <c r="B8" s="164">
        <v>16</v>
      </c>
      <c r="C8" s="53">
        <v>-13</v>
      </c>
      <c r="D8" s="53">
        <v>-3</v>
      </c>
      <c r="E8" s="53"/>
      <c r="F8" s="53"/>
      <c r="G8" s="34">
        <f t="shared" si="0"/>
        <v>0</v>
      </c>
    </row>
    <row r="9" spans="1:7" x14ac:dyDescent="0.25">
      <c r="A9" s="52" t="s">
        <v>72</v>
      </c>
      <c r="B9" s="164">
        <v>32</v>
      </c>
      <c r="C9" s="53">
        <v>-30</v>
      </c>
      <c r="D9" s="53">
        <v>-2</v>
      </c>
      <c r="E9" s="53"/>
      <c r="F9" s="53"/>
      <c r="G9" s="34">
        <f t="shared" si="0"/>
        <v>0</v>
      </c>
    </row>
    <row r="10" spans="1:7" x14ac:dyDescent="0.25">
      <c r="A10" s="52" t="s">
        <v>54</v>
      </c>
      <c r="B10" s="164">
        <v>16</v>
      </c>
      <c r="C10" s="53">
        <v>-12</v>
      </c>
      <c r="D10" s="53">
        <v>-4</v>
      </c>
      <c r="E10" s="53"/>
      <c r="F10" s="53"/>
      <c r="G10" s="34">
        <f t="shared" si="0"/>
        <v>0</v>
      </c>
    </row>
    <row r="11" spans="1:7" x14ac:dyDescent="0.25">
      <c r="A11" s="52" t="s">
        <v>53</v>
      </c>
      <c r="B11" s="164">
        <v>400</v>
      </c>
      <c r="C11" s="53">
        <v>-350</v>
      </c>
      <c r="D11" s="53">
        <v>-50</v>
      </c>
      <c r="E11" s="53"/>
      <c r="F11" s="53"/>
      <c r="G11" s="34">
        <f t="shared" si="0"/>
        <v>0</v>
      </c>
    </row>
    <row r="12" spans="1:7" x14ac:dyDescent="0.25">
      <c r="A12" s="52" t="s">
        <v>176</v>
      </c>
      <c r="B12" s="164">
        <v>2</v>
      </c>
      <c r="C12" s="53">
        <v>-2</v>
      </c>
      <c r="D12" s="53"/>
      <c r="E12" s="53"/>
      <c r="F12" s="53"/>
      <c r="G12" s="34">
        <f t="shared" si="0"/>
        <v>0</v>
      </c>
    </row>
    <row r="13" spans="1:7" x14ac:dyDescent="0.25">
      <c r="A13" s="39" t="s">
        <v>59</v>
      </c>
      <c r="B13" s="42">
        <v>0.45833333333333331</v>
      </c>
      <c r="C13" s="40">
        <v>0.39583333333333331</v>
      </c>
      <c r="D13" s="54">
        <v>0.3125</v>
      </c>
      <c r="E13" s="54"/>
      <c r="F13" s="54"/>
      <c r="G13" s="55">
        <f t="shared" si="0"/>
        <v>1.1666666666666665</v>
      </c>
    </row>
    <row r="14" spans="1:7" x14ac:dyDescent="0.25">
      <c r="A14" s="39" t="s">
        <v>18</v>
      </c>
      <c r="B14" s="165">
        <v>35000</v>
      </c>
      <c r="C14" s="165">
        <v>35000</v>
      </c>
      <c r="D14" s="165"/>
      <c r="E14" s="56"/>
      <c r="F14" s="165"/>
      <c r="G14" s="56">
        <f>SUM(B14:F14)</f>
        <v>70000</v>
      </c>
    </row>
    <row r="16" spans="1:7" ht="15.75" thickBot="1" x14ac:dyDescent="0.3"/>
    <row r="17" spans="1:6" x14ac:dyDescent="0.25">
      <c r="A17" s="258" t="s">
        <v>259</v>
      </c>
      <c r="B17" s="259"/>
      <c r="C17" s="259"/>
      <c r="D17" s="259"/>
      <c r="E17" s="259"/>
      <c r="F17" s="260"/>
    </row>
    <row r="18" spans="1:6" ht="18" x14ac:dyDescent="0.25">
      <c r="A18" s="249" t="s">
        <v>279</v>
      </c>
      <c r="B18" s="250"/>
      <c r="C18" s="250"/>
      <c r="D18" s="250"/>
      <c r="E18" s="250"/>
      <c r="F18" s="251"/>
    </row>
    <row r="19" spans="1:6" x14ac:dyDescent="0.25">
      <c r="A19" s="57" t="s">
        <v>3</v>
      </c>
      <c r="B19" s="171" t="s">
        <v>4</v>
      </c>
      <c r="C19" s="172"/>
      <c r="D19" s="60"/>
      <c r="E19" s="58" t="s">
        <v>5</v>
      </c>
      <c r="F19" s="61"/>
    </row>
    <row r="20" spans="1:6" x14ac:dyDescent="0.25">
      <c r="A20" s="53"/>
      <c r="B20" s="1" t="s">
        <v>6</v>
      </c>
      <c r="C20" s="1" t="s">
        <v>7</v>
      </c>
      <c r="D20" s="60" t="s">
        <v>8</v>
      </c>
      <c r="E20" s="1" t="s">
        <v>9</v>
      </c>
      <c r="F20" s="63" t="s">
        <v>62</v>
      </c>
    </row>
    <row r="21" spans="1:6" x14ac:dyDescent="0.25">
      <c r="A21" s="84" t="s">
        <v>51</v>
      </c>
      <c r="B21" s="4">
        <v>5</v>
      </c>
      <c r="C21" s="5">
        <v>16</v>
      </c>
      <c r="D21" s="173">
        <v>250</v>
      </c>
      <c r="E21" s="7">
        <f>C21*D21</f>
        <v>4000</v>
      </c>
      <c r="F21" s="65">
        <f>B21*E21</f>
        <v>20000</v>
      </c>
    </row>
    <row r="22" spans="1:6" x14ac:dyDescent="0.25">
      <c r="A22" s="84" t="s">
        <v>260</v>
      </c>
      <c r="B22" s="4">
        <v>5</v>
      </c>
      <c r="C22" s="5">
        <v>16</v>
      </c>
      <c r="D22" s="173">
        <v>300</v>
      </c>
      <c r="E22" s="7">
        <f>C22*D22</f>
        <v>4800</v>
      </c>
      <c r="F22" s="65">
        <f>B22*E22</f>
        <v>24000</v>
      </c>
    </row>
    <row r="23" spans="1:6" x14ac:dyDescent="0.25">
      <c r="A23" s="84" t="s">
        <v>73</v>
      </c>
      <c r="B23" s="4">
        <v>5</v>
      </c>
      <c r="C23" s="5">
        <v>16</v>
      </c>
      <c r="D23" s="173">
        <v>100</v>
      </c>
      <c r="E23" s="7">
        <f t="shared" ref="E23:E26" si="1">C23*D23</f>
        <v>1600</v>
      </c>
      <c r="F23" s="65">
        <f t="shared" ref="F23:F26" si="2">B23*E23</f>
        <v>8000</v>
      </c>
    </row>
    <row r="24" spans="1:6" x14ac:dyDescent="0.25">
      <c r="A24" s="84" t="s">
        <v>72</v>
      </c>
      <c r="B24" s="4">
        <v>5</v>
      </c>
      <c r="C24" s="5">
        <v>32</v>
      </c>
      <c r="D24" s="173">
        <v>60</v>
      </c>
      <c r="E24" s="7">
        <f t="shared" si="1"/>
        <v>1920</v>
      </c>
      <c r="F24" s="65">
        <f t="shared" si="2"/>
        <v>9600</v>
      </c>
    </row>
    <row r="25" spans="1:6" x14ac:dyDescent="0.25">
      <c r="A25" s="84" t="s">
        <v>54</v>
      </c>
      <c r="B25" s="4">
        <v>5</v>
      </c>
      <c r="C25" s="5">
        <v>16</v>
      </c>
      <c r="D25" s="173">
        <v>150</v>
      </c>
      <c r="E25" s="7">
        <f t="shared" si="1"/>
        <v>2400</v>
      </c>
      <c r="F25" s="65">
        <f t="shared" si="2"/>
        <v>12000</v>
      </c>
    </row>
    <row r="26" spans="1:6" x14ac:dyDescent="0.25">
      <c r="A26" s="84" t="s">
        <v>53</v>
      </c>
      <c r="B26" s="4">
        <v>5</v>
      </c>
      <c r="C26" s="5">
        <v>400</v>
      </c>
      <c r="D26" s="173">
        <v>25</v>
      </c>
      <c r="E26" s="7">
        <f t="shared" si="1"/>
        <v>10000</v>
      </c>
      <c r="F26" s="65">
        <f t="shared" si="2"/>
        <v>50000</v>
      </c>
    </row>
    <row r="27" spans="1:6" ht="24.75" x14ac:dyDescent="0.4">
      <c r="A27" s="160"/>
      <c r="B27" s="161"/>
      <c r="C27" s="244" t="s">
        <v>139</v>
      </c>
      <c r="D27" s="245"/>
      <c r="E27" s="174">
        <f>SUM(E21:E26)</f>
        <v>24720</v>
      </c>
      <c r="F27" s="175"/>
    </row>
    <row r="28" spans="1:6" ht="25.5" thickBot="1" x14ac:dyDescent="0.45">
      <c r="A28" s="166" t="s">
        <v>261</v>
      </c>
      <c r="B28" s="167"/>
      <c r="C28" s="351" t="s">
        <v>19</v>
      </c>
      <c r="D28" s="352"/>
      <c r="E28" s="112">
        <f>SUM(F21:F26)</f>
        <v>123600</v>
      </c>
      <c r="F28" s="176"/>
    </row>
    <row r="29" spans="1:6" ht="24.75" x14ac:dyDescent="0.4">
      <c r="A29" s="166"/>
      <c r="B29" s="167"/>
      <c r="C29" s="247" t="s">
        <v>192</v>
      </c>
      <c r="D29" s="248"/>
      <c r="E29" s="113">
        <v>70000</v>
      </c>
      <c r="F29" s="176"/>
    </row>
    <row r="30" spans="1:6" ht="25.5" thickBot="1" x14ac:dyDescent="0.35">
      <c r="A30" s="162"/>
      <c r="B30" s="163"/>
      <c r="C30" s="351" t="s">
        <v>19</v>
      </c>
      <c r="D30" s="352"/>
      <c r="E30" s="177">
        <v>190000</v>
      </c>
      <c r="F30" s="72"/>
    </row>
    <row r="31" spans="1:6" x14ac:dyDescent="0.25">
      <c r="A31" s="178" t="s">
        <v>20</v>
      </c>
      <c r="B31" s="178"/>
      <c r="F31" s="179"/>
    </row>
    <row r="32" spans="1:6" ht="18.75" x14ac:dyDescent="0.3">
      <c r="A32" s="169" t="s">
        <v>262</v>
      </c>
      <c r="B32" s="169"/>
      <c r="C32" s="48">
        <v>400000</v>
      </c>
      <c r="F32" s="179"/>
    </row>
  </sheetData>
  <mergeCells count="10">
    <mergeCell ref="C27:D27"/>
    <mergeCell ref="C28:D28"/>
    <mergeCell ref="C29:D29"/>
    <mergeCell ref="C30:D30"/>
    <mergeCell ref="A1:G1"/>
    <mergeCell ref="A2:G2"/>
    <mergeCell ref="A3:G3"/>
    <mergeCell ref="A4:A5"/>
    <mergeCell ref="A17:F17"/>
    <mergeCell ref="A18:F18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BE28-950C-468D-82BC-9226B60435B2}">
  <dimension ref="A1:G10"/>
  <sheetViews>
    <sheetView workbookViewId="0">
      <selection sqref="A1:F10"/>
    </sheetView>
  </sheetViews>
  <sheetFormatPr baseColWidth="10" defaultRowHeight="15" x14ac:dyDescent="0.25"/>
  <cols>
    <col min="1" max="1" width="27.28515625" bestFit="1" customWidth="1"/>
    <col min="5" max="5" width="13.7109375" bestFit="1" customWidth="1"/>
  </cols>
  <sheetData>
    <row r="1" spans="1:7" ht="18" x14ac:dyDescent="0.25">
      <c r="A1" s="249" t="s">
        <v>224</v>
      </c>
      <c r="B1" s="250"/>
      <c r="C1" s="250"/>
      <c r="D1" s="250"/>
      <c r="E1" s="250"/>
      <c r="F1" s="251"/>
    </row>
    <row r="2" spans="1:7" ht="18" x14ac:dyDescent="0.25">
      <c r="A2" s="249" t="s">
        <v>225</v>
      </c>
      <c r="B2" s="250"/>
      <c r="C2" s="250"/>
      <c r="D2" s="250"/>
      <c r="E2" s="250"/>
      <c r="F2" s="251"/>
    </row>
    <row r="3" spans="1:7" x14ac:dyDescent="0.25">
      <c r="A3" s="235" t="s">
        <v>3</v>
      </c>
      <c r="B3" s="236" t="s">
        <v>4</v>
      </c>
      <c r="C3" s="236"/>
      <c r="D3" s="236"/>
      <c r="E3" s="236" t="s">
        <v>5</v>
      </c>
      <c r="F3" s="237"/>
    </row>
    <row r="4" spans="1:7" x14ac:dyDescent="0.25">
      <c r="A4" s="235"/>
      <c r="B4" s="1" t="s">
        <v>6</v>
      </c>
      <c r="C4" s="1" t="s">
        <v>7</v>
      </c>
      <c r="D4" s="1" t="s">
        <v>8</v>
      </c>
      <c r="E4" s="1" t="s">
        <v>9</v>
      </c>
      <c r="F4" s="2" t="s">
        <v>10</v>
      </c>
    </row>
    <row r="5" spans="1:7" x14ac:dyDescent="0.25">
      <c r="A5" s="3" t="s">
        <v>226</v>
      </c>
      <c r="B5" s="5">
        <v>11</v>
      </c>
      <c r="C5" s="4">
        <v>1</v>
      </c>
      <c r="D5" s="17">
        <v>1300</v>
      </c>
      <c r="E5" s="17">
        <f>C5*D5</f>
        <v>1300</v>
      </c>
      <c r="F5" s="18">
        <f>B5*E5</f>
        <v>14300</v>
      </c>
      <c r="G5" t="s">
        <v>227</v>
      </c>
    </row>
    <row r="6" spans="1:7" x14ac:dyDescent="0.25">
      <c r="A6" s="3" t="s">
        <v>13</v>
      </c>
      <c r="B6" s="5">
        <v>11</v>
      </c>
      <c r="C6" s="4">
        <v>2</v>
      </c>
      <c r="D6" s="17">
        <v>900</v>
      </c>
      <c r="E6" s="17">
        <f t="shared" ref="E6:E8" si="0">C6*D6</f>
        <v>1800</v>
      </c>
      <c r="F6" s="18">
        <f t="shared" ref="F6:F8" si="1">B6*E6</f>
        <v>19800</v>
      </c>
      <c r="G6" t="s">
        <v>227</v>
      </c>
    </row>
    <row r="7" spans="1:7" x14ac:dyDescent="0.25">
      <c r="A7" s="3" t="s">
        <v>228</v>
      </c>
      <c r="B7" s="5">
        <v>8</v>
      </c>
      <c r="C7" s="158">
        <v>1</v>
      </c>
      <c r="D7" s="159">
        <v>900</v>
      </c>
      <c r="E7" s="17">
        <f t="shared" si="0"/>
        <v>900</v>
      </c>
      <c r="F7" s="18">
        <f t="shared" si="1"/>
        <v>7200</v>
      </c>
      <c r="G7" t="s">
        <v>229</v>
      </c>
    </row>
    <row r="8" spans="1:7" x14ac:dyDescent="0.25">
      <c r="A8" s="3" t="s">
        <v>54</v>
      </c>
      <c r="B8" s="5">
        <v>8</v>
      </c>
      <c r="C8" s="158">
        <v>3</v>
      </c>
      <c r="D8" s="159">
        <v>1000</v>
      </c>
      <c r="E8" s="17">
        <f t="shared" si="0"/>
        <v>3000</v>
      </c>
      <c r="F8" s="18">
        <f t="shared" si="1"/>
        <v>24000</v>
      </c>
      <c r="G8" t="s">
        <v>229</v>
      </c>
    </row>
    <row r="9" spans="1:7" ht="18.75" x14ac:dyDescent="0.4">
      <c r="A9" s="345" t="s">
        <v>230</v>
      </c>
      <c r="B9" s="346"/>
      <c r="C9" s="244" t="s">
        <v>42</v>
      </c>
      <c r="D9" s="245"/>
      <c r="E9" s="9">
        <f>SUM(E5:E8)</f>
        <v>7000</v>
      </c>
      <c r="F9" s="10"/>
    </row>
    <row r="10" spans="1:7" ht="19.5" thickBot="1" x14ac:dyDescent="0.45">
      <c r="A10" s="349"/>
      <c r="B10" s="350"/>
      <c r="C10" s="351" t="s">
        <v>19</v>
      </c>
      <c r="D10" s="352"/>
      <c r="E10" s="11">
        <f>SUM(F5:F8)</f>
        <v>65300</v>
      </c>
      <c r="F10" s="15"/>
    </row>
  </sheetData>
  <mergeCells count="8">
    <mergeCell ref="A9:B10"/>
    <mergeCell ref="C9:D9"/>
    <mergeCell ref="C10:D10"/>
    <mergeCell ref="A1:F1"/>
    <mergeCell ref="A2:F2"/>
    <mergeCell ref="A3:A4"/>
    <mergeCell ref="B3:D3"/>
    <mergeCell ref="E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AE43-57AE-4AB3-9B57-FD88729A8082}">
  <sheetPr>
    <pageSetUpPr fitToPage="1"/>
  </sheetPr>
  <dimension ref="A1:G36"/>
  <sheetViews>
    <sheetView topLeftCell="A32" workbookViewId="0">
      <selection sqref="A1:G36"/>
    </sheetView>
  </sheetViews>
  <sheetFormatPr baseColWidth="10" defaultRowHeight="15" x14ac:dyDescent="0.25"/>
  <cols>
    <col min="1" max="1" width="34" customWidth="1"/>
    <col min="5" max="5" width="14.42578125" bestFit="1" customWidth="1"/>
    <col min="7" max="7" width="18" customWidth="1"/>
  </cols>
  <sheetData>
    <row r="1" spans="1:5" ht="18.75" x14ac:dyDescent="0.3">
      <c r="A1" s="272" t="s">
        <v>341</v>
      </c>
      <c r="B1" s="272"/>
      <c r="C1" s="272"/>
      <c r="D1" s="272"/>
      <c r="E1" s="272"/>
    </row>
    <row r="2" spans="1:5" ht="18.75" x14ac:dyDescent="0.3">
      <c r="A2" s="272" t="s">
        <v>349</v>
      </c>
      <c r="B2" s="272"/>
      <c r="C2" s="272"/>
      <c r="D2" s="272"/>
      <c r="E2" s="272"/>
    </row>
    <row r="3" spans="1:5" ht="18.75" x14ac:dyDescent="0.3">
      <c r="A3" s="272" t="s">
        <v>69</v>
      </c>
      <c r="B3" s="272"/>
      <c r="C3" s="272"/>
      <c r="D3" s="272"/>
      <c r="E3" s="272"/>
    </row>
    <row r="4" spans="1:5" x14ac:dyDescent="0.25">
      <c r="A4" s="257" t="s">
        <v>3</v>
      </c>
      <c r="B4" s="34" t="s">
        <v>30</v>
      </c>
      <c r="C4" s="55"/>
      <c r="D4" s="55"/>
      <c r="E4" s="29" t="s">
        <v>30</v>
      </c>
    </row>
    <row r="5" spans="1:5" x14ac:dyDescent="0.25">
      <c r="A5" s="257"/>
      <c r="B5" s="51">
        <v>45846</v>
      </c>
      <c r="C5" s="31"/>
      <c r="D5" s="31"/>
      <c r="E5" s="51">
        <v>45874</v>
      </c>
    </row>
    <row r="6" spans="1:5" x14ac:dyDescent="0.25">
      <c r="A6" s="220" t="s">
        <v>169</v>
      </c>
      <c r="B6" s="29">
        <v>8</v>
      </c>
      <c r="C6" s="53"/>
      <c r="D6" s="53"/>
      <c r="E6" s="164">
        <f t="shared" ref="E6:E8" si="0">SUM(B6:D6)</f>
        <v>8</v>
      </c>
    </row>
    <row r="7" spans="1:5" x14ac:dyDescent="0.25">
      <c r="A7" s="220" t="s">
        <v>350</v>
      </c>
      <c r="B7" s="29">
        <v>7</v>
      </c>
      <c r="C7" s="53"/>
      <c r="D7" s="53"/>
      <c r="E7" s="164">
        <f t="shared" si="0"/>
        <v>7</v>
      </c>
    </row>
    <row r="8" spans="1:5" x14ac:dyDescent="0.25">
      <c r="A8" s="220" t="s">
        <v>185</v>
      </c>
      <c r="B8" s="29">
        <v>2</v>
      </c>
      <c r="C8" s="53"/>
      <c r="D8" s="53"/>
      <c r="E8" s="164">
        <f t="shared" si="0"/>
        <v>2</v>
      </c>
    </row>
    <row r="9" spans="1:5" x14ac:dyDescent="0.25">
      <c r="A9" s="220" t="s">
        <v>351</v>
      </c>
      <c r="B9" s="29">
        <v>6</v>
      </c>
      <c r="C9" s="53"/>
      <c r="D9" s="53"/>
      <c r="E9" s="164">
        <f>SUM(B9:D9)</f>
        <v>6</v>
      </c>
    </row>
    <row r="10" spans="1:5" x14ac:dyDescent="0.25">
      <c r="A10" s="220" t="s">
        <v>70</v>
      </c>
      <c r="B10" s="29">
        <v>1</v>
      </c>
      <c r="C10" s="53"/>
      <c r="D10" s="53"/>
      <c r="E10" s="164">
        <f>SUM(B10:D10)</f>
        <v>1</v>
      </c>
    </row>
    <row r="11" spans="1:5" x14ac:dyDescent="0.25">
      <c r="A11" s="220" t="s">
        <v>352</v>
      </c>
      <c r="B11" s="29">
        <v>25</v>
      </c>
      <c r="C11" s="53"/>
      <c r="D11" s="53"/>
      <c r="E11" s="164">
        <f>SUM(B11:D11)</f>
        <v>25</v>
      </c>
    </row>
    <row r="12" spans="1:5" x14ac:dyDescent="0.25">
      <c r="A12" s="220" t="s">
        <v>189</v>
      </c>
      <c r="B12" s="29">
        <v>2</v>
      </c>
      <c r="C12" s="53"/>
      <c r="D12" s="53"/>
      <c r="E12" s="164">
        <f>SUM(B12:D12)</f>
        <v>2</v>
      </c>
    </row>
    <row r="13" spans="1:5" x14ac:dyDescent="0.25">
      <c r="A13" s="220" t="s">
        <v>54</v>
      </c>
      <c r="B13" s="29">
        <v>2</v>
      </c>
      <c r="C13" s="53"/>
      <c r="D13" s="53"/>
      <c r="E13" s="164">
        <f>SUM(B13:D13)</f>
        <v>2</v>
      </c>
    </row>
    <row r="14" spans="1:5" x14ac:dyDescent="0.25">
      <c r="A14" s="39" t="s">
        <v>59</v>
      </c>
      <c r="B14" s="221"/>
      <c r="C14" s="222"/>
      <c r="D14" s="42"/>
      <c r="E14" s="223"/>
    </row>
    <row r="15" spans="1:5" x14ac:dyDescent="0.25">
      <c r="A15" s="39" t="s">
        <v>39</v>
      </c>
      <c r="B15" s="224"/>
      <c r="C15" s="83"/>
      <c r="D15" s="225"/>
      <c r="E15" s="226">
        <f>SUM(C15:D15)</f>
        <v>0</v>
      </c>
    </row>
    <row r="20" spans="1:7" ht="15.75" thickBot="1" x14ac:dyDescent="0.3"/>
    <row r="21" spans="1:7" x14ac:dyDescent="0.25">
      <c r="A21" s="364" t="s">
        <v>340</v>
      </c>
      <c r="B21" s="365"/>
      <c r="C21" s="365"/>
      <c r="D21" s="365"/>
      <c r="E21" s="365"/>
      <c r="F21" s="365"/>
      <c r="G21" s="366"/>
    </row>
    <row r="22" spans="1:7" x14ac:dyDescent="0.25">
      <c r="A22" s="367" t="s">
        <v>341</v>
      </c>
      <c r="B22" s="281"/>
      <c r="C22" s="281"/>
      <c r="D22" s="281"/>
      <c r="E22" s="281"/>
      <c r="F22" s="281"/>
      <c r="G22" s="368"/>
    </row>
    <row r="23" spans="1:7" ht="18.75" x14ac:dyDescent="0.3">
      <c r="A23" s="277" t="s">
        <v>354</v>
      </c>
      <c r="B23" s="278"/>
      <c r="C23" s="278"/>
      <c r="D23" s="278"/>
      <c r="E23" s="278"/>
      <c r="F23" s="278"/>
      <c r="G23" s="283"/>
    </row>
    <row r="24" spans="1:7" ht="18" x14ac:dyDescent="0.25">
      <c r="A24" s="300" t="s">
        <v>342</v>
      </c>
      <c r="B24" s="261"/>
      <c r="C24" s="261"/>
      <c r="D24" s="261"/>
      <c r="E24" s="261"/>
      <c r="F24" s="261"/>
      <c r="G24" s="369"/>
    </row>
    <row r="25" spans="1:7" x14ac:dyDescent="0.25">
      <c r="A25" s="340" t="s">
        <v>3</v>
      </c>
      <c r="B25" s="370" t="s">
        <v>4</v>
      </c>
      <c r="C25" s="370"/>
      <c r="D25" s="370"/>
      <c r="E25" s="370" t="s">
        <v>5</v>
      </c>
      <c r="F25" s="371"/>
      <c r="G25" s="372" t="s">
        <v>113</v>
      </c>
    </row>
    <row r="26" spans="1:7" x14ac:dyDescent="0.25">
      <c r="A26" s="235"/>
      <c r="B26" s="1" t="s">
        <v>6</v>
      </c>
      <c r="C26" s="1" t="s">
        <v>7</v>
      </c>
      <c r="D26" s="1" t="s">
        <v>8</v>
      </c>
      <c r="E26" s="1" t="s">
        <v>9</v>
      </c>
      <c r="F26" s="58" t="s">
        <v>10</v>
      </c>
      <c r="G26" s="372"/>
    </row>
    <row r="27" spans="1:7" x14ac:dyDescent="0.25">
      <c r="A27" s="3" t="s">
        <v>343</v>
      </c>
      <c r="B27" s="4">
        <v>28</v>
      </c>
      <c r="C27" s="5">
        <v>4</v>
      </c>
      <c r="D27" s="6">
        <v>1500</v>
      </c>
      <c r="E27" s="7">
        <f t="shared" ref="E27:E33" si="1">C27*D27</f>
        <v>6000</v>
      </c>
      <c r="F27" s="218">
        <f t="shared" ref="F27:F33" si="2">B27*E27</f>
        <v>168000</v>
      </c>
      <c r="G27" s="219" t="s">
        <v>353</v>
      </c>
    </row>
    <row r="28" spans="1:7" x14ac:dyDescent="0.25">
      <c r="A28" s="3" t="s">
        <v>344</v>
      </c>
      <c r="B28" s="4">
        <v>28</v>
      </c>
      <c r="C28" s="5">
        <v>2</v>
      </c>
      <c r="D28" s="6">
        <v>500</v>
      </c>
      <c r="E28" s="7">
        <f t="shared" si="1"/>
        <v>1000</v>
      </c>
      <c r="F28" s="218">
        <f t="shared" si="2"/>
        <v>28000</v>
      </c>
      <c r="G28" s="219" t="s">
        <v>353</v>
      </c>
    </row>
    <row r="29" spans="1:7" x14ac:dyDescent="0.25">
      <c r="A29" s="3" t="s">
        <v>345</v>
      </c>
      <c r="B29" s="4">
        <v>28</v>
      </c>
      <c r="C29" s="5">
        <v>6</v>
      </c>
      <c r="D29" s="6">
        <v>350</v>
      </c>
      <c r="E29" s="7">
        <f t="shared" si="1"/>
        <v>2100</v>
      </c>
      <c r="F29" s="218">
        <f t="shared" si="2"/>
        <v>58800</v>
      </c>
      <c r="G29" s="219" t="s">
        <v>353</v>
      </c>
    </row>
    <row r="30" spans="1:7" x14ac:dyDescent="0.25">
      <c r="A30" s="3" t="s">
        <v>346</v>
      </c>
      <c r="B30" s="4">
        <v>28</v>
      </c>
      <c r="C30" s="5">
        <v>1</v>
      </c>
      <c r="D30" s="6">
        <v>330</v>
      </c>
      <c r="E30" s="7">
        <f t="shared" si="1"/>
        <v>330</v>
      </c>
      <c r="F30" s="218">
        <f t="shared" si="2"/>
        <v>9240</v>
      </c>
      <c r="G30" s="219" t="s">
        <v>353</v>
      </c>
    </row>
    <row r="31" spans="1:7" x14ac:dyDescent="0.25">
      <c r="A31" s="3" t="s">
        <v>53</v>
      </c>
      <c r="B31" s="4">
        <v>28</v>
      </c>
      <c r="C31" s="5">
        <v>25</v>
      </c>
      <c r="D31" s="6">
        <v>25</v>
      </c>
      <c r="E31" s="7">
        <f t="shared" si="1"/>
        <v>625</v>
      </c>
      <c r="F31" s="218">
        <f t="shared" si="2"/>
        <v>17500</v>
      </c>
      <c r="G31" s="219" t="s">
        <v>353</v>
      </c>
    </row>
    <row r="32" spans="1:7" x14ac:dyDescent="0.25">
      <c r="A32" s="3" t="s">
        <v>347</v>
      </c>
      <c r="B32" s="4">
        <v>28</v>
      </c>
      <c r="C32" s="5">
        <v>2</v>
      </c>
      <c r="D32" s="6">
        <v>150</v>
      </c>
      <c r="E32" s="7">
        <f t="shared" si="1"/>
        <v>300</v>
      </c>
      <c r="F32" s="218">
        <f t="shared" si="2"/>
        <v>8400</v>
      </c>
      <c r="G32" s="219" t="s">
        <v>353</v>
      </c>
    </row>
    <row r="33" spans="1:7" x14ac:dyDescent="0.25">
      <c r="A33" s="3" t="s">
        <v>348</v>
      </c>
      <c r="B33" s="4">
        <v>28</v>
      </c>
      <c r="C33" s="5">
        <v>2</v>
      </c>
      <c r="D33" s="6">
        <v>150</v>
      </c>
      <c r="E33" s="7">
        <f t="shared" si="1"/>
        <v>300</v>
      </c>
      <c r="F33" s="218">
        <f t="shared" si="2"/>
        <v>8400</v>
      </c>
      <c r="G33" s="219" t="s">
        <v>353</v>
      </c>
    </row>
    <row r="34" spans="1:7" ht="18.75" x14ac:dyDescent="0.4">
      <c r="A34" s="354" t="s">
        <v>353</v>
      </c>
      <c r="B34" s="355"/>
      <c r="C34" s="269" t="s">
        <v>19</v>
      </c>
      <c r="D34" s="269"/>
      <c r="E34" s="9">
        <f>SUM(F27:F33)</f>
        <v>298340</v>
      </c>
      <c r="F34" s="290"/>
      <c r="G34" s="360"/>
    </row>
    <row r="35" spans="1:7" ht="19.5" thickBot="1" x14ac:dyDescent="0.45">
      <c r="A35" s="356"/>
      <c r="B35" s="357"/>
      <c r="C35" s="246" t="s">
        <v>18</v>
      </c>
      <c r="D35" s="246"/>
      <c r="E35" s="112">
        <v>20000</v>
      </c>
      <c r="F35" s="292"/>
      <c r="G35" s="361"/>
    </row>
    <row r="36" spans="1:7" ht="19.5" thickBot="1" x14ac:dyDescent="0.45">
      <c r="A36" s="358"/>
      <c r="B36" s="359"/>
      <c r="C36" s="246" t="s">
        <v>19</v>
      </c>
      <c r="D36" s="246"/>
      <c r="E36" s="112">
        <f>SUM(E34:E35)</f>
        <v>318340</v>
      </c>
      <c r="F36" s="362"/>
      <c r="G36" s="363"/>
    </row>
  </sheetData>
  <mergeCells count="17">
    <mergeCell ref="A22:G22"/>
    <mergeCell ref="A23:G23"/>
    <mergeCell ref="A24:G24"/>
    <mergeCell ref="A25:A26"/>
    <mergeCell ref="B25:D25"/>
    <mergeCell ref="E25:F25"/>
    <mergeCell ref="G25:G26"/>
    <mergeCell ref="A1:E1"/>
    <mergeCell ref="A2:E2"/>
    <mergeCell ref="A3:E3"/>
    <mergeCell ref="A4:A5"/>
    <mergeCell ref="A21:G21"/>
    <mergeCell ref="A34:B36"/>
    <mergeCell ref="C34:D34"/>
    <mergeCell ref="F34:G36"/>
    <mergeCell ref="C35:D35"/>
    <mergeCell ref="C36:D36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57F9-6F28-4AA3-95FB-FBA95BA092C7}">
  <sheetPr>
    <pageSetUpPr fitToPage="1"/>
  </sheetPr>
  <dimension ref="A1:V54"/>
  <sheetViews>
    <sheetView topLeftCell="A39" workbookViewId="0">
      <selection activeCell="A61" sqref="A61"/>
    </sheetView>
  </sheetViews>
  <sheetFormatPr baseColWidth="10" defaultRowHeight="15" x14ac:dyDescent="0.25"/>
  <cols>
    <col min="1" max="1" width="34.85546875" bestFit="1" customWidth="1"/>
    <col min="5" max="5" width="18.42578125" bestFit="1" customWidth="1"/>
    <col min="7" max="7" width="20.5703125" customWidth="1"/>
  </cols>
  <sheetData>
    <row r="1" spans="1:22" ht="18.75" x14ac:dyDescent="0.3">
      <c r="A1" s="336" t="s">
        <v>300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353"/>
    </row>
    <row r="2" spans="1:22" ht="18.75" x14ac:dyDescent="0.3">
      <c r="A2" s="336" t="s">
        <v>356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353"/>
    </row>
    <row r="3" spans="1:22" ht="18.75" x14ac:dyDescent="0.3">
      <c r="A3" s="336" t="s">
        <v>235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353"/>
    </row>
    <row r="4" spans="1:22" x14ac:dyDescent="0.25">
      <c r="A4" s="270" t="s">
        <v>3</v>
      </c>
      <c r="B4" s="29" t="s">
        <v>30</v>
      </c>
      <c r="C4" s="55">
        <v>11611</v>
      </c>
      <c r="D4" s="55">
        <v>11615</v>
      </c>
      <c r="E4" s="28">
        <v>11620</v>
      </c>
      <c r="F4" s="28">
        <v>11623</v>
      </c>
      <c r="G4" s="28">
        <v>12830</v>
      </c>
      <c r="H4" s="28">
        <v>12832</v>
      </c>
      <c r="I4" s="28">
        <v>11629</v>
      </c>
      <c r="J4" s="28">
        <v>12843</v>
      </c>
      <c r="K4" s="28">
        <v>11635</v>
      </c>
      <c r="L4" s="28">
        <v>12852</v>
      </c>
      <c r="M4" s="28">
        <v>11642</v>
      </c>
      <c r="N4" s="28">
        <v>12856</v>
      </c>
      <c r="O4" s="28">
        <v>12860</v>
      </c>
      <c r="P4" s="28">
        <v>11658</v>
      </c>
      <c r="Q4" s="28">
        <v>11660</v>
      </c>
      <c r="R4" s="28">
        <v>12880</v>
      </c>
      <c r="S4" s="28">
        <v>12895</v>
      </c>
      <c r="T4" s="28">
        <v>11675</v>
      </c>
      <c r="U4" s="28">
        <v>11679</v>
      </c>
      <c r="V4" s="29"/>
    </row>
    <row r="5" spans="1:22" x14ac:dyDescent="0.25">
      <c r="A5" s="271"/>
      <c r="B5" s="51">
        <v>45838</v>
      </c>
      <c r="C5" s="31">
        <v>45839</v>
      </c>
      <c r="D5" s="31">
        <v>45840</v>
      </c>
      <c r="E5" s="31">
        <v>45842</v>
      </c>
      <c r="F5" s="31">
        <v>45843</v>
      </c>
      <c r="G5" s="31">
        <v>45845</v>
      </c>
      <c r="H5" s="31">
        <v>45845</v>
      </c>
      <c r="I5" s="31">
        <v>45847</v>
      </c>
      <c r="J5" s="31">
        <v>45848</v>
      </c>
      <c r="K5" s="31">
        <v>45850</v>
      </c>
      <c r="L5" s="31">
        <v>45852</v>
      </c>
      <c r="M5" s="31">
        <v>45853</v>
      </c>
      <c r="N5" s="31">
        <v>45854</v>
      </c>
      <c r="O5" s="31">
        <v>45854</v>
      </c>
      <c r="P5" s="31">
        <v>45860</v>
      </c>
      <c r="Q5" s="31">
        <v>45861</v>
      </c>
      <c r="R5" s="31">
        <v>45861</v>
      </c>
      <c r="S5" s="31">
        <v>45866</v>
      </c>
      <c r="T5" s="31">
        <v>45868</v>
      </c>
      <c r="U5" s="31">
        <v>45868</v>
      </c>
      <c r="V5" s="51">
        <v>45869</v>
      </c>
    </row>
    <row r="6" spans="1:22" x14ac:dyDescent="0.25">
      <c r="A6" s="52" t="s">
        <v>267</v>
      </c>
      <c r="B6" s="230">
        <v>19</v>
      </c>
      <c r="C6" s="53"/>
      <c r="D6" s="81">
        <v>-19</v>
      </c>
      <c r="E6" s="53"/>
      <c r="F6" s="53"/>
      <c r="G6" s="53"/>
      <c r="H6" s="53"/>
      <c r="I6" s="53"/>
      <c r="J6" s="53">
        <v>3</v>
      </c>
      <c r="K6" s="53"/>
      <c r="L6" s="53"/>
      <c r="M6" s="53"/>
      <c r="N6" s="53"/>
      <c r="O6" s="53"/>
      <c r="P6" s="53"/>
      <c r="Q6" s="53"/>
      <c r="R6" s="53"/>
      <c r="S6" s="53"/>
      <c r="T6" s="53">
        <v>-3</v>
      </c>
      <c r="U6" s="53"/>
      <c r="V6" s="34">
        <f>SUM(B6:T6)</f>
        <v>0</v>
      </c>
    </row>
    <row r="7" spans="1:22" x14ac:dyDescent="0.25">
      <c r="A7" s="52" t="s">
        <v>357</v>
      </c>
      <c r="B7" s="230"/>
      <c r="C7" s="53"/>
      <c r="D7" s="53"/>
      <c r="E7" s="53"/>
      <c r="F7" s="53"/>
      <c r="G7" s="81">
        <v>8</v>
      </c>
      <c r="H7" s="81">
        <v>10</v>
      </c>
      <c r="I7" s="53"/>
      <c r="J7" s="53"/>
      <c r="K7" s="81">
        <v>-10</v>
      </c>
      <c r="L7" s="53"/>
      <c r="M7" s="81">
        <v>-8</v>
      </c>
      <c r="N7" s="53"/>
      <c r="O7" s="53"/>
      <c r="P7" s="53"/>
      <c r="Q7" s="53"/>
      <c r="R7" s="53"/>
      <c r="S7" s="53"/>
      <c r="T7" s="53"/>
      <c r="U7" s="53"/>
      <c r="V7" s="34">
        <f>SUM(B7:T7)</f>
        <v>0</v>
      </c>
    </row>
    <row r="8" spans="1:22" x14ac:dyDescent="0.25">
      <c r="A8" s="52" t="s">
        <v>358</v>
      </c>
      <c r="B8" s="230"/>
      <c r="C8" s="53"/>
      <c r="D8" s="53"/>
      <c r="E8" s="53"/>
      <c r="F8" s="53"/>
      <c r="G8" s="53">
        <v>5</v>
      </c>
      <c r="H8" s="53"/>
      <c r="I8" s="53"/>
      <c r="J8" s="53"/>
      <c r="K8" s="53"/>
      <c r="L8" s="53"/>
      <c r="M8" s="81">
        <v>-5</v>
      </c>
      <c r="N8" s="53"/>
      <c r="O8" s="53">
        <v>1</v>
      </c>
      <c r="P8" s="53"/>
      <c r="Q8" s="53"/>
      <c r="R8" s="53"/>
      <c r="S8" s="53"/>
      <c r="T8" s="53"/>
      <c r="U8" s="53">
        <v>-1</v>
      </c>
      <c r="V8" s="34">
        <f>SUM(B8:U8)</f>
        <v>0</v>
      </c>
    </row>
    <row r="9" spans="1:22" x14ac:dyDescent="0.25">
      <c r="A9" s="52" t="s">
        <v>359</v>
      </c>
      <c r="B9" s="230"/>
      <c r="C9" s="53"/>
      <c r="D9" s="53"/>
      <c r="E9" s="53"/>
      <c r="F9" s="53"/>
      <c r="G9" s="53">
        <v>10</v>
      </c>
      <c r="H9" s="53"/>
      <c r="I9" s="53"/>
      <c r="J9" s="53"/>
      <c r="K9" s="53"/>
      <c r="L9" s="53"/>
      <c r="M9" s="81">
        <v>-10</v>
      </c>
      <c r="N9" s="53"/>
      <c r="O9" s="53"/>
      <c r="P9" s="53"/>
      <c r="Q9" s="53"/>
      <c r="R9" s="53"/>
      <c r="S9" s="53"/>
      <c r="T9" s="53"/>
      <c r="U9" s="53"/>
      <c r="V9" s="34">
        <f>SUM(B9:M9)</f>
        <v>0</v>
      </c>
    </row>
    <row r="10" spans="1:22" x14ac:dyDescent="0.25">
      <c r="A10" s="52" t="s">
        <v>107</v>
      </c>
      <c r="B10" s="230"/>
      <c r="C10" s="53"/>
      <c r="D10" s="53"/>
      <c r="E10" s="53"/>
      <c r="F10" s="53"/>
      <c r="G10" s="53"/>
      <c r="H10" s="53"/>
      <c r="I10" s="53"/>
      <c r="J10" s="53">
        <v>8</v>
      </c>
      <c r="K10" s="53"/>
      <c r="L10" s="53"/>
      <c r="M10" s="53"/>
      <c r="N10" s="53"/>
      <c r="O10" s="53"/>
      <c r="P10" s="53"/>
      <c r="Q10" s="53"/>
      <c r="R10" s="53"/>
      <c r="S10" s="53"/>
      <c r="T10" s="53">
        <v>-8</v>
      </c>
      <c r="U10" s="53"/>
      <c r="V10" s="34">
        <f>SUM(B10:T10)</f>
        <v>0</v>
      </c>
    </row>
    <row r="11" spans="1:22" x14ac:dyDescent="0.25">
      <c r="A11" s="52" t="s">
        <v>71</v>
      </c>
      <c r="B11" s="230"/>
      <c r="C11" s="53"/>
      <c r="D11" s="53"/>
      <c r="E11" s="53"/>
      <c r="F11" s="53"/>
      <c r="G11" s="53"/>
      <c r="H11" s="53"/>
      <c r="I11" s="53"/>
      <c r="J11" s="53">
        <v>8</v>
      </c>
      <c r="K11" s="53"/>
      <c r="L11" s="53"/>
      <c r="M11" s="53"/>
      <c r="N11" s="53"/>
      <c r="O11" s="53"/>
      <c r="P11" s="53"/>
      <c r="Q11" s="53"/>
      <c r="R11" s="53"/>
      <c r="S11" s="53"/>
      <c r="T11" s="53">
        <v>-8</v>
      </c>
      <c r="U11" s="53"/>
      <c r="V11" s="34">
        <f>SUM(I11:T11)</f>
        <v>0</v>
      </c>
    </row>
    <row r="12" spans="1:22" x14ac:dyDescent="0.25">
      <c r="A12" s="52" t="s">
        <v>360</v>
      </c>
      <c r="B12" s="230">
        <v>19</v>
      </c>
      <c r="C12" s="81">
        <v>-1</v>
      </c>
      <c r="D12" s="53"/>
      <c r="E12" s="53"/>
      <c r="F12" s="81">
        <v>-9</v>
      </c>
      <c r="G12" s="53"/>
      <c r="H12" s="53"/>
      <c r="I12" s="81">
        <v>-3</v>
      </c>
      <c r="J12" s="53"/>
      <c r="K12" s="53"/>
      <c r="L12" s="53"/>
      <c r="M12" s="53"/>
      <c r="N12" s="53"/>
      <c r="O12" s="53"/>
      <c r="P12" s="53"/>
      <c r="Q12" s="53"/>
      <c r="R12" s="53"/>
      <c r="S12" s="81">
        <v>13</v>
      </c>
      <c r="T12" s="53">
        <v>-1</v>
      </c>
      <c r="U12" s="53"/>
      <c r="V12" s="34">
        <f>SUM(B12:T12)</f>
        <v>18</v>
      </c>
    </row>
    <row r="13" spans="1:22" x14ac:dyDescent="0.25">
      <c r="A13" s="52" t="s">
        <v>103</v>
      </c>
      <c r="B13" s="230">
        <v>50</v>
      </c>
      <c r="C13" s="81">
        <v>-30</v>
      </c>
      <c r="D13" s="53"/>
      <c r="E13" s="81">
        <v>-1</v>
      </c>
      <c r="F13" s="81">
        <v>-19</v>
      </c>
      <c r="G13" s="53"/>
      <c r="H13" s="53">
        <v>6</v>
      </c>
      <c r="I13" s="53"/>
      <c r="J13" s="53"/>
      <c r="K13" s="53"/>
      <c r="L13" s="53"/>
      <c r="M13" s="53"/>
      <c r="N13" s="53"/>
      <c r="O13" s="53"/>
      <c r="P13" s="53"/>
      <c r="Q13" s="53">
        <v>-6</v>
      </c>
      <c r="R13" s="53"/>
      <c r="S13" s="53"/>
      <c r="T13" s="53"/>
      <c r="U13" s="53"/>
      <c r="V13" s="34">
        <f>SUM(B13:R13)</f>
        <v>0</v>
      </c>
    </row>
    <row r="14" spans="1:22" x14ac:dyDescent="0.25">
      <c r="A14" s="52" t="s">
        <v>361</v>
      </c>
      <c r="B14" s="230">
        <v>2</v>
      </c>
      <c r="C14" s="53"/>
      <c r="D14" s="53"/>
      <c r="E14" s="53"/>
      <c r="F14" s="81">
        <v>-2</v>
      </c>
      <c r="G14" s="53"/>
      <c r="H14" s="53"/>
      <c r="I14" s="53"/>
      <c r="J14" s="53"/>
      <c r="K14" s="53"/>
      <c r="L14" s="53">
        <v>1</v>
      </c>
      <c r="M14" s="53"/>
      <c r="N14" s="53"/>
      <c r="O14" s="53"/>
      <c r="P14" s="53"/>
      <c r="Q14" s="53">
        <v>-1</v>
      </c>
      <c r="R14" s="53"/>
      <c r="S14" s="53"/>
      <c r="T14" s="53"/>
      <c r="U14" s="53"/>
      <c r="V14" s="34">
        <f t="shared" ref="V14:V19" si="0">SUM(B14:U14)</f>
        <v>0</v>
      </c>
    </row>
    <row r="15" spans="1:22" x14ac:dyDescent="0.25">
      <c r="A15" s="52" t="s">
        <v>177</v>
      </c>
      <c r="B15" s="230">
        <v>8</v>
      </c>
      <c r="C15" s="53"/>
      <c r="D15" s="53"/>
      <c r="E15" s="53"/>
      <c r="F15" s="81">
        <v>-8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34">
        <f t="shared" si="0"/>
        <v>0</v>
      </c>
    </row>
    <row r="16" spans="1:22" x14ac:dyDescent="0.25">
      <c r="A16" s="52" t="s">
        <v>362</v>
      </c>
      <c r="B16" s="230">
        <v>10</v>
      </c>
      <c r="C16" s="53"/>
      <c r="D16" s="81">
        <v>-10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34">
        <f t="shared" si="0"/>
        <v>0</v>
      </c>
    </row>
    <row r="17" spans="1:22" x14ac:dyDescent="0.25">
      <c r="A17" s="52" t="s">
        <v>363</v>
      </c>
      <c r="B17" s="230"/>
      <c r="C17" s="53"/>
      <c r="D17" s="53"/>
      <c r="E17" s="53"/>
      <c r="F17" s="53"/>
      <c r="G17" s="53"/>
      <c r="H17" s="53">
        <v>6</v>
      </c>
      <c r="I17" s="53"/>
      <c r="J17" s="53"/>
      <c r="K17" s="81">
        <v>-6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34">
        <f t="shared" si="0"/>
        <v>0</v>
      </c>
    </row>
    <row r="18" spans="1:22" x14ac:dyDescent="0.25">
      <c r="A18" s="52" t="s">
        <v>364</v>
      </c>
      <c r="B18" s="230"/>
      <c r="C18" s="53"/>
      <c r="D18" s="53"/>
      <c r="E18" s="53"/>
      <c r="F18" s="53"/>
      <c r="G18" s="53"/>
      <c r="H18" s="53"/>
      <c r="I18" s="53"/>
      <c r="J18" s="53"/>
      <c r="N18" s="53">
        <v>1</v>
      </c>
      <c r="O18" s="53"/>
      <c r="P18" s="53">
        <v>-1</v>
      </c>
      <c r="Q18" s="53"/>
      <c r="R18" s="53"/>
      <c r="S18" s="53"/>
      <c r="T18" s="53"/>
      <c r="U18" s="53"/>
      <c r="V18" s="34">
        <f t="shared" si="0"/>
        <v>0</v>
      </c>
    </row>
    <row r="19" spans="1:22" x14ac:dyDescent="0.25">
      <c r="A19" s="52" t="s">
        <v>365</v>
      </c>
      <c r="B19" s="164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>
        <v>4</v>
      </c>
      <c r="S19" s="53"/>
      <c r="T19" s="53"/>
      <c r="U19" s="53"/>
      <c r="V19" s="34">
        <f t="shared" si="0"/>
        <v>4</v>
      </c>
    </row>
    <row r="20" spans="1:22" x14ac:dyDescent="0.25">
      <c r="A20" s="39" t="s">
        <v>59</v>
      </c>
      <c r="B20" s="42" t="s">
        <v>366</v>
      </c>
      <c r="C20" s="40">
        <v>0.14583333333333334</v>
      </c>
      <c r="D20" s="40">
        <v>0.37847222222222221</v>
      </c>
      <c r="E20" s="54">
        <v>0.47222222222222221</v>
      </c>
      <c r="F20" s="54">
        <v>0.5</v>
      </c>
      <c r="G20" s="54">
        <v>0.36458333333333331</v>
      </c>
      <c r="H20" s="54">
        <v>8.3333333333333329E-2</v>
      </c>
      <c r="I20" s="54">
        <v>0.5</v>
      </c>
      <c r="J20" s="54">
        <v>0.20833333333333334</v>
      </c>
      <c r="K20" s="54">
        <v>0.36458333333333331</v>
      </c>
      <c r="L20" s="54">
        <v>0.16666666666666666</v>
      </c>
      <c r="M20" s="54">
        <v>0.10416666666666667</v>
      </c>
      <c r="N20" s="54" t="s">
        <v>367</v>
      </c>
      <c r="O20" s="54">
        <v>0.12847222222222221</v>
      </c>
      <c r="P20" s="54">
        <v>0.11458333333333333</v>
      </c>
      <c r="Q20" s="54">
        <v>0.41666666666666669</v>
      </c>
      <c r="R20" s="54">
        <v>0.41666666666666669</v>
      </c>
      <c r="S20" s="54">
        <v>9.0277777777777776E-2</v>
      </c>
      <c r="T20" s="54">
        <v>0.4375</v>
      </c>
      <c r="U20" s="54">
        <v>0.10416666666666667</v>
      </c>
      <c r="V20" s="55"/>
    </row>
    <row r="21" spans="1:22" x14ac:dyDescent="0.25">
      <c r="A21" s="39" t="s">
        <v>18</v>
      </c>
      <c r="B21" s="165" t="s">
        <v>368</v>
      </c>
      <c r="C21" s="165" t="s">
        <v>369</v>
      </c>
      <c r="D21" s="165" t="s">
        <v>370</v>
      </c>
      <c r="E21" s="165" t="s">
        <v>371</v>
      </c>
      <c r="F21" s="165" t="s">
        <v>369</v>
      </c>
      <c r="G21" s="165" t="s">
        <v>372</v>
      </c>
      <c r="H21" s="165" t="s">
        <v>373</v>
      </c>
      <c r="I21" s="165" t="s">
        <v>370</v>
      </c>
      <c r="J21" s="165" t="s">
        <v>374</v>
      </c>
      <c r="K21" s="165" t="s">
        <v>371</v>
      </c>
      <c r="L21" s="165" t="s">
        <v>373</v>
      </c>
      <c r="M21" s="165" t="s">
        <v>371</v>
      </c>
      <c r="N21" s="165"/>
      <c r="O21" s="165" t="s">
        <v>375</v>
      </c>
      <c r="P21" s="165" t="s">
        <v>375</v>
      </c>
      <c r="Q21" s="165" t="s">
        <v>371</v>
      </c>
      <c r="R21" s="165" t="s">
        <v>371</v>
      </c>
      <c r="S21" s="165" t="s">
        <v>376</v>
      </c>
      <c r="T21" s="165" t="s">
        <v>376</v>
      </c>
      <c r="U21" s="165"/>
      <c r="V21" s="56"/>
    </row>
    <row r="22" spans="1:22" x14ac:dyDescent="0.25">
      <c r="C22" s="23">
        <v>45838</v>
      </c>
      <c r="F22" s="23">
        <v>45841</v>
      </c>
      <c r="H22" s="49"/>
      <c r="I22" s="49"/>
      <c r="J22" s="49"/>
      <c r="K22" s="49"/>
      <c r="L22" s="49"/>
      <c r="M22" s="49" t="s">
        <v>377</v>
      </c>
      <c r="N22" s="49"/>
      <c r="O22" s="49"/>
      <c r="P22" s="49"/>
      <c r="Q22" s="49"/>
      <c r="R22" s="49"/>
      <c r="S22" s="49"/>
      <c r="T22" s="49" t="s">
        <v>378</v>
      </c>
      <c r="U22" s="49"/>
    </row>
    <row r="24" spans="1:22" ht="15.75" thickBot="1" x14ac:dyDescent="0.3"/>
    <row r="25" spans="1:22" x14ac:dyDescent="0.25">
      <c r="A25" s="364" t="s">
        <v>340</v>
      </c>
      <c r="B25" s="365"/>
      <c r="C25" s="365"/>
      <c r="D25" s="365"/>
      <c r="E25" s="365"/>
      <c r="F25" s="365"/>
      <c r="G25" s="366"/>
    </row>
    <row r="26" spans="1:22" ht="18" x14ac:dyDescent="0.25">
      <c r="A26" s="300" t="s">
        <v>300</v>
      </c>
      <c r="B26" s="261"/>
      <c r="C26" s="261"/>
      <c r="D26" s="261"/>
      <c r="E26" s="261"/>
      <c r="F26" s="261"/>
      <c r="G26" s="369"/>
    </row>
    <row r="27" spans="1:22" x14ac:dyDescent="0.25">
      <c r="A27" s="373" t="s">
        <v>379</v>
      </c>
      <c r="B27" s="374"/>
      <c r="C27" s="374"/>
      <c r="D27" s="374"/>
      <c r="E27" s="374"/>
      <c r="F27" s="374"/>
      <c r="G27" s="375"/>
    </row>
    <row r="28" spans="1:22" x14ac:dyDescent="0.25">
      <c r="A28" s="235" t="s">
        <v>3</v>
      </c>
      <c r="B28" s="236" t="s">
        <v>4</v>
      </c>
      <c r="C28" s="236"/>
      <c r="D28" s="236"/>
      <c r="E28" s="236" t="s">
        <v>5</v>
      </c>
      <c r="F28" s="236"/>
      <c r="G28" s="372" t="s">
        <v>113</v>
      </c>
    </row>
    <row r="29" spans="1:22" x14ac:dyDescent="0.25">
      <c r="A29" s="235"/>
      <c r="B29" s="1" t="s">
        <v>6</v>
      </c>
      <c r="C29" s="1" t="s">
        <v>7</v>
      </c>
      <c r="D29" s="1" t="s">
        <v>8</v>
      </c>
      <c r="E29" s="1" t="s">
        <v>9</v>
      </c>
      <c r="F29" s="227" t="s">
        <v>220</v>
      </c>
      <c r="G29" s="372"/>
    </row>
    <row r="30" spans="1:22" x14ac:dyDescent="0.25">
      <c r="A30" s="3" t="s">
        <v>273</v>
      </c>
      <c r="B30" s="4">
        <v>18</v>
      </c>
      <c r="C30" s="228">
        <v>3</v>
      </c>
      <c r="D30" s="6">
        <v>235</v>
      </c>
      <c r="E30" s="7">
        <f t="shared" ref="E30" si="1">C30*D30</f>
        <v>705</v>
      </c>
      <c r="F30" s="7">
        <f t="shared" ref="F30:F50" si="2">B30*E30</f>
        <v>12690</v>
      </c>
      <c r="G30" s="229" t="s">
        <v>383</v>
      </c>
    </row>
    <row r="31" spans="1:22" x14ac:dyDescent="0.25">
      <c r="A31" s="3" t="s">
        <v>384</v>
      </c>
      <c r="B31" s="4">
        <v>5</v>
      </c>
      <c r="C31" s="228">
        <v>18</v>
      </c>
      <c r="D31" s="6">
        <v>235</v>
      </c>
      <c r="E31" s="7">
        <f t="shared" ref="E31" si="3">C31*D31</f>
        <v>4230</v>
      </c>
      <c r="F31" s="7">
        <f t="shared" si="2"/>
        <v>21150</v>
      </c>
      <c r="G31" s="229" t="s">
        <v>385</v>
      </c>
    </row>
    <row r="32" spans="1:22" x14ac:dyDescent="0.25">
      <c r="A32" s="3" t="s">
        <v>384</v>
      </c>
      <c r="B32" s="4">
        <v>3</v>
      </c>
      <c r="C32" s="228">
        <v>8</v>
      </c>
      <c r="D32" s="6">
        <v>235</v>
      </c>
      <c r="E32" s="7">
        <f t="shared" ref="E32" si="4">C32*D32</f>
        <v>1880</v>
      </c>
      <c r="F32" s="7">
        <f t="shared" si="2"/>
        <v>5640</v>
      </c>
      <c r="G32" s="229" t="s">
        <v>437</v>
      </c>
    </row>
    <row r="33" spans="1:7" x14ac:dyDescent="0.25">
      <c r="A33" s="3" t="s">
        <v>386</v>
      </c>
      <c r="B33" s="4">
        <v>8</v>
      </c>
      <c r="C33" s="228">
        <v>5</v>
      </c>
      <c r="D33" s="6">
        <v>240</v>
      </c>
      <c r="E33" s="7">
        <f t="shared" ref="E33" si="5">C33*D33</f>
        <v>1200</v>
      </c>
      <c r="F33" s="7">
        <f t="shared" si="2"/>
        <v>9600</v>
      </c>
      <c r="G33" s="229" t="s">
        <v>387</v>
      </c>
    </row>
    <row r="34" spans="1:7" x14ac:dyDescent="0.25">
      <c r="A34" s="3" t="s">
        <v>386</v>
      </c>
      <c r="B34" s="4">
        <v>14</v>
      </c>
      <c r="C34" s="228">
        <v>1</v>
      </c>
      <c r="D34" s="6">
        <v>240</v>
      </c>
      <c r="E34" s="7">
        <f t="shared" ref="E34" si="6">C34*D34</f>
        <v>240</v>
      </c>
      <c r="F34" s="7">
        <f t="shared" si="2"/>
        <v>3360</v>
      </c>
      <c r="G34" s="229" t="s">
        <v>388</v>
      </c>
    </row>
    <row r="35" spans="1:7" x14ac:dyDescent="0.25">
      <c r="A35" s="3" t="s">
        <v>389</v>
      </c>
      <c r="B35" s="4">
        <v>8</v>
      </c>
      <c r="C35" s="228">
        <v>10</v>
      </c>
      <c r="D35" s="6">
        <v>200</v>
      </c>
      <c r="E35" s="7">
        <f t="shared" ref="E35:E36" si="7">C35*D35</f>
        <v>2000</v>
      </c>
      <c r="F35" s="7">
        <f t="shared" si="2"/>
        <v>16000</v>
      </c>
      <c r="G35" s="229" t="s">
        <v>390</v>
      </c>
    </row>
    <row r="36" spans="1:7" x14ac:dyDescent="0.25">
      <c r="A36" s="3" t="s">
        <v>122</v>
      </c>
      <c r="B36" s="4">
        <v>18</v>
      </c>
      <c r="C36" s="228">
        <v>8</v>
      </c>
      <c r="D36" s="6">
        <v>210</v>
      </c>
      <c r="E36" s="7">
        <f t="shared" si="7"/>
        <v>1680</v>
      </c>
      <c r="F36" s="7">
        <f t="shared" si="2"/>
        <v>30240</v>
      </c>
      <c r="G36" s="229" t="s">
        <v>391</v>
      </c>
    </row>
    <row r="37" spans="1:7" x14ac:dyDescent="0.25">
      <c r="A37" s="3" t="s">
        <v>392</v>
      </c>
      <c r="B37" s="4">
        <v>18</v>
      </c>
      <c r="C37" s="228">
        <v>8</v>
      </c>
      <c r="D37" s="6">
        <v>230</v>
      </c>
      <c r="E37" s="7">
        <f t="shared" ref="E37" si="8">C37*D37</f>
        <v>1840</v>
      </c>
      <c r="F37" s="7">
        <f t="shared" si="2"/>
        <v>33120</v>
      </c>
      <c r="G37" s="229" t="s">
        <v>391</v>
      </c>
    </row>
    <row r="38" spans="1:7" x14ac:dyDescent="0.25">
      <c r="A38" s="3" t="s">
        <v>147</v>
      </c>
      <c r="B38" s="4">
        <v>3</v>
      </c>
      <c r="C38" s="228">
        <v>18</v>
      </c>
      <c r="D38" s="6">
        <v>200</v>
      </c>
      <c r="E38" s="7">
        <f t="shared" ref="E38" si="9">C38*D38</f>
        <v>3600</v>
      </c>
      <c r="F38" s="7">
        <f t="shared" si="2"/>
        <v>10800</v>
      </c>
      <c r="G38" s="229" t="s">
        <v>434</v>
      </c>
    </row>
    <row r="39" spans="1:7" x14ac:dyDescent="0.25">
      <c r="A39" s="3" t="s">
        <v>147</v>
      </c>
      <c r="B39" s="4">
        <v>5</v>
      </c>
      <c r="C39" s="228">
        <v>9</v>
      </c>
      <c r="D39" s="6">
        <v>200</v>
      </c>
      <c r="E39" s="7">
        <f t="shared" ref="E39" si="10">C39*D39</f>
        <v>1800</v>
      </c>
      <c r="F39" s="7">
        <f t="shared" si="2"/>
        <v>9000</v>
      </c>
      <c r="G39" s="229" t="s">
        <v>436</v>
      </c>
    </row>
    <row r="40" spans="1:7" x14ac:dyDescent="0.25">
      <c r="A40" s="3" t="s">
        <v>147</v>
      </c>
      <c r="B40" s="4">
        <v>20</v>
      </c>
      <c r="C40" s="228">
        <v>6</v>
      </c>
      <c r="D40" s="6">
        <v>200</v>
      </c>
      <c r="E40" s="7">
        <f t="shared" ref="E40" si="11">C40*D40</f>
        <v>1200</v>
      </c>
      <c r="F40" s="7">
        <f t="shared" si="2"/>
        <v>24000</v>
      </c>
      <c r="G40" s="229" t="s">
        <v>393</v>
      </c>
    </row>
    <row r="41" spans="1:7" x14ac:dyDescent="0.25">
      <c r="A41" s="3" t="s">
        <v>147</v>
      </c>
      <c r="B41" s="4">
        <v>3</v>
      </c>
      <c r="C41" s="228">
        <v>18</v>
      </c>
      <c r="D41" s="6">
        <v>200</v>
      </c>
      <c r="E41" s="7">
        <f t="shared" ref="E41" si="12">C41*D41</f>
        <v>3600</v>
      </c>
      <c r="F41" s="7">
        <f t="shared" si="2"/>
        <v>10800</v>
      </c>
      <c r="G41" s="229" t="s">
        <v>394</v>
      </c>
    </row>
    <row r="42" spans="1:7" x14ac:dyDescent="0.25">
      <c r="A42" s="3" t="s">
        <v>380</v>
      </c>
      <c r="B42" s="4">
        <v>3</v>
      </c>
      <c r="C42" s="228">
        <v>20</v>
      </c>
      <c r="D42" s="6">
        <v>160</v>
      </c>
      <c r="E42" s="7">
        <f t="shared" ref="E42" si="13">C42*D42</f>
        <v>3200</v>
      </c>
      <c r="F42" s="7">
        <f t="shared" si="2"/>
        <v>9600</v>
      </c>
      <c r="G42" s="229" t="s">
        <v>435</v>
      </c>
    </row>
    <row r="43" spans="1:7" x14ac:dyDescent="0.25">
      <c r="A43" s="3" t="s">
        <v>380</v>
      </c>
      <c r="B43" s="4">
        <v>15</v>
      </c>
      <c r="C43" s="228">
        <v>6</v>
      </c>
      <c r="D43" s="6">
        <v>160</v>
      </c>
      <c r="E43" s="7">
        <f t="shared" ref="E43" si="14">C43*D43</f>
        <v>960</v>
      </c>
      <c r="F43" s="7">
        <f t="shared" si="2"/>
        <v>14400</v>
      </c>
      <c r="G43" s="229" t="s">
        <v>395</v>
      </c>
    </row>
    <row r="44" spans="1:7" x14ac:dyDescent="0.25">
      <c r="A44" s="3" t="s">
        <v>381</v>
      </c>
      <c r="B44" s="4">
        <v>4</v>
      </c>
      <c r="C44" s="228">
        <v>2</v>
      </c>
      <c r="D44" s="6">
        <v>120</v>
      </c>
      <c r="E44" s="7">
        <f>C44*D44</f>
        <v>240</v>
      </c>
      <c r="F44" s="7">
        <f t="shared" si="2"/>
        <v>960</v>
      </c>
      <c r="G44" s="229" t="s">
        <v>396</v>
      </c>
    </row>
    <row r="45" spans="1:7" x14ac:dyDescent="0.25">
      <c r="A45" s="3" t="s">
        <v>381</v>
      </c>
      <c r="B45" s="4">
        <v>11</v>
      </c>
      <c r="C45" s="228">
        <v>1</v>
      </c>
      <c r="D45" s="6">
        <v>120</v>
      </c>
      <c r="E45" s="7">
        <f>C45*D45</f>
        <v>120</v>
      </c>
      <c r="F45" s="7">
        <f t="shared" si="2"/>
        <v>1320</v>
      </c>
      <c r="G45" s="229" t="s">
        <v>397</v>
      </c>
    </row>
    <row r="46" spans="1:7" x14ac:dyDescent="0.25">
      <c r="A46" s="3" t="s">
        <v>189</v>
      </c>
      <c r="B46" s="4">
        <v>4</v>
      </c>
      <c r="C46" s="228">
        <v>8</v>
      </c>
      <c r="D46" s="6">
        <v>120</v>
      </c>
      <c r="E46" s="7">
        <f t="shared" ref="E46" si="15">C46*D46</f>
        <v>960</v>
      </c>
      <c r="F46" s="7">
        <f t="shared" si="2"/>
        <v>3840</v>
      </c>
      <c r="G46" s="229" t="s">
        <v>396</v>
      </c>
    </row>
    <row r="47" spans="1:7" x14ac:dyDescent="0.25">
      <c r="A47" s="3" t="s">
        <v>274</v>
      </c>
      <c r="B47" s="4">
        <v>1</v>
      </c>
      <c r="C47" s="228">
        <v>10</v>
      </c>
      <c r="D47" s="6">
        <v>50</v>
      </c>
      <c r="E47" s="7">
        <f>C47*D47</f>
        <v>500</v>
      </c>
      <c r="F47" s="7">
        <f t="shared" si="2"/>
        <v>500</v>
      </c>
      <c r="G47" s="229" t="s">
        <v>382</v>
      </c>
    </row>
    <row r="48" spans="1:7" x14ac:dyDescent="0.25">
      <c r="A48" s="3" t="s">
        <v>438</v>
      </c>
      <c r="B48" s="4">
        <v>5</v>
      </c>
      <c r="C48" s="228">
        <v>6</v>
      </c>
      <c r="D48" s="6">
        <v>90</v>
      </c>
      <c r="E48" s="7">
        <f>C48*D48</f>
        <v>540</v>
      </c>
      <c r="F48" s="7">
        <f t="shared" ref="F48" si="16">B48*E48</f>
        <v>2700</v>
      </c>
      <c r="G48" s="229" t="s">
        <v>439</v>
      </c>
    </row>
    <row r="49" spans="1:7" x14ac:dyDescent="0.25">
      <c r="A49" s="3" t="s">
        <v>398</v>
      </c>
      <c r="B49" s="4">
        <v>8</v>
      </c>
      <c r="C49" s="228">
        <v>4</v>
      </c>
      <c r="D49" s="6">
        <v>180</v>
      </c>
      <c r="E49" s="7">
        <f t="shared" ref="E49:E50" si="17">C49*D49</f>
        <v>720</v>
      </c>
      <c r="F49" s="7">
        <f t="shared" si="2"/>
        <v>5760</v>
      </c>
      <c r="G49" s="229" t="s">
        <v>399</v>
      </c>
    </row>
    <row r="50" spans="1:7" x14ac:dyDescent="0.25">
      <c r="A50" s="3" t="s">
        <v>440</v>
      </c>
      <c r="B50" s="4">
        <v>4</v>
      </c>
      <c r="C50" s="228">
        <v>1</v>
      </c>
      <c r="D50" s="6">
        <v>1500</v>
      </c>
      <c r="E50" s="7">
        <f t="shared" si="17"/>
        <v>1500</v>
      </c>
      <c r="F50" s="233">
        <f t="shared" si="2"/>
        <v>6000</v>
      </c>
      <c r="G50" s="234" t="s">
        <v>441</v>
      </c>
    </row>
    <row r="51" spans="1:7" ht="18.75" x14ac:dyDescent="0.4">
      <c r="A51" s="305" t="s">
        <v>400</v>
      </c>
      <c r="B51" s="273"/>
      <c r="C51" s="269" t="s">
        <v>19</v>
      </c>
      <c r="D51" s="269"/>
      <c r="E51" s="9">
        <f>SUM(F30:F50)</f>
        <v>231480</v>
      </c>
      <c r="F51" s="290"/>
      <c r="G51" s="360"/>
    </row>
    <row r="52" spans="1:7" ht="23.25" thickBot="1" x14ac:dyDescent="0.5">
      <c r="A52" s="308"/>
      <c r="B52" s="309"/>
      <c r="C52" s="246" t="s">
        <v>211</v>
      </c>
      <c r="D52" s="246"/>
      <c r="E52" s="130">
        <f>SUM(E51:E51)</f>
        <v>231480</v>
      </c>
      <c r="F52" s="362"/>
      <c r="G52" s="363"/>
    </row>
    <row r="53" spans="1:7" x14ac:dyDescent="0.25">
      <c r="E53">
        <v>28800</v>
      </c>
    </row>
    <row r="54" spans="1:7" x14ac:dyDescent="0.25">
      <c r="E54" s="89">
        <f>E52-E53</f>
        <v>202680</v>
      </c>
    </row>
  </sheetData>
  <mergeCells count="15">
    <mergeCell ref="A51:B52"/>
    <mergeCell ref="C51:D51"/>
    <mergeCell ref="F51:G52"/>
    <mergeCell ref="C52:D52"/>
    <mergeCell ref="A1:V1"/>
    <mergeCell ref="A2:V2"/>
    <mergeCell ref="A3:V3"/>
    <mergeCell ref="A4:A5"/>
    <mergeCell ref="A25:G25"/>
    <mergeCell ref="A26:G26"/>
    <mergeCell ref="A27:G27"/>
    <mergeCell ref="A28:A29"/>
    <mergeCell ref="B28:D28"/>
    <mergeCell ref="E28:F28"/>
    <mergeCell ref="G28:G29"/>
  </mergeCells>
  <hyperlinks>
    <hyperlink ref="A27" r:id="rId1" xr:uid="{A827B205-51A5-40F3-BB33-C26874BD23CD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5" scale="55" orientation="landscape"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D0EA-BB9A-4CDF-B50F-EA5BCE6D573B}">
  <dimension ref="A1:I51"/>
  <sheetViews>
    <sheetView topLeftCell="A43" workbookViewId="0">
      <selection activeCell="B44" sqref="B44"/>
    </sheetView>
  </sheetViews>
  <sheetFormatPr baseColWidth="10" defaultRowHeight="15" x14ac:dyDescent="0.25"/>
  <cols>
    <col min="1" max="1" width="31.28515625" customWidth="1"/>
    <col min="5" max="5" width="18.42578125" bestFit="1" customWidth="1"/>
    <col min="7" max="7" width="16.28515625" bestFit="1" customWidth="1"/>
  </cols>
  <sheetData>
    <row r="1" spans="1:9" ht="18.75" x14ac:dyDescent="0.3">
      <c r="A1" s="336" t="s">
        <v>401</v>
      </c>
      <c r="B1" s="278"/>
      <c r="C1" s="278"/>
      <c r="D1" s="278"/>
      <c r="E1" s="278"/>
      <c r="F1" s="278"/>
      <c r="G1" s="278"/>
      <c r="H1" s="278"/>
      <c r="I1" s="353"/>
    </row>
    <row r="2" spans="1:9" ht="18.75" x14ac:dyDescent="0.3">
      <c r="A2" s="336" t="s">
        <v>402</v>
      </c>
      <c r="B2" s="278"/>
      <c r="C2" s="278"/>
      <c r="D2" s="278"/>
      <c r="E2" s="278"/>
      <c r="F2" s="278"/>
      <c r="G2" s="278"/>
      <c r="H2" s="278"/>
      <c r="I2" s="353"/>
    </row>
    <row r="3" spans="1:9" ht="18.75" x14ac:dyDescent="0.3">
      <c r="A3" s="336" t="s">
        <v>235</v>
      </c>
      <c r="B3" s="278"/>
      <c r="C3" s="278"/>
      <c r="D3" s="278"/>
      <c r="E3" s="278"/>
      <c r="F3" s="278"/>
      <c r="G3" s="278"/>
      <c r="H3" s="278"/>
      <c r="I3" s="353"/>
    </row>
    <row r="4" spans="1:9" x14ac:dyDescent="0.25">
      <c r="A4" s="270" t="s">
        <v>3</v>
      </c>
      <c r="B4" s="28" t="s">
        <v>30</v>
      </c>
      <c r="C4" s="55">
        <v>11634</v>
      </c>
      <c r="D4" s="55">
        <v>11662</v>
      </c>
      <c r="E4" s="55">
        <v>12886</v>
      </c>
      <c r="F4" s="55">
        <v>12887</v>
      </c>
      <c r="G4" s="55">
        <v>11670</v>
      </c>
      <c r="H4" s="55">
        <v>11676</v>
      </c>
      <c r="I4" s="28" t="s">
        <v>50</v>
      </c>
    </row>
    <row r="5" spans="1:9" x14ac:dyDescent="0.25">
      <c r="A5" s="271"/>
      <c r="B5" s="31">
        <v>45838</v>
      </c>
      <c r="C5" s="31">
        <v>45849</v>
      </c>
      <c r="D5" s="31">
        <v>45861</v>
      </c>
      <c r="E5" s="31">
        <v>45863</v>
      </c>
      <c r="F5" s="31">
        <v>45863</v>
      </c>
      <c r="G5" s="31">
        <v>45863</v>
      </c>
      <c r="H5" s="31">
        <v>45868</v>
      </c>
      <c r="I5" s="31">
        <v>45869</v>
      </c>
    </row>
    <row r="6" spans="1:9" x14ac:dyDescent="0.25">
      <c r="A6" s="52" t="s">
        <v>403</v>
      </c>
      <c r="B6" s="164">
        <v>6</v>
      </c>
      <c r="C6" s="53">
        <v>-3</v>
      </c>
      <c r="D6" s="53">
        <v>-3</v>
      </c>
      <c r="E6" s="53"/>
      <c r="F6" s="53"/>
      <c r="G6" s="53"/>
      <c r="H6" s="53"/>
      <c r="I6" s="34">
        <f>SUM(B6:D6)</f>
        <v>0</v>
      </c>
    </row>
    <row r="7" spans="1:9" x14ac:dyDescent="0.25">
      <c r="A7" s="52" t="s">
        <v>128</v>
      </c>
      <c r="B7" s="164">
        <v>5</v>
      </c>
      <c r="C7" s="53">
        <v>-4</v>
      </c>
      <c r="D7" s="53"/>
      <c r="E7" s="53"/>
      <c r="F7" s="53"/>
      <c r="G7" s="53"/>
      <c r="H7" s="53">
        <v>-1</v>
      </c>
      <c r="I7" s="34">
        <f>SUM(B7:H7)</f>
        <v>0</v>
      </c>
    </row>
    <row r="8" spans="1:9" x14ac:dyDescent="0.25">
      <c r="A8" s="52" t="s">
        <v>404</v>
      </c>
      <c r="B8" s="164"/>
      <c r="C8" s="53"/>
      <c r="D8" s="53"/>
      <c r="E8" s="53">
        <v>4</v>
      </c>
      <c r="F8" s="53"/>
      <c r="G8" s="53">
        <v>-4</v>
      </c>
      <c r="H8" s="53"/>
      <c r="I8" s="34">
        <f>SUM(B8:G8)</f>
        <v>0</v>
      </c>
    </row>
    <row r="9" spans="1:9" x14ac:dyDescent="0.25">
      <c r="A9" s="52" t="s">
        <v>405</v>
      </c>
      <c r="B9" s="164"/>
      <c r="C9" s="53"/>
      <c r="D9" s="53"/>
      <c r="E9" s="53"/>
      <c r="F9" s="53">
        <v>10</v>
      </c>
      <c r="G9" s="53"/>
      <c r="H9" s="53"/>
      <c r="I9" s="34">
        <f>SUM(B9:F9)</f>
        <v>10</v>
      </c>
    </row>
    <row r="10" spans="1:9" x14ac:dyDescent="0.25">
      <c r="A10" s="39" t="s">
        <v>59</v>
      </c>
      <c r="B10" s="98"/>
      <c r="C10" s="40">
        <v>0.16666666666666666</v>
      </c>
      <c r="D10" s="40">
        <v>0.1875</v>
      </c>
      <c r="E10" s="40">
        <v>0.39583333333333331</v>
      </c>
      <c r="F10" s="40">
        <v>7.2916666666666671E-2</v>
      </c>
      <c r="G10" s="40">
        <v>0.19513888888888889</v>
      </c>
      <c r="H10" s="40">
        <v>0.4375</v>
      </c>
      <c r="I10" s="55"/>
    </row>
    <row r="11" spans="1:9" x14ac:dyDescent="0.25">
      <c r="A11" s="39" t="s">
        <v>18</v>
      </c>
      <c r="B11" s="231"/>
      <c r="C11" s="40" t="s">
        <v>406</v>
      </c>
      <c r="D11" s="165" t="s">
        <v>407</v>
      </c>
      <c r="E11" s="165" t="s">
        <v>408</v>
      </c>
      <c r="F11" s="165" t="s">
        <v>409</v>
      </c>
      <c r="G11" s="165" t="s">
        <v>410</v>
      </c>
      <c r="H11" s="165" t="s">
        <v>407</v>
      </c>
      <c r="I11" s="56"/>
    </row>
    <row r="13" spans="1:9" ht="15.75" thickBot="1" x14ac:dyDescent="0.3"/>
    <row r="14" spans="1:9" x14ac:dyDescent="0.25">
      <c r="A14" s="364" t="s">
        <v>340</v>
      </c>
      <c r="B14" s="365"/>
      <c r="C14" s="365"/>
      <c r="D14" s="365"/>
      <c r="E14" s="365"/>
      <c r="F14" s="365"/>
      <c r="G14" s="366"/>
    </row>
    <row r="15" spans="1:9" ht="18" x14ac:dyDescent="0.25">
      <c r="A15" s="300" t="s">
        <v>416</v>
      </c>
      <c r="B15" s="261"/>
      <c r="C15" s="261"/>
      <c r="D15" s="261"/>
      <c r="E15" s="261"/>
      <c r="F15" s="261"/>
      <c r="G15" s="369"/>
    </row>
    <row r="16" spans="1:9" x14ac:dyDescent="0.25">
      <c r="A16" s="373" t="s">
        <v>379</v>
      </c>
      <c r="B16" s="374"/>
      <c r="C16" s="374"/>
      <c r="D16" s="374"/>
      <c r="E16" s="374"/>
      <c r="F16" s="374"/>
      <c r="G16" s="375"/>
    </row>
    <row r="17" spans="1:7" x14ac:dyDescent="0.25">
      <c r="A17" s="235" t="s">
        <v>3</v>
      </c>
      <c r="B17" s="236" t="s">
        <v>4</v>
      </c>
      <c r="C17" s="236"/>
      <c r="D17" s="236"/>
      <c r="E17" s="236" t="s">
        <v>5</v>
      </c>
      <c r="F17" s="236"/>
      <c r="G17" s="372" t="s">
        <v>113</v>
      </c>
    </row>
    <row r="18" spans="1:7" x14ac:dyDescent="0.25">
      <c r="A18" s="235"/>
      <c r="B18" s="1" t="s">
        <v>6</v>
      </c>
      <c r="C18" s="1" t="s">
        <v>7</v>
      </c>
      <c r="D18" s="1" t="s">
        <v>8</v>
      </c>
      <c r="E18" s="1" t="s">
        <v>9</v>
      </c>
      <c r="F18" s="227" t="s">
        <v>220</v>
      </c>
      <c r="G18" s="372"/>
    </row>
    <row r="19" spans="1:7" x14ac:dyDescent="0.25">
      <c r="A19" s="3" t="s">
        <v>147</v>
      </c>
      <c r="B19" s="4">
        <v>11</v>
      </c>
      <c r="C19" s="228">
        <v>6</v>
      </c>
      <c r="D19" s="6">
        <v>200</v>
      </c>
      <c r="E19" s="7">
        <f>C19*D19</f>
        <v>1200</v>
      </c>
      <c r="F19" s="7">
        <f>B19*E19</f>
        <v>13200</v>
      </c>
      <c r="G19" s="229" t="s">
        <v>411</v>
      </c>
    </row>
    <row r="20" spans="1:7" x14ac:dyDescent="0.25">
      <c r="A20" s="3" t="s">
        <v>147</v>
      </c>
      <c r="B20" s="4">
        <v>12</v>
      </c>
      <c r="C20" s="228">
        <v>3</v>
      </c>
      <c r="D20" s="6">
        <v>200</v>
      </c>
      <c r="E20" s="7">
        <f>C20*D20</f>
        <v>600</v>
      </c>
      <c r="F20" s="7">
        <f>B20*E20</f>
        <v>7200</v>
      </c>
      <c r="G20" s="229" t="s">
        <v>412</v>
      </c>
    </row>
    <row r="21" spans="1:7" x14ac:dyDescent="0.25">
      <c r="A21" s="3" t="s">
        <v>384</v>
      </c>
      <c r="B21" s="4">
        <v>11</v>
      </c>
      <c r="C21" s="228">
        <v>5</v>
      </c>
      <c r="D21" s="6">
        <v>260</v>
      </c>
      <c r="E21" s="7">
        <f t="shared" ref="E21" si="0">C21*D21</f>
        <v>1300</v>
      </c>
      <c r="F21" s="7">
        <f t="shared" ref="F21:F23" si="1">B21*E21</f>
        <v>14300</v>
      </c>
      <c r="G21" s="229" t="s">
        <v>411</v>
      </c>
    </row>
    <row r="22" spans="1:7" x14ac:dyDescent="0.25">
      <c r="A22" s="3" t="s">
        <v>384</v>
      </c>
      <c r="B22" s="4">
        <v>18</v>
      </c>
      <c r="C22" s="228">
        <v>1</v>
      </c>
      <c r="D22" s="6">
        <v>260</v>
      </c>
      <c r="E22" s="7">
        <f t="shared" ref="E22" si="2">C22*D22</f>
        <v>260</v>
      </c>
      <c r="F22" s="7">
        <f t="shared" ref="F22" si="3">B22*E22</f>
        <v>4680</v>
      </c>
      <c r="G22" s="229" t="s">
        <v>413</v>
      </c>
    </row>
    <row r="23" spans="1:7" x14ac:dyDescent="0.25">
      <c r="A23" s="3" t="s">
        <v>414</v>
      </c>
      <c r="B23" s="4">
        <v>6</v>
      </c>
      <c r="C23" s="228">
        <v>10</v>
      </c>
      <c r="D23" s="6">
        <v>180</v>
      </c>
      <c r="E23" s="7">
        <f t="shared" ref="E23" si="4">C23*D23</f>
        <v>1800</v>
      </c>
      <c r="F23" s="7">
        <f t="shared" si="1"/>
        <v>10800</v>
      </c>
      <c r="G23" s="229" t="s">
        <v>415</v>
      </c>
    </row>
    <row r="24" spans="1:7" ht="32.25" thickBot="1" x14ac:dyDescent="0.5">
      <c r="A24" s="308"/>
      <c r="B24" s="309"/>
      <c r="C24" s="246" t="s">
        <v>211</v>
      </c>
      <c r="D24" s="246"/>
      <c r="E24" s="130">
        <f>SUM(F19:F23)</f>
        <v>50180</v>
      </c>
      <c r="F24" s="362"/>
      <c r="G24" s="363"/>
    </row>
    <row r="28" spans="1:7" ht="18.75" x14ac:dyDescent="0.3">
      <c r="A28" s="336" t="s">
        <v>401</v>
      </c>
      <c r="B28" s="278"/>
      <c r="C28" s="278"/>
      <c r="D28" s="278"/>
      <c r="E28" s="278"/>
      <c r="F28" s="278"/>
    </row>
    <row r="29" spans="1:7" ht="18.75" x14ac:dyDescent="0.3">
      <c r="A29" s="336" t="s">
        <v>402</v>
      </c>
      <c r="B29" s="278"/>
      <c r="C29" s="278"/>
      <c r="D29" s="278"/>
      <c r="E29" s="278"/>
      <c r="F29" s="278"/>
    </row>
    <row r="30" spans="1:7" ht="18.75" x14ac:dyDescent="0.3">
      <c r="A30" s="336" t="s">
        <v>423</v>
      </c>
      <c r="B30" s="278"/>
      <c r="C30" s="278"/>
      <c r="D30" s="278"/>
      <c r="E30" s="278"/>
      <c r="F30" s="278"/>
    </row>
    <row r="31" spans="1:7" x14ac:dyDescent="0.25">
      <c r="A31" s="270" t="s">
        <v>3</v>
      </c>
      <c r="B31" s="28">
        <v>12743</v>
      </c>
      <c r="C31" s="55">
        <v>12760</v>
      </c>
      <c r="D31" s="55">
        <v>11588</v>
      </c>
      <c r="E31" s="55">
        <v>11603</v>
      </c>
      <c r="F31" s="28" t="s">
        <v>50</v>
      </c>
    </row>
    <row r="32" spans="1:7" x14ac:dyDescent="0.25">
      <c r="A32" s="271"/>
      <c r="B32" s="31">
        <v>45798</v>
      </c>
      <c r="C32" s="31">
        <v>45807</v>
      </c>
      <c r="D32" s="31">
        <v>45827</v>
      </c>
      <c r="E32" s="31">
        <v>45834</v>
      </c>
      <c r="F32" s="31">
        <v>45838</v>
      </c>
    </row>
    <row r="33" spans="1:7" x14ac:dyDescent="0.25">
      <c r="A33" s="52" t="s">
        <v>403</v>
      </c>
      <c r="B33" s="164">
        <v>12</v>
      </c>
      <c r="C33" s="53"/>
      <c r="D33" s="53"/>
      <c r="E33" s="53">
        <v>-6</v>
      </c>
      <c r="F33" s="34">
        <f>SUM(B33:E33)</f>
        <v>6</v>
      </c>
    </row>
    <row r="34" spans="1:7" x14ac:dyDescent="0.25">
      <c r="A34" s="52" t="s">
        <v>128</v>
      </c>
      <c r="B34" s="164"/>
      <c r="C34" s="53">
        <v>12</v>
      </c>
      <c r="D34" s="53">
        <v>-6</v>
      </c>
      <c r="E34" s="53">
        <v>-1</v>
      </c>
      <c r="F34" s="34">
        <f>SUM(B34:E34)</f>
        <v>5</v>
      </c>
    </row>
    <row r="35" spans="1:7" x14ac:dyDescent="0.25">
      <c r="A35" s="39" t="s">
        <v>59</v>
      </c>
      <c r="B35" s="42">
        <v>0.29166666666666669</v>
      </c>
      <c r="C35" s="40">
        <v>0.29166666666666669</v>
      </c>
      <c r="D35" s="40">
        <v>0.14583333333333334</v>
      </c>
      <c r="E35" s="40">
        <v>0.19791666666666666</v>
      </c>
      <c r="F35" s="55"/>
    </row>
    <row r="36" spans="1:7" x14ac:dyDescent="0.25">
      <c r="A36" s="39" t="s">
        <v>18</v>
      </c>
      <c r="B36" s="165" t="s">
        <v>418</v>
      </c>
      <c r="C36" s="165" t="s">
        <v>417</v>
      </c>
      <c r="D36" s="165" t="s">
        <v>417</v>
      </c>
      <c r="E36" s="165" t="s">
        <v>417</v>
      </c>
      <c r="F36" s="56"/>
    </row>
    <row r="38" spans="1:7" ht="15.75" thickBot="1" x14ac:dyDescent="0.3"/>
    <row r="39" spans="1:7" x14ac:dyDescent="0.25">
      <c r="A39" s="364" t="s">
        <v>340</v>
      </c>
      <c r="B39" s="365"/>
      <c r="C39" s="365"/>
      <c r="D39" s="365"/>
      <c r="E39" s="365"/>
      <c r="F39" s="365"/>
      <c r="G39" s="366"/>
    </row>
    <row r="40" spans="1:7" ht="18" x14ac:dyDescent="0.25">
      <c r="A40" s="300" t="s">
        <v>422</v>
      </c>
      <c r="B40" s="261"/>
      <c r="C40" s="261"/>
      <c r="D40" s="261"/>
      <c r="E40" s="261"/>
      <c r="F40" s="261"/>
      <c r="G40" s="369"/>
    </row>
    <row r="41" spans="1:7" x14ac:dyDescent="0.25">
      <c r="A41" s="373" t="s">
        <v>379</v>
      </c>
      <c r="B41" s="374"/>
      <c r="C41" s="374"/>
      <c r="D41" s="374"/>
      <c r="E41" s="374"/>
      <c r="F41" s="374"/>
      <c r="G41" s="375"/>
    </row>
    <row r="42" spans="1:7" x14ac:dyDescent="0.25">
      <c r="A42" s="235" t="s">
        <v>3</v>
      </c>
      <c r="B42" s="236" t="s">
        <v>4</v>
      </c>
      <c r="C42" s="236"/>
      <c r="D42" s="236"/>
      <c r="E42" s="236" t="s">
        <v>5</v>
      </c>
      <c r="F42" s="236"/>
      <c r="G42" s="372" t="s">
        <v>113</v>
      </c>
    </row>
    <row r="43" spans="1:7" x14ac:dyDescent="0.25">
      <c r="A43" s="235"/>
      <c r="B43" s="1" t="s">
        <v>6</v>
      </c>
      <c r="C43" s="1" t="s">
        <v>7</v>
      </c>
      <c r="D43" s="1" t="s">
        <v>8</v>
      </c>
      <c r="E43" s="1" t="s">
        <v>9</v>
      </c>
      <c r="F43" s="227" t="s">
        <v>220</v>
      </c>
      <c r="G43" s="372"/>
    </row>
    <row r="44" spans="1:7" x14ac:dyDescent="0.25">
      <c r="A44" s="3" t="s">
        <v>147</v>
      </c>
      <c r="B44" s="4">
        <v>37</v>
      </c>
      <c r="C44" s="228">
        <v>12</v>
      </c>
      <c r="D44" s="6">
        <v>200</v>
      </c>
      <c r="E44" s="7">
        <f>C44*D44</f>
        <v>2400</v>
      </c>
      <c r="F44" s="7">
        <f>B44*E44</f>
        <v>88800</v>
      </c>
      <c r="G44" s="229" t="s">
        <v>419</v>
      </c>
    </row>
    <row r="45" spans="1:7" x14ac:dyDescent="0.25">
      <c r="A45" s="3" t="s">
        <v>147</v>
      </c>
      <c r="B45" s="4">
        <v>4</v>
      </c>
      <c r="C45" s="228">
        <v>6</v>
      </c>
      <c r="D45" s="6">
        <v>200</v>
      </c>
      <c r="E45" s="7">
        <f>C45*D45</f>
        <v>1200</v>
      </c>
      <c r="F45" s="7">
        <f>B45*E45</f>
        <v>4800</v>
      </c>
      <c r="G45" s="229" t="s">
        <v>160</v>
      </c>
    </row>
    <row r="46" spans="1:7" x14ac:dyDescent="0.25">
      <c r="A46" s="3" t="s">
        <v>384</v>
      </c>
      <c r="B46" s="4">
        <v>21</v>
      </c>
      <c r="C46" s="228">
        <v>12</v>
      </c>
      <c r="D46" s="6">
        <v>260</v>
      </c>
      <c r="E46" s="7">
        <f t="shared" ref="E46:E47" si="5">C46*D46</f>
        <v>3120</v>
      </c>
      <c r="F46" s="7">
        <f t="shared" ref="F46:F47" si="6">B46*E46</f>
        <v>65520</v>
      </c>
      <c r="G46" s="229" t="s">
        <v>420</v>
      </c>
    </row>
    <row r="47" spans="1:7" x14ac:dyDescent="0.25">
      <c r="A47" s="3" t="s">
        <v>384</v>
      </c>
      <c r="B47" s="4">
        <v>7</v>
      </c>
      <c r="C47" s="228">
        <v>6</v>
      </c>
      <c r="D47" s="6">
        <v>260</v>
      </c>
      <c r="E47" s="7">
        <f t="shared" si="5"/>
        <v>1560</v>
      </c>
      <c r="F47" s="7">
        <f t="shared" si="6"/>
        <v>10920</v>
      </c>
      <c r="G47" s="229" t="s">
        <v>421</v>
      </c>
    </row>
    <row r="48" spans="1:7" x14ac:dyDescent="0.25">
      <c r="A48" s="3" t="s">
        <v>384</v>
      </c>
      <c r="B48" s="4">
        <v>4</v>
      </c>
      <c r="C48" s="228">
        <v>5</v>
      </c>
      <c r="D48" s="6">
        <v>260</v>
      </c>
      <c r="E48" s="7">
        <f t="shared" ref="E48" si="7">C48*D48</f>
        <v>1300</v>
      </c>
      <c r="F48" s="7">
        <f t="shared" ref="F48" si="8">B48*E48</f>
        <v>5200</v>
      </c>
      <c r="G48" s="229" t="s">
        <v>160</v>
      </c>
    </row>
    <row r="49" spans="1:7" ht="32.25" thickBot="1" x14ac:dyDescent="0.5">
      <c r="A49" s="308"/>
      <c r="B49" s="309"/>
      <c r="C49" s="246" t="s">
        <v>211</v>
      </c>
      <c r="D49" s="246"/>
      <c r="E49" s="130">
        <f>SUM(F44:F48)</f>
        <v>175240</v>
      </c>
      <c r="F49" s="362"/>
      <c r="G49" s="363"/>
    </row>
    <row r="51" spans="1:7" x14ac:dyDescent="0.25">
      <c r="E51" s="89">
        <f>E49+E24</f>
        <v>225420</v>
      </c>
    </row>
  </sheetData>
  <mergeCells count="28">
    <mergeCell ref="C24:D24"/>
    <mergeCell ref="A49:B49"/>
    <mergeCell ref="C49:D49"/>
    <mergeCell ref="F49:G49"/>
    <mergeCell ref="A31:A32"/>
    <mergeCell ref="A39:G39"/>
    <mergeCell ref="A40:G40"/>
    <mergeCell ref="A41:G41"/>
    <mergeCell ref="A42:A43"/>
    <mergeCell ref="B42:D42"/>
    <mergeCell ref="E42:F42"/>
    <mergeCell ref="G42:G43"/>
    <mergeCell ref="A15:G15"/>
    <mergeCell ref="A28:F28"/>
    <mergeCell ref="A29:F29"/>
    <mergeCell ref="A30:F30"/>
    <mergeCell ref="A1:I1"/>
    <mergeCell ref="A2:I2"/>
    <mergeCell ref="A3:I3"/>
    <mergeCell ref="A4:A5"/>
    <mergeCell ref="A14:G14"/>
    <mergeCell ref="A16:G16"/>
    <mergeCell ref="A17:A18"/>
    <mergeCell ref="B17:D17"/>
    <mergeCell ref="E17:F17"/>
    <mergeCell ref="G17:G18"/>
    <mergeCell ref="A24:B24"/>
    <mergeCell ref="F24:G24"/>
  </mergeCells>
  <hyperlinks>
    <hyperlink ref="A16" r:id="rId1" xr:uid="{0D6710A3-88D1-4CC3-AF15-D172A726BF30}"/>
    <hyperlink ref="A41" r:id="rId2" xr:uid="{35DC92B3-1451-4BAC-80B2-846BBBCAB86E}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704F-E93D-4D47-A868-AFB61260AD3A}">
  <dimension ref="A1:H72"/>
  <sheetViews>
    <sheetView topLeftCell="A50" workbookViewId="0">
      <selection activeCell="H65" sqref="H65"/>
    </sheetView>
  </sheetViews>
  <sheetFormatPr baseColWidth="10" defaultRowHeight="15" x14ac:dyDescent="0.25"/>
  <cols>
    <col min="1" max="1" width="27.28515625" bestFit="1" customWidth="1"/>
    <col min="2" max="2" width="11.85546875" bestFit="1" customWidth="1"/>
    <col min="3" max="3" width="12.42578125" customWidth="1"/>
    <col min="4" max="4" width="14.7109375" customWidth="1"/>
    <col min="5" max="5" width="14.42578125" bestFit="1" customWidth="1"/>
    <col min="6" max="6" width="19.28515625" bestFit="1" customWidth="1"/>
    <col min="7" max="7" width="12.42578125" bestFit="1" customWidth="1"/>
    <col min="8" max="8" width="20.28515625" customWidth="1"/>
  </cols>
  <sheetData>
    <row r="1" spans="1:8" ht="18" x14ac:dyDescent="0.25">
      <c r="A1" s="377" t="s">
        <v>281</v>
      </c>
      <c r="B1" s="378"/>
      <c r="C1" s="378"/>
      <c r="D1" s="378"/>
      <c r="E1" s="378"/>
      <c r="F1" s="378"/>
      <c r="G1" s="378"/>
      <c r="H1" s="379"/>
    </row>
    <row r="2" spans="1:8" x14ac:dyDescent="0.25">
      <c r="A2" s="185" t="s">
        <v>282</v>
      </c>
      <c r="B2" s="186" t="s">
        <v>283</v>
      </c>
      <c r="C2" s="186" t="s">
        <v>280</v>
      </c>
      <c r="D2" s="187" t="s">
        <v>284</v>
      </c>
      <c r="E2" s="188" t="s">
        <v>285</v>
      </c>
      <c r="F2" s="186" t="s">
        <v>286</v>
      </c>
      <c r="G2" s="186" t="s">
        <v>287</v>
      </c>
      <c r="H2" s="189" t="s">
        <v>288</v>
      </c>
    </row>
    <row r="3" spans="1:8" x14ac:dyDescent="0.25">
      <c r="A3" s="185" t="s">
        <v>289</v>
      </c>
      <c r="B3" s="190">
        <v>666160</v>
      </c>
      <c r="C3" s="186"/>
      <c r="D3" s="186"/>
      <c r="E3" s="191"/>
      <c r="F3" s="192">
        <f t="shared" ref="F3:F8" si="0">B3+E3</f>
        <v>666160</v>
      </c>
      <c r="G3" s="193">
        <v>59000</v>
      </c>
      <c r="H3" s="214">
        <f>F3-G3</f>
        <v>607160</v>
      </c>
    </row>
    <row r="4" spans="1:8" x14ac:dyDescent="0.25">
      <c r="A4" s="185" t="s">
        <v>290</v>
      </c>
      <c r="B4" s="190">
        <f>300000</f>
        <v>300000</v>
      </c>
      <c r="C4" s="186"/>
      <c r="D4" s="186"/>
      <c r="E4" s="191"/>
      <c r="F4" s="192">
        <f t="shared" si="0"/>
        <v>300000</v>
      </c>
      <c r="G4" s="193">
        <f>F4</f>
        <v>300000</v>
      </c>
      <c r="H4" s="194">
        <f t="shared" ref="H4:H7" si="1">F4-G4</f>
        <v>0</v>
      </c>
    </row>
    <row r="5" spans="1:8" x14ac:dyDescent="0.25">
      <c r="A5" s="185" t="s">
        <v>291</v>
      </c>
      <c r="B5" s="190">
        <v>337500</v>
      </c>
      <c r="C5" s="186"/>
      <c r="D5" s="186"/>
      <c r="E5" s="191"/>
      <c r="F5" s="192">
        <f t="shared" si="0"/>
        <v>337500</v>
      </c>
      <c r="G5" s="193">
        <f t="shared" ref="G5:G18" si="2">F5</f>
        <v>337500</v>
      </c>
      <c r="H5" s="194">
        <f t="shared" si="1"/>
        <v>0</v>
      </c>
    </row>
    <row r="6" spans="1:8" x14ac:dyDescent="0.25">
      <c r="A6" s="185" t="s">
        <v>292</v>
      </c>
      <c r="B6" s="190">
        <f>27000+84000</f>
        <v>111000</v>
      </c>
      <c r="C6" s="186"/>
      <c r="D6" s="186"/>
      <c r="E6" s="191"/>
      <c r="F6" s="192">
        <f t="shared" si="0"/>
        <v>111000</v>
      </c>
      <c r="G6" s="193">
        <f t="shared" si="2"/>
        <v>111000</v>
      </c>
      <c r="H6" s="194">
        <f t="shared" si="1"/>
        <v>0</v>
      </c>
    </row>
    <row r="7" spans="1:8" x14ac:dyDescent="0.25">
      <c r="A7" s="185" t="s">
        <v>293</v>
      </c>
      <c r="B7" s="190">
        <v>755000</v>
      </c>
      <c r="C7" s="186"/>
      <c r="D7" s="186"/>
      <c r="E7" s="191"/>
      <c r="F7" s="192">
        <f t="shared" si="0"/>
        <v>755000</v>
      </c>
      <c r="G7" s="193">
        <f t="shared" si="2"/>
        <v>755000</v>
      </c>
      <c r="H7" s="194">
        <f t="shared" si="1"/>
        <v>0</v>
      </c>
    </row>
    <row r="8" spans="1:8" x14ac:dyDescent="0.25">
      <c r="A8" s="185" t="s">
        <v>166</v>
      </c>
      <c r="B8" s="190">
        <v>1032050</v>
      </c>
      <c r="C8" s="186"/>
      <c r="D8" s="186"/>
      <c r="E8" s="191"/>
      <c r="F8" s="192">
        <f t="shared" si="0"/>
        <v>1032050</v>
      </c>
      <c r="G8" s="193">
        <f t="shared" si="2"/>
        <v>1032050</v>
      </c>
      <c r="H8" s="194">
        <f>B8-G8</f>
        <v>0</v>
      </c>
    </row>
    <row r="9" spans="1:8" x14ac:dyDescent="0.25">
      <c r="A9" s="185" t="s">
        <v>294</v>
      </c>
      <c r="B9" s="190">
        <v>929000</v>
      </c>
      <c r="C9" s="186"/>
      <c r="D9" s="186"/>
      <c r="E9" s="191"/>
      <c r="F9" s="192">
        <f>B9+E9+D9+C9</f>
        <v>929000</v>
      </c>
      <c r="G9" s="193">
        <f t="shared" si="2"/>
        <v>929000</v>
      </c>
      <c r="H9" s="194">
        <f t="shared" ref="H9:H18" si="3">F9-G9</f>
        <v>0</v>
      </c>
    </row>
    <row r="10" spans="1:8" x14ac:dyDescent="0.25">
      <c r="A10" s="195" t="s">
        <v>295</v>
      </c>
      <c r="B10" s="190">
        <v>626200</v>
      </c>
      <c r="C10" s="186"/>
      <c r="D10" s="186"/>
      <c r="E10" s="191"/>
      <c r="F10" s="192">
        <f t="shared" ref="F10" si="4">B10+E10</f>
        <v>626200</v>
      </c>
      <c r="G10" s="193">
        <f t="shared" si="2"/>
        <v>626200</v>
      </c>
      <c r="H10" s="194">
        <f t="shared" si="3"/>
        <v>0</v>
      </c>
    </row>
    <row r="11" spans="1:8" x14ac:dyDescent="0.25">
      <c r="A11" s="185" t="s">
        <v>296</v>
      </c>
      <c r="B11" s="190">
        <v>70000</v>
      </c>
      <c r="C11" s="186"/>
      <c r="D11" s="186"/>
      <c r="E11" s="191"/>
      <c r="F11" s="192">
        <f>B11+E11</f>
        <v>70000</v>
      </c>
      <c r="G11" s="193">
        <f t="shared" si="2"/>
        <v>70000</v>
      </c>
      <c r="H11" s="194">
        <f t="shared" si="3"/>
        <v>0</v>
      </c>
    </row>
    <row r="12" spans="1:8" x14ac:dyDescent="0.25">
      <c r="A12" s="185" t="s">
        <v>297</v>
      </c>
      <c r="B12" s="190">
        <v>600000</v>
      </c>
      <c r="C12" s="186"/>
      <c r="D12" s="186"/>
      <c r="E12" s="191"/>
      <c r="F12" s="192">
        <f t="shared" ref="F12:F18" si="5">B12+E12</f>
        <v>600000</v>
      </c>
      <c r="G12" s="193">
        <f>F12</f>
        <v>600000</v>
      </c>
      <c r="H12" s="194">
        <f t="shared" si="3"/>
        <v>0</v>
      </c>
    </row>
    <row r="13" spans="1:8" x14ac:dyDescent="0.25">
      <c r="A13" s="196" t="s">
        <v>298</v>
      </c>
      <c r="B13" s="197">
        <v>178000</v>
      </c>
      <c r="C13" s="197"/>
      <c r="D13" s="197"/>
      <c r="E13" s="198"/>
      <c r="F13" s="199">
        <f t="shared" si="5"/>
        <v>178000</v>
      </c>
      <c r="G13" s="193">
        <f t="shared" si="2"/>
        <v>178000</v>
      </c>
      <c r="H13" s="200">
        <f t="shared" si="3"/>
        <v>0</v>
      </c>
    </row>
    <row r="14" spans="1:8" x14ac:dyDescent="0.25">
      <c r="A14" s="196" t="s">
        <v>299</v>
      </c>
      <c r="B14" s="197">
        <f>440000+700000</f>
        <v>1140000</v>
      </c>
      <c r="C14" s="197"/>
      <c r="D14" s="197"/>
      <c r="E14" s="198"/>
      <c r="F14" s="199">
        <f t="shared" si="5"/>
        <v>1140000</v>
      </c>
      <c r="G14" s="193">
        <f t="shared" si="2"/>
        <v>1140000</v>
      </c>
      <c r="H14" s="200">
        <f t="shared" si="3"/>
        <v>0</v>
      </c>
    </row>
    <row r="15" spans="1:8" x14ac:dyDescent="0.25">
      <c r="A15" s="196" t="s">
        <v>300</v>
      </c>
      <c r="B15" s="197">
        <v>413350</v>
      </c>
      <c r="C15" s="197"/>
      <c r="D15" s="197"/>
      <c r="E15" s="198"/>
      <c r="F15" s="199">
        <f t="shared" si="5"/>
        <v>413350</v>
      </c>
      <c r="G15" s="193">
        <f t="shared" si="2"/>
        <v>413350</v>
      </c>
      <c r="H15" s="200">
        <f t="shared" si="3"/>
        <v>0</v>
      </c>
    </row>
    <row r="16" spans="1:8" x14ac:dyDescent="0.25">
      <c r="A16" s="196" t="s">
        <v>301</v>
      </c>
      <c r="B16" s="197">
        <v>110000</v>
      </c>
      <c r="C16" s="197"/>
      <c r="D16" s="197"/>
      <c r="E16" s="198"/>
      <c r="F16" s="199">
        <f t="shared" si="5"/>
        <v>110000</v>
      </c>
      <c r="G16" s="193">
        <f t="shared" si="2"/>
        <v>110000</v>
      </c>
      <c r="H16" s="200">
        <f t="shared" si="3"/>
        <v>0</v>
      </c>
    </row>
    <row r="17" spans="1:8" x14ac:dyDescent="0.25">
      <c r="A17" s="196" t="s">
        <v>302</v>
      </c>
      <c r="B17" s="197">
        <f>178000+330000</f>
        <v>508000</v>
      </c>
      <c r="C17" s="197"/>
      <c r="D17" s="197"/>
      <c r="E17" s="198"/>
      <c r="F17" s="199">
        <f t="shared" si="5"/>
        <v>508000</v>
      </c>
      <c r="G17" s="193">
        <v>178000</v>
      </c>
      <c r="H17" s="213">
        <f t="shared" si="3"/>
        <v>330000</v>
      </c>
    </row>
    <row r="18" spans="1:8" x14ac:dyDescent="0.25">
      <c r="A18" s="196" t="s">
        <v>303</v>
      </c>
      <c r="B18" s="197">
        <v>200000</v>
      </c>
      <c r="C18" s="197"/>
      <c r="D18" s="197"/>
      <c r="E18" s="198"/>
      <c r="F18" s="199">
        <f t="shared" si="5"/>
        <v>200000</v>
      </c>
      <c r="G18" s="193">
        <f t="shared" si="2"/>
        <v>200000</v>
      </c>
      <c r="H18" s="200">
        <f t="shared" si="3"/>
        <v>0</v>
      </c>
    </row>
    <row r="19" spans="1:8" ht="15.75" thickBot="1" x14ac:dyDescent="0.3">
      <c r="A19" s="201" t="s">
        <v>304</v>
      </c>
      <c r="B19" s="202"/>
      <c r="C19" s="202"/>
      <c r="D19" s="202"/>
      <c r="E19" s="202"/>
      <c r="F19" s="203">
        <f>SUM(F3:F18)</f>
        <v>7976260</v>
      </c>
      <c r="G19" s="204">
        <f>SUM(G3:G18)</f>
        <v>7039100</v>
      </c>
      <c r="H19" s="205">
        <f>SUM(H3:H18)</f>
        <v>937160</v>
      </c>
    </row>
    <row r="20" spans="1:8" x14ac:dyDescent="0.25">
      <c r="A20" s="206" t="s">
        <v>305</v>
      </c>
      <c r="F20" s="207">
        <v>757000</v>
      </c>
      <c r="H20" s="107"/>
    </row>
    <row r="21" spans="1:8" x14ac:dyDescent="0.25">
      <c r="A21" s="206" t="s">
        <v>306</v>
      </c>
      <c r="F21" s="207">
        <v>118000</v>
      </c>
      <c r="H21" s="107"/>
    </row>
    <row r="22" spans="1:8" x14ac:dyDescent="0.25">
      <c r="A22" s="206" t="s">
        <v>307</v>
      </c>
      <c r="F22" s="207">
        <f>1241300</f>
        <v>1241300</v>
      </c>
      <c r="H22" s="107"/>
    </row>
    <row r="23" spans="1:8" x14ac:dyDescent="0.25">
      <c r="A23" s="206" t="s">
        <v>308</v>
      </c>
      <c r="F23" s="207">
        <v>149450</v>
      </c>
      <c r="H23" s="107"/>
    </row>
    <row r="24" spans="1:8" ht="18.75" x14ac:dyDescent="0.4">
      <c r="A24" s="208" t="s">
        <v>309</v>
      </c>
      <c r="F24" s="209">
        <f>SUM(F20:F23)</f>
        <v>2265750</v>
      </c>
      <c r="G24" s="89"/>
    </row>
    <row r="25" spans="1:8" ht="18.75" x14ac:dyDescent="0.4">
      <c r="A25" s="208" t="s">
        <v>310</v>
      </c>
      <c r="F25" s="210">
        <v>3571000</v>
      </c>
      <c r="G25" s="89"/>
    </row>
    <row r="26" spans="1:8" ht="18.75" x14ac:dyDescent="0.4">
      <c r="A26" s="208" t="s">
        <v>311</v>
      </c>
      <c r="F26" s="209">
        <f>F25</f>
        <v>3571000</v>
      </c>
      <c r="G26" s="89"/>
    </row>
    <row r="27" spans="1:8" ht="18.75" x14ac:dyDescent="0.4">
      <c r="A27" s="376" t="s">
        <v>312</v>
      </c>
      <c r="B27" s="376"/>
      <c r="C27" s="376"/>
      <c r="D27" s="376"/>
      <c r="E27" s="211"/>
      <c r="F27" s="212">
        <f>G19+F24+F26</f>
        <v>12875850</v>
      </c>
    </row>
    <row r="28" spans="1:8" x14ac:dyDescent="0.25">
      <c r="A28" s="183"/>
      <c r="B28" s="183"/>
      <c r="C28" s="183"/>
      <c r="D28" s="183"/>
      <c r="E28" s="183"/>
      <c r="F28" s="183"/>
      <c r="G28" s="183"/>
    </row>
    <row r="29" spans="1:8" x14ac:dyDescent="0.25">
      <c r="A29" s="183"/>
      <c r="B29" s="183"/>
      <c r="C29" s="183"/>
      <c r="D29" s="183"/>
      <c r="E29" s="183"/>
      <c r="F29" s="183"/>
      <c r="G29" s="183"/>
    </row>
    <row r="30" spans="1:8" x14ac:dyDescent="0.25">
      <c r="A30" s="380"/>
      <c r="B30" s="380"/>
      <c r="C30" s="380"/>
      <c r="D30" s="380"/>
      <c r="E30" s="380"/>
      <c r="F30" s="380"/>
      <c r="G30" s="183"/>
    </row>
    <row r="31" spans="1:8" ht="15.75" thickBot="1" x14ac:dyDescent="0.3">
      <c r="A31" s="184"/>
      <c r="B31" s="184"/>
      <c r="C31" s="184"/>
      <c r="D31" s="184"/>
      <c r="E31" s="184"/>
      <c r="F31" s="184"/>
      <c r="G31" s="183"/>
    </row>
    <row r="32" spans="1:8" ht="18" x14ac:dyDescent="0.25">
      <c r="A32" s="377" t="s">
        <v>313</v>
      </c>
      <c r="B32" s="378"/>
      <c r="C32" s="378"/>
      <c r="D32" s="378"/>
      <c r="E32" s="378"/>
      <c r="F32" s="378"/>
      <c r="G32" s="378"/>
      <c r="H32" s="379"/>
    </row>
    <row r="33" spans="1:8" x14ac:dyDescent="0.25">
      <c r="A33" s="185" t="s">
        <v>282</v>
      </c>
      <c r="B33" s="186" t="s">
        <v>283</v>
      </c>
      <c r="C33" s="186" t="s">
        <v>280</v>
      </c>
      <c r="D33" s="187" t="s">
        <v>284</v>
      </c>
      <c r="E33" s="188" t="s">
        <v>285</v>
      </c>
      <c r="F33" s="186" t="s">
        <v>286</v>
      </c>
      <c r="G33" s="186" t="s">
        <v>287</v>
      </c>
      <c r="H33" s="189" t="s">
        <v>314</v>
      </c>
    </row>
    <row r="34" spans="1:8" x14ac:dyDescent="0.25">
      <c r="A34" s="185" t="s">
        <v>324</v>
      </c>
      <c r="B34" s="190">
        <f>92480+554000</f>
        <v>646480</v>
      </c>
      <c r="C34" s="186"/>
      <c r="D34" s="186"/>
      <c r="E34" s="191"/>
      <c r="F34" s="192">
        <f t="shared" ref="F34:F39" si="6">B34+E34</f>
        <v>646480</v>
      </c>
      <c r="G34" s="193">
        <f>F34</f>
        <v>646480</v>
      </c>
      <c r="H34" s="194">
        <f>F34-G34</f>
        <v>0</v>
      </c>
    </row>
    <row r="35" spans="1:8" x14ac:dyDescent="0.25">
      <c r="A35" s="185" t="s">
        <v>67</v>
      </c>
      <c r="B35" s="190">
        <v>346400</v>
      </c>
      <c r="C35" s="186"/>
      <c r="D35" s="186"/>
      <c r="E35" s="191"/>
      <c r="F35" s="192">
        <f t="shared" si="6"/>
        <v>346400</v>
      </c>
      <c r="G35" s="193">
        <f>F35</f>
        <v>346400</v>
      </c>
      <c r="H35" s="194">
        <f t="shared" ref="H35:H39" si="7">F35-G35</f>
        <v>0</v>
      </c>
    </row>
    <row r="36" spans="1:8" x14ac:dyDescent="0.25">
      <c r="A36" s="185" t="s">
        <v>317</v>
      </c>
      <c r="B36" s="190">
        <v>182000</v>
      </c>
      <c r="C36" s="186"/>
      <c r="D36" s="186"/>
      <c r="E36" s="191">
        <v>60000</v>
      </c>
      <c r="F36" s="192">
        <f t="shared" si="6"/>
        <v>242000</v>
      </c>
      <c r="G36" s="193">
        <f t="shared" ref="G36:G42" si="8">F36</f>
        <v>242000</v>
      </c>
      <c r="H36" s="194">
        <f t="shared" si="7"/>
        <v>0</v>
      </c>
    </row>
    <row r="37" spans="1:8" x14ac:dyDescent="0.25">
      <c r="A37" s="185" t="s">
        <v>318</v>
      </c>
      <c r="B37" s="190">
        <v>400000</v>
      </c>
      <c r="C37" s="186"/>
      <c r="D37" s="186"/>
      <c r="E37" s="191"/>
      <c r="F37" s="192">
        <f t="shared" si="6"/>
        <v>400000</v>
      </c>
      <c r="G37" s="193">
        <f t="shared" si="8"/>
        <v>400000</v>
      </c>
      <c r="H37" s="194">
        <f t="shared" si="7"/>
        <v>0</v>
      </c>
    </row>
    <row r="38" spans="1:8" x14ac:dyDescent="0.25">
      <c r="A38" s="185" t="s">
        <v>319</v>
      </c>
      <c r="B38" s="190">
        <v>10000</v>
      </c>
      <c r="C38" s="186"/>
      <c r="D38" s="186"/>
      <c r="E38" s="191"/>
      <c r="F38" s="192">
        <f t="shared" si="6"/>
        <v>10000</v>
      </c>
      <c r="G38" s="193">
        <f t="shared" si="8"/>
        <v>10000</v>
      </c>
      <c r="H38" s="194">
        <f t="shared" si="7"/>
        <v>0</v>
      </c>
    </row>
    <row r="39" spans="1:8" x14ac:dyDescent="0.25">
      <c r="A39" s="185" t="s">
        <v>320</v>
      </c>
      <c r="B39" s="190">
        <v>373800</v>
      </c>
      <c r="C39" s="186"/>
      <c r="D39" s="186"/>
      <c r="E39" s="191">
        <v>60000</v>
      </c>
      <c r="F39" s="192">
        <f t="shared" si="6"/>
        <v>433800</v>
      </c>
      <c r="G39" s="193">
        <f t="shared" si="8"/>
        <v>433800</v>
      </c>
      <c r="H39" s="194">
        <f t="shared" si="7"/>
        <v>0</v>
      </c>
    </row>
    <row r="40" spans="1:8" x14ac:dyDescent="0.25">
      <c r="A40" s="185" t="s">
        <v>321</v>
      </c>
      <c r="B40" s="190">
        <v>158000</v>
      </c>
      <c r="C40" s="186"/>
      <c r="D40" s="186"/>
      <c r="E40" s="191"/>
      <c r="F40" s="192">
        <f>B40+E40+D40+C40</f>
        <v>158000</v>
      </c>
      <c r="G40" s="193">
        <f t="shared" si="8"/>
        <v>158000</v>
      </c>
      <c r="H40" s="194">
        <f t="shared" ref="H40:H50" si="9">F40-G40</f>
        <v>0</v>
      </c>
    </row>
    <row r="41" spans="1:8" x14ac:dyDescent="0.25">
      <c r="A41" s="195" t="s">
        <v>293</v>
      </c>
      <c r="B41" s="190">
        <v>39700</v>
      </c>
      <c r="C41" s="186"/>
      <c r="D41" s="186"/>
      <c r="E41" s="191"/>
      <c r="F41" s="192">
        <f t="shared" ref="F41" si="10">B41+E41</f>
        <v>39700</v>
      </c>
      <c r="G41" s="193">
        <f t="shared" si="8"/>
        <v>39700</v>
      </c>
      <c r="H41" s="194">
        <f t="shared" si="9"/>
        <v>0</v>
      </c>
    </row>
    <row r="42" spans="1:8" x14ac:dyDescent="0.25">
      <c r="A42" s="185" t="s">
        <v>296</v>
      </c>
      <c r="B42" s="190">
        <v>180000</v>
      </c>
      <c r="C42" s="186"/>
      <c r="D42" s="186"/>
      <c r="E42" s="191"/>
      <c r="F42" s="192">
        <f>B42+E42</f>
        <v>180000</v>
      </c>
      <c r="G42" s="193">
        <f t="shared" si="8"/>
        <v>180000</v>
      </c>
      <c r="H42" s="194">
        <f t="shared" si="9"/>
        <v>0</v>
      </c>
    </row>
    <row r="43" spans="1:8" x14ac:dyDescent="0.25">
      <c r="A43" s="185" t="s">
        <v>325</v>
      </c>
      <c r="B43" s="190">
        <v>50000</v>
      </c>
      <c r="C43" s="186"/>
      <c r="D43" s="186"/>
      <c r="E43" s="191"/>
      <c r="F43" s="192">
        <f t="shared" ref="F43:F50" si="11">B43+E43</f>
        <v>50000</v>
      </c>
      <c r="G43" s="193">
        <f>F43</f>
        <v>50000</v>
      </c>
      <c r="H43" s="194">
        <f t="shared" si="9"/>
        <v>0</v>
      </c>
    </row>
    <row r="44" spans="1:8" x14ac:dyDescent="0.25">
      <c r="A44" s="196" t="s">
        <v>100</v>
      </c>
      <c r="B44" s="197">
        <v>77325</v>
      </c>
      <c r="C44" s="197"/>
      <c r="D44" s="197"/>
      <c r="E44" s="198"/>
      <c r="F44" s="199">
        <f t="shared" si="11"/>
        <v>77325</v>
      </c>
      <c r="G44" s="193">
        <f t="shared" ref="G44:G49" si="12">F44</f>
        <v>77325</v>
      </c>
      <c r="H44" s="200">
        <f t="shared" si="9"/>
        <v>0</v>
      </c>
    </row>
    <row r="45" spans="1:8" x14ac:dyDescent="0.25">
      <c r="A45" s="196" t="s">
        <v>338</v>
      </c>
      <c r="B45" s="197">
        <v>500000</v>
      </c>
      <c r="C45" s="197"/>
      <c r="D45" s="197"/>
      <c r="E45" s="198"/>
      <c r="F45" s="199">
        <f t="shared" ref="F45" si="13">B45+E45</f>
        <v>500000</v>
      </c>
      <c r="G45" s="217">
        <f t="shared" ref="G45" si="14">F45</f>
        <v>500000</v>
      </c>
      <c r="H45" s="200">
        <f t="shared" ref="H45" si="15">F45-G45</f>
        <v>0</v>
      </c>
    </row>
    <row r="46" spans="1:8" x14ac:dyDescent="0.25">
      <c r="A46" s="196" t="s">
        <v>126</v>
      </c>
      <c r="B46" s="197">
        <v>186800</v>
      </c>
      <c r="C46" s="197"/>
      <c r="D46" s="197"/>
      <c r="E46" s="198"/>
      <c r="F46" s="199">
        <f t="shared" si="11"/>
        <v>186800</v>
      </c>
      <c r="G46" s="193">
        <f t="shared" si="12"/>
        <v>186800</v>
      </c>
      <c r="H46" s="200">
        <f t="shared" si="9"/>
        <v>0</v>
      </c>
    </row>
    <row r="47" spans="1:8" x14ac:dyDescent="0.25">
      <c r="A47" s="196" t="s">
        <v>326</v>
      </c>
      <c r="B47" s="197">
        <v>300000</v>
      </c>
      <c r="C47" s="197"/>
      <c r="D47" s="197"/>
      <c r="E47" s="198"/>
      <c r="F47" s="199">
        <f t="shared" si="11"/>
        <v>300000</v>
      </c>
      <c r="G47" s="217">
        <f t="shared" si="12"/>
        <v>300000</v>
      </c>
      <c r="H47" s="200">
        <f t="shared" si="9"/>
        <v>0</v>
      </c>
    </row>
    <row r="48" spans="1:8" x14ac:dyDescent="0.25">
      <c r="A48" s="196" t="s">
        <v>327</v>
      </c>
      <c r="B48" s="197">
        <v>450000</v>
      </c>
      <c r="C48" s="197"/>
      <c r="D48" s="197"/>
      <c r="E48" s="198"/>
      <c r="F48" s="199">
        <f t="shared" si="11"/>
        <v>450000</v>
      </c>
      <c r="G48" s="193">
        <f t="shared" si="12"/>
        <v>450000</v>
      </c>
      <c r="H48" s="200">
        <f t="shared" si="9"/>
        <v>0</v>
      </c>
    </row>
    <row r="49" spans="1:8" x14ac:dyDescent="0.25">
      <c r="A49" s="196" t="s">
        <v>328</v>
      </c>
      <c r="B49" s="197">
        <f>250000+282000</f>
        <v>532000</v>
      </c>
      <c r="C49" s="197"/>
      <c r="D49" s="197"/>
      <c r="E49" s="198"/>
      <c r="F49" s="199">
        <f t="shared" si="11"/>
        <v>532000</v>
      </c>
      <c r="G49" s="193">
        <f t="shared" si="12"/>
        <v>532000</v>
      </c>
      <c r="H49" s="200">
        <f t="shared" si="9"/>
        <v>0</v>
      </c>
    </row>
    <row r="50" spans="1:8" x14ac:dyDescent="0.25">
      <c r="A50" s="196" t="s">
        <v>329</v>
      </c>
      <c r="B50" s="197">
        <v>50000</v>
      </c>
      <c r="C50" s="197"/>
      <c r="D50" s="197"/>
      <c r="E50" s="198"/>
      <c r="F50" s="199">
        <f t="shared" si="11"/>
        <v>50000</v>
      </c>
      <c r="G50" s="193">
        <f t="shared" ref="G50" si="16">F50</f>
        <v>50000</v>
      </c>
      <c r="H50" s="200">
        <f t="shared" si="9"/>
        <v>0</v>
      </c>
    </row>
    <row r="51" spans="1:8" x14ac:dyDescent="0.25">
      <c r="A51" s="196" t="s">
        <v>330</v>
      </c>
      <c r="B51" s="197">
        <v>50000</v>
      </c>
      <c r="C51" s="197"/>
      <c r="D51" s="197"/>
      <c r="E51" s="198"/>
      <c r="F51" s="199">
        <f t="shared" ref="F51" si="17">B51+E51</f>
        <v>50000</v>
      </c>
      <c r="G51" s="193">
        <f t="shared" ref="G51" si="18">F51</f>
        <v>50000</v>
      </c>
      <c r="H51" s="200">
        <f t="shared" ref="H51:H64" si="19">F51-G51</f>
        <v>0</v>
      </c>
    </row>
    <row r="52" spans="1:8" x14ac:dyDescent="0.25">
      <c r="A52" s="196" t="s">
        <v>331</v>
      </c>
      <c r="B52" s="197">
        <v>25000</v>
      </c>
      <c r="C52" s="197"/>
      <c r="D52" s="197"/>
      <c r="E52" s="198">
        <v>50000</v>
      </c>
      <c r="F52" s="199">
        <f t="shared" ref="F52" si="20">B52+E52</f>
        <v>75000</v>
      </c>
      <c r="G52" s="193">
        <f t="shared" ref="G52" si="21">F52</f>
        <v>75000</v>
      </c>
      <c r="H52" s="200">
        <f t="shared" si="19"/>
        <v>0</v>
      </c>
    </row>
    <row r="53" spans="1:8" x14ac:dyDescent="0.25">
      <c r="A53" s="196" t="s">
        <v>166</v>
      </c>
      <c r="B53" s="197">
        <v>672330</v>
      </c>
      <c r="C53" s="197"/>
      <c r="D53" s="197"/>
      <c r="E53" s="198"/>
      <c r="F53" s="199">
        <f t="shared" ref="F53" si="22">B53+E53</f>
        <v>672330</v>
      </c>
      <c r="G53" s="193">
        <f t="shared" ref="G53" si="23">F53</f>
        <v>672330</v>
      </c>
      <c r="H53" s="200">
        <f t="shared" si="19"/>
        <v>0</v>
      </c>
    </row>
    <row r="54" spans="1:8" x14ac:dyDescent="0.25">
      <c r="A54" s="196" t="s">
        <v>203</v>
      </c>
      <c r="B54" s="197">
        <v>400000</v>
      </c>
      <c r="C54" s="197"/>
      <c r="D54" s="197"/>
      <c r="E54" s="198"/>
      <c r="F54" s="199">
        <f t="shared" ref="F54:F55" si="24">B54+E54</f>
        <v>400000</v>
      </c>
      <c r="G54" s="193">
        <f t="shared" ref="G54:G55" si="25">F54</f>
        <v>400000</v>
      </c>
      <c r="H54" s="200">
        <f t="shared" si="19"/>
        <v>0</v>
      </c>
    </row>
    <row r="55" spans="1:8" x14ac:dyDescent="0.25">
      <c r="A55" s="196" t="s">
        <v>332</v>
      </c>
      <c r="B55" s="197">
        <v>35000</v>
      </c>
      <c r="C55" s="197"/>
      <c r="D55" s="197"/>
      <c r="E55" s="198"/>
      <c r="F55" s="199">
        <f t="shared" si="24"/>
        <v>35000</v>
      </c>
      <c r="G55" s="193">
        <f t="shared" si="25"/>
        <v>35000</v>
      </c>
      <c r="H55" s="200">
        <f t="shared" si="19"/>
        <v>0</v>
      </c>
    </row>
    <row r="56" spans="1:8" x14ac:dyDescent="0.25">
      <c r="A56" s="196" t="s">
        <v>333</v>
      </c>
      <c r="B56" s="197">
        <v>63000</v>
      </c>
      <c r="C56" s="197"/>
      <c r="D56" s="197"/>
      <c r="E56" s="198"/>
      <c r="F56" s="199">
        <f t="shared" ref="F56" si="26">B56+E56</f>
        <v>63000</v>
      </c>
      <c r="G56" s="193">
        <f t="shared" ref="G56" si="27">F56</f>
        <v>63000</v>
      </c>
      <c r="H56" s="200">
        <f t="shared" si="19"/>
        <v>0</v>
      </c>
    </row>
    <row r="57" spans="1:8" x14ac:dyDescent="0.25">
      <c r="A57" s="196" t="s">
        <v>334</v>
      </c>
      <c r="B57" s="197">
        <v>65300</v>
      </c>
      <c r="C57" s="197"/>
      <c r="D57" s="197"/>
      <c r="E57" s="198"/>
      <c r="F57" s="199">
        <f t="shared" ref="F57:F60" si="28">B57+E57</f>
        <v>65300</v>
      </c>
      <c r="G57" s="193">
        <f t="shared" ref="G57:G60" si="29">F57</f>
        <v>65300</v>
      </c>
      <c r="H57" s="200">
        <f t="shared" si="19"/>
        <v>0</v>
      </c>
    </row>
    <row r="58" spans="1:8" x14ac:dyDescent="0.25">
      <c r="A58" s="196" t="s">
        <v>335</v>
      </c>
      <c r="B58" s="197">
        <v>28500</v>
      </c>
      <c r="C58" s="197"/>
      <c r="D58" s="197"/>
      <c r="E58" s="198"/>
      <c r="F58" s="199">
        <f t="shared" si="28"/>
        <v>28500</v>
      </c>
      <c r="G58" s="215">
        <f t="shared" si="29"/>
        <v>28500</v>
      </c>
      <c r="H58" s="200">
        <f t="shared" si="19"/>
        <v>0</v>
      </c>
    </row>
    <row r="59" spans="1:8" x14ac:dyDescent="0.25">
      <c r="A59" s="196" t="s">
        <v>336</v>
      </c>
      <c r="B59" s="197">
        <v>400000</v>
      </c>
      <c r="C59" s="197"/>
      <c r="D59" s="197"/>
      <c r="E59" s="198"/>
      <c r="F59" s="199">
        <f t="shared" si="28"/>
        <v>400000</v>
      </c>
      <c r="G59" s="216">
        <f t="shared" si="29"/>
        <v>400000</v>
      </c>
      <c r="H59" s="200">
        <f t="shared" si="19"/>
        <v>0</v>
      </c>
    </row>
    <row r="60" spans="1:8" x14ac:dyDescent="0.25">
      <c r="A60" s="196" t="s">
        <v>337</v>
      </c>
      <c r="B60" s="197">
        <v>215000</v>
      </c>
      <c r="C60" s="197"/>
      <c r="D60" s="197"/>
      <c r="E60" s="198"/>
      <c r="F60" s="199">
        <f t="shared" si="28"/>
        <v>215000</v>
      </c>
      <c r="G60" s="215">
        <f t="shared" si="29"/>
        <v>215000</v>
      </c>
      <c r="H60" s="200">
        <f t="shared" si="19"/>
        <v>0</v>
      </c>
    </row>
    <row r="61" spans="1:8" x14ac:dyDescent="0.25">
      <c r="A61" s="196" t="s">
        <v>263</v>
      </c>
      <c r="B61" s="197">
        <v>300000</v>
      </c>
      <c r="C61" s="197"/>
      <c r="D61" s="197"/>
      <c r="E61" s="198"/>
      <c r="F61" s="199">
        <f t="shared" ref="F61:F64" si="30">B61+E61</f>
        <v>300000</v>
      </c>
      <c r="G61" s="216">
        <f t="shared" ref="G61" si="31">F61</f>
        <v>300000</v>
      </c>
      <c r="H61" s="200">
        <f t="shared" si="19"/>
        <v>0</v>
      </c>
    </row>
    <row r="62" spans="1:8" x14ac:dyDescent="0.25">
      <c r="A62" s="196" t="s">
        <v>355</v>
      </c>
      <c r="B62" s="197">
        <v>298000</v>
      </c>
      <c r="C62" s="197"/>
      <c r="D62" s="197"/>
      <c r="E62" s="198">
        <v>20000</v>
      </c>
      <c r="F62" s="199">
        <f t="shared" si="30"/>
        <v>318000</v>
      </c>
      <c r="G62" s="216"/>
      <c r="H62" s="200">
        <f t="shared" si="19"/>
        <v>318000</v>
      </c>
    </row>
    <row r="63" spans="1:8" x14ac:dyDescent="0.25">
      <c r="A63" s="196" t="s">
        <v>300</v>
      </c>
      <c r="B63" s="197">
        <v>210325</v>
      </c>
      <c r="C63" s="197"/>
      <c r="D63" s="197"/>
      <c r="E63" s="198"/>
      <c r="F63" s="199">
        <f t="shared" si="30"/>
        <v>210325</v>
      </c>
      <c r="G63" s="216"/>
      <c r="H63" s="200">
        <f t="shared" si="19"/>
        <v>210325</v>
      </c>
    </row>
    <row r="64" spans="1:8" x14ac:dyDescent="0.25">
      <c r="A64" s="196" t="s">
        <v>401</v>
      </c>
      <c r="B64" s="197">
        <v>225420</v>
      </c>
      <c r="C64" s="197"/>
      <c r="D64" s="197"/>
      <c r="E64" s="198"/>
      <c r="F64" s="199">
        <f t="shared" si="30"/>
        <v>225420</v>
      </c>
      <c r="G64" s="216"/>
      <c r="H64" s="200">
        <f t="shared" si="19"/>
        <v>225420</v>
      </c>
    </row>
    <row r="65" spans="1:8" ht="15.75" thickBot="1" x14ac:dyDescent="0.3">
      <c r="A65" s="201" t="s">
        <v>304</v>
      </c>
      <c r="B65" s="202"/>
      <c r="C65" s="202"/>
      <c r="D65" s="202"/>
      <c r="E65" s="202"/>
      <c r="F65" s="203">
        <f>SUM(F34:F64)</f>
        <v>7660380</v>
      </c>
      <c r="G65" s="204">
        <f>SUM(G34:G64)</f>
        <v>6906635</v>
      </c>
      <c r="H65" s="205">
        <f>SUM(H34:H64)</f>
        <v>753745</v>
      </c>
    </row>
    <row r="66" spans="1:8" x14ac:dyDescent="0.25">
      <c r="A66" s="206" t="s">
        <v>316</v>
      </c>
      <c r="F66" s="207">
        <v>400000</v>
      </c>
      <c r="H66" s="107"/>
    </row>
    <row r="67" spans="1:8" x14ac:dyDescent="0.25">
      <c r="A67" s="206" t="s">
        <v>322</v>
      </c>
      <c r="F67" s="207">
        <v>330000</v>
      </c>
      <c r="H67" s="107"/>
    </row>
    <row r="68" spans="1:8" x14ac:dyDescent="0.25">
      <c r="A68" s="206" t="s">
        <v>323</v>
      </c>
      <c r="F68" s="207">
        <v>607160</v>
      </c>
      <c r="H68" s="107"/>
    </row>
    <row r="69" spans="1:8" ht="18.75" customHeight="1" x14ac:dyDescent="0.4">
      <c r="A69" s="208" t="s">
        <v>309</v>
      </c>
      <c r="F69" s="209">
        <f>SUM(F66:F68)</f>
        <v>1337160</v>
      </c>
      <c r="G69" s="89"/>
    </row>
    <row r="70" spans="1:8" ht="18.75" customHeight="1" x14ac:dyDescent="0.4">
      <c r="A70" s="208" t="s">
        <v>339</v>
      </c>
      <c r="F70" s="210">
        <v>300000</v>
      </c>
      <c r="G70" s="89"/>
    </row>
    <row r="71" spans="1:8" ht="18.75" customHeight="1" x14ac:dyDescent="0.4">
      <c r="A71" s="208" t="s">
        <v>311</v>
      </c>
      <c r="F71" s="209">
        <f>F70</f>
        <v>300000</v>
      </c>
      <c r="G71" s="89"/>
    </row>
    <row r="72" spans="1:8" ht="18.75" x14ac:dyDescent="0.4">
      <c r="A72" s="376" t="s">
        <v>315</v>
      </c>
      <c r="B72" s="376"/>
      <c r="C72" s="376"/>
      <c r="D72" s="376"/>
      <c r="E72" s="211"/>
      <c r="F72" s="212">
        <f>G65+F69+F71</f>
        <v>8543795</v>
      </c>
    </row>
  </sheetData>
  <mergeCells count="5">
    <mergeCell ref="A72:D72"/>
    <mergeCell ref="A1:H1"/>
    <mergeCell ref="A27:D27"/>
    <mergeCell ref="A32:H32"/>
    <mergeCell ref="A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MARICEL FERNANDEZ</vt:lpstr>
      <vt:lpstr>WILSON PAEZ</vt:lpstr>
      <vt:lpstr>CAMPESTRE NORTE</vt:lpstr>
      <vt:lpstr>EFRAIN</vt:lpstr>
      <vt:lpstr>JAVIER</vt:lpstr>
      <vt:lpstr>EDGARDO PICO</vt:lpstr>
      <vt:lpstr>RONALD</vt:lpstr>
      <vt:lpstr>JOSE REDIN</vt:lpstr>
      <vt:lpstr>DIEGO GUTIERREZ</vt:lpstr>
      <vt:lpstr>CESAR CACERES</vt:lpstr>
      <vt:lpstr>NELSON HERNANDEZ</vt:lpstr>
      <vt:lpstr>PUERTO RICO CAMILO</vt:lpstr>
      <vt:lpstr>jorge romero</vt:lpstr>
      <vt:lpstr>WILMER GELVEZ</vt:lpstr>
      <vt:lpstr>CLAUDIA JEREZ GIL</vt:lpstr>
      <vt:lpstr>POLIMYS</vt:lpstr>
      <vt:lpstr>ALQUILER NI FISCAL JULIO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2025-08-08T12:32:43Z</cp:lastPrinted>
  <dcterms:created xsi:type="dcterms:W3CDTF">2015-06-05T18:19:34Z</dcterms:created>
  <dcterms:modified xsi:type="dcterms:W3CDTF">2025-08-12T12:59:04Z</dcterms:modified>
</cp:coreProperties>
</file>
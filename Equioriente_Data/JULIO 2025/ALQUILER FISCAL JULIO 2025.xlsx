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JULIO 2025\"/>
    </mc:Choice>
  </mc:AlternateContent>
  <xr:revisionPtr revIDLastSave="0" documentId="13_ncr:1_{9A243BDE-24E4-4911-BE7C-6BD247F2FE2B}" xr6:coauthVersionLast="47" xr6:coauthVersionMax="47" xr10:uidLastSave="{00000000-0000-0000-0000-000000000000}"/>
  <bookViews>
    <workbookView xWindow="-120" yWindow="-120" windowWidth="20730" windowHeight="11040" activeTab="3" xr2:uid="{00000000-000D-0000-FFFF-FFFF00000000}"/>
  </bookViews>
  <sheets>
    <sheet name="IXA SAS" sheetId="1" r:id="rId1"/>
    <sheet name="ALINA" sheetId="2" r:id="rId2"/>
    <sheet name="EDUSYSTEMAS" sheetId="3" r:id="rId3"/>
    <sheet name="INVERSIONES G Y C 23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0" i="3" l="1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2" i="3"/>
  <c r="L6" i="3"/>
  <c r="E23" i="4"/>
  <c r="E22" i="4"/>
  <c r="F22" i="4" s="1"/>
  <c r="E21" i="4"/>
  <c r="F21" i="4" s="1"/>
  <c r="E20" i="4"/>
  <c r="F20" i="4" s="1"/>
  <c r="E19" i="4"/>
  <c r="F19" i="4" s="1"/>
  <c r="E24" i="4" l="1"/>
  <c r="E26" i="4" s="1"/>
  <c r="G9" i="4"/>
  <c r="G8" i="4"/>
  <c r="G7" i="4"/>
  <c r="G6" i="4"/>
  <c r="E98" i="3" l="1"/>
  <c r="E97" i="3"/>
  <c r="E95" i="3"/>
  <c r="E94" i="3"/>
  <c r="E93" i="3"/>
  <c r="E92" i="3"/>
  <c r="E91" i="3"/>
  <c r="E90" i="3"/>
  <c r="E88" i="3"/>
  <c r="E87" i="3"/>
  <c r="E86" i="3"/>
  <c r="E85" i="3"/>
  <c r="E79" i="3" l="1"/>
  <c r="E77" i="3"/>
  <c r="E75" i="3"/>
  <c r="E74" i="3"/>
  <c r="E72" i="3"/>
  <c r="E70" i="3"/>
  <c r="E69" i="3"/>
  <c r="E66" i="3"/>
  <c r="E62" i="3"/>
  <c r="E60" i="3"/>
  <c r="E59" i="3"/>
  <c r="E57" i="3"/>
  <c r="E54" i="3"/>
  <c r="E53" i="3"/>
  <c r="E96" i="3" l="1"/>
  <c r="E89" i="3"/>
  <c r="E84" i="3"/>
  <c r="E83" i="3"/>
  <c r="E82" i="3"/>
  <c r="E81" i="3"/>
  <c r="E80" i="3"/>
  <c r="E78" i="3"/>
  <c r="E76" i="3"/>
  <c r="E73" i="3"/>
  <c r="E71" i="3"/>
  <c r="E68" i="3"/>
  <c r="E67" i="3"/>
  <c r="E65" i="3"/>
  <c r="E64" i="3"/>
  <c r="E63" i="3"/>
  <c r="E61" i="3"/>
  <c r="E58" i="3"/>
  <c r="E56" i="3"/>
  <c r="E55" i="3"/>
  <c r="E52" i="3"/>
  <c r="E51" i="3"/>
  <c r="E50" i="3"/>
  <c r="E49" i="3"/>
  <c r="F49" i="3" s="1"/>
  <c r="E99" i="3" l="1"/>
  <c r="E100" i="3" s="1"/>
  <c r="E102" i="3" s="1"/>
  <c r="E18" i="2" l="1"/>
  <c r="F18" i="2" s="1"/>
  <c r="E17" i="2"/>
  <c r="F17" i="2" s="1"/>
  <c r="E8" i="2"/>
  <c r="E7" i="2"/>
  <c r="E6" i="2"/>
  <c r="E19" i="2" l="1"/>
  <c r="E20" i="2" l="1"/>
  <c r="E22" i="2" s="1"/>
  <c r="E19" i="1" l="1"/>
  <c r="F19" i="1" s="1"/>
  <c r="E18" i="1"/>
  <c r="F18" i="1" s="1"/>
  <c r="E21" i="1" l="1"/>
  <c r="E22" i="1" s="1"/>
  <c r="E23" i="1" s="1"/>
  <c r="E20" i="1"/>
  <c r="D8" i="1" l="1"/>
  <c r="D7" i="1"/>
  <c r="D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Jimmy Jaimes</author>
  </authors>
  <commentList>
    <comment ref="H10" authorId="0" shapeId="0" xr:uid="{ECD8B7FD-481B-4563-B2D0-C9216467F029}">
      <text>
        <r>
          <rPr>
            <b/>
            <sz val="9"/>
            <color indexed="81"/>
            <rFont val="Tahoma"/>
            <family val="2"/>
          </rPr>
          <t>Jimmy Jaimes:</t>
        </r>
        <r>
          <rPr>
            <sz val="9"/>
            <color indexed="81"/>
            <rFont val="Tahoma"/>
            <family val="2"/>
          </rPr>
          <t xml:space="preserve">
2 SON DE POLILYS
</t>
        </r>
      </text>
    </comment>
    <comment ref="H17" authorId="0" shapeId="0" xr:uid="{76217DB4-65D6-44C6-97DB-DCE2AB361E76}">
      <text>
        <r>
          <rPr>
            <b/>
            <sz val="9"/>
            <color indexed="81"/>
            <rFont val="Tahoma"/>
            <family val="2"/>
          </rPr>
          <t>Jimmy Jaimes:</t>
        </r>
        <r>
          <rPr>
            <sz val="9"/>
            <color indexed="81"/>
            <rFont val="Tahoma"/>
            <family val="2"/>
          </rPr>
          <t xml:space="preserve">
POLILYS 
</t>
        </r>
      </text>
    </comment>
    <comment ref="I18" authorId="0" shapeId="0" xr:uid="{23675EAB-F910-4EF0-89AB-86D1A55A29A2}">
      <text>
        <r>
          <rPr>
            <b/>
            <sz val="9"/>
            <color indexed="81"/>
            <rFont val="Tahoma"/>
            <family val="2"/>
          </rPr>
          <t>Jimmy Jaimes:</t>
        </r>
        <r>
          <rPr>
            <sz val="9"/>
            <color indexed="81"/>
            <rFont val="Tahoma"/>
            <family val="2"/>
          </rPr>
          <t xml:space="preserve">
8 TABLAS FALTANTESD
</t>
        </r>
      </text>
    </comment>
    <comment ref="B27" authorId="0" shapeId="0" xr:uid="{15BDA6D8-2954-46EF-8EB4-D7CE7D299B0E}">
      <text>
        <r>
          <rPr>
            <b/>
            <sz val="9"/>
            <color indexed="81"/>
            <rFont val="Tahoma"/>
            <family val="2"/>
          </rPr>
          <t>Jimmy Jaimes:</t>
        </r>
        <r>
          <rPr>
            <sz val="9"/>
            <color indexed="81"/>
            <rFont val="Tahoma"/>
            <family val="2"/>
          </rPr>
          <t xml:space="preserve">
2 CLAUDIA GIL
</t>
        </r>
      </text>
    </comment>
    <comment ref="I27" authorId="0" shapeId="0" xr:uid="{6541BB1E-E218-4EE8-9EE2-247E04C4DF19}">
      <text>
        <r>
          <rPr>
            <b/>
            <sz val="9"/>
            <color indexed="81"/>
            <rFont val="Tahoma"/>
            <family val="2"/>
          </rPr>
          <t>Jimmy Jaimes:</t>
        </r>
        <r>
          <rPr>
            <sz val="9"/>
            <color indexed="81"/>
            <rFont val="Tahoma"/>
            <family val="2"/>
          </rPr>
          <t xml:space="preserve">
CG
</t>
        </r>
      </text>
    </comment>
    <comment ref="B28" authorId="0" shapeId="0" xr:uid="{5FD8093B-4742-4029-AA0C-AE986F1104DC}">
      <text>
        <r>
          <rPr>
            <b/>
            <sz val="9"/>
            <color indexed="81"/>
            <rFont val="Tahoma"/>
            <family val="2"/>
          </rPr>
          <t>Jimmy Jaimes:</t>
        </r>
        <r>
          <rPr>
            <sz val="9"/>
            <color indexed="81"/>
            <rFont val="Tahoma"/>
            <family val="2"/>
          </rPr>
          <t xml:space="preserve">
CLAU GIL</t>
        </r>
      </text>
    </comment>
    <comment ref="I28" authorId="0" shapeId="0" xr:uid="{EDB68A5C-ED00-4C2A-8043-19B6DDFFB85C}">
      <text>
        <r>
          <rPr>
            <b/>
            <sz val="9"/>
            <color indexed="81"/>
            <rFont val="Tahoma"/>
            <family val="2"/>
          </rPr>
          <t>Jimmy Jaimes:</t>
        </r>
        <r>
          <rPr>
            <sz val="9"/>
            <color indexed="81"/>
            <rFont val="Tahoma"/>
            <family val="2"/>
          </rPr>
          <t xml:space="preserve">
CG
</t>
        </r>
      </text>
    </comment>
  </commentList>
</comments>
</file>

<file path=xl/sharedStrings.xml><?xml version="1.0" encoding="utf-8"?>
<sst xmlns="http://schemas.openxmlformats.org/spreadsheetml/2006/main" count="250" uniqueCount="151">
  <si>
    <t>IXA SAS</t>
  </si>
  <si>
    <t>CRA 34 #41-63 TEL: 3156847765</t>
  </si>
  <si>
    <t>MATERIAL</t>
  </si>
  <si>
    <t>SALDO</t>
  </si>
  <si>
    <t>MARCOS DE ANDAMIOS 2*0,90</t>
  </si>
  <si>
    <t>CRUCETAS 2.MTROS</t>
  </si>
  <si>
    <t>TABLONES DE 3 MTROS</t>
  </si>
  <si>
    <t>TABLONES CORTOS</t>
  </si>
  <si>
    <t>Hora</t>
  </si>
  <si>
    <t>Transporte</t>
  </si>
  <si>
    <t>XLE -235</t>
  </si>
  <si>
    <t>MOVIMIENTO:JULIO 16/2025</t>
  </si>
  <si>
    <t>EQUIORIENTE SAS  NIT.900,206,780-7</t>
  </si>
  <si>
    <t>IXA SAS TEL:3156847765</t>
  </si>
  <si>
    <t>DETALLES</t>
  </si>
  <si>
    <t>COSTOS</t>
  </si>
  <si>
    <t>DIAS</t>
  </si>
  <si>
    <t>CANTIDAD</t>
  </si>
  <si>
    <t>VALOR</t>
  </si>
  <si>
    <t>COSTO DIARIO</t>
  </si>
  <si>
    <t>PRECIO DIARIO</t>
  </si>
  <si>
    <t>SECCION DE ANDAMIOS</t>
  </si>
  <si>
    <t>VALOR DIARIO CON IVA</t>
  </si>
  <si>
    <t>TOTAL DIAS</t>
  </si>
  <si>
    <t>IVA</t>
  </si>
  <si>
    <t xml:space="preserve"> GRANTOTAL</t>
  </si>
  <si>
    <t>PRODUCTOS DE ALIMENTOS ALINA</t>
  </si>
  <si>
    <t>CRA 19 #5-21</t>
  </si>
  <si>
    <t>MARCOS DE ANDAMIO 1,50 ROJOS</t>
  </si>
  <si>
    <t>2 CRUCETAS DE 2,00 MTROS</t>
  </si>
  <si>
    <t>TABLONES LARGOS 3 MTROS</t>
  </si>
  <si>
    <t>HORA</t>
  </si>
  <si>
    <t>3.20</t>
  </si>
  <si>
    <t>***</t>
  </si>
  <si>
    <t>A PIE</t>
  </si>
  <si>
    <t>ABONO $ 47000</t>
  </si>
  <si>
    <t>LTRANSPORTE</t>
  </si>
  <si>
    <t xml:space="preserve">PRODUCTORA ALIMESNTOS ALINA </t>
  </si>
  <si>
    <t>MOVIMIENTO:JULIO 16 al 18/2025</t>
  </si>
  <si>
    <t>EQUIORIENTE SAS</t>
  </si>
  <si>
    <t>CARRERA 37 # 42-83</t>
  </si>
  <si>
    <t>EDUSYSTEMAS LTDA</t>
  </si>
  <si>
    <t>PERIODO</t>
  </si>
  <si>
    <t>SECCIONES DE AMDAMIO</t>
  </si>
  <si>
    <t>TABLONES 3 MTS</t>
  </si>
  <si>
    <t>FORMALETA 15 X 120</t>
  </si>
  <si>
    <t>FORMALETA 40 X 120</t>
  </si>
  <si>
    <t>FORMALETA 30 X 120</t>
  </si>
  <si>
    <t>FORMALETA 5 X 120</t>
  </si>
  <si>
    <t>TABLERO DE MADERA 70 X 140</t>
  </si>
  <si>
    <t>ANGULOS DE 60 CM</t>
  </si>
  <si>
    <t>ANGULOS DE 120 CM</t>
  </si>
  <si>
    <t>PARALES 3 MTS</t>
  </si>
  <si>
    <t>PARALES 2 MTS</t>
  </si>
  <si>
    <t>PARALES 3,5 MTS</t>
  </si>
  <si>
    <t>PARALES 4 MTS</t>
  </si>
  <si>
    <t>CERCHAS 3 MTS</t>
  </si>
  <si>
    <t>CERCHAS 2 MTS</t>
  </si>
  <si>
    <t>CERCHAS 2.5  MTS</t>
  </si>
  <si>
    <t>CERCHAS 1  MTS</t>
  </si>
  <si>
    <t>CERCHAS 1,5  MTS</t>
  </si>
  <si>
    <t>TABLERO DE MADERA 40X 140</t>
  </si>
  <si>
    <t>TABLERO DE MADERA 40X 120</t>
  </si>
  <si>
    <t>CHAPETAS</t>
  </si>
  <si>
    <t>ALINEADORES 6 MTS</t>
  </si>
  <si>
    <t>TENSORES</t>
  </si>
  <si>
    <t>SUBTOTAL</t>
  </si>
  <si>
    <t>IVA 19 %</t>
  </si>
  <si>
    <t>TRANSPORTE</t>
  </si>
  <si>
    <t>EDUSYSTEMAS/MARICELL</t>
  </si>
  <si>
    <t>CRA 37#42-83TEL:3012077293 CESAR AUGUSTO</t>
  </si>
  <si>
    <t xml:space="preserve">SALDO </t>
  </si>
  <si>
    <t>MARCOS DE ANDAMIOS 1.50 VERDES</t>
  </si>
  <si>
    <t>CRUCETAS 2.40</t>
  </si>
  <si>
    <t>TABLONES  DE 3 MTROS</t>
  </si>
  <si>
    <t>FORMALETA DE 15*1.20</t>
  </si>
  <si>
    <t>FORMALETA DE 40*1.20</t>
  </si>
  <si>
    <t>FORMALETA DE 35*1,20</t>
  </si>
  <si>
    <t>FORMALETA DE 30*1.20</t>
  </si>
  <si>
    <t>FORMALETA DE 20*1,20</t>
  </si>
  <si>
    <t>FORMALETA DE 5*1.20</t>
  </si>
  <si>
    <t>FORMALETA DE 45*1,20</t>
  </si>
  <si>
    <t>FORMALETA DE 50*1,20</t>
  </si>
  <si>
    <t>TABLEROS DE MADERA DE 70*1.40</t>
  </si>
  <si>
    <t>ANGULOS DE 60</t>
  </si>
  <si>
    <t>ANGULOS DE 1.20</t>
  </si>
  <si>
    <t>PARALES DE 3 MTROS</t>
  </si>
  <si>
    <t>PARALES DE 2 MTROS</t>
  </si>
  <si>
    <t>PARALES LARGOS DE 3,5</t>
  </si>
  <si>
    <t>PARALES DE 4 MTROS</t>
  </si>
  <si>
    <t>CERCHAS DE 3 MTROS PLATINA</t>
  </si>
  <si>
    <t>CERCHAS DE 2 MTROS</t>
  </si>
  <si>
    <t>CERCHAS DE 2,50</t>
  </si>
  <si>
    <t>CERCHAS DE 1 MTRO</t>
  </si>
  <si>
    <t>CERCHAS DE 1,50</t>
  </si>
  <si>
    <t>BANDAS DE 40*1.40</t>
  </si>
  <si>
    <t>BANDAS DE4O*1.20</t>
  </si>
  <si>
    <t>CAJA METALICA</t>
  </si>
  <si>
    <t>ALINEADORES DE 6 MTROS</t>
  </si>
  <si>
    <t>ALINEADORES DE 3 MTROS</t>
  </si>
  <si>
    <t>ALINEADORES DE 2,5</t>
  </si>
  <si>
    <t>ALINEADORES DE 2 MTROS</t>
  </si>
  <si>
    <t>ALINEADORES DE 1,5</t>
  </si>
  <si>
    <t>RINCONERAS DE 10*10*60</t>
  </si>
  <si>
    <t>NKW-03D</t>
  </si>
  <si>
    <t>JULIO 1 AL 9</t>
  </si>
  <si>
    <t>JULIO 18 AL 21</t>
  </si>
  <si>
    <t>FORMALETA 35X 120</t>
  </si>
  <si>
    <t>FORMALETA 45 X 120</t>
  </si>
  <si>
    <t>FORMALETA 50 X 120</t>
  </si>
  <si>
    <t>JULIO 1 AL 24</t>
  </si>
  <si>
    <t>JULIO 1 AL 10</t>
  </si>
  <si>
    <t>JULIO 11 AL 17</t>
  </si>
  <si>
    <t>JULIO 1 AL 17</t>
  </si>
  <si>
    <t>JULIO 18 AL 24</t>
  </si>
  <si>
    <t>JULIO 2 AL 9</t>
  </si>
  <si>
    <t>JULIO 10 AL 24</t>
  </si>
  <si>
    <t>JULIO 11 AL 24</t>
  </si>
  <si>
    <t>JULIO 1 AL 1</t>
  </si>
  <si>
    <t>JULIO22 AL 24</t>
  </si>
  <si>
    <t>JULIO 18 al 24</t>
  </si>
  <si>
    <t>ALINEADORES 3 MTS</t>
  </si>
  <si>
    <t>ALINEADORES 2,5 MTS</t>
  </si>
  <si>
    <t>ALINEADORES 2 MTS</t>
  </si>
  <si>
    <t>JULIO 22 AL 24</t>
  </si>
  <si>
    <t>ALINEADORES 1,5  MTS</t>
  </si>
  <si>
    <t>INVERSIONES G Y 23</t>
  </si>
  <si>
    <t>CRA 50 #71-55 LAGOS DEL CACIQUE TEL: 3214037674</t>
  </si>
  <si>
    <t>MOVIMIENTO:JULIO/2025</t>
  </si>
  <si>
    <t>POLEAS</t>
  </si>
  <si>
    <t>TABLEROS DE MADERA 70*1,40</t>
  </si>
  <si>
    <t>ANGULOS PARA POLEA 6 MTROS</t>
  </si>
  <si>
    <t>PASAMANOS DE 6 MTROS</t>
  </si>
  <si>
    <t>INVERSIONES G &amp; C 23</t>
  </si>
  <si>
    <t>JULIO 14 A AGOSTO 13</t>
  </si>
  <si>
    <t>TABLEROS MADERA 70 X 140</t>
  </si>
  <si>
    <t>ANGULOS DE POLEA</t>
  </si>
  <si>
    <t>PASAMANOS</t>
  </si>
  <si>
    <t>VALOR TOTAL</t>
  </si>
  <si>
    <t xml:space="preserve">LLEVADA </t>
  </si>
  <si>
    <t>FORMALETA DE 10*1.20</t>
  </si>
  <si>
    <t>MOVIMIENTO:JULIO 1 A AGOSTO 5/ 2025</t>
  </si>
  <si>
    <t>P.M</t>
  </si>
  <si>
    <t>JULIO 22 A AGOSTO 5</t>
  </si>
  <si>
    <t>JULIO 1 A AGOSTO 5</t>
  </si>
  <si>
    <t>JULIO 22 A A AGOSTO 5</t>
  </si>
  <si>
    <t>JULIO 25 A AGOSTO 5</t>
  </si>
  <si>
    <t>JULIO 25 A AGOSTO5</t>
  </si>
  <si>
    <t>JULIO 18 A AGOSTO 5</t>
  </si>
  <si>
    <t>JULIO 18A AGOSTO 5</t>
  </si>
  <si>
    <t>JULIO 22 AL AGOSTO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</si>
</sst>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$&quot;\ * #,##0.00_-;\-&quot;$&quot;\ * #,##0.00_-;_-&quot;$&quot;\ * &quot;-&quot;??_-;_-@_-"/>
    <numFmt numFmtId="164" formatCode="_(&quot;$&quot;\ * #,##0_);_(&quot;$&quot;\ * \(#,##0\);_(&quot;$&quot;\ * &quot;-&quot;??_);_(@_)"/>
    <numFmt numFmtId="165" formatCode="h:mm:ss;@"/>
    <numFmt numFmtId="166" formatCode="hh:mm:ss;@"/>
    <numFmt numFmtId="167" formatCode="_-&quot;$&quot;\ * #,##0_-;\-&quot;$&quot;\ * #,##0_-;_-&quot;$&quot;\ * &quot;-&quot;??_-;_-@_-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Arial"/>
      <family val="2"/>
    </font>
    <font>
      <sz val="20"/>
      <color theme="1"/>
      <name val="Arial Black"/>
      <family val="2"/>
    </font>
    <font>
      <sz val="11"/>
      <color theme="1"/>
      <name val="Arial Black"/>
      <family val="2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4"/>
      <name val="Arial Black"/>
      <family val="2"/>
    </font>
    <font>
      <b/>
      <sz val="1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4"/>
      <color theme="1"/>
      <name val="Arial"/>
      <family val="2"/>
    </font>
    <font>
      <sz val="16"/>
      <color theme="1"/>
      <name val="Arial Black"/>
      <family val="2"/>
    </font>
    <font>
      <b/>
      <sz val="14"/>
      <color theme="1"/>
      <name val="Arial Black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10">
    <xf numFmtId="0" fontId="0" fillId="0" borderId="0" xfId="0"/>
    <xf numFmtId="1" fontId="2" fillId="3" borderId="1" xfId="0" applyNumberFormat="1" applyFont="1" applyFill="1" applyBorder="1" applyAlignment="1">
      <alignment horizontal="center" vertical="center"/>
    </xf>
    <xf numFmtId="16" fontId="2" fillId="3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20" fontId="2" fillId="3" borderId="1" xfId="0" applyNumberFormat="1" applyFont="1" applyFill="1" applyBorder="1" applyAlignment="1">
      <alignment horizontal="center" vertical="center"/>
    </xf>
    <xf numFmtId="164" fontId="2" fillId="3" borderId="1" xfId="1" applyNumberFormat="1" applyFont="1" applyFill="1" applyBorder="1" applyAlignment="1">
      <alignment horizontal="right" vertical="center"/>
    </xf>
    <xf numFmtId="0" fontId="2" fillId="3" borderId="12" xfId="0" applyFont="1" applyFill="1" applyBorder="1" applyAlignment="1">
      <alignment horizontal="center" vertical="center"/>
    </xf>
    <xf numFmtId="16" fontId="2" fillId="3" borderId="12" xfId="0" applyNumberFormat="1" applyFont="1" applyFill="1" applyBorder="1" applyAlignment="1">
      <alignment horizontal="center" vertical="center"/>
    </xf>
    <xf numFmtId="0" fontId="2" fillId="0" borderId="11" xfId="0" applyFont="1" applyBorder="1" applyAlignment="1">
      <alignment vertical="center"/>
    </xf>
    <xf numFmtId="0" fontId="2" fillId="4" borderId="12" xfId="0" applyFont="1" applyFill="1" applyBorder="1" applyAlignment="1">
      <alignment horizontal="center"/>
    </xf>
    <xf numFmtId="0" fontId="2" fillId="3" borderId="11" xfId="0" applyFont="1" applyFill="1" applyBorder="1" applyAlignment="1">
      <alignment vertical="center"/>
    </xf>
    <xf numFmtId="0" fontId="2" fillId="3" borderId="12" xfId="0" applyFont="1" applyFill="1" applyBorder="1" applyAlignment="1">
      <alignment horizontal="center"/>
    </xf>
    <xf numFmtId="0" fontId="2" fillId="3" borderId="13" xfId="0" applyFont="1" applyFill="1" applyBorder="1" applyAlignment="1">
      <alignment vertical="center"/>
    </xf>
    <xf numFmtId="164" fontId="2" fillId="3" borderId="14" xfId="1" applyNumberFormat="1" applyFont="1" applyFill="1" applyBorder="1" applyAlignment="1">
      <alignment horizontal="right" vertical="center"/>
    </xf>
    <xf numFmtId="0" fontId="2" fillId="3" borderId="15" xfId="0" applyFont="1" applyFill="1" applyBorder="1" applyAlignment="1">
      <alignment horizontal="center"/>
    </xf>
    <xf numFmtId="0" fontId="2" fillId="0" borderId="1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0" fillId="0" borderId="11" xfId="0" applyBorder="1"/>
    <xf numFmtId="0" fontId="0" fillId="0" borderId="1" xfId="0" applyBorder="1" applyAlignment="1">
      <alignment horizontal="center"/>
    </xf>
    <xf numFmtId="0" fontId="0" fillId="6" borderId="1" xfId="0" applyFill="1" applyBorder="1" applyAlignment="1">
      <alignment horizontal="center"/>
    </xf>
    <xf numFmtId="164" fontId="0" fillId="7" borderId="1" xfId="1" applyNumberFormat="1" applyFont="1" applyFill="1" applyBorder="1"/>
    <xf numFmtId="164" fontId="0" fillId="0" borderId="1" xfId="1" applyNumberFormat="1" applyFont="1" applyBorder="1"/>
    <xf numFmtId="164" fontId="0" fillId="0" borderId="12" xfId="1" applyNumberFormat="1" applyFont="1" applyBorder="1"/>
    <xf numFmtId="0" fontId="0" fillId="0" borderId="16" xfId="0" applyBorder="1"/>
    <xf numFmtId="0" fontId="0" fillId="0" borderId="17" xfId="0" applyBorder="1" applyAlignment="1">
      <alignment horizontal="center"/>
    </xf>
    <xf numFmtId="164" fontId="6" fillId="6" borderId="1" xfId="1" applyNumberFormat="1" applyFont="1" applyFill="1" applyBorder="1"/>
    <xf numFmtId="0" fontId="0" fillId="0" borderId="18" xfId="0" applyBorder="1" applyAlignment="1">
      <alignment horizontal="center"/>
    </xf>
    <xf numFmtId="164" fontId="6" fillId="6" borderId="17" xfId="1" applyNumberFormat="1" applyFont="1" applyFill="1" applyBorder="1"/>
    <xf numFmtId="164" fontId="6" fillId="2" borderId="17" xfId="1" applyNumberFormat="1" applyFont="1" applyFill="1" applyBorder="1"/>
    <xf numFmtId="164" fontId="9" fillId="8" borderId="5" xfId="1" applyNumberFormat="1" applyFont="1" applyFill="1" applyBorder="1"/>
    <xf numFmtId="0" fontId="0" fillId="0" borderId="20" xfId="0" applyBorder="1" applyAlignment="1">
      <alignment horizontal="center"/>
    </xf>
    <xf numFmtId="0" fontId="2" fillId="3" borderId="21" xfId="0" applyFont="1" applyFill="1" applyBorder="1" applyAlignment="1">
      <alignment horizontal="left" vertical="center"/>
    </xf>
    <xf numFmtId="0" fontId="2" fillId="3" borderId="21" xfId="0" applyFont="1" applyFill="1" applyBorder="1" applyAlignment="1">
      <alignment horizontal="center" vertical="center"/>
    </xf>
    <xf numFmtId="0" fontId="2" fillId="4" borderId="2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16" fontId="2" fillId="4" borderId="1" xfId="0" applyNumberFormat="1" applyFont="1" applyFill="1" applyBorder="1" applyAlignment="1">
      <alignment horizontal="center" vertical="center"/>
    </xf>
    <xf numFmtId="0" fontId="10" fillId="0" borderId="1" xfId="0" applyFont="1" applyBorder="1" applyAlignment="1">
      <alignment horizontal="left" vertical="center"/>
    </xf>
    <xf numFmtId="1" fontId="2" fillId="0" borderId="1" xfId="0" applyNumberFormat="1" applyFont="1" applyBorder="1" applyAlignment="1">
      <alignment horizontal="center" vertical="center"/>
    </xf>
    <xf numFmtId="1" fontId="2" fillId="4" borderId="1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left" vertical="center"/>
    </xf>
    <xf numFmtId="165" fontId="2" fillId="3" borderId="1" xfId="0" applyNumberFormat="1" applyFont="1" applyFill="1" applyBorder="1" applyAlignment="1">
      <alignment horizontal="center" vertical="center"/>
    </xf>
    <xf numFmtId="0" fontId="11" fillId="0" borderId="0" xfId="0" applyFont="1"/>
    <xf numFmtId="164" fontId="6" fillId="6" borderId="0" xfId="1" applyNumberFormat="1" applyFont="1" applyFill="1" applyBorder="1"/>
    <xf numFmtId="0" fontId="0" fillId="0" borderId="25" xfId="0" applyBorder="1" applyAlignment="1">
      <alignment horizontal="center"/>
    </xf>
    <xf numFmtId="0" fontId="2" fillId="0" borderId="12" xfId="0" applyFont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164" fontId="6" fillId="8" borderId="1" xfId="1" applyNumberFormat="1" applyFont="1" applyFill="1" applyBorder="1"/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164" fontId="6" fillId="9" borderId="1" xfId="1" applyNumberFormat="1" applyFont="1" applyFill="1" applyBorder="1"/>
    <xf numFmtId="164" fontId="14" fillId="10" borderId="14" xfId="1" applyNumberFormat="1" applyFont="1" applyFill="1" applyBorder="1"/>
    <xf numFmtId="0" fontId="0" fillId="0" borderId="33" xfId="0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4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vertical="center"/>
    </xf>
    <xf numFmtId="20" fontId="2" fillId="3" borderId="1" xfId="0" applyNumberFormat="1" applyFont="1" applyFill="1" applyBorder="1" applyAlignment="1">
      <alignment vertical="center"/>
    </xf>
    <xf numFmtId="20" fontId="2" fillId="3" borderId="1" xfId="1" applyNumberFormat="1" applyFont="1" applyFill="1" applyBorder="1" applyAlignment="1">
      <alignment horizontal="center" vertical="center"/>
    </xf>
    <xf numFmtId="166" fontId="2" fillId="3" borderId="1" xfId="0" applyNumberFormat="1" applyFont="1" applyFill="1" applyBorder="1" applyAlignment="1">
      <alignment horizontal="center" vertical="center"/>
    </xf>
    <xf numFmtId="167" fontId="2" fillId="3" borderId="1" xfId="1" applyNumberFormat="1" applyFont="1" applyFill="1" applyBorder="1" applyAlignment="1">
      <alignment vertical="center"/>
    </xf>
    <xf numFmtId="167" fontId="2" fillId="3" borderId="1" xfId="1" applyNumberFormat="1" applyFont="1" applyFill="1" applyBorder="1" applyAlignment="1">
      <alignment horizontal="center" vertical="center"/>
    </xf>
    <xf numFmtId="0" fontId="0" fillId="7" borderId="0" xfId="0" applyFill="1"/>
    <xf numFmtId="0" fontId="17" fillId="0" borderId="12" xfId="0" applyFont="1" applyBorder="1" applyAlignment="1">
      <alignment horizontal="center" vertical="center"/>
    </xf>
    <xf numFmtId="167" fontId="2" fillId="9" borderId="1" xfId="1" applyNumberFormat="1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2" fillId="0" borderId="1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14" fontId="5" fillId="6" borderId="16" xfId="0" applyNumberFormat="1" applyFont="1" applyFill="1" applyBorder="1" applyAlignment="1">
      <alignment horizontal="center" vertical="center" wrapText="1"/>
    </xf>
    <xf numFmtId="14" fontId="5" fillId="6" borderId="17" xfId="0" applyNumberFormat="1" applyFont="1" applyFill="1" applyBorder="1" applyAlignment="1">
      <alignment horizontal="center" vertical="center" wrapText="1"/>
    </xf>
    <xf numFmtId="14" fontId="5" fillId="6" borderId="13" xfId="0" applyNumberFormat="1" applyFont="1" applyFill="1" applyBorder="1" applyAlignment="1">
      <alignment horizontal="center" vertical="center" wrapText="1"/>
    </xf>
    <xf numFmtId="14" fontId="5" fillId="6" borderId="14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4" fillId="5" borderId="22" xfId="0" applyFont="1" applyFill="1" applyBorder="1" applyAlignment="1">
      <alignment horizontal="center"/>
    </xf>
    <xf numFmtId="0" fontId="4" fillId="5" borderId="23" xfId="0" applyFont="1" applyFill="1" applyBorder="1" applyAlignment="1">
      <alignment horizontal="center"/>
    </xf>
    <xf numFmtId="0" fontId="4" fillId="5" borderId="24" xfId="0" applyFont="1" applyFill="1" applyBorder="1" applyAlignment="1">
      <alignment horizontal="center"/>
    </xf>
    <xf numFmtId="0" fontId="4" fillId="5" borderId="11" xfId="0" applyFont="1" applyFill="1" applyBorder="1" applyAlignment="1">
      <alignment horizontal="center"/>
    </xf>
    <xf numFmtId="0" fontId="4" fillId="5" borderId="12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2" fillId="3" borderId="17" xfId="0" applyFont="1" applyFill="1" applyBorder="1" applyAlignment="1">
      <alignment horizontal="center" vertical="center"/>
    </xf>
    <xf numFmtId="0" fontId="2" fillId="3" borderId="21" xfId="0" applyFont="1" applyFill="1" applyBorder="1" applyAlignment="1">
      <alignment horizontal="center" vertical="center"/>
    </xf>
    <xf numFmtId="0" fontId="12" fillId="5" borderId="9" xfId="0" applyFont="1" applyFill="1" applyBorder="1" applyAlignment="1">
      <alignment horizontal="center" vertical="center" wrapText="1"/>
    </xf>
    <xf numFmtId="0" fontId="12" fillId="5" borderId="3" xfId="0" applyFont="1" applyFill="1" applyBorder="1" applyAlignment="1">
      <alignment horizontal="center" vertical="center" wrapText="1"/>
    </xf>
    <xf numFmtId="0" fontId="12" fillId="5" borderId="10" xfId="0" applyFont="1" applyFill="1" applyBorder="1" applyAlignment="1">
      <alignment horizontal="center" vertical="center" wrapText="1"/>
    </xf>
    <xf numFmtId="14" fontId="13" fillId="6" borderId="26" xfId="0" applyNumberFormat="1" applyFont="1" applyFill="1" applyBorder="1" applyAlignment="1">
      <alignment horizontal="center" vertical="center" wrapText="1"/>
    </xf>
    <xf numFmtId="14" fontId="13" fillId="6" borderId="27" xfId="0" applyNumberFormat="1" applyFont="1" applyFill="1" applyBorder="1" applyAlignment="1">
      <alignment horizontal="center" vertical="center" wrapText="1"/>
    </xf>
    <xf numFmtId="14" fontId="13" fillId="6" borderId="30" xfId="0" applyNumberFormat="1" applyFont="1" applyFill="1" applyBorder="1" applyAlignment="1">
      <alignment horizontal="center" vertical="center" wrapText="1"/>
    </xf>
    <xf numFmtId="14" fontId="13" fillId="6" borderId="31" xfId="0" applyNumberFormat="1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/>
    </xf>
    <xf numFmtId="0" fontId="2" fillId="8" borderId="4" xfId="0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9" borderId="4" xfId="0" applyFont="1" applyFill="1" applyBorder="1" applyAlignment="1">
      <alignment horizontal="center" vertical="center"/>
    </xf>
    <xf numFmtId="0" fontId="2" fillId="10" borderId="19" xfId="0" applyFont="1" applyFill="1" applyBorder="1" applyAlignment="1">
      <alignment horizontal="center" vertical="center"/>
    </xf>
    <xf numFmtId="0" fontId="2" fillId="10" borderId="32" xfId="0" applyFont="1" applyFill="1" applyBorder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13</xdr:row>
      <xdr:rowOff>28575</xdr:rowOff>
    </xdr:from>
    <xdr:to>
      <xdr:col>0</xdr:col>
      <xdr:colOff>1838325</xdr:colOff>
      <xdr:row>13</xdr:row>
      <xdr:rowOff>714378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7ED8DD0C-7BDB-4DDE-AD35-2FECE54EBC74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2657475"/>
          <a:ext cx="1838325" cy="685803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12</xdr:row>
      <xdr:rowOff>28575</xdr:rowOff>
    </xdr:from>
    <xdr:to>
      <xdr:col>0</xdr:col>
      <xdr:colOff>1838325</xdr:colOff>
      <xdr:row>12</xdr:row>
      <xdr:rowOff>714378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F14467DA-4D0F-4B0E-991D-6F64F76C8BAF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2657475"/>
          <a:ext cx="1838325" cy="685803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43</xdr:row>
      <xdr:rowOff>114299</xdr:rowOff>
    </xdr:from>
    <xdr:to>
      <xdr:col>0</xdr:col>
      <xdr:colOff>2171700</xdr:colOff>
      <xdr:row>43</xdr:row>
      <xdr:rowOff>1028699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3A0CE33-4BD3-4CE3-B5A0-A4FB28B4C7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5" y="7724774"/>
          <a:ext cx="1638300" cy="9144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14</xdr:row>
      <xdr:rowOff>409575</xdr:rowOff>
    </xdr:from>
    <xdr:to>
      <xdr:col>0</xdr:col>
      <xdr:colOff>1895475</xdr:colOff>
      <xdr:row>14</xdr:row>
      <xdr:rowOff>1095378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3A0F141F-DA74-47AD-82D1-23F6ED794066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7150" y="3228975"/>
          <a:ext cx="1838325" cy="685803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"/>
  <sheetViews>
    <sheetView topLeftCell="A8" workbookViewId="0">
      <selection sqref="A1:F23"/>
    </sheetView>
  </sheetViews>
  <sheetFormatPr baseColWidth="10" defaultColWidth="9.140625" defaultRowHeight="15" x14ac:dyDescent="0.25"/>
  <cols>
    <col min="1" max="1" width="33.28515625" customWidth="1"/>
    <col min="5" max="5" width="16.42578125" bestFit="1" customWidth="1"/>
  </cols>
  <sheetData>
    <row r="1" spans="1:6" ht="18.75" x14ac:dyDescent="0.3">
      <c r="A1" s="67" t="s">
        <v>0</v>
      </c>
      <c r="B1" s="68"/>
      <c r="C1" s="68"/>
      <c r="D1" s="69"/>
    </row>
    <row r="2" spans="1:6" ht="18.75" x14ac:dyDescent="0.3">
      <c r="A2" s="70" t="s">
        <v>1</v>
      </c>
      <c r="B2" s="71"/>
      <c r="C2" s="71"/>
      <c r="D2" s="72"/>
    </row>
    <row r="3" spans="1:6" ht="18.75" x14ac:dyDescent="0.3">
      <c r="A3" s="70" t="s">
        <v>11</v>
      </c>
      <c r="B3" s="71"/>
      <c r="C3" s="71"/>
      <c r="D3" s="72"/>
    </row>
    <row r="4" spans="1:6" x14ac:dyDescent="0.25">
      <c r="A4" s="66" t="s">
        <v>2</v>
      </c>
      <c r="B4" s="1">
        <v>12855</v>
      </c>
      <c r="C4" s="1">
        <v>11645</v>
      </c>
      <c r="D4" s="7" t="s">
        <v>3</v>
      </c>
    </row>
    <row r="5" spans="1:6" x14ac:dyDescent="0.25">
      <c r="A5" s="66"/>
      <c r="B5" s="2">
        <v>45854</v>
      </c>
      <c r="C5" s="2">
        <v>45854</v>
      </c>
      <c r="D5" s="8">
        <v>45869</v>
      </c>
    </row>
    <row r="6" spans="1:6" x14ac:dyDescent="0.25">
      <c r="A6" s="9" t="s">
        <v>4</v>
      </c>
      <c r="B6" s="4">
        <v>4</v>
      </c>
      <c r="C6" s="4">
        <v>-4</v>
      </c>
      <c r="D6" s="10">
        <f>SUM(B6:C6)</f>
        <v>0</v>
      </c>
    </row>
    <row r="7" spans="1:6" x14ac:dyDescent="0.25">
      <c r="A7" s="9" t="s">
        <v>5</v>
      </c>
      <c r="B7" s="4">
        <v>4</v>
      </c>
      <c r="C7" s="4">
        <v>-4</v>
      </c>
      <c r="D7" s="10">
        <f>SUM(B7:C7)</f>
        <v>0</v>
      </c>
    </row>
    <row r="8" spans="1:6" x14ac:dyDescent="0.25">
      <c r="A8" s="9" t="s">
        <v>7</v>
      </c>
      <c r="B8" s="4">
        <v>3</v>
      </c>
      <c r="C8" s="4">
        <v>-3</v>
      </c>
      <c r="D8" s="10">
        <f>SUM(B8:C8)</f>
        <v>0</v>
      </c>
    </row>
    <row r="9" spans="1:6" x14ac:dyDescent="0.25">
      <c r="A9" s="11" t="s">
        <v>8</v>
      </c>
      <c r="B9" s="5">
        <v>0.37152777777777779</v>
      </c>
      <c r="C9" s="5">
        <v>0.1423611111111111</v>
      </c>
      <c r="D9" s="12"/>
    </row>
    <row r="10" spans="1:6" ht="15.75" thickBot="1" x14ac:dyDescent="0.3">
      <c r="A10" s="13" t="s">
        <v>9</v>
      </c>
      <c r="B10" s="14" t="s">
        <v>10</v>
      </c>
      <c r="C10" s="14" t="s">
        <v>10</v>
      </c>
      <c r="D10" s="15"/>
    </row>
    <row r="14" spans="1:6" ht="86.25" customHeight="1" x14ac:dyDescent="0.25">
      <c r="A14" s="73" t="s">
        <v>12</v>
      </c>
      <c r="B14" s="73"/>
      <c r="C14" s="73"/>
      <c r="D14" s="73"/>
      <c r="E14" s="73"/>
      <c r="F14" s="73"/>
    </row>
    <row r="15" spans="1:6" x14ac:dyDescent="0.25">
      <c r="A15" s="73" t="s">
        <v>13</v>
      </c>
      <c r="B15" s="73"/>
      <c r="C15" s="73"/>
      <c r="D15" s="73"/>
      <c r="E15" s="73"/>
      <c r="F15" s="73"/>
    </row>
    <row r="16" spans="1:6" x14ac:dyDescent="0.25">
      <c r="A16" s="74" t="s">
        <v>2</v>
      </c>
      <c r="B16" s="75" t="s">
        <v>14</v>
      </c>
      <c r="C16" s="75"/>
      <c r="D16" s="75"/>
      <c r="E16" s="75" t="s">
        <v>15</v>
      </c>
      <c r="F16" s="76"/>
    </row>
    <row r="17" spans="1:6" x14ac:dyDescent="0.25">
      <c r="A17" s="74"/>
      <c r="B17" s="17" t="s">
        <v>16</v>
      </c>
      <c r="C17" s="17" t="s">
        <v>17</v>
      </c>
      <c r="D17" s="17" t="s">
        <v>18</v>
      </c>
      <c r="E17" s="17" t="s">
        <v>19</v>
      </c>
      <c r="F17" s="18" t="s">
        <v>20</v>
      </c>
    </row>
    <row r="18" spans="1:6" x14ac:dyDescent="0.25">
      <c r="A18" s="19" t="s">
        <v>21</v>
      </c>
      <c r="B18" s="20">
        <v>5</v>
      </c>
      <c r="C18" s="21">
        <v>2</v>
      </c>
      <c r="D18" s="22">
        <v>2000</v>
      </c>
      <c r="E18" s="23">
        <f>C18*D18</f>
        <v>4000</v>
      </c>
      <c r="F18" s="24">
        <f>B18*E18</f>
        <v>20000</v>
      </c>
    </row>
    <row r="19" spans="1:6" x14ac:dyDescent="0.25">
      <c r="A19" s="25" t="s">
        <v>6</v>
      </c>
      <c r="B19" s="26">
        <v>5</v>
      </c>
      <c r="C19" s="21">
        <v>3</v>
      </c>
      <c r="D19" s="22">
        <v>1000</v>
      </c>
      <c r="E19" s="23">
        <f>C19*D19</f>
        <v>3000</v>
      </c>
      <c r="F19" s="24">
        <f>B19*E19</f>
        <v>15000</v>
      </c>
    </row>
    <row r="20" spans="1:6" ht="18.75" x14ac:dyDescent="0.4">
      <c r="A20" s="77"/>
      <c r="B20" s="78"/>
      <c r="C20" s="81" t="s">
        <v>22</v>
      </c>
      <c r="D20" s="81"/>
      <c r="E20" s="27">
        <f>SUM(E18:E19)*1.19</f>
        <v>8330</v>
      </c>
      <c r="F20" s="28"/>
    </row>
    <row r="21" spans="1:6" ht="18.75" x14ac:dyDescent="0.4">
      <c r="A21" s="77"/>
      <c r="B21" s="78"/>
      <c r="C21" s="82" t="s">
        <v>23</v>
      </c>
      <c r="D21" s="83"/>
      <c r="E21" s="29">
        <f>SUM(F18:F19)</f>
        <v>35000</v>
      </c>
      <c r="F21" s="28"/>
    </row>
    <row r="22" spans="1:6" ht="19.5" thickBot="1" x14ac:dyDescent="0.45">
      <c r="A22" s="77"/>
      <c r="B22" s="78"/>
      <c r="C22" s="84" t="s">
        <v>24</v>
      </c>
      <c r="D22" s="85"/>
      <c r="E22" s="30">
        <f>E21*19%</f>
        <v>6650</v>
      </c>
      <c r="F22" s="28"/>
    </row>
    <row r="23" spans="1:6" ht="23.25" thickBot="1" x14ac:dyDescent="0.5">
      <c r="A23" s="79"/>
      <c r="B23" s="80"/>
      <c r="C23" s="86" t="s">
        <v>25</v>
      </c>
      <c r="D23" s="87"/>
      <c r="E23" s="31">
        <f>SUM(E21:E22)</f>
        <v>41650</v>
      </c>
      <c r="F23" s="32"/>
    </row>
  </sheetData>
  <mergeCells count="14">
    <mergeCell ref="A15:F15"/>
    <mergeCell ref="A16:A17"/>
    <mergeCell ref="B16:D16"/>
    <mergeCell ref="E16:F16"/>
    <mergeCell ref="A20:B23"/>
    <mergeCell ref="C20:D20"/>
    <mergeCell ref="C21:D21"/>
    <mergeCell ref="C22:D22"/>
    <mergeCell ref="C23:D23"/>
    <mergeCell ref="A4:A5"/>
    <mergeCell ref="A1:D1"/>
    <mergeCell ref="A2:D2"/>
    <mergeCell ref="A3:D3"/>
    <mergeCell ref="A14:F14"/>
  </mergeCells>
  <pageMargins left="0.70866141732283472" right="0.70866141732283472" top="0.74803149606299213" bottom="0.74803149606299213" header="0.31496062992125984" footer="0.31496062992125984"/>
  <pageSetup paperSize="9" orientation="landscape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F8F2C-1CF0-4BC6-8110-E85D87912EDD}">
  <dimension ref="A1:F22"/>
  <sheetViews>
    <sheetView topLeftCell="A11" workbookViewId="0">
      <selection activeCell="A13" sqref="A13:F22"/>
    </sheetView>
  </sheetViews>
  <sheetFormatPr baseColWidth="10" defaultRowHeight="15" x14ac:dyDescent="0.25"/>
  <cols>
    <col min="1" max="1" width="31.85546875" bestFit="1" customWidth="1"/>
    <col min="5" max="5" width="20.85546875" customWidth="1"/>
  </cols>
  <sheetData>
    <row r="1" spans="1:6" ht="18.75" x14ac:dyDescent="0.3">
      <c r="A1" s="67" t="s">
        <v>26</v>
      </c>
      <c r="B1" s="68"/>
      <c r="C1" s="68"/>
      <c r="D1" s="68"/>
      <c r="E1" s="69"/>
    </row>
    <row r="2" spans="1:6" ht="18.75" x14ac:dyDescent="0.3">
      <c r="A2" s="70" t="s">
        <v>27</v>
      </c>
      <c r="B2" s="71"/>
      <c r="C2" s="71"/>
      <c r="D2" s="71"/>
      <c r="E2" s="72"/>
    </row>
    <row r="3" spans="1:6" ht="18.75" x14ac:dyDescent="0.3">
      <c r="A3" s="70" t="s">
        <v>38</v>
      </c>
      <c r="B3" s="71"/>
      <c r="C3" s="71"/>
      <c r="D3" s="71"/>
      <c r="E3" s="71"/>
    </row>
    <row r="4" spans="1:6" x14ac:dyDescent="0.25">
      <c r="A4" s="33" t="s">
        <v>2</v>
      </c>
      <c r="B4" s="34">
        <v>12863</v>
      </c>
      <c r="C4" s="34">
        <v>12864</v>
      </c>
      <c r="D4" s="34">
        <v>11650</v>
      </c>
      <c r="E4" s="35" t="s">
        <v>3</v>
      </c>
    </row>
    <row r="5" spans="1:6" x14ac:dyDescent="0.25">
      <c r="A5" s="36"/>
      <c r="B5" s="2">
        <v>45854</v>
      </c>
      <c r="C5" s="2">
        <v>45855</v>
      </c>
      <c r="D5" s="2">
        <v>45856</v>
      </c>
      <c r="E5" s="37">
        <v>45857</v>
      </c>
    </row>
    <row r="6" spans="1:6" x14ac:dyDescent="0.25">
      <c r="A6" s="38" t="s">
        <v>28</v>
      </c>
      <c r="B6" s="3">
        <v>2</v>
      </c>
      <c r="C6" s="39">
        <v>2</v>
      </c>
      <c r="D6" s="39">
        <v>-4</v>
      </c>
      <c r="E6" s="40">
        <f>SUM(B6:D6)</f>
        <v>0</v>
      </c>
    </row>
    <row r="7" spans="1:6" x14ac:dyDescent="0.25">
      <c r="A7" s="41" t="s">
        <v>29</v>
      </c>
      <c r="B7" s="3">
        <v>2</v>
      </c>
      <c r="C7" s="39">
        <v>2</v>
      </c>
      <c r="D7" s="39">
        <v>-4</v>
      </c>
      <c r="E7" s="40">
        <f>SUM(B7:D7)</f>
        <v>0</v>
      </c>
    </row>
    <row r="8" spans="1:6" x14ac:dyDescent="0.25">
      <c r="A8" s="41" t="s">
        <v>30</v>
      </c>
      <c r="B8" s="3">
        <v>2</v>
      </c>
      <c r="C8" s="39"/>
      <c r="D8" s="39">
        <v>-2</v>
      </c>
      <c r="E8" s="40">
        <f>SUM(B8:D8)</f>
        <v>0</v>
      </c>
    </row>
    <row r="9" spans="1:6" x14ac:dyDescent="0.25">
      <c r="A9" s="36" t="s">
        <v>31</v>
      </c>
      <c r="B9" s="42" t="s">
        <v>32</v>
      </c>
      <c r="C9" s="5">
        <v>0.29166666666666669</v>
      </c>
      <c r="D9" s="5">
        <v>0.13194444444444445</v>
      </c>
      <c r="E9" s="1"/>
    </row>
    <row r="10" spans="1:6" x14ac:dyDescent="0.25">
      <c r="A10" s="36" t="s">
        <v>9</v>
      </c>
      <c r="B10" s="6" t="s">
        <v>33</v>
      </c>
      <c r="C10" s="6" t="s">
        <v>34</v>
      </c>
      <c r="D10" s="6" t="s">
        <v>33</v>
      </c>
      <c r="E10" s="1"/>
    </row>
    <row r="11" spans="1:6" ht="21" x14ac:dyDescent="0.35">
      <c r="A11" s="43" t="s">
        <v>35</v>
      </c>
    </row>
    <row r="12" spans="1:6" ht="15.75" thickBot="1" x14ac:dyDescent="0.3"/>
    <row r="13" spans="1:6" ht="66" customHeight="1" x14ac:dyDescent="0.25">
      <c r="A13" s="88" t="s">
        <v>12</v>
      </c>
      <c r="B13" s="89"/>
      <c r="C13" s="89"/>
      <c r="D13" s="89"/>
      <c r="E13" s="89"/>
      <c r="F13" s="90"/>
    </row>
    <row r="14" spans="1:6" x14ac:dyDescent="0.25">
      <c r="A14" s="91" t="s">
        <v>37</v>
      </c>
      <c r="B14" s="73"/>
      <c r="C14" s="73"/>
      <c r="D14" s="73"/>
      <c r="E14" s="73"/>
      <c r="F14" s="92"/>
    </row>
    <row r="15" spans="1:6" x14ac:dyDescent="0.25">
      <c r="A15" s="74" t="s">
        <v>2</v>
      </c>
      <c r="B15" s="75" t="s">
        <v>14</v>
      </c>
      <c r="C15" s="75"/>
      <c r="D15" s="75"/>
      <c r="E15" s="75" t="s">
        <v>15</v>
      </c>
      <c r="F15" s="76"/>
    </row>
    <row r="16" spans="1:6" x14ac:dyDescent="0.25">
      <c r="A16" s="74"/>
      <c r="B16" s="17" t="s">
        <v>16</v>
      </c>
      <c r="C16" s="17" t="s">
        <v>17</v>
      </c>
      <c r="D16" s="17" t="s">
        <v>18</v>
      </c>
      <c r="E16" s="17" t="s">
        <v>19</v>
      </c>
      <c r="F16" s="18" t="s">
        <v>20</v>
      </c>
    </row>
    <row r="17" spans="1:6" x14ac:dyDescent="0.25">
      <c r="A17" s="19" t="s">
        <v>21</v>
      </c>
      <c r="B17" s="20">
        <v>5</v>
      </c>
      <c r="C17" s="21">
        <v>2</v>
      </c>
      <c r="D17" s="22">
        <v>2000</v>
      </c>
      <c r="E17" s="23">
        <f>C17*D17</f>
        <v>4000</v>
      </c>
      <c r="F17" s="24">
        <f>B17*E17</f>
        <v>20000</v>
      </c>
    </row>
    <row r="18" spans="1:6" x14ac:dyDescent="0.25">
      <c r="A18" s="25" t="s">
        <v>6</v>
      </c>
      <c r="B18" s="26">
        <v>5</v>
      </c>
      <c r="C18" s="21">
        <v>2</v>
      </c>
      <c r="D18" s="22">
        <v>750</v>
      </c>
      <c r="E18" s="23">
        <f>C18*D18</f>
        <v>1500</v>
      </c>
      <c r="F18" s="24">
        <f>B18*E18</f>
        <v>7500</v>
      </c>
    </row>
    <row r="19" spans="1:6" ht="18.75" x14ac:dyDescent="0.4">
      <c r="A19" s="77"/>
      <c r="B19" s="78"/>
      <c r="C19" s="82" t="s">
        <v>23</v>
      </c>
      <c r="D19" s="83"/>
      <c r="E19" s="29">
        <f>SUM(F17:F18)</f>
        <v>27500</v>
      </c>
      <c r="F19" s="28"/>
    </row>
    <row r="20" spans="1:6" ht="18.75" x14ac:dyDescent="0.4">
      <c r="A20" s="77"/>
      <c r="B20" s="78"/>
      <c r="C20" s="84" t="s">
        <v>24</v>
      </c>
      <c r="D20" s="85"/>
      <c r="E20" s="44">
        <f>E19*0.19</f>
        <v>5225</v>
      </c>
      <c r="F20" s="28"/>
    </row>
    <row r="21" spans="1:6" ht="19.5" thickBot="1" x14ac:dyDescent="0.45">
      <c r="A21" s="77"/>
      <c r="B21" s="78"/>
      <c r="C21" s="82" t="s">
        <v>36</v>
      </c>
      <c r="D21" s="83"/>
      <c r="E21" s="44">
        <v>15000</v>
      </c>
      <c r="F21" s="28"/>
    </row>
    <row r="22" spans="1:6" ht="23.25" thickBot="1" x14ac:dyDescent="0.5">
      <c r="A22" s="79"/>
      <c r="B22" s="80"/>
      <c r="C22" s="86" t="s">
        <v>25</v>
      </c>
      <c r="D22" s="87"/>
      <c r="E22" s="31">
        <f>SUM(E19:E21)</f>
        <v>47725</v>
      </c>
      <c r="F22" s="45"/>
    </row>
  </sheetData>
  <mergeCells count="13">
    <mergeCell ref="A19:B22"/>
    <mergeCell ref="C19:D19"/>
    <mergeCell ref="C20:D20"/>
    <mergeCell ref="C22:D22"/>
    <mergeCell ref="C21:D21"/>
    <mergeCell ref="A15:A16"/>
    <mergeCell ref="B15:D15"/>
    <mergeCell ref="E15:F15"/>
    <mergeCell ref="A1:E1"/>
    <mergeCell ref="A2:E2"/>
    <mergeCell ref="A3:E3"/>
    <mergeCell ref="A13:F13"/>
    <mergeCell ref="A14:F14"/>
  </mergeCells>
  <pageMargins left="0.70866141732283472" right="0.70866141732283472" top="0.74803149606299213" bottom="0.74803149606299213" header="0.31496062992125984" footer="0.31496062992125984"/>
  <pageSetup paperSize="9" orientation="landscape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97F0E-3591-446E-8EED-11499FE5ACC8}">
  <sheetPr>
    <pageSetUpPr fitToPage="1"/>
  </sheetPr>
  <dimension ref="A1:L102"/>
  <sheetViews>
    <sheetView topLeftCell="A12" workbookViewId="0">
      <selection sqref="A1:L102"/>
    </sheetView>
  </sheetViews>
  <sheetFormatPr baseColWidth="10" defaultRowHeight="15" x14ac:dyDescent="0.25"/>
  <cols>
    <col min="1" max="1" width="35" customWidth="1"/>
    <col min="5" max="5" width="22.140625" customWidth="1"/>
    <col min="6" max="6" width="16.5703125" customWidth="1"/>
    <col min="7" max="7" width="19.5703125" customWidth="1"/>
    <col min="12" max="12" width="13" bestFit="1" customWidth="1"/>
  </cols>
  <sheetData>
    <row r="1" spans="1:12" s="63" customFormat="1" ht="18.75" x14ac:dyDescent="0.3">
      <c r="A1" s="93" t="s">
        <v>69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94"/>
    </row>
    <row r="2" spans="1:12" s="63" customFormat="1" ht="18.75" x14ac:dyDescent="0.3">
      <c r="A2" s="93" t="s">
        <v>70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94"/>
    </row>
    <row r="3" spans="1:12" s="63" customFormat="1" ht="18.75" x14ac:dyDescent="0.3">
      <c r="A3" s="93" t="s">
        <v>141</v>
      </c>
      <c r="B3" s="71"/>
      <c r="C3" s="71"/>
      <c r="D3" s="71"/>
      <c r="E3" s="71"/>
      <c r="F3" s="71"/>
      <c r="G3" s="71"/>
      <c r="H3" s="71"/>
      <c r="I3" s="71"/>
      <c r="J3" s="71"/>
      <c r="K3" s="71"/>
      <c r="L3" s="94"/>
    </row>
    <row r="4" spans="1:12" s="63" customFormat="1" x14ac:dyDescent="0.25">
      <c r="A4" s="95" t="s">
        <v>2</v>
      </c>
      <c r="B4" s="3" t="s">
        <v>3</v>
      </c>
      <c r="C4" s="1">
        <v>12820</v>
      </c>
      <c r="D4" s="54">
        <v>11631</v>
      </c>
      <c r="E4" s="54">
        <v>12845</v>
      </c>
      <c r="F4" s="54">
        <v>12838</v>
      </c>
      <c r="G4" s="54">
        <v>12869</v>
      </c>
      <c r="H4" s="54">
        <v>12879</v>
      </c>
      <c r="I4" s="54">
        <v>11668</v>
      </c>
      <c r="J4" s="54">
        <v>11695</v>
      </c>
      <c r="K4" s="54">
        <v>11710</v>
      </c>
      <c r="L4" s="3" t="s">
        <v>71</v>
      </c>
    </row>
    <row r="5" spans="1:12" s="63" customFormat="1" x14ac:dyDescent="0.25">
      <c r="A5" s="96"/>
      <c r="B5" s="37">
        <v>45838</v>
      </c>
      <c r="C5" s="2">
        <v>45839</v>
      </c>
      <c r="D5" s="2">
        <v>45848</v>
      </c>
      <c r="E5" s="2">
        <v>45849</v>
      </c>
      <c r="F5" s="2">
        <v>45848</v>
      </c>
      <c r="G5" s="2">
        <v>45856</v>
      </c>
      <c r="H5" s="2">
        <v>45860</v>
      </c>
      <c r="I5" s="2">
        <v>45862</v>
      </c>
      <c r="J5" s="2">
        <v>45874</v>
      </c>
      <c r="K5" s="2">
        <v>45874</v>
      </c>
      <c r="L5" s="37">
        <v>45874</v>
      </c>
    </row>
    <row r="6" spans="1:12" s="63" customFormat="1" x14ac:dyDescent="0.25">
      <c r="A6" s="55" t="s">
        <v>72</v>
      </c>
      <c r="B6" s="56">
        <v>4</v>
      </c>
      <c r="C6" s="4"/>
      <c r="D6" s="4"/>
      <c r="E6" s="4"/>
      <c r="F6" s="4"/>
      <c r="G6" s="4"/>
      <c r="H6" s="4"/>
      <c r="I6" s="4"/>
      <c r="J6" s="4"/>
      <c r="K6" s="4"/>
      <c r="L6" s="40">
        <f>SUM(B6:K6)</f>
        <v>4</v>
      </c>
    </row>
    <row r="7" spans="1:12" s="63" customFormat="1" x14ac:dyDescent="0.25">
      <c r="A7" s="55" t="s">
        <v>73</v>
      </c>
      <c r="B7" s="56">
        <v>4</v>
      </c>
      <c r="C7" s="4"/>
      <c r="D7" s="4"/>
      <c r="E7" s="4"/>
      <c r="F7" s="4"/>
      <c r="G7" s="4"/>
      <c r="H7" s="4"/>
      <c r="I7" s="4"/>
      <c r="J7" s="4"/>
      <c r="K7" s="4"/>
      <c r="L7" s="40">
        <f t="shared" ref="L7:L42" si="0">SUM(B7:K7)</f>
        <v>4</v>
      </c>
    </row>
    <row r="8" spans="1:12" s="63" customFormat="1" x14ac:dyDescent="0.25">
      <c r="A8" s="55" t="s">
        <v>74</v>
      </c>
      <c r="B8" s="56">
        <v>7</v>
      </c>
      <c r="C8" s="4"/>
      <c r="D8" s="4"/>
      <c r="E8" s="4"/>
      <c r="F8" s="4"/>
      <c r="G8" s="4"/>
      <c r="H8" s="4"/>
      <c r="I8" s="4"/>
      <c r="J8" s="4"/>
      <c r="K8" s="4"/>
      <c r="L8" s="40">
        <f t="shared" si="0"/>
        <v>7</v>
      </c>
    </row>
    <row r="9" spans="1:12" s="63" customFormat="1" x14ac:dyDescent="0.25">
      <c r="A9" s="55" t="s">
        <v>75</v>
      </c>
      <c r="B9" s="56">
        <v>16</v>
      </c>
      <c r="C9" s="4"/>
      <c r="D9" s="4">
        <v>-16</v>
      </c>
      <c r="E9" s="4"/>
      <c r="F9" s="4"/>
      <c r="G9" s="4"/>
      <c r="H9" s="4"/>
      <c r="I9" s="4"/>
      <c r="J9" s="4"/>
      <c r="K9" s="4"/>
      <c r="L9" s="40">
        <f t="shared" si="0"/>
        <v>0</v>
      </c>
    </row>
    <row r="10" spans="1:12" s="63" customFormat="1" x14ac:dyDescent="0.25">
      <c r="A10" s="55" t="s">
        <v>76</v>
      </c>
      <c r="B10" s="56">
        <v>20</v>
      </c>
      <c r="C10" s="4"/>
      <c r="D10" s="4">
        <v>-20</v>
      </c>
      <c r="E10" s="4"/>
      <c r="F10" s="4"/>
      <c r="G10" s="4">
        <v>48</v>
      </c>
      <c r="H10" s="4">
        <v>4</v>
      </c>
      <c r="I10" s="4"/>
      <c r="J10" s="4">
        <v>-52</v>
      </c>
      <c r="K10" s="4"/>
      <c r="L10" s="40">
        <f t="shared" si="0"/>
        <v>0</v>
      </c>
    </row>
    <row r="11" spans="1:12" s="63" customFormat="1" x14ac:dyDescent="0.25">
      <c r="A11" s="55" t="s">
        <v>77</v>
      </c>
      <c r="B11" s="56"/>
      <c r="C11" s="4"/>
      <c r="D11" s="4"/>
      <c r="E11" s="4"/>
      <c r="F11" s="4"/>
      <c r="G11" s="4"/>
      <c r="H11" s="4">
        <v>2</v>
      </c>
      <c r="I11" s="4"/>
      <c r="J11" s="4">
        <v>-2</v>
      </c>
      <c r="K11" s="4"/>
      <c r="L11" s="40">
        <f t="shared" si="0"/>
        <v>0</v>
      </c>
    </row>
    <row r="12" spans="1:12" s="63" customFormat="1" x14ac:dyDescent="0.25">
      <c r="A12" s="55" t="s">
        <v>78</v>
      </c>
      <c r="B12" s="56">
        <v>12</v>
      </c>
      <c r="C12" s="4"/>
      <c r="D12" s="4">
        <v>-12</v>
      </c>
      <c r="E12" s="4"/>
      <c r="F12" s="4"/>
      <c r="G12" s="4"/>
      <c r="H12" s="4">
        <v>1</v>
      </c>
      <c r="I12" s="4"/>
      <c r="J12" s="4">
        <v>-1</v>
      </c>
      <c r="K12" s="4"/>
      <c r="L12" s="40">
        <f t="shared" si="0"/>
        <v>0</v>
      </c>
    </row>
    <row r="13" spans="1:12" s="63" customFormat="1" x14ac:dyDescent="0.25">
      <c r="A13" s="55" t="s">
        <v>79</v>
      </c>
      <c r="B13" s="56"/>
      <c r="C13" s="4"/>
      <c r="D13" s="4"/>
      <c r="E13" s="4"/>
      <c r="F13" s="4"/>
      <c r="G13" s="4">
        <v>2</v>
      </c>
      <c r="H13" s="4">
        <v>1</v>
      </c>
      <c r="I13" s="4"/>
      <c r="J13" s="4">
        <v>-3</v>
      </c>
      <c r="K13" s="4"/>
      <c r="L13" s="40">
        <f t="shared" si="0"/>
        <v>0</v>
      </c>
    </row>
    <row r="14" spans="1:12" s="63" customFormat="1" x14ac:dyDescent="0.25">
      <c r="A14" s="55" t="s">
        <v>140</v>
      </c>
      <c r="B14" s="56">
        <v>0</v>
      </c>
      <c r="C14" s="4"/>
      <c r="D14" s="4"/>
      <c r="E14" s="4"/>
      <c r="F14" s="4"/>
      <c r="G14" s="4"/>
      <c r="H14" s="4"/>
      <c r="I14" s="4"/>
      <c r="J14" s="4"/>
      <c r="K14" s="4"/>
      <c r="L14" s="40">
        <f t="shared" si="0"/>
        <v>0</v>
      </c>
    </row>
    <row r="15" spans="1:12" s="63" customFormat="1" x14ac:dyDescent="0.25">
      <c r="A15" s="55" t="s">
        <v>80</v>
      </c>
      <c r="B15" s="56">
        <v>0</v>
      </c>
      <c r="C15" s="4"/>
      <c r="D15" s="4"/>
      <c r="E15" s="4"/>
      <c r="F15" s="4"/>
      <c r="G15" s="4"/>
      <c r="H15" s="4">
        <v>2</v>
      </c>
      <c r="I15" s="4"/>
      <c r="J15" s="4">
        <v>-2</v>
      </c>
      <c r="K15" s="4"/>
      <c r="L15" s="40">
        <f t="shared" si="0"/>
        <v>0</v>
      </c>
    </row>
    <row r="16" spans="1:12" s="63" customFormat="1" x14ac:dyDescent="0.25">
      <c r="A16" s="55" t="s">
        <v>81</v>
      </c>
      <c r="B16" s="56"/>
      <c r="C16" s="4"/>
      <c r="D16" s="4"/>
      <c r="E16" s="4"/>
      <c r="F16" s="4"/>
      <c r="G16" s="4"/>
      <c r="H16" s="4">
        <v>16</v>
      </c>
      <c r="I16" s="4"/>
      <c r="J16" s="4">
        <v>-16</v>
      </c>
      <c r="K16" s="4"/>
      <c r="L16" s="40">
        <f t="shared" si="0"/>
        <v>0</v>
      </c>
    </row>
    <row r="17" spans="1:12" s="63" customFormat="1" x14ac:dyDescent="0.25">
      <c r="A17" s="55" t="s">
        <v>82</v>
      </c>
      <c r="B17" s="56"/>
      <c r="C17" s="4"/>
      <c r="D17" s="4"/>
      <c r="E17" s="4"/>
      <c r="F17" s="4"/>
      <c r="G17" s="4"/>
      <c r="H17" s="4">
        <v>7</v>
      </c>
      <c r="I17" s="4"/>
      <c r="J17" s="4">
        <v>-7</v>
      </c>
      <c r="K17" s="4"/>
      <c r="L17" s="40">
        <f t="shared" si="0"/>
        <v>0</v>
      </c>
    </row>
    <row r="18" spans="1:12" s="63" customFormat="1" x14ac:dyDescent="0.25">
      <c r="A18" s="55" t="s">
        <v>83</v>
      </c>
      <c r="B18" s="56">
        <v>175</v>
      </c>
      <c r="C18" s="4"/>
      <c r="D18" s="4"/>
      <c r="E18" s="4"/>
      <c r="F18" s="4"/>
      <c r="G18" s="4"/>
      <c r="H18" s="4"/>
      <c r="I18" s="4">
        <v>-2</v>
      </c>
      <c r="J18" s="4"/>
      <c r="K18" s="4"/>
      <c r="L18" s="40">
        <f t="shared" si="0"/>
        <v>173</v>
      </c>
    </row>
    <row r="19" spans="1:12" s="63" customFormat="1" x14ac:dyDescent="0.25">
      <c r="A19" s="55" t="s">
        <v>84</v>
      </c>
      <c r="B19" s="56">
        <v>24</v>
      </c>
      <c r="C19" s="4"/>
      <c r="D19" s="4">
        <v>-24</v>
      </c>
      <c r="E19" s="4"/>
      <c r="F19" s="4"/>
      <c r="G19" s="4"/>
      <c r="H19" s="4"/>
      <c r="I19" s="4"/>
      <c r="J19" s="4"/>
      <c r="K19" s="4"/>
      <c r="L19" s="40">
        <f t="shared" si="0"/>
        <v>0</v>
      </c>
    </row>
    <row r="20" spans="1:12" s="63" customFormat="1" x14ac:dyDescent="0.25">
      <c r="A20" s="55" t="s">
        <v>85</v>
      </c>
      <c r="B20" s="56">
        <v>16</v>
      </c>
      <c r="C20" s="4"/>
      <c r="D20" s="4">
        <v>-16</v>
      </c>
      <c r="E20" s="4"/>
      <c r="F20" s="4"/>
      <c r="G20" s="4"/>
      <c r="H20" s="4"/>
      <c r="I20" s="4"/>
      <c r="J20" s="4"/>
      <c r="K20" s="4"/>
      <c r="L20" s="40">
        <f t="shared" si="0"/>
        <v>0</v>
      </c>
    </row>
    <row r="21" spans="1:12" s="63" customFormat="1" x14ac:dyDescent="0.25">
      <c r="A21" s="55" t="s">
        <v>86</v>
      </c>
      <c r="B21" s="56">
        <v>9</v>
      </c>
      <c r="C21" s="4"/>
      <c r="D21" s="4"/>
      <c r="E21" s="4"/>
      <c r="F21" s="4"/>
      <c r="G21" s="4"/>
      <c r="H21" s="4"/>
      <c r="I21" s="4">
        <v>-1</v>
      </c>
      <c r="J21" s="4"/>
      <c r="K21" s="4"/>
      <c r="L21" s="40">
        <f t="shared" si="0"/>
        <v>8</v>
      </c>
    </row>
    <row r="22" spans="1:12" s="63" customFormat="1" x14ac:dyDescent="0.25">
      <c r="A22" s="55" t="s">
        <v>87</v>
      </c>
      <c r="B22" s="56">
        <v>2</v>
      </c>
      <c r="C22" s="4"/>
      <c r="D22" s="4"/>
      <c r="E22" s="4"/>
      <c r="F22" s="4"/>
      <c r="G22" s="4"/>
      <c r="H22" s="4"/>
      <c r="I22" s="4">
        <v>-1</v>
      </c>
      <c r="J22" s="4"/>
      <c r="K22" s="4"/>
      <c r="L22" s="40">
        <f t="shared" si="0"/>
        <v>1</v>
      </c>
    </row>
    <row r="23" spans="1:12" s="63" customFormat="1" x14ac:dyDescent="0.25">
      <c r="A23" s="55" t="s">
        <v>88</v>
      </c>
      <c r="B23" s="56">
        <v>47</v>
      </c>
      <c r="C23" s="4"/>
      <c r="D23" s="4"/>
      <c r="E23" s="4">
        <v>16</v>
      </c>
      <c r="F23" s="4">
        <v>28</v>
      </c>
      <c r="G23" s="4">
        <v>29</v>
      </c>
      <c r="H23" s="4"/>
      <c r="I23" s="4"/>
      <c r="J23" s="4"/>
      <c r="K23" s="4">
        <v>-61</v>
      </c>
      <c r="L23" s="40">
        <f t="shared" si="0"/>
        <v>59</v>
      </c>
    </row>
    <row r="24" spans="1:12" s="63" customFormat="1" x14ac:dyDescent="0.25">
      <c r="A24" s="55" t="s">
        <v>89</v>
      </c>
      <c r="B24" s="56">
        <v>113</v>
      </c>
      <c r="C24" s="4"/>
      <c r="D24" s="4"/>
      <c r="E24" s="4"/>
      <c r="F24" s="4"/>
      <c r="G24" s="4">
        <v>16</v>
      </c>
      <c r="H24" s="4"/>
      <c r="I24" s="4">
        <v>-11</v>
      </c>
      <c r="J24" s="4"/>
      <c r="K24" s="4">
        <v>-54</v>
      </c>
      <c r="L24" s="40">
        <f t="shared" si="0"/>
        <v>64</v>
      </c>
    </row>
    <row r="25" spans="1:12" s="63" customFormat="1" x14ac:dyDescent="0.25">
      <c r="A25" s="55" t="s">
        <v>90</v>
      </c>
      <c r="B25" s="56">
        <v>63</v>
      </c>
      <c r="C25" s="4"/>
      <c r="D25" s="4"/>
      <c r="E25" s="4"/>
      <c r="F25" s="4">
        <v>14</v>
      </c>
      <c r="G25" s="4"/>
      <c r="H25" s="4"/>
      <c r="I25" s="4">
        <v>-2</v>
      </c>
      <c r="J25" s="4"/>
      <c r="K25" s="4"/>
      <c r="L25" s="40">
        <f t="shared" si="0"/>
        <v>75</v>
      </c>
    </row>
    <row r="26" spans="1:12" s="63" customFormat="1" x14ac:dyDescent="0.25">
      <c r="A26" s="55" t="s">
        <v>91</v>
      </c>
      <c r="B26" s="56">
        <v>7</v>
      </c>
      <c r="C26" s="4"/>
      <c r="D26" s="4"/>
      <c r="E26" s="4">
        <v>8</v>
      </c>
      <c r="F26" s="4"/>
      <c r="G26" s="4"/>
      <c r="H26" s="4"/>
      <c r="I26" s="4">
        <v>-6</v>
      </c>
      <c r="J26" s="4"/>
      <c r="K26" s="4"/>
      <c r="L26" s="40">
        <f t="shared" si="0"/>
        <v>9</v>
      </c>
    </row>
    <row r="27" spans="1:12" s="63" customFormat="1" x14ac:dyDescent="0.25">
      <c r="A27" s="55" t="s">
        <v>92</v>
      </c>
      <c r="B27" s="56">
        <v>4</v>
      </c>
      <c r="C27" s="4"/>
      <c r="D27" s="4"/>
      <c r="E27" s="4"/>
      <c r="F27" s="4"/>
      <c r="G27" s="4"/>
      <c r="H27" s="4"/>
      <c r="I27" s="4">
        <v>-2</v>
      </c>
      <c r="J27" s="4"/>
      <c r="K27" s="4"/>
      <c r="L27" s="40">
        <f t="shared" si="0"/>
        <v>2</v>
      </c>
    </row>
    <row r="28" spans="1:12" s="63" customFormat="1" x14ac:dyDescent="0.25">
      <c r="A28" s="55" t="s">
        <v>93</v>
      </c>
      <c r="B28" s="56">
        <v>4</v>
      </c>
      <c r="C28" s="4"/>
      <c r="D28" s="4"/>
      <c r="E28" s="4"/>
      <c r="F28" s="4"/>
      <c r="G28" s="4"/>
      <c r="H28" s="4"/>
      <c r="I28" s="4">
        <v>-4</v>
      </c>
      <c r="J28" s="4"/>
      <c r="K28" s="4"/>
      <c r="L28" s="40">
        <f t="shared" si="0"/>
        <v>0</v>
      </c>
    </row>
    <row r="29" spans="1:12" s="63" customFormat="1" x14ac:dyDescent="0.25">
      <c r="A29" s="55" t="s">
        <v>94</v>
      </c>
      <c r="B29" s="56">
        <v>2</v>
      </c>
      <c r="C29" s="4"/>
      <c r="D29" s="4"/>
      <c r="E29" s="4"/>
      <c r="F29" s="4"/>
      <c r="G29" s="4"/>
      <c r="H29" s="4"/>
      <c r="I29" s="4">
        <v>-2</v>
      </c>
      <c r="J29" s="4"/>
      <c r="K29" s="4"/>
      <c r="L29" s="40">
        <f t="shared" si="0"/>
        <v>0</v>
      </c>
    </row>
    <row r="30" spans="1:12" s="63" customFormat="1" x14ac:dyDescent="0.25">
      <c r="A30" s="55" t="s">
        <v>95</v>
      </c>
      <c r="B30" s="56">
        <v>10</v>
      </c>
      <c r="C30" s="4"/>
      <c r="D30" s="4"/>
      <c r="E30" s="4"/>
      <c r="F30" s="4"/>
      <c r="G30" s="4"/>
      <c r="H30" s="4"/>
      <c r="I30" s="4"/>
      <c r="J30" s="4"/>
      <c r="K30" s="4"/>
      <c r="L30" s="40">
        <f t="shared" si="0"/>
        <v>10</v>
      </c>
    </row>
    <row r="31" spans="1:12" s="63" customFormat="1" x14ac:dyDescent="0.25">
      <c r="A31" s="55" t="s">
        <v>96</v>
      </c>
      <c r="B31" s="56">
        <v>2</v>
      </c>
      <c r="C31" s="4"/>
      <c r="D31" s="4"/>
      <c r="E31" s="4"/>
      <c r="F31" s="4"/>
      <c r="G31" s="4"/>
      <c r="H31" s="4"/>
      <c r="I31" s="4"/>
      <c r="J31" s="4"/>
      <c r="K31" s="4"/>
      <c r="L31" s="40">
        <f t="shared" si="0"/>
        <v>2</v>
      </c>
    </row>
    <row r="32" spans="1:12" s="63" customFormat="1" x14ac:dyDescent="0.25">
      <c r="A32" s="55" t="s">
        <v>63</v>
      </c>
      <c r="B32" s="56">
        <v>317</v>
      </c>
      <c r="C32" s="4">
        <v>100</v>
      </c>
      <c r="D32" s="4">
        <v>-414</v>
      </c>
      <c r="E32" s="4"/>
      <c r="F32" s="4"/>
      <c r="G32" s="4">
        <v>100</v>
      </c>
      <c r="H32" s="4">
        <v>103</v>
      </c>
      <c r="I32" s="4">
        <v>-29</v>
      </c>
      <c r="J32" s="4">
        <v>-177</v>
      </c>
      <c r="K32" s="4"/>
      <c r="L32" s="40">
        <f t="shared" si="0"/>
        <v>0</v>
      </c>
    </row>
    <row r="33" spans="1:12" s="63" customFormat="1" x14ac:dyDescent="0.25">
      <c r="A33" s="55" t="s">
        <v>97</v>
      </c>
      <c r="B33" s="56">
        <v>1</v>
      </c>
      <c r="C33" s="4"/>
      <c r="D33" s="4">
        <v>-1</v>
      </c>
      <c r="E33" s="4"/>
      <c r="F33" s="4"/>
      <c r="G33" s="4"/>
      <c r="H33" s="4"/>
      <c r="I33" s="4"/>
      <c r="J33" s="4"/>
      <c r="K33" s="4"/>
      <c r="L33" s="40">
        <f t="shared" si="0"/>
        <v>0</v>
      </c>
    </row>
    <row r="34" spans="1:12" s="63" customFormat="1" x14ac:dyDescent="0.25">
      <c r="A34" s="55" t="s">
        <v>98</v>
      </c>
      <c r="B34" s="56">
        <v>0</v>
      </c>
      <c r="C34" s="4"/>
      <c r="D34" s="4"/>
      <c r="E34" s="4"/>
      <c r="F34" s="4"/>
      <c r="G34" s="4">
        <v>10</v>
      </c>
      <c r="H34" s="4"/>
      <c r="I34" s="4">
        <v>-2</v>
      </c>
      <c r="J34" s="4"/>
      <c r="K34" s="4">
        <v>-8</v>
      </c>
      <c r="L34" s="40">
        <f t="shared" si="0"/>
        <v>0</v>
      </c>
    </row>
    <row r="35" spans="1:12" s="63" customFormat="1" x14ac:dyDescent="0.25">
      <c r="A35" s="55" t="s">
        <v>99</v>
      </c>
      <c r="B35" s="56"/>
      <c r="C35" s="4"/>
      <c r="D35" s="4"/>
      <c r="E35" s="4"/>
      <c r="F35" s="4"/>
      <c r="G35" s="4">
        <v>2</v>
      </c>
      <c r="H35" s="4"/>
      <c r="I35" s="4"/>
      <c r="J35" s="4">
        <v>-1</v>
      </c>
      <c r="K35" s="4"/>
      <c r="L35" s="40">
        <f t="shared" si="0"/>
        <v>1</v>
      </c>
    </row>
    <row r="36" spans="1:12" s="63" customFormat="1" x14ac:dyDescent="0.25">
      <c r="A36" s="55" t="s">
        <v>100</v>
      </c>
      <c r="B36" s="56"/>
      <c r="C36" s="4"/>
      <c r="D36" s="4"/>
      <c r="E36" s="4"/>
      <c r="F36" s="4"/>
      <c r="G36" s="4"/>
      <c r="H36" s="4">
        <v>3</v>
      </c>
      <c r="I36" s="4"/>
      <c r="J36" s="4">
        <v>-3</v>
      </c>
      <c r="K36" s="4"/>
      <c r="L36" s="40">
        <f t="shared" si="0"/>
        <v>0</v>
      </c>
    </row>
    <row r="37" spans="1:12" s="63" customFormat="1" x14ac:dyDescent="0.25">
      <c r="A37" s="55" t="s">
        <v>101</v>
      </c>
      <c r="B37" s="56"/>
      <c r="C37" s="4"/>
      <c r="D37" s="4"/>
      <c r="E37" s="4"/>
      <c r="F37" s="4"/>
      <c r="G37" s="4"/>
      <c r="H37" s="4">
        <v>5</v>
      </c>
      <c r="I37" s="4">
        <v>-1</v>
      </c>
      <c r="J37" s="4">
        <v>-3</v>
      </c>
      <c r="K37" s="4"/>
      <c r="L37" s="40">
        <f t="shared" si="0"/>
        <v>1</v>
      </c>
    </row>
    <row r="38" spans="1:12" s="63" customFormat="1" x14ac:dyDescent="0.25">
      <c r="A38" s="55" t="s">
        <v>102</v>
      </c>
      <c r="B38" s="56"/>
      <c r="C38" s="4"/>
      <c r="D38" s="4"/>
      <c r="E38" s="4"/>
      <c r="F38" s="4"/>
      <c r="G38" s="4"/>
      <c r="H38" s="4">
        <v>3</v>
      </c>
      <c r="I38" s="4"/>
      <c r="J38" s="4">
        <v>-3</v>
      </c>
      <c r="K38" s="4"/>
      <c r="L38" s="40">
        <f t="shared" si="0"/>
        <v>0</v>
      </c>
    </row>
    <row r="39" spans="1:12" s="63" customFormat="1" x14ac:dyDescent="0.25">
      <c r="A39" s="55" t="s">
        <v>65</v>
      </c>
      <c r="B39" s="56"/>
      <c r="C39" s="4"/>
      <c r="D39" s="4"/>
      <c r="E39" s="4"/>
      <c r="F39" s="4"/>
      <c r="G39" s="4">
        <v>33</v>
      </c>
      <c r="H39" s="4">
        <v>70</v>
      </c>
      <c r="I39" s="4">
        <v>-29</v>
      </c>
      <c r="J39" s="4">
        <v>-74</v>
      </c>
      <c r="K39" s="4"/>
      <c r="L39" s="40">
        <f t="shared" si="0"/>
        <v>0</v>
      </c>
    </row>
    <row r="40" spans="1:12" s="63" customFormat="1" x14ac:dyDescent="0.25">
      <c r="A40" s="55" t="s">
        <v>103</v>
      </c>
      <c r="B40" s="56"/>
      <c r="C40" s="4"/>
      <c r="D40" s="4"/>
      <c r="E40" s="4"/>
      <c r="F40" s="4"/>
      <c r="G40" s="4"/>
      <c r="H40" s="4">
        <v>13</v>
      </c>
      <c r="I40" s="4">
        <v>-1</v>
      </c>
      <c r="J40" s="4">
        <v>-12</v>
      </c>
      <c r="K40" s="4"/>
      <c r="L40" s="40">
        <f t="shared" si="0"/>
        <v>0</v>
      </c>
    </row>
    <row r="41" spans="1:12" s="63" customFormat="1" x14ac:dyDescent="0.25">
      <c r="A41" s="57" t="s">
        <v>8</v>
      </c>
      <c r="B41" s="58"/>
      <c r="C41" s="59">
        <v>0.18055555555555555</v>
      </c>
      <c r="D41" s="59">
        <v>0.375</v>
      </c>
      <c r="E41" s="60">
        <v>0.35416666666666669</v>
      </c>
      <c r="F41" s="59">
        <v>0.33333333333333331</v>
      </c>
      <c r="G41" s="59">
        <v>0.4375</v>
      </c>
      <c r="H41" s="59">
        <v>0.45833333333333331</v>
      </c>
      <c r="I41" s="59">
        <v>0.125</v>
      </c>
      <c r="J41" s="59">
        <v>0.625</v>
      </c>
      <c r="K41" s="59" t="s">
        <v>142</v>
      </c>
      <c r="L41" s="40"/>
    </row>
    <row r="42" spans="1:12" s="63" customFormat="1" x14ac:dyDescent="0.25">
      <c r="A42" s="57" t="s">
        <v>68</v>
      </c>
      <c r="B42" s="61"/>
      <c r="C42" s="62" t="s">
        <v>104</v>
      </c>
      <c r="D42" s="61">
        <v>40000</v>
      </c>
      <c r="E42" s="61">
        <v>30000</v>
      </c>
      <c r="F42" s="61">
        <v>30000</v>
      </c>
      <c r="G42" s="61">
        <v>50000</v>
      </c>
      <c r="H42" s="61">
        <v>50000</v>
      </c>
      <c r="I42" s="61">
        <v>50000</v>
      </c>
      <c r="J42" s="61">
        <v>50000</v>
      </c>
      <c r="K42" s="61">
        <v>50000</v>
      </c>
      <c r="L42" s="65">
        <f t="shared" si="0"/>
        <v>350000</v>
      </c>
    </row>
    <row r="43" spans="1:12" ht="15.75" thickBot="1" x14ac:dyDescent="0.3"/>
    <row r="44" spans="1:12" ht="95.25" customHeight="1" x14ac:dyDescent="0.25">
      <c r="A44" s="88" t="s">
        <v>39</v>
      </c>
      <c r="B44" s="89"/>
      <c r="C44" s="89"/>
      <c r="D44" s="89"/>
      <c r="E44" s="89"/>
      <c r="F44" s="89"/>
      <c r="G44" s="90"/>
    </row>
    <row r="45" spans="1:12" ht="18" x14ac:dyDescent="0.25">
      <c r="A45" s="97" t="s">
        <v>40</v>
      </c>
      <c r="B45" s="98"/>
      <c r="C45" s="98"/>
      <c r="D45" s="98"/>
      <c r="E45" s="98"/>
      <c r="F45" s="98"/>
      <c r="G45" s="99"/>
    </row>
    <row r="46" spans="1:12" ht="18" x14ac:dyDescent="0.25">
      <c r="A46" s="97" t="s">
        <v>41</v>
      </c>
      <c r="B46" s="98"/>
      <c r="C46" s="98"/>
      <c r="D46" s="98"/>
      <c r="E46" s="98"/>
      <c r="F46" s="98"/>
      <c r="G46" s="99"/>
    </row>
    <row r="47" spans="1:12" x14ac:dyDescent="0.25">
      <c r="A47" s="16" t="s">
        <v>2</v>
      </c>
      <c r="B47" s="17" t="s">
        <v>14</v>
      </c>
      <c r="C47" s="17"/>
      <c r="D47" s="17"/>
      <c r="E47" s="17" t="s">
        <v>15</v>
      </c>
      <c r="F47" s="17"/>
      <c r="G47" s="46" t="s">
        <v>42</v>
      </c>
    </row>
    <row r="48" spans="1:12" x14ac:dyDescent="0.25">
      <c r="A48" s="16"/>
      <c r="B48" s="17" t="s">
        <v>16</v>
      </c>
      <c r="C48" s="17" t="s">
        <v>17</v>
      </c>
      <c r="D48" s="17" t="s">
        <v>18</v>
      </c>
      <c r="E48" s="17" t="s">
        <v>19</v>
      </c>
      <c r="F48" s="47" t="s">
        <v>138</v>
      </c>
      <c r="G48" s="46"/>
    </row>
    <row r="49" spans="1:7" x14ac:dyDescent="0.25">
      <c r="A49" s="19" t="s">
        <v>43</v>
      </c>
      <c r="B49" s="20">
        <v>36</v>
      </c>
      <c r="C49" s="20">
        <v>2</v>
      </c>
      <c r="D49" s="22">
        <v>1500</v>
      </c>
      <c r="E49" s="23">
        <f>C49*D49</f>
        <v>3000</v>
      </c>
      <c r="F49" s="23">
        <f>B49*E49</f>
        <v>108000</v>
      </c>
      <c r="G49" s="64" t="s">
        <v>144</v>
      </c>
    </row>
    <row r="50" spans="1:7" x14ac:dyDescent="0.25">
      <c r="A50" s="19" t="s">
        <v>44</v>
      </c>
      <c r="B50" s="20">
        <v>36</v>
      </c>
      <c r="C50" s="20">
        <v>7</v>
      </c>
      <c r="D50" s="22">
        <v>700</v>
      </c>
      <c r="E50" s="23">
        <f t="shared" ref="E50:E96" si="1">C50*D50</f>
        <v>4900</v>
      </c>
      <c r="F50" s="23">
        <f t="shared" ref="F50:F98" si="2">B50*E50</f>
        <v>176400</v>
      </c>
      <c r="G50" s="64" t="s">
        <v>144</v>
      </c>
    </row>
    <row r="51" spans="1:7" x14ac:dyDescent="0.25">
      <c r="A51" s="19" t="s">
        <v>45</v>
      </c>
      <c r="B51" s="20">
        <v>9</v>
      </c>
      <c r="C51" s="20">
        <v>16</v>
      </c>
      <c r="D51" s="22">
        <v>240</v>
      </c>
      <c r="E51" s="23">
        <f t="shared" si="1"/>
        <v>3840</v>
      </c>
      <c r="F51" s="23">
        <f t="shared" si="2"/>
        <v>34560</v>
      </c>
      <c r="G51" s="64" t="s">
        <v>105</v>
      </c>
    </row>
    <row r="52" spans="1:7" x14ac:dyDescent="0.25">
      <c r="A52" s="19" t="s">
        <v>46</v>
      </c>
      <c r="B52" s="20">
        <v>9</v>
      </c>
      <c r="C52" s="20">
        <v>20</v>
      </c>
      <c r="D52" s="22">
        <v>300</v>
      </c>
      <c r="E52" s="23">
        <f t="shared" si="1"/>
        <v>6000</v>
      </c>
      <c r="F52" s="23">
        <f t="shared" si="2"/>
        <v>54000</v>
      </c>
      <c r="G52" s="64" t="s">
        <v>105</v>
      </c>
    </row>
    <row r="53" spans="1:7" x14ac:dyDescent="0.25">
      <c r="A53" s="19" t="s">
        <v>46</v>
      </c>
      <c r="B53" s="20">
        <v>4</v>
      </c>
      <c r="C53" s="20">
        <v>48</v>
      </c>
      <c r="D53" s="22">
        <v>300</v>
      </c>
      <c r="E53" s="23">
        <f t="shared" ref="E53" si="3">C53*D53</f>
        <v>14400</v>
      </c>
      <c r="F53" s="23">
        <f t="shared" si="2"/>
        <v>57600</v>
      </c>
      <c r="G53" s="64" t="s">
        <v>106</v>
      </c>
    </row>
    <row r="54" spans="1:7" x14ac:dyDescent="0.25">
      <c r="A54" s="19" t="s">
        <v>46</v>
      </c>
      <c r="B54" s="20">
        <v>15</v>
      </c>
      <c r="C54" s="20">
        <v>52</v>
      </c>
      <c r="D54" s="22">
        <v>300</v>
      </c>
      <c r="E54" s="23">
        <f t="shared" ref="E54" si="4">C54*D54</f>
        <v>15600</v>
      </c>
      <c r="F54" s="23">
        <f t="shared" si="2"/>
        <v>234000</v>
      </c>
      <c r="G54" s="64" t="s">
        <v>143</v>
      </c>
    </row>
    <row r="55" spans="1:7" x14ac:dyDescent="0.25">
      <c r="A55" s="19" t="s">
        <v>107</v>
      </c>
      <c r="B55" s="20">
        <v>15</v>
      </c>
      <c r="C55" s="20">
        <v>2</v>
      </c>
      <c r="D55" s="22">
        <v>290</v>
      </c>
      <c r="E55" s="23">
        <f t="shared" si="1"/>
        <v>580</v>
      </c>
      <c r="F55" s="23">
        <f t="shared" si="2"/>
        <v>8700</v>
      </c>
      <c r="G55" s="64" t="s">
        <v>143</v>
      </c>
    </row>
    <row r="56" spans="1:7" x14ac:dyDescent="0.25">
      <c r="A56" s="19" t="s">
        <v>47</v>
      </c>
      <c r="B56" s="20">
        <v>9</v>
      </c>
      <c r="C56" s="20">
        <v>12</v>
      </c>
      <c r="D56" s="22">
        <v>280</v>
      </c>
      <c r="E56" s="23">
        <f t="shared" si="1"/>
        <v>3360</v>
      </c>
      <c r="F56" s="23">
        <f t="shared" si="2"/>
        <v>30240</v>
      </c>
      <c r="G56" s="64" t="s">
        <v>105</v>
      </c>
    </row>
    <row r="57" spans="1:7" x14ac:dyDescent="0.25">
      <c r="A57" s="19" t="s">
        <v>47</v>
      </c>
      <c r="B57" s="20">
        <v>15</v>
      </c>
      <c r="C57" s="20">
        <v>1</v>
      </c>
      <c r="D57" s="22">
        <v>280</v>
      </c>
      <c r="E57" s="23">
        <f t="shared" ref="E57" si="5">C57*D57</f>
        <v>280</v>
      </c>
      <c r="F57" s="23">
        <f t="shared" si="2"/>
        <v>4200</v>
      </c>
      <c r="G57" s="64" t="s">
        <v>145</v>
      </c>
    </row>
    <row r="58" spans="1:7" x14ac:dyDescent="0.25">
      <c r="A58" s="19" t="s">
        <v>48</v>
      </c>
      <c r="B58" s="20">
        <v>15</v>
      </c>
      <c r="C58" s="20">
        <v>2</v>
      </c>
      <c r="D58" s="22">
        <v>200</v>
      </c>
      <c r="E58" s="23">
        <f t="shared" si="1"/>
        <v>400</v>
      </c>
      <c r="F58" s="23">
        <f t="shared" si="2"/>
        <v>6000</v>
      </c>
      <c r="G58" s="64" t="s">
        <v>145</v>
      </c>
    </row>
    <row r="59" spans="1:7" x14ac:dyDescent="0.25">
      <c r="A59" s="19" t="s">
        <v>108</v>
      </c>
      <c r="B59" s="20">
        <v>15</v>
      </c>
      <c r="C59" s="20">
        <v>16</v>
      </c>
      <c r="D59" s="22">
        <v>200</v>
      </c>
      <c r="E59" s="23">
        <f t="shared" ref="E59" si="6">C59*D59</f>
        <v>3200</v>
      </c>
      <c r="F59" s="23">
        <f t="shared" si="2"/>
        <v>48000</v>
      </c>
      <c r="G59" s="64" t="s">
        <v>145</v>
      </c>
    </row>
    <row r="60" spans="1:7" x14ac:dyDescent="0.25">
      <c r="A60" s="19" t="s">
        <v>109</v>
      </c>
      <c r="B60" s="20">
        <v>15</v>
      </c>
      <c r="C60" s="20">
        <v>7</v>
      </c>
      <c r="D60" s="22">
        <v>200</v>
      </c>
      <c r="E60" s="23">
        <f t="shared" ref="E60" si="7">C60*D60</f>
        <v>1400</v>
      </c>
      <c r="F60" s="23">
        <f t="shared" si="2"/>
        <v>21000</v>
      </c>
      <c r="G60" s="64" t="s">
        <v>145</v>
      </c>
    </row>
    <row r="61" spans="1:7" x14ac:dyDescent="0.25">
      <c r="A61" s="19" t="s">
        <v>49</v>
      </c>
      <c r="B61" s="20">
        <v>24</v>
      </c>
      <c r="C61" s="20">
        <v>175</v>
      </c>
      <c r="D61" s="22">
        <v>200</v>
      </c>
      <c r="E61" s="23">
        <f t="shared" si="1"/>
        <v>35000</v>
      </c>
      <c r="F61" s="23">
        <f t="shared" si="2"/>
        <v>840000</v>
      </c>
      <c r="G61" s="64" t="s">
        <v>110</v>
      </c>
    </row>
    <row r="62" spans="1:7" x14ac:dyDescent="0.25">
      <c r="A62" s="19" t="s">
        <v>49</v>
      </c>
      <c r="B62" s="20">
        <v>12</v>
      </c>
      <c r="C62" s="20">
        <v>173</v>
      </c>
      <c r="D62" s="22">
        <v>200</v>
      </c>
      <c r="E62" s="23">
        <f t="shared" ref="E62" si="8">C62*D62</f>
        <v>34600</v>
      </c>
      <c r="F62" s="23">
        <f t="shared" si="2"/>
        <v>415200</v>
      </c>
      <c r="G62" s="64" t="s">
        <v>146</v>
      </c>
    </row>
    <row r="63" spans="1:7" x14ac:dyDescent="0.25">
      <c r="A63" s="19" t="s">
        <v>50</v>
      </c>
      <c r="B63" s="20">
        <v>9</v>
      </c>
      <c r="C63" s="20">
        <v>24</v>
      </c>
      <c r="D63" s="22">
        <v>50</v>
      </c>
      <c r="E63" s="23">
        <f t="shared" si="1"/>
        <v>1200</v>
      </c>
      <c r="F63" s="23">
        <f t="shared" si="2"/>
        <v>10800</v>
      </c>
      <c r="G63" s="64" t="s">
        <v>105</v>
      </c>
    </row>
    <row r="64" spans="1:7" x14ac:dyDescent="0.25">
      <c r="A64" s="19" t="s">
        <v>51</v>
      </c>
      <c r="B64" s="20">
        <v>9</v>
      </c>
      <c r="C64" s="20">
        <v>16</v>
      </c>
      <c r="D64" s="22">
        <v>90</v>
      </c>
      <c r="E64" s="23">
        <f t="shared" si="1"/>
        <v>1440</v>
      </c>
      <c r="F64" s="23">
        <f t="shared" si="2"/>
        <v>12960</v>
      </c>
      <c r="G64" s="64" t="s">
        <v>105</v>
      </c>
    </row>
    <row r="65" spans="1:7" x14ac:dyDescent="0.25">
      <c r="A65" s="19" t="s">
        <v>52</v>
      </c>
      <c r="B65" s="20">
        <v>24</v>
      </c>
      <c r="C65" s="20">
        <v>9</v>
      </c>
      <c r="D65" s="22">
        <v>150</v>
      </c>
      <c r="E65" s="23">
        <f t="shared" si="1"/>
        <v>1350</v>
      </c>
      <c r="F65" s="23">
        <f t="shared" si="2"/>
        <v>32400</v>
      </c>
      <c r="G65" s="64" t="s">
        <v>110</v>
      </c>
    </row>
    <row r="66" spans="1:7" x14ac:dyDescent="0.25">
      <c r="A66" s="19" t="s">
        <v>52</v>
      </c>
      <c r="B66" s="20">
        <v>12</v>
      </c>
      <c r="C66" s="20">
        <v>1</v>
      </c>
      <c r="D66" s="22">
        <v>150</v>
      </c>
      <c r="E66" s="23">
        <f t="shared" ref="E66" si="9">C66*D66</f>
        <v>150</v>
      </c>
      <c r="F66" s="23">
        <f t="shared" si="2"/>
        <v>1800</v>
      </c>
      <c r="G66" s="64" t="s">
        <v>147</v>
      </c>
    </row>
    <row r="67" spans="1:7" x14ac:dyDescent="0.25">
      <c r="A67" s="19" t="s">
        <v>53</v>
      </c>
      <c r="B67" s="20">
        <v>36</v>
      </c>
      <c r="C67" s="20">
        <v>2</v>
      </c>
      <c r="D67" s="22">
        <v>130</v>
      </c>
      <c r="E67" s="23">
        <f t="shared" si="1"/>
        <v>260</v>
      </c>
      <c r="F67" s="23">
        <f t="shared" si="2"/>
        <v>9360</v>
      </c>
      <c r="G67" s="64" t="s">
        <v>144</v>
      </c>
    </row>
    <row r="68" spans="1:7" x14ac:dyDescent="0.25">
      <c r="A68" s="19" t="s">
        <v>54</v>
      </c>
      <c r="B68" s="20">
        <v>10</v>
      </c>
      <c r="C68" s="20">
        <v>47</v>
      </c>
      <c r="D68" s="22">
        <v>170</v>
      </c>
      <c r="E68" s="23">
        <f t="shared" si="1"/>
        <v>7990</v>
      </c>
      <c r="F68" s="23">
        <f t="shared" si="2"/>
        <v>79900</v>
      </c>
      <c r="G68" s="64" t="s">
        <v>111</v>
      </c>
    </row>
    <row r="69" spans="1:7" x14ac:dyDescent="0.25">
      <c r="A69" s="19" t="s">
        <v>54</v>
      </c>
      <c r="B69" s="20">
        <v>7</v>
      </c>
      <c r="C69" s="20">
        <v>91</v>
      </c>
      <c r="D69" s="22">
        <v>170</v>
      </c>
      <c r="E69" s="23">
        <f t="shared" ref="E69" si="10">C69*D69</f>
        <v>15470</v>
      </c>
      <c r="F69" s="23">
        <f t="shared" si="2"/>
        <v>108290</v>
      </c>
      <c r="G69" s="64" t="s">
        <v>112</v>
      </c>
    </row>
    <row r="70" spans="1:7" x14ac:dyDescent="0.25">
      <c r="A70" s="19" t="s">
        <v>54</v>
      </c>
      <c r="B70" s="20">
        <v>19</v>
      </c>
      <c r="C70" s="20">
        <v>120</v>
      </c>
      <c r="D70" s="22">
        <v>170</v>
      </c>
      <c r="E70" s="23">
        <f t="shared" ref="E70" si="11">C70*D70</f>
        <v>20400</v>
      </c>
      <c r="F70" s="23">
        <f t="shared" si="2"/>
        <v>387600</v>
      </c>
      <c r="G70" s="64" t="s">
        <v>148</v>
      </c>
    </row>
    <row r="71" spans="1:7" x14ac:dyDescent="0.25">
      <c r="A71" s="19" t="s">
        <v>55</v>
      </c>
      <c r="B71" s="20">
        <v>21</v>
      </c>
      <c r="C71" s="20">
        <v>113</v>
      </c>
      <c r="D71" s="22">
        <v>180</v>
      </c>
      <c r="E71" s="23">
        <f t="shared" si="1"/>
        <v>20340</v>
      </c>
      <c r="F71" s="23">
        <f t="shared" si="2"/>
        <v>427140</v>
      </c>
      <c r="G71" s="64" t="s">
        <v>113</v>
      </c>
    </row>
    <row r="72" spans="1:7" x14ac:dyDescent="0.25">
      <c r="A72" s="19" t="s">
        <v>55</v>
      </c>
      <c r="B72" s="20">
        <v>7</v>
      </c>
      <c r="C72" s="20">
        <v>118</v>
      </c>
      <c r="D72" s="22">
        <v>180</v>
      </c>
      <c r="E72" s="23">
        <f t="shared" ref="E72" si="12">C72*D72</f>
        <v>21240</v>
      </c>
      <c r="F72" s="23">
        <f t="shared" si="2"/>
        <v>148680</v>
      </c>
      <c r="G72" s="64" t="s">
        <v>114</v>
      </c>
    </row>
    <row r="73" spans="1:7" x14ac:dyDescent="0.25">
      <c r="A73" s="19" t="s">
        <v>56</v>
      </c>
      <c r="B73" s="20">
        <v>9</v>
      </c>
      <c r="C73" s="20">
        <v>63</v>
      </c>
      <c r="D73" s="22">
        <v>150</v>
      </c>
      <c r="E73" s="23">
        <f t="shared" si="1"/>
        <v>9450</v>
      </c>
      <c r="F73" s="23">
        <f t="shared" si="2"/>
        <v>85050</v>
      </c>
      <c r="G73" s="64" t="s">
        <v>105</v>
      </c>
    </row>
    <row r="74" spans="1:7" x14ac:dyDescent="0.25">
      <c r="A74" s="19" t="s">
        <v>56</v>
      </c>
      <c r="B74" s="20">
        <v>15</v>
      </c>
      <c r="C74" s="20">
        <v>77</v>
      </c>
      <c r="D74" s="22">
        <v>150</v>
      </c>
      <c r="E74" s="23">
        <f t="shared" ref="E74" si="13">C74*D74</f>
        <v>11550</v>
      </c>
      <c r="F74" s="23">
        <f t="shared" si="2"/>
        <v>173250</v>
      </c>
      <c r="G74" s="64" t="s">
        <v>116</v>
      </c>
    </row>
    <row r="75" spans="1:7" x14ac:dyDescent="0.25">
      <c r="A75" s="19" t="s">
        <v>56</v>
      </c>
      <c r="B75" s="20">
        <v>12</v>
      </c>
      <c r="C75" s="20">
        <v>75</v>
      </c>
      <c r="D75" s="22">
        <v>150</v>
      </c>
      <c r="E75" s="23">
        <f t="shared" ref="E75" si="14">C75*D75</f>
        <v>11250</v>
      </c>
      <c r="F75" s="23">
        <f t="shared" si="2"/>
        <v>135000</v>
      </c>
      <c r="G75" s="64" t="s">
        <v>146</v>
      </c>
    </row>
    <row r="76" spans="1:7" x14ac:dyDescent="0.25">
      <c r="A76" s="19" t="s">
        <v>57</v>
      </c>
      <c r="B76" s="20">
        <v>10</v>
      </c>
      <c r="C76" s="20">
        <v>7</v>
      </c>
      <c r="D76" s="22">
        <v>140</v>
      </c>
      <c r="E76" s="23">
        <f t="shared" si="1"/>
        <v>980</v>
      </c>
      <c r="F76" s="23">
        <f t="shared" si="2"/>
        <v>9800</v>
      </c>
      <c r="G76" s="64" t="s">
        <v>111</v>
      </c>
    </row>
    <row r="77" spans="1:7" x14ac:dyDescent="0.25">
      <c r="A77" s="19" t="s">
        <v>57</v>
      </c>
      <c r="B77" s="20">
        <v>14</v>
      </c>
      <c r="C77" s="20">
        <v>15</v>
      </c>
      <c r="D77" s="22">
        <v>140</v>
      </c>
      <c r="E77" s="23">
        <f t="shared" ref="E77" si="15">C77*D77</f>
        <v>2100</v>
      </c>
      <c r="F77" s="23">
        <f t="shared" si="2"/>
        <v>29400</v>
      </c>
      <c r="G77" s="64" t="s">
        <v>117</v>
      </c>
    </row>
    <row r="78" spans="1:7" x14ac:dyDescent="0.25">
      <c r="A78" s="19" t="s">
        <v>58</v>
      </c>
      <c r="B78" s="20">
        <v>24</v>
      </c>
      <c r="C78" s="20">
        <v>4</v>
      </c>
      <c r="D78" s="22">
        <v>150</v>
      </c>
      <c r="E78" s="23">
        <f t="shared" si="1"/>
        <v>600</v>
      </c>
      <c r="F78" s="23">
        <f t="shared" si="2"/>
        <v>14400</v>
      </c>
      <c r="G78" s="64" t="s">
        <v>110</v>
      </c>
    </row>
    <row r="79" spans="1:7" x14ac:dyDescent="0.25">
      <c r="A79" s="19" t="s">
        <v>58</v>
      </c>
      <c r="B79" s="20">
        <v>12</v>
      </c>
      <c r="C79" s="20">
        <v>2</v>
      </c>
      <c r="D79" s="22">
        <v>150</v>
      </c>
      <c r="E79" s="23">
        <f t="shared" ref="E79" si="16">C79*D79</f>
        <v>300</v>
      </c>
      <c r="F79" s="23">
        <f t="shared" si="2"/>
        <v>3600</v>
      </c>
      <c r="G79" s="64" t="s">
        <v>146</v>
      </c>
    </row>
    <row r="80" spans="1:7" x14ac:dyDescent="0.25">
      <c r="A80" s="19" t="s">
        <v>59</v>
      </c>
      <c r="B80" s="20">
        <v>24</v>
      </c>
      <c r="C80" s="20">
        <v>4</v>
      </c>
      <c r="D80" s="22">
        <v>130</v>
      </c>
      <c r="E80" s="23">
        <f t="shared" si="1"/>
        <v>520</v>
      </c>
      <c r="F80" s="23">
        <f t="shared" si="2"/>
        <v>12480</v>
      </c>
      <c r="G80" s="64" t="s">
        <v>110</v>
      </c>
    </row>
    <row r="81" spans="1:7" x14ac:dyDescent="0.25">
      <c r="A81" s="19" t="s">
        <v>60</v>
      </c>
      <c r="B81" s="20">
        <v>24</v>
      </c>
      <c r="C81" s="20">
        <v>2</v>
      </c>
      <c r="D81" s="22">
        <v>130</v>
      </c>
      <c r="E81" s="23">
        <f t="shared" si="1"/>
        <v>260</v>
      </c>
      <c r="F81" s="23">
        <f t="shared" si="2"/>
        <v>6240</v>
      </c>
      <c r="G81" s="64" t="s">
        <v>110</v>
      </c>
    </row>
    <row r="82" spans="1:7" x14ac:dyDescent="0.25">
      <c r="A82" s="19" t="s">
        <v>61</v>
      </c>
      <c r="B82" s="20">
        <v>36</v>
      </c>
      <c r="C82" s="20">
        <v>10</v>
      </c>
      <c r="D82" s="22">
        <v>170</v>
      </c>
      <c r="E82" s="23">
        <f t="shared" si="1"/>
        <v>1700</v>
      </c>
      <c r="F82" s="23">
        <f t="shared" si="2"/>
        <v>61200</v>
      </c>
      <c r="G82" s="64" t="s">
        <v>144</v>
      </c>
    </row>
    <row r="83" spans="1:7" x14ac:dyDescent="0.25">
      <c r="A83" s="19" t="s">
        <v>62</v>
      </c>
      <c r="B83" s="20">
        <v>36</v>
      </c>
      <c r="C83" s="20">
        <v>2</v>
      </c>
      <c r="D83" s="22">
        <v>170</v>
      </c>
      <c r="E83" s="23">
        <f t="shared" si="1"/>
        <v>340</v>
      </c>
      <c r="F83" s="23">
        <f t="shared" si="2"/>
        <v>12240</v>
      </c>
      <c r="G83" s="64" t="s">
        <v>144</v>
      </c>
    </row>
    <row r="84" spans="1:7" x14ac:dyDescent="0.25">
      <c r="A84" s="19" t="s">
        <v>63</v>
      </c>
      <c r="B84" s="20">
        <v>1</v>
      </c>
      <c r="C84" s="20">
        <v>317</v>
      </c>
      <c r="D84" s="22">
        <v>25</v>
      </c>
      <c r="E84" s="23">
        <f t="shared" si="1"/>
        <v>7925</v>
      </c>
      <c r="F84" s="23">
        <f t="shared" si="2"/>
        <v>7925</v>
      </c>
      <c r="G84" s="64" t="s">
        <v>118</v>
      </c>
    </row>
    <row r="85" spans="1:7" x14ac:dyDescent="0.25">
      <c r="A85" s="19" t="s">
        <v>63</v>
      </c>
      <c r="B85" s="20">
        <v>4</v>
      </c>
      <c r="C85" s="20">
        <v>417</v>
      </c>
      <c r="D85" s="22">
        <v>25</v>
      </c>
      <c r="E85" s="23">
        <f t="shared" ref="E85" si="17">C85*D85</f>
        <v>10425</v>
      </c>
      <c r="F85" s="23">
        <f t="shared" si="2"/>
        <v>41700</v>
      </c>
      <c r="G85" s="64" t="s">
        <v>115</v>
      </c>
    </row>
    <row r="86" spans="1:7" x14ac:dyDescent="0.25">
      <c r="A86" s="19" t="s">
        <v>63</v>
      </c>
      <c r="B86" s="20">
        <v>4</v>
      </c>
      <c r="C86" s="20">
        <v>100</v>
      </c>
      <c r="D86" s="22">
        <v>25</v>
      </c>
      <c r="E86" s="23">
        <f t="shared" ref="E86" si="18">C86*D86</f>
        <v>2500</v>
      </c>
      <c r="F86" s="23">
        <f t="shared" si="2"/>
        <v>10000</v>
      </c>
      <c r="G86" s="64" t="s">
        <v>106</v>
      </c>
    </row>
    <row r="87" spans="1:7" x14ac:dyDescent="0.25">
      <c r="A87" s="19" t="s">
        <v>63</v>
      </c>
      <c r="B87" s="20">
        <v>3</v>
      </c>
      <c r="C87" s="20">
        <v>203</v>
      </c>
      <c r="D87" s="22">
        <v>25</v>
      </c>
      <c r="E87" s="23">
        <f t="shared" ref="E87" si="19">C87*D87</f>
        <v>5075</v>
      </c>
      <c r="F87" s="23">
        <f t="shared" si="2"/>
        <v>15225</v>
      </c>
      <c r="G87" s="64" t="s">
        <v>119</v>
      </c>
    </row>
    <row r="88" spans="1:7" x14ac:dyDescent="0.25">
      <c r="A88" s="19" t="s">
        <v>63</v>
      </c>
      <c r="B88" s="20">
        <v>12</v>
      </c>
      <c r="C88" s="20">
        <v>177</v>
      </c>
      <c r="D88" s="22">
        <v>25</v>
      </c>
      <c r="E88" s="23">
        <f t="shared" ref="E88" si="20">C88*D88</f>
        <v>4425</v>
      </c>
      <c r="F88" s="23">
        <f t="shared" si="2"/>
        <v>53100</v>
      </c>
      <c r="G88" s="64" t="s">
        <v>146</v>
      </c>
    </row>
    <row r="89" spans="1:7" x14ac:dyDescent="0.25">
      <c r="A89" s="19" t="s">
        <v>64</v>
      </c>
      <c r="B89" s="20">
        <v>7</v>
      </c>
      <c r="C89" s="20">
        <v>10</v>
      </c>
      <c r="D89" s="22">
        <v>500</v>
      </c>
      <c r="E89" s="23">
        <f t="shared" si="1"/>
        <v>5000</v>
      </c>
      <c r="F89" s="23">
        <f t="shared" si="2"/>
        <v>35000</v>
      </c>
      <c r="G89" s="64" t="s">
        <v>120</v>
      </c>
    </row>
    <row r="90" spans="1:7" x14ac:dyDescent="0.25">
      <c r="A90" s="19" t="s">
        <v>64</v>
      </c>
      <c r="B90" s="20">
        <v>12</v>
      </c>
      <c r="C90" s="20">
        <v>8</v>
      </c>
      <c r="D90" s="22">
        <v>500</v>
      </c>
      <c r="E90" s="23">
        <f t="shared" ref="E90" si="21">C90*D90</f>
        <v>4000</v>
      </c>
      <c r="F90" s="23">
        <f t="shared" si="2"/>
        <v>48000</v>
      </c>
      <c r="G90" s="64" t="s">
        <v>146</v>
      </c>
    </row>
    <row r="91" spans="1:7" x14ac:dyDescent="0.25">
      <c r="A91" s="19" t="s">
        <v>121</v>
      </c>
      <c r="B91" s="20">
        <v>19</v>
      </c>
      <c r="C91" s="20">
        <v>2</v>
      </c>
      <c r="D91" s="22">
        <v>350</v>
      </c>
      <c r="E91" s="23">
        <f t="shared" ref="E91" si="22">C91*D91</f>
        <v>700</v>
      </c>
      <c r="F91" s="23">
        <f t="shared" si="2"/>
        <v>13300</v>
      </c>
      <c r="G91" s="64" t="s">
        <v>149</v>
      </c>
    </row>
    <row r="92" spans="1:7" x14ac:dyDescent="0.25">
      <c r="A92" s="19" t="s">
        <v>122</v>
      </c>
      <c r="B92" s="20">
        <v>15</v>
      </c>
      <c r="C92" s="20">
        <v>2</v>
      </c>
      <c r="D92" s="22">
        <v>300</v>
      </c>
      <c r="E92" s="23">
        <f t="shared" ref="E92" si="23">C92*D92</f>
        <v>600</v>
      </c>
      <c r="F92" s="23">
        <f t="shared" si="2"/>
        <v>9000</v>
      </c>
      <c r="G92" s="64" t="s">
        <v>143</v>
      </c>
    </row>
    <row r="93" spans="1:7" x14ac:dyDescent="0.25">
      <c r="A93" s="19" t="s">
        <v>123</v>
      </c>
      <c r="B93" s="20">
        <v>3</v>
      </c>
      <c r="C93" s="20">
        <v>5</v>
      </c>
      <c r="D93" s="22">
        <v>250</v>
      </c>
      <c r="E93" s="23">
        <f t="shared" ref="E93" si="24">C93*D93</f>
        <v>1250</v>
      </c>
      <c r="F93" s="23">
        <f t="shared" si="2"/>
        <v>3750</v>
      </c>
      <c r="G93" s="64" t="s">
        <v>124</v>
      </c>
    </row>
    <row r="94" spans="1:7" x14ac:dyDescent="0.25">
      <c r="A94" s="19" t="s">
        <v>123</v>
      </c>
      <c r="B94" s="20">
        <v>12</v>
      </c>
      <c r="C94" s="20">
        <v>4</v>
      </c>
      <c r="D94" s="22">
        <v>250</v>
      </c>
      <c r="E94" s="23">
        <f t="shared" ref="E94" si="25">C94*D94</f>
        <v>1000</v>
      </c>
      <c r="F94" s="23">
        <f t="shared" si="2"/>
        <v>12000</v>
      </c>
      <c r="G94" s="64" t="s">
        <v>146</v>
      </c>
    </row>
    <row r="95" spans="1:7" x14ac:dyDescent="0.25">
      <c r="A95" s="19" t="s">
        <v>125</v>
      </c>
      <c r="B95" s="20">
        <v>15</v>
      </c>
      <c r="C95" s="20">
        <v>3</v>
      </c>
      <c r="D95" s="22">
        <v>180</v>
      </c>
      <c r="E95" s="23">
        <f t="shared" ref="E95" si="26">C95*D95</f>
        <v>540</v>
      </c>
      <c r="F95" s="23">
        <f t="shared" si="2"/>
        <v>8100</v>
      </c>
      <c r="G95" s="64" t="s">
        <v>150</v>
      </c>
    </row>
    <row r="96" spans="1:7" x14ac:dyDescent="0.25">
      <c r="A96" s="19" t="s">
        <v>65</v>
      </c>
      <c r="B96" s="20">
        <v>4</v>
      </c>
      <c r="C96" s="20">
        <v>33</v>
      </c>
      <c r="D96" s="22">
        <v>90</v>
      </c>
      <c r="E96" s="23">
        <f t="shared" si="1"/>
        <v>2970</v>
      </c>
      <c r="F96" s="23">
        <f t="shared" si="2"/>
        <v>11880</v>
      </c>
      <c r="G96" s="64" t="s">
        <v>106</v>
      </c>
    </row>
    <row r="97" spans="1:7" x14ac:dyDescent="0.25">
      <c r="A97" s="19" t="s">
        <v>65</v>
      </c>
      <c r="B97" s="20">
        <v>3</v>
      </c>
      <c r="C97" s="20">
        <v>104</v>
      </c>
      <c r="D97" s="22">
        <v>90</v>
      </c>
      <c r="E97" s="23">
        <f t="shared" ref="E97" si="27">C97*D97</f>
        <v>9360</v>
      </c>
      <c r="F97" s="23">
        <f t="shared" si="2"/>
        <v>28080</v>
      </c>
      <c r="G97" s="64" t="s">
        <v>124</v>
      </c>
    </row>
    <row r="98" spans="1:7" x14ac:dyDescent="0.25">
      <c r="A98" s="19" t="s">
        <v>65</v>
      </c>
      <c r="B98" s="20">
        <v>12</v>
      </c>
      <c r="C98" s="20">
        <v>74</v>
      </c>
      <c r="D98" s="22">
        <v>90</v>
      </c>
      <c r="E98" s="23">
        <f t="shared" ref="E98" si="28">C98*D98</f>
        <v>6660</v>
      </c>
      <c r="F98" s="23">
        <f t="shared" si="2"/>
        <v>79920</v>
      </c>
      <c r="G98" s="64" t="s">
        <v>146</v>
      </c>
    </row>
    <row r="99" spans="1:7" ht="18.75" x14ac:dyDescent="0.4">
      <c r="A99" s="100" t="s">
        <v>144</v>
      </c>
      <c r="B99" s="101"/>
      <c r="C99" s="104" t="s">
        <v>66</v>
      </c>
      <c r="D99" s="105"/>
      <c r="E99" s="48">
        <f>SUM(F49:F98)</f>
        <v>4176470</v>
      </c>
      <c r="F99" s="49"/>
      <c r="G99" s="50"/>
    </row>
    <row r="100" spans="1:7" ht="18.75" x14ac:dyDescent="0.4">
      <c r="A100" s="100"/>
      <c r="B100" s="101"/>
      <c r="C100" s="106" t="s">
        <v>67</v>
      </c>
      <c r="D100" s="107"/>
      <c r="E100" s="51">
        <f>E99*19%</f>
        <v>793529.3</v>
      </c>
      <c r="F100" s="49"/>
      <c r="G100" s="50"/>
    </row>
    <row r="101" spans="1:7" ht="18.75" x14ac:dyDescent="0.4">
      <c r="A101" s="100"/>
      <c r="B101" s="101"/>
      <c r="C101" s="106" t="s">
        <v>68</v>
      </c>
      <c r="D101" s="107"/>
      <c r="E101" s="51">
        <v>300000</v>
      </c>
      <c r="F101" s="49"/>
      <c r="G101" s="50"/>
    </row>
    <row r="102" spans="1:7" ht="23.25" thickBot="1" x14ac:dyDescent="0.5">
      <c r="A102" s="102"/>
      <c r="B102" s="103"/>
      <c r="C102" s="108" t="s">
        <v>25</v>
      </c>
      <c r="D102" s="109"/>
      <c r="E102" s="52">
        <f>E99+E100+E101</f>
        <v>5269999.3</v>
      </c>
      <c r="F102" s="53"/>
      <c r="G102" s="32"/>
    </row>
  </sheetData>
  <mergeCells count="12">
    <mergeCell ref="A45:G45"/>
    <mergeCell ref="A46:G46"/>
    <mergeCell ref="A99:B102"/>
    <mergeCell ref="C99:D99"/>
    <mergeCell ref="C100:D100"/>
    <mergeCell ref="C101:D101"/>
    <mergeCell ref="C102:D102"/>
    <mergeCell ref="A3:L3"/>
    <mergeCell ref="A4:A5"/>
    <mergeCell ref="A1:L1"/>
    <mergeCell ref="A2:L2"/>
    <mergeCell ref="A44:G44"/>
  </mergeCells>
  <pageMargins left="0.70866141732283472" right="0.70866141732283472" top="0.74803149606299213" bottom="0.74803149606299213" header="0.31496062992125984" footer="0.31496062992125984"/>
  <pageSetup paperSize="9" scale="30" orientation="landscape" horizontalDpi="360" verticalDpi="360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79D02-5FC4-4AB2-9284-EB3B066E6F03}">
  <dimension ref="A1:G26"/>
  <sheetViews>
    <sheetView tabSelected="1" topLeftCell="A15" workbookViewId="0">
      <selection activeCell="K15" sqref="K15"/>
    </sheetView>
  </sheetViews>
  <sheetFormatPr baseColWidth="10" defaultRowHeight="15" x14ac:dyDescent="0.25"/>
  <cols>
    <col min="1" max="1" width="30" bestFit="1" customWidth="1"/>
    <col min="5" max="5" width="18.42578125" bestFit="1" customWidth="1"/>
    <col min="6" max="6" width="15.5703125" customWidth="1"/>
  </cols>
  <sheetData>
    <row r="1" spans="1:7" ht="18.75" x14ac:dyDescent="0.3">
      <c r="A1" s="67" t="s">
        <v>126</v>
      </c>
      <c r="B1" s="68"/>
      <c r="C1" s="68"/>
      <c r="D1" s="68"/>
      <c r="E1" s="68"/>
      <c r="F1" s="68"/>
      <c r="G1" s="69"/>
    </row>
    <row r="2" spans="1:7" ht="18.75" x14ac:dyDescent="0.3">
      <c r="A2" s="70" t="s">
        <v>127</v>
      </c>
      <c r="B2" s="71"/>
      <c r="C2" s="71"/>
      <c r="D2" s="71"/>
      <c r="E2" s="71"/>
      <c r="F2" s="71"/>
      <c r="G2" s="72"/>
    </row>
    <row r="3" spans="1:7" ht="18.75" x14ac:dyDescent="0.3">
      <c r="A3" s="70" t="s">
        <v>128</v>
      </c>
      <c r="B3" s="71"/>
      <c r="C3" s="71"/>
      <c r="D3" s="71"/>
      <c r="E3" s="71"/>
      <c r="F3" s="71"/>
      <c r="G3" s="71"/>
    </row>
    <row r="4" spans="1:7" x14ac:dyDescent="0.25">
      <c r="A4" s="33" t="s">
        <v>2</v>
      </c>
      <c r="B4" s="34">
        <v>12851</v>
      </c>
      <c r="C4" s="34"/>
      <c r="D4" s="34"/>
      <c r="E4" s="34"/>
      <c r="F4" s="34"/>
      <c r="G4" s="35" t="s">
        <v>3</v>
      </c>
    </row>
    <row r="5" spans="1:7" x14ac:dyDescent="0.25">
      <c r="A5" s="36"/>
      <c r="B5" s="2">
        <v>45852</v>
      </c>
      <c r="C5" s="2"/>
      <c r="D5" s="2"/>
      <c r="E5" s="2"/>
      <c r="F5" s="2"/>
      <c r="G5" s="37">
        <v>45882</v>
      </c>
    </row>
    <row r="6" spans="1:7" x14ac:dyDescent="0.25">
      <c r="A6" s="38" t="s">
        <v>129</v>
      </c>
      <c r="B6" s="3">
        <v>2</v>
      </c>
      <c r="C6" s="39"/>
      <c r="D6" s="39"/>
      <c r="E6" s="39"/>
      <c r="F6" s="39"/>
      <c r="G6" s="40">
        <f t="shared" ref="G6:G9" si="0">SUM(B6:F6)</f>
        <v>2</v>
      </c>
    </row>
    <row r="7" spans="1:7" x14ac:dyDescent="0.25">
      <c r="A7" s="41" t="s">
        <v>130</v>
      </c>
      <c r="B7" s="3">
        <v>6</v>
      </c>
      <c r="C7" s="39"/>
      <c r="D7" s="39"/>
      <c r="E7" s="39"/>
      <c r="F7" s="39"/>
      <c r="G7" s="40">
        <f t="shared" si="0"/>
        <v>6</v>
      </c>
    </row>
    <row r="8" spans="1:7" x14ac:dyDescent="0.25">
      <c r="A8" s="41" t="s">
        <v>131</v>
      </c>
      <c r="B8" s="3">
        <v>2</v>
      </c>
      <c r="C8" s="39"/>
      <c r="D8" s="39"/>
      <c r="E8" s="39"/>
      <c r="F8" s="39"/>
      <c r="G8" s="40">
        <f t="shared" si="0"/>
        <v>2</v>
      </c>
    </row>
    <row r="9" spans="1:7" x14ac:dyDescent="0.25">
      <c r="A9" s="41" t="s">
        <v>132</v>
      </c>
      <c r="B9" s="3">
        <v>1</v>
      </c>
      <c r="C9" s="39"/>
      <c r="D9" s="39"/>
      <c r="E9" s="39"/>
      <c r="F9" s="39"/>
      <c r="G9" s="40">
        <f t="shared" si="0"/>
        <v>1</v>
      </c>
    </row>
    <row r="10" spans="1:7" x14ac:dyDescent="0.25">
      <c r="A10" s="36" t="s">
        <v>31</v>
      </c>
      <c r="B10" s="42">
        <v>0.3125</v>
      </c>
      <c r="C10" s="5"/>
      <c r="D10" s="5"/>
      <c r="E10" s="5"/>
      <c r="F10" s="5"/>
      <c r="G10" s="1"/>
    </row>
    <row r="11" spans="1:7" x14ac:dyDescent="0.25">
      <c r="A11" s="36" t="s">
        <v>9</v>
      </c>
      <c r="B11" s="6">
        <v>50000</v>
      </c>
      <c r="C11" s="6"/>
      <c r="D11" s="6"/>
      <c r="E11" s="6"/>
      <c r="F11" s="6"/>
      <c r="G11" s="1"/>
    </row>
    <row r="14" spans="1:7" ht="15.75" thickBot="1" x14ac:dyDescent="0.3"/>
    <row r="15" spans="1:7" ht="101.25" customHeight="1" x14ac:dyDescent="0.25">
      <c r="A15" s="88" t="s">
        <v>133</v>
      </c>
      <c r="B15" s="89"/>
      <c r="C15" s="89"/>
      <c r="D15" s="89"/>
      <c r="E15" s="89"/>
      <c r="F15" s="90"/>
    </row>
    <row r="16" spans="1:7" x14ac:dyDescent="0.25">
      <c r="A16" s="91" t="s">
        <v>134</v>
      </c>
      <c r="B16" s="73"/>
      <c r="C16" s="73"/>
      <c r="D16" s="73"/>
      <c r="E16" s="73"/>
      <c r="F16" s="92"/>
    </row>
    <row r="17" spans="1:6" x14ac:dyDescent="0.25">
      <c r="A17" s="74" t="s">
        <v>2</v>
      </c>
      <c r="B17" s="75" t="s">
        <v>14</v>
      </c>
      <c r="C17" s="75"/>
      <c r="D17" s="75"/>
      <c r="E17" s="75" t="s">
        <v>15</v>
      </c>
      <c r="F17" s="76"/>
    </row>
    <row r="18" spans="1:6" x14ac:dyDescent="0.25">
      <c r="A18" s="74"/>
      <c r="B18" s="17" t="s">
        <v>16</v>
      </c>
      <c r="C18" s="17" t="s">
        <v>17</v>
      </c>
      <c r="D18" s="17" t="s">
        <v>18</v>
      </c>
      <c r="E18" s="17" t="s">
        <v>19</v>
      </c>
      <c r="F18" s="18" t="s">
        <v>138</v>
      </c>
    </row>
    <row r="19" spans="1:6" x14ac:dyDescent="0.25">
      <c r="A19" s="19" t="s">
        <v>129</v>
      </c>
      <c r="B19" s="20">
        <v>31</v>
      </c>
      <c r="C19" s="21">
        <v>2</v>
      </c>
      <c r="D19" s="22">
        <v>5000</v>
      </c>
      <c r="E19" s="23">
        <f>C19*D19</f>
        <v>10000</v>
      </c>
      <c r="F19" s="24">
        <f>B19*E19</f>
        <v>310000</v>
      </c>
    </row>
    <row r="20" spans="1:6" x14ac:dyDescent="0.25">
      <c r="A20" s="25" t="s">
        <v>135</v>
      </c>
      <c r="B20" s="26">
        <v>31</v>
      </c>
      <c r="C20" s="21">
        <v>6</v>
      </c>
      <c r="D20" s="22">
        <v>200</v>
      </c>
      <c r="E20" s="23">
        <f>C20*D20</f>
        <v>1200</v>
      </c>
      <c r="F20" s="24">
        <f>B20*E20</f>
        <v>37200</v>
      </c>
    </row>
    <row r="21" spans="1:6" x14ac:dyDescent="0.25">
      <c r="A21" s="25" t="s">
        <v>136</v>
      </c>
      <c r="B21" s="26">
        <v>31</v>
      </c>
      <c r="C21" s="21">
        <v>2</v>
      </c>
      <c r="D21" s="22">
        <v>500</v>
      </c>
      <c r="E21" s="23">
        <f>C21*D21</f>
        <v>1000</v>
      </c>
      <c r="F21" s="24">
        <f>B21*E21</f>
        <v>31000</v>
      </c>
    </row>
    <row r="22" spans="1:6" x14ac:dyDescent="0.25">
      <c r="A22" s="25" t="s">
        <v>137</v>
      </c>
      <c r="B22" s="26">
        <v>31</v>
      </c>
      <c r="C22" s="21">
        <v>1</v>
      </c>
      <c r="D22" s="22">
        <v>300</v>
      </c>
      <c r="E22" s="23">
        <f>C22*D22</f>
        <v>300</v>
      </c>
      <c r="F22" s="24">
        <f>B22*E22</f>
        <v>9300</v>
      </c>
    </row>
    <row r="23" spans="1:6" ht="18.75" x14ac:dyDescent="0.4">
      <c r="A23" s="77"/>
      <c r="B23" s="78"/>
      <c r="C23" s="82" t="s">
        <v>23</v>
      </c>
      <c r="D23" s="83"/>
      <c r="E23" s="29">
        <f>SUM(F19:F22)</f>
        <v>387500</v>
      </c>
      <c r="F23" s="28"/>
    </row>
    <row r="24" spans="1:6" ht="18.75" x14ac:dyDescent="0.4">
      <c r="A24" s="77"/>
      <c r="B24" s="78"/>
      <c r="C24" s="84" t="s">
        <v>24</v>
      </c>
      <c r="D24" s="85"/>
      <c r="E24" s="44">
        <f>E23*0.19</f>
        <v>73625</v>
      </c>
      <c r="F24" s="28"/>
    </row>
    <row r="25" spans="1:6" ht="19.5" thickBot="1" x14ac:dyDescent="0.45">
      <c r="A25" s="77"/>
      <c r="B25" s="78"/>
      <c r="C25" s="82" t="s">
        <v>139</v>
      </c>
      <c r="D25" s="83"/>
      <c r="E25" s="44">
        <v>100000</v>
      </c>
      <c r="F25" s="28"/>
    </row>
    <row r="26" spans="1:6" ht="23.25" thickBot="1" x14ac:dyDescent="0.5">
      <c r="A26" s="79"/>
      <c r="B26" s="80"/>
      <c r="C26" s="86" t="s">
        <v>25</v>
      </c>
      <c r="D26" s="87"/>
      <c r="E26" s="31">
        <f>SUM(E23:E25)</f>
        <v>561125</v>
      </c>
      <c r="F26" s="45"/>
    </row>
  </sheetData>
  <mergeCells count="13">
    <mergeCell ref="A23:B26"/>
    <mergeCell ref="C23:D23"/>
    <mergeCell ref="C24:D24"/>
    <mergeCell ref="C25:D25"/>
    <mergeCell ref="C26:D26"/>
    <mergeCell ref="A17:A18"/>
    <mergeCell ref="B17:D17"/>
    <mergeCell ref="E17:F17"/>
    <mergeCell ref="A1:G1"/>
    <mergeCell ref="A2:G2"/>
    <mergeCell ref="A3:G3"/>
    <mergeCell ref="A15:F15"/>
    <mergeCell ref="A16:F1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IXA SAS</vt:lpstr>
      <vt:lpstr>ALINA</vt:lpstr>
      <vt:lpstr>EDUSYSTEMAS</vt:lpstr>
      <vt:lpstr>INVERSIONES G Y C 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Jimmy Jaimes</dc:creator>
  <cp:lastModifiedBy>Jimmy Jaimes</cp:lastModifiedBy>
  <cp:lastPrinted>2025-08-12T15:51:43Z</cp:lastPrinted>
  <dcterms:created xsi:type="dcterms:W3CDTF">2015-06-05T18:19:34Z</dcterms:created>
  <dcterms:modified xsi:type="dcterms:W3CDTF">2025-08-12T16:01:55Z</dcterms:modified>
</cp:coreProperties>
</file>
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CF86622-09D6-49E6-969F-5B85975EC5D9}" xr6:coauthVersionLast="47" xr6:coauthVersionMax="47" xr10:uidLastSave="{00000000-0000-0000-0000-000000000000}"/>
  <bookViews>
    <workbookView xWindow="-120" yWindow="-120" windowWidth="20730" windowHeight="11040" activeTab="1" xr2:uid="{49B496B6-BA2F-4A5D-B64F-197AD0680791}"/>
  </bookViews>
  <sheets>
    <sheet name="SEGUIMIENTO CONSORCIO VICTORIA" sheetId="1" r:id="rId1"/>
    <sheet name="COTIZACION FEBRERO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F30" i="2"/>
  <c r="F31" i="2"/>
  <c r="F32" i="2"/>
  <c r="F33" i="2"/>
  <c r="F34" i="2"/>
  <c r="F35" i="2"/>
  <c r="F36" i="2"/>
  <c r="F37" i="2"/>
  <c r="F38" i="2"/>
  <c r="F39" i="2"/>
  <c r="F40" i="2"/>
  <c r="F41" i="2"/>
  <c r="E66" i="2"/>
  <c r="E65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F28" i="2" s="1"/>
  <c r="G22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E42" i="2" l="1"/>
  <c r="E67" i="2"/>
  <c r="E68" i="2" s="1"/>
  <c r="E69" i="2" s="1"/>
  <c r="E71" i="2" s="1"/>
  <c r="E43" i="2"/>
  <c r="E44" i="2"/>
  <c r="E46" i="2" s="1"/>
  <c r="G24" i="1" l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6" authorId="0" shapeId="0" xr:uid="{1127444D-AE39-469C-8E54-A950F58B12E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19 DE 6 MTRS Y UNO DE 5 MTRS
</t>
        </r>
      </text>
    </comment>
    <comment ref="D6" authorId="0" shapeId="0" xr:uid="{85405CE8-87E9-42F0-8FFA-F18DA4A126A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C7" authorId="0" shapeId="0" xr:uid="{FCEC91D0-D916-470F-A5BF-8D456F9E12F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36 PLY
</t>
        </r>
      </text>
    </comment>
    <comment ref="C9" authorId="0" shapeId="0" xr:uid="{1C8129E0-54FC-48F1-B1A1-4B5DEF84C66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PLY
</t>
        </r>
      </text>
    </comment>
    <comment ref="C10" authorId="0" shapeId="0" xr:uid="{21AD45DD-9735-4C9A-9278-DE2307A63A1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3 POLY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6" authorId="0" shapeId="0" xr:uid="{51BD7F9D-5BC9-4BE8-9E82-A3784B58894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19 DE 6 MTRS Y UNO DE 5 MTRS
</t>
        </r>
      </text>
    </comment>
    <comment ref="D6" authorId="0" shapeId="0" xr:uid="{6EEB05CE-355C-4662-BF6E-61E0D0041B7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C7" authorId="0" shapeId="0" xr:uid="{53C26B74-6C1F-4EE2-8B9E-2AB9C26533E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36 PLY
</t>
        </r>
      </text>
    </comment>
    <comment ref="C9" authorId="0" shapeId="0" xr:uid="{461A4EAB-E883-4CF0-AE25-1BA483248B5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PLY
</t>
        </r>
      </text>
    </comment>
    <comment ref="C10" authorId="0" shapeId="0" xr:uid="{B6F7146B-B0AA-404B-9CE9-F01B95D4261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3 POLY
</t>
        </r>
      </text>
    </comment>
  </commentList>
</comments>
</file>

<file path=xl/sharedStrings.xml><?xml version="1.0" encoding="utf-8"?>
<sst xmlns="http://schemas.openxmlformats.org/spreadsheetml/2006/main" count="110" uniqueCount="71">
  <si>
    <t>CONSORCIO LA VICTORIA</t>
  </si>
  <si>
    <t>CRA 13 CON CALLE 69 VICTORIA</t>
  </si>
  <si>
    <t>MOVIMIENTO:FEBRERO/ 2025</t>
  </si>
  <si>
    <t>MATERIAL</t>
  </si>
  <si>
    <t xml:space="preserve">SALDO </t>
  </si>
  <si>
    <t>ALINEADORES DE 6 MTROS</t>
  </si>
  <si>
    <t>FORMALETA DE 60*1,20</t>
  </si>
  <si>
    <t>ALINEADORES DE 3 MTROS</t>
  </si>
  <si>
    <t>FORAMLETA DE 50*1,20</t>
  </si>
  <si>
    <t>FORMALETA DE 20*1,20</t>
  </si>
  <si>
    <t>FORMALETA DE 30 1,20</t>
  </si>
  <si>
    <t>FORMALETA DE 25*1,20</t>
  </si>
  <si>
    <t xml:space="preserve">TENSORES </t>
  </si>
  <si>
    <t>CHAPETAS</t>
  </si>
  <si>
    <t>CAJA METALICA</t>
  </si>
  <si>
    <t>RINCONERAS 10*10*1,20</t>
  </si>
  <si>
    <t>ANGULOS DE 1,20</t>
  </si>
  <si>
    <t>PARALES DE 4 MTROS</t>
  </si>
  <si>
    <t>PARALES DE 1 MTRO</t>
  </si>
  <si>
    <t>PINES</t>
  </si>
  <si>
    <t>crorbatas de 30</t>
  </si>
  <si>
    <t>corbatas de 25</t>
  </si>
  <si>
    <t>Hora</t>
  </si>
  <si>
    <t>AM</t>
  </si>
  <si>
    <t>8.30</t>
  </si>
  <si>
    <t>TRANSPORTE</t>
  </si>
  <si>
    <t>EN OBRA</t>
  </si>
  <si>
    <t>EQUIORIENTE S.A.S</t>
  </si>
  <si>
    <t>CONSORCIO LA VICTORIA 2</t>
  </si>
  <si>
    <t>RUBEN FORERO : 3223053468</t>
  </si>
  <si>
    <t>DETALLES</t>
  </si>
  <si>
    <t>COSTOS</t>
  </si>
  <si>
    <t>DIAS</t>
  </si>
  <si>
    <t>CANTIDAD</t>
  </si>
  <si>
    <t>VALOR</t>
  </si>
  <si>
    <t>COSTO DIARIO</t>
  </si>
  <si>
    <t>PRECIO DIARIO</t>
  </si>
  <si>
    <t>FORMALETA DE 50*1,20</t>
  </si>
  <si>
    <t>FORMALETA DE 25*120</t>
  </si>
  <si>
    <t>FORMALETA DE 30*1,20</t>
  </si>
  <si>
    <t>ALINEADOR DE 6 MTRS</t>
  </si>
  <si>
    <t>ALINEADOR DE 3 MTROS</t>
  </si>
  <si>
    <t xml:space="preserve">CHAPETAS </t>
  </si>
  <si>
    <t>ANGULOS DE 1.20</t>
  </si>
  <si>
    <t>RINCONERAS DE 10*10*1,20</t>
  </si>
  <si>
    <t xml:space="preserve">PARALES DE 4 MTROS </t>
  </si>
  <si>
    <t xml:space="preserve">PINES </t>
  </si>
  <si>
    <t>TOTAL DIARIO IVA INCLUIDO</t>
  </si>
  <si>
    <t xml:space="preserve">IVA </t>
  </si>
  <si>
    <t>LLEVADA</t>
  </si>
  <si>
    <t xml:space="preserve">TOTAL DIAS </t>
  </si>
  <si>
    <t>TOTAL VALOR DIARIO INCLUIDO IVA</t>
  </si>
  <si>
    <t xml:space="preserve">VALOR 90 </t>
  </si>
  <si>
    <t xml:space="preserve">REQUISITOS </t>
  </si>
  <si>
    <t>ACTA CONSORCIAL</t>
  </si>
  <si>
    <t>CAMARA COMERCIO INTEGRANTES DEL CONSORCIO</t>
  </si>
  <si>
    <t>DEPOSITO</t>
  </si>
  <si>
    <t>COPIA DEL CONTRATO DE LA OBRA A EJECUTAR</t>
  </si>
  <si>
    <t>NOTA:  Las corbatas son en venta porque son una medida no comercial.</t>
  </si>
  <si>
    <t>IVA DE 90 DIAS DE ALQUILER</t>
  </si>
  <si>
    <t>LLEVADA MATERIAL</t>
  </si>
  <si>
    <t>TOTAL ALQUILER CON IVA Y TRANSPORTE</t>
  </si>
  <si>
    <t>corbata para muro de 30cm</t>
  </si>
  <si>
    <t>corbata para muro de 25cm</t>
  </si>
  <si>
    <t>CORBATAS EN VENTA</t>
  </si>
  <si>
    <t xml:space="preserve">TOTAL CORBATAS </t>
  </si>
  <si>
    <t>ABONO</t>
  </si>
  <si>
    <t>SALDO ADEUDADO</t>
  </si>
  <si>
    <t>FEBRERO 5 AL 28</t>
  </si>
  <si>
    <t>VALOR 24 DIAS SIN IVA</t>
  </si>
  <si>
    <t>MOVIMIENTO:FEBRERO 5 AL 28/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</si>
</sst>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h:mm:ss;@"/>
    <numFmt numFmtId="165" formatCode="_-&quot;$&quot;\ * #,##0_-;\-&quot;$&quot;\ * #,##0_-;_-&quot;$&quot;\ * &quot;-&quot;??_-;_-@_-"/>
    <numFmt numFmtId="166" formatCode="_(&quot;$&quot;\ * #,##0_);_(&quot;$&quot;\ * \(#,##0\);_(&quot;$&quot;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1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" fontId="2" fillId="3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>
      <alignment vertical="center"/>
    </xf>
    <xf numFmtId="165" fontId="2" fillId="3" borderId="5" xfId="1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" fontId="2" fillId="6" borderId="5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  <xf numFmtId="165" fontId="2" fillId="6" borderId="5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 applyAlignment="1">
      <alignment horizontal="center"/>
    </xf>
    <xf numFmtId="0" fontId="0" fillId="9" borderId="5" xfId="0" applyFill="1" applyBorder="1" applyAlignment="1">
      <alignment horizontal="center"/>
    </xf>
    <xf numFmtId="166" fontId="0" fillId="8" borderId="5" xfId="1" applyNumberFormat="1" applyFont="1" applyFill="1" applyBorder="1"/>
    <xf numFmtId="166" fontId="0" fillId="0" borderId="5" xfId="1" applyNumberFormat="1" applyFont="1" applyFill="1" applyBorder="1"/>
    <xf numFmtId="166" fontId="0" fillId="0" borderId="8" xfId="1" applyNumberFormat="1" applyFont="1" applyFill="1" applyBorder="1"/>
    <xf numFmtId="0" fontId="0" fillId="8" borderId="0" xfId="0" applyFill="1"/>
    <xf numFmtId="166" fontId="9" fillId="6" borderId="5" xfId="1" applyNumberFormat="1" applyFont="1" applyFill="1" applyBorder="1"/>
    <xf numFmtId="0" fontId="0" fillId="0" borderId="10" xfId="0" applyBorder="1" applyAlignment="1">
      <alignment horizontal="center"/>
    </xf>
    <xf numFmtId="166" fontId="9" fillId="5" borderId="4" xfId="1" applyNumberFormat="1" applyFont="1" applyFill="1" applyBorder="1"/>
    <xf numFmtId="0" fontId="0" fillId="0" borderId="12" xfId="0" applyBorder="1" applyAlignment="1">
      <alignment horizontal="center"/>
    </xf>
    <xf numFmtId="166" fontId="9" fillId="4" borderId="13" xfId="1" applyNumberFormat="1" applyFont="1" applyFill="1" applyBorder="1"/>
    <xf numFmtId="166" fontId="9" fillId="2" borderId="4" xfId="1" applyNumberFormat="1" applyFont="1" applyFill="1" applyBorder="1"/>
    <xf numFmtId="166" fontId="9" fillId="10" borderId="13" xfId="1" applyNumberFormat="1" applyFont="1" applyFill="1" applyBorder="1"/>
    <xf numFmtId="0" fontId="0" fillId="0" borderId="17" xfId="0" applyBorder="1" applyAlignment="1">
      <alignment horizontal="center"/>
    </xf>
    <xf numFmtId="0" fontId="0" fillId="6" borderId="0" xfId="0" applyFill="1"/>
    <xf numFmtId="0" fontId="0" fillId="5" borderId="0" xfId="0" applyFill="1"/>
    <xf numFmtId="0" fontId="3" fillId="0" borderId="0" xfId="0" applyFont="1"/>
    <xf numFmtId="165" fontId="3" fillId="0" borderId="0" xfId="1" applyNumberFormat="1" applyFont="1"/>
    <xf numFmtId="0" fontId="0" fillId="4" borderId="0" xfId="0" applyFill="1"/>
    <xf numFmtId="0" fontId="0" fillId="2" borderId="0" xfId="0" applyFill="1"/>
    <xf numFmtId="0" fontId="0" fillId="10" borderId="0" xfId="0" applyFill="1"/>
    <xf numFmtId="0" fontId="2" fillId="0" borderId="9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166" fontId="0" fillId="0" borderId="8" xfId="1" applyNumberFormat="1" applyFont="1" applyBorder="1"/>
    <xf numFmtId="166" fontId="9" fillId="4" borderId="8" xfId="1" applyNumberFormat="1" applyFont="1" applyFill="1" applyBorder="1"/>
    <xf numFmtId="166" fontId="9" fillId="4" borderId="10" xfId="1" applyNumberFormat="1" applyFont="1" applyFill="1" applyBorder="1"/>
    <xf numFmtId="166" fontId="9" fillId="10" borderId="23" xfId="1" applyNumberFormat="1" applyFont="1" applyFill="1" applyBorder="1"/>
    <xf numFmtId="165" fontId="0" fillId="0" borderId="0" xfId="1" applyNumberFormat="1" applyFont="1"/>
    <xf numFmtId="166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4" fontId="8" fillId="4" borderId="7" xfId="0" applyNumberFormat="1" applyFont="1" applyFill="1" applyBorder="1" applyAlignment="1">
      <alignment horizontal="center" vertical="center" wrapText="1"/>
    </xf>
    <xf numFmtId="14" fontId="8" fillId="4" borderId="5" xfId="0" applyNumberFormat="1" applyFont="1" applyFill="1" applyBorder="1" applyAlignment="1">
      <alignment horizontal="center" vertical="center" wrapText="1"/>
    </xf>
    <xf numFmtId="14" fontId="8" fillId="4" borderId="11" xfId="0" applyNumberFormat="1" applyFont="1" applyFill="1" applyBorder="1" applyAlignment="1">
      <alignment horizontal="center" vertical="center" wrapText="1"/>
    </xf>
    <xf numFmtId="14" fontId="8" fillId="4" borderId="4" xfId="0" applyNumberFormat="1" applyFont="1" applyFill="1" applyBorder="1" applyAlignment="1">
      <alignment horizontal="center" vertical="center" wrapText="1"/>
    </xf>
    <xf numFmtId="14" fontId="8" fillId="4" borderId="16" xfId="0" applyNumberFormat="1" applyFont="1" applyFill="1" applyBorder="1" applyAlignment="1">
      <alignment horizontal="center" vertical="center" wrapText="1"/>
    </xf>
    <xf numFmtId="14" fontId="8" fillId="4" borderId="13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6C1C-5603-4EDE-8172-E8E713945DF7}">
  <dimension ref="A1:G24"/>
  <sheetViews>
    <sheetView topLeftCell="A12" workbookViewId="0">
      <selection activeCell="E31" sqref="E31"/>
    </sheetView>
  </sheetViews>
  <sheetFormatPr baseColWidth="10" defaultRowHeight="15" x14ac:dyDescent="0.25"/>
  <cols>
    <col min="1" max="1" width="25.42578125" bestFit="1" customWidth="1"/>
  </cols>
  <sheetData>
    <row r="1" spans="1:7" ht="18.75" x14ac:dyDescent="0.3">
      <c r="A1" s="49" t="s">
        <v>0</v>
      </c>
      <c r="B1" s="50"/>
      <c r="C1" s="50"/>
      <c r="D1" s="50"/>
      <c r="E1" s="50"/>
      <c r="F1" s="50"/>
      <c r="G1" s="51"/>
    </row>
    <row r="2" spans="1:7" ht="18.75" x14ac:dyDescent="0.3">
      <c r="A2" s="49" t="s">
        <v>1</v>
      </c>
      <c r="B2" s="50"/>
      <c r="C2" s="50"/>
      <c r="D2" s="50"/>
      <c r="E2" s="50"/>
      <c r="F2" s="50"/>
      <c r="G2" s="51"/>
    </row>
    <row r="3" spans="1:7" ht="18.75" x14ac:dyDescent="0.3">
      <c r="A3" s="49" t="s">
        <v>2</v>
      </c>
      <c r="B3" s="50"/>
      <c r="C3" s="50"/>
      <c r="D3" s="50"/>
      <c r="E3" s="50"/>
      <c r="F3" s="50"/>
      <c r="G3" s="51"/>
    </row>
    <row r="4" spans="1:7" x14ac:dyDescent="0.25">
      <c r="A4" s="52" t="s">
        <v>3</v>
      </c>
      <c r="B4" s="1">
        <v>13342</v>
      </c>
      <c r="C4" s="1">
        <v>13351</v>
      </c>
      <c r="D4" s="1">
        <v>13365</v>
      </c>
      <c r="E4" s="1">
        <v>13374</v>
      </c>
      <c r="F4" s="1">
        <v>13384</v>
      </c>
      <c r="G4" s="2" t="s">
        <v>4</v>
      </c>
    </row>
    <row r="5" spans="1:7" x14ac:dyDescent="0.25">
      <c r="A5" s="53"/>
      <c r="B5" s="3">
        <v>46056</v>
      </c>
      <c r="C5" s="3">
        <v>46057</v>
      </c>
      <c r="D5" s="3">
        <v>46060</v>
      </c>
      <c r="E5" s="3">
        <v>46063</v>
      </c>
      <c r="F5" s="3">
        <v>46065</v>
      </c>
      <c r="G5" s="3">
        <v>46081</v>
      </c>
    </row>
    <row r="6" spans="1:7" x14ac:dyDescent="0.25">
      <c r="A6" s="4" t="s">
        <v>5</v>
      </c>
      <c r="B6" s="5">
        <v>12</v>
      </c>
      <c r="C6" s="5">
        <v>20</v>
      </c>
      <c r="D6" s="5">
        <v>8</v>
      </c>
      <c r="E6" s="6"/>
      <c r="F6" s="6"/>
      <c r="G6" s="7">
        <f>SUM(B6:F6)</f>
        <v>40</v>
      </c>
    </row>
    <row r="7" spans="1:7" x14ac:dyDescent="0.25">
      <c r="A7" s="4" t="s">
        <v>6</v>
      </c>
      <c r="B7" s="5">
        <v>62</v>
      </c>
      <c r="C7" s="5">
        <v>38</v>
      </c>
      <c r="D7" s="6"/>
      <c r="E7" s="6">
        <v>10</v>
      </c>
      <c r="F7" s="6"/>
      <c r="G7" s="7">
        <f t="shared" ref="G7:G22" si="0">SUM(B7:F7)</f>
        <v>110</v>
      </c>
    </row>
    <row r="8" spans="1:7" x14ac:dyDescent="0.25">
      <c r="A8" s="4" t="s">
        <v>7</v>
      </c>
      <c r="B8" s="5">
        <v>8</v>
      </c>
      <c r="C8" s="6"/>
      <c r="D8" s="6"/>
      <c r="E8" s="6"/>
      <c r="F8" s="6"/>
      <c r="G8" s="7">
        <f t="shared" si="0"/>
        <v>8</v>
      </c>
    </row>
    <row r="9" spans="1:7" x14ac:dyDescent="0.25">
      <c r="A9" s="4" t="s">
        <v>8</v>
      </c>
      <c r="B9" s="6"/>
      <c r="C9" s="6">
        <v>21</v>
      </c>
      <c r="D9" s="5">
        <v>29</v>
      </c>
      <c r="E9" s="6"/>
      <c r="F9" s="6"/>
      <c r="G9" s="7">
        <f t="shared" si="0"/>
        <v>50</v>
      </c>
    </row>
    <row r="10" spans="1:7" x14ac:dyDescent="0.25">
      <c r="A10" s="4" t="s">
        <v>9</v>
      </c>
      <c r="B10" s="6"/>
      <c r="C10" s="5">
        <v>5</v>
      </c>
      <c r="D10" s="5">
        <v>10</v>
      </c>
      <c r="E10" s="6">
        <v>45</v>
      </c>
      <c r="F10" s="6"/>
      <c r="G10" s="7">
        <f t="shared" si="0"/>
        <v>60</v>
      </c>
    </row>
    <row r="11" spans="1:7" x14ac:dyDescent="0.25">
      <c r="A11" s="4" t="s">
        <v>10</v>
      </c>
      <c r="B11" s="6"/>
      <c r="C11" s="6"/>
      <c r="D11" s="5">
        <v>6</v>
      </c>
      <c r="E11" s="6">
        <v>2</v>
      </c>
      <c r="F11" s="6">
        <v>38</v>
      </c>
      <c r="G11" s="7">
        <f t="shared" si="0"/>
        <v>46</v>
      </c>
    </row>
    <row r="12" spans="1:7" x14ac:dyDescent="0.25">
      <c r="A12" s="4" t="s">
        <v>11</v>
      </c>
      <c r="B12" s="6"/>
      <c r="C12" s="6"/>
      <c r="D12" s="5"/>
      <c r="E12" s="6">
        <v>2</v>
      </c>
      <c r="F12" s="6"/>
      <c r="G12" s="7">
        <f t="shared" si="0"/>
        <v>2</v>
      </c>
    </row>
    <row r="13" spans="1:7" x14ac:dyDescent="0.25">
      <c r="A13" s="4" t="s">
        <v>12</v>
      </c>
      <c r="B13" s="6"/>
      <c r="C13" s="5">
        <v>120</v>
      </c>
      <c r="D13" s="6"/>
      <c r="E13" s="6"/>
      <c r="F13" s="6"/>
      <c r="G13" s="7">
        <f t="shared" si="0"/>
        <v>120</v>
      </c>
    </row>
    <row r="14" spans="1:7" x14ac:dyDescent="0.25">
      <c r="A14" s="4" t="s">
        <v>13</v>
      </c>
      <c r="B14" s="6"/>
      <c r="C14" s="5">
        <v>150</v>
      </c>
      <c r="D14" s="5">
        <v>352</v>
      </c>
      <c r="E14" s="6">
        <v>768</v>
      </c>
      <c r="F14" s="6">
        <v>230</v>
      </c>
      <c r="G14" s="7">
        <f t="shared" si="0"/>
        <v>1500</v>
      </c>
    </row>
    <row r="15" spans="1:7" x14ac:dyDescent="0.25">
      <c r="A15" s="4" t="s">
        <v>14</v>
      </c>
      <c r="B15" s="6"/>
      <c r="C15" s="6">
        <v>1</v>
      </c>
      <c r="D15" s="6">
        <v>2</v>
      </c>
      <c r="E15" s="6">
        <v>2</v>
      </c>
      <c r="F15" s="6"/>
      <c r="G15" s="7">
        <f t="shared" si="0"/>
        <v>5</v>
      </c>
    </row>
    <row r="16" spans="1:7" x14ac:dyDescent="0.25">
      <c r="A16" s="4" t="s">
        <v>15</v>
      </c>
      <c r="B16" s="6"/>
      <c r="C16" s="5">
        <v>2</v>
      </c>
      <c r="D16" s="6"/>
      <c r="E16" s="6"/>
      <c r="F16" s="6"/>
      <c r="G16" s="7">
        <f t="shared" si="0"/>
        <v>2</v>
      </c>
    </row>
    <row r="17" spans="1:7" x14ac:dyDescent="0.25">
      <c r="A17" s="4" t="s">
        <v>16</v>
      </c>
      <c r="B17" s="6"/>
      <c r="C17" s="5">
        <v>8</v>
      </c>
      <c r="D17" s="6"/>
      <c r="E17" s="6"/>
      <c r="F17" s="6"/>
      <c r="G17" s="7">
        <f t="shared" si="0"/>
        <v>8</v>
      </c>
    </row>
    <row r="18" spans="1:7" x14ac:dyDescent="0.25">
      <c r="A18" s="4" t="s">
        <v>17</v>
      </c>
      <c r="B18" s="6"/>
      <c r="C18" s="6"/>
      <c r="D18" s="5">
        <v>40</v>
      </c>
      <c r="E18" s="6">
        <v>40</v>
      </c>
      <c r="F18" s="6"/>
      <c r="G18" s="7">
        <f t="shared" si="0"/>
        <v>80</v>
      </c>
    </row>
    <row r="19" spans="1:7" x14ac:dyDescent="0.25">
      <c r="A19" s="4" t="s">
        <v>18</v>
      </c>
      <c r="B19" s="6"/>
      <c r="C19" s="6"/>
      <c r="D19" s="5"/>
      <c r="E19" s="6">
        <v>40</v>
      </c>
      <c r="F19" s="6"/>
      <c r="G19" s="7">
        <f t="shared" si="0"/>
        <v>40</v>
      </c>
    </row>
    <row r="20" spans="1:7" x14ac:dyDescent="0.25">
      <c r="A20" s="4" t="s">
        <v>19</v>
      </c>
      <c r="B20" s="6"/>
      <c r="C20" s="6"/>
      <c r="D20" s="5">
        <v>130</v>
      </c>
      <c r="E20" s="6">
        <v>270</v>
      </c>
      <c r="F20" s="6">
        <v>300</v>
      </c>
      <c r="G20" s="7">
        <f t="shared" si="0"/>
        <v>700</v>
      </c>
    </row>
    <row r="21" spans="1:7" x14ac:dyDescent="0.25">
      <c r="A21" s="4" t="s">
        <v>20</v>
      </c>
      <c r="B21" s="6"/>
      <c r="C21" s="6"/>
      <c r="D21" s="5">
        <v>41</v>
      </c>
      <c r="E21" s="6">
        <v>59</v>
      </c>
      <c r="F21" s="6">
        <v>100</v>
      </c>
      <c r="G21" s="7">
        <f t="shared" si="0"/>
        <v>200</v>
      </c>
    </row>
    <row r="22" spans="1:7" x14ac:dyDescent="0.25">
      <c r="A22" s="4" t="s">
        <v>21</v>
      </c>
      <c r="B22" s="6"/>
      <c r="C22" s="6"/>
      <c r="D22" s="5">
        <v>24</v>
      </c>
      <c r="E22" s="6">
        <v>76</v>
      </c>
      <c r="F22" s="6">
        <v>50</v>
      </c>
      <c r="G22" s="7">
        <f t="shared" si="0"/>
        <v>150</v>
      </c>
    </row>
    <row r="23" spans="1:7" x14ac:dyDescent="0.25">
      <c r="A23" s="8" t="s">
        <v>22</v>
      </c>
      <c r="B23" s="9" t="s">
        <v>23</v>
      </c>
      <c r="C23" s="9">
        <v>0.16666666666666666</v>
      </c>
      <c r="D23" s="9" t="s">
        <v>24</v>
      </c>
      <c r="E23" s="9">
        <v>0.10416666666666667</v>
      </c>
      <c r="F23" s="9">
        <v>0.60416666666666663</v>
      </c>
      <c r="G23" s="1"/>
    </row>
    <row r="24" spans="1:7" x14ac:dyDescent="0.25">
      <c r="A24" s="8" t="s">
        <v>25</v>
      </c>
      <c r="B24" s="10">
        <v>80000</v>
      </c>
      <c r="C24" s="10">
        <v>80000</v>
      </c>
      <c r="D24" s="10">
        <v>40000</v>
      </c>
      <c r="E24" s="10">
        <v>80000</v>
      </c>
      <c r="F24" s="10">
        <v>40000</v>
      </c>
      <c r="G24" s="11">
        <f>SUM(B24:F24)</f>
        <v>320000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AC8C-DFCE-4759-BFC9-0C465EFA0CBC}">
  <sheetPr>
    <pageSetUpPr fitToPage="1"/>
  </sheetPr>
  <dimension ref="A1:G71"/>
  <sheetViews>
    <sheetView tabSelected="1" topLeftCell="A37" workbookViewId="0">
      <selection activeCell="A23" sqref="A23:F46"/>
    </sheetView>
  </sheetViews>
  <sheetFormatPr baseColWidth="10" defaultRowHeight="15" x14ac:dyDescent="0.25"/>
  <cols>
    <col min="1" max="1" width="65.5703125" bestFit="1" customWidth="1"/>
    <col min="4" max="4" width="21.85546875" customWidth="1"/>
    <col min="5" max="5" width="23" customWidth="1"/>
    <col min="6" max="6" width="14.85546875" bestFit="1" customWidth="1"/>
  </cols>
  <sheetData>
    <row r="1" spans="1:7" ht="18.75" x14ac:dyDescent="0.3">
      <c r="A1" s="49" t="s">
        <v>0</v>
      </c>
      <c r="B1" s="50"/>
      <c r="C1" s="50"/>
      <c r="D1" s="50"/>
      <c r="E1" s="50"/>
      <c r="F1" s="50"/>
      <c r="G1" s="51"/>
    </row>
    <row r="2" spans="1:7" ht="18.75" x14ac:dyDescent="0.3">
      <c r="A2" s="49" t="s">
        <v>1</v>
      </c>
      <c r="B2" s="50"/>
      <c r="C2" s="50"/>
      <c r="D2" s="50"/>
      <c r="E2" s="50"/>
      <c r="F2" s="50"/>
      <c r="G2" s="51"/>
    </row>
    <row r="3" spans="1:7" ht="18.75" x14ac:dyDescent="0.3">
      <c r="A3" s="49" t="s">
        <v>70</v>
      </c>
      <c r="B3" s="50"/>
      <c r="C3" s="50"/>
      <c r="D3" s="50"/>
      <c r="E3" s="50"/>
      <c r="F3" s="50"/>
      <c r="G3" s="51"/>
    </row>
    <row r="4" spans="1:7" x14ac:dyDescent="0.25">
      <c r="A4" s="52" t="s">
        <v>3</v>
      </c>
      <c r="B4" s="1">
        <v>13342</v>
      </c>
      <c r="C4" s="1">
        <v>13351</v>
      </c>
      <c r="D4" s="1">
        <v>13365</v>
      </c>
      <c r="E4" s="1">
        <v>13374</v>
      </c>
      <c r="F4" s="1">
        <v>13384</v>
      </c>
      <c r="G4" s="12" t="s">
        <v>26</v>
      </c>
    </row>
    <row r="5" spans="1:7" x14ac:dyDescent="0.25">
      <c r="A5" s="53"/>
      <c r="B5" s="3">
        <v>46056</v>
      </c>
      <c r="C5" s="3">
        <v>46057</v>
      </c>
      <c r="D5" s="3">
        <v>46060</v>
      </c>
      <c r="E5" s="3">
        <v>46063</v>
      </c>
      <c r="F5" s="3">
        <v>46065</v>
      </c>
      <c r="G5" s="13">
        <v>46081</v>
      </c>
    </row>
    <row r="6" spans="1:7" x14ac:dyDescent="0.25">
      <c r="A6" s="4" t="s">
        <v>5</v>
      </c>
      <c r="B6" s="5">
        <v>12</v>
      </c>
      <c r="C6" s="5">
        <v>20</v>
      </c>
      <c r="D6" s="5">
        <v>8</v>
      </c>
      <c r="E6" s="6"/>
      <c r="F6" s="6"/>
      <c r="G6" s="14">
        <f>SUM(B6:F6)</f>
        <v>40</v>
      </c>
    </row>
    <row r="7" spans="1:7" x14ac:dyDescent="0.25">
      <c r="A7" s="4" t="s">
        <v>6</v>
      </c>
      <c r="B7" s="5">
        <v>62</v>
      </c>
      <c r="C7" s="5">
        <v>38</v>
      </c>
      <c r="D7" s="6"/>
      <c r="E7" s="6">
        <v>10</v>
      </c>
      <c r="F7" s="6"/>
      <c r="G7" s="14">
        <f t="shared" ref="G7:G20" si="0">SUM(B7:F7)</f>
        <v>110</v>
      </c>
    </row>
    <row r="8" spans="1:7" x14ac:dyDescent="0.25">
      <c r="A8" s="4" t="s">
        <v>7</v>
      </c>
      <c r="B8" s="5">
        <v>8</v>
      </c>
      <c r="C8" s="6"/>
      <c r="D8" s="6"/>
      <c r="E8" s="6"/>
      <c r="F8" s="6"/>
      <c r="G8" s="14">
        <f t="shared" si="0"/>
        <v>8</v>
      </c>
    </row>
    <row r="9" spans="1:7" x14ac:dyDescent="0.25">
      <c r="A9" s="4" t="s">
        <v>8</v>
      </c>
      <c r="B9" s="6"/>
      <c r="C9" s="6">
        <v>21</v>
      </c>
      <c r="D9" s="5">
        <v>29</v>
      </c>
      <c r="E9" s="6"/>
      <c r="F9" s="6"/>
      <c r="G9" s="14">
        <f t="shared" si="0"/>
        <v>50</v>
      </c>
    </row>
    <row r="10" spans="1:7" x14ac:dyDescent="0.25">
      <c r="A10" s="4" t="s">
        <v>9</v>
      </c>
      <c r="B10" s="6"/>
      <c r="C10" s="5">
        <v>5</v>
      </c>
      <c r="D10" s="5">
        <v>10</v>
      </c>
      <c r="E10" s="6">
        <v>45</v>
      </c>
      <c r="F10" s="6"/>
      <c r="G10" s="14">
        <f t="shared" si="0"/>
        <v>60</v>
      </c>
    </row>
    <row r="11" spans="1:7" x14ac:dyDescent="0.25">
      <c r="A11" s="4" t="s">
        <v>10</v>
      </c>
      <c r="B11" s="6"/>
      <c r="C11" s="6"/>
      <c r="D11" s="5">
        <v>6</v>
      </c>
      <c r="E11" s="6">
        <v>2</v>
      </c>
      <c r="F11" s="6">
        <v>38</v>
      </c>
      <c r="G11" s="14">
        <f t="shared" si="0"/>
        <v>46</v>
      </c>
    </row>
    <row r="12" spans="1:7" x14ac:dyDescent="0.25">
      <c r="A12" s="4" t="s">
        <v>11</v>
      </c>
      <c r="B12" s="6"/>
      <c r="C12" s="6"/>
      <c r="D12" s="5"/>
      <c r="E12" s="6">
        <v>2</v>
      </c>
      <c r="F12" s="6"/>
      <c r="G12" s="14">
        <f t="shared" si="0"/>
        <v>2</v>
      </c>
    </row>
    <row r="13" spans="1:7" x14ac:dyDescent="0.25">
      <c r="A13" s="4" t="s">
        <v>12</v>
      </c>
      <c r="B13" s="6"/>
      <c r="C13" s="5">
        <v>120</v>
      </c>
      <c r="D13" s="6"/>
      <c r="E13" s="6"/>
      <c r="F13" s="6"/>
      <c r="G13" s="14">
        <f t="shared" si="0"/>
        <v>120</v>
      </c>
    </row>
    <row r="14" spans="1:7" x14ac:dyDescent="0.25">
      <c r="A14" s="4" t="s">
        <v>13</v>
      </c>
      <c r="B14" s="6"/>
      <c r="C14" s="5">
        <v>150</v>
      </c>
      <c r="D14" s="5">
        <v>352</v>
      </c>
      <c r="E14" s="6">
        <v>768</v>
      </c>
      <c r="F14" s="6">
        <v>230</v>
      </c>
      <c r="G14" s="14">
        <f t="shared" si="0"/>
        <v>1500</v>
      </c>
    </row>
    <row r="15" spans="1:7" x14ac:dyDescent="0.25">
      <c r="A15" s="4" t="s">
        <v>14</v>
      </c>
      <c r="B15" s="6"/>
      <c r="C15" s="6">
        <v>1</v>
      </c>
      <c r="D15" s="6">
        <v>2</v>
      </c>
      <c r="E15" s="6">
        <v>2</v>
      </c>
      <c r="F15" s="6"/>
      <c r="G15" s="14">
        <f t="shared" si="0"/>
        <v>5</v>
      </c>
    </row>
    <row r="16" spans="1:7" x14ac:dyDescent="0.25">
      <c r="A16" s="4" t="s">
        <v>15</v>
      </c>
      <c r="B16" s="6"/>
      <c r="C16" s="5">
        <v>2</v>
      </c>
      <c r="D16" s="6"/>
      <c r="E16" s="6"/>
      <c r="F16" s="6"/>
      <c r="G16" s="14">
        <f t="shared" si="0"/>
        <v>2</v>
      </c>
    </row>
    <row r="17" spans="1:7" x14ac:dyDescent="0.25">
      <c r="A17" s="4" t="s">
        <v>16</v>
      </c>
      <c r="B17" s="6"/>
      <c r="C17" s="5">
        <v>8</v>
      </c>
      <c r="D17" s="6"/>
      <c r="E17" s="6"/>
      <c r="F17" s="6"/>
      <c r="G17" s="14">
        <f t="shared" si="0"/>
        <v>8</v>
      </c>
    </row>
    <row r="18" spans="1:7" x14ac:dyDescent="0.25">
      <c r="A18" s="4" t="s">
        <v>17</v>
      </c>
      <c r="B18" s="6"/>
      <c r="C18" s="6"/>
      <c r="D18" s="5">
        <v>40</v>
      </c>
      <c r="E18" s="6">
        <v>40</v>
      </c>
      <c r="F18" s="6"/>
      <c r="G18" s="14">
        <f t="shared" si="0"/>
        <v>80</v>
      </c>
    </row>
    <row r="19" spans="1:7" x14ac:dyDescent="0.25">
      <c r="A19" s="4" t="s">
        <v>18</v>
      </c>
      <c r="B19" s="6"/>
      <c r="C19" s="6"/>
      <c r="D19" s="5"/>
      <c r="E19" s="6">
        <v>40</v>
      </c>
      <c r="F19" s="6"/>
      <c r="G19" s="14">
        <f t="shared" si="0"/>
        <v>40</v>
      </c>
    </row>
    <row r="20" spans="1:7" x14ac:dyDescent="0.25">
      <c r="A20" s="4" t="s">
        <v>19</v>
      </c>
      <c r="B20" s="6"/>
      <c r="C20" s="6"/>
      <c r="D20" s="5">
        <v>130</v>
      </c>
      <c r="E20" s="6">
        <v>270</v>
      </c>
      <c r="F20" s="6">
        <v>300</v>
      </c>
      <c r="G20" s="14">
        <f t="shared" si="0"/>
        <v>700</v>
      </c>
    </row>
    <row r="21" spans="1:7" x14ac:dyDescent="0.25">
      <c r="A21" s="8" t="s">
        <v>22</v>
      </c>
      <c r="B21" s="9" t="s">
        <v>23</v>
      </c>
      <c r="C21" s="9">
        <v>0.16666666666666666</v>
      </c>
      <c r="D21" s="9" t="s">
        <v>24</v>
      </c>
      <c r="E21" s="9">
        <v>0.10416666666666667</v>
      </c>
      <c r="F21" s="9">
        <v>0.60416666666666663</v>
      </c>
      <c r="G21" s="14"/>
    </row>
    <row r="22" spans="1:7" x14ac:dyDescent="0.25">
      <c r="A22" s="8" t="s">
        <v>25</v>
      </c>
      <c r="B22" s="10">
        <v>80000</v>
      </c>
      <c r="C22" s="10">
        <v>80000</v>
      </c>
      <c r="D22" s="10">
        <v>40000</v>
      </c>
      <c r="E22" s="10">
        <v>80000</v>
      </c>
      <c r="F22" s="10">
        <v>40000</v>
      </c>
      <c r="G22" s="15">
        <f>SUM(B22:F22)</f>
        <v>320000</v>
      </c>
    </row>
    <row r="23" spans="1:7" x14ac:dyDescent="0.25">
      <c r="A23" s="85" t="s">
        <v>27</v>
      </c>
      <c r="B23" s="58"/>
      <c r="C23" s="58"/>
      <c r="D23" s="58"/>
      <c r="E23" s="58"/>
      <c r="F23" s="86"/>
    </row>
    <row r="24" spans="1:7" x14ac:dyDescent="0.25">
      <c r="A24" s="85" t="s">
        <v>28</v>
      </c>
      <c r="B24" s="58"/>
      <c r="C24" s="58"/>
      <c r="D24" s="58"/>
      <c r="E24" s="58"/>
      <c r="F24" s="86"/>
    </row>
    <row r="25" spans="1:7" ht="18" x14ac:dyDescent="0.25">
      <c r="A25" s="75" t="s">
        <v>29</v>
      </c>
      <c r="B25" s="61"/>
      <c r="C25" s="61"/>
      <c r="D25" s="61"/>
      <c r="E25" s="61"/>
      <c r="F25" s="76"/>
    </row>
    <row r="26" spans="1:7" x14ac:dyDescent="0.25">
      <c r="A26" s="63" t="s">
        <v>3</v>
      </c>
      <c r="B26" s="64" t="s">
        <v>30</v>
      </c>
      <c r="C26" s="64"/>
      <c r="D26" s="64"/>
      <c r="E26" s="64" t="s">
        <v>31</v>
      </c>
      <c r="F26" s="77"/>
    </row>
    <row r="27" spans="1:7" x14ac:dyDescent="0.25">
      <c r="A27" s="63"/>
      <c r="B27" s="16" t="s">
        <v>32</v>
      </c>
      <c r="C27" s="16" t="s">
        <v>33</v>
      </c>
      <c r="D27" s="16" t="s">
        <v>34</v>
      </c>
      <c r="E27" s="16" t="s">
        <v>35</v>
      </c>
      <c r="F27" s="17" t="s">
        <v>36</v>
      </c>
      <c r="G27" s="18"/>
    </row>
    <row r="28" spans="1:7" x14ac:dyDescent="0.25">
      <c r="A28" s="19" t="s">
        <v>6</v>
      </c>
      <c r="B28" s="20">
        <v>24</v>
      </c>
      <c r="C28" s="21">
        <v>110</v>
      </c>
      <c r="D28" s="22">
        <v>450</v>
      </c>
      <c r="E28" s="23">
        <f t="shared" ref="E28:E41" si="1">C28*D28</f>
        <v>49500</v>
      </c>
      <c r="F28" s="24">
        <f t="shared" ref="F28:F41" si="2">B28*E28</f>
        <v>1188000</v>
      </c>
      <c r="G28" s="25"/>
    </row>
    <row r="29" spans="1:7" x14ac:dyDescent="0.25">
      <c r="A29" s="19" t="s">
        <v>9</v>
      </c>
      <c r="B29" s="20">
        <v>24</v>
      </c>
      <c r="C29" s="21">
        <v>60</v>
      </c>
      <c r="D29" s="22">
        <v>280</v>
      </c>
      <c r="E29" s="23">
        <f t="shared" si="1"/>
        <v>16800</v>
      </c>
      <c r="F29" s="24">
        <f t="shared" si="2"/>
        <v>403200</v>
      </c>
      <c r="G29" s="25"/>
    </row>
    <row r="30" spans="1:7" x14ac:dyDescent="0.25">
      <c r="A30" s="19" t="s">
        <v>37</v>
      </c>
      <c r="B30" s="20">
        <v>24</v>
      </c>
      <c r="C30" s="21">
        <v>50</v>
      </c>
      <c r="D30" s="22">
        <v>360</v>
      </c>
      <c r="E30" s="23">
        <f t="shared" si="1"/>
        <v>18000</v>
      </c>
      <c r="F30" s="24">
        <f t="shared" si="2"/>
        <v>432000</v>
      </c>
      <c r="G30" s="25"/>
    </row>
    <row r="31" spans="1:7" x14ac:dyDescent="0.25">
      <c r="A31" s="19" t="s">
        <v>38</v>
      </c>
      <c r="B31" s="20">
        <v>24</v>
      </c>
      <c r="C31" s="21">
        <v>2</v>
      </c>
      <c r="D31" s="22">
        <v>340</v>
      </c>
      <c r="E31" s="23">
        <f t="shared" si="1"/>
        <v>680</v>
      </c>
      <c r="F31" s="24">
        <f t="shared" si="2"/>
        <v>16320</v>
      </c>
      <c r="G31" s="25"/>
    </row>
    <row r="32" spans="1:7" x14ac:dyDescent="0.25">
      <c r="A32" s="19" t="s">
        <v>39</v>
      </c>
      <c r="B32" s="20">
        <v>24</v>
      </c>
      <c r="C32" s="21">
        <v>46</v>
      </c>
      <c r="D32" s="22">
        <v>350</v>
      </c>
      <c r="E32" s="23">
        <f>C32*D32</f>
        <v>16100</v>
      </c>
      <c r="F32" s="24">
        <f t="shared" si="2"/>
        <v>386400</v>
      </c>
      <c r="G32" s="25"/>
    </row>
    <row r="33" spans="1:7" x14ac:dyDescent="0.25">
      <c r="A33" s="19" t="s">
        <v>40</v>
      </c>
      <c r="B33" s="20">
        <v>24</v>
      </c>
      <c r="C33" s="21">
        <v>40</v>
      </c>
      <c r="D33" s="22">
        <v>600</v>
      </c>
      <c r="E33" s="23">
        <f t="shared" si="1"/>
        <v>24000</v>
      </c>
      <c r="F33" s="24">
        <f t="shared" si="2"/>
        <v>576000</v>
      </c>
      <c r="G33" s="25"/>
    </row>
    <row r="34" spans="1:7" x14ac:dyDescent="0.25">
      <c r="A34" s="19" t="s">
        <v>41</v>
      </c>
      <c r="B34" s="20">
        <v>24</v>
      </c>
      <c r="C34" s="21">
        <v>8</v>
      </c>
      <c r="D34" s="22">
        <v>400</v>
      </c>
      <c r="E34" s="23">
        <f t="shared" si="1"/>
        <v>3200</v>
      </c>
      <c r="F34" s="24">
        <f t="shared" si="2"/>
        <v>76800</v>
      </c>
      <c r="G34" s="25"/>
    </row>
    <row r="35" spans="1:7" x14ac:dyDescent="0.25">
      <c r="A35" s="19" t="s">
        <v>12</v>
      </c>
      <c r="B35" s="20">
        <v>24</v>
      </c>
      <c r="C35" s="21">
        <v>120</v>
      </c>
      <c r="D35" s="22">
        <v>120</v>
      </c>
      <c r="E35" s="23">
        <f t="shared" si="1"/>
        <v>14400</v>
      </c>
      <c r="F35" s="24">
        <f t="shared" si="2"/>
        <v>345600</v>
      </c>
      <c r="G35" s="25"/>
    </row>
    <row r="36" spans="1:7" x14ac:dyDescent="0.25">
      <c r="A36" s="19" t="s">
        <v>42</v>
      </c>
      <c r="B36" s="20">
        <v>24</v>
      </c>
      <c r="C36" s="21">
        <v>1500</v>
      </c>
      <c r="D36" s="22">
        <v>28</v>
      </c>
      <c r="E36" s="23">
        <f t="shared" si="1"/>
        <v>42000</v>
      </c>
      <c r="F36" s="24">
        <f t="shared" si="2"/>
        <v>1008000</v>
      </c>
      <c r="G36" s="25"/>
    </row>
    <row r="37" spans="1:7" x14ac:dyDescent="0.25">
      <c r="A37" s="19" t="s">
        <v>43</v>
      </c>
      <c r="B37" s="20">
        <v>24</v>
      </c>
      <c r="C37" s="21">
        <v>8</v>
      </c>
      <c r="D37" s="22">
        <v>120</v>
      </c>
      <c r="E37" s="23">
        <f t="shared" si="1"/>
        <v>960</v>
      </c>
      <c r="F37" s="24">
        <f t="shared" si="2"/>
        <v>23040</v>
      </c>
      <c r="G37" s="25"/>
    </row>
    <row r="38" spans="1:7" x14ac:dyDescent="0.25">
      <c r="A38" s="19" t="s">
        <v>44</v>
      </c>
      <c r="B38" s="20">
        <v>24</v>
      </c>
      <c r="C38" s="21">
        <v>2</v>
      </c>
      <c r="D38" s="22">
        <v>320</v>
      </c>
      <c r="E38" s="23">
        <f t="shared" si="1"/>
        <v>640</v>
      </c>
      <c r="F38" s="24">
        <f t="shared" si="2"/>
        <v>15360</v>
      </c>
      <c r="G38" s="25"/>
    </row>
    <row r="39" spans="1:7" x14ac:dyDescent="0.25">
      <c r="A39" s="19" t="s">
        <v>45</v>
      </c>
      <c r="B39" s="20">
        <v>24</v>
      </c>
      <c r="C39" s="21">
        <v>80</v>
      </c>
      <c r="D39" s="22">
        <v>250</v>
      </c>
      <c r="E39" s="23">
        <f t="shared" si="1"/>
        <v>20000</v>
      </c>
      <c r="F39" s="24">
        <f t="shared" si="2"/>
        <v>480000</v>
      </c>
      <c r="G39" s="25"/>
    </row>
    <row r="40" spans="1:7" x14ac:dyDescent="0.25">
      <c r="A40" s="19" t="s">
        <v>18</v>
      </c>
      <c r="B40" s="20">
        <v>24</v>
      </c>
      <c r="C40" s="21">
        <v>40</v>
      </c>
      <c r="D40" s="22">
        <v>200</v>
      </c>
      <c r="E40" s="23">
        <f t="shared" si="1"/>
        <v>8000</v>
      </c>
      <c r="F40" s="24">
        <f t="shared" si="2"/>
        <v>192000</v>
      </c>
      <c r="G40" s="25"/>
    </row>
    <row r="41" spans="1:7" x14ac:dyDescent="0.25">
      <c r="A41" s="19" t="s">
        <v>46</v>
      </c>
      <c r="B41" s="20">
        <v>24</v>
      </c>
      <c r="C41" s="21">
        <v>700</v>
      </c>
      <c r="D41" s="22">
        <v>25</v>
      </c>
      <c r="E41" s="23">
        <f t="shared" si="1"/>
        <v>17500</v>
      </c>
      <c r="F41" s="24">
        <f t="shared" si="2"/>
        <v>420000</v>
      </c>
      <c r="G41" s="25"/>
    </row>
    <row r="42" spans="1:7" ht="18.75" x14ac:dyDescent="0.4">
      <c r="A42" s="65" t="s">
        <v>68</v>
      </c>
      <c r="B42" s="66"/>
      <c r="C42" s="78" t="s">
        <v>47</v>
      </c>
      <c r="D42" s="78"/>
      <c r="E42" s="26">
        <f>SUM(E28:E41)*1.19</f>
        <v>275818.2</v>
      </c>
      <c r="F42" s="27"/>
      <c r="G42" s="25"/>
    </row>
    <row r="43" spans="1:7" ht="18.75" x14ac:dyDescent="0.4">
      <c r="A43" s="67"/>
      <c r="B43" s="68"/>
      <c r="C43" s="79" t="s">
        <v>69</v>
      </c>
      <c r="D43" s="80"/>
      <c r="E43" s="28">
        <f>SUM(F28:F41)</f>
        <v>5562720</v>
      </c>
      <c r="F43" s="29"/>
      <c r="G43" s="25"/>
    </row>
    <row r="44" spans="1:7" ht="19.5" thickBot="1" x14ac:dyDescent="0.45">
      <c r="A44" s="67"/>
      <c r="B44" s="68"/>
      <c r="C44" s="81" t="s">
        <v>48</v>
      </c>
      <c r="D44" s="81"/>
      <c r="E44" s="30">
        <f>E43*19%</f>
        <v>1056916.8</v>
      </c>
      <c r="F44" s="29"/>
      <c r="G44" s="25"/>
    </row>
    <row r="45" spans="1:7" ht="18.75" x14ac:dyDescent="0.4">
      <c r="A45" s="67"/>
      <c r="B45" s="68"/>
      <c r="C45" s="82" t="s">
        <v>49</v>
      </c>
      <c r="D45" s="83"/>
      <c r="E45" s="31">
        <v>320000</v>
      </c>
      <c r="F45" s="29"/>
      <c r="G45" s="25"/>
    </row>
    <row r="46" spans="1:7" ht="19.5" thickBot="1" x14ac:dyDescent="0.45">
      <c r="A46" s="69"/>
      <c r="B46" s="70"/>
      <c r="C46" s="84" t="s">
        <v>50</v>
      </c>
      <c r="D46" s="84"/>
      <c r="E46" s="32">
        <f>SUM(E43:E45)</f>
        <v>6939636.7999999998</v>
      </c>
      <c r="F46" s="33"/>
      <c r="G46" s="25"/>
    </row>
    <row r="47" spans="1:7" x14ac:dyDescent="0.25">
      <c r="A47" s="34" t="s">
        <v>51</v>
      </c>
    </row>
    <row r="48" spans="1:7" x14ac:dyDescent="0.25">
      <c r="A48" s="35" t="s">
        <v>52</v>
      </c>
    </row>
    <row r="49" spans="1:6" ht="18.75" x14ac:dyDescent="0.3">
      <c r="A49" s="36" t="s">
        <v>53</v>
      </c>
    </row>
    <row r="50" spans="1:6" x14ac:dyDescent="0.25">
      <c r="A50" t="s">
        <v>54</v>
      </c>
    </row>
    <row r="51" spans="1:6" x14ac:dyDescent="0.25">
      <c r="A51" t="s">
        <v>55</v>
      </c>
    </row>
    <row r="52" spans="1:6" ht="18.75" x14ac:dyDescent="0.3">
      <c r="A52" t="s">
        <v>56</v>
      </c>
      <c r="E52" s="37">
        <v>4000000</v>
      </c>
    </row>
    <row r="53" spans="1:6" x14ac:dyDescent="0.25">
      <c r="A53" t="s">
        <v>57</v>
      </c>
    </row>
    <row r="54" spans="1:6" x14ac:dyDescent="0.25">
      <c r="A54" t="s">
        <v>58</v>
      </c>
    </row>
    <row r="56" spans="1:6" x14ac:dyDescent="0.25">
      <c r="A56" s="38" t="s">
        <v>59</v>
      </c>
    </row>
    <row r="57" spans="1:6" x14ac:dyDescent="0.25">
      <c r="A57" s="39" t="s">
        <v>60</v>
      </c>
    </row>
    <row r="58" spans="1:6" x14ac:dyDescent="0.25">
      <c r="A58" s="40" t="s">
        <v>61</v>
      </c>
    </row>
    <row r="59" spans="1:6" ht="15.75" thickBot="1" x14ac:dyDescent="0.3">
      <c r="A59" s="25"/>
    </row>
    <row r="60" spans="1:6" x14ac:dyDescent="0.25">
      <c r="A60" s="54" t="s">
        <v>27</v>
      </c>
      <c r="B60" s="55"/>
      <c r="C60" s="55"/>
      <c r="D60" s="55"/>
      <c r="E60" s="56"/>
    </row>
    <row r="61" spans="1:6" x14ac:dyDescent="0.25">
      <c r="A61" s="57" t="s">
        <v>28</v>
      </c>
      <c r="B61" s="58"/>
      <c r="C61" s="58"/>
      <c r="D61" s="58"/>
      <c r="E61" s="59"/>
    </row>
    <row r="62" spans="1:6" ht="18" x14ac:dyDescent="0.25">
      <c r="A62" s="60" t="s">
        <v>29</v>
      </c>
      <c r="B62" s="61"/>
      <c r="C62" s="61"/>
      <c r="D62" s="61"/>
      <c r="E62" s="62"/>
    </row>
    <row r="63" spans="1:6" x14ac:dyDescent="0.25">
      <c r="A63" s="63" t="s">
        <v>3</v>
      </c>
      <c r="B63" s="64" t="s">
        <v>30</v>
      </c>
      <c r="C63" s="64"/>
      <c r="D63" s="64"/>
      <c r="E63" s="17" t="s">
        <v>31</v>
      </c>
    </row>
    <row r="64" spans="1:6" x14ac:dyDescent="0.25">
      <c r="A64" s="63"/>
      <c r="B64" s="16" t="s">
        <v>32</v>
      </c>
      <c r="C64" s="16" t="s">
        <v>33</v>
      </c>
      <c r="D64" s="16" t="s">
        <v>34</v>
      </c>
      <c r="E64" s="17" t="s">
        <v>35</v>
      </c>
      <c r="F64" s="41"/>
    </row>
    <row r="65" spans="1:5" x14ac:dyDescent="0.25">
      <c r="A65" s="19" t="s">
        <v>62</v>
      </c>
      <c r="B65" s="42"/>
      <c r="C65" s="20">
        <v>200</v>
      </c>
      <c r="D65" s="22">
        <v>3000</v>
      </c>
      <c r="E65" s="43">
        <f>C65*D65</f>
        <v>600000</v>
      </c>
    </row>
    <row r="66" spans="1:5" x14ac:dyDescent="0.25">
      <c r="A66" s="19" t="s">
        <v>63</v>
      </c>
      <c r="B66" s="42"/>
      <c r="C66" s="20">
        <v>150</v>
      </c>
      <c r="D66" s="22">
        <v>3000</v>
      </c>
      <c r="E66" s="43">
        <f>C66*D66</f>
        <v>450000</v>
      </c>
    </row>
    <row r="67" spans="1:5" ht="18.75" x14ac:dyDescent="0.4">
      <c r="A67" s="65" t="s">
        <v>64</v>
      </c>
      <c r="B67" s="66"/>
      <c r="C67" s="71" t="s">
        <v>65</v>
      </c>
      <c r="D67" s="71"/>
      <c r="E67" s="44">
        <f>SUM(E65:E66)</f>
        <v>1050000</v>
      </c>
    </row>
    <row r="68" spans="1:5" ht="18.75" x14ac:dyDescent="0.4">
      <c r="A68" s="67"/>
      <c r="B68" s="68"/>
      <c r="C68" s="72" t="s">
        <v>48</v>
      </c>
      <c r="D68" s="73"/>
      <c r="E68" s="45">
        <f>E67*19%</f>
        <v>199500</v>
      </c>
    </row>
    <row r="69" spans="1:5" ht="19.5" thickBot="1" x14ac:dyDescent="0.45">
      <c r="A69" s="69"/>
      <c r="B69" s="70"/>
      <c r="C69" s="74" t="s">
        <v>50</v>
      </c>
      <c r="D69" s="74"/>
      <c r="E69" s="46">
        <f>E67+E68</f>
        <v>1249500</v>
      </c>
    </row>
    <row r="70" spans="1:5" x14ac:dyDescent="0.25">
      <c r="A70" t="s">
        <v>66</v>
      </c>
      <c r="E70" s="47">
        <v>699000</v>
      </c>
    </row>
    <row r="71" spans="1:5" x14ac:dyDescent="0.25">
      <c r="A71" t="s">
        <v>67</v>
      </c>
      <c r="E71" s="48">
        <f>E69-E70</f>
        <v>550500</v>
      </c>
    </row>
  </sheetData>
  <mergeCells count="25">
    <mergeCell ref="A24:F24"/>
    <mergeCell ref="A1:G1"/>
    <mergeCell ref="A2:G2"/>
    <mergeCell ref="A3:G3"/>
    <mergeCell ref="A4:A5"/>
    <mergeCell ref="A23:F23"/>
    <mergeCell ref="A67:B69"/>
    <mergeCell ref="C67:D67"/>
    <mergeCell ref="C68:D68"/>
    <mergeCell ref="C69:D69"/>
    <mergeCell ref="A25:F25"/>
    <mergeCell ref="A26:A27"/>
    <mergeCell ref="B26:D26"/>
    <mergeCell ref="E26:F26"/>
    <mergeCell ref="A42:B46"/>
    <mergeCell ref="C42:D42"/>
    <mergeCell ref="C43:D43"/>
    <mergeCell ref="C44:D44"/>
    <mergeCell ref="C45:D45"/>
    <mergeCell ref="C46:D46"/>
    <mergeCell ref="A60:E60"/>
    <mergeCell ref="A61:E61"/>
    <mergeCell ref="A62:E62"/>
    <mergeCell ref="A63:A64"/>
    <mergeCell ref="B63:D6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2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SEGUIMIENTO CONSORCIO VICTORIA</vt:lpstr>
      <vt:lpstr>COTIZACION 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2026-03-02T18:15:37Z</cp:lastPrinted>
  <dcterms:created xsi:type="dcterms:W3CDTF">2026-02-18T13:15:08Z</dcterms:created>
  <dcterms:modified xsi:type="dcterms:W3CDTF">2026-03-02T18:16:01Z</dcterms:modified>
</cp:coreProperties>
</file>
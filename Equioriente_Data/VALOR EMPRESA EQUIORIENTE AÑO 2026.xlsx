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CF07ED5-2130-4049-94AB-78E3C32698BA}" xr6:coauthVersionLast="47" xr6:coauthVersionMax="47" xr10:uidLastSave="{00000000-0000-0000-0000-000000000000}"/>
  <bookViews>
    <workbookView xWindow="-120" yWindow="-120" windowWidth="29040" windowHeight="15225" xr2:uid="{042AFC58-1E69-4149-BA03-1BCD55BC5D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10" i="1"/>
  <c r="B9" i="1"/>
  <c r="B11" i="1" s="1"/>
  <c r="B13" i="1" s="1"/>
  <c r="D13" i="1" l="1"/>
  <c r="C13" i="1"/>
  <c r="E13" i="1" s="1"/>
</calcChain>
</file>

<file path=xl/sharedStrings.xml><?xml version="1.0" encoding="utf-8"?>
<sst xmlns="http://schemas.openxmlformats.org/spreadsheetml/2006/main" count="21" uniqueCount="19">
  <si>
    <t>VALOR EMPRESA FEBRERO 2026</t>
  </si>
  <si>
    <t>Predio</t>
  </si>
  <si>
    <t>Avaluo</t>
  </si>
  <si>
    <t>Bodega</t>
  </si>
  <si>
    <t xml:space="preserve">valor empresa </t>
  </si>
  <si>
    <t>anticipo puerta de oro PUERTA  DE ORO</t>
  </si>
  <si>
    <t>CAJA</t>
  </si>
  <si>
    <t>BANCO BBA</t>
  </si>
  <si>
    <t>CDT BBVA</t>
  </si>
  <si>
    <t>DICIEMBRE</t>
  </si>
  <si>
    <t>CDT COOMUNTRASAN 1</t>
  </si>
  <si>
    <t>CDT COOMULTRASAN 2</t>
  </si>
  <si>
    <t>ACTIVOS A REPARTIR</t>
  </si>
  <si>
    <t>MENOS PASIVOS A 31 /12</t>
  </si>
  <si>
    <t>TOTAL VALOR</t>
  </si>
  <si>
    <t>DIFERENCIA</t>
  </si>
  <si>
    <t>VALOR PUERTA DE ORO</t>
  </si>
  <si>
    <t>RECAUDADO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</si>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</sst>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\ #,##0;[Red]\-&quot;$&quot;\ #,##0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6" xfId="0" applyBorder="1" applyAlignment="1">
      <alignment wrapText="1"/>
    </xf>
    <xf numFmtId="0" fontId="0" fillId="0" borderId="4" xfId="0" applyBorder="1" applyAlignment="1">
      <alignment wrapText="1"/>
    </xf>
    <xf numFmtId="6" fontId="0" fillId="0" borderId="5" xfId="0" applyNumberFormat="1" applyBorder="1" applyAlignment="1">
      <alignment horizontal="right" wrapText="1"/>
    </xf>
    <xf numFmtId="6" fontId="0" fillId="0" borderId="1" xfId="0" applyNumberFormat="1" applyBorder="1" applyAlignment="1">
      <alignment horizontal="right" wrapText="1"/>
    </xf>
    <xf numFmtId="0" fontId="0" fillId="3" borderId="4" xfId="0" applyFill="1" applyBorder="1" applyAlignment="1">
      <alignment wrapText="1"/>
    </xf>
    <xf numFmtId="6" fontId="0" fillId="3" borderId="5" xfId="0" applyNumberFormat="1" applyFill="1" applyBorder="1" applyAlignment="1">
      <alignment horizontal="right" wrapText="1"/>
    </xf>
    <xf numFmtId="6" fontId="2" fillId="0" borderId="5" xfId="0" applyNumberFormat="1" applyFont="1" applyBorder="1" applyAlignment="1">
      <alignment horizontal="right" wrapText="1"/>
    </xf>
    <xf numFmtId="6" fontId="2" fillId="0" borderId="1" xfId="0" applyNumberFormat="1" applyFont="1" applyBorder="1" applyAlignment="1">
      <alignment horizontal="right" wrapText="1"/>
    </xf>
    <xf numFmtId="6" fontId="0" fillId="0" borderId="6" xfId="0" applyNumberFormat="1" applyBorder="1" applyAlignment="1">
      <alignment wrapText="1"/>
    </xf>
    <xf numFmtId="6" fontId="3" fillId="0" borderId="6" xfId="0" applyNumberFormat="1" applyFont="1" applyBorder="1" applyAlignment="1">
      <alignment wrapText="1"/>
    </xf>
    <xf numFmtId="0" fontId="0" fillId="0" borderId="7" xfId="0" applyBorder="1" applyAlignment="1">
      <alignment wrapText="1"/>
    </xf>
    <xf numFmtId="164" fontId="0" fillId="0" borderId="0" xfId="1" applyNumberFormat="1" applyFont="1"/>
    <xf numFmtId="0" fontId="0" fillId="0" borderId="0" xfId="0" applyAlignment="1">
      <alignment wrapText="1"/>
    </xf>
    <xf numFmtId="164" fontId="2" fillId="0" borderId="0" xfId="1" applyNumberFormat="1" applyFont="1"/>
    <xf numFmtId="164" fontId="0" fillId="4" borderId="0" xfId="0" applyNumberFormat="1" applyFill="1"/>
    <xf numFmtId="164" fontId="0" fillId="0" borderId="0" xfId="0" applyNumberFormat="1"/>
    <xf numFmtId="6" fontId="0" fillId="5" borderId="0" xfId="0" applyNumberFormat="1" applyFill="1"/>
    <xf numFmtId="164" fontId="0" fillId="3" borderId="0" xfId="0" applyNumberFormat="1" applyFill="1"/>
    <xf numFmtId="9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0" fillId="2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ADDCC-C857-4C58-83CB-BCC647C9334A}">
  <dimension ref="A1:E22"/>
  <sheetViews>
    <sheetView tabSelected="1" topLeftCell="A12" workbookViewId="0">
      <selection activeCell="A16" sqref="A16:E18"/>
    </sheetView>
  </sheetViews>
  <sheetFormatPr baseColWidth="10" defaultRowHeight="15" x14ac:dyDescent="0.25"/>
  <cols>
    <col min="1" max="1" width="23.140625" customWidth="1"/>
    <col min="2" max="2" width="16.7109375" bestFit="1" customWidth="1"/>
    <col min="3" max="5" width="14" bestFit="1" customWidth="1"/>
  </cols>
  <sheetData>
    <row r="1" spans="1:5" ht="15.75" thickBot="1" x14ac:dyDescent="0.3">
      <c r="A1" s="25" t="s">
        <v>0</v>
      </c>
      <c r="B1" s="26"/>
      <c r="C1" s="26"/>
      <c r="D1" s="26"/>
      <c r="E1" s="27"/>
    </row>
    <row r="2" spans="1:5" ht="15.75" thickBot="1" x14ac:dyDescent="0.3">
      <c r="A2" s="1" t="s">
        <v>1</v>
      </c>
      <c r="B2" s="2" t="s">
        <v>2</v>
      </c>
      <c r="C2" s="3"/>
      <c r="D2" s="4"/>
      <c r="E2" s="4"/>
    </row>
    <row r="3" spans="1:5" ht="15.75" thickBot="1" x14ac:dyDescent="0.3">
      <c r="A3" s="5" t="s">
        <v>3</v>
      </c>
      <c r="B3" s="6">
        <v>722820000</v>
      </c>
      <c r="C3" s="7"/>
      <c r="D3" s="4"/>
      <c r="E3" s="4"/>
    </row>
    <row r="4" spans="1:5" ht="30.75" thickBot="1" x14ac:dyDescent="0.3">
      <c r="A4" s="8" t="s">
        <v>4</v>
      </c>
      <c r="B4" s="9">
        <v>177131800</v>
      </c>
      <c r="C4" s="7"/>
      <c r="D4" s="4"/>
      <c r="E4" s="4"/>
    </row>
    <row r="5" spans="1:5" ht="60.75" thickBot="1" x14ac:dyDescent="0.3">
      <c r="A5" s="5" t="s">
        <v>5</v>
      </c>
      <c r="B5" s="6">
        <v>50879394</v>
      </c>
      <c r="C5" s="7"/>
      <c r="D5" s="4"/>
      <c r="E5" s="4"/>
    </row>
    <row r="6" spans="1:5" ht="15.75" thickBot="1" x14ac:dyDescent="0.3">
      <c r="A6" s="5" t="s">
        <v>6</v>
      </c>
      <c r="B6" s="6">
        <v>9204613</v>
      </c>
      <c r="C6" s="7"/>
      <c r="D6" s="4"/>
      <c r="E6" s="4"/>
    </row>
    <row r="7" spans="1:5" ht="15.75" thickBot="1" x14ac:dyDescent="0.3">
      <c r="A7" s="5" t="s">
        <v>7</v>
      </c>
      <c r="B7" s="6">
        <v>6165340</v>
      </c>
      <c r="C7" s="7"/>
      <c r="D7" s="4"/>
      <c r="E7" s="4"/>
    </row>
    <row r="8" spans="1:5" ht="15.75" thickBot="1" x14ac:dyDescent="0.3">
      <c r="A8" s="5" t="s">
        <v>8</v>
      </c>
      <c r="B8" s="6">
        <v>88137296</v>
      </c>
      <c r="C8" s="7" t="s">
        <v>9</v>
      </c>
      <c r="D8" s="4"/>
      <c r="E8" s="4"/>
    </row>
    <row r="9" spans="1:5" ht="45.75" thickBot="1" x14ac:dyDescent="0.3">
      <c r="A9" s="5" t="s">
        <v>10</v>
      </c>
      <c r="B9" s="6">
        <f>7474000+336240+197870</f>
        <v>8008110</v>
      </c>
      <c r="C9" s="7" t="s">
        <v>9</v>
      </c>
      <c r="D9" s="4"/>
      <c r="E9" s="4"/>
    </row>
    <row r="10" spans="1:5" ht="45.75" thickBot="1" x14ac:dyDescent="0.3">
      <c r="A10" s="5" t="s">
        <v>11</v>
      </c>
      <c r="B10" s="6">
        <f>22337500+444477-17779+(439211-17568)*2/3</f>
        <v>23045293.333333332</v>
      </c>
      <c r="C10" s="7" t="s">
        <v>9</v>
      </c>
      <c r="D10" s="4"/>
      <c r="E10" s="4"/>
    </row>
    <row r="11" spans="1:5" ht="33" thickBot="1" x14ac:dyDescent="0.45">
      <c r="A11" s="1" t="s">
        <v>12</v>
      </c>
      <c r="B11" s="10">
        <f>SUM(B3:B10)</f>
        <v>1085391846.3333333</v>
      </c>
      <c r="C11" s="11"/>
      <c r="D11" s="12"/>
      <c r="E11" s="13"/>
    </row>
    <row r="12" spans="1:5" ht="45" x14ac:dyDescent="0.25">
      <c r="A12" s="14" t="s">
        <v>13</v>
      </c>
      <c r="B12" s="15">
        <v>6891940</v>
      </c>
    </row>
    <row r="13" spans="1:5" ht="30" x14ac:dyDescent="0.25">
      <c r="A13" s="16" t="s">
        <v>14</v>
      </c>
      <c r="B13" s="17">
        <f>B11-B12</f>
        <v>1078499906.3333333</v>
      </c>
      <c r="C13" s="18">
        <f>B13*0.15</f>
        <v>161774985.94999999</v>
      </c>
      <c r="D13" s="18">
        <f>B13*0.15</f>
        <v>161774985.94999999</v>
      </c>
      <c r="E13" s="19">
        <f>SUM(C13:D13)</f>
        <v>323549971.89999998</v>
      </c>
    </row>
    <row r="14" spans="1:5" x14ac:dyDescent="0.25">
      <c r="A14" s="16" t="s">
        <v>15</v>
      </c>
      <c r="E14" s="19"/>
    </row>
    <row r="16" spans="1:5" x14ac:dyDescent="0.25">
      <c r="A16" s="16"/>
      <c r="B16" s="20"/>
      <c r="E16" s="21"/>
    </row>
    <row r="17" spans="1:5" x14ac:dyDescent="0.25">
      <c r="B17" s="15"/>
      <c r="E17" s="22"/>
    </row>
    <row r="18" spans="1:5" x14ac:dyDescent="0.25">
      <c r="B18" s="15"/>
    </row>
    <row r="20" spans="1:5" x14ac:dyDescent="0.25">
      <c r="A20" t="s">
        <v>16</v>
      </c>
      <c r="B20" s="15">
        <v>169597980</v>
      </c>
    </row>
    <row r="21" spans="1:5" x14ac:dyDescent="0.25">
      <c r="A21" t="s">
        <v>17</v>
      </c>
      <c r="B21" s="15">
        <v>50879394</v>
      </c>
    </row>
    <row r="22" spans="1:5" x14ac:dyDescent="0.25">
      <c r="A22" s="23" t="s">
        <v>18</v>
      </c>
      <c r="B22" s="24">
        <f>B20-B21</f>
        <v>118718586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Jaimes</dc:creator>
  <cp:lastModifiedBy>Jimmy Jaimes</cp:lastModifiedBy>
  <dcterms:created xsi:type="dcterms:W3CDTF">2026-02-28T12:22:44Z</dcterms:created>
  <dcterms:modified xsi:type="dcterms:W3CDTF">2026-02-28T14:35:17Z</dcterms:modified>
</cp:coreProperties>
</file>